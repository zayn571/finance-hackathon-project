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Shared drives\RapDev Finance\RapDev LLC\RapDev LLC Accounting &amp; Finance\Credit Cards\Transaction Import\2026\202607\"/>
    </mc:Choice>
  </mc:AlternateContent>
  <xr:revisionPtr revIDLastSave="0" documentId="8_{98DF43D6-212B-4DEC-8C4A-61BF5FAE6A4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redit Card Charge" sheetId="1" r:id="rId1"/>
    <sheet name="QBO Transactions" sheetId="2" r:id="rId2"/>
    <sheet name="Card Mapping" sheetId="3" r:id="rId3"/>
    <sheet name="Category Mapping" sheetId="4" r:id="rId4"/>
    <sheet name="COA" sheetId="5" r:id="rId5"/>
    <sheet name="Instructions" sheetId="6" r:id="rId6"/>
    <sheet name="Name Aliases" sheetId="7" r:id="rId7"/>
    <sheet name="Department Listing" sheetId="8" r:id="rId8"/>
  </sheets>
  <definedNames>
    <definedName name="_xlnm._FilterDatabase" localSheetId="2" hidden="1">'Card Mapping'!$B$2:$E$135</definedName>
    <definedName name="_xlnm._FilterDatabase" localSheetId="7" hidden="1">'Department Listing'!$A$1:$O$273</definedName>
    <definedName name="_xlnm._FilterDatabase" localSheetId="1" hidden="1">'QBO Transactions'!$B$3:$Z$659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1" i="2" l="1"/>
  <c r="V659" i="2"/>
  <c r="V658" i="2"/>
  <c r="V657" i="2"/>
  <c r="V656" i="2"/>
  <c r="V655" i="2"/>
  <c r="V654" i="2"/>
  <c r="V653" i="2"/>
  <c r="V652" i="2"/>
  <c r="V651" i="2"/>
  <c r="V650" i="2"/>
  <c r="V649" i="2"/>
  <c r="V648" i="2"/>
  <c r="V647" i="2"/>
  <c r="V646" i="2"/>
  <c r="V645" i="2"/>
  <c r="V644" i="2"/>
  <c r="V643" i="2"/>
  <c r="X643" i="2" s="1"/>
  <c r="F641" i="1" s="1"/>
  <c r="V642" i="2"/>
  <c r="V641" i="2"/>
  <c r="V640" i="2"/>
  <c r="V639" i="2"/>
  <c r="V638" i="2"/>
  <c r="V637" i="2"/>
  <c r="V636" i="2"/>
  <c r="V635" i="2"/>
  <c r="V634" i="2"/>
  <c r="V633" i="2"/>
  <c r="V632" i="2"/>
  <c r="X632" i="2" s="1"/>
  <c r="F630" i="1" s="1"/>
  <c r="V631" i="2"/>
  <c r="V630" i="2"/>
  <c r="V629" i="2"/>
  <c r="V628" i="2"/>
  <c r="V627" i="2"/>
  <c r="V626" i="2"/>
  <c r="X626" i="2" s="1"/>
  <c r="F624" i="1" s="1"/>
  <c r="V625" i="2"/>
  <c r="X625" i="2" s="1"/>
  <c r="F623" i="1" s="1"/>
  <c r="V624" i="2"/>
  <c r="V623" i="2"/>
  <c r="V622" i="2"/>
  <c r="V621" i="2"/>
  <c r="V620" i="2"/>
  <c r="V619" i="2"/>
  <c r="V618" i="2"/>
  <c r="V617" i="2"/>
  <c r="V616" i="2"/>
  <c r="V615" i="2"/>
  <c r="V614" i="2"/>
  <c r="V613" i="2"/>
  <c r="V612" i="2"/>
  <c r="V611" i="2"/>
  <c r="V610" i="2"/>
  <c r="V609" i="2"/>
  <c r="V608" i="2"/>
  <c r="V607" i="2"/>
  <c r="V606" i="2"/>
  <c r="V605" i="2"/>
  <c r="V604" i="2"/>
  <c r="V603" i="2"/>
  <c r="V602" i="2"/>
  <c r="V601" i="2"/>
  <c r="V600" i="2"/>
  <c r="V599" i="2"/>
  <c r="V598" i="2"/>
  <c r="V597" i="2"/>
  <c r="V596" i="2"/>
  <c r="V595" i="2"/>
  <c r="X595" i="2" s="1"/>
  <c r="F593" i="1" s="1"/>
  <c r="V594" i="2"/>
  <c r="V593" i="2"/>
  <c r="V592" i="2"/>
  <c r="V591" i="2"/>
  <c r="V590" i="2"/>
  <c r="V589" i="2"/>
  <c r="V588" i="2"/>
  <c r="V587" i="2"/>
  <c r="V586" i="2"/>
  <c r="V585" i="2"/>
  <c r="V584" i="2"/>
  <c r="V583" i="2"/>
  <c r="V582" i="2"/>
  <c r="V581" i="2"/>
  <c r="V580" i="2"/>
  <c r="V579" i="2"/>
  <c r="V578" i="2"/>
  <c r="V577" i="2"/>
  <c r="V576" i="2"/>
  <c r="V575" i="2"/>
  <c r="V574" i="2"/>
  <c r="V573" i="2"/>
  <c r="V572" i="2"/>
  <c r="V571" i="2"/>
  <c r="V570" i="2"/>
  <c r="V569" i="2"/>
  <c r="V568" i="2"/>
  <c r="V567" i="2"/>
  <c r="V566" i="2"/>
  <c r="V565" i="2"/>
  <c r="V564" i="2"/>
  <c r="V563" i="2"/>
  <c r="V562" i="2"/>
  <c r="V561" i="2"/>
  <c r="V560" i="2"/>
  <c r="V559" i="2"/>
  <c r="V558" i="2"/>
  <c r="V557" i="2"/>
  <c r="V556" i="2"/>
  <c r="V555" i="2"/>
  <c r="V554" i="2"/>
  <c r="V553" i="2"/>
  <c r="V552" i="2"/>
  <c r="V551" i="2"/>
  <c r="V550" i="2"/>
  <c r="V549" i="2"/>
  <c r="V548" i="2"/>
  <c r="V547" i="2"/>
  <c r="V546" i="2"/>
  <c r="V545" i="2"/>
  <c r="V544" i="2"/>
  <c r="V543" i="2"/>
  <c r="V542" i="2"/>
  <c r="V541" i="2"/>
  <c r="V540" i="2"/>
  <c r="V539" i="2"/>
  <c r="V538" i="2"/>
  <c r="V537" i="2"/>
  <c r="V536" i="2"/>
  <c r="V535" i="2"/>
  <c r="V534" i="2"/>
  <c r="V533" i="2"/>
  <c r="V532" i="2"/>
  <c r="V531" i="2"/>
  <c r="V530" i="2"/>
  <c r="V529" i="2"/>
  <c r="V528" i="2"/>
  <c r="V527" i="2"/>
  <c r="V526" i="2"/>
  <c r="V525" i="2"/>
  <c r="V524" i="2"/>
  <c r="V523" i="2"/>
  <c r="V522" i="2"/>
  <c r="V521" i="2"/>
  <c r="V520" i="2"/>
  <c r="V519" i="2"/>
  <c r="V518" i="2"/>
  <c r="V517" i="2"/>
  <c r="V516" i="2"/>
  <c r="V515" i="2"/>
  <c r="V514" i="2"/>
  <c r="V513" i="2"/>
  <c r="V512" i="2"/>
  <c r="V511" i="2"/>
  <c r="V510" i="2"/>
  <c r="V509" i="2"/>
  <c r="V508" i="2"/>
  <c r="V507" i="2"/>
  <c r="V506" i="2"/>
  <c r="V505" i="2"/>
  <c r="V504" i="2"/>
  <c r="V503" i="2"/>
  <c r="V502" i="2"/>
  <c r="V501" i="2"/>
  <c r="V500" i="2"/>
  <c r="V499" i="2"/>
  <c r="V498" i="2"/>
  <c r="V497" i="2"/>
  <c r="V496" i="2"/>
  <c r="V495" i="2"/>
  <c r="V494" i="2"/>
  <c r="V493" i="2"/>
  <c r="V492" i="2"/>
  <c r="V491" i="2"/>
  <c r="V490" i="2"/>
  <c r="V489" i="2"/>
  <c r="V488" i="2"/>
  <c r="V487" i="2"/>
  <c r="V486" i="2"/>
  <c r="V485" i="2"/>
  <c r="V484" i="2"/>
  <c r="V483" i="2"/>
  <c r="V482" i="2"/>
  <c r="V481" i="2"/>
  <c r="V480" i="2"/>
  <c r="V479" i="2"/>
  <c r="V478" i="2"/>
  <c r="V477" i="2"/>
  <c r="V476" i="2"/>
  <c r="V475" i="2"/>
  <c r="V474" i="2"/>
  <c r="V473" i="2"/>
  <c r="V472" i="2"/>
  <c r="V471" i="2"/>
  <c r="V470" i="2"/>
  <c r="V469" i="2"/>
  <c r="O278" i="8"/>
  <c r="O277" i="8"/>
  <c r="O276" i="8"/>
  <c r="O275" i="8"/>
  <c r="O274" i="8"/>
  <c r="O273" i="8"/>
  <c r="O272" i="8"/>
  <c r="O271" i="8"/>
  <c r="O270" i="8"/>
  <c r="O269" i="8"/>
  <c r="O268" i="8"/>
  <c r="O267" i="8"/>
  <c r="O266" i="8"/>
  <c r="O265" i="8"/>
  <c r="O264" i="8"/>
  <c r="O263" i="8"/>
  <c r="O262" i="8"/>
  <c r="O261" i="8"/>
  <c r="O260" i="8"/>
  <c r="O259" i="8"/>
  <c r="O258" i="8"/>
  <c r="O257" i="8"/>
  <c r="O256" i="8"/>
  <c r="O255" i="8"/>
  <c r="O254" i="8"/>
  <c r="O253" i="8"/>
  <c r="O252" i="8"/>
  <c r="O251" i="8"/>
  <c r="O250" i="8"/>
  <c r="O249" i="8"/>
  <c r="O248" i="8"/>
  <c r="O247" i="8"/>
  <c r="O246" i="8"/>
  <c r="O245" i="8"/>
  <c r="O244" i="8"/>
  <c r="O243" i="8"/>
  <c r="O242" i="8"/>
  <c r="O241" i="8"/>
  <c r="O240" i="8"/>
  <c r="O239" i="8"/>
  <c r="O238" i="8"/>
  <c r="O237" i="8"/>
  <c r="O236" i="8"/>
  <c r="O235" i="8"/>
  <c r="O234" i="8"/>
  <c r="O233" i="8"/>
  <c r="O232" i="8"/>
  <c r="O231" i="8"/>
  <c r="O230" i="8"/>
  <c r="O229" i="8"/>
  <c r="O228" i="8"/>
  <c r="O227" i="8"/>
  <c r="O226" i="8"/>
  <c r="O225" i="8"/>
  <c r="O224" i="8"/>
  <c r="O223" i="8"/>
  <c r="O222" i="8"/>
  <c r="O221" i="8"/>
  <c r="O220" i="8"/>
  <c r="O219" i="8"/>
  <c r="O218" i="8"/>
  <c r="O217" i="8"/>
  <c r="O216" i="8"/>
  <c r="O215" i="8"/>
  <c r="O214" i="8"/>
  <c r="O213" i="8"/>
  <c r="O212" i="8"/>
  <c r="O211" i="8"/>
  <c r="O210" i="8"/>
  <c r="O209" i="8"/>
  <c r="O208" i="8"/>
  <c r="O207" i="8"/>
  <c r="O206" i="8"/>
  <c r="O205" i="8"/>
  <c r="O204" i="8"/>
  <c r="O203" i="8"/>
  <c r="O202" i="8"/>
  <c r="O201" i="8"/>
  <c r="O200" i="8"/>
  <c r="O199" i="8"/>
  <c r="O198" i="8"/>
  <c r="O197" i="8"/>
  <c r="O196" i="8"/>
  <c r="O195" i="8"/>
  <c r="O194" i="8"/>
  <c r="O193" i="8"/>
  <c r="O192" i="8"/>
  <c r="O191" i="8"/>
  <c r="O190" i="8"/>
  <c r="O189" i="8"/>
  <c r="O188" i="8"/>
  <c r="O187" i="8"/>
  <c r="O186" i="8"/>
  <c r="O185" i="8"/>
  <c r="O184" i="8"/>
  <c r="O183" i="8"/>
  <c r="O182" i="8"/>
  <c r="O181" i="8"/>
  <c r="O180" i="8"/>
  <c r="O179" i="8"/>
  <c r="O178" i="8"/>
  <c r="O177" i="8"/>
  <c r="O176" i="8"/>
  <c r="O175" i="8"/>
  <c r="O174" i="8"/>
  <c r="O173" i="8"/>
  <c r="O172" i="8"/>
  <c r="O171" i="8"/>
  <c r="O170" i="8"/>
  <c r="O169" i="8"/>
  <c r="O168" i="8"/>
  <c r="O167" i="8"/>
  <c r="O166" i="8"/>
  <c r="O165" i="8"/>
  <c r="O164" i="8"/>
  <c r="O163" i="8"/>
  <c r="O162" i="8"/>
  <c r="O161" i="8"/>
  <c r="O160" i="8"/>
  <c r="O159" i="8"/>
  <c r="O158" i="8"/>
  <c r="O157" i="8"/>
  <c r="O156" i="8"/>
  <c r="O155" i="8"/>
  <c r="O154" i="8"/>
  <c r="O153" i="8"/>
  <c r="O152" i="8"/>
  <c r="O151" i="8"/>
  <c r="O150" i="8"/>
  <c r="O149" i="8"/>
  <c r="O148" i="8"/>
  <c r="O147" i="8"/>
  <c r="O146" i="8"/>
  <c r="O145" i="8"/>
  <c r="O144" i="8"/>
  <c r="O143" i="8"/>
  <c r="O142" i="8"/>
  <c r="O141" i="8"/>
  <c r="O140" i="8"/>
  <c r="O139" i="8"/>
  <c r="O138" i="8"/>
  <c r="O137" i="8"/>
  <c r="O136" i="8"/>
  <c r="O135" i="8"/>
  <c r="O134" i="8"/>
  <c r="O133" i="8"/>
  <c r="O132" i="8"/>
  <c r="O131" i="8"/>
  <c r="O130" i="8"/>
  <c r="O129" i="8"/>
  <c r="O128" i="8"/>
  <c r="O127" i="8"/>
  <c r="O126" i="8"/>
  <c r="O125" i="8"/>
  <c r="O124" i="8"/>
  <c r="O123" i="8"/>
  <c r="O122" i="8"/>
  <c r="O121" i="8"/>
  <c r="O120" i="8"/>
  <c r="O119" i="8"/>
  <c r="O118" i="8"/>
  <c r="O117" i="8"/>
  <c r="O116" i="8"/>
  <c r="O115" i="8"/>
  <c r="O114" i="8"/>
  <c r="O113" i="8"/>
  <c r="O112" i="8"/>
  <c r="O111" i="8"/>
  <c r="O110" i="8"/>
  <c r="O109" i="8"/>
  <c r="O108" i="8"/>
  <c r="O107" i="8"/>
  <c r="O106" i="8"/>
  <c r="O105" i="8"/>
  <c r="O104" i="8"/>
  <c r="O103" i="8"/>
  <c r="O102" i="8"/>
  <c r="O101" i="8"/>
  <c r="O100" i="8"/>
  <c r="O99" i="8"/>
  <c r="O98" i="8"/>
  <c r="O97" i="8"/>
  <c r="O96" i="8"/>
  <c r="O95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Z659" i="2"/>
  <c r="W659" i="2"/>
  <c r="U659" i="2"/>
  <c r="T659" i="2"/>
  <c r="S659" i="2"/>
  <c r="R659" i="2"/>
  <c r="Q659" i="2"/>
  <c r="O659" i="2"/>
  <c r="P659" i="2" s="1"/>
  <c r="Y659" i="2" s="1"/>
  <c r="N657" i="1" s="1"/>
  <c r="Z658" i="2"/>
  <c r="W658" i="2"/>
  <c r="X658" i="2" s="1"/>
  <c r="F656" i="1" s="1"/>
  <c r="U658" i="2"/>
  <c r="T658" i="2"/>
  <c r="S658" i="2"/>
  <c r="R658" i="2"/>
  <c r="Q658" i="2"/>
  <c r="O658" i="2"/>
  <c r="P658" i="2" s="1"/>
  <c r="Y658" i="2" s="1"/>
  <c r="N656" i="1" s="1"/>
  <c r="Z657" i="2"/>
  <c r="W657" i="2"/>
  <c r="U657" i="2"/>
  <c r="T657" i="2"/>
  <c r="S657" i="2"/>
  <c r="R657" i="2"/>
  <c r="D655" i="1" s="1"/>
  <c r="Q657" i="2"/>
  <c r="O657" i="2"/>
  <c r="P657" i="2" s="1"/>
  <c r="Y657" i="2" s="1"/>
  <c r="N655" i="1" s="1"/>
  <c r="Z656" i="2"/>
  <c r="W656" i="2"/>
  <c r="U656" i="2"/>
  <c r="T656" i="2"/>
  <c r="S656" i="2"/>
  <c r="R656" i="2"/>
  <c r="Q656" i="2"/>
  <c r="O656" i="2"/>
  <c r="P656" i="2" s="1"/>
  <c r="Y656" i="2" s="1"/>
  <c r="N654" i="1" s="1"/>
  <c r="Z655" i="2"/>
  <c r="W655" i="2"/>
  <c r="U655" i="2"/>
  <c r="T655" i="2"/>
  <c r="S655" i="2"/>
  <c r="R655" i="2"/>
  <c r="Q655" i="2"/>
  <c r="O655" i="2"/>
  <c r="P655" i="2" s="1"/>
  <c r="Y655" i="2" s="1"/>
  <c r="N653" i="1" s="1"/>
  <c r="Z654" i="2"/>
  <c r="W654" i="2"/>
  <c r="U654" i="2"/>
  <c r="T654" i="2"/>
  <c r="S654" i="2"/>
  <c r="R654" i="2"/>
  <c r="Q654" i="2"/>
  <c r="O654" i="2"/>
  <c r="P654" i="2" s="1"/>
  <c r="Y654" i="2" s="1"/>
  <c r="N652" i="1" s="1"/>
  <c r="Z653" i="2"/>
  <c r="W653" i="2"/>
  <c r="U653" i="2"/>
  <c r="T653" i="2"/>
  <c r="S653" i="2"/>
  <c r="R653" i="2"/>
  <c r="Q653" i="2"/>
  <c r="O653" i="2"/>
  <c r="P653" i="2" s="1"/>
  <c r="Y653" i="2" s="1"/>
  <c r="N651" i="1" s="1"/>
  <c r="Z652" i="2"/>
  <c r="W652" i="2"/>
  <c r="U652" i="2"/>
  <c r="B650" i="1" s="1"/>
  <c r="T652" i="2"/>
  <c r="S652" i="2"/>
  <c r="R652" i="2"/>
  <c r="Q652" i="2"/>
  <c r="O652" i="2"/>
  <c r="P652" i="2" s="1"/>
  <c r="Y652" i="2" s="1"/>
  <c r="N650" i="1" s="1"/>
  <c r="Z651" i="2"/>
  <c r="W651" i="2"/>
  <c r="U651" i="2"/>
  <c r="T651" i="2"/>
  <c r="S651" i="2"/>
  <c r="R651" i="2"/>
  <c r="Q651" i="2"/>
  <c r="O651" i="2"/>
  <c r="P651" i="2" s="1"/>
  <c r="Y651" i="2" s="1"/>
  <c r="N649" i="1" s="1"/>
  <c r="Z650" i="2"/>
  <c r="W650" i="2"/>
  <c r="U650" i="2"/>
  <c r="T650" i="2"/>
  <c r="S650" i="2"/>
  <c r="R650" i="2"/>
  <c r="Q650" i="2"/>
  <c r="O650" i="2"/>
  <c r="P650" i="2" s="1"/>
  <c r="Y650" i="2" s="1"/>
  <c r="N648" i="1" s="1"/>
  <c r="Z649" i="2"/>
  <c r="W649" i="2"/>
  <c r="U649" i="2"/>
  <c r="T649" i="2"/>
  <c r="S649" i="2"/>
  <c r="R649" i="2"/>
  <c r="D647" i="1" s="1"/>
  <c r="Q649" i="2"/>
  <c r="O649" i="2"/>
  <c r="P649" i="2" s="1"/>
  <c r="Y649" i="2" s="1"/>
  <c r="N647" i="1" s="1"/>
  <c r="Z648" i="2"/>
  <c r="W648" i="2"/>
  <c r="U648" i="2"/>
  <c r="T648" i="2"/>
  <c r="S648" i="2"/>
  <c r="R648" i="2"/>
  <c r="D646" i="1" s="1"/>
  <c r="Q648" i="2"/>
  <c r="O648" i="2"/>
  <c r="Z647" i="2"/>
  <c r="W647" i="2"/>
  <c r="U647" i="2"/>
  <c r="T647" i="2"/>
  <c r="S647" i="2"/>
  <c r="R647" i="2"/>
  <c r="Q647" i="2"/>
  <c r="O647" i="2"/>
  <c r="P647" i="2" s="1"/>
  <c r="Y647" i="2" s="1"/>
  <c r="N645" i="1" s="1"/>
  <c r="Z646" i="2"/>
  <c r="W646" i="2"/>
  <c r="U646" i="2"/>
  <c r="T646" i="2"/>
  <c r="S646" i="2"/>
  <c r="R646" i="2"/>
  <c r="Q646" i="2"/>
  <c r="O646" i="2"/>
  <c r="Z645" i="2"/>
  <c r="W645" i="2"/>
  <c r="U645" i="2"/>
  <c r="T645" i="2"/>
  <c r="S645" i="2"/>
  <c r="R645" i="2"/>
  <c r="Q645" i="2"/>
  <c r="O645" i="2"/>
  <c r="P645" i="2" s="1"/>
  <c r="Y645" i="2" s="1"/>
  <c r="N643" i="1" s="1"/>
  <c r="Z644" i="2"/>
  <c r="W644" i="2"/>
  <c r="U644" i="2"/>
  <c r="T644" i="2"/>
  <c r="S644" i="2"/>
  <c r="R644" i="2"/>
  <c r="Q644" i="2"/>
  <c r="O644" i="2"/>
  <c r="P644" i="2" s="1"/>
  <c r="Y644" i="2" s="1"/>
  <c r="N642" i="1" s="1"/>
  <c r="Z643" i="2"/>
  <c r="W643" i="2"/>
  <c r="U643" i="2"/>
  <c r="T643" i="2"/>
  <c r="S643" i="2"/>
  <c r="R643" i="2"/>
  <c r="Q643" i="2"/>
  <c r="Y641" i="1" s="1"/>
  <c r="O643" i="2"/>
  <c r="P643" i="2" s="1"/>
  <c r="Y643" i="2" s="1"/>
  <c r="N641" i="1" s="1"/>
  <c r="Z642" i="2"/>
  <c r="W642" i="2"/>
  <c r="U642" i="2"/>
  <c r="T642" i="2"/>
  <c r="S642" i="2"/>
  <c r="R642" i="2"/>
  <c r="Q642" i="2"/>
  <c r="O642" i="2"/>
  <c r="P642" i="2" s="1"/>
  <c r="Y642" i="2" s="1"/>
  <c r="N640" i="1" s="1"/>
  <c r="Z641" i="2"/>
  <c r="W641" i="2"/>
  <c r="U641" i="2"/>
  <c r="B639" i="1" s="1"/>
  <c r="T641" i="2"/>
  <c r="S641" i="2"/>
  <c r="R641" i="2"/>
  <c r="Q641" i="2"/>
  <c r="O641" i="2"/>
  <c r="Z640" i="2"/>
  <c r="W640" i="2"/>
  <c r="U640" i="2"/>
  <c r="T640" i="2"/>
  <c r="S640" i="2"/>
  <c r="R640" i="2"/>
  <c r="Q640" i="2"/>
  <c r="O640" i="2"/>
  <c r="P640" i="2" s="1"/>
  <c r="Y640" i="2" s="1"/>
  <c r="N638" i="1" s="1"/>
  <c r="Z639" i="2"/>
  <c r="W639" i="2"/>
  <c r="X639" i="2"/>
  <c r="F637" i="1" s="1"/>
  <c r="U639" i="2"/>
  <c r="T639" i="2"/>
  <c r="S639" i="2"/>
  <c r="R639" i="2"/>
  <c r="Q639" i="2"/>
  <c r="O639" i="2"/>
  <c r="P639" i="2" s="1"/>
  <c r="Y639" i="2" s="1"/>
  <c r="N637" i="1" s="1"/>
  <c r="Z638" i="2"/>
  <c r="W638" i="2"/>
  <c r="U638" i="2"/>
  <c r="B636" i="1" s="1"/>
  <c r="T638" i="2"/>
  <c r="Q636" i="1" s="1"/>
  <c r="X636" i="1" s="1"/>
  <c r="S638" i="2"/>
  <c r="R638" i="2"/>
  <c r="D636" i="1" s="1"/>
  <c r="Q638" i="2"/>
  <c r="O638" i="2"/>
  <c r="P638" i="2" s="1"/>
  <c r="Y638" i="2" s="1"/>
  <c r="N636" i="1" s="1"/>
  <c r="Z637" i="2"/>
  <c r="W637" i="2"/>
  <c r="X637" i="2" s="1"/>
  <c r="F635" i="1" s="1"/>
  <c r="U637" i="2"/>
  <c r="T637" i="2"/>
  <c r="S637" i="2"/>
  <c r="C635" i="1" s="1"/>
  <c r="R637" i="2"/>
  <c r="Q637" i="2"/>
  <c r="O637" i="2"/>
  <c r="P637" i="2" s="1"/>
  <c r="Y637" i="2" s="1"/>
  <c r="N635" i="1" s="1"/>
  <c r="Z636" i="2"/>
  <c r="W636" i="2"/>
  <c r="U636" i="2"/>
  <c r="T636" i="2"/>
  <c r="S636" i="2"/>
  <c r="R636" i="2"/>
  <c r="Q636" i="2"/>
  <c r="O636" i="2"/>
  <c r="P636" i="2" s="1"/>
  <c r="Y636" i="2" s="1"/>
  <c r="N634" i="1" s="1"/>
  <c r="Z635" i="2"/>
  <c r="W635" i="2"/>
  <c r="U635" i="2"/>
  <c r="T635" i="2"/>
  <c r="S635" i="2"/>
  <c r="R635" i="2"/>
  <c r="D633" i="1" s="1"/>
  <c r="Q635" i="2"/>
  <c r="O635" i="2"/>
  <c r="P635" i="2" s="1"/>
  <c r="Y635" i="2" s="1"/>
  <c r="N633" i="1" s="1"/>
  <c r="Z634" i="2"/>
  <c r="W634" i="2"/>
  <c r="U634" i="2"/>
  <c r="T634" i="2"/>
  <c r="S634" i="2"/>
  <c r="R634" i="2"/>
  <c r="Q634" i="2"/>
  <c r="Y632" i="1" s="1"/>
  <c r="O634" i="2"/>
  <c r="P634" i="2" s="1"/>
  <c r="Y634" i="2" s="1"/>
  <c r="N632" i="1" s="1"/>
  <c r="Z633" i="2"/>
  <c r="W633" i="2"/>
  <c r="U633" i="2"/>
  <c r="T633" i="2"/>
  <c r="S633" i="2"/>
  <c r="R633" i="2"/>
  <c r="Q633" i="2"/>
  <c r="O633" i="2"/>
  <c r="P633" i="2" s="1"/>
  <c r="Y633" i="2" s="1"/>
  <c r="N631" i="1" s="1"/>
  <c r="Z632" i="2"/>
  <c r="W632" i="2"/>
  <c r="U632" i="2"/>
  <c r="T632" i="2"/>
  <c r="Q630" i="1" s="1"/>
  <c r="S632" i="2"/>
  <c r="R632" i="2"/>
  <c r="Q632" i="2"/>
  <c r="O632" i="2"/>
  <c r="P632" i="2" s="1"/>
  <c r="Y632" i="2" s="1"/>
  <c r="N630" i="1" s="1"/>
  <c r="Z631" i="2"/>
  <c r="W631" i="2"/>
  <c r="U631" i="2"/>
  <c r="T631" i="2"/>
  <c r="S631" i="2"/>
  <c r="R631" i="2"/>
  <c r="Q631" i="2"/>
  <c r="Y629" i="1" s="1"/>
  <c r="O631" i="2"/>
  <c r="Z630" i="2"/>
  <c r="W630" i="2"/>
  <c r="U630" i="2"/>
  <c r="T630" i="2"/>
  <c r="S630" i="2"/>
  <c r="R630" i="2"/>
  <c r="Q630" i="2"/>
  <c r="O630" i="2"/>
  <c r="P630" i="2" s="1"/>
  <c r="Y630" i="2" s="1"/>
  <c r="N628" i="1" s="1"/>
  <c r="Z629" i="2"/>
  <c r="W629" i="2"/>
  <c r="U629" i="2"/>
  <c r="T629" i="2"/>
  <c r="S629" i="2"/>
  <c r="R629" i="2"/>
  <c r="Q629" i="2"/>
  <c r="Y627" i="1" s="1"/>
  <c r="O629" i="2"/>
  <c r="P629" i="2" s="1"/>
  <c r="Y629" i="2" s="1"/>
  <c r="N627" i="1" s="1"/>
  <c r="Z628" i="2"/>
  <c r="W628" i="2"/>
  <c r="U628" i="2"/>
  <c r="T628" i="2"/>
  <c r="S628" i="2"/>
  <c r="C626" i="1" s="1"/>
  <c r="R628" i="2"/>
  <c r="D626" i="1" s="1"/>
  <c r="Q628" i="2"/>
  <c r="O628" i="2"/>
  <c r="P628" i="2" s="1"/>
  <c r="Y628" i="2" s="1"/>
  <c r="N626" i="1" s="1"/>
  <c r="Z627" i="2"/>
  <c r="W627" i="2"/>
  <c r="U627" i="2"/>
  <c r="T627" i="2"/>
  <c r="S627" i="2"/>
  <c r="C625" i="1" s="1"/>
  <c r="R627" i="2"/>
  <c r="Q627" i="2"/>
  <c r="O627" i="2"/>
  <c r="P627" i="2" s="1"/>
  <c r="Y627" i="2" s="1"/>
  <c r="N625" i="1" s="1"/>
  <c r="Z626" i="2"/>
  <c r="W626" i="2"/>
  <c r="U626" i="2"/>
  <c r="T626" i="2"/>
  <c r="S626" i="2"/>
  <c r="R626" i="2"/>
  <c r="Q626" i="2"/>
  <c r="Y624" i="1" s="1"/>
  <c r="O626" i="2"/>
  <c r="Z625" i="2"/>
  <c r="W625" i="2"/>
  <c r="U625" i="2"/>
  <c r="T625" i="2"/>
  <c r="S625" i="2"/>
  <c r="R625" i="2"/>
  <c r="Q625" i="2"/>
  <c r="Y623" i="1" s="1"/>
  <c r="O625" i="2"/>
  <c r="P625" i="2" s="1"/>
  <c r="Y625" i="2" s="1"/>
  <c r="N623" i="1" s="1"/>
  <c r="Z624" i="2"/>
  <c r="W624" i="2"/>
  <c r="U624" i="2"/>
  <c r="T624" i="2"/>
  <c r="S624" i="2"/>
  <c r="R624" i="2"/>
  <c r="Q624" i="2"/>
  <c r="Y622" i="1" s="1"/>
  <c r="O624" i="2"/>
  <c r="P624" i="2" s="1"/>
  <c r="Y624" i="2" s="1"/>
  <c r="N622" i="1" s="1"/>
  <c r="Z623" i="2"/>
  <c r="W623" i="2"/>
  <c r="U623" i="2"/>
  <c r="T623" i="2"/>
  <c r="S623" i="2"/>
  <c r="R623" i="2"/>
  <c r="Q623" i="2"/>
  <c r="O623" i="2"/>
  <c r="Z622" i="2"/>
  <c r="W622" i="2"/>
  <c r="U622" i="2"/>
  <c r="T622" i="2"/>
  <c r="S622" i="2"/>
  <c r="R622" i="2"/>
  <c r="Q622" i="2"/>
  <c r="Y620" i="1" s="1"/>
  <c r="O622" i="2"/>
  <c r="P622" i="2" s="1"/>
  <c r="Y622" i="2" s="1"/>
  <c r="N620" i="1" s="1"/>
  <c r="Z621" i="2"/>
  <c r="W621" i="2"/>
  <c r="U621" i="2"/>
  <c r="B619" i="1" s="1"/>
  <c r="T621" i="2"/>
  <c r="Q619" i="1" s="1"/>
  <c r="S621" i="2"/>
  <c r="R621" i="2"/>
  <c r="D619" i="1" s="1"/>
  <c r="Q621" i="2"/>
  <c r="Y619" i="1" s="1"/>
  <c r="O621" i="2"/>
  <c r="P621" i="2" s="1"/>
  <c r="Y621" i="2" s="1"/>
  <c r="N619" i="1" s="1"/>
  <c r="Z620" i="2"/>
  <c r="W620" i="2"/>
  <c r="U620" i="2"/>
  <c r="T620" i="2"/>
  <c r="S620" i="2"/>
  <c r="R620" i="2"/>
  <c r="Q620" i="2"/>
  <c r="O620" i="2"/>
  <c r="P620" i="2" s="1"/>
  <c r="Y620" i="2" s="1"/>
  <c r="N618" i="1" s="1"/>
  <c r="Z619" i="2"/>
  <c r="W619" i="2"/>
  <c r="U619" i="2"/>
  <c r="T619" i="2"/>
  <c r="S619" i="2"/>
  <c r="R619" i="2"/>
  <c r="Q619" i="2"/>
  <c r="O619" i="2"/>
  <c r="P619" i="2" s="1"/>
  <c r="Y619" i="2" s="1"/>
  <c r="N617" i="1" s="1"/>
  <c r="Z618" i="2"/>
  <c r="W618" i="2"/>
  <c r="U618" i="2"/>
  <c r="B616" i="1" s="1"/>
  <c r="T618" i="2"/>
  <c r="S618" i="2"/>
  <c r="C616" i="1" s="1"/>
  <c r="R618" i="2"/>
  <c r="Q618" i="2"/>
  <c r="Y616" i="1" s="1"/>
  <c r="O618" i="2"/>
  <c r="P618" i="2" s="1"/>
  <c r="Y618" i="2" s="1"/>
  <c r="N616" i="1" s="1"/>
  <c r="Z617" i="2"/>
  <c r="W617" i="2"/>
  <c r="U617" i="2"/>
  <c r="T617" i="2"/>
  <c r="S617" i="2"/>
  <c r="R617" i="2"/>
  <c r="Q617" i="2"/>
  <c r="Y615" i="1" s="1"/>
  <c r="O617" i="2"/>
  <c r="P617" i="2" s="1"/>
  <c r="Y617" i="2" s="1"/>
  <c r="N615" i="1" s="1"/>
  <c r="Z616" i="2"/>
  <c r="W616" i="2"/>
  <c r="U616" i="2"/>
  <c r="B614" i="1" s="1"/>
  <c r="T616" i="2"/>
  <c r="S616" i="2"/>
  <c r="R616" i="2"/>
  <c r="Q616" i="2"/>
  <c r="O616" i="2"/>
  <c r="P616" i="2" s="1"/>
  <c r="Y616" i="2" s="1"/>
  <c r="N614" i="1" s="1"/>
  <c r="Z615" i="2"/>
  <c r="W615" i="2"/>
  <c r="U615" i="2"/>
  <c r="T615" i="2"/>
  <c r="S615" i="2"/>
  <c r="R615" i="2"/>
  <c r="Q615" i="2"/>
  <c r="O615" i="2"/>
  <c r="P615" i="2" s="1"/>
  <c r="Y615" i="2" s="1"/>
  <c r="N613" i="1" s="1"/>
  <c r="Z614" i="2"/>
  <c r="W614" i="2"/>
  <c r="U614" i="2"/>
  <c r="T614" i="2"/>
  <c r="Q612" i="1" s="1"/>
  <c r="X612" i="1" s="1"/>
  <c r="S614" i="2"/>
  <c r="R614" i="2"/>
  <c r="Q614" i="2"/>
  <c r="Y612" i="1" s="1"/>
  <c r="O614" i="2"/>
  <c r="P614" i="2" s="1"/>
  <c r="Y614" i="2" s="1"/>
  <c r="N612" i="1" s="1"/>
  <c r="Z613" i="2"/>
  <c r="W613" i="2"/>
  <c r="U613" i="2"/>
  <c r="T613" i="2"/>
  <c r="S613" i="2"/>
  <c r="R613" i="2"/>
  <c r="D611" i="1" s="1"/>
  <c r="Q613" i="2"/>
  <c r="Y611" i="1" s="1"/>
  <c r="O613" i="2"/>
  <c r="P613" i="2" s="1"/>
  <c r="Y613" i="2" s="1"/>
  <c r="N611" i="1" s="1"/>
  <c r="Z612" i="2"/>
  <c r="W612" i="2"/>
  <c r="U612" i="2"/>
  <c r="T612" i="2"/>
  <c r="S612" i="2"/>
  <c r="R612" i="2"/>
  <c r="Q612" i="2"/>
  <c r="O612" i="2"/>
  <c r="P612" i="2" s="1"/>
  <c r="Y612" i="2" s="1"/>
  <c r="N610" i="1" s="1"/>
  <c r="Z611" i="2"/>
  <c r="W611" i="2"/>
  <c r="U611" i="2"/>
  <c r="T611" i="2"/>
  <c r="S611" i="2"/>
  <c r="C609" i="1" s="1"/>
  <c r="R611" i="2"/>
  <c r="D609" i="1" s="1"/>
  <c r="Q611" i="2"/>
  <c r="O611" i="2"/>
  <c r="P611" i="2" s="1"/>
  <c r="Y611" i="2" s="1"/>
  <c r="N609" i="1" s="1"/>
  <c r="Z610" i="2"/>
  <c r="W610" i="2"/>
  <c r="U610" i="2"/>
  <c r="T610" i="2"/>
  <c r="Q608" i="1" s="1"/>
  <c r="X608" i="1" s="1"/>
  <c r="S610" i="2"/>
  <c r="R610" i="2"/>
  <c r="Q610" i="2"/>
  <c r="Y608" i="1" s="1"/>
  <c r="O610" i="2"/>
  <c r="P610" i="2" s="1"/>
  <c r="Y610" i="2" s="1"/>
  <c r="N608" i="1" s="1"/>
  <c r="Z609" i="2"/>
  <c r="W609" i="2"/>
  <c r="U609" i="2"/>
  <c r="T609" i="2"/>
  <c r="S609" i="2"/>
  <c r="R609" i="2"/>
  <c r="Q609" i="2"/>
  <c r="Y607" i="1" s="1"/>
  <c r="O609" i="2"/>
  <c r="P609" i="2" s="1"/>
  <c r="Y609" i="2" s="1"/>
  <c r="N607" i="1" s="1"/>
  <c r="Z608" i="2"/>
  <c r="W608" i="2"/>
  <c r="U608" i="2"/>
  <c r="T608" i="2"/>
  <c r="S608" i="2"/>
  <c r="R608" i="2"/>
  <c r="Q608" i="2"/>
  <c r="O608" i="2"/>
  <c r="P608" i="2" s="1"/>
  <c r="Y608" i="2" s="1"/>
  <c r="N606" i="1" s="1"/>
  <c r="Z607" i="2"/>
  <c r="W607" i="2"/>
  <c r="U607" i="2"/>
  <c r="T607" i="2"/>
  <c r="S607" i="2"/>
  <c r="R607" i="2"/>
  <c r="Q607" i="2"/>
  <c r="Y605" i="1" s="1"/>
  <c r="O607" i="2"/>
  <c r="P607" i="2" s="1"/>
  <c r="Y607" i="2" s="1"/>
  <c r="N605" i="1" s="1"/>
  <c r="Z606" i="2"/>
  <c r="W606" i="2"/>
  <c r="U606" i="2"/>
  <c r="T606" i="2"/>
  <c r="S606" i="2"/>
  <c r="R606" i="2"/>
  <c r="Q606" i="2"/>
  <c r="Y604" i="1" s="1"/>
  <c r="O606" i="2"/>
  <c r="P606" i="2" s="1"/>
  <c r="Y606" i="2" s="1"/>
  <c r="N604" i="1" s="1"/>
  <c r="Z605" i="2"/>
  <c r="W605" i="2"/>
  <c r="X605" i="2" s="1"/>
  <c r="F603" i="1" s="1"/>
  <c r="U605" i="2"/>
  <c r="T605" i="2"/>
  <c r="S605" i="2"/>
  <c r="R605" i="2"/>
  <c r="Q605" i="2"/>
  <c r="Y603" i="1" s="1"/>
  <c r="O605" i="2"/>
  <c r="P605" i="2" s="1"/>
  <c r="Y605" i="2" s="1"/>
  <c r="N603" i="1" s="1"/>
  <c r="Z604" i="2"/>
  <c r="W604" i="2"/>
  <c r="U604" i="2"/>
  <c r="T604" i="2"/>
  <c r="Q602" i="1" s="1"/>
  <c r="X602" i="1" s="1"/>
  <c r="S604" i="2"/>
  <c r="R604" i="2"/>
  <c r="Q604" i="2"/>
  <c r="Y602" i="1" s="1"/>
  <c r="O604" i="2"/>
  <c r="P604" i="2" s="1"/>
  <c r="Y604" i="2" s="1"/>
  <c r="N602" i="1" s="1"/>
  <c r="Z603" i="2"/>
  <c r="W603" i="2"/>
  <c r="X603" i="2" s="1"/>
  <c r="F601" i="1" s="1"/>
  <c r="U603" i="2"/>
  <c r="T603" i="2"/>
  <c r="S603" i="2"/>
  <c r="R603" i="2"/>
  <c r="Q603" i="2"/>
  <c r="O603" i="2"/>
  <c r="P603" i="2" s="1"/>
  <c r="Y603" i="2" s="1"/>
  <c r="N601" i="1" s="1"/>
  <c r="Z602" i="2"/>
  <c r="W602" i="2"/>
  <c r="U602" i="2"/>
  <c r="T602" i="2"/>
  <c r="Q600" i="1" s="1"/>
  <c r="S602" i="2"/>
  <c r="R602" i="2"/>
  <c r="Q602" i="2"/>
  <c r="Y600" i="1" s="1"/>
  <c r="O602" i="2"/>
  <c r="P602" i="2" s="1"/>
  <c r="Y602" i="2" s="1"/>
  <c r="N600" i="1" s="1"/>
  <c r="Z601" i="2"/>
  <c r="W601" i="2"/>
  <c r="U601" i="2"/>
  <c r="T601" i="2"/>
  <c r="S601" i="2"/>
  <c r="C599" i="1" s="1"/>
  <c r="R601" i="2"/>
  <c r="D599" i="1" s="1"/>
  <c r="Q601" i="2"/>
  <c r="Y599" i="1" s="1"/>
  <c r="O601" i="2"/>
  <c r="P601" i="2" s="1"/>
  <c r="Y601" i="2" s="1"/>
  <c r="N599" i="1" s="1"/>
  <c r="Z600" i="2"/>
  <c r="W600" i="2"/>
  <c r="U600" i="2"/>
  <c r="T600" i="2"/>
  <c r="S600" i="2"/>
  <c r="R600" i="2"/>
  <c r="Q600" i="2"/>
  <c r="Y598" i="1" s="1"/>
  <c r="O600" i="2"/>
  <c r="P600" i="2" s="1"/>
  <c r="Y600" i="2" s="1"/>
  <c r="N598" i="1" s="1"/>
  <c r="Z599" i="2"/>
  <c r="W599" i="2"/>
  <c r="U599" i="2"/>
  <c r="T599" i="2"/>
  <c r="S599" i="2"/>
  <c r="R599" i="2"/>
  <c r="Q599" i="2"/>
  <c r="Y597" i="1" s="1"/>
  <c r="O599" i="2"/>
  <c r="P599" i="2" s="1"/>
  <c r="Y599" i="2" s="1"/>
  <c r="N597" i="1" s="1"/>
  <c r="Z598" i="2"/>
  <c r="W598" i="2"/>
  <c r="U598" i="2"/>
  <c r="T598" i="2"/>
  <c r="S598" i="2"/>
  <c r="R598" i="2"/>
  <c r="Q598" i="2"/>
  <c r="O598" i="2"/>
  <c r="P598" i="2" s="1"/>
  <c r="Y598" i="2" s="1"/>
  <c r="N596" i="1" s="1"/>
  <c r="Z597" i="2"/>
  <c r="W597" i="2"/>
  <c r="U597" i="2"/>
  <c r="B595" i="1" s="1"/>
  <c r="T597" i="2"/>
  <c r="S597" i="2"/>
  <c r="R597" i="2"/>
  <c r="D595" i="1" s="1"/>
  <c r="Q597" i="2"/>
  <c r="Y595" i="1" s="1"/>
  <c r="O597" i="2"/>
  <c r="P597" i="2" s="1"/>
  <c r="Y597" i="2" s="1"/>
  <c r="N595" i="1" s="1"/>
  <c r="Z596" i="2"/>
  <c r="W596" i="2"/>
  <c r="U596" i="2"/>
  <c r="T596" i="2"/>
  <c r="S596" i="2"/>
  <c r="R596" i="2"/>
  <c r="Q596" i="2"/>
  <c r="Y594" i="1" s="1"/>
  <c r="O596" i="2"/>
  <c r="P596" i="2" s="1"/>
  <c r="Y596" i="2" s="1"/>
  <c r="N594" i="1" s="1"/>
  <c r="Z595" i="2"/>
  <c r="W595" i="2"/>
  <c r="U595" i="2"/>
  <c r="T595" i="2"/>
  <c r="Q593" i="1" s="1"/>
  <c r="X593" i="1" s="1"/>
  <c r="S595" i="2"/>
  <c r="R595" i="2"/>
  <c r="Q595" i="2"/>
  <c r="Y593" i="1" s="1"/>
  <c r="O595" i="2"/>
  <c r="P595" i="2" s="1"/>
  <c r="Y595" i="2" s="1"/>
  <c r="N593" i="1" s="1"/>
  <c r="Z594" i="2"/>
  <c r="W594" i="2"/>
  <c r="U594" i="2"/>
  <c r="B592" i="1" s="1"/>
  <c r="T594" i="2"/>
  <c r="S594" i="2"/>
  <c r="C592" i="1" s="1"/>
  <c r="R594" i="2"/>
  <c r="D592" i="1" s="1"/>
  <c r="Q594" i="2"/>
  <c r="O594" i="2"/>
  <c r="P594" i="2" s="1"/>
  <c r="Y594" i="2" s="1"/>
  <c r="N592" i="1" s="1"/>
  <c r="Z593" i="2"/>
  <c r="W593" i="2"/>
  <c r="U593" i="2"/>
  <c r="T593" i="2"/>
  <c r="S593" i="2"/>
  <c r="R593" i="2"/>
  <c r="Q593" i="2"/>
  <c r="Y591" i="1" s="1"/>
  <c r="O593" i="2"/>
  <c r="P593" i="2" s="1"/>
  <c r="Y593" i="2" s="1"/>
  <c r="N591" i="1" s="1"/>
  <c r="Z592" i="2"/>
  <c r="W592" i="2"/>
  <c r="U592" i="2"/>
  <c r="T592" i="2"/>
  <c r="S592" i="2"/>
  <c r="R592" i="2"/>
  <c r="Q592" i="2"/>
  <c r="Y590" i="1" s="1"/>
  <c r="O592" i="2"/>
  <c r="P592" i="2" s="1"/>
  <c r="Y592" i="2" s="1"/>
  <c r="N590" i="1" s="1"/>
  <c r="Z591" i="2"/>
  <c r="W591" i="2"/>
  <c r="X591" i="2" s="1"/>
  <c r="F589" i="1" s="1"/>
  <c r="U591" i="2"/>
  <c r="T591" i="2"/>
  <c r="Q589" i="1" s="1"/>
  <c r="X589" i="1" s="1"/>
  <c r="S591" i="2"/>
  <c r="C589" i="1" s="1"/>
  <c r="R591" i="2"/>
  <c r="D589" i="1" s="1"/>
  <c r="Q591" i="2"/>
  <c r="Y589" i="1" s="1"/>
  <c r="O591" i="2"/>
  <c r="P591" i="2" s="1"/>
  <c r="Y591" i="2" s="1"/>
  <c r="N589" i="1" s="1"/>
  <c r="Z590" i="2"/>
  <c r="W590" i="2"/>
  <c r="U590" i="2"/>
  <c r="B588" i="1" s="1"/>
  <c r="T590" i="2"/>
  <c r="S590" i="2"/>
  <c r="C588" i="1" s="1"/>
  <c r="R590" i="2"/>
  <c r="D588" i="1" s="1"/>
  <c r="Q590" i="2"/>
  <c r="Y588" i="1" s="1"/>
  <c r="O590" i="2"/>
  <c r="P590" i="2" s="1"/>
  <c r="Y590" i="2" s="1"/>
  <c r="N588" i="1" s="1"/>
  <c r="Z589" i="2"/>
  <c r="W589" i="2"/>
  <c r="U589" i="2"/>
  <c r="T589" i="2"/>
  <c r="S589" i="2"/>
  <c r="C587" i="1" s="1"/>
  <c r="R589" i="2"/>
  <c r="Q589" i="2"/>
  <c r="O589" i="2"/>
  <c r="P589" i="2" s="1"/>
  <c r="Y589" i="2" s="1"/>
  <c r="N587" i="1" s="1"/>
  <c r="Z588" i="2"/>
  <c r="W588" i="2"/>
  <c r="U588" i="2"/>
  <c r="T588" i="2"/>
  <c r="S588" i="2"/>
  <c r="R588" i="2"/>
  <c r="Q588" i="2"/>
  <c r="O588" i="2"/>
  <c r="P588" i="2" s="1"/>
  <c r="Y588" i="2" s="1"/>
  <c r="N586" i="1" s="1"/>
  <c r="Z587" i="2"/>
  <c r="W587" i="2"/>
  <c r="U587" i="2"/>
  <c r="T587" i="2"/>
  <c r="Q585" i="1" s="1"/>
  <c r="X585" i="1" s="1"/>
  <c r="S587" i="2"/>
  <c r="R587" i="2"/>
  <c r="D585" i="1" s="1"/>
  <c r="Q587" i="2"/>
  <c r="Y585" i="1" s="1"/>
  <c r="O587" i="2"/>
  <c r="P587" i="2" s="1"/>
  <c r="Y587" i="2" s="1"/>
  <c r="N585" i="1" s="1"/>
  <c r="Z586" i="2"/>
  <c r="W586" i="2"/>
  <c r="U586" i="2"/>
  <c r="T586" i="2"/>
  <c r="Q584" i="1" s="1"/>
  <c r="X584" i="1" s="1"/>
  <c r="S586" i="2"/>
  <c r="R586" i="2"/>
  <c r="D584" i="1" s="1"/>
  <c r="Q586" i="2"/>
  <c r="Y584" i="1" s="1"/>
  <c r="O586" i="2"/>
  <c r="P586" i="2" s="1"/>
  <c r="Y586" i="2" s="1"/>
  <c r="N584" i="1" s="1"/>
  <c r="Z585" i="2"/>
  <c r="W585" i="2"/>
  <c r="U585" i="2"/>
  <c r="T585" i="2"/>
  <c r="S585" i="2"/>
  <c r="R585" i="2"/>
  <c r="Q585" i="2"/>
  <c r="Y583" i="1" s="1"/>
  <c r="O585" i="2"/>
  <c r="P585" i="2" s="1"/>
  <c r="Y585" i="2" s="1"/>
  <c r="N583" i="1" s="1"/>
  <c r="Z584" i="2"/>
  <c r="W584" i="2"/>
  <c r="U584" i="2"/>
  <c r="T584" i="2"/>
  <c r="S584" i="2"/>
  <c r="R584" i="2"/>
  <c r="Q584" i="2"/>
  <c r="O584" i="2"/>
  <c r="P584" i="2" s="1"/>
  <c r="Y584" i="2" s="1"/>
  <c r="N582" i="1" s="1"/>
  <c r="Z583" i="2"/>
  <c r="W583" i="2"/>
  <c r="U583" i="2"/>
  <c r="B581" i="1" s="1"/>
  <c r="T583" i="2"/>
  <c r="S583" i="2"/>
  <c r="C581" i="1" s="1"/>
  <c r="R583" i="2"/>
  <c r="D581" i="1" s="1"/>
  <c r="Q583" i="2"/>
  <c r="Y581" i="1" s="1"/>
  <c r="O583" i="2"/>
  <c r="P583" i="2" s="1"/>
  <c r="Y583" i="2" s="1"/>
  <c r="N581" i="1" s="1"/>
  <c r="Z582" i="2"/>
  <c r="W582" i="2"/>
  <c r="U582" i="2"/>
  <c r="T582" i="2"/>
  <c r="S582" i="2"/>
  <c r="R582" i="2"/>
  <c r="Q582" i="2"/>
  <c r="Y580" i="1" s="1"/>
  <c r="O582" i="2"/>
  <c r="P582" i="2" s="1"/>
  <c r="Y582" i="2" s="1"/>
  <c r="N580" i="1" s="1"/>
  <c r="Z581" i="2"/>
  <c r="W581" i="2"/>
  <c r="U581" i="2"/>
  <c r="T581" i="2"/>
  <c r="S581" i="2"/>
  <c r="R581" i="2"/>
  <c r="Q581" i="2"/>
  <c r="O581" i="2"/>
  <c r="P581" i="2" s="1"/>
  <c r="Y581" i="2" s="1"/>
  <c r="N579" i="1" s="1"/>
  <c r="Z580" i="2"/>
  <c r="W580" i="2"/>
  <c r="U580" i="2"/>
  <c r="T580" i="2"/>
  <c r="Q578" i="1" s="1"/>
  <c r="X578" i="1" s="1"/>
  <c r="S580" i="2"/>
  <c r="R580" i="2"/>
  <c r="Q580" i="2"/>
  <c r="O580" i="2"/>
  <c r="P580" i="2" s="1"/>
  <c r="Y580" i="2" s="1"/>
  <c r="N578" i="1" s="1"/>
  <c r="Z579" i="2"/>
  <c r="W579" i="2"/>
  <c r="U579" i="2"/>
  <c r="T579" i="2"/>
  <c r="Q577" i="1" s="1"/>
  <c r="X577" i="1" s="1"/>
  <c r="S579" i="2"/>
  <c r="R579" i="2"/>
  <c r="D577" i="1" s="1"/>
  <c r="Q579" i="2"/>
  <c r="Y577" i="1" s="1"/>
  <c r="O579" i="2"/>
  <c r="P579" i="2" s="1"/>
  <c r="Y579" i="2" s="1"/>
  <c r="N577" i="1" s="1"/>
  <c r="Z578" i="2"/>
  <c r="W578" i="2"/>
  <c r="X578" i="2" s="1"/>
  <c r="F576" i="1" s="1"/>
  <c r="U578" i="2"/>
  <c r="B576" i="1" s="1"/>
  <c r="T578" i="2"/>
  <c r="S578" i="2"/>
  <c r="R578" i="2"/>
  <c r="Q578" i="2"/>
  <c r="Y576" i="1" s="1"/>
  <c r="O578" i="2"/>
  <c r="P578" i="2" s="1"/>
  <c r="Y578" i="2" s="1"/>
  <c r="N576" i="1" s="1"/>
  <c r="Z577" i="2"/>
  <c r="W577" i="2"/>
  <c r="U577" i="2"/>
  <c r="T577" i="2"/>
  <c r="Q575" i="1" s="1"/>
  <c r="X575" i="1" s="1"/>
  <c r="S577" i="2"/>
  <c r="R577" i="2"/>
  <c r="Q577" i="2"/>
  <c r="Y575" i="1" s="1"/>
  <c r="O577" i="2"/>
  <c r="P577" i="2" s="1"/>
  <c r="Y577" i="2" s="1"/>
  <c r="N575" i="1" s="1"/>
  <c r="Z576" i="2"/>
  <c r="W576" i="2"/>
  <c r="U576" i="2"/>
  <c r="B574" i="1" s="1"/>
  <c r="T576" i="2"/>
  <c r="Q574" i="1" s="1"/>
  <c r="X574" i="1" s="1"/>
  <c r="S576" i="2"/>
  <c r="R576" i="2"/>
  <c r="Q576" i="2"/>
  <c r="O576" i="2"/>
  <c r="P576" i="2" s="1"/>
  <c r="Y576" i="2" s="1"/>
  <c r="N574" i="1" s="1"/>
  <c r="Z575" i="2"/>
  <c r="W575" i="2"/>
  <c r="U575" i="2"/>
  <c r="T575" i="2"/>
  <c r="S575" i="2"/>
  <c r="R575" i="2"/>
  <c r="D573" i="1" s="1"/>
  <c r="Q575" i="2"/>
  <c r="Y573" i="1" s="1"/>
  <c r="O575" i="2"/>
  <c r="P575" i="2" s="1"/>
  <c r="Y575" i="2" s="1"/>
  <c r="N573" i="1" s="1"/>
  <c r="Z574" i="2"/>
  <c r="W574" i="2"/>
  <c r="U574" i="2"/>
  <c r="T574" i="2"/>
  <c r="S574" i="2"/>
  <c r="R574" i="2"/>
  <c r="Q574" i="2"/>
  <c r="Y572" i="1" s="1"/>
  <c r="O574" i="2"/>
  <c r="P574" i="2" s="1"/>
  <c r="Y574" i="2" s="1"/>
  <c r="N572" i="1" s="1"/>
  <c r="Z573" i="2"/>
  <c r="W573" i="2"/>
  <c r="U573" i="2"/>
  <c r="T573" i="2"/>
  <c r="Q571" i="1" s="1"/>
  <c r="X571" i="1" s="1"/>
  <c r="S573" i="2"/>
  <c r="R573" i="2"/>
  <c r="D571" i="1" s="1"/>
  <c r="Q573" i="2"/>
  <c r="Y571" i="1" s="1"/>
  <c r="O573" i="2"/>
  <c r="P573" i="2" s="1"/>
  <c r="Y573" i="2" s="1"/>
  <c r="N571" i="1" s="1"/>
  <c r="Z572" i="2"/>
  <c r="W572" i="2"/>
  <c r="U572" i="2"/>
  <c r="B570" i="1" s="1"/>
  <c r="T572" i="2"/>
  <c r="S572" i="2"/>
  <c r="R572" i="2"/>
  <c r="Q572" i="2"/>
  <c r="Y570" i="1" s="1"/>
  <c r="O572" i="2"/>
  <c r="P572" i="2" s="1"/>
  <c r="Y572" i="2" s="1"/>
  <c r="N570" i="1" s="1"/>
  <c r="Z571" i="2"/>
  <c r="W571" i="2"/>
  <c r="U571" i="2"/>
  <c r="T571" i="2"/>
  <c r="S571" i="2"/>
  <c r="R571" i="2"/>
  <c r="Q571" i="2"/>
  <c r="Y569" i="1" s="1"/>
  <c r="O571" i="2"/>
  <c r="P571" i="2" s="1"/>
  <c r="Y571" i="2" s="1"/>
  <c r="N569" i="1" s="1"/>
  <c r="Z570" i="2"/>
  <c r="W570" i="2"/>
  <c r="U570" i="2"/>
  <c r="B568" i="1" s="1"/>
  <c r="T570" i="2"/>
  <c r="S570" i="2"/>
  <c r="R570" i="2"/>
  <c r="D568" i="1" s="1"/>
  <c r="Q570" i="2"/>
  <c r="O570" i="2"/>
  <c r="P570" i="2" s="1"/>
  <c r="Y570" i="2" s="1"/>
  <c r="N568" i="1" s="1"/>
  <c r="Z569" i="2"/>
  <c r="W569" i="2"/>
  <c r="U569" i="2"/>
  <c r="T569" i="2"/>
  <c r="S569" i="2"/>
  <c r="R569" i="2"/>
  <c r="D567" i="1" s="1"/>
  <c r="Q569" i="2"/>
  <c r="Y567" i="1" s="1"/>
  <c r="O569" i="2"/>
  <c r="P569" i="2" s="1"/>
  <c r="Y569" i="2" s="1"/>
  <c r="N567" i="1" s="1"/>
  <c r="Z568" i="2"/>
  <c r="W568" i="2"/>
  <c r="U568" i="2"/>
  <c r="B566" i="1" s="1"/>
  <c r="T568" i="2"/>
  <c r="Q566" i="1" s="1"/>
  <c r="X566" i="1" s="1"/>
  <c r="S568" i="2"/>
  <c r="C566" i="1" s="1"/>
  <c r="R568" i="2"/>
  <c r="D566" i="1" s="1"/>
  <c r="Q568" i="2"/>
  <c r="O568" i="2"/>
  <c r="P568" i="2" s="1"/>
  <c r="Y568" i="2" s="1"/>
  <c r="N566" i="1" s="1"/>
  <c r="Z567" i="2"/>
  <c r="W567" i="2"/>
  <c r="U567" i="2"/>
  <c r="T567" i="2"/>
  <c r="S567" i="2"/>
  <c r="C565" i="1" s="1"/>
  <c r="R567" i="2"/>
  <c r="Q567" i="2"/>
  <c r="O567" i="2"/>
  <c r="P567" i="2" s="1"/>
  <c r="Y567" i="2" s="1"/>
  <c r="N565" i="1" s="1"/>
  <c r="Z566" i="2"/>
  <c r="W566" i="2"/>
  <c r="U566" i="2"/>
  <c r="T566" i="2"/>
  <c r="S566" i="2"/>
  <c r="R566" i="2"/>
  <c r="Q566" i="2"/>
  <c r="O566" i="2"/>
  <c r="P566" i="2" s="1"/>
  <c r="Y566" i="2" s="1"/>
  <c r="N564" i="1" s="1"/>
  <c r="Z565" i="2"/>
  <c r="W565" i="2"/>
  <c r="U565" i="2"/>
  <c r="T565" i="2"/>
  <c r="S565" i="2"/>
  <c r="R565" i="2"/>
  <c r="D563" i="1" s="1"/>
  <c r="Q565" i="2"/>
  <c r="Y563" i="1" s="1"/>
  <c r="O565" i="2"/>
  <c r="P565" i="2" s="1"/>
  <c r="Y565" i="2" s="1"/>
  <c r="N563" i="1" s="1"/>
  <c r="Z564" i="2"/>
  <c r="W564" i="2"/>
  <c r="U564" i="2"/>
  <c r="T564" i="2"/>
  <c r="Q562" i="1" s="1"/>
  <c r="X562" i="1" s="1"/>
  <c r="S564" i="2"/>
  <c r="R564" i="2"/>
  <c r="D562" i="1" s="1"/>
  <c r="Q564" i="2"/>
  <c r="Y562" i="1" s="1"/>
  <c r="O564" i="2"/>
  <c r="P564" i="2" s="1"/>
  <c r="Y564" i="2" s="1"/>
  <c r="N562" i="1" s="1"/>
  <c r="Z563" i="2"/>
  <c r="W563" i="2"/>
  <c r="U563" i="2"/>
  <c r="T563" i="2"/>
  <c r="S563" i="2"/>
  <c r="R563" i="2"/>
  <c r="Q563" i="2"/>
  <c r="Y561" i="1" s="1"/>
  <c r="O563" i="2"/>
  <c r="P563" i="2" s="1"/>
  <c r="Y563" i="2" s="1"/>
  <c r="N561" i="1" s="1"/>
  <c r="Z562" i="2"/>
  <c r="W562" i="2"/>
  <c r="X562" i="2"/>
  <c r="F560" i="1" s="1"/>
  <c r="U562" i="2"/>
  <c r="T562" i="2"/>
  <c r="S562" i="2"/>
  <c r="R562" i="2"/>
  <c r="D560" i="1" s="1"/>
  <c r="Q562" i="2"/>
  <c r="O562" i="2"/>
  <c r="P562" i="2" s="1"/>
  <c r="Y562" i="2" s="1"/>
  <c r="N560" i="1" s="1"/>
  <c r="Z561" i="2"/>
  <c r="W561" i="2"/>
  <c r="U561" i="2"/>
  <c r="T561" i="2"/>
  <c r="S561" i="2"/>
  <c r="C559" i="1" s="1"/>
  <c r="R561" i="2"/>
  <c r="D559" i="1" s="1"/>
  <c r="Q561" i="2"/>
  <c r="Y559" i="1" s="1"/>
  <c r="O561" i="2"/>
  <c r="P561" i="2" s="1"/>
  <c r="Y561" i="2" s="1"/>
  <c r="N559" i="1" s="1"/>
  <c r="Z560" i="2"/>
  <c r="W560" i="2"/>
  <c r="U560" i="2"/>
  <c r="T560" i="2"/>
  <c r="S560" i="2"/>
  <c r="R560" i="2"/>
  <c r="D558" i="1" s="1"/>
  <c r="Q560" i="2"/>
  <c r="Y558" i="1" s="1"/>
  <c r="O560" i="2"/>
  <c r="P560" i="2" s="1"/>
  <c r="Y560" i="2" s="1"/>
  <c r="N558" i="1" s="1"/>
  <c r="Z559" i="2"/>
  <c r="W559" i="2"/>
  <c r="U559" i="2"/>
  <c r="T559" i="2"/>
  <c r="S559" i="2"/>
  <c r="C557" i="1" s="1"/>
  <c r="R559" i="2"/>
  <c r="D557" i="1" s="1"/>
  <c r="Q559" i="2"/>
  <c r="Y557" i="1" s="1"/>
  <c r="O559" i="2"/>
  <c r="P559" i="2" s="1"/>
  <c r="Y559" i="2" s="1"/>
  <c r="N557" i="1" s="1"/>
  <c r="Z558" i="2"/>
  <c r="W558" i="2"/>
  <c r="U558" i="2"/>
  <c r="B556" i="1" s="1"/>
  <c r="T558" i="2"/>
  <c r="S558" i="2"/>
  <c r="R558" i="2"/>
  <c r="Q558" i="2"/>
  <c r="O558" i="2"/>
  <c r="Z557" i="2"/>
  <c r="W557" i="2"/>
  <c r="X557" i="2" s="1"/>
  <c r="F555" i="1" s="1"/>
  <c r="U557" i="2"/>
  <c r="T557" i="2"/>
  <c r="Q555" i="1" s="1"/>
  <c r="X555" i="1" s="1"/>
  <c r="S557" i="2"/>
  <c r="C555" i="1" s="1"/>
  <c r="R557" i="2"/>
  <c r="D555" i="1" s="1"/>
  <c r="Q557" i="2"/>
  <c r="Y555" i="1" s="1"/>
  <c r="O557" i="2"/>
  <c r="P557" i="2" s="1"/>
  <c r="Y557" i="2" s="1"/>
  <c r="N555" i="1" s="1"/>
  <c r="Z556" i="2"/>
  <c r="W556" i="2"/>
  <c r="U556" i="2"/>
  <c r="T556" i="2"/>
  <c r="S556" i="2"/>
  <c r="R556" i="2"/>
  <c r="D554" i="1" s="1"/>
  <c r="Q556" i="2"/>
  <c r="O556" i="2"/>
  <c r="P556" i="2" s="1"/>
  <c r="Y556" i="2" s="1"/>
  <c r="N554" i="1" s="1"/>
  <c r="Z555" i="2"/>
  <c r="W555" i="2"/>
  <c r="U555" i="2"/>
  <c r="T555" i="2"/>
  <c r="S555" i="2"/>
  <c r="C553" i="1" s="1"/>
  <c r="R555" i="2"/>
  <c r="D553" i="1" s="1"/>
  <c r="Q555" i="2"/>
  <c r="Y553" i="1" s="1"/>
  <c r="O555" i="2"/>
  <c r="P555" i="2" s="1"/>
  <c r="Y555" i="2" s="1"/>
  <c r="N553" i="1" s="1"/>
  <c r="Z554" i="2"/>
  <c r="W554" i="2"/>
  <c r="U554" i="2"/>
  <c r="B552" i="1" s="1"/>
  <c r="T554" i="2"/>
  <c r="S554" i="2"/>
  <c r="R554" i="2"/>
  <c r="Q554" i="2"/>
  <c r="Y552" i="1" s="1"/>
  <c r="O554" i="2"/>
  <c r="P554" i="2" s="1"/>
  <c r="Y554" i="2" s="1"/>
  <c r="N552" i="1" s="1"/>
  <c r="Z553" i="2"/>
  <c r="W553" i="2"/>
  <c r="U553" i="2"/>
  <c r="T553" i="2"/>
  <c r="Q551" i="1" s="1"/>
  <c r="X551" i="1" s="1"/>
  <c r="S553" i="2"/>
  <c r="R553" i="2"/>
  <c r="D551" i="1" s="1"/>
  <c r="Q553" i="2"/>
  <c r="Y551" i="1" s="1"/>
  <c r="O553" i="2"/>
  <c r="Z552" i="2"/>
  <c r="W552" i="2"/>
  <c r="U552" i="2"/>
  <c r="T552" i="2"/>
  <c r="S552" i="2"/>
  <c r="R552" i="2"/>
  <c r="D550" i="1" s="1"/>
  <c r="Q552" i="2"/>
  <c r="Y550" i="1" s="1"/>
  <c r="O552" i="2"/>
  <c r="P552" i="2" s="1"/>
  <c r="Y552" i="2" s="1"/>
  <c r="N550" i="1" s="1"/>
  <c r="Z551" i="2"/>
  <c r="W551" i="2"/>
  <c r="U551" i="2"/>
  <c r="T551" i="2"/>
  <c r="S551" i="2"/>
  <c r="R551" i="2"/>
  <c r="Q551" i="2"/>
  <c r="Y549" i="1" s="1"/>
  <c r="O551" i="2"/>
  <c r="P551" i="2" s="1"/>
  <c r="Y551" i="2" s="1"/>
  <c r="N549" i="1" s="1"/>
  <c r="Z550" i="2"/>
  <c r="W550" i="2"/>
  <c r="U550" i="2"/>
  <c r="B548" i="1" s="1"/>
  <c r="T550" i="2"/>
  <c r="S550" i="2"/>
  <c r="C548" i="1" s="1"/>
  <c r="R550" i="2"/>
  <c r="D548" i="1" s="1"/>
  <c r="Q550" i="2"/>
  <c r="Y548" i="1" s="1"/>
  <c r="O550" i="2"/>
  <c r="P550" i="2" s="1"/>
  <c r="Y550" i="2" s="1"/>
  <c r="N548" i="1" s="1"/>
  <c r="Z549" i="2"/>
  <c r="W549" i="2"/>
  <c r="U549" i="2"/>
  <c r="T549" i="2"/>
  <c r="Q547" i="1" s="1"/>
  <c r="X547" i="1" s="1"/>
  <c r="S549" i="2"/>
  <c r="C547" i="1" s="1"/>
  <c r="R549" i="2"/>
  <c r="D547" i="1" s="1"/>
  <c r="Q549" i="2"/>
  <c r="Y547" i="1" s="1"/>
  <c r="O549" i="2"/>
  <c r="P549" i="2" s="1"/>
  <c r="Y549" i="2" s="1"/>
  <c r="N547" i="1" s="1"/>
  <c r="Z548" i="2"/>
  <c r="W548" i="2"/>
  <c r="U548" i="2"/>
  <c r="T548" i="2"/>
  <c r="S548" i="2"/>
  <c r="R548" i="2"/>
  <c r="D546" i="1" s="1"/>
  <c r="Q548" i="2"/>
  <c r="Y546" i="1" s="1"/>
  <c r="O548" i="2"/>
  <c r="Z547" i="2"/>
  <c r="W547" i="2"/>
  <c r="U547" i="2"/>
  <c r="T547" i="2"/>
  <c r="S547" i="2"/>
  <c r="C545" i="1" s="1"/>
  <c r="R547" i="2"/>
  <c r="D545" i="1" s="1"/>
  <c r="Q547" i="2"/>
  <c r="Y545" i="1" s="1"/>
  <c r="O547" i="2"/>
  <c r="P547" i="2" s="1"/>
  <c r="Y547" i="2" s="1"/>
  <c r="N545" i="1" s="1"/>
  <c r="Z546" i="2"/>
  <c r="W546" i="2"/>
  <c r="X546" i="2" s="1"/>
  <c r="U546" i="2"/>
  <c r="B544" i="1" s="1"/>
  <c r="T546" i="2"/>
  <c r="S546" i="2"/>
  <c r="C544" i="1" s="1"/>
  <c r="R546" i="2"/>
  <c r="Q546" i="2"/>
  <c r="O546" i="2"/>
  <c r="P546" i="2" s="1"/>
  <c r="Y546" i="2" s="1"/>
  <c r="N544" i="1" s="1"/>
  <c r="Z545" i="2"/>
  <c r="W545" i="2"/>
  <c r="U545" i="2"/>
  <c r="T545" i="2"/>
  <c r="Q543" i="1" s="1"/>
  <c r="X543" i="1" s="1"/>
  <c r="S545" i="2"/>
  <c r="R545" i="2"/>
  <c r="D543" i="1" s="1"/>
  <c r="Q545" i="2"/>
  <c r="Y543" i="1" s="1"/>
  <c r="O545" i="2"/>
  <c r="P545" i="2" s="1"/>
  <c r="Y545" i="2" s="1"/>
  <c r="N543" i="1" s="1"/>
  <c r="Z544" i="2"/>
  <c r="W544" i="2"/>
  <c r="U544" i="2"/>
  <c r="T544" i="2"/>
  <c r="S544" i="2"/>
  <c r="R544" i="2"/>
  <c r="D542" i="1" s="1"/>
  <c r="Q544" i="2"/>
  <c r="Y542" i="1" s="1"/>
  <c r="O544" i="2"/>
  <c r="P544" i="2" s="1"/>
  <c r="Y544" i="2" s="1"/>
  <c r="N542" i="1" s="1"/>
  <c r="Z543" i="2"/>
  <c r="W543" i="2"/>
  <c r="U543" i="2"/>
  <c r="T543" i="2"/>
  <c r="S543" i="2"/>
  <c r="C541" i="1" s="1"/>
  <c r="R543" i="2"/>
  <c r="D541" i="1" s="1"/>
  <c r="Q543" i="2"/>
  <c r="Y541" i="1" s="1"/>
  <c r="O543" i="2"/>
  <c r="Z542" i="2"/>
  <c r="W542" i="2"/>
  <c r="U542" i="2"/>
  <c r="T542" i="2"/>
  <c r="S542" i="2"/>
  <c r="R542" i="2"/>
  <c r="D540" i="1" s="1"/>
  <c r="Q542" i="2"/>
  <c r="O542" i="2"/>
  <c r="P542" i="2" s="1"/>
  <c r="Y542" i="2" s="1"/>
  <c r="N540" i="1" s="1"/>
  <c r="Z541" i="2"/>
  <c r="W541" i="2"/>
  <c r="X541" i="2" s="1"/>
  <c r="F539" i="1" s="1"/>
  <c r="U541" i="2"/>
  <c r="T541" i="2"/>
  <c r="Q539" i="1" s="1"/>
  <c r="X539" i="1" s="1"/>
  <c r="S541" i="2"/>
  <c r="C539" i="1" s="1"/>
  <c r="R541" i="2"/>
  <c r="D539" i="1" s="1"/>
  <c r="Q541" i="2"/>
  <c r="Y539" i="1" s="1"/>
  <c r="O541" i="2"/>
  <c r="P541" i="2" s="1"/>
  <c r="Y541" i="2" s="1"/>
  <c r="N539" i="1" s="1"/>
  <c r="Z540" i="2"/>
  <c r="W540" i="2"/>
  <c r="U540" i="2"/>
  <c r="T540" i="2"/>
  <c r="Q538" i="1" s="1"/>
  <c r="S540" i="2"/>
  <c r="R540" i="2"/>
  <c r="Q540" i="2"/>
  <c r="O540" i="2"/>
  <c r="P540" i="2" s="1"/>
  <c r="Y540" i="2" s="1"/>
  <c r="N538" i="1" s="1"/>
  <c r="Z539" i="2"/>
  <c r="W539" i="2"/>
  <c r="U539" i="2"/>
  <c r="T539" i="2"/>
  <c r="Q537" i="1" s="1"/>
  <c r="S539" i="2"/>
  <c r="C537" i="1" s="1"/>
  <c r="R539" i="2"/>
  <c r="D537" i="1" s="1"/>
  <c r="Q539" i="2"/>
  <c r="Y537" i="1" s="1"/>
  <c r="O539" i="2"/>
  <c r="P539" i="2" s="1"/>
  <c r="Y539" i="2" s="1"/>
  <c r="N537" i="1" s="1"/>
  <c r="Z538" i="2"/>
  <c r="W538" i="2"/>
  <c r="U538" i="2"/>
  <c r="B536" i="1" s="1"/>
  <c r="T538" i="2"/>
  <c r="S538" i="2"/>
  <c r="R538" i="2"/>
  <c r="D536" i="1" s="1"/>
  <c r="Q538" i="2"/>
  <c r="O538" i="2"/>
  <c r="P538" i="2" s="1"/>
  <c r="Y538" i="2" s="1"/>
  <c r="N536" i="1" s="1"/>
  <c r="Z537" i="2"/>
  <c r="W537" i="2"/>
  <c r="U537" i="2"/>
  <c r="T537" i="2"/>
  <c r="Q535" i="1" s="1"/>
  <c r="X535" i="1" s="1"/>
  <c r="S537" i="2"/>
  <c r="C535" i="1" s="1"/>
  <c r="R537" i="2"/>
  <c r="D535" i="1" s="1"/>
  <c r="Q537" i="2"/>
  <c r="Y535" i="1" s="1"/>
  <c r="O537" i="2"/>
  <c r="P537" i="2" s="1"/>
  <c r="Y537" i="2" s="1"/>
  <c r="N535" i="1" s="1"/>
  <c r="Z536" i="2"/>
  <c r="W536" i="2"/>
  <c r="U536" i="2"/>
  <c r="B534" i="1" s="1"/>
  <c r="T536" i="2"/>
  <c r="S536" i="2"/>
  <c r="C534" i="1" s="1"/>
  <c r="R536" i="2"/>
  <c r="D534" i="1" s="1"/>
  <c r="Q536" i="2"/>
  <c r="Y534" i="1" s="1"/>
  <c r="O536" i="2"/>
  <c r="P536" i="2" s="1"/>
  <c r="Y536" i="2" s="1"/>
  <c r="N534" i="1" s="1"/>
  <c r="Z535" i="2"/>
  <c r="W535" i="2"/>
  <c r="U535" i="2"/>
  <c r="B533" i="1" s="1"/>
  <c r="T535" i="2"/>
  <c r="S535" i="2"/>
  <c r="C533" i="1" s="1"/>
  <c r="R535" i="2"/>
  <c r="Q535" i="2"/>
  <c r="Y533" i="1" s="1"/>
  <c r="O535" i="2"/>
  <c r="P535" i="2" s="1"/>
  <c r="Y535" i="2" s="1"/>
  <c r="N533" i="1" s="1"/>
  <c r="Z534" i="2"/>
  <c r="W534" i="2"/>
  <c r="U534" i="2"/>
  <c r="T534" i="2"/>
  <c r="S534" i="2"/>
  <c r="C532" i="1" s="1"/>
  <c r="R534" i="2"/>
  <c r="Q534" i="2"/>
  <c r="Y532" i="1" s="1"/>
  <c r="O534" i="2"/>
  <c r="P534" i="2" s="1"/>
  <c r="Y534" i="2" s="1"/>
  <c r="N532" i="1" s="1"/>
  <c r="Z533" i="2"/>
  <c r="W533" i="2"/>
  <c r="U533" i="2"/>
  <c r="T533" i="2"/>
  <c r="Q531" i="1" s="1"/>
  <c r="X531" i="1" s="1"/>
  <c r="S533" i="2"/>
  <c r="C531" i="1" s="1"/>
  <c r="R533" i="2"/>
  <c r="D531" i="1" s="1"/>
  <c r="Q533" i="2"/>
  <c r="O533" i="2"/>
  <c r="P533" i="2" s="1"/>
  <c r="Y533" i="2" s="1"/>
  <c r="N531" i="1" s="1"/>
  <c r="Z532" i="2"/>
  <c r="W532" i="2"/>
  <c r="U532" i="2"/>
  <c r="B530" i="1" s="1"/>
  <c r="T532" i="2"/>
  <c r="S532" i="2"/>
  <c r="R532" i="2"/>
  <c r="D530" i="1" s="1"/>
  <c r="Q532" i="2"/>
  <c r="Y530" i="1" s="1"/>
  <c r="O532" i="2"/>
  <c r="P532" i="2" s="1"/>
  <c r="Y532" i="2" s="1"/>
  <c r="N530" i="1" s="1"/>
  <c r="Z531" i="2"/>
  <c r="W531" i="2"/>
  <c r="U531" i="2"/>
  <c r="T531" i="2"/>
  <c r="Q529" i="1" s="1"/>
  <c r="X529" i="1" s="1"/>
  <c r="S531" i="2"/>
  <c r="C529" i="1" s="1"/>
  <c r="R531" i="2"/>
  <c r="D529" i="1" s="1"/>
  <c r="Q531" i="2"/>
  <c r="Y529" i="1" s="1"/>
  <c r="O531" i="2"/>
  <c r="P531" i="2" s="1"/>
  <c r="Y531" i="2" s="1"/>
  <c r="N529" i="1" s="1"/>
  <c r="Z530" i="2"/>
  <c r="W530" i="2"/>
  <c r="X530" i="2" s="1"/>
  <c r="F528" i="1" s="1"/>
  <c r="U530" i="2"/>
  <c r="T530" i="2"/>
  <c r="S530" i="2"/>
  <c r="C528" i="1" s="1"/>
  <c r="R530" i="2"/>
  <c r="D528" i="1" s="1"/>
  <c r="Q530" i="2"/>
  <c r="Y528" i="1" s="1"/>
  <c r="O530" i="2"/>
  <c r="P530" i="2" s="1"/>
  <c r="Y530" i="2" s="1"/>
  <c r="N528" i="1" s="1"/>
  <c r="Z529" i="2"/>
  <c r="W529" i="2"/>
  <c r="U529" i="2"/>
  <c r="T529" i="2"/>
  <c r="Q527" i="1" s="1"/>
  <c r="X527" i="1" s="1"/>
  <c r="S529" i="2"/>
  <c r="C527" i="1" s="1"/>
  <c r="R529" i="2"/>
  <c r="D527" i="1" s="1"/>
  <c r="Q529" i="2"/>
  <c r="Y527" i="1" s="1"/>
  <c r="O529" i="2"/>
  <c r="P529" i="2" s="1"/>
  <c r="Y529" i="2" s="1"/>
  <c r="N527" i="1" s="1"/>
  <c r="Z528" i="2"/>
  <c r="W528" i="2"/>
  <c r="U528" i="2"/>
  <c r="T528" i="2"/>
  <c r="Q526" i="1" s="1"/>
  <c r="X526" i="1" s="1"/>
  <c r="S528" i="2"/>
  <c r="R528" i="2"/>
  <c r="D526" i="1" s="1"/>
  <c r="Q528" i="2"/>
  <c r="Y526" i="1" s="1"/>
  <c r="O528" i="2"/>
  <c r="Z527" i="2"/>
  <c r="W527" i="2"/>
  <c r="U527" i="2"/>
  <c r="T527" i="2"/>
  <c r="Q525" i="1" s="1"/>
  <c r="X525" i="1" s="1"/>
  <c r="S527" i="2"/>
  <c r="R527" i="2"/>
  <c r="D525" i="1" s="1"/>
  <c r="Q527" i="2"/>
  <c r="Y525" i="1" s="1"/>
  <c r="O527" i="2"/>
  <c r="P527" i="2" s="1"/>
  <c r="Y527" i="2" s="1"/>
  <c r="N525" i="1" s="1"/>
  <c r="Z526" i="2"/>
  <c r="W526" i="2"/>
  <c r="U526" i="2"/>
  <c r="T526" i="2"/>
  <c r="S526" i="2"/>
  <c r="R526" i="2"/>
  <c r="D524" i="1" s="1"/>
  <c r="Q526" i="2"/>
  <c r="O526" i="2"/>
  <c r="P526" i="2" s="1"/>
  <c r="Y526" i="2" s="1"/>
  <c r="N524" i="1" s="1"/>
  <c r="Z525" i="2"/>
  <c r="W525" i="2"/>
  <c r="X525" i="2" s="1"/>
  <c r="F523" i="1" s="1"/>
  <c r="U525" i="2"/>
  <c r="B523" i="1" s="1"/>
  <c r="T525" i="2"/>
  <c r="Q523" i="1" s="1"/>
  <c r="X523" i="1" s="1"/>
  <c r="S525" i="2"/>
  <c r="C523" i="1" s="1"/>
  <c r="R525" i="2"/>
  <c r="D523" i="1" s="1"/>
  <c r="Q525" i="2"/>
  <c r="Y523" i="1" s="1"/>
  <c r="O525" i="2"/>
  <c r="P525" i="2" s="1"/>
  <c r="Y525" i="2" s="1"/>
  <c r="N523" i="1" s="1"/>
  <c r="Z524" i="2"/>
  <c r="W524" i="2"/>
  <c r="U524" i="2"/>
  <c r="T524" i="2"/>
  <c r="S524" i="2"/>
  <c r="C522" i="1" s="1"/>
  <c r="R524" i="2"/>
  <c r="D522" i="1" s="1"/>
  <c r="Q524" i="2"/>
  <c r="Y522" i="1" s="1"/>
  <c r="O524" i="2"/>
  <c r="P524" i="2" s="1"/>
  <c r="Y524" i="2" s="1"/>
  <c r="N522" i="1" s="1"/>
  <c r="Z523" i="2"/>
  <c r="W523" i="2"/>
  <c r="U523" i="2"/>
  <c r="B521" i="1" s="1"/>
  <c r="T523" i="2"/>
  <c r="Q521" i="1" s="1"/>
  <c r="X521" i="1" s="1"/>
  <c r="S523" i="2"/>
  <c r="C521" i="1" s="1"/>
  <c r="R523" i="2"/>
  <c r="D521" i="1" s="1"/>
  <c r="Q523" i="2"/>
  <c r="Y521" i="1" s="1"/>
  <c r="O523" i="2"/>
  <c r="Z522" i="2"/>
  <c r="W522" i="2"/>
  <c r="U522" i="2"/>
  <c r="B520" i="1" s="1"/>
  <c r="T522" i="2"/>
  <c r="S522" i="2"/>
  <c r="R522" i="2"/>
  <c r="D520" i="1" s="1"/>
  <c r="Q522" i="2"/>
  <c r="Y520" i="1" s="1"/>
  <c r="O522" i="2"/>
  <c r="P522" i="2" s="1"/>
  <c r="Y522" i="2" s="1"/>
  <c r="N520" i="1" s="1"/>
  <c r="Z521" i="2"/>
  <c r="W521" i="2"/>
  <c r="U521" i="2"/>
  <c r="T521" i="2"/>
  <c r="Q519" i="1" s="1"/>
  <c r="X519" i="1" s="1"/>
  <c r="S521" i="2"/>
  <c r="C519" i="1" s="1"/>
  <c r="R521" i="2"/>
  <c r="Q521" i="2"/>
  <c r="Y519" i="1" s="1"/>
  <c r="O521" i="2"/>
  <c r="P521" i="2" s="1"/>
  <c r="Y521" i="2" s="1"/>
  <c r="N519" i="1" s="1"/>
  <c r="Z520" i="2"/>
  <c r="W520" i="2"/>
  <c r="U520" i="2"/>
  <c r="T520" i="2"/>
  <c r="S520" i="2"/>
  <c r="R520" i="2"/>
  <c r="D518" i="1" s="1"/>
  <c r="Q520" i="2"/>
  <c r="Y518" i="1" s="1"/>
  <c r="O520" i="2"/>
  <c r="P520" i="2" s="1"/>
  <c r="Y520" i="2" s="1"/>
  <c r="N518" i="1" s="1"/>
  <c r="Z519" i="2"/>
  <c r="W519" i="2"/>
  <c r="U519" i="2"/>
  <c r="T519" i="2"/>
  <c r="Q517" i="1" s="1"/>
  <c r="X517" i="1" s="1"/>
  <c r="S519" i="2"/>
  <c r="C517" i="1" s="1"/>
  <c r="R519" i="2"/>
  <c r="D517" i="1" s="1"/>
  <c r="Q519" i="2"/>
  <c r="Y517" i="1" s="1"/>
  <c r="O519" i="2"/>
  <c r="P519" i="2" s="1"/>
  <c r="Y519" i="2" s="1"/>
  <c r="N517" i="1" s="1"/>
  <c r="Z518" i="2"/>
  <c r="W518" i="2"/>
  <c r="U518" i="2"/>
  <c r="B516" i="1" s="1"/>
  <c r="T518" i="2"/>
  <c r="S518" i="2"/>
  <c r="C516" i="1" s="1"/>
  <c r="R518" i="2"/>
  <c r="D516" i="1" s="1"/>
  <c r="Q518" i="2"/>
  <c r="Y516" i="1" s="1"/>
  <c r="O518" i="2"/>
  <c r="P518" i="2" s="1"/>
  <c r="Y518" i="2" s="1"/>
  <c r="N516" i="1" s="1"/>
  <c r="Z517" i="2"/>
  <c r="W517" i="2"/>
  <c r="U517" i="2"/>
  <c r="T517" i="2"/>
  <c r="Q515" i="1" s="1"/>
  <c r="X515" i="1" s="1"/>
  <c r="S517" i="2"/>
  <c r="C515" i="1" s="1"/>
  <c r="R517" i="2"/>
  <c r="D515" i="1" s="1"/>
  <c r="Q517" i="2"/>
  <c r="Y515" i="1" s="1"/>
  <c r="O517" i="2"/>
  <c r="P517" i="2" s="1"/>
  <c r="Y517" i="2" s="1"/>
  <c r="N515" i="1" s="1"/>
  <c r="Z516" i="2"/>
  <c r="W516" i="2"/>
  <c r="U516" i="2"/>
  <c r="T516" i="2"/>
  <c r="S516" i="2"/>
  <c r="R516" i="2"/>
  <c r="D514" i="1" s="1"/>
  <c r="Q516" i="2"/>
  <c r="Y514" i="1" s="1"/>
  <c r="O516" i="2"/>
  <c r="P516" i="2" s="1"/>
  <c r="Y516" i="2" s="1"/>
  <c r="N514" i="1" s="1"/>
  <c r="Z515" i="2"/>
  <c r="W515" i="2"/>
  <c r="U515" i="2"/>
  <c r="B513" i="1" s="1"/>
  <c r="T515" i="2"/>
  <c r="Q513" i="1" s="1"/>
  <c r="X513" i="1" s="1"/>
  <c r="S515" i="2"/>
  <c r="C513" i="1" s="1"/>
  <c r="R515" i="2"/>
  <c r="D513" i="1" s="1"/>
  <c r="Q515" i="2"/>
  <c r="Y513" i="1" s="1"/>
  <c r="O515" i="2"/>
  <c r="P515" i="2" s="1"/>
  <c r="Y515" i="2" s="1"/>
  <c r="N513" i="1" s="1"/>
  <c r="Z514" i="2"/>
  <c r="W514" i="2"/>
  <c r="X514" i="2" s="1"/>
  <c r="F512" i="1" s="1"/>
  <c r="U514" i="2"/>
  <c r="T514" i="2"/>
  <c r="S514" i="2"/>
  <c r="R514" i="2"/>
  <c r="D512" i="1" s="1"/>
  <c r="Q514" i="2"/>
  <c r="O514" i="2"/>
  <c r="P514" i="2" s="1"/>
  <c r="Y514" i="2" s="1"/>
  <c r="N512" i="1" s="1"/>
  <c r="Z513" i="2"/>
  <c r="W513" i="2"/>
  <c r="U513" i="2"/>
  <c r="B511" i="1" s="1"/>
  <c r="T513" i="2"/>
  <c r="Q511" i="1" s="1"/>
  <c r="X511" i="1" s="1"/>
  <c r="S513" i="2"/>
  <c r="C511" i="1" s="1"/>
  <c r="R513" i="2"/>
  <c r="Q513" i="2"/>
  <c r="Y511" i="1" s="1"/>
  <c r="O513" i="2"/>
  <c r="P513" i="2" s="1"/>
  <c r="Y513" i="2" s="1"/>
  <c r="N511" i="1" s="1"/>
  <c r="Z512" i="2"/>
  <c r="W512" i="2"/>
  <c r="U512" i="2"/>
  <c r="B510" i="1" s="1"/>
  <c r="T512" i="2"/>
  <c r="Q510" i="1" s="1"/>
  <c r="X510" i="1" s="1"/>
  <c r="S512" i="2"/>
  <c r="C510" i="1" s="1"/>
  <c r="R512" i="2"/>
  <c r="Q512" i="2"/>
  <c r="O512" i="2"/>
  <c r="P512" i="2" s="1"/>
  <c r="Y512" i="2" s="1"/>
  <c r="N510" i="1" s="1"/>
  <c r="Z511" i="2"/>
  <c r="W511" i="2"/>
  <c r="U511" i="2"/>
  <c r="B509" i="1" s="1"/>
  <c r="T511" i="2"/>
  <c r="Q509" i="1" s="1"/>
  <c r="X509" i="1" s="1"/>
  <c r="S511" i="2"/>
  <c r="C509" i="1" s="1"/>
  <c r="R511" i="2"/>
  <c r="D509" i="1" s="1"/>
  <c r="Q511" i="2"/>
  <c r="Y509" i="1" s="1"/>
  <c r="O511" i="2"/>
  <c r="P511" i="2" s="1"/>
  <c r="Y511" i="2" s="1"/>
  <c r="N509" i="1" s="1"/>
  <c r="Z510" i="2"/>
  <c r="W510" i="2"/>
  <c r="X510" i="2" s="1"/>
  <c r="F508" i="1" s="1"/>
  <c r="U510" i="2"/>
  <c r="T510" i="2"/>
  <c r="S510" i="2"/>
  <c r="C508" i="1" s="1"/>
  <c r="R510" i="2"/>
  <c r="D508" i="1" s="1"/>
  <c r="Q510" i="2"/>
  <c r="O510" i="2"/>
  <c r="P510" i="2" s="1"/>
  <c r="Y510" i="2" s="1"/>
  <c r="N508" i="1" s="1"/>
  <c r="Z509" i="2"/>
  <c r="W509" i="2"/>
  <c r="X509" i="2" s="1"/>
  <c r="F507" i="1" s="1"/>
  <c r="U509" i="2"/>
  <c r="B507" i="1" s="1"/>
  <c r="T509" i="2"/>
  <c r="Q507" i="1" s="1"/>
  <c r="X507" i="1" s="1"/>
  <c r="S509" i="2"/>
  <c r="R509" i="2"/>
  <c r="D507" i="1" s="1"/>
  <c r="Q509" i="2"/>
  <c r="O509" i="2"/>
  <c r="P509" i="2" s="1"/>
  <c r="Y509" i="2" s="1"/>
  <c r="N507" i="1" s="1"/>
  <c r="Z508" i="2"/>
  <c r="W508" i="2"/>
  <c r="U508" i="2"/>
  <c r="B506" i="1" s="1"/>
  <c r="T508" i="2"/>
  <c r="S508" i="2"/>
  <c r="C506" i="1" s="1"/>
  <c r="R508" i="2"/>
  <c r="D506" i="1" s="1"/>
  <c r="Q508" i="2"/>
  <c r="Y506" i="1" s="1"/>
  <c r="O508" i="2"/>
  <c r="P508" i="2" s="1"/>
  <c r="Y508" i="2" s="1"/>
  <c r="N506" i="1" s="1"/>
  <c r="Z507" i="2"/>
  <c r="W507" i="2"/>
  <c r="X507" i="2" s="1"/>
  <c r="F505" i="1" s="1"/>
  <c r="U507" i="2"/>
  <c r="B505" i="1" s="1"/>
  <c r="T507" i="2"/>
  <c r="Q505" i="1" s="1"/>
  <c r="X505" i="1" s="1"/>
  <c r="S507" i="2"/>
  <c r="C505" i="1" s="1"/>
  <c r="R507" i="2"/>
  <c r="D505" i="1" s="1"/>
  <c r="Q507" i="2"/>
  <c r="Y505" i="1" s="1"/>
  <c r="O507" i="2"/>
  <c r="P507" i="2" s="1"/>
  <c r="Y507" i="2" s="1"/>
  <c r="N505" i="1" s="1"/>
  <c r="Z506" i="2"/>
  <c r="W506" i="2"/>
  <c r="U506" i="2"/>
  <c r="T506" i="2"/>
  <c r="Q504" i="1" s="1"/>
  <c r="X504" i="1" s="1"/>
  <c r="S506" i="2"/>
  <c r="C504" i="1" s="1"/>
  <c r="R506" i="2"/>
  <c r="Q506" i="2"/>
  <c r="O506" i="2"/>
  <c r="P506" i="2" s="1"/>
  <c r="Y506" i="2" s="1"/>
  <c r="N504" i="1" s="1"/>
  <c r="Z505" i="2"/>
  <c r="W505" i="2"/>
  <c r="U505" i="2"/>
  <c r="B503" i="1" s="1"/>
  <c r="T505" i="2"/>
  <c r="S505" i="2"/>
  <c r="C503" i="1" s="1"/>
  <c r="R505" i="2"/>
  <c r="Q505" i="2"/>
  <c r="Y503" i="1" s="1"/>
  <c r="O505" i="2"/>
  <c r="P505" i="2" s="1"/>
  <c r="Y505" i="2" s="1"/>
  <c r="N503" i="1" s="1"/>
  <c r="Z504" i="2"/>
  <c r="W504" i="2"/>
  <c r="U504" i="2"/>
  <c r="B502" i="1" s="1"/>
  <c r="T504" i="2"/>
  <c r="S504" i="2"/>
  <c r="C502" i="1" s="1"/>
  <c r="R504" i="2"/>
  <c r="Q504" i="2"/>
  <c r="O504" i="2"/>
  <c r="P504" i="2" s="1"/>
  <c r="Y504" i="2" s="1"/>
  <c r="N502" i="1" s="1"/>
  <c r="Z503" i="2"/>
  <c r="W503" i="2"/>
  <c r="U503" i="2"/>
  <c r="B501" i="1" s="1"/>
  <c r="T503" i="2"/>
  <c r="Q501" i="1" s="1"/>
  <c r="X501" i="1" s="1"/>
  <c r="S503" i="2"/>
  <c r="R503" i="2"/>
  <c r="D501" i="1" s="1"/>
  <c r="Q503" i="2"/>
  <c r="Y501" i="1" s="1"/>
  <c r="O503" i="2"/>
  <c r="P503" i="2" s="1"/>
  <c r="Y503" i="2" s="1"/>
  <c r="N501" i="1" s="1"/>
  <c r="Z502" i="2"/>
  <c r="W502" i="2"/>
  <c r="U502" i="2"/>
  <c r="B500" i="1" s="1"/>
  <c r="T502" i="2"/>
  <c r="S502" i="2"/>
  <c r="C500" i="1" s="1"/>
  <c r="R502" i="2"/>
  <c r="Q502" i="2"/>
  <c r="O502" i="2"/>
  <c r="P502" i="2" s="1"/>
  <c r="Y502" i="2" s="1"/>
  <c r="N500" i="1" s="1"/>
  <c r="Z501" i="2"/>
  <c r="W501" i="2"/>
  <c r="U501" i="2"/>
  <c r="B499" i="1" s="1"/>
  <c r="T501" i="2"/>
  <c r="Q499" i="1" s="1"/>
  <c r="X499" i="1" s="1"/>
  <c r="S501" i="2"/>
  <c r="C499" i="1" s="1"/>
  <c r="R501" i="2"/>
  <c r="D499" i="1" s="1"/>
  <c r="Q501" i="2"/>
  <c r="Y499" i="1" s="1"/>
  <c r="O501" i="2"/>
  <c r="P501" i="2" s="1"/>
  <c r="Y501" i="2" s="1"/>
  <c r="N499" i="1" s="1"/>
  <c r="Z500" i="2"/>
  <c r="W500" i="2"/>
  <c r="X500" i="2" s="1"/>
  <c r="F498" i="1" s="1"/>
  <c r="U500" i="2"/>
  <c r="B498" i="1" s="1"/>
  <c r="T500" i="2"/>
  <c r="Q498" i="1" s="1"/>
  <c r="X498" i="1" s="1"/>
  <c r="S500" i="2"/>
  <c r="C498" i="1" s="1"/>
  <c r="R500" i="2"/>
  <c r="D498" i="1" s="1"/>
  <c r="Q500" i="2"/>
  <c r="Y498" i="1" s="1"/>
  <c r="O500" i="2"/>
  <c r="P500" i="2" s="1"/>
  <c r="Y500" i="2" s="1"/>
  <c r="N498" i="1" s="1"/>
  <c r="Z499" i="2"/>
  <c r="W499" i="2"/>
  <c r="X499" i="2" s="1"/>
  <c r="F497" i="1" s="1"/>
  <c r="U499" i="2"/>
  <c r="B497" i="1" s="1"/>
  <c r="T499" i="2"/>
  <c r="Q497" i="1" s="1"/>
  <c r="X497" i="1" s="1"/>
  <c r="S499" i="2"/>
  <c r="C497" i="1" s="1"/>
  <c r="R499" i="2"/>
  <c r="D497" i="1" s="1"/>
  <c r="Q499" i="2"/>
  <c r="Y497" i="1" s="1"/>
  <c r="O499" i="2"/>
  <c r="P499" i="2" s="1"/>
  <c r="Y499" i="2" s="1"/>
  <c r="N497" i="1" s="1"/>
  <c r="Z498" i="2"/>
  <c r="W498" i="2"/>
  <c r="X498" i="2" s="1"/>
  <c r="F496" i="1" s="1"/>
  <c r="U498" i="2"/>
  <c r="B496" i="1" s="1"/>
  <c r="T498" i="2"/>
  <c r="Q496" i="1" s="1"/>
  <c r="X496" i="1" s="1"/>
  <c r="S498" i="2"/>
  <c r="C496" i="1" s="1"/>
  <c r="R498" i="2"/>
  <c r="D496" i="1" s="1"/>
  <c r="Q498" i="2"/>
  <c r="O498" i="2"/>
  <c r="P498" i="2" s="1"/>
  <c r="Y498" i="2" s="1"/>
  <c r="N496" i="1" s="1"/>
  <c r="Z497" i="2"/>
  <c r="W497" i="2"/>
  <c r="X497" i="2" s="1"/>
  <c r="F495" i="1" s="1"/>
  <c r="U497" i="2"/>
  <c r="B495" i="1" s="1"/>
  <c r="T497" i="2"/>
  <c r="Q495" i="1" s="1"/>
  <c r="X495" i="1" s="1"/>
  <c r="S497" i="2"/>
  <c r="R497" i="2"/>
  <c r="Q497" i="2"/>
  <c r="Y495" i="1" s="1"/>
  <c r="O497" i="2"/>
  <c r="P497" i="2" s="1"/>
  <c r="Y497" i="2" s="1"/>
  <c r="N495" i="1" s="1"/>
  <c r="Z496" i="2"/>
  <c r="W496" i="2"/>
  <c r="U496" i="2"/>
  <c r="B494" i="1" s="1"/>
  <c r="T496" i="2"/>
  <c r="S496" i="2"/>
  <c r="C494" i="1" s="1"/>
  <c r="R496" i="2"/>
  <c r="D494" i="1" s="1"/>
  <c r="Q496" i="2"/>
  <c r="Y494" i="1" s="1"/>
  <c r="O496" i="2"/>
  <c r="P496" i="2" s="1"/>
  <c r="Y496" i="2" s="1"/>
  <c r="N494" i="1" s="1"/>
  <c r="Z495" i="2"/>
  <c r="W495" i="2"/>
  <c r="U495" i="2"/>
  <c r="B493" i="1" s="1"/>
  <c r="T495" i="2"/>
  <c r="Q493" i="1" s="1"/>
  <c r="X493" i="1" s="1"/>
  <c r="S495" i="2"/>
  <c r="C493" i="1" s="1"/>
  <c r="R495" i="2"/>
  <c r="D493" i="1" s="1"/>
  <c r="Q495" i="2"/>
  <c r="Y493" i="1" s="1"/>
  <c r="O495" i="2"/>
  <c r="P495" i="2" s="1"/>
  <c r="Y495" i="2" s="1"/>
  <c r="N493" i="1" s="1"/>
  <c r="Z494" i="2"/>
  <c r="W494" i="2"/>
  <c r="X494" i="2" s="1"/>
  <c r="F492" i="1" s="1"/>
  <c r="U494" i="2"/>
  <c r="B492" i="1" s="1"/>
  <c r="T494" i="2"/>
  <c r="Q492" i="1" s="1"/>
  <c r="X492" i="1" s="1"/>
  <c r="S494" i="2"/>
  <c r="R494" i="2"/>
  <c r="Q494" i="2"/>
  <c r="Y492" i="1" s="1"/>
  <c r="O494" i="2"/>
  <c r="P494" i="2" s="1"/>
  <c r="Y494" i="2" s="1"/>
  <c r="N492" i="1" s="1"/>
  <c r="Z493" i="2"/>
  <c r="W493" i="2"/>
  <c r="X493" i="2" s="1"/>
  <c r="F491" i="1" s="1"/>
  <c r="U493" i="2"/>
  <c r="B491" i="1" s="1"/>
  <c r="T493" i="2"/>
  <c r="Q491" i="1" s="1"/>
  <c r="X491" i="1" s="1"/>
  <c r="S493" i="2"/>
  <c r="C491" i="1" s="1"/>
  <c r="R493" i="2"/>
  <c r="D491" i="1" s="1"/>
  <c r="Q493" i="2"/>
  <c r="Y491" i="1" s="1"/>
  <c r="O493" i="2"/>
  <c r="P493" i="2" s="1"/>
  <c r="Y493" i="2" s="1"/>
  <c r="N491" i="1" s="1"/>
  <c r="Z492" i="2"/>
  <c r="W492" i="2"/>
  <c r="X492" i="2" s="1"/>
  <c r="F490" i="1" s="1"/>
  <c r="U492" i="2"/>
  <c r="B490" i="1" s="1"/>
  <c r="T492" i="2"/>
  <c r="S492" i="2"/>
  <c r="C490" i="1" s="1"/>
  <c r="R492" i="2"/>
  <c r="D490" i="1" s="1"/>
  <c r="Q492" i="2"/>
  <c r="O492" i="2"/>
  <c r="P492" i="2" s="1"/>
  <c r="Y492" i="2" s="1"/>
  <c r="N490" i="1" s="1"/>
  <c r="Z491" i="2"/>
  <c r="N489" i="1"/>
  <c r="W491" i="2"/>
  <c r="X491" i="2" s="1"/>
  <c r="F489" i="1" s="1"/>
  <c r="U491" i="2"/>
  <c r="B489" i="1" s="1"/>
  <c r="T491" i="2"/>
  <c r="S491" i="2"/>
  <c r="C489" i="1" s="1"/>
  <c r="R491" i="2"/>
  <c r="D489" i="1" s="1"/>
  <c r="Q491" i="2"/>
  <c r="O491" i="2"/>
  <c r="P491" i="2" s="1"/>
  <c r="Y491" i="2" s="1"/>
  <c r="Z490" i="2"/>
  <c r="W490" i="2"/>
  <c r="X490" i="2" s="1"/>
  <c r="F488" i="1" s="1"/>
  <c r="U490" i="2"/>
  <c r="B488" i="1" s="1"/>
  <c r="T490" i="2"/>
  <c r="S490" i="2"/>
  <c r="C488" i="1" s="1"/>
  <c r="R490" i="2"/>
  <c r="D488" i="1" s="1"/>
  <c r="Q490" i="2"/>
  <c r="Y488" i="1" s="1"/>
  <c r="O490" i="2"/>
  <c r="P490" i="2" s="1"/>
  <c r="Y490" i="2" s="1"/>
  <c r="N488" i="1" s="1"/>
  <c r="Z489" i="2"/>
  <c r="W489" i="2"/>
  <c r="U489" i="2"/>
  <c r="B487" i="1" s="1"/>
  <c r="T489" i="2"/>
  <c r="Q487" i="1" s="1"/>
  <c r="X487" i="1" s="1"/>
  <c r="S489" i="2"/>
  <c r="C487" i="1" s="1"/>
  <c r="R489" i="2"/>
  <c r="D487" i="1" s="1"/>
  <c r="Q489" i="2"/>
  <c r="O489" i="2"/>
  <c r="P489" i="2" s="1"/>
  <c r="Y489" i="2" s="1"/>
  <c r="N487" i="1" s="1"/>
  <c r="Z488" i="2"/>
  <c r="W488" i="2"/>
  <c r="U488" i="2"/>
  <c r="B486" i="1" s="1"/>
  <c r="T488" i="2"/>
  <c r="Q486" i="1" s="1"/>
  <c r="X486" i="1" s="1"/>
  <c r="S488" i="2"/>
  <c r="C486" i="1" s="1"/>
  <c r="R488" i="2"/>
  <c r="D486" i="1" s="1"/>
  <c r="Q488" i="2"/>
  <c r="Y486" i="1" s="1"/>
  <c r="O488" i="2"/>
  <c r="P488" i="2" s="1"/>
  <c r="Y488" i="2" s="1"/>
  <c r="N486" i="1" s="1"/>
  <c r="Z487" i="2"/>
  <c r="W487" i="2"/>
  <c r="U487" i="2"/>
  <c r="B485" i="1" s="1"/>
  <c r="T487" i="2"/>
  <c r="Q485" i="1" s="1"/>
  <c r="X485" i="1" s="1"/>
  <c r="S487" i="2"/>
  <c r="C485" i="1" s="1"/>
  <c r="R487" i="2"/>
  <c r="D485" i="1" s="1"/>
  <c r="Q487" i="2"/>
  <c r="Y485" i="1" s="1"/>
  <c r="O487" i="2"/>
  <c r="P487" i="2" s="1"/>
  <c r="Y487" i="2" s="1"/>
  <c r="N485" i="1" s="1"/>
  <c r="Z486" i="2"/>
  <c r="W486" i="2"/>
  <c r="U486" i="2"/>
  <c r="B484" i="1" s="1"/>
  <c r="T486" i="2"/>
  <c r="S486" i="2"/>
  <c r="R486" i="2"/>
  <c r="D484" i="1" s="1"/>
  <c r="Q486" i="2"/>
  <c r="Y484" i="1" s="1"/>
  <c r="O486" i="2"/>
  <c r="P486" i="2" s="1"/>
  <c r="Y486" i="2" s="1"/>
  <c r="N484" i="1" s="1"/>
  <c r="Z485" i="2"/>
  <c r="W485" i="2"/>
  <c r="U485" i="2"/>
  <c r="B483" i="1" s="1"/>
  <c r="T485" i="2"/>
  <c r="Q483" i="1" s="1"/>
  <c r="X483" i="1" s="1"/>
  <c r="S485" i="2"/>
  <c r="C483" i="1" s="1"/>
  <c r="R485" i="2"/>
  <c r="D483" i="1" s="1"/>
  <c r="Q485" i="2"/>
  <c r="Y483" i="1" s="1"/>
  <c r="O485" i="2"/>
  <c r="P485" i="2" s="1"/>
  <c r="Y485" i="2" s="1"/>
  <c r="N483" i="1" s="1"/>
  <c r="Z484" i="2"/>
  <c r="W484" i="2"/>
  <c r="U484" i="2"/>
  <c r="B482" i="1" s="1"/>
  <c r="T484" i="2"/>
  <c r="Q482" i="1" s="1"/>
  <c r="X482" i="1" s="1"/>
  <c r="S484" i="2"/>
  <c r="C482" i="1" s="1"/>
  <c r="R484" i="2"/>
  <c r="D482" i="1" s="1"/>
  <c r="Q484" i="2"/>
  <c r="Y482" i="1" s="1"/>
  <c r="O484" i="2"/>
  <c r="P484" i="2" s="1"/>
  <c r="Y484" i="2" s="1"/>
  <c r="N482" i="1" s="1"/>
  <c r="Z483" i="2"/>
  <c r="W483" i="2"/>
  <c r="X483" i="2" s="1"/>
  <c r="F481" i="1" s="1"/>
  <c r="U483" i="2"/>
  <c r="B481" i="1" s="1"/>
  <c r="T483" i="2"/>
  <c r="S483" i="2"/>
  <c r="R483" i="2"/>
  <c r="D481" i="1" s="1"/>
  <c r="Q483" i="2"/>
  <c r="O483" i="2"/>
  <c r="P483" i="2" s="1"/>
  <c r="Y483" i="2" s="1"/>
  <c r="N481" i="1" s="1"/>
  <c r="Z482" i="2"/>
  <c r="W482" i="2"/>
  <c r="X482" i="2" s="1"/>
  <c r="F480" i="1" s="1"/>
  <c r="U482" i="2"/>
  <c r="B480" i="1" s="1"/>
  <c r="T482" i="2"/>
  <c r="Q480" i="1" s="1"/>
  <c r="X480" i="1" s="1"/>
  <c r="S482" i="2"/>
  <c r="C480" i="1" s="1"/>
  <c r="R482" i="2"/>
  <c r="Q482" i="2"/>
  <c r="O482" i="2"/>
  <c r="P482" i="2" s="1"/>
  <c r="Y482" i="2" s="1"/>
  <c r="N480" i="1" s="1"/>
  <c r="Z481" i="2"/>
  <c r="W481" i="2"/>
  <c r="X481" i="2" s="1"/>
  <c r="F479" i="1" s="1"/>
  <c r="U481" i="2"/>
  <c r="T481" i="2"/>
  <c r="Q479" i="1" s="1"/>
  <c r="X479" i="1" s="1"/>
  <c r="S481" i="2"/>
  <c r="C479" i="1" s="1"/>
  <c r="R481" i="2"/>
  <c r="D479" i="1" s="1"/>
  <c r="Q481" i="2"/>
  <c r="Y479" i="1" s="1"/>
  <c r="O481" i="2"/>
  <c r="P481" i="2" s="1"/>
  <c r="Y481" i="2" s="1"/>
  <c r="N479" i="1" s="1"/>
  <c r="Z480" i="2"/>
  <c r="W480" i="2"/>
  <c r="X480" i="2" s="1"/>
  <c r="F478" i="1" s="1"/>
  <c r="U480" i="2"/>
  <c r="B478" i="1" s="1"/>
  <c r="T480" i="2"/>
  <c r="Q478" i="1" s="1"/>
  <c r="X478" i="1" s="1"/>
  <c r="S480" i="2"/>
  <c r="R480" i="2"/>
  <c r="D478" i="1" s="1"/>
  <c r="Q480" i="2"/>
  <c r="Y478" i="1" s="1"/>
  <c r="O480" i="2"/>
  <c r="P480" i="2" s="1"/>
  <c r="Y480" i="2" s="1"/>
  <c r="N478" i="1" s="1"/>
  <c r="Z479" i="2"/>
  <c r="W479" i="2"/>
  <c r="X479" i="2" s="1"/>
  <c r="F477" i="1" s="1"/>
  <c r="U479" i="2"/>
  <c r="B477" i="1" s="1"/>
  <c r="T479" i="2"/>
  <c r="Q477" i="1" s="1"/>
  <c r="X477" i="1" s="1"/>
  <c r="S479" i="2"/>
  <c r="C477" i="1" s="1"/>
  <c r="R479" i="2"/>
  <c r="D477" i="1" s="1"/>
  <c r="Q479" i="2"/>
  <c r="Y477" i="1" s="1"/>
  <c r="O479" i="2"/>
  <c r="P479" i="2" s="1"/>
  <c r="Y479" i="2" s="1"/>
  <c r="N477" i="1" s="1"/>
  <c r="Z478" i="2"/>
  <c r="W478" i="2"/>
  <c r="X478" i="2" s="1"/>
  <c r="F476" i="1" s="1"/>
  <c r="U478" i="2"/>
  <c r="B476" i="1" s="1"/>
  <c r="T478" i="2"/>
  <c r="S478" i="2"/>
  <c r="C476" i="1" s="1"/>
  <c r="R478" i="2"/>
  <c r="D476" i="1" s="1"/>
  <c r="Q478" i="2"/>
  <c r="Y476" i="1" s="1"/>
  <c r="O478" i="2"/>
  <c r="P478" i="2" s="1"/>
  <c r="Y478" i="2" s="1"/>
  <c r="N476" i="1" s="1"/>
  <c r="Z477" i="2"/>
  <c r="W477" i="2"/>
  <c r="X477" i="2" s="1"/>
  <c r="F475" i="1" s="1"/>
  <c r="U477" i="2"/>
  <c r="B475" i="1" s="1"/>
  <c r="T477" i="2"/>
  <c r="Q475" i="1" s="1"/>
  <c r="X475" i="1" s="1"/>
  <c r="S477" i="2"/>
  <c r="C475" i="1" s="1"/>
  <c r="R477" i="2"/>
  <c r="D475" i="1" s="1"/>
  <c r="Q477" i="2"/>
  <c r="O477" i="2"/>
  <c r="P477" i="2" s="1"/>
  <c r="Y477" i="2" s="1"/>
  <c r="N475" i="1" s="1"/>
  <c r="Z476" i="2"/>
  <c r="W476" i="2"/>
  <c r="X476" i="2" s="1"/>
  <c r="F474" i="1" s="1"/>
  <c r="U476" i="2"/>
  <c r="B474" i="1" s="1"/>
  <c r="T476" i="2"/>
  <c r="Q474" i="1" s="1"/>
  <c r="X474" i="1" s="1"/>
  <c r="S476" i="2"/>
  <c r="R476" i="2"/>
  <c r="D474" i="1" s="1"/>
  <c r="Q476" i="2"/>
  <c r="O476" i="2"/>
  <c r="P476" i="2" s="1"/>
  <c r="Y476" i="2" s="1"/>
  <c r="N474" i="1" s="1"/>
  <c r="Z475" i="2"/>
  <c r="W475" i="2"/>
  <c r="U475" i="2"/>
  <c r="B473" i="1" s="1"/>
  <c r="T475" i="2"/>
  <c r="Q473" i="1" s="1"/>
  <c r="X473" i="1" s="1"/>
  <c r="S475" i="2"/>
  <c r="C473" i="1" s="1"/>
  <c r="R475" i="2"/>
  <c r="D473" i="1" s="1"/>
  <c r="Q475" i="2"/>
  <c r="Y473" i="1" s="1"/>
  <c r="O475" i="2"/>
  <c r="P475" i="2" s="1"/>
  <c r="Y475" i="2" s="1"/>
  <c r="N473" i="1" s="1"/>
  <c r="Z474" i="2"/>
  <c r="W474" i="2"/>
  <c r="X474" i="2"/>
  <c r="F472" i="1" s="1"/>
  <c r="U474" i="2"/>
  <c r="T474" i="2"/>
  <c r="Q472" i="1" s="1"/>
  <c r="X472" i="1" s="1"/>
  <c r="S474" i="2"/>
  <c r="R474" i="2"/>
  <c r="Q474" i="2"/>
  <c r="Y472" i="1" s="1"/>
  <c r="O474" i="2"/>
  <c r="P474" i="2" s="1"/>
  <c r="Y474" i="2" s="1"/>
  <c r="N472" i="1" s="1"/>
  <c r="Z473" i="2"/>
  <c r="W473" i="2"/>
  <c r="U473" i="2"/>
  <c r="B471" i="1" s="1"/>
  <c r="T473" i="2"/>
  <c r="Q471" i="1" s="1"/>
  <c r="X471" i="1" s="1"/>
  <c r="S473" i="2"/>
  <c r="C471" i="1" s="1"/>
  <c r="R473" i="2"/>
  <c r="D471" i="1" s="1"/>
  <c r="Q473" i="2"/>
  <c r="Y471" i="1" s="1"/>
  <c r="O473" i="2"/>
  <c r="P473" i="2" s="1"/>
  <c r="Y473" i="2" s="1"/>
  <c r="N471" i="1" s="1"/>
  <c r="Z472" i="2"/>
  <c r="W472" i="2"/>
  <c r="X472" i="2" s="1"/>
  <c r="F470" i="1" s="1"/>
  <c r="U472" i="2"/>
  <c r="B470" i="1" s="1"/>
  <c r="T472" i="2"/>
  <c r="S472" i="2"/>
  <c r="C470" i="1" s="1"/>
  <c r="R472" i="2"/>
  <c r="Q472" i="2"/>
  <c r="O472" i="2"/>
  <c r="P472" i="2" s="1"/>
  <c r="Y472" i="2" s="1"/>
  <c r="N470" i="1" s="1"/>
  <c r="Z471" i="2"/>
  <c r="W471" i="2"/>
  <c r="U471" i="2"/>
  <c r="B469" i="1" s="1"/>
  <c r="T471" i="2"/>
  <c r="Q469" i="1" s="1"/>
  <c r="X469" i="1" s="1"/>
  <c r="S471" i="2"/>
  <c r="R471" i="2"/>
  <c r="Q471" i="2"/>
  <c r="Y469" i="1" s="1"/>
  <c r="O471" i="2"/>
  <c r="P471" i="2" s="1"/>
  <c r="Y471" i="2" s="1"/>
  <c r="N469" i="1" s="1"/>
  <c r="Z470" i="2"/>
  <c r="W470" i="2"/>
  <c r="U470" i="2"/>
  <c r="T470" i="2"/>
  <c r="S470" i="2"/>
  <c r="R470" i="2"/>
  <c r="Q470" i="2"/>
  <c r="Y468" i="1" s="1"/>
  <c r="O470" i="2"/>
  <c r="P470" i="2" s="1"/>
  <c r="Y470" i="2" s="1"/>
  <c r="N468" i="1" s="1"/>
  <c r="Z469" i="2"/>
  <c r="W469" i="2"/>
  <c r="U469" i="2"/>
  <c r="B467" i="1" s="1"/>
  <c r="T469" i="2"/>
  <c r="Q467" i="1" s="1"/>
  <c r="X467" i="1" s="1"/>
  <c r="S469" i="2"/>
  <c r="C467" i="1" s="1"/>
  <c r="R469" i="2"/>
  <c r="D467" i="1" s="1"/>
  <c r="Q469" i="2"/>
  <c r="Y467" i="1" s="1"/>
  <c r="O469" i="2"/>
  <c r="P469" i="2" s="1"/>
  <c r="Y469" i="2" s="1"/>
  <c r="N467" i="1" s="1"/>
  <c r="W468" i="2"/>
  <c r="U468" i="2"/>
  <c r="B466" i="1" s="1"/>
  <c r="T468" i="2"/>
  <c r="Q466" i="1" s="1"/>
  <c r="X466" i="1" s="1"/>
  <c r="S468" i="2"/>
  <c r="C466" i="1" s="1"/>
  <c r="R468" i="2"/>
  <c r="D466" i="1" s="1"/>
  <c r="Q468" i="2"/>
  <c r="O468" i="2"/>
  <c r="P468" i="2" s="1"/>
  <c r="Y468" i="2" s="1"/>
  <c r="N466" i="1" s="1"/>
  <c r="W467" i="2"/>
  <c r="V467" i="2" s="1"/>
  <c r="X467" i="2" s="1"/>
  <c r="Z467" i="2" s="1"/>
  <c r="U467" i="2"/>
  <c r="B465" i="1" s="1"/>
  <c r="T467" i="2"/>
  <c r="Q465" i="1" s="1"/>
  <c r="X465" i="1" s="1"/>
  <c r="S467" i="2"/>
  <c r="C465" i="1" s="1"/>
  <c r="R467" i="2"/>
  <c r="D465" i="1" s="1"/>
  <c r="Q467" i="2"/>
  <c r="Y465" i="1" s="1"/>
  <c r="O467" i="2"/>
  <c r="P467" i="2" s="1"/>
  <c r="Y467" i="2" s="1"/>
  <c r="N465" i="1" s="1"/>
  <c r="W466" i="2"/>
  <c r="U466" i="2"/>
  <c r="B464" i="1" s="1"/>
  <c r="T466" i="2"/>
  <c r="Q464" i="1" s="1"/>
  <c r="X464" i="1" s="1"/>
  <c r="S466" i="2"/>
  <c r="C464" i="1" s="1"/>
  <c r="R466" i="2"/>
  <c r="Q466" i="2"/>
  <c r="Y464" i="1" s="1"/>
  <c r="O466" i="2"/>
  <c r="P466" i="2" s="1"/>
  <c r="Y466" i="2" s="1"/>
  <c r="N464" i="1" s="1"/>
  <c r="W465" i="2"/>
  <c r="U465" i="2"/>
  <c r="B463" i="1" s="1"/>
  <c r="T465" i="2"/>
  <c r="Q463" i="1" s="1"/>
  <c r="X463" i="1" s="1"/>
  <c r="S465" i="2"/>
  <c r="C463" i="1" s="1"/>
  <c r="R465" i="2"/>
  <c r="Q465" i="2"/>
  <c r="Y463" i="1" s="1"/>
  <c r="O465" i="2"/>
  <c r="P465" i="2" s="1"/>
  <c r="Y465" i="2" s="1"/>
  <c r="N463" i="1" s="1"/>
  <c r="W464" i="2"/>
  <c r="U464" i="2"/>
  <c r="T464" i="2"/>
  <c r="Q462" i="1" s="1"/>
  <c r="X462" i="1" s="1"/>
  <c r="S464" i="2"/>
  <c r="R464" i="2"/>
  <c r="Q464" i="2"/>
  <c r="Y462" i="1" s="1"/>
  <c r="O464" i="2"/>
  <c r="P464" i="2" s="1"/>
  <c r="Y464" i="2" s="1"/>
  <c r="N462" i="1" s="1"/>
  <c r="W463" i="2"/>
  <c r="U463" i="2"/>
  <c r="B461" i="1" s="1"/>
  <c r="T463" i="2"/>
  <c r="S463" i="2"/>
  <c r="C461" i="1" s="1"/>
  <c r="R463" i="2"/>
  <c r="D461" i="1" s="1"/>
  <c r="Q463" i="2"/>
  <c r="O463" i="2"/>
  <c r="P463" i="2" s="1"/>
  <c r="Y463" i="2" s="1"/>
  <c r="N461" i="1" s="1"/>
  <c r="W462" i="2"/>
  <c r="U462" i="2"/>
  <c r="T462" i="2"/>
  <c r="Q460" i="1" s="1"/>
  <c r="X460" i="1" s="1"/>
  <c r="S462" i="2"/>
  <c r="C460" i="1" s="1"/>
  <c r="R462" i="2"/>
  <c r="D460" i="1" s="1"/>
  <c r="Q462" i="2"/>
  <c r="Y460" i="1" s="1"/>
  <c r="O462" i="2"/>
  <c r="P462" i="2" s="1"/>
  <c r="Y462" i="2" s="1"/>
  <c r="N460" i="1" s="1"/>
  <c r="W461" i="2"/>
  <c r="U461" i="2"/>
  <c r="T461" i="2"/>
  <c r="Q459" i="1" s="1"/>
  <c r="X459" i="1" s="1"/>
  <c r="S461" i="2"/>
  <c r="C459" i="1" s="1"/>
  <c r="R461" i="2"/>
  <c r="Q461" i="2"/>
  <c r="Y459" i="1" s="1"/>
  <c r="O461" i="2"/>
  <c r="P461" i="2" s="1"/>
  <c r="Y461" i="2" s="1"/>
  <c r="N459" i="1" s="1"/>
  <c r="W460" i="2"/>
  <c r="U460" i="2"/>
  <c r="B458" i="1" s="1"/>
  <c r="T460" i="2"/>
  <c r="Q458" i="1" s="1"/>
  <c r="X458" i="1" s="1"/>
  <c r="S460" i="2"/>
  <c r="C458" i="1" s="1"/>
  <c r="R460" i="2"/>
  <c r="D458" i="1" s="1"/>
  <c r="Q460" i="2"/>
  <c r="Y458" i="1" s="1"/>
  <c r="O460" i="2"/>
  <c r="P460" i="2" s="1"/>
  <c r="Y460" i="2" s="1"/>
  <c r="N458" i="1" s="1"/>
  <c r="W459" i="2"/>
  <c r="U459" i="2"/>
  <c r="B457" i="1" s="1"/>
  <c r="T459" i="2"/>
  <c r="Q457" i="1" s="1"/>
  <c r="X457" i="1" s="1"/>
  <c r="S459" i="2"/>
  <c r="R459" i="2"/>
  <c r="Q459" i="2"/>
  <c r="Y457" i="1" s="1"/>
  <c r="O459" i="2"/>
  <c r="P459" i="2" s="1"/>
  <c r="Y459" i="2" s="1"/>
  <c r="N457" i="1" s="1"/>
  <c r="W458" i="2"/>
  <c r="V458" i="2" s="1"/>
  <c r="X458" i="2" s="1"/>
  <c r="U458" i="2"/>
  <c r="B456" i="1" s="1"/>
  <c r="T458" i="2"/>
  <c r="Q456" i="1" s="1"/>
  <c r="X456" i="1" s="1"/>
  <c r="S458" i="2"/>
  <c r="C456" i="1" s="1"/>
  <c r="R458" i="2"/>
  <c r="D456" i="1" s="1"/>
  <c r="Q458" i="2"/>
  <c r="Y456" i="1" s="1"/>
  <c r="O458" i="2"/>
  <c r="P458" i="2" s="1"/>
  <c r="Y458" i="2" s="1"/>
  <c r="N456" i="1" s="1"/>
  <c r="W457" i="2"/>
  <c r="U457" i="2"/>
  <c r="B455" i="1" s="1"/>
  <c r="T457" i="2"/>
  <c r="Q455" i="1" s="1"/>
  <c r="X455" i="1" s="1"/>
  <c r="S457" i="2"/>
  <c r="R457" i="2"/>
  <c r="Q457" i="2"/>
  <c r="O457" i="2"/>
  <c r="P457" i="2" s="1"/>
  <c r="Y457" i="2" s="1"/>
  <c r="N455" i="1" s="1"/>
  <c r="W456" i="2"/>
  <c r="U456" i="2"/>
  <c r="B454" i="1" s="1"/>
  <c r="T456" i="2"/>
  <c r="S456" i="2"/>
  <c r="R456" i="2"/>
  <c r="D454" i="1" s="1"/>
  <c r="Q456" i="2"/>
  <c r="Y454" i="1" s="1"/>
  <c r="O456" i="2"/>
  <c r="P456" i="2" s="1"/>
  <c r="Y456" i="2" s="1"/>
  <c r="N454" i="1" s="1"/>
  <c r="W455" i="2"/>
  <c r="U455" i="2"/>
  <c r="B453" i="1" s="1"/>
  <c r="T455" i="2"/>
  <c r="Q453" i="1" s="1"/>
  <c r="X453" i="1" s="1"/>
  <c r="S455" i="2"/>
  <c r="C453" i="1" s="1"/>
  <c r="R455" i="2"/>
  <c r="D453" i="1" s="1"/>
  <c r="Q455" i="2"/>
  <c r="O455" i="2"/>
  <c r="P455" i="2" s="1"/>
  <c r="Y455" i="2" s="1"/>
  <c r="N453" i="1" s="1"/>
  <c r="W454" i="2"/>
  <c r="U454" i="2"/>
  <c r="B452" i="1" s="1"/>
  <c r="T454" i="2"/>
  <c r="Q452" i="1" s="1"/>
  <c r="X452" i="1" s="1"/>
  <c r="S454" i="2"/>
  <c r="C452" i="1" s="1"/>
  <c r="R454" i="2"/>
  <c r="D452" i="1" s="1"/>
  <c r="Q454" i="2"/>
  <c r="Y452" i="1" s="1"/>
  <c r="O454" i="2"/>
  <c r="P454" i="2" s="1"/>
  <c r="Y454" i="2" s="1"/>
  <c r="N452" i="1" s="1"/>
  <c r="W453" i="2"/>
  <c r="U453" i="2"/>
  <c r="B451" i="1" s="1"/>
  <c r="T453" i="2"/>
  <c r="Q451" i="1" s="1"/>
  <c r="X451" i="1" s="1"/>
  <c r="S453" i="2"/>
  <c r="C451" i="1" s="1"/>
  <c r="R453" i="2"/>
  <c r="D451" i="1" s="1"/>
  <c r="Q453" i="2"/>
  <c r="Y451" i="1" s="1"/>
  <c r="O453" i="2"/>
  <c r="P453" i="2" s="1"/>
  <c r="Y453" i="2" s="1"/>
  <c r="N451" i="1" s="1"/>
  <c r="W452" i="2"/>
  <c r="U452" i="2"/>
  <c r="B450" i="1" s="1"/>
  <c r="T452" i="2"/>
  <c r="S452" i="2"/>
  <c r="R452" i="2"/>
  <c r="D450" i="1" s="1"/>
  <c r="Q452" i="2"/>
  <c r="Y450" i="1" s="1"/>
  <c r="O452" i="2"/>
  <c r="P452" i="2" s="1"/>
  <c r="Y452" i="2" s="1"/>
  <c r="N450" i="1" s="1"/>
  <c r="W451" i="2"/>
  <c r="U451" i="2"/>
  <c r="T451" i="2"/>
  <c r="Q449" i="1" s="1"/>
  <c r="X449" i="1" s="1"/>
  <c r="S451" i="2"/>
  <c r="R451" i="2"/>
  <c r="Q451" i="2"/>
  <c r="Y449" i="1" s="1"/>
  <c r="O451" i="2"/>
  <c r="P451" i="2" s="1"/>
  <c r="Y451" i="2" s="1"/>
  <c r="N449" i="1" s="1"/>
  <c r="W450" i="2"/>
  <c r="V450" i="2" s="1"/>
  <c r="U450" i="2"/>
  <c r="B448" i="1" s="1"/>
  <c r="T450" i="2"/>
  <c r="S450" i="2"/>
  <c r="R450" i="2"/>
  <c r="D448" i="1" s="1"/>
  <c r="Q450" i="2"/>
  <c r="Y448" i="1" s="1"/>
  <c r="O450" i="2"/>
  <c r="P450" i="2" s="1"/>
  <c r="Y450" i="2" s="1"/>
  <c r="N448" i="1" s="1"/>
  <c r="W449" i="2"/>
  <c r="V449" i="2" s="1"/>
  <c r="X449" i="2" s="1"/>
  <c r="Z449" i="2" s="1"/>
  <c r="U449" i="2"/>
  <c r="B447" i="1" s="1"/>
  <c r="T449" i="2"/>
  <c r="Q447" i="1" s="1"/>
  <c r="X447" i="1" s="1"/>
  <c r="S449" i="2"/>
  <c r="C447" i="1" s="1"/>
  <c r="R449" i="2"/>
  <c r="D447" i="1" s="1"/>
  <c r="Q449" i="2"/>
  <c r="Y447" i="1" s="1"/>
  <c r="O449" i="2"/>
  <c r="P449" i="2" s="1"/>
  <c r="Y449" i="2" s="1"/>
  <c r="N447" i="1" s="1"/>
  <c r="W448" i="2"/>
  <c r="V448" i="2" s="1"/>
  <c r="U448" i="2"/>
  <c r="T448" i="2"/>
  <c r="Q446" i="1" s="1"/>
  <c r="X446" i="1" s="1"/>
  <c r="S448" i="2"/>
  <c r="C446" i="1" s="1"/>
  <c r="R448" i="2"/>
  <c r="Q448" i="2"/>
  <c r="Y446" i="1" s="1"/>
  <c r="O448" i="2"/>
  <c r="P448" i="2" s="1"/>
  <c r="Y448" i="2" s="1"/>
  <c r="N446" i="1" s="1"/>
  <c r="W447" i="2"/>
  <c r="U447" i="2"/>
  <c r="B445" i="1" s="1"/>
  <c r="T447" i="2"/>
  <c r="Q445" i="1" s="1"/>
  <c r="X445" i="1" s="1"/>
  <c r="S447" i="2"/>
  <c r="C445" i="1" s="1"/>
  <c r="R447" i="2"/>
  <c r="D445" i="1" s="1"/>
  <c r="Q447" i="2"/>
  <c r="O447" i="2"/>
  <c r="P447" i="2" s="1"/>
  <c r="Y447" i="2" s="1"/>
  <c r="N445" i="1" s="1"/>
  <c r="W446" i="2"/>
  <c r="U446" i="2"/>
  <c r="B444" i="1" s="1"/>
  <c r="T446" i="2"/>
  <c r="Q444" i="1" s="1"/>
  <c r="X444" i="1" s="1"/>
  <c r="S446" i="2"/>
  <c r="C444" i="1" s="1"/>
  <c r="R446" i="2"/>
  <c r="D444" i="1" s="1"/>
  <c r="Q446" i="2"/>
  <c r="Y444" i="1" s="1"/>
  <c r="O446" i="2"/>
  <c r="P446" i="2" s="1"/>
  <c r="Y446" i="2" s="1"/>
  <c r="N444" i="1" s="1"/>
  <c r="W445" i="2"/>
  <c r="U445" i="2"/>
  <c r="T445" i="2"/>
  <c r="Q443" i="1" s="1"/>
  <c r="X443" i="1" s="1"/>
  <c r="S445" i="2"/>
  <c r="C443" i="1" s="1"/>
  <c r="R445" i="2"/>
  <c r="D443" i="1" s="1"/>
  <c r="Q445" i="2"/>
  <c r="O445" i="2"/>
  <c r="P445" i="2" s="1"/>
  <c r="Y445" i="2" s="1"/>
  <c r="N443" i="1" s="1"/>
  <c r="W444" i="2"/>
  <c r="U444" i="2"/>
  <c r="B442" i="1" s="1"/>
  <c r="T444" i="2"/>
  <c r="Q442" i="1" s="1"/>
  <c r="X442" i="1" s="1"/>
  <c r="S444" i="2"/>
  <c r="C442" i="1" s="1"/>
  <c r="R444" i="2"/>
  <c r="D442" i="1" s="1"/>
  <c r="Q444" i="2"/>
  <c r="O444" i="2"/>
  <c r="P444" i="2" s="1"/>
  <c r="Y444" i="2" s="1"/>
  <c r="N442" i="1" s="1"/>
  <c r="W443" i="2"/>
  <c r="U443" i="2"/>
  <c r="T443" i="2"/>
  <c r="S443" i="2"/>
  <c r="R443" i="2"/>
  <c r="Q443" i="2"/>
  <c r="Y441" i="1" s="1"/>
  <c r="O443" i="2"/>
  <c r="P443" i="2" s="1"/>
  <c r="Y443" i="2" s="1"/>
  <c r="N441" i="1" s="1"/>
  <c r="W442" i="2"/>
  <c r="U442" i="2"/>
  <c r="T442" i="2"/>
  <c r="Q440" i="1" s="1"/>
  <c r="X440" i="1" s="1"/>
  <c r="S442" i="2"/>
  <c r="C440" i="1" s="1"/>
  <c r="R442" i="2"/>
  <c r="D440" i="1" s="1"/>
  <c r="Q442" i="2"/>
  <c r="Y440" i="1" s="1"/>
  <c r="O442" i="2"/>
  <c r="P442" i="2" s="1"/>
  <c r="Y442" i="2" s="1"/>
  <c r="N440" i="1" s="1"/>
  <c r="W441" i="2"/>
  <c r="U441" i="2"/>
  <c r="B439" i="1" s="1"/>
  <c r="T441" i="2"/>
  <c r="S441" i="2"/>
  <c r="C439" i="1" s="1"/>
  <c r="R441" i="2"/>
  <c r="D439" i="1" s="1"/>
  <c r="Q441" i="2"/>
  <c r="Y439" i="1" s="1"/>
  <c r="O441" i="2"/>
  <c r="P441" i="2" s="1"/>
  <c r="Y441" i="2" s="1"/>
  <c r="N439" i="1" s="1"/>
  <c r="W440" i="2"/>
  <c r="U440" i="2"/>
  <c r="B438" i="1" s="1"/>
  <c r="T440" i="2"/>
  <c r="Q438" i="1" s="1"/>
  <c r="X438" i="1" s="1"/>
  <c r="S440" i="2"/>
  <c r="C438" i="1" s="1"/>
  <c r="R440" i="2"/>
  <c r="D438" i="1" s="1"/>
  <c r="Q440" i="2"/>
  <c r="Y438" i="1" s="1"/>
  <c r="O440" i="2"/>
  <c r="P440" i="2" s="1"/>
  <c r="Y440" i="2" s="1"/>
  <c r="N438" i="1" s="1"/>
  <c r="W439" i="2"/>
  <c r="V439" i="2" s="1"/>
  <c r="X439" i="2" s="1"/>
  <c r="U439" i="2"/>
  <c r="B437" i="1" s="1"/>
  <c r="T439" i="2"/>
  <c r="S439" i="2"/>
  <c r="C437" i="1" s="1"/>
  <c r="R439" i="2"/>
  <c r="Q439" i="2"/>
  <c r="Y437" i="1" s="1"/>
  <c r="O439" i="2"/>
  <c r="P439" i="2" s="1"/>
  <c r="Y439" i="2" s="1"/>
  <c r="N437" i="1" s="1"/>
  <c r="W438" i="2"/>
  <c r="U438" i="2"/>
  <c r="B436" i="1" s="1"/>
  <c r="T438" i="2"/>
  <c r="Q436" i="1" s="1"/>
  <c r="X436" i="1" s="1"/>
  <c r="S438" i="2"/>
  <c r="C436" i="1" s="1"/>
  <c r="R438" i="2"/>
  <c r="D436" i="1" s="1"/>
  <c r="Q438" i="2"/>
  <c r="Y436" i="1" s="1"/>
  <c r="O438" i="2"/>
  <c r="P438" i="2" s="1"/>
  <c r="Y438" i="2" s="1"/>
  <c r="N436" i="1" s="1"/>
  <c r="W437" i="2"/>
  <c r="V437" i="2" s="1"/>
  <c r="X437" i="2" s="1"/>
  <c r="Z437" i="2" s="1"/>
  <c r="U437" i="2"/>
  <c r="B435" i="1" s="1"/>
  <c r="T437" i="2"/>
  <c r="Q435" i="1" s="1"/>
  <c r="X435" i="1" s="1"/>
  <c r="S437" i="2"/>
  <c r="C435" i="1" s="1"/>
  <c r="R437" i="2"/>
  <c r="D435" i="1" s="1"/>
  <c r="Q437" i="2"/>
  <c r="Y435" i="1" s="1"/>
  <c r="O437" i="2"/>
  <c r="P437" i="2" s="1"/>
  <c r="Y437" i="2" s="1"/>
  <c r="N435" i="1" s="1"/>
  <c r="W436" i="2"/>
  <c r="U436" i="2"/>
  <c r="B434" i="1" s="1"/>
  <c r="T436" i="2"/>
  <c r="Q434" i="1" s="1"/>
  <c r="X434" i="1" s="1"/>
  <c r="S436" i="2"/>
  <c r="C434" i="1" s="1"/>
  <c r="R436" i="2"/>
  <c r="D434" i="1" s="1"/>
  <c r="Q436" i="2"/>
  <c r="Y434" i="1" s="1"/>
  <c r="O436" i="2"/>
  <c r="P436" i="2" s="1"/>
  <c r="Y436" i="2" s="1"/>
  <c r="N434" i="1" s="1"/>
  <c r="W435" i="2"/>
  <c r="U435" i="2"/>
  <c r="T435" i="2"/>
  <c r="Q433" i="1" s="1"/>
  <c r="X433" i="1" s="1"/>
  <c r="S435" i="2"/>
  <c r="C433" i="1" s="1"/>
  <c r="R435" i="2"/>
  <c r="D433" i="1" s="1"/>
  <c r="Q435" i="2"/>
  <c r="Y433" i="1" s="1"/>
  <c r="O435" i="2"/>
  <c r="P435" i="2" s="1"/>
  <c r="Y435" i="2" s="1"/>
  <c r="N433" i="1" s="1"/>
  <c r="W434" i="2"/>
  <c r="V434" i="2" s="1"/>
  <c r="U434" i="2"/>
  <c r="T434" i="2"/>
  <c r="Q432" i="1" s="1"/>
  <c r="X432" i="1" s="1"/>
  <c r="S434" i="2"/>
  <c r="R434" i="2"/>
  <c r="D432" i="1" s="1"/>
  <c r="Q434" i="2"/>
  <c r="O434" i="2"/>
  <c r="P434" i="2" s="1"/>
  <c r="Y434" i="2" s="1"/>
  <c r="N432" i="1" s="1"/>
  <c r="W433" i="2"/>
  <c r="U433" i="2"/>
  <c r="B431" i="1" s="1"/>
  <c r="T433" i="2"/>
  <c r="Q431" i="1" s="1"/>
  <c r="X431" i="1" s="1"/>
  <c r="S433" i="2"/>
  <c r="C431" i="1" s="1"/>
  <c r="R433" i="2"/>
  <c r="D431" i="1" s="1"/>
  <c r="Q433" i="2"/>
  <c r="Y431" i="1" s="1"/>
  <c r="O433" i="2"/>
  <c r="P433" i="2" s="1"/>
  <c r="Y433" i="2" s="1"/>
  <c r="N431" i="1" s="1"/>
  <c r="W432" i="2"/>
  <c r="U432" i="2"/>
  <c r="B430" i="1" s="1"/>
  <c r="T432" i="2"/>
  <c r="Q430" i="1" s="1"/>
  <c r="X430" i="1" s="1"/>
  <c r="S432" i="2"/>
  <c r="C430" i="1" s="1"/>
  <c r="R432" i="2"/>
  <c r="Q432" i="2"/>
  <c r="Y430" i="1" s="1"/>
  <c r="O432" i="2"/>
  <c r="P432" i="2" s="1"/>
  <c r="Y432" i="2" s="1"/>
  <c r="N430" i="1" s="1"/>
  <c r="W431" i="2"/>
  <c r="U431" i="2"/>
  <c r="B429" i="1" s="1"/>
  <c r="T431" i="2"/>
  <c r="Q429" i="1" s="1"/>
  <c r="X429" i="1" s="1"/>
  <c r="S431" i="2"/>
  <c r="C429" i="1" s="1"/>
  <c r="R431" i="2"/>
  <c r="D429" i="1" s="1"/>
  <c r="Q431" i="2"/>
  <c r="Y429" i="1" s="1"/>
  <c r="O431" i="2"/>
  <c r="P431" i="2" s="1"/>
  <c r="Y431" i="2" s="1"/>
  <c r="N429" i="1" s="1"/>
  <c r="W430" i="2"/>
  <c r="U430" i="2"/>
  <c r="T430" i="2"/>
  <c r="Q428" i="1" s="1"/>
  <c r="X428" i="1" s="1"/>
  <c r="S430" i="2"/>
  <c r="C428" i="1" s="1"/>
  <c r="R430" i="2"/>
  <c r="D428" i="1" s="1"/>
  <c r="Q430" i="2"/>
  <c r="Y428" i="1" s="1"/>
  <c r="O430" i="2"/>
  <c r="P430" i="2" s="1"/>
  <c r="Y430" i="2" s="1"/>
  <c r="N428" i="1" s="1"/>
  <c r="W429" i="2"/>
  <c r="U429" i="2"/>
  <c r="B427" i="1" s="1"/>
  <c r="T429" i="2"/>
  <c r="Q427" i="1" s="1"/>
  <c r="X427" i="1" s="1"/>
  <c r="S429" i="2"/>
  <c r="C427" i="1" s="1"/>
  <c r="R429" i="2"/>
  <c r="D427" i="1" s="1"/>
  <c r="Q429" i="2"/>
  <c r="Y427" i="1" s="1"/>
  <c r="O429" i="2"/>
  <c r="P429" i="2" s="1"/>
  <c r="Y429" i="2" s="1"/>
  <c r="N427" i="1" s="1"/>
  <c r="W428" i="2"/>
  <c r="V428" i="2" s="1"/>
  <c r="X428" i="2" s="1"/>
  <c r="U428" i="2"/>
  <c r="T428" i="2"/>
  <c r="Q426" i="1" s="1"/>
  <c r="X426" i="1" s="1"/>
  <c r="S428" i="2"/>
  <c r="C426" i="1" s="1"/>
  <c r="R428" i="2"/>
  <c r="D426" i="1" s="1"/>
  <c r="Q428" i="2"/>
  <c r="Y426" i="1" s="1"/>
  <c r="O428" i="2"/>
  <c r="P428" i="2" s="1"/>
  <c r="Y428" i="2" s="1"/>
  <c r="N426" i="1" s="1"/>
  <c r="W427" i="2"/>
  <c r="V427" i="2" s="1"/>
  <c r="X427" i="2" s="1"/>
  <c r="U427" i="2"/>
  <c r="T427" i="2"/>
  <c r="Q425" i="1" s="1"/>
  <c r="X425" i="1" s="1"/>
  <c r="S427" i="2"/>
  <c r="R427" i="2"/>
  <c r="Q427" i="2"/>
  <c r="Y425" i="1" s="1"/>
  <c r="O427" i="2"/>
  <c r="P427" i="2" s="1"/>
  <c r="Y427" i="2" s="1"/>
  <c r="N425" i="1" s="1"/>
  <c r="W426" i="2"/>
  <c r="U426" i="2"/>
  <c r="B424" i="1" s="1"/>
  <c r="T426" i="2"/>
  <c r="Q424" i="1" s="1"/>
  <c r="X424" i="1" s="1"/>
  <c r="S426" i="2"/>
  <c r="C424" i="1" s="1"/>
  <c r="R426" i="2"/>
  <c r="D424" i="1" s="1"/>
  <c r="Q426" i="2"/>
  <c r="Y424" i="1" s="1"/>
  <c r="O426" i="2"/>
  <c r="P426" i="2" s="1"/>
  <c r="Y426" i="2" s="1"/>
  <c r="N424" i="1" s="1"/>
  <c r="W425" i="2"/>
  <c r="U425" i="2"/>
  <c r="B423" i="1" s="1"/>
  <c r="T425" i="2"/>
  <c r="Q423" i="1" s="1"/>
  <c r="X423" i="1" s="1"/>
  <c r="S425" i="2"/>
  <c r="C423" i="1" s="1"/>
  <c r="R425" i="2"/>
  <c r="D423" i="1" s="1"/>
  <c r="Q425" i="2"/>
  <c r="Y423" i="1" s="1"/>
  <c r="O425" i="2"/>
  <c r="P425" i="2" s="1"/>
  <c r="Y425" i="2" s="1"/>
  <c r="N423" i="1" s="1"/>
  <c r="W424" i="2"/>
  <c r="U424" i="2"/>
  <c r="B422" i="1" s="1"/>
  <c r="T424" i="2"/>
  <c r="Q422" i="1" s="1"/>
  <c r="X422" i="1" s="1"/>
  <c r="S424" i="2"/>
  <c r="C422" i="1" s="1"/>
  <c r="R424" i="2"/>
  <c r="D422" i="1" s="1"/>
  <c r="Q424" i="2"/>
  <c r="Y422" i="1" s="1"/>
  <c r="O424" i="2"/>
  <c r="P424" i="2" s="1"/>
  <c r="Y424" i="2" s="1"/>
  <c r="N422" i="1" s="1"/>
  <c r="W423" i="2"/>
  <c r="U423" i="2"/>
  <c r="B421" i="1" s="1"/>
  <c r="T423" i="2"/>
  <c r="Q421" i="1" s="1"/>
  <c r="X421" i="1" s="1"/>
  <c r="S423" i="2"/>
  <c r="C421" i="1" s="1"/>
  <c r="R423" i="2"/>
  <c r="Q423" i="2"/>
  <c r="Y421" i="1" s="1"/>
  <c r="O423" i="2"/>
  <c r="P423" i="2" s="1"/>
  <c r="Y423" i="2" s="1"/>
  <c r="N421" i="1" s="1"/>
  <c r="W422" i="2"/>
  <c r="U422" i="2"/>
  <c r="B420" i="1" s="1"/>
  <c r="T422" i="2"/>
  <c r="Q420" i="1" s="1"/>
  <c r="S422" i="2"/>
  <c r="R422" i="2"/>
  <c r="Q422" i="2"/>
  <c r="Y420" i="1" s="1"/>
  <c r="O422" i="2"/>
  <c r="P422" i="2" s="1"/>
  <c r="Y422" i="2" s="1"/>
  <c r="N420" i="1" s="1"/>
  <c r="W421" i="2"/>
  <c r="U421" i="2"/>
  <c r="B419" i="1" s="1"/>
  <c r="T421" i="2"/>
  <c r="Q419" i="1" s="1"/>
  <c r="X419" i="1" s="1"/>
  <c r="S421" i="2"/>
  <c r="C419" i="1" s="1"/>
  <c r="R421" i="2"/>
  <c r="D419" i="1" s="1"/>
  <c r="Q421" i="2"/>
  <c r="Y419" i="1" s="1"/>
  <c r="O421" i="2"/>
  <c r="P421" i="2" s="1"/>
  <c r="Y421" i="2" s="1"/>
  <c r="N419" i="1" s="1"/>
  <c r="W420" i="2"/>
  <c r="U420" i="2"/>
  <c r="B418" i="1" s="1"/>
  <c r="T420" i="2"/>
  <c r="Q418" i="1" s="1"/>
  <c r="X418" i="1" s="1"/>
  <c r="S420" i="2"/>
  <c r="C418" i="1" s="1"/>
  <c r="R420" i="2"/>
  <c r="D418" i="1" s="1"/>
  <c r="Q420" i="2"/>
  <c r="Y418" i="1" s="1"/>
  <c r="O420" i="2"/>
  <c r="P420" i="2" s="1"/>
  <c r="Y420" i="2" s="1"/>
  <c r="N418" i="1" s="1"/>
  <c r="W419" i="2"/>
  <c r="U419" i="2"/>
  <c r="B417" i="1" s="1"/>
  <c r="T419" i="2"/>
  <c r="Q417" i="1" s="1"/>
  <c r="X417" i="1" s="1"/>
  <c r="S419" i="2"/>
  <c r="C417" i="1" s="1"/>
  <c r="R419" i="2"/>
  <c r="D417" i="1" s="1"/>
  <c r="Q419" i="2"/>
  <c r="Y417" i="1" s="1"/>
  <c r="O419" i="2"/>
  <c r="P419" i="2" s="1"/>
  <c r="Y419" i="2" s="1"/>
  <c r="N417" i="1" s="1"/>
  <c r="W418" i="2"/>
  <c r="V418" i="2" s="1"/>
  <c r="X418" i="2" s="1"/>
  <c r="U418" i="2"/>
  <c r="T418" i="2"/>
  <c r="Q416" i="1" s="1"/>
  <c r="X416" i="1" s="1"/>
  <c r="S418" i="2"/>
  <c r="C416" i="1" s="1"/>
  <c r="R418" i="2"/>
  <c r="D416" i="1" s="1"/>
  <c r="Q418" i="2"/>
  <c r="Y416" i="1" s="1"/>
  <c r="O418" i="2"/>
  <c r="P418" i="2" s="1"/>
  <c r="Y418" i="2" s="1"/>
  <c r="N416" i="1" s="1"/>
  <c r="W417" i="2"/>
  <c r="V417" i="2" s="1"/>
  <c r="U417" i="2"/>
  <c r="B415" i="1" s="1"/>
  <c r="T417" i="2"/>
  <c r="Q415" i="1" s="1"/>
  <c r="X415" i="1" s="1"/>
  <c r="S417" i="2"/>
  <c r="C415" i="1" s="1"/>
  <c r="R417" i="2"/>
  <c r="D415" i="1" s="1"/>
  <c r="Q417" i="2"/>
  <c r="Y415" i="1" s="1"/>
  <c r="O417" i="2"/>
  <c r="P417" i="2" s="1"/>
  <c r="Y417" i="2" s="1"/>
  <c r="N415" i="1" s="1"/>
  <c r="W416" i="2"/>
  <c r="V416" i="2" s="1"/>
  <c r="X416" i="2" s="1"/>
  <c r="Z416" i="2" s="1"/>
  <c r="U416" i="2"/>
  <c r="B414" i="1" s="1"/>
  <c r="T416" i="2"/>
  <c r="Q414" i="1" s="1"/>
  <c r="X414" i="1" s="1"/>
  <c r="S416" i="2"/>
  <c r="C414" i="1" s="1"/>
  <c r="R416" i="2"/>
  <c r="D414" i="1" s="1"/>
  <c r="Q416" i="2"/>
  <c r="O416" i="2"/>
  <c r="P416" i="2" s="1"/>
  <c r="Y416" i="2" s="1"/>
  <c r="N414" i="1" s="1"/>
  <c r="W415" i="2"/>
  <c r="U415" i="2"/>
  <c r="B413" i="1" s="1"/>
  <c r="T415" i="2"/>
  <c r="Q413" i="1" s="1"/>
  <c r="X413" i="1" s="1"/>
  <c r="S415" i="2"/>
  <c r="C413" i="1" s="1"/>
  <c r="R415" i="2"/>
  <c r="D413" i="1" s="1"/>
  <c r="Q415" i="2"/>
  <c r="O415" i="2"/>
  <c r="P415" i="2" s="1"/>
  <c r="Y415" i="2" s="1"/>
  <c r="N413" i="1" s="1"/>
  <c r="W414" i="2"/>
  <c r="V414" i="2" s="1"/>
  <c r="X414" i="2" s="1"/>
  <c r="Z414" i="2" s="1"/>
  <c r="U414" i="2"/>
  <c r="T414" i="2"/>
  <c r="Q412" i="1" s="1"/>
  <c r="X412" i="1" s="1"/>
  <c r="S414" i="2"/>
  <c r="C412" i="1" s="1"/>
  <c r="R414" i="2"/>
  <c r="D412" i="1" s="1"/>
  <c r="Q414" i="2"/>
  <c r="O414" i="2"/>
  <c r="P414" i="2" s="1"/>
  <c r="Y414" i="2" s="1"/>
  <c r="N412" i="1" s="1"/>
  <c r="W413" i="2"/>
  <c r="V413" i="2" s="1"/>
  <c r="X413" i="2"/>
  <c r="Z413" i="2" s="1"/>
  <c r="U413" i="2"/>
  <c r="B411" i="1" s="1"/>
  <c r="T413" i="2"/>
  <c r="S413" i="2"/>
  <c r="C411" i="1" s="1"/>
  <c r="R413" i="2"/>
  <c r="D411" i="1" s="1"/>
  <c r="Q413" i="2"/>
  <c r="Y411" i="1" s="1"/>
  <c r="O413" i="2"/>
  <c r="P413" i="2" s="1"/>
  <c r="Y413" i="2" s="1"/>
  <c r="N411" i="1" s="1"/>
  <c r="W412" i="2"/>
  <c r="U412" i="2"/>
  <c r="B410" i="1" s="1"/>
  <c r="T412" i="2"/>
  <c r="Q410" i="1" s="1"/>
  <c r="X410" i="1" s="1"/>
  <c r="S412" i="2"/>
  <c r="C410" i="1" s="1"/>
  <c r="R412" i="2"/>
  <c r="D410" i="1" s="1"/>
  <c r="Q412" i="2"/>
  <c r="Y410" i="1" s="1"/>
  <c r="O412" i="2"/>
  <c r="P412" i="2" s="1"/>
  <c r="Y412" i="2" s="1"/>
  <c r="N410" i="1" s="1"/>
  <c r="W411" i="2"/>
  <c r="U411" i="2"/>
  <c r="B409" i="1" s="1"/>
  <c r="T411" i="2"/>
  <c r="Q409" i="1" s="1"/>
  <c r="X409" i="1" s="1"/>
  <c r="S411" i="2"/>
  <c r="C409" i="1" s="1"/>
  <c r="R411" i="2"/>
  <c r="D409" i="1" s="1"/>
  <c r="Q411" i="2"/>
  <c r="Y409" i="1" s="1"/>
  <c r="O411" i="2"/>
  <c r="P411" i="2" s="1"/>
  <c r="Y411" i="2" s="1"/>
  <c r="N409" i="1" s="1"/>
  <c r="W410" i="2"/>
  <c r="V410" i="2" s="1"/>
  <c r="X410" i="2" s="1"/>
  <c r="Z410" i="2" s="1"/>
  <c r="U410" i="2"/>
  <c r="B408" i="1" s="1"/>
  <c r="T410" i="2"/>
  <c r="Q408" i="1" s="1"/>
  <c r="X408" i="1" s="1"/>
  <c r="S410" i="2"/>
  <c r="C408" i="1" s="1"/>
  <c r="R410" i="2"/>
  <c r="D408" i="1" s="1"/>
  <c r="Q410" i="2"/>
  <c r="Y408" i="1" s="1"/>
  <c r="O410" i="2"/>
  <c r="P410" i="2" s="1"/>
  <c r="Y410" i="2" s="1"/>
  <c r="N408" i="1" s="1"/>
  <c r="W409" i="2"/>
  <c r="V409" i="2" s="1"/>
  <c r="X409" i="2" s="1"/>
  <c r="U409" i="2"/>
  <c r="T409" i="2"/>
  <c r="Q407" i="1" s="1"/>
  <c r="X407" i="1" s="1"/>
  <c r="S409" i="2"/>
  <c r="R409" i="2"/>
  <c r="D407" i="1" s="1"/>
  <c r="Q409" i="2"/>
  <c r="Y407" i="1" s="1"/>
  <c r="O409" i="2"/>
  <c r="P409" i="2" s="1"/>
  <c r="Y409" i="2" s="1"/>
  <c r="N407" i="1" s="1"/>
  <c r="W408" i="2"/>
  <c r="U408" i="2"/>
  <c r="T408" i="2"/>
  <c r="Q406" i="1" s="1"/>
  <c r="X406" i="1" s="1"/>
  <c r="S408" i="2"/>
  <c r="C406" i="1" s="1"/>
  <c r="R408" i="2"/>
  <c r="D406" i="1" s="1"/>
  <c r="Q408" i="2"/>
  <c r="Y406" i="1" s="1"/>
  <c r="O408" i="2"/>
  <c r="P408" i="2" s="1"/>
  <c r="Y408" i="2" s="1"/>
  <c r="N406" i="1" s="1"/>
  <c r="W407" i="2"/>
  <c r="U407" i="2"/>
  <c r="B405" i="1" s="1"/>
  <c r="T407" i="2"/>
  <c r="Q405" i="1" s="1"/>
  <c r="X405" i="1" s="1"/>
  <c r="S407" i="2"/>
  <c r="C405" i="1" s="1"/>
  <c r="R407" i="2"/>
  <c r="D405" i="1" s="1"/>
  <c r="Q407" i="2"/>
  <c r="Y405" i="1" s="1"/>
  <c r="O407" i="2"/>
  <c r="P407" i="2" s="1"/>
  <c r="Y407" i="2" s="1"/>
  <c r="N405" i="1" s="1"/>
  <c r="W406" i="2"/>
  <c r="U406" i="2"/>
  <c r="T406" i="2"/>
  <c r="Q404" i="1" s="1"/>
  <c r="X404" i="1" s="1"/>
  <c r="S406" i="2"/>
  <c r="C404" i="1" s="1"/>
  <c r="R406" i="2"/>
  <c r="D404" i="1" s="1"/>
  <c r="Q406" i="2"/>
  <c r="Y404" i="1" s="1"/>
  <c r="O406" i="2"/>
  <c r="P406" i="2" s="1"/>
  <c r="Y406" i="2" s="1"/>
  <c r="N404" i="1" s="1"/>
  <c r="W405" i="2"/>
  <c r="U405" i="2"/>
  <c r="B403" i="1" s="1"/>
  <c r="T405" i="2"/>
  <c r="Q403" i="1" s="1"/>
  <c r="X403" i="1" s="1"/>
  <c r="S405" i="2"/>
  <c r="C403" i="1" s="1"/>
  <c r="R405" i="2"/>
  <c r="D403" i="1" s="1"/>
  <c r="Q405" i="2"/>
  <c r="O405" i="2"/>
  <c r="P405" i="2" s="1"/>
  <c r="Y405" i="2" s="1"/>
  <c r="N403" i="1" s="1"/>
  <c r="W404" i="2"/>
  <c r="U404" i="2"/>
  <c r="B402" i="1" s="1"/>
  <c r="T404" i="2"/>
  <c r="Q402" i="1" s="1"/>
  <c r="X402" i="1" s="1"/>
  <c r="S404" i="2"/>
  <c r="C402" i="1" s="1"/>
  <c r="R404" i="2"/>
  <c r="D402" i="1" s="1"/>
  <c r="Q404" i="2"/>
  <c r="Y402" i="1" s="1"/>
  <c r="O404" i="2"/>
  <c r="P404" i="2" s="1"/>
  <c r="Y404" i="2" s="1"/>
  <c r="N402" i="1" s="1"/>
  <c r="W403" i="2"/>
  <c r="U403" i="2"/>
  <c r="B401" i="1" s="1"/>
  <c r="T403" i="2"/>
  <c r="Q401" i="1" s="1"/>
  <c r="X401" i="1" s="1"/>
  <c r="S403" i="2"/>
  <c r="C401" i="1" s="1"/>
  <c r="R403" i="2"/>
  <c r="D401" i="1" s="1"/>
  <c r="Q403" i="2"/>
  <c r="Y401" i="1" s="1"/>
  <c r="O403" i="2"/>
  <c r="P403" i="2" s="1"/>
  <c r="Y403" i="2" s="1"/>
  <c r="N401" i="1" s="1"/>
  <c r="W402" i="2"/>
  <c r="U402" i="2"/>
  <c r="B400" i="1" s="1"/>
  <c r="T402" i="2"/>
  <c r="S402" i="2"/>
  <c r="R402" i="2"/>
  <c r="D400" i="1" s="1"/>
  <c r="Q402" i="2"/>
  <c r="Y400" i="1" s="1"/>
  <c r="O402" i="2"/>
  <c r="P402" i="2" s="1"/>
  <c r="Y402" i="2" s="1"/>
  <c r="N400" i="1" s="1"/>
  <c r="W401" i="2"/>
  <c r="V401" i="2" s="1"/>
  <c r="X401" i="2" s="1"/>
  <c r="U401" i="2"/>
  <c r="B399" i="1" s="1"/>
  <c r="T401" i="2"/>
  <c r="Q399" i="1" s="1"/>
  <c r="X399" i="1" s="1"/>
  <c r="S401" i="2"/>
  <c r="C399" i="1" s="1"/>
  <c r="R401" i="2"/>
  <c r="D399" i="1" s="1"/>
  <c r="Q401" i="2"/>
  <c r="Y399" i="1" s="1"/>
  <c r="O401" i="2"/>
  <c r="P401" i="2" s="1"/>
  <c r="Y401" i="2" s="1"/>
  <c r="N399" i="1" s="1"/>
  <c r="W400" i="2"/>
  <c r="U400" i="2"/>
  <c r="B398" i="1" s="1"/>
  <c r="T400" i="2"/>
  <c r="Q398" i="1" s="1"/>
  <c r="X398" i="1" s="1"/>
  <c r="S400" i="2"/>
  <c r="R400" i="2"/>
  <c r="Q400" i="2"/>
  <c r="O400" i="2"/>
  <c r="P400" i="2" s="1"/>
  <c r="Y400" i="2" s="1"/>
  <c r="N398" i="1" s="1"/>
  <c r="W399" i="2"/>
  <c r="U399" i="2"/>
  <c r="B397" i="1" s="1"/>
  <c r="T399" i="2"/>
  <c r="Q397" i="1" s="1"/>
  <c r="X397" i="1" s="1"/>
  <c r="S399" i="2"/>
  <c r="C397" i="1" s="1"/>
  <c r="R399" i="2"/>
  <c r="D397" i="1" s="1"/>
  <c r="Q399" i="2"/>
  <c r="Y397" i="1" s="1"/>
  <c r="O399" i="2"/>
  <c r="P399" i="2" s="1"/>
  <c r="Y399" i="2" s="1"/>
  <c r="N397" i="1" s="1"/>
  <c r="W398" i="2"/>
  <c r="U398" i="2"/>
  <c r="B396" i="1" s="1"/>
  <c r="T398" i="2"/>
  <c r="Q396" i="1" s="1"/>
  <c r="X396" i="1" s="1"/>
  <c r="S398" i="2"/>
  <c r="C396" i="1" s="1"/>
  <c r="R398" i="2"/>
  <c r="D396" i="1" s="1"/>
  <c r="Q398" i="2"/>
  <c r="O398" i="2"/>
  <c r="P398" i="2" s="1"/>
  <c r="Y398" i="2" s="1"/>
  <c r="N396" i="1" s="1"/>
  <c r="W397" i="2"/>
  <c r="U397" i="2"/>
  <c r="B395" i="1" s="1"/>
  <c r="T397" i="2"/>
  <c r="Q395" i="1" s="1"/>
  <c r="X395" i="1" s="1"/>
  <c r="S397" i="2"/>
  <c r="C395" i="1" s="1"/>
  <c r="R397" i="2"/>
  <c r="D395" i="1" s="1"/>
  <c r="Q397" i="2"/>
  <c r="Y395" i="1" s="1"/>
  <c r="O397" i="2"/>
  <c r="P397" i="2" s="1"/>
  <c r="Y397" i="2" s="1"/>
  <c r="N395" i="1" s="1"/>
  <c r="W396" i="2"/>
  <c r="U396" i="2"/>
  <c r="B394" i="1" s="1"/>
  <c r="T396" i="2"/>
  <c r="S396" i="2"/>
  <c r="C394" i="1" s="1"/>
  <c r="R396" i="2"/>
  <c r="D394" i="1" s="1"/>
  <c r="Q396" i="2"/>
  <c r="Y394" i="1" s="1"/>
  <c r="O396" i="2"/>
  <c r="P396" i="2" s="1"/>
  <c r="Y396" i="2" s="1"/>
  <c r="N394" i="1" s="1"/>
  <c r="W395" i="2"/>
  <c r="U395" i="2"/>
  <c r="T395" i="2"/>
  <c r="Q393" i="1" s="1"/>
  <c r="X393" i="1" s="1"/>
  <c r="S395" i="2"/>
  <c r="C393" i="1" s="1"/>
  <c r="R395" i="2"/>
  <c r="D393" i="1" s="1"/>
  <c r="Q395" i="2"/>
  <c r="Y393" i="1" s="1"/>
  <c r="O395" i="2"/>
  <c r="P395" i="2" s="1"/>
  <c r="Y395" i="2" s="1"/>
  <c r="N393" i="1" s="1"/>
  <c r="W394" i="2"/>
  <c r="U394" i="2"/>
  <c r="B392" i="1" s="1"/>
  <c r="T394" i="2"/>
  <c r="Q392" i="1" s="1"/>
  <c r="X392" i="1" s="1"/>
  <c r="S394" i="2"/>
  <c r="C392" i="1" s="1"/>
  <c r="R394" i="2"/>
  <c r="D392" i="1" s="1"/>
  <c r="Q394" i="2"/>
  <c r="Y392" i="1" s="1"/>
  <c r="O394" i="2"/>
  <c r="P394" i="2" s="1"/>
  <c r="Y394" i="2" s="1"/>
  <c r="N392" i="1" s="1"/>
  <c r="W393" i="2"/>
  <c r="U393" i="2"/>
  <c r="B391" i="1" s="1"/>
  <c r="T393" i="2"/>
  <c r="Q391" i="1" s="1"/>
  <c r="X391" i="1" s="1"/>
  <c r="S393" i="2"/>
  <c r="C391" i="1" s="1"/>
  <c r="R393" i="2"/>
  <c r="D391" i="1" s="1"/>
  <c r="Q393" i="2"/>
  <c r="Y391" i="1" s="1"/>
  <c r="O393" i="2"/>
  <c r="P393" i="2" s="1"/>
  <c r="Y393" i="2" s="1"/>
  <c r="N391" i="1" s="1"/>
  <c r="W392" i="2"/>
  <c r="U392" i="2"/>
  <c r="B390" i="1" s="1"/>
  <c r="T392" i="2"/>
  <c r="Q390" i="1" s="1"/>
  <c r="X390" i="1" s="1"/>
  <c r="S392" i="2"/>
  <c r="C390" i="1" s="1"/>
  <c r="R392" i="2"/>
  <c r="D390" i="1" s="1"/>
  <c r="Q392" i="2"/>
  <c r="Y390" i="1" s="1"/>
  <c r="O392" i="2"/>
  <c r="P392" i="2" s="1"/>
  <c r="Y392" i="2" s="1"/>
  <c r="N390" i="1" s="1"/>
  <c r="W391" i="2"/>
  <c r="U391" i="2"/>
  <c r="B389" i="1" s="1"/>
  <c r="T391" i="2"/>
  <c r="Q389" i="1" s="1"/>
  <c r="X389" i="1" s="1"/>
  <c r="S391" i="2"/>
  <c r="C389" i="1" s="1"/>
  <c r="R391" i="2"/>
  <c r="Q391" i="2"/>
  <c r="Y389" i="1" s="1"/>
  <c r="O391" i="2"/>
  <c r="P391" i="2" s="1"/>
  <c r="Y391" i="2" s="1"/>
  <c r="N389" i="1" s="1"/>
  <c r="W390" i="2"/>
  <c r="U390" i="2"/>
  <c r="B388" i="1" s="1"/>
  <c r="T390" i="2"/>
  <c r="Q388" i="1" s="1"/>
  <c r="X388" i="1" s="1"/>
  <c r="S390" i="2"/>
  <c r="C388" i="1" s="1"/>
  <c r="R390" i="2"/>
  <c r="D388" i="1" s="1"/>
  <c r="Q390" i="2"/>
  <c r="Y388" i="1" s="1"/>
  <c r="O390" i="2"/>
  <c r="P390" i="2" s="1"/>
  <c r="Y390" i="2" s="1"/>
  <c r="N388" i="1" s="1"/>
  <c r="W389" i="2"/>
  <c r="U389" i="2"/>
  <c r="T389" i="2"/>
  <c r="S389" i="2"/>
  <c r="C387" i="1" s="1"/>
  <c r="R389" i="2"/>
  <c r="D387" i="1" s="1"/>
  <c r="Q389" i="2"/>
  <c r="Y387" i="1" s="1"/>
  <c r="O389" i="2"/>
  <c r="P389" i="2" s="1"/>
  <c r="Y389" i="2" s="1"/>
  <c r="N387" i="1" s="1"/>
  <c r="W388" i="2"/>
  <c r="V388" i="2" s="1"/>
  <c r="X388" i="2" s="1"/>
  <c r="Z388" i="2" s="1"/>
  <c r="U388" i="2"/>
  <c r="B386" i="1" s="1"/>
  <c r="T388" i="2"/>
  <c r="Q386" i="1" s="1"/>
  <c r="X386" i="1" s="1"/>
  <c r="S388" i="2"/>
  <c r="C386" i="1" s="1"/>
  <c r="R388" i="2"/>
  <c r="D386" i="1" s="1"/>
  <c r="Q388" i="2"/>
  <c r="Y386" i="1" s="1"/>
  <c r="O388" i="2"/>
  <c r="P388" i="2" s="1"/>
  <c r="Y388" i="2" s="1"/>
  <c r="N386" i="1" s="1"/>
  <c r="W387" i="2"/>
  <c r="U387" i="2"/>
  <c r="T387" i="2"/>
  <c r="Q385" i="1" s="1"/>
  <c r="X385" i="1" s="1"/>
  <c r="S387" i="2"/>
  <c r="C385" i="1" s="1"/>
  <c r="R387" i="2"/>
  <c r="D385" i="1" s="1"/>
  <c r="Q387" i="2"/>
  <c r="Y385" i="1" s="1"/>
  <c r="O387" i="2"/>
  <c r="P387" i="2" s="1"/>
  <c r="Y387" i="2" s="1"/>
  <c r="N385" i="1" s="1"/>
  <c r="W386" i="2"/>
  <c r="U386" i="2"/>
  <c r="T386" i="2"/>
  <c r="Q384" i="1" s="1"/>
  <c r="X384" i="1" s="1"/>
  <c r="S386" i="2"/>
  <c r="R386" i="2"/>
  <c r="D384" i="1" s="1"/>
  <c r="Q386" i="2"/>
  <c r="Y384" i="1" s="1"/>
  <c r="O386" i="2"/>
  <c r="P386" i="2" s="1"/>
  <c r="Y386" i="2" s="1"/>
  <c r="N384" i="1" s="1"/>
  <c r="W385" i="2"/>
  <c r="U385" i="2"/>
  <c r="B383" i="1" s="1"/>
  <c r="T385" i="2"/>
  <c r="Q383" i="1" s="1"/>
  <c r="X383" i="1" s="1"/>
  <c r="S385" i="2"/>
  <c r="C383" i="1" s="1"/>
  <c r="R385" i="2"/>
  <c r="D383" i="1" s="1"/>
  <c r="Q385" i="2"/>
  <c r="O385" i="2"/>
  <c r="P385" i="2" s="1"/>
  <c r="Y385" i="2" s="1"/>
  <c r="N383" i="1" s="1"/>
  <c r="W384" i="2"/>
  <c r="U384" i="2"/>
  <c r="B382" i="1" s="1"/>
  <c r="T384" i="2"/>
  <c r="Q382" i="1" s="1"/>
  <c r="X382" i="1" s="1"/>
  <c r="S384" i="2"/>
  <c r="C382" i="1" s="1"/>
  <c r="R384" i="2"/>
  <c r="Q384" i="2"/>
  <c r="Y382" i="1" s="1"/>
  <c r="O384" i="2"/>
  <c r="P384" i="2" s="1"/>
  <c r="Y384" i="2" s="1"/>
  <c r="N382" i="1" s="1"/>
  <c r="W383" i="2"/>
  <c r="U383" i="2"/>
  <c r="B381" i="1" s="1"/>
  <c r="T383" i="2"/>
  <c r="Q381" i="1" s="1"/>
  <c r="X381" i="1" s="1"/>
  <c r="S383" i="2"/>
  <c r="C381" i="1" s="1"/>
  <c r="R383" i="2"/>
  <c r="D381" i="1" s="1"/>
  <c r="Q383" i="2"/>
  <c r="Y381" i="1" s="1"/>
  <c r="O383" i="2"/>
  <c r="P383" i="2" s="1"/>
  <c r="Y383" i="2" s="1"/>
  <c r="N381" i="1" s="1"/>
  <c r="W382" i="2"/>
  <c r="U382" i="2"/>
  <c r="T382" i="2"/>
  <c r="Q380" i="1" s="1"/>
  <c r="X380" i="1" s="1"/>
  <c r="S382" i="2"/>
  <c r="C380" i="1" s="1"/>
  <c r="R382" i="2"/>
  <c r="D380" i="1" s="1"/>
  <c r="Q382" i="2"/>
  <c r="Y380" i="1" s="1"/>
  <c r="O382" i="2"/>
  <c r="P382" i="2" s="1"/>
  <c r="Y382" i="2" s="1"/>
  <c r="N380" i="1" s="1"/>
  <c r="W381" i="2"/>
  <c r="U381" i="2"/>
  <c r="B379" i="1" s="1"/>
  <c r="T381" i="2"/>
  <c r="Q379" i="1" s="1"/>
  <c r="X379" i="1" s="1"/>
  <c r="S381" i="2"/>
  <c r="C379" i="1" s="1"/>
  <c r="R381" i="2"/>
  <c r="D379" i="1" s="1"/>
  <c r="Q381" i="2"/>
  <c r="Y379" i="1" s="1"/>
  <c r="O381" i="2"/>
  <c r="P381" i="2" s="1"/>
  <c r="Y381" i="2" s="1"/>
  <c r="N379" i="1" s="1"/>
  <c r="W380" i="2"/>
  <c r="U380" i="2"/>
  <c r="T380" i="2"/>
  <c r="Q378" i="1" s="1"/>
  <c r="X378" i="1" s="1"/>
  <c r="S380" i="2"/>
  <c r="C378" i="1" s="1"/>
  <c r="R380" i="2"/>
  <c r="D378" i="1" s="1"/>
  <c r="Q380" i="2"/>
  <c r="Y378" i="1" s="1"/>
  <c r="O380" i="2"/>
  <c r="P380" i="2" s="1"/>
  <c r="Y380" i="2" s="1"/>
  <c r="N378" i="1" s="1"/>
  <c r="W379" i="2"/>
  <c r="V379" i="2" s="1"/>
  <c r="X379" i="2" s="1"/>
  <c r="Z379" i="2" s="1"/>
  <c r="U379" i="2"/>
  <c r="T379" i="2"/>
  <c r="Q377" i="1" s="1"/>
  <c r="X377" i="1" s="1"/>
  <c r="S379" i="2"/>
  <c r="C377" i="1" s="1"/>
  <c r="R379" i="2"/>
  <c r="D377" i="1" s="1"/>
  <c r="Q379" i="2"/>
  <c r="Y377" i="1" s="1"/>
  <c r="O379" i="2"/>
  <c r="P379" i="2" s="1"/>
  <c r="Y379" i="2" s="1"/>
  <c r="N377" i="1" s="1"/>
  <c r="W378" i="2"/>
  <c r="U378" i="2"/>
  <c r="T378" i="2"/>
  <c r="Q376" i="1" s="1"/>
  <c r="X376" i="1" s="1"/>
  <c r="S378" i="2"/>
  <c r="R378" i="2"/>
  <c r="D376" i="1" s="1"/>
  <c r="Q378" i="2"/>
  <c r="Y376" i="1" s="1"/>
  <c r="O378" i="2"/>
  <c r="P378" i="2" s="1"/>
  <c r="Y378" i="2" s="1"/>
  <c r="N376" i="1" s="1"/>
  <c r="W377" i="2"/>
  <c r="U377" i="2"/>
  <c r="B375" i="1" s="1"/>
  <c r="T377" i="2"/>
  <c r="Q375" i="1" s="1"/>
  <c r="X375" i="1" s="1"/>
  <c r="S377" i="2"/>
  <c r="C375" i="1" s="1"/>
  <c r="R377" i="2"/>
  <c r="D375" i="1" s="1"/>
  <c r="Q377" i="2"/>
  <c r="Y375" i="1" s="1"/>
  <c r="O377" i="2"/>
  <c r="P377" i="2" s="1"/>
  <c r="Y377" i="2" s="1"/>
  <c r="N375" i="1" s="1"/>
  <c r="W376" i="2"/>
  <c r="U376" i="2"/>
  <c r="B374" i="1" s="1"/>
  <c r="T376" i="2"/>
  <c r="S376" i="2"/>
  <c r="R376" i="2"/>
  <c r="D374" i="1" s="1"/>
  <c r="Q376" i="2"/>
  <c r="O376" i="2"/>
  <c r="P376" i="2" s="1"/>
  <c r="Y376" i="2" s="1"/>
  <c r="N374" i="1" s="1"/>
  <c r="W375" i="2"/>
  <c r="V375" i="2" s="1"/>
  <c r="U375" i="2"/>
  <c r="B373" i="1" s="1"/>
  <c r="T375" i="2"/>
  <c r="Q373" i="1" s="1"/>
  <c r="X373" i="1" s="1"/>
  <c r="S375" i="2"/>
  <c r="C373" i="1" s="1"/>
  <c r="R375" i="2"/>
  <c r="D373" i="1" s="1"/>
  <c r="Q375" i="2"/>
  <c r="Y373" i="1" s="1"/>
  <c r="O375" i="2"/>
  <c r="P375" i="2" s="1"/>
  <c r="Y375" i="2" s="1"/>
  <c r="N373" i="1" s="1"/>
  <c r="W374" i="2"/>
  <c r="U374" i="2"/>
  <c r="B372" i="1" s="1"/>
  <c r="T374" i="2"/>
  <c r="Q372" i="1" s="1"/>
  <c r="X372" i="1" s="1"/>
  <c r="S374" i="2"/>
  <c r="C372" i="1" s="1"/>
  <c r="R374" i="2"/>
  <c r="D372" i="1" s="1"/>
  <c r="Q374" i="2"/>
  <c r="O374" i="2"/>
  <c r="P374" i="2" s="1"/>
  <c r="Y374" i="2" s="1"/>
  <c r="N372" i="1" s="1"/>
  <c r="W373" i="2"/>
  <c r="U373" i="2"/>
  <c r="B371" i="1" s="1"/>
  <c r="T373" i="2"/>
  <c r="Q371" i="1" s="1"/>
  <c r="X371" i="1" s="1"/>
  <c r="S373" i="2"/>
  <c r="C371" i="1" s="1"/>
  <c r="R373" i="2"/>
  <c r="D371" i="1" s="1"/>
  <c r="Q373" i="2"/>
  <c r="O373" i="2"/>
  <c r="P373" i="2" s="1"/>
  <c r="Y373" i="2" s="1"/>
  <c r="N371" i="1" s="1"/>
  <c r="W372" i="2"/>
  <c r="U372" i="2"/>
  <c r="B370" i="1" s="1"/>
  <c r="T372" i="2"/>
  <c r="Q370" i="1" s="1"/>
  <c r="X370" i="1" s="1"/>
  <c r="S372" i="2"/>
  <c r="C370" i="1" s="1"/>
  <c r="R372" i="2"/>
  <c r="D370" i="1" s="1"/>
  <c r="Q372" i="2"/>
  <c r="Y370" i="1" s="1"/>
  <c r="O372" i="2"/>
  <c r="P372" i="2" s="1"/>
  <c r="Y372" i="2" s="1"/>
  <c r="N370" i="1" s="1"/>
  <c r="W371" i="2"/>
  <c r="U371" i="2"/>
  <c r="B369" i="1" s="1"/>
  <c r="T371" i="2"/>
  <c r="Q369" i="1" s="1"/>
  <c r="X369" i="1" s="1"/>
  <c r="S371" i="2"/>
  <c r="C369" i="1" s="1"/>
  <c r="R371" i="2"/>
  <c r="D369" i="1" s="1"/>
  <c r="Q371" i="2"/>
  <c r="Y369" i="1" s="1"/>
  <c r="O371" i="2"/>
  <c r="P371" i="2" s="1"/>
  <c r="Y371" i="2" s="1"/>
  <c r="N369" i="1" s="1"/>
  <c r="W370" i="2"/>
  <c r="U370" i="2"/>
  <c r="T370" i="2"/>
  <c r="Q368" i="1" s="1"/>
  <c r="X368" i="1" s="1"/>
  <c r="S370" i="2"/>
  <c r="C368" i="1" s="1"/>
  <c r="R370" i="2"/>
  <c r="D368" i="1" s="1"/>
  <c r="Q370" i="2"/>
  <c r="Y368" i="1" s="1"/>
  <c r="O370" i="2"/>
  <c r="P370" i="2" s="1"/>
  <c r="Y370" i="2" s="1"/>
  <c r="N368" i="1" s="1"/>
  <c r="W369" i="2"/>
  <c r="U369" i="2"/>
  <c r="T369" i="2"/>
  <c r="Q367" i="1" s="1"/>
  <c r="X367" i="1" s="1"/>
  <c r="S369" i="2"/>
  <c r="C367" i="1" s="1"/>
  <c r="R369" i="2"/>
  <c r="D367" i="1" s="1"/>
  <c r="Q369" i="2"/>
  <c r="Y367" i="1" s="1"/>
  <c r="O369" i="2"/>
  <c r="P369" i="2" s="1"/>
  <c r="Y369" i="2" s="1"/>
  <c r="N367" i="1" s="1"/>
  <c r="W368" i="2"/>
  <c r="U368" i="2"/>
  <c r="B366" i="1" s="1"/>
  <c r="T368" i="2"/>
  <c r="Q366" i="1" s="1"/>
  <c r="X366" i="1" s="1"/>
  <c r="S368" i="2"/>
  <c r="R368" i="2"/>
  <c r="D366" i="1" s="1"/>
  <c r="Q368" i="2"/>
  <c r="Y366" i="1" s="1"/>
  <c r="O368" i="2"/>
  <c r="P368" i="2" s="1"/>
  <c r="Y368" i="2" s="1"/>
  <c r="N366" i="1" s="1"/>
  <c r="W367" i="2"/>
  <c r="U367" i="2"/>
  <c r="B365" i="1" s="1"/>
  <c r="T367" i="2"/>
  <c r="Q365" i="1" s="1"/>
  <c r="X365" i="1" s="1"/>
  <c r="S367" i="2"/>
  <c r="C365" i="1" s="1"/>
  <c r="R367" i="2"/>
  <c r="D365" i="1" s="1"/>
  <c r="Q367" i="2"/>
  <c r="Y365" i="1" s="1"/>
  <c r="O367" i="2"/>
  <c r="P367" i="2" s="1"/>
  <c r="Y367" i="2" s="1"/>
  <c r="N365" i="1" s="1"/>
  <c r="W366" i="2"/>
  <c r="V366" i="2" s="1"/>
  <c r="X366" i="2" s="1"/>
  <c r="Z366" i="2" s="1"/>
  <c r="U366" i="2"/>
  <c r="B364" i="1" s="1"/>
  <c r="T366" i="2"/>
  <c r="Q364" i="1" s="1"/>
  <c r="X364" i="1" s="1"/>
  <c r="S366" i="2"/>
  <c r="R366" i="2"/>
  <c r="Q366" i="2"/>
  <c r="Y364" i="1" s="1"/>
  <c r="O366" i="2"/>
  <c r="P366" i="2" s="1"/>
  <c r="Y366" i="2" s="1"/>
  <c r="N364" i="1" s="1"/>
  <c r="W365" i="2"/>
  <c r="U365" i="2"/>
  <c r="B363" i="1" s="1"/>
  <c r="T365" i="2"/>
  <c r="Q363" i="1" s="1"/>
  <c r="X363" i="1" s="1"/>
  <c r="S365" i="2"/>
  <c r="C363" i="1" s="1"/>
  <c r="R365" i="2"/>
  <c r="D363" i="1" s="1"/>
  <c r="Q365" i="2"/>
  <c r="Y363" i="1" s="1"/>
  <c r="O365" i="2"/>
  <c r="P365" i="2" s="1"/>
  <c r="Y365" i="2" s="1"/>
  <c r="N363" i="1" s="1"/>
  <c r="W364" i="2"/>
  <c r="U364" i="2"/>
  <c r="B362" i="1" s="1"/>
  <c r="T364" i="2"/>
  <c r="S364" i="2"/>
  <c r="C362" i="1" s="1"/>
  <c r="R364" i="2"/>
  <c r="D362" i="1" s="1"/>
  <c r="Q364" i="2"/>
  <c r="Y362" i="1" s="1"/>
  <c r="O364" i="2"/>
  <c r="P364" i="2" s="1"/>
  <c r="Y364" i="2" s="1"/>
  <c r="N362" i="1" s="1"/>
  <c r="W363" i="2"/>
  <c r="U363" i="2"/>
  <c r="B361" i="1" s="1"/>
  <c r="T363" i="2"/>
  <c r="Q361" i="1" s="1"/>
  <c r="X361" i="1" s="1"/>
  <c r="S363" i="2"/>
  <c r="R363" i="2"/>
  <c r="D361" i="1" s="1"/>
  <c r="Q363" i="2"/>
  <c r="Y361" i="1" s="1"/>
  <c r="O363" i="2"/>
  <c r="P363" i="2" s="1"/>
  <c r="Y363" i="2" s="1"/>
  <c r="N361" i="1" s="1"/>
  <c r="W362" i="2"/>
  <c r="U362" i="2"/>
  <c r="B360" i="1" s="1"/>
  <c r="T362" i="2"/>
  <c r="Q360" i="1" s="1"/>
  <c r="X360" i="1" s="1"/>
  <c r="S362" i="2"/>
  <c r="C360" i="1" s="1"/>
  <c r="R362" i="2"/>
  <c r="D360" i="1" s="1"/>
  <c r="Q362" i="2"/>
  <c r="Y360" i="1" s="1"/>
  <c r="O362" i="2"/>
  <c r="P362" i="2" s="1"/>
  <c r="Y362" i="2" s="1"/>
  <c r="N360" i="1" s="1"/>
  <c r="W361" i="2"/>
  <c r="U361" i="2"/>
  <c r="B359" i="1" s="1"/>
  <c r="T361" i="2"/>
  <c r="Q359" i="1" s="1"/>
  <c r="S361" i="2"/>
  <c r="C359" i="1" s="1"/>
  <c r="R361" i="2"/>
  <c r="D359" i="1" s="1"/>
  <c r="Q361" i="2"/>
  <c r="O361" i="2"/>
  <c r="P361" i="2" s="1"/>
  <c r="Y361" i="2" s="1"/>
  <c r="N359" i="1" s="1"/>
  <c r="W360" i="2"/>
  <c r="U360" i="2"/>
  <c r="B358" i="1" s="1"/>
  <c r="T360" i="2"/>
  <c r="Q358" i="1" s="1"/>
  <c r="X358" i="1" s="1"/>
  <c r="S360" i="2"/>
  <c r="C358" i="1" s="1"/>
  <c r="R360" i="2"/>
  <c r="D358" i="1" s="1"/>
  <c r="Q360" i="2"/>
  <c r="Y358" i="1" s="1"/>
  <c r="O360" i="2"/>
  <c r="P360" i="2" s="1"/>
  <c r="Y360" i="2" s="1"/>
  <c r="N358" i="1" s="1"/>
  <c r="W359" i="2"/>
  <c r="V359" i="2" s="1"/>
  <c r="U359" i="2"/>
  <c r="B357" i="1" s="1"/>
  <c r="T359" i="2"/>
  <c r="Q357" i="1" s="1"/>
  <c r="X357" i="1" s="1"/>
  <c r="S359" i="2"/>
  <c r="R359" i="2"/>
  <c r="Q359" i="2"/>
  <c r="Y357" i="1" s="1"/>
  <c r="O359" i="2"/>
  <c r="P359" i="2" s="1"/>
  <c r="Y359" i="2" s="1"/>
  <c r="N357" i="1" s="1"/>
  <c r="W358" i="2"/>
  <c r="U358" i="2"/>
  <c r="B356" i="1" s="1"/>
  <c r="T358" i="2"/>
  <c r="S358" i="2"/>
  <c r="C356" i="1" s="1"/>
  <c r="R358" i="2"/>
  <c r="D356" i="1" s="1"/>
  <c r="Q358" i="2"/>
  <c r="O358" i="2"/>
  <c r="P358" i="2" s="1"/>
  <c r="Y358" i="2" s="1"/>
  <c r="N356" i="1" s="1"/>
  <c r="W357" i="2"/>
  <c r="V357" i="2" s="1"/>
  <c r="X357" i="2" s="1"/>
  <c r="Z357" i="2" s="1"/>
  <c r="U357" i="2"/>
  <c r="T357" i="2"/>
  <c r="Q355" i="1" s="1"/>
  <c r="X355" i="1" s="1"/>
  <c r="S357" i="2"/>
  <c r="C355" i="1" s="1"/>
  <c r="R357" i="2"/>
  <c r="D355" i="1" s="1"/>
  <c r="Q357" i="2"/>
  <c r="O357" i="2"/>
  <c r="P357" i="2" s="1"/>
  <c r="Y357" i="2" s="1"/>
  <c r="N355" i="1" s="1"/>
  <c r="W356" i="2"/>
  <c r="U356" i="2"/>
  <c r="B354" i="1" s="1"/>
  <c r="T356" i="2"/>
  <c r="Q354" i="1" s="1"/>
  <c r="X354" i="1" s="1"/>
  <c r="S356" i="2"/>
  <c r="C354" i="1" s="1"/>
  <c r="R356" i="2"/>
  <c r="D354" i="1" s="1"/>
  <c r="Q356" i="2"/>
  <c r="Y354" i="1" s="1"/>
  <c r="O356" i="2"/>
  <c r="P356" i="2" s="1"/>
  <c r="Y356" i="2" s="1"/>
  <c r="N354" i="1" s="1"/>
  <c r="W355" i="2"/>
  <c r="U355" i="2"/>
  <c r="B353" i="1" s="1"/>
  <c r="T355" i="2"/>
  <c r="Q353" i="1" s="1"/>
  <c r="X353" i="1" s="1"/>
  <c r="S355" i="2"/>
  <c r="C353" i="1" s="1"/>
  <c r="R355" i="2"/>
  <c r="D353" i="1" s="1"/>
  <c r="Q355" i="2"/>
  <c r="Y353" i="1" s="1"/>
  <c r="O355" i="2"/>
  <c r="P355" i="2" s="1"/>
  <c r="Y355" i="2" s="1"/>
  <c r="N353" i="1" s="1"/>
  <c r="W354" i="2"/>
  <c r="U354" i="2"/>
  <c r="T354" i="2"/>
  <c r="Q352" i="1" s="1"/>
  <c r="X352" i="1" s="1"/>
  <c r="S354" i="2"/>
  <c r="C352" i="1" s="1"/>
  <c r="R354" i="2"/>
  <c r="D352" i="1" s="1"/>
  <c r="Q354" i="2"/>
  <c r="Y352" i="1" s="1"/>
  <c r="O354" i="2"/>
  <c r="P354" i="2" s="1"/>
  <c r="Y354" i="2" s="1"/>
  <c r="N352" i="1" s="1"/>
  <c r="W353" i="2"/>
  <c r="U353" i="2"/>
  <c r="B351" i="1" s="1"/>
  <c r="T353" i="2"/>
  <c r="Q351" i="1" s="1"/>
  <c r="X351" i="1" s="1"/>
  <c r="S353" i="2"/>
  <c r="C351" i="1" s="1"/>
  <c r="R353" i="2"/>
  <c r="D351" i="1" s="1"/>
  <c r="Q353" i="2"/>
  <c r="Y351" i="1" s="1"/>
  <c r="O353" i="2"/>
  <c r="P353" i="2" s="1"/>
  <c r="Y353" i="2" s="1"/>
  <c r="N351" i="1" s="1"/>
  <c r="W352" i="2"/>
  <c r="U352" i="2"/>
  <c r="B350" i="1" s="1"/>
  <c r="T352" i="2"/>
  <c r="S352" i="2"/>
  <c r="C350" i="1" s="1"/>
  <c r="R352" i="2"/>
  <c r="D350" i="1" s="1"/>
  <c r="Q352" i="2"/>
  <c r="Y350" i="1" s="1"/>
  <c r="O352" i="2"/>
  <c r="P352" i="2" s="1"/>
  <c r="Y352" i="2" s="1"/>
  <c r="N350" i="1" s="1"/>
  <c r="W351" i="2"/>
  <c r="U351" i="2"/>
  <c r="B349" i="1" s="1"/>
  <c r="T351" i="2"/>
  <c r="Q349" i="1" s="1"/>
  <c r="X349" i="1" s="1"/>
  <c r="S351" i="2"/>
  <c r="C349" i="1" s="1"/>
  <c r="R351" i="2"/>
  <c r="D349" i="1" s="1"/>
  <c r="Q351" i="2"/>
  <c r="Y349" i="1" s="1"/>
  <c r="O351" i="2"/>
  <c r="P351" i="2" s="1"/>
  <c r="Y351" i="2" s="1"/>
  <c r="N349" i="1" s="1"/>
  <c r="W350" i="2"/>
  <c r="U350" i="2"/>
  <c r="B348" i="1" s="1"/>
  <c r="T350" i="2"/>
  <c r="Q348" i="1" s="1"/>
  <c r="X348" i="1" s="1"/>
  <c r="S350" i="2"/>
  <c r="C348" i="1" s="1"/>
  <c r="R350" i="2"/>
  <c r="D348" i="1" s="1"/>
  <c r="Q350" i="2"/>
  <c r="Y348" i="1" s="1"/>
  <c r="O350" i="2"/>
  <c r="P350" i="2" s="1"/>
  <c r="Y350" i="2" s="1"/>
  <c r="N348" i="1" s="1"/>
  <c r="W349" i="2"/>
  <c r="U349" i="2"/>
  <c r="B347" i="1" s="1"/>
  <c r="T349" i="2"/>
  <c r="S349" i="2"/>
  <c r="C347" i="1" s="1"/>
  <c r="R349" i="2"/>
  <c r="D347" i="1" s="1"/>
  <c r="Q349" i="2"/>
  <c r="Y347" i="1" s="1"/>
  <c r="O349" i="2"/>
  <c r="P349" i="2" s="1"/>
  <c r="Y349" i="2" s="1"/>
  <c r="N347" i="1" s="1"/>
  <c r="W348" i="2"/>
  <c r="U348" i="2"/>
  <c r="B346" i="1" s="1"/>
  <c r="T348" i="2"/>
  <c r="Q346" i="1" s="1"/>
  <c r="X346" i="1" s="1"/>
  <c r="S348" i="2"/>
  <c r="C346" i="1" s="1"/>
  <c r="R348" i="2"/>
  <c r="D346" i="1" s="1"/>
  <c r="Q348" i="2"/>
  <c r="Y346" i="1" s="1"/>
  <c r="O348" i="2"/>
  <c r="P348" i="2" s="1"/>
  <c r="Y348" i="2" s="1"/>
  <c r="N346" i="1" s="1"/>
  <c r="W347" i="2"/>
  <c r="U347" i="2"/>
  <c r="T347" i="2"/>
  <c r="Q345" i="1" s="1"/>
  <c r="X345" i="1" s="1"/>
  <c r="S347" i="2"/>
  <c r="C345" i="1" s="1"/>
  <c r="R347" i="2"/>
  <c r="Q347" i="2"/>
  <c r="Y345" i="1" s="1"/>
  <c r="O347" i="2"/>
  <c r="P347" i="2" s="1"/>
  <c r="Y347" i="2" s="1"/>
  <c r="N345" i="1" s="1"/>
  <c r="W346" i="2"/>
  <c r="U346" i="2"/>
  <c r="B344" i="1" s="1"/>
  <c r="T346" i="2"/>
  <c r="Q344" i="1" s="1"/>
  <c r="X344" i="1" s="1"/>
  <c r="S346" i="2"/>
  <c r="C344" i="1" s="1"/>
  <c r="R346" i="2"/>
  <c r="D344" i="1" s="1"/>
  <c r="Q346" i="2"/>
  <c r="Y344" i="1" s="1"/>
  <c r="O346" i="2"/>
  <c r="P346" i="2" s="1"/>
  <c r="Y346" i="2" s="1"/>
  <c r="N344" i="1" s="1"/>
  <c r="W345" i="2"/>
  <c r="U345" i="2"/>
  <c r="B343" i="1" s="1"/>
  <c r="T345" i="2"/>
  <c r="S345" i="2"/>
  <c r="R345" i="2"/>
  <c r="D343" i="1" s="1"/>
  <c r="Q345" i="2"/>
  <c r="Y343" i="1" s="1"/>
  <c r="O345" i="2"/>
  <c r="P345" i="2" s="1"/>
  <c r="Y345" i="2" s="1"/>
  <c r="N343" i="1" s="1"/>
  <c r="W344" i="2"/>
  <c r="U344" i="2"/>
  <c r="B342" i="1" s="1"/>
  <c r="T344" i="2"/>
  <c r="Q342" i="1" s="1"/>
  <c r="X342" i="1" s="1"/>
  <c r="S344" i="2"/>
  <c r="C342" i="1" s="1"/>
  <c r="R344" i="2"/>
  <c r="D342" i="1" s="1"/>
  <c r="Q344" i="2"/>
  <c r="Y342" i="1" s="1"/>
  <c r="O344" i="2"/>
  <c r="P344" i="2" s="1"/>
  <c r="Y344" i="2" s="1"/>
  <c r="N342" i="1" s="1"/>
  <c r="W343" i="2"/>
  <c r="U343" i="2"/>
  <c r="B341" i="1" s="1"/>
  <c r="T343" i="2"/>
  <c r="Q341" i="1" s="1"/>
  <c r="X341" i="1" s="1"/>
  <c r="S343" i="2"/>
  <c r="C341" i="1" s="1"/>
  <c r="R343" i="2"/>
  <c r="D341" i="1" s="1"/>
  <c r="Q343" i="2"/>
  <c r="O343" i="2"/>
  <c r="P343" i="2" s="1"/>
  <c r="Y343" i="2" s="1"/>
  <c r="N341" i="1" s="1"/>
  <c r="W342" i="2"/>
  <c r="U342" i="2"/>
  <c r="B340" i="1" s="1"/>
  <c r="T342" i="2"/>
  <c r="Q340" i="1" s="1"/>
  <c r="X340" i="1" s="1"/>
  <c r="S342" i="2"/>
  <c r="C340" i="1" s="1"/>
  <c r="R342" i="2"/>
  <c r="Q342" i="2"/>
  <c r="Y340" i="1" s="1"/>
  <c r="O342" i="2"/>
  <c r="P342" i="2" s="1"/>
  <c r="Y342" i="2" s="1"/>
  <c r="N340" i="1" s="1"/>
  <c r="W341" i="2"/>
  <c r="V341" i="2" s="1"/>
  <c r="X341" i="2" s="1"/>
  <c r="U341" i="2"/>
  <c r="B339" i="1" s="1"/>
  <c r="T341" i="2"/>
  <c r="Q339" i="1" s="1"/>
  <c r="X339" i="1" s="1"/>
  <c r="S341" i="2"/>
  <c r="C339" i="1" s="1"/>
  <c r="R341" i="2"/>
  <c r="Q341" i="2"/>
  <c r="O341" i="2"/>
  <c r="P341" i="2" s="1"/>
  <c r="Y341" i="2" s="1"/>
  <c r="N339" i="1" s="1"/>
  <c r="W340" i="2"/>
  <c r="U340" i="2"/>
  <c r="B338" i="1" s="1"/>
  <c r="T340" i="2"/>
  <c r="Q338" i="1" s="1"/>
  <c r="X338" i="1" s="1"/>
  <c r="S340" i="2"/>
  <c r="C338" i="1" s="1"/>
  <c r="R340" i="2"/>
  <c r="D338" i="1" s="1"/>
  <c r="Q340" i="2"/>
  <c r="Y338" i="1" s="1"/>
  <c r="O340" i="2"/>
  <c r="P340" i="2" s="1"/>
  <c r="Y340" i="2" s="1"/>
  <c r="N338" i="1" s="1"/>
  <c r="W339" i="2"/>
  <c r="V339" i="2" s="1"/>
  <c r="X339" i="2" s="1"/>
  <c r="Z339" i="2" s="1"/>
  <c r="U339" i="2"/>
  <c r="B337" i="1" s="1"/>
  <c r="T339" i="2"/>
  <c r="Q337" i="1" s="1"/>
  <c r="X337" i="1" s="1"/>
  <c r="S339" i="2"/>
  <c r="C337" i="1" s="1"/>
  <c r="R339" i="2"/>
  <c r="D337" i="1" s="1"/>
  <c r="Q339" i="2"/>
  <c r="Y337" i="1" s="1"/>
  <c r="O339" i="2"/>
  <c r="P339" i="2" s="1"/>
  <c r="Y339" i="2" s="1"/>
  <c r="N337" i="1" s="1"/>
  <c r="W338" i="2"/>
  <c r="U338" i="2"/>
  <c r="B336" i="1" s="1"/>
  <c r="T338" i="2"/>
  <c r="Q336" i="1" s="1"/>
  <c r="X336" i="1" s="1"/>
  <c r="S338" i="2"/>
  <c r="C336" i="1" s="1"/>
  <c r="R338" i="2"/>
  <c r="D336" i="1" s="1"/>
  <c r="Q338" i="2"/>
  <c r="Y336" i="1" s="1"/>
  <c r="O338" i="2"/>
  <c r="P338" i="2" s="1"/>
  <c r="Y338" i="2" s="1"/>
  <c r="N336" i="1" s="1"/>
  <c r="W337" i="2"/>
  <c r="U337" i="2"/>
  <c r="B335" i="1" s="1"/>
  <c r="T337" i="2"/>
  <c r="Q335" i="1" s="1"/>
  <c r="X335" i="1" s="1"/>
  <c r="S337" i="2"/>
  <c r="R337" i="2"/>
  <c r="D335" i="1" s="1"/>
  <c r="Q337" i="2"/>
  <c r="Y335" i="1" s="1"/>
  <c r="O337" i="2"/>
  <c r="P337" i="2" s="1"/>
  <c r="Y337" i="2" s="1"/>
  <c r="N335" i="1" s="1"/>
  <c r="W336" i="2"/>
  <c r="U336" i="2"/>
  <c r="B334" i="1" s="1"/>
  <c r="T336" i="2"/>
  <c r="Q334" i="1" s="1"/>
  <c r="S336" i="2"/>
  <c r="R336" i="2"/>
  <c r="Q336" i="2"/>
  <c r="Y334" i="1" s="1"/>
  <c r="O336" i="2"/>
  <c r="P336" i="2" s="1"/>
  <c r="Y336" i="2" s="1"/>
  <c r="N334" i="1" s="1"/>
  <c r="W335" i="2"/>
  <c r="U335" i="2"/>
  <c r="B333" i="1" s="1"/>
  <c r="T335" i="2"/>
  <c r="Q333" i="1" s="1"/>
  <c r="X333" i="1" s="1"/>
  <c r="S335" i="2"/>
  <c r="C333" i="1" s="1"/>
  <c r="R335" i="2"/>
  <c r="D333" i="1" s="1"/>
  <c r="Q335" i="2"/>
  <c r="Y333" i="1" s="1"/>
  <c r="O335" i="2"/>
  <c r="P335" i="2" s="1"/>
  <c r="Y335" i="2" s="1"/>
  <c r="N333" i="1" s="1"/>
  <c r="W334" i="2"/>
  <c r="U334" i="2"/>
  <c r="B332" i="1" s="1"/>
  <c r="T334" i="2"/>
  <c r="Q332" i="1" s="1"/>
  <c r="X332" i="1" s="1"/>
  <c r="S334" i="2"/>
  <c r="C332" i="1" s="1"/>
  <c r="R334" i="2"/>
  <c r="D332" i="1" s="1"/>
  <c r="Q334" i="2"/>
  <c r="Y332" i="1" s="1"/>
  <c r="O334" i="2"/>
  <c r="P334" i="2" s="1"/>
  <c r="Y334" i="2" s="1"/>
  <c r="N332" i="1" s="1"/>
  <c r="W333" i="2"/>
  <c r="U333" i="2"/>
  <c r="B331" i="1" s="1"/>
  <c r="T333" i="2"/>
  <c r="Q331" i="1" s="1"/>
  <c r="X331" i="1" s="1"/>
  <c r="S333" i="2"/>
  <c r="C331" i="1" s="1"/>
  <c r="R333" i="2"/>
  <c r="D331" i="1" s="1"/>
  <c r="Q333" i="2"/>
  <c r="Y331" i="1" s="1"/>
  <c r="O333" i="2"/>
  <c r="P333" i="2" s="1"/>
  <c r="Y333" i="2" s="1"/>
  <c r="N331" i="1" s="1"/>
  <c r="W332" i="2"/>
  <c r="U332" i="2"/>
  <c r="B330" i="1" s="1"/>
  <c r="T332" i="2"/>
  <c r="S332" i="2"/>
  <c r="C330" i="1" s="1"/>
  <c r="R332" i="2"/>
  <c r="D330" i="1" s="1"/>
  <c r="Q332" i="2"/>
  <c r="Y330" i="1" s="1"/>
  <c r="O332" i="2"/>
  <c r="P332" i="2" s="1"/>
  <c r="Y332" i="2" s="1"/>
  <c r="N330" i="1" s="1"/>
  <c r="W331" i="2"/>
  <c r="U331" i="2"/>
  <c r="B329" i="1" s="1"/>
  <c r="T331" i="2"/>
  <c r="Q329" i="1" s="1"/>
  <c r="X329" i="1" s="1"/>
  <c r="S331" i="2"/>
  <c r="C329" i="1" s="1"/>
  <c r="R331" i="2"/>
  <c r="D329" i="1" s="1"/>
  <c r="Q331" i="2"/>
  <c r="Y329" i="1" s="1"/>
  <c r="O331" i="2"/>
  <c r="P331" i="2" s="1"/>
  <c r="Y331" i="2" s="1"/>
  <c r="N329" i="1" s="1"/>
  <c r="W330" i="2"/>
  <c r="U330" i="2"/>
  <c r="B328" i="1" s="1"/>
  <c r="T330" i="2"/>
  <c r="Q328" i="1" s="1"/>
  <c r="X328" i="1" s="1"/>
  <c r="S330" i="2"/>
  <c r="C328" i="1" s="1"/>
  <c r="R330" i="2"/>
  <c r="Q330" i="2"/>
  <c r="Y328" i="1" s="1"/>
  <c r="O330" i="2"/>
  <c r="P330" i="2" s="1"/>
  <c r="Y330" i="2" s="1"/>
  <c r="N328" i="1" s="1"/>
  <c r="W329" i="2"/>
  <c r="U329" i="2"/>
  <c r="B327" i="1" s="1"/>
  <c r="T329" i="2"/>
  <c r="Q327" i="1" s="1"/>
  <c r="X327" i="1" s="1"/>
  <c r="S329" i="2"/>
  <c r="C327" i="1" s="1"/>
  <c r="R329" i="2"/>
  <c r="Q329" i="2"/>
  <c r="Y327" i="1" s="1"/>
  <c r="O329" i="2"/>
  <c r="P329" i="2" s="1"/>
  <c r="Y329" i="2" s="1"/>
  <c r="N327" i="1" s="1"/>
  <c r="W328" i="2"/>
  <c r="U328" i="2"/>
  <c r="B326" i="1" s="1"/>
  <c r="T328" i="2"/>
  <c r="Q326" i="1" s="1"/>
  <c r="X326" i="1" s="1"/>
  <c r="S328" i="2"/>
  <c r="C326" i="1" s="1"/>
  <c r="R328" i="2"/>
  <c r="D326" i="1" s="1"/>
  <c r="Q328" i="2"/>
  <c r="O328" i="2"/>
  <c r="P328" i="2" s="1"/>
  <c r="Y328" i="2" s="1"/>
  <c r="N326" i="1" s="1"/>
  <c r="W327" i="2"/>
  <c r="U327" i="2"/>
  <c r="B325" i="1" s="1"/>
  <c r="T327" i="2"/>
  <c r="Q325" i="1" s="1"/>
  <c r="X325" i="1" s="1"/>
  <c r="S327" i="2"/>
  <c r="R327" i="2"/>
  <c r="D325" i="1" s="1"/>
  <c r="Q327" i="2"/>
  <c r="Y325" i="1" s="1"/>
  <c r="O327" i="2"/>
  <c r="P327" i="2" s="1"/>
  <c r="Y327" i="2" s="1"/>
  <c r="N325" i="1" s="1"/>
  <c r="W326" i="2"/>
  <c r="U326" i="2"/>
  <c r="T326" i="2"/>
  <c r="Q324" i="1" s="1"/>
  <c r="X324" i="1" s="1"/>
  <c r="S326" i="2"/>
  <c r="R326" i="2"/>
  <c r="D324" i="1" s="1"/>
  <c r="Q326" i="2"/>
  <c r="Y324" i="1" s="1"/>
  <c r="O326" i="2"/>
  <c r="P326" i="2" s="1"/>
  <c r="Y326" i="2" s="1"/>
  <c r="N324" i="1" s="1"/>
  <c r="W325" i="2"/>
  <c r="V325" i="2" s="1"/>
  <c r="X325" i="2" s="1"/>
  <c r="U325" i="2"/>
  <c r="T325" i="2"/>
  <c r="Q323" i="1" s="1"/>
  <c r="X323" i="1" s="1"/>
  <c r="S325" i="2"/>
  <c r="C323" i="1" s="1"/>
  <c r="R325" i="2"/>
  <c r="D323" i="1" s="1"/>
  <c r="Q325" i="2"/>
  <c r="Y323" i="1" s="1"/>
  <c r="O325" i="2"/>
  <c r="P325" i="2" s="1"/>
  <c r="Y325" i="2" s="1"/>
  <c r="N323" i="1" s="1"/>
  <c r="W324" i="2"/>
  <c r="U324" i="2"/>
  <c r="T324" i="2"/>
  <c r="Q322" i="1" s="1"/>
  <c r="X322" i="1" s="1"/>
  <c r="S324" i="2"/>
  <c r="C322" i="1" s="1"/>
  <c r="R324" i="2"/>
  <c r="D322" i="1" s="1"/>
  <c r="Q324" i="2"/>
  <c r="Y322" i="1" s="1"/>
  <c r="O324" i="2"/>
  <c r="P324" i="2" s="1"/>
  <c r="Y324" i="2" s="1"/>
  <c r="N322" i="1" s="1"/>
  <c r="W323" i="2"/>
  <c r="U323" i="2"/>
  <c r="B321" i="1" s="1"/>
  <c r="T323" i="2"/>
  <c r="Q321" i="1" s="1"/>
  <c r="X321" i="1" s="1"/>
  <c r="S323" i="2"/>
  <c r="C321" i="1" s="1"/>
  <c r="R323" i="2"/>
  <c r="D321" i="1" s="1"/>
  <c r="Q323" i="2"/>
  <c r="Y321" i="1" s="1"/>
  <c r="O323" i="2"/>
  <c r="P323" i="2" s="1"/>
  <c r="Y323" i="2" s="1"/>
  <c r="N321" i="1" s="1"/>
  <c r="W322" i="2"/>
  <c r="U322" i="2"/>
  <c r="B320" i="1" s="1"/>
  <c r="T322" i="2"/>
  <c r="Q320" i="1" s="1"/>
  <c r="X320" i="1" s="1"/>
  <c r="S322" i="2"/>
  <c r="C320" i="1" s="1"/>
  <c r="R322" i="2"/>
  <c r="D320" i="1" s="1"/>
  <c r="Q322" i="2"/>
  <c r="Y320" i="1" s="1"/>
  <c r="O322" i="2"/>
  <c r="P322" i="2" s="1"/>
  <c r="Y322" i="2" s="1"/>
  <c r="N320" i="1" s="1"/>
  <c r="W321" i="2"/>
  <c r="U321" i="2"/>
  <c r="B319" i="1" s="1"/>
  <c r="T321" i="2"/>
  <c r="Q319" i="1" s="1"/>
  <c r="X319" i="1" s="1"/>
  <c r="S321" i="2"/>
  <c r="R321" i="2"/>
  <c r="D319" i="1" s="1"/>
  <c r="Q321" i="2"/>
  <c r="Y319" i="1" s="1"/>
  <c r="O321" i="2"/>
  <c r="P321" i="2" s="1"/>
  <c r="Y321" i="2" s="1"/>
  <c r="N319" i="1" s="1"/>
  <c r="W320" i="2"/>
  <c r="U320" i="2"/>
  <c r="T320" i="2"/>
  <c r="Q318" i="1" s="1"/>
  <c r="X318" i="1" s="1"/>
  <c r="S320" i="2"/>
  <c r="C318" i="1" s="1"/>
  <c r="R320" i="2"/>
  <c r="D318" i="1" s="1"/>
  <c r="Q320" i="2"/>
  <c r="Y318" i="1" s="1"/>
  <c r="O320" i="2"/>
  <c r="P320" i="2" s="1"/>
  <c r="Y320" i="2" s="1"/>
  <c r="N318" i="1" s="1"/>
  <c r="W319" i="2"/>
  <c r="U319" i="2"/>
  <c r="T319" i="2"/>
  <c r="Q317" i="1" s="1"/>
  <c r="X317" i="1" s="1"/>
  <c r="S319" i="2"/>
  <c r="R319" i="2"/>
  <c r="Q319" i="2"/>
  <c r="Y317" i="1" s="1"/>
  <c r="O319" i="2"/>
  <c r="P319" i="2" s="1"/>
  <c r="Y319" i="2" s="1"/>
  <c r="N317" i="1" s="1"/>
  <c r="W318" i="2"/>
  <c r="U318" i="2"/>
  <c r="T318" i="2"/>
  <c r="Q316" i="1" s="1"/>
  <c r="X316" i="1" s="1"/>
  <c r="S318" i="2"/>
  <c r="R318" i="2"/>
  <c r="D316" i="1" s="1"/>
  <c r="Q318" i="2"/>
  <c r="Y316" i="1" s="1"/>
  <c r="O318" i="2"/>
  <c r="P318" i="2" s="1"/>
  <c r="Y318" i="2" s="1"/>
  <c r="N316" i="1" s="1"/>
  <c r="W317" i="2"/>
  <c r="U317" i="2"/>
  <c r="B315" i="1" s="1"/>
  <c r="T317" i="2"/>
  <c r="S317" i="2"/>
  <c r="C315" i="1" s="1"/>
  <c r="R317" i="2"/>
  <c r="D315" i="1" s="1"/>
  <c r="Q317" i="2"/>
  <c r="O317" i="2"/>
  <c r="P317" i="2" s="1"/>
  <c r="Y317" i="2" s="1"/>
  <c r="N315" i="1" s="1"/>
  <c r="W316" i="2"/>
  <c r="U316" i="2"/>
  <c r="B314" i="1" s="1"/>
  <c r="T316" i="2"/>
  <c r="Q314" i="1" s="1"/>
  <c r="X314" i="1" s="1"/>
  <c r="S316" i="2"/>
  <c r="C314" i="1" s="1"/>
  <c r="R316" i="2"/>
  <c r="D314" i="1" s="1"/>
  <c r="Q316" i="2"/>
  <c r="Y314" i="1" s="1"/>
  <c r="O316" i="2"/>
  <c r="P316" i="2" s="1"/>
  <c r="Y316" i="2" s="1"/>
  <c r="N314" i="1" s="1"/>
  <c r="W315" i="2"/>
  <c r="U315" i="2"/>
  <c r="B313" i="1" s="1"/>
  <c r="T315" i="2"/>
  <c r="Q313" i="1" s="1"/>
  <c r="X313" i="1" s="1"/>
  <c r="S315" i="2"/>
  <c r="C313" i="1" s="1"/>
  <c r="R315" i="2"/>
  <c r="D313" i="1" s="1"/>
  <c r="Q315" i="2"/>
  <c r="Y313" i="1" s="1"/>
  <c r="O315" i="2"/>
  <c r="P315" i="2" s="1"/>
  <c r="Y315" i="2" s="1"/>
  <c r="N313" i="1" s="1"/>
  <c r="W314" i="2"/>
  <c r="U314" i="2"/>
  <c r="B312" i="1" s="1"/>
  <c r="T314" i="2"/>
  <c r="Q312" i="1" s="1"/>
  <c r="X312" i="1" s="1"/>
  <c r="S314" i="2"/>
  <c r="C312" i="1" s="1"/>
  <c r="R314" i="2"/>
  <c r="D312" i="1" s="1"/>
  <c r="Q314" i="2"/>
  <c r="Y312" i="1" s="1"/>
  <c r="O314" i="2"/>
  <c r="P314" i="2" s="1"/>
  <c r="Y314" i="2" s="1"/>
  <c r="N312" i="1" s="1"/>
  <c r="W313" i="2"/>
  <c r="U313" i="2"/>
  <c r="B311" i="1" s="1"/>
  <c r="T313" i="2"/>
  <c r="Q311" i="1" s="1"/>
  <c r="X311" i="1" s="1"/>
  <c r="S313" i="2"/>
  <c r="C311" i="1" s="1"/>
  <c r="R313" i="2"/>
  <c r="D311" i="1" s="1"/>
  <c r="Q313" i="2"/>
  <c r="Y311" i="1" s="1"/>
  <c r="O313" i="2"/>
  <c r="P313" i="2" s="1"/>
  <c r="Y313" i="2" s="1"/>
  <c r="N311" i="1" s="1"/>
  <c r="W312" i="2"/>
  <c r="U312" i="2"/>
  <c r="B310" i="1" s="1"/>
  <c r="T312" i="2"/>
  <c r="Q310" i="1" s="1"/>
  <c r="X310" i="1" s="1"/>
  <c r="S312" i="2"/>
  <c r="C310" i="1" s="1"/>
  <c r="R312" i="2"/>
  <c r="D310" i="1" s="1"/>
  <c r="Q312" i="2"/>
  <c r="Y310" i="1" s="1"/>
  <c r="O312" i="2"/>
  <c r="P312" i="2" s="1"/>
  <c r="Y312" i="2" s="1"/>
  <c r="N310" i="1" s="1"/>
  <c r="W311" i="2"/>
  <c r="U311" i="2"/>
  <c r="B309" i="1" s="1"/>
  <c r="T311" i="2"/>
  <c r="Q309" i="1" s="1"/>
  <c r="X309" i="1" s="1"/>
  <c r="S311" i="2"/>
  <c r="R311" i="2"/>
  <c r="D309" i="1" s="1"/>
  <c r="Q311" i="2"/>
  <c r="Y309" i="1" s="1"/>
  <c r="O311" i="2"/>
  <c r="P311" i="2" s="1"/>
  <c r="Y311" i="2" s="1"/>
  <c r="N309" i="1" s="1"/>
  <c r="W310" i="2"/>
  <c r="U310" i="2"/>
  <c r="B308" i="1" s="1"/>
  <c r="T310" i="2"/>
  <c r="Q308" i="1" s="1"/>
  <c r="X308" i="1" s="1"/>
  <c r="S310" i="2"/>
  <c r="C308" i="1" s="1"/>
  <c r="R310" i="2"/>
  <c r="D308" i="1" s="1"/>
  <c r="Q310" i="2"/>
  <c r="Y308" i="1" s="1"/>
  <c r="O310" i="2"/>
  <c r="P310" i="2" s="1"/>
  <c r="Y310" i="2" s="1"/>
  <c r="N308" i="1" s="1"/>
  <c r="W309" i="2"/>
  <c r="U309" i="2"/>
  <c r="B307" i="1" s="1"/>
  <c r="T309" i="2"/>
  <c r="Q307" i="1" s="1"/>
  <c r="X307" i="1" s="1"/>
  <c r="S309" i="2"/>
  <c r="C307" i="1" s="1"/>
  <c r="R309" i="2"/>
  <c r="D307" i="1" s="1"/>
  <c r="Q309" i="2"/>
  <c r="Y307" i="1" s="1"/>
  <c r="O309" i="2"/>
  <c r="P309" i="2" s="1"/>
  <c r="Y309" i="2" s="1"/>
  <c r="N307" i="1" s="1"/>
  <c r="W308" i="2"/>
  <c r="U308" i="2"/>
  <c r="B306" i="1" s="1"/>
  <c r="T308" i="2"/>
  <c r="Q306" i="1" s="1"/>
  <c r="X306" i="1" s="1"/>
  <c r="S308" i="2"/>
  <c r="C306" i="1" s="1"/>
  <c r="R308" i="2"/>
  <c r="D306" i="1" s="1"/>
  <c r="Q308" i="2"/>
  <c r="Y306" i="1" s="1"/>
  <c r="O308" i="2"/>
  <c r="P308" i="2" s="1"/>
  <c r="Y308" i="2" s="1"/>
  <c r="N306" i="1" s="1"/>
  <c r="W307" i="2"/>
  <c r="U307" i="2"/>
  <c r="B305" i="1" s="1"/>
  <c r="T307" i="2"/>
  <c r="Q305" i="1" s="1"/>
  <c r="X305" i="1" s="1"/>
  <c r="S307" i="2"/>
  <c r="R307" i="2"/>
  <c r="D305" i="1" s="1"/>
  <c r="Q307" i="2"/>
  <c r="Y305" i="1" s="1"/>
  <c r="O307" i="2"/>
  <c r="P307" i="2" s="1"/>
  <c r="Y307" i="2" s="1"/>
  <c r="N305" i="1" s="1"/>
  <c r="W306" i="2"/>
  <c r="U306" i="2"/>
  <c r="B304" i="1" s="1"/>
  <c r="T306" i="2"/>
  <c r="Q304" i="1" s="1"/>
  <c r="X304" i="1" s="1"/>
  <c r="S306" i="2"/>
  <c r="R306" i="2"/>
  <c r="Q306" i="2"/>
  <c r="Y304" i="1" s="1"/>
  <c r="O306" i="2"/>
  <c r="P306" i="2" s="1"/>
  <c r="Y306" i="2" s="1"/>
  <c r="N304" i="1" s="1"/>
  <c r="W305" i="2"/>
  <c r="U305" i="2"/>
  <c r="B303" i="1" s="1"/>
  <c r="T305" i="2"/>
  <c r="S305" i="2"/>
  <c r="C303" i="1" s="1"/>
  <c r="R305" i="2"/>
  <c r="D303" i="1" s="1"/>
  <c r="Q305" i="2"/>
  <c r="Y303" i="1" s="1"/>
  <c r="O305" i="2"/>
  <c r="P305" i="2" s="1"/>
  <c r="Y305" i="2" s="1"/>
  <c r="N303" i="1" s="1"/>
  <c r="W304" i="2"/>
  <c r="U304" i="2"/>
  <c r="B302" i="1" s="1"/>
  <c r="T304" i="2"/>
  <c r="Q302" i="1" s="1"/>
  <c r="X302" i="1" s="1"/>
  <c r="S304" i="2"/>
  <c r="C302" i="1" s="1"/>
  <c r="R304" i="2"/>
  <c r="D302" i="1" s="1"/>
  <c r="Q304" i="2"/>
  <c r="Y302" i="1" s="1"/>
  <c r="O304" i="2"/>
  <c r="P304" i="2" s="1"/>
  <c r="Y304" i="2" s="1"/>
  <c r="N302" i="1" s="1"/>
  <c r="W303" i="2"/>
  <c r="U303" i="2"/>
  <c r="T303" i="2"/>
  <c r="S303" i="2"/>
  <c r="C301" i="1" s="1"/>
  <c r="R303" i="2"/>
  <c r="D301" i="1" s="1"/>
  <c r="Q303" i="2"/>
  <c r="Y301" i="1" s="1"/>
  <c r="O303" i="2"/>
  <c r="P303" i="2" s="1"/>
  <c r="Y303" i="2" s="1"/>
  <c r="N301" i="1" s="1"/>
  <c r="W302" i="2"/>
  <c r="U302" i="2"/>
  <c r="B300" i="1" s="1"/>
  <c r="T302" i="2"/>
  <c r="Q300" i="1" s="1"/>
  <c r="X300" i="1" s="1"/>
  <c r="S302" i="2"/>
  <c r="C300" i="1" s="1"/>
  <c r="R302" i="2"/>
  <c r="D300" i="1" s="1"/>
  <c r="Q302" i="2"/>
  <c r="Y300" i="1" s="1"/>
  <c r="O302" i="2"/>
  <c r="P302" i="2" s="1"/>
  <c r="Y302" i="2" s="1"/>
  <c r="N300" i="1" s="1"/>
  <c r="W301" i="2"/>
  <c r="U301" i="2"/>
  <c r="B299" i="1" s="1"/>
  <c r="T301" i="2"/>
  <c r="Q299" i="1" s="1"/>
  <c r="X299" i="1" s="1"/>
  <c r="S301" i="2"/>
  <c r="C299" i="1" s="1"/>
  <c r="R301" i="2"/>
  <c r="D299" i="1" s="1"/>
  <c r="Q301" i="2"/>
  <c r="Y299" i="1" s="1"/>
  <c r="O301" i="2"/>
  <c r="P301" i="2" s="1"/>
  <c r="Y301" i="2" s="1"/>
  <c r="N299" i="1" s="1"/>
  <c r="W300" i="2"/>
  <c r="U300" i="2"/>
  <c r="B298" i="1" s="1"/>
  <c r="T300" i="2"/>
  <c r="S300" i="2"/>
  <c r="C298" i="1" s="1"/>
  <c r="R300" i="2"/>
  <c r="D298" i="1" s="1"/>
  <c r="Q300" i="2"/>
  <c r="Y298" i="1" s="1"/>
  <c r="O300" i="2"/>
  <c r="P300" i="2" s="1"/>
  <c r="Y300" i="2" s="1"/>
  <c r="N298" i="1" s="1"/>
  <c r="W299" i="2"/>
  <c r="U299" i="2"/>
  <c r="B297" i="1" s="1"/>
  <c r="T299" i="2"/>
  <c r="Q297" i="1" s="1"/>
  <c r="X297" i="1" s="1"/>
  <c r="S299" i="2"/>
  <c r="R299" i="2"/>
  <c r="D297" i="1" s="1"/>
  <c r="Q299" i="2"/>
  <c r="O299" i="2"/>
  <c r="P299" i="2" s="1"/>
  <c r="Y299" i="2" s="1"/>
  <c r="N297" i="1" s="1"/>
  <c r="W298" i="2"/>
  <c r="U298" i="2"/>
  <c r="B296" i="1" s="1"/>
  <c r="T298" i="2"/>
  <c r="Q296" i="1" s="1"/>
  <c r="X296" i="1" s="1"/>
  <c r="S298" i="2"/>
  <c r="C296" i="1" s="1"/>
  <c r="R298" i="2"/>
  <c r="D296" i="1" s="1"/>
  <c r="Q298" i="2"/>
  <c r="Y296" i="1" s="1"/>
  <c r="O298" i="2"/>
  <c r="P298" i="2" s="1"/>
  <c r="Y298" i="2" s="1"/>
  <c r="N296" i="1" s="1"/>
  <c r="W297" i="2"/>
  <c r="U297" i="2"/>
  <c r="T297" i="2"/>
  <c r="S297" i="2"/>
  <c r="C295" i="1" s="1"/>
  <c r="R297" i="2"/>
  <c r="Q297" i="2"/>
  <c r="Y295" i="1" s="1"/>
  <c r="O297" i="2"/>
  <c r="P297" i="2" s="1"/>
  <c r="Y297" i="2" s="1"/>
  <c r="N295" i="1" s="1"/>
  <c r="W296" i="2"/>
  <c r="U296" i="2"/>
  <c r="B294" i="1" s="1"/>
  <c r="T296" i="2"/>
  <c r="Q294" i="1" s="1"/>
  <c r="X294" i="1" s="1"/>
  <c r="S296" i="2"/>
  <c r="C294" i="1" s="1"/>
  <c r="R296" i="2"/>
  <c r="D294" i="1" s="1"/>
  <c r="Q296" i="2"/>
  <c r="Y294" i="1" s="1"/>
  <c r="O296" i="2"/>
  <c r="P296" i="2" s="1"/>
  <c r="Y296" i="2" s="1"/>
  <c r="N294" i="1" s="1"/>
  <c r="W295" i="2"/>
  <c r="U295" i="2"/>
  <c r="B293" i="1" s="1"/>
  <c r="T295" i="2"/>
  <c r="Q293" i="1" s="1"/>
  <c r="X293" i="1" s="1"/>
  <c r="S295" i="2"/>
  <c r="C293" i="1" s="1"/>
  <c r="R295" i="2"/>
  <c r="D293" i="1" s="1"/>
  <c r="Q295" i="2"/>
  <c r="O295" i="2"/>
  <c r="P295" i="2" s="1"/>
  <c r="Y295" i="2" s="1"/>
  <c r="N293" i="1" s="1"/>
  <c r="W294" i="2"/>
  <c r="U294" i="2"/>
  <c r="B292" i="1" s="1"/>
  <c r="T294" i="2"/>
  <c r="Q292" i="1" s="1"/>
  <c r="X292" i="1" s="1"/>
  <c r="S294" i="2"/>
  <c r="C292" i="1" s="1"/>
  <c r="R294" i="2"/>
  <c r="D292" i="1" s="1"/>
  <c r="Q294" i="2"/>
  <c r="Y292" i="1" s="1"/>
  <c r="O294" i="2"/>
  <c r="P294" i="2" s="1"/>
  <c r="Y294" i="2" s="1"/>
  <c r="N292" i="1" s="1"/>
  <c r="W293" i="2"/>
  <c r="U293" i="2"/>
  <c r="B291" i="1" s="1"/>
  <c r="T293" i="2"/>
  <c r="Q291" i="1" s="1"/>
  <c r="X291" i="1" s="1"/>
  <c r="S293" i="2"/>
  <c r="C291" i="1" s="1"/>
  <c r="R293" i="2"/>
  <c r="D291" i="1" s="1"/>
  <c r="Q293" i="2"/>
  <c r="Y291" i="1" s="1"/>
  <c r="O293" i="2"/>
  <c r="P293" i="2" s="1"/>
  <c r="Y293" i="2" s="1"/>
  <c r="N291" i="1" s="1"/>
  <c r="W292" i="2"/>
  <c r="U292" i="2"/>
  <c r="T292" i="2"/>
  <c r="Q290" i="1" s="1"/>
  <c r="X290" i="1" s="1"/>
  <c r="S292" i="2"/>
  <c r="C290" i="1" s="1"/>
  <c r="R292" i="2"/>
  <c r="D290" i="1" s="1"/>
  <c r="Q292" i="2"/>
  <c r="Y290" i="1" s="1"/>
  <c r="O292" i="2"/>
  <c r="P292" i="2" s="1"/>
  <c r="Y292" i="2" s="1"/>
  <c r="N290" i="1" s="1"/>
  <c r="W291" i="2"/>
  <c r="U291" i="2"/>
  <c r="B289" i="1" s="1"/>
  <c r="T291" i="2"/>
  <c r="Q289" i="1" s="1"/>
  <c r="X289" i="1" s="1"/>
  <c r="S291" i="2"/>
  <c r="C289" i="1" s="1"/>
  <c r="R291" i="2"/>
  <c r="D289" i="1" s="1"/>
  <c r="Q291" i="2"/>
  <c r="Y289" i="1" s="1"/>
  <c r="O291" i="2"/>
  <c r="P291" i="2" s="1"/>
  <c r="Y291" i="2" s="1"/>
  <c r="N289" i="1" s="1"/>
  <c r="W290" i="2"/>
  <c r="U290" i="2"/>
  <c r="B288" i="1" s="1"/>
  <c r="T290" i="2"/>
  <c r="Q288" i="1" s="1"/>
  <c r="X288" i="1" s="1"/>
  <c r="S290" i="2"/>
  <c r="C288" i="1" s="1"/>
  <c r="R290" i="2"/>
  <c r="D288" i="1" s="1"/>
  <c r="Q290" i="2"/>
  <c r="Y288" i="1" s="1"/>
  <c r="O290" i="2"/>
  <c r="P290" i="2" s="1"/>
  <c r="Y290" i="2" s="1"/>
  <c r="N288" i="1" s="1"/>
  <c r="W289" i="2"/>
  <c r="U289" i="2"/>
  <c r="B287" i="1" s="1"/>
  <c r="T289" i="2"/>
  <c r="Q287" i="1" s="1"/>
  <c r="X287" i="1" s="1"/>
  <c r="S289" i="2"/>
  <c r="C287" i="1" s="1"/>
  <c r="R289" i="2"/>
  <c r="D287" i="1" s="1"/>
  <c r="Q289" i="2"/>
  <c r="Y287" i="1" s="1"/>
  <c r="O289" i="2"/>
  <c r="P289" i="2" s="1"/>
  <c r="Y289" i="2" s="1"/>
  <c r="N287" i="1" s="1"/>
  <c r="W288" i="2"/>
  <c r="U288" i="2"/>
  <c r="T288" i="2"/>
  <c r="Q286" i="1" s="1"/>
  <c r="X286" i="1" s="1"/>
  <c r="S288" i="2"/>
  <c r="C286" i="1" s="1"/>
  <c r="R288" i="2"/>
  <c r="D286" i="1" s="1"/>
  <c r="Q288" i="2"/>
  <c r="Y286" i="1" s="1"/>
  <c r="O288" i="2"/>
  <c r="P288" i="2" s="1"/>
  <c r="Y288" i="2" s="1"/>
  <c r="N286" i="1" s="1"/>
  <c r="W287" i="2"/>
  <c r="U287" i="2"/>
  <c r="B285" i="1" s="1"/>
  <c r="T287" i="2"/>
  <c r="S287" i="2"/>
  <c r="R287" i="2"/>
  <c r="Q287" i="2"/>
  <c r="Y285" i="1" s="1"/>
  <c r="O287" i="2"/>
  <c r="P287" i="2" s="1"/>
  <c r="Y287" i="2" s="1"/>
  <c r="N285" i="1" s="1"/>
  <c r="W286" i="2"/>
  <c r="U286" i="2"/>
  <c r="B284" i="1" s="1"/>
  <c r="T286" i="2"/>
  <c r="Q284" i="1" s="1"/>
  <c r="X284" i="1" s="1"/>
  <c r="S286" i="2"/>
  <c r="R286" i="2"/>
  <c r="D284" i="1" s="1"/>
  <c r="Q286" i="2"/>
  <c r="Y284" i="1" s="1"/>
  <c r="O286" i="2"/>
  <c r="P286" i="2" s="1"/>
  <c r="Y286" i="2" s="1"/>
  <c r="N284" i="1" s="1"/>
  <c r="W285" i="2"/>
  <c r="U285" i="2"/>
  <c r="B283" i="1" s="1"/>
  <c r="T285" i="2"/>
  <c r="Q283" i="1" s="1"/>
  <c r="X283" i="1" s="1"/>
  <c r="S285" i="2"/>
  <c r="C283" i="1" s="1"/>
  <c r="R285" i="2"/>
  <c r="D283" i="1" s="1"/>
  <c r="Q285" i="2"/>
  <c r="Y283" i="1" s="1"/>
  <c r="O285" i="2"/>
  <c r="P285" i="2" s="1"/>
  <c r="Y285" i="2" s="1"/>
  <c r="N283" i="1" s="1"/>
  <c r="W284" i="2"/>
  <c r="V284" i="2" s="1"/>
  <c r="X284" i="2"/>
  <c r="Z284" i="2" s="1"/>
  <c r="U284" i="2"/>
  <c r="B282" i="1" s="1"/>
  <c r="T284" i="2"/>
  <c r="Q282" i="1" s="1"/>
  <c r="X282" i="1" s="1"/>
  <c r="S284" i="2"/>
  <c r="C282" i="1" s="1"/>
  <c r="R284" i="2"/>
  <c r="Q284" i="2"/>
  <c r="Y282" i="1" s="1"/>
  <c r="O284" i="2"/>
  <c r="P284" i="2" s="1"/>
  <c r="Y284" i="2" s="1"/>
  <c r="N282" i="1" s="1"/>
  <c r="W283" i="2"/>
  <c r="U283" i="2"/>
  <c r="B281" i="1" s="1"/>
  <c r="T283" i="2"/>
  <c r="Q281" i="1" s="1"/>
  <c r="X281" i="1" s="1"/>
  <c r="S283" i="2"/>
  <c r="C281" i="1" s="1"/>
  <c r="R283" i="2"/>
  <c r="Q283" i="2"/>
  <c r="Y281" i="1" s="1"/>
  <c r="O283" i="2"/>
  <c r="P283" i="2" s="1"/>
  <c r="Y283" i="2" s="1"/>
  <c r="N281" i="1" s="1"/>
  <c r="W282" i="2"/>
  <c r="U282" i="2"/>
  <c r="B280" i="1" s="1"/>
  <c r="T282" i="2"/>
  <c r="Q280" i="1" s="1"/>
  <c r="X280" i="1" s="1"/>
  <c r="S282" i="2"/>
  <c r="R282" i="2"/>
  <c r="D280" i="1" s="1"/>
  <c r="Q282" i="2"/>
  <c r="Y280" i="1" s="1"/>
  <c r="O282" i="2"/>
  <c r="P282" i="2" s="1"/>
  <c r="Y282" i="2" s="1"/>
  <c r="N280" i="1" s="1"/>
  <c r="W281" i="2"/>
  <c r="U281" i="2"/>
  <c r="B279" i="1" s="1"/>
  <c r="T281" i="2"/>
  <c r="S281" i="2"/>
  <c r="C279" i="1" s="1"/>
  <c r="R281" i="2"/>
  <c r="D279" i="1" s="1"/>
  <c r="Q281" i="2"/>
  <c r="Y279" i="1" s="1"/>
  <c r="O281" i="2"/>
  <c r="P281" i="2" s="1"/>
  <c r="Y281" i="2" s="1"/>
  <c r="N279" i="1" s="1"/>
  <c r="W280" i="2"/>
  <c r="U280" i="2"/>
  <c r="B278" i="1" s="1"/>
  <c r="T280" i="2"/>
  <c r="Q278" i="1" s="1"/>
  <c r="X278" i="1" s="1"/>
  <c r="S280" i="2"/>
  <c r="C278" i="1" s="1"/>
  <c r="R280" i="2"/>
  <c r="D278" i="1" s="1"/>
  <c r="Q280" i="2"/>
  <c r="Y278" i="1" s="1"/>
  <c r="O280" i="2"/>
  <c r="P280" i="2" s="1"/>
  <c r="Y280" i="2" s="1"/>
  <c r="N278" i="1" s="1"/>
  <c r="W279" i="2"/>
  <c r="U279" i="2"/>
  <c r="T279" i="2"/>
  <c r="Q277" i="1" s="1"/>
  <c r="X277" i="1" s="1"/>
  <c r="S279" i="2"/>
  <c r="C277" i="1" s="1"/>
  <c r="R279" i="2"/>
  <c r="D277" i="1" s="1"/>
  <c r="Q279" i="2"/>
  <c r="Y277" i="1" s="1"/>
  <c r="O279" i="2"/>
  <c r="P279" i="2" s="1"/>
  <c r="Y279" i="2" s="1"/>
  <c r="N277" i="1" s="1"/>
  <c r="W278" i="2"/>
  <c r="U278" i="2"/>
  <c r="B276" i="1" s="1"/>
  <c r="T278" i="2"/>
  <c r="Q276" i="1" s="1"/>
  <c r="X276" i="1" s="1"/>
  <c r="S278" i="2"/>
  <c r="C276" i="1" s="1"/>
  <c r="R278" i="2"/>
  <c r="D276" i="1" s="1"/>
  <c r="Q278" i="2"/>
  <c r="Y276" i="1" s="1"/>
  <c r="O278" i="2"/>
  <c r="P278" i="2" s="1"/>
  <c r="Y278" i="2" s="1"/>
  <c r="N276" i="1" s="1"/>
  <c r="W277" i="2"/>
  <c r="U277" i="2"/>
  <c r="B275" i="1" s="1"/>
  <c r="T277" i="2"/>
  <c r="Q275" i="1" s="1"/>
  <c r="X275" i="1" s="1"/>
  <c r="S277" i="2"/>
  <c r="R277" i="2"/>
  <c r="Q277" i="2"/>
  <c r="Y275" i="1" s="1"/>
  <c r="O277" i="2"/>
  <c r="P277" i="2" s="1"/>
  <c r="Y277" i="2" s="1"/>
  <c r="N275" i="1" s="1"/>
  <c r="W276" i="2"/>
  <c r="U276" i="2"/>
  <c r="B274" i="1" s="1"/>
  <c r="T276" i="2"/>
  <c r="S276" i="2"/>
  <c r="C274" i="1" s="1"/>
  <c r="R276" i="2"/>
  <c r="D274" i="1" s="1"/>
  <c r="Q276" i="2"/>
  <c r="Y274" i="1" s="1"/>
  <c r="O276" i="2"/>
  <c r="P276" i="2" s="1"/>
  <c r="Y276" i="2" s="1"/>
  <c r="N274" i="1" s="1"/>
  <c r="W275" i="2"/>
  <c r="U275" i="2"/>
  <c r="B273" i="1" s="1"/>
  <c r="T275" i="2"/>
  <c r="Q273" i="1" s="1"/>
  <c r="X273" i="1" s="1"/>
  <c r="S275" i="2"/>
  <c r="C273" i="1" s="1"/>
  <c r="R275" i="2"/>
  <c r="D273" i="1" s="1"/>
  <c r="Q275" i="2"/>
  <c r="Y273" i="1" s="1"/>
  <c r="O275" i="2"/>
  <c r="P275" i="2" s="1"/>
  <c r="Y275" i="2" s="1"/>
  <c r="N273" i="1" s="1"/>
  <c r="W274" i="2"/>
  <c r="U274" i="2"/>
  <c r="B272" i="1" s="1"/>
  <c r="T274" i="2"/>
  <c r="Q272" i="1" s="1"/>
  <c r="X272" i="1" s="1"/>
  <c r="S274" i="2"/>
  <c r="C272" i="1" s="1"/>
  <c r="R274" i="2"/>
  <c r="D272" i="1" s="1"/>
  <c r="Q274" i="2"/>
  <c r="Y272" i="1" s="1"/>
  <c r="O274" i="2"/>
  <c r="P274" i="2" s="1"/>
  <c r="Y274" i="2" s="1"/>
  <c r="N272" i="1" s="1"/>
  <c r="W273" i="2"/>
  <c r="U273" i="2"/>
  <c r="B271" i="1" s="1"/>
  <c r="T273" i="2"/>
  <c r="Q271" i="1" s="1"/>
  <c r="X271" i="1" s="1"/>
  <c r="S273" i="2"/>
  <c r="C271" i="1" s="1"/>
  <c r="R273" i="2"/>
  <c r="D271" i="1" s="1"/>
  <c r="Q273" i="2"/>
  <c r="Y271" i="1" s="1"/>
  <c r="O273" i="2"/>
  <c r="P273" i="2" s="1"/>
  <c r="Y273" i="2" s="1"/>
  <c r="N271" i="1" s="1"/>
  <c r="W272" i="2"/>
  <c r="U272" i="2"/>
  <c r="B270" i="1" s="1"/>
  <c r="T272" i="2"/>
  <c r="S272" i="2"/>
  <c r="C270" i="1" s="1"/>
  <c r="R272" i="2"/>
  <c r="D270" i="1" s="1"/>
  <c r="Q272" i="2"/>
  <c r="O272" i="2"/>
  <c r="P272" i="2" s="1"/>
  <c r="Y272" i="2" s="1"/>
  <c r="N270" i="1" s="1"/>
  <c r="W271" i="2"/>
  <c r="U271" i="2"/>
  <c r="B269" i="1" s="1"/>
  <c r="T271" i="2"/>
  <c r="S271" i="2"/>
  <c r="C269" i="1" s="1"/>
  <c r="R271" i="2"/>
  <c r="D269" i="1" s="1"/>
  <c r="Q271" i="2"/>
  <c r="Y269" i="1" s="1"/>
  <c r="O271" i="2"/>
  <c r="P271" i="2" s="1"/>
  <c r="Y271" i="2" s="1"/>
  <c r="N269" i="1" s="1"/>
  <c r="W270" i="2"/>
  <c r="U270" i="2"/>
  <c r="B268" i="1" s="1"/>
  <c r="T270" i="2"/>
  <c r="Q268" i="1" s="1"/>
  <c r="S270" i="2"/>
  <c r="C268" i="1" s="1"/>
  <c r="R270" i="2"/>
  <c r="D268" i="1" s="1"/>
  <c r="Q270" i="2"/>
  <c r="Y268" i="1" s="1"/>
  <c r="O270" i="2"/>
  <c r="P270" i="2" s="1"/>
  <c r="Y270" i="2" s="1"/>
  <c r="N268" i="1" s="1"/>
  <c r="W269" i="2"/>
  <c r="V269" i="2" s="1"/>
  <c r="X269" i="2" s="1"/>
  <c r="U269" i="2"/>
  <c r="B267" i="1" s="1"/>
  <c r="T269" i="2"/>
  <c r="Q267" i="1" s="1"/>
  <c r="X267" i="1" s="1"/>
  <c r="S269" i="2"/>
  <c r="C267" i="1" s="1"/>
  <c r="R269" i="2"/>
  <c r="D267" i="1" s="1"/>
  <c r="Q269" i="2"/>
  <c r="Y267" i="1" s="1"/>
  <c r="O269" i="2"/>
  <c r="P269" i="2" s="1"/>
  <c r="Y269" i="2" s="1"/>
  <c r="N267" i="1" s="1"/>
  <c r="W268" i="2"/>
  <c r="U268" i="2"/>
  <c r="B266" i="1" s="1"/>
  <c r="T268" i="2"/>
  <c r="S268" i="2"/>
  <c r="C266" i="1" s="1"/>
  <c r="R268" i="2"/>
  <c r="Q268" i="2"/>
  <c r="Y266" i="1" s="1"/>
  <c r="O268" i="2"/>
  <c r="P268" i="2" s="1"/>
  <c r="Y268" i="2" s="1"/>
  <c r="N266" i="1" s="1"/>
  <c r="W267" i="2"/>
  <c r="U267" i="2"/>
  <c r="B265" i="1" s="1"/>
  <c r="T267" i="2"/>
  <c r="Q265" i="1" s="1"/>
  <c r="X265" i="1" s="1"/>
  <c r="S267" i="2"/>
  <c r="C265" i="1" s="1"/>
  <c r="R267" i="2"/>
  <c r="Q267" i="2"/>
  <c r="Y265" i="1" s="1"/>
  <c r="O267" i="2"/>
  <c r="P267" i="2" s="1"/>
  <c r="Y267" i="2" s="1"/>
  <c r="N265" i="1" s="1"/>
  <c r="W266" i="2"/>
  <c r="U266" i="2"/>
  <c r="B264" i="1" s="1"/>
  <c r="T266" i="2"/>
  <c r="Q264" i="1" s="1"/>
  <c r="X264" i="1" s="1"/>
  <c r="S266" i="2"/>
  <c r="R266" i="2"/>
  <c r="D264" i="1" s="1"/>
  <c r="Q266" i="2"/>
  <c r="Y264" i="1" s="1"/>
  <c r="O266" i="2"/>
  <c r="P266" i="2" s="1"/>
  <c r="Y266" i="2" s="1"/>
  <c r="N264" i="1" s="1"/>
  <c r="W265" i="2"/>
  <c r="U265" i="2"/>
  <c r="B263" i="1" s="1"/>
  <c r="T265" i="2"/>
  <c r="Q263" i="1" s="1"/>
  <c r="X263" i="1" s="1"/>
  <c r="S265" i="2"/>
  <c r="R265" i="2"/>
  <c r="D263" i="1" s="1"/>
  <c r="Q265" i="2"/>
  <c r="Y263" i="1" s="1"/>
  <c r="O265" i="2"/>
  <c r="P265" i="2" s="1"/>
  <c r="Y265" i="2" s="1"/>
  <c r="N263" i="1" s="1"/>
  <c r="W264" i="2"/>
  <c r="U264" i="2"/>
  <c r="B262" i="1" s="1"/>
  <c r="T264" i="2"/>
  <c r="Q262" i="1" s="1"/>
  <c r="X262" i="1" s="1"/>
  <c r="S264" i="2"/>
  <c r="C262" i="1" s="1"/>
  <c r="R264" i="2"/>
  <c r="D262" i="1" s="1"/>
  <c r="Q264" i="2"/>
  <c r="O264" i="2"/>
  <c r="P264" i="2" s="1"/>
  <c r="Y264" i="2" s="1"/>
  <c r="N262" i="1" s="1"/>
  <c r="W263" i="2"/>
  <c r="V263" i="2" s="1"/>
  <c r="X263" i="2" s="1"/>
  <c r="Z263" i="2" s="1"/>
  <c r="U263" i="2"/>
  <c r="B261" i="1" s="1"/>
  <c r="T263" i="2"/>
  <c r="S263" i="2"/>
  <c r="R263" i="2"/>
  <c r="D261" i="1" s="1"/>
  <c r="Q263" i="2"/>
  <c r="O263" i="2"/>
  <c r="P263" i="2" s="1"/>
  <c r="Y263" i="2" s="1"/>
  <c r="N261" i="1" s="1"/>
  <c r="W262" i="2"/>
  <c r="U262" i="2"/>
  <c r="B260" i="1" s="1"/>
  <c r="T262" i="2"/>
  <c r="Q260" i="1" s="1"/>
  <c r="X260" i="1" s="1"/>
  <c r="S262" i="2"/>
  <c r="C260" i="1" s="1"/>
  <c r="R262" i="2"/>
  <c r="D260" i="1" s="1"/>
  <c r="Q262" i="2"/>
  <c r="Y260" i="1" s="1"/>
  <c r="O262" i="2"/>
  <c r="P262" i="2" s="1"/>
  <c r="Y262" i="2" s="1"/>
  <c r="N260" i="1" s="1"/>
  <c r="W261" i="2"/>
  <c r="U261" i="2"/>
  <c r="B259" i="1" s="1"/>
  <c r="T261" i="2"/>
  <c r="Q259" i="1" s="1"/>
  <c r="X259" i="1" s="1"/>
  <c r="S261" i="2"/>
  <c r="C259" i="1" s="1"/>
  <c r="R261" i="2"/>
  <c r="D259" i="1" s="1"/>
  <c r="Q261" i="2"/>
  <c r="O261" i="2"/>
  <c r="P261" i="2" s="1"/>
  <c r="Y261" i="2" s="1"/>
  <c r="N259" i="1" s="1"/>
  <c r="W260" i="2"/>
  <c r="U260" i="2"/>
  <c r="B258" i="1" s="1"/>
  <c r="T260" i="2"/>
  <c r="Q258" i="1" s="1"/>
  <c r="X258" i="1" s="1"/>
  <c r="S260" i="2"/>
  <c r="C258" i="1" s="1"/>
  <c r="R260" i="2"/>
  <c r="D258" i="1" s="1"/>
  <c r="Q260" i="2"/>
  <c r="Y258" i="1" s="1"/>
  <c r="O260" i="2"/>
  <c r="P260" i="2" s="1"/>
  <c r="Y260" i="2" s="1"/>
  <c r="N258" i="1" s="1"/>
  <c r="W259" i="2"/>
  <c r="U259" i="2"/>
  <c r="B257" i="1" s="1"/>
  <c r="T259" i="2"/>
  <c r="Q257" i="1" s="1"/>
  <c r="X257" i="1" s="1"/>
  <c r="S259" i="2"/>
  <c r="C257" i="1" s="1"/>
  <c r="R259" i="2"/>
  <c r="D257" i="1" s="1"/>
  <c r="Q259" i="2"/>
  <c r="Y257" i="1" s="1"/>
  <c r="O259" i="2"/>
  <c r="P259" i="2" s="1"/>
  <c r="Y259" i="2" s="1"/>
  <c r="N257" i="1" s="1"/>
  <c r="W258" i="2"/>
  <c r="U258" i="2"/>
  <c r="B256" i="1" s="1"/>
  <c r="T258" i="2"/>
  <c r="Q256" i="1" s="1"/>
  <c r="X256" i="1" s="1"/>
  <c r="S258" i="2"/>
  <c r="C256" i="1" s="1"/>
  <c r="R258" i="2"/>
  <c r="D256" i="1" s="1"/>
  <c r="Q258" i="2"/>
  <c r="Y256" i="1" s="1"/>
  <c r="O258" i="2"/>
  <c r="P258" i="2" s="1"/>
  <c r="Y258" i="2" s="1"/>
  <c r="N256" i="1" s="1"/>
  <c r="W257" i="2"/>
  <c r="U257" i="2"/>
  <c r="B255" i="1" s="1"/>
  <c r="T257" i="2"/>
  <c r="Q255" i="1" s="1"/>
  <c r="X255" i="1" s="1"/>
  <c r="S257" i="2"/>
  <c r="C255" i="1" s="1"/>
  <c r="R257" i="2"/>
  <c r="D255" i="1" s="1"/>
  <c r="Q257" i="2"/>
  <c r="Y255" i="1" s="1"/>
  <c r="O257" i="2"/>
  <c r="P257" i="2" s="1"/>
  <c r="Y257" i="2" s="1"/>
  <c r="N255" i="1" s="1"/>
  <c r="W256" i="2"/>
  <c r="U256" i="2"/>
  <c r="T256" i="2"/>
  <c r="Q254" i="1" s="1"/>
  <c r="X254" i="1" s="1"/>
  <c r="S256" i="2"/>
  <c r="R256" i="2"/>
  <c r="D254" i="1" s="1"/>
  <c r="Q256" i="2"/>
  <c r="Y254" i="1" s="1"/>
  <c r="O256" i="2"/>
  <c r="P256" i="2" s="1"/>
  <c r="Y256" i="2" s="1"/>
  <c r="N254" i="1" s="1"/>
  <c r="W255" i="2"/>
  <c r="U255" i="2"/>
  <c r="B253" i="1" s="1"/>
  <c r="T255" i="2"/>
  <c r="Q253" i="1" s="1"/>
  <c r="X253" i="1" s="1"/>
  <c r="S255" i="2"/>
  <c r="C253" i="1" s="1"/>
  <c r="R255" i="2"/>
  <c r="D253" i="1" s="1"/>
  <c r="Q255" i="2"/>
  <c r="Y253" i="1" s="1"/>
  <c r="O255" i="2"/>
  <c r="P255" i="2" s="1"/>
  <c r="Y255" i="2" s="1"/>
  <c r="N253" i="1" s="1"/>
  <c r="W254" i="2"/>
  <c r="U254" i="2"/>
  <c r="B252" i="1" s="1"/>
  <c r="T254" i="2"/>
  <c r="Q252" i="1" s="1"/>
  <c r="X252" i="1" s="1"/>
  <c r="S254" i="2"/>
  <c r="R254" i="2"/>
  <c r="Q254" i="2"/>
  <c r="Y252" i="1" s="1"/>
  <c r="O254" i="2"/>
  <c r="P254" i="2" s="1"/>
  <c r="Y254" i="2" s="1"/>
  <c r="N252" i="1" s="1"/>
  <c r="W253" i="2"/>
  <c r="U253" i="2"/>
  <c r="B251" i="1" s="1"/>
  <c r="T253" i="2"/>
  <c r="Q251" i="1" s="1"/>
  <c r="X251" i="1" s="1"/>
  <c r="S253" i="2"/>
  <c r="C251" i="1" s="1"/>
  <c r="R253" i="2"/>
  <c r="D251" i="1" s="1"/>
  <c r="Q253" i="2"/>
  <c r="O253" i="2"/>
  <c r="P253" i="2" s="1"/>
  <c r="Y253" i="2" s="1"/>
  <c r="N251" i="1" s="1"/>
  <c r="W252" i="2"/>
  <c r="U252" i="2"/>
  <c r="T252" i="2"/>
  <c r="Q250" i="1" s="1"/>
  <c r="X250" i="1" s="1"/>
  <c r="S252" i="2"/>
  <c r="C250" i="1" s="1"/>
  <c r="R252" i="2"/>
  <c r="Q252" i="2"/>
  <c r="Y250" i="1" s="1"/>
  <c r="O252" i="2"/>
  <c r="P252" i="2" s="1"/>
  <c r="Y252" i="2" s="1"/>
  <c r="N250" i="1" s="1"/>
  <c r="W251" i="2"/>
  <c r="U251" i="2"/>
  <c r="B249" i="1" s="1"/>
  <c r="T251" i="2"/>
  <c r="Q249" i="1" s="1"/>
  <c r="X249" i="1" s="1"/>
  <c r="S251" i="2"/>
  <c r="C249" i="1" s="1"/>
  <c r="R251" i="2"/>
  <c r="D249" i="1" s="1"/>
  <c r="Q251" i="2"/>
  <c r="Y249" i="1" s="1"/>
  <c r="O251" i="2"/>
  <c r="P251" i="2" s="1"/>
  <c r="Y251" i="2" s="1"/>
  <c r="N249" i="1" s="1"/>
  <c r="W250" i="2"/>
  <c r="U250" i="2"/>
  <c r="B248" i="1" s="1"/>
  <c r="T250" i="2"/>
  <c r="Q248" i="1" s="1"/>
  <c r="X248" i="1" s="1"/>
  <c r="S250" i="2"/>
  <c r="C248" i="1" s="1"/>
  <c r="R250" i="2"/>
  <c r="D248" i="1" s="1"/>
  <c r="Q250" i="2"/>
  <c r="Y248" i="1" s="1"/>
  <c r="O250" i="2"/>
  <c r="P250" i="2" s="1"/>
  <c r="Y250" i="2" s="1"/>
  <c r="N248" i="1" s="1"/>
  <c r="W249" i="2"/>
  <c r="V249" i="2" s="1"/>
  <c r="U249" i="2"/>
  <c r="T249" i="2"/>
  <c r="S249" i="2"/>
  <c r="C247" i="1" s="1"/>
  <c r="R249" i="2"/>
  <c r="D247" i="1" s="1"/>
  <c r="Q249" i="2"/>
  <c r="Y247" i="1" s="1"/>
  <c r="O249" i="2"/>
  <c r="P249" i="2" s="1"/>
  <c r="Y249" i="2" s="1"/>
  <c r="N247" i="1" s="1"/>
  <c r="W248" i="2"/>
  <c r="U248" i="2"/>
  <c r="B246" i="1" s="1"/>
  <c r="T248" i="2"/>
  <c r="Q246" i="1" s="1"/>
  <c r="X246" i="1" s="1"/>
  <c r="S248" i="2"/>
  <c r="C246" i="1" s="1"/>
  <c r="R248" i="2"/>
  <c r="D246" i="1" s="1"/>
  <c r="Q248" i="2"/>
  <c r="Y246" i="1" s="1"/>
  <c r="O248" i="2"/>
  <c r="P248" i="2" s="1"/>
  <c r="Y248" i="2" s="1"/>
  <c r="N246" i="1" s="1"/>
  <c r="W247" i="2"/>
  <c r="V247" i="2" s="1"/>
  <c r="X247" i="2" s="1"/>
  <c r="U247" i="2"/>
  <c r="T247" i="2"/>
  <c r="Q245" i="1" s="1"/>
  <c r="X245" i="1" s="1"/>
  <c r="S247" i="2"/>
  <c r="C245" i="1" s="1"/>
  <c r="R247" i="2"/>
  <c r="D245" i="1" s="1"/>
  <c r="Q247" i="2"/>
  <c r="Y245" i="1" s="1"/>
  <c r="O247" i="2"/>
  <c r="P247" i="2" s="1"/>
  <c r="Y247" i="2" s="1"/>
  <c r="N245" i="1" s="1"/>
  <c r="W246" i="2"/>
  <c r="U246" i="2"/>
  <c r="B244" i="1" s="1"/>
  <c r="T246" i="2"/>
  <c r="Q244" i="1" s="1"/>
  <c r="X244" i="1" s="1"/>
  <c r="S246" i="2"/>
  <c r="C244" i="1" s="1"/>
  <c r="R246" i="2"/>
  <c r="D244" i="1" s="1"/>
  <c r="Q246" i="2"/>
  <c r="Y244" i="1" s="1"/>
  <c r="O246" i="2"/>
  <c r="P246" i="2" s="1"/>
  <c r="Y246" i="2" s="1"/>
  <c r="N244" i="1" s="1"/>
  <c r="W245" i="2"/>
  <c r="U245" i="2"/>
  <c r="B243" i="1" s="1"/>
  <c r="T245" i="2"/>
  <c r="Q243" i="1" s="1"/>
  <c r="X243" i="1" s="1"/>
  <c r="S245" i="2"/>
  <c r="R245" i="2"/>
  <c r="Q245" i="2"/>
  <c r="Y243" i="1" s="1"/>
  <c r="O245" i="2"/>
  <c r="P245" i="2" s="1"/>
  <c r="Y245" i="2" s="1"/>
  <c r="N243" i="1" s="1"/>
  <c r="W244" i="2"/>
  <c r="U244" i="2"/>
  <c r="B242" i="1" s="1"/>
  <c r="T244" i="2"/>
  <c r="S244" i="2"/>
  <c r="C242" i="1" s="1"/>
  <c r="R244" i="2"/>
  <c r="D242" i="1" s="1"/>
  <c r="Q244" i="2"/>
  <c r="Y242" i="1" s="1"/>
  <c r="O244" i="2"/>
  <c r="P244" i="2" s="1"/>
  <c r="Y244" i="2" s="1"/>
  <c r="N242" i="1" s="1"/>
  <c r="W243" i="2"/>
  <c r="U243" i="2"/>
  <c r="B241" i="1" s="1"/>
  <c r="T243" i="2"/>
  <c r="Q241" i="1" s="1"/>
  <c r="X241" i="1" s="1"/>
  <c r="S243" i="2"/>
  <c r="C241" i="1" s="1"/>
  <c r="R243" i="2"/>
  <c r="D241" i="1" s="1"/>
  <c r="Q243" i="2"/>
  <c r="O243" i="2"/>
  <c r="P243" i="2" s="1"/>
  <c r="Y243" i="2" s="1"/>
  <c r="N241" i="1" s="1"/>
  <c r="W242" i="2"/>
  <c r="U242" i="2"/>
  <c r="B240" i="1" s="1"/>
  <c r="T242" i="2"/>
  <c r="Q240" i="1" s="1"/>
  <c r="X240" i="1" s="1"/>
  <c r="S242" i="2"/>
  <c r="C240" i="1" s="1"/>
  <c r="R242" i="2"/>
  <c r="D240" i="1" s="1"/>
  <c r="Q242" i="2"/>
  <c r="Y240" i="1" s="1"/>
  <c r="O242" i="2"/>
  <c r="P242" i="2" s="1"/>
  <c r="Y242" i="2" s="1"/>
  <c r="N240" i="1" s="1"/>
  <c r="W241" i="2"/>
  <c r="U241" i="2"/>
  <c r="B239" i="1" s="1"/>
  <c r="T241" i="2"/>
  <c r="Q239" i="1" s="1"/>
  <c r="X239" i="1" s="1"/>
  <c r="S241" i="2"/>
  <c r="C239" i="1" s="1"/>
  <c r="R241" i="2"/>
  <c r="D239" i="1" s="1"/>
  <c r="Q241" i="2"/>
  <c r="Y239" i="1" s="1"/>
  <c r="O241" i="2"/>
  <c r="P241" i="2" s="1"/>
  <c r="Y241" i="2" s="1"/>
  <c r="N239" i="1" s="1"/>
  <c r="W240" i="2"/>
  <c r="U240" i="2"/>
  <c r="B238" i="1" s="1"/>
  <c r="T240" i="2"/>
  <c r="Q238" i="1" s="1"/>
  <c r="X238" i="1" s="1"/>
  <c r="S240" i="2"/>
  <c r="C238" i="1" s="1"/>
  <c r="R240" i="2"/>
  <c r="D238" i="1" s="1"/>
  <c r="Q240" i="2"/>
  <c r="Y238" i="1" s="1"/>
  <c r="O240" i="2"/>
  <c r="P240" i="2" s="1"/>
  <c r="Y240" i="2" s="1"/>
  <c r="N238" i="1" s="1"/>
  <c r="W239" i="2"/>
  <c r="U239" i="2"/>
  <c r="B237" i="1" s="1"/>
  <c r="T239" i="2"/>
  <c r="Q237" i="1" s="1"/>
  <c r="X237" i="1" s="1"/>
  <c r="S239" i="2"/>
  <c r="C237" i="1" s="1"/>
  <c r="R239" i="2"/>
  <c r="D237" i="1" s="1"/>
  <c r="Q239" i="2"/>
  <c r="Y237" i="1" s="1"/>
  <c r="O239" i="2"/>
  <c r="P239" i="2" s="1"/>
  <c r="Y239" i="2" s="1"/>
  <c r="N237" i="1" s="1"/>
  <c r="W238" i="2"/>
  <c r="V238" i="2" s="1"/>
  <c r="U238" i="2"/>
  <c r="B236" i="1" s="1"/>
  <c r="T238" i="2"/>
  <c r="S238" i="2"/>
  <c r="C236" i="1" s="1"/>
  <c r="R238" i="2"/>
  <c r="Q238" i="2"/>
  <c r="Y236" i="1" s="1"/>
  <c r="O238" i="2"/>
  <c r="P238" i="2" s="1"/>
  <c r="Y238" i="2" s="1"/>
  <c r="N236" i="1" s="1"/>
  <c r="W237" i="2"/>
  <c r="U237" i="2"/>
  <c r="B235" i="1" s="1"/>
  <c r="T237" i="2"/>
  <c r="Q235" i="1" s="1"/>
  <c r="X235" i="1" s="1"/>
  <c r="S237" i="2"/>
  <c r="R237" i="2"/>
  <c r="D235" i="1" s="1"/>
  <c r="Q237" i="2"/>
  <c r="Y235" i="1" s="1"/>
  <c r="O237" i="2"/>
  <c r="P237" i="2" s="1"/>
  <c r="Y237" i="2" s="1"/>
  <c r="N235" i="1" s="1"/>
  <c r="W236" i="2"/>
  <c r="U236" i="2"/>
  <c r="T236" i="2"/>
  <c r="Q234" i="1" s="1"/>
  <c r="X234" i="1" s="1"/>
  <c r="S236" i="2"/>
  <c r="C234" i="1" s="1"/>
  <c r="R236" i="2"/>
  <c r="D234" i="1" s="1"/>
  <c r="Q236" i="2"/>
  <c r="Y234" i="1" s="1"/>
  <c r="O236" i="2"/>
  <c r="P236" i="2" s="1"/>
  <c r="Y236" i="2" s="1"/>
  <c r="N234" i="1" s="1"/>
  <c r="W235" i="2"/>
  <c r="U235" i="2"/>
  <c r="B233" i="1" s="1"/>
  <c r="T235" i="2"/>
  <c r="Q233" i="1" s="1"/>
  <c r="X233" i="1" s="1"/>
  <c r="S235" i="2"/>
  <c r="C233" i="1" s="1"/>
  <c r="R235" i="2"/>
  <c r="D233" i="1" s="1"/>
  <c r="Q235" i="2"/>
  <c r="Y233" i="1" s="1"/>
  <c r="O235" i="2"/>
  <c r="P235" i="2" s="1"/>
  <c r="Y235" i="2" s="1"/>
  <c r="N233" i="1" s="1"/>
  <c r="W234" i="2"/>
  <c r="U234" i="2"/>
  <c r="B232" i="1" s="1"/>
  <c r="T234" i="2"/>
  <c r="Q232" i="1" s="1"/>
  <c r="X232" i="1" s="1"/>
  <c r="S234" i="2"/>
  <c r="R234" i="2"/>
  <c r="D232" i="1" s="1"/>
  <c r="Q234" i="2"/>
  <c r="Y232" i="1" s="1"/>
  <c r="O234" i="2"/>
  <c r="P234" i="2" s="1"/>
  <c r="Y234" i="2" s="1"/>
  <c r="N232" i="1" s="1"/>
  <c r="W233" i="2"/>
  <c r="U233" i="2"/>
  <c r="B231" i="1" s="1"/>
  <c r="T233" i="2"/>
  <c r="Q231" i="1" s="1"/>
  <c r="X231" i="1" s="1"/>
  <c r="S233" i="2"/>
  <c r="C231" i="1" s="1"/>
  <c r="R233" i="2"/>
  <c r="D231" i="1" s="1"/>
  <c r="Q233" i="2"/>
  <c r="Y231" i="1" s="1"/>
  <c r="O233" i="2"/>
  <c r="P233" i="2" s="1"/>
  <c r="Y233" i="2" s="1"/>
  <c r="N231" i="1" s="1"/>
  <c r="W232" i="2"/>
  <c r="U232" i="2"/>
  <c r="B230" i="1" s="1"/>
  <c r="T232" i="2"/>
  <c r="Q230" i="1" s="1"/>
  <c r="X230" i="1" s="1"/>
  <c r="S232" i="2"/>
  <c r="C230" i="1" s="1"/>
  <c r="R232" i="2"/>
  <c r="D230" i="1" s="1"/>
  <c r="Q232" i="2"/>
  <c r="Y230" i="1" s="1"/>
  <c r="O232" i="2"/>
  <c r="P232" i="2" s="1"/>
  <c r="Y232" i="2" s="1"/>
  <c r="N230" i="1" s="1"/>
  <c r="W231" i="2"/>
  <c r="U231" i="2"/>
  <c r="B229" i="1" s="1"/>
  <c r="T231" i="2"/>
  <c r="Q229" i="1" s="1"/>
  <c r="X229" i="1" s="1"/>
  <c r="S231" i="2"/>
  <c r="C229" i="1" s="1"/>
  <c r="R231" i="2"/>
  <c r="D229" i="1" s="1"/>
  <c r="Q231" i="2"/>
  <c r="Y229" i="1" s="1"/>
  <c r="O231" i="2"/>
  <c r="P231" i="2" s="1"/>
  <c r="Y231" i="2" s="1"/>
  <c r="N229" i="1" s="1"/>
  <c r="W230" i="2"/>
  <c r="U230" i="2"/>
  <c r="B228" i="1" s="1"/>
  <c r="T230" i="2"/>
  <c r="Q228" i="1" s="1"/>
  <c r="X228" i="1" s="1"/>
  <c r="S230" i="2"/>
  <c r="C228" i="1" s="1"/>
  <c r="R230" i="2"/>
  <c r="D228" i="1" s="1"/>
  <c r="Q230" i="2"/>
  <c r="Y228" i="1" s="1"/>
  <c r="O230" i="2"/>
  <c r="P230" i="2" s="1"/>
  <c r="Y230" i="2" s="1"/>
  <c r="N228" i="1" s="1"/>
  <c r="W229" i="2"/>
  <c r="U229" i="2"/>
  <c r="B227" i="1" s="1"/>
  <c r="T229" i="2"/>
  <c r="Q227" i="1" s="1"/>
  <c r="X227" i="1" s="1"/>
  <c r="S229" i="2"/>
  <c r="C227" i="1" s="1"/>
  <c r="R229" i="2"/>
  <c r="D227" i="1" s="1"/>
  <c r="Q229" i="2"/>
  <c r="Y227" i="1" s="1"/>
  <c r="O229" i="2"/>
  <c r="P229" i="2" s="1"/>
  <c r="Y229" i="2" s="1"/>
  <c r="N227" i="1" s="1"/>
  <c r="W228" i="2"/>
  <c r="U228" i="2"/>
  <c r="B226" i="1" s="1"/>
  <c r="T228" i="2"/>
  <c r="Q226" i="1" s="1"/>
  <c r="X226" i="1" s="1"/>
  <c r="S228" i="2"/>
  <c r="C226" i="1" s="1"/>
  <c r="R228" i="2"/>
  <c r="D226" i="1" s="1"/>
  <c r="Q228" i="2"/>
  <c r="Y226" i="1" s="1"/>
  <c r="O228" i="2"/>
  <c r="P228" i="2" s="1"/>
  <c r="Y228" i="2" s="1"/>
  <c r="N226" i="1" s="1"/>
  <c r="W227" i="2"/>
  <c r="U227" i="2"/>
  <c r="B225" i="1" s="1"/>
  <c r="T227" i="2"/>
  <c r="S227" i="2"/>
  <c r="C225" i="1" s="1"/>
  <c r="R227" i="2"/>
  <c r="D225" i="1" s="1"/>
  <c r="Q227" i="2"/>
  <c r="Y225" i="1" s="1"/>
  <c r="O227" i="2"/>
  <c r="P227" i="2" s="1"/>
  <c r="Y227" i="2" s="1"/>
  <c r="N225" i="1" s="1"/>
  <c r="W226" i="2"/>
  <c r="U226" i="2"/>
  <c r="B224" i="1" s="1"/>
  <c r="T226" i="2"/>
  <c r="Q224" i="1" s="1"/>
  <c r="X224" i="1" s="1"/>
  <c r="S226" i="2"/>
  <c r="C224" i="1" s="1"/>
  <c r="R226" i="2"/>
  <c r="Q226" i="2"/>
  <c r="O226" i="2"/>
  <c r="P226" i="2" s="1"/>
  <c r="Y226" i="2" s="1"/>
  <c r="N224" i="1" s="1"/>
  <c r="W225" i="2"/>
  <c r="U225" i="2"/>
  <c r="B223" i="1" s="1"/>
  <c r="T225" i="2"/>
  <c r="Q223" i="1" s="1"/>
  <c r="X223" i="1" s="1"/>
  <c r="S225" i="2"/>
  <c r="C223" i="1" s="1"/>
  <c r="R225" i="2"/>
  <c r="D223" i="1" s="1"/>
  <c r="Q225" i="2"/>
  <c r="Y223" i="1" s="1"/>
  <c r="O225" i="2"/>
  <c r="P225" i="2" s="1"/>
  <c r="Y225" i="2" s="1"/>
  <c r="N223" i="1" s="1"/>
  <c r="W224" i="2"/>
  <c r="U224" i="2"/>
  <c r="B222" i="1" s="1"/>
  <c r="T224" i="2"/>
  <c r="Q222" i="1" s="1"/>
  <c r="X222" i="1" s="1"/>
  <c r="S224" i="2"/>
  <c r="C222" i="1" s="1"/>
  <c r="R224" i="2"/>
  <c r="Q224" i="2"/>
  <c r="O224" i="2"/>
  <c r="P224" i="2" s="1"/>
  <c r="Y224" i="2" s="1"/>
  <c r="N222" i="1" s="1"/>
  <c r="W223" i="2"/>
  <c r="V223" i="2" s="1"/>
  <c r="X223" i="2" s="1"/>
  <c r="Z223" i="2" s="1"/>
  <c r="U223" i="2"/>
  <c r="B221" i="1" s="1"/>
  <c r="T223" i="2"/>
  <c r="Q221" i="1" s="1"/>
  <c r="X221" i="1" s="1"/>
  <c r="S223" i="2"/>
  <c r="C221" i="1" s="1"/>
  <c r="R223" i="2"/>
  <c r="D221" i="1" s="1"/>
  <c r="Q223" i="2"/>
  <c r="O223" i="2"/>
  <c r="P223" i="2" s="1"/>
  <c r="Y223" i="2" s="1"/>
  <c r="N221" i="1" s="1"/>
  <c r="W222" i="2"/>
  <c r="U222" i="2"/>
  <c r="B220" i="1" s="1"/>
  <c r="T222" i="2"/>
  <c r="Q220" i="1" s="1"/>
  <c r="X220" i="1" s="1"/>
  <c r="S222" i="2"/>
  <c r="C220" i="1" s="1"/>
  <c r="R222" i="2"/>
  <c r="D220" i="1" s="1"/>
  <c r="Q222" i="2"/>
  <c r="Y220" i="1" s="1"/>
  <c r="O222" i="2"/>
  <c r="P222" i="2" s="1"/>
  <c r="Y222" i="2" s="1"/>
  <c r="N220" i="1" s="1"/>
  <c r="W221" i="2"/>
  <c r="U221" i="2"/>
  <c r="B219" i="1" s="1"/>
  <c r="T221" i="2"/>
  <c r="Q219" i="1" s="1"/>
  <c r="X219" i="1" s="1"/>
  <c r="S221" i="2"/>
  <c r="C219" i="1" s="1"/>
  <c r="R221" i="2"/>
  <c r="D219" i="1" s="1"/>
  <c r="Q221" i="2"/>
  <c r="Y219" i="1" s="1"/>
  <c r="O221" i="2"/>
  <c r="P221" i="2" s="1"/>
  <c r="Y221" i="2" s="1"/>
  <c r="N219" i="1" s="1"/>
  <c r="W220" i="2"/>
  <c r="V220" i="2" s="1"/>
  <c r="X220" i="2" s="1"/>
  <c r="Z220" i="2" s="1"/>
  <c r="U220" i="2"/>
  <c r="B218" i="1" s="1"/>
  <c r="T220" i="2"/>
  <c r="Q218" i="1" s="1"/>
  <c r="X218" i="1" s="1"/>
  <c r="S220" i="2"/>
  <c r="C218" i="1" s="1"/>
  <c r="R220" i="2"/>
  <c r="D218" i="1" s="1"/>
  <c r="Q220" i="2"/>
  <c r="Y218" i="1" s="1"/>
  <c r="O220" i="2"/>
  <c r="P220" i="2" s="1"/>
  <c r="Y220" i="2" s="1"/>
  <c r="N218" i="1" s="1"/>
  <c r="W219" i="2"/>
  <c r="U219" i="2"/>
  <c r="T219" i="2"/>
  <c r="Q217" i="1" s="1"/>
  <c r="X217" i="1" s="1"/>
  <c r="S219" i="2"/>
  <c r="R219" i="2"/>
  <c r="D217" i="1" s="1"/>
  <c r="Q219" i="2"/>
  <c r="Y217" i="1" s="1"/>
  <c r="O219" i="2"/>
  <c r="P219" i="2" s="1"/>
  <c r="Y219" i="2" s="1"/>
  <c r="N217" i="1" s="1"/>
  <c r="W218" i="2"/>
  <c r="U218" i="2"/>
  <c r="B216" i="1" s="1"/>
  <c r="T218" i="2"/>
  <c r="Q216" i="1" s="1"/>
  <c r="X216" i="1" s="1"/>
  <c r="S218" i="2"/>
  <c r="C216" i="1" s="1"/>
  <c r="R218" i="2"/>
  <c r="D216" i="1" s="1"/>
  <c r="Q218" i="2"/>
  <c r="Y216" i="1" s="1"/>
  <c r="O218" i="2"/>
  <c r="P218" i="2" s="1"/>
  <c r="Y218" i="2" s="1"/>
  <c r="N216" i="1" s="1"/>
  <c r="W217" i="2"/>
  <c r="U217" i="2"/>
  <c r="B215" i="1" s="1"/>
  <c r="T217" i="2"/>
  <c r="Q215" i="1" s="1"/>
  <c r="X215" i="1" s="1"/>
  <c r="S217" i="2"/>
  <c r="C215" i="1" s="1"/>
  <c r="R217" i="2"/>
  <c r="D215" i="1" s="1"/>
  <c r="Q217" i="2"/>
  <c r="Y215" i="1" s="1"/>
  <c r="O217" i="2"/>
  <c r="P217" i="2" s="1"/>
  <c r="Y217" i="2" s="1"/>
  <c r="N215" i="1" s="1"/>
  <c r="W216" i="2"/>
  <c r="U216" i="2"/>
  <c r="B214" i="1" s="1"/>
  <c r="T216" i="2"/>
  <c r="Q214" i="1" s="1"/>
  <c r="X214" i="1" s="1"/>
  <c r="S216" i="2"/>
  <c r="C214" i="1" s="1"/>
  <c r="R216" i="2"/>
  <c r="D214" i="1" s="1"/>
  <c r="Q216" i="2"/>
  <c r="Y214" i="1" s="1"/>
  <c r="O216" i="2"/>
  <c r="P216" i="2" s="1"/>
  <c r="Y216" i="2" s="1"/>
  <c r="N214" i="1" s="1"/>
  <c r="W215" i="2"/>
  <c r="U215" i="2"/>
  <c r="B213" i="1" s="1"/>
  <c r="T215" i="2"/>
  <c r="Q213" i="1" s="1"/>
  <c r="X213" i="1" s="1"/>
  <c r="S215" i="2"/>
  <c r="R215" i="2"/>
  <c r="D213" i="1" s="1"/>
  <c r="Q215" i="2"/>
  <c r="Y213" i="1" s="1"/>
  <c r="O215" i="2"/>
  <c r="P215" i="2" s="1"/>
  <c r="Y215" i="2" s="1"/>
  <c r="N213" i="1" s="1"/>
  <c r="W214" i="2"/>
  <c r="U214" i="2"/>
  <c r="B212" i="1" s="1"/>
  <c r="T214" i="2"/>
  <c r="Q212" i="1" s="1"/>
  <c r="X212" i="1" s="1"/>
  <c r="S214" i="2"/>
  <c r="C212" i="1" s="1"/>
  <c r="R214" i="2"/>
  <c r="D212" i="1" s="1"/>
  <c r="Q214" i="2"/>
  <c r="Y212" i="1" s="1"/>
  <c r="O214" i="2"/>
  <c r="P214" i="2" s="1"/>
  <c r="Y214" i="2" s="1"/>
  <c r="N212" i="1" s="1"/>
  <c r="W213" i="2"/>
  <c r="U213" i="2"/>
  <c r="B211" i="1" s="1"/>
  <c r="T213" i="2"/>
  <c r="Q211" i="1" s="1"/>
  <c r="X211" i="1" s="1"/>
  <c r="S213" i="2"/>
  <c r="C211" i="1" s="1"/>
  <c r="R213" i="2"/>
  <c r="Q213" i="2"/>
  <c r="Y211" i="1" s="1"/>
  <c r="O213" i="2"/>
  <c r="P213" i="2" s="1"/>
  <c r="Y213" i="2" s="1"/>
  <c r="N211" i="1" s="1"/>
  <c r="W212" i="2"/>
  <c r="U212" i="2"/>
  <c r="B210" i="1" s="1"/>
  <c r="T212" i="2"/>
  <c r="Q210" i="1" s="1"/>
  <c r="X210" i="1" s="1"/>
  <c r="S212" i="2"/>
  <c r="C210" i="1" s="1"/>
  <c r="R212" i="2"/>
  <c r="D210" i="1" s="1"/>
  <c r="Q212" i="2"/>
  <c r="Y210" i="1" s="1"/>
  <c r="O212" i="2"/>
  <c r="P212" i="2" s="1"/>
  <c r="Y212" i="2" s="1"/>
  <c r="N210" i="1" s="1"/>
  <c r="W211" i="2"/>
  <c r="U211" i="2"/>
  <c r="B209" i="1" s="1"/>
  <c r="T211" i="2"/>
  <c r="Q209" i="1" s="1"/>
  <c r="X209" i="1" s="1"/>
  <c r="S211" i="2"/>
  <c r="C209" i="1" s="1"/>
  <c r="R211" i="2"/>
  <c r="D209" i="1" s="1"/>
  <c r="Q211" i="2"/>
  <c r="Y209" i="1" s="1"/>
  <c r="O211" i="2"/>
  <c r="P211" i="2" s="1"/>
  <c r="Y211" i="2" s="1"/>
  <c r="N209" i="1" s="1"/>
  <c r="W210" i="2"/>
  <c r="U210" i="2"/>
  <c r="B208" i="1" s="1"/>
  <c r="T210" i="2"/>
  <c r="Q208" i="1" s="1"/>
  <c r="X208" i="1" s="1"/>
  <c r="S210" i="2"/>
  <c r="C208" i="1" s="1"/>
  <c r="R210" i="2"/>
  <c r="D208" i="1" s="1"/>
  <c r="Q210" i="2"/>
  <c r="Y208" i="1" s="1"/>
  <c r="O210" i="2"/>
  <c r="P210" i="2" s="1"/>
  <c r="Y210" i="2" s="1"/>
  <c r="N208" i="1" s="1"/>
  <c r="W209" i="2"/>
  <c r="U209" i="2"/>
  <c r="B207" i="1" s="1"/>
  <c r="T209" i="2"/>
  <c r="Q207" i="1" s="1"/>
  <c r="X207" i="1" s="1"/>
  <c r="S209" i="2"/>
  <c r="C207" i="1" s="1"/>
  <c r="R209" i="2"/>
  <c r="D207" i="1" s="1"/>
  <c r="Q209" i="2"/>
  <c r="Y207" i="1" s="1"/>
  <c r="O209" i="2"/>
  <c r="P209" i="2" s="1"/>
  <c r="Y209" i="2" s="1"/>
  <c r="N207" i="1" s="1"/>
  <c r="W208" i="2"/>
  <c r="U208" i="2"/>
  <c r="T208" i="2"/>
  <c r="Q206" i="1" s="1"/>
  <c r="X206" i="1" s="1"/>
  <c r="S208" i="2"/>
  <c r="C206" i="1" s="1"/>
  <c r="R208" i="2"/>
  <c r="D206" i="1" s="1"/>
  <c r="Q208" i="2"/>
  <c r="Y206" i="1" s="1"/>
  <c r="O208" i="2"/>
  <c r="P208" i="2" s="1"/>
  <c r="Y208" i="2" s="1"/>
  <c r="N206" i="1" s="1"/>
  <c r="W207" i="2"/>
  <c r="U207" i="2"/>
  <c r="B205" i="1" s="1"/>
  <c r="T207" i="2"/>
  <c r="Q205" i="1" s="1"/>
  <c r="X205" i="1" s="1"/>
  <c r="S207" i="2"/>
  <c r="C205" i="1" s="1"/>
  <c r="R207" i="2"/>
  <c r="D205" i="1" s="1"/>
  <c r="Q207" i="2"/>
  <c r="Y205" i="1" s="1"/>
  <c r="O207" i="2"/>
  <c r="P207" i="2" s="1"/>
  <c r="Y207" i="2" s="1"/>
  <c r="N205" i="1" s="1"/>
  <c r="W206" i="2"/>
  <c r="U206" i="2"/>
  <c r="B204" i="1" s="1"/>
  <c r="T206" i="2"/>
  <c r="Q204" i="1" s="1"/>
  <c r="X204" i="1" s="1"/>
  <c r="S206" i="2"/>
  <c r="R206" i="2"/>
  <c r="D204" i="1" s="1"/>
  <c r="Q206" i="2"/>
  <c r="O206" i="2"/>
  <c r="P206" i="2" s="1"/>
  <c r="Y206" i="2" s="1"/>
  <c r="N204" i="1" s="1"/>
  <c r="W205" i="2"/>
  <c r="U205" i="2"/>
  <c r="B203" i="1" s="1"/>
  <c r="T205" i="2"/>
  <c r="Q203" i="1" s="1"/>
  <c r="X203" i="1" s="1"/>
  <c r="S205" i="2"/>
  <c r="R205" i="2"/>
  <c r="D203" i="1" s="1"/>
  <c r="Q205" i="2"/>
  <c r="Y203" i="1" s="1"/>
  <c r="O205" i="2"/>
  <c r="P205" i="2" s="1"/>
  <c r="Y205" i="2" s="1"/>
  <c r="N203" i="1" s="1"/>
  <c r="W204" i="2"/>
  <c r="V204" i="2" s="1"/>
  <c r="X204" i="2" s="1"/>
  <c r="Z204" i="2" s="1"/>
  <c r="U204" i="2"/>
  <c r="T204" i="2"/>
  <c r="Q202" i="1" s="1"/>
  <c r="X202" i="1" s="1"/>
  <c r="S204" i="2"/>
  <c r="C202" i="1" s="1"/>
  <c r="R204" i="2"/>
  <c r="D202" i="1" s="1"/>
  <c r="Q204" i="2"/>
  <c r="O204" i="2"/>
  <c r="P204" i="2" s="1"/>
  <c r="Y204" i="2" s="1"/>
  <c r="N202" i="1" s="1"/>
  <c r="W203" i="2"/>
  <c r="U203" i="2"/>
  <c r="B201" i="1" s="1"/>
  <c r="T203" i="2"/>
  <c r="Q201" i="1" s="1"/>
  <c r="X201" i="1" s="1"/>
  <c r="S203" i="2"/>
  <c r="R203" i="2"/>
  <c r="D201" i="1" s="1"/>
  <c r="Q203" i="2"/>
  <c r="Y201" i="1" s="1"/>
  <c r="O203" i="2"/>
  <c r="P203" i="2" s="1"/>
  <c r="Y203" i="2" s="1"/>
  <c r="N201" i="1" s="1"/>
  <c r="W202" i="2"/>
  <c r="U202" i="2"/>
  <c r="B200" i="1" s="1"/>
  <c r="T202" i="2"/>
  <c r="Q200" i="1" s="1"/>
  <c r="X200" i="1" s="1"/>
  <c r="S202" i="2"/>
  <c r="C200" i="1" s="1"/>
  <c r="R202" i="2"/>
  <c r="D200" i="1" s="1"/>
  <c r="Q202" i="2"/>
  <c r="Y200" i="1" s="1"/>
  <c r="O202" i="2"/>
  <c r="P202" i="2" s="1"/>
  <c r="Y202" i="2" s="1"/>
  <c r="N200" i="1" s="1"/>
  <c r="W201" i="2"/>
  <c r="U201" i="2"/>
  <c r="T201" i="2"/>
  <c r="Q199" i="1" s="1"/>
  <c r="X199" i="1" s="1"/>
  <c r="S201" i="2"/>
  <c r="C199" i="1" s="1"/>
  <c r="R201" i="2"/>
  <c r="D199" i="1" s="1"/>
  <c r="Q201" i="2"/>
  <c r="Y199" i="1" s="1"/>
  <c r="O201" i="2"/>
  <c r="P201" i="2" s="1"/>
  <c r="Y201" i="2" s="1"/>
  <c r="N199" i="1" s="1"/>
  <c r="W200" i="2"/>
  <c r="U200" i="2"/>
  <c r="B198" i="1" s="1"/>
  <c r="T200" i="2"/>
  <c r="Q198" i="1" s="1"/>
  <c r="X198" i="1" s="1"/>
  <c r="S200" i="2"/>
  <c r="C198" i="1" s="1"/>
  <c r="R200" i="2"/>
  <c r="D198" i="1" s="1"/>
  <c r="Q200" i="2"/>
  <c r="Y198" i="1" s="1"/>
  <c r="O200" i="2"/>
  <c r="P200" i="2" s="1"/>
  <c r="Y200" i="2" s="1"/>
  <c r="N198" i="1" s="1"/>
  <c r="W199" i="2"/>
  <c r="U199" i="2"/>
  <c r="T199" i="2"/>
  <c r="S199" i="2"/>
  <c r="C197" i="1" s="1"/>
  <c r="R199" i="2"/>
  <c r="D197" i="1" s="1"/>
  <c r="Q199" i="2"/>
  <c r="Y197" i="1" s="1"/>
  <c r="O199" i="2"/>
  <c r="P199" i="2" s="1"/>
  <c r="Y199" i="2" s="1"/>
  <c r="N197" i="1" s="1"/>
  <c r="W198" i="2"/>
  <c r="U198" i="2"/>
  <c r="B196" i="1" s="1"/>
  <c r="T198" i="2"/>
  <c r="Q196" i="1" s="1"/>
  <c r="X196" i="1" s="1"/>
  <c r="S198" i="2"/>
  <c r="C196" i="1" s="1"/>
  <c r="R198" i="2"/>
  <c r="D196" i="1" s="1"/>
  <c r="Q198" i="2"/>
  <c r="Y196" i="1" s="1"/>
  <c r="O198" i="2"/>
  <c r="P198" i="2" s="1"/>
  <c r="Y198" i="2" s="1"/>
  <c r="N196" i="1" s="1"/>
  <c r="W197" i="2"/>
  <c r="U197" i="2"/>
  <c r="B195" i="1" s="1"/>
  <c r="T197" i="2"/>
  <c r="Q195" i="1" s="1"/>
  <c r="X195" i="1" s="1"/>
  <c r="S197" i="2"/>
  <c r="R197" i="2"/>
  <c r="Q197" i="2"/>
  <c r="Y195" i="1" s="1"/>
  <c r="O197" i="2"/>
  <c r="P197" i="2" s="1"/>
  <c r="Y197" i="2" s="1"/>
  <c r="N195" i="1" s="1"/>
  <c r="W196" i="2"/>
  <c r="U196" i="2"/>
  <c r="B194" i="1" s="1"/>
  <c r="T196" i="2"/>
  <c r="Q194" i="1" s="1"/>
  <c r="X194" i="1" s="1"/>
  <c r="S196" i="2"/>
  <c r="C194" i="1" s="1"/>
  <c r="R196" i="2"/>
  <c r="D194" i="1" s="1"/>
  <c r="Q196" i="2"/>
  <c r="Y194" i="1" s="1"/>
  <c r="O196" i="2"/>
  <c r="P196" i="2" s="1"/>
  <c r="Y196" i="2" s="1"/>
  <c r="N194" i="1" s="1"/>
  <c r="W195" i="2"/>
  <c r="U195" i="2"/>
  <c r="B193" i="1" s="1"/>
  <c r="T195" i="2"/>
  <c r="Q193" i="1" s="1"/>
  <c r="X193" i="1" s="1"/>
  <c r="S195" i="2"/>
  <c r="C193" i="1" s="1"/>
  <c r="R195" i="2"/>
  <c r="D193" i="1" s="1"/>
  <c r="Q195" i="2"/>
  <c r="O195" i="2"/>
  <c r="P195" i="2" s="1"/>
  <c r="Y195" i="2" s="1"/>
  <c r="N193" i="1" s="1"/>
  <c r="W194" i="2"/>
  <c r="U194" i="2"/>
  <c r="T194" i="2"/>
  <c r="S194" i="2"/>
  <c r="R194" i="2"/>
  <c r="D192" i="1" s="1"/>
  <c r="Q194" i="2"/>
  <c r="Y192" i="1" s="1"/>
  <c r="O194" i="2"/>
  <c r="P194" i="2" s="1"/>
  <c r="Y194" i="2" s="1"/>
  <c r="N192" i="1" s="1"/>
  <c r="W193" i="2"/>
  <c r="U193" i="2"/>
  <c r="T193" i="2"/>
  <c r="Q191" i="1" s="1"/>
  <c r="X191" i="1" s="1"/>
  <c r="S193" i="2"/>
  <c r="C191" i="1" s="1"/>
  <c r="R193" i="2"/>
  <c r="D191" i="1" s="1"/>
  <c r="Q193" i="2"/>
  <c r="Y191" i="1" s="1"/>
  <c r="O193" i="2"/>
  <c r="P193" i="2" s="1"/>
  <c r="Y193" i="2" s="1"/>
  <c r="N191" i="1" s="1"/>
  <c r="W192" i="2"/>
  <c r="U192" i="2"/>
  <c r="B190" i="1" s="1"/>
  <c r="T192" i="2"/>
  <c r="Q190" i="1" s="1"/>
  <c r="X190" i="1" s="1"/>
  <c r="S192" i="2"/>
  <c r="C190" i="1" s="1"/>
  <c r="R192" i="2"/>
  <c r="D190" i="1" s="1"/>
  <c r="Q192" i="2"/>
  <c r="O192" i="2"/>
  <c r="P192" i="2" s="1"/>
  <c r="Y192" i="2" s="1"/>
  <c r="N190" i="1" s="1"/>
  <c r="W191" i="2"/>
  <c r="U191" i="2"/>
  <c r="B189" i="1" s="1"/>
  <c r="T191" i="2"/>
  <c r="Q189" i="1" s="1"/>
  <c r="X189" i="1" s="1"/>
  <c r="S191" i="2"/>
  <c r="C189" i="1" s="1"/>
  <c r="R191" i="2"/>
  <c r="D189" i="1" s="1"/>
  <c r="Q191" i="2"/>
  <c r="Y189" i="1" s="1"/>
  <c r="O191" i="2"/>
  <c r="P191" i="2" s="1"/>
  <c r="Y191" i="2" s="1"/>
  <c r="N189" i="1" s="1"/>
  <c r="W190" i="2"/>
  <c r="U190" i="2"/>
  <c r="B188" i="1" s="1"/>
  <c r="T190" i="2"/>
  <c r="S190" i="2"/>
  <c r="R190" i="2"/>
  <c r="D188" i="1" s="1"/>
  <c r="Q190" i="2"/>
  <c r="Y188" i="1" s="1"/>
  <c r="O190" i="2"/>
  <c r="P190" i="2" s="1"/>
  <c r="Y190" i="2" s="1"/>
  <c r="N188" i="1" s="1"/>
  <c r="W189" i="2"/>
  <c r="U189" i="2"/>
  <c r="B187" i="1" s="1"/>
  <c r="T189" i="2"/>
  <c r="Q187" i="1" s="1"/>
  <c r="X187" i="1" s="1"/>
  <c r="S189" i="2"/>
  <c r="R189" i="2"/>
  <c r="D187" i="1" s="1"/>
  <c r="Q189" i="2"/>
  <c r="Y187" i="1" s="1"/>
  <c r="O189" i="2"/>
  <c r="P189" i="2" s="1"/>
  <c r="Y189" i="2" s="1"/>
  <c r="N187" i="1" s="1"/>
  <c r="W188" i="2"/>
  <c r="U188" i="2"/>
  <c r="B186" i="1" s="1"/>
  <c r="T188" i="2"/>
  <c r="Q186" i="1" s="1"/>
  <c r="X186" i="1" s="1"/>
  <c r="S188" i="2"/>
  <c r="C186" i="1" s="1"/>
  <c r="R188" i="2"/>
  <c r="D186" i="1" s="1"/>
  <c r="Q188" i="2"/>
  <c r="O188" i="2"/>
  <c r="P188" i="2" s="1"/>
  <c r="Y188" i="2" s="1"/>
  <c r="N186" i="1" s="1"/>
  <c r="W187" i="2"/>
  <c r="V187" i="2" s="1"/>
  <c r="X187" i="2" s="1"/>
  <c r="Z187" i="2" s="1"/>
  <c r="U187" i="2"/>
  <c r="B185" i="1" s="1"/>
  <c r="T187" i="2"/>
  <c r="Q185" i="1" s="1"/>
  <c r="X185" i="1" s="1"/>
  <c r="S187" i="2"/>
  <c r="C185" i="1" s="1"/>
  <c r="R187" i="2"/>
  <c r="D185" i="1" s="1"/>
  <c r="Q187" i="2"/>
  <c r="Y185" i="1" s="1"/>
  <c r="O187" i="2"/>
  <c r="P187" i="2" s="1"/>
  <c r="Y187" i="2" s="1"/>
  <c r="N185" i="1" s="1"/>
  <c r="W186" i="2"/>
  <c r="V186" i="2" s="1"/>
  <c r="X186" i="2" s="1"/>
  <c r="Z186" i="2" s="1"/>
  <c r="U186" i="2"/>
  <c r="B184" i="1" s="1"/>
  <c r="T186" i="2"/>
  <c r="Q184" i="1" s="1"/>
  <c r="X184" i="1" s="1"/>
  <c r="S186" i="2"/>
  <c r="C184" i="1" s="1"/>
  <c r="R186" i="2"/>
  <c r="D184" i="1" s="1"/>
  <c r="Q186" i="2"/>
  <c r="Y184" i="1" s="1"/>
  <c r="O186" i="2"/>
  <c r="P186" i="2" s="1"/>
  <c r="Y186" i="2" s="1"/>
  <c r="N184" i="1" s="1"/>
  <c r="W185" i="2"/>
  <c r="U185" i="2"/>
  <c r="T185" i="2"/>
  <c r="S185" i="2"/>
  <c r="C183" i="1" s="1"/>
  <c r="R185" i="2"/>
  <c r="D183" i="1" s="1"/>
  <c r="Q185" i="2"/>
  <c r="Y183" i="1" s="1"/>
  <c r="O185" i="2"/>
  <c r="P185" i="2" s="1"/>
  <c r="Y185" i="2" s="1"/>
  <c r="N183" i="1" s="1"/>
  <c r="W184" i="2"/>
  <c r="U184" i="2"/>
  <c r="B182" i="1" s="1"/>
  <c r="T184" i="2"/>
  <c r="Q182" i="1" s="1"/>
  <c r="X182" i="1" s="1"/>
  <c r="S184" i="2"/>
  <c r="C182" i="1" s="1"/>
  <c r="R184" i="2"/>
  <c r="D182" i="1" s="1"/>
  <c r="Q184" i="2"/>
  <c r="Y182" i="1" s="1"/>
  <c r="O184" i="2"/>
  <c r="P184" i="2" s="1"/>
  <c r="Y184" i="2" s="1"/>
  <c r="N182" i="1" s="1"/>
  <c r="W183" i="2"/>
  <c r="U183" i="2"/>
  <c r="B181" i="1" s="1"/>
  <c r="T183" i="2"/>
  <c r="Q181" i="1" s="1"/>
  <c r="X181" i="1" s="1"/>
  <c r="S183" i="2"/>
  <c r="C181" i="1" s="1"/>
  <c r="R183" i="2"/>
  <c r="D181" i="1" s="1"/>
  <c r="Q183" i="2"/>
  <c r="Y181" i="1" s="1"/>
  <c r="O183" i="2"/>
  <c r="P183" i="2" s="1"/>
  <c r="Y183" i="2" s="1"/>
  <c r="N181" i="1" s="1"/>
  <c r="W182" i="2"/>
  <c r="U182" i="2"/>
  <c r="B180" i="1" s="1"/>
  <c r="T182" i="2"/>
  <c r="Q180" i="1" s="1"/>
  <c r="X180" i="1" s="1"/>
  <c r="S182" i="2"/>
  <c r="C180" i="1" s="1"/>
  <c r="R182" i="2"/>
  <c r="D180" i="1" s="1"/>
  <c r="Q182" i="2"/>
  <c r="Y180" i="1" s="1"/>
  <c r="O182" i="2"/>
  <c r="P182" i="2" s="1"/>
  <c r="Y182" i="2" s="1"/>
  <c r="N180" i="1" s="1"/>
  <c r="W181" i="2"/>
  <c r="U181" i="2"/>
  <c r="B179" i="1" s="1"/>
  <c r="T181" i="2"/>
  <c r="Q179" i="1" s="1"/>
  <c r="X179" i="1" s="1"/>
  <c r="S181" i="2"/>
  <c r="C179" i="1" s="1"/>
  <c r="R181" i="2"/>
  <c r="Q181" i="2"/>
  <c r="O181" i="2"/>
  <c r="P181" i="2" s="1"/>
  <c r="Y181" i="2" s="1"/>
  <c r="N179" i="1" s="1"/>
  <c r="W180" i="2"/>
  <c r="U180" i="2"/>
  <c r="B178" i="1" s="1"/>
  <c r="T180" i="2"/>
  <c r="Q178" i="1" s="1"/>
  <c r="X178" i="1" s="1"/>
  <c r="S180" i="2"/>
  <c r="C178" i="1" s="1"/>
  <c r="R180" i="2"/>
  <c r="D178" i="1" s="1"/>
  <c r="Q180" i="2"/>
  <c r="Y178" i="1" s="1"/>
  <c r="O180" i="2"/>
  <c r="P180" i="2" s="1"/>
  <c r="Y180" i="2" s="1"/>
  <c r="N178" i="1" s="1"/>
  <c r="W179" i="2"/>
  <c r="V179" i="2" s="1"/>
  <c r="X179" i="2" s="1"/>
  <c r="F177" i="1" s="1"/>
  <c r="U179" i="2"/>
  <c r="B177" i="1" s="1"/>
  <c r="T179" i="2"/>
  <c r="Q177" i="1" s="1"/>
  <c r="X177" i="1" s="1"/>
  <c r="S179" i="2"/>
  <c r="C177" i="1" s="1"/>
  <c r="R179" i="2"/>
  <c r="D177" i="1" s="1"/>
  <c r="Q179" i="2"/>
  <c r="Y177" i="1" s="1"/>
  <c r="O179" i="2"/>
  <c r="P179" i="2" s="1"/>
  <c r="Y179" i="2" s="1"/>
  <c r="N177" i="1" s="1"/>
  <c r="W178" i="2"/>
  <c r="U178" i="2"/>
  <c r="B176" i="1" s="1"/>
  <c r="T178" i="2"/>
  <c r="S178" i="2"/>
  <c r="R178" i="2"/>
  <c r="Q178" i="2"/>
  <c r="O178" i="2"/>
  <c r="P178" i="2" s="1"/>
  <c r="Y178" i="2" s="1"/>
  <c r="N176" i="1" s="1"/>
  <c r="W177" i="2"/>
  <c r="U177" i="2"/>
  <c r="B175" i="1" s="1"/>
  <c r="T177" i="2"/>
  <c r="Q175" i="1" s="1"/>
  <c r="X175" i="1" s="1"/>
  <c r="S177" i="2"/>
  <c r="C175" i="1" s="1"/>
  <c r="R177" i="2"/>
  <c r="D175" i="1" s="1"/>
  <c r="Q177" i="2"/>
  <c r="Y175" i="1" s="1"/>
  <c r="O177" i="2"/>
  <c r="P177" i="2" s="1"/>
  <c r="Y177" i="2" s="1"/>
  <c r="N175" i="1" s="1"/>
  <c r="W176" i="2"/>
  <c r="U176" i="2"/>
  <c r="T176" i="2"/>
  <c r="S176" i="2"/>
  <c r="C174" i="1" s="1"/>
  <c r="R176" i="2"/>
  <c r="D174" i="1" s="1"/>
  <c r="Q176" i="2"/>
  <c r="Y174" i="1" s="1"/>
  <c r="O176" i="2"/>
  <c r="P176" i="2" s="1"/>
  <c r="Y176" i="2" s="1"/>
  <c r="N174" i="1" s="1"/>
  <c r="W175" i="2"/>
  <c r="V175" i="2" s="1"/>
  <c r="X175" i="2" s="1"/>
  <c r="U175" i="2"/>
  <c r="B173" i="1" s="1"/>
  <c r="T175" i="2"/>
  <c r="Q173" i="1" s="1"/>
  <c r="X173" i="1" s="1"/>
  <c r="S175" i="2"/>
  <c r="C173" i="1" s="1"/>
  <c r="R175" i="2"/>
  <c r="D173" i="1" s="1"/>
  <c r="Q175" i="2"/>
  <c r="Y173" i="1" s="1"/>
  <c r="O175" i="2"/>
  <c r="P175" i="2" s="1"/>
  <c r="Y175" i="2" s="1"/>
  <c r="N173" i="1" s="1"/>
  <c r="W174" i="2"/>
  <c r="U174" i="2"/>
  <c r="B172" i="1" s="1"/>
  <c r="T174" i="2"/>
  <c r="Q172" i="1" s="1"/>
  <c r="X172" i="1" s="1"/>
  <c r="S174" i="2"/>
  <c r="R174" i="2"/>
  <c r="D172" i="1" s="1"/>
  <c r="Q174" i="2"/>
  <c r="Y172" i="1" s="1"/>
  <c r="O174" i="2"/>
  <c r="P174" i="2" s="1"/>
  <c r="Y174" i="2" s="1"/>
  <c r="N172" i="1" s="1"/>
  <c r="W173" i="2"/>
  <c r="U173" i="2"/>
  <c r="B171" i="1" s="1"/>
  <c r="T173" i="2"/>
  <c r="Q171" i="1" s="1"/>
  <c r="X171" i="1" s="1"/>
  <c r="S173" i="2"/>
  <c r="C171" i="1" s="1"/>
  <c r="R173" i="2"/>
  <c r="D171" i="1" s="1"/>
  <c r="Q173" i="2"/>
  <c r="Y171" i="1" s="1"/>
  <c r="O173" i="2"/>
  <c r="P173" i="2" s="1"/>
  <c r="Y173" i="2" s="1"/>
  <c r="N171" i="1" s="1"/>
  <c r="W172" i="2"/>
  <c r="V172" i="2" s="1"/>
  <c r="U172" i="2"/>
  <c r="B170" i="1" s="1"/>
  <c r="T172" i="2"/>
  <c r="Q170" i="1" s="1"/>
  <c r="X170" i="1" s="1"/>
  <c r="S172" i="2"/>
  <c r="C170" i="1" s="1"/>
  <c r="R172" i="2"/>
  <c r="D170" i="1" s="1"/>
  <c r="Q172" i="2"/>
  <c r="Y170" i="1" s="1"/>
  <c r="O172" i="2"/>
  <c r="P172" i="2" s="1"/>
  <c r="Y172" i="2" s="1"/>
  <c r="N170" i="1" s="1"/>
  <c r="W171" i="2"/>
  <c r="U171" i="2"/>
  <c r="B169" i="1" s="1"/>
  <c r="T171" i="2"/>
  <c r="Q169" i="1" s="1"/>
  <c r="X169" i="1" s="1"/>
  <c r="S171" i="2"/>
  <c r="R171" i="2"/>
  <c r="D169" i="1" s="1"/>
  <c r="Q171" i="2"/>
  <c r="Y169" i="1" s="1"/>
  <c r="O171" i="2"/>
  <c r="P171" i="2" s="1"/>
  <c r="Y171" i="2" s="1"/>
  <c r="N169" i="1" s="1"/>
  <c r="W170" i="2"/>
  <c r="V170" i="2" s="1"/>
  <c r="X170" i="2" s="1"/>
  <c r="U170" i="2"/>
  <c r="B168" i="1" s="1"/>
  <c r="T170" i="2"/>
  <c r="Q168" i="1" s="1"/>
  <c r="X168" i="1" s="1"/>
  <c r="S170" i="2"/>
  <c r="R170" i="2"/>
  <c r="D168" i="1" s="1"/>
  <c r="Q170" i="2"/>
  <c r="Y168" i="1" s="1"/>
  <c r="O170" i="2"/>
  <c r="P170" i="2" s="1"/>
  <c r="Y170" i="2" s="1"/>
  <c r="N168" i="1" s="1"/>
  <c r="W169" i="2"/>
  <c r="V169" i="2" s="1"/>
  <c r="U169" i="2"/>
  <c r="B167" i="1" s="1"/>
  <c r="T169" i="2"/>
  <c r="Q167" i="1" s="1"/>
  <c r="S169" i="2"/>
  <c r="C167" i="1" s="1"/>
  <c r="R169" i="2"/>
  <c r="D167" i="1" s="1"/>
  <c r="Q169" i="2"/>
  <c r="Y167" i="1" s="1"/>
  <c r="O169" i="2"/>
  <c r="P169" i="2" s="1"/>
  <c r="Y169" i="2" s="1"/>
  <c r="N167" i="1" s="1"/>
  <c r="W168" i="2"/>
  <c r="U168" i="2"/>
  <c r="B166" i="1" s="1"/>
  <c r="T168" i="2"/>
  <c r="Q166" i="1" s="1"/>
  <c r="X166" i="1" s="1"/>
  <c r="S168" i="2"/>
  <c r="C166" i="1" s="1"/>
  <c r="R168" i="2"/>
  <c r="D166" i="1" s="1"/>
  <c r="Q168" i="2"/>
  <c r="O168" i="2"/>
  <c r="P168" i="2" s="1"/>
  <c r="Y168" i="2" s="1"/>
  <c r="N166" i="1" s="1"/>
  <c r="W167" i="2"/>
  <c r="U167" i="2"/>
  <c r="T167" i="2"/>
  <c r="Q165" i="1" s="1"/>
  <c r="X165" i="1" s="1"/>
  <c r="S167" i="2"/>
  <c r="R167" i="2"/>
  <c r="Q167" i="2"/>
  <c r="Y165" i="1" s="1"/>
  <c r="O167" i="2"/>
  <c r="P167" i="2" s="1"/>
  <c r="Y167" i="2" s="1"/>
  <c r="N165" i="1" s="1"/>
  <c r="W166" i="2"/>
  <c r="U166" i="2"/>
  <c r="B164" i="1" s="1"/>
  <c r="T166" i="2"/>
  <c r="Q164" i="1" s="1"/>
  <c r="X164" i="1" s="1"/>
  <c r="S166" i="2"/>
  <c r="C164" i="1" s="1"/>
  <c r="R166" i="2"/>
  <c r="D164" i="1" s="1"/>
  <c r="Q166" i="2"/>
  <c r="Y164" i="1" s="1"/>
  <c r="O166" i="2"/>
  <c r="P166" i="2" s="1"/>
  <c r="Y166" i="2" s="1"/>
  <c r="N164" i="1" s="1"/>
  <c r="W165" i="2"/>
  <c r="U165" i="2"/>
  <c r="B163" i="1" s="1"/>
  <c r="T165" i="2"/>
  <c r="Q163" i="1" s="1"/>
  <c r="X163" i="1" s="1"/>
  <c r="S165" i="2"/>
  <c r="R165" i="2"/>
  <c r="Q165" i="2"/>
  <c r="Y163" i="1" s="1"/>
  <c r="O165" i="2"/>
  <c r="P165" i="2" s="1"/>
  <c r="Y165" i="2" s="1"/>
  <c r="N163" i="1" s="1"/>
  <c r="W164" i="2"/>
  <c r="V164" i="2" s="1"/>
  <c r="X164" i="2" s="1"/>
  <c r="Z164" i="2" s="1"/>
  <c r="U164" i="2"/>
  <c r="B162" i="1" s="1"/>
  <c r="T164" i="2"/>
  <c r="Q162" i="1" s="1"/>
  <c r="X162" i="1" s="1"/>
  <c r="S164" i="2"/>
  <c r="C162" i="1" s="1"/>
  <c r="R164" i="2"/>
  <c r="D162" i="1" s="1"/>
  <c r="Q164" i="2"/>
  <c r="Y162" i="1" s="1"/>
  <c r="O164" i="2"/>
  <c r="P164" i="2" s="1"/>
  <c r="Y164" i="2" s="1"/>
  <c r="N162" i="1" s="1"/>
  <c r="W163" i="2"/>
  <c r="U163" i="2"/>
  <c r="B161" i="1" s="1"/>
  <c r="T163" i="2"/>
  <c r="Q161" i="1" s="1"/>
  <c r="X161" i="1" s="1"/>
  <c r="S163" i="2"/>
  <c r="C161" i="1" s="1"/>
  <c r="R163" i="2"/>
  <c r="D161" i="1" s="1"/>
  <c r="Q163" i="2"/>
  <c r="Y161" i="1" s="1"/>
  <c r="O163" i="2"/>
  <c r="P163" i="2" s="1"/>
  <c r="Y163" i="2" s="1"/>
  <c r="N161" i="1" s="1"/>
  <c r="W162" i="2"/>
  <c r="U162" i="2"/>
  <c r="B160" i="1" s="1"/>
  <c r="T162" i="2"/>
  <c r="Q160" i="1" s="1"/>
  <c r="X160" i="1" s="1"/>
  <c r="S162" i="2"/>
  <c r="C160" i="1" s="1"/>
  <c r="R162" i="2"/>
  <c r="D160" i="1" s="1"/>
  <c r="Q162" i="2"/>
  <c r="Y160" i="1" s="1"/>
  <c r="O162" i="2"/>
  <c r="P162" i="2" s="1"/>
  <c r="Y162" i="2" s="1"/>
  <c r="N160" i="1" s="1"/>
  <c r="W161" i="2"/>
  <c r="U161" i="2"/>
  <c r="B159" i="1" s="1"/>
  <c r="T161" i="2"/>
  <c r="Q159" i="1" s="1"/>
  <c r="X159" i="1" s="1"/>
  <c r="S161" i="2"/>
  <c r="C159" i="1" s="1"/>
  <c r="R161" i="2"/>
  <c r="D159" i="1" s="1"/>
  <c r="Q161" i="2"/>
  <c r="Y159" i="1" s="1"/>
  <c r="O161" i="2"/>
  <c r="P161" i="2" s="1"/>
  <c r="Y161" i="2" s="1"/>
  <c r="N159" i="1" s="1"/>
  <c r="W160" i="2"/>
  <c r="U160" i="2"/>
  <c r="B158" i="1" s="1"/>
  <c r="T160" i="2"/>
  <c r="Q158" i="1" s="1"/>
  <c r="X158" i="1" s="1"/>
  <c r="S160" i="2"/>
  <c r="C158" i="1" s="1"/>
  <c r="R160" i="2"/>
  <c r="D158" i="1" s="1"/>
  <c r="Q160" i="2"/>
  <c r="Y158" i="1" s="1"/>
  <c r="O160" i="2"/>
  <c r="P160" i="2" s="1"/>
  <c r="Y160" i="2" s="1"/>
  <c r="N158" i="1" s="1"/>
  <c r="W159" i="2"/>
  <c r="V159" i="2" s="1"/>
  <c r="X159" i="2" s="1"/>
  <c r="U159" i="2"/>
  <c r="B157" i="1" s="1"/>
  <c r="T159" i="2"/>
  <c r="S159" i="2"/>
  <c r="C157" i="1" s="1"/>
  <c r="R159" i="2"/>
  <c r="D157" i="1" s="1"/>
  <c r="Q159" i="2"/>
  <c r="Y157" i="1" s="1"/>
  <c r="O159" i="2"/>
  <c r="P159" i="2" s="1"/>
  <c r="Y159" i="2" s="1"/>
  <c r="N157" i="1" s="1"/>
  <c r="W158" i="2"/>
  <c r="U158" i="2"/>
  <c r="B156" i="1" s="1"/>
  <c r="T158" i="2"/>
  <c r="Q156" i="1" s="1"/>
  <c r="X156" i="1" s="1"/>
  <c r="S158" i="2"/>
  <c r="R158" i="2"/>
  <c r="Q158" i="2"/>
  <c r="Y156" i="1" s="1"/>
  <c r="O158" i="2"/>
  <c r="P158" i="2" s="1"/>
  <c r="Y158" i="2" s="1"/>
  <c r="N156" i="1" s="1"/>
  <c r="W157" i="2"/>
  <c r="U157" i="2"/>
  <c r="B155" i="1" s="1"/>
  <c r="T157" i="2"/>
  <c r="Q155" i="1" s="1"/>
  <c r="X155" i="1" s="1"/>
  <c r="S157" i="2"/>
  <c r="R157" i="2"/>
  <c r="Q157" i="2"/>
  <c r="Y155" i="1" s="1"/>
  <c r="O157" i="2"/>
  <c r="P157" i="2" s="1"/>
  <c r="Y157" i="2" s="1"/>
  <c r="N155" i="1" s="1"/>
  <c r="W156" i="2"/>
  <c r="U156" i="2"/>
  <c r="T156" i="2"/>
  <c r="Q154" i="1" s="1"/>
  <c r="X154" i="1" s="1"/>
  <c r="S156" i="2"/>
  <c r="C154" i="1" s="1"/>
  <c r="R156" i="2"/>
  <c r="D154" i="1" s="1"/>
  <c r="Q156" i="2"/>
  <c r="Y154" i="1" s="1"/>
  <c r="O156" i="2"/>
  <c r="P156" i="2" s="1"/>
  <c r="Y156" i="2" s="1"/>
  <c r="N154" i="1" s="1"/>
  <c r="W155" i="2"/>
  <c r="U155" i="2"/>
  <c r="B153" i="1" s="1"/>
  <c r="T155" i="2"/>
  <c r="Q153" i="1" s="1"/>
  <c r="X153" i="1" s="1"/>
  <c r="S155" i="2"/>
  <c r="C153" i="1" s="1"/>
  <c r="R155" i="2"/>
  <c r="D153" i="1" s="1"/>
  <c r="Q155" i="2"/>
  <c r="Y153" i="1" s="1"/>
  <c r="O155" i="2"/>
  <c r="P155" i="2" s="1"/>
  <c r="Y155" i="2" s="1"/>
  <c r="N153" i="1" s="1"/>
  <c r="W154" i="2"/>
  <c r="U154" i="2"/>
  <c r="B152" i="1" s="1"/>
  <c r="T154" i="2"/>
  <c r="Q152" i="1" s="1"/>
  <c r="X152" i="1" s="1"/>
  <c r="S154" i="2"/>
  <c r="C152" i="1" s="1"/>
  <c r="R154" i="2"/>
  <c r="D152" i="1" s="1"/>
  <c r="Q154" i="2"/>
  <c r="Y152" i="1" s="1"/>
  <c r="O154" i="2"/>
  <c r="P154" i="2" s="1"/>
  <c r="Y154" i="2" s="1"/>
  <c r="N152" i="1" s="1"/>
  <c r="W153" i="2"/>
  <c r="U153" i="2"/>
  <c r="B151" i="1" s="1"/>
  <c r="T153" i="2"/>
  <c r="Q151" i="1" s="1"/>
  <c r="X151" i="1" s="1"/>
  <c r="S153" i="2"/>
  <c r="R153" i="2"/>
  <c r="D151" i="1" s="1"/>
  <c r="Q153" i="2"/>
  <c r="Y151" i="1" s="1"/>
  <c r="O153" i="2"/>
  <c r="P153" i="2" s="1"/>
  <c r="Y153" i="2" s="1"/>
  <c r="N151" i="1" s="1"/>
  <c r="W152" i="2"/>
  <c r="V152" i="2" s="1"/>
  <c r="X152" i="2" s="1"/>
  <c r="Z152" i="2" s="1"/>
  <c r="U152" i="2"/>
  <c r="B150" i="1" s="1"/>
  <c r="T152" i="2"/>
  <c r="Q150" i="1" s="1"/>
  <c r="X150" i="1" s="1"/>
  <c r="S152" i="2"/>
  <c r="C150" i="1" s="1"/>
  <c r="R152" i="2"/>
  <c r="D150" i="1" s="1"/>
  <c r="Q152" i="2"/>
  <c r="Y150" i="1" s="1"/>
  <c r="O152" i="2"/>
  <c r="P152" i="2" s="1"/>
  <c r="Y152" i="2" s="1"/>
  <c r="N150" i="1" s="1"/>
  <c r="W151" i="2"/>
  <c r="U151" i="2"/>
  <c r="B149" i="1" s="1"/>
  <c r="T151" i="2"/>
  <c r="Q149" i="1" s="1"/>
  <c r="X149" i="1" s="1"/>
  <c r="S151" i="2"/>
  <c r="C149" i="1" s="1"/>
  <c r="R151" i="2"/>
  <c r="D149" i="1" s="1"/>
  <c r="Q151" i="2"/>
  <c r="Y149" i="1" s="1"/>
  <c r="O151" i="2"/>
  <c r="P151" i="2" s="1"/>
  <c r="Y151" i="2" s="1"/>
  <c r="N149" i="1" s="1"/>
  <c r="W150" i="2"/>
  <c r="V150" i="2" s="1"/>
  <c r="X150" i="2" s="1"/>
  <c r="Z150" i="2" s="1"/>
  <c r="U150" i="2"/>
  <c r="B148" i="1" s="1"/>
  <c r="T150" i="2"/>
  <c r="Q148" i="1" s="1"/>
  <c r="X148" i="1" s="1"/>
  <c r="S150" i="2"/>
  <c r="C148" i="1" s="1"/>
  <c r="R150" i="2"/>
  <c r="D148" i="1" s="1"/>
  <c r="Q150" i="2"/>
  <c r="Y148" i="1" s="1"/>
  <c r="O150" i="2"/>
  <c r="P150" i="2" s="1"/>
  <c r="Y150" i="2" s="1"/>
  <c r="N148" i="1" s="1"/>
  <c r="W149" i="2"/>
  <c r="U149" i="2"/>
  <c r="B147" i="1" s="1"/>
  <c r="T149" i="2"/>
  <c r="Q147" i="1" s="1"/>
  <c r="X147" i="1" s="1"/>
  <c r="S149" i="2"/>
  <c r="C147" i="1" s="1"/>
  <c r="R149" i="2"/>
  <c r="D147" i="1" s="1"/>
  <c r="Q149" i="2"/>
  <c r="Y147" i="1" s="1"/>
  <c r="O149" i="2"/>
  <c r="P149" i="2" s="1"/>
  <c r="Y149" i="2" s="1"/>
  <c r="N147" i="1" s="1"/>
  <c r="W148" i="2"/>
  <c r="U148" i="2"/>
  <c r="B146" i="1" s="1"/>
  <c r="T148" i="2"/>
  <c r="Q146" i="1" s="1"/>
  <c r="X146" i="1" s="1"/>
  <c r="S148" i="2"/>
  <c r="C146" i="1" s="1"/>
  <c r="R148" i="2"/>
  <c r="D146" i="1" s="1"/>
  <c r="Q148" i="2"/>
  <c r="Y146" i="1" s="1"/>
  <c r="O148" i="2"/>
  <c r="P148" i="2" s="1"/>
  <c r="Y148" i="2" s="1"/>
  <c r="N146" i="1" s="1"/>
  <c r="W147" i="2"/>
  <c r="U147" i="2"/>
  <c r="B145" i="1" s="1"/>
  <c r="T147" i="2"/>
  <c r="Q145" i="1" s="1"/>
  <c r="X145" i="1" s="1"/>
  <c r="S147" i="2"/>
  <c r="C145" i="1" s="1"/>
  <c r="R147" i="2"/>
  <c r="D145" i="1" s="1"/>
  <c r="Q147" i="2"/>
  <c r="Y145" i="1" s="1"/>
  <c r="O147" i="2"/>
  <c r="P147" i="2" s="1"/>
  <c r="Y147" i="2" s="1"/>
  <c r="N145" i="1" s="1"/>
  <c r="W146" i="2"/>
  <c r="U146" i="2"/>
  <c r="B144" i="1" s="1"/>
  <c r="T146" i="2"/>
  <c r="Q144" i="1" s="1"/>
  <c r="X144" i="1" s="1"/>
  <c r="S146" i="2"/>
  <c r="R146" i="2"/>
  <c r="D144" i="1" s="1"/>
  <c r="Q146" i="2"/>
  <c r="Y144" i="1" s="1"/>
  <c r="O146" i="2"/>
  <c r="P146" i="2" s="1"/>
  <c r="Y146" i="2" s="1"/>
  <c r="N144" i="1" s="1"/>
  <c r="W145" i="2"/>
  <c r="U145" i="2"/>
  <c r="B143" i="1" s="1"/>
  <c r="T145" i="2"/>
  <c r="Q143" i="1" s="1"/>
  <c r="X143" i="1" s="1"/>
  <c r="S145" i="2"/>
  <c r="C143" i="1" s="1"/>
  <c r="R145" i="2"/>
  <c r="D143" i="1" s="1"/>
  <c r="Q145" i="2"/>
  <c r="Y143" i="1" s="1"/>
  <c r="O145" i="2"/>
  <c r="P145" i="2" s="1"/>
  <c r="Y145" i="2" s="1"/>
  <c r="N143" i="1" s="1"/>
  <c r="W144" i="2"/>
  <c r="U144" i="2"/>
  <c r="B142" i="1" s="1"/>
  <c r="T144" i="2"/>
  <c r="Q142" i="1" s="1"/>
  <c r="X142" i="1" s="1"/>
  <c r="S144" i="2"/>
  <c r="C142" i="1" s="1"/>
  <c r="R144" i="2"/>
  <c r="D142" i="1" s="1"/>
  <c r="Q144" i="2"/>
  <c r="Y142" i="1" s="1"/>
  <c r="O144" i="2"/>
  <c r="P144" i="2" s="1"/>
  <c r="Y144" i="2" s="1"/>
  <c r="N142" i="1" s="1"/>
  <c r="W143" i="2"/>
  <c r="U143" i="2"/>
  <c r="B141" i="1" s="1"/>
  <c r="T143" i="2"/>
  <c r="Q141" i="1" s="1"/>
  <c r="X141" i="1" s="1"/>
  <c r="S143" i="2"/>
  <c r="C141" i="1" s="1"/>
  <c r="R143" i="2"/>
  <c r="D141" i="1" s="1"/>
  <c r="Q143" i="2"/>
  <c r="Y141" i="1" s="1"/>
  <c r="O143" i="2"/>
  <c r="P143" i="2" s="1"/>
  <c r="Y143" i="2" s="1"/>
  <c r="N141" i="1" s="1"/>
  <c r="W142" i="2"/>
  <c r="U142" i="2"/>
  <c r="B140" i="1" s="1"/>
  <c r="T142" i="2"/>
  <c r="Q140" i="1" s="1"/>
  <c r="X140" i="1" s="1"/>
  <c r="S142" i="2"/>
  <c r="R142" i="2"/>
  <c r="D140" i="1" s="1"/>
  <c r="Q142" i="2"/>
  <c r="Y140" i="1" s="1"/>
  <c r="O142" i="2"/>
  <c r="P142" i="2" s="1"/>
  <c r="Y142" i="2" s="1"/>
  <c r="N140" i="1" s="1"/>
  <c r="W141" i="2"/>
  <c r="U141" i="2"/>
  <c r="T141" i="2"/>
  <c r="Q139" i="1" s="1"/>
  <c r="X139" i="1" s="1"/>
  <c r="S141" i="2"/>
  <c r="R141" i="2"/>
  <c r="Q141" i="2"/>
  <c r="Y139" i="1" s="1"/>
  <c r="O141" i="2"/>
  <c r="P141" i="2" s="1"/>
  <c r="Y141" i="2" s="1"/>
  <c r="N139" i="1" s="1"/>
  <c r="W140" i="2"/>
  <c r="U140" i="2"/>
  <c r="B138" i="1" s="1"/>
  <c r="T140" i="2"/>
  <c r="Q138" i="1" s="1"/>
  <c r="X138" i="1" s="1"/>
  <c r="S140" i="2"/>
  <c r="C138" i="1" s="1"/>
  <c r="R140" i="2"/>
  <c r="D138" i="1" s="1"/>
  <c r="Q140" i="2"/>
  <c r="Y138" i="1" s="1"/>
  <c r="O140" i="2"/>
  <c r="P140" i="2" s="1"/>
  <c r="Y140" i="2" s="1"/>
  <c r="N138" i="1" s="1"/>
  <c r="W139" i="2"/>
  <c r="U139" i="2"/>
  <c r="B137" i="1" s="1"/>
  <c r="T139" i="2"/>
  <c r="Q137" i="1" s="1"/>
  <c r="X137" i="1" s="1"/>
  <c r="S139" i="2"/>
  <c r="C137" i="1" s="1"/>
  <c r="R139" i="2"/>
  <c r="D137" i="1" s="1"/>
  <c r="Q139" i="2"/>
  <c r="O139" i="2"/>
  <c r="P139" i="2" s="1"/>
  <c r="Y139" i="2" s="1"/>
  <c r="N137" i="1" s="1"/>
  <c r="W138" i="2"/>
  <c r="U138" i="2"/>
  <c r="T138" i="2"/>
  <c r="Q136" i="1" s="1"/>
  <c r="X136" i="1" s="1"/>
  <c r="S138" i="2"/>
  <c r="C136" i="1" s="1"/>
  <c r="R138" i="2"/>
  <c r="Q138" i="2"/>
  <c r="Y136" i="1" s="1"/>
  <c r="O138" i="2"/>
  <c r="P138" i="2" s="1"/>
  <c r="Y138" i="2" s="1"/>
  <c r="N136" i="1" s="1"/>
  <c r="W137" i="2"/>
  <c r="U137" i="2"/>
  <c r="B135" i="1" s="1"/>
  <c r="T137" i="2"/>
  <c r="Q135" i="1" s="1"/>
  <c r="X135" i="1" s="1"/>
  <c r="S137" i="2"/>
  <c r="C135" i="1" s="1"/>
  <c r="R137" i="2"/>
  <c r="D135" i="1" s="1"/>
  <c r="Q137" i="2"/>
  <c r="Y135" i="1" s="1"/>
  <c r="O137" i="2"/>
  <c r="P137" i="2" s="1"/>
  <c r="Y137" i="2" s="1"/>
  <c r="N135" i="1" s="1"/>
  <c r="W136" i="2"/>
  <c r="U136" i="2"/>
  <c r="B134" i="1" s="1"/>
  <c r="T136" i="2"/>
  <c r="Q134" i="1" s="1"/>
  <c r="X134" i="1" s="1"/>
  <c r="S136" i="2"/>
  <c r="C134" i="1" s="1"/>
  <c r="R136" i="2"/>
  <c r="D134" i="1" s="1"/>
  <c r="Q136" i="2"/>
  <c r="Y134" i="1" s="1"/>
  <c r="O136" i="2"/>
  <c r="P136" i="2" s="1"/>
  <c r="Y136" i="2" s="1"/>
  <c r="N134" i="1" s="1"/>
  <c r="W135" i="2"/>
  <c r="U135" i="2"/>
  <c r="B133" i="1" s="1"/>
  <c r="T135" i="2"/>
  <c r="Q133" i="1" s="1"/>
  <c r="X133" i="1" s="1"/>
  <c r="S135" i="2"/>
  <c r="C133" i="1" s="1"/>
  <c r="R135" i="2"/>
  <c r="D133" i="1" s="1"/>
  <c r="Q135" i="2"/>
  <c r="Y133" i="1" s="1"/>
  <c r="O135" i="2"/>
  <c r="P135" i="2" s="1"/>
  <c r="Y135" i="2" s="1"/>
  <c r="N133" i="1" s="1"/>
  <c r="W134" i="2"/>
  <c r="U134" i="2"/>
  <c r="B132" i="1" s="1"/>
  <c r="T134" i="2"/>
  <c r="Q132" i="1" s="1"/>
  <c r="X132" i="1" s="1"/>
  <c r="S134" i="2"/>
  <c r="C132" i="1" s="1"/>
  <c r="R134" i="2"/>
  <c r="D132" i="1" s="1"/>
  <c r="Q134" i="2"/>
  <c r="Y132" i="1" s="1"/>
  <c r="O134" i="2"/>
  <c r="P134" i="2" s="1"/>
  <c r="Y134" i="2" s="1"/>
  <c r="N132" i="1" s="1"/>
  <c r="W133" i="2"/>
  <c r="U133" i="2"/>
  <c r="B131" i="1" s="1"/>
  <c r="T133" i="2"/>
  <c r="Q131" i="1" s="1"/>
  <c r="X131" i="1" s="1"/>
  <c r="S133" i="2"/>
  <c r="R133" i="2"/>
  <c r="D131" i="1" s="1"/>
  <c r="Q133" i="2"/>
  <c r="Y131" i="1" s="1"/>
  <c r="O133" i="2"/>
  <c r="P133" i="2" s="1"/>
  <c r="Y133" i="2" s="1"/>
  <c r="N131" i="1" s="1"/>
  <c r="W132" i="2"/>
  <c r="U132" i="2"/>
  <c r="B130" i="1" s="1"/>
  <c r="T132" i="2"/>
  <c r="Q130" i="1" s="1"/>
  <c r="X130" i="1" s="1"/>
  <c r="S132" i="2"/>
  <c r="C130" i="1" s="1"/>
  <c r="R132" i="2"/>
  <c r="D130" i="1" s="1"/>
  <c r="Q132" i="2"/>
  <c r="Y130" i="1" s="1"/>
  <c r="O132" i="2"/>
  <c r="P132" i="2" s="1"/>
  <c r="Y132" i="2" s="1"/>
  <c r="N130" i="1" s="1"/>
  <c r="W131" i="2"/>
  <c r="U131" i="2"/>
  <c r="B129" i="1" s="1"/>
  <c r="T131" i="2"/>
  <c r="Q129" i="1" s="1"/>
  <c r="X129" i="1" s="1"/>
  <c r="S131" i="2"/>
  <c r="C129" i="1" s="1"/>
  <c r="R131" i="2"/>
  <c r="D129" i="1" s="1"/>
  <c r="Q131" i="2"/>
  <c r="Y129" i="1" s="1"/>
  <c r="O131" i="2"/>
  <c r="P131" i="2" s="1"/>
  <c r="Y131" i="2" s="1"/>
  <c r="N129" i="1" s="1"/>
  <c r="W130" i="2"/>
  <c r="U130" i="2"/>
  <c r="B128" i="1" s="1"/>
  <c r="T130" i="2"/>
  <c r="S130" i="2"/>
  <c r="C128" i="1" s="1"/>
  <c r="R130" i="2"/>
  <c r="D128" i="1" s="1"/>
  <c r="Q130" i="2"/>
  <c r="Y128" i="1" s="1"/>
  <c r="O130" i="2"/>
  <c r="P130" i="2" s="1"/>
  <c r="Y130" i="2" s="1"/>
  <c r="N128" i="1" s="1"/>
  <c r="W129" i="2"/>
  <c r="U129" i="2"/>
  <c r="B127" i="1" s="1"/>
  <c r="T129" i="2"/>
  <c r="Q127" i="1" s="1"/>
  <c r="X127" i="1" s="1"/>
  <c r="S129" i="2"/>
  <c r="C127" i="1" s="1"/>
  <c r="R129" i="2"/>
  <c r="D127" i="1" s="1"/>
  <c r="Q129" i="2"/>
  <c r="Y127" i="1" s="1"/>
  <c r="O129" i="2"/>
  <c r="P129" i="2" s="1"/>
  <c r="Y129" i="2" s="1"/>
  <c r="N127" i="1" s="1"/>
  <c r="W128" i="2"/>
  <c r="U128" i="2"/>
  <c r="B126" i="1" s="1"/>
  <c r="T128" i="2"/>
  <c r="Q126" i="1" s="1"/>
  <c r="X126" i="1" s="1"/>
  <c r="S128" i="2"/>
  <c r="C126" i="1" s="1"/>
  <c r="R128" i="2"/>
  <c r="D126" i="1" s="1"/>
  <c r="Q128" i="2"/>
  <c r="Y126" i="1" s="1"/>
  <c r="O128" i="2"/>
  <c r="P128" i="2" s="1"/>
  <c r="Y128" i="2" s="1"/>
  <c r="N126" i="1" s="1"/>
  <c r="W127" i="2"/>
  <c r="U127" i="2"/>
  <c r="B125" i="1" s="1"/>
  <c r="T127" i="2"/>
  <c r="Q125" i="1" s="1"/>
  <c r="X125" i="1" s="1"/>
  <c r="S127" i="2"/>
  <c r="C125" i="1" s="1"/>
  <c r="R127" i="2"/>
  <c r="D125" i="1" s="1"/>
  <c r="Q127" i="2"/>
  <c r="Y125" i="1" s="1"/>
  <c r="O127" i="2"/>
  <c r="P127" i="2" s="1"/>
  <c r="Y127" i="2" s="1"/>
  <c r="N125" i="1" s="1"/>
  <c r="W126" i="2"/>
  <c r="U126" i="2"/>
  <c r="B124" i="1" s="1"/>
  <c r="T126" i="2"/>
  <c r="Q124" i="1" s="1"/>
  <c r="X124" i="1" s="1"/>
  <c r="S126" i="2"/>
  <c r="C124" i="1" s="1"/>
  <c r="R126" i="2"/>
  <c r="Q126" i="2"/>
  <c r="O126" i="2"/>
  <c r="P126" i="2" s="1"/>
  <c r="Y126" i="2" s="1"/>
  <c r="N124" i="1" s="1"/>
  <c r="W125" i="2"/>
  <c r="U125" i="2"/>
  <c r="B123" i="1" s="1"/>
  <c r="T125" i="2"/>
  <c r="S125" i="2"/>
  <c r="C123" i="1" s="1"/>
  <c r="R125" i="2"/>
  <c r="D123" i="1" s="1"/>
  <c r="Q125" i="2"/>
  <c r="Y123" i="1" s="1"/>
  <c r="O125" i="2"/>
  <c r="P125" i="2" s="1"/>
  <c r="Y125" i="2" s="1"/>
  <c r="N123" i="1" s="1"/>
  <c r="W124" i="2"/>
  <c r="V124" i="2" s="1"/>
  <c r="X124" i="2" s="1"/>
  <c r="Z124" i="2" s="1"/>
  <c r="U124" i="2"/>
  <c r="B122" i="1" s="1"/>
  <c r="T124" i="2"/>
  <c r="Q122" i="1" s="1"/>
  <c r="X122" i="1" s="1"/>
  <c r="S124" i="2"/>
  <c r="C122" i="1" s="1"/>
  <c r="R124" i="2"/>
  <c r="D122" i="1" s="1"/>
  <c r="Q124" i="2"/>
  <c r="O124" i="2"/>
  <c r="P124" i="2" s="1"/>
  <c r="Y124" i="2" s="1"/>
  <c r="N122" i="1" s="1"/>
  <c r="W123" i="2"/>
  <c r="U123" i="2"/>
  <c r="B121" i="1" s="1"/>
  <c r="T123" i="2"/>
  <c r="Q121" i="1" s="1"/>
  <c r="X121" i="1" s="1"/>
  <c r="S123" i="2"/>
  <c r="C121" i="1" s="1"/>
  <c r="R123" i="2"/>
  <c r="D121" i="1" s="1"/>
  <c r="Q123" i="2"/>
  <c r="Y121" i="1" s="1"/>
  <c r="O123" i="2"/>
  <c r="P123" i="2" s="1"/>
  <c r="Y123" i="2" s="1"/>
  <c r="N121" i="1" s="1"/>
  <c r="W122" i="2"/>
  <c r="U122" i="2"/>
  <c r="B120" i="1" s="1"/>
  <c r="T122" i="2"/>
  <c r="Q120" i="1" s="1"/>
  <c r="X120" i="1" s="1"/>
  <c r="S122" i="2"/>
  <c r="C120" i="1" s="1"/>
  <c r="R122" i="2"/>
  <c r="D120" i="1" s="1"/>
  <c r="Q122" i="2"/>
  <c r="Y120" i="1" s="1"/>
  <c r="O122" i="2"/>
  <c r="P122" i="2" s="1"/>
  <c r="Y122" i="2" s="1"/>
  <c r="N120" i="1" s="1"/>
  <c r="W121" i="2"/>
  <c r="U121" i="2"/>
  <c r="T121" i="2"/>
  <c r="Q119" i="1" s="1"/>
  <c r="X119" i="1" s="1"/>
  <c r="S121" i="2"/>
  <c r="C119" i="1" s="1"/>
  <c r="R121" i="2"/>
  <c r="D119" i="1" s="1"/>
  <c r="Q121" i="2"/>
  <c r="Y119" i="1" s="1"/>
  <c r="O121" i="2"/>
  <c r="P121" i="2" s="1"/>
  <c r="Y121" i="2" s="1"/>
  <c r="N119" i="1" s="1"/>
  <c r="W120" i="2"/>
  <c r="U120" i="2"/>
  <c r="B118" i="1" s="1"/>
  <c r="T120" i="2"/>
  <c r="S120" i="2"/>
  <c r="C118" i="1" s="1"/>
  <c r="R120" i="2"/>
  <c r="D118" i="1" s="1"/>
  <c r="Q120" i="2"/>
  <c r="Y118" i="1" s="1"/>
  <c r="O120" i="2"/>
  <c r="P120" i="2" s="1"/>
  <c r="Y120" i="2" s="1"/>
  <c r="N118" i="1" s="1"/>
  <c r="W119" i="2"/>
  <c r="U119" i="2"/>
  <c r="B117" i="1" s="1"/>
  <c r="T119" i="2"/>
  <c r="S119" i="2"/>
  <c r="R119" i="2"/>
  <c r="D117" i="1" s="1"/>
  <c r="Q119" i="2"/>
  <c r="Y117" i="1" s="1"/>
  <c r="O119" i="2"/>
  <c r="P119" i="2" s="1"/>
  <c r="Y119" i="2" s="1"/>
  <c r="N117" i="1" s="1"/>
  <c r="W118" i="2"/>
  <c r="U118" i="2"/>
  <c r="B116" i="1" s="1"/>
  <c r="T118" i="2"/>
  <c r="Q116" i="1" s="1"/>
  <c r="X116" i="1" s="1"/>
  <c r="S118" i="2"/>
  <c r="C116" i="1" s="1"/>
  <c r="R118" i="2"/>
  <c r="D116" i="1" s="1"/>
  <c r="Q118" i="2"/>
  <c r="Y116" i="1" s="1"/>
  <c r="O118" i="2"/>
  <c r="P118" i="2" s="1"/>
  <c r="Y118" i="2" s="1"/>
  <c r="N116" i="1" s="1"/>
  <c r="W117" i="2"/>
  <c r="U117" i="2"/>
  <c r="B115" i="1" s="1"/>
  <c r="T117" i="2"/>
  <c r="Q115" i="1" s="1"/>
  <c r="X115" i="1" s="1"/>
  <c r="S117" i="2"/>
  <c r="C115" i="1" s="1"/>
  <c r="R117" i="2"/>
  <c r="D115" i="1" s="1"/>
  <c r="Q117" i="2"/>
  <c r="Y115" i="1" s="1"/>
  <c r="O117" i="2"/>
  <c r="P117" i="2" s="1"/>
  <c r="Y117" i="2" s="1"/>
  <c r="N115" i="1" s="1"/>
  <c r="W116" i="2"/>
  <c r="U116" i="2"/>
  <c r="B114" i="1" s="1"/>
  <c r="T116" i="2"/>
  <c r="Q114" i="1" s="1"/>
  <c r="X114" i="1" s="1"/>
  <c r="S116" i="2"/>
  <c r="C114" i="1" s="1"/>
  <c r="R116" i="2"/>
  <c r="Q116" i="2"/>
  <c r="Y114" i="1" s="1"/>
  <c r="O116" i="2"/>
  <c r="P116" i="2" s="1"/>
  <c r="Y116" i="2" s="1"/>
  <c r="N114" i="1" s="1"/>
  <c r="W115" i="2"/>
  <c r="V115" i="2" s="1"/>
  <c r="X115" i="2" s="1"/>
  <c r="U115" i="2"/>
  <c r="B113" i="1" s="1"/>
  <c r="T115" i="2"/>
  <c r="Q113" i="1" s="1"/>
  <c r="X113" i="1" s="1"/>
  <c r="S115" i="2"/>
  <c r="C113" i="1" s="1"/>
  <c r="R115" i="2"/>
  <c r="D113" i="1" s="1"/>
  <c r="Q115" i="2"/>
  <c r="O115" i="2"/>
  <c r="P115" i="2" s="1"/>
  <c r="Y115" i="2" s="1"/>
  <c r="N113" i="1" s="1"/>
  <c r="W114" i="2"/>
  <c r="U114" i="2"/>
  <c r="T114" i="2"/>
  <c r="Q112" i="1" s="1"/>
  <c r="X112" i="1" s="1"/>
  <c r="S114" i="2"/>
  <c r="C112" i="1" s="1"/>
  <c r="R114" i="2"/>
  <c r="D112" i="1" s="1"/>
  <c r="Q114" i="2"/>
  <c r="Y112" i="1" s="1"/>
  <c r="O114" i="2"/>
  <c r="P114" i="2" s="1"/>
  <c r="Y114" i="2" s="1"/>
  <c r="N112" i="1" s="1"/>
  <c r="W113" i="2"/>
  <c r="U113" i="2"/>
  <c r="B111" i="1" s="1"/>
  <c r="T113" i="2"/>
  <c r="Q111" i="1" s="1"/>
  <c r="X111" i="1" s="1"/>
  <c r="S113" i="2"/>
  <c r="C111" i="1" s="1"/>
  <c r="R113" i="2"/>
  <c r="D111" i="1" s="1"/>
  <c r="Q113" i="2"/>
  <c r="Y111" i="1" s="1"/>
  <c r="O113" i="2"/>
  <c r="P113" i="2" s="1"/>
  <c r="Y113" i="2" s="1"/>
  <c r="N111" i="1" s="1"/>
  <c r="W112" i="2"/>
  <c r="U112" i="2"/>
  <c r="B110" i="1" s="1"/>
  <c r="T112" i="2"/>
  <c r="S112" i="2"/>
  <c r="C110" i="1" s="1"/>
  <c r="R112" i="2"/>
  <c r="D110" i="1" s="1"/>
  <c r="Q112" i="2"/>
  <c r="Y110" i="1" s="1"/>
  <c r="O112" i="2"/>
  <c r="P112" i="2" s="1"/>
  <c r="Y112" i="2" s="1"/>
  <c r="N110" i="1" s="1"/>
  <c r="W111" i="2"/>
  <c r="U111" i="2"/>
  <c r="B109" i="1" s="1"/>
  <c r="T111" i="2"/>
  <c r="Q109" i="1" s="1"/>
  <c r="X109" i="1" s="1"/>
  <c r="S111" i="2"/>
  <c r="C109" i="1" s="1"/>
  <c r="R111" i="2"/>
  <c r="D109" i="1" s="1"/>
  <c r="Q111" i="2"/>
  <c r="Y109" i="1" s="1"/>
  <c r="O111" i="2"/>
  <c r="P111" i="2" s="1"/>
  <c r="Y111" i="2" s="1"/>
  <c r="N109" i="1" s="1"/>
  <c r="W110" i="2"/>
  <c r="U110" i="2"/>
  <c r="B108" i="1" s="1"/>
  <c r="T110" i="2"/>
  <c r="Q108" i="1" s="1"/>
  <c r="X108" i="1" s="1"/>
  <c r="S110" i="2"/>
  <c r="C108" i="1" s="1"/>
  <c r="R110" i="2"/>
  <c r="D108" i="1" s="1"/>
  <c r="Q110" i="2"/>
  <c r="Y108" i="1" s="1"/>
  <c r="O110" i="2"/>
  <c r="P110" i="2" s="1"/>
  <c r="Y110" i="2" s="1"/>
  <c r="N108" i="1" s="1"/>
  <c r="W109" i="2"/>
  <c r="U109" i="2"/>
  <c r="B107" i="1" s="1"/>
  <c r="T109" i="2"/>
  <c r="Q107" i="1" s="1"/>
  <c r="X107" i="1" s="1"/>
  <c r="S109" i="2"/>
  <c r="C107" i="1" s="1"/>
  <c r="R109" i="2"/>
  <c r="D107" i="1" s="1"/>
  <c r="Q109" i="2"/>
  <c r="Y107" i="1" s="1"/>
  <c r="O109" i="2"/>
  <c r="P109" i="2" s="1"/>
  <c r="Y109" i="2" s="1"/>
  <c r="N107" i="1" s="1"/>
  <c r="W108" i="2"/>
  <c r="U108" i="2"/>
  <c r="B106" i="1" s="1"/>
  <c r="T108" i="2"/>
  <c r="Q106" i="1" s="1"/>
  <c r="X106" i="1" s="1"/>
  <c r="S108" i="2"/>
  <c r="C106" i="1" s="1"/>
  <c r="R108" i="2"/>
  <c r="D106" i="1" s="1"/>
  <c r="Q108" i="2"/>
  <c r="O108" i="2"/>
  <c r="P108" i="2" s="1"/>
  <c r="Y108" i="2" s="1"/>
  <c r="N106" i="1" s="1"/>
  <c r="W107" i="2"/>
  <c r="U107" i="2"/>
  <c r="B105" i="1" s="1"/>
  <c r="T107" i="2"/>
  <c r="S107" i="2"/>
  <c r="R107" i="2"/>
  <c r="D105" i="1" s="1"/>
  <c r="Q107" i="2"/>
  <c r="Y105" i="1" s="1"/>
  <c r="O107" i="2"/>
  <c r="P107" i="2" s="1"/>
  <c r="Y107" i="2" s="1"/>
  <c r="N105" i="1" s="1"/>
  <c r="W106" i="2"/>
  <c r="U106" i="2"/>
  <c r="B104" i="1" s="1"/>
  <c r="T106" i="2"/>
  <c r="Q104" i="1" s="1"/>
  <c r="X104" i="1" s="1"/>
  <c r="S106" i="2"/>
  <c r="C104" i="1" s="1"/>
  <c r="R106" i="2"/>
  <c r="D104" i="1" s="1"/>
  <c r="Q106" i="2"/>
  <c r="Y104" i="1" s="1"/>
  <c r="O106" i="2"/>
  <c r="P106" i="2" s="1"/>
  <c r="Y106" i="2" s="1"/>
  <c r="N104" i="1" s="1"/>
  <c r="W105" i="2"/>
  <c r="U105" i="2"/>
  <c r="B103" i="1" s="1"/>
  <c r="T105" i="2"/>
  <c r="S105" i="2"/>
  <c r="R105" i="2"/>
  <c r="Q105" i="2"/>
  <c r="O105" i="2"/>
  <c r="P105" i="2" s="1"/>
  <c r="Y105" i="2" s="1"/>
  <c r="N103" i="1" s="1"/>
  <c r="W104" i="2"/>
  <c r="U104" i="2"/>
  <c r="B102" i="1" s="1"/>
  <c r="T104" i="2"/>
  <c r="Q102" i="1" s="1"/>
  <c r="X102" i="1" s="1"/>
  <c r="S104" i="2"/>
  <c r="C102" i="1" s="1"/>
  <c r="R104" i="2"/>
  <c r="D102" i="1" s="1"/>
  <c r="Q104" i="2"/>
  <c r="O104" i="2"/>
  <c r="P104" i="2" s="1"/>
  <c r="Y104" i="2" s="1"/>
  <c r="N102" i="1" s="1"/>
  <c r="W103" i="2"/>
  <c r="U103" i="2"/>
  <c r="B101" i="1" s="1"/>
  <c r="T103" i="2"/>
  <c r="Q101" i="1" s="1"/>
  <c r="X101" i="1" s="1"/>
  <c r="S103" i="2"/>
  <c r="C101" i="1" s="1"/>
  <c r="R103" i="2"/>
  <c r="D101" i="1" s="1"/>
  <c r="Q103" i="2"/>
  <c r="Y101" i="1" s="1"/>
  <c r="O103" i="2"/>
  <c r="P103" i="2" s="1"/>
  <c r="Y103" i="2" s="1"/>
  <c r="N101" i="1" s="1"/>
  <c r="W102" i="2"/>
  <c r="U102" i="2"/>
  <c r="B100" i="1" s="1"/>
  <c r="T102" i="2"/>
  <c r="Q100" i="1" s="1"/>
  <c r="X100" i="1" s="1"/>
  <c r="S102" i="2"/>
  <c r="C100" i="1" s="1"/>
  <c r="R102" i="2"/>
  <c r="D100" i="1" s="1"/>
  <c r="Q102" i="2"/>
  <c r="Y100" i="1" s="1"/>
  <c r="O102" i="2"/>
  <c r="P102" i="2" s="1"/>
  <c r="Y102" i="2" s="1"/>
  <c r="N100" i="1" s="1"/>
  <c r="W101" i="2"/>
  <c r="U101" i="2"/>
  <c r="B99" i="1" s="1"/>
  <c r="T101" i="2"/>
  <c r="Q99" i="1" s="1"/>
  <c r="X99" i="1" s="1"/>
  <c r="S101" i="2"/>
  <c r="C99" i="1" s="1"/>
  <c r="R101" i="2"/>
  <c r="D99" i="1" s="1"/>
  <c r="Q101" i="2"/>
  <c r="O101" i="2"/>
  <c r="P101" i="2" s="1"/>
  <c r="Y101" i="2" s="1"/>
  <c r="N99" i="1" s="1"/>
  <c r="W100" i="2"/>
  <c r="U100" i="2"/>
  <c r="B98" i="1" s="1"/>
  <c r="T100" i="2"/>
  <c r="Q98" i="1" s="1"/>
  <c r="X98" i="1" s="1"/>
  <c r="S100" i="2"/>
  <c r="C98" i="1" s="1"/>
  <c r="R100" i="2"/>
  <c r="D98" i="1" s="1"/>
  <c r="Q100" i="2"/>
  <c r="Y98" i="1" s="1"/>
  <c r="O100" i="2"/>
  <c r="P100" i="2" s="1"/>
  <c r="Y100" i="2" s="1"/>
  <c r="N98" i="1" s="1"/>
  <c r="W99" i="2"/>
  <c r="U99" i="2"/>
  <c r="B97" i="1" s="1"/>
  <c r="T99" i="2"/>
  <c r="Q97" i="1" s="1"/>
  <c r="X97" i="1" s="1"/>
  <c r="S99" i="2"/>
  <c r="C97" i="1" s="1"/>
  <c r="R99" i="2"/>
  <c r="D97" i="1" s="1"/>
  <c r="Q99" i="2"/>
  <c r="Y97" i="1" s="1"/>
  <c r="O99" i="2"/>
  <c r="P99" i="2" s="1"/>
  <c r="Y99" i="2" s="1"/>
  <c r="N97" i="1" s="1"/>
  <c r="W98" i="2"/>
  <c r="U98" i="2"/>
  <c r="B96" i="1" s="1"/>
  <c r="T98" i="2"/>
  <c r="Q96" i="1" s="1"/>
  <c r="X96" i="1" s="1"/>
  <c r="S98" i="2"/>
  <c r="R98" i="2"/>
  <c r="D96" i="1" s="1"/>
  <c r="Q98" i="2"/>
  <c r="Y96" i="1" s="1"/>
  <c r="O98" i="2"/>
  <c r="P98" i="2" s="1"/>
  <c r="Y98" i="2" s="1"/>
  <c r="N96" i="1" s="1"/>
  <c r="W97" i="2"/>
  <c r="U97" i="2"/>
  <c r="B95" i="1" s="1"/>
  <c r="T97" i="2"/>
  <c r="Q95" i="1" s="1"/>
  <c r="X95" i="1" s="1"/>
  <c r="S97" i="2"/>
  <c r="C95" i="1" s="1"/>
  <c r="R97" i="2"/>
  <c r="D95" i="1" s="1"/>
  <c r="Q97" i="2"/>
  <c r="Y95" i="1" s="1"/>
  <c r="O97" i="2"/>
  <c r="P97" i="2" s="1"/>
  <c r="Y97" i="2" s="1"/>
  <c r="N95" i="1" s="1"/>
  <c r="W96" i="2"/>
  <c r="U96" i="2"/>
  <c r="B94" i="1" s="1"/>
  <c r="T96" i="2"/>
  <c r="Q94" i="1" s="1"/>
  <c r="X94" i="1" s="1"/>
  <c r="S96" i="2"/>
  <c r="R96" i="2"/>
  <c r="D94" i="1" s="1"/>
  <c r="Q96" i="2"/>
  <c r="Y94" i="1" s="1"/>
  <c r="O96" i="2"/>
  <c r="P96" i="2" s="1"/>
  <c r="Y96" i="2" s="1"/>
  <c r="N94" i="1" s="1"/>
  <c r="W95" i="2"/>
  <c r="U95" i="2"/>
  <c r="B93" i="1" s="1"/>
  <c r="T95" i="2"/>
  <c r="Q93" i="1" s="1"/>
  <c r="X93" i="1" s="1"/>
  <c r="S95" i="2"/>
  <c r="C93" i="1" s="1"/>
  <c r="R95" i="2"/>
  <c r="D93" i="1" s="1"/>
  <c r="Q95" i="2"/>
  <c r="Y93" i="1" s="1"/>
  <c r="O95" i="2"/>
  <c r="P95" i="2" s="1"/>
  <c r="Y95" i="2" s="1"/>
  <c r="N93" i="1" s="1"/>
  <c r="W94" i="2"/>
  <c r="U94" i="2"/>
  <c r="B92" i="1" s="1"/>
  <c r="T94" i="2"/>
  <c r="Q92" i="1" s="1"/>
  <c r="X92" i="1" s="1"/>
  <c r="S94" i="2"/>
  <c r="R94" i="2"/>
  <c r="D92" i="1" s="1"/>
  <c r="Q94" i="2"/>
  <c r="Y92" i="1" s="1"/>
  <c r="O94" i="2"/>
  <c r="P94" i="2" s="1"/>
  <c r="Y94" i="2" s="1"/>
  <c r="N92" i="1" s="1"/>
  <c r="W93" i="2"/>
  <c r="U93" i="2"/>
  <c r="T93" i="2"/>
  <c r="Q91" i="1" s="1"/>
  <c r="X91" i="1" s="1"/>
  <c r="S93" i="2"/>
  <c r="C91" i="1" s="1"/>
  <c r="R93" i="2"/>
  <c r="D91" i="1" s="1"/>
  <c r="Q93" i="2"/>
  <c r="Y91" i="1" s="1"/>
  <c r="O93" i="2"/>
  <c r="P93" i="2" s="1"/>
  <c r="Y93" i="2" s="1"/>
  <c r="N91" i="1" s="1"/>
  <c r="W92" i="2"/>
  <c r="U92" i="2"/>
  <c r="T92" i="2"/>
  <c r="Q90" i="1" s="1"/>
  <c r="X90" i="1" s="1"/>
  <c r="S92" i="2"/>
  <c r="C90" i="1" s="1"/>
  <c r="R92" i="2"/>
  <c r="D90" i="1" s="1"/>
  <c r="Q92" i="2"/>
  <c r="O92" i="2"/>
  <c r="P92" i="2" s="1"/>
  <c r="Y92" i="2" s="1"/>
  <c r="N90" i="1" s="1"/>
  <c r="W91" i="2"/>
  <c r="U91" i="2"/>
  <c r="B89" i="1" s="1"/>
  <c r="T91" i="2"/>
  <c r="S91" i="2"/>
  <c r="C89" i="1" s="1"/>
  <c r="R91" i="2"/>
  <c r="D89" i="1" s="1"/>
  <c r="Q91" i="2"/>
  <c r="Y89" i="1" s="1"/>
  <c r="O91" i="2"/>
  <c r="P91" i="2" s="1"/>
  <c r="W90" i="2"/>
  <c r="V90" i="2" s="1"/>
  <c r="X90" i="2" s="1"/>
  <c r="F88" i="1" s="1"/>
  <c r="U90" i="2"/>
  <c r="B88" i="1" s="1"/>
  <c r="T90" i="2"/>
  <c r="S90" i="2"/>
  <c r="C88" i="1" s="1"/>
  <c r="R90" i="2"/>
  <c r="D88" i="1" s="1"/>
  <c r="Q90" i="2"/>
  <c r="Y88" i="1" s="1"/>
  <c r="O90" i="2"/>
  <c r="P90" i="2" s="1"/>
  <c r="Y90" i="2" s="1"/>
  <c r="N88" i="1" s="1"/>
  <c r="W89" i="2"/>
  <c r="U89" i="2"/>
  <c r="B87" i="1" s="1"/>
  <c r="T89" i="2"/>
  <c r="Q87" i="1" s="1"/>
  <c r="X87" i="1" s="1"/>
  <c r="S89" i="2"/>
  <c r="C87" i="1" s="1"/>
  <c r="R89" i="2"/>
  <c r="D87" i="1" s="1"/>
  <c r="Q89" i="2"/>
  <c r="Y87" i="1" s="1"/>
  <c r="O89" i="2"/>
  <c r="P89" i="2" s="1"/>
  <c r="Y89" i="2" s="1"/>
  <c r="N87" i="1" s="1"/>
  <c r="W88" i="2"/>
  <c r="U88" i="2"/>
  <c r="B86" i="1" s="1"/>
  <c r="T88" i="2"/>
  <c r="Q86" i="1" s="1"/>
  <c r="X86" i="1" s="1"/>
  <c r="S88" i="2"/>
  <c r="C86" i="1" s="1"/>
  <c r="R88" i="2"/>
  <c r="D86" i="1" s="1"/>
  <c r="Q88" i="2"/>
  <c r="Y86" i="1" s="1"/>
  <c r="O88" i="2"/>
  <c r="P88" i="2" s="1"/>
  <c r="Y88" i="2" s="1"/>
  <c r="N86" i="1" s="1"/>
  <c r="W87" i="2"/>
  <c r="V87" i="2" s="1"/>
  <c r="X87" i="2" s="1"/>
  <c r="U87" i="2"/>
  <c r="B85" i="1" s="1"/>
  <c r="T87" i="2"/>
  <c r="Q85" i="1" s="1"/>
  <c r="X85" i="1" s="1"/>
  <c r="S87" i="2"/>
  <c r="C85" i="1" s="1"/>
  <c r="R87" i="2"/>
  <c r="D85" i="1" s="1"/>
  <c r="Q87" i="2"/>
  <c r="Y85" i="1" s="1"/>
  <c r="O87" i="2"/>
  <c r="P87" i="2" s="1"/>
  <c r="Y87" i="2" s="1"/>
  <c r="N85" i="1" s="1"/>
  <c r="W86" i="2"/>
  <c r="U86" i="2"/>
  <c r="B84" i="1" s="1"/>
  <c r="T86" i="2"/>
  <c r="Q84" i="1" s="1"/>
  <c r="X84" i="1" s="1"/>
  <c r="S86" i="2"/>
  <c r="C84" i="1" s="1"/>
  <c r="R86" i="2"/>
  <c r="D84" i="1" s="1"/>
  <c r="Q86" i="2"/>
  <c r="Y84" i="1" s="1"/>
  <c r="O86" i="2"/>
  <c r="P86" i="2" s="1"/>
  <c r="Y86" i="2" s="1"/>
  <c r="N84" i="1" s="1"/>
  <c r="W85" i="2"/>
  <c r="V85" i="2" s="1"/>
  <c r="X85" i="2" s="1"/>
  <c r="Z85" i="2" s="1"/>
  <c r="U85" i="2"/>
  <c r="B83" i="1" s="1"/>
  <c r="T85" i="2"/>
  <c r="S85" i="2"/>
  <c r="C83" i="1" s="1"/>
  <c r="R85" i="2"/>
  <c r="D83" i="1" s="1"/>
  <c r="Q85" i="2"/>
  <c r="Y83" i="1" s="1"/>
  <c r="O85" i="2"/>
  <c r="P85" i="2" s="1"/>
  <c r="Y85" i="2" s="1"/>
  <c r="N83" i="1" s="1"/>
  <c r="W84" i="2"/>
  <c r="U84" i="2"/>
  <c r="B82" i="1" s="1"/>
  <c r="T84" i="2"/>
  <c r="Q82" i="1" s="1"/>
  <c r="X82" i="1" s="1"/>
  <c r="S84" i="2"/>
  <c r="C82" i="1" s="1"/>
  <c r="R84" i="2"/>
  <c r="D82" i="1" s="1"/>
  <c r="Q84" i="2"/>
  <c r="Y82" i="1" s="1"/>
  <c r="O84" i="2"/>
  <c r="P84" i="2" s="1"/>
  <c r="Y84" i="2" s="1"/>
  <c r="N82" i="1" s="1"/>
  <c r="W83" i="2"/>
  <c r="U83" i="2"/>
  <c r="B81" i="1" s="1"/>
  <c r="T83" i="2"/>
  <c r="Q81" i="1" s="1"/>
  <c r="X81" i="1" s="1"/>
  <c r="S83" i="2"/>
  <c r="C81" i="1" s="1"/>
  <c r="R83" i="2"/>
  <c r="D81" i="1" s="1"/>
  <c r="Q83" i="2"/>
  <c r="O83" i="2"/>
  <c r="P83" i="2" s="1"/>
  <c r="Y83" i="2" s="1"/>
  <c r="N81" i="1" s="1"/>
  <c r="W82" i="2"/>
  <c r="U82" i="2"/>
  <c r="B80" i="1" s="1"/>
  <c r="T82" i="2"/>
  <c r="Q80" i="1" s="1"/>
  <c r="X80" i="1" s="1"/>
  <c r="S82" i="2"/>
  <c r="C80" i="1" s="1"/>
  <c r="R82" i="2"/>
  <c r="D80" i="1" s="1"/>
  <c r="Q82" i="2"/>
  <c r="Y80" i="1" s="1"/>
  <c r="O82" i="2"/>
  <c r="P82" i="2" s="1"/>
  <c r="Y82" i="2" s="1"/>
  <c r="N80" i="1" s="1"/>
  <c r="W81" i="2"/>
  <c r="U81" i="2"/>
  <c r="B79" i="1" s="1"/>
  <c r="T81" i="2"/>
  <c r="Q79" i="1" s="1"/>
  <c r="X79" i="1" s="1"/>
  <c r="S81" i="2"/>
  <c r="C79" i="1" s="1"/>
  <c r="R81" i="2"/>
  <c r="D79" i="1" s="1"/>
  <c r="Q81" i="2"/>
  <c r="Y79" i="1" s="1"/>
  <c r="O81" i="2"/>
  <c r="P81" i="2" s="1"/>
  <c r="Y81" i="2" s="1"/>
  <c r="N79" i="1" s="1"/>
  <c r="W80" i="2"/>
  <c r="U80" i="2"/>
  <c r="B78" i="1" s="1"/>
  <c r="T80" i="2"/>
  <c r="Q78" i="1" s="1"/>
  <c r="X78" i="1" s="1"/>
  <c r="S80" i="2"/>
  <c r="C78" i="1" s="1"/>
  <c r="R80" i="2"/>
  <c r="D78" i="1" s="1"/>
  <c r="Q80" i="2"/>
  <c r="Y78" i="1" s="1"/>
  <c r="O80" i="2"/>
  <c r="P80" i="2" s="1"/>
  <c r="Y80" i="2" s="1"/>
  <c r="N78" i="1" s="1"/>
  <c r="W79" i="2"/>
  <c r="V79" i="2" s="1"/>
  <c r="X79" i="2" s="1"/>
  <c r="U79" i="2"/>
  <c r="B77" i="1" s="1"/>
  <c r="T79" i="2"/>
  <c r="Q77" i="1" s="1"/>
  <c r="X77" i="1" s="1"/>
  <c r="S79" i="2"/>
  <c r="C77" i="1" s="1"/>
  <c r="R79" i="2"/>
  <c r="D77" i="1" s="1"/>
  <c r="Q79" i="2"/>
  <c r="Y77" i="1" s="1"/>
  <c r="O79" i="2"/>
  <c r="P79" i="2" s="1"/>
  <c r="Y79" i="2" s="1"/>
  <c r="N77" i="1" s="1"/>
  <c r="W78" i="2"/>
  <c r="U78" i="2"/>
  <c r="B76" i="1" s="1"/>
  <c r="T78" i="2"/>
  <c r="S78" i="2"/>
  <c r="C76" i="1" s="1"/>
  <c r="R78" i="2"/>
  <c r="Q78" i="2"/>
  <c r="Y76" i="1" s="1"/>
  <c r="O78" i="2"/>
  <c r="P78" i="2" s="1"/>
  <c r="Y78" i="2" s="1"/>
  <c r="N76" i="1" s="1"/>
  <c r="W77" i="2"/>
  <c r="U77" i="2"/>
  <c r="B75" i="1" s="1"/>
  <c r="T77" i="2"/>
  <c r="Q75" i="1" s="1"/>
  <c r="X75" i="1" s="1"/>
  <c r="S77" i="2"/>
  <c r="C75" i="1" s="1"/>
  <c r="R77" i="2"/>
  <c r="D75" i="1" s="1"/>
  <c r="Q77" i="2"/>
  <c r="Y75" i="1" s="1"/>
  <c r="O77" i="2"/>
  <c r="P77" i="2" s="1"/>
  <c r="Y77" i="2" s="1"/>
  <c r="N75" i="1" s="1"/>
  <c r="W76" i="2"/>
  <c r="U76" i="2"/>
  <c r="B74" i="1" s="1"/>
  <c r="T76" i="2"/>
  <c r="Q74" i="1" s="1"/>
  <c r="X74" i="1" s="1"/>
  <c r="S76" i="2"/>
  <c r="C74" i="1" s="1"/>
  <c r="R76" i="2"/>
  <c r="Q76" i="2"/>
  <c r="Y74" i="1" s="1"/>
  <c r="O76" i="2"/>
  <c r="P76" i="2" s="1"/>
  <c r="Y76" i="2" s="1"/>
  <c r="N74" i="1" s="1"/>
  <c r="W75" i="2"/>
  <c r="U75" i="2"/>
  <c r="B73" i="1" s="1"/>
  <c r="T75" i="2"/>
  <c r="Q73" i="1" s="1"/>
  <c r="X73" i="1" s="1"/>
  <c r="S75" i="2"/>
  <c r="C73" i="1" s="1"/>
  <c r="R75" i="2"/>
  <c r="D73" i="1" s="1"/>
  <c r="Q75" i="2"/>
  <c r="Y73" i="1" s="1"/>
  <c r="O75" i="2"/>
  <c r="P75" i="2" s="1"/>
  <c r="Y75" i="2" s="1"/>
  <c r="N73" i="1" s="1"/>
  <c r="W74" i="2"/>
  <c r="V74" i="2" s="1"/>
  <c r="X74" i="2" s="1"/>
  <c r="Z74" i="2" s="1"/>
  <c r="U74" i="2"/>
  <c r="B72" i="1" s="1"/>
  <c r="T74" i="2"/>
  <c r="Q72" i="1" s="1"/>
  <c r="X72" i="1" s="1"/>
  <c r="S74" i="2"/>
  <c r="C72" i="1" s="1"/>
  <c r="R74" i="2"/>
  <c r="D72" i="1" s="1"/>
  <c r="Q74" i="2"/>
  <c r="Y72" i="1" s="1"/>
  <c r="O74" i="2"/>
  <c r="P74" i="2" s="1"/>
  <c r="Y74" i="2" s="1"/>
  <c r="N72" i="1" s="1"/>
  <c r="W73" i="2"/>
  <c r="U73" i="2"/>
  <c r="T73" i="2"/>
  <c r="Q71" i="1" s="1"/>
  <c r="X71" i="1" s="1"/>
  <c r="S73" i="2"/>
  <c r="C71" i="1" s="1"/>
  <c r="R73" i="2"/>
  <c r="D71" i="1" s="1"/>
  <c r="Q73" i="2"/>
  <c r="Y71" i="1" s="1"/>
  <c r="O73" i="2"/>
  <c r="P73" i="2" s="1"/>
  <c r="Y73" i="2" s="1"/>
  <c r="N71" i="1" s="1"/>
  <c r="W72" i="2"/>
  <c r="U72" i="2"/>
  <c r="B70" i="1" s="1"/>
  <c r="T72" i="2"/>
  <c r="S72" i="2"/>
  <c r="R72" i="2"/>
  <c r="Q72" i="2"/>
  <c r="O72" i="2"/>
  <c r="P72" i="2" s="1"/>
  <c r="Y72" i="2" s="1"/>
  <c r="N70" i="1" s="1"/>
  <c r="W71" i="2"/>
  <c r="U71" i="2"/>
  <c r="B69" i="1" s="1"/>
  <c r="T71" i="2"/>
  <c r="Q69" i="1" s="1"/>
  <c r="X69" i="1" s="1"/>
  <c r="S71" i="2"/>
  <c r="R71" i="2"/>
  <c r="D69" i="1" s="1"/>
  <c r="Q71" i="2"/>
  <c r="Y69" i="1" s="1"/>
  <c r="O71" i="2"/>
  <c r="P71" i="2" s="1"/>
  <c r="Y71" i="2" s="1"/>
  <c r="N69" i="1" s="1"/>
  <c r="W70" i="2"/>
  <c r="U70" i="2"/>
  <c r="B68" i="1" s="1"/>
  <c r="T70" i="2"/>
  <c r="Q68" i="1" s="1"/>
  <c r="X68" i="1" s="1"/>
  <c r="S70" i="2"/>
  <c r="C68" i="1" s="1"/>
  <c r="R70" i="2"/>
  <c r="D68" i="1" s="1"/>
  <c r="Q70" i="2"/>
  <c r="Y68" i="1" s="1"/>
  <c r="O70" i="2"/>
  <c r="P70" i="2" s="1"/>
  <c r="Y70" i="2" s="1"/>
  <c r="N68" i="1" s="1"/>
  <c r="W69" i="2"/>
  <c r="U69" i="2"/>
  <c r="B67" i="1" s="1"/>
  <c r="T69" i="2"/>
  <c r="Q67" i="1" s="1"/>
  <c r="X67" i="1" s="1"/>
  <c r="S69" i="2"/>
  <c r="R69" i="2"/>
  <c r="D67" i="1" s="1"/>
  <c r="Q69" i="2"/>
  <c r="Y67" i="1" s="1"/>
  <c r="O69" i="2"/>
  <c r="P69" i="2" s="1"/>
  <c r="Y69" i="2" s="1"/>
  <c r="N67" i="1" s="1"/>
  <c r="W68" i="2"/>
  <c r="U68" i="2"/>
  <c r="B66" i="1" s="1"/>
  <c r="T68" i="2"/>
  <c r="Q66" i="1" s="1"/>
  <c r="X66" i="1" s="1"/>
  <c r="S68" i="2"/>
  <c r="C66" i="1" s="1"/>
  <c r="R68" i="2"/>
  <c r="D66" i="1" s="1"/>
  <c r="Q68" i="2"/>
  <c r="Y66" i="1" s="1"/>
  <c r="O68" i="2"/>
  <c r="P68" i="2" s="1"/>
  <c r="Y68" i="2" s="1"/>
  <c r="N66" i="1" s="1"/>
  <c r="W67" i="2"/>
  <c r="U67" i="2"/>
  <c r="B65" i="1" s="1"/>
  <c r="T67" i="2"/>
  <c r="Q65" i="1" s="1"/>
  <c r="X65" i="1" s="1"/>
  <c r="S67" i="2"/>
  <c r="C65" i="1" s="1"/>
  <c r="R67" i="2"/>
  <c r="Q67" i="2"/>
  <c r="Y65" i="1" s="1"/>
  <c r="O67" i="2"/>
  <c r="P67" i="2" s="1"/>
  <c r="Y67" i="2" s="1"/>
  <c r="N65" i="1" s="1"/>
  <c r="W66" i="2"/>
  <c r="U66" i="2"/>
  <c r="B64" i="1" s="1"/>
  <c r="T66" i="2"/>
  <c r="S66" i="2"/>
  <c r="C64" i="1" s="1"/>
  <c r="R66" i="2"/>
  <c r="D64" i="1" s="1"/>
  <c r="Q66" i="2"/>
  <c r="Y64" i="1" s="1"/>
  <c r="O66" i="2"/>
  <c r="P66" i="2" s="1"/>
  <c r="Y66" i="2" s="1"/>
  <c r="N64" i="1" s="1"/>
  <c r="W65" i="2"/>
  <c r="U65" i="2"/>
  <c r="B63" i="1" s="1"/>
  <c r="T65" i="2"/>
  <c r="Q63" i="1" s="1"/>
  <c r="X63" i="1" s="1"/>
  <c r="S65" i="2"/>
  <c r="C63" i="1" s="1"/>
  <c r="R65" i="2"/>
  <c r="D63" i="1" s="1"/>
  <c r="Q65" i="2"/>
  <c r="Y63" i="1" s="1"/>
  <c r="O65" i="2"/>
  <c r="P65" i="2" s="1"/>
  <c r="Y65" i="2" s="1"/>
  <c r="N63" i="1" s="1"/>
  <c r="W64" i="2"/>
  <c r="U64" i="2"/>
  <c r="B62" i="1" s="1"/>
  <c r="T64" i="2"/>
  <c r="Q62" i="1" s="1"/>
  <c r="X62" i="1" s="1"/>
  <c r="S64" i="2"/>
  <c r="R64" i="2"/>
  <c r="Q64" i="2"/>
  <c r="Y62" i="1" s="1"/>
  <c r="O64" i="2"/>
  <c r="P64" i="2" s="1"/>
  <c r="Y64" i="2" s="1"/>
  <c r="N62" i="1" s="1"/>
  <c r="W63" i="2"/>
  <c r="U63" i="2"/>
  <c r="B61" i="1" s="1"/>
  <c r="T63" i="2"/>
  <c r="Q61" i="1" s="1"/>
  <c r="X61" i="1" s="1"/>
  <c r="S63" i="2"/>
  <c r="C61" i="1" s="1"/>
  <c r="R63" i="2"/>
  <c r="D61" i="1" s="1"/>
  <c r="Q63" i="2"/>
  <c r="Y61" i="1" s="1"/>
  <c r="O63" i="2"/>
  <c r="P63" i="2" s="1"/>
  <c r="Y63" i="2" s="1"/>
  <c r="N61" i="1" s="1"/>
  <c r="W62" i="2"/>
  <c r="U62" i="2"/>
  <c r="B60" i="1" s="1"/>
  <c r="T62" i="2"/>
  <c r="Q60" i="1" s="1"/>
  <c r="X60" i="1" s="1"/>
  <c r="S62" i="2"/>
  <c r="R62" i="2"/>
  <c r="D60" i="1" s="1"/>
  <c r="Q62" i="2"/>
  <c r="Y60" i="1" s="1"/>
  <c r="O62" i="2"/>
  <c r="P62" i="2" s="1"/>
  <c r="Y62" i="2" s="1"/>
  <c r="N60" i="1" s="1"/>
  <c r="W61" i="2"/>
  <c r="U61" i="2"/>
  <c r="B59" i="1" s="1"/>
  <c r="T61" i="2"/>
  <c r="Q59" i="1" s="1"/>
  <c r="X59" i="1" s="1"/>
  <c r="S61" i="2"/>
  <c r="R61" i="2"/>
  <c r="D59" i="1" s="1"/>
  <c r="Q61" i="2"/>
  <c r="Y59" i="1" s="1"/>
  <c r="O61" i="2"/>
  <c r="P61" i="2" s="1"/>
  <c r="Y61" i="2" s="1"/>
  <c r="N59" i="1" s="1"/>
  <c r="W60" i="2"/>
  <c r="U60" i="2"/>
  <c r="B58" i="1" s="1"/>
  <c r="T60" i="2"/>
  <c r="Q58" i="1" s="1"/>
  <c r="X58" i="1" s="1"/>
  <c r="S60" i="2"/>
  <c r="C58" i="1" s="1"/>
  <c r="R60" i="2"/>
  <c r="D58" i="1" s="1"/>
  <c r="Q60" i="2"/>
  <c r="O60" i="2"/>
  <c r="P60" i="2" s="1"/>
  <c r="Y60" i="2" s="1"/>
  <c r="N58" i="1" s="1"/>
  <c r="W59" i="2"/>
  <c r="U59" i="2"/>
  <c r="B57" i="1" s="1"/>
  <c r="T59" i="2"/>
  <c r="Q57" i="1" s="1"/>
  <c r="X57" i="1" s="1"/>
  <c r="S59" i="2"/>
  <c r="C57" i="1" s="1"/>
  <c r="R59" i="2"/>
  <c r="D57" i="1" s="1"/>
  <c r="Q59" i="2"/>
  <c r="O59" i="2"/>
  <c r="P59" i="2" s="1"/>
  <c r="Y59" i="2" s="1"/>
  <c r="N57" i="1" s="1"/>
  <c r="W58" i="2"/>
  <c r="U58" i="2"/>
  <c r="B56" i="1" s="1"/>
  <c r="T58" i="2"/>
  <c r="Q56" i="1" s="1"/>
  <c r="X56" i="1" s="1"/>
  <c r="S58" i="2"/>
  <c r="C56" i="1" s="1"/>
  <c r="R58" i="2"/>
  <c r="D56" i="1" s="1"/>
  <c r="Q58" i="2"/>
  <c r="Y56" i="1" s="1"/>
  <c r="O58" i="2"/>
  <c r="P58" i="2" s="1"/>
  <c r="Y58" i="2" s="1"/>
  <c r="N56" i="1" s="1"/>
  <c r="W57" i="2"/>
  <c r="U57" i="2"/>
  <c r="B55" i="1" s="1"/>
  <c r="T57" i="2"/>
  <c r="S57" i="2"/>
  <c r="C55" i="1" s="1"/>
  <c r="R57" i="2"/>
  <c r="D55" i="1" s="1"/>
  <c r="Q57" i="2"/>
  <c r="Y55" i="1" s="1"/>
  <c r="O57" i="2"/>
  <c r="P57" i="2" s="1"/>
  <c r="Y57" i="2" s="1"/>
  <c r="N55" i="1" s="1"/>
  <c r="W56" i="2"/>
  <c r="U56" i="2"/>
  <c r="B54" i="1" s="1"/>
  <c r="T56" i="2"/>
  <c r="S56" i="2"/>
  <c r="C54" i="1" s="1"/>
  <c r="R56" i="2"/>
  <c r="D54" i="1" s="1"/>
  <c r="Q56" i="2"/>
  <c r="Y54" i="1" s="1"/>
  <c r="O56" i="2"/>
  <c r="P56" i="2" s="1"/>
  <c r="Y56" i="2" s="1"/>
  <c r="N54" i="1" s="1"/>
  <c r="W55" i="2"/>
  <c r="U55" i="2"/>
  <c r="B53" i="1" s="1"/>
  <c r="T55" i="2"/>
  <c r="S55" i="2"/>
  <c r="R55" i="2"/>
  <c r="D53" i="1" s="1"/>
  <c r="Q55" i="2"/>
  <c r="Y53" i="1" s="1"/>
  <c r="O55" i="2"/>
  <c r="P55" i="2" s="1"/>
  <c r="Y55" i="2" s="1"/>
  <c r="N53" i="1" s="1"/>
  <c r="W54" i="2"/>
  <c r="U54" i="2"/>
  <c r="B52" i="1" s="1"/>
  <c r="T54" i="2"/>
  <c r="Q52" i="1" s="1"/>
  <c r="X52" i="1" s="1"/>
  <c r="S54" i="2"/>
  <c r="C52" i="1" s="1"/>
  <c r="R54" i="2"/>
  <c r="D52" i="1" s="1"/>
  <c r="Q54" i="2"/>
  <c r="Y52" i="1" s="1"/>
  <c r="O54" i="2"/>
  <c r="P54" i="2" s="1"/>
  <c r="Y54" i="2" s="1"/>
  <c r="N52" i="1" s="1"/>
  <c r="W53" i="2"/>
  <c r="U53" i="2"/>
  <c r="B51" i="1" s="1"/>
  <c r="T53" i="2"/>
  <c r="Q51" i="1" s="1"/>
  <c r="X51" i="1" s="1"/>
  <c r="S53" i="2"/>
  <c r="R53" i="2"/>
  <c r="D51" i="1" s="1"/>
  <c r="Q53" i="2"/>
  <c r="Y51" i="1" s="1"/>
  <c r="O53" i="2"/>
  <c r="P53" i="2" s="1"/>
  <c r="Y53" i="2" s="1"/>
  <c r="N51" i="1" s="1"/>
  <c r="W52" i="2"/>
  <c r="V52" i="2" s="1"/>
  <c r="U52" i="2"/>
  <c r="B50" i="1" s="1"/>
  <c r="T52" i="2"/>
  <c r="Q50" i="1" s="1"/>
  <c r="X50" i="1" s="1"/>
  <c r="S52" i="2"/>
  <c r="C50" i="1" s="1"/>
  <c r="R52" i="2"/>
  <c r="D50" i="1" s="1"/>
  <c r="Q52" i="2"/>
  <c r="Y50" i="1" s="1"/>
  <c r="O52" i="2"/>
  <c r="P52" i="2" s="1"/>
  <c r="Y52" i="2" s="1"/>
  <c r="N50" i="1" s="1"/>
  <c r="W51" i="2"/>
  <c r="U51" i="2"/>
  <c r="B49" i="1" s="1"/>
  <c r="T51" i="2"/>
  <c r="Q49" i="1" s="1"/>
  <c r="X49" i="1" s="1"/>
  <c r="S51" i="2"/>
  <c r="C49" i="1" s="1"/>
  <c r="R51" i="2"/>
  <c r="D49" i="1" s="1"/>
  <c r="Q51" i="2"/>
  <c r="O51" i="2"/>
  <c r="P51" i="2" s="1"/>
  <c r="Y51" i="2" s="1"/>
  <c r="N49" i="1" s="1"/>
  <c r="W50" i="2"/>
  <c r="U50" i="2"/>
  <c r="B48" i="1" s="1"/>
  <c r="T50" i="2"/>
  <c r="Q48" i="1" s="1"/>
  <c r="X48" i="1" s="1"/>
  <c r="S50" i="2"/>
  <c r="C48" i="1" s="1"/>
  <c r="R50" i="2"/>
  <c r="D48" i="1" s="1"/>
  <c r="Q50" i="2"/>
  <c r="Y48" i="1" s="1"/>
  <c r="O50" i="2"/>
  <c r="P50" i="2" s="1"/>
  <c r="Y50" i="2" s="1"/>
  <c r="N48" i="1" s="1"/>
  <c r="W49" i="2"/>
  <c r="U49" i="2"/>
  <c r="B47" i="1" s="1"/>
  <c r="T49" i="2"/>
  <c r="Q47" i="1" s="1"/>
  <c r="X47" i="1" s="1"/>
  <c r="S49" i="2"/>
  <c r="C47" i="1" s="1"/>
  <c r="R49" i="2"/>
  <c r="D47" i="1" s="1"/>
  <c r="Q49" i="2"/>
  <c r="Y47" i="1" s="1"/>
  <c r="O49" i="2"/>
  <c r="P49" i="2" s="1"/>
  <c r="Y49" i="2" s="1"/>
  <c r="N47" i="1" s="1"/>
  <c r="W48" i="2"/>
  <c r="U48" i="2"/>
  <c r="T48" i="2"/>
  <c r="S48" i="2"/>
  <c r="C46" i="1" s="1"/>
  <c r="R48" i="2"/>
  <c r="Q48" i="2"/>
  <c r="Y46" i="1" s="1"/>
  <c r="O48" i="2"/>
  <c r="P48" i="2" s="1"/>
  <c r="Y48" i="2" s="1"/>
  <c r="N46" i="1" s="1"/>
  <c r="W47" i="2"/>
  <c r="U47" i="2"/>
  <c r="B45" i="1" s="1"/>
  <c r="T47" i="2"/>
  <c r="Q45" i="1" s="1"/>
  <c r="X45" i="1" s="1"/>
  <c r="S47" i="2"/>
  <c r="C45" i="1" s="1"/>
  <c r="R47" i="2"/>
  <c r="D45" i="1" s="1"/>
  <c r="Q47" i="2"/>
  <c r="Y45" i="1" s="1"/>
  <c r="O47" i="2"/>
  <c r="P47" i="2" s="1"/>
  <c r="Y47" i="2" s="1"/>
  <c r="N45" i="1" s="1"/>
  <c r="W46" i="2"/>
  <c r="U46" i="2"/>
  <c r="B44" i="1" s="1"/>
  <c r="T46" i="2"/>
  <c r="S46" i="2"/>
  <c r="C44" i="1" s="1"/>
  <c r="R46" i="2"/>
  <c r="Q46" i="2"/>
  <c r="Y44" i="1" s="1"/>
  <c r="O46" i="2"/>
  <c r="P46" i="2" s="1"/>
  <c r="Y46" i="2" s="1"/>
  <c r="N44" i="1" s="1"/>
  <c r="W45" i="2"/>
  <c r="U45" i="2"/>
  <c r="B43" i="1" s="1"/>
  <c r="T45" i="2"/>
  <c r="Q43" i="1" s="1"/>
  <c r="X43" i="1" s="1"/>
  <c r="S45" i="2"/>
  <c r="C43" i="1" s="1"/>
  <c r="R45" i="2"/>
  <c r="D43" i="1" s="1"/>
  <c r="Q45" i="2"/>
  <c r="Y43" i="1" s="1"/>
  <c r="O45" i="2"/>
  <c r="P45" i="2" s="1"/>
  <c r="Y45" i="2" s="1"/>
  <c r="N43" i="1" s="1"/>
  <c r="W44" i="2"/>
  <c r="V44" i="2" s="1"/>
  <c r="X44" i="2" s="1"/>
  <c r="Z44" i="2" s="1"/>
  <c r="U44" i="2"/>
  <c r="B42" i="1" s="1"/>
  <c r="T44" i="2"/>
  <c r="Q42" i="1" s="1"/>
  <c r="X42" i="1" s="1"/>
  <c r="S44" i="2"/>
  <c r="C42" i="1" s="1"/>
  <c r="R44" i="2"/>
  <c r="D42" i="1" s="1"/>
  <c r="Q44" i="2"/>
  <c r="Y42" i="1" s="1"/>
  <c r="O44" i="2"/>
  <c r="P44" i="2" s="1"/>
  <c r="Y44" i="2" s="1"/>
  <c r="N42" i="1" s="1"/>
  <c r="W43" i="2"/>
  <c r="U43" i="2"/>
  <c r="B41" i="1" s="1"/>
  <c r="T43" i="2"/>
  <c r="Q41" i="1" s="1"/>
  <c r="X41" i="1" s="1"/>
  <c r="S43" i="2"/>
  <c r="C41" i="1" s="1"/>
  <c r="R43" i="2"/>
  <c r="D41" i="1" s="1"/>
  <c r="Q43" i="2"/>
  <c r="Y41" i="1" s="1"/>
  <c r="O43" i="2"/>
  <c r="P43" i="2" s="1"/>
  <c r="Y43" i="2" s="1"/>
  <c r="N41" i="1" s="1"/>
  <c r="W42" i="2"/>
  <c r="V42" i="2" s="1"/>
  <c r="X42" i="2" s="1"/>
  <c r="U42" i="2"/>
  <c r="B40" i="1" s="1"/>
  <c r="T42" i="2"/>
  <c r="Q40" i="1" s="1"/>
  <c r="X40" i="1" s="1"/>
  <c r="S42" i="2"/>
  <c r="C40" i="1" s="1"/>
  <c r="R42" i="2"/>
  <c r="D40" i="1" s="1"/>
  <c r="Q42" i="2"/>
  <c r="Y40" i="1" s="1"/>
  <c r="O42" i="2"/>
  <c r="P42" i="2" s="1"/>
  <c r="Y42" i="2" s="1"/>
  <c r="N40" i="1" s="1"/>
  <c r="W41" i="2"/>
  <c r="U41" i="2"/>
  <c r="B39" i="1" s="1"/>
  <c r="T41" i="2"/>
  <c r="Q39" i="1" s="1"/>
  <c r="X39" i="1" s="1"/>
  <c r="S41" i="2"/>
  <c r="C39" i="1" s="1"/>
  <c r="R41" i="2"/>
  <c r="D39" i="1" s="1"/>
  <c r="Q41" i="2"/>
  <c r="Y39" i="1" s="1"/>
  <c r="O41" i="2"/>
  <c r="P41" i="2" s="1"/>
  <c r="Y41" i="2" s="1"/>
  <c r="N39" i="1" s="1"/>
  <c r="W40" i="2"/>
  <c r="U40" i="2"/>
  <c r="T40" i="2"/>
  <c r="S40" i="2"/>
  <c r="C38" i="1" s="1"/>
  <c r="R40" i="2"/>
  <c r="D38" i="1" s="1"/>
  <c r="Q40" i="2"/>
  <c r="Y38" i="1" s="1"/>
  <c r="O40" i="2"/>
  <c r="P40" i="2" s="1"/>
  <c r="Y40" i="2" s="1"/>
  <c r="N38" i="1" s="1"/>
  <c r="W39" i="2"/>
  <c r="U39" i="2"/>
  <c r="B37" i="1" s="1"/>
  <c r="T39" i="2"/>
  <c r="S39" i="2"/>
  <c r="C37" i="1" s="1"/>
  <c r="R39" i="2"/>
  <c r="D37" i="1" s="1"/>
  <c r="Q39" i="2"/>
  <c r="Y37" i="1" s="1"/>
  <c r="O39" i="2"/>
  <c r="P39" i="2" s="1"/>
  <c r="Y39" i="2" s="1"/>
  <c r="N37" i="1" s="1"/>
  <c r="W38" i="2"/>
  <c r="U38" i="2"/>
  <c r="B36" i="1" s="1"/>
  <c r="T38" i="2"/>
  <c r="Q36" i="1" s="1"/>
  <c r="X36" i="1" s="1"/>
  <c r="S38" i="2"/>
  <c r="C36" i="1" s="1"/>
  <c r="R38" i="2"/>
  <c r="D36" i="1" s="1"/>
  <c r="Q38" i="2"/>
  <c r="Y36" i="1" s="1"/>
  <c r="O38" i="2"/>
  <c r="P38" i="2" s="1"/>
  <c r="Y38" i="2" s="1"/>
  <c r="N36" i="1" s="1"/>
  <c r="W37" i="2"/>
  <c r="U37" i="2"/>
  <c r="B35" i="1" s="1"/>
  <c r="T37" i="2"/>
  <c r="Q35" i="1" s="1"/>
  <c r="X35" i="1" s="1"/>
  <c r="S37" i="2"/>
  <c r="C35" i="1" s="1"/>
  <c r="R37" i="2"/>
  <c r="Q37" i="2"/>
  <c r="Y35" i="1" s="1"/>
  <c r="O37" i="2"/>
  <c r="P37" i="2" s="1"/>
  <c r="Y37" i="2" s="1"/>
  <c r="N35" i="1" s="1"/>
  <c r="W36" i="2"/>
  <c r="U36" i="2"/>
  <c r="B34" i="1" s="1"/>
  <c r="T36" i="2"/>
  <c r="Q34" i="1" s="1"/>
  <c r="X34" i="1" s="1"/>
  <c r="S36" i="2"/>
  <c r="C34" i="1" s="1"/>
  <c r="R36" i="2"/>
  <c r="D34" i="1" s="1"/>
  <c r="Q36" i="2"/>
  <c r="Y34" i="1" s="1"/>
  <c r="O36" i="2"/>
  <c r="P36" i="2" s="1"/>
  <c r="Y36" i="2" s="1"/>
  <c r="N34" i="1" s="1"/>
  <c r="W35" i="2"/>
  <c r="U35" i="2"/>
  <c r="B33" i="1" s="1"/>
  <c r="T35" i="2"/>
  <c r="Q33" i="1" s="1"/>
  <c r="X33" i="1" s="1"/>
  <c r="S35" i="2"/>
  <c r="C33" i="1" s="1"/>
  <c r="R35" i="2"/>
  <c r="D33" i="1" s="1"/>
  <c r="Q35" i="2"/>
  <c r="Y33" i="1" s="1"/>
  <c r="O35" i="2"/>
  <c r="P35" i="2" s="1"/>
  <c r="Y35" i="2" s="1"/>
  <c r="N33" i="1" s="1"/>
  <c r="W34" i="2"/>
  <c r="U34" i="2"/>
  <c r="T34" i="2"/>
  <c r="Q32" i="1" s="1"/>
  <c r="X32" i="1" s="1"/>
  <c r="S34" i="2"/>
  <c r="R34" i="2"/>
  <c r="D32" i="1" s="1"/>
  <c r="Q34" i="2"/>
  <c r="Y32" i="1" s="1"/>
  <c r="O34" i="2"/>
  <c r="P34" i="2" s="1"/>
  <c r="Y34" i="2" s="1"/>
  <c r="N32" i="1" s="1"/>
  <c r="W33" i="2"/>
  <c r="U33" i="2"/>
  <c r="B31" i="1" s="1"/>
  <c r="T33" i="2"/>
  <c r="Q31" i="1" s="1"/>
  <c r="X31" i="1" s="1"/>
  <c r="S33" i="2"/>
  <c r="C31" i="1" s="1"/>
  <c r="R33" i="2"/>
  <c r="D31" i="1" s="1"/>
  <c r="Q33" i="2"/>
  <c r="Y31" i="1" s="1"/>
  <c r="O33" i="2"/>
  <c r="P33" i="2" s="1"/>
  <c r="Y33" i="2" s="1"/>
  <c r="N31" i="1" s="1"/>
  <c r="W32" i="2"/>
  <c r="U32" i="2"/>
  <c r="B30" i="1" s="1"/>
  <c r="T32" i="2"/>
  <c r="Q30" i="1" s="1"/>
  <c r="X30" i="1" s="1"/>
  <c r="S32" i="2"/>
  <c r="C30" i="1" s="1"/>
  <c r="R32" i="2"/>
  <c r="D30" i="1" s="1"/>
  <c r="Q32" i="2"/>
  <c r="Y30" i="1" s="1"/>
  <c r="O32" i="2"/>
  <c r="P32" i="2" s="1"/>
  <c r="Y32" i="2" s="1"/>
  <c r="N30" i="1" s="1"/>
  <c r="W31" i="2"/>
  <c r="U31" i="2"/>
  <c r="B29" i="1" s="1"/>
  <c r="T31" i="2"/>
  <c r="Q29" i="1" s="1"/>
  <c r="X29" i="1" s="1"/>
  <c r="S31" i="2"/>
  <c r="C29" i="1" s="1"/>
  <c r="R31" i="2"/>
  <c r="D29" i="1" s="1"/>
  <c r="Q31" i="2"/>
  <c r="Y29" i="1" s="1"/>
  <c r="O31" i="2"/>
  <c r="P31" i="2" s="1"/>
  <c r="Y31" i="2" s="1"/>
  <c r="N29" i="1" s="1"/>
  <c r="W30" i="2"/>
  <c r="U30" i="2"/>
  <c r="B28" i="1" s="1"/>
  <c r="T30" i="2"/>
  <c r="Q28" i="1" s="1"/>
  <c r="X28" i="1" s="1"/>
  <c r="S30" i="2"/>
  <c r="C28" i="1" s="1"/>
  <c r="R30" i="2"/>
  <c r="D28" i="1" s="1"/>
  <c r="Q30" i="2"/>
  <c r="Y28" i="1" s="1"/>
  <c r="O30" i="2"/>
  <c r="P30" i="2" s="1"/>
  <c r="Y30" i="2" s="1"/>
  <c r="N28" i="1" s="1"/>
  <c r="W29" i="2"/>
  <c r="U29" i="2"/>
  <c r="B27" i="1" s="1"/>
  <c r="T29" i="2"/>
  <c r="Q27" i="1" s="1"/>
  <c r="X27" i="1" s="1"/>
  <c r="S29" i="2"/>
  <c r="R29" i="2"/>
  <c r="D27" i="1" s="1"/>
  <c r="Q29" i="2"/>
  <c r="Y27" i="1" s="1"/>
  <c r="O29" i="2"/>
  <c r="P29" i="2" s="1"/>
  <c r="Y29" i="2" s="1"/>
  <c r="N27" i="1" s="1"/>
  <c r="W28" i="2"/>
  <c r="U28" i="2"/>
  <c r="B26" i="1" s="1"/>
  <c r="T28" i="2"/>
  <c r="Q26" i="1" s="1"/>
  <c r="X26" i="1" s="1"/>
  <c r="S28" i="2"/>
  <c r="C26" i="1" s="1"/>
  <c r="R28" i="2"/>
  <c r="D26" i="1" s="1"/>
  <c r="Q28" i="2"/>
  <c r="Y26" i="1" s="1"/>
  <c r="O28" i="2"/>
  <c r="P28" i="2" s="1"/>
  <c r="Y28" i="2" s="1"/>
  <c r="N26" i="1" s="1"/>
  <c r="W27" i="2"/>
  <c r="U27" i="2"/>
  <c r="B25" i="1" s="1"/>
  <c r="T27" i="2"/>
  <c r="Q25" i="1" s="1"/>
  <c r="X25" i="1" s="1"/>
  <c r="S27" i="2"/>
  <c r="C25" i="1" s="1"/>
  <c r="R27" i="2"/>
  <c r="Q27" i="2"/>
  <c r="Y25" i="1" s="1"/>
  <c r="O27" i="2"/>
  <c r="P27" i="2" s="1"/>
  <c r="Y27" i="2" s="1"/>
  <c r="N25" i="1" s="1"/>
  <c r="W26" i="2"/>
  <c r="U26" i="2"/>
  <c r="B24" i="1" s="1"/>
  <c r="T26" i="2"/>
  <c r="Q24" i="1" s="1"/>
  <c r="X24" i="1" s="1"/>
  <c r="S26" i="2"/>
  <c r="C24" i="1" s="1"/>
  <c r="R26" i="2"/>
  <c r="D24" i="1" s="1"/>
  <c r="Q26" i="2"/>
  <c r="Y24" i="1" s="1"/>
  <c r="O26" i="2"/>
  <c r="P26" i="2" s="1"/>
  <c r="Y26" i="2" s="1"/>
  <c r="N24" i="1" s="1"/>
  <c r="W25" i="2"/>
  <c r="U25" i="2"/>
  <c r="B23" i="1" s="1"/>
  <c r="T25" i="2"/>
  <c r="Q23" i="1" s="1"/>
  <c r="X23" i="1" s="1"/>
  <c r="S25" i="2"/>
  <c r="R25" i="2"/>
  <c r="D23" i="1" s="1"/>
  <c r="Q25" i="2"/>
  <c r="Y23" i="1" s="1"/>
  <c r="O25" i="2"/>
  <c r="P25" i="2" s="1"/>
  <c r="Y25" i="2" s="1"/>
  <c r="N23" i="1" s="1"/>
  <c r="W24" i="2"/>
  <c r="U24" i="2"/>
  <c r="B22" i="1" s="1"/>
  <c r="T24" i="2"/>
  <c r="S24" i="2"/>
  <c r="C22" i="1" s="1"/>
  <c r="R24" i="2"/>
  <c r="D22" i="1" s="1"/>
  <c r="Q24" i="2"/>
  <c r="Y22" i="1" s="1"/>
  <c r="O24" i="2"/>
  <c r="P24" i="2" s="1"/>
  <c r="Y24" i="2" s="1"/>
  <c r="N22" i="1" s="1"/>
  <c r="W23" i="2"/>
  <c r="U23" i="2"/>
  <c r="B21" i="1" s="1"/>
  <c r="T23" i="2"/>
  <c r="Q21" i="1" s="1"/>
  <c r="X21" i="1" s="1"/>
  <c r="S23" i="2"/>
  <c r="C21" i="1" s="1"/>
  <c r="R23" i="2"/>
  <c r="D21" i="1" s="1"/>
  <c r="Q23" i="2"/>
  <c r="O23" i="2"/>
  <c r="P23" i="2" s="1"/>
  <c r="Y23" i="2" s="1"/>
  <c r="N21" i="1" s="1"/>
  <c r="W22" i="2"/>
  <c r="U22" i="2"/>
  <c r="B20" i="1" s="1"/>
  <c r="T22" i="2"/>
  <c r="S22" i="2"/>
  <c r="R22" i="2"/>
  <c r="D20" i="1" s="1"/>
  <c r="Q22" i="2"/>
  <c r="Y20" i="1" s="1"/>
  <c r="O22" i="2"/>
  <c r="P22" i="2" s="1"/>
  <c r="Y22" i="2" s="1"/>
  <c r="N20" i="1" s="1"/>
  <c r="W21" i="2"/>
  <c r="U21" i="2"/>
  <c r="B19" i="1" s="1"/>
  <c r="T21" i="2"/>
  <c r="Q19" i="1" s="1"/>
  <c r="X19" i="1" s="1"/>
  <c r="S21" i="2"/>
  <c r="C19" i="1" s="1"/>
  <c r="R21" i="2"/>
  <c r="D19" i="1" s="1"/>
  <c r="Q21" i="2"/>
  <c r="Y19" i="1" s="1"/>
  <c r="O21" i="2"/>
  <c r="P21" i="2" s="1"/>
  <c r="Y21" i="2" s="1"/>
  <c r="N19" i="1" s="1"/>
  <c r="W20" i="2"/>
  <c r="U20" i="2"/>
  <c r="B18" i="1" s="1"/>
  <c r="T20" i="2"/>
  <c r="Q18" i="1" s="1"/>
  <c r="X18" i="1" s="1"/>
  <c r="S20" i="2"/>
  <c r="C18" i="1" s="1"/>
  <c r="R20" i="2"/>
  <c r="D18" i="1" s="1"/>
  <c r="Q20" i="2"/>
  <c r="Y18" i="1" s="1"/>
  <c r="O20" i="2"/>
  <c r="P20" i="2" s="1"/>
  <c r="Y20" i="2" s="1"/>
  <c r="N18" i="1" s="1"/>
  <c r="W19" i="2"/>
  <c r="U19" i="2"/>
  <c r="B17" i="1" s="1"/>
  <c r="T19" i="2"/>
  <c r="Q17" i="1" s="1"/>
  <c r="X17" i="1" s="1"/>
  <c r="S19" i="2"/>
  <c r="C17" i="1" s="1"/>
  <c r="R19" i="2"/>
  <c r="D17" i="1" s="1"/>
  <c r="Q19" i="2"/>
  <c r="Y17" i="1" s="1"/>
  <c r="O19" i="2"/>
  <c r="P19" i="2" s="1"/>
  <c r="Y19" i="2" s="1"/>
  <c r="N17" i="1" s="1"/>
  <c r="W18" i="2"/>
  <c r="V18" i="2" s="1"/>
  <c r="X18" i="2" s="1"/>
  <c r="Z18" i="2" s="1"/>
  <c r="U18" i="2"/>
  <c r="B16" i="1" s="1"/>
  <c r="T18" i="2"/>
  <c r="Q16" i="1" s="1"/>
  <c r="X16" i="1" s="1"/>
  <c r="S18" i="2"/>
  <c r="C16" i="1" s="1"/>
  <c r="R18" i="2"/>
  <c r="D16" i="1" s="1"/>
  <c r="Q18" i="2"/>
  <c r="Y16" i="1" s="1"/>
  <c r="O18" i="2"/>
  <c r="P18" i="2" s="1"/>
  <c r="Y18" i="2" s="1"/>
  <c r="N16" i="1" s="1"/>
  <c r="W17" i="2"/>
  <c r="U17" i="2"/>
  <c r="B15" i="1" s="1"/>
  <c r="T17" i="2"/>
  <c r="Q15" i="1" s="1"/>
  <c r="X15" i="1" s="1"/>
  <c r="S17" i="2"/>
  <c r="C15" i="1" s="1"/>
  <c r="R17" i="2"/>
  <c r="D15" i="1" s="1"/>
  <c r="Q17" i="2"/>
  <c r="Y15" i="1" s="1"/>
  <c r="O17" i="2"/>
  <c r="P17" i="2" s="1"/>
  <c r="Y17" i="2" s="1"/>
  <c r="N15" i="1" s="1"/>
  <c r="W16" i="2"/>
  <c r="U16" i="2"/>
  <c r="B14" i="1" s="1"/>
  <c r="T16" i="2"/>
  <c r="Q14" i="1" s="1"/>
  <c r="X14" i="1" s="1"/>
  <c r="S16" i="2"/>
  <c r="C14" i="1" s="1"/>
  <c r="R16" i="2"/>
  <c r="D14" i="1" s="1"/>
  <c r="Q16" i="2"/>
  <c r="Y14" i="1" s="1"/>
  <c r="O16" i="2"/>
  <c r="P16" i="2" s="1"/>
  <c r="Y16" i="2" s="1"/>
  <c r="N14" i="1" s="1"/>
  <c r="W15" i="2"/>
  <c r="U15" i="2"/>
  <c r="B13" i="1" s="1"/>
  <c r="T15" i="2"/>
  <c r="Q13" i="1" s="1"/>
  <c r="X13" i="1" s="1"/>
  <c r="S15" i="2"/>
  <c r="C13" i="1" s="1"/>
  <c r="R15" i="2"/>
  <c r="D13" i="1" s="1"/>
  <c r="Q15" i="2"/>
  <c r="Y13" i="1" s="1"/>
  <c r="O15" i="2"/>
  <c r="P15" i="2" s="1"/>
  <c r="Y15" i="2" s="1"/>
  <c r="N13" i="1" s="1"/>
  <c r="W14" i="2"/>
  <c r="U14" i="2"/>
  <c r="B12" i="1" s="1"/>
  <c r="T14" i="2"/>
  <c r="S14" i="2"/>
  <c r="C12" i="1" s="1"/>
  <c r="R14" i="2"/>
  <c r="D12" i="1" s="1"/>
  <c r="Q14" i="2"/>
  <c r="Y12" i="1" s="1"/>
  <c r="O14" i="2"/>
  <c r="P14" i="2" s="1"/>
  <c r="Y14" i="2" s="1"/>
  <c r="N12" i="1" s="1"/>
  <c r="W13" i="2"/>
  <c r="U13" i="2"/>
  <c r="B11" i="1" s="1"/>
  <c r="T13" i="2"/>
  <c r="Q11" i="1" s="1"/>
  <c r="X11" i="1" s="1"/>
  <c r="S13" i="2"/>
  <c r="C11" i="1" s="1"/>
  <c r="R13" i="2"/>
  <c r="D11" i="1" s="1"/>
  <c r="Q13" i="2"/>
  <c r="Y11" i="1" s="1"/>
  <c r="O13" i="2"/>
  <c r="P13" i="2" s="1"/>
  <c r="Y13" i="2" s="1"/>
  <c r="N11" i="1" s="1"/>
  <c r="W12" i="2"/>
  <c r="U12" i="2"/>
  <c r="B10" i="1" s="1"/>
  <c r="T12" i="2"/>
  <c r="Q10" i="1" s="1"/>
  <c r="X10" i="1" s="1"/>
  <c r="S12" i="2"/>
  <c r="C10" i="1" s="1"/>
  <c r="R12" i="2"/>
  <c r="D10" i="1" s="1"/>
  <c r="Q12" i="2"/>
  <c r="Y10" i="1" s="1"/>
  <c r="O12" i="2"/>
  <c r="P12" i="2" s="1"/>
  <c r="Y12" i="2" s="1"/>
  <c r="N10" i="1" s="1"/>
  <c r="W11" i="2"/>
  <c r="U11" i="2"/>
  <c r="B9" i="1" s="1"/>
  <c r="T11" i="2"/>
  <c r="Q9" i="1" s="1"/>
  <c r="X9" i="1" s="1"/>
  <c r="S11" i="2"/>
  <c r="C9" i="1" s="1"/>
  <c r="R11" i="2"/>
  <c r="D9" i="1" s="1"/>
  <c r="Q11" i="2"/>
  <c r="Y9" i="1" s="1"/>
  <c r="O11" i="2"/>
  <c r="P11" i="2" s="1"/>
  <c r="Y11" i="2" s="1"/>
  <c r="N9" i="1" s="1"/>
  <c r="W10" i="2"/>
  <c r="U10" i="2"/>
  <c r="B8" i="1" s="1"/>
  <c r="T10" i="2"/>
  <c r="Q8" i="1" s="1"/>
  <c r="X8" i="1" s="1"/>
  <c r="S10" i="2"/>
  <c r="C8" i="1" s="1"/>
  <c r="R10" i="2"/>
  <c r="D8" i="1" s="1"/>
  <c r="Q10" i="2"/>
  <c r="Y8" i="1" s="1"/>
  <c r="O10" i="2"/>
  <c r="P10" i="2" s="1"/>
  <c r="Y10" i="2" s="1"/>
  <c r="N8" i="1" s="1"/>
  <c r="W9" i="2"/>
  <c r="U9" i="2"/>
  <c r="B7" i="1" s="1"/>
  <c r="T9" i="2"/>
  <c r="Q7" i="1" s="1"/>
  <c r="X7" i="1" s="1"/>
  <c r="S9" i="2"/>
  <c r="C7" i="1" s="1"/>
  <c r="R9" i="2"/>
  <c r="D7" i="1" s="1"/>
  <c r="Q9" i="2"/>
  <c r="Y7" i="1" s="1"/>
  <c r="O9" i="2"/>
  <c r="P9" i="2" s="1"/>
  <c r="Y9" i="2" s="1"/>
  <c r="N7" i="1" s="1"/>
  <c r="W8" i="2"/>
  <c r="U8" i="2"/>
  <c r="B6" i="1" s="1"/>
  <c r="T8" i="2"/>
  <c r="Q6" i="1" s="1"/>
  <c r="X6" i="1" s="1"/>
  <c r="S8" i="2"/>
  <c r="C6" i="1" s="1"/>
  <c r="R8" i="2"/>
  <c r="D6" i="1" s="1"/>
  <c r="Q8" i="2"/>
  <c r="Y6" i="1" s="1"/>
  <c r="O8" i="2"/>
  <c r="P8" i="2" s="1"/>
  <c r="Y8" i="2" s="1"/>
  <c r="N6" i="1" s="1"/>
  <c r="W7" i="2"/>
  <c r="U7" i="2"/>
  <c r="B5" i="1" s="1"/>
  <c r="T7" i="2"/>
  <c r="Q5" i="1" s="1"/>
  <c r="X5" i="1" s="1"/>
  <c r="S7" i="2"/>
  <c r="C5" i="1" s="1"/>
  <c r="R7" i="2"/>
  <c r="D5" i="1" s="1"/>
  <c r="Q7" i="2"/>
  <c r="Y5" i="1" s="1"/>
  <c r="O7" i="2"/>
  <c r="P7" i="2" s="1"/>
  <c r="Y7" i="2" s="1"/>
  <c r="N5" i="1" s="1"/>
  <c r="W6" i="2"/>
  <c r="U6" i="2"/>
  <c r="B4" i="1" s="1"/>
  <c r="T6" i="2"/>
  <c r="Q4" i="1" s="1"/>
  <c r="X4" i="1" s="1"/>
  <c r="S6" i="2"/>
  <c r="C4" i="1" s="1"/>
  <c r="R6" i="2"/>
  <c r="D4" i="1" s="1"/>
  <c r="Q6" i="2"/>
  <c r="Y4" i="1" s="1"/>
  <c r="O6" i="2"/>
  <c r="P6" i="2" s="1"/>
  <c r="Y6" i="2" s="1"/>
  <c r="N4" i="1" s="1"/>
  <c r="W5" i="2"/>
  <c r="V5" i="2" s="1"/>
  <c r="X5" i="2" s="1"/>
  <c r="U5" i="2"/>
  <c r="B3" i="1" s="1"/>
  <c r="T5" i="2"/>
  <c r="Q3" i="1" s="1"/>
  <c r="X3" i="1" s="1"/>
  <c r="S5" i="2"/>
  <c r="C3" i="1" s="1"/>
  <c r="R5" i="2"/>
  <c r="D3" i="1" s="1"/>
  <c r="Q5" i="2"/>
  <c r="Y3" i="1" s="1"/>
  <c r="O5" i="2"/>
  <c r="P5" i="2" s="1"/>
  <c r="Y5" i="2" s="1"/>
  <c r="N3" i="1" s="1"/>
  <c r="W4" i="2"/>
  <c r="U4" i="2"/>
  <c r="B2" i="1" s="1"/>
  <c r="T4" i="2"/>
  <c r="Q2" i="1" s="1"/>
  <c r="X2" i="1" s="1"/>
  <c r="S4" i="2"/>
  <c r="C2" i="1" s="1"/>
  <c r="R4" i="2"/>
  <c r="D2" i="1" s="1"/>
  <c r="Q4" i="2"/>
  <c r="Y2" i="1" s="1"/>
  <c r="O4" i="2"/>
  <c r="P4" i="2" s="1"/>
  <c r="Y4" i="2" s="1"/>
  <c r="N2" i="1" s="1"/>
  <c r="Y657" i="1"/>
  <c r="Q657" i="1"/>
  <c r="X657" i="1" s="1"/>
  <c r="D657" i="1"/>
  <c r="C657" i="1"/>
  <c r="B657" i="1"/>
  <c r="Y656" i="1"/>
  <c r="Q656" i="1"/>
  <c r="X656" i="1" s="1"/>
  <c r="D656" i="1"/>
  <c r="C656" i="1"/>
  <c r="B656" i="1"/>
  <c r="Y655" i="1"/>
  <c r="Q655" i="1"/>
  <c r="X655" i="1" s="1"/>
  <c r="C655" i="1"/>
  <c r="B655" i="1"/>
  <c r="Y654" i="1"/>
  <c r="Q654" i="1"/>
  <c r="X654" i="1" s="1"/>
  <c r="D654" i="1"/>
  <c r="C654" i="1"/>
  <c r="B654" i="1"/>
  <c r="Y653" i="1"/>
  <c r="Q653" i="1"/>
  <c r="X653" i="1" s="1"/>
  <c r="D653" i="1"/>
  <c r="C653" i="1"/>
  <c r="B653" i="1"/>
  <c r="Y652" i="1"/>
  <c r="Q652" i="1"/>
  <c r="X652" i="1" s="1"/>
  <c r="D652" i="1"/>
  <c r="C652" i="1"/>
  <c r="B652" i="1"/>
  <c r="Y651" i="1"/>
  <c r="Q651" i="1"/>
  <c r="X651" i="1" s="1"/>
  <c r="D651" i="1"/>
  <c r="C651" i="1"/>
  <c r="B651" i="1"/>
  <c r="Y650" i="1"/>
  <c r="Q650" i="1"/>
  <c r="X650" i="1" s="1"/>
  <c r="D650" i="1"/>
  <c r="C650" i="1"/>
  <c r="Y649" i="1"/>
  <c r="Q649" i="1"/>
  <c r="X649" i="1" s="1"/>
  <c r="D649" i="1"/>
  <c r="C649" i="1"/>
  <c r="B649" i="1"/>
  <c r="Y648" i="1"/>
  <c r="Q648" i="1"/>
  <c r="X648" i="1" s="1"/>
  <c r="D648" i="1"/>
  <c r="C648" i="1"/>
  <c r="B648" i="1"/>
  <c r="Y647" i="1"/>
  <c r="Q647" i="1"/>
  <c r="X647" i="1" s="1"/>
  <c r="C647" i="1"/>
  <c r="B647" i="1"/>
  <c r="Y646" i="1"/>
  <c r="Q646" i="1"/>
  <c r="X646" i="1" s="1"/>
  <c r="C646" i="1"/>
  <c r="B646" i="1"/>
  <c r="Y645" i="1"/>
  <c r="Q645" i="1"/>
  <c r="X645" i="1" s="1"/>
  <c r="D645" i="1"/>
  <c r="C645" i="1"/>
  <c r="B645" i="1"/>
  <c r="Y644" i="1"/>
  <c r="Q644" i="1"/>
  <c r="X644" i="1" s="1"/>
  <c r="D644" i="1"/>
  <c r="C644" i="1"/>
  <c r="B644" i="1"/>
  <c r="Y643" i="1"/>
  <c r="Q643" i="1"/>
  <c r="X643" i="1" s="1"/>
  <c r="D643" i="1"/>
  <c r="C643" i="1"/>
  <c r="B643" i="1"/>
  <c r="Y642" i="1"/>
  <c r="Q642" i="1"/>
  <c r="X642" i="1" s="1"/>
  <c r="D642" i="1"/>
  <c r="C642" i="1"/>
  <c r="B642" i="1"/>
  <c r="Q641" i="1"/>
  <c r="X641" i="1" s="1"/>
  <c r="D641" i="1"/>
  <c r="C641" i="1"/>
  <c r="B641" i="1"/>
  <c r="Y640" i="1"/>
  <c r="Q640" i="1"/>
  <c r="X640" i="1" s="1"/>
  <c r="D640" i="1"/>
  <c r="C640" i="1"/>
  <c r="B640" i="1"/>
  <c r="Y639" i="1"/>
  <c r="Q639" i="1"/>
  <c r="X639" i="1" s="1"/>
  <c r="D639" i="1"/>
  <c r="C639" i="1"/>
  <c r="Y638" i="1"/>
  <c r="Q638" i="1"/>
  <c r="X638" i="1" s="1"/>
  <c r="D638" i="1"/>
  <c r="C638" i="1"/>
  <c r="B638" i="1"/>
  <c r="Y637" i="1"/>
  <c r="Q637" i="1"/>
  <c r="X637" i="1" s="1"/>
  <c r="D637" i="1"/>
  <c r="C637" i="1"/>
  <c r="B637" i="1"/>
  <c r="Y636" i="1"/>
  <c r="C636" i="1"/>
  <c r="Y635" i="1"/>
  <c r="Q635" i="1"/>
  <c r="X635" i="1" s="1"/>
  <c r="D635" i="1"/>
  <c r="B635" i="1"/>
  <c r="Y634" i="1"/>
  <c r="Q634" i="1"/>
  <c r="X634" i="1" s="1"/>
  <c r="D634" i="1"/>
  <c r="C634" i="1"/>
  <c r="B634" i="1"/>
  <c r="Y633" i="1"/>
  <c r="Q633" i="1"/>
  <c r="X633" i="1" s="1"/>
  <c r="C633" i="1"/>
  <c r="B633" i="1"/>
  <c r="Q632" i="1"/>
  <c r="X632" i="1" s="1"/>
  <c r="D632" i="1"/>
  <c r="C632" i="1"/>
  <c r="B632" i="1"/>
  <c r="Y631" i="1"/>
  <c r="Q631" i="1"/>
  <c r="X631" i="1" s="1"/>
  <c r="D631" i="1"/>
  <c r="C631" i="1"/>
  <c r="B631" i="1"/>
  <c r="Y630" i="1"/>
  <c r="X630" i="1"/>
  <c r="D630" i="1"/>
  <c r="C630" i="1"/>
  <c r="B630" i="1"/>
  <c r="Q629" i="1"/>
  <c r="X629" i="1" s="1"/>
  <c r="D629" i="1"/>
  <c r="C629" i="1"/>
  <c r="B629" i="1"/>
  <c r="Y628" i="1"/>
  <c r="Q628" i="1"/>
  <c r="X628" i="1" s="1"/>
  <c r="D628" i="1"/>
  <c r="C628" i="1"/>
  <c r="B628" i="1"/>
  <c r="Q627" i="1"/>
  <c r="X627" i="1" s="1"/>
  <c r="D627" i="1"/>
  <c r="C627" i="1"/>
  <c r="B627" i="1"/>
  <c r="Y626" i="1"/>
  <c r="Q626" i="1"/>
  <c r="X626" i="1" s="1"/>
  <c r="B626" i="1"/>
  <c r="Y625" i="1"/>
  <c r="Q625" i="1"/>
  <c r="X625" i="1" s="1"/>
  <c r="D625" i="1"/>
  <c r="B625" i="1"/>
  <c r="Q624" i="1"/>
  <c r="X624" i="1" s="1"/>
  <c r="D624" i="1"/>
  <c r="C624" i="1"/>
  <c r="B624" i="1"/>
  <c r="Q623" i="1"/>
  <c r="X623" i="1" s="1"/>
  <c r="D623" i="1"/>
  <c r="C623" i="1"/>
  <c r="B623" i="1"/>
  <c r="Q622" i="1"/>
  <c r="X622" i="1" s="1"/>
  <c r="D622" i="1"/>
  <c r="C622" i="1"/>
  <c r="B622" i="1"/>
  <c r="Y621" i="1"/>
  <c r="Q621" i="1"/>
  <c r="X621" i="1" s="1"/>
  <c r="D621" i="1"/>
  <c r="C621" i="1"/>
  <c r="B621" i="1"/>
  <c r="Q620" i="1"/>
  <c r="X620" i="1" s="1"/>
  <c r="D620" i="1"/>
  <c r="C620" i="1"/>
  <c r="B620" i="1"/>
  <c r="X619" i="1"/>
  <c r="C619" i="1"/>
  <c r="Y618" i="1"/>
  <c r="Q618" i="1"/>
  <c r="X618" i="1" s="1"/>
  <c r="D618" i="1"/>
  <c r="C618" i="1"/>
  <c r="B618" i="1"/>
  <c r="Y617" i="1"/>
  <c r="Q617" i="1"/>
  <c r="X617" i="1" s="1"/>
  <c r="D617" i="1"/>
  <c r="C617" i="1"/>
  <c r="B617" i="1"/>
  <c r="Q616" i="1"/>
  <c r="X616" i="1" s="1"/>
  <c r="D616" i="1"/>
  <c r="Q615" i="1"/>
  <c r="X615" i="1" s="1"/>
  <c r="D615" i="1"/>
  <c r="C615" i="1"/>
  <c r="B615" i="1"/>
  <c r="Y614" i="1"/>
  <c r="Q614" i="1"/>
  <c r="X614" i="1" s="1"/>
  <c r="D614" i="1"/>
  <c r="C614" i="1"/>
  <c r="Y613" i="1"/>
  <c r="Q613" i="1"/>
  <c r="X613" i="1" s="1"/>
  <c r="D613" i="1"/>
  <c r="C613" i="1"/>
  <c r="B613" i="1"/>
  <c r="D612" i="1"/>
  <c r="C612" i="1"/>
  <c r="B612" i="1"/>
  <c r="Q611" i="1"/>
  <c r="X611" i="1" s="1"/>
  <c r="C611" i="1"/>
  <c r="B611" i="1"/>
  <c r="Y610" i="1"/>
  <c r="Q610" i="1"/>
  <c r="X610" i="1" s="1"/>
  <c r="D610" i="1"/>
  <c r="C610" i="1"/>
  <c r="B610" i="1"/>
  <c r="Y609" i="1"/>
  <c r="Q609" i="1"/>
  <c r="X609" i="1" s="1"/>
  <c r="B609" i="1"/>
  <c r="D608" i="1"/>
  <c r="C608" i="1"/>
  <c r="B608" i="1"/>
  <c r="Q607" i="1"/>
  <c r="X607" i="1" s="1"/>
  <c r="D607" i="1"/>
  <c r="C607" i="1"/>
  <c r="B607" i="1"/>
  <c r="Y606" i="1"/>
  <c r="Q606" i="1"/>
  <c r="X606" i="1" s="1"/>
  <c r="D606" i="1"/>
  <c r="C606" i="1"/>
  <c r="B606" i="1"/>
  <c r="Q605" i="1"/>
  <c r="X605" i="1" s="1"/>
  <c r="D605" i="1"/>
  <c r="C605" i="1"/>
  <c r="B605" i="1"/>
  <c r="Q604" i="1"/>
  <c r="X604" i="1" s="1"/>
  <c r="D604" i="1"/>
  <c r="C604" i="1"/>
  <c r="B604" i="1"/>
  <c r="Q603" i="1"/>
  <c r="X603" i="1" s="1"/>
  <c r="D603" i="1"/>
  <c r="C603" i="1"/>
  <c r="B603" i="1"/>
  <c r="D602" i="1"/>
  <c r="C602" i="1"/>
  <c r="B602" i="1"/>
  <c r="Y601" i="1"/>
  <c r="Q601" i="1"/>
  <c r="X601" i="1" s="1"/>
  <c r="D601" i="1"/>
  <c r="C601" i="1"/>
  <c r="B601" i="1"/>
  <c r="X600" i="1"/>
  <c r="D600" i="1"/>
  <c r="C600" i="1"/>
  <c r="B600" i="1"/>
  <c r="Q599" i="1"/>
  <c r="X599" i="1" s="1"/>
  <c r="B599" i="1"/>
  <c r="Q598" i="1"/>
  <c r="X598" i="1" s="1"/>
  <c r="D598" i="1"/>
  <c r="C598" i="1"/>
  <c r="B598" i="1"/>
  <c r="Q597" i="1"/>
  <c r="X597" i="1" s="1"/>
  <c r="D597" i="1"/>
  <c r="C597" i="1"/>
  <c r="B597" i="1"/>
  <c r="Y596" i="1"/>
  <c r="Q596" i="1"/>
  <c r="X596" i="1" s="1"/>
  <c r="D596" i="1"/>
  <c r="C596" i="1"/>
  <c r="B596" i="1"/>
  <c r="Q595" i="1"/>
  <c r="X595" i="1" s="1"/>
  <c r="C595" i="1"/>
  <c r="Q594" i="1"/>
  <c r="X594" i="1" s="1"/>
  <c r="D594" i="1"/>
  <c r="C594" i="1"/>
  <c r="B594" i="1"/>
  <c r="D593" i="1"/>
  <c r="C593" i="1"/>
  <c r="B593" i="1"/>
  <c r="Y592" i="1"/>
  <c r="Q592" i="1"/>
  <c r="X592" i="1" s="1"/>
  <c r="Q591" i="1"/>
  <c r="X591" i="1" s="1"/>
  <c r="D591" i="1"/>
  <c r="C591" i="1"/>
  <c r="B591" i="1"/>
  <c r="Q590" i="1"/>
  <c r="X590" i="1" s="1"/>
  <c r="D590" i="1"/>
  <c r="C590" i="1"/>
  <c r="B590" i="1"/>
  <c r="B589" i="1"/>
  <c r="Q588" i="1"/>
  <c r="X588" i="1" s="1"/>
  <c r="Y587" i="1"/>
  <c r="Q587" i="1"/>
  <c r="X587" i="1" s="1"/>
  <c r="D587" i="1"/>
  <c r="B587" i="1"/>
  <c r="Y586" i="1"/>
  <c r="Q586" i="1"/>
  <c r="X586" i="1" s="1"/>
  <c r="D586" i="1"/>
  <c r="C586" i="1"/>
  <c r="B586" i="1"/>
  <c r="C585" i="1"/>
  <c r="B585" i="1"/>
  <c r="C584" i="1"/>
  <c r="B584" i="1"/>
  <c r="Q583" i="1"/>
  <c r="X583" i="1" s="1"/>
  <c r="D583" i="1"/>
  <c r="C583" i="1"/>
  <c r="B583" i="1"/>
  <c r="Y582" i="1"/>
  <c r="Q582" i="1"/>
  <c r="X582" i="1" s="1"/>
  <c r="D582" i="1"/>
  <c r="C582" i="1"/>
  <c r="B582" i="1"/>
  <c r="X581" i="1"/>
  <c r="Q581" i="1"/>
  <c r="Q580" i="1"/>
  <c r="X580" i="1" s="1"/>
  <c r="D580" i="1"/>
  <c r="C580" i="1"/>
  <c r="B580" i="1"/>
  <c r="Y579" i="1"/>
  <c r="Q579" i="1"/>
  <c r="X579" i="1" s="1"/>
  <c r="D579" i="1"/>
  <c r="C579" i="1"/>
  <c r="B579" i="1"/>
  <c r="Y578" i="1"/>
  <c r="D578" i="1"/>
  <c r="C578" i="1"/>
  <c r="B578" i="1"/>
  <c r="C577" i="1"/>
  <c r="B577" i="1"/>
  <c r="Q576" i="1"/>
  <c r="X576" i="1" s="1"/>
  <c r="D576" i="1"/>
  <c r="C576" i="1"/>
  <c r="D575" i="1"/>
  <c r="C575" i="1"/>
  <c r="B575" i="1"/>
  <c r="Y574" i="1"/>
  <c r="D574" i="1"/>
  <c r="C574" i="1"/>
  <c r="Q573" i="1"/>
  <c r="X573" i="1" s="1"/>
  <c r="C573" i="1"/>
  <c r="B573" i="1"/>
  <c r="Q572" i="1"/>
  <c r="X572" i="1" s="1"/>
  <c r="D572" i="1"/>
  <c r="C572" i="1"/>
  <c r="B572" i="1"/>
  <c r="C571" i="1"/>
  <c r="B571" i="1"/>
  <c r="Q570" i="1"/>
  <c r="X570" i="1" s="1"/>
  <c r="D570" i="1"/>
  <c r="C570" i="1"/>
  <c r="Q569" i="1"/>
  <c r="X569" i="1" s="1"/>
  <c r="D569" i="1"/>
  <c r="C569" i="1"/>
  <c r="B569" i="1"/>
  <c r="Y568" i="1"/>
  <c r="Q568" i="1"/>
  <c r="X568" i="1" s="1"/>
  <c r="C568" i="1"/>
  <c r="Q567" i="1"/>
  <c r="X567" i="1" s="1"/>
  <c r="C567" i="1"/>
  <c r="B567" i="1"/>
  <c r="Y566" i="1"/>
  <c r="Y565" i="1"/>
  <c r="Q565" i="1"/>
  <c r="X565" i="1" s="1"/>
  <c r="D565" i="1"/>
  <c r="B565" i="1"/>
  <c r="Y564" i="1"/>
  <c r="Q564" i="1"/>
  <c r="X564" i="1" s="1"/>
  <c r="D564" i="1"/>
  <c r="C564" i="1"/>
  <c r="B564" i="1"/>
  <c r="Q563" i="1"/>
  <c r="X563" i="1" s="1"/>
  <c r="C563" i="1"/>
  <c r="B563" i="1"/>
  <c r="C562" i="1"/>
  <c r="B562" i="1"/>
  <c r="Q561" i="1"/>
  <c r="X561" i="1" s="1"/>
  <c r="D561" i="1"/>
  <c r="C561" i="1"/>
  <c r="B561" i="1"/>
  <c r="Y560" i="1"/>
  <c r="Q560" i="1"/>
  <c r="X560" i="1" s="1"/>
  <c r="C560" i="1"/>
  <c r="B560" i="1"/>
  <c r="Q559" i="1"/>
  <c r="X559" i="1" s="1"/>
  <c r="B559" i="1"/>
  <c r="Q558" i="1"/>
  <c r="X558" i="1" s="1"/>
  <c r="C558" i="1"/>
  <c r="B558" i="1"/>
  <c r="Q557" i="1"/>
  <c r="X557" i="1" s="1"/>
  <c r="B557" i="1"/>
  <c r="Y556" i="1"/>
  <c r="Q556" i="1"/>
  <c r="X556" i="1" s="1"/>
  <c r="D556" i="1"/>
  <c r="C556" i="1"/>
  <c r="B555" i="1"/>
  <c r="Y554" i="1"/>
  <c r="Q554" i="1"/>
  <c r="X554" i="1" s="1"/>
  <c r="C554" i="1"/>
  <c r="B554" i="1"/>
  <c r="Q553" i="1"/>
  <c r="X553" i="1" s="1"/>
  <c r="B553" i="1"/>
  <c r="Q552" i="1"/>
  <c r="X552" i="1" s="1"/>
  <c r="D552" i="1"/>
  <c r="C552" i="1"/>
  <c r="C551" i="1"/>
  <c r="B551" i="1"/>
  <c r="Q550" i="1"/>
  <c r="X550" i="1" s="1"/>
  <c r="C550" i="1"/>
  <c r="B550" i="1"/>
  <c r="Q549" i="1"/>
  <c r="X549" i="1" s="1"/>
  <c r="D549" i="1"/>
  <c r="C549" i="1"/>
  <c r="B549" i="1"/>
  <c r="Q548" i="1"/>
  <c r="X548" i="1" s="1"/>
  <c r="B547" i="1"/>
  <c r="Q546" i="1"/>
  <c r="X546" i="1" s="1"/>
  <c r="C546" i="1"/>
  <c r="B546" i="1"/>
  <c r="Q545" i="1"/>
  <c r="X545" i="1" s="1"/>
  <c r="B545" i="1"/>
  <c r="Y544" i="1"/>
  <c r="Q544" i="1"/>
  <c r="X544" i="1" s="1"/>
  <c r="F544" i="1"/>
  <c r="D544" i="1"/>
  <c r="C543" i="1"/>
  <c r="B543" i="1"/>
  <c r="Q542" i="1"/>
  <c r="X542" i="1" s="1"/>
  <c r="C542" i="1"/>
  <c r="B542" i="1"/>
  <c r="Q541" i="1"/>
  <c r="X541" i="1" s="1"/>
  <c r="B541" i="1"/>
  <c r="Y540" i="1"/>
  <c r="Q540" i="1"/>
  <c r="X540" i="1" s="1"/>
  <c r="C540" i="1"/>
  <c r="B540" i="1"/>
  <c r="B539" i="1"/>
  <c r="Y538" i="1"/>
  <c r="X538" i="1"/>
  <c r="D538" i="1"/>
  <c r="C538" i="1"/>
  <c r="B538" i="1"/>
  <c r="X537" i="1"/>
  <c r="B537" i="1"/>
  <c r="Y536" i="1"/>
  <c r="Q536" i="1"/>
  <c r="X536" i="1" s="1"/>
  <c r="C536" i="1"/>
  <c r="B535" i="1"/>
  <c r="Q534" i="1"/>
  <c r="X534" i="1" s="1"/>
  <c r="Q533" i="1"/>
  <c r="X533" i="1" s="1"/>
  <c r="D533" i="1"/>
  <c r="Q532" i="1"/>
  <c r="X532" i="1" s="1"/>
  <c r="D532" i="1"/>
  <c r="B532" i="1"/>
  <c r="Y531" i="1"/>
  <c r="B531" i="1"/>
  <c r="Q530" i="1"/>
  <c r="X530" i="1" s="1"/>
  <c r="C530" i="1"/>
  <c r="B529" i="1"/>
  <c r="Q528" i="1"/>
  <c r="X528" i="1" s="1"/>
  <c r="B528" i="1"/>
  <c r="B527" i="1"/>
  <c r="C526" i="1"/>
  <c r="B526" i="1"/>
  <c r="C525" i="1"/>
  <c r="B525" i="1"/>
  <c r="Y524" i="1"/>
  <c r="Q524" i="1"/>
  <c r="X524" i="1" s="1"/>
  <c r="C524" i="1"/>
  <c r="B524" i="1"/>
  <c r="Q522" i="1"/>
  <c r="X522" i="1" s="1"/>
  <c r="B522" i="1"/>
  <c r="Q520" i="1"/>
  <c r="X520" i="1" s="1"/>
  <c r="C520" i="1"/>
  <c r="D519" i="1"/>
  <c r="B519" i="1"/>
  <c r="Q518" i="1"/>
  <c r="X518" i="1" s="1"/>
  <c r="C518" i="1"/>
  <c r="B518" i="1"/>
  <c r="B517" i="1"/>
  <c r="Q516" i="1"/>
  <c r="X516" i="1" s="1"/>
  <c r="B515" i="1"/>
  <c r="Q514" i="1"/>
  <c r="X514" i="1" s="1"/>
  <c r="C514" i="1"/>
  <c r="B514" i="1"/>
  <c r="Y512" i="1"/>
  <c r="Q512" i="1"/>
  <c r="X512" i="1" s="1"/>
  <c r="C512" i="1"/>
  <c r="B512" i="1"/>
  <c r="D511" i="1"/>
  <c r="Y510" i="1"/>
  <c r="D510" i="1"/>
  <c r="Y508" i="1"/>
  <c r="Q508" i="1"/>
  <c r="X508" i="1" s="1"/>
  <c r="B508" i="1"/>
  <c r="Y507" i="1"/>
  <c r="C507" i="1"/>
  <c r="Q506" i="1"/>
  <c r="X506" i="1" s="1"/>
  <c r="Y504" i="1"/>
  <c r="D504" i="1"/>
  <c r="B504" i="1"/>
  <c r="Q503" i="1"/>
  <c r="X503" i="1" s="1"/>
  <c r="D503" i="1"/>
  <c r="Y502" i="1"/>
  <c r="Q502" i="1"/>
  <c r="X502" i="1" s="1"/>
  <c r="D502" i="1"/>
  <c r="C501" i="1"/>
  <c r="Y500" i="1"/>
  <c r="Q500" i="1"/>
  <c r="X500" i="1" s="1"/>
  <c r="D500" i="1"/>
  <c r="Y496" i="1"/>
  <c r="D495" i="1"/>
  <c r="C495" i="1"/>
  <c r="Q494" i="1"/>
  <c r="X494" i="1" s="1"/>
  <c r="D492" i="1"/>
  <c r="C492" i="1"/>
  <c r="Y490" i="1"/>
  <c r="Q490" i="1"/>
  <c r="X490" i="1" s="1"/>
  <c r="Y489" i="1"/>
  <c r="Q489" i="1"/>
  <c r="X489" i="1" s="1"/>
  <c r="Q488" i="1"/>
  <c r="X488" i="1" s="1"/>
  <c r="Y487" i="1"/>
  <c r="Q484" i="1"/>
  <c r="X484" i="1" s="1"/>
  <c r="C484" i="1"/>
  <c r="Y481" i="1"/>
  <c r="Q481" i="1"/>
  <c r="X481" i="1" s="1"/>
  <c r="C481" i="1"/>
  <c r="Y480" i="1"/>
  <c r="D480" i="1"/>
  <c r="B479" i="1"/>
  <c r="C478" i="1"/>
  <c r="Q476" i="1"/>
  <c r="X476" i="1" s="1"/>
  <c r="Y475" i="1"/>
  <c r="Y474" i="1"/>
  <c r="C474" i="1"/>
  <c r="D472" i="1"/>
  <c r="C472" i="1"/>
  <c r="B472" i="1"/>
  <c r="Y470" i="1"/>
  <c r="Q470" i="1"/>
  <c r="X470" i="1" s="1"/>
  <c r="D470" i="1"/>
  <c r="D469" i="1"/>
  <c r="C469" i="1"/>
  <c r="Q468" i="1"/>
  <c r="X468" i="1" s="1"/>
  <c r="D468" i="1"/>
  <c r="C468" i="1"/>
  <c r="B468" i="1"/>
  <c r="Y466" i="1"/>
  <c r="D464" i="1"/>
  <c r="D463" i="1"/>
  <c r="D462" i="1"/>
  <c r="C462" i="1"/>
  <c r="B462" i="1"/>
  <c r="Y461" i="1"/>
  <c r="Q461" i="1"/>
  <c r="X461" i="1" s="1"/>
  <c r="B460" i="1"/>
  <c r="D459" i="1"/>
  <c r="B459" i="1"/>
  <c r="D457" i="1"/>
  <c r="C457" i="1"/>
  <c r="Y455" i="1"/>
  <c r="D455" i="1"/>
  <c r="C455" i="1"/>
  <c r="Q454" i="1"/>
  <c r="X454" i="1" s="1"/>
  <c r="C454" i="1"/>
  <c r="Y453" i="1"/>
  <c r="Q450" i="1"/>
  <c r="X450" i="1" s="1"/>
  <c r="C450" i="1"/>
  <c r="D449" i="1"/>
  <c r="C449" i="1"/>
  <c r="B449" i="1"/>
  <c r="Q448" i="1"/>
  <c r="X448" i="1" s="1"/>
  <c r="C448" i="1"/>
  <c r="D446" i="1"/>
  <c r="B446" i="1"/>
  <c r="Y445" i="1"/>
  <c r="Y443" i="1"/>
  <c r="B443" i="1"/>
  <c r="Y442" i="1"/>
  <c r="Q441" i="1"/>
  <c r="X441" i="1" s="1"/>
  <c r="D441" i="1"/>
  <c r="C441" i="1"/>
  <c r="B441" i="1"/>
  <c r="B440" i="1"/>
  <c r="Q439" i="1"/>
  <c r="X439" i="1" s="1"/>
  <c r="Q437" i="1"/>
  <c r="X437" i="1" s="1"/>
  <c r="D437" i="1"/>
  <c r="B433" i="1"/>
  <c r="Y432" i="1"/>
  <c r="C432" i="1"/>
  <c r="B432" i="1"/>
  <c r="D430" i="1"/>
  <c r="B428" i="1"/>
  <c r="B426" i="1"/>
  <c r="D425" i="1"/>
  <c r="C425" i="1"/>
  <c r="B425" i="1"/>
  <c r="D421" i="1"/>
  <c r="X420" i="1"/>
  <c r="D420" i="1"/>
  <c r="C420" i="1"/>
  <c r="B416" i="1"/>
  <c r="Y414" i="1"/>
  <c r="Y413" i="1"/>
  <c r="Y412" i="1"/>
  <c r="B412" i="1"/>
  <c r="Q411" i="1"/>
  <c r="X411" i="1" s="1"/>
  <c r="C407" i="1"/>
  <c r="B407" i="1"/>
  <c r="B406" i="1"/>
  <c r="B404" i="1"/>
  <c r="Y403" i="1"/>
  <c r="Q400" i="1"/>
  <c r="X400" i="1" s="1"/>
  <c r="C400" i="1"/>
  <c r="Y398" i="1"/>
  <c r="D398" i="1"/>
  <c r="C398" i="1"/>
  <c r="Y396" i="1"/>
  <c r="Q394" i="1"/>
  <c r="X394" i="1" s="1"/>
  <c r="B393" i="1"/>
  <c r="D389" i="1"/>
  <c r="Q387" i="1"/>
  <c r="X387" i="1" s="1"/>
  <c r="B387" i="1"/>
  <c r="B385" i="1"/>
  <c r="C384" i="1"/>
  <c r="B384" i="1"/>
  <c r="Y383" i="1"/>
  <c r="D382" i="1"/>
  <c r="B380" i="1"/>
  <c r="B378" i="1"/>
  <c r="B377" i="1"/>
  <c r="C376" i="1"/>
  <c r="B376" i="1"/>
  <c r="Y374" i="1"/>
  <c r="Q374" i="1"/>
  <c r="X374" i="1" s="1"/>
  <c r="C374" i="1"/>
  <c r="Y372" i="1"/>
  <c r="Y371" i="1"/>
  <c r="B368" i="1"/>
  <c r="B367" i="1"/>
  <c r="C366" i="1"/>
  <c r="D364" i="1"/>
  <c r="C364" i="1"/>
  <c r="Q362" i="1"/>
  <c r="X362" i="1" s="1"/>
  <c r="C361" i="1"/>
  <c r="Y359" i="1"/>
  <c r="X359" i="1"/>
  <c r="D357" i="1"/>
  <c r="C357" i="1"/>
  <c r="Y356" i="1"/>
  <c r="Q356" i="1"/>
  <c r="X356" i="1" s="1"/>
  <c r="Y355" i="1"/>
  <c r="B355" i="1"/>
  <c r="B352" i="1"/>
  <c r="X350" i="1"/>
  <c r="Q350" i="1"/>
  <c r="Q347" i="1"/>
  <c r="X347" i="1" s="1"/>
  <c r="D345" i="1"/>
  <c r="B345" i="1"/>
  <c r="Q343" i="1"/>
  <c r="X343" i="1" s="1"/>
  <c r="C343" i="1"/>
  <c r="Y341" i="1"/>
  <c r="D340" i="1"/>
  <c r="Y339" i="1"/>
  <c r="D339" i="1"/>
  <c r="C335" i="1"/>
  <c r="X334" i="1"/>
  <c r="D334" i="1"/>
  <c r="C334" i="1"/>
  <c r="Q330" i="1"/>
  <c r="X330" i="1" s="1"/>
  <c r="D328" i="1"/>
  <c r="D327" i="1"/>
  <c r="Y326" i="1"/>
  <c r="C325" i="1"/>
  <c r="C324" i="1"/>
  <c r="B324" i="1"/>
  <c r="B323" i="1"/>
  <c r="B322" i="1"/>
  <c r="C319" i="1"/>
  <c r="B318" i="1"/>
  <c r="D317" i="1"/>
  <c r="C317" i="1"/>
  <c r="B317" i="1"/>
  <c r="C316" i="1"/>
  <c r="B316" i="1"/>
  <c r="Y315" i="1"/>
  <c r="Q315" i="1"/>
  <c r="X315" i="1" s="1"/>
  <c r="C309" i="1"/>
  <c r="C305" i="1"/>
  <c r="D304" i="1"/>
  <c r="C304" i="1"/>
  <c r="Q303" i="1"/>
  <c r="X303" i="1" s="1"/>
  <c r="Q301" i="1"/>
  <c r="X301" i="1" s="1"/>
  <c r="B301" i="1"/>
  <c r="Q298" i="1"/>
  <c r="X298" i="1" s="1"/>
  <c r="Y297" i="1"/>
  <c r="C297" i="1"/>
  <c r="Q295" i="1"/>
  <c r="X295" i="1" s="1"/>
  <c r="D295" i="1"/>
  <c r="B295" i="1"/>
  <c r="Y293" i="1"/>
  <c r="B290" i="1"/>
  <c r="B286" i="1"/>
  <c r="Q285" i="1"/>
  <c r="X285" i="1" s="1"/>
  <c r="D285" i="1"/>
  <c r="C285" i="1"/>
  <c r="C284" i="1"/>
  <c r="D282" i="1"/>
  <c r="D281" i="1"/>
  <c r="C280" i="1"/>
  <c r="Q279" i="1"/>
  <c r="X279" i="1" s="1"/>
  <c r="B277" i="1"/>
  <c r="D275" i="1"/>
  <c r="C275" i="1"/>
  <c r="Q274" i="1"/>
  <c r="X274" i="1" s="1"/>
  <c r="Y270" i="1"/>
  <c r="Q270" i="1"/>
  <c r="X270" i="1" s="1"/>
  <c r="Q269" i="1"/>
  <c r="X269" i="1" s="1"/>
  <c r="X268" i="1"/>
  <c r="Q266" i="1"/>
  <c r="X266" i="1" s="1"/>
  <c r="D266" i="1"/>
  <c r="D265" i="1"/>
  <c r="C264" i="1"/>
  <c r="C263" i="1"/>
  <c r="Y262" i="1"/>
  <c r="Y261" i="1"/>
  <c r="Q261" i="1"/>
  <c r="X261" i="1" s="1"/>
  <c r="C261" i="1"/>
  <c r="Y259" i="1"/>
  <c r="C254" i="1"/>
  <c r="B254" i="1"/>
  <c r="D252" i="1"/>
  <c r="C252" i="1"/>
  <c r="Y251" i="1"/>
  <c r="D250" i="1"/>
  <c r="B250" i="1"/>
  <c r="Q247" i="1"/>
  <c r="X247" i="1" s="1"/>
  <c r="B247" i="1"/>
  <c r="B245" i="1"/>
  <c r="D243" i="1"/>
  <c r="C243" i="1"/>
  <c r="Q242" i="1"/>
  <c r="X242" i="1" s="1"/>
  <c r="Y241" i="1"/>
  <c r="Q236" i="1"/>
  <c r="X236" i="1" s="1"/>
  <c r="D236" i="1"/>
  <c r="C235" i="1"/>
  <c r="B234" i="1"/>
  <c r="C232" i="1"/>
  <c r="Q225" i="1"/>
  <c r="X225" i="1" s="1"/>
  <c r="Y224" i="1"/>
  <c r="D224" i="1"/>
  <c r="Y222" i="1"/>
  <c r="D222" i="1"/>
  <c r="Y221" i="1"/>
  <c r="C217" i="1"/>
  <c r="B217" i="1"/>
  <c r="C213" i="1"/>
  <c r="D211" i="1"/>
  <c r="B206" i="1"/>
  <c r="Y204" i="1"/>
  <c r="C204" i="1"/>
  <c r="C203" i="1"/>
  <c r="Y202" i="1"/>
  <c r="B202" i="1"/>
  <c r="C201" i="1"/>
  <c r="B199" i="1"/>
  <c r="Q197" i="1"/>
  <c r="X197" i="1" s="1"/>
  <c r="B197" i="1"/>
  <c r="D195" i="1"/>
  <c r="C195" i="1"/>
  <c r="Y193" i="1"/>
  <c r="Q192" i="1"/>
  <c r="X192" i="1" s="1"/>
  <c r="C192" i="1"/>
  <c r="B192" i="1"/>
  <c r="B191" i="1"/>
  <c r="Y190" i="1"/>
  <c r="Q188" i="1"/>
  <c r="X188" i="1" s="1"/>
  <c r="C188" i="1"/>
  <c r="C187" i="1"/>
  <c r="Y186" i="1"/>
  <c r="Q183" i="1"/>
  <c r="X183" i="1" s="1"/>
  <c r="B183" i="1"/>
  <c r="Y179" i="1"/>
  <c r="D179" i="1"/>
  <c r="Y176" i="1"/>
  <c r="Q176" i="1"/>
  <c r="X176" i="1" s="1"/>
  <c r="D176" i="1"/>
  <c r="C176" i="1"/>
  <c r="Q174" i="1"/>
  <c r="X174" i="1" s="1"/>
  <c r="B174" i="1"/>
  <c r="C172" i="1"/>
  <c r="C169" i="1"/>
  <c r="C168" i="1"/>
  <c r="X167" i="1"/>
  <c r="Y166" i="1"/>
  <c r="D165" i="1"/>
  <c r="C165" i="1"/>
  <c r="B165" i="1"/>
  <c r="D163" i="1"/>
  <c r="C163" i="1"/>
  <c r="Q157" i="1"/>
  <c r="X157" i="1" s="1"/>
  <c r="D156" i="1"/>
  <c r="C156" i="1"/>
  <c r="D155" i="1"/>
  <c r="C155" i="1"/>
  <c r="B154" i="1"/>
  <c r="C151" i="1"/>
  <c r="C144" i="1"/>
  <c r="C140" i="1"/>
  <c r="D139" i="1"/>
  <c r="C139" i="1"/>
  <c r="B139" i="1"/>
  <c r="Y137" i="1"/>
  <c r="D136" i="1"/>
  <c r="B136" i="1"/>
  <c r="C131" i="1"/>
  <c r="Q128" i="1"/>
  <c r="X128" i="1" s="1"/>
  <c r="Y124" i="1"/>
  <c r="D124" i="1"/>
  <c r="Q123" i="1"/>
  <c r="X123" i="1" s="1"/>
  <c r="Y122" i="1"/>
  <c r="B119" i="1"/>
  <c r="Q118" i="1"/>
  <c r="X118" i="1" s="1"/>
  <c r="Q117" i="1"/>
  <c r="X117" i="1" s="1"/>
  <c r="C117" i="1"/>
  <c r="D114" i="1"/>
  <c r="Y113" i="1"/>
  <c r="B112" i="1"/>
  <c r="Q110" i="1"/>
  <c r="X110" i="1" s="1"/>
  <c r="Y106" i="1"/>
  <c r="Q105" i="1"/>
  <c r="X105" i="1" s="1"/>
  <c r="C105" i="1"/>
  <c r="Y103" i="1"/>
  <c r="Q103" i="1"/>
  <c r="X103" i="1" s="1"/>
  <c r="D103" i="1"/>
  <c r="C103" i="1"/>
  <c r="Y102" i="1"/>
  <c r="Y99" i="1"/>
  <c r="C96" i="1"/>
  <c r="C94" i="1"/>
  <c r="C92" i="1"/>
  <c r="B91" i="1"/>
  <c r="Y90" i="1"/>
  <c r="B90" i="1"/>
  <c r="Q89" i="1"/>
  <c r="X89" i="1" s="1"/>
  <c r="Q88" i="1"/>
  <c r="X88" i="1" s="1"/>
  <c r="Q83" i="1"/>
  <c r="X83" i="1" s="1"/>
  <c r="Y81" i="1"/>
  <c r="Q76" i="1"/>
  <c r="X76" i="1" s="1"/>
  <c r="D76" i="1"/>
  <c r="D74" i="1"/>
  <c r="B71" i="1"/>
  <c r="Y70" i="1"/>
  <c r="Q70" i="1"/>
  <c r="X70" i="1" s="1"/>
  <c r="D70" i="1"/>
  <c r="C70" i="1"/>
  <c r="C69" i="1"/>
  <c r="C67" i="1"/>
  <c r="D65" i="1"/>
  <c r="Q64" i="1"/>
  <c r="X64" i="1" s="1"/>
  <c r="D62" i="1"/>
  <c r="C62" i="1"/>
  <c r="C60" i="1"/>
  <c r="C59" i="1"/>
  <c r="Y58" i="1"/>
  <c r="Y57" i="1"/>
  <c r="Q55" i="1"/>
  <c r="X55" i="1" s="1"/>
  <c r="Q54" i="1"/>
  <c r="X54" i="1" s="1"/>
  <c r="Q53" i="1"/>
  <c r="X53" i="1" s="1"/>
  <c r="C53" i="1"/>
  <c r="C51" i="1"/>
  <c r="Y49" i="1"/>
  <c r="Q46" i="1"/>
  <c r="X46" i="1" s="1"/>
  <c r="D46" i="1"/>
  <c r="B46" i="1"/>
  <c r="Q44" i="1"/>
  <c r="X44" i="1" s="1"/>
  <c r="D44" i="1"/>
  <c r="Q38" i="1"/>
  <c r="X38" i="1" s="1"/>
  <c r="B38" i="1"/>
  <c r="Q37" i="1"/>
  <c r="X37" i="1" s="1"/>
  <c r="D35" i="1"/>
  <c r="C32" i="1"/>
  <c r="B32" i="1"/>
  <c r="C27" i="1"/>
  <c r="D25" i="1"/>
  <c r="C23" i="1"/>
  <c r="Q22" i="1"/>
  <c r="X22" i="1" s="1"/>
  <c r="Y21" i="1"/>
  <c r="Q20" i="1"/>
  <c r="X20" i="1" s="1"/>
  <c r="C20" i="1"/>
  <c r="Q12" i="1"/>
  <c r="X12" i="1" s="1"/>
  <c r="V113" i="2" l="1"/>
  <c r="X113" i="2" s="1"/>
  <c r="V314" i="2"/>
  <c r="X314" i="2" s="1"/>
  <c r="V264" i="2"/>
  <c r="X264" i="2" s="1"/>
  <c r="Z264" i="2" s="1"/>
  <c r="V45" i="2"/>
  <c r="X45" i="2" s="1"/>
  <c r="V70" i="2"/>
  <c r="X70" i="2" s="1"/>
  <c r="Z70" i="2" s="1"/>
  <c r="V86" i="2"/>
  <c r="X86" i="2" s="1"/>
  <c r="V84" i="2"/>
  <c r="X84" i="2" s="1"/>
  <c r="V148" i="2"/>
  <c r="X148" i="2" s="1"/>
  <c r="Z148" i="2" s="1"/>
  <c r="V317" i="2"/>
  <c r="X317" i="2" s="1"/>
  <c r="Z317" i="2" s="1"/>
  <c r="X512" i="2"/>
  <c r="F510" i="1" s="1"/>
  <c r="V213" i="2"/>
  <c r="X213" i="2" s="1"/>
  <c r="Z213" i="2" s="1"/>
  <c r="X513" i="2"/>
  <c r="F511" i="1" s="1"/>
  <c r="V25" i="2"/>
  <c r="X25" i="2" s="1"/>
  <c r="Z25" i="2" s="1"/>
  <c r="V306" i="2"/>
  <c r="X306" i="2" s="1"/>
  <c r="X515" i="2"/>
  <c r="F513" i="1" s="1"/>
  <c r="X523" i="2"/>
  <c r="F521" i="1" s="1"/>
  <c r="X531" i="2"/>
  <c r="F529" i="1" s="1"/>
  <c r="X539" i="2"/>
  <c r="F537" i="1" s="1"/>
  <c r="X545" i="2"/>
  <c r="F543" i="1" s="1"/>
  <c r="X547" i="2"/>
  <c r="F545" i="1" s="1"/>
  <c r="V363" i="2"/>
  <c r="X363" i="2" s="1"/>
  <c r="V224" i="2"/>
  <c r="X224" i="2" s="1"/>
  <c r="Z224" i="2" s="1"/>
  <c r="X563" i="2"/>
  <c r="F561" i="1" s="1"/>
  <c r="X579" i="2"/>
  <c r="F577" i="1" s="1"/>
  <c r="X570" i="2"/>
  <c r="F568" i="1" s="1"/>
  <c r="X609" i="2"/>
  <c r="F607" i="1" s="1"/>
  <c r="X611" i="2"/>
  <c r="F609" i="1" s="1"/>
  <c r="X619" i="2"/>
  <c r="F617" i="1" s="1"/>
  <c r="X627" i="2"/>
  <c r="F625" i="1" s="1"/>
  <c r="X641" i="2"/>
  <c r="F639" i="1" s="1"/>
  <c r="X657" i="2"/>
  <c r="F655" i="1" s="1"/>
  <c r="X659" i="2"/>
  <c r="F657" i="1" s="1"/>
  <c r="X594" i="2"/>
  <c r="F592" i="1" s="1"/>
  <c r="X610" i="2"/>
  <c r="F608" i="1" s="1"/>
  <c r="X528" i="2"/>
  <c r="F526" i="1" s="1"/>
  <c r="X544" i="2"/>
  <c r="F542" i="1" s="1"/>
  <c r="X560" i="2"/>
  <c r="F558" i="1" s="1"/>
  <c r="X524" i="2"/>
  <c r="F522" i="1" s="1"/>
  <c r="X526" i="2"/>
  <c r="F524" i="1" s="1"/>
  <c r="X534" i="2"/>
  <c r="F532" i="1" s="1"/>
  <c r="X536" i="2"/>
  <c r="F534" i="1" s="1"/>
  <c r="X538" i="2"/>
  <c r="F536" i="1" s="1"/>
  <c r="X542" i="2"/>
  <c r="F540" i="1" s="1"/>
  <c r="X552" i="2"/>
  <c r="F550" i="1" s="1"/>
  <c r="X554" i="2"/>
  <c r="F552" i="1" s="1"/>
  <c r="X556" i="2"/>
  <c r="F554" i="1" s="1"/>
  <c r="X558" i="2"/>
  <c r="F556" i="1" s="1"/>
  <c r="X574" i="2"/>
  <c r="F572" i="1" s="1"/>
  <c r="X584" i="2"/>
  <c r="F582" i="1" s="1"/>
  <c r="X590" i="2"/>
  <c r="F588" i="1" s="1"/>
  <c r="X606" i="2"/>
  <c r="F604" i="1" s="1"/>
  <c r="X616" i="2"/>
  <c r="F614" i="1" s="1"/>
  <c r="Y91" i="2"/>
  <c r="N89" i="1" s="1"/>
  <c r="V468" i="2"/>
  <c r="X468" i="2" s="1"/>
  <c r="V166" i="2"/>
  <c r="X166" i="2" s="1"/>
  <c r="V39" i="2"/>
  <c r="X39" i="2" s="1"/>
  <c r="Z39" i="2" s="1"/>
  <c r="V114" i="2"/>
  <c r="V177" i="2"/>
  <c r="X177" i="2" s="1"/>
  <c r="Z177" i="2" s="1"/>
  <c r="V239" i="2"/>
  <c r="X239" i="2" s="1"/>
  <c r="V30" i="2"/>
  <c r="V294" i="2"/>
  <c r="X294" i="2" s="1"/>
  <c r="Z294" i="2" s="1"/>
  <c r="V396" i="2"/>
  <c r="X396" i="2" s="1"/>
  <c r="F394" i="1" s="1"/>
  <c r="V242" i="2"/>
  <c r="X242" i="2" s="1"/>
  <c r="Z242" i="2" s="1"/>
  <c r="V435" i="2"/>
  <c r="X435" i="2" s="1"/>
  <c r="Z435" i="2" s="1"/>
  <c r="V433" i="2"/>
  <c r="X433" i="2" s="1"/>
  <c r="V361" i="2"/>
  <c r="X361" i="2" s="1"/>
  <c r="Z361" i="2" s="1"/>
  <c r="V370" i="2"/>
  <c r="X370" i="2" s="1"/>
  <c r="F368" i="1" s="1"/>
  <c r="V305" i="2"/>
  <c r="X305" i="2" s="1"/>
  <c r="F303" i="1" s="1"/>
  <c r="V49" i="2"/>
  <c r="X49" i="2" s="1"/>
  <c r="Z49" i="2" s="1"/>
  <c r="V126" i="2"/>
  <c r="X126" i="2" s="1"/>
  <c r="Z126" i="2" s="1"/>
  <c r="V253" i="2"/>
  <c r="X253" i="2" s="1"/>
  <c r="X654" i="2"/>
  <c r="F652" i="1" s="1"/>
  <c r="V360" i="2"/>
  <c r="X360" i="2" s="1"/>
  <c r="Z360" i="2" s="1"/>
  <c r="V436" i="2"/>
  <c r="X436" i="2" s="1"/>
  <c r="Z436" i="2" s="1"/>
  <c r="X621" i="2"/>
  <c r="F619" i="1" s="1"/>
  <c r="X572" i="2"/>
  <c r="F570" i="1" s="1"/>
  <c r="X588" i="2"/>
  <c r="F586" i="1" s="1"/>
  <c r="X622" i="2"/>
  <c r="F620" i="1" s="1"/>
  <c r="X571" i="2"/>
  <c r="F569" i="1" s="1"/>
  <c r="X573" i="2"/>
  <c r="F571" i="1" s="1"/>
  <c r="X575" i="2"/>
  <c r="F573" i="1" s="1"/>
  <c r="X577" i="2"/>
  <c r="F575" i="1" s="1"/>
  <c r="X589" i="2"/>
  <c r="F587" i="1" s="1"/>
  <c r="V128" i="2"/>
  <c r="X128" i="2" s="1"/>
  <c r="Z128" i="2" s="1"/>
  <c r="X593" i="2"/>
  <c r="F591" i="1" s="1"/>
  <c r="X638" i="2"/>
  <c r="F636" i="1" s="1"/>
  <c r="V321" i="2"/>
  <c r="X321" i="2" s="1"/>
  <c r="V447" i="2"/>
  <c r="X447" i="2" s="1"/>
  <c r="V58" i="2"/>
  <c r="V83" i="2"/>
  <c r="X83" i="2" s="1"/>
  <c r="V438" i="2"/>
  <c r="X438" i="2" s="1"/>
  <c r="Z438" i="2" s="1"/>
  <c r="X642" i="2"/>
  <c r="F640" i="1" s="1"/>
  <c r="V207" i="2"/>
  <c r="X207" i="2" s="1"/>
  <c r="Z207" i="2" s="1"/>
  <c r="V209" i="2"/>
  <c r="X209" i="2" s="1"/>
  <c r="V331" i="2"/>
  <c r="X331" i="2" s="1"/>
  <c r="Z331" i="2" s="1"/>
  <c r="V316" i="2"/>
  <c r="X316" i="2" s="1"/>
  <c r="Z316" i="2" s="1"/>
  <c r="V37" i="2"/>
  <c r="X37" i="2" s="1"/>
  <c r="Z37" i="2" s="1"/>
  <c r="V138" i="2"/>
  <c r="X138" i="2" s="1"/>
  <c r="Z138" i="2" s="1"/>
  <c r="V245" i="2"/>
  <c r="X245" i="2" s="1"/>
  <c r="F243" i="1" s="1"/>
  <c r="V254" i="2"/>
  <c r="X254" i="2" s="1"/>
  <c r="Z254" i="2" s="1"/>
  <c r="V31" i="2"/>
  <c r="X31" i="2" s="1"/>
  <c r="F29" i="1" s="1"/>
  <c r="V33" i="2"/>
  <c r="X33" i="2" s="1"/>
  <c r="Z33" i="2" s="1"/>
  <c r="V35" i="2"/>
  <c r="X35" i="2" s="1"/>
  <c r="V214" i="2"/>
  <c r="X214" i="2" s="1"/>
  <c r="Z214" i="2" s="1"/>
  <c r="V136" i="2"/>
  <c r="X136" i="2" s="1"/>
  <c r="F134" i="1" s="1"/>
  <c r="V212" i="2"/>
  <c r="X212" i="2" s="1"/>
  <c r="F210" i="1" s="1"/>
  <c r="V292" i="2"/>
  <c r="X292" i="2" s="1"/>
  <c r="Z292" i="2" s="1"/>
  <c r="V378" i="2"/>
  <c r="X378" i="2" s="1"/>
  <c r="Z378" i="2" s="1"/>
  <c r="V400" i="2"/>
  <c r="X400" i="2" s="1"/>
  <c r="F398" i="1" s="1"/>
  <c r="V411" i="2"/>
  <c r="X411" i="2" s="1"/>
  <c r="Z411" i="2" s="1"/>
  <c r="V9" i="2"/>
  <c r="X9" i="2" s="1"/>
  <c r="Z9" i="2" s="1"/>
  <c r="V29" i="2"/>
  <c r="X29" i="2" s="1"/>
  <c r="Z29" i="2" s="1"/>
  <c r="V69" i="2"/>
  <c r="X69" i="2" s="1"/>
  <c r="Z69" i="2" s="1"/>
  <c r="V105" i="2"/>
  <c r="X105" i="2" s="1"/>
  <c r="F103" i="1" s="1"/>
  <c r="V125" i="2"/>
  <c r="X125" i="2" s="1"/>
  <c r="F123" i="1" s="1"/>
  <c r="V290" i="2"/>
  <c r="X290" i="2" s="1"/>
  <c r="V312" i="2"/>
  <c r="X312" i="2" s="1"/>
  <c r="Z312" i="2" s="1"/>
  <c r="V347" i="2"/>
  <c r="X347" i="2" s="1"/>
  <c r="Z347" i="2" s="1"/>
  <c r="V365" i="2"/>
  <c r="X365" i="2" s="1"/>
  <c r="V288" i="2"/>
  <c r="X288" i="2" s="1"/>
  <c r="F286" i="1" s="1"/>
  <c r="V301" i="2"/>
  <c r="X301" i="2" s="1"/>
  <c r="Z301" i="2" s="1"/>
  <c r="V345" i="2"/>
  <c r="X345" i="2" s="1"/>
  <c r="Z345" i="2" s="1"/>
  <c r="V222" i="2"/>
  <c r="X222" i="2" s="1"/>
  <c r="V348" i="2"/>
  <c r="X348" i="2" s="1"/>
  <c r="V390" i="2"/>
  <c r="X390" i="2" s="1"/>
  <c r="F388" i="1" s="1"/>
  <c r="V445" i="2"/>
  <c r="X445" i="2" s="1"/>
  <c r="F443" i="1" s="1"/>
  <c r="V260" i="2"/>
  <c r="X260" i="2" s="1"/>
  <c r="F258" i="1" s="1"/>
  <c r="V346" i="2"/>
  <c r="X346" i="2" s="1"/>
  <c r="F344" i="1" s="1"/>
  <c r="V368" i="2"/>
  <c r="X368" i="2" s="1"/>
  <c r="Z368" i="2" s="1"/>
  <c r="V68" i="2"/>
  <c r="X68" i="2" s="1"/>
  <c r="Z68" i="2" s="1"/>
  <c r="V184" i="2"/>
  <c r="X184" i="2" s="1"/>
  <c r="Z184" i="2" s="1"/>
  <c r="V320" i="2"/>
  <c r="X320" i="2" s="1"/>
  <c r="Z320" i="2" s="1"/>
  <c r="V322" i="2"/>
  <c r="X322" i="2" s="1"/>
  <c r="Z322" i="2" s="1"/>
  <c r="V344" i="2"/>
  <c r="X344" i="2" s="1"/>
  <c r="V461" i="2"/>
  <c r="X461" i="2" s="1"/>
  <c r="V122" i="2"/>
  <c r="X122" i="2" s="1"/>
  <c r="Z122" i="2" s="1"/>
  <c r="V173" i="2"/>
  <c r="X173" i="2" s="1"/>
  <c r="F171" i="1" s="1"/>
  <c r="V200" i="2"/>
  <c r="X200" i="2" s="1"/>
  <c r="Z200" i="2" s="1"/>
  <c r="V278" i="2"/>
  <c r="X278" i="2" s="1"/>
  <c r="Z278" i="2" s="1"/>
  <c r="V318" i="2"/>
  <c r="X318" i="2" s="1"/>
  <c r="Z318" i="2" s="1"/>
  <c r="V100" i="2"/>
  <c r="X100" i="2" s="1"/>
  <c r="Z100" i="2" s="1"/>
  <c r="V329" i="2"/>
  <c r="X329" i="2" s="1"/>
  <c r="Z329" i="2" s="1"/>
  <c r="V457" i="2"/>
  <c r="X457" i="2" s="1"/>
  <c r="V56" i="2"/>
  <c r="X56" i="2" s="1"/>
  <c r="Z56" i="2" s="1"/>
  <c r="V165" i="2"/>
  <c r="X165" i="2" s="1"/>
  <c r="Z165" i="2" s="1"/>
  <c r="V174" i="2"/>
  <c r="X174" i="2" s="1"/>
  <c r="Z174" i="2" s="1"/>
  <c r="V232" i="2"/>
  <c r="X232" i="2" s="1"/>
  <c r="F230" i="1" s="1"/>
  <c r="V241" i="2"/>
  <c r="X241" i="2" s="1"/>
  <c r="Z241" i="2" s="1"/>
  <c r="V243" i="2"/>
  <c r="X243" i="2" s="1"/>
  <c r="Z243" i="2" s="1"/>
  <c r="V272" i="2"/>
  <c r="X272" i="2" s="1"/>
  <c r="Z272" i="2" s="1"/>
  <c r="V274" i="2"/>
  <c r="X274" i="2" s="1"/>
  <c r="V296" i="2"/>
  <c r="X296" i="2" s="1"/>
  <c r="F294" i="1" s="1"/>
  <c r="V338" i="2"/>
  <c r="X338" i="2" s="1"/>
  <c r="Z338" i="2" s="1"/>
  <c r="V340" i="2"/>
  <c r="X340" i="2" s="1"/>
  <c r="Z340" i="2" s="1"/>
  <c r="V342" i="2"/>
  <c r="X342" i="2" s="1"/>
  <c r="Z342" i="2" s="1"/>
  <c r="V397" i="2"/>
  <c r="X397" i="2" s="1"/>
  <c r="Z397" i="2" s="1"/>
  <c r="V430" i="2"/>
  <c r="X430" i="2" s="1"/>
  <c r="F428" i="1" s="1"/>
  <c r="V443" i="2"/>
  <c r="X443" i="2" s="1"/>
  <c r="Z443" i="2" s="1"/>
  <c r="V72" i="2"/>
  <c r="X72" i="2" s="1"/>
  <c r="Z72" i="2" s="1"/>
  <c r="V92" i="2"/>
  <c r="X92" i="2" s="1"/>
  <c r="Z92" i="2" s="1"/>
  <c r="V101" i="2"/>
  <c r="X101" i="2" s="1"/>
  <c r="F99" i="1" s="1"/>
  <c r="V161" i="2"/>
  <c r="X161" i="2" s="1"/>
  <c r="V163" i="2"/>
  <c r="X163" i="2" s="1"/>
  <c r="Z163" i="2" s="1"/>
  <c r="V199" i="2"/>
  <c r="X199" i="2" s="1"/>
  <c r="Z199" i="2" s="1"/>
  <c r="V373" i="2"/>
  <c r="X373" i="2" s="1"/>
  <c r="Z373" i="2" s="1"/>
  <c r="V395" i="2"/>
  <c r="X395" i="2" s="1"/>
  <c r="Z395" i="2" s="1"/>
  <c r="V463" i="2"/>
  <c r="X463" i="2" s="1"/>
  <c r="Z463" i="2" s="1"/>
  <c r="X634" i="2"/>
  <c r="F632" i="1" s="1"/>
  <c r="X636" i="2"/>
  <c r="F634" i="1" s="1"/>
  <c r="V27" i="2"/>
  <c r="X27" i="2" s="1"/>
  <c r="V196" i="2"/>
  <c r="X196" i="2" s="1"/>
  <c r="Z196" i="2" s="1"/>
  <c r="V258" i="2"/>
  <c r="X258" i="2" s="1"/>
  <c r="Z258" i="2" s="1"/>
  <c r="V280" i="2"/>
  <c r="X280" i="2" s="1"/>
  <c r="Z280" i="2" s="1"/>
  <c r="V381" i="2"/>
  <c r="X381" i="2" s="1"/>
  <c r="Z381" i="2" s="1"/>
  <c r="V466" i="2"/>
  <c r="X466" i="2" s="1"/>
  <c r="Z466" i="2" s="1"/>
  <c r="X652" i="2"/>
  <c r="F650" i="1" s="1"/>
  <c r="P648" i="2"/>
  <c r="Y648" i="2" s="1"/>
  <c r="N646" i="1" s="1"/>
  <c r="X653" i="2"/>
  <c r="F651" i="1" s="1"/>
  <c r="X655" i="2"/>
  <c r="F653" i="1" s="1"/>
  <c r="V432" i="2"/>
  <c r="X432" i="2" s="1"/>
  <c r="Z432" i="2" s="1"/>
  <c r="V20" i="2"/>
  <c r="X20" i="2" s="1"/>
  <c r="Z20" i="2" s="1"/>
  <c r="V22" i="2"/>
  <c r="X22" i="2" s="1"/>
  <c r="Z22" i="2" s="1"/>
  <c r="V63" i="2"/>
  <c r="X63" i="2" s="1"/>
  <c r="Z63" i="2" s="1"/>
  <c r="V108" i="2"/>
  <c r="X108" i="2" s="1"/>
  <c r="Z108" i="2" s="1"/>
  <c r="V134" i="2"/>
  <c r="X134" i="2" s="1"/>
  <c r="F132" i="1" s="1"/>
  <c r="V217" i="2"/>
  <c r="V364" i="2"/>
  <c r="X364" i="2" s="1"/>
  <c r="F362" i="1" s="1"/>
  <c r="V377" i="2"/>
  <c r="X377" i="2" s="1"/>
  <c r="Z377" i="2" s="1"/>
  <c r="V394" i="2"/>
  <c r="X394" i="2" s="1"/>
  <c r="Z394" i="2" s="1"/>
  <c r="V407" i="2"/>
  <c r="X407" i="2" s="1"/>
  <c r="V420" i="2"/>
  <c r="X420" i="2" s="1"/>
  <c r="F418" i="1" s="1"/>
  <c r="V422" i="2"/>
  <c r="X422" i="2" s="1"/>
  <c r="Z422" i="2" s="1"/>
  <c r="V441" i="2"/>
  <c r="X441" i="2" s="1"/>
  <c r="Z441" i="2" s="1"/>
  <c r="V78" i="2"/>
  <c r="X78" i="2" s="1"/>
  <c r="Z78" i="2" s="1"/>
  <c r="V82" i="2"/>
  <c r="X82" i="2" s="1"/>
  <c r="Z82" i="2" s="1"/>
  <c r="V88" i="2"/>
  <c r="X88" i="2" s="1"/>
  <c r="Z88" i="2" s="1"/>
  <c r="V132" i="2"/>
  <c r="X132" i="2" s="1"/>
  <c r="Z132" i="2" s="1"/>
  <c r="V235" i="2"/>
  <c r="X235" i="2" s="1"/>
  <c r="Z235" i="2" s="1"/>
  <c r="V248" i="2"/>
  <c r="X248" i="2" s="1"/>
  <c r="Z248" i="2" s="1"/>
  <c r="V250" i="2"/>
  <c r="X250" i="2" s="1"/>
  <c r="V265" i="2"/>
  <c r="X265" i="2" s="1"/>
  <c r="Z265" i="2" s="1"/>
  <c r="V267" i="2"/>
  <c r="X267" i="2" s="1"/>
  <c r="Z267" i="2" s="1"/>
  <c r="V310" i="2"/>
  <c r="X310" i="2" s="1"/>
  <c r="F308" i="1" s="1"/>
  <c r="V349" i="2"/>
  <c r="X349" i="2" s="1"/>
  <c r="Z349" i="2" s="1"/>
  <c r="V362" i="2"/>
  <c r="X362" i="2" s="1"/>
  <c r="Z362" i="2" s="1"/>
  <c r="P523" i="2"/>
  <c r="Y523" i="2" s="1"/>
  <c r="N521" i="1" s="1"/>
  <c r="P623" i="2"/>
  <c r="Y623" i="2" s="1"/>
  <c r="N621" i="1" s="1"/>
  <c r="V76" i="2"/>
  <c r="X76" i="2" s="1"/>
  <c r="Z76" i="2" s="1"/>
  <c r="V80" i="2"/>
  <c r="X80" i="2" s="1"/>
  <c r="Z80" i="2" s="1"/>
  <c r="V117" i="2"/>
  <c r="X117" i="2" s="1"/>
  <c r="Z117" i="2" s="1"/>
  <c r="V130" i="2"/>
  <c r="X130" i="2" s="1"/>
  <c r="F128" i="1" s="1"/>
  <c r="V167" i="2"/>
  <c r="X167" i="2" s="1"/>
  <c r="Z167" i="2" s="1"/>
  <c r="V215" i="2"/>
  <c r="X215" i="2" s="1"/>
  <c r="Z215" i="2" s="1"/>
  <c r="V297" i="2"/>
  <c r="X297" i="2" s="1"/>
  <c r="V308" i="2"/>
  <c r="X308" i="2" s="1"/>
  <c r="Z308" i="2" s="1"/>
  <c r="V211" i="2"/>
  <c r="X211" i="2" s="1"/>
  <c r="Z211" i="2" s="1"/>
  <c r="V276" i="2"/>
  <c r="X276" i="2" s="1"/>
  <c r="V328" i="2"/>
  <c r="X328" i="2" s="1"/>
  <c r="F326" i="1" s="1"/>
  <c r="V337" i="2"/>
  <c r="X337" i="2" s="1"/>
  <c r="Z337" i="2" s="1"/>
  <c r="V369" i="2"/>
  <c r="V371" i="2"/>
  <c r="X371" i="2" s="1"/>
  <c r="F369" i="1" s="1"/>
  <c r="V399" i="2"/>
  <c r="X399" i="2" s="1"/>
  <c r="Z399" i="2" s="1"/>
  <c r="V455" i="2"/>
  <c r="X455" i="2" s="1"/>
  <c r="Z455" i="2" s="1"/>
  <c r="V459" i="2"/>
  <c r="X459" i="2" s="1"/>
  <c r="Z459" i="2" s="1"/>
  <c r="V23" i="2"/>
  <c r="X23" i="2" s="1"/>
  <c r="Z23" i="2" s="1"/>
  <c r="V64" i="2"/>
  <c r="X64" i="2" s="1"/>
  <c r="Z64" i="2" s="1"/>
  <c r="V66" i="2"/>
  <c r="X66" i="2" s="1"/>
  <c r="Z66" i="2" s="1"/>
  <c r="V453" i="2"/>
  <c r="X453" i="2" s="1"/>
  <c r="F451" i="1" s="1"/>
  <c r="P528" i="2"/>
  <c r="Y528" i="2" s="1"/>
  <c r="N526" i="1" s="1"/>
  <c r="P626" i="2"/>
  <c r="Y626" i="2" s="1"/>
  <c r="N624" i="1" s="1"/>
  <c r="P543" i="2"/>
  <c r="Y543" i="2" s="1"/>
  <c r="N541" i="1" s="1"/>
  <c r="P631" i="2"/>
  <c r="Y631" i="2" s="1"/>
  <c r="N629" i="1" s="1"/>
  <c r="V135" i="2"/>
  <c r="X135" i="2" s="1"/>
  <c r="F133" i="1" s="1"/>
  <c r="V146" i="2"/>
  <c r="V157" i="2"/>
  <c r="X157" i="2" s="1"/>
  <c r="Z157" i="2" s="1"/>
  <c r="V192" i="2"/>
  <c r="X192" i="2" s="1"/>
  <c r="V194" i="2"/>
  <c r="X194" i="2" s="1"/>
  <c r="Z194" i="2" s="1"/>
  <c r="V13" i="2"/>
  <c r="X13" i="2" s="1"/>
  <c r="Z13" i="2" s="1"/>
  <c r="V15" i="2"/>
  <c r="X15" i="2" s="1"/>
  <c r="Z15" i="2" s="1"/>
  <c r="V17" i="2"/>
  <c r="X17" i="2" s="1"/>
  <c r="F15" i="1" s="1"/>
  <c r="V19" i="2"/>
  <c r="X19" i="2" s="1"/>
  <c r="Z19" i="2" s="1"/>
  <c r="V21" i="2"/>
  <c r="X21" i="2" s="1"/>
  <c r="Z21" i="2" s="1"/>
  <c r="V62" i="2"/>
  <c r="X62" i="2" s="1"/>
  <c r="Z62" i="2" s="1"/>
  <c r="V98" i="2"/>
  <c r="X98" i="2" s="1"/>
  <c r="Z98" i="2" s="1"/>
  <c r="V144" i="2"/>
  <c r="X144" i="2" s="1"/>
  <c r="Z144" i="2" s="1"/>
  <c r="V190" i="2"/>
  <c r="X190" i="2" s="1"/>
  <c r="Z190" i="2" s="1"/>
  <c r="V203" i="2"/>
  <c r="X203" i="2" s="1"/>
  <c r="Z203" i="2" s="1"/>
  <c r="V236" i="2"/>
  <c r="X236" i="2" s="1"/>
  <c r="F234" i="1" s="1"/>
  <c r="V300" i="2"/>
  <c r="X300" i="2" s="1"/>
  <c r="V326" i="2"/>
  <c r="X326" i="2" s="1"/>
  <c r="V335" i="2"/>
  <c r="X335" i="2" s="1"/>
  <c r="V352" i="2"/>
  <c r="X352" i="2" s="1"/>
  <c r="V421" i="2"/>
  <c r="X421" i="2" s="1"/>
  <c r="Z421" i="2" s="1"/>
  <c r="V451" i="2"/>
  <c r="X451" i="2" s="1"/>
  <c r="Z451" i="2" s="1"/>
  <c r="V11" i="2"/>
  <c r="X11" i="2" s="1"/>
  <c r="Z11" i="2" s="1"/>
  <c r="V60" i="2"/>
  <c r="X60" i="2" s="1"/>
  <c r="Z60" i="2" s="1"/>
  <c r="V96" i="2"/>
  <c r="X96" i="2" s="1"/>
  <c r="Z96" i="2" s="1"/>
  <c r="V168" i="2"/>
  <c r="X168" i="2" s="1"/>
  <c r="Z168" i="2" s="1"/>
  <c r="V181" i="2"/>
  <c r="X181" i="2" s="1"/>
  <c r="F179" i="1" s="1"/>
  <c r="V201" i="2"/>
  <c r="X201" i="2" s="1"/>
  <c r="V216" i="2"/>
  <c r="X216" i="2" s="1"/>
  <c r="F214" i="1" s="1"/>
  <c r="V266" i="2"/>
  <c r="X266" i="2" s="1"/>
  <c r="F264" i="1" s="1"/>
  <c r="V268" i="2"/>
  <c r="X268" i="2" s="1"/>
  <c r="F266" i="1" s="1"/>
  <c r="V270" i="2"/>
  <c r="X270" i="2" s="1"/>
  <c r="Z270" i="2" s="1"/>
  <c r="V298" i="2"/>
  <c r="X298" i="2" s="1"/>
  <c r="F296" i="1" s="1"/>
  <c r="V324" i="2"/>
  <c r="X324" i="2" s="1"/>
  <c r="Z324" i="2" s="1"/>
  <c r="V350" i="2"/>
  <c r="X350" i="2" s="1"/>
  <c r="Z350" i="2" s="1"/>
  <c r="V440" i="2"/>
  <c r="P548" i="2"/>
  <c r="Y548" i="2" s="1"/>
  <c r="N546" i="1" s="1"/>
  <c r="P641" i="2"/>
  <c r="Y641" i="2" s="1"/>
  <c r="N639" i="1" s="1"/>
  <c r="P553" i="2"/>
  <c r="Y553" i="2" s="1"/>
  <c r="N551" i="1" s="1"/>
  <c r="P646" i="2"/>
  <c r="Y646" i="2" s="1"/>
  <c r="N644" i="1" s="1"/>
  <c r="P558" i="2"/>
  <c r="Y558" i="2" s="1"/>
  <c r="N556" i="1" s="1"/>
  <c r="V7" i="2"/>
  <c r="X7" i="2" s="1"/>
  <c r="V40" i="2"/>
  <c r="X40" i="2" s="1"/>
  <c r="Z40" i="2" s="1"/>
  <c r="V26" i="2"/>
  <c r="X26" i="2" s="1"/>
  <c r="Z26" i="2" s="1"/>
  <c r="V32" i="2"/>
  <c r="X32" i="2" s="1"/>
  <c r="V47" i="2"/>
  <c r="X47" i="2" s="1"/>
  <c r="Z47" i="2" s="1"/>
  <c r="V71" i="2"/>
  <c r="X71" i="2" s="1"/>
  <c r="F69" i="1" s="1"/>
  <c r="V141" i="2"/>
  <c r="X141" i="2" s="1"/>
  <c r="F139" i="1" s="1"/>
  <c r="V143" i="2"/>
  <c r="X143" i="2" s="1"/>
  <c r="Z143" i="2" s="1"/>
  <c r="V14" i="2"/>
  <c r="X14" i="2" s="1"/>
  <c r="V145" i="2"/>
  <c r="X145" i="2" s="1"/>
  <c r="Z145" i="2" s="1"/>
  <c r="V271" i="2"/>
  <c r="X271" i="2" s="1"/>
  <c r="F269" i="1" s="1"/>
  <c r="V41" i="2"/>
  <c r="X41" i="2" s="1"/>
  <c r="Z41" i="2" s="1"/>
  <c r="V77" i="2"/>
  <c r="X77" i="2" s="1"/>
  <c r="Z77" i="2" s="1"/>
  <c r="V61" i="2"/>
  <c r="X61" i="2" s="1"/>
  <c r="Z61" i="2" s="1"/>
  <c r="V94" i="2"/>
  <c r="X94" i="2" s="1"/>
  <c r="F92" i="1" s="1"/>
  <c r="V48" i="2"/>
  <c r="X48" i="2" s="1"/>
  <c r="Z48" i="2" s="1"/>
  <c r="V97" i="2"/>
  <c r="X97" i="2" s="1"/>
  <c r="Z97" i="2" s="1"/>
  <c r="V103" i="2"/>
  <c r="X103" i="2" s="1"/>
  <c r="Z103" i="2" s="1"/>
  <c r="V151" i="2"/>
  <c r="X151" i="2" s="1"/>
  <c r="Z151" i="2" s="1"/>
  <c r="V176" i="2"/>
  <c r="X176" i="2" s="1"/>
  <c r="Z176" i="2" s="1"/>
  <c r="V182" i="2"/>
  <c r="X182" i="2" s="1"/>
  <c r="Z182" i="2" s="1"/>
  <c r="V46" i="2"/>
  <c r="X46" i="2" s="1"/>
  <c r="F44" i="1" s="1"/>
  <c r="V95" i="2"/>
  <c r="X95" i="2" s="1"/>
  <c r="Z95" i="2" s="1"/>
  <c r="V178" i="2"/>
  <c r="X178" i="2" s="1"/>
  <c r="Z178" i="2" s="1"/>
  <c r="V180" i="2"/>
  <c r="V93" i="2"/>
  <c r="X93" i="2" s="1"/>
  <c r="Z93" i="2" s="1"/>
  <c r="V99" i="2"/>
  <c r="X99" i="2" s="1"/>
  <c r="F97" i="1" s="1"/>
  <c r="V120" i="2"/>
  <c r="X120" i="2" s="1"/>
  <c r="Z120" i="2" s="1"/>
  <c r="V231" i="2"/>
  <c r="X231" i="2" s="1"/>
  <c r="Z231" i="2" s="1"/>
  <c r="V302" i="2"/>
  <c r="X302" i="2" s="1"/>
  <c r="Z302" i="2" s="1"/>
  <c r="V304" i="2"/>
  <c r="X304" i="2" s="1"/>
  <c r="Z304" i="2" s="1"/>
  <c r="V81" i="2"/>
  <c r="X81" i="2" s="1"/>
  <c r="Z81" i="2" s="1"/>
  <c r="V89" i="2"/>
  <c r="X89" i="2" s="1"/>
  <c r="F87" i="1" s="1"/>
  <c r="V116" i="2"/>
  <c r="X116" i="2" s="1"/>
  <c r="Z116" i="2" s="1"/>
  <c r="V118" i="2"/>
  <c r="X118" i="2" s="1"/>
  <c r="Z118" i="2" s="1"/>
  <c r="V191" i="2"/>
  <c r="X191" i="2" s="1"/>
  <c r="Z191" i="2" s="1"/>
  <c r="V286" i="2"/>
  <c r="V28" i="2"/>
  <c r="X28" i="2" s="1"/>
  <c r="Z28" i="2" s="1"/>
  <c r="V65" i="2"/>
  <c r="X65" i="2" s="1"/>
  <c r="Z65" i="2" s="1"/>
  <c r="V110" i="2"/>
  <c r="X110" i="2" s="1"/>
  <c r="F108" i="1" s="1"/>
  <c r="V34" i="2"/>
  <c r="X34" i="2" s="1"/>
  <c r="Z34" i="2" s="1"/>
  <c r="V67" i="2"/>
  <c r="X67" i="2" s="1"/>
  <c r="F65" i="1" s="1"/>
  <c r="V106" i="2"/>
  <c r="X106" i="2" s="1"/>
  <c r="F104" i="1" s="1"/>
  <c r="V112" i="2"/>
  <c r="X112" i="2" s="1"/>
  <c r="Z112" i="2" s="1"/>
  <c r="V158" i="2"/>
  <c r="X158" i="2" s="1"/>
  <c r="F156" i="1" s="1"/>
  <c r="V282" i="2"/>
  <c r="X282" i="2" s="1"/>
  <c r="F280" i="1" s="1"/>
  <c r="V315" i="2"/>
  <c r="X315" i="2" s="1"/>
  <c r="Z315" i="2" s="1"/>
  <c r="V332" i="2"/>
  <c r="X332" i="2" s="1"/>
  <c r="Z332" i="2" s="1"/>
  <c r="V367" i="2"/>
  <c r="X367" i="2" s="1"/>
  <c r="Z367" i="2" s="1"/>
  <c r="V206" i="2"/>
  <c r="X206" i="2" s="1"/>
  <c r="Z206" i="2" s="1"/>
  <c r="V208" i="2"/>
  <c r="X208" i="2" s="1"/>
  <c r="Z208" i="2" s="1"/>
  <c r="V210" i="2"/>
  <c r="X210" i="2" s="1"/>
  <c r="Z210" i="2" s="1"/>
  <c r="V51" i="2"/>
  <c r="X51" i="2" s="1"/>
  <c r="F49" i="1" s="1"/>
  <c r="V53" i="2"/>
  <c r="X53" i="2" s="1"/>
  <c r="F51" i="1" s="1"/>
  <c r="V104" i="2"/>
  <c r="X104" i="2" s="1"/>
  <c r="Z104" i="2" s="1"/>
  <c r="V154" i="2"/>
  <c r="X154" i="2" s="1"/>
  <c r="Z154" i="2" s="1"/>
  <c r="V156" i="2"/>
  <c r="X156" i="2" s="1"/>
  <c r="Z156" i="2" s="1"/>
  <c r="V234" i="2"/>
  <c r="X234" i="2" s="1"/>
  <c r="Z234" i="2" s="1"/>
  <c r="V261" i="2"/>
  <c r="X261" i="2" s="1"/>
  <c r="F259" i="1" s="1"/>
  <c r="V313" i="2"/>
  <c r="X313" i="2" s="1"/>
  <c r="Z313" i="2" s="1"/>
  <c r="V102" i="2"/>
  <c r="X102" i="2" s="1"/>
  <c r="Z102" i="2" s="1"/>
  <c r="V171" i="2"/>
  <c r="X171" i="2" s="1"/>
  <c r="Z171" i="2" s="1"/>
  <c r="V255" i="2"/>
  <c r="X255" i="2" s="1"/>
  <c r="F253" i="1" s="1"/>
  <c r="V311" i="2"/>
  <c r="X311" i="2" s="1"/>
  <c r="Z311" i="2" s="1"/>
  <c r="V372" i="2"/>
  <c r="X372" i="2" s="1"/>
  <c r="Z372" i="2" s="1"/>
  <c r="V50" i="2"/>
  <c r="X50" i="2" s="1"/>
  <c r="Z50" i="2" s="1"/>
  <c r="V54" i="2"/>
  <c r="X54" i="2" s="1"/>
  <c r="F52" i="1" s="1"/>
  <c r="V237" i="2"/>
  <c r="X237" i="2" s="1"/>
  <c r="Z237" i="2" s="1"/>
  <c r="V343" i="2"/>
  <c r="X343" i="2" s="1"/>
  <c r="Z343" i="2" s="1"/>
  <c r="V123" i="2"/>
  <c r="X123" i="2" s="1"/>
  <c r="F121" i="1" s="1"/>
  <c r="V127" i="2"/>
  <c r="X127" i="2" s="1"/>
  <c r="F125" i="1" s="1"/>
  <c r="V129" i="2"/>
  <c r="X129" i="2" s="1"/>
  <c r="Z129" i="2" s="1"/>
  <c r="V131" i="2"/>
  <c r="X131" i="2" s="1"/>
  <c r="Z131" i="2" s="1"/>
  <c r="V133" i="2"/>
  <c r="X133" i="2" s="1"/>
  <c r="Z133" i="2" s="1"/>
  <c r="V147" i="2"/>
  <c r="X147" i="2" s="1"/>
  <c r="Z147" i="2" s="1"/>
  <c r="V149" i="2"/>
  <c r="X149" i="2" s="1"/>
  <c r="F147" i="1" s="1"/>
  <c r="V225" i="2"/>
  <c r="X225" i="2" s="1"/>
  <c r="Z225" i="2" s="1"/>
  <c r="V252" i="2"/>
  <c r="X252" i="2" s="1"/>
  <c r="Z252" i="2" s="1"/>
  <c r="V262" i="2"/>
  <c r="X262" i="2" s="1"/>
  <c r="Z262" i="2" s="1"/>
  <c r="V353" i="2"/>
  <c r="X353" i="2" s="1"/>
  <c r="Z353" i="2" s="1"/>
  <c r="V419" i="2"/>
  <c r="X419" i="2" s="1"/>
  <c r="Z419" i="2" s="1"/>
  <c r="V462" i="2"/>
  <c r="X462" i="2" s="1"/>
  <c r="F460" i="1" s="1"/>
  <c r="V121" i="2"/>
  <c r="X121" i="2" s="1"/>
  <c r="V198" i="2"/>
  <c r="X198" i="2" s="1"/>
  <c r="Z198" i="2" s="1"/>
  <c r="V244" i="2"/>
  <c r="X244" i="2" s="1"/>
  <c r="Z244" i="2" s="1"/>
  <c r="V246" i="2"/>
  <c r="X246" i="2" s="1"/>
  <c r="Z246" i="2" s="1"/>
  <c r="V256" i="2"/>
  <c r="X256" i="2" s="1"/>
  <c r="Z256" i="2" s="1"/>
  <c r="V327" i="2"/>
  <c r="X327" i="2" s="1"/>
  <c r="Z327" i="2" s="1"/>
  <c r="V351" i="2"/>
  <c r="X351" i="2" s="1"/>
  <c r="Z351" i="2" s="1"/>
  <c r="V444" i="2"/>
  <c r="X444" i="2" s="1"/>
  <c r="Z444" i="2" s="1"/>
  <c r="V446" i="2"/>
  <c r="X446" i="2" s="1"/>
  <c r="Z446" i="2" s="1"/>
  <c r="V454" i="2"/>
  <c r="X454" i="2" s="1"/>
  <c r="V456" i="2"/>
  <c r="X456" i="2" s="1"/>
  <c r="Z456" i="2" s="1"/>
  <c r="V460" i="2"/>
  <c r="X460" i="2" s="1"/>
  <c r="Z460" i="2" s="1"/>
  <c r="V43" i="2"/>
  <c r="X43" i="2" s="1"/>
  <c r="Z43" i="2" s="1"/>
  <c r="V55" i="2"/>
  <c r="X55" i="2" s="1"/>
  <c r="F53" i="1" s="1"/>
  <c r="V57" i="2"/>
  <c r="X57" i="2" s="1"/>
  <c r="Z57" i="2" s="1"/>
  <c r="V59" i="2"/>
  <c r="X59" i="2" s="1"/>
  <c r="Z59" i="2" s="1"/>
  <c r="V73" i="2"/>
  <c r="X73" i="2" s="1"/>
  <c r="F71" i="1" s="1"/>
  <c r="V75" i="2"/>
  <c r="X75" i="2" s="1"/>
  <c r="F73" i="1" s="1"/>
  <c r="X91" i="2"/>
  <c r="V107" i="2"/>
  <c r="X107" i="2" s="1"/>
  <c r="Z107" i="2" s="1"/>
  <c r="V109" i="2"/>
  <c r="X109" i="2" s="1"/>
  <c r="F107" i="1" s="1"/>
  <c r="V111" i="2"/>
  <c r="X111" i="2" s="1"/>
  <c r="Z111" i="2" s="1"/>
  <c r="V119" i="2"/>
  <c r="X119" i="2" s="1"/>
  <c r="Z119" i="2" s="1"/>
  <c r="V188" i="2"/>
  <c r="X188" i="2" s="1"/>
  <c r="Z188" i="2" s="1"/>
  <c r="V219" i="2"/>
  <c r="X219" i="2" s="1"/>
  <c r="Z219" i="2" s="1"/>
  <c r="V221" i="2"/>
  <c r="X221" i="2" s="1"/>
  <c r="Z221" i="2" s="1"/>
  <c r="V240" i="2"/>
  <c r="X240" i="2" s="1"/>
  <c r="F238" i="1" s="1"/>
  <c r="V281" i="2"/>
  <c r="X281" i="2" s="1"/>
  <c r="V303" i="2"/>
  <c r="X303" i="2" s="1"/>
  <c r="Z303" i="2" s="1"/>
  <c r="V319" i="2"/>
  <c r="X319" i="2" s="1"/>
  <c r="Z319" i="2" s="1"/>
  <c r="V374" i="2"/>
  <c r="X374" i="2" s="1"/>
  <c r="Z374" i="2" s="1"/>
  <c r="V452" i="2"/>
  <c r="X452" i="2" s="1"/>
  <c r="Z452" i="2" s="1"/>
  <c r="V140" i="2"/>
  <c r="X140" i="2" s="1"/>
  <c r="Z140" i="2" s="1"/>
  <c r="V142" i="2"/>
  <c r="X142" i="2" s="1"/>
  <c r="Z142" i="2" s="1"/>
  <c r="V160" i="2"/>
  <c r="X160" i="2" s="1"/>
  <c r="Z160" i="2" s="1"/>
  <c r="V162" i="2"/>
  <c r="X162" i="2" s="1"/>
  <c r="Z162" i="2" s="1"/>
  <c r="V330" i="2"/>
  <c r="X330" i="2" s="1"/>
  <c r="F328" i="1" s="1"/>
  <c r="V334" i="2"/>
  <c r="X334" i="2" s="1"/>
  <c r="Z334" i="2" s="1"/>
  <c r="V424" i="2"/>
  <c r="X424" i="2" s="1"/>
  <c r="Z424" i="2" s="1"/>
  <c r="V426" i="2"/>
  <c r="X426" i="2" s="1"/>
  <c r="Z426" i="2" s="1"/>
  <c r="V465" i="2"/>
  <c r="X465" i="2" s="1"/>
  <c r="F463" i="1" s="1"/>
  <c r="V403" i="2"/>
  <c r="X403" i="2" s="1"/>
  <c r="Z403" i="2" s="1"/>
  <c r="V405" i="2"/>
  <c r="X405" i="2" s="1"/>
  <c r="Z405" i="2" s="1"/>
  <c r="V415" i="2"/>
  <c r="X415" i="2" s="1"/>
  <c r="F413" i="1" s="1"/>
  <c r="V423" i="2"/>
  <c r="X423" i="2" s="1"/>
  <c r="Z423" i="2" s="1"/>
  <c r="V425" i="2"/>
  <c r="X425" i="2" s="1"/>
  <c r="F423" i="1" s="1"/>
  <c r="V429" i="2"/>
  <c r="X429" i="2" s="1"/>
  <c r="F427" i="1" s="1"/>
  <c r="V431" i="2"/>
  <c r="X431" i="2" s="1"/>
  <c r="F429" i="1" s="1"/>
  <c r="V442" i="2"/>
  <c r="X442" i="2" s="1"/>
  <c r="Z442" i="2" s="1"/>
  <c r="V464" i="2"/>
  <c r="X464" i="2" s="1"/>
  <c r="Z464" i="2" s="1"/>
  <c r="V8" i="2"/>
  <c r="X8" i="2" s="1"/>
  <c r="F6" i="1" s="1"/>
  <c r="V36" i="2"/>
  <c r="X36" i="2" s="1"/>
  <c r="Z36" i="2" s="1"/>
  <c r="V38" i="2"/>
  <c r="X38" i="2" s="1"/>
  <c r="Z38" i="2" s="1"/>
  <c r="V137" i="2"/>
  <c r="X137" i="2" s="1"/>
  <c r="F135" i="1" s="1"/>
  <c r="V139" i="2"/>
  <c r="X139" i="2" s="1"/>
  <c r="Z139" i="2" s="1"/>
  <c r="V153" i="2"/>
  <c r="X153" i="2" s="1"/>
  <c r="Z153" i="2" s="1"/>
  <c r="V155" i="2"/>
  <c r="X155" i="2" s="1"/>
  <c r="Z155" i="2" s="1"/>
  <c r="V183" i="2"/>
  <c r="X183" i="2" s="1"/>
  <c r="Z183" i="2" s="1"/>
  <c r="V185" i="2"/>
  <c r="X185" i="2" s="1"/>
  <c r="Z185" i="2" s="1"/>
  <c r="V189" i="2"/>
  <c r="X189" i="2" s="1"/>
  <c r="F187" i="1" s="1"/>
  <c r="V197" i="2"/>
  <c r="X197" i="2" s="1"/>
  <c r="Z197" i="2" s="1"/>
  <c r="V218" i="2"/>
  <c r="X218" i="2" s="1"/>
  <c r="F216" i="1" s="1"/>
  <c r="V226" i="2"/>
  <c r="X226" i="2" s="1"/>
  <c r="F224" i="1" s="1"/>
  <c r="V228" i="2"/>
  <c r="X228" i="2" s="1"/>
  <c r="Z228" i="2" s="1"/>
  <c r="V230" i="2"/>
  <c r="X230" i="2" s="1"/>
  <c r="Z230" i="2" s="1"/>
  <c r="V336" i="2"/>
  <c r="X336" i="2" s="1"/>
  <c r="F334" i="1" s="1"/>
  <c r="V383" i="2"/>
  <c r="X383" i="2" s="1"/>
  <c r="F381" i="1" s="1"/>
  <c r="V385" i="2"/>
  <c r="X385" i="2" s="1"/>
  <c r="Z385" i="2" s="1"/>
  <c r="V387" i="2"/>
  <c r="X387" i="2" s="1"/>
  <c r="Z387" i="2" s="1"/>
  <c r="V389" i="2"/>
  <c r="X389" i="2" s="1"/>
  <c r="Z389" i="2" s="1"/>
  <c r="V391" i="2"/>
  <c r="X391" i="2" s="1"/>
  <c r="V202" i="2"/>
  <c r="X202" i="2" s="1"/>
  <c r="Z202" i="2" s="1"/>
  <c r="V233" i="2"/>
  <c r="X233" i="2" s="1"/>
  <c r="V251" i="2"/>
  <c r="X251" i="2" s="1"/>
  <c r="Z251" i="2" s="1"/>
  <c r="V273" i="2"/>
  <c r="X273" i="2" s="1"/>
  <c r="F271" i="1" s="1"/>
  <c r="V291" i="2"/>
  <c r="X291" i="2" s="1"/>
  <c r="F289" i="1" s="1"/>
  <c r="V293" i="2"/>
  <c r="X293" i="2" s="1"/>
  <c r="Z293" i="2" s="1"/>
  <c r="V295" i="2"/>
  <c r="X295" i="2" s="1"/>
  <c r="Z295" i="2" s="1"/>
  <c r="V299" i="2"/>
  <c r="X299" i="2" s="1"/>
  <c r="Z299" i="2" s="1"/>
  <c r="V307" i="2"/>
  <c r="X307" i="2" s="1"/>
  <c r="Z307" i="2" s="1"/>
  <c r="V309" i="2"/>
  <c r="X309" i="2" s="1"/>
  <c r="Z309" i="2" s="1"/>
  <c r="V323" i="2"/>
  <c r="X323" i="2" s="1"/>
  <c r="Z323" i="2" s="1"/>
  <c r="V355" i="2"/>
  <c r="X355" i="2" s="1"/>
  <c r="Z355" i="2" s="1"/>
  <c r="V6" i="2"/>
  <c r="X6" i="2" s="1"/>
  <c r="Z6" i="2" s="1"/>
  <c r="V205" i="2"/>
  <c r="X205" i="2" s="1"/>
  <c r="F203" i="1" s="1"/>
  <c r="V227" i="2"/>
  <c r="X227" i="2" s="1"/>
  <c r="Z227" i="2" s="1"/>
  <c r="V229" i="2"/>
  <c r="X229" i="2" s="1"/>
  <c r="F227" i="1" s="1"/>
  <c r="V257" i="2"/>
  <c r="X257" i="2" s="1"/>
  <c r="F255" i="1" s="1"/>
  <c r="V259" i="2"/>
  <c r="X259" i="2" s="1"/>
  <c r="V283" i="2"/>
  <c r="X283" i="2" s="1"/>
  <c r="Z283" i="2" s="1"/>
  <c r="V285" i="2"/>
  <c r="X285" i="2" s="1"/>
  <c r="Z285" i="2" s="1"/>
  <c r="V289" i="2"/>
  <c r="X289" i="2" s="1"/>
  <c r="Z289" i="2" s="1"/>
  <c r="V333" i="2"/>
  <c r="X333" i="2" s="1"/>
  <c r="Z333" i="2" s="1"/>
  <c r="V393" i="2"/>
  <c r="X393" i="2" s="1"/>
  <c r="Z393" i="2" s="1"/>
  <c r="V380" i="2"/>
  <c r="X380" i="2" s="1"/>
  <c r="V398" i="2"/>
  <c r="X398" i="2" s="1"/>
  <c r="Z398" i="2" s="1"/>
  <c r="V402" i="2"/>
  <c r="X402" i="2" s="1"/>
  <c r="Z402" i="2" s="1"/>
  <c r="V408" i="2"/>
  <c r="X408" i="2" s="1"/>
  <c r="F406" i="1" s="1"/>
  <c r="V10" i="2"/>
  <c r="X10" i="2" s="1"/>
  <c r="Z10" i="2" s="1"/>
  <c r="V12" i="2"/>
  <c r="X12" i="2" s="1"/>
  <c r="Z12" i="2" s="1"/>
  <c r="V16" i="2"/>
  <c r="X16" i="2" s="1"/>
  <c r="V24" i="2"/>
  <c r="X24" i="2" s="1"/>
  <c r="F22" i="1" s="1"/>
  <c r="V193" i="2"/>
  <c r="X193" i="2" s="1"/>
  <c r="Z193" i="2" s="1"/>
  <c r="V195" i="2"/>
  <c r="V275" i="2"/>
  <c r="X275" i="2" s="1"/>
  <c r="Z275" i="2" s="1"/>
  <c r="V277" i="2"/>
  <c r="X277" i="2" s="1"/>
  <c r="Z277" i="2" s="1"/>
  <c r="V279" i="2"/>
  <c r="X279" i="2" s="1"/>
  <c r="Z279" i="2" s="1"/>
  <c r="V287" i="2"/>
  <c r="X287" i="2" s="1"/>
  <c r="Z287" i="2" s="1"/>
  <c r="V354" i="2"/>
  <c r="X354" i="2" s="1"/>
  <c r="Z354" i="2" s="1"/>
  <c r="V356" i="2"/>
  <c r="X356" i="2" s="1"/>
  <c r="Z356" i="2" s="1"/>
  <c r="V358" i="2"/>
  <c r="X358" i="2" s="1"/>
  <c r="Z358" i="2" s="1"/>
  <c r="V376" i="2"/>
  <c r="X376" i="2" s="1"/>
  <c r="Z376" i="2" s="1"/>
  <c r="V382" i="2"/>
  <c r="X382" i="2" s="1"/>
  <c r="Z382" i="2" s="1"/>
  <c r="V384" i="2"/>
  <c r="X384" i="2" s="1"/>
  <c r="Z384" i="2" s="1"/>
  <c r="V386" i="2"/>
  <c r="X386" i="2" s="1"/>
  <c r="V392" i="2"/>
  <c r="X392" i="2" s="1"/>
  <c r="F390" i="1" s="1"/>
  <c r="V404" i="2"/>
  <c r="X404" i="2" s="1"/>
  <c r="Z404" i="2" s="1"/>
  <c r="V406" i="2"/>
  <c r="X406" i="2" s="1"/>
  <c r="Z406" i="2" s="1"/>
  <c r="V412" i="2"/>
  <c r="X412" i="2" s="1"/>
  <c r="F410" i="1" s="1"/>
  <c r="X484" i="2"/>
  <c r="F482" i="1" s="1"/>
  <c r="X516" i="2"/>
  <c r="F514" i="1" s="1"/>
  <c r="X532" i="2"/>
  <c r="F530" i="1" s="1"/>
  <c r="X548" i="2"/>
  <c r="F546" i="1" s="1"/>
  <c r="X564" i="2"/>
  <c r="F562" i="1" s="1"/>
  <c r="X580" i="2"/>
  <c r="F578" i="1" s="1"/>
  <c r="X596" i="2"/>
  <c r="F594" i="1" s="1"/>
  <c r="X612" i="2"/>
  <c r="F610" i="1" s="1"/>
  <c r="X628" i="2"/>
  <c r="F626" i="1" s="1"/>
  <c r="X644" i="2"/>
  <c r="F642" i="1" s="1"/>
  <c r="X469" i="2"/>
  <c r="F467" i="1" s="1"/>
  <c r="X485" i="2"/>
  <c r="F483" i="1" s="1"/>
  <c r="X501" i="2"/>
  <c r="F499" i="1" s="1"/>
  <c r="X517" i="2"/>
  <c r="F515" i="1" s="1"/>
  <c r="X533" i="2"/>
  <c r="F531" i="1" s="1"/>
  <c r="X549" i="2"/>
  <c r="F547" i="1" s="1"/>
  <c r="X565" i="2"/>
  <c r="F563" i="1" s="1"/>
  <c r="X581" i="2"/>
  <c r="F579" i="1" s="1"/>
  <c r="X597" i="2"/>
  <c r="F595" i="1" s="1"/>
  <c r="X613" i="2"/>
  <c r="F611" i="1" s="1"/>
  <c r="X629" i="2"/>
  <c r="F627" i="1" s="1"/>
  <c r="X645" i="2"/>
  <c r="F643" i="1" s="1"/>
  <c r="X470" i="2"/>
  <c r="F468" i="1" s="1"/>
  <c r="X486" i="2"/>
  <c r="F484" i="1" s="1"/>
  <c r="X502" i="2"/>
  <c r="F500" i="1" s="1"/>
  <c r="X518" i="2"/>
  <c r="F516" i="1" s="1"/>
  <c r="X550" i="2"/>
  <c r="F548" i="1" s="1"/>
  <c r="X566" i="2"/>
  <c r="F564" i="1" s="1"/>
  <c r="X582" i="2"/>
  <c r="F580" i="1" s="1"/>
  <c r="X598" i="2"/>
  <c r="F596" i="1" s="1"/>
  <c r="X614" i="2"/>
  <c r="F612" i="1" s="1"/>
  <c r="X630" i="2"/>
  <c r="F628" i="1" s="1"/>
  <c r="X646" i="2"/>
  <c r="F644" i="1" s="1"/>
  <c r="X488" i="2"/>
  <c r="F486" i="1" s="1"/>
  <c r="X504" i="2"/>
  <c r="F502" i="1" s="1"/>
  <c r="X520" i="2"/>
  <c r="F518" i="1" s="1"/>
  <c r="X568" i="2"/>
  <c r="F566" i="1" s="1"/>
  <c r="X600" i="2"/>
  <c r="F598" i="1" s="1"/>
  <c r="X648" i="2"/>
  <c r="F646" i="1" s="1"/>
  <c r="X506" i="2"/>
  <c r="F504" i="1" s="1"/>
  <c r="X522" i="2"/>
  <c r="F520" i="1" s="1"/>
  <c r="X586" i="2"/>
  <c r="F584" i="1" s="1"/>
  <c r="X602" i="2"/>
  <c r="F600" i="1" s="1"/>
  <c r="X618" i="2"/>
  <c r="F616" i="1" s="1"/>
  <c r="X650" i="2"/>
  <c r="F648" i="1" s="1"/>
  <c r="X475" i="2"/>
  <c r="F473" i="1" s="1"/>
  <c r="X555" i="2"/>
  <c r="F553" i="1" s="1"/>
  <c r="X587" i="2"/>
  <c r="F585" i="1" s="1"/>
  <c r="X635" i="2"/>
  <c r="F633" i="1" s="1"/>
  <c r="X651" i="2"/>
  <c r="F649" i="1" s="1"/>
  <c r="X508" i="2"/>
  <c r="F506" i="1" s="1"/>
  <c r="X540" i="2"/>
  <c r="F538" i="1" s="1"/>
  <c r="X604" i="2"/>
  <c r="F602" i="1" s="1"/>
  <c r="X620" i="2"/>
  <c r="F618" i="1" s="1"/>
  <c r="X495" i="2"/>
  <c r="F493" i="1" s="1"/>
  <c r="X511" i="2"/>
  <c r="F509" i="1" s="1"/>
  <c r="X527" i="2"/>
  <c r="F525" i="1" s="1"/>
  <c r="X543" i="2"/>
  <c r="F541" i="1" s="1"/>
  <c r="X559" i="2"/>
  <c r="F557" i="1" s="1"/>
  <c r="X607" i="2"/>
  <c r="F605" i="1" s="1"/>
  <c r="X623" i="2"/>
  <c r="F621" i="1" s="1"/>
  <c r="X496" i="2"/>
  <c r="F494" i="1" s="1"/>
  <c r="X529" i="2"/>
  <c r="F527" i="1" s="1"/>
  <c r="X561" i="2"/>
  <c r="F559" i="1" s="1"/>
  <c r="V4" i="2"/>
  <c r="X4" i="2" s="1"/>
  <c r="Z4" i="2" s="1"/>
  <c r="X599" i="2"/>
  <c r="F597" i="1" s="1"/>
  <c r="F221" i="1"/>
  <c r="F250" i="1"/>
  <c r="F218" i="1"/>
  <c r="F358" i="1"/>
  <c r="F154" i="1"/>
  <c r="F435" i="1"/>
  <c r="F31" i="1"/>
  <c r="X521" i="2"/>
  <c r="F519" i="1" s="1"/>
  <c r="X487" i="2"/>
  <c r="F485" i="1" s="1"/>
  <c r="Z247" i="2"/>
  <c r="F245" i="1"/>
  <c r="X535" i="2"/>
  <c r="F533" i="1" s="1"/>
  <c r="X553" i="2"/>
  <c r="F551" i="1" s="1"/>
  <c r="X608" i="2"/>
  <c r="F606" i="1" s="1"/>
  <c r="X583" i="2"/>
  <c r="F581" i="1" s="1"/>
  <c r="X592" i="2"/>
  <c r="F590" i="1" s="1"/>
  <c r="Z314" i="2"/>
  <c r="F312" i="1"/>
  <c r="X505" i="2"/>
  <c r="F503" i="1" s="1"/>
  <c r="X576" i="2"/>
  <c r="F574" i="1" s="1"/>
  <c r="F355" i="1"/>
  <c r="Z288" i="2"/>
  <c r="X471" i="2"/>
  <c r="F469" i="1" s="1"/>
  <c r="X569" i="2"/>
  <c r="F567" i="1" s="1"/>
  <c r="X631" i="2"/>
  <c r="F629" i="1" s="1"/>
  <c r="X615" i="2"/>
  <c r="F613" i="1" s="1"/>
  <c r="X601" i="2"/>
  <c r="F599" i="1" s="1"/>
  <c r="X473" i="2"/>
  <c r="F471" i="1" s="1"/>
  <c r="X617" i="2"/>
  <c r="F615" i="1" s="1"/>
  <c r="X624" i="2"/>
  <c r="F622" i="1" s="1"/>
  <c r="X647" i="2"/>
  <c r="F645" i="1" s="1"/>
  <c r="X640" i="2"/>
  <c r="F638" i="1" s="1"/>
  <c r="Z390" i="2"/>
  <c r="F72" i="1"/>
  <c r="X503" i="2"/>
  <c r="F501" i="1" s="1"/>
  <c r="X551" i="2"/>
  <c r="F549" i="1" s="1"/>
  <c r="X567" i="2"/>
  <c r="F565" i="1" s="1"/>
  <c r="X489" i="2"/>
  <c r="F487" i="1" s="1"/>
  <c r="X537" i="2"/>
  <c r="F535" i="1" s="1"/>
  <c r="X585" i="2"/>
  <c r="F583" i="1" s="1"/>
  <c r="X633" i="2"/>
  <c r="F631" i="1" s="1"/>
  <c r="X656" i="2"/>
  <c r="F654" i="1" s="1"/>
  <c r="X649" i="2"/>
  <c r="F647" i="1" s="1"/>
  <c r="F150" i="1"/>
  <c r="F211" i="1"/>
  <c r="X519" i="2"/>
  <c r="F517" i="1" s="1"/>
  <c r="F434" i="1"/>
  <c r="F411" i="1"/>
  <c r="F408" i="1"/>
  <c r="F414" i="1"/>
  <c r="F465" i="1"/>
  <c r="F148" i="1"/>
  <c r="F120" i="1"/>
  <c r="Z344" i="2"/>
  <c r="F342" i="1"/>
  <c r="Z192" i="2"/>
  <c r="F190" i="1"/>
  <c r="F246" i="1"/>
  <c r="F122" i="1"/>
  <c r="F290" i="1"/>
  <c r="F395" i="1"/>
  <c r="Z84" i="2"/>
  <c r="F82" i="1"/>
  <c r="F212" i="1"/>
  <c r="F436" i="1"/>
  <c r="Z401" i="2"/>
  <c r="F399" i="1"/>
  <c r="X434" i="2"/>
  <c r="Z468" i="2"/>
  <c r="F466" i="1"/>
  <c r="F337" i="1"/>
  <c r="F461" i="1"/>
  <c r="Z310" i="2"/>
  <c r="F16" i="1"/>
  <c r="F124" i="1"/>
  <c r="F262" i="1"/>
  <c r="Z250" i="2"/>
  <c r="F248" i="1"/>
  <c r="Z90" i="2"/>
  <c r="F77" i="1"/>
  <c r="Z79" i="2"/>
  <c r="Z365" i="2"/>
  <c r="F363" i="1"/>
  <c r="Z212" i="2"/>
  <c r="Z159" i="2"/>
  <c r="F157" i="1"/>
  <c r="Z35" i="2"/>
  <c r="F33" i="1"/>
  <c r="F105" i="1"/>
  <c r="Z123" i="2"/>
  <c r="Z253" i="2"/>
  <c r="F251" i="1"/>
  <c r="Z325" i="2"/>
  <c r="F323" i="1"/>
  <c r="F37" i="1"/>
  <c r="F182" i="1"/>
  <c r="F202" i="1"/>
  <c r="F282" i="1"/>
  <c r="F376" i="1"/>
  <c r="X450" i="2"/>
  <c r="F364" i="1"/>
  <c r="Z170" i="2"/>
  <c r="F168" i="1"/>
  <c r="Z418" i="2"/>
  <c r="F416" i="1"/>
  <c r="Z428" i="2"/>
  <c r="F426" i="1"/>
  <c r="Z274" i="2"/>
  <c r="F272" i="1"/>
  <c r="F222" i="1"/>
  <c r="F83" i="1"/>
  <c r="F185" i="1"/>
  <c r="F261" i="1"/>
  <c r="X30" i="2"/>
  <c r="Z30" i="2" s="1"/>
  <c r="X180" i="2"/>
  <c r="F347" i="1"/>
  <c r="F186" i="1"/>
  <c r="X195" i="2"/>
  <c r="Z195" i="2" s="1"/>
  <c r="Z341" i="2"/>
  <c r="F339" i="1"/>
  <c r="Z427" i="2"/>
  <c r="F425" i="1"/>
  <c r="F162" i="1"/>
  <c r="F42" i="1"/>
  <c r="Z239" i="2"/>
  <c r="F237" i="1"/>
  <c r="Z352" i="2"/>
  <c r="F350" i="1"/>
  <c r="Z86" i="2"/>
  <c r="F84" i="1"/>
  <c r="F447" i="1"/>
  <c r="F386" i="1"/>
  <c r="F412" i="1"/>
  <c r="X58" i="2"/>
  <c r="X146" i="2"/>
  <c r="F144" i="1" s="1"/>
  <c r="X417" i="2"/>
  <c r="Z417" i="2" s="1"/>
  <c r="Z42" i="2"/>
  <c r="F40" i="1"/>
  <c r="Z87" i="2"/>
  <c r="F85" i="1"/>
  <c r="Z27" i="2"/>
  <c r="F25" i="1"/>
  <c r="Z166" i="2"/>
  <c r="F164" i="1"/>
  <c r="F288" i="1"/>
  <c r="Z290" i="2"/>
  <c r="Z5" i="2"/>
  <c r="F3" i="1"/>
  <c r="Z175" i="2"/>
  <c r="F173" i="1"/>
  <c r="Z363" i="2"/>
  <c r="F361" i="1"/>
  <c r="Z83" i="2"/>
  <c r="F81" i="1"/>
  <c r="Z115" i="2"/>
  <c r="F113" i="1"/>
  <c r="Z321" i="2"/>
  <c r="F319" i="1"/>
  <c r="Z439" i="2"/>
  <c r="F437" i="1"/>
  <c r="F315" i="1"/>
  <c r="Z179" i="2"/>
  <c r="Z348" i="2"/>
  <c r="F346" i="1"/>
  <c r="Z209" i="2"/>
  <c r="F207" i="1"/>
  <c r="Z409" i="2"/>
  <c r="F407" i="1"/>
  <c r="F393" i="1"/>
  <c r="Z45" i="2"/>
  <c r="F43" i="1"/>
  <c r="Z458" i="2"/>
  <c r="F456" i="1"/>
  <c r="F184" i="1"/>
  <c r="Z447" i="2"/>
  <c r="F445" i="1"/>
  <c r="X52" i="2"/>
  <c r="Z269" i="2"/>
  <c r="F267" i="1"/>
  <c r="Z222" i="2"/>
  <c r="F220" i="1"/>
  <c r="Z113" i="2"/>
  <c r="F111" i="1"/>
  <c r="X217" i="2"/>
  <c r="Z328" i="2"/>
  <c r="Z306" i="2"/>
  <c r="F304" i="1"/>
  <c r="F175" i="1"/>
  <c r="X114" i="2"/>
  <c r="Z461" i="2"/>
  <c r="F459" i="1"/>
  <c r="X238" i="2"/>
  <c r="F377" i="1"/>
  <c r="X172" i="2"/>
  <c r="X286" i="2"/>
  <c r="X249" i="2"/>
  <c r="X369" i="2"/>
  <c r="X169" i="2"/>
  <c r="X375" i="2"/>
  <c r="X359" i="2"/>
  <c r="X440" i="2"/>
  <c r="X448" i="2"/>
  <c r="F146" i="1" l="1"/>
  <c r="Z296" i="2"/>
  <c r="F68" i="1"/>
  <c r="F39" i="1"/>
  <c r="F106" i="1"/>
  <c r="F23" i="1"/>
  <c r="F145" i="1"/>
  <c r="Z54" i="2"/>
  <c r="F66" i="1"/>
  <c r="F9" i="1"/>
  <c r="F7" i="1"/>
  <c r="F278" i="1"/>
  <c r="F223" i="1"/>
  <c r="F183" i="1"/>
  <c r="F348" i="1"/>
  <c r="F441" i="1"/>
  <c r="F444" i="1"/>
  <c r="Z371" i="2"/>
  <c r="Z99" i="2"/>
  <c r="Z257" i="2"/>
  <c r="F55" i="1"/>
  <c r="F98" i="1"/>
  <c r="Z106" i="2"/>
  <c r="F370" i="1"/>
  <c r="F335" i="1"/>
  <c r="Z255" i="2"/>
  <c r="F27" i="1"/>
  <c r="F95" i="1"/>
  <c r="F329" i="1"/>
  <c r="Z400" i="2"/>
  <c r="Z430" i="2"/>
  <c r="F116" i="1"/>
  <c r="Z445" i="2"/>
  <c r="Z271" i="2"/>
  <c r="F417" i="1"/>
  <c r="F397" i="1"/>
  <c r="F192" i="1"/>
  <c r="F153" i="1"/>
  <c r="F409" i="1"/>
  <c r="Z396" i="2"/>
  <c r="F172" i="1"/>
  <c r="F256" i="1"/>
  <c r="F217" i="1"/>
  <c r="Z261" i="2"/>
  <c r="F316" i="1"/>
  <c r="F13" i="1"/>
  <c r="F292" i="1"/>
  <c r="F360" i="1"/>
  <c r="F379" i="1"/>
  <c r="Z420" i="2"/>
  <c r="F110" i="1"/>
  <c r="F118" i="1"/>
  <c r="F372" i="1"/>
  <c r="Z305" i="2"/>
  <c r="F19" i="1"/>
  <c r="F252" i="1"/>
  <c r="F165" i="1"/>
  <c r="F76" i="1"/>
  <c r="Z105" i="2"/>
  <c r="F297" i="1"/>
  <c r="F86" i="1"/>
  <c r="F327" i="1"/>
  <c r="Z453" i="2"/>
  <c r="Z346" i="2"/>
  <c r="Z158" i="2"/>
  <c r="F433" i="1"/>
  <c r="F115" i="1"/>
  <c r="F440" i="1"/>
  <c r="F374" i="1"/>
  <c r="F430" i="1"/>
  <c r="F158" i="1"/>
  <c r="F18" i="1"/>
  <c r="F93" i="1"/>
  <c r="Z181" i="2"/>
  <c r="F239" i="1"/>
  <c r="F380" i="1"/>
  <c r="F126" i="1"/>
  <c r="F34" i="1"/>
  <c r="F385" i="1"/>
  <c r="Z408" i="2"/>
  <c r="F240" i="1"/>
  <c r="F314" i="1"/>
  <c r="Z429" i="2"/>
  <c r="F318" i="1"/>
  <c r="F180" i="1"/>
  <c r="F41" i="1"/>
  <c r="F136" i="1"/>
  <c r="F341" i="1"/>
  <c r="Z260" i="2"/>
  <c r="F359" i="1"/>
  <c r="F310" i="1"/>
  <c r="F449" i="1"/>
  <c r="F166" i="1"/>
  <c r="F174" i="1"/>
  <c r="Z31" i="2"/>
  <c r="F287" i="1"/>
  <c r="F205" i="1"/>
  <c r="F273" i="1"/>
  <c r="F47" i="1"/>
  <c r="F90" i="1"/>
  <c r="F365" i="1"/>
  <c r="F45" i="1"/>
  <c r="Z273" i="2"/>
  <c r="Z67" i="2"/>
  <c r="F197" i="1"/>
  <c r="Z370" i="2"/>
  <c r="F419" i="1"/>
  <c r="F5" i="1"/>
  <c r="Z7" i="2"/>
  <c r="Z431" i="2"/>
  <c r="F340" i="1"/>
  <c r="F345" i="1"/>
  <c r="F276" i="1"/>
  <c r="F78" i="1"/>
  <c r="Z425" i="2"/>
  <c r="F79" i="1"/>
  <c r="F442" i="1"/>
  <c r="F74" i="1"/>
  <c r="Z101" i="2"/>
  <c r="F114" i="1"/>
  <c r="F366" i="1"/>
  <c r="F70" i="1"/>
  <c r="F62" i="1"/>
  <c r="F270" i="1"/>
  <c r="F260" i="1"/>
  <c r="F80" i="1"/>
  <c r="F58" i="1"/>
  <c r="F101" i="1"/>
  <c r="Z226" i="2"/>
  <c r="F143" i="1"/>
  <c r="F161" i="1"/>
  <c r="F232" i="1"/>
  <c r="F54" i="1"/>
  <c r="F453" i="1"/>
  <c r="F35" i="1"/>
  <c r="Z46" i="2"/>
  <c r="F204" i="1"/>
  <c r="Z55" i="2"/>
  <c r="Z232" i="2"/>
  <c r="F2" i="1"/>
  <c r="F396" i="1"/>
  <c r="F305" i="1"/>
  <c r="Z245" i="2"/>
  <c r="F226" i="1"/>
  <c r="F155" i="1"/>
  <c r="F200" i="1"/>
  <c r="F351" i="1"/>
  <c r="F439" i="1"/>
  <c r="F194" i="1"/>
  <c r="F163" i="1"/>
  <c r="F17" i="1"/>
  <c r="F38" i="1"/>
  <c r="F309" i="1"/>
  <c r="F131" i="1"/>
  <c r="Z17" i="2"/>
  <c r="F313" i="1"/>
  <c r="F330" i="1"/>
  <c r="Z364" i="2"/>
  <c r="F60" i="1"/>
  <c r="F424" i="1"/>
  <c r="F464" i="1"/>
  <c r="Z240" i="2"/>
  <c r="F450" i="1"/>
  <c r="F64" i="1"/>
  <c r="F94" i="1"/>
  <c r="F57" i="1"/>
  <c r="Z125" i="2"/>
  <c r="F63" i="1"/>
  <c r="F61" i="1"/>
  <c r="Z392" i="2"/>
  <c r="Z236" i="2"/>
  <c r="Z383" i="2"/>
  <c r="F306" i="1"/>
  <c r="F322" i="1"/>
  <c r="Z53" i="2"/>
  <c r="F196" i="1"/>
  <c r="F89" i="1"/>
  <c r="Z51" i="2"/>
  <c r="F371" i="1"/>
  <c r="F265" i="1"/>
  <c r="Z266" i="2"/>
  <c r="F8" i="1"/>
  <c r="F356" i="1"/>
  <c r="F198" i="1"/>
  <c r="Z75" i="2"/>
  <c r="F241" i="1"/>
  <c r="F283" i="1"/>
  <c r="Z218" i="2"/>
  <c r="Z415" i="2"/>
  <c r="F307" i="1"/>
  <c r="F317" i="1"/>
  <c r="F142" i="1"/>
  <c r="Z73" i="2"/>
  <c r="F383" i="1"/>
  <c r="Z298" i="2"/>
  <c r="F254" i="1"/>
  <c r="F127" i="1"/>
  <c r="F299" i="1"/>
  <c r="Z135" i="2"/>
  <c r="Z109" i="2"/>
  <c r="F102" i="1"/>
  <c r="F338" i="1"/>
  <c r="Z173" i="2"/>
  <c r="F268" i="1"/>
  <c r="F325" i="1"/>
  <c r="Z110" i="2"/>
  <c r="F152" i="1"/>
  <c r="F4" i="1"/>
  <c r="Z268" i="2"/>
  <c r="F188" i="1"/>
  <c r="Z330" i="2"/>
  <c r="Z127" i="2"/>
  <c r="Z141" i="2"/>
  <c r="F149" i="1"/>
  <c r="F208" i="1"/>
  <c r="F209" i="1"/>
  <c r="F263" i="1"/>
  <c r="Z71" i="2"/>
  <c r="F141" i="1"/>
  <c r="F24" i="1"/>
  <c r="Z205" i="2"/>
  <c r="F160" i="1"/>
  <c r="Z134" i="2"/>
  <c r="F244" i="1"/>
  <c r="F233" i="1"/>
  <c r="F242" i="1"/>
  <c r="F343" i="1"/>
  <c r="F26" i="1"/>
  <c r="F336" i="1"/>
  <c r="Z8" i="2"/>
  <c r="F201" i="1"/>
  <c r="F20" i="1"/>
  <c r="F404" i="1"/>
  <c r="F421" i="1"/>
  <c r="Z189" i="2"/>
  <c r="F458" i="1"/>
  <c r="F300" i="1"/>
  <c r="F169" i="1"/>
  <c r="F195" i="1"/>
  <c r="Z282" i="2"/>
  <c r="F462" i="1"/>
  <c r="F400" i="1"/>
  <c r="Z137" i="2"/>
  <c r="F293" i="1"/>
  <c r="Z24" i="2"/>
  <c r="F354" i="1"/>
  <c r="F213" i="1"/>
  <c r="F137" i="1"/>
  <c r="F391" i="1"/>
  <c r="F130" i="1"/>
  <c r="F331" i="1"/>
  <c r="F285" i="1"/>
  <c r="F235" i="1"/>
  <c r="F59" i="1"/>
  <c r="F382" i="1"/>
  <c r="F140" i="1"/>
  <c r="Z336" i="2"/>
  <c r="F302" i="1"/>
  <c r="F225" i="1"/>
  <c r="F138" i="1"/>
  <c r="F96" i="1"/>
  <c r="Z216" i="2"/>
  <c r="F403" i="1"/>
  <c r="F228" i="1"/>
  <c r="F454" i="1"/>
  <c r="F117" i="1"/>
  <c r="Z229" i="2"/>
  <c r="Z94" i="2"/>
  <c r="F32" i="1"/>
  <c r="F189" i="1"/>
  <c r="F129" i="1"/>
  <c r="F249" i="1"/>
  <c r="F457" i="1"/>
  <c r="F277" i="1"/>
  <c r="F321" i="1"/>
  <c r="F176" i="1"/>
  <c r="F349" i="1"/>
  <c r="Z291" i="2"/>
  <c r="F206" i="1"/>
  <c r="F420" i="1"/>
  <c r="F301" i="1"/>
  <c r="F14" i="1"/>
  <c r="Z16" i="2"/>
  <c r="F281" i="1"/>
  <c r="Z149" i="2"/>
  <c r="F219" i="1"/>
  <c r="Z412" i="2"/>
  <c r="F100" i="1"/>
  <c r="F401" i="1"/>
  <c r="F311" i="1"/>
  <c r="F275" i="1"/>
  <c r="F75" i="1"/>
  <c r="F291" i="1"/>
  <c r="F387" i="1"/>
  <c r="F353" i="1"/>
  <c r="F191" i="1"/>
  <c r="F229" i="1"/>
  <c r="F422" i="1"/>
  <c r="Z465" i="2"/>
  <c r="F181" i="1"/>
  <c r="F10" i="1"/>
  <c r="F48" i="1"/>
  <c r="F109" i="1"/>
  <c r="F402" i="1"/>
  <c r="F91" i="1"/>
  <c r="F332" i="1"/>
  <c r="F21" i="1"/>
  <c r="Z136" i="2"/>
  <c r="F320" i="1"/>
  <c r="F67" i="1"/>
  <c r="F392" i="1"/>
  <c r="F352" i="1"/>
  <c r="F193" i="1"/>
  <c r="F375" i="1"/>
  <c r="F46" i="1"/>
  <c r="F11" i="1"/>
  <c r="Z434" i="2"/>
  <c r="F432" i="1"/>
  <c r="Z89" i="2"/>
  <c r="F36" i="1"/>
  <c r="F151" i="1"/>
  <c r="Z14" i="2"/>
  <c r="F12" i="1"/>
  <c r="Z32" i="2"/>
  <c r="F30" i="1"/>
  <c r="Z130" i="2"/>
  <c r="Z380" i="2"/>
  <c r="F378" i="1"/>
  <c r="Z450" i="2"/>
  <c r="F448" i="1"/>
  <c r="Z58" i="2"/>
  <c r="F56" i="1"/>
  <c r="Z180" i="2"/>
  <c r="F178" i="1"/>
  <c r="Z386" i="2"/>
  <c r="F384" i="1"/>
  <c r="Z433" i="2"/>
  <c r="F431" i="1"/>
  <c r="F415" i="1"/>
  <c r="Z462" i="2"/>
  <c r="Z146" i="2"/>
  <c r="F28" i="1"/>
  <c r="F367" i="1"/>
  <c r="Z369" i="2"/>
  <c r="Z440" i="2"/>
  <c r="F438" i="1"/>
  <c r="Z457" i="2"/>
  <c r="F455" i="1"/>
  <c r="Z326" i="2"/>
  <c r="F324" i="1"/>
  <c r="Z300" i="2"/>
  <c r="F298" i="1"/>
  <c r="Z233" i="2"/>
  <c r="F231" i="1"/>
  <c r="Z172" i="2"/>
  <c r="F170" i="1"/>
  <c r="Z297" i="2"/>
  <c r="F295" i="1"/>
  <c r="Z161" i="2"/>
  <c r="F159" i="1"/>
  <c r="Z249" i="2"/>
  <c r="F247" i="1"/>
  <c r="Z454" i="2"/>
  <c r="F452" i="1"/>
  <c r="Z286" i="2"/>
  <c r="F284" i="1"/>
  <c r="Z201" i="2"/>
  <c r="F199" i="1"/>
  <c r="Z259" i="2"/>
  <c r="F257" i="1"/>
  <c r="Z121" i="2"/>
  <c r="F119" i="1"/>
  <c r="Z169" i="2"/>
  <c r="F167" i="1"/>
  <c r="Z52" i="2"/>
  <c r="F50" i="1"/>
  <c r="Z217" i="2"/>
  <c r="F215" i="1"/>
  <c r="Z335" i="2"/>
  <c r="F333" i="1"/>
  <c r="Z281" i="2"/>
  <c r="F279" i="1"/>
  <c r="Z238" i="2"/>
  <c r="F236" i="1"/>
  <c r="Z448" i="2"/>
  <c r="F446" i="1"/>
  <c r="Z375" i="2"/>
  <c r="F373" i="1"/>
  <c r="Z407" i="2"/>
  <c r="F405" i="1"/>
  <c r="Z114" i="2"/>
  <c r="F112" i="1"/>
  <c r="Z359" i="2"/>
  <c r="F357" i="1"/>
  <c r="Z391" i="2"/>
  <c r="F389" i="1"/>
  <c r="Z276" i="2"/>
  <c r="F274" i="1"/>
</calcChain>
</file>

<file path=xl/sharedStrings.xml><?xml version="1.0" encoding="utf-8"?>
<sst xmlns="http://schemas.openxmlformats.org/spreadsheetml/2006/main" count="5699" uniqueCount="2132">
  <si>
    <t>Reference number </t>
  </si>
  <si>
    <t>CC account</t>
  </si>
  <si>
    <t>Line: Amount</t>
  </si>
  <si>
    <t>Name</t>
  </si>
  <si>
    <t>Type</t>
  </si>
  <si>
    <t>Line: Account </t>
  </si>
  <si>
    <t>Credit</t>
  </si>
  <si>
    <t>Currency</t>
  </si>
  <si>
    <t>Location</t>
  </si>
  <si>
    <t>Exchange Rate</t>
  </si>
  <si>
    <t>Global tax calculation</t>
  </si>
  <si>
    <t>Update Credit Card Charge</t>
  </si>
  <si>
    <t>Line: Billable status</t>
  </si>
  <si>
    <t>Line: Class</t>
  </si>
  <si>
    <t>Line: Customer</t>
  </si>
  <si>
    <t>Line: Tax code</t>
  </si>
  <si>
    <t>Line: Description</t>
  </si>
  <si>
    <t>Line: Tax amount</t>
  </si>
  <si>
    <t>Line: Markup percent</t>
  </si>
  <si>
    <t>Item: Product</t>
  </si>
  <si>
    <t>Item: Quantity</t>
  </si>
  <si>
    <t>Item: Unit price</t>
  </si>
  <si>
    <t>Payment method</t>
  </si>
  <si>
    <t>Memo</t>
  </si>
  <si>
    <t>Txn date</t>
  </si>
  <si>
    <t>Txn source</t>
  </si>
  <si>
    <t>Total tax</t>
  </si>
  <si>
    <t>Transaction Location Type</t>
  </si>
  <si>
    <t>Attachment: File Link</t>
  </si>
  <si>
    <t>Attachment: Id</t>
  </si>
  <si>
    <t>Attachment: Attach to email</t>
  </si>
  <si>
    <t>Credit Card Account:</t>
  </si>
  <si>
    <t>Brex Credit Card</t>
  </si>
  <si>
    <t>Travel Vendor</t>
  </si>
  <si>
    <t>Taxi Vendor</t>
  </si>
  <si>
    <t>QBO Credit Card Transaction Data</t>
  </si>
  <si>
    <t>Food Vendor</t>
  </si>
  <si>
    <t>Office Vendor</t>
  </si>
  <si>
    <t>DATE</t>
  </si>
  <si>
    <t>DESCRIPTION</t>
  </si>
  <si>
    <t>Payee</t>
  </si>
  <si>
    <t>Category or Match</t>
  </si>
  <si>
    <t>SPENT</t>
  </si>
  <si>
    <t>RECEIVED</t>
  </si>
  <si>
    <t>xxx</t>
  </si>
  <si>
    <t>Payee Override</t>
  </si>
  <si>
    <t>Full Acct Override</t>
  </si>
  <si>
    <t>Parent Category Override</t>
  </si>
  <si>
    <t>Sub Category Override</t>
  </si>
  <si>
    <t>Dept Override</t>
  </si>
  <si>
    <t>Card #</t>
  </si>
  <si>
    <t>Card Name</t>
  </si>
  <si>
    <t>EE ID</t>
  </si>
  <si>
    <t>Date</t>
  </si>
  <si>
    <t>Vendor</t>
  </si>
  <si>
    <t>Amount</t>
  </si>
  <si>
    <t>Updated Description</t>
  </si>
  <si>
    <t>Card Acct</t>
  </si>
  <si>
    <t>Parent Category</t>
  </si>
  <si>
    <t>Sub Category</t>
  </si>
  <si>
    <t>Line Acct</t>
  </si>
  <si>
    <t>Department</t>
  </si>
  <si>
    <t>Acct Check</t>
  </si>
  <si>
    <t>SPOTHERO 844-356-8054 MASTERCARD-XXXXXXPJG2AN-Logan Rohloff</t>
  </si>
  <si>
    <t>Sales &amp; Marketing:Sales &amp; Marketing- Travel Expenses:Ground Transportation</t>
  </si>
  <si>
    <t>SpotHero</t>
  </si>
  <si>
    <t>Ground Transportation</t>
  </si>
  <si>
    <t>2253</t>
  </si>
  <si>
    <t>ANTHROPIC MASTERCARD-XXXXXXQYD6Y9-Eric Rabkin</t>
  </si>
  <si>
    <t>General &amp; Administrative:Software Licenses</t>
  </si>
  <si>
    <t>Anthropic</t>
  </si>
  <si>
    <t>Software Licenses</t>
  </si>
  <si>
    <t>0151</t>
  </si>
  <si>
    <t>UBER   *TRIP MASTERCARD-XXXXXX9HTP2T-Daniel Blauvelt</t>
  </si>
  <si>
    <t>Uber</t>
  </si>
  <si>
    <t>TST*SWEENEYS MASTERCARD-XXXXXXNQXBCA-Ryan Hale</t>
  </si>
  <si>
    <t>Sales &amp; Marketing:Sales &amp; Marketing- Travel Expenses:Meals &amp; Entertainment</t>
  </si>
  <si>
    <t>Sweeney's</t>
  </si>
  <si>
    <t>Meals &amp; Entertainment</t>
  </si>
  <si>
    <t>UBER *EATS HELP.UBER.C MASTERCARD-XXXXXXFXJBXL-Jackson Donahoe</t>
  </si>
  <si>
    <t>1757</t>
  </si>
  <si>
    <t>UBER   *TRIP MASTERCARD-XXXXXX113XV3-Michael Button</t>
  </si>
  <si>
    <t>UBER   *TRIP MASTERCARD-XXXXXXPLNGVU-Leslee Brady</t>
  </si>
  <si>
    <t>2029</t>
  </si>
  <si>
    <t>UBER   *TRIP MASTERCARD-XXXXXXDU86DC-William Watson</t>
  </si>
  <si>
    <t>UBER   *TRIP MASTERCARD-XXXXXXRH0ON1-Jonathan Stricklin</t>
  </si>
  <si>
    <t>1559</t>
  </si>
  <si>
    <t>UBER   *TRIP MASTERCARD-XXXXXXBVS4W8-Frederick Simpson</t>
  </si>
  <si>
    <t>UBER   *TRIP MASTERCARD-XXXXXXF6IXA9-Michael Button</t>
  </si>
  <si>
    <t>UBER   *TRIP MASTERCARD-XXXXXXO1EQ9C-Tokuya Takahashi</t>
  </si>
  <si>
    <t>TST*SWEENEYS MASTERCARD-XXXXXX0UACG1-Anamaria Gramada</t>
  </si>
  <si>
    <t>LYFT   *STANDARD 07-29 MASTERCARD-XXXXXXQ5WVA4-Darshilkumar Shah</t>
  </si>
  <si>
    <t>Lyft</t>
  </si>
  <si>
    <t>Audible*M65CI3K63 MASTERCARD-XXXXXX0V96UI-Matt Hyman</t>
  </si>
  <si>
    <t>Dues &amp; Subscriptions</t>
  </si>
  <si>
    <t>3228</t>
  </si>
  <si>
    <t>UBER   *TRIP MASTERCARD-XXXXXXUI2GZ4-Jonathan Stricklin</t>
  </si>
  <si>
    <t>TST*SRV - BOSTON MASTERCARD-XXXXXXNLBUC5-Mickenzi Krpec</t>
  </si>
  <si>
    <t>2623</t>
  </si>
  <si>
    <t>TST*SWEENEYS MASTERCARD-XXXXXX282FVU-Matt Hyman</t>
  </si>
  <si>
    <t>UBER   *TRIP MASTERCARD-XXXXXX7O5SL0-Saurabh Premraj</t>
  </si>
  <si>
    <t>UBER   *TRIP MASTERCARD-XXXXXXQ0RO6W-Zayn Moselhy</t>
  </si>
  <si>
    <t>LYFT   *SCHD STD 07-29 MASTERCARD-XXXXXX1Y2IYE-Patrick Donovan</t>
  </si>
  <si>
    <t>1310</t>
  </si>
  <si>
    <t>UBER   *TRIP MASTERCARD-XXXXXXG5H8YM-Frederick Simpson</t>
  </si>
  <si>
    <t>UBER   *TRIP MASTERCARD-XXXXXXEGMHWC-Tyler Grimshaw</t>
  </si>
  <si>
    <t>UBER   *TRIP MASTERCARD-XXXXXXR1SOS6-Toni Manning</t>
  </si>
  <si>
    <t>2219</t>
  </si>
  <si>
    <t>UBER   *TRIP MASTERCARD-XXXXXXXR4LXN-Jackson Donahoe</t>
  </si>
  <si>
    <t>UBER   *TRIP MASTERCARD-XXXXXXWBKXK9-Robert Kolosky</t>
  </si>
  <si>
    <t>UBER   *TRIP MASTERCARD-XXXXXXLK316L-Jonathan Stricklin</t>
  </si>
  <si>
    <t>UBER   *TRIP MASTERCARD-XXXXXX0YLSJ6-Tokuya Takahashi</t>
  </si>
  <si>
    <t>UBER   *TRIP MASTERCARD-XXXXXX9HZBAE-Frederick Simpson</t>
  </si>
  <si>
    <t>TST* YELLOW DOOR TAQUE MASTERCARD-XXXXXXO4D629-Mitchell Nethercott</t>
  </si>
  <si>
    <t>UBER   *TRIP MASTERCARD-XXXXXXDRZKHY-Alexander Glenn</t>
  </si>
  <si>
    <t>UBER   *TRIP MASTERCARD-XXXXXXPOW1YO-Israel Baral</t>
  </si>
  <si>
    <t>VPNE BackBayGarage MASTERCARD-XXXXXXYNKQQQ-Kevin Ebert</t>
  </si>
  <si>
    <t>Back Bay Garage</t>
  </si>
  <si>
    <t>UBER   *TRIP MASTERCARD-XXXXXXJ2BIB9-Dor Vaknin</t>
  </si>
  <si>
    <t>1503</t>
  </si>
  <si>
    <t>UBER   *TRIP MASTERCARD-XXXXXXFKYF9Q-Ryan Henrich</t>
  </si>
  <si>
    <t>1468</t>
  </si>
  <si>
    <t>TST* YELLOW DOOR TAQUE MASTERCARD-XXXXXXN730G8-Mickenzi Krpec</t>
  </si>
  <si>
    <t>STOP &amp; SHOP 0498 MASTERCARD-XXXXXXGEDZOR-Mickenzi Krpec</t>
  </si>
  <si>
    <t>Stop &amp; Shop</t>
  </si>
  <si>
    <t>UBER   *TRIP MASTERCARD-XXXXXXVJL17O-Robert Kolosky</t>
  </si>
  <si>
    <t>TOTAL WINE AND MORE MASTERCARD-XXXXXXCLM50K-Mickenzi Krpec</t>
  </si>
  <si>
    <t>Office Supplies</t>
  </si>
  <si>
    <t>UBER *EATS HELP.UBER.C MASTERCARD-XXXXXXRUTEXJ-Jeff Mu</t>
  </si>
  <si>
    <t>2014</t>
  </si>
  <si>
    <t>WEBFLOW.COM MASTERCARD-XXXXXXAHZL3M-Toni Manning</t>
  </si>
  <si>
    <t>webflow.com</t>
  </si>
  <si>
    <t>UBER   *TRIP MASTERCARD-XXXXXXFWJPAP-Robert Kolosky</t>
  </si>
  <si>
    <t>UBER   *TRIP MASTERCARD-XXXXXXW4V34Y-Karalyn Sims</t>
  </si>
  <si>
    <t>UBER   *TRIP MASTERCARD-XXXXXXMQI5KD-Jacob Woolf</t>
  </si>
  <si>
    <t>1799</t>
  </si>
  <si>
    <t>UBER   *TRIP MASTERCARD-XXXXXXBSMK5F-Dean DeMonte</t>
  </si>
  <si>
    <t>UBER   *TRIP MASTERCARD-XXXXXXNRJ4KK-Jacy Hennawy</t>
  </si>
  <si>
    <t>WWW.PLAYPKL.COM MASTERCARD-XXXXXXIMHJE1-Aaron Rhodes</t>
  </si>
  <si>
    <t>PKL Boston</t>
  </si>
  <si>
    <t>2102</t>
  </si>
  <si>
    <t>UBER   *TRIP MASTERCARD-XXXXXXVVWVUJ-Harry Tomczyk</t>
  </si>
  <si>
    <t>UK.BOOKSHOP.ORG MASTERCARD-XXXXXXE3IZSY-Mickenzi Krpec</t>
  </si>
  <si>
    <t>TATTEBAKERY MASTERCARD-XXXXXXPWTP5I-Chloe Brant</t>
  </si>
  <si>
    <t>Tatte</t>
  </si>
  <si>
    <t>2675</t>
  </si>
  <si>
    <t>NEWSLINK 13 BOS MASTERCARD-XXXXXXC2BUXX-Tanner Ylvisaker</t>
  </si>
  <si>
    <t>Sales &amp; Marketing:Sales &amp; Marketing- Travel Expenses:Other Travel Expenses</t>
  </si>
  <si>
    <t>Newslink</t>
  </si>
  <si>
    <t>Other Travel Expenses</t>
  </si>
  <si>
    <t>2980</t>
  </si>
  <si>
    <t>UBER   *EATS MASTERCARD-XXXXXX6XYIJ8-Ryan Henrich</t>
  </si>
  <si>
    <t>THE NEWBURY BOSTON F A MASTERCARD-XXXXXX2WPYC6-Elias Kapetanopoulos</t>
  </si>
  <si>
    <t>Sales &amp; Marketing:Sales &amp; Marketing- Travel Expenses:Lodging</t>
  </si>
  <si>
    <t>The Newbury Boston</t>
  </si>
  <si>
    <t>Lodging</t>
  </si>
  <si>
    <t>TST* DIG INN - BACK BA MASTERCARD-XXXXXXWO4XN1-Tyler Grimshaw</t>
  </si>
  <si>
    <t>Dig Inn</t>
  </si>
  <si>
    <t>UBER   *TRIP MASTERCARD-XXXXXXZBBRRB-Michael Button</t>
  </si>
  <si>
    <t>JIMMY JOHNS - 4455 MASTERCARD-XXXXXXKEL7Y8-Tanner Ylvisaker</t>
  </si>
  <si>
    <t>UBER   *TRIP MASTERCARD-XXXXXXTG6329-Michael Button</t>
  </si>
  <si>
    <t>ALLIANZ TRAVEL INS MASTERCARD-XXXXXXCDHONB-Karalyn Sims</t>
  </si>
  <si>
    <t>Allianz</t>
  </si>
  <si>
    <t>DELTA MASTERCARD-XXXXXXY5DIEO-Karalyn Sims</t>
  </si>
  <si>
    <t>Delta</t>
  </si>
  <si>
    <t>Airfare</t>
  </si>
  <si>
    <t>DELTA MASTERCARD-XXXXXX7FENXD-Karalyn Sims</t>
  </si>
  <si>
    <t>DELTA MASTERCARD-XXXXXX22AKKS-Karalyn Sims</t>
  </si>
  <si>
    <t>DELTA MASTERCARD-XXXXXXO1FWMP-Karalyn Sims</t>
  </si>
  <si>
    <t>UBER   *TRIP MASTERCARD-XXXXXXI1L1UK-Michael Button</t>
  </si>
  <si>
    <t>UBER   *TRIP MASTERCARD-XXXXXXCK940K-Tanner Ylvisaker</t>
  </si>
  <si>
    <t>TST* TATTE BAKERY BACK MASTERCARD-XXXXXX9QFEIY-Michael Joyce</t>
  </si>
  <si>
    <t>TATTEBAKERY MASTERCARD-XXXXXXZZBWEZ-Mickenzi Krpec</t>
  </si>
  <si>
    <t>UBER   *TRIP MASTERCARD-XXXXXXJA4V8M-Michael Button</t>
  </si>
  <si>
    <t>UBER   *TRIP MASTERCARD-XXXXXXV1AKMB-Michael Button</t>
  </si>
  <si>
    <t>TST* NAYA - 500 BOYLST MASTERCARD-XXXXXXSUJMT5-Chloe Brant</t>
  </si>
  <si>
    <t>TST* NAYA - 500 BOYLST MASTERCARD-XXXXXX6CWSC6-Vincent Planz</t>
  </si>
  <si>
    <t>2078</t>
  </si>
  <si>
    <t>JINA.AI MASTERCARD-XXXXXX6XWJU0-Matthew Morris</t>
  </si>
  <si>
    <t>EXXON MERRITT PKWY GRE MASTERCARD-XXXXXX1AO3VQ-Ryan McStravick</t>
  </si>
  <si>
    <t>Exxon</t>
  </si>
  <si>
    <t>1419</t>
  </si>
  <si>
    <t>UBER   *TRIP MASTERCARD-XXXXXXEUJGUH-Matthew Morris</t>
  </si>
  <si>
    <t>UBER   *TRIP MASTERCARD-XXXXXX6M94Y6-Ryan Henrich</t>
  </si>
  <si>
    <t>MCDONALD'S F20727 MASTERCARD-XXXXXXTQ251D-Jacob Woolf</t>
  </si>
  <si>
    <t>McDonald's</t>
  </si>
  <si>
    <t>AIR ESSENTIALS 122 DFW MASTERCARD-XXXXXX0QTA9M-Jacob Woolf</t>
  </si>
  <si>
    <t>TST* RAMIS MASTERCARD-XXXXXX9NHJTH-Meghan Murray</t>
  </si>
  <si>
    <t>1641</t>
  </si>
  <si>
    <t>1042 CAFFE NERO COFFEE MASTERCARD-XXXXXX32OZSH-Nestor Abad Rodriguez</t>
  </si>
  <si>
    <t>Cafe Nero</t>
  </si>
  <si>
    <t>UBER   *TRIP MASTERCARD-XXXXXX9PUU2R-Chloe Brant</t>
  </si>
  <si>
    <t>SQ *CAFE #65224 BACK B MASTERCARD-XXXXXXRPL2E3-Brian McGonigal</t>
  </si>
  <si>
    <t>SQ *THINKING CUP NEWBU MASTERCARD-XXXXXX0G91RL-Jared Kennedy</t>
  </si>
  <si>
    <t>Thinking Cup</t>
  </si>
  <si>
    <t>LinkedIn P3061358805 MASTERCARD-XXXXXXP8M8F9-Karalyn Sims</t>
  </si>
  <si>
    <t>General &amp; Administrative:Office Expenses:Dues &amp; Subscriptions</t>
  </si>
  <si>
    <t>LinkedIn Corporation</t>
  </si>
  <si>
    <t>TST* TATTE BAKERY - CO MASTERCARD-XXXXXX75F0H0-Ben Savage</t>
  </si>
  <si>
    <t>1560</t>
  </si>
  <si>
    <t>CVS/PHARMACY #01217 MASTERCARD-XXXXXXWSMXI6-Gary Passaglia</t>
  </si>
  <si>
    <t>General &amp; Administrative:Office Expenses:Office Supplies</t>
  </si>
  <si>
    <t>CVS</t>
  </si>
  <si>
    <t>1427</t>
  </si>
  <si>
    <t>MBTA-550048231694 MASTERCARD-XXXXXXWMGEU8-Karalyn Sims</t>
  </si>
  <si>
    <t>General &amp; Administrative:G&amp;A- Travel Expenses:Ground Transportation</t>
  </si>
  <si>
    <t>Mbta</t>
  </si>
  <si>
    <t>DUNKIN #300417 Q35 MASTERCARD-XXXXXX8FRDT2-Gary Passaglia</t>
  </si>
  <si>
    <t>Dunkin Donuts</t>
  </si>
  <si>
    <t>UBER   *TRIP MASTERCARD-XXXXXX16E23A-Gaby Catalano</t>
  </si>
  <si>
    <t>OLO*Pressed Cafe MASTERCARD-XXXXXXPWVICO-Michael Joyce</t>
  </si>
  <si>
    <t>TST* TATTE BAKERY - CO MASTERCARD-XXXXXXFVGVVS-Maile Call</t>
  </si>
  <si>
    <t>PRESSED CAFE PRUDENTI MASTERCARD-XXXXXXA52LG3-Mickenzi Krpec</t>
  </si>
  <si>
    <t>TST*SWEENEYS MASTERCARD-XXXXXXLP8CJO-Tyler Grimshaw</t>
  </si>
  <si>
    <t>UBER   *TRIP MASTERCARD-XXXXXXUTPOIB-Matt Hyman</t>
  </si>
  <si>
    <t>UBER   *TRIP MASTERCARD-XXXXXXYKW01G-Ryan Henrich</t>
  </si>
  <si>
    <t>PPL - FAN PIER MASTERCARD-XXXXXX9PARU8-Elyse Neumeier</t>
  </si>
  <si>
    <t>2923</t>
  </si>
  <si>
    <t>TST*SWEENEYS MASTERCARD-XXXXXXXY71GE-Ben Savage</t>
  </si>
  <si>
    <t>Grill 23  Bar MASTERCARD-XXXXXXQEBO44-Ryan Henrich</t>
  </si>
  <si>
    <t>PIER 4 GARAGE MASTERCARD-XXXXXX7MPX0L-Ashley Karpel</t>
  </si>
  <si>
    <t>General &amp; Administrative:Office Expenses:Rent &amp; Lease</t>
  </si>
  <si>
    <t>Pier 4</t>
  </si>
  <si>
    <t>3137</t>
  </si>
  <si>
    <t>UBER   *TRIP MASTERCARD-XXXXXXO5XP55-Robert Kolosky</t>
  </si>
  <si>
    <t>THE WILDDUCK MARKET PL MASTERCARD-XXXXXXGGM8ZB-Robert Kolosky</t>
  </si>
  <si>
    <t>One Seaport Garage MASTERCARD-XXXXXXH1JO6G-Kevin Ebert</t>
  </si>
  <si>
    <t>THE WILDDUCK MARKET PL MASTERCARD-XXXXXX1E5E3G-Jon Giara</t>
  </si>
  <si>
    <t>1032</t>
  </si>
  <si>
    <t>UBER   *TRIP MASTERCARD-XXXXXXRGUIDP-Robert Kolosky</t>
  </si>
  <si>
    <t>UBER   *TRIP MASTERCARD-XXXXXXUIUXP7-Ben Savage</t>
  </si>
  <si>
    <t>TST* LIMANI SEAPORT PO MASTERCARD-XXXXXX2G9W23-Matt Hyman</t>
  </si>
  <si>
    <t>UBER *TRIP HELP.UBER.C MASTERCARD-XXXXXXXY7DME-Daniel Blauvelt</t>
  </si>
  <si>
    <t>SQ *CISCO BREWERS, INC MASTERCARD-XXXXXXOQO3Z0-Tyler Grimshaw</t>
  </si>
  <si>
    <t>LYFT   *BLK RIDE 07-28 MASTERCARD-XXXXXX36GOEB-Tyler Grimshaw</t>
  </si>
  <si>
    <t>UBER   *TRIP MASTERCARD-XXXXXXL48426-Paulina Mateo</t>
  </si>
  <si>
    <t>SQ *CISCO BREWERS, INC MASTERCARD-XXXXXXHT0QCW-Mickenzi Krpec</t>
  </si>
  <si>
    <t>LYFT   *STANDARD 07-28 MASTERCARD-XXXXXXI7T7HG-Darshilkumar Shah</t>
  </si>
  <si>
    <t>WWW.VIVAKARAOKE.COM MASTERCARD-XXXXXXVJVT6A-Daniel Hamilton</t>
  </si>
  <si>
    <t>UBER   *TRIP MASTERCARD-XXXXXXZV7YI5-Dean DeMonte</t>
  </si>
  <si>
    <t>PPL - 100 NORTHERN AVE MASTERCARD-XXXXXXKLTL3V-Daniel Roy</t>
  </si>
  <si>
    <t>1047</t>
  </si>
  <si>
    <t>UBER   *TRIP MASTERCARD-XXXXXXGAM2K0-Zayn Moselhy</t>
  </si>
  <si>
    <t>UBER   *TRIP MASTERCARD-XXXXXXQZ6DY8-Ryan Henrich</t>
  </si>
  <si>
    <t>ALYX SOUTH GARAGE MASTERCARD-XXXXXXSW87IH-Elias Kapetanopoulos</t>
  </si>
  <si>
    <t>DD *DOORDASH THEKOSHER MASTERCARD-XXXXXXPRK522-Israel Baral</t>
  </si>
  <si>
    <t>Door Dash</t>
  </si>
  <si>
    <t>LYFT   *1 RIDE 07-28 MASTERCARD-XXXXXXF8PRVN-Sakshi Sasalate</t>
  </si>
  <si>
    <t>1872</t>
  </si>
  <si>
    <t>CHIPOTLE 2341 MASTERCARD-XXXXXXNVGH1J-Tanner Ylvisaker</t>
  </si>
  <si>
    <t>Chipotle</t>
  </si>
  <si>
    <t>ALLIANZ TRAVEL INS MASTERCARD-XXXXXX3TZEJM-Harry Tomczyk</t>
  </si>
  <si>
    <t>ALASKA A MASTERCARD-XXXXXXSISMGD-Harry Tomczyk</t>
  </si>
  <si>
    <t>Alaska Air</t>
  </si>
  <si>
    <t>ALASKA A MASTERCARD-XXXXXX236PXL-Harry Tomczyk</t>
  </si>
  <si>
    <t>UBER   *TRIP MASTERCARD-XXXXXXCDP8BP-Frederick Simpson</t>
  </si>
  <si>
    <t>SOUTHWES MASTERCARD-XXXXXXG4R3BH-Harry Tomczyk</t>
  </si>
  <si>
    <t>Southwest Air</t>
  </si>
  <si>
    <t>SOUTHWES MASTERCARD-XXXXXXBM8897-Harry Tomczyk</t>
  </si>
  <si>
    <t>TST*CISCO SEAPORT MASTERCARD-XXXXXXG1OBBY-Mickenzi Krpec</t>
  </si>
  <si>
    <t>UBER   *TRIP MASTERCARD-XXXXXXFRBTMS-Maile Call</t>
  </si>
  <si>
    <t>UBER   *TRIP MASTERCARD-XXXXXXCZTIM8-Zayn Moselhy</t>
  </si>
  <si>
    <t>RAISING CANES 0676 MASTERCARD-XXXXXXFC3HXX-Tokuya Takahashi</t>
  </si>
  <si>
    <t>Raising Canes</t>
  </si>
  <si>
    <t>UBER   *TRIP MASTERCARD-XXXXXX2L35PS-Bryan Kuhlman</t>
  </si>
  <si>
    <t>UBER   *TRIP MASTERCARD-XXXXXXKC3T7U-Ryan Henrich</t>
  </si>
  <si>
    <t>PPL - 100 NORTHERN AVE MASTERCARD-XXXXXXVIH402-Dor Vaknin</t>
  </si>
  <si>
    <t>CURB SVC - TAXI APP MASTERCARD-XXXXXXDBQDOC-Robert Lankford</t>
  </si>
  <si>
    <t>Curb</t>
  </si>
  <si>
    <t>1450</t>
  </si>
  <si>
    <t>UBER   *TRIP MASTERCARD-XXXXXX1RQ031-Erik Williams</t>
  </si>
  <si>
    <t>1529</t>
  </si>
  <si>
    <t>UBER   *EATS MASTERCARD-XXXXXXSYA9QV-Jeff Mu</t>
  </si>
  <si>
    <t>UBER   *TRIP MASTERCARD-XXXXXXD3F8T7-Ryan Henrich</t>
  </si>
  <si>
    <t>UBER   *TRIP MASTERCARD-XXXXXX1HN8EX-Toni Manning</t>
  </si>
  <si>
    <t>UBER   *TRIP MASTERCARD-XXXXXX4F6GRT-Anamaria Gramada</t>
  </si>
  <si>
    <t>VPNE BackBayGarage MASTERCARD-XXXXXXA7LHRJ-Kevin Ebert</t>
  </si>
  <si>
    <t>UBER   *TRIP MASTERCARD-XXXXXXA9TW4V-Ben Savage</t>
  </si>
  <si>
    <t>MBTA-550048231694 MASTERCARD-XXXXXXKXHEW0-Karalyn Sims</t>
  </si>
  <si>
    <t>LYFT   *AIRPORT 07-27 MASTERCARD-XXXXXXG6L5IQ-Tyler Grimshaw</t>
  </si>
  <si>
    <t>UBER   *TRIP MASTERCARD-XXXXXX3GGACS-Maile Call</t>
  </si>
  <si>
    <t>UBER   *TRIP MASTERCARD-XXXXXXX83MBC-Maile Call</t>
  </si>
  <si>
    <t>SPOTHERO 844-356-8054 MASTERCARD-XXXXXXAHR7ET-Meghan Murray</t>
  </si>
  <si>
    <t>UNITED MASTERCARD-XXXXXXNHBXMF-McKenna Skoczen</t>
  </si>
  <si>
    <t>United Airlines</t>
  </si>
  <si>
    <t>CVS/PHARMACY #01217 MASTERCARD-XXXXXXVNBYQY-Samantha Purpura</t>
  </si>
  <si>
    <t>STARBUCKS STORE 80448 MASTERCARD-XXXXXXH8I7QF-Toni Manning</t>
  </si>
  <si>
    <t>Starbucks</t>
  </si>
  <si>
    <t>MICRO CENTER #121 MASTERCARD-XXXXXXNSZZ0P-Michael Button</t>
  </si>
  <si>
    <t>Hardware &amp; Peripherals</t>
  </si>
  <si>
    <t>SOUTHWES MASTERCARD-XXXXXXFY3NAH-Jonathan Stricklin</t>
  </si>
  <si>
    <t>THAI BASIL RESTAURANT MASTERCARD-XXXXXXTTQVEV-Anthony Nguyen</t>
  </si>
  <si>
    <t>TST* LOLITA BACK BAY MASTERCARD-XXXXXXCUBPYP-Toni Manning</t>
  </si>
  <si>
    <t>CACTUS CLUB BACK BAY MASTERCARD-XXXXXXRXD3QO-Kevin Ebert</t>
  </si>
  <si>
    <t>Cactus Club</t>
  </si>
  <si>
    <t>TST*PARISH CAFE MASTERCARD-XXXXXXOP94CE-Colin Galanaugh</t>
  </si>
  <si>
    <t>Parish Cafe</t>
  </si>
  <si>
    <t>UBER   *TRIP MASTERCARD-XXXXXX7Z44ZM-Maile Call</t>
  </si>
  <si>
    <t>SPO*FINAGLEABAGEL MASTERCARD-XXXXXXSBBL7P-Matt Hyman</t>
  </si>
  <si>
    <t>TST* DIG INN - BACK BA MASTERCARD-XXXXXXM24VLJ-Brian McGonigal</t>
  </si>
  <si>
    <t>TST* NAYA - 500 BOYLST MASTERCARD-XXXXXXJ4L8NA-Frederick Simpson</t>
  </si>
  <si>
    <t>SQ *THINKING CUP NEWBU MASTERCARD-XXXXXXFHIOXK-Ben Savage</t>
  </si>
  <si>
    <t>WWW.SWEETGREEN.COM MASTERCARD-XXXXXXXPSP0V-Vincent Planz</t>
  </si>
  <si>
    <t>Sweetgreen</t>
  </si>
  <si>
    <t>Adobe MASTERCARD-XXXXXXXRB6TN-Vincent Planz</t>
  </si>
  <si>
    <t>Adobe</t>
  </si>
  <si>
    <t>UBER   *TRIP MASTERCARD-XXXXXXSA8BTN-Lyndsey Cohen</t>
  </si>
  <si>
    <t>2238</t>
  </si>
  <si>
    <t>DD *DOORDASH VEGGIECRU MASTERCARD-XXXXXXILBFDN-Israel Baral</t>
  </si>
  <si>
    <t>UBER   *TRIP MASTERCARD-XXXXXXYULQV5-Ryan Henrich</t>
  </si>
  <si>
    <t>STARBUCKS STORE 80448 MASTERCARD-XXXXXXYHZ03J-Jared Kennedy</t>
  </si>
  <si>
    <t>Amazon.com*Q50XE0ZM3 MASTERCARD-XXXXXX9E9R7Y-Mickenzi Krpec</t>
  </si>
  <si>
    <t>Amazon</t>
  </si>
  <si>
    <t>CVS/PHARMACY #01217 MASTERCARD-XXXXXXYC4CPA-Tyler Grimshaw</t>
  </si>
  <si>
    <t>STARBUCKS STORE 80448 MASTERCARD-XXXXXX7Y60VT-Daniel Levin</t>
  </si>
  <si>
    <t>CVS/PHARMACY #01217 MASTERCARD-XXXXXXNH98Q0-Gary Passaglia</t>
  </si>
  <si>
    <t>STARBUCKS 80448 MASTERCARD-XXXXXXGN8JAX-Toni Manning</t>
  </si>
  <si>
    <t>DUNKIN #300417 Q35 MASTERCARD-XXXXXXCBHOMR-Gary Passaglia</t>
  </si>
  <si>
    <t>MBTA-550048231694 MASTERCARD-XXXXXXIJZJJL-Karalyn Sims</t>
  </si>
  <si>
    <t>SPOTHERO 844-356-8054 MASTERCARD-XXXXXXUBMTLL-Michele Cox</t>
  </si>
  <si>
    <t>2276</t>
  </si>
  <si>
    <t>UBER   *TRIP MASTERCARD-XXXXXXVGPS5C-Erik Williams</t>
  </si>
  <si>
    <t>501 BOYLSTON STREET MASTERCARD-XXXXXXIMY3RG-Mickenzi Krpec</t>
  </si>
  <si>
    <t>Naya</t>
  </si>
  <si>
    <t>SPOTHERO 844-356-8054 MASTERCARD-XXXXXXQ0PFZW-Jesse Eddy</t>
  </si>
  <si>
    <t>2204</t>
  </si>
  <si>
    <t>SQ *BLUE BOTTLE COFFEE MASTERCARD-XXXXXXX3JGQO-Jonathan Stricklin</t>
  </si>
  <si>
    <t>Blue Bottle</t>
  </si>
  <si>
    <t>THE WILDDUCK MARKET PL MASTERCARD-XXXXXXQO8CCT-John Taylor</t>
  </si>
  <si>
    <t>3159</t>
  </si>
  <si>
    <t>UBER   *TRIP MASTERCARD-XXXXXXABV6N7-Maile Call</t>
  </si>
  <si>
    <t>UBER   *TRIP MASTERCARD-XXXXXXP6WVWF-Ben Savage</t>
  </si>
  <si>
    <t>TST*SWEENEYS MASTERCARD-XXXXXXCL7SYR-Tyler Grimshaw</t>
  </si>
  <si>
    <t>TST*SWEENEYS MASTERCARD-XXXXXXTL0LLM-Jared Kennedy</t>
  </si>
  <si>
    <t>TST*SWEENEYS MASTERCARD-XXXXXX7IRDAR-Jared Kennedy</t>
  </si>
  <si>
    <t>CVS/PHARMACY #01217 MASTERCARD-XXXXXXV40M1Y-Jason Speet</t>
  </si>
  <si>
    <t>1575</t>
  </si>
  <si>
    <t>UBER   *TRIP MASTERCARD-XXXXXXD4G0SS-Gary Passaglia</t>
  </si>
  <si>
    <t>UBER   *TRIP MASTERCARD-XXXXXXF2JXDE-William Watson</t>
  </si>
  <si>
    <t>UBER   *TRIP MASTERCARD-XXXXXX9SS2VC-Daniel Blauvelt</t>
  </si>
  <si>
    <t>TST*SWEENEYS MASTERCARD-XXXXXXOR817M-Michael Christinsen</t>
  </si>
  <si>
    <t>ATLANTIC FISH MASTERCARD-XXXXXXNSRD9V-Yadwinder Singh</t>
  </si>
  <si>
    <t>UBER   *EATS MASTERCARD-XXXXXXXMLZDG-Anamaria Gramada</t>
  </si>
  <si>
    <t>TST*SWEENEYS MASTERCARD-XXXXXXA29F03-Jared Kennedy</t>
  </si>
  <si>
    <t>TST*SWEENEYS MASTERCARD-XXXXXXVJNK8B-James Dean</t>
  </si>
  <si>
    <t>UBER   *EATS MASTERCARD-XXXXXXYBQWP8-Jeff Mu</t>
  </si>
  <si>
    <t>LYFT   *1 RIDE 07-27 MASTERCARD-XXXXXXMWIBZ1-Karalyn Sims</t>
  </si>
  <si>
    <t>THE WILDDUCK MARKET PL MASTERCARD-XXXXXXR8ARDU-Robert Kolosky</t>
  </si>
  <si>
    <t>RAFFLES BOSTON F&amp;B MASTERCARD-XXXXXXY5J5SE-Toni Manning</t>
  </si>
  <si>
    <t>UBER   *TRIP MASTERCARD-XXXXXXC83NBT-Jackson Donahoe</t>
  </si>
  <si>
    <t>UBER   *TRIP MASTERCARD-XXXXXXF4ZM7I-Maile Call</t>
  </si>
  <si>
    <t>CAPITAL BURGER 0213402 MASTERCARD-XXXXXXUZL52L-Matt Hyman</t>
  </si>
  <si>
    <t>Capital Burger</t>
  </si>
  <si>
    <t>TST*LEVAIN NEWBURY BOS MASTERCARD-XXXXXXCJOTOY-Jonathan Stricklin</t>
  </si>
  <si>
    <t>UBER   *TRIP MASTERCARD-XXXXXXX7XU0P-Jackson Donahoe</t>
  </si>
  <si>
    <t>RAISING CANES 0676 MASTERCARD-XXXXXXYRVP6K-Tanner Ylvisaker</t>
  </si>
  <si>
    <t>UBER   *TRIP MASTERCARD-XXXXXXSFKFIR-Gary Baker</t>
  </si>
  <si>
    <t>CHICK-FIL-A #04205 MASTERCARD-XXXXXXO44W49-Ben Savage</t>
  </si>
  <si>
    <t>Chick-Fil-A</t>
  </si>
  <si>
    <t>UBER   *TRIP MASTERCARD-XXXXXX2T12SS-Saurabh Premraj</t>
  </si>
  <si>
    <t>STAR MARKET 0602 MASTERCARD-XXXXXX9KL42L-Cody Sandford</t>
  </si>
  <si>
    <t>Star Market</t>
  </si>
  <si>
    <t>UBER   *TRIP MASTERCARD-XXXXXXGG2SM5-Matt Hyman</t>
  </si>
  <si>
    <t>DD *DOORDASH THEKOSHER MASTERCARD-XXXXXXR4YS5L-Israel Baral</t>
  </si>
  <si>
    <t>UBER   *EATS MASTERCARD-XXXXXXPUPSDG-Mitchell Deaner</t>
  </si>
  <si>
    <t>VPNE BackBayGarage MASTERCARD-XXXXXXXGXL1T-Kevin Ebert</t>
  </si>
  <si>
    <t>VPNE BackBayGarage MASTERCARD-XXXXXXZYJ7J6-Tomas Cespedes</t>
  </si>
  <si>
    <t>3376</t>
  </si>
  <si>
    <t>STARBUCKS STORE 80448 MASTERCARD-XXXXXXSXHAHD-Toni Manning</t>
  </si>
  <si>
    <t>UBER   *TRIP MASTERCARD-XXXXXXU0BO4Q-Toni Manning</t>
  </si>
  <si>
    <t>UBER   *EATS MASTERCARD-XXXXXX51PIWG-Tyler Grimshaw</t>
  </si>
  <si>
    <t>STARBUCKS 8007827282 MASTERCARD-XXXXXXT32D5A-Mickenzi Krpec</t>
  </si>
  <si>
    <t>PHX 12 News Shop MASTERCARD-XXXXXXPK05Q9-Gary Passaglia</t>
  </si>
  <si>
    <t>HUDSONST1738 MASTERCARD-XXXXXX94L39J-Matt Hyman</t>
  </si>
  <si>
    <t>TST*SWEENEYS MASTERCARD-XXXXXX2CS49P-Ben Savage</t>
  </si>
  <si>
    <t>PHX HUMBLE PIE S3 6301 MASTERCARD-XXXXXXB7OGA3-Gary Passaglia</t>
  </si>
  <si>
    <t>esimplus.me MASTERCARD-XXXXXXWT88J5-Angel Angelov</t>
  </si>
  <si>
    <t>Utilities</t>
  </si>
  <si>
    <t>UBER   *TRIP MASTERCARD-XXXXXXUSNTEW-John Taylor</t>
  </si>
  <si>
    <t>DD *DOORDASH VEGGIECRU MASTERCARD-XXXXXX1ABYLG-Israel Baral</t>
  </si>
  <si>
    <t>DELTA MASTERCARD-XXXXXXVPB6MU-Matt Hyman</t>
  </si>
  <si>
    <t>FIRST UNITED MARKET 2 MASTERCARD-XXXXXXYGQS1C-Mickenzi Krpec</t>
  </si>
  <si>
    <t>TST* DIG INN - BACK BA MASTERCARD-XXXXXXXPE834-Brendan Nolan</t>
  </si>
  <si>
    <t>CURB BOS TAXI MASTERCARD-XXXXXX4DGFH3-Dean DeMonte</t>
  </si>
  <si>
    <t>TRADER JOE S #500 MASTERCARD-XXXXXXJAIN8T-Anthony Nguyen</t>
  </si>
  <si>
    <t>UBER   *TRIP MASTERCARD-XXXXXXPD1OUF-Brian McGonigal</t>
  </si>
  <si>
    <t>CHIPOTLE 2341 MASTERCARD-XXXXXXMA9XAR-Kyle Brueckner</t>
  </si>
  <si>
    <t>2162</t>
  </si>
  <si>
    <t>TST* LOLITA BACK BAY MASTERCARD-XXXXXXJ1O63Z-Tomas Cespedes</t>
  </si>
  <si>
    <t>TST* TATTE BAKERY BACK MASTERCARD-XXXXXX28BFPW-Anamaria Gramada</t>
  </si>
  <si>
    <t>WIFIONBOARD ALASKA MASTERCARD-XXXXXXP3HC2R-Gary Baker</t>
  </si>
  <si>
    <t>Wifi Onboard</t>
  </si>
  <si>
    <t>TST* GREENLEAF - JOHN MASTERCARD-XXXXXXXZLM9K-Gary Passaglia</t>
  </si>
  <si>
    <t>UA INFLT MASTERCARD-XXXXXX3HGMWX-Tyler Grimshaw</t>
  </si>
  <si>
    <t>MARKET ST1409 MASTERCARD-XXXXXXCMHSYY-Gary Passaglia</t>
  </si>
  <si>
    <t>PAR*LIFE ALIVE CAFE - MASTERCARD-XXXXXXJE4PYU-Karalyn Sims</t>
  </si>
  <si>
    <t>Life Alive</t>
  </si>
  <si>
    <t>STARBUCKS STORE 80448 MASTERCARD-XXXXXXBKDZ65-Tanner Ylvisaker</t>
  </si>
  <si>
    <t>UBER   *TRIP MASTERCARD-XXXXXXE9FNCO-Ryan Hale</t>
  </si>
  <si>
    <t>UBER   *TRIP MASTERCARD-XXXXXXUVGSPA-Cody Sandford</t>
  </si>
  <si>
    <t>SQ *BLUE BOTTLE COFFEE MASTERCARD-XXXXXX26IUJX-Elias Kapetanopoulos</t>
  </si>
  <si>
    <t>SPOTHERO 844-356-8054 MASTERCARD-XXXXXX2I7BHI-Logan Rohloff</t>
  </si>
  <si>
    <t>Ande* Bar Primi Penn MASTERCARD-XXXXXX5G16Q8-Victoria Molins</t>
  </si>
  <si>
    <t>ORETTA DOWNTOWN MASTERCARD-XXXXXXXTNC59-Victoria Molins</t>
  </si>
  <si>
    <t>SHODAN BASIC API MASTERCARD-XXXXXXPTJKGU-Eric Rabkin</t>
  </si>
  <si>
    <t>Shodan API</t>
  </si>
  <si>
    <t>UBER   *TRIP MASTERCARD-XXXXXXTYJKQ6-Gary Baker</t>
  </si>
  <si>
    <t>CISION US INC. MASTERCARD-XXXXXX0X3WEQ-Karalyn Sims</t>
  </si>
  <si>
    <t>Sales &amp; Marketing:Marketing Expenses:Other Marketing Expenses</t>
  </si>
  <si>
    <t>Cision US Inc.</t>
  </si>
  <si>
    <t>Other Marketing Expenses</t>
  </si>
  <si>
    <t>TST*BILLY GOAT TAVERN MASTERCARD-XXXXXXIKUROC-John Taylor</t>
  </si>
  <si>
    <t>SQ *THINKING CUP NEWBU MASTERCARD-XXXXXXN3WXZX-Jared Kennedy</t>
  </si>
  <si>
    <t>PDX Market 503 MASTERCARD-XXXXXX13JRLX-Gary Baker</t>
  </si>
  <si>
    <t>McDonalds 36186 MASTERCARD-XXXXXXRIW9NN-Gary Baker</t>
  </si>
  <si>
    <t>UBER   *TRIP MASTERCARD-XXXXXXOCPTCM-John Taylor</t>
  </si>
  <si>
    <t>STARBUCKS STORE 80448 MASTERCARD-XXXXXXG5VMSN-Toni Manning</t>
  </si>
  <si>
    <t>STARBUCKS STORE 80448 MASTERCARD-XXXXXX8UADGB-Daniel Levin</t>
  </si>
  <si>
    <t>MBTA WELLINGTON MASTERCARD-XXXXXXXSPWA2-Sal Costa</t>
  </si>
  <si>
    <t>MBTA-550048231694 MASTERCARD-XXXXXXPG67FV-Karalyn Sims</t>
  </si>
  <si>
    <t>UBER   *TRIP MASTERCARD-XXXXXXS8YWRU-Chloe Brant</t>
  </si>
  <si>
    <t>SQ *BLANK STREET COFFE MASTERCARD-XXXXXXNLCFXI-Talon Walz</t>
  </si>
  <si>
    <t>Blank Street</t>
  </si>
  <si>
    <t>MSN Trip Advisor Shop MASTERCARD-XXXXXXG5PB6Q-Ryan Hale</t>
  </si>
  <si>
    <t>SPOTHERO 844-356-8054 MASTERCARD-XXXXXXT33PDR-Jesse Eddy</t>
  </si>
  <si>
    <t>LinkedIn P3060452828 MASTERCARD-XXXXXXVX4IDU-Karalyn Sims</t>
  </si>
  <si>
    <t>UBER   *TRIP MASTERCARD-XXXXXXXMDQ5N-Patrick Dennis</t>
  </si>
  <si>
    <t>1297</t>
  </si>
  <si>
    <t>UBER   *TRIP MASTERCARD-XXXXXXHW6KR9-Patrick Dennis</t>
  </si>
  <si>
    <t>UBER   *TRIP MASTERCARD-XXXXXXLT5509-Talon Walz</t>
  </si>
  <si>
    <t>SPO*FINAGLEABAGEL MASTERCARD-XXXXXXV0MQPY-Jonathan Stricklin</t>
  </si>
  <si>
    <t>UBER   *TRIP MASTERCARD-XXXXXXWDEDM4-Israel Baral</t>
  </si>
  <si>
    <t>STLR BA/RJ SURF ST2895 MASTERCARD-XXXXXXIRLM5N-Cody Sandford</t>
  </si>
  <si>
    <t>TPA_6126_Chick-fil-A MASTERCARD-XXXXXXF1T4IK-Cody Sandford</t>
  </si>
  <si>
    <t>BREWDOG MASTERCARD-XXXXXX1NHL0V-Ben Savage</t>
  </si>
  <si>
    <t>UBER   *TRIP MASTERCARD-XXXXXXTGF9PQ-Kevin Montes de Oca</t>
  </si>
  <si>
    <t>2524</t>
  </si>
  <si>
    <t>WH Smith Edinburgh Air MASTERCARD-XXXXXXNV1021-Ben Savage</t>
  </si>
  <si>
    <t>WHSmith</t>
  </si>
  <si>
    <t>PRET A MANGER MASTERCARD-XXXXXX6D84FQ-Dean DeMonte</t>
  </si>
  <si>
    <t>Pret a Manger</t>
  </si>
  <si>
    <t>UBER   *TRIP MASTERCARD-XXXXXXU8ZSWF-Ben Savage</t>
  </si>
  <si>
    <t>Zettle_*wellington car MASTERCARD-XXXXXX03LHA5-Dean DeMonte</t>
  </si>
  <si>
    <t>Zettle</t>
  </si>
  <si>
    <t>UBER   *TRIP MASTERCARD-XXXXXXUN09FU-Jon Giara</t>
  </si>
  <si>
    <t>TRAVEL RIGHT @SLC 519 MASTERCARD-XXXXXXOVHQ92-Talon Walz</t>
  </si>
  <si>
    <t>LYFT   *1 RIDE 07-27 MASTERCARD-XXXXXXG8XGY4-Kyle Bense</t>
  </si>
  <si>
    <t>UBER   *TRIP MASTERCARD-XXXXXX12KILV-Daniel Throckmorton</t>
  </si>
  <si>
    <t>1583</t>
  </si>
  <si>
    <t>UBER   *EATS MASTERCARD-XXXXXXMUIGCM-Ryan Henrich</t>
  </si>
  <si>
    <t>CMT BOSTON MASTERCARD-XXXXXXGLYANB-Daniel Mooney</t>
  </si>
  <si>
    <t>2334</t>
  </si>
  <si>
    <t>LYFT   *1 RIDE 07-26 MASTERCARD-XXXXXXUQWC4E-Nicholas Stauffer</t>
  </si>
  <si>
    <t>UBER   *TRIP MASTERCARD-XXXXXX9FQ9TL-Gary Baker</t>
  </si>
  <si>
    <t>RAISING CANES 0676 MASTERCARD-XXXXXXUE805P-Anthony Tambash</t>
  </si>
  <si>
    <t>1443</t>
  </si>
  <si>
    <t>CURB BOS TAXI MASTERCARD-XXXXXXAQSKK5-Kyle Brueckner</t>
  </si>
  <si>
    <t>NYC TAXI 1246 12460010 MASTERCARD-XXXXXX5E5ZYF-Jacob McKenna</t>
  </si>
  <si>
    <t>2193</t>
  </si>
  <si>
    <t>10061 CAVA BACK BAY MASTERCARD-XXXXXXFSBFXP-Brendan Nolan</t>
  </si>
  <si>
    <t>Cava</t>
  </si>
  <si>
    <t>SPO*A.T.O'KEEFE'S MASTERCARD-XXXXXXY8M1RL-Luis Gallego Cardona</t>
  </si>
  <si>
    <t>TST*SWEENEYS MASTERCARD-XXXXXXPHJNP3-Aaron Rhodes</t>
  </si>
  <si>
    <t>TST*SWEENEYS MASTERCARD-XXXXXX3GQHNG-Oliver McCaffrey</t>
  </si>
  <si>
    <t>TST*SWEENEYS MASTERCARD-XXXXXXKNZPSJ-Robert Kolosky</t>
  </si>
  <si>
    <t>LYFT   *1 RIDE 07-26 MASTERCARD-XXXXXXFXU3PX-Robert Witty</t>
  </si>
  <si>
    <t>2642</t>
  </si>
  <si>
    <t>TST*SWEENEYS MASTERCARD-XXXXXXMHA1RS-Zachary Kenyon</t>
  </si>
  <si>
    <t>1743</t>
  </si>
  <si>
    <t>UBER   *TRIP MASTERCARD-XXXXXXOW91HO-Gary Baker</t>
  </si>
  <si>
    <t>UBER   *TRIP MASTERCARD-XXXXXXVOAD15-Anamaria Gramada</t>
  </si>
  <si>
    <t>TST*SWEENEYS MASTERCARD-XXXXXX859CP1-Michael Christinsen</t>
  </si>
  <si>
    <t>TST*SWEENEYS MASTERCARD-XXXXXXGSS4CH-Luis Gallego Cardona</t>
  </si>
  <si>
    <t>TST*SWEENEYS MASTERCARD-XXXXXX4X9H15-Favian Velasco</t>
  </si>
  <si>
    <t>UBER   *TRIP MASTERCARD-XXXXXXKI49KH-James Whitehead</t>
  </si>
  <si>
    <t>RAISING CANES 0676 MASTERCARD-XXXXXXGHGZBY-Tanner Ylvisaker</t>
  </si>
  <si>
    <t>UBER   *TRIP MASTERCARD-XXXXXX3G0HE8-Tanner Ylvisaker</t>
  </si>
  <si>
    <t>10061 CAVA BACK BAY MASTERCARD-XXXXXXXP3JVW-Tokuya Takahashi</t>
  </si>
  <si>
    <t>CAPITAL BURGER 0213402 MASTERCARD-XXXXXXUELBD7-James Dean</t>
  </si>
  <si>
    <t>UBER   *TRIP MASTERCARD-XXXXXXI5GUIE-Yadwinder Singh</t>
  </si>
  <si>
    <t>TST*PIATTINI MASTERCARD-XXXXXX2KT0Z9-Yadwinder Singh</t>
  </si>
  <si>
    <t>MASSACHUSETTS PORT AUT MASTERCARD-XXXXXX1YMFVE-Oliver McCaffrey</t>
  </si>
  <si>
    <t>UBER   *TRIP MASTERCARD-XXXXXXUXBJEF-Nestor Abad Rodriguez</t>
  </si>
  <si>
    <t>CHIPOTLE MEX GR ONLINE MASTERCARD-XXXXXX1UTLSG-Noah Zahrt</t>
  </si>
  <si>
    <t>TST*SWEENEYS MASTERCARD-XXXXXXEWSAOO-Nestor Abad Rodriguez</t>
  </si>
  <si>
    <t>Grill 23  Bar MASTERCARD-XXXXXX8ZZ2FR-Jeff Mu</t>
  </si>
  <si>
    <t>UBER   *TRIP MASTERCARD-XXXXXX8QPW57-Gary Passaglia</t>
  </si>
  <si>
    <t>UBER   *TRIP MASTERCARD-XXXXXXYR5HRZ-Lauren Lechleitner</t>
  </si>
  <si>
    <t>1690</t>
  </si>
  <si>
    <t>UBER   *EATS MASTERCARD-XXXXXXEOE7VA-Anthony Nguyen</t>
  </si>
  <si>
    <t>LYFT   *SCHD AIR 07-27 MASTERCARD-XXXXXXQ756LD-Tyler Grimshaw</t>
  </si>
  <si>
    <t>RAISING CANES 0676 MASTERCARD-XXXXXX118P8Y-Daniel Levin</t>
  </si>
  <si>
    <t>WALGREENS #2933 MASTERCARD-XXXXXX49FVIO-Toni Manning</t>
  </si>
  <si>
    <t>Walgreens</t>
  </si>
  <si>
    <t>UBER   *EATS MASTERCARD-XXXXXXAJFANH-Mitchell Deaner</t>
  </si>
  <si>
    <t>RED ROCK BREWING SLC C MASTERCARD-XXXXXX1GVB79-Nicholas Stauffer</t>
  </si>
  <si>
    <t>CURB BOS TAXI MASTERCARD-XXXXXXTAOT0W-Toni Manning</t>
  </si>
  <si>
    <t>SQ *GRECO MASTERCARD-XXXXXX76PMD5-Jon Giara</t>
  </si>
  <si>
    <t>Greco</t>
  </si>
  <si>
    <t>PHX 12 News Shop MASTERCARD-XXXXXXHENV5L-Kyle Bense</t>
  </si>
  <si>
    <t>UBER   *TRIP MASTERCARD-XXXXXXT1RZ7P-Mitchell Deaner</t>
  </si>
  <si>
    <t>LYFT   *1 RIDE 07-26 MASTERCARD-XXXXXXOSJU4I-Nikita Ashok</t>
  </si>
  <si>
    <t>1933</t>
  </si>
  <si>
    <t>ASANA.COM MASTERCARD-XXXXXXAEQVU3-Vincent Planz</t>
  </si>
  <si>
    <t>Asana</t>
  </si>
  <si>
    <t>THE WILDDUCK MARKET PL MASTERCARD-XXXXXXNCUZ4Y-Leslee Brady</t>
  </si>
  <si>
    <t>PANERA BREAD #202979 P MASTERCARD-XXXXXXTIMBNE-Robert Witty</t>
  </si>
  <si>
    <t>Panera Bread</t>
  </si>
  <si>
    <t>UBER   *TRIP MASTERCARD-XXXXXX662USM-Anthony Nguyen</t>
  </si>
  <si>
    <t>PANDA EXPRESS #2301 MASTERCARD-XXXXXXS5G548-Kyle Bense</t>
  </si>
  <si>
    <t>Panda Express</t>
  </si>
  <si>
    <t>UBER   *TRIP MASTERCARD-XXXXXX3WKYSZ-John Taylor</t>
  </si>
  <si>
    <t>LYFT   *1 RIDE 07-26 MASTERCARD-XXXXXX1DT7P8-Yadwinder Singh</t>
  </si>
  <si>
    <t>UBER   *TRIP MASTERCARD-XXXXXXX0PN8E-Dan Hennessy</t>
  </si>
  <si>
    <t>DILLY'S DELI T4 PHX MASTERCARD-XXXXXXOORB4X-Kyle Bense</t>
  </si>
  <si>
    <t>AA Kiosk MASTERCARD-XXXXXXUPBB61-Lauren Lechleitner</t>
  </si>
  <si>
    <t>MSP HUDSON ST2295 MASTERCARD-XXXXXXBB5D6L-Tanner Ylvisaker</t>
  </si>
  <si>
    <t>Hudson News</t>
  </si>
  <si>
    <t>PHX TRIP ADVISOR Shop MASTERCARD-XXXXXXTH2XVA-Kyle Bense</t>
  </si>
  <si>
    <t>ARMK FENWAY CONCESSION MASTERCARD-XXXXXXWIKF5O-Anthony Nguyen</t>
  </si>
  <si>
    <t>SQ *SHAKE SHACK MASTERCARD-XXXXXX3OPET8-Noah Zahrt</t>
  </si>
  <si>
    <t>Shake Shack</t>
  </si>
  <si>
    <t>AMK FENWAY PARK CONCES MASTERCARD-XXXXXXKVMT6N-Anthony Nguyen</t>
  </si>
  <si>
    <t>TST* GOGO YA MASTERCARD-XXXXXX82PJVI-Daniel Levin</t>
  </si>
  <si>
    <t>RAISING CANES 0676 MASTERCARD-XXXXXXQD76J5-Austin Nadler</t>
  </si>
  <si>
    <t>1658</t>
  </si>
  <si>
    <t>SPO*FINAGLEABAGEL MASTERCARD-XXXXXXXFZE1R-Jonathan Stricklin</t>
  </si>
  <si>
    <t>UBER   *TRIP MASTERCARD-XXXXXX9Z923Z-Noah Zahrt</t>
  </si>
  <si>
    <t>CAPITAL BURGER 0213402 MASTERCARD-XXXXXXIM7M96-Jonathan Stricklin</t>
  </si>
  <si>
    <t>UBER   *TRIP MASTERCARD-XXXXXXUE09RY-Austin Nadler</t>
  </si>
  <si>
    <t>AMK FENWAY PARK CONCES MASTERCARD-XXXXXXW0SQXC-Anthony Nguyen</t>
  </si>
  <si>
    <t>TRADER JOE S #566 MASTERCARD-XXXXXXP8BM7M-James Dean</t>
  </si>
  <si>
    <t>UBER   *TRIP MASTERCARD-XXXXXXSHQ9OE-Cody Sandford</t>
  </si>
  <si>
    <t>UBER   *TRIP MASTERCARD-XXXXXXWAKSGS-Leslee Brady</t>
  </si>
  <si>
    <t>BLEACHER BAR MASTERCARD-XXXXXXLWS181-Jared Kennedy</t>
  </si>
  <si>
    <t>BOS HUDSON NEWS ST1939 MASTERCARD-XXXXXXD8K62A-Leslee Brady</t>
  </si>
  <si>
    <t>DELTA MASTERCARD-XXXXXXY071FU-Jason Staake</t>
  </si>
  <si>
    <t>UBER   *TRIP MASTERCARD-XXXXXXHGAH81-Anthony Nguyen</t>
  </si>
  <si>
    <t>UBER   *TRIP MASTERCARD-XXXXXX5TZ52V-Adam Hansen</t>
  </si>
  <si>
    <t>2516</t>
  </si>
  <si>
    <t>STEPHANIE S ON NEWBURY MASTERCARD-XXXXXXWJA9B5-Michael Christinsen</t>
  </si>
  <si>
    <t>SPRINGFIELD BRANCH MASTERCARD-XXXXXXU3ADFL-Robert Witty</t>
  </si>
  <si>
    <t>BOSTON EXPRESS WEBSTOR MASTERCARD-XXXXXXO4OD1B-Erik Williams</t>
  </si>
  <si>
    <t>UBER   *TRIP MASTERCARD-XXXXXXFU9ORL-William Sanderford</t>
  </si>
  <si>
    <t>BA Inflight Sales MASTERCARD-XXXXXXV7V294-Toni Manning</t>
  </si>
  <si>
    <t>Sales &amp; Marketing:Sales &amp; Marketing- Travel Expenses:Airfare</t>
  </si>
  <si>
    <t>British Airways</t>
  </si>
  <si>
    <t>WH Smith Dublin Airpor MASTERCARD-XXXXXXP58YUQ-Oliver McCaffrey</t>
  </si>
  <si>
    <t>LYFT   *AIRPORT 07-26 MASTERCARD-XXXXXX41MEBZ-Tokuya Takahashi</t>
  </si>
  <si>
    <t>LYFT   *2 RIDES 07-26 MASTERCARD-XXXXXX0LTX7Y-Jeff Mu</t>
  </si>
  <si>
    <t>EVOLVE BY HUDSON ST236 MASTERCARD-XXXXXX0FPLZS-Jon Giara</t>
  </si>
  <si>
    <t>PRET A MANGER MASTERCARD-XXXXXX2XFI15-James Whitehead</t>
  </si>
  <si>
    <t>HUDSON-DUNKIN ST1341 MASTERCARD-XXXXXXGUO3ZE-Leslee Brady</t>
  </si>
  <si>
    <t>US NEWS AND WORLD REPO MASTERCARD-XXXXXX9V2NHQ-Zachary Kenyon</t>
  </si>
  <si>
    <t>TST* TASTES ON THE FLY MASTERCARD-XXXXXX4TS7DM-Yadwinder Singh</t>
  </si>
  <si>
    <t>HUDSONNEWS  ST1205 MASTERCARD-XXXXXXDKKRZ8-Austin Nadler</t>
  </si>
  <si>
    <t>HUDSON-DUNKIN ST1341 MASTERCARD-XXXXXXIXXNS9-Leslee Brady</t>
  </si>
  <si>
    <t>CHS AIRP FLIGHT READY MASTERCARD-XXXXXXVM2YIQ-Leslee Brady</t>
  </si>
  <si>
    <t>STARBUCKS T5A MASTERCARD-XXXXXXF9RX1G-Toni Manning</t>
  </si>
  <si>
    <t>LYFT   *2 RIDES 07-26 MASTERCARD-XXXXXXYVSM0T-Zachary Kenyon</t>
  </si>
  <si>
    <t>NORTHLINK M1 LIMITED MASTERCARD-XXXXXX0BQA0T-Oliver McCaffrey</t>
  </si>
  <si>
    <t>WH Smith Heathrow T5 MASTERCARD-XXXXXXH2I0S4-Toni Manning</t>
  </si>
  <si>
    <t>BAMBOOHR HRIS MASTERCARD-XXXXXX2XMSHC-Eric Rabkin</t>
  </si>
  <si>
    <t>Bamboo HR</t>
  </si>
  <si>
    <t>UBR* PENDING.UBER.COM MASTERCARD-XXXXXXSWVR62-Toni Manning</t>
  </si>
  <si>
    <t>SAT Whataburger MASTERCARD-XXXXXX9P3FN5-Sal Costa</t>
  </si>
  <si>
    <t>Whataburger</t>
  </si>
  <si>
    <t>STARBUCKS STORE 20135 MASTERCARD-XXXXXXKBLPPX-Jonathan Stricklin</t>
  </si>
  <si>
    <t>HUDSONST1691 MASTERCARD-XXXXXX9F3QIS-Jason Speet</t>
  </si>
  <si>
    <t>SumUp  *Stephen crowle MASTERCARD-XXXXXXBEYT06-Dan Hennessy</t>
  </si>
  <si>
    <t>UBER   *TRIP MASTERCARD-XXXXXXVO1XF6-Nestor Abad Rodriguez</t>
  </si>
  <si>
    <t>Leo's MASTERCARD-XXXXXXA929QT-Patrick Donovan</t>
  </si>
  <si>
    <t>THE WILDDUCK MARKET PL MASTERCARD-XXXXXX7AGXI2-Robert Kolosky</t>
  </si>
  <si>
    <t>La Pollera Colora MASTERCARD-XXXXXX4U1XGE-Patrick Donovan</t>
  </si>
  <si>
    <t>SumUp  *la pollera col MASTERCARD-XXXXXXBXBOAL-Patrick Donovan</t>
  </si>
  <si>
    <t>LYFT   *SCHD AIR 07-26 MASTERCARD-XXXXXXGAACO9-Robert Witty</t>
  </si>
  <si>
    <t>DELTA MASTERCARD-XXXXXXPIK06W-Nicholas Stauffer</t>
  </si>
  <si>
    <t>AMAZON MKTPL*D293C8FB3 MASTERCARD-XXXXXX4T5CUK-Mickenzi Krpec</t>
  </si>
  <si>
    <t>CURB BOS TAXI MASTERCARD-XXXXXXJYAU54-Robert Kolosky</t>
  </si>
  <si>
    <t>UBER   *TRIP MASTERCARD-XXXXXX3GH39T-Nestor Abad Rodriguez</t>
  </si>
  <si>
    <t>UBER   *EATS MASTERCARD-XXXXXXS6TK97-Anthony Nguyen</t>
  </si>
  <si>
    <t>UBER   *TRIP MASTERCARD-XXXXXXEI9IF9-Jon Giara</t>
  </si>
  <si>
    <t>UNITED MASTERCARD-XXXXXXV1RRQ8-Yadwinder Singh</t>
  </si>
  <si>
    <t>JFK BOULTON AND WATT 1 MASTERCARD-XXXXXXF35IT9-Ona Kolosky</t>
  </si>
  <si>
    <t>2813</t>
  </si>
  <si>
    <t>83530 - SAT ST GARAGE MASTERCARD-XXXXXXDAN11H-Sal Costa</t>
  </si>
  <si>
    <t>HUDSONNEWS  ST1180 MASTERCARD-XXXXXX7WSTLW-Robert Kolosky</t>
  </si>
  <si>
    <t>UBER   *TRIP MASTERCARD-XXXXXXIBU27M-Anthony Nguyen</t>
  </si>
  <si>
    <t>PARK N JET - LOT 2 MASTERCARD-XXXXXXA6EDNZ-Daniel Throckmorton</t>
  </si>
  <si>
    <t>GAMETIME MASTERCARD-XXXXXXPZ30JW-Maci Villavicencio</t>
  </si>
  <si>
    <t>TST* THE FRIENDLY TOAS MASTERCARD-XXXXXXE8FZ9Z-James Dean</t>
  </si>
  <si>
    <t>QDOBA 3198 MASTERCARD-XXXXXXV8SUDH-Anthony Nguyen</t>
  </si>
  <si>
    <t>QDOBA 3198 MASTERCARD-XXXXXXL3985L-Jared Kennedy</t>
  </si>
  <si>
    <t>BLUEBIK*RIDE MASTERCARD-XXXXXXCG3A0C-Jared Kennedy</t>
  </si>
  <si>
    <t>BLUEBIK*RIDE MASTERCARD-XXXXXXA0VGVS-Jared Kennedy</t>
  </si>
  <si>
    <t>DELTA MASTERCARD-XXXXXX7QJKX1-Dean DeMonte</t>
  </si>
  <si>
    <t>BLUEBIK*RIDE MASTERCARD-XXXXXX9OAEBS-Jared Kennedy</t>
  </si>
  <si>
    <t>BLUEBIK*RIDE MASTERCARD-XXXXXX6VQLD3-Jared Kennedy</t>
  </si>
  <si>
    <t>SumUp  *Taxi Anthony M MASTERCARD-XXXXXXM10QOG-Dan Hennessy</t>
  </si>
  <si>
    <t>CVS/PHARMACY #01002 MASTERCARD-XXXXXXD3FCDQ-Jared Kennedy</t>
  </si>
  <si>
    <t>CVS/PHARMACY #01002 MASTERCARD-XXXXXX5QUMEG-Anthony Nguyen</t>
  </si>
  <si>
    <t>JETBLUE MASTERCARD-XXXXXXBG3S71-Noah Zahrt</t>
  </si>
  <si>
    <t>JetBlue</t>
  </si>
  <si>
    <t>DELTA MASTERCARD-XXXXXXACISJ2-Daniel Levin</t>
  </si>
  <si>
    <t>HUDSON/TECH ST 1514 MASTERCARD-XXXXXX5K8V69-Robert Kolosky</t>
  </si>
  <si>
    <t>ANTHROPIC MASTERCARD-XXXXXXZ33KEK-Eric Rabkin</t>
  </si>
  <si>
    <t>SPTHOTEL*9089175941394 MASTERCARD-XXXXXX9Y1NSS-Kyle Bense</t>
  </si>
  <si>
    <t>Hotel Vendor</t>
  </si>
  <si>
    <t>Microsoft-G173381905 MASTERCARD-XXXXXXYBRSB6-Eric Rabkin</t>
  </si>
  <si>
    <t>Microsoft</t>
  </si>
  <si>
    <t>Microsoft-G173331428 MASTERCARD-XXXXXXOWPIAN-Reuben Stump</t>
  </si>
  <si>
    <t>2394</t>
  </si>
  <si>
    <t>Microsoft-G173320361 MASTERCARD-XXXXXXBAP52A-Eric Rabkin</t>
  </si>
  <si>
    <t>UBER   *TRIP MASTERCARD-XXXXXXUDI71M-Anthony Nguyen</t>
  </si>
  <si>
    <t>STAR MARKET 2576 MASTERCARD-XXXXXXFTF6RH-Anthony Nguyen</t>
  </si>
  <si>
    <t>STAR MARKET 2576 MASTERCARD-XXXXXX9DX9CG-Jared Kennedy</t>
  </si>
  <si>
    <t>TST*SWEET CHEEKS Q MASTERCARD-XXXXXXHBBGS2-James Dean</t>
  </si>
  <si>
    <t>UBER   *TRIP MASTERCARD-XXXXXXIO6VLI-James Dean</t>
  </si>
  <si>
    <t>UBER *EATS HELP.UBER.C MASTERCARD-XXXXXXVHB95S-Brianne Gallagher</t>
  </si>
  <si>
    <t>SQ *PRUDENTIAL CENTER MASTERCARD-XXXXXXT7NOLF-Jared Kennedy</t>
  </si>
  <si>
    <t>UBER   *EATS MASTERCARD-XXXXXXMUU79J-Mickenzi Krpec</t>
  </si>
  <si>
    <t>PAIR Finance GmbH MASTERCARD-XXXXXXYLRFH4-Ayla Hourani</t>
  </si>
  <si>
    <t>Aylab DE</t>
  </si>
  <si>
    <t>PAIR Finance GmbH MASTERCARD-XXXXXXKM8JG6-Ayla Hourani</t>
  </si>
  <si>
    <t>AMERICAN MASTERCARD-XXXXXXAEI03U-Mickenzi Krpec</t>
  </si>
  <si>
    <t>American Airlines</t>
  </si>
  <si>
    <t>SQ *BRICK STREET BAGEL MASTERCARD-XXXXXXXVFQM6-Mickenzi Krpec</t>
  </si>
  <si>
    <t>TST*NIGHTSHIFT - BEER MASTERCARD-XXXXXXYKPRIN-Anthony Nguyen</t>
  </si>
  <si>
    <t>UBER   *EATS MASTERCARD-XXXXXXP5P31P-Mickenzi Krpec</t>
  </si>
  <si>
    <t>CACTUS CLUB BACK BAY MASTERCARD-XXXXXX655Y60-Ryan Henrich</t>
  </si>
  <si>
    <t>AMAZON MKTPL*B21A20B23 MASTERCARD-XXXXXXGZD06F-Mickenzi Krpec</t>
  </si>
  <si>
    <t>WWW.PLAYPKL.COM MASTERCARD-XXXXXXMDXRLT-Daniel Roy</t>
  </si>
  <si>
    <t>WWW.PLAYPKL.COM MASTERCARD-XXXXXX41CA32-Paul Kim</t>
  </si>
  <si>
    <t>1271</t>
  </si>
  <si>
    <t>TST* NAYA - 500 BOYLST MASTERCARD-XXXXXXTNL1SR-Hannah Farley</t>
  </si>
  <si>
    <t>1435</t>
  </si>
  <si>
    <t>DIG.. MASTERCARD-XXXXXXK91ZL8-Zayn Moselhy</t>
  </si>
  <si>
    <t>WWW.PLAYPKL.COM MASTERCARD-XXXXXXI9QTIG-Paul Kim</t>
  </si>
  <si>
    <t>TST* ALL ANTICO VINAIO MASTERCARD-XXXXXXA9GJ24-Eric Rabkin</t>
  </si>
  <si>
    <t>TST* DIG INN - BACK BA MASTERCARD-XXXXXXWHLUC6-Sakshi Sasalate</t>
  </si>
  <si>
    <t>CHIPOTLE 2341 MASTERCARD-XXXXXXT1JF9H-Jackson Donahoe</t>
  </si>
  <si>
    <t>WWW.PLAYPKL.COM MASTERCARD-XXXXXXX4LD73-Mickenzi Krpec</t>
  </si>
  <si>
    <t>TST*THE DIRTY ITALIAN MASTERCARD-XXXXXXO96PUO-Mickenzi Krpec</t>
  </si>
  <si>
    <t>BKG*SPRINGHILL SUITES MASTERCARD-XXXXXXKJ29IZ-Rory Siedler</t>
  </si>
  <si>
    <t>DELTA MASTERCARD-XXXXXXT6IPKL-Rory Siedler</t>
  </si>
  <si>
    <t>WWW.SWEETGREEN.COM MASTERCARD-XXXXXXHZO00Y-Mickenzi Krpec</t>
  </si>
  <si>
    <t>LINKTREE* LINKTREE MASTERCARD-XXXXXXLJ8IIG-Maile Call</t>
  </si>
  <si>
    <t>AMC 9640 ONLINE MASTERCARD-XXXXXX7BP0TF-Tim Marro</t>
  </si>
  <si>
    <t>TARGET.COM MASTERCARD-XXXXXXXZYMIL-Brian McGonigal</t>
  </si>
  <si>
    <t>Target</t>
  </si>
  <si>
    <t>STARBUCKS STORE 80448 MASTERCARD-XXXXXXMFV3YY-Jared Kennedy</t>
  </si>
  <si>
    <t>TST* THE FRIENDLY TOAS MASTERCARD-XXXXXX3EYF65-James Dean</t>
  </si>
  <si>
    <t>SCAMPO MASTERCARD-XXXXXXCTHA7M-Ryan Henrich</t>
  </si>
  <si>
    <t>UBER   *TRIP MASTERCARD-XXXXXXY8ND1E-Anthony Nguyen</t>
  </si>
  <si>
    <t>STAR MARKET 2576 MASTERCARD-XXXXXXQ3O7G4-Anthony Nguyen</t>
  </si>
  <si>
    <t>MBTA COPLEY MASTERCARD-XXXXXXW2K1AJ-Anthony Nguyen</t>
  </si>
  <si>
    <t>CHICK-FIL-A #04205 MASTERCARD-XXXXXX13X4BK-James Dean</t>
  </si>
  <si>
    <t>AMAZON MKTPL*1T1RN5UT3 MASTERCARD-XXXXXXC1V5ET-Jeremy Pope</t>
  </si>
  <si>
    <t>KOWLOON RESTAURANT MASTERCARD-XXXXXX7B42K2-Mickenzi Krpec</t>
  </si>
  <si>
    <t>BROADSIDE TAVERN MASTERCARD-XXXXXXYX8BZA-Jackson Donahoe</t>
  </si>
  <si>
    <t>THE LIBERTY HOTEL MASTERCARD-XXXXXXJO1V8U-Ryan Henrich</t>
  </si>
  <si>
    <t>The Liberty Hotel</t>
  </si>
  <si>
    <t>SOUTHWES MASTERCARD-XXXXXXEIOZHI-Matthew Morris</t>
  </si>
  <si>
    <t>SOUTHWES MASTERCARD-XXXXXXHTW44U-Matthew Morris</t>
  </si>
  <si>
    <t>SOUTHWES MASTERCARD-XXXXXX61JKF2-Matthew Morris</t>
  </si>
  <si>
    <t>SOUTHWES MASTERCARD-XXXXXXGTJQR2-Matthew Morris</t>
  </si>
  <si>
    <t>THE ENVOY HOTEL FB MASTERCARD-XXXXXX9W0CUX-Colin Galanaugh</t>
  </si>
  <si>
    <t>AMAZON MKTPL*6W7JQ0RA3 MASTERCARD-XXXXXXMBVWNZ-Jeremy Pope</t>
  </si>
  <si>
    <t>HERTZ CAR RENTAL MASTERCARD-XXXXXXKJXL35-Gary Passaglia</t>
  </si>
  <si>
    <t>Hertz</t>
  </si>
  <si>
    <t>Card Number
 (last 4 Digits)</t>
  </si>
  <si>
    <t>Amex Accounts</t>
  </si>
  <si>
    <t>2011</t>
  </si>
  <si>
    <t>Matt Keyes</t>
  </si>
  <si>
    <t>200- Datadog:230- Sales</t>
  </si>
  <si>
    <t>Amex Plat 2 *51005</t>
  </si>
  <si>
    <t>Toni Manning</t>
  </si>
  <si>
    <t>100- Operations:120- Marketing</t>
  </si>
  <si>
    <t>Amex Plat *12006</t>
  </si>
  <si>
    <t>John Taylor</t>
  </si>
  <si>
    <t>300- ServiceNow:330- Sales</t>
  </si>
  <si>
    <t>Amex Centurion *01008</t>
  </si>
  <si>
    <t>Jacob McKenna</t>
  </si>
  <si>
    <t>300- ServiceNow:320- Engineering</t>
  </si>
  <si>
    <t>Amex Delta *13003</t>
  </si>
  <si>
    <t>1302</t>
  </si>
  <si>
    <t>Andrew Bissel</t>
  </si>
  <si>
    <t>200- Datadog:220- Engineering</t>
  </si>
  <si>
    <t>2110</t>
  </si>
  <si>
    <t>Chris Breiner</t>
  </si>
  <si>
    <t>2094</t>
  </si>
  <si>
    <t>Jon Lawer</t>
  </si>
  <si>
    <t>2243</t>
  </si>
  <si>
    <t>Scott Lane</t>
  </si>
  <si>
    <t>2169</t>
  </si>
  <si>
    <t>R Faria De Oliveira</t>
  </si>
  <si>
    <t>2086</t>
  </si>
  <si>
    <t>Richard Upshall</t>
  </si>
  <si>
    <t>2201</t>
  </si>
  <si>
    <t>Eric Ledyard</t>
  </si>
  <si>
    <t>100- Operations:110- G&amp;A</t>
  </si>
  <si>
    <t>2006</t>
  </si>
  <si>
    <t>Tameem Hourani</t>
  </si>
  <si>
    <t>Nikita Ashok</t>
  </si>
  <si>
    <t>3418</t>
  </si>
  <si>
    <t>Alta Abel</t>
  </si>
  <si>
    <t>Chloe Brant</t>
  </si>
  <si>
    <t>2170</t>
  </si>
  <si>
    <t>Josh Van Harn</t>
  </si>
  <si>
    <t>1024</t>
  </si>
  <si>
    <t>Connor Bracket</t>
  </si>
  <si>
    <t>Elyse Neumeier</t>
  </si>
  <si>
    <t>Ashley Karpel</t>
  </si>
  <si>
    <t>3780</t>
  </si>
  <si>
    <t>Ayaan Israni</t>
  </si>
  <si>
    <t>Tomas Cespedes</t>
  </si>
  <si>
    <t>1511</t>
  </si>
  <si>
    <t>Elias Kapetanopolous</t>
  </si>
  <si>
    <t>Reuben Stump</t>
  </si>
  <si>
    <t>1057</t>
  </si>
  <si>
    <t>Alexandra Hourani</t>
  </si>
  <si>
    <t>2436</t>
  </si>
  <si>
    <t>Danny Bench</t>
  </si>
  <si>
    <t>2774</t>
  </si>
  <si>
    <t>Austin Sanderford</t>
  </si>
  <si>
    <t>2212</t>
  </si>
  <si>
    <t>Michael Christensen</t>
  </si>
  <si>
    <t>1347</t>
  </si>
  <si>
    <t>Mitch Nethercott</t>
  </si>
  <si>
    <t>Jesse Eddy</t>
  </si>
  <si>
    <t>1941</t>
  </si>
  <si>
    <t>Joseph Phalan</t>
  </si>
  <si>
    <t>300- ServiceNow:310- Delivery</t>
  </si>
  <si>
    <t>Jon Giara</t>
  </si>
  <si>
    <t>Logan Rohloff</t>
  </si>
  <si>
    <t>1487</t>
  </si>
  <si>
    <t>Colin Galanaugh</t>
  </si>
  <si>
    <t>2386</t>
  </si>
  <si>
    <t>Shakara Whitehead</t>
  </si>
  <si>
    <t>Ben Savage</t>
  </si>
  <si>
    <t>1826</t>
  </si>
  <si>
    <t>Luis Gallego</t>
  </si>
  <si>
    <t>1354</t>
  </si>
  <si>
    <t>Mitch Deaner</t>
  </si>
  <si>
    <t>1453</t>
  </si>
  <si>
    <t>Cameron Buckner</t>
  </si>
  <si>
    <t>2998</t>
  </si>
  <si>
    <t>Jay Barker</t>
  </si>
  <si>
    <t>Paul Kim</t>
  </si>
  <si>
    <t>Dor Vaknin</t>
  </si>
  <si>
    <t>1610</t>
  </si>
  <si>
    <t>Dan Hamilton</t>
  </si>
  <si>
    <t>200- Datadog:210- Delivery</t>
  </si>
  <si>
    <t>1305</t>
  </si>
  <si>
    <t>Pallavi Gupta</t>
  </si>
  <si>
    <t>Vincent Planz</t>
  </si>
  <si>
    <t>1138</t>
  </si>
  <si>
    <t>Rebecca Kelly</t>
  </si>
  <si>
    <t>2268</t>
  </si>
  <si>
    <t>Will Wen</t>
  </si>
  <si>
    <t>1054</t>
  </si>
  <si>
    <t>Robert Kurahashi</t>
  </si>
  <si>
    <t>3019</t>
  </si>
  <si>
    <t>Daniel Roy</t>
  </si>
  <si>
    <t>2227</t>
  </si>
  <si>
    <t>Rick Leonard</t>
  </si>
  <si>
    <t>1537</t>
  </si>
  <si>
    <t>Evan Guby</t>
  </si>
  <si>
    <t>Zachary Kenyon</t>
  </si>
  <si>
    <t>Jeff Mu</t>
  </si>
  <si>
    <t>2857</t>
  </si>
  <si>
    <t>Bob Kolosky</t>
  </si>
  <si>
    <t>Kyle Brueckner</t>
  </si>
  <si>
    <t>Patrick Dennis</t>
  </si>
  <si>
    <t>Matt Hyman</t>
  </si>
  <si>
    <t>Leslee Brady</t>
  </si>
  <si>
    <t>1328</t>
  </si>
  <si>
    <t>Ryan Peirce</t>
  </si>
  <si>
    <t>1146</t>
  </si>
  <si>
    <t>Kirolous Shihataa</t>
  </si>
  <si>
    <t>2284</t>
  </si>
  <si>
    <t>David Seney</t>
  </si>
  <si>
    <t>1294</t>
  </si>
  <si>
    <t>Scott Essler</t>
  </si>
  <si>
    <t>Michele Cox</t>
  </si>
  <si>
    <t>Patrick Donovan</t>
  </si>
  <si>
    <t>2733</t>
  </si>
  <si>
    <t>Jessy Lamontagne</t>
  </si>
  <si>
    <t>Lyndsey Cohen</t>
  </si>
  <si>
    <t>Erik Williams</t>
  </si>
  <si>
    <t>1461</t>
  </si>
  <si>
    <t>Christian Moua</t>
  </si>
  <si>
    <t>1875</t>
  </si>
  <si>
    <t>Valdas Simanauskas</t>
  </si>
  <si>
    <t>2097</t>
  </si>
  <si>
    <t>Alex Glenn</t>
  </si>
  <si>
    <t>1446</t>
  </si>
  <si>
    <t>Caleb Cordes</t>
  </si>
  <si>
    <t>1263</t>
  </si>
  <si>
    <t>Pooja Manjeshwar</t>
  </si>
  <si>
    <t>2121</t>
  </si>
  <si>
    <t>Bill Gilleran</t>
  </si>
  <si>
    <t>Aaron Rhodes</t>
  </si>
  <si>
    <t>2235</t>
  </si>
  <si>
    <t>Siddharth Nigam</t>
  </si>
  <si>
    <t>1005</t>
  </si>
  <si>
    <t>2402</t>
  </si>
  <si>
    <t>Reese Boisse</t>
  </si>
  <si>
    <t>Daniel Mooney</t>
  </si>
  <si>
    <t>2342</t>
  </si>
  <si>
    <t>Matt Morris</t>
  </si>
  <si>
    <t>2359</t>
  </si>
  <si>
    <t>Ronald Pruitt</t>
  </si>
  <si>
    <t>Robert Witty</t>
  </si>
  <si>
    <t>1369</t>
  </si>
  <si>
    <t>Henri Hatch</t>
  </si>
  <si>
    <t>2375</t>
  </si>
  <si>
    <t>Bekim Protopapa</t>
  </si>
  <si>
    <t>3178</t>
  </si>
  <si>
    <t>2816</t>
  </si>
  <si>
    <t>Danielle Severs</t>
  </si>
  <si>
    <t>1008</t>
  </si>
  <si>
    <t>1016</t>
  </si>
  <si>
    <t>1393</t>
  </si>
  <si>
    <t>Kara Sims</t>
  </si>
  <si>
    <t>1401</t>
  </si>
  <si>
    <t>Todd Rizley</t>
  </si>
  <si>
    <t>Gary Passaglia</t>
  </si>
  <si>
    <t>1040</t>
  </si>
  <si>
    <t>Canaan Hourani</t>
  </si>
  <si>
    <t>Hannah Farley</t>
  </si>
  <si>
    <t>Ryan Mcstravick</t>
  </si>
  <si>
    <t>Anthony Tambash</t>
  </si>
  <si>
    <t>Tanner Ylvisaker</t>
  </si>
  <si>
    <t>1339</t>
  </si>
  <si>
    <t>Nadege Le Goff</t>
  </si>
  <si>
    <t>2063</t>
  </si>
  <si>
    <t>Ana Baciu</t>
  </si>
  <si>
    <t>Ryan Henrich</t>
  </si>
  <si>
    <t>1500</t>
  </si>
  <si>
    <t>Ben Roberts</t>
  </si>
  <si>
    <t>1476</t>
  </si>
  <si>
    <t>Dwight Henderson Jr</t>
  </si>
  <si>
    <t>1534</t>
  </si>
  <si>
    <t>Allison Schwenn</t>
  </si>
  <si>
    <t>Robert Lankford</t>
  </si>
  <si>
    <t>Kevin Montes De Oca</t>
  </si>
  <si>
    <t>1567</t>
  </si>
  <si>
    <t>Gabe Sanna</t>
  </si>
  <si>
    <t>Jonathan Stricklin</t>
  </si>
  <si>
    <t>Jason Speet</t>
  </si>
  <si>
    <t>Adam Hansen</t>
  </si>
  <si>
    <t>2615</t>
  </si>
  <si>
    <t>Kanneti Jhansi</t>
  </si>
  <si>
    <t>2607</t>
  </si>
  <si>
    <t>Jason Fox</t>
  </si>
  <si>
    <t>Mickenzi Krpec</t>
  </si>
  <si>
    <t>1542</t>
  </si>
  <si>
    <t>Michael Scalia</t>
  </si>
  <si>
    <t>Daniel Throckmorton</t>
  </si>
  <si>
    <t>2485</t>
  </si>
  <si>
    <t>Meghan Murray</t>
  </si>
  <si>
    <t>Austin Nadler</t>
  </si>
  <si>
    <t>1682</t>
  </si>
  <si>
    <t>Andrew Warrick</t>
  </si>
  <si>
    <t>1674</t>
  </si>
  <si>
    <t>Matt Descoteaux</t>
  </si>
  <si>
    <t>1666</t>
  </si>
  <si>
    <t>Dhanraj Poojari </t>
  </si>
  <si>
    <t>Lauren Lechleitner</t>
  </si>
  <si>
    <t>Jackson Donahoe</t>
  </si>
  <si>
    <t>1765</t>
  </si>
  <si>
    <t>Jacob Villareal</t>
  </si>
  <si>
    <t xml:space="preserve">Jacob Woolf </t>
  </si>
  <si>
    <t>1823</t>
  </si>
  <si>
    <t>Teresa Bobst</t>
  </si>
  <si>
    <t>1856</t>
  </si>
  <si>
    <t>Tim Lee</t>
  </si>
  <si>
    <t>Ona Kolosky</t>
  </si>
  <si>
    <t>1864</t>
  </si>
  <si>
    <t>Timothy Lau</t>
  </si>
  <si>
    <t>Sakshi Sasalate </t>
  </si>
  <si>
    <t>1724</t>
  </si>
  <si>
    <t>Sarah Dwyer</t>
  </si>
  <si>
    <t>Eric Rabkin</t>
  </si>
  <si>
    <t>Kyle Bense</t>
  </si>
  <si>
    <t>252</t>
  </si>
  <si>
    <t>James O'Shaughnessy</t>
  </si>
  <si>
    <t>239</t>
  </si>
  <si>
    <t>Cody Sanderford</t>
  </si>
  <si>
    <t>245</t>
  </si>
  <si>
    <t>Harry Tomczyk</t>
  </si>
  <si>
    <t>251</t>
  </si>
  <si>
    <t>Account Type</t>
  </si>
  <si>
    <t>Sub Account</t>
  </si>
  <si>
    <t>Travel</t>
  </si>
  <si>
    <t>G&amp;A</t>
  </si>
  <si>
    <t>Contractors</t>
  </si>
  <si>
    <t>General &amp; Administrative:</t>
  </si>
  <si>
    <t>General &amp; Administrative:Office Expenses:</t>
  </si>
  <si>
    <t>S&amp;M</t>
  </si>
  <si>
    <t>Sales &amp; Marketing:Marketing Expenses:</t>
  </si>
  <si>
    <t>Shipping Expense</t>
  </si>
  <si>
    <t>Misc. Taxes &amp; Licenses</t>
  </si>
  <si>
    <t>Communication Expense</t>
  </si>
  <si>
    <t>Charitable Contribution</t>
  </si>
  <si>
    <t>All QBO Accounts</t>
  </si>
  <si>
    <t>BOA Checking 4855</t>
  </si>
  <si>
    <t>Brex Checking</t>
  </si>
  <si>
    <t>Cash</t>
  </si>
  <si>
    <t>Checking (Citizens)</t>
  </si>
  <si>
    <t>Northern Bank Checking 3097</t>
  </si>
  <si>
    <t>Accounts Receivable</t>
  </si>
  <si>
    <t>Accounts Receivable (A/R)</t>
  </si>
  <si>
    <t>Accounts Receivable (A/R) - CAD</t>
  </si>
  <si>
    <t>Accounts Receivable (A/R) - EUR</t>
  </si>
  <si>
    <t>Accounts Receivable (A/R) - GBP</t>
  </si>
  <si>
    <t>Asset Clearing</t>
  </si>
  <si>
    <t>Credit Card Receivables (deleted)</t>
  </si>
  <si>
    <t>Inventory Asset</t>
  </si>
  <si>
    <t>Miscellaneous Receivables</t>
  </si>
  <si>
    <t>Other Prepaid Expenses</t>
  </si>
  <si>
    <t>Prepaid Expenses</t>
  </si>
  <si>
    <t>Prepaid Insurance</t>
  </si>
  <si>
    <t>Prepaid Travel</t>
  </si>
  <si>
    <t>ST Loan Receivable</t>
  </si>
  <si>
    <t>Unbilled Receivables</t>
  </si>
  <si>
    <t>Uncategorized Asset</t>
  </si>
  <si>
    <t>Undeposited Funds</t>
  </si>
  <si>
    <t>A/A- Developed Software</t>
  </si>
  <si>
    <t>A/D- Equipment</t>
  </si>
  <si>
    <t>A/D- Furniture &amp; Fixtures</t>
  </si>
  <si>
    <t>A/D- ROU Asset- Office</t>
  </si>
  <si>
    <t>Accumulated Amortization</t>
  </si>
  <si>
    <t>Accumulated Depreciated</t>
  </si>
  <si>
    <t>Developed Software</t>
  </si>
  <si>
    <t>Equipment</t>
  </si>
  <si>
    <t>Fixed Assets</t>
  </si>
  <si>
    <t>Furniture &amp; Fixtures</t>
  </si>
  <si>
    <t>Intangible Assets</t>
  </si>
  <si>
    <t>ROU Asset- Office</t>
  </si>
  <si>
    <t>Vendor Deposits</t>
  </si>
  <si>
    <t>Accounts Payable</t>
  </si>
  <si>
    <t>Accounts Payable (A/P)</t>
  </si>
  <si>
    <t>Accounts Payable (A/P) - AUD</t>
  </si>
  <si>
    <t>Accounts Payable (A/P) - GBP</t>
  </si>
  <si>
    <t>BofA Corp Acct CC (deleted)</t>
  </si>
  <si>
    <t>Credit Cards</t>
  </si>
  <si>
    <t>Money Owed Tameem (deleted)</t>
  </si>
  <si>
    <t>401k Liability</t>
  </si>
  <si>
    <t>Accrued Bonus</t>
  </si>
  <si>
    <t>Accrued Commission</t>
  </si>
  <si>
    <t>Accrued Liabilities</t>
  </si>
  <si>
    <t>Accrued Payroll</t>
  </si>
  <si>
    <t>Accrued Severance</t>
  </si>
  <si>
    <t>Deferred MSP Revenue</t>
  </si>
  <si>
    <t>Deferred Services Revenue</t>
  </si>
  <si>
    <t>Deferred Software Revenue</t>
  </si>
  <si>
    <t>Federal Income Tax Payable</t>
  </si>
  <si>
    <t>Fringe Benefits Liability</t>
  </si>
  <si>
    <t>Health Insurance Liability</t>
  </si>
  <si>
    <t>Interest Payable</t>
  </si>
  <si>
    <t>Massachusetts Department of Revenue Payable</t>
  </si>
  <si>
    <t>Other Current Liabilities</t>
  </si>
  <si>
    <t>Out Of Scope Agency Payable</t>
  </si>
  <si>
    <t>Payroll Clearing</t>
  </si>
  <si>
    <t>Payroll Tax Liability</t>
  </si>
  <si>
    <t>Quickbooks Loan 150k (deleted)</t>
  </si>
  <si>
    <t>Sales Tax Payable</t>
  </si>
  <si>
    <t>Short term Lease Liability</t>
  </si>
  <si>
    <t>State Income Tax Payable</t>
  </si>
  <si>
    <t>BOA LOC $4M</t>
  </si>
  <si>
    <t>Founder LOC</t>
  </si>
  <si>
    <t>Furniture Financing</t>
  </si>
  <si>
    <t>Long Term Lease Liability</t>
  </si>
  <si>
    <t>Mulligan $2M Loan</t>
  </si>
  <si>
    <t>Northern Bank LOC</t>
  </si>
  <si>
    <t>Northern Bank Term Loan</t>
  </si>
  <si>
    <t>Notes Payable</t>
  </si>
  <si>
    <t>Paypal Loan 100k (deleted)</t>
  </si>
  <si>
    <t>Quickbooks Loan (deleted)</t>
  </si>
  <si>
    <t>Opening Balance Equity</t>
  </si>
  <si>
    <t>Owner's Equity</t>
  </si>
  <si>
    <t>Owner's Investment (deleted)</t>
  </si>
  <si>
    <t>Owner's Pay &amp; Personal Expenses (deleted)</t>
  </si>
  <si>
    <t>Retained Earnings</t>
  </si>
  <si>
    <t>Billable Expense Income-2</t>
  </si>
  <si>
    <t>Billable Expense Income-2 ( 148 ) (deleted)</t>
  </si>
  <si>
    <t>MSP Revenue</t>
  </si>
  <si>
    <t>MSP Revenue:Managed Datadog</t>
  </si>
  <si>
    <t>MSP Revenue:Managed Security</t>
  </si>
  <si>
    <t>Other Miscellaneous Revenue</t>
  </si>
  <si>
    <t>Other Miscellaneous Revenue:Bank Deposit</t>
  </si>
  <si>
    <t>Other Miscellaneous Revenue:Billable Expense Income</t>
  </si>
  <si>
    <t>Other Miscellaneous Revenue:Billable Expense Income-1</t>
  </si>
  <si>
    <t>Other Miscellaneous Revenue:QuickBooks Payments Sales</t>
  </si>
  <si>
    <t>Other Miscellaneous Revenue:Sales of Product Income</t>
  </si>
  <si>
    <t>Other Miscellaneous Revenue:Shipping Income</t>
  </si>
  <si>
    <t>Other Miscellaneous Revenue:Uncategorized Income</t>
  </si>
  <si>
    <t>Sales of Product Income-1</t>
  </si>
  <si>
    <t>Services Revenue</t>
  </si>
  <si>
    <t>Services Revenue:Deposits</t>
  </si>
  <si>
    <t>Services Revenue:Fixed Fee</t>
  </si>
  <si>
    <t>Services Revenue:Sales</t>
  </si>
  <si>
    <t>Services Revenue:Time &amp; Materials</t>
  </si>
  <si>
    <t>Software Revenue</t>
  </si>
  <si>
    <t>Software Revenue:Datadog Marketplace</t>
  </si>
  <si>
    <t>Software Revenue:Other Software Revenue</t>
  </si>
  <si>
    <t>Unapplied Cash Payment Income</t>
  </si>
  <si>
    <t>Cost of Goods Sold</t>
  </si>
  <si>
    <t>Cost of Goods Sold:COGS- Personnel Expense</t>
  </si>
  <si>
    <t>Cost of Goods Sold:COGS- Personnel Expense:401k Match</t>
  </si>
  <si>
    <t>Cost of Goods Sold:COGS- Personnel Expense:Benefits</t>
  </si>
  <si>
    <t>Cost of Goods Sold:COGS- Personnel Expense:Bonuses</t>
  </si>
  <si>
    <t>Cost of Goods Sold:COGS- Personnel Expense:Commissions</t>
  </si>
  <si>
    <t>Cost of Goods Sold:COGS- Personnel Expense:Other Personnel Costs</t>
  </si>
  <si>
    <t>Cost of Goods Sold:COGS- Personnel Expense:Payroll Fees</t>
  </si>
  <si>
    <t>Cost of Goods Sold:COGS- Personnel Expense:Payroll Taxes</t>
  </si>
  <si>
    <t>Cost of Goods Sold:COGS- Personnel Expense:Salaries &amp; Wages</t>
  </si>
  <si>
    <t>Cost of Goods Sold:COGS- Personnel Expense:Severance</t>
  </si>
  <si>
    <t>Cost of Goods Sold:COGS- Travel Expenses</t>
  </si>
  <si>
    <t>Cost of Goods Sold:COGS- Travel Expenses:Airfare</t>
  </si>
  <si>
    <t>Cost of Goods Sold:COGS- Travel Expenses:Ground Transportation</t>
  </si>
  <si>
    <t>Cost of Goods Sold:COGS- Travel Expenses:Lodging</t>
  </si>
  <si>
    <t>Cost of Goods Sold:COGS- Travel Expenses:Meals &amp; Entertainment</t>
  </si>
  <si>
    <t>Cost of Goods Sold:COGS- Travel Expenses:Other Travel Expenses</t>
  </si>
  <si>
    <t>Cost of Goods Sold:Other COGS</t>
  </si>
  <si>
    <t>Cost of Goods Sold:Other COGS:Contractors</t>
  </si>
  <si>
    <t>General &amp; Administrative</t>
  </si>
  <si>
    <t>General &amp; Administrative:Ask My Accountant (deleted)</t>
  </si>
  <si>
    <t>General &amp; Administrative:Bad Debt Expense</t>
  </si>
  <si>
    <t>General &amp; Administrative:Bank Charges &amp; Fees</t>
  </si>
  <si>
    <t>General &amp; Administrative:Charitable Contribution</t>
  </si>
  <si>
    <t>General &amp; Administrative:Contractors</t>
  </si>
  <si>
    <t>General &amp; Administrative:Employee Training &amp; Development</t>
  </si>
  <si>
    <t>General &amp; Administrative:G&amp;A- Personnel Expenses</t>
  </si>
  <si>
    <t>General &amp; Administrative:G&amp;A- Personnel Expenses:401k Match</t>
  </si>
  <si>
    <t>General &amp; Administrative:G&amp;A- Personnel Expenses:Benefits</t>
  </si>
  <si>
    <t>General &amp; Administrative:G&amp;A- Personnel Expenses:Bonuses</t>
  </si>
  <si>
    <t>General &amp; Administrative:G&amp;A- Personnel Expenses:Commissions</t>
  </si>
  <si>
    <t>General &amp; Administrative:G&amp;A- Personnel Expenses:Other Personnel Costs</t>
  </si>
  <si>
    <t>General &amp; Administrative:G&amp;A- Personnel Expenses:Payroll Fee</t>
  </si>
  <si>
    <t>General &amp; Administrative:G&amp;A- Personnel Expenses:Payroll Taxes</t>
  </si>
  <si>
    <t>General &amp; Administrative:G&amp;A- Personnel Expenses:Salaries &amp; Wages</t>
  </si>
  <si>
    <t>General &amp; Administrative:G&amp;A- Personnel Expenses:Severance</t>
  </si>
  <si>
    <t>General &amp; Administrative:G&amp;A- Travel Expenses</t>
  </si>
  <si>
    <t>General &amp; Administrative:G&amp;A- Travel Expenses:Airfare</t>
  </si>
  <si>
    <t>General &amp; Administrative:G&amp;A- Travel Expenses:Lodging</t>
  </si>
  <si>
    <t>General &amp; Administrative:G&amp;A- Travel Expenses:Meals &amp; Entertainment</t>
  </si>
  <si>
    <t>General &amp; Administrative:G&amp;A- Travel Expenses:Other Travel Expenses</t>
  </si>
  <si>
    <t>General &amp; Administrative:Insurance</t>
  </si>
  <si>
    <t>General &amp; Administrative:Job Supplies (deleted)</t>
  </si>
  <si>
    <t>General &amp; Administrative:Legal &amp; Professional Services</t>
  </si>
  <si>
    <t>General &amp; Administrative:Misc. Taxes &amp; Licenses</t>
  </si>
  <si>
    <t>General &amp; Administrative:Office Expenses</t>
  </si>
  <si>
    <t>General &amp; Administrative:Office Expenses:Communication Expense</t>
  </si>
  <si>
    <t>General &amp; Administrative:Office Expenses:Hardware &amp; Peripherals</t>
  </si>
  <si>
    <t>General &amp; Administrative:Office Expenses:Shipping Expense</t>
  </si>
  <si>
    <t>General &amp; Administrative:Office Expenses:Utilities</t>
  </si>
  <si>
    <t>General &amp; Administrative:Other Business Expenses</t>
  </si>
  <si>
    <t>General &amp; Administrative:Purchases (deleted)</t>
  </si>
  <si>
    <t>General &amp; Administrative:Recruiting Expenses</t>
  </si>
  <si>
    <t>General &amp; Administrative:Reimbursable Expenses (deleted)</t>
  </si>
  <si>
    <t>General &amp; Administrative:Repairs &amp; Maintenance</t>
  </si>
  <si>
    <t>General &amp; Administrative:Uncategorized Expense</t>
  </si>
  <si>
    <t>Personnel Expenses</t>
  </si>
  <si>
    <t>Personnel Expenses:401k Match</t>
  </si>
  <si>
    <t>Personnel Expenses:Benefits</t>
  </si>
  <si>
    <t>Personnel Expenses:Bonuses</t>
  </si>
  <si>
    <t>Personnel Expenses:Commissions</t>
  </si>
  <si>
    <t>Personnel Expenses:Other Personnel Costs</t>
  </si>
  <si>
    <t>Personnel Expenses:Payroll</t>
  </si>
  <si>
    <t>Personnel Expenses:Payroll Fee</t>
  </si>
  <si>
    <t>Personnel Expenses:Payroll Taxes</t>
  </si>
  <si>
    <t>Personnel Expenses:Salaries &amp; Wages</t>
  </si>
  <si>
    <t>Personnel Expenses:Severance</t>
  </si>
  <si>
    <t>Purchases</t>
  </si>
  <si>
    <t>Sales &amp; Marketing</t>
  </si>
  <si>
    <t>Sales &amp; Marketing:Marketing Expenses</t>
  </si>
  <si>
    <t>Sales &amp; Marketing:Marketing Expenses:Conferences &amp; Events</t>
  </si>
  <si>
    <t>Sales &amp; Marketing:Sales &amp; Marketing- Personnel Expenses</t>
  </si>
  <si>
    <t>Sales &amp; Marketing:Sales &amp; Marketing- Personnel Expenses:401k Match</t>
  </si>
  <si>
    <t>Sales &amp; Marketing:Sales &amp; Marketing- Personnel Expenses:Benefits</t>
  </si>
  <si>
    <t>Sales &amp; Marketing:Sales &amp; Marketing- Personnel Expenses:Bonuses</t>
  </si>
  <si>
    <t>Sales &amp; Marketing:Sales &amp; Marketing- Personnel Expenses:Commissions</t>
  </si>
  <si>
    <t>Sales &amp; Marketing:Sales &amp; Marketing- Personnel Expenses:Other Personnel Costs</t>
  </si>
  <si>
    <t>Sales &amp; Marketing:Sales &amp; Marketing- Personnel Expenses:Payroll Fee</t>
  </si>
  <si>
    <t>Sales &amp; Marketing:Sales &amp; Marketing- Personnel Expenses:Payroll Taxes</t>
  </si>
  <si>
    <t>Sales &amp; Marketing:Sales &amp; Marketing- Personnel Expenses:Salaries &amp; Wages</t>
  </si>
  <si>
    <t>Sales &amp; Marketing:Sales &amp; Marketing- Personnel Expenses:Severance</t>
  </si>
  <si>
    <t>Sales &amp; Marketing:Sales &amp; Marketing- Travel Expenses</t>
  </si>
  <si>
    <t>Sales &amp; Marketing:Sales &amp; Marketing- Travel Expenses:Travel (deleted)</t>
  </si>
  <si>
    <t>Unapplied Cash Bill Payment Expense</t>
  </si>
  <si>
    <t>Other Income</t>
  </si>
  <si>
    <t>Other Income:Dividends Received</t>
  </si>
  <si>
    <t>Other Income:Interest Income</t>
  </si>
  <si>
    <t>Other Income:Other Miscellaneous Income</t>
  </si>
  <si>
    <t>Exchange Gain or Loss</t>
  </si>
  <si>
    <t>Interest Expense</t>
  </si>
  <si>
    <t>Other Expenses</t>
  </si>
  <si>
    <t>Other Expenses:Amortization Expense</t>
  </si>
  <si>
    <t>Other Expenses:Amortization Expense:Amort Exp- Developed Software</t>
  </si>
  <si>
    <t>Other Expenses:Depreciation Expense</t>
  </si>
  <si>
    <t>Other Expenses:Depreciation Expense:Depr Exp- Equipment</t>
  </si>
  <si>
    <t>Other Expenses:Depreciation Expense:Depr Exp- Furniture &amp; Fixtures</t>
  </si>
  <si>
    <t>Other Expenses:Depreciation Expense:Depr Exp- ROU Asset- Office</t>
  </si>
  <si>
    <t>Other Expenses:Income Tax Expense</t>
  </si>
  <si>
    <t>Other Expenses:Income Tax Expense:Federal Income Tax</t>
  </si>
  <si>
    <t>Other Expenses:Income Tax Expense:State Income Tax</t>
  </si>
  <si>
    <t>Other Expenses:Other Miscellaneous Expense</t>
  </si>
  <si>
    <t>Other Expenses:Reconciliation Discrepancies</t>
  </si>
  <si>
    <t>Purpose: Import Amex transactions with accurate department, account and description into QuickBooks Online</t>
  </si>
  <si>
    <t>Instructions</t>
  </si>
  <si>
    <t>1. Duplicate File and ensure file name has today's date and the Amex account being entered</t>
  </si>
  <si>
    <t>2. Review credit card transactions in QuickBooks, and manually enter credit card credits using "Card Mapping" tab as a reference. Ensure Vendor Name, Account, Department fields are populated and you add " - " &amp; the Employee name to the end of the Memo field</t>
  </si>
  <si>
    <t>3. CTRL+H Find and Replace "-" for " - "</t>
  </si>
  <si>
    <t>4. Sort the transactions in QuickBooks based on Date</t>
  </si>
  <si>
    <t>5. Export transactions from QuickBooks</t>
  </si>
  <si>
    <t>6. Copy exported transactions, paste values in cells B-F of the "QBO Transactions" tab</t>
  </si>
  <si>
    <t>7. Review Columns K-F of "QBO transactions" to ensure all cells are populated.</t>
  </si>
  <si>
    <t>8. Ensure Column Q of "QBO Transactions" is showing the correct card account. Update in Cell D1 if incorrect</t>
  </si>
  <si>
    <t>9. Filter Column R, Line Acct by each individual account to ensure transactions are coded accurately</t>
  </si>
  <si>
    <t>10. Ensure transactions on "Credit Card Charge" tab, the transaction importer, match what's on "QBO Transactions" tab (transaction count and amount match)</t>
  </si>
  <si>
    <t>Brex Name</t>
  </si>
  <si>
    <t>BambooHR Name</t>
  </si>
  <si>
    <t>Confirmed</t>
  </si>
  <si>
    <t>Note</t>
  </si>
  <si>
    <t>Zayn Moselhy</t>
  </si>
  <si>
    <t>184</t>
  </si>
  <si>
    <t>Zaynaldine Moselhy</t>
  </si>
  <si>
    <t>2026-07-16</t>
  </si>
  <si>
    <t>Preferred first name vs BambooHR legal name; confirmed by Zayn</t>
  </si>
  <si>
    <t>Michael Christinsen</t>
  </si>
  <si>
    <t>58</t>
  </si>
  <si>
    <t>Spelling variant (Christinsen vs Christensen); confirmed by Zayn</t>
  </si>
  <si>
    <t>4</t>
  </si>
  <si>
    <t>Jeffrey Mu</t>
  </si>
  <si>
    <t>2026-07-30</t>
  </si>
  <si>
    <t>2</t>
  </si>
  <si>
    <t>Jonathan Giara</t>
  </si>
  <si>
    <t>Talon Walz</t>
  </si>
  <si>
    <t>260</t>
  </si>
  <si>
    <t>Talon  Walz</t>
  </si>
  <si>
    <t>BambooHR double/trailing-space name variant; confirmed by Zayn</t>
  </si>
  <si>
    <t>Anamaria Gramada</t>
  </si>
  <si>
    <t>110</t>
  </si>
  <si>
    <t>Ana Grămadă</t>
  </si>
  <si>
    <t>Diacritic name variant (Ana Grămadă); confirmed by Zayn</t>
  </si>
  <si>
    <t>Employee #</t>
  </si>
  <si>
    <t>First Name</t>
  </si>
  <si>
    <t>Last Name</t>
  </si>
  <si>
    <t>Last name, First name</t>
  </si>
  <si>
    <t>Hire Date</t>
  </si>
  <si>
    <t>Employment Status</t>
  </si>
  <si>
    <t>Employment Status: Date</t>
  </si>
  <si>
    <t>Division</t>
  </si>
  <si>
    <t>Billable Status</t>
  </si>
  <si>
    <t>QBO Department</t>
  </si>
  <si>
    <t>Prefix- Travel</t>
  </si>
  <si>
    <t>Prefix- Payroll</t>
  </si>
  <si>
    <t>Tameem</t>
  </si>
  <si>
    <t>Hourani</t>
  </si>
  <si>
    <t>Hourani, Tameem</t>
  </si>
  <si>
    <t>Full-Time</t>
  </si>
  <si>
    <t>2025-08-15</t>
  </si>
  <si>
    <t>Operations</t>
  </si>
  <si>
    <t>Boylston</t>
  </si>
  <si>
    <t>No</t>
  </si>
  <si>
    <t>400- Synechron:410- Digital platforms G&amp;A</t>
  </si>
  <si>
    <t>General &amp; Administrative:G&amp;A- Travel Expenses:</t>
  </si>
  <si>
    <t>General &amp; Administrative:G&amp;A- Personnel Expenses:</t>
  </si>
  <si>
    <t>Jon</t>
  </si>
  <si>
    <t>Giara</t>
  </si>
  <si>
    <t>Giara, Jon</t>
  </si>
  <si>
    <t>2019-11-04</t>
  </si>
  <si>
    <t>ServiceNow</t>
  </si>
  <si>
    <t>Engineering</t>
  </si>
  <si>
    <t>Remote</t>
  </si>
  <si>
    <t>Yes</t>
  </si>
  <si>
    <t>Cost of Goods Sold:COGS- Travel Expenses:</t>
  </si>
  <si>
    <t>Cost of Goods Sold:COGS- Personnel Expense:</t>
  </si>
  <si>
    <t>Connor</t>
  </si>
  <si>
    <t>Brackett</t>
  </si>
  <si>
    <t>Brackett, Connor</t>
  </si>
  <si>
    <t>Sales</t>
  </si>
  <si>
    <t>Sales &amp; Marketing:Sales &amp; Marketing- Travel Expenses:</t>
  </si>
  <si>
    <t>Sales &amp; Marketing:Sales &amp; Marketing- Personnel Expenses:</t>
  </si>
  <si>
    <t>Jeff</t>
  </si>
  <si>
    <t>Mu</t>
  </si>
  <si>
    <t>Mu, Jeff</t>
  </si>
  <si>
    <t>2019-10-16</t>
  </si>
  <si>
    <t>James</t>
  </si>
  <si>
    <t>Craveiro</t>
  </si>
  <si>
    <t>Craveiro, James</t>
  </si>
  <si>
    <t>Terminated</t>
  </si>
  <si>
    <t>2022-10-01</t>
  </si>
  <si>
    <t>Datadog</t>
  </si>
  <si>
    <t>Kristopher</t>
  </si>
  <si>
    <t>Borodiansky</t>
  </si>
  <si>
    <t>Borodiansky, Kristopher</t>
  </si>
  <si>
    <t>2020-02-25</t>
  </si>
  <si>
    <t>Erik</t>
  </si>
  <si>
    <t>Williams</t>
  </si>
  <si>
    <t>Williams, Erik</t>
  </si>
  <si>
    <t>2020-02-24</t>
  </si>
  <si>
    <t>Strategy</t>
  </si>
  <si>
    <t>Logan</t>
  </si>
  <si>
    <t>Rohloff</t>
  </si>
  <si>
    <t>Rohloff, Logan</t>
  </si>
  <si>
    <t>2020-03-16</t>
  </si>
  <si>
    <t>Reese</t>
  </si>
  <si>
    <t>Boisse</t>
  </si>
  <si>
    <t>Boisse, Reese</t>
  </si>
  <si>
    <t>2020-04-06</t>
  </si>
  <si>
    <t>Reuben</t>
  </si>
  <si>
    <t>Stump</t>
  </si>
  <si>
    <t>Stump, Reuben</t>
  </si>
  <si>
    <t>2020-06-03</t>
  </si>
  <si>
    <t>Victoria</t>
  </si>
  <si>
    <t>Quinn</t>
  </si>
  <si>
    <t>Quinn, Victoria</t>
  </si>
  <si>
    <t>2023-03-18</t>
  </si>
  <si>
    <t>Elias</t>
  </si>
  <si>
    <t>Kapetanopoulos</t>
  </si>
  <si>
    <t>Kapetanopoulos, Elias</t>
  </si>
  <si>
    <t>2020-08-17</t>
  </si>
  <si>
    <t>Adnan</t>
  </si>
  <si>
    <t>Usman</t>
  </si>
  <si>
    <t>Usman, Adnan</t>
  </si>
  <si>
    <t>2022-04-23</t>
  </si>
  <si>
    <t>Christian</t>
  </si>
  <si>
    <t>Moua</t>
  </si>
  <si>
    <t>Moua, Christian</t>
  </si>
  <si>
    <t>2020-09-14</t>
  </si>
  <si>
    <t>Jesse</t>
  </si>
  <si>
    <t>Eddy</t>
  </si>
  <si>
    <t>Eddy, Jesse</t>
  </si>
  <si>
    <t>2020-09-28</t>
  </si>
  <si>
    <t>Maxime</t>
  </si>
  <si>
    <t>Berube</t>
  </si>
  <si>
    <t>Berube, Maxime</t>
  </si>
  <si>
    <t>2021-01-30</t>
  </si>
  <si>
    <t>Michael</t>
  </si>
  <si>
    <t>Thornton</t>
  </si>
  <si>
    <t>Thornton, Michael</t>
  </si>
  <si>
    <t>2021-10-16</t>
  </si>
  <si>
    <t>Tomas</t>
  </si>
  <si>
    <t>Cespedes</t>
  </si>
  <si>
    <t>Cespedes, Tomas</t>
  </si>
  <si>
    <t>2020-11-16</t>
  </si>
  <si>
    <t>Colin</t>
  </si>
  <si>
    <t>Galanaugh</t>
  </si>
  <si>
    <t>Galanaugh, Colin</t>
  </si>
  <si>
    <t>2021-02-01</t>
  </si>
  <si>
    <t>Charles</t>
  </si>
  <si>
    <t>Magnarelli</t>
  </si>
  <si>
    <t>Magnarelli, Charles</t>
  </si>
  <si>
    <t>2021-02-27</t>
  </si>
  <si>
    <t>Timothy</t>
  </si>
  <si>
    <t>Konick</t>
  </si>
  <si>
    <t>Konick, Timothy</t>
  </si>
  <si>
    <t>2021-03-09</t>
  </si>
  <si>
    <t>Dennis</t>
  </si>
  <si>
    <t>Wang</t>
  </si>
  <si>
    <t>Wang, Dennis</t>
  </si>
  <si>
    <t>2021-06-26</t>
  </si>
  <si>
    <t>Josh</t>
  </si>
  <si>
    <t>van Harn</t>
  </si>
  <si>
    <t>van Harn, Josh</t>
  </si>
  <si>
    <t>2025-11-21</t>
  </si>
  <si>
    <t>Matt</t>
  </si>
  <si>
    <t>Hyman</t>
  </si>
  <si>
    <t>Hyman, Matthew</t>
  </si>
  <si>
    <t>2021-06-01</t>
  </si>
  <si>
    <t>Mitchell</t>
  </si>
  <si>
    <t>Nethercott</t>
  </si>
  <si>
    <t>Nethercott, Mitchell</t>
  </si>
  <si>
    <t>2021-06-14</t>
  </si>
  <si>
    <t>Deaner</t>
  </si>
  <si>
    <t>Deaner, Mitchell</t>
  </si>
  <si>
    <t>2021-07-06</t>
  </si>
  <si>
    <t>Non-US</t>
  </si>
  <si>
    <t>Lyndsey</t>
  </si>
  <si>
    <t>Cohen</t>
  </si>
  <si>
    <t>Cohen, Lyndsey</t>
  </si>
  <si>
    <t>Dor</t>
  </si>
  <si>
    <t>Vaknin</t>
  </si>
  <si>
    <t>Vaknin, Dor</t>
  </si>
  <si>
    <t>Caleb</t>
  </si>
  <si>
    <t>Cordes</t>
  </si>
  <si>
    <t>Cordes, Caleb</t>
  </si>
  <si>
    <t>2024-09-12</t>
  </si>
  <si>
    <t>Brian</t>
  </si>
  <si>
    <t>Zhu</t>
  </si>
  <si>
    <t>Zhu, Brian</t>
  </si>
  <si>
    <t>2023-04-22</t>
  </si>
  <si>
    <t>Paul</t>
  </si>
  <si>
    <t>Kim</t>
  </si>
  <si>
    <t>Kim, Paul</t>
  </si>
  <si>
    <t>2021-08-02</t>
  </si>
  <si>
    <t>Baldwin</t>
  </si>
  <si>
    <t>Baldwin, Victoria</t>
  </si>
  <si>
    <t>2021-08-20</t>
  </si>
  <si>
    <t>Isabela</t>
  </si>
  <si>
    <t>Vazquez</t>
  </si>
  <si>
    <t>Vazquez, Isabela</t>
  </si>
  <si>
    <t>2022-10-28</t>
  </si>
  <si>
    <t>Alexander</t>
  </si>
  <si>
    <t>Glenn</t>
  </si>
  <si>
    <t>Glenn, Alexander</t>
  </si>
  <si>
    <t>2021-09-13</t>
  </si>
  <si>
    <t>Trent</t>
  </si>
  <si>
    <t>Van Winkle</t>
  </si>
  <si>
    <t>Van Winkle, Trent</t>
  </si>
  <si>
    <t>2022-02-05</t>
  </si>
  <si>
    <t>Panat</t>
  </si>
  <si>
    <t>Taranat</t>
  </si>
  <si>
    <t>Taranat, Panat</t>
  </si>
  <si>
    <t>2022-01-14</t>
  </si>
  <si>
    <t>Nadege</t>
  </si>
  <si>
    <t>Le Goff</t>
  </si>
  <si>
    <t>Le Goff, Nadege</t>
  </si>
  <si>
    <t>2021-10-04</t>
  </si>
  <si>
    <t>Project Management</t>
  </si>
  <si>
    <t>Nick</t>
  </si>
  <si>
    <t>Vecellio</t>
  </si>
  <si>
    <t>Vecellio, Nick</t>
  </si>
  <si>
    <t>2023-11-03</t>
  </si>
  <si>
    <t>Kyle</t>
  </si>
  <si>
    <t>Brueckner</t>
  </si>
  <si>
    <t>Brueckner, Kyle</t>
  </si>
  <si>
    <t>2021-10-25</t>
  </si>
  <si>
    <t>Luke</t>
  </si>
  <si>
    <t>Scanlan</t>
  </si>
  <si>
    <t>Scanlan, Luke</t>
  </si>
  <si>
    <t>2022-10-13</t>
  </si>
  <si>
    <t>Pallavi</t>
  </si>
  <si>
    <t>Gupta</t>
  </si>
  <si>
    <t>Gupta, Pallavi</t>
  </si>
  <si>
    <t>2025-08-17</t>
  </si>
  <si>
    <t>Ashley</t>
  </si>
  <si>
    <t>Karpel</t>
  </si>
  <si>
    <t>Karpel, Ashley</t>
  </si>
  <si>
    <t>2021-12-06</t>
  </si>
  <si>
    <t>Dixon</t>
  </si>
  <si>
    <t>Dixon, Paul</t>
  </si>
  <si>
    <t>2022-07-02</t>
  </si>
  <si>
    <t>Lewis</t>
  </si>
  <si>
    <t>Lewis, James</t>
  </si>
  <si>
    <t>2023-09-04</t>
  </si>
  <si>
    <t>Andrew</t>
  </si>
  <si>
    <t>Sieg</t>
  </si>
  <si>
    <t>Sieg, Andrew</t>
  </si>
  <si>
    <t>2022-03-04</t>
  </si>
  <si>
    <t>Alexandra</t>
  </si>
  <si>
    <t>Hourani, Alexandra</t>
  </si>
  <si>
    <t>2025-09-05</t>
  </si>
  <si>
    <t>Canaan</t>
  </si>
  <si>
    <t>Hourani, Canaan</t>
  </si>
  <si>
    <t>Murphy</t>
  </si>
  <si>
    <t>Murphy, James</t>
  </si>
  <si>
    <t>2022-09-03</t>
  </si>
  <si>
    <t>Christina</t>
  </si>
  <si>
    <t>Metri</t>
  </si>
  <si>
    <t>Metri, Christina</t>
  </si>
  <si>
    <t>2023-09-29</t>
  </si>
  <si>
    <t>Shakara</t>
  </si>
  <si>
    <t>Whitehead</t>
  </si>
  <si>
    <t>Whitehead, Shakara</t>
  </si>
  <si>
    <t>2022-02-07</t>
  </si>
  <si>
    <t>Adonis</t>
  </si>
  <si>
    <t>Peguero</t>
  </si>
  <si>
    <t>Peguero, Adonis</t>
  </si>
  <si>
    <t>Anaflor</t>
  </si>
  <si>
    <t>Pernalete</t>
  </si>
  <si>
    <t>Pernalete, Anaflor</t>
  </si>
  <si>
    <t>2023-06-22</t>
  </si>
  <si>
    <t>William</t>
  </si>
  <si>
    <t>Gilleran</t>
  </si>
  <si>
    <t>Gilleran, William</t>
  </si>
  <si>
    <t>2025-07-11</t>
  </si>
  <si>
    <t>Anthony</t>
  </si>
  <si>
    <t>Younes</t>
  </si>
  <si>
    <t>Younes, Anthony</t>
  </si>
  <si>
    <t>2023-11-10</t>
  </si>
  <si>
    <t>Joseph</t>
  </si>
  <si>
    <t>Chima</t>
  </si>
  <si>
    <t>Chima, Joseph</t>
  </si>
  <si>
    <t>2022-05-31</t>
  </si>
  <si>
    <t>Cameron</t>
  </si>
  <si>
    <t>Buckner</t>
  </si>
  <si>
    <t>Buckner, Cameron</t>
  </si>
  <si>
    <t>2024-03-22</t>
  </si>
  <si>
    <t>Mittell</t>
  </si>
  <si>
    <t>Mittell, Alexander</t>
  </si>
  <si>
    <t>2023-03-11</t>
  </si>
  <si>
    <t>Christinsen</t>
  </si>
  <si>
    <t>Christinsen, Michael</t>
  </si>
  <si>
    <t>2022-03-21</t>
  </si>
  <si>
    <t>Justin</t>
  </si>
  <si>
    <t>Shaver</t>
  </si>
  <si>
    <t>Shaver, Justin</t>
  </si>
  <si>
    <t>2022-06-10</t>
  </si>
  <si>
    <t>Pooja</t>
  </si>
  <si>
    <t>Manjeshwar</t>
  </si>
  <si>
    <t>Manjeshwar, Pooja Pandurang</t>
  </si>
  <si>
    <t>2022-04-28</t>
  </si>
  <si>
    <t>Evan</t>
  </si>
  <si>
    <t>Guby</t>
  </si>
  <si>
    <t>Guby, Evan</t>
  </si>
  <si>
    <t>2025-10-10</t>
  </si>
  <si>
    <t>Ashle</t>
  </si>
  <si>
    <t>Craig</t>
  </si>
  <si>
    <t>Craig, Ashle</t>
  </si>
  <si>
    <t>2022-10-15</t>
  </si>
  <si>
    <t>Henri</t>
  </si>
  <si>
    <t>Hatch</t>
  </si>
  <si>
    <t>Hatch, Henri</t>
  </si>
  <si>
    <t>2026-01-02</t>
  </si>
  <si>
    <t>Dalton</t>
  </si>
  <si>
    <t>Ryan</t>
  </si>
  <si>
    <t>Ryan, Dalton</t>
  </si>
  <si>
    <t>2023-02-18</t>
  </si>
  <si>
    <t>Patrick</t>
  </si>
  <si>
    <t>Dennis, Patrick</t>
  </si>
  <si>
    <t>2022-06-21</t>
  </si>
  <si>
    <t>Daniel</t>
  </si>
  <si>
    <t>Bench</t>
  </si>
  <si>
    <t>Bench, Daniel</t>
  </si>
  <si>
    <t>2022-06-27</t>
  </si>
  <si>
    <t>Matthew</t>
  </si>
  <si>
    <t>Morris</t>
  </si>
  <si>
    <t>Morris, Matthew</t>
  </si>
  <si>
    <t>2022-06-20</t>
  </si>
  <si>
    <t>Bennett</t>
  </si>
  <si>
    <t>Bennett, Alexander</t>
  </si>
  <si>
    <t>2022-09-02</t>
  </si>
  <si>
    <t>Alta</t>
  </si>
  <si>
    <t>Abel</t>
  </si>
  <si>
    <t>Abel, Alta</t>
  </si>
  <si>
    <t>2022-07-11</t>
  </si>
  <si>
    <t>People Operations</t>
  </si>
  <si>
    <t>Hamilton</t>
  </si>
  <si>
    <t>Hamilton, Daniel</t>
  </si>
  <si>
    <t>2022-07-25</t>
  </si>
  <si>
    <t>Ben</t>
  </si>
  <si>
    <t>Savage</t>
  </si>
  <si>
    <t>Savage, Ben</t>
  </si>
  <si>
    <t>2022-07-30</t>
  </si>
  <si>
    <t>Julian</t>
  </si>
  <si>
    <t>Wukitsch</t>
  </si>
  <si>
    <t>Wukitsch, Julian</t>
  </si>
  <si>
    <t>2023-03-16</t>
  </si>
  <si>
    <t>Thomas</t>
  </si>
  <si>
    <t>Sobczak</t>
  </si>
  <si>
    <t>Sobczak, Thomas</t>
  </si>
  <si>
    <t>Robert</t>
  </si>
  <si>
    <t>Witty</t>
  </si>
  <si>
    <t>Witty, Robert</t>
  </si>
  <si>
    <t>2022-08-22</t>
  </si>
  <si>
    <t>Benjamin</t>
  </si>
  <si>
    <t>Verrill</t>
  </si>
  <si>
    <t>Verrill, Benjamin</t>
  </si>
  <si>
    <t>2023-10-02</t>
  </si>
  <si>
    <t>Courtney</t>
  </si>
  <si>
    <t>Wesh</t>
  </si>
  <si>
    <t>Wesh, Courtney</t>
  </si>
  <si>
    <t>Chloe</t>
  </si>
  <si>
    <t>Brant</t>
  </si>
  <si>
    <t>Brant, Chloe</t>
  </si>
  <si>
    <t>2022-09-06</t>
  </si>
  <si>
    <t>Max</t>
  </si>
  <si>
    <t>Clark</t>
  </si>
  <si>
    <t>Clark, Max</t>
  </si>
  <si>
    <t>2024-01-05</t>
  </si>
  <si>
    <t>Jessy</t>
  </si>
  <si>
    <t>Lamontagne</t>
  </si>
  <si>
    <t>Lamontagne, Jessy</t>
  </si>
  <si>
    <t>Afeez</t>
  </si>
  <si>
    <t>Nosiru</t>
  </si>
  <si>
    <t>Nosiru, Afeez</t>
  </si>
  <si>
    <t>2022-09-22</t>
  </si>
  <si>
    <t>Obi</t>
  </si>
  <si>
    <t>Ebbis</t>
  </si>
  <si>
    <t>Ebbis, Obi</t>
  </si>
  <si>
    <t>Lora</t>
  </si>
  <si>
    <t>Rose</t>
  </si>
  <si>
    <t>Rose, Lora</t>
  </si>
  <si>
    <t>Zachary</t>
  </si>
  <si>
    <t>Kenyon</t>
  </si>
  <si>
    <t>Kenyon, Zachary</t>
  </si>
  <si>
    <t>2022-10-17</t>
  </si>
  <si>
    <t>Ayaan</t>
  </si>
  <si>
    <t>Israni</t>
  </si>
  <si>
    <t>Israni, Ayaan</t>
  </si>
  <si>
    <t>2022-11-07</t>
  </si>
  <si>
    <t>Danielle</t>
  </si>
  <si>
    <t>Severs</t>
  </si>
  <si>
    <t>Severs, Danielle</t>
  </si>
  <si>
    <t>Nolan</t>
  </si>
  <si>
    <t>Corcoran</t>
  </si>
  <si>
    <t>Corcoran, Nolan</t>
  </si>
  <si>
    <t>2023-03-03</t>
  </si>
  <si>
    <t>Sanderford</t>
  </si>
  <si>
    <t>Sanderford, William</t>
  </si>
  <si>
    <t>2022-11-08</t>
  </si>
  <si>
    <t>Dana</t>
  </si>
  <si>
    <t>Aft</t>
  </si>
  <si>
    <t>Aft, Dana</t>
  </si>
  <si>
    <t>2023-12-15</t>
  </si>
  <si>
    <t>Luis</t>
  </si>
  <si>
    <t>Gallego Cardona</t>
  </si>
  <si>
    <t>Gallego Cardona, Luis</t>
  </si>
  <si>
    <t>2022-11-14</t>
  </si>
  <si>
    <t>Brent</t>
  </si>
  <si>
    <t>Falk</t>
  </si>
  <si>
    <t>Falk, Brent</t>
  </si>
  <si>
    <t>Kolosky</t>
  </si>
  <si>
    <t>Kolosky, Robert</t>
  </si>
  <si>
    <t>2022-12-05</t>
  </si>
  <si>
    <t>Jose</t>
  </si>
  <si>
    <t>Reyes</t>
  </si>
  <si>
    <t>Reyes, Jose</t>
  </si>
  <si>
    <t>Valdas</t>
  </si>
  <si>
    <t>Simanauskas</t>
  </si>
  <si>
    <t>Simanauskas, Valdas</t>
  </si>
  <si>
    <t>2024-03-29</t>
  </si>
  <si>
    <t>Skelton</t>
  </si>
  <si>
    <t>Skelton, Michael</t>
  </si>
  <si>
    <t>2023-05-06</t>
  </si>
  <si>
    <t>Phalan</t>
  </si>
  <si>
    <t>Phalan, Joseph</t>
  </si>
  <si>
    <t>2025-01-17</t>
  </si>
  <si>
    <t>Kapetanopoulos, Alexandra</t>
  </si>
  <si>
    <t>Kelly</t>
  </si>
  <si>
    <t>Catteau</t>
  </si>
  <si>
    <t>Catteau, Kelly</t>
  </si>
  <si>
    <t>Elyse</t>
  </si>
  <si>
    <t>Neumeier</t>
  </si>
  <si>
    <t>Neumeier, Elyse</t>
  </si>
  <si>
    <t>2023-02-06</t>
  </si>
  <si>
    <t>Tanner</t>
  </si>
  <si>
    <t>Ylvisaker</t>
  </si>
  <si>
    <t>Ylvisaker, Tanner</t>
  </si>
  <si>
    <t>2023-02-27</t>
  </si>
  <si>
    <t>Heidi</t>
  </si>
  <si>
    <t>Gold</t>
  </si>
  <si>
    <t>Gold, Heidi</t>
  </si>
  <si>
    <t>Roy</t>
  </si>
  <si>
    <t>Roy, Dan</t>
  </si>
  <si>
    <t>Jay</t>
  </si>
  <si>
    <t>Barker</t>
  </si>
  <si>
    <t>Barker, Jay</t>
  </si>
  <si>
    <t>2023-03-06</t>
  </si>
  <si>
    <t>Leslee</t>
  </si>
  <si>
    <t>Brady</t>
  </si>
  <si>
    <t>Brady, Leslee</t>
  </si>
  <si>
    <t>Keyes</t>
  </si>
  <si>
    <t>Keyes, Matthew</t>
  </si>
  <si>
    <t>2025-09-03</t>
  </si>
  <si>
    <t>Kurahashi</t>
  </si>
  <si>
    <t>Kurahashi, Robert</t>
  </si>
  <si>
    <t>2024-12-31</t>
  </si>
  <si>
    <t>Veera Venkata Satya Varaprasada Rao</t>
  </si>
  <si>
    <t>Imandi</t>
  </si>
  <si>
    <t>Imandi, Veera Venkata Satya Varaprasada Rao</t>
  </si>
  <si>
    <t>2023-11-17</t>
  </si>
  <si>
    <t>Vincent</t>
  </si>
  <si>
    <t>Planz</t>
  </si>
  <si>
    <t>Planz, Vincent</t>
  </si>
  <si>
    <t>2023-05-08</t>
  </si>
  <si>
    <t>Finance</t>
  </si>
  <si>
    <t>Aaron</t>
  </si>
  <si>
    <t>Rhodes</t>
  </si>
  <si>
    <t>Rhodes, Aaron</t>
  </si>
  <si>
    <t>2023-05-22</t>
  </si>
  <si>
    <t>Anamaria</t>
  </si>
  <si>
    <t>Gramada</t>
  </si>
  <si>
    <t>Gramada, Anamaria</t>
  </si>
  <si>
    <t>2020-11-02</t>
  </si>
  <si>
    <t>Nikita</t>
  </si>
  <si>
    <t>Ashok</t>
  </si>
  <si>
    <t>Ashok, Nikita</t>
  </si>
  <si>
    <t>2022-10-04</t>
  </si>
  <si>
    <t>Marketing</t>
  </si>
  <si>
    <t>Richard</t>
  </si>
  <si>
    <t>Upshall</t>
  </si>
  <si>
    <t>Upshall, Richard</t>
  </si>
  <si>
    <t>Jonathan</t>
  </si>
  <si>
    <t>Lawer</t>
  </si>
  <si>
    <t>Lawer, Jonathan</t>
  </si>
  <si>
    <t>2024-06-07</t>
  </si>
  <si>
    <t>Stephen</t>
  </si>
  <si>
    <t>Pacini</t>
  </si>
  <si>
    <t>Pacini, Stephen</t>
  </si>
  <si>
    <t>2023-09-15</t>
  </si>
  <si>
    <t>Christopher</t>
  </si>
  <si>
    <t>Breiner</t>
  </si>
  <si>
    <t>Breiner, Christopher</t>
  </si>
  <si>
    <t>2025-05-02</t>
  </si>
  <si>
    <t>Watson</t>
  </si>
  <si>
    <t>Watson, Wallace</t>
  </si>
  <si>
    <t>2026-04-01</t>
  </si>
  <si>
    <t>Rebecca</t>
  </si>
  <si>
    <t>Kelly, Rebecca</t>
  </si>
  <si>
    <t>2024-08-02</t>
  </si>
  <si>
    <t>John</t>
  </si>
  <si>
    <t>Taylor</t>
  </si>
  <si>
    <t>Taylor, John</t>
  </si>
  <si>
    <t>2023-06-30</t>
  </si>
  <si>
    <t>Hei Po</t>
  </si>
  <si>
    <t>Yiu</t>
  </si>
  <si>
    <t>Yiu, Hei Po</t>
  </si>
  <si>
    <t>Jacob</t>
  </si>
  <si>
    <t>McKenna</t>
  </si>
  <si>
    <t>McKenna, Jacob</t>
  </si>
  <si>
    <t>2023-08-07</t>
  </si>
  <si>
    <t>Toni</t>
  </si>
  <si>
    <t>Manning</t>
  </si>
  <si>
    <t>Manning, Toni</t>
  </si>
  <si>
    <t>Ledyard</t>
  </si>
  <si>
    <t>Ledyard, William</t>
  </si>
  <si>
    <t>Kirolous</t>
  </si>
  <si>
    <t>Shihataa</t>
  </si>
  <si>
    <t>Shihataa, Kirolous</t>
  </si>
  <si>
    <t>2023-07-18</t>
  </si>
  <si>
    <t>Faria de Oliveira</t>
  </si>
  <si>
    <t>Faria de Oliveira, Robert</t>
  </si>
  <si>
    <t>2026-05-01</t>
  </si>
  <si>
    <t>Siddharth</t>
  </si>
  <si>
    <t>Nigam</t>
  </si>
  <si>
    <t>Nigam, Siddharth</t>
  </si>
  <si>
    <t>2025-03-14</t>
  </si>
  <si>
    <t>Rick</t>
  </si>
  <si>
    <t>Leonard</t>
  </si>
  <si>
    <t>Leonard, Rick</t>
  </si>
  <si>
    <t>2026-04-14</t>
  </si>
  <si>
    <t>Yuan</t>
  </si>
  <si>
    <t>Wen</t>
  </si>
  <si>
    <t>Wen, Yuan</t>
  </si>
  <si>
    <t>2024-04-24</t>
  </si>
  <si>
    <t>Test4</t>
  </si>
  <si>
    <t>McTester</t>
  </si>
  <si>
    <t>McTester, Test4</t>
  </si>
  <si>
    <t>2023-10-01</t>
  </si>
  <si>
    <t>Michele</t>
  </si>
  <si>
    <t>Cox</t>
  </si>
  <si>
    <t>Cox, Michele</t>
  </si>
  <si>
    <t>2023-09-25</t>
  </si>
  <si>
    <t>David</t>
  </si>
  <si>
    <t>Seney</t>
  </si>
  <si>
    <t>Seney, David</t>
  </si>
  <si>
    <t>Scott</t>
  </si>
  <si>
    <t>Lane</t>
  </si>
  <si>
    <t>Lane, Scott</t>
  </si>
  <si>
    <t>2024-04-01</t>
  </si>
  <si>
    <t>Ayla</t>
  </si>
  <si>
    <t>Hourani, Ayla</t>
  </si>
  <si>
    <t>2026-05-18</t>
  </si>
  <si>
    <t>Essler</t>
  </si>
  <si>
    <t>Essler, Scott</t>
  </si>
  <si>
    <t>Bissel</t>
  </si>
  <si>
    <t>Bissel, Andrew</t>
  </si>
  <si>
    <t>2023-10-10</t>
  </si>
  <si>
    <t>Sarah</t>
  </si>
  <si>
    <t>Hanlon</t>
  </si>
  <si>
    <t>Hanlon, Sarah</t>
  </si>
  <si>
    <t>2023-08-31</t>
  </si>
  <si>
    <t>Donovan</t>
  </si>
  <si>
    <t>Donovan, Patrick</t>
  </si>
  <si>
    <t>2023-10-30</t>
  </si>
  <si>
    <t>Peirce</t>
  </si>
  <si>
    <t>Peirce, Ryan</t>
  </si>
  <si>
    <t>2024-06-21</t>
  </si>
  <si>
    <t>Ronald</t>
  </si>
  <si>
    <t>Pruitt</t>
  </si>
  <si>
    <t>Pruitt, Ronald</t>
  </si>
  <si>
    <t>2025-07-25</t>
  </si>
  <si>
    <t>Mooney</t>
  </si>
  <si>
    <t>Mooney, Daniel</t>
  </si>
  <si>
    <t>2024-01-08</t>
  </si>
  <si>
    <t>Bekim</t>
  </si>
  <si>
    <t>Protopapa</t>
  </si>
  <si>
    <t>Protopapa, Bekim</t>
  </si>
  <si>
    <t>2024-09-27</t>
  </si>
  <si>
    <t>Jackson</t>
  </si>
  <si>
    <t>Donahoe</t>
  </si>
  <si>
    <t>Donahoe, Jackson</t>
  </si>
  <si>
    <t>2025-06-02</t>
  </si>
  <si>
    <t>Karalyn</t>
  </si>
  <si>
    <t>Sims</t>
  </si>
  <si>
    <t>Sims, Karalyn</t>
  </si>
  <si>
    <t>2024-05-13</t>
  </si>
  <si>
    <t>Todd</t>
  </si>
  <si>
    <t>Rizley</t>
  </si>
  <si>
    <t>Rizley, Todd</t>
  </si>
  <si>
    <t>2025-02-21</t>
  </si>
  <si>
    <t>McStravick</t>
  </si>
  <si>
    <t>McStravick, Ryan</t>
  </si>
  <si>
    <t>2024-06-03</t>
  </si>
  <si>
    <t>Allison</t>
  </si>
  <si>
    <t>Schwenn</t>
  </si>
  <si>
    <t>Schwenn, Allison</t>
  </si>
  <si>
    <t>Gary</t>
  </si>
  <si>
    <t>Passaglia</t>
  </si>
  <si>
    <t>Passaglia, Gary</t>
  </si>
  <si>
    <t>2024-06-17</t>
  </si>
  <si>
    <t>Hannah</t>
  </si>
  <si>
    <t>Farley</t>
  </si>
  <si>
    <t>Farley, Hannah</t>
  </si>
  <si>
    <t>2024-07-01</t>
  </si>
  <si>
    <t>Raed</t>
  </si>
  <si>
    <t>Hourani, Raed</t>
  </si>
  <si>
    <t>Kawthar</t>
  </si>
  <si>
    <t>Jawhar</t>
  </si>
  <si>
    <t>Jawhar, Kawthar</t>
  </si>
  <si>
    <t>Tambash</t>
  </si>
  <si>
    <t>Tambash, Anthony</t>
  </si>
  <si>
    <t>2024-07-22</t>
  </si>
  <si>
    <t>Maritess</t>
  </si>
  <si>
    <t>Desrosiers</t>
  </si>
  <si>
    <t>Desrosiers, Maritess</t>
  </si>
  <si>
    <t>2024-07-27</t>
  </si>
  <si>
    <t>Henrich</t>
  </si>
  <si>
    <t>Henrich, Ryan</t>
  </si>
  <si>
    <t>2024-07-29</t>
  </si>
  <si>
    <t>Lankford</t>
  </si>
  <si>
    <t>Lankford, Robert</t>
  </si>
  <si>
    <t>2024-08-01</t>
  </si>
  <si>
    <t>Dwight</t>
  </si>
  <si>
    <t>Henderson</t>
  </si>
  <si>
    <t>Henderson, Dwight</t>
  </si>
  <si>
    <t>2024-08-12</t>
  </si>
  <si>
    <t>Throckmorton</t>
  </si>
  <si>
    <t>Throckmorton, Daniel</t>
  </si>
  <si>
    <t>2024-08-19</t>
  </si>
  <si>
    <t>Jack</t>
  </si>
  <si>
    <t>Wurm</t>
  </si>
  <si>
    <t>Wurm, Jack</t>
  </si>
  <si>
    <t>2024-08-28</t>
  </si>
  <si>
    <t>Roberts</t>
  </si>
  <si>
    <t>Roberts, Benjamin</t>
  </si>
  <si>
    <t>2024-08-29</t>
  </si>
  <si>
    <t>Lauren</t>
  </si>
  <si>
    <t>Lechleitner</t>
  </si>
  <si>
    <t>Lechleitner, Lauren</t>
  </si>
  <si>
    <t>2025-02-03</t>
  </si>
  <si>
    <t>Rahul</t>
  </si>
  <si>
    <t>Bisht</t>
  </si>
  <si>
    <t>Bisht, Rahul</t>
  </si>
  <si>
    <t>Adam</t>
  </si>
  <si>
    <t>Hansen</t>
  </si>
  <si>
    <t>Hansen, Adam</t>
  </si>
  <si>
    <t>2024-09-30</t>
  </si>
  <si>
    <t>Kevin</t>
  </si>
  <si>
    <t>Montes de Oca</t>
  </si>
  <si>
    <t>Montes de Oca, Kevin</t>
  </si>
  <si>
    <t>2024-10-07</t>
  </si>
  <si>
    <t>Scalia</t>
  </si>
  <si>
    <t>Scalia, Michael</t>
  </si>
  <si>
    <t>2024-11-04</t>
  </si>
  <si>
    <t>Stricklin</t>
  </si>
  <si>
    <t>Stricklin, Jonathan</t>
  </si>
  <si>
    <t>2024-11-11</t>
  </si>
  <si>
    <t>Gabriel</t>
  </si>
  <si>
    <t>Sanna</t>
  </si>
  <si>
    <t>Sanna, Gabriel</t>
  </si>
  <si>
    <t>Jason</t>
  </si>
  <si>
    <t>Speet</t>
  </si>
  <si>
    <t>Speet, Jason</t>
  </si>
  <si>
    <t>2024-11-25</t>
  </si>
  <si>
    <t>Mickenzi</t>
  </si>
  <si>
    <t>Krpec</t>
  </si>
  <si>
    <t>Krpec, Mickenzi</t>
  </si>
  <si>
    <t>2024-12-30</t>
  </si>
  <si>
    <t>Kanneti</t>
  </si>
  <si>
    <t>Jhansi</t>
  </si>
  <si>
    <t>Jhansi, Kanneti</t>
  </si>
  <si>
    <t>2024-12-02</t>
  </si>
  <si>
    <t>MDD</t>
  </si>
  <si>
    <t>Fox</t>
  </si>
  <si>
    <t>Fox, Jason</t>
  </si>
  <si>
    <t>2024-12-09</t>
  </si>
  <si>
    <t>MSOC</t>
  </si>
  <si>
    <t>Palmieri</t>
  </si>
  <si>
    <t>Palmieri, Michael</t>
  </si>
  <si>
    <t>2025-09-01</t>
  </si>
  <si>
    <t>Smith</t>
  </si>
  <si>
    <t>Smith, Robert</t>
  </si>
  <si>
    <t>Meghan</t>
  </si>
  <si>
    <t>Murray</t>
  </si>
  <si>
    <t>Murray, Meghan</t>
  </si>
  <si>
    <t>2025-01-27</t>
  </si>
  <si>
    <t>Austin</t>
  </si>
  <si>
    <t>Nadler</t>
  </si>
  <si>
    <t>Nadler, Austin</t>
  </si>
  <si>
    <t>2025-01-30</t>
  </si>
  <si>
    <t>Frederick</t>
  </si>
  <si>
    <t>Simpson</t>
  </si>
  <si>
    <t>Simpson, Frederick</t>
  </si>
  <si>
    <t>Paid Intern</t>
  </si>
  <si>
    <t>2026-05-11</t>
  </si>
  <si>
    <t>Dhanraj</t>
  </si>
  <si>
    <t>Poojari</t>
  </si>
  <si>
    <t>Poojari, Dhanraj</t>
  </si>
  <si>
    <t>2025-02-17</t>
  </si>
  <si>
    <t>Descoteaux</t>
  </si>
  <si>
    <t>Descoteaux, Matthew</t>
  </si>
  <si>
    <t>2026-03-27</t>
  </si>
  <si>
    <t>Warrick</t>
  </si>
  <si>
    <t>Warrick, Andrew</t>
  </si>
  <si>
    <t>2025-02-05</t>
  </si>
  <si>
    <t>Oliver</t>
  </si>
  <si>
    <t>McCaffrey</t>
  </si>
  <si>
    <t>McCaffrey, Oliver</t>
  </si>
  <si>
    <t>2025-04-14</t>
  </si>
  <si>
    <t>Hamadi</t>
  </si>
  <si>
    <t>Cantave</t>
  </si>
  <si>
    <t>Cantave, Hamadi</t>
  </si>
  <si>
    <t>2025-03-04</t>
  </si>
  <si>
    <t>Dwyer</t>
  </si>
  <si>
    <t>Dwyer, Sarah</t>
  </si>
  <si>
    <t>2025-03-18</t>
  </si>
  <si>
    <t>Zayn</t>
  </si>
  <si>
    <t>Moselhy</t>
  </si>
  <si>
    <t>Moselhy, Zayn</t>
  </si>
  <si>
    <t>2025-05-27</t>
  </si>
  <si>
    <t>Ebert</t>
  </si>
  <si>
    <t>Ebert, Kevin</t>
  </si>
  <si>
    <t>2025-04-01</t>
  </si>
  <si>
    <t>Teresa</t>
  </si>
  <si>
    <t>Bobst</t>
  </si>
  <si>
    <t>Bobst, Teresa</t>
  </si>
  <si>
    <t>2025-09-26</t>
  </si>
  <si>
    <t>Kelly, Ryan</t>
  </si>
  <si>
    <t>2025-04-21</t>
  </si>
  <si>
    <t>Nestor</t>
  </si>
  <si>
    <t>Abad Rodriguez</t>
  </si>
  <si>
    <t>Abad Rodriguez, Nestor</t>
  </si>
  <si>
    <t>Tom</t>
  </si>
  <si>
    <t>He</t>
  </si>
  <si>
    <t>He, Tom</t>
  </si>
  <si>
    <t>Eric</t>
  </si>
  <si>
    <t>Dossland</t>
  </si>
  <si>
    <t>Dossland, Eric</t>
  </si>
  <si>
    <t>2025-08-08</t>
  </si>
  <si>
    <t>Whitehead, James</t>
  </si>
  <si>
    <t>2025-06-23</t>
  </si>
  <si>
    <t>Woolf</t>
  </si>
  <si>
    <t>Woolf, Jacob</t>
  </si>
  <si>
    <t>Heidebritta</t>
  </si>
  <si>
    <t>Frank</t>
  </si>
  <si>
    <t>Frank, Heidebritta</t>
  </si>
  <si>
    <t>Villarreal</t>
  </si>
  <si>
    <t>Villarreal, Jacob</t>
  </si>
  <si>
    <t>2025-12-05</t>
  </si>
  <si>
    <t>Sean</t>
  </si>
  <si>
    <t>McDonough</t>
  </si>
  <si>
    <t>McDonough, Sean</t>
  </si>
  <si>
    <t>2025-07-21</t>
  </si>
  <si>
    <t>Ona</t>
  </si>
  <si>
    <t>Kolosky, Ona</t>
  </si>
  <si>
    <t>Saurabh</t>
  </si>
  <si>
    <t>Premraj</t>
  </si>
  <si>
    <t>Premraj, Saurabh</t>
  </si>
  <si>
    <t>2025-08-29</t>
  </si>
  <si>
    <t>McCall</t>
  </si>
  <si>
    <t>McCall, Michael</t>
  </si>
  <si>
    <t>2025-07-28</t>
  </si>
  <si>
    <t>Bowers</t>
  </si>
  <si>
    <t>Bowers, Andrew</t>
  </si>
  <si>
    <t>Sachs</t>
  </si>
  <si>
    <t>Sachs, David</t>
  </si>
  <si>
    <t>2025-08-18</t>
  </si>
  <si>
    <t>Bryce</t>
  </si>
  <si>
    <t>Gelinas</t>
  </si>
  <si>
    <t>Gelinas, Bryce</t>
  </si>
  <si>
    <t>2026-01-20</t>
  </si>
  <si>
    <t>Bryan</t>
  </si>
  <si>
    <t>Kuhlman</t>
  </si>
  <si>
    <t>Kuhlman, Bryan</t>
  </si>
  <si>
    <t>2025-08-21</t>
  </si>
  <si>
    <t>Stacey</t>
  </si>
  <si>
    <t>Pevec</t>
  </si>
  <si>
    <t>Pevec, Stacey</t>
  </si>
  <si>
    <t>2025-09-02</t>
  </si>
  <si>
    <t>Pierina</t>
  </si>
  <si>
    <t>Cabrera</t>
  </si>
  <si>
    <t>Cabrera, Pierina</t>
  </si>
  <si>
    <t>2025-11-14</t>
  </si>
  <si>
    <t>Blauvelt</t>
  </si>
  <si>
    <t>Blauvelt, Daniel</t>
  </si>
  <si>
    <t>Tim</t>
  </si>
  <si>
    <t>Marro</t>
  </si>
  <si>
    <t>Marro, Tim</t>
  </si>
  <si>
    <t>Sakshi</t>
  </si>
  <si>
    <t>Sasalate</t>
  </si>
  <si>
    <t>Sasalate, Sakshi</t>
  </si>
  <si>
    <t>2025-09-08</t>
  </si>
  <si>
    <t>Lau</t>
  </si>
  <si>
    <t>Lau, Timothy</t>
  </si>
  <si>
    <t>2025-09-15</t>
  </si>
  <si>
    <t>Halstead</t>
  </si>
  <si>
    <t>Halstead, Andrew</t>
  </si>
  <si>
    <t>Sven</t>
  </si>
  <si>
    <t>Zhang</t>
  </si>
  <si>
    <t>Zhang, Sven</t>
  </si>
  <si>
    <t>Lee</t>
  </si>
  <si>
    <t>Lee, Tim</t>
  </si>
  <si>
    <t>Tokuya</t>
  </si>
  <si>
    <t>Takahashi</t>
  </si>
  <si>
    <t>Takahashi, Tokuya</t>
  </si>
  <si>
    <t>Israel</t>
  </si>
  <si>
    <t>Baral</t>
  </si>
  <si>
    <t>Baral, Israel</t>
  </si>
  <si>
    <t>2025-09-17</t>
  </si>
  <si>
    <t>Dean</t>
  </si>
  <si>
    <t>DeMonte</t>
  </si>
  <si>
    <t>DeMonte, Dean</t>
  </si>
  <si>
    <t>2025-10-06</t>
  </si>
  <si>
    <t>Masse</t>
  </si>
  <si>
    <t>Masse, Anthony</t>
  </si>
  <si>
    <t>2025-09-29</t>
  </si>
  <si>
    <t>Caroline</t>
  </si>
  <si>
    <t>Foglietta</t>
  </si>
  <si>
    <t>Foglietta, Caroline</t>
  </si>
  <si>
    <t>Tang</t>
  </si>
  <si>
    <t>Tang, Kevin</t>
  </si>
  <si>
    <t>2025-09-22</t>
  </si>
  <si>
    <t>Rory</t>
  </si>
  <si>
    <t>Siedler</t>
  </si>
  <si>
    <t>Siedler, Rory</t>
  </si>
  <si>
    <t>Girouard</t>
  </si>
  <si>
    <t>Girouard, James</t>
  </si>
  <si>
    <t>2026-07-02</t>
  </si>
  <si>
    <t>Hale</t>
  </si>
  <si>
    <t>Hale, Ryan</t>
  </si>
  <si>
    <t>2025-11-03</t>
  </si>
  <si>
    <t>Thompson</t>
  </si>
  <si>
    <t>Thompson, Jonathan</t>
  </si>
  <si>
    <t>Darshilkumar</t>
  </si>
  <si>
    <t>Shah</t>
  </si>
  <si>
    <t>Shah, Darshilkumar</t>
  </si>
  <si>
    <t>Elizabeth</t>
  </si>
  <si>
    <t>Doherty</t>
  </si>
  <si>
    <t>Doherty, Elizabeth</t>
  </si>
  <si>
    <t>2025-12-31</t>
  </si>
  <si>
    <t>Shaker</t>
  </si>
  <si>
    <t>Ahmed</t>
  </si>
  <si>
    <t>Ahmed, Shaker</t>
  </si>
  <si>
    <t>2026-01-09</t>
  </si>
  <si>
    <t>Noah</t>
  </si>
  <si>
    <t>Zahrt</t>
  </si>
  <si>
    <t>Zahrt, Noah</t>
  </si>
  <si>
    <t>2026-01-05</t>
  </si>
  <si>
    <t>Maci</t>
  </si>
  <si>
    <t>Villavicencio</t>
  </si>
  <si>
    <t>Villavicencio, Maci</t>
  </si>
  <si>
    <t>2025-10-13</t>
  </si>
  <si>
    <t>Willis</t>
  </si>
  <si>
    <t>Willis, Scott</t>
  </si>
  <si>
    <t>2026-04-23</t>
  </si>
  <si>
    <t>Nisha Amar</t>
  </si>
  <si>
    <t>Mishra</t>
  </si>
  <si>
    <t>Mishra, Nisha Amar</t>
  </si>
  <si>
    <t>2025-12-02</t>
  </si>
  <si>
    <t>Skoczen</t>
  </si>
  <si>
    <t>Skoczen, McKenna</t>
  </si>
  <si>
    <t>Shawn</t>
  </si>
  <si>
    <t>Roche</t>
  </si>
  <si>
    <t>Roche, Shawn</t>
  </si>
  <si>
    <t>Leyden</t>
  </si>
  <si>
    <t>Leyden, Scott</t>
  </si>
  <si>
    <t>2026-04-13</t>
  </si>
  <si>
    <t>Baker</t>
  </si>
  <si>
    <t>Baker, Gary</t>
  </si>
  <si>
    <t>2025-11-10</t>
  </si>
  <si>
    <t>Imane</t>
  </si>
  <si>
    <t>Laaroussi</t>
  </si>
  <si>
    <t>Laaroussi, Imane</t>
  </si>
  <si>
    <t>Yadwinder</t>
  </si>
  <si>
    <t>Singh</t>
  </si>
  <si>
    <t>Singh, Yadwinder</t>
  </si>
  <si>
    <t>Brooke</t>
  </si>
  <si>
    <t>Berg</t>
  </si>
  <si>
    <t>Berg, Brooke</t>
  </si>
  <si>
    <t>O'Shaughnessy</t>
  </si>
  <si>
    <t>O'Shaughnessy, James</t>
  </si>
  <si>
    <t>Brianne</t>
  </si>
  <si>
    <t>Gallagher</t>
  </si>
  <si>
    <t>Gallagher, Brianne</t>
  </si>
  <si>
    <t>2025-12-08</t>
  </si>
  <si>
    <t>Maile</t>
  </si>
  <si>
    <t>Call</t>
  </si>
  <si>
    <t>Call, Maile</t>
  </si>
  <si>
    <t>2025-12-01</t>
  </si>
  <si>
    <t>Staake</t>
  </si>
  <si>
    <t>Staake, Jason</t>
  </si>
  <si>
    <t>Nicholas</t>
  </si>
  <si>
    <t>Stauffer</t>
  </si>
  <si>
    <t>Stauffer, Nicholas</t>
  </si>
  <si>
    <t>Jeremy</t>
  </si>
  <si>
    <t>Pope</t>
  </si>
  <si>
    <t>Pope, Jeremy</t>
  </si>
  <si>
    <t>2025-12-15</t>
  </si>
  <si>
    <t>Cody</t>
  </si>
  <si>
    <t>Sandford</t>
  </si>
  <si>
    <t>Sandford, Cody</t>
  </si>
  <si>
    <t>Rabkin</t>
  </si>
  <si>
    <t>Rabkin, Eric</t>
  </si>
  <si>
    <t>Owen</t>
  </si>
  <si>
    <t>Walsh</t>
  </si>
  <si>
    <t>Walsh, Owen</t>
  </si>
  <si>
    <t>Angel</t>
  </si>
  <si>
    <t>Angelov</t>
  </si>
  <si>
    <t>Angelov, Angel</t>
  </si>
  <si>
    <t>2026-01-12</t>
  </si>
  <si>
    <t>Martinez</t>
  </si>
  <si>
    <t>Martinez, Joseph</t>
  </si>
  <si>
    <t>Favian</t>
  </si>
  <si>
    <t>Velasco</t>
  </si>
  <si>
    <t>Velasco, Favian</t>
  </si>
  <si>
    <t>2025-12-22</t>
  </si>
  <si>
    <t>Harry</t>
  </si>
  <si>
    <t>Tomczyk</t>
  </si>
  <si>
    <t>Tomczyk, Harry</t>
  </si>
  <si>
    <t>2026-03-02</t>
  </si>
  <si>
    <t>Bense</t>
  </si>
  <si>
    <t>Bense, Kyle</t>
  </si>
  <si>
    <t>2026-01-26</t>
  </si>
  <si>
    <t>Covalt</t>
  </si>
  <si>
    <t>Covalt, Luke</t>
  </si>
  <si>
    <t>2026-02-16</t>
  </si>
  <si>
    <t>Gage</t>
  </si>
  <si>
    <t>Howell</t>
  </si>
  <si>
    <t>Howell, Gage</t>
  </si>
  <si>
    <t>2026-02-09</t>
  </si>
  <si>
    <t>Fellows</t>
  </si>
  <si>
    <t>Fellows, Andrew</t>
  </si>
  <si>
    <t>2026-02-02</t>
  </si>
  <si>
    <t>Catalano</t>
  </si>
  <si>
    <t>Catalano, Gabriella</t>
  </si>
  <si>
    <t>2026-02-23</t>
  </si>
  <si>
    <t>Sal</t>
  </si>
  <si>
    <t>Costa</t>
  </si>
  <si>
    <t>Costa, Sal</t>
  </si>
  <si>
    <t>Shane</t>
  </si>
  <si>
    <t>Burgoon</t>
  </si>
  <si>
    <t>Burgoon, Shane</t>
  </si>
  <si>
    <t>2026-05-29</t>
  </si>
  <si>
    <t>Brendan</t>
  </si>
  <si>
    <t>Nolan, Brendan</t>
  </si>
  <si>
    <t>2026-03-03</t>
  </si>
  <si>
    <t>Dan</t>
  </si>
  <si>
    <t>Hennessy</t>
  </si>
  <si>
    <t>Hennessy, Dan</t>
  </si>
  <si>
    <t>2026-03-10</t>
  </si>
  <si>
    <t>Talon</t>
  </si>
  <si>
    <t>Walz</t>
  </si>
  <si>
    <t>Walz, Talon</t>
  </si>
  <si>
    <t>2026-03-16</t>
  </si>
  <si>
    <t>Turner</t>
  </si>
  <si>
    <t>Turner, Christopher</t>
  </si>
  <si>
    <t>Mitchell, Evan</t>
  </si>
  <si>
    <t>Tyler</t>
  </si>
  <si>
    <t>Grimshaw</t>
  </si>
  <si>
    <t>Grimshaw, Tyler</t>
  </si>
  <si>
    <t>2026-04-20</t>
  </si>
  <si>
    <t>Samara</t>
  </si>
  <si>
    <t>McVey</t>
  </si>
  <si>
    <t>McVey, Samara</t>
  </si>
  <si>
    <t>2026-05-26</t>
  </si>
  <si>
    <t>Jacy</t>
  </si>
  <si>
    <t>Hennawy</t>
  </si>
  <si>
    <t>Hennawy, Jacy</t>
  </si>
  <si>
    <t>2026-03-24</t>
  </si>
  <si>
    <t>McGonigal</t>
  </si>
  <si>
    <t>McGonigal, Brian</t>
  </si>
  <si>
    <t>2026-04-06</t>
  </si>
  <si>
    <t>Dean, James</t>
  </si>
  <si>
    <t>2026-07-06</t>
  </si>
  <si>
    <t>Marsha</t>
  </si>
  <si>
    <t>Whitman</t>
  </si>
  <si>
    <t>Whitman, Marsha</t>
  </si>
  <si>
    <t>2026-04-21</t>
  </si>
  <si>
    <t>Button</t>
  </si>
  <si>
    <t>Button, Michael</t>
  </si>
  <si>
    <t>Robin</t>
  </si>
  <si>
    <t>Wiggs</t>
  </si>
  <si>
    <t>Wiggs, Robin</t>
  </si>
  <si>
    <t>Fennell</t>
  </si>
  <si>
    <t>Fennell, John</t>
  </si>
  <si>
    <t>Vivian</t>
  </si>
  <si>
    <t>Wu</t>
  </si>
  <si>
    <t>Wu, Vivian</t>
  </si>
  <si>
    <t>Mendes</t>
  </si>
  <si>
    <t>Mendes, Jackson</t>
  </si>
  <si>
    <t>Samantha</t>
  </si>
  <si>
    <t>Purpura</t>
  </si>
  <si>
    <t>Purpura, Samantha</t>
  </si>
  <si>
    <t>Jamie</t>
  </si>
  <si>
    <t>Cosgrove</t>
  </si>
  <si>
    <t>Cosgrove, Jamie</t>
  </si>
  <si>
    <t>Lenny</t>
  </si>
  <si>
    <t>Caraballo</t>
  </si>
  <si>
    <t>Caraballo, Lenny</t>
  </si>
  <si>
    <t>2026-06-08</t>
  </si>
  <si>
    <t>Nguyen</t>
  </si>
  <si>
    <t>Nguyen, Anthony</t>
  </si>
  <si>
    <t>Paulina</t>
  </si>
  <si>
    <t>Mateo</t>
  </si>
  <si>
    <t>Mateo, Paulina</t>
  </si>
  <si>
    <t>Jared</t>
  </si>
  <si>
    <t>Kennedy</t>
  </si>
  <si>
    <t>Kennedy, Jared</t>
  </si>
  <si>
    <t>2026-07-09</t>
  </si>
  <si>
    <t>Joyce</t>
  </si>
  <si>
    <t>Joyce, Michael</t>
  </si>
  <si>
    <t>2026-07-27</t>
  </si>
  <si>
    <t>Levin</t>
  </si>
  <si>
    <t>Levin, Daniel</t>
  </si>
  <si>
    <t>2026-07-13</t>
  </si>
  <si>
    <t>Molins</t>
  </si>
  <si>
    <t>Molins, Victoria</t>
  </si>
  <si>
    <t>Bloem</t>
  </si>
  <si>
    <t>Bloem, Paul</t>
  </si>
  <si>
    <t>2026-08-05</t>
  </si>
  <si>
    <t>Kenneth</t>
  </si>
  <si>
    <t>Ashby</t>
  </si>
  <si>
    <t>Ashby, Kenneth</t>
  </si>
  <si>
    <t>2026-08-17</t>
  </si>
  <si>
    <t>Gaby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</si>
</sst>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mm/dd/yyyy"/>
  </numFmts>
  <fonts count="12" x14ac:knownFonts="1">
    <font>
      <sz val="11"/>
      <color theme="1"/>
      <name val="Calibri"/>
      <scheme val="minor"/>
    </font>
    <font>
      <b/>
      <sz val="11"/>
      <color rgb="FF000000"/>
      <name val="Arial"/>
    </font>
    <font>
      <sz val="10"/>
      <color rgb="FF000000"/>
      <name val="Arial"/>
    </font>
    <font>
      <u/>
      <sz val="10"/>
      <color rgb="FF000000"/>
      <name val="Arial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u/>
      <sz val="11"/>
      <color theme="1"/>
      <name val="Calibri"/>
    </font>
    <font>
      <b/>
      <sz val="14"/>
      <color theme="1"/>
      <name val="Calibri"/>
    </font>
    <font>
      <u/>
      <sz val="11"/>
      <color theme="1"/>
      <name val="Calibri"/>
    </font>
    <font>
      <b/>
      <sz val="10"/>
      <color rgb="FFFFFFFF"/>
      <name val="Arial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C8C8C8"/>
        <bgColor rgb="FFC8C8C8"/>
      </patternFill>
    </fill>
    <fill>
      <patternFill patternType="solid">
        <fgColor rgb="FFFFF2CB"/>
        <bgColor rgb="FFFFF2CB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0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/>
      <bottom/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/>
      <bottom style="thin">
        <color rgb="FF000000"/>
      </bottom>
      <diagonal/>
    </border>
    <border>
      <left style="hair">
        <color rgb="FF333333"/>
      </left>
      <right style="hair">
        <color rgb="FF333333"/>
      </right>
      <top style="hair">
        <color rgb="FF333333"/>
      </top>
      <bottom style="hair">
        <color rgb="FF333333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43" fontId="2" fillId="0" borderId="0" xfId="0" applyNumberFormat="1" applyFont="1"/>
    <xf numFmtId="14" fontId="2" fillId="0" borderId="0" xfId="0" applyNumberFormat="1" applyFont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5" fillId="0" borderId="1" xfId="0" applyFont="1" applyBorder="1"/>
    <xf numFmtId="0" fontId="5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4" fontId="5" fillId="0" borderId="0" xfId="0" applyNumberFormat="1" applyFont="1"/>
    <xf numFmtId="0" fontId="6" fillId="0" borderId="0" xfId="0" applyFont="1"/>
    <xf numFmtId="8" fontId="5" fillId="0" borderId="0" xfId="0" applyNumberFormat="1" applyFont="1"/>
    <xf numFmtId="0" fontId="5" fillId="3" borderId="1" xfId="0" applyFont="1" applyFill="1" applyBorder="1"/>
    <xf numFmtId="14" fontId="5" fillId="3" borderId="1" xfId="0" applyNumberFormat="1" applyFont="1" applyFill="1" applyBorder="1"/>
    <xf numFmtId="43" fontId="5" fillId="3" borderId="1" xfId="0" applyNumberFormat="1" applyFont="1" applyFill="1" applyBorder="1"/>
    <xf numFmtId="0" fontId="5" fillId="3" borderId="6" xfId="0" applyFont="1" applyFill="1" applyBorder="1"/>
    <xf numFmtId="0" fontId="7" fillId="3" borderId="1" xfId="0" applyFont="1" applyFill="1" applyBorder="1"/>
    <xf numFmtId="0" fontId="5" fillId="2" borderId="1" xfId="0" applyFont="1" applyFill="1" applyBorder="1" applyAlignment="1">
      <alignment horizontal="left"/>
    </xf>
    <xf numFmtId="0" fontId="5" fillId="0" borderId="0" xfId="0" applyFont="1" applyAlignment="1">
      <alignment horizontal="right"/>
    </xf>
    <xf numFmtId="14" fontId="5" fillId="0" borderId="1" xfId="0" applyNumberFormat="1" applyFont="1" applyBorder="1"/>
    <xf numFmtId="0" fontId="5" fillId="0" borderId="1" xfId="0" applyFont="1" applyBorder="1" applyAlignment="1">
      <alignment horizontal="right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quotePrefix="1" applyFont="1"/>
    <xf numFmtId="49" fontId="5" fillId="0" borderId="0" xfId="0" applyNumberFormat="1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14" fontId="5" fillId="4" borderId="7" xfId="0" applyNumberFormat="1" applyFont="1" applyFill="1" applyBorder="1" applyAlignment="1">
      <alignment horizontal="center"/>
    </xf>
    <xf numFmtId="0" fontId="9" fillId="0" borderId="0" xfId="0" applyFont="1"/>
    <xf numFmtId="0" fontId="10" fillId="5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" fontId="5" fillId="6" borderId="9" xfId="0" applyNumberFormat="1" applyFont="1" applyFill="1" applyBorder="1" applyAlignment="1">
      <alignment horizontal="left" vertical="center"/>
    </xf>
    <xf numFmtId="0" fontId="5" fillId="6" borderId="9" xfId="0" applyFont="1" applyFill="1" applyBorder="1" applyAlignment="1">
      <alignment horizontal="left" vertical="center"/>
    </xf>
    <xf numFmtId="164" fontId="5" fillId="6" borderId="9" xfId="0" applyNumberFormat="1" applyFont="1" applyFill="1" applyBorder="1" applyAlignment="1">
      <alignment horizontal="left" vertical="center"/>
    </xf>
    <xf numFmtId="0" fontId="5" fillId="7" borderId="9" xfId="0" applyFont="1" applyFill="1" applyBorder="1" applyAlignment="1">
      <alignment horizontal="left" vertical="center"/>
    </xf>
    <xf numFmtId="0" fontId="11" fillId="0" borderId="0" xfId="0" applyFont="1"/>
    <xf numFmtId="0" fontId="4" fillId="0" borderId="1" xfId="0" applyFont="1" applyBorder="1" applyAlignment="1">
      <alignment horizontal="center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57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20.28515625" hidden="1" customWidth="1"/>
    <col min="2" max="2" width="20" customWidth="1"/>
    <col min="3" max="3" width="15" customWidth="1"/>
    <col min="4" max="4" width="7.42578125" customWidth="1"/>
    <col min="5" max="5" width="6.28515625" customWidth="1"/>
    <col min="6" max="6" width="55.140625" customWidth="1"/>
    <col min="7" max="7" width="7.85546875" hidden="1" customWidth="1"/>
    <col min="8" max="8" width="10.85546875" hidden="1" customWidth="1"/>
    <col min="9" max="9" width="10.28515625" hidden="1" customWidth="1"/>
    <col min="10" max="10" width="16.42578125" hidden="1" customWidth="1"/>
    <col min="11" max="11" width="22.85546875" hidden="1" customWidth="1"/>
    <col min="12" max="12" width="28.28515625" hidden="1" customWidth="1"/>
    <col min="13" max="13" width="21" hidden="1" customWidth="1"/>
    <col min="14" max="14" width="30.42578125" customWidth="1"/>
    <col min="15" max="15" width="16.85546875" hidden="1" customWidth="1"/>
    <col min="16" max="16" width="15.7109375" hidden="1" customWidth="1"/>
    <col min="17" max="17" width="69" customWidth="1"/>
    <col min="18" max="18" width="18.42578125" hidden="1" customWidth="1"/>
    <col min="19" max="19" width="23" hidden="1" customWidth="1"/>
    <col min="20" max="20" width="14.5703125" hidden="1" customWidth="1"/>
    <col min="21" max="21" width="15" hidden="1" customWidth="1"/>
    <col min="22" max="22" width="16.42578125" hidden="1" customWidth="1"/>
    <col min="23" max="23" width="18.28515625" hidden="1" customWidth="1"/>
    <col min="24" max="24" width="72" customWidth="1"/>
    <col min="25" max="25" width="12.5703125" customWidth="1"/>
    <col min="26" max="26" width="12.7109375" customWidth="1"/>
    <col min="27" max="27" width="9.85546875" customWidth="1"/>
    <col min="28" max="28" width="27.42578125" customWidth="1"/>
    <col min="29" max="29" width="22.42578125" customWidth="1"/>
    <col min="30" max="30" width="15.42578125" customWidth="1"/>
    <col min="31" max="31" width="28.7109375" customWidth="1"/>
  </cols>
  <sheetData>
    <row r="1" spans="1:31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2.75" customHeight="1" x14ac:dyDescent="0.25">
      <c r="A2" s="2"/>
      <c r="B2" s="2" t="str">
        <f>'QBO Transactions'!$U4</f>
        <v>Brex Credit Card</v>
      </c>
      <c r="C2" s="3">
        <f>'QBO Transactions'!$S4</f>
        <v>53</v>
      </c>
      <c r="D2" s="2" t="str">
        <f>'QBO Transactions'!$R4</f>
        <v>SpotHero</v>
      </c>
      <c r="E2" s="2"/>
      <c r="F2" s="3" t="str">
        <f>'QBO Transactions'!$X4</f>
        <v>Cost of Goods Sold:COGS- Travel Expenses:Ground Transportation</v>
      </c>
      <c r="G2" s="2"/>
      <c r="H2" s="2"/>
      <c r="I2" s="2"/>
      <c r="J2" s="2"/>
      <c r="K2" s="2"/>
      <c r="L2" s="2"/>
      <c r="M2" s="2"/>
      <c r="N2" s="2" t="str">
        <f>'QBO Transactions'!$Y4</f>
        <v>200- Datadog:220- Engineering</v>
      </c>
      <c r="O2" s="2"/>
      <c r="P2" s="2"/>
      <c r="Q2" s="2" t="str">
        <f>'QBO Transactions'!$T4</f>
        <v>SPOTHERO 844-356-8054 MASTERCARD-XXXXXXPJG2AN-Logan Rohloff</v>
      </c>
      <c r="R2" s="2"/>
      <c r="S2" s="2"/>
      <c r="T2" s="2"/>
      <c r="U2" s="2"/>
      <c r="V2" s="2"/>
      <c r="W2" s="2"/>
      <c r="X2" s="2" t="str">
        <f t="shared" ref="X2:X65" si="0">Q2</f>
        <v>SPOTHERO 844-356-8054 MASTERCARD-XXXXXXPJG2AN-Logan Rohloff</v>
      </c>
      <c r="Y2" s="4">
        <f>'QBO Transactions'!$Q4</f>
        <v>46233</v>
      </c>
      <c r="Z2" s="4"/>
      <c r="AA2" s="2"/>
      <c r="AB2" s="2"/>
      <c r="AC2" s="2"/>
      <c r="AD2" s="2"/>
      <c r="AE2" s="2"/>
    </row>
    <row r="3" spans="1:31" ht="12.75" customHeight="1" x14ac:dyDescent="0.25">
      <c r="A3" s="2"/>
      <c r="B3" s="2" t="str">
        <f>'QBO Transactions'!$U5</f>
        <v>Brex Credit Card</v>
      </c>
      <c r="C3" s="3">
        <f>'QBO Transactions'!$S5</f>
        <v>5207.2299999999996</v>
      </c>
      <c r="D3" s="2" t="str">
        <f>'QBO Transactions'!$R5</f>
        <v>Anthropic</v>
      </c>
      <c r="E3" s="2"/>
      <c r="F3" s="3" t="str">
        <f>'QBO Transactions'!$X5</f>
        <v>General &amp; Administrative:Software Licenses</v>
      </c>
      <c r="G3" s="2"/>
      <c r="H3" s="2"/>
      <c r="I3" s="2"/>
      <c r="J3" s="2"/>
      <c r="K3" s="2"/>
      <c r="L3" s="2"/>
      <c r="M3" s="2"/>
      <c r="N3" s="2" t="str">
        <f>'QBO Transactions'!$Y5</f>
        <v>100- Operations:110- G&amp;A</v>
      </c>
      <c r="O3" s="2"/>
      <c r="P3" s="2"/>
      <c r="Q3" s="2" t="str">
        <f>'QBO Transactions'!$T5</f>
        <v>ANTHROPIC MASTERCARD-XXXXXXQYD6Y9-Eric Rabkin</v>
      </c>
      <c r="R3" s="2"/>
      <c r="S3" s="2"/>
      <c r="T3" s="2"/>
      <c r="U3" s="2"/>
      <c r="V3" s="2"/>
      <c r="W3" s="2"/>
      <c r="X3" s="2" t="str">
        <f t="shared" si="0"/>
        <v>ANTHROPIC MASTERCARD-XXXXXXQYD6Y9-Eric Rabkin</v>
      </c>
      <c r="Y3" s="4">
        <f>'QBO Transactions'!$Q5</f>
        <v>46233</v>
      </c>
      <c r="Z3" s="2"/>
      <c r="AA3" s="2"/>
      <c r="AB3" s="2"/>
      <c r="AC3" s="2"/>
      <c r="AD3" s="2"/>
      <c r="AE3" s="2"/>
    </row>
    <row r="4" spans="1:31" ht="12.75" customHeight="1" x14ac:dyDescent="0.25">
      <c r="A4" s="2"/>
      <c r="B4" s="2" t="str">
        <f>'QBO Transactions'!$U6</f>
        <v>Brex Credit Card</v>
      </c>
      <c r="C4" s="3">
        <f>'QBO Transactions'!$S6</f>
        <v>78.95</v>
      </c>
      <c r="D4" s="2" t="str">
        <f>'QBO Transactions'!$R6</f>
        <v>Uber</v>
      </c>
      <c r="E4" s="2"/>
      <c r="F4" s="3" t="str">
        <f>'QBO Transactions'!$X6</f>
        <v>General &amp; Administrative:G&amp;A- Travel Expenses:Ground Transportation</v>
      </c>
      <c r="G4" s="2"/>
      <c r="H4" s="2"/>
      <c r="I4" s="2"/>
      <c r="J4" s="2"/>
      <c r="K4" s="2"/>
      <c r="L4" s="2"/>
      <c r="M4" s="2"/>
      <c r="N4" s="2" t="str">
        <f>'QBO Transactions'!$Y6</f>
        <v>300- ServiceNow:320- Engineering</v>
      </c>
      <c r="O4" s="2"/>
      <c r="P4" s="2"/>
      <c r="Q4" s="2" t="str">
        <f>'QBO Transactions'!$T6</f>
        <v>UBER   *TRIP MASTERCARD-XXXXXX9HTP2T-Daniel Blauvelt</v>
      </c>
      <c r="R4" s="2"/>
      <c r="S4" s="2"/>
      <c r="T4" s="2"/>
      <c r="U4" s="2"/>
      <c r="V4" s="2"/>
      <c r="W4" s="2"/>
      <c r="X4" s="2" t="str">
        <f t="shared" si="0"/>
        <v>UBER   *TRIP MASTERCARD-XXXXXX9HTP2T-Daniel Blauvelt</v>
      </c>
      <c r="Y4" s="4">
        <f>'QBO Transactions'!$Q6</f>
        <v>46233</v>
      </c>
      <c r="Z4" s="2"/>
      <c r="AA4" s="2"/>
      <c r="AB4" s="2"/>
      <c r="AC4" s="2"/>
      <c r="AD4" s="2"/>
      <c r="AE4" s="2"/>
    </row>
    <row r="5" spans="1:31" ht="12.75" customHeight="1" x14ac:dyDescent="0.25">
      <c r="A5" s="2"/>
      <c r="B5" s="2" t="str">
        <f>'QBO Transactions'!$U7</f>
        <v>Brex Credit Card</v>
      </c>
      <c r="C5" s="3">
        <f>'QBO Transactions'!$S7</f>
        <v>37.03</v>
      </c>
      <c r="D5" s="2" t="str">
        <f>'QBO Transactions'!$R7</f>
        <v>Sweeney's</v>
      </c>
      <c r="E5" s="2"/>
      <c r="F5" s="3" t="str">
        <f>'QBO Transactions'!$X7</f>
        <v>Sales &amp; Marketing:Sales &amp; Marketing- Travel Expenses:Meals &amp; Entertainment</v>
      </c>
      <c r="G5" s="2"/>
      <c r="H5" s="2"/>
      <c r="I5" s="2"/>
      <c r="J5" s="2"/>
      <c r="K5" s="2"/>
      <c r="L5" s="2"/>
      <c r="M5" s="2"/>
      <c r="N5" s="2" t="str">
        <f>'QBO Transactions'!$Y7</f>
        <v>300- ServiceNow:330- Sales</v>
      </c>
      <c r="O5" s="2"/>
      <c r="P5" s="2"/>
      <c r="Q5" s="2" t="str">
        <f>'QBO Transactions'!$T7</f>
        <v>TST*SWEENEYS MASTERCARD-XXXXXXNQXBCA-Ryan Hale</v>
      </c>
      <c r="R5" s="2"/>
      <c r="S5" s="2"/>
      <c r="T5" s="2"/>
      <c r="U5" s="2"/>
      <c r="V5" s="2"/>
      <c r="W5" s="2"/>
      <c r="X5" s="2" t="str">
        <f t="shared" si="0"/>
        <v>TST*SWEENEYS MASTERCARD-XXXXXXNQXBCA-Ryan Hale</v>
      </c>
      <c r="Y5" s="4">
        <f>'QBO Transactions'!$Q7</f>
        <v>46233</v>
      </c>
      <c r="Z5" s="2"/>
      <c r="AA5" s="2"/>
      <c r="AB5" s="2"/>
      <c r="AC5" s="2"/>
      <c r="AD5" s="2"/>
      <c r="AE5" s="2"/>
    </row>
    <row r="6" spans="1:31" ht="12" customHeight="1" x14ac:dyDescent="0.25">
      <c r="A6" s="2"/>
      <c r="B6" s="2" t="str">
        <f>'QBO Transactions'!$U8</f>
        <v>Brex Credit Card</v>
      </c>
      <c r="C6" s="3">
        <f>'QBO Transactions'!$S8</f>
        <v>41.38</v>
      </c>
      <c r="D6" s="2" t="str">
        <f>'QBO Transactions'!$R8</f>
        <v>Uber</v>
      </c>
      <c r="E6" s="2"/>
      <c r="F6" s="3" t="str">
        <f>'QBO Transactions'!$X8</f>
        <v>Sales &amp; Marketing:Sales &amp; Marketing- Travel Expenses:Ground Transportation</v>
      </c>
      <c r="G6" s="2"/>
      <c r="H6" s="2"/>
      <c r="I6" s="2"/>
      <c r="J6" s="2"/>
      <c r="K6" s="2"/>
      <c r="L6" s="2"/>
      <c r="M6" s="2"/>
      <c r="N6" s="2" t="str">
        <f>'QBO Transactions'!$Y8</f>
        <v>200- Datadog:230- Sales</v>
      </c>
      <c r="O6" s="2"/>
      <c r="P6" s="2"/>
      <c r="Q6" s="2" t="str">
        <f>'QBO Transactions'!$T8</f>
        <v>UBER *EATS HELP.UBER.C MASTERCARD-XXXXXXFXJBXL-Jackson Donahoe</v>
      </c>
      <c r="R6" s="2"/>
      <c r="S6" s="2"/>
      <c r="T6" s="2"/>
      <c r="U6" s="2"/>
      <c r="V6" s="2"/>
      <c r="W6" s="2"/>
      <c r="X6" s="2" t="str">
        <f t="shared" si="0"/>
        <v>UBER *EATS HELP.UBER.C MASTERCARD-XXXXXXFXJBXL-Jackson Donahoe</v>
      </c>
      <c r="Y6" s="4">
        <f>'QBO Transactions'!$Q8</f>
        <v>46233</v>
      </c>
      <c r="Z6" s="2"/>
      <c r="AA6" s="2"/>
      <c r="AB6" s="2"/>
      <c r="AC6" s="2"/>
      <c r="AD6" s="2"/>
      <c r="AE6" s="2"/>
    </row>
    <row r="7" spans="1:31" ht="12.75" customHeight="1" x14ac:dyDescent="0.25">
      <c r="A7" s="2"/>
      <c r="B7" s="2" t="str">
        <f>'QBO Transactions'!$U9</f>
        <v>Brex Credit Card</v>
      </c>
      <c r="C7" s="3">
        <f>'QBO Transactions'!$S9</f>
        <v>20.99</v>
      </c>
      <c r="D7" s="5" t="str">
        <f>'QBO Transactions'!$R9</f>
        <v>Uber</v>
      </c>
      <c r="E7" s="2"/>
      <c r="F7" s="3" t="str">
        <f>'QBO Transactions'!$X9</f>
        <v>General &amp; Administrative:G&amp;A- Travel Expenses:Ground Transportation</v>
      </c>
      <c r="G7" s="2"/>
      <c r="H7" s="2"/>
      <c r="I7" s="2"/>
      <c r="J7" s="2"/>
      <c r="K7" s="2"/>
      <c r="L7" s="2"/>
      <c r="M7" s="2"/>
      <c r="N7" s="2" t="str">
        <f>'QBO Transactions'!$Y9</f>
        <v>100- Operations:110- G&amp;A</v>
      </c>
      <c r="O7" s="2"/>
      <c r="P7" s="2"/>
      <c r="Q7" s="2" t="str">
        <f>'QBO Transactions'!$T9</f>
        <v>UBER   *TRIP MASTERCARD-XXXXXX113XV3-Michael Button</v>
      </c>
      <c r="R7" s="2"/>
      <c r="S7" s="2"/>
      <c r="T7" s="2"/>
      <c r="U7" s="2"/>
      <c r="V7" s="2"/>
      <c r="W7" s="2"/>
      <c r="X7" s="2" t="str">
        <f t="shared" si="0"/>
        <v>UBER   *TRIP MASTERCARD-XXXXXX113XV3-Michael Button</v>
      </c>
      <c r="Y7" s="4">
        <f>'QBO Transactions'!$Q9</f>
        <v>46233</v>
      </c>
      <c r="Z7" s="2"/>
      <c r="AA7" s="2"/>
      <c r="AB7" s="2"/>
      <c r="AC7" s="2"/>
      <c r="AD7" s="2"/>
      <c r="AE7" s="2"/>
    </row>
    <row r="8" spans="1:31" ht="12.75" customHeight="1" x14ac:dyDescent="0.25">
      <c r="A8" s="2"/>
      <c r="B8" s="2" t="str">
        <f>'QBO Transactions'!$U10</f>
        <v>Brex Credit Card</v>
      </c>
      <c r="C8" s="3">
        <f>'QBO Transactions'!$S10</f>
        <v>8</v>
      </c>
      <c r="D8" s="5" t="str">
        <f>'QBO Transactions'!$R10</f>
        <v>Uber</v>
      </c>
      <c r="E8" s="2"/>
      <c r="F8" s="3" t="str">
        <f>'QBO Transactions'!$X10</f>
        <v>Sales &amp; Marketing:Sales &amp; Marketing- Travel Expenses:Ground Transportation</v>
      </c>
      <c r="G8" s="2"/>
      <c r="H8" s="2"/>
      <c r="I8" s="2"/>
      <c r="J8" s="2"/>
      <c r="K8" s="2"/>
      <c r="L8" s="2"/>
      <c r="M8" s="2"/>
      <c r="N8" s="2" t="str">
        <f>'QBO Transactions'!$Y10</f>
        <v>100- Operations:120- Marketing</v>
      </c>
      <c r="O8" s="2"/>
      <c r="P8" s="2"/>
      <c r="Q8" s="2" t="str">
        <f>'QBO Transactions'!$T10</f>
        <v>UBER   *TRIP MASTERCARD-XXXXXXPLNGVU-Leslee Brady</v>
      </c>
      <c r="R8" s="2"/>
      <c r="S8" s="2"/>
      <c r="T8" s="2"/>
      <c r="U8" s="2"/>
      <c r="V8" s="2"/>
      <c r="W8" s="2"/>
      <c r="X8" s="2" t="str">
        <f t="shared" si="0"/>
        <v>UBER   *TRIP MASTERCARD-XXXXXXPLNGVU-Leslee Brady</v>
      </c>
      <c r="Y8" s="4">
        <f>'QBO Transactions'!$Q10</f>
        <v>46233</v>
      </c>
      <c r="Z8" s="2"/>
      <c r="AA8" s="2"/>
      <c r="AB8" s="2"/>
      <c r="AC8" s="2"/>
      <c r="AD8" s="2"/>
      <c r="AE8" s="2"/>
    </row>
    <row r="9" spans="1:31" ht="12.75" customHeight="1" x14ac:dyDescent="0.25">
      <c r="A9" s="2"/>
      <c r="B9" s="2" t="str">
        <f>'QBO Transactions'!$U11</f>
        <v>Brex Credit Card</v>
      </c>
      <c r="C9" s="3">
        <f>'QBO Transactions'!$S11</f>
        <v>35.979999999999997</v>
      </c>
      <c r="D9" s="5" t="str">
        <f>'QBO Transactions'!$R11</f>
        <v>Uber</v>
      </c>
      <c r="E9" s="2"/>
      <c r="F9" s="3" t="str">
        <f>'QBO Transactions'!$X11</f>
        <v>Cost of Goods Sold:COGS- Travel Expenses:Ground Transportation</v>
      </c>
      <c r="G9" s="2"/>
      <c r="H9" s="2"/>
      <c r="I9" s="2"/>
      <c r="J9" s="2"/>
      <c r="K9" s="2"/>
      <c r="L9" s="2"/>
      <c r="M9" s="2"/>
      <c r="N9" s="2" t="str">
        <f>'QBO Transactions'!$Y11</f>
        <v>300- ServiceNow:320- Engineering</v>
      </c>
      <c r="O9" s="2"/>
      <c r="P9" s="2"/>
      <c r="Q9" s="2" t="str">
        <f>'QBO Transactions'!$T11</f>
        <v>UBER   *TRIP MASTERCARD-XXXXXXDU86DC-William Watson</v>
      </c>
      <c r="R9" s="2"/>
      <c r="S9" s="2"/>
      <c r="T9" s="2"/>
      <c r="U9" s="2"/>
      <c r="V9" s="2"/>
      <c r="W9" s="2"/>
      <c r="X9" s="2" t="str">
        <f t="shared" si="0"/>
        <v>UBER   *TRIP MASTERCARD-XXXXXXDU86DC-William Watson</v>
      </c>
      <c r="Y9" s="4">
        <f>'QBO Transactions'!$Q11</f>
        <v>46233</v>
      </c>
      <c r="Z9" s="2"/>
      <c r="AA9" s="2"/>
      <c r="AB9" s="2"/>
      <c r="AC9" s="2"/>
      <c r="AD9" s="2"/>
      <c r="AE9" s="2"/>
    </row>
    <row r="10" spans="1:31" ht="12.75" customHeight="1" x14ac:dyDescent="0.25">
      <c r="A10" s="2"/>
      <c r="B10" s="2" t="str">
        <f>'QBO Transactions'!$U12</f>
        <v>Brex Credit Card</v>
      </c>
      <c r="C10" s="3">
        <f>'QBO Transactions'!$S12</f>
        <v>5</v>
      </c>
      <c r="D10" s="5" t="str">
        <f>'QBO Transactions'!$R12</f>
        <v>Uber</v>
      </c>
      <c r="E10" s="2"/>
      <c r="F10" s="3" t="str">
        <f>'QBO Transactions'!$X12</f>
        <v>Cost of Goods Sold:COGS- Travel Expenses:Ground Transportation</v>
      </c>
      <c r="G10" s="2"/>
      <c r="H10" s="2"/>
      <c r="I10" s="2"/>
      <c r="J10" s="2"/>
      <c r="K10" s="2"/>
      <c r="L10" s="2"/>
      <c r="M10" s="2"/>
      <c r="N10" s="2" t="str">
        <f>'QBO Transactions'!$Y12</f>
        <v>300- ServiceNow:320- Engineering</v>
      </c>
      <c r="O10" s="2"/>
      <c r="P10" s="2"/>
      <c r="Q10" s="2" t="str">
        <f>'QBO Transactions'!$T12</f>
        <v>UBER   *TRIP MASTERCARD-XXXXXXRH0ON1-Jonathan Stricklin</v>
      </c>
      <c r="R10" s="2"/>
      <c r="S10" s="2"/>
      <c r="T10" s="2"/>
      <c r="U10" s="2"/>
      <c r="V10" s="2"/>
      <c r="W10" s="2"/>
      <c r="X10" s="2" t="str">
        <f t="shared" si="0"/>
        <v>UBER   *TRIP MASTERCARD-XXXXXXRH0ON1-Jonathan Stricklin</v>
      </c>
      <c r="Y10" s="4">
        <f>'QBO Transactions'!$Q12</f>
        <v>46233</v>
      </c>
      <c r="Z10" s="2"/>
      <c r="AA10" s="2"/>
      <c r="AB10" s="2"/>
      <c r="AC10" s="2"/>
      <c r="AD10" s="2"/>
      <c r="AE10" s="2"/>
    </row>
    <row r="11" spans="1:31" ht="12.75" customHeight="1" x14ac:dyDescent="0.25">
      <c r="A11" s="2"/>
      <c r="B11" s="2" t="str">
        <f>'QBO Transactions'!$U13</f>
        <v>Brex Credit Card</v>
      </c>
      <c r="C11" s="3">
        <f>'QBO Transactions'!$S13</f>
        <v>47.1</v>
      </c>
      <c r="D11" s="5" t="str">
        <f>'QBO Transactions'!$R13</f>
        <v>Uber</v>
      </c>
      <c r="E11" s="2"/>
      <c r="F11" s="3" t="str">
        <f>'QBO Transactions'!$X13</f>
        <v>General &amp; Administrative:G&amp;A- Travel Expenses:Ground Transportation</v>
      </c>
      <c r="G11" s="2"/>
      <c r="H11" s="2"/>
      <c r="I11" s="2"/>
      <c r="J11" s="2"/>
      <c r="K11" s="2"/>
      <c r="L11" s="2"/>
      <c r="M11" s="2"/>
      <c r="N11" s="2" t="str">
        <f>'QBO Transactions'!$Y13</f>
        <v>100- Operations:110- G&amp;A</v>
      </c>
      <c r="O11" s="2"/>
      <c r="P11" s="2"/>
      <c r="Q11" s="2" t="str">
        <f>'QBO Transactions'!$T13</f>
        <v>UBER   *TRIP MASTERCARD-XXXXXXBVS4W8-Frederick Simpson</v>
      </c>
      <c r="R11" s="2"/>
      <c r="S11" s="2"/>
      <c r="T11" s="2"/>
      <c r="U11" s="2"/>
      <c r="V11" s="2"/>
      <c r="W11" s="2"/>
      <c r="X11" s="2" t="str">
        <f t="shared" si="0"/>
        <v>UBER   *TRIP MASTERCARD-XXXXXXBVS4W8-Frederick Simpson</v>
      </c>
      <c r="Y11" s="4">
        <f>'QBO Transactions'!$Q13</f>
        <v>46233</v>
      </c>
      <c r="Z11" s="2"/>
      <c r="AA11" s="2"/>
      <c r="AB11" s="2"/>
      <c r="AC11" s="2"/>
      <c r="AD11" s="2"/>
      <c r="AE11" s="2"/>
    </row>
    <row r="12" spans="1:31" ht="12.75" customHeight="1" x14ac:dyDescent="0.25">
      <c r="A12" s="2"/>
      <c r="B12" s="2" t="str">
        <f>'QBO Transactions'!$U14</f>
        <v>Brex Credit Card</v>
      </c>
      <c r="C12" s="3">
        <f>'QBO Transactions'!$S14</f>
        <v>83.96</v>
      </c>
      <c r="D12" s="5" t="str">
        <f>'QBO Transactions'!$R14</f>
        <v>Uber</v>
      </c>
      <c r="E12" s="2"/>
      <c r="F12" s="3" t="str">
        <f>'QBO Transactions'!$X14</f>
        <v>General &amp; Administrative:G&amp;A- Travel Expenses:Ground Transportation</v>
      </c>
      <c r="G12" s="2"/>
      <c r="H12" s="2"/>
      <c r="I12" s="2"/>
      <c r="J12" s="2"/>
      <c r="K12" s="2"/>
      <c r="L12" s="2"/>
      <c r="M12" s="2"/>
      <c r="N12" s="2" t="str">
        <f>'QBO Transactions'!$Y14</f>
        <v>100- Operations:110- G&amp;A</v>
      </c>
      <c r="O12" s="2"/>
      <c r="P12" s="2"/>
      <c r="Q12" s="2" t="str">
        <f>'QBO Transactions'!$T14</f>
        <v>UBER   *TRIP MASTERCARD-XXXXXXF6IXA9-Michael Button</v>
      </c>
      <c r="R12" s="2"/>
      <c r="S12" s="2"/>
      <c r="T12" s="2"/>
      <c r="U12" s="2"/>
      <c r="V12" s="2"/>
      <c r="W12" s="2"/>
      <c r="X12" s="2" t="str">
        <f t="shared" si="0"/>
        <v>UBER   *TRIP MASTERCARD-XXXXXXF6IXA9-Michael Button</v>
      </c>
      <c r="Y12" s="4">
        <f>'QBO Transactions'!$Q14</f>
        <v>46233</v>
      </c>
      <c r="Z12" s="2"/>
      <c r="AA12" s="2"/>
      <c r="AB12" s="2"/>
      <c r="AC12" s="2"/>
      <c r="AD12" s="2"/>
      <c r="AE12" s="2"/>
    </row>
    <row r="13" spans="1:31" ht="12.75" customHeight="1" x14ac:dyDescent="0.25">
      <c r="A13" s="2"/>
      <c r="B13" s="2" t="str">
        <f>'QBO Transactions'!$U15</f>
        <v>Brex Credit Card</v>
      </c>
      <c r="C13" s="3">
        <f>'QBO Transactions'!$S15</f>
        <v>20.27</v>
      </c>
      <c r="D13" s="2" t="str">
        <f>'QBO Transactions'!$R15</f>
        <v>Uber</v>
      </c>
      <c r="E13" s="2"/>
      <c r="F13" s="3" t="str">
        <f>'QBO Transactions'!$X15</f>
        <v>Cost of Goods Sold:COGS- Travel Expenses:Ground Transportation</v>
      </c>
      <c r="G13" s="2"/>
      <c r="H13" s="2"/>
      <c r="I13" s="2"/>
      <c r="J13" s="2"/>
      <c r="K13" s="2"/>
      <c r="L13" s="2"/>
      <c r="M13" s="2"/>
      <c r="N13" s="2" t="str">
        <f>'QBO Transactions'!$Y15</f>
        <v>300- ServiceNow:320- Engineering</v>
      </c>
      <c r="O13" s="2"/>
      <c r="P13" s="2"/>
      <c r="Q13" s="2" t="str">
        <f>'QBO Transactions'!$T15</f>
        <v>UBER   *TRIP MASTERCARD-XXXXXXO1EQ9C-Tokuya Takahashi</v>
      </c>
      <c r="R13" s="2"/>
      <c r="S13" s="2"/>
      <c r="T13" s="2"/>
      <c r="U13" s="2"/>
      <c r="V13" s="2"/>
      <c r="W13" s="2"/>
      <c r="X13" s="2" t="str">
        <f t="shared" si="0"/>
        <v>UBER   *TRIP MASTERCARD-XXXXXXO1EQ9C-Tokuya Takahashi</v>
      </c>
      <c r="Y13" s="4">
        <f>'QBO Transactions'!$Q15</f>
        <v>46233</v>
      </c>
      <c r="Z13" s="2"/>
      <c r="AA13" s="2"/>
      <c r="AB13" s="2"/>
      <c r="AC13" s="2"/>
      <c r="AD13" s="2"/>
      <c r="AE13" s="2"/>
    </row>
    <row r="14" spans="1:31" ht="12.75" customHeight="1" x14ac:dyDescent="0.25">
      <c r="A14" s="2"/>
      <c r="B14" s="2" t="str">
        <f>'QBO Transactions'!$U16</f>
        <v>Brex Credit Card</v>
      </c>
      <c r="C14" s="3">
        <f>'QBO Transactions'!$S16</f>
        <v>66.64</v>
      </c>
      <c r="D14" s="5" t="str">
        <f>'QBO Transactions'!$R16</f>
        <v>Sweeney's</v>
      </c>
      <c r="E14" s="2"/>
      <c r="F14" s="3" t="str">
        <f>'QBO Transactions'!$X16</f>
        <v>Cost of Goods Sold:COGS- Travel Expenses:Meals &amp; Entertainment</v>
      </c>
      <c r="G14" s="2"/>
      <c r="H14" s="2"/>
      <c r="I14" s="2"/>
      <c r="J14" s="2"/>
      <c r="K14" s="2"/>
      <c r="L14" s="2"/>
      <c r="M14" s="2"/>
      <c r="N14" s="2" t="str">
        <f>'QBO Transactions'!$Y16</f>
        <v>300- ServiceNow:310- Delivery</v>
      </c>
      <c r="O14" s="2"/>
      <c r="P14" s="2"/>
      <c r="Q14" s="2" t="str">
        <f>'QBO Transactions'!$T16</f>
        <v>TST*SWEENEYS MASTERCARD-XXXXXX0UACG1-Anamaria Gramada</v>
      </c>
      <c r="R14" s="2"/>
      <c r="S14" s="2"/>
      <c r="T14" s="2"/>
      <c r="U14" s="2"/>
      <c r="V14" s="2"/>
      <c r="W14" s="2"/>
      <c r="X14" s="2" t="str">
        <f t="shared" si="0"/>
        <v>TST*SWEENEYS MASTERCARD-XXXXXX0UACG1-Anamaria Gramada</v>
      </c>
      <c r="Y14" s="4">
        <f>'QBO Transactions'!$Q16</f>
        <v>46233</v>
      </c>
      <c r="Z14" s="2"/>
      <c r="AA14" s="2"/>
      <c r="AB14" s="2"/>
      <c r="AC14" s="2"/>
      <c r="AD14" s="2"/>
      <c r="AE14" s="2"/>
    </row>
    <row r="15" spans="1:31" ht="12.75" customHeight="1" x14ac:dyDescent="0.25">
      <c r="A15" s="2"/>
      <c r="B15" s="2" t="str">
        <f>'QBO Transactions'!$U17</f>
        <v>Brex Credit Card</v>
      </c>
      <c r="C15" s="3">
        <f>'QBO Transactions'!$S17</f>
        <v>17.940000000000001</v>
      </c>
      <c r="D15" s="5" t="str">
        <f>'QBO Transactions'!$R17</f>
        <v>Lyft</v>
      </c>
      <c r="E15" s="2"/>
      <c r="F15" s="3" t="str">
        <f>'QBO Transactions'!$X17</f>
        <v>General &amp; Administrative:G&amp;A- Travel Expenses:Ground Transportation</v>
      </c>
      <c r="G15" s="2"/>
      <c r="H15" s="2"/>
      <c r="I15" s="2"/>
      <c r="J15" s="2"/>
      <c r="K15" s="2"/>
      <c r="L15" s="2"/>
      <c r="M15" s="2"/>
      <c r="N15" s="2" t="str">
        <f>'QBO Transactions'!$Y17</f>
        <v>300- ServiceNow:320- Engineering</v>
      </c>
      <c r="O15" s="2"/>
      <c r="P15" s="2"/>
      <c r="Q15" s="2" t="str">
        <f>'QBO Transactions'!$T17</f>
        <v>LYFT   *STANDARD 07-29 MASTERCARD-XXXXXXQ5WVA4-Darshilkumar Shah</v>
      </c>
      <c r="R15" s="2"/>
      <c r="S15" s="2"/>
      <c r="T15" s="2"/>
      <c r="U15" s="2"/>
      <c r="V15" s="2"/>
      <c r="W15" s="2"/>
      <c r="X15" s="2" t="str">
        <f t="shared" si="0"/>
        <v>LYFT   *STANDARD 07-29 MASTERCARD-XXXXXXQ5WVA4-Darshilkumar Shah</v>
      </c>
      <c r="Y15" s="4">
        <f>'QBO Transactions'!$Q17</f>
        <v>46233</v>
      </c>
      <c r="Z15" s="2"/>
      <c r="AA15" s="2"/>
      <c r="AB15" s="2"/>
      <c r="AC15" s="2"/>
      <c r="AD15" s="2"/>
      <c r="AE15" s="2"/>
    </row>
    <row r="16" spans="1:31" ht="12.75" customHeight="1" x14ac:dyDescent="0.25">
      <c r="A16" s="2"/>
      <c r="B16" s="2" t="str">
        <f>'QBO Transactions'!$U18</f>
        <v>Brex Credit Card</v>
      </c>
      <c r="C16" s="3">
        <f>'QBO Transactions'!$S18</f>
        <v>16.03</v>
      </c>
      <c r="D16" s="5" t="str">
        <f>'QBO Transactions'!$R18</f>
        <v>Office Vendor</v>
      </c>
      <c r="E16" s="2"/>
      <c r="F16" s="3" t="str">
        <f>'QBO Transactions'!$X18</f>
        <v>General &amp; Administrative:Office Expenses:Dues &amp; Subscriptions</v>
      </c>
      <c r="G16" s="2"/>
      <c r="H16" s="2"/>
      <c r="I16" s="2"/>
      <c r="J16" s="2"/>
      <c r="K16" s="2"/>
      <c r="L16" s="2"/>
      <c r="M16" s="2"/>
      <c r="N16" s="2" t="str">
        <f>'QBO Transactions'!$Y18</f>
        <v>300- ServiceNow:330- Sales</v>
      </c>
      <c r="O16" s="2"/>
      <c r="P16" s="2"/>
      <c r="Q16" s="2" t="str">
        <f>'QBO Transactions'!$T18</f>
        <v>Audible*M65CI3K63 MASTERCARD-XXXXXX0V96UI-Matt Hyman</v>
      </c>
      <c r="R16" s="2"/>
      <c r="S16" s="2"/>
      <c r="T16" s="2"/>
      <c r="U16" s="2"/>
      <c r="V16" s="2"/>
      <c r="W16" s="2"/>
      <c r="X16" s="2" t="str">
        <f t="shared" si="0"/>
        <v>Audible*M65CI3K63 MASTERCARD-XXXXXX0V96UI-Matt Hyman</v>
      </c>
      <c r="Y16" s="4">
        <f>'QBO Transactions'!$Q18</f>
        <v>46233</v>
      </c>
      <c r="Z16" s="2"/>
      <c r="AA16" s="2"/>
      <c r="AB16" s="2"/>
      <c r="AC16" s="2"/>
      <c r="AD16" s="2"/>
      <c r="AE16" s="2"/>
    </row>
    <row r="17" spans="1:31" ht="12.75" customHeight="1" x14ac:dyDescent="0.25">
      <c r="A17" s="2"/>
      <c r="B17" s="2" t="str">
        <f>'QBO Transactions'!$U19</f>
        <v>Brex Credit Card</v>
      </c>
      <c r="C17" s="3">
        <f>'QBO Transactions'!$S19</f>
        <v>16.98</v>
      </c>
      <c r="D17" s="5" t="str">
        <f>'QBO Transactions'!$R19</f>
        <v>Uber</v>
      </c>
      <c r="E17" s="2"/>
      <c r="F17" s="3" t="str">
        <f>'QBO Transactions'!$X19</f>
        <v>Cost of Goods Sold:COGS- Travel Expenses:Ground Transportation</v>
      </c>
      <c r="G17" s="2"/>
      <c r="H17" s="2"/>
      <c r="I17" s="2"/>
      <c r="J17" s="2"/>
      <c r="K17" s="2"/>
      <c r="L17" s="2"/>
      <c r="M17" s="2"/>
      <c r="N17" s="2" t="str">
        <f>'QBO Transactions'!$Y19</f>
        <v>300- ServiceNow:320- Engineering</v>
      </c>
      <c r="O17" s="2"/>
      <c r="P17" s="2"/>
      <c r="Q17" s="2" t="str">
        <f>'QBO Transactions'!$T19</f>
        <v>UBER   *TRIP MASTERCARD-XXXXXXUI2GZ4-Jonathan Stricklin</v>
      </c>
      <c r="R17" s="2"/>
      <c r="S17" s="2"/>
      <c r="T17" s="2"/>
      <c r="U17" s="2"/>
      <c r="V17" s="2"/>
      <c r="W17" s="2"/>
      <c r="X17" s="2" t="str">
        <f t="shared" si="0"/>
        <v>UBER   *TRIP MASTERCARD-XXXXXXUI2GZ4-Jonathan Stricklin</v>
      </c>
      <c r="Y17" s="4">
        <f>'QBO Transactions'!$Q19</f>
        <v>46233</v>
      </c>
      <c r="Z17" s="2"/>
      <c r="AA17" s="2"/>
      <c r="AB17" s="2"/>
      <c r="AC17" s="2"/>
      <c r="AD17" s="2"/>
      <c r="AE17" s="2"/>
    </row>
    <row r="18" spans="1:31" ht="12.75" customHeight="1" x14ac:dyDescent="0.25">
      <c r="A18" s="2"/>
      <c r="B18" s="2" t="str">
        <f>'QBO Transactions'!$U20</f>
        <v>Brex Credit Card</v>
      </c>
      <c r="C18" s="3">
        <f>'QBO Transactions'!$S20</f>
        <v>8049.24</v>
      </c>
      <c r="D18" s="5" t="str">
        <f>'QBO Transactions'!$R20</f>
        <v>Food Vendor</v>
      </c>
      <c r="E18" s="2"/>
      <c r="F18" s="3" t="str">
        <f>'QBO Transactions'!$X20</f>
        <v>General &amp; Administrative:G&amp;A- Travel Expenses:Meals &amp; Entertainment</v>
      </c>
      <c r="G18" s="2"/>
      <c r="H18" s="2"/>
      <c r="I18" s="2"/>
      <c r="J18" s="2"/>
      <c r="K18" s="2"/>
      <c r="L18" s="2"/>
      <c r="M18" s="2"/>
      <c r="N18" s="2" t="str">
        <f>'QBO Transactions'!$Y20</f>
        <v>100- Operations:110- G&amp;A</v>
      </c>
      <c r="O18" s="2"/>
      <c r="P18" s="2"/>
      <c r="Q18" s="2" t="str">
        <f>'QBO Transactions'!$T20</f>
        <v>TST*SRV - BOSTON MASTERCARD-XXXXXXNLBUC5-Mickenzi Krpec</v>
      </c>
      <c r="R18" s="2"/>
      <c r="S18" s="2"/>
      <c r="T18" s="2"/>
      <c r="U18" s="2"/>
      <c r="V18" s="2"/>
      <c r="W18" s="2"/>
      <c r="X18" s="2" t="str">
        <f t="shared" si="0"/>
        <v>TST*SRV - BOSTON MASTERCARD-XXXXXXNLBUC5-Mickenzi Krpec</v>
      </c>
      <c r="Y18" s="4">
        <f>'QBO Transactions'!$Q20</f>
        <v>46233</v>
      </c>
      <c r="Z18" s="2"/>
      <c r="AA18" s="2"/>
      <c r="AB18" s="2"/>
      <c r="AC18" s="2"/>
      <c r="AD18" s="2"/>
      <c r="AE18" s="2"/>
    </row>
    <row r="19" spans="1:31" ht="12.75" customHeight="1" x14ac:dyDescent="0.25">
      <c r="A19" s="2"/>
      <c r="B19" s="2" t="str">
        <f>'QBO Transactions'!$U21</f>
        <v>Brex Credit Card</v>
      </c>
      <c r="C19" s="3">
        <f>'QBO Transactions'!$S21</f>
        <v>37.82</v>
      </c>
      <c r="D19" s="5" t="str">
        <f>'QBO Transactions'!$R21</f>
        <v>Sweeney's</v>
      </c>
      <c r="E19" s="2"/>
      <c r="F19" s="3" t="str">
        <f>'QBO Transactions'!$X21</f>
        <v>Sales &amp; Marketing:Sales &amp; Marketing- Travel Expenses:Meals &amp; Entertainment</v>
      </c>
      <c r="G19" s="2"/>
      <c r="H19" s="2"/>
      <c r="I19" s="2"/>
      <c r="J19" s="2"/>
      <c r="K19" s="2"/>
      <c r="L19" s="2"/>
      <c r="M19" s="2"/>
      <c r="N19" s="2" t="str">
        <f>'QBO Transactions'!$Y21</f>
        <v>300- ServiceNow:330- Sales</v>
      </c>
      <c r="O19" s="2"/>
      <c r="P19" s="2"/>
      <c r="Q19" s="2" t="str">
        <f>'QBO Transactions'!$T21</f>
        <v>TST*SWEENEYS MASTERCARD-XXXXXX282FVU-Matt Hyman</v>
      </c>
      <c r="R19" s="2"/>
      <c r="S19" s="2"/>
      <c r="T19" s="2"/>
      <c r="U19" s="2"/>
      <c r="V19" s="2"/>
      <c r="W19" s="2"/>
      <c r="X19" s="2" t="str">
        <f t="shared" si="0"/>
        <v>TST*SWEENEYS MASTERCARD-XXXXXX282FVU-Matt Hyman</v>
      </c>
      <c r="Y19" s="4">
        <f>'QBO Transactions'!$Q21</f>
        <v>46233</v>
      </c>
      <c r="Z19" s="2"/>
      <c r="AA19" s="2"/>
      <c r="AB19" s="2"/>
      <c r="AC19" s="2"/>
      <c r="AD19" s="2"/>
      <c r="AE19" s="2"/>
    </row>
    <row r="20" spans="1:31" ht="12.75" customHeight="1" x14ac:dyDescent="0.25">
      <c r="A20" s="2"/>
      <c r="B20" s="2" t="str">
        <f>'QBO Transactions'!$U22</f>
        <v>Brex Credit Card</v>
      </c>
      <c r="C20" s="3">
        <f>'QBO Transactions'!$S22</f>
        <v>35.96</v>
      </c>
      <c r="D20" s="5" t="str">
        <f>'QBO Transactions'!$R22</f>
        <v>Uber</v>
      </c>
      <c r="E20" s="2"/>
      <c r="F20" s="3" t="str">
        <f>'QBO Transactions'!$X22</f>
        <v>Cost of Goods Sold:COGS- Travel Expenses:Ground Transportation</v>
      </c>
      <c r="G20" s="2"/>
      <c r="H20" s="2"/>
      <c r="I20" s="2"/>
      <c r="J20" s="2"/>
      <c r="K20" s="2"/>
      <c r="L20" s="2"/>
      <c r="M20" s="2"/>
      <c r="N20" s="2" t="str">
        <f>'QBO Transactions'!$Y22</f>
        <v>200- Datadog:220- Engineering</v>
      </c>
      <c r="O20" s="2"/>
      <c r="P20" s="2"/>
      <c r="Q20" s="2" t="str">
        <f>'QBO Transactions'!$T22</f>
        <v>UBER   *TRIP MASTERCARD-XXXXXX7O5SL0-Saurabh Premraj</v>
      </c>
      <c r="R20" s="2"/>
      <c r="S20" s="2"/>
      <c r="T20" s="2"/>
      <c r="U20" s="2"/>
      <c r="V20" s="2"/>
      <c r="W20" s="2"/>
      <c r="X20" s="2" t="str">
        <f t="shared" si="0"/>
        <v>UBER   *TRIP MASTERCARD-XXXXXX7O5SL0-Saurabh Premraj</v>
      </c>
      <c r="Y20" s="4">
        <f>'QBO Transactions'!$Q22</f>
        <v>46233</v>
      </c>
      <c r="Z20" s="2"/>
      <c r="AA20" s="2"/>
      <c r="AB20" s="2"/>
      <c r="AC20" s="2"/>
      <c r="AD20" s="2"/>
      <c r="AE20" s="2"/>
    </row>
    <row r="21" spans="1:31" ht="12.75" customHeight="1" x14ac:dyDescent="0.25">
      <c r="A21" s="2"/>
      <c r="B21" s="2" t="str">
        <f>'QBO Transactions'!$U23</f>
        <v>Brex Credit Card</v>
      </c>
      <c r="C21" s="3">
        <f>'QBO Transactions'!$S23</f>
        <v>28.99</v>
      </c>
      <c r="D21" s="5" t="str">
        <f>'QBO Transactions'!$R23</f>
        <v>Uber</v>
      </c>
      <c r="E21" s="2"/>
      <c r="F21" s="3" t="str">
        <f>'QBO Transactions'!$X23</f>
        <v>General &amp; Administrative:G&amp;A- Travel Expenses:Ground Transportation</v>
      </c>
      <c r="G21" s="2"/>
      <c r="H21" s="2"/>
      <c r="I21" s="2"/>
      <c r="J21" s="2"/>
      <c r="K21" s="2"/>
      <c r="L21" s="2"/>
      <c r="M21" s="2"/>
      <c r="N21" s="2" t="str">
        <f>'QBO Transactions'!$Y23</f>
        <v>100- Operations:110- G&amp;A</v>
      </c>
      <c r="O21" s="2"/>
      <c r="P21" s="2"/>
      <c r="Q21" s="2" t="str">
        <f>'QBO Transactions'!$T23</f>
        <v>UBER   *TRIP MASTERCARD-XXXXXXQ0RO6W-Zayn Moselhy</v>
      </c>
      <c r="R21" s="2"/>
      <c r="S21" s="2"/>
      <c r="T21" s="2"/>
      <c r="U21" s="2"/>
      <c r="V21" s="2"/>
      <c r="W21" s="2"/>
      <c r="X21" s="2" t="str">
        <f t="shared" si="0"/>
        <v>UBER   *TRIP MASTERCARD-XXXXXXQ0RO6W-Zayn Moselhy</v>
      </c>
      <c r="Y21" s="4">
        <f>'QBO Transactions'!$Q23</f>
        <v>46233</v>
      </c>
      <c r="Z21" s="2"/>
      <c r="AA21" s="2"/>
      <c r="AB21" s="2"/>
      <c r="AC21" s="2"/>
      <c r="AD21" s="2"/>
      <c r="AE21" s="2"/>
    </row>
    <row r="22" spans="1:31" ht="12.75" customHeight="1" x14ac:dyDescent="0.25">
      <c r="A22" s="2"/>
      <c r="B22" s="2" t="str">
        <f>'QBO Transactions'!$U24</f>
        <v>Brex Credit Card</v>
      </c>
      <c r="C22" s="3">
        <f>'QBO Transactions'!$S24</f>
        <v>55.91</v>
      </c>
      <c r="D22" s="5" t="str">
        <f>'QBO Transactions'!$R24</f>
        <v>Lyft</v>
      </c>
      <c r="E22" s="2"/>
      <c r="F22" s="3" t="str">
        <f>'QBO Transactions'!$X24</f>
        <v>Cost of Goods Sold:COGS- Travel Expenses:Ground Transportation</v>
      </c>
      <c r="G22" s="2"/>
      <c r="H22" s="2"/>
      <c r="I22" s="2"/>
      <c r="J22" s="2"/>
      <c r="K22" s="2"/>
      <c r="L22" s="2"/>
      <c r="M22" s="2"/>
      <c r="N22" s="2" t="str">
        <f>'QBO Transactions'!$Y24</f>
        <v>200- Datadog:210- Delivery</v>
      </c>
      <c r="O22" s="2"/>
      <c r="P22" s="2"/>
      <c r="Q22" s="2" t="str">
        <f>'QBO Transactions'!$T24</f>
        <v>LYFT   *SCHD STD 07-29 MASTERCARD-XXXXXX1Y2IYE-Patrick Donovan</v>
      </c>
      <c r="R22" s="2"/>
      <c r="S22" s="2"/>
      <c r="T22" s="2"/>
      <c r="U22" s="2"/>
      <c r="V22" s="2"/>
      <c r="W22" s="2"/>
      <c r="X22" s="2" t="str">
        <f t="shared" si="0"/>
        <v>LYFT   *SCHD STD 07-29 MASTERCARD-XXXXXX1Y2IYE-Patrick Donovan</v>
      </c>
      <c r="Y22" s="4">
        <f>'QBO Transactions'!$Q24</f>
        <v>46233</v>
      </c>
      <c r="Z22" s="2"/>
      <c r="AA22" s="2"/>
      <c r="AB22" s="2"/>
      <c r="AC22" s="2"/>
      <c r="AD22" s="2"/>
      <c r="AE22" s="2"/>
    </row>
    <row r="23" spans="1:31" ht="12.75" customHeight="1" x14ac:dyDescent="0.25">
      <c r="A23" s="2"/>
      <c r="B23" s="2" t="str">
        <f>'QBO Transactions'!$U25</f>
        <v>Brex Credit Card</v>
      </c>
      <c r="C23" s="3">
        <f>'QBO Transactions'!$S25</f>
        <v>25.81</v>
      </c>
      <c r="D23" s="5" t="str">
        <f>'QBO Transactions'!$R25</f>
        <v>Uber</v>
      </c>
      <c r="E23" s="2"/>
      <c r="F23" s="3" t="str">
        <f>'QBO Transactions'!$X25</f>
        <v>General &amp; Administrative:G&amp;A- Travel Expenses:Ground Transportation</v>
      </c>
      <c r="G23" s="2"/>
      <c r="H23" s="2"/>
      <c r="I23" s="2"/>
      <c r="J23" s="2"/>
      <c r="K23" s="2"/>
      <c r="L23" s="2"/>
      <c r="M23" s="2"/>
      <c r="N23" s="2" t="str">
        <f>'QBO Transactions'!$Y25</f>
        <v>100- Operations:110- G&amp;A</v>
      </c>
      <c r="O23" s="2"/>
      <c r="P23" s="2"/>
      <c r="Q23" s="2" t="str">
        <f>'QBO Transactions'!$T25</f>
        <v>UBER   *TRIP MASTERCARD-XXXXXXG5H8YM-Frederick Simpson</v>
      </c>
      <c r="R23" s="2"/>
      <c r="S23" s="2"/>
      <c r="T23" s="2"/>
      <c r="U23" s="2"/>
      <c r="V23" s="2"/>
      <c r="W23" s="2"/>
      <c r="X23" s="2" t="str">
        <f t="shared" si="0"/>
        <v>UBER   *TRIP MASTERCARD-XXXXXXG5H8YM-Frederick Simpson</v>
      </c>
      <c r="Y23" s="4">
        <f>'QBO Transactions'!$Q25</f>
        <v>46233</v>
      </c>
      <c r="Z23" s="2"/>
      <c r="AA23" s="2"/>
      <c r="AB23" s="2"/>
      <c r="AC23" s="2"/>
      <c r="AD23" s="2"/>
      <c r="AE23" s="2"/>
    </row>
    <row r="24" spans="1:31" ht="12.75" customHeight="1" x14ac:dyDescent="0.25">
      <c r="A24" s="2"/>
      <c r="B24" s="2" t="str">
        <f>'QBO Transactions'!$U26</f>
        <v>Brex Credit Card</v>
      </c>
      <c r="C24" s="3">
        <f>'QBO Transactions'!$S26</f>
        <v>31.99</v>
      </c>
      <c r="D24" s="5" t="str">
        <f>'QBO Transactions'!$R26</f>
        <v>Uber</v>
      </c>
      <c r="E24" s="2"/>
      <c r="F24" s="3" t="str">
        <f>'QBO Transactions'!$X26</f>
        <v>Sales &amp; Marketing:Sales &amp; Marketing- Travel Expenses:Ground Transportation</v>
      </c>
      <c r="G24" s="2"/>
      <c r="H24" s="2"/>
      <c r="I24" s="2"/>
      <c r="J24" s="2"/>
      <c r="K24" s="2"/>
      <c r="L24" s="2"/>
      <c r="M24" s="2"/>
      <c r="N24" s="2" t="str">
        <f>'QBO Transactions'!$Y26</f>
        <v>200- Datadog:230- Sales</v>
      </c>
      <c r="O24" s="2"/>
      <c r="P24" s="2"/>
      <c r="Q24" s="2" t="str">
        <f>'QBO Transactions'!$T26</f>
        <v>UBER   *TRIP MASTERCARD-XXXXXXEGMHWC-Tyler Grimshaw</v>
      </c>
      <c r="R24" s="2"/>
      <c r="S24" s="2"/>
      <c r="T24" s="2"/>
      <c r="U24" s="2"/>
      <c r="V24" s="2"/>
      <c r="W24" s="2"/>
      <c r="X24" s="2" t="str">
        <f t="shared" si="0"/>
        <v>UBER   *TRIP MASTERCARD-XXXXXXEGMHWC-Tyler Grimshaw</v>
      </c>
      <c r="Y24" s="4">
        <f>'QBO Transactions'!$Q26</f>
        <v>46233</v>
      </c>
      <c r="Z24" s="2"/>
      <c r="AA24" s="2"/>
      <c r="AB24" s="2"/>
      <c r="AC24" s="2"/>
      <c r="AD24" s="2"/>
      <c r="AE24" s="2"/>
    </row>
    <row r="25" spans="1:31" ht="12.75" customHeight="1" x14ac:dyDescent="0.25">
      <c r="A25" s="2"/>
      <c r="B25" s="2" t="str">
        <f>'QBO Transactions'!$U27</f>
        <v>Brex Credit Card</v>
      </c>
      <c r="C25" s="3">
        <f>'QBO Transactions'!$S27</f>
        <v>3</v>
      </c>
      <c r="D25" s="5" t="str">
        <f>'QBO Transactions'!$R27</f>
        <v>Uber</v>
      </c>
      <c r="E25" s="2"/>
      <c r="F25" s="3" t="str">
        <f>'QBO Transactions'!$X27</f>
        <v>Sales &amp; Marketing:Sales &amp; Marketing- Travel Expenses:Ground Transportation</v>
      </c>
      <c r="G25" s="2"/>
      <c r="H25" s="2"/>
      <c r="I25" s="2"/>
      <c r="J25" s="2"/>
      <c r="K25" s="2"/>
      <c r="L25" s="2"/>
      <c r="M25" s="2"/>
      <c r="N25" s="2" t="str">
        <f>'QBO Transactions'!$Y27</f>
        <v>100- Operations:120- Marketing</v>
      </c>
      <c r="O25" s="2"/>
      <c r="P25" s="2"/>
      <c r="Q25" s="2" t="str">
        <f>'QBO Transactions'!$T27</f>
        <v>UBER   *TRIP MASTERCARD-XXXXXXR1SOS6-Toni Manning</v>
      </c>
      <c r="R25" s="2"/>
      <c r="S25" s="2"/>
      <c r="T25" s="2"/>
      <c r="U25" s="2"/>
      <c r="V25" s="2"/>
      <c r="W25" s="2"/>
      <c r="X25" s="2" t="str">
        <f t="shared" si="0"/>
        <v>UBER   *TRIP MASTERCARD-XXXXXXR1SOS6-Toni Manning</v>
      </c>
      <c r="Y25" s="4">
        <f>'QBO Transactions'!$Q27</f>
        <v>46233</v>
      </c>
      <c r="Z25" s="2"/>
      <c r="AA25" s="2"/>
      <c r="AB25" s="2"/>
      <c r="AC25" s="2"/>
      <c r="AD25" s="2"/>
      <c r="AE25" s="2"/>
    </row>
    <row r="26" spans="1:31" ht="12.75" customHeight="1" x14ac:dyDescent="0.25">
      <c r="A26" s="2"/>
      <c r="B26" s="2" t="str">
        <f>'QBO Transactions'!$U28</f>
        <v>Brex Credit Card</v>
      </c>
      <c r="C26" s="3">
        <f>'QBO Transactions'!$S28</f>
        <v>12.99</v>
      </c>
      <c r="D26" s="5" t="str">
        <f>'QBO Transactions'!$R28</f>
        <v>Uber</v>
      </c>
      <c r="E26" s="2"/>
      <c r="F26" s="3" t="str">
        <f>'QBO Transactions'!$X28</f>
        <v>Sales &amp; Marketing:Sales &amp; Marketing- Travel Expenses:Ground Transportation</v>
      </c>
      <c r="G26" s="2"/>
      <c r="H26" s="2"/>
      <c r="I26" s="2"/>
      <c r="J26" s="2"/>
      <c r="K26" s="2"/>
      <c r="L26" s="2"/>
      <c r="M26" s="2"/>
      <c r="N26" s="2" t="str">
        <f>'QBO Transactions'!$Y28</f>
        <v>200- Datadog:230- Sales</v>
      </c>
      <c r="O26" s="2"/>
      <c r="P26" s="2"/>
      <c r="Q26" s="2" t="str">
        <f>'QBO Transactions'!$T28</f>
        <v>UBER   *TRIP MASTERCARD-XXXXXXXR4LXN-Jackson Donahoe</v>
      </c>
      <c r="R26" s="2"/>
      <c r="S26" s="2"/>
      <c r="T26" s="2"/>
      <c r="U26" s="2"/>
      <c r="V26" s="2"/>
      <c r="W26" s="2"/>
      <c r="X26" s="2" t="str">
        <f t="shared" si="0"/>
        <v>UBER   *TRIP MASTERCARD-XXXXXXXR4LXN-Jackson Donahoe</v>
      </c>
      <c r="Y26" s="4">
        <f>'QBO Transactions'!$Q28</f>
        <v>46233</v>
      </c>
      <c r="Z26" s="2"/>
      <c r="AA26" s="2"/>
      <c r="AB26" s="2"/>
      <c r="AC26" s="2"/>
      <c r="AD26" s="2"/>
      <c r="AE26" s="2"/>
    </row>
    <row r="27" spans="1:31" ht="12.75" customHeight="1" x14ac:dyDescent="0.25">
      <c r="A27" s="2"/>
      <c r="B27" s="2" t="str">
        <f>'QBO Transactions'!$U29</f>
        <v>Brex Credit Card</v>
      </c>
      <c r="C27" s="3">
        <f>'QBO Transactions'!$S29</f>
        <v>24.97</v>
      </c>
      <c r="D27" s="5" t="str">
        <f>'QBO Transactions'!$R29</f>
        <v>Uber</v>
      </c>
      <c r="E27" s="2"/>
      <c r="F27" s="3" t="str">
        <f>'QBO Transactions'!$X29</f>
        <v>Cost of Goods Sold:COGS- Travel Expenses:Ground Transportation</v>
      </c>
      <c r="G27" s="2"/>
      <c r="H27" s="2"/>
      <c r="I27" s="2"/>
      <c r="J27" s="2"/>
      <c r="K27" s="2"/>
      <c r="L27" s="2"/>
      <c r="M27" s="2"/>
      <c r="N27" s="2" t="str">
        <f>'QBO Transactions'!$Y29</f>
        <v>300- ServiceNow:320- Engineering</v>
      </c>
      <c r="O27" s="2"/>
      <c r="P27" s="2"/>
      <c r="Q27" s="2" t="str">
        <f>'QBO Transactions'!$T29</f>
        <v>UBER   *TRIP MASTERCARD-XXXXXXWBKXK9-Robert Kolosky</v>
      </c>
      <c r="R27" s="2"/>
      <c r="S27" s="2"/>
      <c r="T27" s="2"/>
      <c r="U27" s="2"/>
      <c r="V27" s="2"/>
      <c r="W27" s="2"/>
      <c r="X27" s="2" t="str">
        <f t="shared" si="0"/>
        <v>UBER   *TRIP MASTERCARD-XXXXXXWBKXK9-Robert Kolosky</v>
      </c>
      <c r="Y27" s="4">
        <f>'QBO Transactions'!$Q29</f>
        <v>46233</v>
      </c>
      <c r="Z27" s="2"/>
      <c r="AA27" s="2"/>
      <c r="AB27" s="2"/>
      <c r="AC27" s="2"/>
      <c r="AD27" s="2"/>
      <c r="AE27" s="2"/>
    </row>
    <row r="28" spans="1:31" ht="12.75" customHeight="1" x14ac:dyDescent="0.25">
      <c r="A28" s="2"/>
      <c r="B28" s="2" t="str">
        <f>'QBO Transactions'!$U30</f>
        <v>Brex Credit Card</v>
      </c>
      <c r="C28" s="3">
        <f>'QBO Transactions'!$S30</f>
        <v>28.98</v>
      </c>
      <c r="D28" s="5" t="str">
        <f>'QBO Transactions'!$R30</f>
        <v>Uber</v>
      </c>
      <c r="E28" s="2"/>
      <c r="F28" s="3" t="str">
        <f>'QBO Transactions'!$X30</f>
        <v>Cost of Goods Sold:COGS- Travel Expenses:Ground Transportation</v>
      </c>
      <c r="G28" s="2"/>
      <c r="H28" s="2"/>
      <c r="I28" s="2"/>
      <c r="J28" s="2"/>
      <c r="K28" s="2"/>
      <c r="L28" s="2"/>
      <c r="M28" s="2"/>
      <c r="N28" s="2" t="str">
        <f>'QBO Transactions'!$Y30</f>
        <v>300- ServiceNow:320- Engineering</v>
      </c>
      <c r="O28" s="2"/>
      <c r="P28" s="2"/>
      <c r="Q28" s="2" t="str">
        <f>'QBO Transactions'!$T30</f>
        <v>UBER   *TRIP MASTERCARD-XXXXXXLK316L-Jonathan Stricklin</v>
      </c>
      <c r="R28" s="2"/>
      <c r="S28" s="2"/>
      <c r="T28" s="2"/>
      <c r="U28" s="2"/>
      <c r="V28" s="2"/>
      <c r="W28" s="2"/>
      <c r="X28" s="2" t="str">
        <f t="shared" si="0"/>
        <v>UBER   *TRIP MASTERCARD-XXXXXXLK316L-Jonathan Stricklin</v>
      </c>
      <c r="Y28" s="4">
        <f>'QBO Transactions'!$Q30</f>
        <v>46233</v>
      </c>
      <c r="Z28" s="2"/>
      <c r="AA28" s="2"/>
      <c r="AB28" s="2"/>
      <c r="AC28" s="2"/>
      <c r="AD28" s="2"/>
      <c r="AE28" s="2"/>
    </row>
    <row r="29" spans="1:31" ht="12.75" customHeight="1" x14ac:dyDescent="0.25">
      <c r="A29" s="2"/>
      <c r="B29" s="2" t="str">
        <f>'QBO Transactions'!$U31</f>
        <v>Brex Credit Card</v>
      </c>
      <c r="C29" s="3">
        <f>'QBO Transactions'!$S31</f>
        <v>12.38</v>
      </c>
      <c r="D29" s="5" t="str">
        <f>'QBO Transactions'!$R31</f>
        <v>Uber</v>
      </c>
      <c r="E29" s="2"/>
      <c r="F29" s="3" t="str">
        <f>'QBO Transactions'!$X31</f>
        <v>Cost of Goods Sold:COGS- Travel Expenses:Ground Transportation</v>
      </c>
      <c r="G29" s="2"/>
      <c r="H29" s="2"/>
      <c r="I29" s="2"/>
      <c r="J29" s="2"/>
      <c r="K29" s="2"/>
      <c r="L29" s="2"/>
      <c r="M29" s="2"/>
      <c r="N29" s="2" t="str">
        <f>'QBO Transactions'!$Y31</f>
        <v>300- ServiceNow:320- Engineering</v>
      </c>
      <c r="O29" s="2"/>
      <c r="P29" s="2"/>
      <c r="Q29" s="2" t="str">
        <f>'QBO Transactions'!$T31</f>
        <v>UBER   *TRIP MASTERCARD-XXXXXX0YLSJ6-Tokuya Takahashi</v>
      </c>
      <c r="R29" s="2"/>
      <c r="S29" s="2"/>
      <c r="T29" s="2"/>
      <c r="U29" s="2"/>
      <c r="V29" s="2"/>
      <c r="W29" s="2"/>
      <c r="X29" s="2" t="str">
        <f t="shared" si="0"/>
        <v>UBER   *TRIP MASTERCARD-XXXXXX0YLSJ6-Tokuya Takahashi</v>
      </c>
      <c r="Y29" s="4">
        <f>'QBO Transactions'!$Q31</f>
        <v>46233</v>
      </c>
      <c r="Z29" s="2"/>
      <c r="AA29" s="2"/>
      <c r="AB29" s="2"/>
      <c r="AC29" s="2"/>
      <c r="AD29" s="2"/>
      <c r="AE29" s="2"/>
    </row>
    <row r="30" spans="1:31" ht="12.75" customHeight="1" x14ac:dyDescent="0.25">
      <c r="A30" s="2"/>
      <c r="B30" s="2" t="str">
        <f>'QBO Transactions'!$U32</f>
        <v>Brex Credit Card</v>
      </c>
      <c r="C30" s="3">
        <f>'QBO Transactions'!$S32</f>
        <v>26.22</v>
      </c>
      <c r="D30" s="5" t="str">
        <f>'QBO Transactions'!$R32</f>
        <v>Uber</v>
      </c>
      <c r="E30" s="2"/>
      <c r="F30" s="3" t="str">
        <f>'QBO Transactions'!$X32</f>
        <v>General &amp; Administrative:G&amp;A- Travel Expenses:Ground Transportation</v>
      </c>
      <c r="G30" s="2"/>
      <c r="H30" s="2"/>
      <c r="I30" s="2"/>
      <c r="J30" s="2"/>
      <c r="K30" s="2"/>
      <c r="L30" s="2"/>
      <c r="M30" s="2"/>
      <c r="N30" s="2" t="str">
        <f>'QBO Transactions'!$Y32</f>
        <v>100- Operations:110- G&amp;A</v>
      </c>
      <c r="O30" s="2"/>
      <c r="P30" s="2"/>
      <c r="Q30" s="2" t="str">
        <f>'QBO Transactions'!$T32</f>
        <v>UBER   *TRIP MASTERCARD-XXXXXX9HZBAE-Frederick Simpson</v>
      </c>
      <c r="R30" s="2"/>
      <c r="S30" s="2"/>
      <c r="T30" s="2"/>
      <c r="U30" s="2"/>
      <c r="V30" s="2"/>
      <c r="W30" s="2"/>
      <c r="X30" s="2" t="str">
        <f t="shared" si="0"/>
        <v>UBER   *TRIP MASTERCARD-XXXXXX9HZBAE-Frederick Simpson</v>
      </c>
      <c r="Y30" s="4">
        <f>'QBO Transactions'!$Q32</f>
        <v>46233</v>
      </c>
      <c r="Z30" s="2"/>
      <c r="AA30" s="2"/>
      <c r="AB30" s="2"/>
      <c r="AC30" s="2"/>
      <c r="AD30" s="2"/>
      <c r="AE30" s="2"/>
    </row>
    <row r="31" spans="1:31" ht="12.75" customHeight="1" x14ac:dyDescent="0.25">
      <c r="A31" s="2"/>
      <c r="B31" s="2" t="str">
        <f>'QBO Transactions'!$U33</f>
        <v>Brex Credit Card</v>
      </c>
      <c r="C31" s="3">
        <f>'QBO Transactions'!$S33</f>
        <v>62.43</v>
      </c>
      <c r="D31" s="5" t="str">
        <f>'QBO Transactions'!$R33</f>
        <v>Food Vendor</v>
      </c>
      <c r="E31" s="2"/>
      <c r="F31" s="3" t="str">
        <f>'QBO Transactions'!$X33</f>
        <v>Cost of Goods Sold:COGS- Travel Expenses:Meals &amp; Entertainment</v>
      </c>
      <c r="G31" s="2"/>
      <c r="H31" s="2"/>
      <c r="I31" s="2"/>
      <c r="J31" s="2"/>
      <c r="K31" s="2"/>
      <c r="L31" s="2"/>
      <c r="M31" s="2"/>
      <c r="N31" s="2" t="str">
        <f>'QBO Transactions'!$Y33</f>
        <v>200- Datadog:220- Engineering</v>
      </c>
      <c r="O31" s="2"/>
      <c r="P31" s="2"/>
      <c r="Q31" s="2" t="str">
        <f>'QBO Transactions'!$T33</f>
        <v>TST* YELLOW DOOR TAQUE MASTERCARD-XXXXXXO4D629-Mitchell Nethercott</v>
      </c>
      <c r="R31" s="2"/>
      <c r="S31" s="2"/>
      <c r="T31" s="2"/>
      <c r="U31" s="2"/>
      <c r="V31" s="2"/>
      <c r="W31" s="2"/>
      <c r="X31" s="2" t="str">
        <f t="shared" si="0"/>
        <v>TST* YELLOW DOOR TAQUE MASTERCARD-XXXXXXO4D629-Mitchell Nethercott</v>
      </c>
      <c r="Y31" s="4">
        <f>'QBO Transactions'!$Q33</f>
        <v>46233</v>
      </c>
      <c r="Z31" s="2"/>
      <c r="AA31" s="2"/>
      <c r="AB31" s="2"/>
      <c r="AC31" s="2"/>
      <c r="AD31" s="2"/>
      <c r="AE31" s="2"/>
    </row>
    <row r="32" spans="1:31" ht="12.75" customHeight="1" x14ac:dyDescent="0.25">
      <c r="A32" s="2"/>
      <c r="B32" s="2" t="str">
        <f>'QBO Transactions'!$U34</f>
        <v>Brex Credit Card</v>
      </c>
      <c r="C32" s="3">
        <f>'QBO Transactions'!$S34</f>
        <v>74.989999999999995</v>
      </c>
      <c r="D32" s="5" t="str">
        <f>'QBO Transactions'!$R34</f>
        <v>Uber</v>
      </c>
      <c r="E32" s="2"/>
      <c r="F32" s="3" t="str">
        <f>'QBO Transactions'!$X34</f>
        <v>Cost of Goods Sold:COGS- Travel Expenses:Ground Transportation</v>
      </c>
      <c r="G32" s="2"/>
      <c r="H32" s="2"/>
      <c r="I32" s="2"/>
      <c r="J32" s="2"/>
      <c r="K32" s="2"/>
      <c r="L32" s="2"/>
      <c r="M32" s="2"/>
      <c r="N32" s="2" t="str">
        <f>'QBO Transactions'!$Y34</f>
        <v>200- Datadog:220- Engineering</v>
      </c>
      <c r="O32" s="2"/>
      <c r="P32" s="2"/>
      <c r="Q32" s="2" t="str">
        <f>'QBO Transactions'!$T34</f>
        <v>UBER   *TRIP MASTERCARD-XXXXXXDRZKHY-Alexander Glenn</v>
      </c>
      <c r="R32" s="2"/>
      <c r="S32" s="2"/>
      <c r="T32" s="2"/>
      <c r="U32" s="2"/>
      <c r="V32" s="2"/>
      <c r="W32" s="2"/>
      <c r="X32" s="2" t="str">
        <f t="shared" si="0"/>
        <v>UBER   *TRIP MASTERCARD-XXXXXXDRZKHY-Alexander Glenn</v>
      </c>
      <c r="Y32" s="4">
        <f>'QBO Transactions'!$Q34</f>
        <v>46233</v>
      </c>
      <c r="Z32" s="2"/>
      <c r="AA32" s="2"/>
      <c r="AB32" s="2"/>
      <c r="AC32" s="2"/>
      <c r="AD32" s="2"/>
      <c r="AE32" s="2"/>
    </row>
    <row r="33" spans="1:31" ht="12.75" customHeight="1" x14ac:dyDescent="0.25">
      <c r="A33" s="2"/>
      <c r="B33" s="2" t="str">
        <f>'QBO Transactions'!$U35</f>
        <v>Brex Credit Card</v>
      </c>
      <c r="C33" s="3">
        <f>'QBO Transactions'!$S35</f>
        <v>12.94</v>
      </c>
      <c r="D33" s="5" t="str">
        <f>'QBO Transactions'!$R35</f>
        <v>Uber</v>
      </c>
      <c r="E33" s="2"/>
      <c r="F33" s="3" t="str">
        <f>'QBO Transactions'!$X35</f>
        <v>Cost of Goods Sold:COGS- Travel Expenses:Ground Transportation</v>
      </c>
      <c r="G33" s="2"/>
      <c r="H33" s="2"/>
      <c r="I33" s="2"/>
      <c r="J33" s="2"/>
      <c r="K33" s="2"/>
      <c r="L33" s="2"/>
      <c r="M33" s="2"/>
      <c r="N33" s="2" t="str">
        <f>'QBO Transactions'!$Y35</f>
        <v>300- ServiceNow:320- Engineering</v>
      </c>
      <c r="O33" s="2"/>
      <c r="P33" s="2"/>
      <c r="Q33" s="2" t="str">
        <f>'QBO Transactions'!$T35</f>
        <v>UBER   *TRIP MASTERCARD-XXXXXXPOW1YO-Israel Baral</v>
      </c>
      <c r="R33" s="2"/>
      <c r="S33" s="2"/>
      <c r="T33" s="2"/>
      <c r="U33" s="2"/>
      <c r="V33" s="2"/>
      <c r="W33" s="2"/>
      <c r="X33" s="2" t="str">
        <f t="shared" si="0"/>
        <v>UBER   *TRIP MASTERCARD-XXXXXXPOW1YO-Israel Baral</v>
      </c>
      <c r="Y33" s="4">
        <f>'QBO Transactions'!$Q35</f>
        <v>46233</v>
      </c>
      <c r="Z33" s="2"/>
      <c r="AA33" s="2"/>
      <c r="AB33" s="2"/>
      <c r="AC33" s="2"/>
      <c r="AD33" s="2"/>
      <c r="AE33" s="2"/>
    </row>
    <row r="34" spans="1:31" ht="12.75" customHeight="1" x14ac:dyDescent="0.25">
      <c r="A34" s="2"/>
      <c r="B34" s="2" t="str">
        <f>'QBO Transactions'!$U36</f>
        <v>Brex Credit Card</v>
      </c>
      <c r="C34" s="3">
        <f>'QBO Transactions'!$S36</f>
        <v>45</v>
      </c>
      <c r="D34" s="5" t="str">
        <f>'QBO Transactions'!$R36</f>
        <v>Back Bay Garage</v>
      </c>
      <c r="E34" s="2"/>
      <c r="F34" s="3" t="str">
        <f>'QBO Transactions'!$X36</f>
        <v>General &amp; Administrative:G&amp;A- Travel Expenses:Ground Transportation</v>
      </c>
      <c r="G34" s="2"/>
      <c r="H34" s="2"/>
      <c r="I34" s="2"/>
      <c r="J34" s="2"/>
      <c r="K34" s="2"/>
      <c r="L34" s="2"/>
      <c r="M34" s="2"/>
      <c r="N34" s="2" t="str">
        <f>'QBO Transactions'!$Y36</f>
        <v>100- Operations:110- G&amp;A</v>
      </c>
      <c r="O34" s="2"/>
      <c r="P34" s="2"/>
      <c r="Q34" s="2" t="str">
        <f>'QBO Transactions'!$T36</f>
        <v>VPNE BackBayGarage MASTERCARD-XXXXXXYNKQQQ-Kevin Ebert</v>
      </c>
      <c r="R34" s="2"/>
      <c r="S34" s="2"/>
      <c r="T34" s="2"/>
      <c r="U34" s="2"/>
      <c r="V34" s="2"/>
      <c r="W34" s="2"/>
      <c r="X34" s="2" t="str">
        <f t="shared" si="0"/>
        <v>VPNE BackBayGarage MASTERCARD-XXXXXXYNKQQQ-Kevin Ebert</v>
      </c>
      <c r="Y34" s="4">
        <f>'QBO Transactions'!$Q36</f>
        <v>46233</v>
      </c>
      <c r="Z34" s="2"/>
      <c r="AA34" s="2"/>
      <c r="AB34" s="2"/>
      <c r="AC34" s="2"/>
      <c r="AD34" s="2"/>
      <c r="AE34" s="2"/>
    </row>
    <row r="35" spans="1:31" ht="12.75" customHeight="1" x14ac:dyDescent="0.25">
      <c r="A35" s="2"/>
      <c r="B35" s="2" t="str">
        <f>'QBO Transactions'!$U37</f>
        <v>Brex Credit Card</v>
      </c>
      <c r="C35" s="3">
        <f>'QBO Transactions'!$S37</f>
        <v>50.48</v>
      </c>
      <c r="D35" s="5" t="str">
        <f>'QBO Transactions'!$R37</f>
        <v>Uber</v>
      </c>
      <c r="E35" s="2"/>
      <c r="F35" s="3" t="str">
        <f>'QBO Transactions'!$X37</f>
        <v>Cost of Goods Sold:COGS- Travel Expenses:Ground Transportation</v>
      </c>
      <c r="G35" s="2"/>
      <c r="H35" s="2"/>
      <c r="I35" s="2"/>
      <c r="J35" s="2"/>
      <c r="K35" s="2"/>
      <c r="L35" s="2"/>
      <c r="M35" s="2"/>
      <c r="N35" s="2" t="str">
        <f>'QBO Transactions'!$Y37</f>
        <v>300- ServiceNow:320- Engineering</v>
      </c>
      <c r="O35" s="2"/>
      <c r="P35" s="2"/>
      <c r="Q35" s="2" t="str">
        <f>'QBO Transactions'!$T37</f>
        <v>UBER   *TRIP MASTERCARD-XXXXXXJ2BIB9-Dor Vaknin</v>
      </c>
      <c r="R35" s="2"/>
      <c r="S35" s="2"/>
      <c r="T35" s="2"/>
      <c r="U35" s="2"/>
      <c r="V35" s="2"/>
      <c r="W35" s="2"/>
      <c r="X35" s="2" t="str">
        <f t="shared" si="0"/>
        <v>UBER   *TRIP MASTERCARD-XXXXXXJ2BIB9-Dor Vaknin</v>
      </c>
      <c r="Y35" s="4">
        <f>'QBO Transactions'!$Q37</f>
        <v>46233</v>
      </c>
      <c r="Z35" s="2"/>
      <c r="AA35" s="2"/>
      <c r="AB35" s="2"/>
      <c r="AC35" s="2"/>
      <c r="AD35" s="2"/>
      <c r="AE35" s="2"/>
    </row>
    <row r="36" spans="1:31" ht="12.75" customHeight="1" x14ac:dyDescent="0.25">
      <c r="A36" s="2"/>
      <c r="B36" s="2" t="str">
        <f>'QBO Transactions'!$U38</f>
        <v>Brex Credit Card</v>
      </c>
      <c r="C36" s="3">
        <f>'QBO Transactions'!$S38</f>
        <v>47.98</v>
      </c>
      <c r="D36" s="5" t="str">
        <f>'QBO Transactions'!$R38</f>
        <v>Uber</v>
      </c>
      <c r="E36" s="2"/>
      <c r="F36" s="3" t="str">
        <f>'QBO Transactions'!$X38</f>
        <v>Sales &amp; Marketing:Sales &amp; Marketing- Travel Expenses:Ground Transportation</v>
      </c>
      <c r="G36" s="2"/>
      <c r="H36" s="2"/>
      <c r="I36" s="2"/>
      <c r="J36" s="2"/>
      <c r="K36" s="2"/>
      <c r="L36" s="2"/>
      <c r="M36" s="2"/>
      <c r="N36" s="2" t="str">
        <f>'QBO Transactions'!$Y38</f>
        <v>200- Datadog:230- Sales</v>
      </c>
      <c r="O36" s="2"/>
      <c r="P36" s="2"/>
      <c r="Q36" s="2" t="str">
        <f>'QBO Transactions'!$T38</f>
        <v>UBER   *TRIP MASTERCARD-XXXXXXFKYF9Q-Ryan Henrich</v>
      </c>
      <c r="R36" s="2"/>
      <c r="S36" s="2"/>
      <c r="T36" s="2"/>
      <c r="U36" s="2"/>
      <c r="V36" s="2"/>
      <c r="W36" s="2"/>
      <c r="X36" s="2" t="str">
        <f t="shared" si="0"/>
        <v>UBER   *TRIP MASTERCARD-XXXXXXFKYF9Q-Ryan Henrich</v>
      </c>
      <c r="Y36" s="4">
        <f>'QBO Transactions'!$Q38</f>
        <v>46233</v>
      </c>
      <c r="Z36" s="2"/>
      <c r="AA36" s="2"/>
      <c r="AB36" s="2"/>
      <c r="AC36" s="2"/>
      <c r="AD36" s="2"/>
      <c r="AE36" s="2"/>
    </row>
    <row r="37" spans="1:31" ht="12.75" customHeight="1" x14ac:dyDescent="0.25">
      <c r="A37" s="2"/>
      <c r="B37" s="2" t="str">
        <f>'QBO Transactions'!$U39</f>
        <v>Brex Credit Card</v>
      </c>
      <c r="C37" s="3">
        <f>'QBO Transactions'!$S39</f>
        <v>3500</v>
      </c>
      <c r="D37" s="5" t="str">
        <f>'QBO Transactions'!$R39</f>
        <v>Food Vendor</v>
      </c>
      <c r="E37" s="2"/>
      <c r="F37" s="3" t="str">
        <f>'QBO Transactions'!$X39</f>
        <v>General &amp; Administrative:G&amp;A- Travel Expenses:Meals &amp; Entertainment</v>
      </c>
      <c r="G37" s="2"/>
      <c r="H37" s="2"/>
      <c r="I37" s="2"/>
      <c r="J37" s="2"/>
      <c r="K37" s="2"/>
      <c r="L37" s="2"/>
      <c r="M37" s="2"/>
      <c r="N37" s="2" t="str">
        <f>'QBO Transactions'!$Y39</f>
        <v>100- Operations:110- G&amp;A</v>
      </c>
      <c r="O37" s="2"/>
      <c r="P37" s="2"/>
      <c r="Q37" s="2" t="str">
        <f>'QBO Transactions'!$T39</f>
        <v>TST* YELLOW DOOR TAQUE MASTERCARD-XXXXXXN730G8-Mickenzi Krpec</v>
      </c>
      <c r="R37" s="2"/>
      <c r="S37" s="2"/>
      <c r="T37" s="2"/>
      <c r="U37" s="2"/>
      <c r="V37" s="2"/>
      <c r="W37" s="2"/>
      <c r="X37" s="2" t="str">
        <f t="shared" si="0"/>
        <v>TST* YELLOW DOOR TAQUE MASTERCARD-XXXXXXN730G8-Mickenzi Krpec</v>
      </c>
      <c r="Y37" s="4">
        <f>'QBO Transactions'!$Q39</f>
        <v>46233</v>
      </c>
      <c r="Z37" s="2"/>
      <c r="AA37" s="2"/>
      <c r="AB37" s="2"/>
      <c r="AC37" s="2"/>
      <c r="AD37" s="2"/>
      <c r="AE37" s="2"/>
    </row>
    <row r="38" spans="1:31" ht="12.75" customHeight="1" x14ac:dyDescent="0.25">
      <c r="A38" s="2"/>
      <c r="B38" s="2" t="str">
        <f>'QBO Transactions'!$U40</f>
        <v>Brex Credit Card</v>
      </c>
      <c r="C38" s="3">
        <f>'QBO Transactions'!$S40</f>
        <v>53.77</v>
      </c>
      <c r="D38" s="5" t="str">
        <f>'QBO Transactions'!$R40</f>
        <v>Stop &amp; Shop</v>
      </c>
      <c r="E38" s="2"/>
      <c r="F38" s="3" t="str">
        <f>'QBO Transactions'!$X40</f>
        <v>General &amp; Administrative:G&amp;A- Travel Expenses:Meals &amp; Entertainment</v>
      </c>
      <c r="G38" s="2"/>
      <c r="H38" s="2"/>
      <c r="I38" s="2"/>
      <c r="J38" s="2"/>
      <c r="K38" s="2"/>
      <c r="L38" s="2"/>
      <c r="M38" s="2"/>
      <c r="N38" s="2" t="str">
        <f>'QBO Transactions'!$Y40</f>
        <v>100- Operations:110- G&amp;A</v>
      </c>
      <c r="O38" s="2"/>
      <c r="P38" s="2"/>
      <c r="Q38" s="2" t="str">
        <f>'QBO Transactions'!$T40</f>
        <v>STOP &amp; SHOP 0498 MASTERCARD-XXXXXXGEDZOR-Mickenzi Krpec</v>
      </c>
      <c r="R38" s="2"/>
      <c r="S38" s="2"/>
      <c r="T38" s="2"/>
      <c r="U38" s="2"/>
      <c r="V38" s="2"/>
      <c r="W38" s="2"/>
      <c r="X38" s="2" t="str">
        <f t="shared" si="0"/>
        <v>STOP &amp; SHOP 0498 MASTERCARD-XXXXXXGEDZOR-Mickenzi Krpec</v>
      </c>
      <c r="Y38" s="4">
        <f>'QBO Transactions'!$Q40</f>
        <v>46233</v>
      </c>
      <c r="Z38" s="2"/>
      <c r="AA38" s="2"/>
      <c r="AB38" s="2"/>
      <c r="AC38" s="2"/>
      <c r="AD38" s="2"/>
      <c r="AE38" s="2"/>
    </row>
    <row r="39" spans="1:31" ht="12.75" customHeight="1" x14ac:dyDescent="0.25">
      <c r="A39" s="2"/>
      <c r="B39" s="2" t="str">
        <f>'QBO Transactions'!$U41</f>
        <v>Brex Credit Card</v>
      </c>
      <c r="C39" s="3">
        <f>'QBO Transactions'!$S41</f>
        <v>4</v>
      </c>
      <c r="D39" s="2" t="str">
        <f>'QBO Transactions'!$R41</f>
        <v>Uber</v>
      </c>
      <c r="E39" s="2"/>
      <c r="F39" s="3" t="str">
        <f>'QBO Transactions'!$X41</f>
        <v>Cost of Goods Sold:COGS- Travel Expenses:Ground Transportation</v>
      </c>
      <c r="G39" s="2"/>
      <c r="H39" s="2"/>
      <c r="I39" s="2"/>
      <c r="J39" s="2"/>
      <c r="K39" s="2"/>
      <c r="L39" s="2"/>
      <c r="M39" s="2"/>
      <c r="N39" s="2" t="str">
        <f>'QBO Transactions'!$Y41</f>
        <v>300- ServiceNow:320- Engineering</v>
      </c>
      <c r="O39" s="2"/>
      <c r="P39" s="2"/>
      <c r="Q39" s="2" t="str">
        <f>'QBO Transactions'!$T41</f>
        <v>UBER   *TRIP MASTERCARD-XXXXXXVJL17O-Robert Kolosky</v>
      </c>
      <c r="R39" s="2"/>
      <c r="S39" s="2"/>
      <c r="T39" s="2"/>
      <c r="U39" s="2"/>
      <c r="V39" s="2"/>
      <c r="W39" s="2"/>
      <c r="X39" s="2" t="str">
        <f t="shared" si="0"/>
        <v>UBER   *TRIP MASTERCARD-XXXXXXVJL17O-Robert Kolosky</v>
      </c>
      <c r="Y39" s="4">
        <f>'QBO Transactions'!$Q41</f>
        <v>46233</v>
      </c>
      <c r="Z39" s="2"/>
      <c r="AA39" s="2"/>
      <c r="AB39" s="2"/>
      <c r="AC39" s="2"/>
      <c r="AD39" s="2"/>
      <c r="AE39" s="2"/>
    </row>
    <row r="40" spans="1:31" ht="12.75" customHeight="1" x14ac:dyDescent="0.25">
      <c r="A40" s="2"/>
      <c r="B40" s="2" t="str">
        <f>'QBO Transactions'!$U42</f>
        <v>Brex Credit Card</v>
      </c>
      <c r="C40" s="3">
        <f>'QBO Transactions'!$S42</f>
        <v>668.04</v>
      </c>
      <c r="D40" s="2" t="str">
        <f>'QBO Transactions'!$R42</f>
        <v>Office Vendor</v>
      </c>
      <c r="E40" s="2"/>
      <c r="F40" s="3" t="str">
        <f>'QBO Transactions'!$X42</f>
        <v>General &amp; Administrative:Office Expenses:Office Supplies</v>
      </c>
      <c r="G40" s="2"/>
      <c r="H40" s="2"/>
      <c r="I40" s="2"/>
      <c r="J40" s="2"/>
      <c r="K40" s="2"/>
      <c r="L40" s="2"/>
      <c r="M40" s="2"/>
      <c r="N40" s="2" t="str">
        <f>'QBO Transactions'!$Y42</f>
        <v>100- Operations:110- G&amp;A</v>
      </c>
      <c r="O40" s="2"/>
      <c r="P40" s="2"/>
      <c r="Q40" s="2" t="str">
        <f>'QBO Transactions'!$T42</f>
        <v>TOTAL WINE AND MORE MASTERCARD-XXXXXXCLM50K-Mickenzi Krpec</v>
      </c>
      <c r="R40" s="2"/>
      <c r="S40" s="2"/>
      <c r="T40" s="2"/>
      <c r="U40" s="2"/>
      <c r="V40" s="2"/>
      <c r="W40" s="2"/>
      <c r="X40" s="2" t="str">
        <f t="shared" si="0"/>
        <v>TOTAL WINE AND MORE MASTERCARD-XXXXXXCLM50K-Mickenzi Krpec</v>
      </c>
      <c r="Y40" s="4">
        <f>'QBO Transactions'!$Q42</f>
        <v>46233</v>
      </c>
      <c r="Z40" s="2"/>
      <c r="AA40" s="2"/>
      <c r="AB40" s="2"/>
      <c r="AC40" s="2"/>
      <c r="AD40" s="2"/>
      <c r="AE40" s="2"/>
    </row>
    <row r="41" spans="1:31" ht="12.75" customHeight="1" x14ac:dyDescent="0.25">
      <c r="A41" s="2"/>
      <c r="B41" s="2" t="str">
        <f>'QBO Transactions'!$U43</f>
        <v>Brex Credit Card</v>
      </c>
      <c r="C41" s="3">
        <f>'QBO Transactions'!$S43</f>
        <v>49.68</v>
      </c>
      <c r="D41" s="2" t="str">
        <f>'QBO Transactions'!$R43</f>
        <v>Uber</v>
      </c>
      <c r="E41" s="2"/>
      <c r="F41" s="3" t="str">
        <f>'QBO Transactions'!$X43</f>
        <v>Cost of Goods Sold:COGS- Travel Expenses:Ground Transportation</v>
      </c>
      <c r="G41" s="2"/>
      <c r="H41" s="2"/>
      <c r="I41" s="2"/>
      <c r="J41" s="2"/>
      <c r="K41" s="2"/>
      <c r="L41" s="2"/>
      <c r="M41" s="2"/>
      <c r="N41" s="2" t="str">
        <f>'QBO Transactions'!$Y43</f>
        <v>300- ServiceNow:320- Engineering</v>
      </c>
      <c r="O41" s="2"/>
      <c r="P41" s="2"/>
      <c r="Q41" s="2" t="str">
        <f>'QBO Transactions'!$T43</f>
        <v>UBER *EATS HELP.UBER.C MASTERCARD-XXXXXXRUTEXJ-Jeff Mu</v>
      </c>
      <c r="R41" s="2"/>
      <c r="S41" s="2"/>
      <c r="T41" s="2"/>
      <c r="U41" s="2"/>
      <c r="V41" s="2"/>
      <c r="W41" s="2"/>
      <c r="X41" s="2" t="str">
        <f t="shared" si="0"/>
        <v>UBER *EATS HELP.UBER.C MASTERCARD-XXXXXXRUTEXJ-Jeff Mu</v>
      </c>
      <c r="Y41" s="4">
        <f>'QBO Transactions'!$Q43</f>
        <v>46233</v>
      </c>
      <c r="Z41" s="2"/>
      <c r="AA41" s="2"/>
      <c r="AB41" s="2"/>
      <c r="AC41" s="2"/>
      <c r="AD41" s="2"/>
      <c r="AE41" s="2"/>
    </row>
    <row r="42" spans="1:31" ht="12.75" customHeight="1" x14ac:dyDescent="0.25">
      <c r="A42" s="2"/>
      <c r="B42" s="2" t="str">
        <f>'QBO Transactions'!$U44</f>
        <v>Brex Credit Card</v>
      </c>
      <c r="C42" s="3">
        <f>'QBO Transactions'!$S44</f>
        <v>200.81</v>
      </c>
      <c r="D42" s="2" t="str">
        <f>'QBO Transactions'!$R44</f>
        <v>webflow.com</v>
      </c>
      <c r="E42" s="2"/>
      <c r="F42" s="3" t="str">
        <f>'QBO Transactions'!$X44</f>
        <v>General &amp; Administrative:Software Licenses</v>
      </c>
      <c r="G42" s="2"/>
      <c r="H42" s="2"/>
      <c r="I42" s="2"/>
      <c r="J42" s="2"/>
      <c r="K42" s="2"/>
      <c r="L42" s="2"/>
      <c r="M42" s="2"/>
      <c r="N42" s="2" t="str">
        <f>'QBO Transactions'!$Y44</f>
        <v>100- Operations:120- Marketing</v>
      </c>
      <c r="O42" s="2"/>
      <c r="P42" s="2"/>
      <c r="Q42" s="2" t="str">
        <f>'QBO Transactions'!$T44</f>
        <v>WEBFLOW.COM MASTERCARD-XXXXXXAHZL3M-Toni Manning</v>
      </c>
      <c r="R42" s="2"/>
      <c r="S42" s="2"/>
      <c r="T42" s="2"/>
      <c r="U42" s="2"/>
      <c r="V42" s="2"/>
      <c r="W42" s="2"/>
      <c r="X42" s="2" t="str">
        <f t="shared" si="0"/>
        <v>WEBFLOW.COM MASTERCARD-XXXXXXAHZL3M-Toni Manning</v>
      </c>
      <c r="Y42" s="4">
        <f>'QBO Transactions'!$Q44</f>
        <v>46233</v>
      </c>
      <c r="Z42" s="2"/>
      <c r="AA42" s="2"/>
      <c r="AB42" s="2"/>
      <c r="AC42" s="2"/>
      <c r="AD42" s="2"/>
      <c r="AE42" s="2"/>
    </row>
    <row r="43" spans="1:31" ht="12.75" customHeight="1" x14ac:dyDescent="0.25">
      <c r="A43" s="2"/>
      <c r="B43" s="2" t="str">
        <f>'QBO Transactions'!$U45</f>
        <v>Brex Credit Card</v>
      </c>
      <c r="C43" s="3">
        <f>'QBO Transactions'!$S45</f>
        <v>9.9600000000000009</v>
      </c>
      <c r="D43" s="2" t="str">
        <f>'QBO Transactions'!$R45</f>
        <v>Uber</v>
      </c>
      <c r="E43" s="2"/>
      <c r="F43" s="3" t="str">
        <f>'QBO Transactions'!$X45</f>
        <v>Cost of Goods Sold:COGS- Travel Expenses:Ground Transportation</v>
      </c>
      <c r="G43" s="2"/>
      <c r="H43" s="2"/>
      <c r="I43" s="2"/>
      <c r="J43" s="2"/>
      <c r="K43" s="2"/>
      <c r="L43" s="2"/>
      <c r="M43" s="2"/>
      <c r="N43" s="2" t="str">
        <f>'QBO Transactions'!$Y45</f>
        <v>300- ServiceNow:320- Engineering</v>
      </c>
      <c r="O43" s="2"/>
      <c r="P43" s="2"/>
      <c r="Q43" s="2" t="str">
        <f>'QBO Transactions'!$T45</f>
        <v>UBER   *TRIP MASTERCARD-XXXXXXFWJPAP-Robert Kolosky</v>
      </c>
      <c r="R43" s="2"/>
      <c r="S43" s="2"/>
      <c r="T43" s="2"/>
      <c r="U43" s="2"/>
      <c r="V43" s="2"/>
      <c r="W43" s="2"/>
      <c r="X43" s="2" t="str">
        <f t="shared" si="0"/>
        <v>UBER   *TRIP MASTERCARD-XXXXXXFWJPAP-Robert Kolosky</v>
      </c>
      <c r="Y43" s="4">
        <f>'QBO Transactions'!$Q45</f>
        <v>46233</v>
      </c>
      <c r="Z43" s="2"/>
      <c r="AA43" s="2"/>
      <c r="AB43" s="2"/>
      <c r="AC43" s="2"/>
      <c r="AD43" s="2"/>
      <c r="AE43" s="2"/>
    </row>
    <row r="44" spans="1:31" ht="12.75" customHeight="1" x14ac:dyDescent="0.25">
      <c r="A44" s="2"/>
      <c r="B44" s="2" t="str">
        <f>'QBO Transactions'!$U46</f>
        <v>Brex Credit Card</v>
      </c>
      <c r="C44" s="3">
        <f>'QBO Transactions'!$S46</f>
        <v>28.09</v>
      </c>
      <c r="D44" s="2" t="str">
        <f>'QBO Transactions'!$R46</f>
        <v>Uber</v>
      </c>
      <c r="E44" s="2"/>
      <c r="F44" s="3" t="str">
        <f>'QBO Transactions'!$X46</f>
        <v>Sales &amp; Marketing:Sales &amp; Marketing- Travel Expenses:Ground Transportation</v>
      </c>
      <c r="G44" s="2"/>
      <c r="H44" s="2"/>
      <c r="I44" s="2"/>
      <c r="J44" s="2"/>
      <c r="K44" s="2"/>
      <c r="L44" s="2"/>
      <c r="M44" s="2"/>
      <c r="N44" s="2" t="str">
        <f>'QBO Transactions'!$Y46</f>
        <v>100- Operations:120- Marketing</v>
      </c>
      <c r="O44" s="2"/>
      <c r="P44" s="2"/>
      <c r="Q44" s="2" t="str">
        <f>'QBO Transactions'!$T46</f>
        <v>UBER   *TRIP MASTERCARD-XXXXXXW4V34Y-Karalyn Sims</v>
      </c>
      <c r="R44" s="2"/>
      <c r="S44" s="2"/>
      <c r="T44" s="2"/>
      <c r="U44" s="2"/>
      <c r="V44" s="2"/>
      <c r="W44" s="2"/>
      <c r="X44" s="2" t="str">
        <f t="shared" si="0"/>
        <v>UBER   *TRIP MASTERCARD-XXXXXXW4V34Y-Karalyn Sims</v>
      </c>
      <c r="Y44" s="4">
        <f>'QBO Transactions'!$Q46</f>
        <v>46233</v>
      </c>
      <c r="Z44" s="2"/>
      <c r="AA44" s="2"/>
      <c r="AB44" s="2"/>
      <c r="AC44" s="2"/>
      <c r="AD44" s="2"/>
      <c r="AE44" s="2"/>
    </row>
    <row r="45" spans="1:31" ht="12.75" customHeight="1" x14ac:dyDescent="0.25">
      <c r="A45" s="2"/>
      <c r="B45" s="2" t="str">
        <f>'QBO Transactions'!$U47</f>
        <v>Brex Credit Card</v>
      </c>
      <c r="C45" s="3">
        <f>'QBO Transactions'!$S47</f>
        <v>41.93</v>
      </c>
      <c r="D45" s="2" t="str">
        <f>'QBO Transactions'!$R47</f>
        <v>Uber</v>
      </c>
      <c r="E45" s="2"/>
      <c r="F45" s="3" t="str">
        <f>'QBO Transactions'!$X47</f>
        <v>Cost of Goods Sold:COGS- Travel Expenses:Ground Transportation</v>
      </c>
      <c r="G45" s="2"/>
      <c r="H45" s="2"/>
      <c r="I45" s="2"/>
      <c r="J45" s="2"/>
      <c r="K45" s="2"/>
      <c r="L45" s="2"/>
      <c r="M45" s="2"/>
      <c r="N45" s="2" t="str">
        <f>'QBO Transactions'!$Y47</f>
        <v>300- ServiceNow:320- Engineering</v>
      </c>
      <c r="O45" s="2"/>
      <c r="P45" s="2"/>
      <c r="Q45" s="2" t="str">
        <f>'QBO Transactions'!$T47</f>
        <v>UBER   *TRIP MASTERCARD-XXXXXXMQI5KD-Jacob Woolf</v>
      </c>
      <c r="R45" s="2"/>
      <c r="S45" s="2"/>
      <c r="T45" s="2"/>
      <c r="U45" s="2"/>
      <c r="V45" s="2"/>
      <c r="W45" s="2"/>
      <c r="X45" s="2" t="str">
        <f t="shared" si="0"/>
        <v>UBER   *TRIP MASTERCARD-XXXXXXMQI5KD-Jacob Woolf</v>
      </c>
      <c r="Y45" s="4">
        <f>'QBO Transactions'!$Q47</f>
        <v>46233</v>
      </c>
      <c r="Z45" s="2"/>
      <c r="AA45" s="2"/>
      <c r="AB45" s="2"/>
      <c r="AC45" s="2"/>
      <c r="AD45" s="2"/>
      <c r="AE45" s="2"/>
    </row>
    <row r="46" spans="1:31" ht="12.75" customHeight="1" x14ac:dyDescent="0.25">
      <c r="A46" s="2"/>
      <c r="B46" s="2" t="str">
        <f>'QBO Transactions'!$U48</f>
        <v>Brex Credit Card</v>
      </c>
      <c r="C46" s="3">
        <f>'QBO Transactions'!$S48</f>
        <v>17.79</v>
      </c>
      <c r="D46" s="2" t="str">
        <f>'QBO Transactions'!$R48</f>
        <v>Uber</v>
      </c>
      <c r="E46" s="2"/>
      <c r="F46" s="3" t="str">
        <f>'QBO Transactions'!$X48</f>
        <v>Sales &amp; Marketing:Sales &amp; Marketing- Travel Expenses:Ground Transportation</v>
      </c>
      <c r="G46" s="2"/>
      <c r="H46" s="2"/>
      <c r="I46" s="2"/>
      <c r="J46" s="2"/>
      <c r="K46" s="2"/>
      <c r="L46" s="2"/>
      <c r="M46" s="2"/>
      <c r="N46" s="2" t="str">
        <f>'QBO Transactions'!$Y48</f>
        <v>200- Datadog:230- Sales</v>
      </c>
      <c r="O46" s="2"/>
      <c r="P46" s="2"/>
      <c r="Q46" s="2" t="str">
        <f>'QBO Transactions'!$T48</f>
        <v>UBER   *TRIP MASTERCARD-XXXXXXBSMK5F-Dean DeMonte</v>
      </c>
      <c r="R46" s="2"/>
      <c r="S46" s="2"/>
      <c r="T46" s="2"/>
      <c r="U46" s="2"/>
      <c r="V46" s="2"/>
      <c r="W46" s="2"/>
      <c r="X46" s="2" t="str">
        <f t="shared" si="0"/>
        <v>UBER   *TRIP MASTERCARD-XXXXXXBSMK5F-Dean DeMonte</v>
      </c>
      <c r="Y46" s="4">
        <f>'QBO Transactions'!$Q48</f>
        <v>46233</v>
      </c>
      <c r="Z46" s="2"/>
      <c r="AA46" s="2"/>
      <c r="AB46" s="2"/>
      <c r="AC46" s="2"/>
      <c r="AD46" s="2"/>
      <c r="AE46" s="2"/>
    </row>
    <row r="47" spans="1:31" ht="12.75" customHeight="1" x14ac:dyDescent="0.25">
      <c r="A47" s="2"/>
      <c r="B47" s="2" t="str">
        <f>'QBO Transactions'!$U49</f>
        <v>Brex Credit Card</v>
      </c>
      <c r="C47" s="3">
        <f>'QBO Transactions'!$S49</f>
        <v>18.97</v>
      </c>
      <c r="D47" s="2" t="str">
        <f>'QBO Transactions'!$R49</f>
        <v>Uber</v>
      </c>
      <c r="E47" s="2"/>
      <c r="F47" s="3" t="str">
        <f>'QBO Transactions'!$X49</f>
        <v>General &amp; Administrative:G&amp;A- Travel Expenses:Ground Transportation</v>
      </c>
      <c r="G47" s="2"/>
      <c r="H47" s="2"/>
      <c r="I47" s="2"/>
      <c r="J47" s="2"/>
      <c r="K47" s="2"/>
      <c r="L47" s="2"/>
      <c r="M47" s="2"/>
      <c r="N47" s="2" t="str">
        <f>'QBO Transactions'!$Y49</f>
        <v>100- Operations:110- G&amp;A</v>
      </c>
      <c r="O47" s="2"/>
      <c r="P47" s="2"/>
      <c r="Q47" s="2" t="str">
        <f>'QBO Transactions'!$T49</f>
        <v>UBER   *TRIP MASTERCARD-XXXXXXNRJ4KK-Jacy Hennawy</v>
      </c>
      <c r="R47" s="2"/>
      <c r="S47" s="2"/>
      <c r="T47" s="2"/>
      <c r="U47" s="2"/>
      <c r="V47" s="2"/>
      <c r="W47" s="2"/>
      <c r="X47" s="2" t="str">
        <f t="shared" si="0"/>
        <v>UBER   *TRIP MASTERCARD-XXXXXXNRJ4KK-Jacy Hennawy</v>
      </c>
      <c r="Y47" s="4">
        <f>'QBO Transactions'!$Q49</f>
        <v>46233</v>
      </c>
      <c r="Z47" s="2"/>
      <c r="AA47" s="2"/>
      <c r="AB47" s="2"/>
      <c r="AC47" s="2"/>
      <c r="AD47" s="2"/>
      <c r="AE47" s="2"/>
    </row>
    <row r="48" spans="1:31" ht="12.75" customHeight="1" x14ac:dyDescent="0.25">
      <c r="A48" s="2"/>
      <c r="B48" s="2" t="str">
        <f>'QBO Transactions'!$U50</f>
        <v>Brex Credit Card</v>
      </c>
      <c r="C48" s="3">
        <f>'QBO Transactions'!$S50</f>
        <v>80</v>
      </c>
      <c r="D48" s="2" t="str">
        <f>'QBO Transactions'!$R50</f>
        <v>PKL Boston</v>
      </c>
      <c r="E48" s="2"/>
      <c r="F48" s="3" t="str">
        <f>'QBO Transactions'!$X50</f>
        <v>Cost of Goods Sold:COGS- Travel Expenses:Meals &amp; Entertainment</v>
      </c>
      <c r="G48" s="2"/>
      <c r="H48" s="2"/>
      <c r="I48" s="2"/>
      <c r="J48" s="2"/>
      <c r="K48" s="2"/>
      <c r="L48" s="2"/>
      <c r="M48" s="2"/>
      <c r="N48" s="2" t="str">
        <f>'QBO Transactions'!$Y50</f>
        <v>200- Datadog:220- Engineering</v>
      </c>
      <c r="O48" s="2"/>
      <c r="P48" s="2"/>
      <c r="Q48" s="2" t="str">
        <f>'QBO Transactions'!$T50</f>
        <v>WWW.PLAYPKL.COM MASTERCARD-XXXXXXIMHJE1-Aaron Rhodes</v>
      </c>
      <c r="R48" s="2"/>
      <c r="S48" s="2"/>
      <c r="T48" s="2"/>
      <c r="U48" s="2"/>
      <c r="V48" s="2"/>
      <c r="W48" s="2"/>
      <c r="X48" s="2" t="str">
        <f t="shared" si="0"/>
        <v>WWW.PLAYPKL.COM MASTERCARD-XXXXXXIMHJE1-Aaron Rhodes</v>
      </c>
      <c r="Y48" s="4">
        <f>'QBO Transactions'!$Q50</f>
        <v>46233</v>
      </c>
      <c r="Z48" s="2"/>
      <c r="AA48" s="2"/>
      <c r="AB48" s="2"/>
      <c r="AC48" s="2"/>
      <c r="AD48" s="2"/>
      <c r="AE48" s="2"/>
    </row>
    <row r="49" spans="1:31" ht="12.75" customHeight="1" x14ac:dyDescent="0.25">
      <c r="A49" s="2"/>
      <c r="B49" s="2" t="str">
        <f>'QBO Transactions'!$U51</f>
        <v>Brex Credit Card</v>
      </c>
      <c r="C49" s="3">
        <f>'QBO Transactions'!$S51</f>
        <v>49.97</v>
      </c>
      <c r="D49" s="2" t="str">
        <f>'QBO Transactions'!$R51</f>
        <v>Uber</v>
      </c>
      <c r="E49" s="2"/>
      <c r="F49" s="3" t="str">
        <f>'QBO Transactions'!$X51</f>
        <v>Sales &amp; Marketing:Sales &amp; Marketing- Travel Expenses:Ground Transportation</v>
      </c>
      <c r="G49" s="2"/>
      <c r="H49" s="2"/>
      <c r="I49" s="2"/>
      <c r="J49" s="2"/>
      <c r="K49" s="2"/>
      <c r="L49" s="2"/>
      <c r="M49" s="2"/>
      <c r="N49" s="2" t="str">
        <f>'QBO Transactions'!$Y51</f>
        <v>300- ServiceNow:330- Sales</v>
      </c>
      <c r="O49" s="2"/>
      <c r="P49" s="2"/>
      <c r="Q49" s="2" t="str">
        <f>'QBO Transactions'!$T51</f>
        <v>UBER   *TRIP MASTERCARD-XXXXXXVVWVUJ-Harry Tomczyk</v>
      </c>
      <c r="R49" s="2"/>
      <c r="S49" s="2"/>
      <c r="T49" s="2"/>
      <c r="U49" s="2"/>
      <c r="V49" s="2"/>
      <c r="W49" s="2"/>
      <c r="X49" s="2" t="str">
        <f t="shared" si="0"/>
        <v>UBER   *TRIP MASTERCARD-XXXXXXVVWVUJ-Harry Tomczyk</v>
      </c>
      <c r="Y49" s="4">
        <f>'QBO Transactions'!$Q51</f>
        <v>46233</v>
      </c>
      <c r="Z49" s="2"/>
      <c r="AA49" s="2"/>
      <c r="AB49" s="2"/>
      <c r="AC49" s="2"/>
      <c r="AD49" s="2"/>
      <c r="AE49" s="2"/>
    </row>
    <row r="50" spans="1:31" ht="12.75" customHeight="1" x14ac:dyDescent="0.25">
      <c r="A50" s="2"/>
      <c r="B50" s="2" t="str">
        <f>'QBO Transactions'!$U52</f>
        <v>Brex Credit Card</v>
      </c>
      <c r="C50" s="3">
        <f>'QBO Transactions'!$S52</f>
        <v>23.23</v>
      </c>
      <c r="D50" s="2" t="str">
        <f>'QBO Transactions'!$R52</f>
        <v>Office Vendor</v>
      </c>
      <c r="E50" s="2"/>
      <c r="F50" s="3" t="str">
        <f>'QBO Transactions'!$X52</f>
        <v>General &amp; Administrative:Office Expenses:Office Supplies</v>
      </c>
      <c r="G50" s="2"/>
      <c r="H50" s="2"/>
      <c r="I50" s="2"/>
      <c r="J50" s="2"/>
      <c r="K50" s="2"/>
      <c r="L50" s="2"/>
      <c r="M50" s="2"/>
      <c r="N50" s="2" t="str">
        <f>'QBO Transactions'!$Y52</f>
        <v>100- Operations:110- G&amp;A</v>
      </c>
      <c r="O50" s="2"/>
      <c r="P50" s="2"/>
      <c r="Q50" s="2" t="str">
        <f>'QBO Transactions'!$T52</f>
        <v>UK.BOOKSHOP.ORG MASTERCARD-XXXXXXE3IZSY-Mickenzi Krpec</v>
      </c>
      <c r="R50" s="2"/>
      <c r="S50" s="2"/>
      <c r="T50" s="2"/>
      <c r="U50" s="2"/>
      <c r="V50" s="2"/>
      <c r="W50" s="2"/>
      <c r="X50" s="2" t="str">
        <f t="shared" si="0"/>
        <v>UK.BOOKSHOP.ORG MASTERCARD-XXXXXXE3IZSY-Mickenzi Krpec</v>
      </c>
      <c r="Y50" s="4">
        <f>'QBO Transactions'!$Q52</f>
        <v>46233</v>
      </c>
      <c r="Z50" s="2"/>
      <c r="AA50" s="2"/>
      <c r="AB50" s="2"/>
      <c r="AC50" s="2"/>
      <c r="AD50" s="2"/>
      <c r="AE50" s="2"/>
    </row>
    <row r="51" spans="1:31" ht="12.75" customHeight="1" x14ac:dyDescent="0.25">
      <c r="A51" s="2"/>
      <c r="B51" s="2" t="str">
        <f>'QBO Transactions'!$U53</f>
        <v>Brex Credit Card</v>
      </c>
      <c r="C51" s="3">
        <f>'QBO Transactions'!$S53</f>
        <v>225.72</v>
      </c>
      <c r="D51" s="2" t="str">
        <f>'QBO Transactions'!$R53</f>
        <v>Tatte</v>
      </c>
      <c r="E51" s="2"/>
      <c r="F51" s="3" t="str">
        <f>'QBO Transactions'!$X53</f>
        <v>Sales &amp; Marketing:Sales &amp; Marketing- Travel Expenses:Meals &amp; Entertainment</v>
      </c>
      <c r="G51" s="2"/>
      <c r="H51" s="2"/>
      <c r="I51" s="2"/>
      <c r="J51" s="2"/>
      <c r="K51" s="2"/>
      <c r="L51" s="2"/>
      <c r="M51" s="2"/>
      <c r="N51" s="2" t="str">
        <f>'QBO Transactions'!$Y53</f>
        <v>300- ServiceNow:330- Sales</v>
      </c>
      <c r="O51" s="2"/>
      <c r="P51" s="2"/>
      <c r="Q51" s="2" t="str">
        <f>'QBO Transactions'!$T53</f>
        <v>TATTEBAKERY MASTERCARD-XXXXXXPWTP5I-Chloe Brant</v>
      </c>
      <c r="R51" s="2"/>
      <c r="S51" s="2"/>
      <c r="T51" s="2"/>
      <c r="U51" s="2"/>
      <c r="V51" s="2"/>
      <c r="W51" s="2"/>
      <c r="X51" s="2" t="str">
        <f t="shared" si="0"/>
        <v>TATTEBAKERY MASTERCARD-XXXXXXPWTP5I-Chloe Brant</v>
      </c>
      <c r="Y51" s="4">
        <f>'QBO Transactions'!$Q53</f>
        <v>46233</v>
      </c>
      <c r="Z51" s="2"/>
      <c r="AA51" s="2"/>
      <c r="AB51" s="2"/>
      <c r="AC51" s="2"/>
      <c r="AD51" s="2"/>
      <c r="AE51" s="2"/>
    </row>
    <row r="52" spans="1:31" ht="12.75" customHeight="1" x14ac:dyDescent="0.25">
      <c r="A52" s="2"/>
      <c r="B52" s="2" t="str">
        <f>'QBO Transactions'!$U54</f>
        <v>Brex Credit Card</v>
      </c>
      <c r="C52" s="3">
        <f>'QBO Transactions'!$S54</f>
        <v>5.0999999999999996</v>
      </c>
      <c r="D52" s="2" t="str">
        <f>'QBO Transactions'!$R54</f>
        <v>Newslink</v>
      </c>
      <c r="E52" s="2"/>
      <c r="F52" s="3" t="str">
        <f>'QBO Transactions'!$X54</f>
        <v>Cost of Goods Sold:COGS- Travel Expenses:Other Travel Expenses</v>
      </c>
      <c r="G52" s="2"/>
      <c r="H52" s="2"/>
      <c r="I52" s="2"/>
      <c r="J52" s="2"/>
      <c r="K52" s="2"/>
      <c r="L52" s="2"/>
      <c r="M52" s="2"/>
      <c r="N52" s="2" t="str">
        <f>'QBO Transactions'!$Y54</f>
        <v>300- ServiceNow:320- Engineering</v>
      </c>
      <c r="O52" s="2"/>
      <c r="P52" s="2"/>
      <c r="Q52" s="2" t="str">
        <f>'QBO Transactions'!$T54</f>
        <v>NEWSLINK 13 BOS MASTERCARD-XXXXXXC2BUXX-Tanner Ylvisaker</v>
      </c>
      <c r="R52" s="2"/>
      <c r="S52" s="2"/>
      <c r="T52" s="2"/>
      <c r="U52" s="2"/>
      <c r="V52" s="2"/>
      <c r="W52" s="2"/>
      <c r="X52" s="2" t="str">
        <f t="shared" si="0"/>
        <v>NEWSLINK 13 BOS MASTERCARD-XXXXXXC2BUXX-Tanner Ylvisaker</v>
      </c>
      <c r="Y52" s="4">
        <f>'QBO Transactions'!$Q54</f>
        <v>46233</v>
      </c>
      <c r="Z52" s="2"/>
      <c r="AA52" s="2"/>
      <c r="AB52" s="2"/>
      <c r="AC52" s="2"/>
      <c r="AD52" s="2"/>
      <c r="AE52" s="2"/>
    </row>
    <row r="53" spans="1:31" ht="12.75" customHeight="1" x14ac:dyDescent="0.25">
      <c r="A53" s="2"/>
      <c r="B53" s="2" t="str">
        <f>'QBO Transactions'!$U55</f>
        <v>Brex Credit Card</v>
      </c>
      <c r="C53" s="3">
        <f>'QBO Transactions'!$S55</f>
        <v>33.58</v>
      </c>
      <c r="D53" s="2" t="str">
        <f>'QBO Transactions'!$R55</f>
        <v>Uber</v>
      </c>
      <c r="E53" s="2"/>
      <c r="F53" s="3" t="str">
        <f>'QBO Transactions'!$X55</f>
        <v>Sales &amp; Marketing:Sales &amp; Marketing- Travel Expenses:Ground Transportation</v>
      </c>
      <c r="G53" s="2"/>
      <c r="H53" s="2"/>
      <c r="I53" s="2"/>
      <c r="J53" s="2"/>
      <c r="K53" s="2"/>
      <c r="L53" s="2"/>
      <c r="M53" s="2"/>
      <c r="N53" s="2" t="str">
        <f>'QBO Transactions'!$Y55</f>
        <v>200- Datadog:230- Sales</v>
      </c>
      <c r="O53" s="2"/>
      <c r="P53" s="2"/>
      <c r="Q53" s="2" t="str">
        <f>'QBO Transactions'!$T55</f>
        <v>UBER   *EATS MASTERCARD-XXXXXX6XYIJ8-Ryan Henrich</v>
      </c>
      <c r="R53" s="2"/>
      <c r="S53" s="2"/>
      <c r="T53" s="2"/>
      <c r="U53" s="2"/>
      <c r="V53" s="2"/>
      <c r="W53" s="2"/>
      <c r="X53" s="2" t="str">
        <f t="shared" si="0"/>
        <v>UBER   *EATS MASTERCARD-XXXXXX6XYIJ8-Ryan Henrich</v>
      </c>
      <c r="Y53" s="4">
        <f>'QBO Transactions'!$Q55</f>
        <v>46233</v>
      </c>
      <c r="Z53" s="2"/>
      <c r="AA53" s="2"/>
      <c r="AB53" s="2"/>
      <c r="AC53" s="2"/>
      <c r="AD53" s="2"/>
      <c r="AE53" s="2"/>
    </row>
    <row r="54" spans="1:31" ht="12.75" customHeight="1" x14ac:dyDescent="0.25">
      <c r="A54" s="2"/>
      <c r="B54" s="2" t="str">
        <f>'QBO Transactions'!$U56</f>
        <v>Brex Credit Card</v>
      </c>
      <c r="C54" s="3">
        <f>'QBO Transactions'!$S56</f>
        <v>127.72</v>
      </c>
      <c r="D54" s="2" t="str">
        <f>'QBO Transactions'!$R56</f>
        <v>The Newbury Boston</v>
      </c>
      <c r="E54" s="2"/>
      <c r="F54" s="3" t="str">
        <f>'QBO Transactions'!$X56</f>
        <v>General &amp; Administrative:G&amp;A- Travel Expenses:Lodging</v>
      </c>
      <c r="G54" s="2"/>
      <c r="H54" s="2"/>
      <c r="I54" s="2"/>
      <c r="J54" s="2"/>
      <c r="K54" s="2"/>
      <c r="L54" s="2"/>
      <c r="M54" s="2"/>
      <c r="N54" s="2" t="str">
        <f>'QBO Transactions'!$Y56</f>
        <v>300- ServiceNow:320- Engineering</v>
      </c>
      <c r="O54" s="2"/>
      <c r="P54" s="2"/>
      <c r="Q54" s="2" t="str">
        <f>'QBO Transactions'!$T56</f>
        <v>THE NEWBURY BOSTON F A MASTERCARD-XXXXXX2WPYC6-Elias Kapetanopoulos</v>
      </c>
      <c r="R54" s="2"/>
      <c r="S54" s="2"/>
      <c r="T54" s="2"/>
      <c r="U54" s="2"/>
      <c r="V54" s="2"/>
      <c r="W54" s="2"/>
      <c r="X54" s="2" t="str">
        <f t="shared" si="0"/>
        <v>THE NEWBURY BOSTON F A MASTERCARD-XXXXXX2WPYC6-Elias Kapetanopoulos</v>
      </c>
      <c r="Y54" s="4">
        <f>'QBO Transactions'!$Q56</f>
        <v>46233</v>
      </c>
      <c r="Z54" s="2"/>
      <c r="AA54" s="2"/>
      <c r="AB54" s="2"/>
      <c r="AC54" s="2"/>
      <c r="AD54" s="2"/>
      <c r="AE54" s="2"/>
    </row>
    <row r="55" spans="1:31" ht="12.75" customHeight="1" x14ac:dyDescent="0.25">
      <c r="A55" s="2"/>
      <c r="B55" s="2" t="str">
        <f>'QBO Transactions'!$U57</f>
        <v>Brex Credit Card</v>
      </c>
      <c r="C55" s="3">
        <f>'QBO Transactions'!$S57</f>
        <v>15.41</v>
      </c>
      <c r="D55" s="2" t="str">
        <f>'QBO Transactions'!$R57</f>
        <v>Dig Inn</v>
      </c>
      <c r="E55" s="2"/>
      <c r="F55" s="3" t="str">
        <f>'QBO Transactions'!$X57</f>
        <v>Sales &amp; Marketing:Sales &amp; Marketing- Travel Expenses:Meals &amp; Entertainment</v>
      </c>
      <c r="G55" s="2"/>
      <c r="H55" s="2"/>
      <c r="I55" s="2"/>
      <c r="J55" s="2"/>
      <c r="K55" s="2"/>
      <c r="L55" s="2"/>
      <c r="M55" s="2"/>
      <c r="N55" s="2" t="str">
        <f>'QBO Transactions'!$Y57</f>
        <v>200- Datadog:230- Sales</v>
      </c>
      <c r="O55" s="2"/>
      <c r="P55" s="2"/>
      <c r="Q55" s="2" t="str">
        <f>'QBO Transactions'!$T57</f>
        <v>TST* DIG INN - BACK BA MASTERCARD-XXXXXXWO4XN1-Tyler Grimshaw</v>
      </c>
      <c r="R55" s="2"/>
      <c r="S55" s="2"/>
      <c r="T55" s="2"/>
      <c r="U55" s="2"/>
      <c r="V55" s="2"/>
      <c r="W55" s="2"/>
      <c r="X55" s="2" t="str">
        <f t="shared" si="0"/>
        <v>TST* DIG INN - BACK BA MASTERCARD-XXXXXXWO4XN1-Tyler Grimshaw</v>
      </c>
      <c r="Y55" s="4">
        <f>'QBO Transactions'!$Q57</f>
        <v>46233</v>
      </c>
      <c r="Z55" s="2"/>
      <c r="AA55" s="2"/>
      <c r="AB55" s="2"/>
      <c r="AC55" s="2"/>
      <c r="AD55" s="2"/>
      <c r="AE55" s="2"/>
    </row>
    <row r="56" spans="1:31" ht="12.75" customHeight="1" x14ac:dyDescent="0.25">
      <c r="A56" s="2"/>
      <c r="B56" s="2" t="str">
        <f>'QBO Transactions'!$U58</f>
        <v>Brex Credit Card</v>
      </c>
      <c r="C56" s="3">
        <f>'QBO Transactions'!$S58</f>
        <v>13.98</v>
      </c>
      <c r="D56" s="5" t="str">
        <f>'QBO Transactions'!$R58</f>
        <v>Uber</v>
      </c>
      <c r="E56" s="2"/>
      <c r="F56" s="3" t="str">
        <f>'QBO Transactions'!$X58</f>
        <v>General &amp; Administrative:G&amp;A- Travel Expenses:Ground Transportation</v>
      </c>
      <c r="G56" s="2"/>
      <c r="H56" s="2"/>
      <c r="I56" s="2"/>
      <c r="J56" s="2"/>
      <c r="K56" s="2"/>
      <c r="L56" s="2"/>
      <c r="M56" s="2"/>
      <c r="N56" s="2" t="str">
        <f>'QBO Transactions'!$Y58</f>
        <v>100- Operations:110- G&amp;A</v>
      </c>
      <c r="O56" s="2"/>
      <c r="P56" s="2"/>
      <c r="Q56" s="2" t="str">
        <f>'QBO Transactions'!$T58</f>
        <v>UBER   *TRIP MASTERCARD-XXXXXXZBBRRB-Michael Button</v>
      </c>
      <c r="R56" s="2"/>
      <c r="S56" s="2"/>
      <c r="T56" s="2"/>
      <c r="U56" s="2"/>
      <c r="V56" s="2"/>
      <c r="W56" s="2"/>
      <c r="X56" s="2" t="str">
        <f t="shared" si="0"/>
        <v>UBER   *TRIP MASTERCARD-XXXXXXZBBRRB-Michael Button</v>
      </c>
      <c r="Y56" s="4">
        <f>'QBO Transactions'!$Q58</f>
        <v>46233</v>
      </c>
      <c r="Z56" s="2"/>
      <c r="AA56" s="2"/>
      <c r="AB56" s="2"/>
      <c r="AC56" s="2"/>
      <c r="AD56" s="2"/>
      <c r="AE56" s="2"/>
    </row>
    <row r="57" spans="1:31" ht="12.75" customHeight="1" x14ac:dyDescent="0.25">
      <c r="A57" s="2"/>
      <c r="B57" s="2" t="str">
        <f>'QBO Transactions'!$U59</f>
        <v>Brex Credit Card</v>
      </c>
      <c r="C57" s="3">
        <f>'QBO Transactions'!$S59</f>
        <v>10.48</v>
      </c>
      <c r="D57" s="2" t="str">
        <f>'QBO Transactions'!$R59</f>
        <v>Food Vendor</v>
      </c>
      <c r="E57" s="2"/>
      <c r="F57" s="3" t="str">
        <f>'QBO Transactions'!$X59</f>
        <v>Cost of Goods Sold:COGS- Travel Expenses:Meals &amp; Entertainment</v>
      </c>
      <c r="G57" s="2"/>
      <c r="H57" s="2"/>
      <c r="I57" s="2"/>
      <c r="J57" s="2"/>
      <c r="K57" s="2"/>
      <c r="L57" s="2"/>
      <c r="M57" s="2"/>
      <c r="N57" s="2" t="str">
        <f>'QBO Transactions'!$Y59</f>
        <v>300- ServiceNow:320- Engineering</v>
      </c>
      <c r="O57" s="2"/>
      <c r="P57" s="2"/>
      <c r="Q57" s="2" t="str">
        <f>'QBO Transactions'!$T59</f>
        <v>JIMMY JOHNS - 4455 MASTERCARD-XXXXXXKEL7Y8-Tanner Ylvisaker</v>
      </c>
      <c r="R57" s="2"/>
      <c r="S57" s="2"/>
      <c r="T57" s="2"/>
      <c r="U57" s="2"/>
      <c r="V57" s="2"/>
      <c r="W57" s="2"/>
      <c r="X57" s="2" t="str">
        <f t="shared" si="0"/>
        <v>JIMMY JOHNS - 4455 MASTERCARD-XXXXXXKEL7Y8-Tanner Ylvisaker</v>
      </c>
      <c r="Y57" s="4">
        <f>'QBO Transactions'!$Q59</f>
        <v>46233</v>
      </c>
      <c r="Z57" s="2"/>
      <c r="AA57" s="2"/>
      <c r="AB57" s="2"/>
      <c r="AC57" s="2"/>
      <c r="AD57" s="2"/>
      <c r="AE57" s="2"/>
    </row>
    <row r="58" spans="1:31" ht="12.75" customHeight="1" x14ac:dyDescent="0.25">
      <c r="A58" s="2"/>
      <c r="B58" s="2" t="str">
        <f>'QBO Transactions'!$U60</f>
        <v>Brex Credit Card</v>
      </c>
      <c r="C58" s="3">
        <f>'QBO Transactions'!$S60</f>
        <v>5</v>
      </c>
      <c r="D58" s="2" t="str">
        <f>'QBO Transactions'!$R60</f>
        <v>Uber</v>
      </c>
      <c r="E58" s="2"/>
      <c r="F58" s="3" t="str">
        <f>'QBO Transactions'!$X60</f>
        <v>General &amp; Administrative:G&amp;A- Travel Expenses:Ground Transportation</v>
      </c>
      <c r="G58" s="2"/>
      <c r="H58" s="2"/>
      <c r="I58" s="2"/>
      <c r="J58" s="2"/>
      <c r="K58" s="2"/>
      <c r="L58" s="2"/>
      <c r="M58" s="2"/>
      <c r="N58" s="2" t="str">
        <f>'QBO Transactions'!$Y60</f>
        <v>100- Operations:110- G&amp;A</v>
      </c>
      <c r="O58" s="2"/>
      <c r="P58" s="2"/>
      <c r="Q58" s="2" t="str">
        <f>'QBO Transactions'!$T60</f>
        <v>UBER   *TRIP MASTERCARD-XXXXXXTG6329-Michael Button</v>
      </c>
      <c r="R58" s="2"/>
      <c r="S58" s="2"/>
      <c r="T58" s="2"/>
      <c r="U58" s="2"/>
      <c r="V58" s="2"/>
      <c r="W58" s="2"/>
      <c r="X58" s="2" t="str">
        <f t="shared" si="0"/>
        <v>UBER   *TRIP MASTERCARD-XXXXXXTG6329-Michael Button</v>
      </c>
      <c r="Y58" s="4">
        <f>'QBO Transactions'!$Q60</f>
        <v>46233</v>
      </c>
      <c r="Z58" s="2"/>
      <c r="AA58" s="2"/>
      <c r="AB58" s="2"/>
      <c r="AC58" s="2"/>
      <c r="AD58" s="2"/>
      <c r="AE58" s="2"/>
    </row>
    <row r="59" spans="1:31" ht="12.75" customHeight="1" x14ac:dyDescent="0.25">
      <c r="A59" s="2"/>
      <c r="B59" s="2" t="str">
        <f>'QBO Transactions'!$U61</f>
        <v>Brex Credit Card</v>
      </c>
      <c r="C59" s="3">
        <f>'QBO Transactions'!$S61</f>
        <v>54.44</v>
      </c>
      <c r="D59" s="5" t="str">
        <f>'QBO Transactions'!$R61</f>
        <v>Allianz</v>
      </c>
      <c r="E59" s="2"/>
      <c r="F59" s="3" t="str">
        <f>'QBO Transactions'!$X61</f>
        <v>Sales &amp; Marketing:Sales &amp; Marketing- Travel Expenses:Other Travel Expenses</v>
      </c>
      <c r="G59" s="2"/>
      <c r="H59" s="2"/>
      <c r="I59" s="2"/>
      <c r="J59" s="2"/>
      <c r="K59" s="2"/>
      <c r="L59" s="2"/>
      <c r="M59" s="2"/>
      <c r="N59" s="2" t="str">
        <f>'QBO Transactions'!$Y61</f>
        <v>100- Operations:120- Marketing</v>
      </c>
      <c r="O59" s="2"/>
      <c r="P59" s="2"/>
      <c r="Q59" s="2" t="str">
        <f>'QBO Transactions'!$T61</f>
        <v>ALLIANZ TRAVEL INS MASTERCARD-XXXXXXCDHONB-Karalyn Sims</v>
      </c>
      <c r="R59" s="2"/>
      <c r="S59" s="2"/>
      <c r="T59" s="2"/>
      <c r="U59" s="2"/>
      <c r="V59" s="2"/>
      <c r="W59" s="2"/>
      <c r="X59" s="2" t="str">
        <f t="shared" si="0"/>
        <v>ALLIANZ TRAVEL INS MASTERCARD-XXXXXXCDHONB-Karalyn Sims</v>
      </c>
      <c r="Y59" s="4">
        <f>'QBO Transactions'!$Q61</f>
        <v>46233</v>
      </c>
      <c r="Z59" s="2"/>
      <c r="AA59" s="2"/>
      <c r="AB59" s="2"/>
      <c r="AC59" s="2"/>
      <c r="AD59" s="2"/>
      <c r="AE59" s="2"/>
    </row>
    <row r="60" spans="1:31" ht="12.75" customHeight="1" x14ac:dyDescent="0.25">
      <c r="A60" s="2"/>
      <c r="B60" s="2" t="str">
        <f>'QBO Transactions'!$U62</f>
        <v>Brex Credit Card</v>
      </c>
      <c r="C60" s="3">
        <f>'QBO Transactions'!$S62</f>
        <v>19.989999999999998</v>
      </c>
      <c r="D60" s="2" t="str">
        <f>'QBO Transactions'!$R62</f>
        <v>Delta</v>
      </c>
      <c r="E60" s="2"/>
      <c r="F60" s="3" t="str">
        <f>'QBO Transactions'!$X62</f>
        <v>Sales &amp; Marketing:Sales &amp; Marketing- Travel Expenses:Airfare</v>
      </c>
      <c r="G60" s="2"/>
      <c r="H60" s="2"/>
      <c r="I60" s="2"/>
      <c r="J60" s="2"/>
      <c r="K60" s="2"/>
      <c r="L60" s="2"/>
      <c r="M60" s="2"/>
      <c r="N60" s="2" t="str">
        <f>'QBO Transactions'!$Y62</f>
        <v>100- Operations:120- Marketing</v>
      </c>
      <c r="O60" s="2"/>
      <c r="P60" s="2"/>
      <c r="Q60" s="2" t="str">
        <f>'QBO Transactions'!$T62</f>
        <v>DELTA MASTERCARD-XXXXXXY5DIEO-Karalyn Sims</v>
      </c>
      <c r="R60" s="2"/>
      <c r="S60" s="2"/>
      <c r="T60" s="2"/>
      <c r="U60" s="2"/>
      <c r="V60" s="2"/>
      <c r="W60" s="2"/>
      <c r="X60" s="2" t="str">
        <f t="shared" si="0"/>
        <v>DELTA MASTERCARD-XXXXXXY5DIEO-Karalyn Sims</v>
      </c>
      <c r="Y60" s="4">
        <f>'QBO Transactions'!$Q62</f>
        <v>46233</v>
      </c>
      <c r="Z60" s="2"/>
      <c r="AA60" s="2"/>
      <c r="AB60" s="2"/>
      <c r="AC60" s="2"/>
      <c r="AD60" s="2"/>
      <c r="AE60" s="2"/>
    </row>
    <row r="61" spans="1:31" ht="12.75" customHeight="1" x14ac:dyDescent="0.25">
      <c r="A61" s="2"/>
      <c r="B61" s="2" t="str">
        <f>'QBO Transactions'!$U63</f>
        <v>Brex Credit Card</v>
      </c>
      <c r="C61" s="3">
        <f>'QBO Transactions'!$S63</f>
        <v>54.99</v>
      </c>
      <c r="D61" s="2" t="str">
        <f>'QBO Transactions'!$R63</f>
        <v>Delta</v>
      </c>
      <c r="E61" s="2"/>
      <c r="F61" s="3" t="str">
        <f>'QBO Transactions'!$X63</f>
        <v>Sales &amp; Marketing:Sales &amp; Marketing- Travel Expenses:Airfare</v>
      </c>
      <c r="G61" s="2"/>
      <c r="H61" s="2"/>
      <c r="I61" s="2"/>
      <c r="J61" s="2"/>
      <c r="K61" s="2"/>
      <c r="L61" s="2"/>
      <c r="M61" s="2"/>
      <c r="N61" s="2" t="str">
        <f>'QBO Transactions'!$Y63</f>
        <v>100- Operations:120- Marketing</v>
      </c>
      <c r="O61" s="2"/>
      <c r="P61" s="2"/>
      <c r="Q61" s="2" t="str">
        <f>'QBO Transactions'!$T63</f>
        <v>DELTA MASTERCARD-XXXXXX7FENXD-Karalyn Sims</v>
      </c>
      <c r="R61" s="2"/>
      <c r="S61" s="2"/>
      <c r="T61" s="2"/>
      <c r="U61" s="2"/>
      <c r="V61" s="2"/>
      <c r="W61" s="2"/>
      <c r="X61" s="2" t="str">
        <f t="shared" si="0"/>
        <v>DELTA MASTERCARD-XXXXXX7FENXD-Karalyn Sims</v>
      </c>
      <c r="Y61" s="4">
        <f>'QBO Transactions'!$Q63</f>
        <v>46233</v>
      </c>
      <c r="Z61" s="2"/>
      <c r="AA61" s="2"/>
      <c r="AB61" s="2"/>
      <c r="AC61" s="2"/>
      <c r="AD61" s="2"/>
      <c r="AE61" s="2"/>
    </row>
    <row r="62" spans="1:31" ht="12.75" customHeight="1" x14ac:dyDescent="0.25">
      <c r="A62" s="2"/>
      <c r="B62" s="2" t="str">
        <f>'QBO Transactions'!$U64</f>
        <v>Brex Credit Card</v>
      </c>
      <c r="C62" s="3">
        <f>'QBO Transactions'!$S64</f>
        <v>39.99</v>
      </c>
      <c r="D62" s="2" t="str">
        <f>'QBO Transactions'!$R64</f>
        <v>Delta</v>
      </c>
      <c r="E62" s="2"/>
      <c r="F62" s="3" t="str">
        <f>'QBO Transactions'!$X64</f>
        <v>Sales &amp; Marketing:Sales &amp; Marketing- Travel Expenses:Airfare</v>
      </c>
      <c r="G62" s="2"/>
      <c r="H62" s="2"/>
      <c r="I62" s="2"/>
      <c r="J62" s="2"/>
      <c r="K62" s="2"/>
      <c r="L62" s="2"/>
      <c r="M62" s="2"/>
      <c r="N62" s="2" t="str">
        <f>'QBO Transactions'!$Y64</f>
        <v>100- Operations:120- Marketing</v>
      </c>
      <c r="O62" s="2"/>
      <c r="P62" s="2"/>
      <c r="Q62" s="2" t="str">
        <f>'QBO Transactions'!$T64</f>
        <v>DELTA MASTERCARD-XXXXXX22AKKS-Karalyn Sims</v>
      </c>
      <c r="R62" s="2"/>
      <c r="S62" s="2"/>
      <c r="T62" s="2"/>
      <c r="U62" s="2"/>
      <c r="V62" s="2"/>
      <c r="W62" s="2"/>
      <c r="X62" s="2" t="str">
        <f t="shared" si="0"/>
        <v>DELTA MASTERCARD-XXXXXX22AKKS-Karalyn Sims</v>
      </c>
      <c r="Y62" s="4">
        <f>'QBO Transactions'!$Q64</f>
        <v>46233</v>
      </c>
      <c r="Z62" s="2"/>
      <c r="AA62" s="2"/>
      <c r="AB62" s="2"/>
      <c r="AC62" s="2"/>
      <c r="AD62" s="2"/>
      <c r="AE62" s="2"/>
    </row>
    <row r="63" spans="1:31" ht="12.75" customHeight="1" x14ac:dyDescent="0.25">
      <c r="A63" s="2"/>
      <c r="B63" s="2" t="str">
        <f>'QBO Transactions'!$U65</f>
        <v>Brex Credit Card</v>
      </c>
      <c r="C63" s="3">
        <f>'QBO Transactions'!$S65</f>
        <v>691.6</v>
      </c>
      <c r="D63" s="2" t="str">
        <f>'QBO Transactions'!$R65</f>
        <v>Delta</v>
      </c>
      <c r="E63" s="2"/>
      <c r="F63" s="3" t="str">
        <f>'QBO Transactions'!$X65</f>
        <v>Sales &amp; Marketing:Sales &amp; Marketing- Travel Expenses:Airfare</v>
      </c>
      <c r="G63" s="2"/>
      <c r="H63" s="2"/>
      <c r="I63" s="2"/>
      <c r="J63" s="2"/>
      <c r="K63" s="2"/>
      <c r="L63" s="2"/>
      <c r="M63" s="2"/>
      <c r="N63" s="2" t="str">
        <f>'QBO Transactions'!$Y65</f>
        <v>100- Operations:120- Marketing</v>
      </c>
      <c r="O63" s="2"/>
      <c r="P63" s="2"/>
      <c r="Q63" s="2" t="str">
        <f>'QBO Transactions'!$T65</f>
        <v>DELTA MASTERCARD-XXXXXXO1FWMP-Karalyn Sims</v>
      </c>
      <c r="R63" s="2"/>
      <c r="S63" s="2"/>
      <c r="T63" s="2"/>
      <c r="U63" s="2"/>
      <c r="V63" s="2"/>
      <c r="W63" s="2"/>
      <c r="X63" s="2" t="str">
        <f t="shared" si="0"/>
        <v>DELTA MASTERCARD-XXXXXXO1FWMP-Karalyn Sims</v>
      </c>
      <c r="Y63" s="4">
        <f>'QBO Transactions'!$Q65</f>
        <v>46233</v>
      </c>
      <c r="Z63" s="2"/>
      <c r="AA63" s="2"/>
      <c r="AB63" s="2"/>
      <c r="AC63" s="2"/>
      <c r="AD63" s="2"/>
      <c r="AE63" s="2"/>
    </row>
    <row r="64" spans="1:31" ht="12.75" customHeight="1" x14ac:dyDescent="0.25">
      <c r="A64" s="2"/>
      <c r="B64" s="2" t="str">
        <f>'QBO Transactions'!$U66</f>
        <v>Brex Credit Card</v>
      </c>
      <c r="C64" s="3">
        <f>'QBO Transactions'!$S66</f>
        <v>13.95</v>
      </c>
      <c r="D64" s="2" t="str">
        <f>'QBO Transactions'!$R66</f>
        <v>Uber</v>
      </c>
      <c r="E64" s="2"/>
      <c r="F64" s="3" t="str">
        <f>'QBO Transactions'!$X66</f>
        <v>General &amp; Administrative:G&amp;A- Travel Expenses:Ground Transportation</v>
      </c>
      <c r="G64" s="2"/>
      <c r="H64" s="2"/>
      <c r="I64" s="2"/>
      <c r="J64" s="2"/>
      <c r="K64" s="2"/>
      <c r="L64" s="2"/>
      <c r="M64" s="2"/>
      <c r="N64" s="2" t="str">
        <f>'QBO Transactions'!$Y66</f>
        <v>100- Operations:110- G&amp;A</v>
      </c>
      <c r="O64" s="2"/>
      <c r="P64" s="2"/>
      <c r="Q64" s="2" t="str">
        <f>'QBO Transactions'!$T66</f>
        <v>UBER   *TRIP MASTERCARD-XXXXXXI1L1UK-Michael Button</v>
      </c>
      <c r="R64" s="2"/>
      <c r="S64" s="2"/>
      <c r="T64" s="2"/>
      <c r="U64" s="2"/>
      <c r="V64" s="2"/>
      <c r="W64" s="2"/>
      <c r="X64" s="2" t="str">
        <f t="shared" si="0"/>
        <v>UBER   *TRIP MASTERCARD-XXXXXXI1L1UK-Michael Button</v>
      </c>
      <c r="Y64" s="4">
        <f>'QBO Transactions'!$Q66</f>
        <v>46233</v>
      </c>
      <c r="Z64" s="2"/>
      <c r="AA64" s="2"/>
      <c r="AB64" s="2"/>
      <c r="AC64" s="2"/>
      <c r="AD64" s="2"/>
      <c r="AE64" s="2"/>
    </row>
    <row r="65" spans="1:31" ht="12.75" customHeight="1" x14ac:dyDescent="0.25">
      <c r="A65" s="2"/>
      <c r="B65" s="2" t="str">
        <f>'QBO Transactions'!$U67</f>
        <v>Brex Credit Card</v>
      </c>
      <c r="C65" s="3">
        <f>'QBO Transactions'!$S67</f>
        <v>41.95</v>
      </c>
      <c r="D65" s="2" t="str">
        <f>'QBO Transactions'!$R67</f>
        <v>Uber</v>
      </c>
      <c r="E65" s="2"/>
      <c r="F65" s="3" t="str">
        <f>'QBO Transactions'!$X67</f>
        <v>Cost of Goods Sold:COGS- Travel Expenses:Ground Transportation</v>
      </c>
      <c r="G65" s="2"/>
      <c r="H65" s="2"/>
      <c r="I65" s="2"/>
      <c r="J65" s="2"/>
      <c r="K65" s="2"/>
      <c r="L65" s="2"/>
      <c r="M65" s="2"/>
      <c r="N65" s="2" t="str">
        <f>'QBO Transactions'!$Y67</f>
        <v>300- ServiceNow:320- Engineering</v>
      </c>
      <c r="O65" s="2"/>
      <c r="P65" s="2"/>
      <c r="Q65" s="2" t="str">
        <f>'QBO Transactions'!$T67</f>
        <v>UBER   *TRIP MASTERCARD-XXXXXXCK940K-Tanner Ylvisaker</v>
      </c>
      <c r="R65" s="2"/>
      <c r="S65" s="2"/>
      <c r="T65" s="2"/>
      <c r="U65" s="2"/>
      <c r="V65" s="2"/>
      <c r="W65" s="2"/>
      <c r="X65" s="2" t="str">
        <f t="shared" si="0"/>
        <v>UBER   *TRIP MASTERCARD-XXXXXXCK940K-Tanner Ylvisaker</v>
      </c>
      <c r="Y65" s="4">
        <f>'QBO Transactions'!$Q67</f>
        <v>46233</v>
      </c>
      <c r="Z65" s="2"/>
      <c r="AA65" s="2"/>
      <c r="AB65" s="2"/>
      <c r="AC65" s="2"/>
      <c r="AD65" s="2"/>
      <c r="AE65" s="2"/>
    </row>
    <row r="66" spans="1:31" ht="12.75" customHeight="1" x14ac:dyDescent="0.25">
      <c r="A66" s="2"/>
      <c r="B66" s="2" t="str">
        <f>'QBO Transactions'!$U68</f>
        <v>Brex Credit Card</v>
      </c>
      <c r="C66" s="3">
        <f>'QBO Transactions'!$S68</f>
        <v>15.25</v>
      </c>
      <c r="D66" s="2" t="str">
        <f>'QBO Transactions'!$R68</f>
        <v>Tatte</v>
      </c>
      <c r="E66" s="2"/>
      <c r="F66" s="3" t="str">
        <f>'QBO Transactions'!$X68</f>
        <v>Cost of Goods Sold:COGS- Travel Expenses:Meals &amp; Entertainment</v>
      </c>
      <c r="G66" s="2"/>
      <c r="H66" s="2"/>
      <c r="I66" s="2"/>
      <c r="J66" s="2"/>
      <c r="K66" s="2"/>
      <c r="L66" s="2"/>
      <c r="M66" s="2"/>
      <c r="N66" s="2" t="str">
        <f>'QBO Transactions'!$Y68</f>
        <v>300- ServiceNow:310- Delivery</v>
      </c>
      <c r="O66" s="2"/>
      <c r="P66" s="2"/>
      <c r="Q66" s="2" t="str">
        <f>'QBO Transactions'!$T68</f>
        <v>TST* TATTE BAKERY BACK MASTERCARD-XXXXXX9QFEIY-Michael Joyce</v>
      </c>
      <c r="R66" s="2"/>
      <c r="S66" s="2"/>
      <c r="T66" s="2"/>
      <c r="U66" s="2"/>
      <c r="V66" s="2"/>
      <c r="W66" s="2"/>
      <c r="X66" s="2" t="str">
        <f t="shared" ref="X66:X129" si="1">Q66</f>
        <v>TST* TATTE BAKERY BACK MASTERCARD-XXXXXX9QFEIY-Michael Joyce</v>
      </c>
      <c r="Y66" s="4">
        <f>'QBO Transactions'!$Q68</f>
        <v>46233</v>
      </c>
      <c r="Z66" s="2"/>
      <c r="AA66" s="2"/>
      <c r="AB66" s="2"/>
      <c r="AC66" s="2"/>
      <c r="AD66" s="2"/>
      <c r="AE66" s="2"/>
    </row>
    <row r="67" spans="1:31" ht="12.75" customHeight="1" x14ac:dyDescent="0.25">
      <c r="A67" s="2"/>
      <c r="B67" s="2" t="str">
        <f>'QBO Transactions'!$U69</f>
        <v>Brex Credit Card</v>
      </c>
      <c r="C67" s="3">
        <f>'QBO Transactions'!$S69</f>
        <v>16.59</v>
      </c>
      <c r="D67" s="2" t="str">
        <f>'QBO Transactions'!$R69</f>
        <v>Tatte</v>
      </c>
      <c r="E67" s="2"/>
      <c r="F67" s="3" t="str">
        <f>'QBO Transactions'!$X69</f>
        <v>General &amp; Administrative:G&amp;A- Travel Expenses:Meals &amp; Entertainment</v>
      </c>
      <c r="G67" s="2"/>
      <c r="H67" s="2"/>
      <c r="I67" s="2"/>
      <c r="J67" s="2"/>
      <c r="K67" s="2"/>
      <c r="L67" s="2"/>
      <c r="M67" s="2"/>
      <c r="N67" s="2" t="str">
        <f>'QBO Transactions'!$Y69</f>
        <v>100- Operations:110- G&amp;A</v>
      </c>
      <c r="O67" s="2"/>
      <c r="P67" s="2"/>
      <c r="Q67" s="2" t="str">
        <f>'QBO Transactions'!$T69</f>
        <v>TATTEBAKERY MASTERCARD-XXXXXXZZBWEZ-Mickenzi Krpec</v>
      </c>
      <c r="R67" s="2"/>
      <c r="S67" s="2"/>
      <c r="T67" s="2"/>
      <c r="U67" s="2"/>
      <c r="V67" s="2"/>
      <c r="W67" s="2"/>
      <c r="X67" s="2" t="str">
        <f t="shared" si="1"/>
        <v>TATTEBAKERY MASTERCARD-XXXXXXZZBWEZ-Mickenzi Krpec</v>
      </c>
      <c r="Y67" s="4">
        <f>'QBO Transactions'!$Q69</f>
        <v>46233</v>
      </c>
      <c r="Z67" s="2"/>
      <c r="AA67" s="2"/>
      <c r="AB67" s="2"/>
      <c r="AC67" s="2"/>
      <c r="AD67" s="2"/>
      <c r="AE67" s="2"/>
    </row>
    <row r="68" spans="1:31" ht="12.75" customHeight="1" x14ac:dyDescent="0.25">
      <c r="A68" s="2"/>
      <c r="B68" s="2" t="str">
        <f>'QBO Transactions'!$U70</f>
        <v>Brex Credit Card</v>
      </c>
      <c r="C68" s="3">
        <f>'QBO Transactions'!$S70</f>
        <v>5</v>
      </c>
      <c r="D68" s="2" t="str">
        <f>'QBO Transactions'!$R70</f>
        <v>Uber</v>
      </c>
      <c r="E68" s="2"/>
      <c r="F68" s="3" t="str">
        <f>'QBO Transactions'!$X70</f>
        <v>General &amp; Administrative:G&amp;A- Travel Expenses:Ground Transportation</v>
      </c>
      <c r="G68" s="2"/>
      <c r="H68" s="2"/>
      <c r="I68" s="2"/>
      <c r="J68" s="2"/>
      <c r="K68" s="2"/>
      <c r="L68" s="2"/>
      <c r="M68" s="2"/>
      <c r="N68" s="2" t="str">
        <f>'QBO Transactions'!$Y70</f>
        <v>100- Operations:110- G&amp;A</v>
      </c>
      <c r="O68" s="2"/>
      <c r="P68" s="2"/>
      <c r="Q68" s="2" t="str">
        <f>'QBO Transactions'!$T70</f>
        <v>UBER   *TRIP MASTERCARD-XXXXXXJA4V8M-Michael Button</v>
      </c>
      <c r="R68" s="2"/>
      <c r="S68" s="2"/>
      <c r="T68" s="2"/>
      <c r="U68" s="2"/>
      <c r="V68" s="2"/>
      <c r="W68" s="2"/>
      <c r="X68" s="2" t="str">
        <f t="shared" si="1"/>
        <v>UBER   *TRIP MASTERCARD-XXXXXXJA4V8M-Michael Button</v>
      </c>
      <c r="Y68" s="4">
        <f>'QBO Transactions'!$Q70</f>
        <v>46233</v>
      </c>
      <c r="Z68" s="2"/>
      <c r="AA68" s="2"/>
      <c r="AB68" s="2"/>
      <c r="AC68" s="2"/>
      <c r="AD68" s="2"/>
      <c r="AE68" s="2"/>
    </row>
    <row r="69" spans="1:31" ht="12.75" customHeight="1" x14ac:dyDescent="0.25">
      <c r="A69" s="2"/>
      <c r="B69" s="2" t="str">
        <f>'QBO Transactions'!$U71</f>
        <v>Brex Credit Card</v>
      </c>
      <c r="C69" s="3">
        <f>'QBO Transactions'!$S71</f>
        <v>12.98</v>
      </c>
      <c r="D69" s="2" t="str">
        <f>'QBO Transactions'!$R71</f>
        <v>Uber</v>
      </c>
      <c r="E69" s="2"/>
      <c r="F69" s="3" t="str">
        <f>'QBO Transactions'!$X71</f>
        <v>General &amp; Administrative:G&amp;A- Travel Expenses:Ground Transportation</v>
      </c>
      <c r="G69" s="2"/>
      <c r="H69" s="2"/>
      <c r="I69" s="2"/>
      <c r="J69" s="2"/>
      <c r="K69" s="2"/>
      <c r="L69" s="2"/>
      <c r="M69" s="2"/>
      <c r="N69" s="2" t="str">
        <f>'QBO Transactions'!$Y71</f>
        <v>100- Operations:110- G&amp;A</v>
      </c>
      <c r="O69" s="2"/>
      <c r="P69" s="2"/>
      <c r="Q69" s="2" t="str">
        <f>'QBO Transactions'!$T71</f>
        <v>UBER   *TRIP MASTERCARD-XXXXXXV1AKMB-Michael Button</v>
      </c>
      <c r="R69" s="2"/>
      <c r="S69" s="2"/>
      <c r="T69" s="2"/>
      <c r="U69" s="2"/>
      <c r="V69" s="2"/>
      <c r="W69" s="2"/>
      <c r="X69" s="2" t="str">
        <f t="shared" si="1"/>
        <v>UBER   *TRIP MASTERCARD-XXXXXXV1AKMB-Michael Button</v>
      </c>
      <c r="Y69" s="4">
        <f>'QBO Transactions'!$Q71</f>
        <v>46233</v>
      </c>
      <c r="Z69" s="2"/>
      <c r="AA69" s="2"/>
      <c r="AB69" s="2"/>
      <c r="AC69" s="2"/>
      <c r="AD69" s="2"/>
      <c r="AE69" s="2"/>
    </row>
    <row r="70" spans="1:31" ht="12.75" customHeight="1" x14ac:dyDescent="0.25">
      <c r="A70" s="2"/>
      <c r="B70" s="2" t="str">
        <f>'QBO Transactions'!$U72</f>
        <v>Brex Credit Card</v>
      </c>
      <c r="C70" s="3">
        <f>'QBO Transactions'!$S72</f>
        <v>35.86</v>
      </c>
      <c r="D70" s="2" t="str">
        <f>'QBO Transactions'!$R72</f>
        <v>Food Vendor</v>
      </c>
      <c r="E70" s="2"/>
      <c r="F70" s="3" t="str">
        <f>'QBO Transactions'!$X72</f>
        <v>Sales &amp; Marketing:Sales &amp; Marketing- Travel Expenses:Meals &amp; Entertainment</v>
      </c>
      <c r="G70" s="2"/>
      <c r="H70" s="2"/>
      <c r="I70" s="2"/>
      <c r="J70" s="2"/>
      <c r="K70" s="2"/>
      <c r="L70" s="2"/>
      <c r="M70" s="2"/>
      <c r="N70" s="2" t="str">
        <f>'QBO Transactions'!$Y72</f>
        <v>300- ServiceNow:330- Sales</v>
      </c>
      <c r="O70" s="2"/>
      <c r="P70" s="2"/>
      <c r="Q70" s="2" t="str">
        <f>'QBO Transactions'!$T72</f>
        <v>TST* NAYA - 500 BOYLST MASTERCARD-XXXXXXSUJMT5-Chloe Brant</v>
      </c>
      <c r="R70" s="2"/>
      <c r="S70" s="2"/>
      <c r="T70" s="2"/>
      <c r="U70" s="2"/>
      <c r="V70" s="2"/>
      <c r="W70" s="2"/>
      <c r="X70" s="2" t="str">
        <f t="shared" si="1"/>
        <v>TST* NAYA - 500 BOYLST MASTERCARD-XXXXXXSUJMT5-Chloe Brant</v>
      </c>
      <c r="Y70" s="4">
        <f>'QBO Transactions'!$Q72</f>
        <v>46233</v>
      </c>
      <c r="Z70" s="2"/>
      <c r="AA70" s="2"/>
      <c r="AB70" s="2"/>
      <c r="AC70" s="2"/>
      <c r="AD70" s="2"/>
      <c r="AE70" s="2"/>
    </row>
    <row r="71" spans="1:31" ht="12.75" customHeight="1" x14ac:dyDescent="0.25">
      <c r="A71" s="2"/>
      <c r="B71" s="2" t="str">
        <f>'QBO Transactions'!$U73</f>
        <v>Brex Credit Card</v>
      </c>
      <c r="C71" s="3">
        <f>'QBO Transactions'!$S73</f>
        <v>17.93</v>
      </c>
      <c r="D71" s="2" t="str">
        <f>'QBO Transactions'!$R73</f>
        <v>Food Vendor</v>
      </c>
      <c r="E71" s="2"/>
      <c r="F71" s="3" t="str">
        <f>'QBO Transactions'!$X73</f>
        <v>General &amp; Administrative:G&amp;A- Travel Expenses:Meals &amp; Entertainment</v>
      </c>
      <c r="G71" s="2"/>
      <c r="H71" s="2"/>
      <c r="I71" s="2"/>
      <c r="J71" s="2"/>
      <c r="K71" s="2"/>
      <c r="L71" s="2"/>
      <c r="M71" s="2"/>
      <c r="N71" s="2" t="str">
        <f>'QBO Transactions'!$Y73</f>
        <v>100- Operations:110- G&amp;A</v>
      </c>
      <c r="O71" s="2"/>
      <c r="P71" s="2"/>
      <c r="Q71" s="2" t="str">
        <f>'QBO Transactions'!$T73</f>
        <v>TST* NAYA - 500 BOYLST MASTERCARD-XXXXXX6CWSC6-Vincent Planz</v>
      </c>
      <c r="R71" s="2"/>
      <c r="S71" s="2"/>
      <c r="T71" s="2"/>
      <c r="U71" s="2"/>
      <c r="V71" s="2"/>
      <c r="W71" s="2"/>
      <c r="X71" s="2" t="str">
        <f t="shared" si="1"/>
        <v>TST* NAYA - 500 BOYLST MASTERCARD-XXXXXX6CWSC6-Vincent Planz</v>
      </c>
      <c r="Y71" s="4">
        <f>'QBO Transactions'!$Q73</f>
        <v>46233</v>
      </c>
      <c r="Z71" s="2"/>
      <c r="AA71" s="2"/>
      <c r="AB71" s="2"/>
      <c r="AC71" s="2"/>
      <c r="AD71" s="2"/>
      <c r="AE71" s="2"/>
    </row>
    <row r="72" spans="1:31" ht="12.75" customHeight="1" x14ac:dyDescent="0.25">
      <c r="A72" s="2"/>
      <c r="B72" s="2" t="str">
        <f>'QBO Transactions'!$U74</f>
        <v>Brex Credit Card</v>
      </c>
      <c r="C72" s="3">
        <f>'QBO Transactions'!$S74</f>
        <v>50</v>
      </c>
      <c r="D72" s="2" t="str">
        <f>'QBO Transactions'!$R74</f>
        <v>Office Vendor</v>
      </c>
      <c r="E72" s="2"/>
      <c r="F72" s="3" t="str">
        <f>'QBO Transactions'!$X74</f>
        <v>General &amp; Administrative:Office Expenses:Office Supplies</v>
      </c>
      <c r="G72" s="2"/>
      <c r="H72" s="2"/>
      <c r="I72" s="2"/>
      <c r="J72" s="2"/>
      <c r="K72" s="2"/>
      <c r="L72" s="2"/>
      <c r="M72" s="2"/>
      <c r="N72" s="2" t="str">
        <f>'QBO Transactions'!$Y74</f>
        <v>300- ServiceNow:330- Sales</v>
      </c>
      <c r="O72" s="2"/>
      <c r="P72" s="2"/>
      <c r="Q72" s="2" t="str">
        <f>'QBO Transactions'!$T74</f>
        <v>JINA.AI MASTERCARD-XXXXXX6XWJU0-Matthew Morris</v>
      </c>
      <c r="R72" s="2"/>
      <c r="S72" s="2"/>
      <c r="T72" s="2"/>
      <c r="U72" s="2"/>
      <c r="V72" s="2"/>
      <c r="W72" s="2"/>
      <c r="X72" s="2" t="str">
        <f t="shared" si="1"/>
        <v>JINA.AI MASTERCARD-XXXXXX6XWJU0-Matthew Morris</v>
      </c>
      <c r="Y72" s="4">
        <f>'QBO Transactions'!$Q74</f>
        <v>46233</v>
      </c>
      <c r="Z72" s="2"/>
      <c r="AA72" s="2"/>
      <c r="AB72" s="2"/>
      <c r="AC72" s="2"/>
      <c r="AD72" s="2"/>
      <c r="AE72" s="2"/>
    </row>
    <row r="73" spans="1:31" ht="12.75" customHeight="1" x14ac:dyDescent="0.25">
      <c r="A73" s="2"/>
      <c r="B73" s="2" t="str">
        <f>'QBO Transactions'!$U75</f>
        <v>Brex Credit Card</v>
      </c>
      <c r="C73" s="3">
        <f>'QBO Transactions'!$S75</f>
        <v>28.59</v>
      </c>
      <c r="D73" s="2" t="str">
        <f>'QBO Transactions'!$R75</f>
        <v>Exxon</v>
      </c>
      <c r="E73" s="2"/>
      <c r="F73" s="3" t="str">
        <f>'QBO Transactions'!$X75</f>
        <v>Cost of Goods Sold:COGS- Travel Expenses:Other Travel Expenses</v>
      </c>
      <c r="G73" s="2"/>
      <c r="H73" s="2"/>
      <c r="I73" s="2"/>
      <c r="J73" s="2"/>
      <c r="K73" s="2"/>
      <c r="L73" s="2"/>
      <c r="M73" s="2"/>
      <c r="N73" s="2" t="str">
        <f>'QBO Transactions'!$Y75</f>
        <v>300- ServiceNow:320- Engineering</v>
      </c>
      <c r="O73" s="2"/>
      <c r="P73" s="2"/>
      <c r="Q73" s="2" t="str">
        <f>'QBO Transactions'!$T75</f>
        <v>EXXON MERRITT PKWY GRE MASTERCARD-XXXXXX1AO3VQ-Ryan McStravick</v>
      </c>
      <c r="R73" s="2"/>
      <c r="S73" s="2"/>
      <c r="T73" s="2"/>
      <c r="U73" s="2"/>
      <c r="V73" s="2"/>
      <c r="W73" s="2"/>
      <c r="X73" s="2" t="str">
        <f t="shared" si="1"/>
        <v>EXXON MERRITT PKWY GRE MASTERCARD-XXXXXX1AO3VQ-Ryan McStravick</v>
      </c>
      <c r="Y73" s="4">
        <f>'QBO Transactions'!$Q75</f>
        <v>46233</v>
      </c>
      <c r="Z73" s="2"/>
      <c r="AA73" s="2"/>
      <c r="AB73" s="2"/>
      <c r="AC73" s="2"/>
      <c r="AD73" s="2"/>
      <c r="AE73" s="2"/>
    </row>
    <row r="74" spans="1:31" ht="12.75" customHeight="1" x14ac:dyDescent="0.25">
      <c r="A74" s="2"/>
      <c r="B74" s="2" t="str">
        <f>'QBO Transactions'!$U76</f>
        <v>Brex Credit Card</v>
      </c>
      <c r="C74" s="3">
        <f>'QBO Transactions'!$S76</f>
        <v>30.94</v>
      </c>
      <c r="D74" s="2" t="str">
        <f>'QBO Transactions'!$R76</f>
        <v>Uber</v>
      </c>
      <c r="E74" s="2"/>
      <c r="F74" s="3" t="str">
        <f>'QBO Transactions'!$X76</f>
        <v>Sales &amp; Marketing:Sales &amp; Marketing- Travel Expenses:Ground Transportation</v>
      </c>
      <c r="G74" s="2"/>
      <c r="H74" s="2"/>
      <c r="I74" s="2"/>
      <c r="J74" s="2"/>
      <c r="K74" s="2"/>
      <c r="L74" s="2"/>
      <c r="M74" s="2"/>
      <c r="N74" s="2" t="str">
        <f>'QBO Transactions'!$Y76</f>
        <v>300- ServiceNow:330- Sales</v>
      </c>
      <c r="O74" s="2"/>
      <c r="P74" s="2"/>
      <c r="Q74" s="2" t="str">
        <f>'QBO Transactions'!$T76</f>
        <v>UBER   *TRIP MASTERCARD-XXXXXXEUJGUH-Matthew Morris</v>
      </c>
      <c r="R74" s="2"/>
      <c r="S74" s="2"/>
      <c r="T74" s="2"/>
      <c r="U74" s="2"/>
      <c r="V74" s="2"/>
      <c r="W74" s="2"/>
      <c r="X74" s="2" t="str">
        <f t="shared" si="1"/>
        <v>UBER   *TRIP MASTERCARD-XXXXXXEUJGUH-Matthew Morris</v>
      </c>
      <c r="Y74" s="4">
        <f>'QBO Transactions'!$Q76</f>
        <v>46233</v>
      </c>
      <c r="Z74" s="2"/>
      <c r="AA74" s="2"/>
      <c r="AB74" s="2"/>
      <c r="AC74" s="2"/>
      <c r="AD74" s="2"/>
      <c r="AE74" s="2"/>
    </row>
    <row r="75" spans="1:31" ht="12.75" customHeight="1" x14ac:dyDescent="0.25">
      <c r="A75" s="2"/>
      <c r="B75" s="2" t="str">
        <f>'QBO Transactions'!$U77</f>
        <v>Brex Credit Card</v>
      </c>
      <c r="C75" s="3">
        <f>'QBO Transactions'!$S77</f>
        <v>25.9</v>
      </c>
      <c r="D75" s="2" t="str">
        <f>'QBO Transactions'!$R77</f>
        <v>Uber</v>
      </c>
      <c r="E75" s="2"/>
      <c r="F75" s="3" t="str">
        <f>'QBO Transactions'!$X77</f>
        <v>Sales &amp; Marketing:Sales &amp; Marketing- Travel Expenses:Ground Transportation</v>
      </c>
      <c r="G75" s="2"/>
      <c r="H75" s="2"/>
      <c r="I75" s="2"/>
      <c r="J75" s="2"/>
      <c r="K75" s="2"/>
      <c r="L75" s="2"/>
      <c r="M75" s="2"/>
      <c r="N75" s="2" t="str">
        <f>'QBO Transactions'!$Y77</f>
        <v>200- Datadog:230- Sales</v>
      </c>
      <c r="O75" s="2"/>
      <c r="P75" s="2"/>
      <c r="Q75" s="2" t="str">
        <f>'QBO Transactions'!$T77</f>
        <v>UBER   *TRIP MASTERCARD-XXXXXX6M94Y6-Ryan Henrich</v>
      </c>
      <c r="R75" s="2"/>
      <c r="S75" s="2"/>
      <c r="T75" s="2"/>
      <c r="U75" s="2"/>
      <c r="V75" s="2"/>
      <c r="W75" s="2"/>
      <c r="X75" s="2" t="str">
        <f t="shared" si="1"/>
        <v>UBER   *TRIP MASTERCARD-XXXXXX6M94Y6-Ryan Henrich</v>
      </c>
      <c r="Y75" s="4">
        <f>'QBO Transactions'!$Q77</f>
        <v>46233</v>
      </c>
      <c r="Z75" s="2"/>
      <c r="AA75" s="2"/>
      <c r="AB75" s="2"/>
      <c r="AC75" s="2"/>
      <c r="AD75" s="2"/>
      <c r="AE75" s="2"/>
    </row>
    <row r="76" spans="1:31" ht="12.75" customHeight="1" x14ac:dyDescent="0.25">
      <c r="A76" s="2"/>
      <c r="B76" s="2" t="str">
        <f>'QBO Transactions'!$U78</f>
        <v>Brex Credit Card</v>
      </c>
      <c r="C76" s="3">
        <f>'QBO Transactions'!$S78</f>
        <v>11.03</v>
      </c>
      <c r="D76" s="2" t="str">
        <f>'QBO Transactions'!$R78</f>
        <v>McDonald's</v>
      </c>
      <c r="E76" s="2"/>
      <c r="F76" s="3" t="str">
        <f>'QBO Transactions'!$X78</f>
        <v>Cost of Goods Sold:COGS- Travel Expenses:Meals &amp; Entertainment</v>
      </c>
      <c r="G76" s="2"/>
      <c r="H76" s="2"/>
      <c r="I76" s="2"/>
      <c r="J76" s="2"/>
      <c r="K76" s="2"/>
      <c r="L76" s="2"/>
      <c r="M76" s="2"/>
      <c r="N76" s="2" t="str">
        <f>'QBO Transactions'!$Y78</f>
        <v>300- ServiceNow:320- Engineering</v>
      </c>
      <c r="O76" s="2"/>
      <c r="P76" s="2"/>
      <c r="Q76" s="2" t="str">
        <f>'QBO Transactions'!$T78</f>
        <v>MCDONALD'S F20727 MASTERCARD-XXXXXXTQ251D-Jacob Woolf</v>
      </c>
      <c r="R76" s="2"/>
      <c r="S76" s="2"/>
      <c r="T76" s="2"/>
      <c r="U76" s="2"/>
      <c r="V76" s="2"/>
      <c r="W76" s="2"/>
      <c r="X76" s="2" t="str">
        <f t="shared" si="1"/>
        <v>MCDONALD'S F20727 MASTERCARD-XXXXXXTQ251D-Jacob Woolf</v>
      </c>
      <c r="Y76" s="4">
        <f>'QBO Transactions'!$Q78</f>
        <v>46233</v>
      </c>
      <c r="Z76" s="2"/>
      <c r="AA76" s="2"/>
      <c r="AB76" s="2"/>
      <c r="AC76" s="2"/>
      <c r="AD76" s="2"/>
      <c r="AE76" s="2"/>
    </row>
    <row r="77" spans="1:31" ht="12.75" customHeight="1" x14ac:dyDescent="0.25">
      <c r="A77" s="2"/>
      <c r="B77" s="2" t="str">
        <f>'QBO Transactions'!$U79</f>
        <v>Brex Credit Card</v>
      </c>
      <c r="C77" s="3">
        <f>'QBO Transactions'!$S79</f>
        <v>14.65</v>
      </c>
      <c r="D77" s="2" t="str">
        <f>'QBO Transactions'!$R79</f>
        <v>Office Vendor</v>
      </c>
      <c r="E77" s="2"/>
      <c r="F77" s="3" t="str">
        <f>'QBO Transactions'!$X79</f>
        <v>General &amp; Administrative:Office Expenses:Office Supplies</v>
      </c>
      <c r="G77" s="2"/>
      <c r="H77" s="2"/>
      <c r="I77" s="2"/>
      <c r="J77" s="2"/>
      <c r="K77" s="2"/>
      <c r="L77" s="2"/>
      <c r="M77" s="2"/>
      <c r="N77" s="2" t="str">
        <f>'QBO Transactions'!$Y79</f>
        <v>300- ServiceNow:320- Engineering</v>
      </c>
      <c r="O77" s="2"/>
      <c r="P77" s="2"/>
      <c r="Q77" s="2" t="str">
        <f>'QBO Transactions'!$T79</f>
        <v>AIR ESSENTIALS 122 DFW MASTERCARD-XXXXXX0QTA9M-Jacob Woolf</v>
      </c>
      <c r="R77" s="2"/>
      <c r="S77" s="2"/>
      <c r="T77" s="2"/>
      <c r="U77" s="2"/>
      <c r="V77" s="2"/>
      <c r="W77" s="2"/>
      <c r="X77" s="2" t="str">
        <f t="shared" si="1"/>
        <v>AIR ESSENTIALS 122 DFW MASTERCARD-XXXXXX0QTA9M-Jacob Woolf</v>
      </c>
      <c r="Y77" s="4">
        <f>'QBO Transactions'!$Q79</f>
        <v>46233</v>
      </c>
      <c r="Z77" s="2"/>
      <c r="AA77" s="2"/>
      <c r="AB77" s="2"/>
      <c r="AC77" s="2"/>
      <c r="AD77" s="2"/>
      <c r="AE77" s="2"/>
    </row>
    <row r="78" spans="1:31" ht="12.75" customHeight="1" x14ac:dyDescent="0.25">
      <c r="A78" s="2"/>
      <c r="B78" s="2" t="str">
        <f>'QBO Transactions'!$U80</f>
        <v>Brex Credit Card</v>
      </c>
      <c r="C78" s="3">
        <f>'QBO Transactions'!$S80</f>
        <v>38.369999999999997</v>
      </c>
      <c r="D78" s="2" t="str">
        <f>'QBO Transactions'!$R80</f>
        <v>Food Vendor</v>
      </c>
      <c r="E78" s="2"/>
      <c r="F78" s="3" t="str">
        <f>'QBO Transactions'!$X80</f>
        <v>Cost of Goods Sold:COGS- Travel Expenses:Meals &amp; Entertainment</v>
      </c>
      <c r="G78" s="2"/>
      <c r="H78" s="2"/>
      <c r="I78" s="2"/>
      <c r="J78" s="2"/>
      <c r="K78" s="2"/>
      <c r="L78" s="2"/>
      <c r="M78" s="2"/>
      <c r="N78" s="2" t="str">
        <f>'QBO Transactions'!$Y80</f>
        <v>300- ServiceNow:310- Delivery</v>
      </c>
      <c r="O78" s="2"/>
      <c r="P78" s="2"/>
      <c r="Q78" s="2" t="str">
        <f>'QBO Transactions'!$T80</f>
        <v>TST* RAMIS MASTERCARD-XXXXXX9NHJTH-Meghan Murray</v>
      </c>
      <c r="R78" s="2"/>
      <c r="S78" s="2"/>
      <c r="T78" s="2"/>
      <c r="U78" s="2"/>
      <c r="V78" s="2"/>
      <c r="W78" s="2"/>
      <c r="X78" s="2" t="str">
        <f t="shared" si="1"/>
        <v>TST* RAMIS MASTERCARD-XXXXXX9NHJTH-Meghan Murray</v>
      </c>
      <c r="Y78" s="4">
        <f>'QBO Transactions'!$Q80</f>
        <v>46233</v>
      </c>
      <c r="Z78" s="2"/>
      <c r="AA78" s="2"/>
      <c r="AB78" s="2"/>
      <c r="AC78" s="2"/>
      <c r="AD78" s="2"/>
      <c r="AE78" s="2"/>
    </row>
    <row r="79" spans="1:31" ht="12.75" customHeight="1" x14ac:dyDescent="0.25">
      <c r="A79" s="2"/>
      <c r="B79" s="2" t="str">
        <f>'QBO Transactions'!$U81</f>
        <v>Brex Credit Card</v>
      </c>
      <c r="C79" s="3">
        <f>'QBO Transactions'!$S81</f>
        <v>12.08</v>
      </c>
      <c r="D79" s="2" t="str">
        <f>'QBO Transactions'!$R81</f>
        <v>Cafe Nero</v>
      </c>
      <c r="E79" s="2"/>
      <c r="F79" s="3" t="str">
        <f>'QBO Transactions'!$X81</f>
        <v>Sales &amp; Marketing:Sales &amp; Marketing- Travel Expenses:Meals &amp; Entertainment</v>
      </c>
      <c r="G79" s="2"/>
      <c r="H79" s="2"/>
      <c r="I79" s="2"/>
      <c r="J79" s="2"/>
      <c r="K79" s="2"/>
      <c r="L79" s="2"/>
      <c r="M79" s="2"/>
      <c r="N79" s="2" t="str">
        <f>'QBO Transactions'!$Y81</f>
        <v>300- ServiceNow:330- Sales</v>
      </c>
      <c r="O79" s="2"/>
      <c r="P79" s="2"/>
      <c r="Q79" s="2" t="str">
        <f>'QBO Transactions'!$T81</f>
        <v>1042 CAFFE NERO COFFEE MASTERCARD-XXXXXX32OZSH-Nestor Abad Rodriguez</v>
      </c>
      <c r="R79" s="2"/>
      <c r="S79" s="2"/>
      <c r="T79" s="2"/>
      <c r="U79" s="2"/>
      <c r="V79" s="2"/>
      <c r="W79" s="2"/>
      <c r="X79" s="2" t="str">
        <f t="shared" si="1"/>
        <v>1042 CAFFE NERO COFFEE MASTERCARD-XXXXXX32OZSH-Nestor Abad Rodriguez</v>
      </c>
      <c r="Y79" s="4">
        <f>'QBO Transactions'!$Q81</f>
        <v>46233</v>
      </c>
      <c r="Z79" s="2"/>
      <c r="AA79" s="2"/>
      <c r="AB79" s="2"/>
      <c r="AC79" s="2"/>
      <c r="AD79" s="2"/>
      <c r="AE79" s="2"/>
    </row>
    <row r="80" spans="1:31" ht="12.75" customHeight="1" x14ac:dyDescent="0.25">
      <c r="A80" s="2"/>
      <c r="B80" s="2" t="str">
        <f>'QBO Transactions'!$U82</f>
        <v>Brex Credit Card</v>
      </c>
      <c r="C80" s="3">
        <f>'QBO Transactions'!$S82</f>
        <v>39.99</v>
      </c>
      <c r="D80" s="2" t="str">
        <f>'QBO Transactions'!$R82</f>
        <v>Uber</v>
      </c>
      <c r="E80" s="2"/>
      <c r="F80" s="3" t="str">
        <f>'QBO Transactions'!$X82</f>
        <v>Sales &amp; Marketing:Sales &amp; Marketing- Travel Expenses:Ground Transportation</v>
      </c>
      <c r="G80" s="2"/>
      <c r="H80" s="2"/>
      <c r="I80" s="2"/>
      <c r="J80" s="2"/>
      <c r="K80" s="2"/>
      <c r="L80" s="2"/>
      <c r="M80" s="2"/>
      <c r="N80" s="2" t="str">
        <f>'QBO Transactions'!$Y82</f>
        <v>300- ServiceNow:330- Sales</v>
      </c>
      <c r="O80" s="2"/>
      <c r="P80" s="2"/>
      <c r="Q80" s="2" t="str">
        <f>'QBO Transactions'!$T82</f>
        <v>UBER   *TRIP MASTERCARD-XXXXXX9PUU2R-Chloe Brant</v>
      </c>
      <c r="R80" s="2"/>
      <c r="S80" s="2"/>
      <c r="T80" s="2"/>
      <c r="U80" s="2"/>
      <c r="V80" s="2"/>
      <c r="W80" s="2"/>
      <c r="X80" s="2" t="str">
        <f t="shared" si="1"/>
        <v>UBER   *TRIP MASTERCARD-XXXXXX9PUU2R-Chloe Brant</v>
      </c>
      <c r="Y80" s="4">
        <f>'QBO Transactions'!$Q82</f>
        <v>46233</v>
      </c>
      <c r="Z80" s="2"/>
      <c r="AA80" s="2"/>
      <c r="AB80" s="2"/>
      <c r="AC80" s="2"/>
      <c r="AD80" s="2"/>
      <c r="AE80" s="2"/>
    </row>
    <row r="81" spans="1:31" ht="12.75" customHeight="1" x14ac:dyDescent="0.25">
      <c r="A81" s="2"/>
      <c r="B81" s="2" t="str">
        <f>'QBO Transactions'!$U83</f>
        <v>Brex Credit Card</v>
      </c>
      <c r="C81" s="3">
        <f>'QBO Transactions'!$S83</f>
        <v>9.6</v>
      </c>
      <c r="D81" s="2" t="str">
        <f>'QBO Transactions'!$R83</f>
        <v>Food Vendor</v>
      </c>
      <c r="E81" s="2"/>
      <c r="F81" s="3" t="str">
        <f>'QBO Transactions'!$X83</f>
        <v>Sales &amp; Marketing:Sales &amp; Marketing- Travel Expenses:Meals &amp; Entertainment</v>
      </c>
      <c r="G81" s="2"/>
      <c r="H81" s="2"/>
      <c r="I81" s="2"/>
      <c r="J81" s="2"/>
      <c r="K81" s="2"/>
      <c r="L81" s="2"/>
      <c r="M81" s="2"/>
      <c r="N81" s="2" t="str">
        <f>'QBO Transactions'!$Y83</f>
        <v>300- ServiceNow:330- Sales</v>
      </c>
      <c r="O81" s="2"/>
      <c r="P81" s="2"/>
      <c r="Q81" s="2" t="str">
        <f>'QBO Transactions'!$T83</f>
        <v>SQ *CAFE #65224 BACK B MASTERCARD-XXXXXXRPL2E3-Brian McGonigal</v>
      </c>
      <c r="R81" s="2"/>
      <c r="S81" s="2"/>
      <c r="T81" s="2"/>
      <c r="U81" s="2"/>
      <c r="V81" s="2"/>
      <c r="W81" s="2"/>
      <c r="X81" s="2" t="str">
        <f t="shared" si="1"/>
        <v>SQ *CAFE #65224 BACK B MASTERCARD-XXXXXXRPL2E3-Brian McGonigal</v>
      </c>
      <c r="Y81" s="4">
        <f>'QBO Transactions'!$Q83</f>
        <v>46233</v>
      </c>
      <c r="Z81" s="2"/>
      <c r="AA81" s="2"/>
      <c r="AB81" s="2"/>
      <c r="AC81" s="2"/>
      <c r="AD81" s="2"/>
      <c r="AE81" s="2"/>
    </row>
    <row r="82" spans="1:31" ht="12.75" customHeight="1" x14ac:dyDescent="0.25">
      <c r="A82" s="2"/>
      <c r="B82" s="2" t="str">
        <f>'QBO Transactions'!$U84</f>
        <v>Brex Credit Card</v>
      </c>
      <c r="C82" s="3">
        <f>'QBO Transactions'!$S84</f>
        <v>7.15</v>
      </c>
      <c r="D82" s="2" t="str">
        <f>'QBO Transactions'!$R84</f>
        <v>Thinking Cup</v>
      </c>
      <c r="E82" s="2"/>
      <c r="F82" s="3" t="str">
        <f>'QBO Transactions'!$X84</f>
        <v>Sales &amp; Marketing:Sales &amp; Marketing- Travel Expenses:Meals &amp; Entertainment</v>
      </c>
      <c r="G82" s="2"/>
      <c r="H82" s="2"/>
      <c r="I82" s="2"/>
      <c r="J82" s="2"/>
      <c r="K82" s="2"/>
      <c r="L82" s="2"/>
      <c r="M82" s="2"/>
      <c r="N82" s="2" t="str">
        <f>'QBO Transactions'!$Y84</f>
        <v>200- Datadog:230- Sales</v>
      </c>
      <c r="O82" s="2"/>
      <c r="P82" s="2"/>
      <c r="Q82" s="2" t="str">
        <f>'QBO Transactions'!$T84</f>
        <v>SQ *THINKING CUP NEWBU MASTERCARD-XXXXXX0G91RL-Jared Kennedy</v>
      </c>
      <c r="R82" s="2"/>
      <c r="S82" s="2"/>
      <c r="T82" s="2"/>
      <c r="U82" s="2"/>
      <c r="V82" s="2"/>
      <c r="W82" s="2"/>
      <c r="X82" s="2" t="str">
        <f t="shared" si="1"/>
        <v>SQ *THINKING CUP NEWBU MASTERCARD-XXXXXX0G91RL-Jared Kennedy</v>
      </c>
      <c r="Y82" s="4">
        <f>'QBO Transactions'!$Q84</f>
        <v>46233</v>
      </c>
      <c r="Z82" s="2"/>
      <c r="AA82" s="2"/>
      <c r="AB82" s="2"/>
      <c r="AC82" s="2"/>
      <c r="AD82" s="2"/>
      <c r="AE82" s="2"/>
    </row>
    <row r="83" spans="1:31" ht="12.75" customHeight="1" x14ac:dyDescent="0.25">
      <c r="A83" s="2"/>
      <c r="B83" s="2" t="str">
        <f>'QBO Transactions'!$U85</f>
        <v>Brex Credit Card</v>
      </c>
      <c r="C83" s="3">
        <f>'QBO Transactions'!$S85</f>
        <v>171.86</v>
      </c>
      <c r="D83" s="2" t="str">
        <f>'QBO Transactions'!$R85</f>
        <v>LinkedIn Corporation</v>
      </c>
      <c r="E83" s="2"/>
      <c r="F83" s="3" t="str">
        <f>'QBO Transactions'!$X85</f>
        <v>General &amp; Administrative:Office Expenses:Dues &amp; Subscriptions</v>
      </c>
      <c r="G83" s="2"/>
      <c r="H83" s="2"/>
      <c r="I83" s="2"/>
      <c r="J83" s="2"/>
      <c r="K83" s="2"/>
      <c r="L83" s="2"/>
      <c r="M83" s="2"/>
      <c r="N83" s="2" t="str">
        <f>'QBO Transactions'!$Y85</f>
        <v>100- Operations:120- Marketing</v>
      </c>
      <c r="O83" s="2"/>
      <c r="P83" s="2"/>
      <c r="Q83" s="2" t="str">
        <f>'QBO Transactions'!$T85</f>
        <v>LinkedIn P3061358805 MASTERCARD-XXXXXXP8M8F9-Karalyn Sims</v>
      </c>
      <c r="R83" s="2"/>
      <c r="S83" s="2"/>
      <c r="T83" s="2"/>
      <c r="U83" s="2"/>
      <c r="V83" s="2"/>
      <c r="W83" s="2"/>
      <c r="X83" s="2" t="str">
        <f t="shared" si="1"/>
        <v>LinkedIn P3061358805 MASTERCARD-XXXXXXP8M8F9-Karalyn Sims</v>
      </c>
      <c r="Y83" s="4">
        <f>'QBO Transactions'!$Q85</f>
        <v>46233</v>
      </c>
      <c r="Z83" s="2"/>
      <c r="AA83" s="2"/>
      <c r="AB83" s="2"/>
      <c r="AC83" s="2"/>
      <c r="AD83" s="2"/>
      <c r="AE83" s="2"/>
    </row>
    <row r="84" spans="1:31" ht="12.75" customHeight="1" x14ac:dyDescent="0.25">
      <c r="A84" s="2"/>
      <c r="B84" s="2" t="str">
        <f>'QBO Transactions'!$U86</f>
        <v>Brex Credit Card</v>
      </c>
      <c r="C84" s="3">
        <f>'QBO Transactions'!$S86</f>
        <v>27.54</v>
      </c>
      <c r="D84" s="2" t="str">
        <f>'QBO Transactions'!$R86</f>
        <v>Tatte</v>
      </c>
      <c r="E84" s="2"/>
      <c r="F84" s="3" t="str">
        <f>'QBO Transactions'!$X86</f>
        <v>Cost of Goods Sold:COGS- Travel Expenses:Meals &amp; Entertainment</v>
      </c>
      <c r="G84" s="2"/>
      <c r="H84" s="2"/>
      <c r="I84" s="2"/>
      <c r="J84" s="2"/>
      <c r="K84" s="2"/>
      <c r="L84" s="2"/>
      <c r="M84" s="2"/>
      <c r="N84" s="2" t="str">
        <f>'QBO Transactions'!$Y86</f>
        <v>300- ServiceNow:320- Engineering</v>
      </c>
      <c r="O84" s="2"/>
      <c r="P84" s="2"/>
      <c r="Q84" s="2" t="str">
        <f>'QBO Transactions'!$T86</f>
        <v>TST* TATTE BAKERY - CO MASTERCARD-XXXXXX75F0H0-Ben Savage</v>
      </c>
      <c r="R84" s="2"/>
      <c r="S84" s="2"/>
      <c r="T84" s="2"/>
      <c r="U84" s="2"/>
      <c r="V84" s="2"/>
      <c r="W84" s="2"/>
      <c r="X84" s="2" t="str">
        <f t="shared" si="1"/>
        <v>TST* TATTE BAKERY - CO MASTERCARD-XXXXXX75F0H0-Ben Savage</v>
      </c>
      <c r="Y84" s="4">
        <f>'QBO Transactions'!$Q86</f>
        <v>46233</v>
      </c>
      <c r="Z84" s="2"/>
      <c r="AA84" s="2"/>
      <c r="AB84" s="2"/>
      <c r="AC84" s="2"/>
      <c r="AD84" s="2"/>
      <c r="AE84" s="2"/>
    </row>
    <row r="85" spans="1:31" ht="12.75" customHeight="1" x14ac:dyDescent="0.25">
      <c r="A85" s="2"/>
      <c r="B85" s="2" t="str">
        <f>'QBO Transactions'!$U87</f>
        <v>Brex Credit Card</v>
      </c>
      <c r="C85" s="3">
        <f>'QBO Transactions'!$S87</f>
        <v>5</v>
      </c>
      <c r="D85" s="2" t="str">
        <f>'QBO Transactions'!$R87</f>
        <v>CVS</v>
      </c>
      <c r="E85" s="2"/>
      <c r="F85" s="3" t="str">
        <f>'QBO Transactions'!$X87</f>
        <v>General &amp; Administrative:Office Expenses:Office Supplies</v>
      </c>
      <c r="G85" s="2"/>
      <c r="H85" s="2"/>
      <c r="I85" s="2"/>
      <c r="J85" s="2"/>
      <c r="K85" s="2"/>
      <c r="L85" s="2"/>
      <c r="M85" s="2"/>
      <c r="N85" s="2" t="str">
        <f>'QBO Transactions'!$Y87</f>
        <v>300- ServiceNow:330- Sales</v>
      </c>
      <c r="O85" s="2"/>
      <c r="P85" s="2"/>
      <c r="Q85" s="2" t="str">
        <f>'QBO Transactions'!$T87</f>
        <v>CVS/PHARMACY #01217 MASTERCARD-XXXXXXWSMXI6-Gary Passaglia</v>
      </c>
      <c r="R85" s="2"/>
      <c r="S85" s="2"/>
      <c r="T85" s="2"/>
      <c r="U85" s="2"/>
      <c r="V85" s="2"/>
      <c r="W85" s="2"/>
      <c r="X85" s="2" t="str">
        <f t="shared" si="1"/>
        <v>CVS/PHARMACY #01217 MASTERCARD-XXXXXXWSMXI6-Gary Passaglia</v>
      </c>
      <c r="Y85" s="4">
        <f>'QBO Transactions'!$Q87</f>
        <v>46233</v>
      </c>
      <c r="Z85" s="2"/>
      <c r="AA85" s="2"/>
      <c r="AB85" s="2"/>
      <c r="AC85" s="2"/>
      <c r="AD85" s="2"/>
      <c r="AE85" s="2"/>
    </row>
    <row r="86" spans="1:31" ht="12.75" customHeight="1" x14ac:dyDescent="0.25">
      <c r="A86" s="2"/>
      <c r="B86" s="2" t="str">
        <f>'QBO Transactions'!$U88</f>
        <v>Brex Credit Card</v>
      </c>
      <c r="C86" s="3">
        <f>'QBO Transactions'!$S88</f>
        <v>1.7</v>
      </c>
      <c r="D86" s="2" t="str">
        <f>'QBO Transactions'!$R88</f>
        <v>Mbta</v>
      </c>
      <c r="E86" s="2"/>
      <c r="F86" s="3" t="str">
        <f>'QBO Transactions'!$X88</f>
        <v>Sales &amp; Marketing:Sales &amp; Marketing- Travel Expenses:Ground Transportation</v>
      </c>
      <c r="G86" s="2"/>
      <c r="H86" s="2"/>
      <c r="I86" s="2"/>
      <c r="J86" s="2"/>
      <c r="K86" s="2"/>
      <c r="L86" s="2"/>
      <c r="M86" s="2"/>
      <c r="N86" s="2" t="str">
        <f>'QBO Transactions'!$Y88</f>
        <v>100- Operations:120- Marketing</v>
      </c>
      <c r="O86" s="2"/>
      <c r="P86" s="2"/>
      <c r="Q86" s="2" t="str">
        <f>'QBO Transactions'!$T88</f>
        <v>MBTA-550048231694 MASTERCARD-XXXXXXWMGEU8-Karalyn Sims</v>
      </c>
      <c r="R86" s="2"/>
      <c r="S86" s="2"/>
      <c r="T86" s="2"/>
      <c r="U86" s="2"/>
      <c r="V86" s="2"/>
      <c r="W86" s="2"/>
      <c r="X86" s="2" t="str">
        <f t="shared" si="1"/>
        <v>MBTA-550048231694 MASTERCARD-XXXXXXWMGEU8-Karalyn Sims</v>
      </c>
      <c r="Y86" s="4">
        <f>'QBO Transactions'!$Q88</f>
        <v>46233</v>
      </c>
      <c r="Z86" s="2"/>
      <c r="AA86" s="2"/>
      <c r="AB86" s="2"/>
      <c r="AC86" s="2"/>
      <c r="AD86" s="2"/>
      <c r="AE86" s="2"/>
    </row>
    <row r="87" spans="1:31" ht="12.75" customHeight="1" x14ac:dyDescent="0.25">
      <c r="A87" s="2"/>
      <c r="B87" s="2" t="str">
        <f>'QBO Transactions'!$U89</f>
        <v>Brex Credit Card</v>
      </c>
      <c r="C87" s="3">
        <f>'QBO Transactions'!$S89</f>
        <v>4.91</v>
      </c>
      <c r="D87" s="2" t="str">
        <f>'QBO Transactions'!$R89</f>
        <v>Dunkin Donuts</v>
      </c>
      <c r="E87" s="2"/>
      <c r="F87" s="3" t="str">
        <f>'QBO Transactions'!$X89</f>
        <v>Sales &amp; Marketing:Sales &amp; Marketing- Travel Expenses:Meals &amp; Entertainment</v>
      </c>
      <c r="G87" s="2"/>
      <c r="H87" s="2"/>
      <c r="I87" s="2"/>
      <c r="J87" s="2"/>
      <c r="K87" s="2"/>
      <c r="L87" s="2"/>
      <c r="M87" s="2"/>
      <c r="N87" s="2" t="str">
        <f>'QBO Transactions'!$Y89</f>
        <v>300- ServiceNow:330- Sales</v>
      </c>
      <c r="O87" s="2"/>
      <c r="P87" s="2"/>
      <c r="Q87" s="2" t="str">
        <f>'QBO Transactions'!$T89</f>
        <v>DUNKIN #300417 Q35 MASTERCARD-XXXXXX8FRDT2-Gary Passaglia</v>
      </c>
      <c r="R87" s="2"/>
      <c r="S87" s="2"/>
      <c r="T87" s="2"/>
      <c r="U87" s="2"/>
      <c r="V87" s="2"/>
      <c r="W87" s="2"/>
      <c r="X87" s="2" t="str">
        <f t="shared" si="1"/>
        <v>DUNKIN #300417 Q35 MASTERCARD-XXXXXX8FRDT2-Gary Passaglia</v>
      </c>
      <c r="Y87" s="4">
        <f>'QBO Transactions'!$Q89</f>
        <v>46233</v>
      </c>
      <c r="Z87" s="2"/>
      <c r="AA87" s="2"/>
      <c r="AB87" s="2"/>
      <c r="AC87" s="2"/>
      <c r="AD87" s="2"/>
      <c r="AE87" s="2"/>
    </row>
    <row r="88" spans="1:31" ht="12.75" customHeight="1" x14ac:dyDescent="0.25">
      <c r="A88" s="2"/>
      <c r="B88" s="2" t="str">
        <f>'QBO Transactions'!$U90</f>
        <v>Brex Credit Card</v>
      </c>
      <c r="C88" s="3">
        <f>'QBO Transactions'!$S90</f>
        <v>76.849999999999994</v>
      </c>
      <c r="D88" s="2" t="str">
        <f>'QBO Transactions'!$R90</f>
        <v>Uber</v>
      </c>
      <c r="E88" s="2"/>
      <c r="F88" s="3" t="str">
        <f>'QBO Transactions'!$X90</f>
        <v>Cost of Goods Sold:COGS- Travel Expenses:Ground Transportation</v>
      </c>
      <c r="G88" s="2"/>
      <c r="H88" s="2"/>
      <c r="I88" s="2"/>
      <c r="J88" s="2"/>
      <c r="K88" s="2"/>
      <c r="L88" s="2"/>
      <c r="M88" s="2"/>
      <c r="N88" s="2" t="str">
        <f>'QBO Transactions'!$Y90</f>
        <v>300- ServiceNow:310- Delivery</v>
      </c>
      <c r="O88" s="2"/>
      <c r="P88" s="2"/>
      <c r="Q88" s="2" t="str">
        <f>'QBO Transactions'!$T90</f>
        <v>UBER   *TRIP MASTERCARD-XXXXXX16E23A-Gaby Catalano</v>
      </c>
      <c r="R88" s="2"/>
      <c r="S88" s="2"/>
      <c r="T88" s="2"/>
      <c r="U88" s="2"/>
      <c r="V88" s="2"/>
      <c r="W88" s="2"/>
      <c r="X88" s="2" t="str">
        <f t="shared" si="1"/>
        <v>UBER   *TRIP MASTERCARD-XXXXXX16E23A-Gaby Catalano</v>
      </c>
      <c r="Y88" s="4">
        <f>'QBO Transactions'!$Q90</f>
        <v>46233</v>
      </c>
      <c r="Z88" s="2"/>
      <c r="AA88" s="2"/>
      <c r="AB88" s="2"/>
      <c r="AC88" s="2"/>
      <c r="AD88" s="2"/>
      <c r="AE88" s="2"/>
    </row>
    <row r="89" spans="1:31" ht="12.75" customHeight="1" x14ac:dyDescent="0.25">
      <c r="A89" s="2"/>
      <c r="B89" s="2" t="str">
        <f>'QBO Transactions'!$U91</f>
        <v>Brex Credit Card</v>
      </c>
      <c r="C89" s="3">
        <f>'QBO Transactions'!$S91</f>
        <v>17.12</v>
      </c>
      <c r="D89" s="2" t="str">
        <f>'QBO Transactions'!$R91</f>
        <v>Food Vendor</v>
      </c>
      <c r="E89" s="2"/>
      <c r="F89" s="3" t="str">
        <f>'QBO Transactions'!$X91</f>
        <v>Sales &amp; Marketing:Sales &amp; Marketing- Travel Expenses:Meals &amp; EntertainmentMeals &amp; Entertainment</v>
      </c>
      <c r="G89" s="2"/>
      <c r="H89" s="2"/>
      <c r="I89" s="2"/>
      <c r="J89" s="2"/>
      <c r="K89" s="2"/>
      <c r="L89" s="2"/>
      <c r="M89" s="2"/>
      <c r="N89" s="2" t="str">
        <f>'QBO Transactions'!$Y91</f>
        <v>300- ServiceNow:310- Delivery</v>
      </c>
      <c r="O89" s="2"/>
      <c r="P89" s="2"/>
      <c r="Q89" s="2" t="str">
        <f>'QBO Transactions'!$T91</f>
        <v>OLO*Pressed Cafe MASTERCARD-XXXXXXPWVICO-Michael Joyce</v>
      </c>
      <c r="R89" s="2"/>
      <c r="S89" s="2"/>
      <c r="T89" s="2"/>
      <c r="U89" s="2"/>
      <c r="V89" s="2"/>
      <c r="W89" s="2"/>
      <c r="X89" s="2" t="str">
        <f t="shared" si="1"/>
        <v>OLO*Pressed Cafe MASTERCARD-XXXXXXPWVICO-Michael Joyce</v>
      </c>
      <c r="Y89" s="4">
        <f>'QBO Transactions'!$Q91</f>
        <v>46233</v>
      </c>
      <c r="Z89" s="2"/>
      <c r="AA89" s="2"/>
      <c r="AB89" s="2"/>
      <c r="AC89" s="2"/>
      <c r="AD89" s="2"/>
      <c r="AE89" s="2"/>
    </row>
    <row r="90" spans="1:31" ht="12.75" customHeight="1" x14ac:dyDescent="0.25">
      <c r="A90" s="2"/>
      <c r="B90" s="2" t="str">
        <f>'QBO Transactions'!$U92</f>
        <v>Brex Credit Card</v>
      </c>
      <c r="C90" s="3">
        <f>'QBO Transactions'!$S92</f>
        <v>10.35</v>
      </c>
      <c r="D90" s="2" t="str">
        <f>'QBO Transactions'!$R92</f>
        <v>Tatte</v>
      </c>
      <c r="E90" s="2"/>
      <c r="F90" s="3" t="str">
        <f>'QBO Transactions'!$X92</f>
        <v>Sales &amp; Marketing:Sales &amp; Marketing- Travel Expenses:Meals &amp; Entertainment</v>
      </c>
      <c r="G90" s="2"/>
      <c r="H90" s="2"/>
      <c r="I90" s="2"/>
      <c r="J90" s="2"/>
      <c r="K90" s="2"/>
      <c r="L90" s="2"/>
      <c r="M90" s="2"/>
      <c r="N90" s="2" t="str">
        <f>'QBO Transactions'!$Y92</f>
        <v>300- ServiceNow:330- Sales</v>
      </c>
      <c r="O90" s="2"/>
      <c r="P90" s="2"/>
      <c r="Q90" s="2" t="str">
        <f>'QBO Transactions'!$T92</f>
        <v>TST* TATTE BAKERY - CO MASTERCARD-XXXXXXFVGVVS-Maile Call</v>
      </c>
      <c r="R90" s="2"/>
      <c r="S90" s="2"/>
      <c r="T90" s="2"/>
      <c r="U90" s="2"/>
      <c r="V90" s="2"/>
      <c r="W90" s="2"/>
      <c r="X90" s="2" t="str">
        <f t="shared" si="1"/>
        <v>TST* TATTE BAKERY - CO MASTERCARD-XXXXXXFVGVVS-Maile Call</v>
      </c>
      <c r="Y90" s="4">
        <f>'QBO Transactions'!$Q92</f>
        <v>46233</v>
      </c>
      <c r="Z90" s="2"/>
      <c r="AA90" s="2"/>
      <c r="AB90" s="2"/>
      <c r="AC90" s="2"/>
      <c r="AD90" s="2"/>
      <c r="AE90" s="2"/>
    </row>
    <row r="91" spans="1:31" ht="12.75" customHeight="1" x14ac:dyDescent="0.25">
      <c r="A91" s="2"/>
      <c r="B91" s="2" t="str">
        <f>'QBO Transactions'!$U93</f>
        <v>Brex Credit Card</v>
      </c>
      <c r="C91" s="3">
        <f>'QBO Transactions'!$S93</f>
        <v>1492.34</v>
      </c>
      <c r="D91" s="2" t="str">
        <f>'QBO Transactions'!$R93</f>
        <v>Food Vendor</v>
      </c>
      <c r="E91" s="2"/>
      <c r="F91" s="3" t="str">
        <f>'QBO Transactions'!$X93</f>
        <v>General &amp; Administrative:G&amp;A- Travel Expenses:Meals &amp; Entertainment</v>
      </c>
      <c r="G91" s="2"/>
      <c r="H91" s="2"/>
      <c r="I91" s="2"/>
      <c r="J91" s="2"/>
      <c r="K91" s="2"/>
      <c r="L91" s="2"/>
      <c r="M91" s="2"/>
      <c r="N91" s="2" t="str">
        <f>'QBO Transactions'!$Y93</f>
        <v>100- Operations:110- G&amp;A</v>
      </c>
      <c r="O91" s="2"/>
      <c r="P91" s="2"/>
      <c r="Q91" s="2" t="str">
        <f>'QBO Transactions'!$T93</f>
        <v>PRESSED CAFE PRUDENTI MASTERCARD-XXXXXXA52LG3-Mickenzi Krpec</v>
      </c>
      <c r="R91" s="2"/>
      <c r="S91" s="2"/>
      <c r="T91" s="2"/>
      <c r="U91" s="2"/>
      <c r="V91" s="2"/>
      <c r="W91" s="2"/>
      <c r="X91" s="2" t="str">
        <f t="shared" si="1"/>
        <v>PRESSED CAFE PRUDENTI MASTERCARD-XXXXXXA52LG3-Mickenzi Krpec</v>
      </c>
      <c r="Y91" s="4">
        <f>'QBO Transactions'!$Q93</f>
        <v>46233</v>
      </c>
      <c r="Z91" s="2"/>
      <c r="AA91" s="2"/>
      <c r="AB91" s="2"/>
      <c r="AC91" s="2"/>
      <c r="AD91" s="2"/>
      <c r="AE91" s="2"/>
    </row>
    <row r="92" spans="1:31" ht="12.75" customHeight="1" x14ac:dyDescent="0.25">
      <c r="A92" s="2"/>
      <c r="B92" s="2" t="str">
        <f>'QBO Transactions'!$U94</f>
        <v>Brex Credit Card</v>
      </c>
      <c r="C92" s="3">
        <f>'QBO Transactions'!$S94</f>
        <v>40.17</v>
      </c>
      <c r="D92" s="2" t="str">
        <f>'QBO Transactions'!$R94</f>
        <v>Sweeney's</v>
      </c>
      <c r="E92" s="2"/>
      <c r="F92" s="3" t="str">
        <f>'QBO Transactions'!$X94</f>
        <v>Sales &amp; Marketing:Sales &amp; Marketing- Travel Expenses:Meals &amp; Entertainment</v>
      </c>
      <c r="G92" s="2"/>
      <c r="H92" s="2"/>
      <c r="I92" s="2"/>
      <c r="J92" s="2"/>
      <c r="K92" s="2"/>
      <c r="L92" s="2"/>
      <c r="M92" s="2"/>
      <c r="N92" s="2" t="str">
        <f>'QBO Transactions'!$Y94</f>
        <v>200- Datadog:230- Sales</v>
      </c>
      <c r="O92" s="2"/>
      <c r="P92" s="2"/>
      <c r="Q92" s="2" t="str">
        <f>'QBO Transactions'!$T94</f>
        <v>TST*SWEENEYS MASTERCARD-XXXXXXLP8CJO-Tyler Grimshaw</v>
      </c>
      <c r="R92" s="2"/>
      <c r="S92" s="2"/>
      <c r="T92" s="2"/>
      <c r="U92" s="2"/>
      <c r="V92" s="2"/>
      <c r="W92" s="2"/>
      <c r="X92" s="2" t="str">
        <f t="shared" si="1"/>
        <v>TST*SWEENEYS MASTERCARD-XXXXXXLP8CJO-Tyler Grimshaw</v>
      </c>
      <c r="Y92" s="4">
        <f>'QBO Transactions'!$Q94</f>
        <v>46232</v>
      </c>
      <c r="Z92" s="2"/>
      <c r="AA92" s="2"/>
      <c r="AB92" s="2"/>
      <c r="AC92" s="2"/>
      <c r="AD92" s="2"/>
      <c r="AE92" s="2"/>
    </row>
    <row r="93" spans="1:31" ht="12.75" customHeight="1" x14ac:dyDescent="0.25">
      <c r="A93" s="2"/>
      <c r="B93" s="2" t="str">
        <f>'QBO Transactions'!$U95</f>
        <v>Brex Credit Card</v>
      </c>
      <c r="C93" s="3">
        <f>'QBO Transactions'!$S95</f>
        <v>20.98</v>
      </c>
      <c r="D93" s="2" t="str">
        <f>'QBO Transactions'!$R95</f>
        <v>Uber</v>
      </c>
      <c r="E93" s="2"/>
      <c r="F93" s="3" t="str">
        <f>'QBO Transactions'!$X95</f>
        <v>Sales &amp; Marketing:Sales &amp; Marketing- Travel Expenses:Ground Transportation</v>
      </c>
      <c r="G93" s="2"/>
      <c r="H93" s="2"/>
      <c r="I93" s="2"/>
      <c r="J93" s="2"/>
      <c r="K93" s="2"/>
      <c r="L93" s="2"/>
      <c r="M93" s="2"/>
      <c r="N93" s="2" t="str">
        <f>'QBO Transactions'!$Y95</f>
        <v>300- ServiceNow:330- Sales</v>
      </c>
      <c r="O93" s="2"/>
      <c r="P93" s="2"/>
      <c r="Q93" s="2" t="str">
        <f>'QBO Transactions'!$T95</f>
        <v>UBER   *TRIP MASTERCARD-XXXXXXUTPOIB-Matt Hyman</v>
      </c>
      <c r="R93" s="2"/>
      <c r="S93" s="2"/>
      <c r="T93" s="2"/>
      <c r="U93" s="2"/>
      <c r="V93" s="2"/>
      <c r="W93" s="2"/>
      <c r="X93" s="2" t="str">
        <f t="shared" si="1"/>
        <v>UBER   *TRIP MASTERCARD-XXXXXXUTPOIB-Matt Hyman</v>
      </c>
      <c r="Y93" s="4">
        <f>'QBO Transactions'!$Q95</f>
        <v>46232</v>
      </c>
      <c r="Z93" s="2"/>
      <c r="AA93" s="2"/>
      <c r="AB93" s="2"/>
      <c r="AC93" s="2"/>
      <c r="AD93" s="2"/>
      <c r="AE93" s="2"/>
    </row>
    <row r="94" spans="1:31" ht="12.75" customHeight="1" x14ac:dyDescent="0.25">
      <c r="A94" s="2"/>
      <c r="B94" s="2" t="str">
        <f>'QBO Transactions'!$U96</f>
        <v>Brex Credit Card</v>
      </c>
      <c r="C94" s="3">
        <f>'QBO Transactions'!$S96</f>
        <v>17.93</v>
      </c>
      <c r="D94" s="2" t="str">
        <f>'QBO Transactions'!$R96</f>
        <v>Uber</v>
      </c>
      <c r="E94" s="2"/>
      <c r="F94" s="3" t="str">
        <f>'QBO Transactions'!$X96</f>
        <v>Sales &amp; Marketing:Sales &amp; Marketing- Travel Expenses:Ground Transportation</v>
      </c>
      <c r="G94" s="2"/>
      <c r="H94" s="2"/>
      <c r="I94" s="2"/>
      <c r="J94" s="2"/>
      <c r="K94" s="2"/>
      <c r="L94" s="2"/>
      <c r="M94" s="2"/>
      <c r="N94" s="2" t="str">
        <f>'QBO Transactions'!$Y96</f>
        <v>200- Datadog:230- Sales</v>
      </c>
      <c r="O94" s="2"/>
      <c r="P94" s="2"/>
      <c r="Q94" s="2" t="str">
        <f>'QBO Transactions'!$T96</f>
        <v>UBER   *TRIP MASTERCARD-XXXXXXYKW01G-Ryan Henrich</v>
      </c>
      <c r="R94" s="2"/>
      <c r="S94" s="2"/>
      <c r="T94" s="2"/>
      <c r="U94" s="2"/>
      <c r="V94" s="2"/>
      <c r="W94" s="2"/>
      <c r="X94" s="2" t="str">
        <f t="shared" si="1"/>
        <v>UBER   *TRIP MASTERCARD-XXXXXXYKW01G-Ryan Henrich</v>
      </c>
      <c r="Y94" s="4">
        <f>'QBO Transactions'!$Q96</f>
        <v>46232</v>
      </c>
      <c r="Z94" s="2"/>
      <c r="AA94" s="2"/>
      <c r="AB94" s="2"/>
      <c r="AC94" s="2"/>
      <c r="AD94" s="2"/>
      <c r="AE94" s="2"/>
    </row>
    <row r="95" spans="1:31" ht="12.75" customHeight="1" x14ac:dyDescent="0.25">
      <c r="A95" s="2"/>
      <c r="B95" s="2" t="str">
        <f>'QBO Transactions'!$U97</f>
        <v>Brex Credit Card</v>
      </c>
      <c r="C95" s="3">
        <f>'QBO Transactions'!$S97</f>
        <v>38</v>
      </c>
      <c r="D95" s="2" t="str">
        <f>'QBO Transactions'!$R97</f>
        <v>Travel Vendor</v>
      </c>
      <c r="E95" s="2"/>
      <c r="F95" s="3" t="str">
        <f>'QBO Transactions'!$X97</f>
        <v>General &amp; Administrative:G&amp;A- Travel Expenses:Other Travel Expenses</v>
      </c>
      <c r="G95" s="2"/>
      <c r="H95" s="2"/>
      <c r="I95" s="2"/>
      <c r="J95" s="2"/>
      <c r="K95" s="2"/>
      <c r="L95" s="2"/>
      <c r="M95" s="2"/>
      <c r="N95" s="2" t="str">
        <f>'QBO Transactions'!$Y97</f>
        <v>100- Operations:110- G&amp;A</v>
      </c>
      <c r="O95" s="2"/>
      <c r="P95" s="2"/>
      <c r="Q95" s="2" t="str">
        <f>'QBO Transactions'!$T97</f>
        <v>PPL - FAN PIER MASTERCARD-XXXXXX9PARU8-Elyse Neumeier</v>
      </c>
      <c r="R95" s="2"/>
      <c r="S95" s="2"/>
      <c r="T95" s="2"/>
      <c r="U95" s="2"/>
      <c r="V95" s="2"/>
      <c r="W95" s="2"/>
      <c r="X95" s="2" t="str">
        <f t="shared" si="1"/>
        <v>PPL - FAN PIER MASTERCARD-XXXXXX9PARU8-Elyse Neumeier</v>
      </c>
      <c r="Y95" s="4">
        <f>'QBO Transactions'!$Q97</f>
        <v>46232</v>
      </c>
      <c r="Z95" s="2"/>
      <c r="AA95" s="2"/>
      <c r="AB95" s="2"/>
      <c r="AC95" s="2"/>
      <c r="AD95" s="2"/>
      <c r="AE95" s="2"/>
    </row>
    <row r="96" spans="1:31" ht="12.75" customHeight="1" x14ac:dyDescent="0.25">
      <c r="A96" s="2"/>
      <c r="B96" s="2" t="str">
        <f>'QBO Transactions'!$U98</f>
        <v>Brex Credit Card</v>
      </c>
      <c r="C96" s="3">
        <f>'QBO Transactions'!$S98</f>
        <v>16.91</v>
      </c>
      <c r="D96" s="2" t="str">
        <f>'QBO Transactions'!$R98</f>
        <v>Sweeney's</v>
      </c>
      <c r="E96" s="2"/>
      <c r="F96" s="3" t="str">
        <f>'QBO Transactions'!$X98</f>
        <v>Cost of Goods Sold:COGS- Travel Expenses:Meals &amp; Entertainment</v>
      </c>
      <c r="G96" s="2"/>
      <c r="H96" s="2"/>
      <c r="I96" s="2"/>
      <c r="J96" s="2"/>
      <c r="K96" s="2"/>
      <c r="L96" s="2"/>
      <c r="M96" s="2"/>
      <c r="N96" s="2" t="str">
        <f>'QBO Transactions'!$Y98</f>
        <v>300- ServiceNow:320- Engineering</v>
      </c>
      <c r="O96" s="2"/>
      <c r="P96" s="2"/>
      <c r="Q96" s="2" t="str">
        <f>'QBO Transactions'!$T98</f>
        <v>TST*SWEENEYS MASTERCARD-XXXXXXXY71GE-Ben Savage</v>
      </c>
      <c r="R96" s="2"/>
      <c r="S96" s="2"/>
      <c r="T96" s="2"/>
      <c r="U96" s="2"/>
      <c r="V96" s="2"/>
      <c r="W96" s="2"/>
      <c r="X96" s="2" t="str">
        <f t="shared" si="1"/>
        <v>TST*SWEENEYS MASTERCARD-XXXXXXXY71GE-Ben Savage</v>
      </c>
      <c r="Y96" s="4">
        <f>'QBO Transactions'!$Q98</f>
        <v>46232</v>
      </c>
      <c r="Z96" s="2"/>
      <c r="AA96" s="2"/>
      <c r="AB96" s="2"/>
      <c r="AC96" s="2"/>
      <c r="AD96" s="2"/>
      <c r="AE96" s="2"/>
    </row>
    <row r="97" spans="1:31" ht="12.75" customHeight="1" x14ac:dyDescent="0.25">
      <c r="A97" s="2"/>
      <c r="B97" s="2" t="str">
        <f>'QBO Transactions'!$U99</f>
        <v>Brex Credit Card</v>
      </c>
      <c r="C97" s="3">
        <f>'QBO Transactions'!$S99</f>
        <v>627.51</v>
      </c>
      <c r="D97" s="2" t="str">
        <f>'QBO Transactions'!$R99</f>
        <v>Food Vendor</v>
      </c>
      <c r="E97" s="2"/>
      <c r="F97" s="3" t="str">
        <f>'QBO Transactions'!$X99</f>
        <v>Sales &amp; Marketing:Sales &amp; Marketing- Travel Expenses:Meals &amp; Entertainment</v>
      </c>
      <c r="G97" s="2"/>
      <c r="H97" s="2"/>
      <c r="I97" s="2"/>
      <c r="J97" s="2"/>
      <c r="K97" s="2"/>
      <c r="L97" s="2"/>
      <c r="M97" s="2"/>
      <c r="N97" s="2" t="str">
        <f>'QBO Transactions'!$Y99</f>
        <v>200- Datadog:230- Sales</v>
      </c>
      <c r="O97" s="2"/>
      <c r="P97" s="2"/>
      <c r="Q97" s="2" t="str">
        <f>'QBO Transactions'!$T99</f>
        <v>Grill 23  Bar MASTERCARD-XXXXXXQEBO44-Ryan Henrich</v>
      </c>
      <c r="R97" s="2"/>
      <c r="S97" s="2"/>
      <c r="T97" s="2"/>
      <c r="U97" s="2"/>
      <c r="V97" s="2"/>
      <c r="W97" s="2"/>
      <c r="X97" s="2" t="str">
        <f t="shared" si="1"/>
        <v>Grill 23  Bar MASTERCARD-XXXXXXQEBO44-Ryan Henrich</v>
      </c>
      <c r="Y97" s="4">
        <f>'QBO Transactions'!$Q99</f>
        <v>46232</v>
      </c>
      <c r="Z97" s="2"/>
      <c r="AA97" s="2"/>
      <c r="AB97" s="2"/>
      <c r="AC97" s="2"/>
      <c r="AD97" s="2"/>
      <c r="AE97" s="2"/>
    </row>
    <row r="98" spans="1:31" ht="12.75" customHeight="1" x14ac:dyDescent="0.25">
      <c r="A98" s="2"/>
      <c r="B98" s="2" t="str">
        <f>'QBO Transactions'!$U100</f>
        <v>Brex Credit Card</v>
      </c>
      <c r="C98" s="3">
        <f>'QBO Transactions'!$S100</f>
        <v>27</v>
      </c>
      <c r="D98" s="2" t="str">
        <f>'QBO Transactions'!$R100</f>
        <v>Pier 4</v>
      </c>
      <c r="E98" s="2"/>
      <c r="F98" s="3" t="str">
        <f>'QBO Transactions'!$X100</f>
        <v>Sales &amp; Marketing:Sales &amp; Marketing- Travel Expenses:Ground Transportation</v>
      </c>
      <c r="G98" s="2"/>
      <c r="H98" s="2"/>
      <c r="I98" s="2"/>
      <c r="J98" s="2"/>
      <c r="K98" s="2"/>
      <c r="L98" s="2"/>
      <c r="M98" s="2"/>
      <c r="N98" s="2" t="str">
        <f>'QBO Transactions'!$Y100</f>
        <v>300- ServiceNow:330- Sales</v>
      </c>
      <c r="O98" s="2"/>
      <c r="P98" s="2"/>
      <c r="Q98" s="2" t="str">
        <f>'QBO Transactions'!$T100</f>
        <v>PIER 4 GARAGE MASTERCARD-XXXXXX7MPX0L-Ashley Karpel</v>
      </c>
      <c r="R98" s="2"/>
      <c r="S98" s="2"/>
      <c r="T98" s="2"/>
      <c r="U98" s="2"/>
      <c r="V98" s="2"/>
      <c r="W98" s="2"/>
      <c r="X98" s="2" t="str">
        <f t="shared" si="1"/>
        <v>PIER 4 GARAGE MASTERCARD-XXXXXX7MPX0L-Ashley Karpel</v>
      </c>
      <c r="Y98" s="4">
        <f>'QBO Transactions'!$Q100</f>
        <v>46233</v>
      </c>
      <c r="Z98" s="2"/>
      <c r="AA98" s="2"/>
      <c r="AB98" s="2"/>
      <c r="AC98" s="2"/>
      <c r="AD98" s="2"/>
      <c r="AE98" s="2"/>
    </row>
    <row r="99" spans="1:31" ht="12.75" customHeight="1" x14ac:dyDescent="0.25">
      <c r="A99" s="2"/>
      <c r="B99" s="2" t="str">
        <f>'QBO Transactions'!$U101</f>
        <v>Brex Credit Card</v>
      </c>
      <c r="C99" s="3">
        <f>'QBO Transactions'!$S101</f>
        <v>29.97</v>
      </c>
      <c r="D99" s="2" t="str">
        <f>'QBO Transactions'!$R101</f>
        <v>Uber</v>
      </c>
      <c r="E99" s="2"/>
      <c r="F99" s="3" t="str">
        <f>'QBO Transactions'!$X101</f>
        <v>Cost of Goods Sold:COGS- Travel Expenses:Ground Transportation</v>
      </c>
      <c r="G99" s="2"/>
      <c r="H99" s="2"/>
      <c r="I99" s="2"/>
      <c r="J99" s="2"/>
      <c r="K99" s="2"/>
      <c r="L99" s="2"/>
      <c r="M99" s="2"/>
      <c r="N99" s="2" t="str">
        <f>'QBO Transactions'!$Y101</f>
        <v>300- ServiceNow:320- Engineering</v>
      </c>
      <c r="O99" s="2"/>
      <c r="P99" s="2"/>
      <c r="Q99" s="2" t="str">
        <f>'QBO Transactions'!$T101</f>
        <v>UBER   *TRIP MASTERCARD-XXXXXXO5XP55-Robert Kolosky</v>
      </c>
      <c r="R99" s="2"/>
      <c r="S99" s="2"/>
      <c r="T99" s="2"/>
      <c r="U99" s="2"/>
      <c r="V99" s="2"/>
      <c r="W99" s="2"/>
      <c r="X99" s="2" t="str">
        <f t="shared" si="1"/>
        <v>UBER   *TRIP MASTERCARD-XXXXXXO5XP55-Robert Kolosky</v>
      </c>
      <c r="Y99" s="4">
        <f>'QBO Transactions'!$Q101</f>
        <v>46232</v>
      </c>
      <c r="Z99" s="2"/>
      <c r="AA99" s="2"/>
      <c r="AB99" s="2"/>
      <c r="AC99" s="2"/>
      <c r="AD99" s="2"/>
      <c r="AE99" s="2"/>
    </row>
    <row r="100" spans="1:31" ht="12.75" customHeight="1" x14ac:dyDescent="0.25">
      <c r="A100" s="2"/>
      <c r="B100" s="2" t="str">
        <f>'QBO Transactions'!$U102</f>
        <v>Brex Credit Card</v>
      </c>
      <c r="C100" s="3">
        <f>'QBO Transactions'!$S102</f>
        <v>36.9</v>
      </c>
      <c r="D100" s="2" t="str">
        <f>'QBO Transactions'!$R102</f>
        <v>Food Vendor</v>
      </c>
      <c r="E100" s="2"/>
      <c r="F100" s="3" t="str">
        <f>'QBO Transactions'!$X102</f>
        <v>Cost of Goods Sold:COGS- Travel Expenses:Meals &amp; Entertainment</v>
      </c>
      <c r="G100" s="2"/>
      <c r="H100" s="2"/>
      <c r="I100" s="2"/>
      <c r="J100" s="2"/>
      <c r="K100" s="2"/>
      <c r="L100" s="2"/>
      <c r="M100" s="2"/>
      <c r="N100" s="2" t="str">
        <f>'QBO Transactions'!$Y102</f>
        <v>300- ServiceNow:320- Engineering</v>
      </c>
      <c r="O100" s="2"/>
      <c r="P100" s="2"/>
      <c r="Q100" s="2" t="str">
        <f>'QBO Transactions'!$T102</f>
        <v>THE WILDDUCK MARKET PL MASTERCARD-XXXXXXGGM8ZB-Robert Kolosky</v>
      </c>
      <c r="R100" s="2"/>
      <c r="S100" s="2"/>
      <c r="T100" s="2"/>
      <c r="U100" s="2"/>
      <c r="V100" s="2"/>
      <c r="W100" s="2"/>
      <c r="X100" s="2" t="str">
        <f t="shared" si="1"/>
        <v>THE WILDDUCK MARKET PL MASTERCARD-XXXXXXGGM8ZB-Robert Kolosky</v>
      </c>
      <c r="Y100" s="4">
        <f>'QBO Transactions'!$Q102</f>
        <v>46232</v>
      </c>
      <c r="Z100" s="2"/>
      <c r="AA100" s="2"/>
      <c r="AB100" s="2"/>
      <c r="AC100" s="2"/>
      <c r="AD100" s="2"/>
      <c r="AE100" s="2"/>
    </row>
    <row r="101" spans="1:31" ht="12.75" customHeight="1" x14ac:dyDescent="0.25">
      <c r="A101" s="2"/>
      <c r="B101" s="2" t="str">
        <f>'QBO Transactions'!$U103</f>
        <v>Brex Credit Card</v>
      </c>
      <c r="C101" s="3">
        <f>'QBO Transactions'!$S103</f>
        <v>44</v>
      </c>
      <c r="D101" s="2" t="str">
        <f>'QBO Transactions'!$R103</f>
        <v>Travel Vendor</v>
      </c>
      <c r="E101" s="2"/>
      <c r="F101" s="3" t="str">
        <f>'QBO Transactions'!$X103</f>
        <v>General &amp; Administrative:G&amp;A- Travel Expenses:Other Travel Expenses</v>
      </c>
      <c r="G101" s="2"/>
      <c r="H101" s="2"/>
      <c r="I101" s="2"/>
      <c r="J101" s="2"/>
      <c r="K101" s="2"/>
      <c r="L101" s="2"/>
      <c r="M101" s="2"/>
      <c r="N101" s="2" t="str">
        <f>'QBO Transactions'!$Y103</f>
        <v>100- Operations:110- G&amp;A</v>
      </c>
      <c r="O101" s="2"/>
      <c r="P101" s="2"/>
      <c r="Q101" s="2" t="str">
        <f>'QBO Transactions'!$T103</f>
        <v>One Seaport Garage MASTERCARD-XXXXXXH1JO6G-Kevin Ebert</v>
      </c>
      <c r="R101" s="2"/>
      <c r="S101" s="2"/>
      <c r="T101" s="2"/>
      <c r="U101" s="2"/>
      <c r="V101" s="2"/>
      <c r="W101" s="2"/>
      <c r="X101" s="2" t="str">
        <f t="shared" si="1"/>
        <v>One Seaport Garage MASTERCARD-XXXXXXH1JO6G-Kevin Ebert</v>
      </c>
      <c r="Y101" s="4">
        <f>'QBO Transactions'!$Q103</f>
        <v>46232</v>
      </c>
      <c r="Z101" s="2"/>
      <c r="AA101" s="2"/>
      <c r="AB101" s="2"/>
      <c r="AC101" s="2"/>
      <c r="AD101" s="2"/>
      <c r="AE101" s="2"/>
    </row>
    <row r="102" spans="1:31" ht="12.75" customHeight="1" x14ac:dyDescent="0.25">
      <c r="A102" s="2"/>
      <c r="B102" s="2" t="str">
        <f>'QBO Transactions'!$U104</f>
        <v>Brex Credit Card</v>
      </c>
      <c r="C102" s="3">
        <f>'QBO Transactions'!$S104</f>
        <v>19.95</v>
      </c>
      <c r="D102" s="2" t="str">
        <f>'QBO Transactions'!$R104</f>
        <v>Food Vendor</v>
      </c>
      <c r="E102" s="2"/>
      <c r="F102" s="3" t="str">
        <f>'QBO Transactions'!$X104</f>
        <v>Cost of Goods Sold:COGS- Travel Expenses:Meals &amp; Entertainment</v>
      </c>
      <c r="G102" s="2"/>
      <c r="H102" s="2"/>
      <c r="I102" s="2"/>
      <c r="J102" s="2"/>
      <c r="K102" s="2"/>
      <c r="L102" s="2"/>
      <c r="M102" s="2"/>
      <c r="N102" s="2" t="str">
        <f>'QBO Transactions'!$Y104</f>
        <v>300- ServiceNow:320- Engineering</v>
      </c>
      <c r="O102" s="2"/>
      <c r="P102" s="2"/>
      <c r="Q102" s="2" t="str">
        <f>'QBO Transactions'!$T104</f>
        <v>THE WILDDUCK MARKET PL MASTERCARD-XXXXXX1E5E3G-Jon Giara</v>
      </c>
      <c r="R102" s="2"/>
      <c r="S102" s="2"/>
      <c r="T102" s="2"/>
      <c r="U102" s="2"/>
      <c r="V102" s="2"/>
      <c r="W102" s="2"/>
      <c r="X102" s="2" t="str">
        <f t="shared" si="1"/>
        <v>THE WILDDUCK MARKET PL MASTERCARD-XXXXXX1E5E3G-Jon Giara</v>
      </c>
      <c r="Y102" s="4">
        <f>'QBO Transactions'!$Q104</f>
        <v>46232</v>
      </c>
      <c r="Z102" s="2"/>
      <c r="AA102" s="2"/>
      <c r="AB102" s="2"/>
      <c r="AC102" s="2"/>
      <c r="AD102" s="2"/>
      <c r="AE102" s="2"/>
    </row>
    <row r="103" spans="1:31" ht="12.75" customHeight="1" x14ac:dyDescent="0.25">
      <c r="A103" s="2"/>
      <c r="B103" s="2" t="str">
        <f>'QBO Transactions'!$U105</f>
        <v>Brex Credit Card</v>
      </c>
      <c r="C103" s="3">
        <f>'QBO Transactions'!$S105</f>
        <v>28.96</v>
      </c>
      <c r="D103" s="2" t="str">
        <f>'QBO Transactions'!$R105</f>
        <v>Uber</v>
      </c>
      <c r="E103" s="2"/>
      <c r="F103" s="3" t="str">
        <f>'QBO Transactions'!$X105</f>
        <v>Cost of Goods Sold:COGS- Travel Expenses:Ground Transportation</v>
      </c>
      <c r="G103" s="2"/>
      <c r="H103" s="2"/>
      <c r="I103" s="2"/>
      <c r="J103" s="2"/>
      <c r="K103" s="2"/>
      <c r="L103" s="2"/>
      <c r="M103" s="2"/>
      <c r="N103" s="2" t="str">
        <f>'QBO Transactions'!$Y105</f>
        <v>300- ServiceNow:320- Engineering</v>
      </c>
      <c r="O103" s="2"/>
      <c r="P103" s="2"/>
      <c r="Q103" s="2" t="str">
        <f>'QBO Transactions'!$T105</f>
        <v>UBER   *TRIP MASTERCARD-XXXXXXRGUIDP-Robert Kolosky</v>
      </c>
      <c r="R103" s="2"/>
      <c r="S103" s="2"/>
      <c r="T103" s="2"/>
      <c r="U103" s="2"/>
      <c r="V103" s="2"/>
      <c r="W103" s="2"/>
      <c r="X103" s="2" t="str">
        <f t="shared" si="1"/>
        <v>UBER   *TRIP MASTERCARD-XXXXXXRGUIDP-Robert Kolosky</v>
      </c>
      <c r="Y103" s="4">
        <f>'QBO Transactions'!$Q105</f>
        <v>46232</v>
      </c>
      <c r="Z103" s="2"/>
      <c r="AA103" s="2"/>
      <c r="AB103" s="2"/>
      <c r="AC103" s="2"/>
      <c r="AD103" s="2"/>
      <c r="AE103" s="2"/>
    </row>
    <row r="104" spans="1:31" ht="12.75" customHeight="1" x14ac:dyDescent="0.25">
      <c r="A104" s="2"/>
      <c r="B104" s="2" t="str">
        <f>'QBO Transactions'!$U106</f>
        <v>Brex Credit Card</v>
      </c>
      <c r="C104" s="3">
        <f>'QBO Transactions'!$S106</f>
        <v>23.98</v>
      </c>
      <c r="D104" s="2" t="str">
        <f>'QBO Transactions'!$R106</f>
        <v>Uber</v>
      </c>
      <c r="E104" s="2"/>
      <c r="F104" s="3" t="str">
        <f>'QBO Transactions'!$X106</f>
        <v>Cost of Goods Sold:COGS- Travel Expenses:Ground Transportation</v>
      </c>
      <c r="G104" s="2"/>
      <c r="H104" s="2"/>
      <c r="I104" s="2"/>
      <c r="J104" s="2"/>
      <c r="K104" s="2"/>
      <c r="L104" s="2"/>
      <c r="M104" s="2"/>
      <c r="N104" s="2" t="str">
        <f>'QBO Transactions'!$Y106</f>
        <v>300- ServiceNow:320- Engineering</v>
      </c>
      <c r="O104" s="2"/>
      <c r="P104" s="2"/>
      <c r="Q104" s="2" t="str">
        <f>'QBO Transactions'!$T106</f>
        <v>UBER   *TRIP MASTERCARD-XXXXXXUIUXP7-Ben Savage</v>
      </c>
      <c r="R104" s="2"/>
      <c r="S104" s="2"/>
      <c r="T104" s="2"/>
      <c r="U104" s="2"/>
      <c r="V104" s="2"/>
      <c r="W104" s="2"/>
      <c r="X104" s="2" t="str">
        <f t="shared" si="1"/>
        <v>UBER   *TRIP MASTERCARD-XXXXXXUIUXP7-Ben Savage</v>
      </c>
      <c r="Y104" s="4">
        <f>'QBO Transactions'!$Q106</f>
        <v>46233</v>
      </c>
      <c r="Z104" s="2"/>
      <c r="AA104" s="2"/>
      <c r="AB104" s="2"/>
      <c r="AC104" s="2"/>
      <c r="AD104" s="2"/>
      <c r="AE104" s="2"/>
    </row>
    <row r="105" spans="1:31" ht="12.75" customHeight="1" x14ac:dyDescent="0.25">
      <c r="A105" s="2"/>
      <c r="B105" s="2" t="str">
        <f>'QBO Transactions'!$U107</f>
        <v>Brex Credit Card</v>
      </c>
      <c r="C105" s="3">
        <f>'QBO Transactions'!$S107</f>
        <v>387.42</v>
      </c>
      <c r="D105" s="2" t="str">
        <f>'QBO Transactions'!$R107</f>
        <v>Food Vendor</v>
      </c>
      <c r="E105" s="2"/>
      <c r="F105" s="3" t="str">
        <f>'QBO Transactions'!$X107</f>
        <v>Sales &amp; Marketing:Sales &amp; Marketing- Travel Expenses:Meals &amp; Entertainment</v>
      </c>
      <c r="G105" s="2"/>
      <c r="H105" s="2"/>
      <c r="I105" s="2"/>
      <c r="J105" s="2"/>
      <c r="K105" s="2"/>
      <c r="L105" s="2"/>
      <c r="M105" s="2"/>
      <c r="N105" s="2" t="str">
        <f>'QBO Transactions'!$Y107</f>
        <v>300- ServiceNow:330- Sales</v>
      </c>
      <c r="O105" s="2"/>
      <c r="P105" s="2"/>
      <c r="Q105" s="2" t="str">
        <f>'QBO Transactions'!$T107</f>
        <v>TST* LIMANI SEAPORT PO MASTERCARD-XXXXXX2G9W23-Matt Hyman</v>
      </c>
      <c r="R105" s="2"/>
      <c r="S105" s="2"/>
      <c r="T105" s="2"/>
      <c r="U105" s="2"/>
      <c r="V105" s="2"/>
      <c r="W105" s="2"/>
      <c r="X105" s="2" t="str">
        <f t="shared" si="1"/>
        <v>TST* LIMANI SEAPORT PO MASTERCARD-XXXXXX2G9W23-Matt Hyman</v>
      </c>
      <c r="Y105" s="4">
        <f>'QBO Transactions'!$Q107</f>
        <v>46232</v>
      </c>
      <c r="Z105" s="2"/>
      <c r="AA105" s="2"/>
      <c r="AB105" s="2"/>
      <c r="AC105" s="2"/>
      <c r="AD105" s="2"/>
      <c r="AE105" s="2"/>
    </row>
    <row r="106" spans="1:31" ht="12.75" customHeight="1" x14ac:dyDescent="0.25">
      <c r="A106" s="2"/>
      <c r="B106" s="2" t="str">
        <f>'QBO Transactions'!$U108</f>
        <v>Brex Credit Card</v>
      </c>
      <c r="C106" s="3">
        <f>'QBO Transactions'!$S108</f>
        <v>58</v>
      </c>
      <c r="D106" s="2" t="str">
        <f>'QBO Transactions'!$R108</f>
        <v>Uber</v>
      </c>
      <c r="E106" s="2"/>
      <c r="F106" s="3" t="str">
        <f>'QBO Transactions'!$X108</f>
        <v>General &amp; Administrative:G&amp;A- Travel Expenses:Ground Transportation</v>
      </c>
      <c r="G106" s="2"/>
      <c r="H106" s="2"/>
      <c r="I106" s="2"/>
      <c r="J106" s="2"/>
      <c r="K106" s="2"/>
      <c r="L106" s="2"/>
      <c r="M106" s="2"/>
      <c r="N106" s="2" t="str">
        <f>'QBO Transactions'!$Y108</f>
        <v>300- ServiceNow:320- Engineering</v>
      </c>
      <c r="O106" s="2"/>
      <c r="P106" s="2"/>
      <c r="Q106" s="2" t="str">
        <f>'QBO Transactions'!$T108</f>
        <v>UBER *TRIP HELP.UBER.C MASTERCARD-XXXXXXXY7DME-Daniel Blauvelt</v>
      </c>
      <c r="R106" s="2"/>
      <c r="S106" s="2"/>
      <c r="T106" s="2"/>
      <c r="U106" s="2"/>
      <c r="V106" s="2"/>
      <c r="W106" s="2"/>
      <c r="X106" s="2" t="str">
        <f t="shared" si="1"/>
        <v>UBER *TRIP HELP.UBER.C MASTERCARD-XXXXXXXY7DME-Daniel Blauvelt</v>
      </c>
      <c r="Y106" s="4">
        <f>'QBO Transactions'!$Q108</f>
        <v>46232</v>
      </c>
      <c r="Z106" s="2"/>
      <c r="AA106" s="2"/>
      <c r="AB106" s="2"/>
      <c r="AC106" s="2"/>
      <c r="AD106" s="2"/>
      <c r="AE106" s="2"/>
    </row>
    <row r="107" spans="1:31" ht="12.75" customHeight="1" x14ac:dyDescent="0.25">
      <c r="A107" s="2"/>
      <c r="B107" s="2" t="str">
        <f>'QBO Transactions'!$U109</f>
        <v>Brex Credit Card</v>
      </c>
      <c r="C107" s="3">
        <f>'QBO Transactions'!$S109</f>
        <v>20.54</v>
      </c>
      <c r="D107" s="2" t="str">
        <f>'QBO Transactions'!$R109</f>
        <v>Food Vendor</v>
      </c>
      <c r="E107" s="2"/>
      <c r="F107" s="3" t="str">
        <f>'QBO Transactions'!$X109</f>
        <v>Sales &amp; Marketing:Sales &amp; Marketing- Travel Expenses:Meals &amp; Entertainment</v>
      </c>
      <c r="G107" s="2"/>
      <c r="H107" s="2"/>
      <c r="I107" s="2"/>
      <c r="J107" s="2"/>
      <c r="K107" s="2"/>
      <c r="L107" s="2"/>
      <c r="M107" s="2"/>
      <c r="N107" s="2" t="str">
        <f>'QBO Transactions'!$Y109</f>
        <v>200- Datadog:230- Sales</v>
      </c>
      <c r="O107" s="2"/>
      <c r="P107" s="2"/>
      <c r="Q107" s="2" t="str">
        <f>'QBO Transactions'!$T109</f>
        <v>SQ *CISCO BREWERS, INC MASTERCARD-XXXXXXOQO3Z0-Tyler Grimshaw</v>
      </c>
      <c r="R107" s="2"/>
      <c r="S107" s="2"/>
      <c r="T107" s="2"/>
      <c r="U107" s="2"/>
      <c r="V107" s="2"/>
      <c r="W107" s="2"/>
      <c r="X107" s="2" t="str">
        <f t="shared" si="1"/>
        <v>SQ *CISCO BREWERS, INC MASTERCARD-XXXXXXOQO3Z0-Tyler Grimshaw</v>
      </c>
      <c r="Y107" s="4">
        <f>'QBO Transactions'!$Q109</f>
        <v>46232</v>
      </c>
      <c r="Z107" s="2"/>
      <c r="AA107" s="2"/>
      <c r="AB107" s="2"/>
      <c r="AC107" s="2"/>
      <c r="AD107" s="2"/>
      <c r="AE107" s="2"/>
    </row>
    <row r="108" spans="1:31" ht="12.75" customHeight="1" x14ac:dyDescent="0.25">
      <c r="A108" s="2"/>
      <c r="B108" s="2" t="str">
        <f>'QBO Transactions'!$U110</f>
        <v>Brex Credit Card</v>
      </c>
      <c r="C108" s="3">
        <f>'QBO Transactions'!$S110</f>
        <v>33.56</v>
      </c>
      <c r="D108" s="2" t="str">
        <f>'QBO Transactions'!$R110</f>
        <v>Lyft</v>
      </c>
      <c r="E108" s="2"/>
      <c r="F108" s="3" t="str">
        <f>'QBO Transactions'!$X110</f>
        <v>Sales &amp; Marketing:Sales &amp; Marketing- Travel Expenses:Ground Transportation</v>
      </c>
      <c r="G108" s="2"/>
      <c r="H108" s="2"/>
      <c r="I108" s="2"/>
      <c r="J108" s="2"/>
      <c r="K108" s="2"/>
      <c r="L108" s="2"/>
      <c r="M108" s="2"/>
      <c r="N108" s="2" t="str">
        <f>'QBO Transactions'!$Y110</f>
        <v>200- Datadog:230- Sales</v>
      </c>
      <c r="O108" s="2"/>
      <c r="P108" s="2"/>
      <c r="Q108" s="2" t="str">
        <f>'QBO Transactions'!$T110</f>
        <v>LYFT   *BLK RIDE 07-28 MASTERCARD-XXXXXX36GOEB-Tyler Grimshaw</v>
      </c>
      <c r="R108" s="2"/>
      <c r="S108" s="2"/>
      <c r="T108" s="2"/>
      <c r="U108" s="2"/>
      <c r="V108" s="2"/>
      <c r="W108" s="2"/>
      <c r="X108" s="2" t="str">
        <f t="shared" si="1"/>
        <v>LYFT   *BLK RIDE 07-28 MASTERCARD-XXXXXX36GOEB-Tyler Grimshaw</v>
      </c>
      <c r="Y108" s="4">
        <f>'QBO Transactions'!$Q110</f>
        <v>46233</v>
      </c>
      <c r="Z108" s="2"/>
      <c r="AA108" s="2"/>
      <c r="AB108" s="2"/>
      <c r="AC108" s="2"/>
      <c r="AD108" s="2"/>
      <c r="AE108" s="2"/>
    </row>
    <row r="109" spans="1:31" ht="12.75" customHeight="1" x14ac:dyDescent="0.25">
      <c r="A109" s="2"/>
      <c r="B109" s="2" t="str">
        <f>'QBO Transactions'!$U111</f>
        <v>Brex Credit Card</v>
      </c>
      <c r="C109" s="3">
        <f>'QBO Transactions'!$S111</f>
        <v>28.83</v>
      </c>
      <c r="D109" s="2" t="str">
        <f>'QBO Transactions'!$R111</f>
        <v>Uber</v>
      </c>
      <c r="E109" s="2"/>
      <c r="F109" s="3" t="str">
        <f>'QBO Transactions'!$X111</f>
        <v>Cost of Goods Sold:COGS- Travel Expenses:Ground Transportation</v>
      </c>
      <c r="G109" s="2"/>
      <c r="H109" s="2"/>
      <c r="I109" s="2"/>
      <c r="J109" s="2"/>
      <c r="K109" s="2"/>
      <c r="L109" s="2"/>
      <c r="M109" s="2"/>
      <c r="N109" s="2" t="str">
        <f>'QBO Transactions'!$Y111</f>
        <v>300- ServiceNow:310- Delivery</v>
      </c>
      <c r="O109" s="2"/>
      <c r="P109" s="2"/>
      <c r="Q109" s="2" t="str">
        <f>'QBO Transactions'!$T111</f>
        <v>UBER   *TRIP MASTERCARD-XXXXXXL48426-Paulina Mateo</v>
      </c>
      <c r="R109" s="2"/>
      <c r="S109" s="2"/>
      <c r="T109" s="2"/>
      <c r="U109" s="2"/>
      <c r="V109" s="2"/>
      <c r="W109" s="2"/>
      <c r="X109" s="2" t="str">
        <f t="shared" si="1"/>
        <v>UBER   *TRIP MASTERCARD-XXXXXXL48426-Paulina Mateo</v>
      </c>
      <c r="Y109" s="4">
        <f>'QBO Transactions'!$Q111</f>
        <v>46232</v>
      </c>
      <c r="Z109" s="2"/>
      <c r="AA109" s="2"/>
      <c r="AB109" s="2"/>
      <c r="AC109" s="2"/>
      <c r="AD109" s="2"/>
      <c r="AE109" s="2"/>
    </row>
    <row r="110" spans="1:31" ht="12.75" customHeight="1" x14ac:dyDescent="0.25">
      <c r="A110" s="2"/>
      <c r="B110" s="2" t="str">
        <f>'QBO Transactions'!$U112</f>
        <v>Brex Credit Card</v>
      </c>
      <c r="C110" s="3">
        <f>'QBO Transactions'!$S112</f>
        <v>5254.13</v>
      </c>
      <c r="D110" s="2" t="str">
        <f>'QBO Transactions'!$R112</f>
        <v>Food Vendor</v>
      </c>
      <c r="E110" s="2"/>
      <c r="F110" s="3" t="str">
        <f>'QBO Transactions'!$X112</f>
        <v>General &amp; Administrative:G&amp;A- Travel Expenses:Meals &amp; Entertainment</v>
      </c>
      <c r="G110" s="2"/>
      <c r="H110" s="2"/>
      <c r="I110" s="2"/>
      <c r="J110" s="2"/>
      <c r="K110" s="2"/>
      <c r="L110" s="2"/>
      <c r="M110" s="2"/>
      <c r="N110" s="2" t="str">
        <f>'QBO Transactions'!$Y112</f>
        <v>100- Operations:110- G&amp;A</v>
      </c>
      <c r="O110" s="2"/>
      <c r="P110" s="2"/>
      <c r="Q110" s="2" t="str">
        <f>'QBO Transactions'!$T112</f>
        <v>SQ *CISCO BREWERS, INC MASTERCARD-XXXXXXHT0QCW-Mickenzi Krpec</v>
      </c>
      <c r="R110" s="2"/>
      <c r="S110" s="2"/>
      <c r="T110" s="2"/>
      <c r="U110" s="2"/>
      <c r="V110" s="2"/>
      <c r="W110" s="2"/>
      <c r="X110" s="2" t="str">
        <f t="shared" si="1"/>
        <v>SQ *CISCO BREWERS, INC MASTERCARD-XXXXXXHT0QCW-Mickenzi Krpec</v>
      </c>
      <c r="Y110" s="4">
        <f>'QBO Transactions'!$Q112</f>
        <v>46232</v>
      </c>
      <c r="Z110" s="2"/>
      <c r="AA110" s="2"/>
      <c r="AB110" s="2"/>
      <c r="AC110" s="2"/>
      <c r="AD110" s="2"/>
      <c r="AE110" s="2"/>
    </row>
    <row r="111" spans="1:31" ht="12.75" customHeight="1" x14ac:dyDescent="0.25">
      <c r="A111" s="2"/>
      <c r="B111" s="2" t="str">
        <f>'QBO Transactions'!$U113</f>
        <v>Brex Credit Card</v>
      </c>
      <c r="C111" s="3">
        <f>'QBO Transactions'!$S113</f>
        <v>14.36</v>
      </c>
      <c r="D111" s="2" t="str">
        <f>'QBO Transactions'!$R113</f>
        <v>Lyft</v>
      </c>
      <c r="E111" s="2"/>
      <c r="F111" s="3" t="str">
        <f>'QBO Transactions'!$X113</f>
        <v>General &amp; Administrative:G&amp;A- Travel Expenses:Ground Transportation</v>
      </c>
      <c r="G111" s="2"/>
      <c r="H111" s="2"/>
      <c r="I111" s="2"/>
      <c r="J111" s="2"/>
      <c r="K111" s="2"/>
      <c r="L111" s="2"/>
      <c r="M111" s="2"/>
      <c r="N111" s="2" t="str">
        <f>'QBO Transactions'!$Y113</f>
        <v>300- ServiceNow:320- Engineering</v>
      </c>
      <c r="O111" s="2"/>
      <c r="P111" s="2"/>
      <c r="Q111" s="2" t="str">
        <f>'QBO Transactions'!$T113</f>
        <v>LYFT   *STANDARD 07-28 MASTERCARD-XXXXXXI7T7HG-Darshilkumar Shah</v>
      </c>
      <c r="R111" s="2"/>
      <c r="S111" s="2"/>
      <c r="T111" s="2"/>
      <c r="U111" s="2"/>
      <c r="V111" s="2"/>
      <c r="W111" s="2"/>
      <c r="X111" s="2" t="str">
        <f t="shared" si="1"/>
        <v>LYFT   *STANDARD 07-28 MASTERCARD-XXXXXXI7T7HG-Darshilkumar Shah</v>
      </c>
      <c r="Y111" s="4">
        <f>'QBO Transactions'!$Q113</f>
        <v>46233</v>
      </c>
      <c r="Z111" s="2"/>
      <c r="AA111" s="2"/>
      <c r="AB111" s="2"/>
      <c r="AC111" s="2"/>
      <c r="AD111" s="2"/>
      <c r="AE111" s="2"/>
    </row>
    <row r="112" spans="1:31" ht="12.75" customHeight="1" x14ac:dyDescent="0.25">
      <c r="A112" s="2"/>
      <c r="B112" s="2" t="str">
        <f>'QBO Transactions'!$U114</f>
        <v>Brex Credit Card</v>
      </c>
      <c r="C112" s="3">
        <f>'QBO Transactions'!$S114</f>
        <v>1000</v>
      </c>
      <c r="D112" s="2" t="str">
        <f>'QBO Transactions'!$R114</f>
        <v>Travel Vendor</v>
      </c>
      <c r="E112" s="2"/>
      <c r="F112" s="3" t="str">
        <f>'QBO Transactions'!$X114</f>
        <v>Cost of Goods Sold:COGS- Travel Expenses:Meals &amp; Entertainment</v>
      </c>
      <c r="G112" s="2"/>
      <c r="H112" s="2"/>
      <c r="I112" s="2"/>
      <c r="J112" s="2"/>
      <c r="K112" s="2"/>
      <c r="L112" s="2"/>
      <c r="M112" s="2"/>
      <c r="N112" s="2" t="str">
        <f>'QBO Transactions'!$Y114</f>
        <v>200- Datadog:210- Delivery</v>
      </c>
      <c r="O112" s="2"/>
      <c r="P112" s="2"/>
      <c r="Q112" s="2" t="str">
        <f>'QBO Transactions'!$T114</f>
        <v>WWW.VIVAKARAOKE.COM MASTERCARD-XXXXXXVJVT6A-Daniel Hamilton</v>
      </c>
      <c r="R112" s="2"/>
      <c r="S112" s="2"/>
      <c r="T112" s="2"/>
      <c r="U112" s="2"/>
      <c r="V112" s="2"/>
      <c r="W112" s="2"/>
      <c r="X112" s="2" t="str">
        <f t="shared" si="1"/>
        <v>WWW.VIVAKARAOKE.COM MASTERCARD-XXXXXXVJVT6A-Daniel Hamilton</v>
      </c>
      <c r="Y112" s="4">
        <f>'QBO Transactions'!$Q114</f>
        <v>46232</v>
      </c>
      <c r="Z112" s="2"/>
      <c r="AA112" s="2"/>
      <c r="AB112" s="2"/>
      <c r="AC112" s="2"/>
      <c r="AD112" s="2"/>
      <c r="AE112" s="2"/>
    </row>
    <row r="113" spans="1:31" ht="12.75" customHeight="1" x14ac:dyDescent="0.25">
      <c r="A113" s="2"/>
      <c r="B113" s="2" t="str">
        <f>'QBO Transactions'!$U115</f>
        <v>Brex Credit Card</v>
      </c>
      <c r="C113" s="3">
        <f>'QBO Transactions'!$S115</f>
        <v>30.38</v>
      </c>
      <c r="D113" s="2" t="str">
        <f>'QBO Transactions'!$R115</f>
        <v>Uber</v>
      </c>
      <c r="E113" s="2"/>
      <c r="F113" s="3" t="str">
        <f>'QBO Transactions'!$X115</f>
        <v>Sales &amp; Marketing:Sales &amp; Marketing- Travel Expenses:Ground Transportation</v>
      </c>
      <c r="G113" s="2"/>
      <c r="H113" s="2"/>
      <c r="I113" s="2"/>
      <c r="J113" s="2"/>
      <c r="K113" s="2"/>
      <c r="L113" s="2"/>
      <c r="M113" s="2"/>
      <c r="N113" s="2" t="str">
        <f>'QBO Transactions'!$Y115</f>
        <v>200- Datadog:230- Sales</v>
      </c>
      <c r="O113" s="2"/>
      <c r="P113" s="2"/>
      <c r="Q113" s="2" t="str">
        <f>'QBO Transactions'!$T115</f>
        <v>UBER   *TRIP MASTERCARD-XXXXXXZV7YI5-Dean DeMonte</v>
      </c>
      <c r="R113" s="2"/>
      <c r="S113" s="2"/>
      <c r="T113" s="2"/>
      <c r="U113" s="2"/>
      <c r="V113" s="2"/>
      <c r="W113" s="2"/>
      <c r="X113" s="2" t="str">
        <f t="shared" si="1"/>
        <v>UBER   *TRIP MASTERCARD-XXXXXXZV7YI5-Dean DeMonte</v>
      </c>
      <c r="Y113" s="4">
        <f>'QBO Transactions'!$Q115</f>
        <v>46233</v>
      </c>
      <c r="Z113" s="2"/>
      <c r="AA113" s="2"/>
      <c r="AB113" s="2"/>
      <c r="AC113" s="2"/>
      <c r="AD113" s="2"/>
      <c r="AE113" s="2"/>
    </row>
    <row r="114" spans="1:31" ht="12.75" customHeight="1" x14ac:dyDescent="0.25">
      <c r="A114" s="2"/>
      <c r="B114" s="2" t="str">
        <f>'QBO Transactions'!$U116</f>
        <v>Brex Credit Card</v>
      </c>
      <c r="C114" s="3">
        <f>'QBO Transactions'!$S116</f>
        <v>36</v>
      </c>
      <c r="D114" s="2" t="str">
        <f>'QBO Transactions'!$R116</f>
        <v>Travel Vendor</v>
      </c>
      <c r="E114" s="2"/>
      <c r="F114" s="3" t="str">
        <f>'QBO Transactions'!$X116</f>
        <v>Cost of Goods Sold:COGS- Travel Expenses:Other Travel Expenses</v>
      </c>
      <c r="G114" s="2"/>
      <c r="H114" s="2"/>
      <c r="I114" s="2"/>
      <c r="J114" s="2"/>
      <c r="K114" s="2"/>
      <c r="L114" s="2"/>
      <c r="M114" s="2"/>
      <c r="N114" s="2" t="str">
        <f>'QBO Transactions'!$Y116</f>
        <v>200- Datadog:220- Engineering</v>
      </c>
      <c r="O114" s="2"/>
      <c r="P114" s="2"/>
      <c r="Q114" s="2" t="str">
        <f>'QBO Transactions'!$T116</f>
        <v>PPL - 100 NORTHERN AVE MASTERCARD-XXXXXXKLTL3V-Daniel Roy</v>
      </c>
      <c r="R114" s="2"/>
      <c r="S114" s="2"/>
      <c r="T114" s="2"/>
      <c r="U114" s="2"/>
      <c r="V114" s="2"/>
      <c r="W114" s="2"/>
      <c r="X114" s="2" t="str">
        <f t="shared" si="1"/>
        <v>PPL - 100 NORTHERN AVE MASTERCARD-XXXXXXKLTL3V-Daniel Roy</v>
      </c>
      <c r="Y114" s="4">
        <f>'QBO Transactions'!$Q116</f>
        <v>46232</v>
      </c>
      <c r="Z114" s="2"/>
      <c r="AA114" s="2"/>
      <c r="AB114" s="2"/>
      <c r="AC114" s="2"/>
      <c r="AD114" s="2"/>
      <c r="AE114" s="2"/>
    </row>
    <row r="115" spans="1:31" ht="12.75" customHeight="1" x14ac:dyDescent="0.25">
      <c r="A115" s="2"/>
      <c r="B115" s="2" t="str">
        <f>'QBO Transactions'!$U117</f>
        <v>Brex Credit Card</v>
      </c>
      <c r="C115" s="3">
        <f>'QBO Transactions'!$S117</f>
        <v>9.82</v>
      </c>
      <c r="D115" s="2" t="str">
        <f>'QBO Transactions'!$R117</f>
        <v>Uber</v>
      </c>
      <c r="E115" s="2"/>
      <c r="F115" s="3" t="str">
        <f>'QBO Transactions'!$X117</f>
        <v>General &amp; Administrative:G&amp;A- Travel Expenses:Ground Transportation</v>
      </c>
      <c r="G115" s="2"/>
      <c r="H115" s="2"/>
      <c r="I115" s="2"/>
      <c r="J115" s="2"/>
      <c r="K115" s="2"/>
      <c r="L115" s="2"/>
      <c r="M115" s="2"/>
      <c r="N115" s="2" t="str">
        <f>'QBO Transactions'!$Y117</f>
        <v>100- Operations:110- G&amp;A</v>
      </c>
      <c r="O115" s="2"/>
      <c r="P115" s="2"/>
      <c r="Q115" s="2" t="str">
        <f>'QBO Transactions'!$T117</f>
        <v>UBER   *TRIP MASTERCARD-XXXXXXGAM2K0-Zayn Moselhy</v>
      </c>
      <c r="R115" s="2"/>
      <c r="S115" s="2"/>
      <c r="T115" s="2"/>
      <c r="U115" s="2"/>
      <c r="V115" s="2"/>
      <c r="W115" s="2"/>
      <c r="X115" s="2" t="str">
        <f t="shared" si="1"/>
        <v>UBER   *TRIP MASTERCARD-XXXXXXGAM2K0-Zayn Moselhy</v>
      </c>
      <c r="Y115" s="4">
        <f>'QBO Transactions'!$Q117</f>
        <v>46232</v>
      </c>
      <c r="Z115" s="2"/>
      <c r="AA115" s="2"/>
      <c r="AB115" s="2"/>
      <c r="AC115" s="2"/>
      <c r="AD115" s="2"/>
      <c r="AE115" s="2"/>
    </row>
    <row r="116" spans="1:31" ht="12.75" customHeight="1" x14ac:dyDescent="0.25">
      <c r="A116" s="2"/>
      <c r="B116" s="2" t="str">
        <f>'QBO Transactions'!$U118</f>
        <v>Brex Credit Card</v>
      </c>
      <c r="C116" s="3">
        <f>'QBO Transactions'!$S118</f>
        <v>34.17</v>
      </c>
      <c r="D116" s="2" t="str">
        <f>'QBO Transactions'!$R118</f>
        <v>Uber</v>
      </c>
      <c r="E116" s="2"/>
      <c r="F116" s="3" t="str">
        <f>'QBO Transactions'!$X118</f>
        <v>Sales &amp; Marketing:Sales &amp; Marketing- Travel Expenses:Ground Transportation</v>
      </c>
      <c r="G116" s="2"/>
      <c r="H116" s="2"/>
      <c r="I116" s="2"/>
      <c r="J116" s="2"/>
      <c r="K116" s="2"/>
      <c r="L116" s="2"/>
      <c r="M116" s="2"/>
      <c r="N116" s="2" t="str">
        <f>'QBO Transactions'!$Y118</f>
        <v>200- Datadog:230- Sales</v>
      </c>
      <c r="O116" s="2"/>
      <c r="P116" s="2"/>
      <c r="Q116" s="2" t="str">
        <f>'QBO Transactions'!$T118</f>
        <v>UBER   *TRIP MASTERCARD-XXXXXXQZ6DY8-Ryan Henrich</v>
      </c>
      <c r="R116" s="2"/>
      <c r="S116" s="2"/>
      <c r="T116" s="2"/>
      <c r="U116" s="2"/>
      <c r="V116" s="2"/>
      <c r="W116" s="2"/>
      <c r="X116" s="2" t="str">
        <f t="shared" si="1"/>
        <v>UBER   *TRIP MASTERCARD-XXXXXXQZ6DY8-Ryan Henrich</v>
      </c>
      <c r="Y116" s="4">
        <f>'QBO Transactions'!$Q118</f>
        <v>46233</v>
      </c>
      <c r="Z116" s="2"/>
      <c r="AA116" s="2"/>
      <c r="AB116" s="2"/>
      <c r="AC116" s="2"/>
      <c r="AD116" s="2"/>
      <c r="AE116" s="2"/>
    </row>
    <row r="117" spans="1:31" ht="12.75" customHeight="1" x14ac:dyDescent="0.25">
      <c r="A117" s="2"/>
      <c r="B117" s="2" t="str">
        <f>'QBO Transactions'!$U119</f>
        <v>Brex Credit Card</v>
      </c>
      <c r="C117" s="3">
        <f>'QBO Transactions'!$S119</f>
        <v>22</v>
      </c>
      <c r="D117" s="2" t="str">
        <f>'QBO Transactions'!$R119</f>
        <v>Travel Vendor</v>
      </c>
      <c r="E117" s="2"/>
      <c r="F117" s="3" t="str">
        <f>'QBO Transactions'!$X119</f>
        <v>General &amp; Administrative:G&amp;A- Travel Expenses:Other Travel Expenses</v>
      </c>
      <c r="G117" s="2"/>
      <c r="H117" s="2"/>
      <c r="I117" s="2"/>
      <c r="J117" s="2"/>
      <c r="K117" s="2"/>
      <c r="L117" s="2"/>
      <c r="M117" s="2"/>
      <c r="N117" s="2" t="str">
        <f>'QBO Transactions'!$Y119</f>
        <v>300- ServiceNow:320- Engineering</v>
      </c>
      <c r="O117" s="2"/>
      <c r="P117" s="2"/>
      <c r="Q117" s="2" t="str">
        <f>'QBO Transactions'!$T119</f>
        <v>ALYX SOUTH GARAGE MASTERCARD-XXXXXXSW87IH-Elias Kapetanopoulos</v>
      </c>
      <c r="R117" s="2"/>
      <c r="S117" s="2"/>
      <c r="T117" s="2"/>
      <c r="U117" s="2"/>
      <c r="V117" s="2"/>
      <c r="W117" s="2"/>
      <c r="X117" s="2" t="str">
        <f t="shared" si="1"/>
        <v>ALYX SOUTH GARAGE MASTERCARD-XXXXXXSW87IH-Elias Kapetanopoulos</v>
      </c>
      <c r="Y117" s="4">
        <f>'QBO Transactions'!$Q119</f>
        <v>46233</v>
      </c>
      <c r="Z117" s="2"/>
      <c r="AA117" s="2"/>
      <c r="AB117" s="2"/>
      <c r="AC117" s="2"/>
      <c r="AD117" s="2"/>
      <c r="AE117" s="2"/>
    </row>
    <row r="118" spans="1:31" ht="12.75" customHeight="1" x14ac:dyDescent="0.25">
      <c r="A118" s="2"/>
      <c r="B118" s="2" t="str">
        <f>'QBO Transactions'!$U120</f>
        <v>Brex Credit Card</v>
      </c>
      <c r="C118" s="3">
        <f>'QBO Transactions'!$S120</f>
        <v>53.58</v>
      </c>
      <c r="D118" s="2" t="str">
        <f>'QBO Transactions'!$R120</f>
        <v>Door Dash</v>
      </c>
      <c r="E118" s="2"/>
      <c r="F118" s="3" t="str">
        <f>'QBO Transactions'!$X120</f>
        <v>Cost of Goods Sold:COGS- Travel Expenses:Meals &amp; Entertainment</v>
      </c>
      <c r="G118" s="2"/>
      <c r="H118" s="2"/>
      <c r="I118" s="2"/>
      <c r="J118" s="2"/>
      <c r="K118" s="2"/>
      <c r="L118" s="2"/>
      <c r="M118" s="2"/>
      <c r="N118" s="2" t="str">
        <f>'QBO Transactions'!$Y120</f>
        <v>300- ServiceNow:320- Engineering</v>
      </c>
      <c r="O118" s="2"/>
      <c r="P118" s="2"/>
      <c r="Q118" s="2" t="str">
        <f>'QBO Transactions'!$T120</f>
        <v>DD *DOORDASH THEKOSHER MASTERCARD-XXXXXXPRK522-Israel Baral</v>
      </c>
      <c r="R118" s="2"/>
      <c r="S118" s="2"/>
      <c r="T118" s="2"/>
      <c r="U118" s="2"/>
      <c r="V118" s="2"/>
      <c r="W118" s="2"/>
      <c r="X118" s="2" t="str">
        <f t="shared" si="1"/>
        <v>DD *DOORDASH THEKOSHER MASTERCARD-XXXXXXPRK522-Israel Baral</v>
      </c>
      <c r="Y118" s="4">
        <f>'QBO Transactions'!$Q120</f>
        <v>46233</v>
      </c>
      <c r="Z118" s="2"/>
      <c r="AA118" s="2"/>
      <c r="AB118" s="2"/>
      <c r="AC118" s="2"/>
      <c r="AD118" s="2"/>
      <c r="AE118" s="2"/>
    </row>
    <row r="119" spans="1:31" ht="12.75" customHeight="1" x14ac:dyDescent="0.25">
      <c r="A119" s="2"/>
      <c r="B119" s="2" t="str">
        <f>'QBO Transactions'!$U121</f>
        <v>Brex Credit Card</v>
      </c>
      <c r="C119" s="3">
        <f>'QBO Transactions'!$S121</f>
        <v>15.25</v>
      </c>
      <c r="D119" s="2" t="str">
        <f>'QBO Transactions'!$R121</f>
        <v>Lyft</v>
      </c>
      <c r="E119" s="2"/>
      <c r="F119" s="3" t="str">
        <f>'QBO Transactions'!$X121</f>
        <v>General &amp; Administrative:G&amp;A- Travel Expenses:Ground Transportation</v>
      </c>
      <c r="G119" s="2"/>
      <c r="H119" s="2"/>
      <c r="I119" s="2"/>
      <c r="J119" s="2"/>
      <c r="K119" s="2"/>
      <c r="L119" s="2"/>
      <c r="M119" s="2"/>
      <c r="N119" s="2" t="str">
        <f>'QBO Transactions'!$Y121</f>
        <v>300- ServiceNow:320- Engineering</v>
      </c>
      <c r="O119" s="2"/>
      <c r="P119" s="2"/>
      <c r="Q119" s="2" t="str">
        <f>'QBO Transactions'!$T121</f>
        <v>LYFT   *1 RIDE 07-28 MASTERCARD-XXXXXXF8PRVN-Sakshi Sasalate</v>
      </c>
      <c r="R119" s="2"/>
      <c r="S119" s="2"/>
      <c r="T119" s="2"/>
      <c r="U119" s="2"/>
      <c r="V119" s="2"/>
      <c r="W119" s="2"/>
      <c r="X119" s="2" t="str">
        <f t="shared" si="1"/>
        <v>LYFT   *1 RIDE 07-28 MASTERCARD-XXXXXXF8PRVN-Sakshi Sasalate</v>
      </c>
      <c r="Y119" s="4">
        <f>'QBO Transactions'!$Q121</f>
        <v>46233</v>
      </c>
      <c r="Z119" s="2"/>
      <c r="AA119" s="2"/>
      <c r="AB119" s="2"/>
      <c r="AC119" s="2"/>
      <c r="AD119" s="2"/>
      <c r="AE119" s="2"/>
    </row>
    <row r="120" spans="1:31" ht="12.75" customHeight="1" x14ac:dyDescent="0.25">
      <c r="A120" s="2"/>
      <c r="B120" s="2" t="str">
        <f>'QBO Transactions'!$U122</f>
        <v>Brex Credit Card</v>
      </c>
      <c r="C120" s="3">
        <f>'QBO Transactions'!$S122</f>
        <v>15.84</v>
      </c>
      <c r="D120" s="2" t="str">
        <f>'QBO Transactions'!$R122</f>
        <v>Chipotle</v>
      </c>
      <c r="E120" s="2"/>
      <c r="F120" s="3" t="str">
        <f>'QBO Transactions'!$X122</f>
        <v>Cost of Goods Sold:COGS- Travel Expenses:Meals &amp; Entertainment</v>
      </c>
      <c r="G120" s="2"/>
      <c r="H120" s="2"/>
      <c r="I120" s="2"/>
      <c r="J120" s="2"/>
      <c r="K120" s="2"/>
      <c r="L120" s="2"/>
      <c r="M120" s="2"/>
      <c r="N120" s="2" t="str">
        <f>'QBO Transactions'!$Y122</f>
        <v>300- ServiceNow:320- Engineering</v>
      </c>
      <c r="O120" s="2"/>
      <c r="P120" s="2"/>
      <c r="Q120" s="2" t="str">
        <f>'QBO Transactions'!$T122</f>
        <v>CHIPOTLE 2341 MASTERCARD-XXXXXXNVGH1J-Tanner Ylvisaker</v>
      </c>
      <c r="R120" s="2"/>
      <c r="S120" s="2"/>
      <c r="T120" s="2"/>
      <c r="U120" s="2"/>
      <c r="V120" s="2"/>
      <c r="W120" s="2"/>
      <c r="X120" s="2" t="str">
        <f t="shared" si="1"/>
        <v>CHIPOTLE 2341 MASTERCARD-XXXXXXNVGH1J-Tanner Ylvisaker</v>
      </c>
      <c r="Y120" s="4">
        <f>'QBO Transactions'!$Q122</f>
        <v>46232</v>
      </c>
      <c r="Z120" s="2"/>
      <c r="AA120" s="2"/>
      <c r="AB120" s="2"/>
      <c r="AC120" s="2"/>
      <c r="AD120" s="2"/>
      <c r="AE120" s="2"/>
    </row>
    <row r="121" spans="1:31" ht="12.75" customHeight="1" x14ac:dyDescent="0.25">
      <c r="A121" s="2"/>
      <c r="B121" s="2" t="str">
        <f>'QBO Transactions'!$U123</f>
        <v>Brex Credit Card</v>
      </c>
      <c r="C121" s="3">
        <f>'QBO Transactions'!$S123</f>
        <v>36.26</v>
      </c>
      <c r="D121" s="2" t="str">
        <f>'QBO Transactions'!$R123</f>
        <v>Allianz</v>
      </c>
      <c r="E121" s="2"/>
      <c r="F121" s="3" t="str">
        <f>'QBO Transactions'!$X123</f>
        <v>Sales &amp; Marketing:Sales &amp; Marketing- Travel Expenses:Other Travel Expenses</v>
      </c>
      <c r="G121" s="2"/>
      <c r="H121" s="2"/>
      <c r="I121" s="2"/>
      <c r="J121" s="2"/>
      <c r="K121" s="2"/>
      <c r="L121" s="2"/>
      <c r="M121" s="2"/>
      <c r="N121" s="2" t="str">
        <f>'QBO Transactions'!$Y123</f>
        <v>300- ServiceNow:330- Sales</v>
      </c>
      <c r="O121" s="2"/>
      <c r="P121" s="2"/>
      <c r="Q121" s="2" t="str">
        <f>'QBO Transactions'!$T123</f>
        <v>ALLIANZ TRAVEL INS MASTERCARD-XXXXXX3TZEJM-Harry Tomczyk</v>
      </c>
      <c r="R121" s="2"/>
      <c r="S121" s="2"/>
      <c r="T121" s="2"/>
      <c r="U121" s="2"/>
      <c r="V121" s="2"/>
      <c r="W121" s="2"/>
      <c r="X121" s="2" t="str">
        <f t="shared" si="1"/>
        <v>ALLIANZ TRAVEL INS MASTERCARD-XXXXXX3TZEJM-Harry Tomczyk</v>
      </c>
      <c r="Y121" s="4">
        <f>'QBO Transactions'!$Q123</f>
        <v>46232</v>
      </c>
      <c r="Z121" s="2"/>
      <c r="AA121" s="2"/>
      <c r="AB121" s="2"/>
      <c r="AC121" s="2"/>
      <c r="AD121" s="2"/>
      <c r="AE121" s="2"/>
    </row>
    <row r="122" spans="1:31" ht="12.75" customHeight="1" x14ac:dyDescent="0.25">
      <c r="A122" s="2"/>
      <c r="B122" s="2" t="str">
        <f>'QBO Transactions'!$U124</f>
        <v>Brex Credit Card</v>
      </c>
      <c r="C122" s="3">
        <f>'QBO Transactions'!$S124</f>
        <v>74</v>
      </c>
      <c r="D122" s="2" t="str">
        <f>'QBO Transactions'!$R124</f>
        <v>Alaska Air</v>
      </c>
      <c r="E122" s="2"/>
      <c r="F122" s="3" t="str">
        <f>'QBO Transactions'!$X124</f>
        <v>Sales &amp; Marketing:Sales &amp; Marketing- Travel Expenses:Airfare</v>
      </c>
      <c r="G122" s="2"/>
      <c r="H122" s="2"/>
      <c r="I122" s="2"/>
      <c r="J122" s="2"/>
      <c r="K122" s="2"/>
      <c r="L122" s="2"/>
      <c r="M122" s="2"/>
      <c r="N122" s="2" t="str">
        <f>'QBO Transactions'!$Y124</f>
        <v>300- ServiceNow:330- Sales</v>
      </c>
      <c r="O122" s="2"/>
      <c r="P122" s="2"/>
      <c r="Q122" s="2" t="str">
        <f>'QBO Transactions'!$T124</f>
        <v>ALASKA A MASTERCARD-XXXXXXSISMGD-Harry Tomczyk</v>
      </c>
      <c r="R122" s="2"/>
      <c r="S122" s="2"/>
      <c r="T122" s="2"/>
      <c r="U122" s="2"/>
      <c r="V122" s="2"/>
      <c r="W122" s="2"/>
      <c r="X122" s="2" t="str">
        <f t="shared" si="1"/>
        <v>ALASKA A MASTERCARD-XXXXXXSISMGD-Harry Tomczyk</v>
      </c>
      <c r="Y122" s="4">
        <f>'QBO Transactions'!$Q124</f>
        <v>46233</v>
      </c>
      <c r="Z122" s="2"/>
      <c r="AA122" s="2"/>
      <c r="AB122" s="2"/>
      <c r="AC122" s="2"/>
      <c r="AD122" s="2"/>
      <c r="AE122" s="2"/>
    </row>
    <row r="123" spans="1:31" ht="12.75" customHeight="1" x14ac:dyDescent="0.25">
      <c r="A123" s="2"/>
      <c r="B123" s="2" t="str">
        <f>'QBO Transactions'!$U125</f>
        <v>Brex Credit Card</v>
      </c>
      <c r="C123" s="3">
        <f>'QBO Transactions'!$S125</f>
        <v>455.4</v>
      </c>
      <c r="D123" s="2" t="str">
        <f>'QBO Transactions'!$R125</f>
        <v>Alaska Air</v>
      </c>
      <c r="E123" s="2"/>
      <c r="F123" s="3" t="str">
        <f>'QBO Transactions'!$X125</f>
        <v>Sales &amp; Marketing:Sales &amp; Marketing- Travel Expenses:Airfare</v>
      </c>
      <c r="G123" s="2"/>
      <c r="H123" s="2"/>
      <c r="I123" s="2"/>
      <c r="J123" s="2"/>
      <c r="K123" s="2"/>
      <c r="L123" s="2"/>
      <c r="M123" s="2"/>
      <c r="N123" s="2" t="str">
        <f>'QBO Transactions'!$Y125</f>
        <v>300- ServiceNow:330- Sales</v>
      </c>
      <c r="O123" s="2"/>
      <c r="P123" s="2"/>
      <c r="Q123" s="2" t="str">
        <f>'QBO Transactions'!$T125</f>
        <v>ALASKA A MASTERCARD-XXXXXX236PXL-Harry Tomczyk</v>
      </c>
      <c r="R123" s="2"/>
      <c r="S123" s="2"/>
      <c r="T123" s="2"/>
      <c r="U123" s="2"/>
      <c r="V123" s="2"/>
      <c r="W123" s="2"/>
      <c r="X123" s="2" t="str">
        <f t="shared" si="1"/>
        <v>ALASKA A MASTERCARD-XXXXXX236PXL-Harry Tomczyk</v>
      </c>
      <c r="Y123" s="4">
        <f>'QBO Transactions'!$Q125</f>
        <v>46233</v>
      </c>
      <c r="Z123" s="2"/>
      <c r="AA123" s="2"/>
      <c r="AB123" s="2"/>
      <c r="AC123" s="2"/>
      <c r="AD123" s="2"/>
      <c r="AE123" s="2"/>
    </row>
    <row r="124" spans="1:31" ht="12.75" customHeight="1" x14ac:dyDescent="0.25">
      <c r="A124" s="2"/>
      <c r="B124" s="2" t="str">
        <f>'QBO Transactions'!$U126</f>
        <v>Brex Credit Card</v>
      </c>
      <c r="C124" s="3">
        <f>'QBO Transactions'!$S126</f>
        <v>39.96</v>
      </c>
      <c r="D124" s="2" t="str">
        <f>'QBO Transactions'!$R126</f>
        <v>Uber</v>
      </c>
      <c r="E124" s="2"/>
      <c r="F124" s="3" t="str">
        <f>'QBO Transactions'!$X126</f>
        <v>General &amp; Administrative:G&amp;A- Travel Expenses:Ground Transportation</v>
      </c>
      <c r="G124" s="2"/>
      <c r="H124" s="2"/>
      <c r="I124" s="2"/>
      <c r="J124" s="2"/>
      <c r="K124" s="2"/>
      <c r="L124" s="2"/>
      <c r="M124" s="2"/>
      <c r="N124" s="2" t="str">
        <f>'QBO Transactions'!$Y126</f>
        <v>100- Operations:110- G&amp;A</v>
      </c>
      <c r="O124" s="2"/>
      <c r="P124" s="2"/>
      <c r="Q124" s="2" t="str">
        <f>'QBO Transactions'!$T126</f>
        <v>UBER   *TRIP MASTERCARD-XXXXXXCDP8BP-Frederick Simpson</v>
      </c>
      <c r="R124" s="2"/>
      <c r="S124" s="2"/>
      <c r="T124" s="2"/>
      <c r="U124" s="2"/>
      <c r="V124" s="2"/>
      <c r="W124" s="2"/>
      <c r="X124" s="2" t="str">
        <f t="shared" si="1"/>
        <v>UBER   *TRIP MASTERCARD-XXXXXXCDP8BP-Frederick Simpson</v>
      </c>
      <c r="Y124" s="4">
        <f>'QBO Transactions'!$Q126</f>
        <v>46232</v>
      </c>
      <c r="Z124" s="2"/>
      <c r="AA124" s="2"/>
      <c r="AB124" s="2"/>
      <c r="AC124" s="2"/>
      <c r="AD124" s="2"/>
      <c r="AE124" s="2"/>
    </row>
    <row r="125" spans="1:31" ht="12.75" customHeight="1" x14ac:dyDescent="0.25">
      <c r="A125" s="2"/>
      <c r="B125" s="2" t="str">
        <f>'QBO Transactions'!$U127</f>
        <v>Brex Credit Card</v>
      </c>
      <c r="C125" s="3">
        <f>'QBO Transactions'!$S127</f>
        <v>39</v>
      </c>
      <c r="D125" s="2" t="str">
        <f>'QBO Transactions'!$R127</f>
        <v>Southwest Air</v>
      </c>
      <c r="E125" s="2"/>
      <c r="F125" s="3" t="str">
        <f>'QBO Transactions'!$X127</f>
        <v>Sales &amp; Marketing:Sales &amp; Marketing- Travel Expenses:Airfare</v>
      </c>
      <c r="G125" s="2"/>
      <c r="H125" s="2"/>
      <c r="I125" s="2"/>
      <c r="J125" s="2"/>
      <c r="K125" s="2"/>
      <c r="L125" s="2"/>
      <c r="M125" s="2"/>
      <c r="N125" s="2" t="str">
        <f>'QBO Transactions'!$Y127</f>
        <v>300- ServiceNow:330- Sales</v>
      </c>
      <c r="O125" s="2"/>
      <c r="P125" s="2"/>
      <c r="Q125" s="2" t="str">
        <f>'QBO Transactions'!$T127</f>
        <v>SOUTHWES MASTERCARD-XXXXXXG4R3BH-Harry Tomczyk</v>
      </c>
      <c r="R125" s="2"/>
      <c r="S125" s="2"/>
      <c r="T125" s="2"/>
      <c r="U125" s="2"/>
      <c r="V125" s="2"/>
      <c r="W125" s="2"/>
      <c r="X125" s="2" t="str">
        <f t="shared" si="1"/>
        <v>SOUTHWES MASTERCARD-XXXXXXG4R3BH-Harry Tomczyk</v>
      </c>
      <c r="Y125" s="4">
        <f>'QBO Transactions'!$Q127</f>
        <v>46233</v>
      </c>
      <c r="Z125" s="2"/>
      <c r="AA125" s="2"/>
      <c r="AB125" s="2"/>
      <c r="AC125" s="2"/>
      <c r="AD125" s="2"/>
      <c r="AE125" s="2"/>
    </row>
    <row r="126" spans="1:31" ht="12.75" customHeight="1" x14ac:dyDescent="0.25">
      <c r="A126" s="2"/>
      <c r="B126" s="2" t="str">
        <f>'QBO Transactions'!$U128</f>
        <v>Brex Credit Card</v>
      </c>
      <c r="C126" s="3">
        <f>'QBO Transactions'!$S128</f>
        <v>390.4</v>
      </c>
      <c r="D126" s="2" t="str">
        <f>'QBO Transactions'!$R128</f>
        <v>Southwest Air</v>
      </c>
      <c r="E126" s="2"/>
      <c r="F126" s="3" t="str">
        <f>'QBO Transactions'!$X128</f>
        <v>Sales &amp; Marketing:Sales &amp; Marketing- Travel Expenses:Airfare</v>
      </c>
      <c r="G126" s="2"/>
      <c r="H126" s="2"/>
      <c r="I126" s="2"/>
      <c r="J126" s="2"/>
      <c r="K126" s="2"/>
      <c r="L126" s="2"/>
      <c r="M126" s="2"/>
      <c r="N126" s="2" t="str">
        <f>'QBO Transactions'!$Y128</f>
        <v>300- ServiceNow:330- Sales</v>
      </c>
      <c r="O126" s="2"/>
      <c r="P126" s="2"/>
      <c r="Q126" s="2" t="str">
        <f>'QBO Transactions'!$T128</f>
        <v>SOUTHWES MASTERCARD-XXXXXXBM8897-Harry Tomczyk</v>
      </c>
      <c r="R126" s="2"/>
      <c r="S126" s="2"/>
      <c r="T126" s="2"/>
      <c r="U126" s="2"/>
      <c r="V126" s="2"/>
      <c r="W126" s="2"/>
      <c r="X126" s="2" t="str">
        <f t="shared" si="1"/>
        <v>SOUTHWES MASTERCARD-XXXXXXBM8897-Harry Tomczyk</v>
      </c>
      <c r="Y126" s="4">
        <f>'QBO Transactions'!$Q128</f>
        <v>46233</v>
      </c>
      <c r="Z126" s="2"/>
      <c r="AA126" s="2"/>
      <c r="AB126" s="2"/>
      <c r="AC126" s="2"/>
      <c r="AD126" s="2"/>
      <c r="AE126" s="2"/>
    </row>
    <row r="127" spans="1:31" ht="12.75" customHeight="1" x14ac:dyDescent="0.25">
      <c r="A127" s="2"/>
      <c r="B127" s="2" t="str">
        <f>'QBO Transactions'!$U129</f>
        <v>Brex Credit Card</v>
      </c>
      <c r="C127" s="3">
        <f>'QBO Transactions'!$S129</f>
        <v>6726.06</v>
      </c>
      <c r="D127" s="2" t="str">
        <f>'QBO Transactions'!$R129</f>
        <v>Food Vendor</v>
      </c>
      <c r="E127" s="2"/>
      <c r="F127" s="3" t="str">
        <f>'QBO Transactions'!$X129</f>
        <v>General &amp; Administrative:G&amp;A- Travel Expenses:Meals &amp; Entertainment</v>
      </c>
      <c r="G127" s="2"/>
      <c r="H127" s="2"/>
      <c r="I127" s="2"/>
      <c r="J127" s="2"/>
      <c r="K127" s="2"/>
      <c r="L127" s="2"/>
      <c r="M127" s="2"/>
      <c r="N127" s="2" t="str">
        <f>'QBO Transactions'!$Y129</f>
        <v>100- Operations:110- G&amp;A</v>
      </c>
      <c r="O127" s="2"/>
      <c r="P127" s="2"/>
      <c r="Q127" s="2" t="str">
        <f>'QBO Transactions'!$T129</f>
        <v>TST*CISCO SEAPORT MASTERCARD-XXXXXXG1OBBY-Mickenzi Krpec</v>
      </c>
      <c r="R127" s="2"/>
      <c r="S127" s="2"/>
      <c r="T127" s="2"/>
      <c r="U127" s="2"/>
      <c r="V127" s="2"/>
      <c r="W127" s="2"/>
      <c r="X127" s="2" t="str">
        <f t="shared" si="1"/>
        <v>TST*CISCO SEAPORT MASTERCARD-XXXXXXG1OBBY-Mickenzi Krpec</v>
      </c>
      <c r="Y127" s="4">
        <f>'QBO Transactions'!$Q129</f>
        <v>46232</v>
      </c>
      <c r="Z127" s="2"/>
      <c r="AA127" s="2"/>
      <c r="AB127" s="2"/>
      <c r="AC127" s="2"/>
      <c r="AD127" s="2"/>
      <c r="AE127" s="2"/>
    </row>
    <row r="128" spans="1:31" ht="12.75" customHeight="1" x14ac:dyDescent="0.25">
      <c r="A128" s="2"/>
      <c r="B128" s="2" t="str">
        <f>'QBO Transactions'!$U130</f>
        <v>Brex Credit Card</v>
      </c>
      <c r="C128" s="3">
        <f>'QBO Transactions'!$S130</f>
        <v>27.98</v>
      </c>
      <c r="D128" s="2" t="str">
        <f>'QBO Transactions'!$R130</f>
        <v>Uber</v>
      </c>
      <c r="E128" s="2"/>
      <c r="F128" s="3" t="str">
        <f>'QBO Transactions'!$X130</f>
        <v>Sales &amp; Marketing:Sales &amp; Marketing- Travel Expenses:Ground Transportation</v>
      </c>
      <c r="G128" s="2"/>
      <c r="H128" s="2"/>
      <c r="I128" s="2"/>
      <c r="J128" s="2"/>
      <c r="K128" s="2"/>
      <c r="L128" s="2"/>
      <c r="M128" s="2"/>
      <c r="N128" s="2" t="str">
        <f>'QBO Transactions'!$Y130</f>
        <v>300- ServiceNow:330- Sales</v>
      </c>
      <c r="O128" s="2"/>
      <c r="P128" s="2"/>
      <c r="Q128" s="2" t="str">
        <f>'QBO Transactions'!$T130</f>
        <v>UBER   *TRIP MASTERCARD-XXXXXXFRBTMS-Maile Call</v>
      </c>
      <c r="R128" s="2"/>
      <c r="S128" s="2"/>
      <c r="T128" s="2"/>
      <c r="U128" s="2"/>
      <c r="V128" s="2"/>
      <c r="W128" s="2"/>
      <c r="X128" s="2" t="str">
        <f t="shared" si="1"/>
        <v>UBER   *TRIP MASTERCARD-XXXXXXFRBTMS-Maile Call</v>
      </c>
      <c r="Y128" s="4">
        <f>'QBO Transactions'!$Q130</f>
        <v>46233</v>
      </c>
      <c r="Z128" s="2"/>
      <c r="AA128" s="2"/>
      <c r="AB128" s="2"/>
      <c r="AC128" s="2"/>
      <c r="AD128" s="2"/>
      <c r="AE128" s="2"/>
    </row>
    <row r="129" spans="1:31" ht="12.75" customHeight="1" x14ac:dyDescent="0.25">
      <c r="A129" s="2"/>
      <c r="B129" s="2" t="str">
        <f>'QBO Transactions'!$U131</f>
        <v>Brex Credit Card</v>
      </c>
      <c r="C129" s="3">
        <f>'QBO Transactions'!$S131</f>
        <v>72.13</v>
      </c>
      <c r="D129" s="2" t="str">
        <f>'QBO Transactions'!$R131</f>
        <v>Uber</v>
      </c>
      <c r="E129" s="2"/>
      <c r="F129" s="3" t="str">
        <f>'QBO Transactions'!$X131</f>
        <v>General &amp; Administrative:G&amp;A- Travel Expenses:Ground Transportation</v>
      </c>
      <c r="G129" s="2"/>
      <c r="H129" s="2"/>
      <c r="I129" s="2"/>
      <c r="J129" s="2"/>
      <c r="K129" s="2"/>
      <c r="L129" s="2"/>
      <c r="M129" s="2"/>
      <c r="N129" s="2" t="str">
        <f>'QBO Transactions'!$Y131</f>
        <v>100- Operations:110- G&amp;A</v>
      </c>
      <c r="O129" s="2"/>
      <c r="P129" s="2"/>
      <c r="Q129" s="2" t="str">
        <f>'QBO Transactions'!$T131</f>
        <v>UBER   *TRIP MASTERCARD-XXXXXXCZTIM8-Zayn Moselhy</v>
      </c>
      <c r="R129" s="2"/>
      <c r="S129" s="2"/>
      <c r="T129" s="2"/>
      <c r="U129" s="2"/>
      <c r="V129" s="2"/>
      <c r="W129" s="2"/>
      <c r="X129" s="2" t="str">
        <f t="shared" si="1"/>
        <v>UBER   *TRIP MASTERCARD-XXXXXXCZTIM8-Zayn Moselhy</v>
      </c>
      <c r="Y129" s="4">
        <f>'QBO Transactions'!$Q131</f>
        <v>46232</v>
      </c>
      <c r="Z129" s="2"/>
      <c r="AA129" s="2"/>
      <c r="AB129" s="2"/>
      <c r="AC129" s="2"/>
      <c r="AD129" s="2"/>
      <c r="AE129" s="2"/>
    </row>
    <row r="130" spans="1:31" ht="12.75" customHeight="1" x14ac:dyDescent="0.25">
      <c r="A130" s="2"/>
      <c r="B130" s="2" t="str">
        <f>'QBO Transactions'!$U132</f>
        <v>Brex Credit Card</v>
      </c>
      <c r="C130" s="3">
        <f>'QBO Transactions'!$S132</f>
        <v>14.43</v>
      </c>
      <c r="D130" s="2" t="str">
        <f>'QBO Transactions'!$R132</f>
        <v>Raising Canes</v>
      </c>
      <c r="E130" s="2"/>
      <c r="F130" s="3" t="str">
        <f>'QBO Transactions'!$X132</f>
        <v>Cost of Goods Sold:COGS- Travel Expenses:Meals &amp; Entertainment</v>
      </c>
      <c r="G130" s="2"/>
      <c r="H130" s="2"/>
      <c r="I130" s="2"/>
      <c r="J130" s="2"/>
      <c r="K130" s="2"/>
      <c r="L130" s="2"/>
      <c r="M130" s="2"/>
      <c r="N130" s="2" t="str">
        <f>'QBO Transactions'!$Y132</f>
        <v>300- ServiceNow:320- Engineering</v>
      </c>
      <c r="O130" s="2"/>
      <c r="P130" s="2"/>
      <c r="Q130" s="2" t="str">
        <f>'QBO Transactions'!$T132</f>
        <v>RAISING CANES 0676 MASTERCARD-XXXXXXFC3HXX-Tokuya Takahashi</v>
      </c>
      <c r="R130" s="2"/>
      <c r="S130" s="2"/>
      <c r="T130" s="2"/>
      <c r="U130" s="2"/>
      <c r="V130" s="2"/>
      <c r="W130" s="2"/>
      <c r="X130" s="2" t="str">
        <f t="shared" ref="X130:X193" si="2">Q130</f>
        <v>RAISING CANES 0676 MASTERCARD-XXXXXXFC3HXX-Tokuya Takahashi</v>
      </c>
      <c r="Y130" s="4">
        <f>'QBO Transactions'!$Q132</f>
        <v>46233</v>
      </c>
      <c r="Z130" s="2"/>
      <c r="AA130" s="2"/>
      <c r="AB130" s="2"/>
      <c r="AC130" s="2"/>
      <c r="AD130" s="2"/>
      <c r="AE130" s="2"/>
    </row>
    <row r="131" spans="1:31" ht="12.75" customHeight="1" x14ac:dyDescent="0.25">
      <c r="A131" s="2"/>
      <c r="B131" s="2" t="str">
        <f>'QBO Transactions'!$U133</f>
        <v>Brex Credit Card</v>
      </c>
      <c r="C131" s="3">
        <f>'QBO Transactions'!$S133</f>
        <v>27.98</v>
      </c>
      <c r="D131" s="2" t="str">
        <f>'QBO Transactions'!$R133</f>
        <v>Uber</v>
      </c>
      <c r="E131" s="2"/>
      <c r="F131" s="3" t="str">
        <f>'QBO Transactions'!$X133</f>
        <v>Cost of Goods Sold:COGS- Travel Expenses:Ground Transportation</v>
      </c>
      <c r="G131" s="2"/>
      <c r="H131" s="2"/>
      <c r="I131" s="2"/>
      <c r="J131" s="2"/>
      <c r="K131" s="2"/>
      <c r="L131" s="2"/>
      <c r="M131" s="2"/>
      <c r="N131" s="2" t="str">
        <f>'QBO Transactions'!$Y133</f>
        <v>300- ServiceNow:310- Delivery</v>
      </c>
      <c r="O131" s="2"/>
      <c r="P131" s="2"/>
      <c r="Q131" s="2" t="str">
        <f>'QBO Transactions'!$T133</f>
        <v>UBER   *TRIP MASTERCARD-XXXXXX2L35PS-Bryan Kuhlman</v>
      </c>
      <c r="R131" s="2"/>
      <c r="S131" s="2"/>
      <c r="T131" s="2"/>
      <c r="U131" s="2"/>
      <c r="V131" s="2"/>
      <c r="W131" s="2"/>
      <c r="X131" s="2" t="str">
        <f t="shared" si="2"/>
        <v>UBER   *TRIP MASTERCARD-XXXXXX2L35PS-Bryan Kuhlman</v>
      </c>
      <c r="Y131" s="4">
        <f>'QBO Transactions'!$Q133</f>
        <v>46232</v>
      </c>
      <c r="Z131" s="2"/>
      <c r="AA131" s="2"/>
      <c r="AB131" s="2"/>
      <c r="AC131" s="2"/>
      <c r="AD131" s="2"/>
      <c r="AE131" s="2"/>
    </row>
    <row r="132" spans="1:31" ht="12.75" customHeight="1" x14ac:dyDescent="0.25">
      <c r="A132" s="2"/>
      <c r="B132" s="2" t="str">
        <f>'QBO Transactions'!$U134</f>
        <v>Brex Credit Card</v>
      </c>
      <c r="C132" s="3">
        <f>'QBO Transactions'!$S134</f>
        <v>63.42</v>
      </c>
      <c r="D132" s="2" t="str">
        <f>'QBO Transactions'!$R134</f>
        <v>Uber</v>
      </c>
      <c r="E132" s="2"/>
      <c r="F132" s="3" t="str">
        <f>'QBO Transactions'!$X134</f>
        <v>Sales &amp; Marketing:Sales &amp; Marketing- Travel Expenses:Ground Transportation</v>
      </c>
      <c r="G132" s="2"/>
      <c r="H132" s="2"/>
      <c r="I132" s="2"/>
      <c r="J132" s="2"/>
      <c r="K132" s="2"/>
      <c r="L132" s="2"/>
      <c r="M132" s="2"/>
      <c r="N132" s="2" t="str">
        <f>'QBO Transactions'!$Y134</f>
        <v>200- Datadog:230- Sales</v>
      </c>
      <c r="O132" s="2"/>
      <c r="P132" s="2"/>
      <c r="Q132" s="2" t="str">
        <f>'QBO Transactions'!$T134</f>
        <v>UBER   *TRIP MASTERCARD-XXXXXXKC3T7U-Ryan Henrich</v>
      </c>
      <c r="R132" s="2"/>
      <c r="S132" s="2"/>
      <c r="T132" s="2"/>
      <c r="U132" s="2"/>
      <c r="V132" s="2"/>
      <c r="W132" s="2"/>
      <c r="X132" s="2" t="str">
        <f t="shared" si="2"/>
        <v>UBER   *TRIP MASTERCARD-XXXXXXKC3T7U-Ryan Henrich</v>
      </c>
      <c r="Y132" s="4">
        <f>'QBO Transactions'!$Q134</f>
        <v>46232</v>
      </c>
      <c r="Z132" s="2"/>
      <c r="AA132" s="2"/>
      <c r="AB132" s="2"/>
      <c r="AC132" s="2"/>
      <c r="AD132" s="2"/>
      <c r="AE132" s="2"/>
    </row>
    <row r="133" spans="1:31" ht="12.75" customHeight="1" x14ac:dyDescent="0.25">
      <c r="A133" s="2"/>
      <c r="B133" s="2" t="str">
        <f>'QBO Transactions'!$U135</f>
        <v>Brex Credit Card</v>
      </c>
      <c r="C133" s="3">
        <f>'QBO Transactions'!$S135</f>
        <v>35</v>
      </c>
      <c r="D133" s="2" t="str">
        <f>'QBO Transactions'!$R135</f>
        <v>Travel Vendor</v>
      </c>
      <c r="E133" s="2"/>
      <c r="F133" s="3" t="str">
        <f>'QBO Transactions'!$X135</f>
        <v>Cost of Goods Sold:COGS- Travel Expenses:Other Travel Expenses</v>
      </c>
      <c r="G133" s="2"/>
      <c r="H133" s="2"/>
      <c r="I133" s="2"/>
      <c r="J133" s="2"/>
      <c r="K133" s="2"/>
      <c r="L133" s="2"/>
      <c r="M133" s="2"/>
      <c r="N133" s="2" t="str">
        <f>'QBO Transactions'!$Y135</f>
        <v>300- ServiceNow:320- Engineering</v>
      </c>
      <c r="O133" s="2"/>
      <c r="P133" s="2"/>
      <c r="Q133" s="2" t="str">
        <f>'QBO Transactions'!$T135</f>
        <v>PPL - 100 NORTHERN AVE MASTERCARD-XXXXXXVIH402-Dor Vaknin</v>
      </c>
      <c r="R133" s="2"/>
      <c r="S133" s="2"/>
      <c r="T133" s="2"/>
      <c r="U133" s="2"/>
      <c r="V133" s="2"/>
      <c r="W133" s="2"/>
      <c r="X133" s="2" t="str">
        <f t="shared" si="2"/>
        <v>PPL - 100 NORTHERN AVE MASTERCARD-XXXXXXVIH402-Dor Vaknin</v>
      </c>
      <c r="Y133" s="4">
        <f>'QBO Transactions'!$Q135</f>
        <v>46232</v>
      </c>
      <c r="Z133" s="2"/>
      <c r="AA133" s="2"/>
      <c r="AB133" s="2"/>
      <c r="AC133" s="2"/>
      <c r="AD133" s="2"/>
      <c r="AE133" s="2"/>
    </row>
    <row r="134" spans="1:31" ht="12.75" customHeight="1" x14ac:dyDescent="0.25">
      <c r="A134" s="2"/>
      <c r="B134" s="2" t="str">
        <f>'QBO Transactions'!$U136</f>
        <v>Brex Credit Card</v>
      </c>
      <c r="C134" s="3">
        <f>'QBO Transactions'!$S136</f>
        <v>42.18</v>
      </c>
      <c r="D134" s="2" t="str">
        <f>'QBO Transactions'!$R136</f>
        <v>Curb</v>
      </c>
      <c r="E134" s="2"/>
      <c r="F134" s="3" t="str">
        <f>'QBO Transactions'!$X136</f>
        <v>Cost of Goods Sold:COGS- Travel Expenses:Ground Transportation</v>
      </c>
      <c r="G134" s="2"/>
      <c r="H134" s="2"/>
      <c r="I134" s="2"/>
      <c r="J134" s="2"/>
      <c r="K134" s="2"/>
      <c r="L134" s="2"/>
      <c r="M134" s="2"/>
      <c r="N134" s="2" t="str">
        <f>'QBO Transactions'!$Y136</f>
        <v>300- ServiceNow:320- Engineering</v>
      </c>
      <c r="O134" s="2"/>
      <c r="P134" s="2"/>
      <c r="Q134" s="2" t="str">
        <f>'QBO Transactions'!$T136</f>
        <v>CURB SVC - TAXI APP MASTERCARD-XXXXXXDBQDOC-Robert Lankford</v>
      </c>
      <c r="R134" s="2"/>
      <c r="S134" s="2"/>
      <c r="T134" s="2"/>
      <c r="U134" s="2"/>
      <c r="V134" s="2"/>
      <c r="W134" s="2"/>
      <c r="X134" s="2" t="str">
        <f t="shared" si="2"/>
        <v>CURB SVC - TAXI APP MASTERCARD-XXXXXXDBQDOC-Robert Lankford</v>
      </c>
      <c r="Y134" s="4">
        <f>'QBO Transactions'!$Q136</f>
        <v>46232</v>
      </c>
      <c r="Z134" s="2"/>
      <c r="AA134" s="2"/>
      <c r="AB134" s="2"/>
      <c r="AC134" s="2"/>
      <c r="AD134" s="2"/>
      <c r="AE134" s="2"/>
    </row>
    <row r="135" spans="1:31" ht="12.75" customHeight="1" x14ac:dyDescent="0.25">
      <c r="A135" s="2"/>
      <c r="B135" s="2" t="str">
        <f>'QBO Transactions'!$U137</f>
        <v>Brex Credit Card</v>
      </c>
      <c r="C135" s="3">
        <f>'QBO Transactions'!$S137</f>
        <v>24.08</v>
      </c>
      <c r="D135" s="2" t="str">
        <f>'QBO Transactions'!$R137</f>
        <v>Uber</v>
      </c>
      <c r="E135" s="2"/>
      <c r="F135" s="3" t="str">
        <f>'QBO Transactions'!$X137</f>
        <v>Cost of Goods Sold:COGS- Travel Expenses:Ground Transportation</v>
      </c>
      <c r="G135" s="2"/>
      <c r="H135" s="2"/>
      <c r="I135" s="2"/>
      <c r="J135" s="2"/>
      <c r="K135" s="2"/>
      <c r="L135" s="2"/>
      <c r="M135" s="2"/>
      <c r="N135" s="2" t="str">
        <f>'QBO Transactions'!$Y137</f>
        <v>400- Synechron:410- Digital platforms G&amp;A</v>
      </c>
      <c r="O135" s="2"/>
      <c r="P135" s="2"/>
      <c r="Q135" s="2" t="str">
        <f>'QBO Transactions'!$T137</f>
        <v>UBER   *TRIP MASTERCARD-XXXXXX1RQ031-Erik Williams</v>
      </c>
      <c r="R135" s="2"/>
      <c r="S135" s="2"/>
      <c r="T135" s="2"/>
      <c r="U135" s="2"/>
      <c r="V135" s="2"/>
      <c r="W135" s="2"/>
      <c r="X135" s="2" t="str">
        <f t="shared" si="2"/>
        <v>UBER   *TRIP MASTERCARD-XXXXXX1RQ031-Erik Williams</v>
      </c>
      <c r="Y135" s="4">
        <f>'QBO Transactions'!$Q137</f>
        <v>46233</v>
      </c>
      <c r="Z135" s="2"/>
      <c r="AA135" s="2"/>
      <c r="AB135" s="2"/>
      <c r="AC135" s="2"/>
      <c r="AD135" s="2"/>
      <c r="AE135" s="2"/>
    </row>
    <row r="136" spans="1:31" ht="12.75" customHeight="1" x14ac:dyDescent="0.25">
      <c r="A136" s="2"/>
      <c r="B136" s="2" t="str">
        <f>'QBO Transactions'!$U138</f>
        <v>Brex Credit Card</v>
      </c>
      <c r="C136" s="3">
        <f>'QBO Transactions'!$S138</f>
        <v>49.87</v>
      </c>
      <c r="D136" s="2" t="str">
        <f>'QBO Transactions'!$R138</f>
        <v>Uber</v>
      </c>
      <c r="E136" s="2"/>
      <c r="F136" s="3" t="str">
        <f>'QBO Transactions'!$X138</f>
        <v>Cost of Goods Sold:COGS- Travel Expenses:Ground Transportation</v>
      </c>
      <c r="G136" s="2"/>
      <c r="H136" s="2"/>
      <c r="I136" s="2"/>
      <c r="J136" s="2"/>
      <c r="K136" s="2"/>
      <c r="L136" s="2"/>
      <c r="M136" s="2"/>
      <c r="N136" s="2" t="str">
        <f>'QBO Transactions'!$Y138</f>
        <v>300- ServiceNow:320- Engineering</v>
      </c>
      <c r="O136" s="2"/>
      <c r="P136" s="2"/>
      <c r="Q136" s="2" t="str">
        <f>'QBO Transactions'!$T138</f>
        <v>UBER   *EATS MASTERCARD-XXXXXXSYA9QV-Jeff Mu</v>
      </c>
      <c r="R136" s="2"/>
      <c r="S136" s="2"/>
      <c r="T136" s="2"/>
      <c r="U136" s="2"/>
      <c r="V136" s="2"/>
      <c r="W136" s="2"/>
      <c r="X136" s="2" t="str">
        <f t="shared" si="2"/>
        <v>UBER   *EATS MASTERCARD-XXXXXXSYA9QV-Jeff Mu</v>
      </c>
      <c r="Y136" s="4">
        <f>'QBO Transactions'!$Q138</f>
        <v>46233</v>
      </c>
      <c r="Z136" s="2"/>
      <c r="AA136" s="2"/>
      <c r="AB136" s="2"/>
      <c r="AC136" s="2"/>
      <c r="AD136" s="2"/>
      <c r="AE136" s="2"/>
    </row>
    <row r="137" spans="1:31" ht="12.75" customHeight="1" x14ac:dyDescent="0.25">
      <c r="A137" s="2"/>
      <c r="B137" s="2" t="str">
        <f>'QBO Transactions'!$U139</f>
        <v>Brex Credit Card</v>
      </c>
      <c r="C137" s="3">
        <f>'QBO Transactions'!$S139</f>
        <v>26.24</v>
      </c>
      <c r="D137" s="2" t="str">
        <f>'QBO Transactions'!$R139</f>
        <v>Uber</v>
      </c>
      <c r="E137" s="2"/>
      <c r="F137" s="3" t="str">
        <f>'QBO Transactions'!$X139</f>
        <v>Sales &amp; Marketing:Sales &amp; Marketing- Travel Expenses:Ground Transportation</v>
      </c>
      <c r="G137" s="2"/>
      <c r="H137" s="2"/>
      <c r="I137" s="2"/>
      <c r="J137" s="2"/>
      <c r="K137" s="2"/>
      <c r="L137" s="2"/>
      <c r="M137" s="2"/>
      <c r="N137" s="2" t="str">
        <f>'QBO Transactions'!$Y139</f>
        <v>200- Datadog:230- Sales</v>
      </c>
      <c r="O137" s="2"/>
      <c r="P137" s="2"/>
      <c r="Q137" s="2" t="str">
        <f>'QBO Transactions'!$T139</f>
        <v>UBER   *TRIP MASTERCARD-XXXXXXD3F8T7-Ryan Henrich</v>
      </c>
      <c r="R137" s="2"/>
      <c r="S137" s="2"/>
      <c r="T137" s="2"/>
      <c r="U137" s="2"/>
      <c r="V137" s="2"/>
      <c r="W137" s="2"/>
      <c r="X137" s="2" t="str">
        <f t="shared" si="2"/>
        <v>UBER   *TRIP MASTERCARD-XXXXXXD3F8T7-Ryan Henrich</v>
      </c>
      <c r="Y137" s="4">
        <f>'QBO Transactions'!$Q139</f>
        <v>46233</v>
      </c>
      <c r="Z137" s="2"/>
      <c r="AA137" s="2"/>
      <c r="AB137" s="2"/>
      <c r="AC137" s="2"/>
      <c r="AD137" s="2"/>
      <c r="AE137" s="2"/>
    </row>
    <row r="138" spans="1:31" ht="12.75" customHeight="1" x14ac:dyDescent="0.25">
      <c r="A138" s="2"/>
      <c r="B138" s="2" t="str">
        <f>'QBO Transactions'!$U140</f>
        <v>Brex Credit Card</v>
      </c>
      <c r="C138" s="3">
        <f>'QBO Transactions'!$S140</f>
        <v>36.979999999999997</v>
      </c>
      <c r="D138" s="2" t="str">
        <f>'QBO Transactions'!$R140</f>
        <v>Uber</v>
      </c>
      <c r="E138" s="2"/>
      <c r="F138" s="3" t="str">
        <f>'QBO Transactions'!$X140</f>
        <v>Sales &amp; Marketing:Sales &amp; Marketing- Travel Expenses:Ground Transportation</v>
      </c>
      <c r="G138" s="2"/>
      <c r="H138" s="2"/>
      <c r="I138" s="2"/>
      <c r="J138" s="2"/>
      <c r="K138" s="2"/>
      <c r="L138" s="2"/>
      <c r="M138" s="2"/>
      <c r="N138" s="2" t="str">
        <f>'QBO Transactions'!$Y140</f>
        <v>100- Operations:120- Marketing</v>
      </c>
      <c r="O138" s="2"/>
      <c r="P138" s="2"/>
      <c r="Q138" s="2" t="str">
        <f>'QBO Transactions'!$T140</f>
        <v>UBER   *TRIP MASTERCARD-XXXXXX1HN8EX-Toni Manning</v>
      </c>
      <c r="R138" s="2"/>
      <c r="S138" s="2"/>
      <c r="T138" s="2"/>
      <c r="U138" s="2"/>
      <c r="V138" s="2"/>
      <c r="W138" s="2"/>
      <c r="X138" s="2" t="str">
        <f t="shared" si="2"/>
        <v>UBER   *TRIP MASTERCARD-XXXXXX1HN8EX-Toni Manning</v>
      </c>
      <c r="Y138" s="4">
        <f>'QBO Transactions'!$Q140</f>
        <v>46233</v>
      </c>
      <c r="Z138" s="2"/>
      <c r="AA138" s="2"/>
      <c r="AB138" s="2"/>
      <c r="AC138" s="2"/>
      <c r="AD138" s="2"/>
      <c r="AE138" s="2"/>
    </row>
    <row r="139" spans="1:31" ht="12.75" customHeight="1" x14ac:dyDescent="0.25">
      <c r="A139" s="2"/>
      <c r="B139" s="2" t="str">
        <f>'QBO Transactions'!$U141</f>
        <v>Brex Credit Card</v>
      </c>
      <c r="C139" s="3">
        <f>'QBO Transactions'!$S141</f>
        <v>6.08</v>
      </c>
      <c r="D139" s="2" t="str">
        <f>'QBO Transactions'!$R141</f>
        <v>Uber</v>
      </c>
      <c r="E139" s="2"/>
      <c r="F139" s="3" t="str">
        <f>'QBO Transactions'!$X141</f>
        <v>Cost of Goods Sold:COGS- Travel Expenses:Ground Transportation</v>
      </c>
      <c r="G139" s="2"/>
      <c r="H139" s="2"/>
      <c r="I139" s="2"/>
      <c r="J139" s="2"/>
      <c r="K139" s="2"/>
      <c r="L139" s="2"/>
      <c r="M139" s="2"/>
      <c r="N139" s="2" t="str">
        <f>'QBO Transactions'!$Y141</f>
        <v>300- ServiceNow:310- Delivery</v>
      </c>
      <c r="O139" s="2"/>
      <c r="P139" s="2"/>
      <c r="Q139" s="2" t="str">
        <f>'QBO Transactions'!$T141</f>
        <v>UBER   *TRIP MASTERCARD-XXXXXX4F6GRT-Anamaria Gramada</v>
      </c>
      <c r="R139" s="2"/>
      <c r="S139" s="2"/>
      <c r="T139" s="2"/>
      <c r="U139" s="2"/>
      <c r="V139" s="2"/>
      <c r="W139" s="2"/>
      <c r="X139" s="2" t="str">
        <f t="shared" si="2"/>
        <v>UBER   *TRIP MASTERCARD-XXXXXX4F6GRT-Anamaria Gramada</v>
      </c>
      <c r="Y139" s="4">
        <f>'QBO Transactions'!$Q141</f>
        <v>46232</v>
      </c>
      <c r="Z139" s="2"/>
      <c r="AA139" s="2"/>
      <c r="AB139" s="2"/>
      <c r="AC139" s="2"/>
      <c r="AD139" s="2"/>
      <c r="AE139" s="2"/>
    </row>
    <row r="140" spans="1:31" ht="12.75" customHeight="1" x14ac:dyDescent="0.25">
      <c r="A140" s="2"/>
      <c r="B140" s="2" t="str">
        <f>'QBO Transactions'!$U142</f>
        <v>Brex Credit Card</v>
      </c>
      <c r="C140" s="3">
        <f>'QBO Transactions'!$S142</f>
        <v>45</v>
      </c>
      <c r="D140" s="2" t="str">
        <f>'QBO Transactions'!$R142</f>
        <v>Back Bay Garage</v>
      </c>
      <c r="E140" s="2"/>
      <c r="F140" s="3" t="str">
        <f>'QBO Transactions'!$X142</f>
        <v>General &amp; Administrative:G&amp;A- Travel Expenses:Ground Transportation</v>
      </c>
      <c r="G140" s="2"/>
      <c r="H140" s="2"/>
      <c r="I140" s="2"/>
      <c r="J140" s="2"/>
      <c r="K140" s="2"/>
      <c r="L140" s="2"/>
      <c r="M140" s="2"/>
      <c r="N140" s="2" t="str">
        <f>'QBO Transactions'!$Y142</f>
        <v>100- Operations:110- G&amp;A</v>
      </c>
      <c r="O140" s="2"/>
      <c r="P140" s="2"/>
      <c r="Q140" s="2" t="str">
        <f>'QBO Transactions'!$T142</f>
        <v>VPNE BackBayGarage MASTERCARD-XXXXXXA7LHRJ-Kevin Ebert</v>
      </c>
      <c r="R140" s="2"/>
      <c r="S140" s="2"/>
      <c r="T140" s="2"/>
      <c r="U140" s="2"/>
      <c r="V140" s="2"/>
      <c r="W140" s="2"/>
      <c r="X140" s="2" t="str">
        <f t="shared" si="2"/>
        <v>VPNE BackBayGarage MASTERCARD-XXXXXXA7LHRJ-Kevin Ebert</v>
      </c>
      <c r="Y140" s="4">
        <f>'QBO Transactions'!$Q142</f>
        <v>46232</v>
      </c>
      <c r="Z140" s="2"/>
      <c r="AA140" s="2"/>
      <c r="AB140" s="2"/>
      <c r="AC140" s="2"/>
      <c r="AD140" s="2"/>
      <c r="AE140" s="2"/>
    </row>
    <row r="141" spans="1:31" ht="12.75" customHeight="1" x14ac:dyDescent="0.25">
      <c r="A141" s="2"/>
      <c r="B141" s="2" t="str">
        <f>'QBO Transactions'!$U143</f>
        <v>Brex Credit Card</v>
      </c>
      <c r="C141" s="3">
        <f>'QBO Transactions'!$S143</f>
        <v>41.97</v>
      </c>
      <c r="D141" s="2" t="str">
        <f>'QBO Transactions'!$R143</f>
        <v>Uber</v>
      </c>
      <c r="E141" s="2"/>
      <c r="F141" s="3" t="str">
        <f>'QBO Transactions'!$X143</f>
        <v>Cost of Goods Sold:COGS- Travel Expenses:Ground Transportation</v>
      </c>
      <c r="G141" s="2"/>
      <c r="H141" s="2"/>
      <c r="I141" s="2"/>
      <c r="J141" s="2"/>
      <c r="K141" s="2"/>
      <c r="L141" s="2"/>
      <c r="M141" s="2"/>
      <c r="N141" s="2" t="str">
        <f>'QBO Transactions'!$Y143</f>
        <v>300- ServiceNow:320- Engineering</v>
      </c>
      <c r="O141" s="2"/>
      <c r="P141" s="2"/>
      <c r="Q141" s="2" t="str">
        <f>'QBO Transactions'!$T143</f>
        <v>UBER   *TRIP MASTERCARD-XXXXXXA9TW4V-Ben Savage</v>
      </c>
      <c r="R141" s="2"/>
      <c r="S141" s="2"/>
      <c r="T141" s="2"/>
      <c r="U141" s="2"/>
      <c r="V141" s="2"/>
      <c r="W141" s="2"/>
      <c r="X141" s="2" t="str">
        <f t="shared" si="2"/>
        <v>UBER   *TRIP MASTERCARD-XXXXXXA9TW4V-Ben Savage</v>
      </c>
      <c r="Y141" s="4">
        <f>'QBO Transactions'!$Q143</f>
        <v>46233</v>
      </c>
      <c r="Z141" s="2"/>
      <c r="AA141" s="2"/>
      <c r="AB141" s="2"/>
      <c r="AC141" s="2"/>
      <c r="AD141" s="2"/>
      <c r="AE141" s="2"/>
    </row>
    <row r="142" spans="1:31" ht="12.75" customHeight="1" x14ac:dyDescent="0.25">
      <c r="A142" s="2"/>
      <c r="B142" s="2" t="str">
        <f>'QBO Transactions'!$U144</f>
        <v>Brex Credit Card</v>
      </c>
      <c r="C142" s="3">
        <f>'QBO Transactions'!$S144</f>
        <v>1.7</v>
      </c>
      <c r="D142" s="2" t="str">
        <f>'QBO Transactions'!$R144</f>
        <v>Mbta</v>
      </c>
      <c r="E142" s="2"/>
      <c r="F142" s="3" t="str">
        <f>'QBO Transactions'!$X144</f>
        <v>Sales &amp; Marketing:Sales &amp; Marketing- Travel Expenses:Ground Transportation</v>
      </c>
      <c r="G142" s="2"/>
      <c r="H142" s="2"/>
      <c r="I142" s="2"/>
      <c r="J142" s="2"/>
      <c r="K142" s="2"/>
      <c r="L142" s="2"/>
      <c r="M142" s="2"/>
      <c r="N142" s="2" t="str">
        <f>'QBO Transactions'!$Y144</f>
        <v>100- Operations:120- Marketing</v>
      </c>
      <c r="O142" s="2"/>
      <c r="P142" s="2"/>
      <c r="Q142" s="2" t="str">
        <f>'QBO Transactions'!$T144</f>
        <v>MBTA-550048231694 MASTERCARD-XXXXXXKXHEW0-Karalyn Sims</v>
      </c>
      <c r="R142" s="2"/>
      <c r="S142" s="2"/>
      <c r="T142" s="2"/>
      <c r="U142" s="2"/>
      <c r="V142" s="2"/>
      <c r="W142" s="2"/>
      <c r="X142" s="2" t="str">
        <f t="shared" si="2"/>
        <v>MBTA-550048231694 MASTERCARD-XXXXXXKXHEW0-Karalyn Sims</v>
      </c>
      <c r="Y142" s="4">
        <f>'QBO Transactions'!$Q144</f>
        <v>46232</v>
      </c>
      <c r="Z142" s="2"/>
      <c r="AA142" s="2"/>
      <c r="AB142" s="2"/>
      <c r="AC142" s="2"/>
      <c r="AD142" s="2"/>
      <c r="AE142" s="2"/>
    </row>
    <row r="143" spans="1:31" ht="12.75" customHeight="1" x14ac:dyDescent="0.25">
      <c r="A143" s="2"/>
      <c r="B143" s="2" t="str">
        <f>'QBO Transactions'!$U145</f>
        <v>Brex Credit Card</v>
      </c>
      <c r="C143" s="3">
        <f>'QBO Transactions'!$S145</f>
        <v>43.15</v>
      </c>
      <c r="D143" s="2" t="str">
        <f>'QBO Transactions'!$R145</f>
        <v>Lyft</v>
      </c>
      <c r="E143" s="2"/>
      <c r="F143" s="3" t="str">
        <f>'QBO Transactions'!$X145</f>
        <v>Sales &amp; Marketing:Sales &amp; Marketing- Travel Expenses:Ground Transportation</v>
      </c>
      <c r="G143" s="2"/>
      <c r="H143" s="2"/>
      <c r="I143" s="2"/>
      <c r="J143" s="2"/>
      <c r="K143" s="2"/>
      <c r="L143" s="2"/>
      <c r="M143" s="2"/>
      <c r="N143" s="2" t="str">
        <f>'QBO Transactions'!$Y145</f>
        <v>200- Datadog:230- Sales</v>
      </c>
      <c r="O143" s="2"/>
      <c r="P143" s="2"/>
      <c r="Q143" s="2" t="str">
        <f>'QBO Transactions'!$T145</f>
        <v>LYFT   *AIRPORT 07-27 MASTERCARD-XXXXXXG6L5IQ-Tyler Grimshaw</v>
      </c>
      <c r="R143" s="2"/>
      <c r="S143" s="2"/>
      <c r="T143" s="2"/>
      <c r="U143" s="2"/>
      <c r="V143" s="2"/>
      <c r="W143" s="2"/>
      <c r="X143" s="2" t="str">
        <f t="shared" si="2"/>
        <v>LYFT   *AIRPORT 07-27 MASTERCARD-XXXXXXG6L5IQ-Tyler Grimshaw</v>
      </c>
      <c r="Y143" s="4">
        <f>'QBO Transactions'!$Q145</f>
        <v>46232</v>
      </c>
      <c r="Z143" s="2"/>
      <c r="AA143" s="2"/>
      <c r="AB143" s="2"/>
      <c r="AC143" s="2"/>
      <c r="AD143" s="2"/>
      <c r="AE143" s="2"/>
    </row>
    <row r="144" spans="1:31" ht="12.75" customHeight="1" x14ac:dyDescent="0.25">
      <c r="A144" s="2"/>
      <c r="B144" s="2" t="str">
        <f>'QBO Transactions'!$U146</f>
        <v>Brex Credit Card</v>
      </c>
      <c r="C144" s="3">
        <f>'QBO Transactions'!$S146</f>
        <v>18.95</v>
      </c>
      <c r="D144" s="2" t="str">
        <f>'QBO Transactions'!$R146</f>
        <v>Uber</v>
      </c>
      <c r="E144" s="2"/>
      <c r="F144" s="3" t="str">
        <f>'QBO Transactions'!$X146</f>
        <v>Sales &amp; Marketing:Sales &amp; Marketing- Travel Expenses:Ground Transportation</v>
      </c>
      <c r="G144" s="2"/>
      <c r="H144" s="2"/>
      <c r="I144" s="2"/>
      <c r="J144" s="2"/>
      <c r="K144" s="2"/>
      <c r="L144" s="2"/>
      <c r="M144" s="2"/>
      <c r="N144" s="2" t="str">
        <f>'QBO Transactions'!$Y146</f>
        <v>300- ServiceNow:330- Sales</v>
      </c>
      <c r="O144" s="2"/>
      <c r="P144" s="2"/>
      <c r="Q144" s="2" t="str">
        <f>'QBO Transactions'!$T146</f>
        <v>UBER   *TRIP MASTERCARD-XXXXXX3GGACS-Maile Call</v>
      </c>
      <c r="R144" s="2"/>
      <c r="S144" s="2"/>
      <c r="T144" s="2"/>
      <c r="U144" s="2"/>
      <c r="V144" s="2"/>
      <c r="W144" s="2"/>
      <c r="X144" s="2" t="str">
        <f t="shared" si="2"/>
        <v>UBER   *TRIP MASTERCARD-XXXXXX3GGACS-Maile Call</v>
      </c>
      <c r="Y144" s="4">
        <f>'QBO Transactions'!$Q146</f>
        <v>46232</v>
      </c>
      <c r="Z144" s="2"/>
      <c r="AA144" s="2"/>
      <c r="AB144" s="2"/>
      <c r="AC144" s="2"/>
      <c r="AD144" s="2"/>
      <c r="AE144" s="2"/>
    </row>
    <row r="145" spans="1:31" ht="12.75" customHeight="1" x14ac:dyDescent="0.25">
      <c r="A145" s="2"/>
      <c r="B145" s="2" t="str">
        <f>'QBO Transactions'!$U147</f>
        <v>Brex Credit Card</v>
      </c>
      <c r="C145" s="3">
        <f>'QBO Transactions'!$S147</f>
        <v>16.940000000000001</v>
      </c>
      <c r="D145" s="2" t="str">
        <f>'QBO Transactions'!$R147</f>
        <v>Uber</v>
      </c>
      <c r="E145" s="2"/>
      <c r="F145" s="3" t="str">
        <f>'QBO Transactions'!$X147</f>
        <v>Sales &amp; Marketing:Sales &amp; Marketing- Travel Expenses:Ground Transportation</v>
      </c>
      <c r="G145" s="2"/>
      <c r="H145" s="2"/>
      <c r="I145" s="2"/>
      <c r="J145" s="2"/>
      <c r="K145" s="2"/>
      <c r="L145" s="2"/>
      <c r="M145" s="2"/>
      <c r="N145" s="2" t="str">
        <f>'QBO Transactions'!$Y147</f>
        <v>300- ServiceNow:330- Sales</v>
      </c>
      <c r="O145" s="2"/>
      <c r="P145" s="2"/>
      <c r="Q145" s="2" t="str">
        <f>'QBO Transactions'!$T147</f>
        <v>UBER   *TRIP MASTERCARD-XXXXXXX83MBC-Maile Call</v>
      </c>
      <c r="R145" s="2"/>
      <c r="S145" s="2"/>
      <c r="T145" s="2"/>
      <c r="U145" s="2"/>
      <c r="V145" s="2"/>
      <c r="W145" s="2"/>
      <c r="X145" s="2" t="str">
        <f t="shared" si="2"/>
        <v>UBER   *TRIP MASTERCARD-XXXXXXX83MBC-Maile Call</v>
      </c>
      <c r="Y145" s="4">
        <f>'QBO Transactions'!$Q147</f>
        <v>46232</v>
      </c>
      <c r="Z145" s="2"/>
      <c r="AA145" s="2"/>
      <c r="AB145" s="2"/>
      <c r="AC145" s="2"/>
      <c r="AD145" s="2"/>
      <c r="AE145" s="2"/>
    </row>
    <row r="146" spans="1:31" ht="12.75" customHeight="1" x14ac:dyDescent="0.25">
      <c r="A146" s="2"/>
      <c r="B146" s="2" t="str">
        <f>'QBO Transactions'!$U148</f>
        <v>Brex Credit Card</v>
      </c>
      <c r="C146" s="3">
        <f>'QBO Transactions'!$S148</f>
        <v>21.2</v>
      </c>
      <c r="D146" s="2" t="str">
        <f>'QBO Transactions'!$R148</f>
        <v>SpotHero</v>
      </c>
      <c r="E146" s="2"/>
      <c r="F146" s="3" t="str">
        <f>'QBO Transactions'!$X148</f>
        <v>Cost of Goods Sold:COGS- Travel Expenses:Ground Transportation</v>
      </c>
      <c r="G146" s="2"/>
      <c r="H146" s="2"/>
      <c r="I146" s="2"/>
      <c r="J146" s="2"/>
      <c r="K146" s="2"/>
      <c r="L146" s="2"/>
      <c r="M146" s="2"/>
      <c r="N146" s="2" t="str">
        <f>'QBO Transactions'!$Y148</f>
        <v>300- ServiceNow:310- Delivery</v>
      </c>
      <c r="O146" s="2"/>
      <c r="P146" s="2"/>
      <c r="Q146" s="2" t="str">
        <f>'QBO Transactions'!$T148</f>
        <v>SPOTHERO 844-356-8054 MASTERCARD-XXXXXXAHR7ET-Meghan Murray</v>
      </c>
      <c r="R146" s="2"/>
      <c r="S146" s="2"/>
      <c r="T146" s="2"/>
      <c r="U146" s="2"/>
      <c r="V146" s="2"/>
      <c r="W146" s="2"/>
      <c r="X146" s="2" t="str">
        <f t="shared" si="2"/>
        <v>SPOTHERO 844-356-8054 MASTERCARD-XXXXXXAHR7ET-Meghan Murray</v>
      </c>
      <c r="Y146" s="4">
        <f>'QBO Transactions'!$Q148</f>
        <v>46232</v>
      </c>
      <c r="Z146" s="2"/>
      <c r="AA146" s="2"/>
      <c r="AB146" s="2"/>
      <c r="AC146" s="2"/>
      <c r="AD146" s="2"/>
      <c r="AE146" s="2"/>
    </row>
    <row r="147" spans="1:31" ht="12.75" customHeight="1" x14ac:dyDescent="0.25">
      <c r="A147" s="2"/>
      <c r="B147" s="2" t="str">
        <f>'QBO Transactions'!$U149</f>
        <v>Brex Credit Card</v>
      </c>
      <c r="C147" s="3">
        <f>'QBO Transactions'!$S149</f>
        <v>377.2</v>
      </c>
      <c r="D147" s="2" t="str">
        <f>'QBO Transactions'!$R149</f>
        <v>United Airlines</v>
      </c>
      <c r="E147" s="2"/>
      <c r="F147" s="3" t="str">
        <f>'QBO Transactions'!$X149</f>
        <v>Cost of Goods Sold:COGS- Travel Expenses:Airfare</v>
      </c>
      <c r="G147" s="2"/>
      <c r="H147" s="2"/>
      <c r="I147" s="2"/>
      <c r="J147" s="2"/>
      <c r="K147" s="2"/>
      <c r="L147" s="2"/>
      <c r="M147" s="2"/>
      <c r="N147" s="2" t="str">
        <f>'QBO Transactions'!$Y149</f>
        <v>200- Datadog:220- Engineering</v>
      </c>
      <c r="O147" s="2"/>
      <c r="P147" s="2"/>
      <c r="Q147" s="2" t="str">
        <f>'QBO Transactions'!$T149</f>
        <v>UNITED MASTERCARD-XXXXXXNHBXMF-McKenna Skoczen</v>
      </c>
      <c r="R147" s="2"/>
      <c r="S147" s="2"/>
      <c r="T147" s="2"/>
      <c r="U147" s="2"/>
      <c r="V147" s="2"/>
      <c r="W147" s="2"/>
      <c r="X147" s="2" t="str">
        <f t="shared" si="2"/>
        <v>UNITED MASTERCARD-XXXXXXNHBXMF-McKenna Skoczen</v>
      </c>
      <c r="Y147" s="4">
        <f>'QBO Transactions'!$Q149</f>
        <v>46233</v>
      </c>
      <c r="Z147" s="2"/>
      <c r="AA147" s="2"/>
      <c r="AB147" s="2"/>
      <c r="AC147" s="2"/>
      <c r="AD147" s="2"/>
      <c r="AE147" s="2"/>
    </row>
    <row r="148" spans="1:31" ht="12.75" customHeight="1" x14ac:dyDescent="0.25">
      <c r="A148" s="2"/>
      <c r="B148" s="2" t="str">
        <f>'QBO Transactions'!$U150</f>
        <v>Brex Credit Card</v>
      </c>
      <c r="C148" s="3">
        <f>'QBO Transactions'!$S150</f>
        <v>27.43</v>
      </c>
      <c r="D148" s="2" t="str">
        <f>'QBO Transactions'!$R150</f>
        <v>CVS</v>
      </c>
      <c r="E148" s="2"/>
      <c r="F148" s="3" t="str">
        <f>'QBO Transactions'!$X150</f>
        <v>General &amp; Administrative:Office Expenses:Office Supplies</v>
      </c>
      <c r="G148" s="2"/>
      <c r="H148" s="2"/>
      <c r="I148" s="2"/>
      <c r="J148" s="2"/>
      <c r="K148" s="2"/>
      <c r="L148" s="2"/>
      <c r="M148" s="2"/>
      <c r="N148" s="2" t="str">
        <f>'QBO Transactions'!$Y150</f>
        <v>100- Operations:110- G&amp;A</v>
      </c>
      <c r="O148" s="2"/>
      <c r="P148" s="2"/>
      <c r="Q148" s="2" t="str">
        <f>'QBO Transactions'!$T150</f>
        <v>CVS/PHARMACY #01217 MASTERCARD-XXXXXXVNBYQY-Samantha Purpura</v>
      </c>
      <c r="R148" s="2"/>
      <c r="S148" s="2"/>
      <c r="T148" s="2"/>
      <c r="U148" s="2"/>
      <c r="V148" s="2"/>
      <c r="W148" s="2"/>
      <c r="X148" s="2" t="str">
        <f t="shared" si="2"/>
        <v>CVS/PHARMACY #01217 MASTERCARD-XXXXXXVNBYQY-Samantha Purpura</v>
      </c>
      <c r="Y148" s="4">
        <f>'QBO Transactions'!$Q150</f>
        <v>46232</v>
      </c>
      <c r="Z148" s="2"/>
      <c r="AA148" s="2"/>
      <c r="AB148" s="2"/>
      <c r="AC148" s="2"/>
      <c r="AD148" s="2"/>
      <c r="AE148" s="2"/>
    </row>
    <row r="149" spans="1:31" ht="12.75" customHeight="1" x14ac:dyDescent="0.25">
      <c r="A149" s="2"/>
      <c r="B149" s="2" t="str">
        <f>'QBO Transactions'!$U151</f>
        <v>Brex Credit Card</v>
      </c>
      <c r="C149" s="3">
        <f>'QBO Transactions'!$S151</f>
        <v>5.76</v>
      </c>
      <c r="D149" s="2" t="str">
        <f>'QBO Transactions'!$R151</f>
        <v>Starbucks</v>
      </c>
      <c r="E149" s="2"/>
      <c r="F149" s="3" t="str">
        <f>'QBO Transactions'!$X151</f>
        <v>Sales &amp; Marketing:Sales &amp; Marketing- Travel Expenses:Meals &amp; Entertainment</v>
      </c>
      <c r="G149" s="2"/>
      <c r="H149" s="2"/>
      <c r="I149" s="2"/>
      <c r="J149" s="2"/>
      <c r="K149" s="2"/>
      <c r="L149" s="2"/>
      <c r="M149" s="2"/>
      <c r="N149" s="2" t="str">
        <f>'QBO Transactions'!$Y151</f>
        <v>100- Operations:120- Marketing</v>
      </c>
      <c r="O149" s="2"/>
      <c r="P149" s="2"/>
      <c r="Q149" s="2" t="str">
        <f>'QBO Transactions'!$T151</f>
        <v>STARBUCKS STORE 80448 MASTERCARD-XXXXXXH8I7QF-Toni Manning</v>
      </c>
      <c r="R149" s="2"/>
      <c r="S149" s="2"/>
      <c r="T149" s="2"/>
      <c r="U149" s="2"/>
      <c r="V149" s="2"/>
      <c r="W149" s="2"/>
      <c r="X149" s="2" t="str">
        <f t="shared" si="2"/>
        <v>STARBUCKS STORE 80448 MASTERCARD-XXXXXXH8I7QF-Toni Manning</v>
      </c>
      <c r="Y149" s="4">
        <f>'QBO Transactions'!$Q151</f>
        <v>46233</v>
      </c>
      <c r="Z149" s="2"/>
      <c r="AA149" s="2"/>
      <c r="AB149" s="2"/>
      <c r="AC149" s="2"/>
      <c r="AD149" s="2"/>
      <c r="AE149" s="2"/>
    </row>
    <row r="150" spans="1:31" ht="12.75" customHeight="1" x14ac:dyDescent="0.25">
      <c r="A150" s="2"/>
      <c r="B150" s="2" t="str">
        <f>'QBO Transactions'!$U152</f>
        <v>Brex Credit Card</v>
      </c>
      <c r="C150" s="3">
        <f>'QBO Transactions'!$S152</f>
        <v>132.80000000000001</v>
      </c>
      <c r="D150" s="2" t="str">
        <f>'QBO Transactions'!$R152</f>
        <v>Office Vendor</v>
      </c>
      <c r="E150" s="2"/>
      <c r="F150" s="3" t="str">
        <f>'QBO Transactions'!$X152</f>
        <v>General &amp; Administrative:Office Expenses:Hardware &amp; Peripherals</v>
      </c>
      <c r="G150" s="2"/>
      <c r="H150" s="2"/>
      <c r="I150" s="2"/>
      <c r="J150" s="2"/>
      <c r="K150" s="2"/>
      <c r="L150" s="2"/>
      <c r="M150" s="2"/>
      <c r="N150" s="2" t="str">
        <f>'QBO Transactions'!$Y152</f>
        <v>100- Operations:110- G&amp;A</v>
      </c>
      <c r="O150" s="2"/>
      <c r="P150" s="2"/>
      <c r="Q150" s="2" t="str">
        <f>'QBO Transactions'!$T152</f>
        <v>MICRO CENTER #121 MASTERCARD-XXXXXXNSZZ0P-Michael Button</v>
      </c>
      <c r="R150" s="2"/>
      <c r="S150" s="2"/>
      <c r="T150" s="2"/>
      <c r="U150" s="2"/>
      <c r="V150" s="2"/>
      <c r="W150" s="2"/>
      <c r="X150" s="2" t="str">
        <f t="shared" si="2"/>
        <v>MICRO CENTER #121 MASTERCARD-XXXXXXNSZZ0P-Michael Button</v>
      </c>
      <c r="Y150" s="4">
        <f>'QBO Transactions'!$Q152</f>
        <v>46233</v>
      </c>
      <c r="Z150" s="2"/>
      <c r="AA150" s="2"/>
      <c r="AB150" s="2"/>
      <c r="AC150" s="2"/>
      <c r="AD150" s="2"/>
      <c r="AE150" s="2"/>
    </row>
    <row r="151" spans="1:31" ht="12.75" customHeight="1" x14ac:dyDescent="0.25">
      <c r="A151" s="2"/>
      <c r="B151" s="2" t="str">
        <f>'QBO Transactions'!$U153</f>
        <v>Brex Credit Card</v>
      </c>
      <c r="C151" s="3">
        <f>'QBO Transactions'!$S153</f>
        <v>144.79</v>
      </c>
      <c r="D151" s="2" t="str">
        <f>'QBO Transactions'!$R153</f>
        <v>Southwest Air</v>
      </c>
      <c r="E151" s="2"/>
      <c r="F151" s="3" t="str">
        <f>'QBO Transactions'!$X153</f>
        <v>Cost of Goods Sold:COGS- Travel Expenses:Airfare</v>
      </c>
      <c r="G151" s="2"/>
      <c r="H151" s="2"/>
      <c r="I151" s="2"/>
      <c r="J151" s="2"/>
      <c r="K151" s="2"/>
      <c r="L151" s="2"/>
      <c r="M151" s="2"/>
      <c r="N151" s="2" t="str">
        <f>'QBO Transactions'!$Y153</f>
        <v>300- ServiceNow:320- Engineering</v>
      </c>
      <c r="O151" s="2"/>
      <c r="P151" s="2"/>
      <c r="Q151" s="2" t="str">
        <f>'QBO Transactions'!$T153</f>
        <v>SOUTHWES MASTERCARD-XXXXXXFY3NAH-Jonathan Stricklin</v>
      </c>
      <c r="R151" s="2"/>
      <c r="S151" s="2"/>
      <c r="T151" s="2"/>
      <c r="U151" s="2"/>
      <c r="V151" s="2"/>
      <c r="W151" s="2"/>
      <c r="X151" s="2" t="str">
        <f t="shared" si="2"/>
        <v>SOUTHWES MASTERCARD-XXXXXXFY3NAH-Jonathan Stricklin</v>
      </c>
      <c r="Y151" s="4">
        <f>'QBO Transactions'!$Q153</f>
        <v>46233</v>
      </c>
      <c r="Z151" s="2"/>
      <c r="AA151" s="2"/>
      <c r="AB151" s="2"/>
      <c r="AC151" s="2"/>
      <c r="AD151" s="2"/>
      <c r="AE151" s="2"/>
    </row>
    <row r="152" spans="1:31" ht="12.75" customHeight="1" x14ac:dyDescent="0.25">
      <c r="A152" s="2"/>
      <c r="B152" s="2" t="str">
        <f>'QBO Transactions'!$U154</f>
        <v>Brex Credit Card</v>
      </c>
      <c r="C152" s="3">
        <f>'QBO Transactions'!$S154</f>
        <v>23.28</v>
      </c>
      <c r="D152" s="2" t="str">
        <f>'QBO Transactions'!$R154</f>
        <v>Food Vendor</v>
      </c>
      <c r="E152" s="2"/>
      <c r="F152" s="3" t="str">
        <f>'QBO Transactions'!$X154</f>
        <v>Cost of Goods Sold:COGS- Travel Expenses:Meals &amp; Entertainment</v>
      </c>
      <c r="G152" s="2"/>
      <c r="H152" s="2"/>
      <c r="I152" s="2"/>
      <c r="J152" s="2"/>
      <c r="K152" s="2"/>
      <c r="L152" s="2"/>
      <c r="M152" s="2"/>
      <c r="N152" s="2" t="str">
        <f>'QBO Transactions'!$Y154</f>
        <v>200- Datadog:220- Engineering</v>
      </c>
      <c r="O152" s="2"/>
      <c r="P152" s="2"/>
      <c r="Q152" s="2" t="str">
        <f>'QBO Transactions'!$T154</f>
        <v>THAI BASIL RESTAURANT MASTERCARD-XXXXXXTTQVEV-Anthony Nguyen</v>
      </c>
      <c r="R152" s="2"/>
      <c r="S152" s="2"/>
      <c r="T152" s="2"/>
      <c r="U152" s="2"/>
      <c r="V152" s="2"/>
      <c r="W152" s="2"/>
      <c r="X152" s="2" t="str">
        <f t="shared" si="2"/>
        <v>THAI BASIL RESTAURANT MASTERCARD-XXXXXXTTQVEV-Anthony Nguyen</v>
      </c>
      <c r="Y152" s="4">
        <f>'QBO Transactions'!$Q154</f>
        <v>46233</v>
      </c>
      <c r="Z152" s="2"/>
      <c r="AA152" s="2"/>
      <c r="AB152" s="2"/>
      <c r="AC152" s="2"/>
      <c r="AD152" s="2"/>
      <c r="AE152" s="2"/>
    </row>
    <row r="153" spans="1:31" ht="12.75" customHeight="1" x14ac:dyDescent="0.25">
      <c r="A153" s="2"/>
      <c r="B153" s="2" t="str">
        <f>'QBO Transactions'!$U155</f>
        <v>Brex Credit Card</v>
      </c>
      <c r="C153" s="3">
        <f>'QBO Transactions'!$S155</f>
        <v>327.24</v>
      </c>
      <c r="D153" s="2" t="str">
        <f>'QBO Transactions'!$R155</f>
        <v>Food Vendor</v>
      </c>
      <c r="E153" s="2"/>
      <c r="F153" s="3" t="str">
        <f>'QBO Transactions'!$X155</f>
        <v>Sales &amp; Marketing:Sales &amp; Marketing- Travel Expenses:Meals &amp; Entertainment</v>
      </c>
      <c r="G153" s="2"/>
      <c r="H153" s="2"/>
      <c r="I153" s="2"/>
      <c r="J153" s="2"/>
      <c r="K153" s="2"/>
      <c r="L153" s="2"/>
      <c r="M153" s="2"/>
      <c r="N153" s="2" t="str">
        <f>'QBO Transactions'!$Y155</f>
        <v>100- Operations:120- Marketing</v>
      </c>
      <c r="O153" s="2"/>
      <c r="P153" s="2"/>
      <c r="Q153" s="2" t="str">
        <f>'QBO Transactions'!$T155</f>
        <v>TST* LOLITA BACK BAY MASTERCARD-XXXXXXCUBPYP-Toni Manning</v>
      </c>
      <c r="R153" s="2"/>
      <c r="S153" s="2"/>
      <c r="T153" s="2"/>
      <c r="U153" s="2"/>
      <c r="V153" s="2"/>
      <c r="W153" s="2"/>
      <c r="X153" s="2" t="str">
        <f t="shared" si="2"/>
        <v>TST* LOLITA BACK BAY MASTERCARD-XXXXXXCUBPYP-Toni Manning</v>
      </c>
      <c r="Y153" s="4">
        <f>'QBO Transactions'!$Q155</f>
        <v>46232</v>
      </c>
      <c r="Z153" s="2"/>
      <c r="AA153" s="2"/>
      <c r="AB153" s="2"/>
      <c r="AC153" s="2"/>
      <c r="AD153" s="2"/>
      <c r="AE153" s="2"/>
    </row>
    <row r="154" spans="1:31" ht="12.75" customHeight="1" x14ac:dyDescent="0.25">
      <c r="A154" s="2"/>
      <c r="B154" s="2" t="str">
        <f>'QBO Transactions'!$U156</f>
        <v>Brex Credit Card</v>
      </c>
      <c r="C154" s="3">
        <f>'QBO Transactions'!$S156</f>
        <v>73.19</v>
      </c>
      <c r="D154" s="2" t="str">
        <f>'QBO Transactions'!$R156</f>
        <v>Cactus Club</v>
      </c>
      <c r="E154" s="2"/>
      <c r="F154" s="3" t="str">
        <f>'QBO Transactions'!$X156</f>
        <v>General &amp; Administrative:G&amp;A- Travel Expenses:Meals &amp; Entertainment</v>
      </c>
      <c r="G154" s="2"/>
      <c r="H154" s="2"/>
      <c r="I154" s="2"/>
      <c r="J154" s="2"/>
      <c r="K154" s="2"/>
      <c r="L154" s="2"/>
      <c r="M154" s="2"/>
      <c r="N154" s="2" t="str">
        <f>'QBO Transactions'!$Y156</f>
        <v>100- Operations:110- G&amp;A</v>
      </c>
      <c r="O154" s="2"/>
      <c r="P154" s="2"/>
      <c r="Q154" s="2" t="str">
        <f>'QBO Transactions'!$T156</f>
        <v>CACTUS CLUB BACK BAY MASTERCARD-XXXXXXRXD3QO-Kevin Ebert</v>
      </c>
      <c r="R154" s="2"/>
      <c r="S154" s="2"/>
      <c r="T154" s="2"/>
      <c r="U154" s="2"/>
      <c r="V154" s="2"/>
      <c r="W154" s="2"/>
      <c r="X154" s="2" t="str">
        <f t="shared" si="2"/>
        <v>CACTUS CLUB BACK BAY MASTERCARD-XXXXXXRXD3QO-Kevin Ebert</v>
      </c>
      <c r="Y154" s="4">
        <f>'QBO Transactions'!$Q156</f>
        <v>46233</v>
      </c>
      <c r="Z154" s="2"/>
      <c r="AA154" s="2"/>
      <c r="AB154" s="2"/>
      <c r="AC154" s="2"/>
      <c r="AD154" s="2"/>
      <c r="AE154" s="2"/>
    </row>
    <row r="155" spans="1:31" ht="12.75" customHeight="1" x14ac:dyDescent="0.25">
      <c r="A155" s="2"/>
      <c r="B155" s="2" t="str">
        <f>'QBO Transactions'!$U157</f>
        <v>Brex Credit Card</v>
      </c>
      <c r="C155" s="3">
        <f>'QBO Transactions'!$S157</f>
        <v>325.3</v>
      </c>
      <c r="D155" s="2" t="str">
        <f>'QBO Transactions'!$R157</f>
        <v>Parish Cafe</v>
      </c>
      <c r="E155" s="2"/>
      <c r="F155" s="3" t="str">
        <f>'QBO Transactions'!$X157</f>
        <v>Sales &amp; Marketing:Sales &amp; Marketing- Travel Expenses:Meals &amp; Entertainment</v>
      </c>
      <c r="G155" s="2"/>
      <c r="H155" s="2"/>
      <c r="I155" s="2"/>
      <c r="J155" s="2"/>
      <c r="K155" s="2"/>
      <c r="L155" s="2"/>
      <c r="M155" s="2"/>
      <c r="N155" s="2" t="str">
        <f>'QBO Transactions'!$Y157</f>
        <v>200- Datadog:230- Sales</v>
      </c>
      <c r="O155" s="2"/>
      <c r="P155" s="2"/>
      <c r="Q155" s="2" t="str">
        <f>'QBO Transactions'!$T157</f>
        <v>TST*PARISH CAFE MASTERCARD-XXXXXXOP94CE-Colin Galanaugh</v>
      </c>
      <c r="R155" s="2"/>
      <c r="S155" s="2"/>
      <c r="T155" s="2"/>
      <c r="U155" s="2"/>
      <c r="V155" s="2"/>
      <c r="W155" s="2"/>
      <c r="X155" s="2" t="str">
        <f t="shared" si="2"/>
        <v>TST*PARISH CAFE MASTERCARD-XXXXXXOP94CE-Colin Galanaugh</v>
      </c>
      <c r="Y155" s="4">
        <f>'QBO Transactions'!$Q157</f>
        <v>46232</v>
      </c>
      <c r="Z155" s="2"/>
      <c r="AA155" s="2"/>
      <c r="AB155" s="2"/>
      <c r="AC155" s="2"/>
      <c r="AD155" s="2"/>
      <c r="AE155" s="2"/>
    </row>
    <row r="156" spans="1:31" ht="12.75" customHeight="1" x14ac:dyDescent="0.25">
      <c r="A156" s="2"/>
      <c r="B156" s="2" t="str">
        <f>'QBO Transactions'!$U158</f>
        <v>Brex Credit Card</v>
      </c>
      <c r="C156" s="3">
        <f>'QBO Transactions'!$S158</f>
        <v>6.99</v>
      </c>
      <c r="D156" s="2" t="str">
        <f>'QBO Transactions'!$R158</f>
        <v>Uber</v>
      </c>
      <c r="E156" s="2"/>
      <c r="F156" s="3" t="str">
        <f>'QBO Transactions'!$X158</f>
        <v>Sales &amp; Marketing:Sales &amp; Marketing- Travel Expenses:Ground Transportation</v>
      </c>
      <c r="G156" s="2"/>
      <c r="H156" s="2"/>
      <c r="I156" s="2"/>
      <c r="J156" s="2"/>
      <c r="K156" s="2"/>
      <c r="L156" s="2"/>
      <c r="M156" s="2"/>
      <c r="N156" s="2" t="str">
        <f>'QBO Transactions'!$Y158</f>
        <v>300- ServiceNow:330- Sales</v>
      </c>
      <c r="O156" s="2"/>
      <c r="P156" s="2"/>
      <c r="Q156" s="2" t="str">
        <f>'QBO Transactions'!$T158</f>
        <v>UBER   *TRIP MASTERCARD-XXXXXX7Z44ZM-Maile Call</v>
      </c>
      <c r="R156" s="2"/>
      <c r="S156" s="2"/>
      <c r="T156" s="2"/>
      <c r="U156" s="2"/>
      <c r="V156" s="2"/>
      <c r="W156" s="2"/>
      <c r="X156" s="2" t="str">
        <f t="shared" si="2"/>
        <v>UBER   *TRIP MASTERCARD-XXXXXX7Z44ZM-Maile Call</v>
      </c>
      <c r="Y156" s="4">
        <f>'QBO Transactions'!$Q158</f>
        <v>46232</v>
      </c>
      <c r="Z156" s="2"/>
      <c r="AA156" s="2"/>
      <c r="AB156" s="2"/>
      <c r="AC156" s="2"/>
      <c r="AD156" s="2"/>
      <c r="AE156" s="2"/>
    </row>
    <row r="157" spans="1:31" ht="12.75" customHeight="1" x14ac:dyDescent="0.25">
      <c r="A157" s="2"/>
      <c r="B157" s="2" t="str">
        <f>'QBO Transactions'!$U159</f>
        <v>Brex Credit Card</v>
      </c>
      <c r="C157" s="3">
        <f>'QBO Transactions'!$S159</f>
        <v>16.87</v>
      </c>
      <c r="D157" s="2" t="str">
        <f>'QBO Transactions'!$R159</f>
        <v>Food Vendor</v>
      </c>
      <c r="E157" s="2"/>
      <c r="F157" s="3" t="str">
        <f>'QBO Transactions'!$X159</f>
        <v>Sales &amp; Marketing:Sales &amp; Marketing- Travel Expenses:Meals &amp; Entertainment</v>
      </c>
      <c r="G157" s="2"/>
      <c r="H157" s="2"/>
      <c r="I157" s="2"/>
      <c r="J157" s="2"/>
      <c r="K157" s="2"/>
      <c r="L157" s="2"/>
      <c r="M157" s="2"/>
      <c r="N157" s="2" t="str">
        <f>'QBO Transactions'!$Y159</f>
        <v>300- ServiceNow:330- Sales</v>
      </c>
      <c r="O157" s="2"/>
      <c r="P157" s="2"/>
      <c r="Q157" s="2" t="str">
        <f>'QBO Transactions'!$T159</f>
        <v>SPO*FINAGLEABAGEL MASTERCARD-XXXXXXSBBL7P-Matt Hyman</v>
      </c>
      <c r="R157" s="2"/>
      <c r="S157" s="2"/>
      <c r="T157" s="2"/>
      <c r="U157" s="2"/>
      <c r="V157" s="2"/>
      <c r="W157" s="2"/>
      <c r="X157" s="2" t="str">
        <f t="shared" si="2"/>
        <v>SPO*FINAGLEABAGEL MASTERCARD-XXXXXXSBBL7P-Matt Hyman</v>
      </c>
      <c r="Y157" s="4">
        <f>'QBO Transactions'!$Q159</f>
        <v>46232</v>
      </c>
      <c r="Z157" s="2"/>
      <c r="AA157" s="2"/>
      <c r="AB157" s="2"/>
      <c r="AC157" s="2"/>
      <c r="AD157" s="2"/>
      <c r="AE157" s="2"/>
    </row>
    <row r="158" spans="1:31" ht="12.75" customHeight="1" x14ac:dyDescent="0.25">
      <c r="A158" s="2"/>
      <c r="B158" s="2" t="str">
        <f>'QBO Transactions'!$U160</f>
        <v>Brex Credit Card</v>
      </c>
      <c r="C158" s="3">
        <f>'QBO Transactions'!$S160</f>
        <v>31.68</v>
      </c>
      <c r="D158" s="2" t="str">
        <f>'QBO Transactions'!$R160</f>
        <v>Dig Inn</v>
      </c>
      <c r="E158" s="2"/>
      <c r="F158" s="3" t="str">
        <f>'QBO Transactions'!$X160</f>
        <v>Sales &amp; Marketing:Sales &amp; Marketing- Travel Expenses:Meals &amp; Entertainment</v>
      </c>
      <c r="G158" s="2"/>
      <c r="H158" s="2"/>
      <c r="I158" s="2"/>
      <c r="J158" s="2"/>
      <c r="K158" s="2"/>
      <c r="L158" s="2"/>
      <c r="M158" s="2"/>
      <c r="N158" s="2" t="str">
        <f>'QBO Transactions'!$Y160</f>
        <v>300- ServiceNow:330- Sales</v>
      </c>
      <c r="O158" s="2"/>
      <c r="P158" s="2"/>
      <c r="Q158" s="2" t="str">
        <f>'QBO Transactions'!$T160</f>
        <v>TST* DIG INN - BACK BA MASTERCARD-XXXXXXM24VLJ-Brian McGonigal</v>
      </c>
      <c r="R158" s="2"/>
      <c r="S158" s="2"/>
      <c r="T158" s="2"/>
      <c r="U158" s="2"/>
      <c r="V158" s="2"/>
      <c r="W158" s="2"/>
      <c r="X158" s="2" t="str">
        <f t="shared" si="2"/>
        <v>TST* DIG INN - BACK BA MASTERCARD-XXXXXXM24VLJ-Brian McGonigal</v>
      </c>
      <c r="Y158" s="4">
        <f>'QBO Transactions'!$Q160</f>
        <v>46232</v>
      </c>
      <c r="Z158" s="2"/>
      <c r="AA158" s="2"/>
      <c r="AB158" s="2"/>
      <c r="AC158" s="2"/>
      <c r="AD158" s="2"/>
      <c r="AE158" s="2"/>
    </row>
    <row r="159" spans="1:31" ht="12.75" customHeight="1" x14ac:dyDescent="0.25">
      <c r="A159" s="2"/>
      <c r="B159" s="2" t="str">
        <f>'QBO Transactions'!$U161</f>
        <v>Brex Credit Card</v>
      </c>
      <c r="C159" s="3">
        <f>'QBO Transactions'!$S161</f>
        <v>15.18</v>
      </c>
      <c r="D159" s="2" t="str">
        <f>'QBO Transactions'!$R161</f>
        <v>Food Vendor</v>
      </c>
      <c r="E159" s="2"/>
      <c r="F159" s="3" t="str">
        <f>'QBO Transactions'!$X161</f>
        <v>General &amp; Administrative:G&amp;A- Travel Expenses:Meals &amp; Entertainment</v>
      </c>
      <c r="G159" s="2"/>
      <c r="H159" s="2"/>
      <c r="I159" s="2"/>
      <c r="J159" s="2"/>
      <c r="K159" s="2"/>
      <c r="L159" s="2"/>
      <c r="M159" s="2"/>
      <c r="N159" s="2" t="str">
        <f>'QBO Transactions'!$Y161</f>
        <v>100- Operations:110- G&amp;A</v>
      </c>
      <c r="O159" s="2"/>
      <c r="P159" s="2"/>
      <c r="Q159" s="2" t="str">
        <f>'QBO Transactions'!$T161</f>
        <v>TST* NAYA - 500 BOYLST MASTERCARD-XXXXXXJ4L8NA-Frederick Simpson</v>
      </c>
      <c r="R159" s="2"/>
      <c r="S159" s="2"/>
      <c r="T159" s="2"/>
      <c r="U159" s="2"/>
      <c r="V159" s="2"/>
      <c r="W159" s="2"/>
      <c r="X159" s="2" t="str">
        <f t="shared" si="2"/>
        <v>TST* NAYA - 500 BOYLST MASTERCARD-XXXXXXJ4L8NA-Frederick Simpson</v>
      </c>
      <c r="Y159" s="4">
        <f>'QBO Transactions'!$Q161</f>
        <v>46232</v>
      </c>
      <c r="Z159" s="2"/>
      <c r="AA159" s="2"/>
      <c r="AB159" s="2"/>
      <c r="AC159" s="2"/>
      <c r="AD159" s="2"/>
      <c r="AE159" s="2"/>
    </row>
    <row r="160" spans="1:31" ht="12.75" customHeight="1" x14ac:dyDescent="0.25">
      <c r="A160" s="2"/>
      <c r="B160" s="2" t="str">
        <f>'QBO Transactions'!$U162</f>
        <v>Brex Credit Card</v>
      </c>
      <c r="C160" s="3">
        <f>'QBO Transactions'!$S162</f>
        <v>27.13</v>
      </c>
      <c r="D160" s="2" t="str">
        <f>'QBO Transactions'!$R162</f>
        <v>Thinking Cup</v>
      </c>
      <c r="E160" s="2"/>
      <c r="F160" s="3" t="str">
        <f>'QBO Transactions'!$X162</f>
        <v>Cost of Goods Sold:COGS- Travel Expenses:Meals &amp; Entertainment</v>
      </c>
      <c r="G160" s="2"/>
      <c r="H160" s="2"/>
      <c r="I160" s="2"/>
      <c r="J160" s="2"/>
      <c r="K160" s="2"/>
      <c r="L160" s="2"/>
      <c r="M160" s="2"/>
      <c r="N160" s="2" t="str">
        <f>'QBO Transactions'!$Y162</f>
        <v>300- ServiceNow:320- Engineering</v>
      </c>
      <c r="O160" s="2"/>
      <c r="P160" s="2"/>
      <c r="Q160" s="2" t="str">
        <f>'QBO Transactions'!$T162</f>
        <v>SQ *THINKING CUP NEWBU MASTERCARD-XXXXXXFHIOXK-Ben Savage</v>
      </c>
      <c r="R160" s="2"/>
      <c r="S160" s="2"/>
      <c r="T160" s="2"/>
      <c r="U160" s="2"/>
      <c r="V160" s="2"/>
      <c r="W160" s="2"/>
      <c r="X160" s="2" t="str">
        <f t="shared" si="2"/>
        <v>SQ *THINKING CUP NEWBU MASTERCARD-XXXXXXFHIOXK-Ben Savage</v>
      </c>
      <c r="Y160" s="4">
        <f>'QBO Transactions'!$Q162</f>
        <v>46232</v>
      </c>
      <c r="Z160" s="2"/>
      <c r="AA160" s="2"/>
      <c r="AB160" s="2"/>
      <c r="AC160" s="2"/>
      <c r="AD160" s="2"/>
      <c r="AE160" s="2"/>
    </row>
    <row r="161" spans="1:31" ht="12.75" customHeight="1" x14ac:dyDescent="0.25">
      <c r="A161" s="2"/>
      <c r="B161" s="2" t="str">
        <f>'QBO Transactions'!$U163</f>
        <v>Brex Credit Card</v>
      </c>
      <c r="C161" s="3">
        <f>'QBO Transactions'!$S163</f>
        <v>14.93</v>
      </c>
      <c r="D161" s="2" t="str">
        <f>'QBO Transactions'!$R163</f>
        <v>Sweetgreen</v>
      </c>
      <c r="E161" s="2"/>
      <c r="F161" s="3" t="str">
        <f>'QBO Transactions'!$X163</f>
        <v>General &amp; Administrative:G&amp;A- Travel Expenses:Meals &amp; Entertainment</v>
      </c>
      <c r="G161" s="2"/>
      <c r="H161" s="2"/>
      <c r="I161" s="2"/>
      <c r="J161" s="2"/>
      <c r="K161" s="2"/>
      <c r="L161" s="2"/>
      <c r="M161" s="2"/>
      <c r="N161" s="2" t="str">
        <f>'QBO Transactions'!$Y163</f>
        <v>100- Operations:110- G&amp;A</v>
      </c>
      <c r="O161" s="2"/>
      <c r="P161" s="2"/>
      <c r="Q161" s="2" t="str">
        <f>'QBO Transactions'!$T163</f>
        <v>WWW.SWEETGREEN.COM MASTERCARD-XXXXXXXPSP0V-Vincent Planz</v>
      </c>
      <c r="R161" s="2"/>
      <c r="S161" s="2"/>
      <c r="T161" s="2"/>
      <c r="U161" s="2"/>
      <c r="V161" s="2"/>
      <c r="W161" s="2"/>
      <c r="X161" s="2" t="str">
        <f t="shared" si="2"/>
        <v>WWW.SWEETGREEN.COM MASTERCARD-XXXXXXXPSP0V-Vincent Planz</v>
      </c>
      <c r="Y161" s="4">
        <f>'QBO Transactions'!$Q163</f>
        <v>46232</v>
      </c>
      <c r="Z161" s="2"/>
      <c r="AA161" s="2"/>
      <c r="AB161" s="2"/>
      <c r="AC161" s="2"/>
      <c r="AD161" s="2"/>
      <c r="AE161" s="2"/>
    </row>
    <row r="162" spans="1:31" ht="12.75" customHeight="1" x14ac:dyDescent="0.25">
      <c r="A162" s="2"/>
      <c r="B162" s="2" t="str">
        <f>'QBO Transactions'!$U164</f>
        <v>Brex Credit Card</v>
      </c>
      <c r="C162" s="3">
        <f>'QBO Transactions'!$S164</f>
        <v>15.93</v>
      </c>
      <c r="D162" s="2" t="str">
        <f>'QBO Transactions'!$R164</f>
        <v>Adobe</v>
      </c>
      <c r="E162" s="2"/>
      <c r="F162" s="3" t="str">
        <f>'QBO Transactions'!$X164</f>
        <v>General &amp; Administrative:Software Licenses</v>
      </c>
      <c r="G162" s="2"/>
      <c r="H162" s="2"/>
      <c r="I162" s="2"/>
      <c r="J162" s="2"/>
      <c r="K162" s="2"/>
      <c r="L162" s="2"/>
      <c r="M162" s="2"/>
      <c r="N162" s="2" t="str">
        <f>'QBO Transactions'!$Y164</f>
        <v>100- Operations:110- G&amp;A</v>
      </c>
      <c r="O162" s="2"/>
      <c r="P162" s="2"/>
      <c r="Q162" s="2" t="str">
        <f>'QBO Transactions'!$T164</f>
        <v>Adobe MASTERCARD-XXXXXXXRB6TN-Vincent Planz</v>
      </c>
      <c r="R162" s="2"/>
      <c r="S162" s="2"/>
      <c r="T162" s="2"/>
      <c r="U162" s="2"/>
      <c r="V162" s="2"/>
      <c r="W162" s="2"/>
      <c r="X162" s="2" t="str">
        <f t="shared" si="2"/>
        <v>Adobe MASTERCARD-XXXXXXXRB6TN-Vincent Planz</v>
      </c>
      <c r="Y162" s="4">
        <f>'QBO Transactions'!$Q164</f>
        <v>46232</v>
      </c>
      <c r="Z162" s="2"/>
      <c r="AA162" s="2"/>
      <c r="AB162" s="2"/>
      <c r="AC162" s="2"/>
      <c r="AD162" s="2"/>
      <c r="AE162" s="2"/>
    </row>
    <row r="163" spans="1:31" ht="12.75" customHeight="1" x14ac:dyDescent="0.25">
      <c r="A163" s="2"/>
      <c r="B163" s="2" t="str">
        <f>'QBO Transactions'!$U165</f>
        <v>Brex Credit Card</v>
      </c>
      <c r="C163" s="3">
        <f>'QBO Transactions'!$S165</f>
        <v>35.96</v>
      </c>
      <c r="D163" s="2" t="str">
        <f>'QBO Transactions'!$R165</f>
        <v>Uber</v>
      </c>
      <c r="E163" s="2"/>
      <c r="F163" s="3" t="str">
        <f>'QBO Transactions'!$X165</f>
        <v>Cost of Goods Sold:COGS- Travel Expenses:Ground Transportation</v>
      </c>
      <c r="G163" s="2"/>
      <c r="H163" s="2"/>
      <c r="I163" s="2"/>
      <c r="J163" s="2"/>
      <c r="K163" s="2"/>
      <c r="L163" s="2"/>
      <c r="M163" s="2"/>
      <c r="N163" s="2" t="str">
        <f>'QBO Transactions'!$Y165</f>
        <v>300- ServiceNow:320- Engineering</v>
      </c>
      <c r="O163" s="2"/>
      <c r="P163" s="2"/>
      <c r="Q163" s="2" t="str">
        <f>'QBO Transactions'!$T165</f>
        <v>UBER   *TRIP MASTERCARD-XXXXXXSA8BTN-Lyndsey Cohen</v>
      </c>
      <c r="R163" s="2"/>
      <c r="S163" s="2"/>
      <c r="T163" s="2"/>
      <c r="U163" s="2"/>
      <c r="V163" s="2"/>
      <c r="W163" s="2"/>
      <c r="X163" s="2" t="str">
        <f t="shared" si="2"/>
        <v>UBER   *TRIP MASTERCARD-XXXXXXSA8BTN-Lyndsey Cohen</v>
      </c>
      <c r="Y163" s="4">
        <f>'QBO Transactions'!$Q165</f>
        <v>46232</v>
      </c>
      <c r="Z163" s="2"/>
      <c r="AA163" s="2"/>
      <c r="AB163" s="2"/>
      <c r="AC163" s="2"/>
      <c r="AD163" s="2"/>
      <c r="AE163" s="2"/>
    </row>
    <row r="164" spans="1:31" ht="12.75" customHeight="1" x14ac:dyDescent="0.25">
      <c r="A164" s="2"/>
      <c r="B164" s="2" t="str">
        <f>'QBO Transactions'!$U166</f>
        <v>Brex Credit Card</v>
      </c>
      <c r="C164" s="3">
        <f>'QBO Transactions'!$S166</f>
        <v>38.47</v>
      </c>
      <c r="D164" s="2" t="str">
        <f>'QBO Transactions'!$R166</f>
        <v>Door Dash</v>
      </c>
      <c r="E164" s="2"/>
      <c r="F164" s="3" t="str">
        <f>'QBO Transactions'!$X166</f>
        <v>Cost of Goods Sold:COGS- Travel Expenses:Meals &amp; Entertainment</v>
      </c>
      <c r="G164" s="2"/>
      <c r="H164" s="2"/>
      <c r="I164" s="2"/>
      <c r="J164" s="2"/>
      <c r="K164" s="2"/>
      <c r="L164" s="2"/>
      <c r="M164" s="2"/>
      <c r="N164" s="2" t="str">
        <f>'QBO Transactions'!$Y166</f>
        <v>300- ServiceNow:320- Engineering</v>
      </c>
      <c r="O164" s="2"/>
      <c r="P164" s="2"/>
      <c r="Q164" s="2" t="str">
        <f>'QBO Transactions'!$T166</f>
        <v>DD *DOORDASH VEGGIECRU MASTERCARD-XXXXXXILBFDN-Israel Baral</v>
      </c>
      <c r="R164" s="2"/>
      <c r="S164" s="2"/>
      <c r="T164" s="2"/>
      <c r="U164" s="2"/>
      <c r="V164" s="2"/>
      <c r="W164" s="2"/>
      <c r="X164" s="2" t="str">
        <f t="shared" si="2"/>
        <v>DD *DOORDASH VEGGIECRU MASTERCARD-XXXXXXILBFDN-Israel Baral</v>
      </c>
      <c r="Y164" s="4">
        <f>'QBO Transactions'!$Q166</f>
        <v>46232</v>
      </c>
      <c r="Z164" s="2"/>
      <c r="AA164" s="2"/>
      <c r="AB164" s="2"/>
      <c r="AC164" s="2"/>
      <c r="AD164" s="2"/>
      <c r="AE164" s="2"/>
    </row>
    <row r="165" spans="1:31" ht="12.75" customHeight="1" x14ac:dyDescent="0.25">
      <c r="A165" s="2"/>
      <c r="B165" s="2" t="str">
        <f>'QBO Transactions'!$U167</f>
        <v>Brex Credit Card</v>
      </c>
      <c r="C165" s="3">
        <f>'QBO Transactions'!$S167</f>
        <v>28.99</v>
      </c>
      <c r="D165" s="2" t="str">
        <f>'QBO Transactions'!$R167</f>
        <v>Uber</v>
      </c>
      <c r="E165" s="2"/>
      <c r="F165" s="3" t="str">
        <f>'QBO Transactions'!$X167</f>
        <v>Sales &amp; Marketing:Sales &amp; Marketing- Travel Expenses:Ground Transportation</v>
      </c>
      <c r="G165" s="2"/>
      <c r="H165" s="2"/>
      <c r="I165" s="2"/>
      <c r="J165" s="2"/>
      <c r="K165" s="2"/>
      <c r="L165" s="2"/>
      <c r="M165" s="2"/>
      <c r="N165" s="2" t="str">
        <f>'QBO Transactions'!$Y167</f>
        <v>200- Datadog:230- Sales</v>
      </c>
      <c r="O165" s="2"/>
      <c r="P165" s="2"/>
      <c r="Q165" s="2" t="str">
        <f>'QBO Transactions'!$T167</f>
        <v>UBER   *TRIP MASTERCARD-XXXXXXYULQV5-Ryan Henrich</v>
      </c>
      <c r="R165" s="2"/>
      <c r="S165" s="2"/>
      <c r="T165" s="2"/>
      <c r="U165" s="2"/>
      <c r="V165" s="2"/>
      <c r="W165" s="2"/>
      <c r="X165" s="2" t="str">
        <f t="shared" si="2"/>
        <v>UBER   *TRIP MASTERCARD-XXXXXXYULQV5-Ryan Henrich</v>
      </c>
      <c r="Y165" s="4">
        <f>'QBO Transactions'!$Q167</f>
        <v>46232</v>
      </c>
      <c r="Z165" s="2"/>
      <c r="AA165" s="2"/>
      <c r="AB165" s="2"/>
      <c r="AC165" s="2"/>
      <c r="AD165" s="2"/>
      <c r="AE165" s="2"/>
    </row>
    <row r="166" spans="1:31" ht="12.75" customHeight="1" x14ac:dyDescent="0.25">
      <c r="A166" s="2"/>
      <c r="B166" s="2" t="str">
        <f>'QBO Transactions'!$U168</f>
        <v>Brex Credit Card</v>
      </c>
      <c r="C166" s="3">
        <f>'QBO Transactions'!$S168</f>
        <v>6.83</v>
      </c>
      <c r="D166" s="2" t="str">
        <f>'QBO Transactions'!$R168</f>
        <v>Starbucks</v>
      </c>
      <c r="E166" s="2"/>
      <c r="F166" s="3" t="str">
        <f>'QBO Transactions'!$X168</f>
        <v>Sales &amp; Marketing:Sales &amp; Marketing- Travel Expenses:Meals &amp; Entertainment</v>
      </c>
      <c r="G166" s="2"/>
      <c r="H166" s="2"/>
      <c r="I166" s="2"/>
      <c r="J166" s="2"/>
      <c r="K166" s="2"/>
      <c r="L166" s="2"/>
      <c r="M166" s="2"/>
      <c r="N166" s="2" t="str">
        <f>'QBO Transactions'!$Y168</f>
        <v>200- Datadog:230- Sales</v>
      </c>
      <c r="O166" s="2"/>
      <c r="P166" s="2"/>
      <c r="Q166" s="2" t="str">
        <f>'QBO Transactions'!$T168</f>
        <v>STARBUCKS STORE 80448 MASTERCARD-XXXXXXYHZ03J-Jared Kennedy</v>
      </c>
      <c r="R166" s="2"/>
      <c r="S166" s="2"/>
      <c r="T166" s="2"/>
      <c r="U166" s="2"/>
      <c r="V166" s="2"/>
      <c r="W166" s="2"/>
      <c r="X166" s="2" t="str">
        <f t="shared" si="2"/>
        <v>STARBUCKS STORE 80448 MASTERCARD-XXXXXXYHZ03J-Jared Kennedy</v>
      </c>
      <c r="Y166" s="4">
        <f>'QBO Transactions'!$Q168</f>
        <v>46233</v>
      </c>
      <c r="Z166" s="2"/>
      <c r="AA166" s="2"/>
      <c r="AB166" s="2"/>
      <c r="AC166" s="2"/>
      <c r="AD166" s="2"/>
      <c r="AE166" s="2"/>
    </row>
    <row r="167" spans="1:31" ht="12.75" customHeight="1" x14ac:dyDescent="0.25">
      <c r="A167" s="2"/>
      <c r="B167" s="2" t="str">
        <f>'QBO Transactions'!$U169</f>
        <v>Brex Credit Card</v>
      </c>
      <c r="C167" s="3">
        <f>'QBO Transactions'!$S169</f>
        <v>192</v>
      </c>
      <c r="D167" s="2" t="str">
        <f>'QBO Transactions'!$R169</f>
        <v>Amazon</v>
      </c>
      <c r="E167" s="2"/>
      <c r="F167" s="3" t="str">
        <f>'QBO Transactions'!$X169</f>
        <v>General &amp; Administrative:Office Expenses:Office Supplies</v>
      </c>
      <c r="G167" s="2"/>
      <c r="H167" s="2"/>
      <c r="I167" s="2"/>
      <c r="J167" s="2"/>
      <c r="K167" s="2"/>
      <c r="L167" s="2"/>
      <c r="M167" s="2"/>
      <c r="N167" s="2" t="str">
        <f>'QBO Transactions'!$Y169</f>
        <v>100- Operations:110- G&amp;A</v>
      </c>
      <c r="O167" s="2"/>
      <c r="P167" s="2"/>
      <c r="Q167" s="2" t="str">
        <f>'QBO Transactions'!$T169</f>
        <v>Amazon.com*Q50XE0ZM3 MASTERCARD-XXXXXX9E9R7Y-Mickenzi Krpec</v>
      </c>
      <c r="R167" s="2"/>
      <c r="S167" s="2"/>
      <c r="T167" s="2"/>
      <c r="U167" s="2"/>
      <c r="V167" s="2"/>
      <c r="W167" s="2"/>
      <c r="X167" s="2" t="str">
        <f t="shared" si="2"/>
        <v>Amazon.com*Q50XE0ZM3 MASTERCARD-XXXXXX9E9R7Y-Mickenzi Krpec</v>
      </c>
      <c r="Y167" s="4">
        <f>'QBO Transactions'!$Q169</f>
        <v>46232</v>
      </c>
      <c r="Z167" s="2"/>
      <c r="AA167" s="2"/>
      <c r="AB167" s="2"/>
      <c r="AC167" s="2"/>
      <c r="AD167" s="2"/>
      <c r="AE167" s="2"/>
    </row>
    <row r="168" spans="1:31" ht="12.75" customHeight="1" x14ac:dyDescent="0.25">
      <c r="A168" s="2"/>
      <c r="B168" s="2" t="str">
        <f>'QBO Transactions'!$U170</f>
        <v>Brex Credit Card</v>
      </c>
      <c r="C168" s="3">
        <f>'QBO Transactions'!$S170</f>
        <v>10</v>
      </c>
      <c r="D168" s="2" t="str">
        <f>'QBO Transactions'!$R170</f>
        <v>CVS</v>
      </c>
      <c r="E168" s="2"/>
      <c r="F168" s="3" t="str">
        <f>'QBO Transactions'!$X170</f>
        <v>General &amp; Administrative:Office Expenses:Office Supplies</v>
      </c>
      <c r="G168" s="2"/>
      <c r="H168" s="2"/>
      <c r="I168" s="2"/>
      <c r="J168" s="2"/>
      <c r="K168" s="2"/>
      <c r="L168" s="2"/>
      <c r="M168" s="2"/>
      <c r="N168" s="2" t="str">
        <f>'QBO Transactions'!$Y170</f>
        <v>200- Datadog:230- Sales</v>
      </c>
      <c r="O168" s="2"/>
      <c r="P168" s="2"/>
      <c r="Q168" s="2" t="str">
        <f>'QBO Transactions'!$T170</f>
        <v>CVS/PHARMACY #01217 MASTERCARD-XXXXXXYC4CPA-Tyler Grimshaw</v>
      </c>
      <c r="R168" s="2"/>
      <c r="S168" s="2"/>
      <c r="T168" s="2"/>
      <c r="U168" s="2"/>
      <c r="V168" s="2"/>
      <c r="W168" s="2"/>
      <c r="X168" s="2" t="str">
        <f t="shared" si="2"/>
        <v>CVS/PHARMACY #01217 MASTERCARD-XXXXXXYC4CPA-Tyler Grimshaw</v>
      </c>
      <c r="Y168" s="4">
        <f>'QBO Transactions'!$Q170</f>
        <v>46232</v>
      </c>
      <c r="Z168" s="2"/>
      <c r="AA168" s="2"/>
      <c r="AB168" s="2"/>
      <c r="AC168" s="2"/>
      <c r="AD168" s="2"/>
      <c r="AE168" s="2"/>
    </row>
    <row r="169" spans="1:31" ht="12.75" customHeight="1" x14ac:dyDescent="0.25">
      <c r="A169" s="2"/>
      <c r="B169" s="2" t="str">
        <f>'QBO Transactions'!$U171</f>
        <v>Brex Credit Card</v>
      </c>
      <c r="C169" s="3">
        <f>'QBO Transactions'!$S171</f>
        <v>6.08</v>
      </c>
      <c r="D169" s="2" t="str">
        <f>'QBO Transactions'!$R171</f>
        <v>Starbucks</v>
      </c>
      <c r="E169" s="2"/>
      <c r="F169" s="3" t="str">
        <f>'QBO Transactions'!$X171</f>
        <v>General &amp; Administrative:G&amp;A- Travel Expenses:Meals &amp; Entertainment</v>
      </c>
      <c r="G169" s="2"/>
      <c r="H169" s="2"/>
      <c r="I169" s="2"/>
      <c r="J169" s="2"/>
      <c r="K169" s="2"/>
      <c r="L169" s="2"/>
      <c r="M169" s="2"/>
      <c r="N169" s="2" t="str">
        <f>'QBO Transactions'!$Y171</f>
        <v>300- ServiceNow:320- Engineering</v>
      </c>
      <c r="O169" s="2"/>
      <c r="P169" s="2"/>
      <c r="Q169" s="2" t="str">
        <f>'QBO Transactions'!$T171</f>
        <v>STARBUCKS STORE 80448 MASTERCARD-XXXXXX7Y60VT-Daniel Levin</v>
      </c>
      <c r="R169" s="2"/>
      <c r="S169" s="2"/>
      <c r="T169" s="2"/>
      <c r="U169" s="2"/>
      <c r="V169" s="2"/>
      <c r="W169" s="2"/>
      <c r="X169" s="2" t="str">
        <f t="shared" si="2"/>
        <v>STARBUCKS STORE 80448 MASTERCARD-XXXXXX7Y60VT-Daniel Levin</v>
      </c>
      <c r="Y169" s="4">
        <f>'QBO Transactions'!$Q171</f>
        <v>46233</v>
      </c>
      <c r="Z169" s="2"/>
      <c r="AA169" s="2"/>
      <c r="AB169" s="2"/>
      <c r="AC169" s="2"/>
      <c r="AD169" s="2"/>
      <c r="AE169" s="2"/>
    </row>
    <row r="170" spans="1:31" ht="12.75" customHeight="1" x14ac:dyDescent="0.25">
      <c r="A170" s="2"/>
      <c r="B170" s="2" t="str">
        <f>'QBO Transactions'!$U172</f>
        <v>Brex Credit Card</v>
      </c>
      <c r="C170" s="3">
        <f>'QBO Transactions'!$S172</f>
        <v>30.12</v>
      </c>
      <c r="D170" s="2" t="str">
        <f>'QBO Transactions'!$R172</f>
        <v>CVS</v>
      </c>
      <c r="E170" s="2"/>
      <c r="F170" s="3" t="str">
        <f>'QBO Transactions'!$X172</f>
        <v>General &amp; Administrative:Office Expenses:Office Supplies</v>
      </c>
      <c r="G170" s="2"/>
      <c r="H170" s="2"/>
      <c r="I170" s="2"/>
      <c r="J170" s="2"/>
      <c r="K170" s="2"/>
      <c r="L170" s="2"/>
      <c r="M170" s="2"/>
      <c r="N170" s="2" t="str">
        <f>'QBO Transactions'!$Y172</f>
        <v>300- ServiceNow:330- Sales</v>
      </c>
      <c r="O170" s="2"/>
      <c r="P170" s="2"/>
      <c r="Q170" s="2" t="str">
        <f>'QBO Transactions'!$T172</f>
        <v>CVS/PHARMACY #01217 MASTERCARD-XXXXXXNH98Q0-Gary Passaglia</v>
      </c>
      <c r="R170" s="2"/>
      <c r="S170" s="2"/>
      <c r="T170" s="2"/>
      <c r="U170" s="2"/>
      <c r="V170" s="2"/>
      <c r="W170" s="2"/>
      <c r="X170" s="2" t="str">
        <f t="shared" si="2"/>
        <v>CVS/PHARMACY #01217 MASTERCARD-XXXXXXNH98Q0-Gary Passaglia</v>
      </c>
      <c r="Y170" s="4">
        <f>'QBO Transactions'!$Q172</f>
        <v>46232</v>
      </c>
      <c r="Z170" s="2"/>
      <c r="AA170" s="2"/>
      <c r="AB170" s="2"/>
      <c r="AC170" s="2"/>
      <c r="AD170" s="2"/>
      <c r="AE170" s="2"/>
    </row>
    <row r="171" spans="1:31" ht="12.75" customHeight="1" x14ac:dyDescent="0.25">
      <c r="A171" s="2"/>
      <c r="B171" s="2" t="str">
        <f>'QBO Transactions'!$U173</f>
        <v>Brex Credit Card</v>
      </c>
      <c r="C171" s="3">
        <f>'QBO Transactions'!$S173</f>
        <v>5.76</v>
      </c>
      <c r="D171" s="2" t="str">
        <f>'QBO Transactions'!$R173</f>
        <v>Starbucks</v>
      </c>
      <c r="E171" s="2"/>
      <c r="F171" s="3" t="str">
        <f>'QBO Transactions'!$X173</f>
        <v>Sales &amp; Marketing:Sales &amp; Marketing- Travel Expenses:Meals &amp; Entertainment</v>
      </c>
      <c r="G171" s="2"/>
      <c r="H171" s="2"/>
      <c r="I171" s="2"/>
      <c r="J171" s="2"/>
      <c r="K171" s="2"/>
      <c r="L171" s="2"/>
      <c r="M171" s="2"/>
      <c r="N171" s="2" t="str">
        <f>'QBO Transactions'!$Y173</f>
        <v>100- Operations:120- Marketing</v>
      </c>
      <c r="O171" s="2"/>
      <c r="P171" s="2"/>
      <c r="Q171" s="2" t="str">
        <f>'QBO Transactions'!$T173</f>
        <v>STARBUCKS 80448 MASTERCARD-XXXXXXGN8JAX-Toni Manning</v>
      </c>
      <c r="R171" s="2"/>
      <c r="S171" s="2"/>
      <c r="T171" s="2"/>
      <c r="U171" s="2"/>
      <c r="V171" s="2"/>
      <c r="W171" s="2"/>
      <c r="X171" s="2" t="str">
        <f t="shared" si="2"/>
        <v>STARBUCKS 80448 MASTERCARD-XXXXXXGN8JAX-Toni Manning</v>
      </c>
      <c r="Y171" s="4">
        <f>'QBO Transactions'!$Q173</f>
        <v>46232</v>
      </c>
      <c r="Z171" s="2"/>
      <c r="AA171" s="2"/>
      <c r="AB171" s="2"/>
      <c r="AC171" s="2"/>
      <c r="AD171" s="2"/>
      <c r="AE171" s="2"/>
    </row>
    <row r="172" spans="1:31" ht="12.75" customHeight="1" x14ac:dyDescent="0.25">
      <c r="A172" s="2"/>
      <c r="B172" s="2" t="str">
        <f>'QBO Transactions'!$U174</f>
        <v>Brex Credit Card</v>
      </c>
      <c r="C172" s="3">
        <f>'QBO Transactions'!$S174</f>
        <v>4.91</v>
      </c>
      <c r="D172" s="2" t="str">
        <f>'QBO Transactions'!$R174</f>
        <v>Dunkin Donuts</v>
      </c>
      <c r="E172" s="2"/>
      <c r="F172" s="3" t="str">
        <f>'QBO Transactions'!$X174</f>
        <v>Sales &amp; Marketing:Sales &amp; Marketing- Travel Expenses:Meals &amp; Entertainment</v>
      </c>
      <c r="G172" s="2"/>
      <c r="H172" s="2"/>
      <c r="I172" s="2"/>
      <c r="J172" s="2"/>
      <c r="K172" s="2"/>
      <c r="L172" s="2"/>
      <c r="M172" s="2"/>
      <c r="N172" s="2" t="str">
        <f>'QBO Transactions'!$Y174</f>
        <v>300- ServiceNow:330- Sales</v>
      </c>
      <c r="O172" s="2"/>
      <c r="P172" s="2"/>
      <c r="Q172" s="2" t="str">
        <f>'QBO Transactions'!$T174</f>
        <v>DUNKIN #300417 Q35 MASTERCARD-XXXXXXCBHOMR-Gary Passaglia</v>
      </c>
      <c r="R172" s="2"/>
      <c r="S172" s="2"/>
      <c r="T172" s="2"/>
      <c r="U172" s="2"/>
      <c r="V172" s="2"/>
      <c r="W172" s="2"/>
      <c r="X172" s="2" t="str">
        <f t="shared" si="2"/>
        <v>DUNKIN #300417 Q35 MASTERCARD-XXXXXXCBHOMR-Gary Passaglia</v>
      </c>
      <c r="Y172" s="4">
        <f>'QBO Transactions'!$Q174</f>
        <v>46232</v>
      </c>
      <c r="Z172" s="2"/>
      <c r="AA172" s="2"/>
      <c r="AB172" s="2"/>
      <c r="AC172" s="2"/>
      <c r="AD172" s="2"/>
      <c r="AE172" s="2"/>
    </row>
    <row r="173" spans="1:31" ht="12.75" customHeight="1" x14ac:dyDescent="0.25">
      <c r="A173" s="2"/>
      <c r="B173" s="2" t="str">
        <f>'QBO Transactions'!$U175</f>
        <v>Brex Credit Card</v>
      </c>
      <c r="C173" s="3">
        <f>'QBO Transactions'!$S175</f>
        <v>1.7</v>
      </c>
      <c r="D173" s="2" t="str">
        <f>'QBO Transactions'!$R175</f>
        <v>Mbta</v>
      </c>
      <c r="E173" s="2"/>
      <c r="F173" s="3" t="str">
        <f>'QBO Transactions'!$X175</f>
        <v>Sales &amp; Marketing:Sales &amp; Marketing- Travel Expenses:Ground Transportation</v>
      </c>
      <c r="G173" s="2"/>
      <c r="H173" s="2"/>
      <c r="I173" s="2"/>
      <c r="J173" s="2"/>
      <c r="K173" s="2"/>
      <c r="L173" s="2"/>
      <c r="M173" s="2"/>
      <c r="N173" s="2" t="str">
        <f>'QBO Transactions'!$Y175</f>
        <v>100- Operations:120- Marketing</v>
      </c>
      <c r="O173" s="2"/>
      <c r="P173" s="2"/>
      <c r="Q173" s="2" t="str">
        <f>'QBO Transactions'!$T175</f>
        <v>MBTA-550048231694 MASTERCARD-XXXXXXIJZJJL-Karalyn Sims</v>
      </c>
      <c r="R173" s="2"/>
      <c r="S173" s="2"/>
      <c r="T173" s="2"/>
      <c r="U173" s="2"/>
      <c r="V173" s="2"/>
      <c r="W173" s="2"/>
      <c r="X173" s="2" t="str">
        <f t="shared" si="2"/>
        <v>MBTA-550048231694 MASTERCARD-XXXXXXIJZJJL-Karalyn Sims</v>
      </c>
      <c r="Y173" s="4">
        <f>'QBO Transactions'!$Q175</f>
        <v>46232</v>
      </c>
      <c r="Z173" s="2"/>
      <c r="AA173" s="2"/>
      <c r="AB173" s="2"/>
      <c r="AC173" s="2"/>
      <c r="AD173" s="2"/>
      <c r="AE173" s="2"/>
    </row>
    <row r="174" spans="1:31" ht="12.75" customHeight="1" x14ac:dyDescent="0.25">
      <c r="A174" s="2"/>
      <c r="B174" s="2" t="str">
        <f>'QBO Transactions'!$U176</f>
        <v>Brex Credit Card</v>
      </c>
      <c r="C174" s="3">
        <f>'QBO Transactions'!$S176</f>
        <v>40.28</v>
      </c>
      <c r="D174" s="2" t="str">
        <f>'QBO Transactions'!$R176</f>
        <v>SpotHero</v>
      </c>
      <c r="E174" s="2"/>
      <c r="F174" s="3" t="str">
        <f>'QBO Transactions'!$X176</f>
        <v>Cost of Goods Sold:COGS- Travel Expenses:Ground Transportation</v>
      </c>
      <c r="G174" s="2"/>
      <c r="H174" s="2"/>
      <c r="I174" s="2"/>
      <c r="J174" s="2"/>
      <c r="K174" s="2"/>
      <c r="L174" s="2"/>
      <c r="M174" s="2"/>
      <c r="N174" s="2" t="str">
        <f>'QBO Transactions'!$Y176</f>
        <v>300- ServiceNow:310- Delivery</v>
      </c>
      <c r="O174" s="2"/>
      <c r="P174" s="2"/>
      <c r="Q174" s="2" t="str">
        <f>'QBO Transactions'!$T176</f>
        <v>SPOTHERO 844-356-8054 MASTERCARD-XXXXXXUBMTLL-Michele Cox</v>
      </c>
      <c r="R174" s="2"/>
      <c r="S174" s="2"/>
      <c r="T174" s="2"/>
      <c r="U174" s="2"/>
      <c r="V174" s="2"/>
      <c r="W174" s="2"/>
      <c r="X174" s="2" t="str">
        <f t="shared" si="2"/>
        <v>SPOTHERO 844-356-8054 MASTERCARD-XXXXXXUBMTLL-Michele Cox</v>
      </c>
      <c r="Y174" s="4">
        <f>'QBO Transactions'!$Q176</f>
        <v>46232</v>
      </c>
      <c r="Z174" s="2"/>
      <c r="AA174" s="2"/>
      <c r="AB174" s="2"/>
      <c r="AC174" s="2"/>
      <c r="AD174" s="2"/>
      <c r="AE174" s="2"/>
    </row>
    <row r="175" spans="1:31" ht="12.75" customHeight="1" x14ac:dyDescent="0.25">
      <c r="A175" s="2"/>
      <c r="B175" s="2" t="str">
        <f>'QBO Transactions'!$U177</f>
        <v>Brex Credit Card</v>
      </c>
      <c r="C175" s="3">
        <f>'QBO Transactions'!$S177</f>
        <v>14.41</v>
      </c>
      <c r="D175" s="2" t="str">
        <f>'QBO Transactions'!$R177</f>
        <v>Uber</v>
      </c>
      <c r="E175" s="2"/>
      <c r="F175" s="3" t="str">
        <f>'QBO Transactions'!$X177</f>
        <v>Cost of Goods Sold:COGS- Travel Expenses:Ground Transportation</v>
      </c>
      <c r="G175" s="2"/>
      <c r="H175" s="2"/>
      <c r="I175" s="2"/>
      <c r="J175" s="2"/>
      <c r="K175" s="2"/>
      <c r="L175" s="2"/>
      <c r="M175" s="2"/>
      <c r="N175" s="2" t="str">
        <f>'QBO Transactions'!$Y177</f>
        <v>400- Synechron:410- Digital platforms G&amp;A</v>
      </c>
      <c r="O175" s="2"/>
      <c r="P175" s="2"/>
      <c r="Q175" s="2" t="str">
        <f>'QBO Transactions'!$T177</f>
        <v>UBER   *TRIP MASTERCARD-XXXXXXVGPS5C-Erik Williams</v>
      </c>
      <c r="R175" s="2"/>
      <c r="S175" s="2"/>
      <c r="T175" s="2"/>
      <c r="U175" s="2"/>
      <c r="V175" s="2"/>
      <c r="W175" s="2"/>
      <c r="X175" s="2" t="str">
        <f t="shared" si="2"/>
        <v>UBER   *TRIP MASTERCARD-XXXXXXVGPS5C-Erik Williams</v>
      </c>
      <c r="Y175" s="4">
        <f>'QBO Transactions'!$Q177</f>
        <v>46232</v>
      </c>
      <c r="Z175" s="2"/>
      <c r="AA175" s="2"/>
      <c r="AB175" s="2"/>
      <c r="AC175" s="2"/>
      <c r="AD175" s="2"/>
      <c r="AE175" s="2"/>
    </row>
    <row r="176" spans="1:31" ht="12.75" customHeight="1" x14ac:dyDescent="0.25">
      <c r="A176" s="2"/>
      <c r="B176" s="2" t="str">
        <f>'QBO Transactions'!$U178</f>
        <v>Brex Credit Card</v>
      </c>
      <c r="C176" s="3">
        <f>'QBO Transactions'!$S178</f>
        <v>10</v>
      </c>
      <c r="D176" s="2" t="str">
        <f>'QBO Transactions'!$R178</f>
        <v>Naya</v>
      </c>
      <c r="E176" s="2"/>
      <c r="F176" s="3" t="str">
        <f>'QBO Transactions'!$X178</f>
        <v>General &amp; Administrative:G&amp;A- Travel Expenses:Meals &amp; Entertainment</v>
      </c>
      <c r="G176" s="2"/>
      <c r="H176" s="2"/>
      <c r="I176" s="2"/>
      <c r="J176" s="2"/>
      <c r="K176" s="2"/>
      <c r="L176" s="2"/>
      <c r="M176" s="2"/>
      <c r="N176" s="2" t="str">
        <f>'QBO Transactions'!$Y178</f>
        <v>100- Operations:110- G&amp;A</v>
      </c>
      <c r="O176" s="2"/>
      <c r="P176" s="2"/>
      <c r="Q176" s="2" t="str">
        <f>'QBO Transactions'!$T178</f>
        <v>501 BOYLSTON STREET MASTERCARD-XXXXXXIMY3RG-Mickenzi Krpec</v>
      </c>
      <c r="R176" s="2"/>
      <c r="S176" s="2"/>
      <c r="T176" s="2"/>
      <c r="U176" s="2"/>
      <c r="V176" s="2"/>
      <c r="W176" s="2"/>
      <c r="X176" s="2" t="str">
        <f t="shared" si="2"/>
        <v>501 BOYLSTON STREET MASTERCARD-XXXXXXIMY3RG-Mickenzi Krpec</v>
      </c>
      <c r="Y176" s="4">
        <f>'QBO Transactions'!$Q178</f>
        <v>46232</v>
      </c>
      <c r="Z176" s="2"/>
      <c r="AA176" s="2"/>
      <c r="AB176" s="2"/>
      <c r="AC176" s="2"/>
      <c r="AD176" s="2"/>
      <c r="AE176" s="2"/>
    </row>
    <row r="177" spans="1:31" ht="12.75" customHeight="1" x14ac:dyDescent="0.25">
      <c r="A177" s="2"/>
      <c r="B177" s="2" t="str">
        <f>'QBO Transactions'!$U179</f>
        <v>Brex Credit Card</v>
      </c>
      <c r="C177" s="3">
        <f>'QBO Transactions'!$S179</f>
        <v>26.5</v>
      </c>
      <c r="D177" s="2" t="str">
        <f>'QBO Transactions'!$R179</f>
        <v>SpotHero</v>
      </c>
      <c r="E177" s="2"/>
      <c r="F177" s="3" t="str">
        <f>'QBO Transactions'!$X179</f>
        <v>Sales &amp; Marketing:Sales &amp; Marketing- Travel Expenses:Ground Transportation</v>
      </c>
      <c r="G177" s="2"/>
      <c r="H177" s="2"/>
      <c r="I177" s="2"/>
      <c r="J177" s="2"/>
      <c r="K177" s="2"/>
      <c r="L177" s="2"/>
      <c r="M177" s="2"/>
      <c r="N177" s="2" t="str">
        <f>'QBO Transactions'!$Y179</f>
        <v>200- Datadog:230- Sales</v>
      </c>
      <c r="O177" s="2"/>
      <c r="P177" s="2"/>
      <c r="Q177" s="2" t="str">
        <f>'QBO Transactions'!$T179</f>
        <v>SPOTHERO 844-356-8054 MASTERCARD-XXXXXXQ0PFZW-Jesse Eddy</v>
      </c>
      <c r="R177" s="2"/>
      <c r="S177" s="2"/>
      <c r="T177" s="2"/>
      <c r="U177" s="2"/>
      <c r="V177" s="2"/>
      <c r="W177" s="2"/>
      <c r="X177" s="2" t="str">
        <f t="shared" si="2"/>
        <v>SPOTHERO 844-356-8054 MASTERCARD-XXXXXXQ0PFZW-Jesse Eddy</v>
      </c>
      <c r="Y177" s="4">
        <f>'QBO Transactions'!$Q179</f>
        <v>46231</v>
      </c>
      <c r="Z177" s="2"/>
      <c r="AA177" s="2"/>
      <c r="AB177" s="2"/>
      <c r="AC177" s="2"/>
      <c r="AD177" s="2"/>
      <c r="AE177" s="2"/>
    </row>
    <row r="178" spans="1:31" ht="12.75" customHeight="1" x14ac:dyDescent="0.25">
      <c r="A178" s="2"/>
      <c r="B178" s="2" t="str">
        <f>'QBO Transactions'!$U180</f>
        <v>Brex Credit Card</v>
      </c>
      <c r="C178" s="3">
        <f>'QBO Transactions'!$S180</f>
        <v>14.98</v>
      </c>
      <c r="D178" s="2" t="str">
        <f>'QBO Transactions'!$R180</f>
        <v>Blue Bottle</v>
      </c>
      <c r="E178" s="2"/>
      <c r="F178" s="3" t="str">
        <f>'QBO Transactions'!$X180</f>
        <v>Cost of Goods Sold:COGS- Travel Expenses:Meals &amp; Entertainment</v>
      </c>
      <c r="G178" s="2"/>
      <c r="H178" s="2"/>
      <c r="I178" s="2"/>
      <c r="J178" s="2"/>
      <c r="K178" s="2"/>
      <c r="L178" s="2"/>
      <c r="M178" s="2"/>
      <c r="N178" s="2" t="str">
        <f>'QBO Transactions'!$Y180</f>
        <v>300- ServiceNow:320- Engineering</v>
      </c>
      <c r="O178" s="2"/>
      <c r="P178" s="2"/>
      <c r="Q178" s="2" t="str">
        <f>'QBO Transactions'!$T180</f>
        <v>SQ *BLUE BOTTLE COFFEE MASTERCARD-XXXXXXX3JGQO-Jonathan Stricklin</v>
      </c>
      <c r="R178" s="2"/>
      <c r="S178" s="2"/>
      <c r="T178" s="2"/>
      <c r="U178" s="2"/>
      <c r="V178" s="2"/>
      <c r="W178" s="2"/>
      <c r="X178" s="2" t="str">
        <f t="shared" si="2"/>
        <v>SQ *BLUE BOTTLE COFFEE MASTERCARD-XXXXXXX3JGQO-Jonathan Stricklin</v>
      </c>
      <c r="Y178" s="4">
        <f>'QBO Transactions'!$Q180</f>
        <v>46232</v>
      </c>
      <c r="Z178" s="2"/>
      <c r="AA178" s="2"/>
      <c r="AB178" s="2"/>
      <c r="AC178" s="2"/>
      <c r="AD178" s="2"/>
      <c r="AE178" s="2"/>
    </row>
    <row r="179" spans="1:31" ht="12.75" customHeight="1" x14ac:dyDescent="0.25">
      <c r="A179" s="2"/>
      <c r="B179" s="2" t="str">
        <f>'QBO Transactions'!$U181</f>
        <v>Brex Credit Card</v>
      </c>
      <c r="C179" s="3">
        <f>'QBO Transactions'!$S181</f>
        <v>2.29</v>
      </c>
      <c r="D179" s="2" t="str">
        <f>'QBO Transactions'!$R181</f>
        <v>Food Vendor</v>
      </c>
      <c r="E179" s="2"/>
      <c r="F179" s="3" t="str">
        <f>'QBO Transactions'!$X181</f>
        <v>Sales &amp; Marketing:Sales &amp; Marketing- Travel Expenses:Meals &amp; Entertainment</v>
      </c>
      <c r="G179" s="2"/>
      <c r="H179" s="2"/>
      <c r="I179" s="2"/>
      <c r="J179" s="2"/>
      <c r="K179" s="2"/>
      <c r="L179" s="2"/>
      <c r="M179" s="2"/>
      <c r="N179" s="2" t="str">
        <f>'QBO Transactions'!$Y181</f>
        <v>300- ServiceNow:330- Sales</v>
      </c>
      <c r="O179" s="2"/>
      <c r="P179" s="2"/>
      <c r="Q179" s="2" t="str">
        <f>'QBO Transactions'!$T181</f>
        <v>THE WILDDUCK MARKET PL MASTERCARD-XXXXXXQO8CCT-John Taylor</v>
      </c>
      <c r="R179" s="2"/>
      <c r="S179" s="2"/>
      <c r="T179" s="2"/>
      <c r="U179" s="2"/>
      <c r="V179" s="2"/>
      <c r="W179" s="2"/>
      <c r="X179" s="2" t="str">
        <f t="shared" si="2"/>
        <v>THE WILDDUCK MARKET PL MASTERCARD-XXXXXXQO8CCT-John Taylor</v>
      </c>
      <c r="Y179" s="4">
        <f>'QBO Transactions'!$Q181</f>
        <v>46232</v>
      </c>
      <c r="Z179" s="2"/>
      <c r="AA179" s="2"/>
      <c r="AB179" s="2"/>
      <c r="AC179" s="2"/>
      <c r="AD179" s="2"/>
      <c r="AE179" s="2"/>
    </row>
    <row r="180" spans="1:31" ht="12.75" customHeight="1" x14ac:dyDescent="0.25">
      <c r="A180" s="2"/>
      <c r="B180" s="2" t="str">
        <f>'QBO Transactions'!$U182</f>
        <v>Brex Credit Card</v>
      </c>
      <c r="C180" s="3">
        <f>'QBO Transactions'!$S182</f>
        <v>34.950000000000003</v>
      </c>
      <c r="D180" s="2" t="str">
        <f>'QBO Transactions'!$R182</f>
        <v>Uber</v>
      </c>
      <c r="E180" s="2"/>
      <c r="F180" s="3" t="str">
        <f>'QBO Transactions'!$X182</f>
        <v>Sales &amp; Marketing:Sales &amp; Marketing- Travel Expenses:Ground Transportation</v>
      </c>
      <c r="G180" s="2"/>
      <c r="H180" s="2"/>
      <c r="I180" s="2"/>
      <c r="J180" s="2"/>
      <c r="K180" s="2"/>
      <c r="L180" s="2"/>
      <c r="M180" s="2"/>
      <c r="N180" s="2" t="str">
        <f>'QBO Transactions'!$Y182</f>
        <v>300- ServiceNow:330- Sales</v>
      </c>
      <c r="O180" s="2"/>
      <c r="P180" s="2"/>
      <c r="Q180" s="2" t="str">
        <f>'QBO Transactions'!$T182</f>
        <v>UBER   *TRIP MASTERCARD-XXXXXXABV6N7-Maile Call</v>
      </c>
      <c r="R180" s="2"/>
      <c r="S180" s="2"/>
      <c r="T180" s="2"/>
      <c r="U180" s="2"/>
      <c r="V180" s="2"/>
      <c r="W180" s="2"/>
      <c r="X180" s="2" t="str">
        <f t="shared" si="2"/>
        <v>UBER   *TRIP MASTERCARD-XXXXXXABV6N7-Maile Call</v>
      </c>
      <c r="Y180" s="4">
        <f>'QBO Transactions'!$Q182</f>
        <v>46232</v>
      </c>
      <c r="Z180" s="2"/>
      <c r="AA180" s="2"/>
      <c r="AB180" s="2"/>
      <c r="AC180" s="2"/>
      <c r="AD180" s="2"/>
      <c r="AE180" s="2"/>
    </row>
    <row r="181" spans="1:31" ht="12.75" customHeight="1" x14ac:dyDescent="0.25">
      <c r="A181" s="2"/>
      <c r="B181" s="2" t="str">
        <f>'QBO Transactions'!$U183</f>
        <v>Brex Credit Card</v>
      </c>
      <c r="C181" s="3">
        <f>'QBO Transactions'!$S183</f>
        <v>28.13</v>
      </c>
      <c r="D181" s="2" t="str">
        <f>'QBO Transactions'!$R183</f>
        <v>Uber</v>
      </c>
      <c r="E181" s="2"/>
      <c r="F181" s="3" t="str">
        <f>'QBO Transactions'!$X183</f>
        <v>Cost of Goods Sold:COGS- Travel Expenses:Ground Transportation</v>
      </c>
      <c r="G181" s="2"/>
      <c r="H181" s="2"/>
      <c r="I181" s="2"/>
      <c r="J181" s="2"/>
      <c r="K181" s="2"/>
      <c r="L181" s="2"/>
      <c r="M181" s="2"/>
      <c r="N181" s="2" t="str">
        <f>'QBO Transactions'!$Y183</f>
        <v>300- ServiceNow:320- Engineering</v>
      </c>
      <c r="O181" s="2"/>
      <c r="P181" s="2"/>
      <c r="Q181" s="2" t="str">
        <f>'QBO Transactions'!$T183</f>
        <v>UBER   *TRIP MASTERCARD-XXXXXXP6WVWF-Ben Savage</v>
      </c>
      <c r="R181" s="2"/>
      <c r="S181" s="2"/>
      <c r="T181" s="2"/>
      <c r="U181" s="2"/>
      <c r="V181" s="2"/>
      <c r="W181" s="2"/>
      <c r="X181" s="2" t="str">
        <f t="shared" si="2"/>
        <v>UBER   *TRIP MASTERCARD-XXXXXXP6WVWF-Ben Savage</v>
      </c>
      <c r="Y181" s="4">
        <f>'QBO Transactions'!$Q183</f>
        <v>46231</v>
      </c>
      <c r="Z181" s="2"/>
      <c r="AA181" s="2"/>
      <c r="AB181" s="2"/>
      <c r="AC181" s="2"/>
      <c r="AD181" s="2"/>
      <c r="AE181" s="2"/>
    </row>
    <row r="182" spans="1:31" ht="12.75" customHeight="1" x14ac:dyDescent="0.25">
      <c r="A182" s="2"/>
      <c r="B182" s="2" t="str">
        <f>'QBO Transactions'!$U184</f>
        <v>Brex Credit Card</v>
      </c>
      <c r="C182" s="3">
        <f>'QBO Transactions'!$S184</f>
        <v>35.89</v>
      </c>
      <c r="D182" s="2" t="str">
        <f>'QBO Transactions'!$R184</f>
        <v>Sweeney's</v>
      </c>
      <c r="E182" s="2"/>
      <c r="F182" s="3" t="str">
        <f>'QBO Transactions'!$X184</f>
        <v>Sales &amp; Marketing:Sales &amp; Marketing- Travel Expenses:Meals &amp; Entertainment</v>
      </c>
      <c r="G182" s="2"/>
      <c r="H182" s="2"/>
      <c r="I182" s="2"/>
      <c r="J182" s="2"/>
      <c r="K182" s="2"/>
      <c r="L182" s="2"/>
      <c r="M182" s="2"/>
      <c r="N182" s="2" t="str">
        <f>'QBO Transactions'!$Y184</f>
        <v>200- Datadog:230- Sales</v>
      </c>
      <c r="O182" s="2"/>
      <c r="P182" s="2"/>
      <c r="Q182" s="2" t="str">
        <f>'QBO Transactions'!$T184</f>
        <v>TST*SWEENEYS MASTERCARD-XXXXXXCL7SYR-Tyler Grimshaw</v>
      </c>
      <c r="R182" s="2"/>
      <c r="S182" s="2"/>
      <c r="T182" s="2"/>
      <c r="U182" s="2"/>
      <c r="V182" s="2"/>
      <c r="W182" s="2"/>
      <c r="X182" s="2" t="str">
        <f t="shared" si="2"/>
        <v>TST*SWEENEYS MASTERCARD-XXXXXXCL7SYR-Tyler Grimshaw</v>
      </c>
      <c r="Y182" s="4">
        <f>'QBO Transactions'!$Q184</f>
        <v>46231</v>
      </c>
      <c r="Z182" s="2"/>
      <c r="AA182" s="2"/>
      <c r="AB182" s="2"/>
      <c r="AC182" s="2"/>
      <c r="AD182" s="2"/>
      <c r="AE182" s="2"/>
    </row>
    <row r="183" spans="1:31" ht="12.75" customHeight="1" x14ac:dyDescent="0.25">
      <c r="A183" s="2"/>
      <c r="B183" s="2" t="str">
        <f>'QBO Transactions'!$U185</f>
        <v>Brex Credit Card</v>
      </c>
      <c r="C183" s="3">
        <f>'QBO Transactions'!$S185</f>
        <v>400.04</v>
      </c>
      <c r="D183" s="2" t="str">
        <f>'QBO Transactions'!$R185</f>
        <v>Sweeney's</v>
      </c>
      <c r="E183" s="2"/>
      <c r="F183" s="3" t="str">
        <f>'QBO Transactions'!$X185</f>
        <v>Sales &amp; Marketing:Sales &amp; Marketing- Travel Expenses:Meals &amp; Entertainment</v>
      </c>
      <c r="G183" s="2"/>
      <c r="H183" s="2"/>
      <c r="I183" s="2"/>
      <c r="J183" s="2"/>
      <c r="K183" s="2"/>
      <c r="L183" s="2"/>
      <c r="M183" s="2"/>
      <c r="N183" s="2" t="str">
        <f>'QBO Transactions'!$Y185</f>
        <v>200- Datadog:230- Sales</v>
      </c>
      <c r="O183" s="2"/>
      <c r="P183" s="2"/>
      <c r="Q183" s="2" t="str">
        <f>'QBO Transactions'!$T185</f>
        <v>TST*SWEENEYS MASTERCARD-XXXXXXTL0LLM-Jared Kennedy</v>
      </c>
      <c r="R183" s="2"/>
      <c r="S183" s="2"/>
      <c r="T183" s="2"/>
      <c r="U183" s="2"/>
      <c r="V183" s="2"/>
      <c r="W183" s="2"/>
      <c r="X183" s="2" t="str">
        <f t="shared" si="2"/>
        <v>TST*SWEENEYS MASTERCARD-XXXXXXTL0LLM-Jared Kennedy</v>
      </c>
      <c r="Y183" s="4">
        <f>'QBO Transactions'!$Q185</f>
        <v>46231</v>
      </c>
      <c r="Z183" s="2"/>
      <c r="AA183" s="2"/>
      <c r="AB183" s="2"/>
      <c r="AC183" s="2"/>
      <c r="AD183" s="2"/>
      <c r="AE183" s="2"/>
    </row>
    <row r="184" spans="1:31" ht="12.75" customHeight="1" x14ac:dyDescent="0.25">
      <c r="A184" s="2"/>
      <c r="B184" s="2" t="str">
        <f>'QBO Transactions'!$U186</f>
        <v>Brex Credit Card</v>
      </c>
      <c r="C184" s="3">
        <f>'QBO Transactions'!$S186</f>
        <v>32.83</v>
      </c>
      <c r="D184" s="2" t="str">
        <f>'QBO Transactions'!$R186</f>
        <v>Sweeney's</v>
      </c>
      <c r="E184" s="2"/>
      <c r="F184" s="3" t="str">
        <f>'QBO Transactions'!$X186</f>
        <v>Sales &amp; Marketing:Sales &amp; Marketing- Travel Expenses:Meals &amp; Entertainment</v>
      </c>
      <c r="G184" s="2"/>
      <c r="H184" s="2"/>
      <c r="I184" s="2"/>
      <c r="J184" s="2"/>
      <c r="K184" s="2"/>
      <c r="L184" s="2"/>
      <c r="M184" s="2"/>
      <c r="N184" s="2" t="str">
        <f>'QBO Transactions'!$Y186</f>
        <v>200- Datadog:230- Sales</v>
      </c>
      <c r="O184" s="2"/>
      <c r="P184" s="2"/>
      <c r="Q184" s="2" t="str">
        <f>'QBO Transactions'!$T186</f>
        <v>TST*SWEENEYS MASTERCARD-XXXXXX7IRDAR-Jared Kennedy</v>
      </c>
      <c r="R184" s="2"/>
      <c r="S184" s="2"/>
      <c r="T184" s="2"/>
      <c r="U184" s="2"/>
      <c r="V184" s="2"/>
      <c r="W184" s="2"/>
      <c r="X184" s="2" t="str">
        <f t="shared" si="2"/>
        <v>TST*SWEENEYS MASTERCARD-XXXXXX7IRDAR-Jared Kennedy</v>
      </c>
      <c r="Y184" s="4">
        <f>'QBO Transactions'!$Q186</f>
        <v>46231</v>
      </c>
      <c r="Z184" s="2"/>
      <c r="AA184" s="2"/>
      <c r="AB184" s="2"/>
      <c r="AC184" s="2"/>
      <c r="AD184" s="2"/>
      <c r="AE184" s="2"/>
    </row>
    <row r="185" spans="1:31" ht="12.75" customHeight="1" x14ac:dyDescent="0.25">
      <c r="A185" s="2"/>
      <c r="B185" s="2" t="str">
        <f>'QBO Transactions'!$U187</f>
        <v>Brex Credit Card</v>
      </c>
      <c r="C185" s="3">
        <f>'QBO Transactions'!$S187</f>
        <v>6.36</v>
      </c>
      <c r="D185" s="2" t="str">
        <f>'QBO Transactions'!$R187</f>
        <v>CVS</v>
      </c>
      <c r="E185" s="2"/>
      <c r="F185" s="3" t="str">
        <f>'QBO Transactions'!$X187</f>
        <v>General &amp; Administrative:Office Expenses:Office Supplies</v>
      </c>
      <c r="G185" s="2"/>
      <c r="H185" s="2"/>
      <c r="I185" s="2"/>
      <c r="J185" s="2"/>
      <c r="K185" s="2"/>
      <c r="L185" s="2"/>
      <c r="M185" s="2"/>
      <c r="N185" s="2" t="str">
        <f>'QBO Transactions'!$Y187</f>
        <v>300- ServiceNow:320- Engineering</v>
      </c>
      <c r="O185" s="2"/>
      <c r="P185" s="2"/>
      <c r="Q185" s="2" t="str">
        <f>'QBO Transactions'!$T187</f>
        <v>CVS/PHARMACY #01217 MASTERCARD-XXXXXXV40M1Y-Jason Speet</v>
      </c>
      <c r="R185" s="2"/>
      <c r="S185" s="2"/>
      <c r="T185" s="2"/>
      <c r="U185" s="2"/>
      <c r="V185" s="2"/>
      <c r="W185" s="2"/>
      <c r="X185" s="2" t="str">
        <f t="shared" si="2"/>
        <v>CVS/PHARMACY #01217 MASTERCARD-XXXXXXV40M1Y-Jason Speet</v>
      </c>
      <c r="Y185" s="4">
        <f>'QBO Transactions'!$Q187</f>
        <v>46231</v>
      </c>
      <c r="Z185" s="2"/>
      <c r="AA185" s="2"/>
      <c r="AB185" s="2"/>
      <c r="AC185" s="2"/>
      <c r="AD185" s="2"/>
      <c r="AE185" s="2"/>
    </row>
    <row r="186" spans="1:31" ht="12.75" customHeight="1" x14ac:dyDescent="0.25">
      <c r="A186" s="2"/>
      <c r="B186" s="2" t="str">
        <f>'QBO Transactions'!$U188</f>
        <v>Brex Credit Card</v>
      </c>
      <c r="C186" s="3">
        <f>'QBO Transactions'!$S188</f>
        <v>46.97</v>
      </c>
      <c r="D186" s="2" t="str">
        <f>'QBO Transactions'!$R188</f>
        <v>Uber</v>
      </c>
      <c r="E186" s="2"/>
      <c r="F186" s="3" t="str">
        <f>'QBO Transactions'!$X188</f>
        <v>Sales &amp; Marketing:Sales &amp; Marketing- Travel Expenses:Ground Transportation</v>
      </c>
      <c r="G186" s="2"/>
      <c r="H186" s="2"/>
      <c r="I186" s="2"/>
      <c r="J186" s="2"/>
      <c r="K186" s="2"/>
      <c r="L186" s="2"/>
      <c r="M186" s="2"/>
      <c r="N186" s="2" t="str">
        <f>'QBO Transactions'!$Y188</f>
        <v>300- ServiceNow:330- Sales</v>
      </c>
      <c r="O186" s="2"/>
      <c r="P186" s="2"/>
      <c r="Q186" s="2" t="str">
        <f>'QBO Transactions'!$T188</f>
        <v>UBER   *TRIP MASTERCARD-XXXXXXD4G0SS-Gary Passaglia</v>
      </c>
      <c r="R186" s="2"/>
      <c r="S186" s="2"/>
      <c r="T186" s="2"/>
      <c r="U186" s="2"/>
      <c r="V186" s="2"/>
      <c r="W186" s="2"/>
      <c r="X186" s="2" t="str">
        <f t="shared" si="2"/>
        <v>UBER   *TRIP MASTERCARD-XXXXXXD4G0SS-Gary Passaglia</v>
      </c>
      <c r="Y186" s="4">
        <f>'QBO Transactions'!$Q188</f>
        <v>46231</v>
      </c>
      <c r="Z186" s="2"/>
      <c r="AA186" s="2"/>
      <c r="AB186" s="2"/>
      <c r="AC186" s="2"/>
      <c r="AD186" s="2"/>
      <c r="AE186" s="2"/>
    </row>
    <row r="187" spans="1:31" ht="12.75" customHeight="1" x14ac:dyDescent="0.25">
      <c r="A187" s="2"/>
      <c r="B187" s="2" t="str">
        <f>'QBO Transactions'!$U189</f>
        <v>Brex Credit Card</v>
      </c>
      <c r="C187" s="3">
        <f>'QBO Transactions'!$S189</f>
        <v>15.94</v>
      </c>
      <c r="D187" s="2" t="str">
        <f>'QBO Transactions'!$R189</f>
        <v>Uber</v>
      </c>
      <c r="E187" s="2"/>
      <c r="F187" s="3" t="str">
        <f>'QBO Transactions'!$X189</f>
        <v>Cost of Goods Sold:COGS- Travel Expenses:Ground Transportation</v>
      </c>
      <c r="G187" s="2"/>
      <c r="H187" s="2"/>
      <c r="I187" s="2"/>
      <c r="J187" s="2"/>
      <c r="K187" s="2"/>
      <c r="L187" s="2"/>
      <c r="M187" s="2"/>
      <c r="N187" s="2" t="str">
        <f>'QBO Transactions'!$Y189</f>
        <v>300- ServiceNow:320- Engineering</v>
      </c>
      <c r="O187" s="2"/>
      <c r="P187" s="2"/>
      <c r="Q187" s="2" t="str">
        <f>'QBO Transactions'!$T189</f>
        <v>UBER   *TRIP MASTERCARD-XXXXXXF2JXDE-William Watson</v>
      </c>
      <c r="R187" s="2"/>
      <c r="S187" s="2"/>
      <c r="T187" s="2"/>
      <c r="U187" s="2"/>
      <c r="V187" s="2"/>
      <c r="W187" s="2"/>
      <c r="X187" s="2" t="str">
        <f t="shared" si="2"/>
        <v>UBER   *TRIP MASTERCARD-XXXXXXF2JXDE-William Watson</v>
      </c>
      <c r="Y187" s="4">
        <f>'QBO Transactions'!$Q189</f>
        <v>46232</v>
      </c>
      <c r="Z187" s="2"/>
      <c r="AA187" s="2"/>
      <c r="AB187" s="2"/>
      <c r="AC187" s="2"/>
      <c r="AD187" s="2"/>
      <c r="AE187" s="2"/>
    </row>
    <row r="188" spans="1:31" ht="12.75" customHeight="1" x14ac:dyDescent="0.25">
      <c r="A188" s="2"/>
      <c r="B188" s="2" t="str">
        <f>'QBO Transactions'!$U190</f>
        <v>Brex Credit Card</v>
      </c>
      <c r="C188" s="3">
        <f>'QBO Transactions'!$S190</f>
        <v>56.94</v>
      </c>
      <c r="D188" s="2" t="str">
        <f>'QBO Transactions'!$R190</f>
        <v>Uber</v>
      </c>
      <c r="E188" s="2"/>
      <c r="F188" s="3" t="str">
        <f>'QBO Transactions'!$X190</f>
        <v>General &amp; Administrative:G&amp;A- Travel Expenses:Ground Transportation</v>
      </c>
      <c r="G188" s="2"/>
      <c r="H188" s="2"/>
      <c r="I188" s="2"/>
      <c r="J188" s="2"/>
      <c r="K188" s="2"/>
      <c r="L188" s="2"/>
      <c r="M188" s="2"/>
      <c r="N188" s="2" t="str">
        <f>'QBO Transactions'!$Y190</f>
        <v>300- ServiceNow:320- Engineering</v>
      </c>
      <c r="O188" s="2"/>
      <c r="P188" s="2"/>
      <c r="Q188" s="2" t="str">
        <f>'QBO Transactions'!$T190</f>
        <v>UBER   *TRIP MASTERCARD-XXXXXX9SS2VC-Daniel Blauvelt</v>
      </c>
      <c r="R188" s="2"/>
      <c r="S188" s="2"/>
      <c r="T188" s="2"/>
      <c r="U188" s="2"/>
      <c r="V188" s="2"/>
      <c r="W188" s="2"/>
      <c r="X188" s="2" t="str">
        <f t="shared" si="2"/>
        <v>UBER   *TRIP MASTERCARD-XXXXXX9SS2VC-Daniel Blauvelt</v>
      </c>
      <c r="Y188" s="4">
        <f>'QBO Transactions'!$Q190</f>
        <v>46231</v>
      </c>
      <c r="Z188" s="2"/>
      <c r="AA188" s="2"/>
      <c r="AB188" s="2"/>
      <c r="AC188" s="2"/>
      <c r="AD188" s="2"/>
      <c r="AE188" s="2"/>
    </row>
    <row r="189" spans="1:31" ht="12.75" customHeight="1" x14ac:dyDescent="0.25">
      <c r="A189" s="2"/>
      <c r="B189" s="2" t="str">
        <f>'QBO Transactions'!$U191</f>
        <v>Brex Credit Card</v>
      </c>
      <c r="C189" s="3">
        <f>'QBO Transactions'!$S191</f>
        <v>41.24</v>
      </c>
      <c r="D189" s="2" t="str">
        <f>'QBO Transactions'!$R191</f>
        <v>Sweeney's</v>
      </c>
      <c r="E189" s="2"/>
      <c r="F189" s="3" t="str">
        <f>'QBO Transactions'!$X191</f>
        <v>Cost of Goods Sold:COGS- Travel Expenses:Meals &amp; Entertainment</v>
      </c>
      <c r="G189" s="2"/>
      <c r="H189" s="2"/>
      <c r="I189" s="2"/>
      <c r="J189" s="2"/>
      <c r="K189" s="2"/>
      <c r="L189" s="2"/>
      <c r="M189" s="2"/>
      <c r="N189" s="2" t="str">
        <f>'QBO Transactions'!$Y191</f>
        <v>200- Datadog:220- Engineering</v>
      </c>
      <c r="O189" s="2"/>
      <c r="P189" s="2"/>
      <c r="Q189" s="2" t="str">
        <f>'QBO Transactions'!$T191</f>
        <v>TST*SWEENEYS MASTERCARD-XXXXXXOR817M-Michael Christinsen</v>
      </c>
      <c r="R189" s="2"/>
      <c r="S189" s="2"/>
      <c r="T189" s="2"/>
      <c r="U189" s="2"/>
      <c r="V189" s="2"/>
      <c r="W189" s="2"/>
      <c r="X189" s="2" t="str">
        <f t="shared" si="2"/>
        <v>TST*SWEENEYS MASTERCARD-XXXXXXOR817M-Michael Christinsen</v>
      </c>
      <c r="Y189" s="4">
        <f>'QBO Transactions'!$Q191</f>
        <v>46231</v>
      </c>
      <c r="Z189" s="2"/>
      <c r="AA189" s="2"/>
      <c r="AB189" s="2"/>
      <c r="AC189" s="2"/>
      <c r="AD189" s="2"/>
      <c r="AE189" s="2"/>
    </row>
    <row r="190" spans="1:31" ht="12.75" customHeight="1" x14ac:dyDescent="0.25">
      <c r="A190" s="2"/>
      <c r="B190" s="2" t="str">
        <f>'QBO Transactions'!$U192</f>
        <v>Brex Credit Card</v>
      </c>
      <c r="C190" s="3">
        <f>'QBO Transactions'!$S192</f>
        <v>47.08</v>
      </c>
      <c r="D190" s="2" t="str">
        <f>'QBO Transactions'!$R192</f>
        <v>Food Vendor</v>
      </c>
      <c r="E190" s="2"/>
      <c r="F190" s="3" t="str">
        <f>'QBO Transactions'!$X192</f>
        <v>Cost of Goods Sold:COGS- Travel Expenses:Meals &amp; Entertainment</v>
      </c>
      <c r="G190" s="2"/>
      <c r="H190" s="2"/>
      <c r="I190" s="2"/>
      <c r="J190" s="2"/>
      <c r="K190" s="2"/>
      <c r="L190" s="2"/>
      <c r="M190" s="2"/>
      <c r="N190" s="2" t="str">
        <f>'QBO Transactions'!$Y192</f>
        <v>200- Datadog:220- Engineering</v>
      </c>
      <c r="O190" s="2"/>
      <c r="P190" s="2"/>
      <c r="Q190" s="2" t="str">
        <f>'QBO Transactions'!$T192</f>
        <v>ATLANTIC FISH MASTERCARD-XXXXXXNSRD9V-Yadwinder Singh</v>
      </c>
      <c r="R190" s="2"/>
      <c r="S190" s="2"/>
      <c r="T190" s="2"/>
      <c r="U190" s="2"/>
      <c r="V190" s="2"/>
      <c r="W190" s="2"/>
      <c r="X190" s="2" t="str">
        <f t="shared" si="2"/>
        <v>ATLANTIC FISH MASTERCARD-XXXXXXNSRD9V-Yadwinder Singh</v>
      </c>
      <c r="Y190" s="4">
        <f>'QBO Transactions'!$Q192</f>
        <v>46232</v>
      </c>
      <c r="Z190" s="2"/>
      <c r="AA190" s="2"/>
      <c r="AB190" s="2"/>
      <c r="AC190" s="2"/>
      <c r="AD190" s="2"/>
      <c r="AE190" s="2"/>
    </row>
    <row r="191" spans="1:31" ht="12.75" customHeight="1" x14ac:dyDescent="0.25">
      <c r="A191" s="2"/>
      <c r="B191" s="2" t="str">
        <f>'QBO Transactions'!$U193</f>
        <v>Brex Credit Card</v>
      </c>
      <c r="C191" s="3">
        <f>'QBO Transactions'!$S193</f>
        <v>39.81</v>
      </c>
      <c r="D191" s="2" t="str">
        <f>'QBO Transactions'!$R193</f>
        <v>Uber</v>
      </c>
      <c r="E191" s="2"/>
      <c r="F191" s="3" t="str">
        <f>'QBO Transactions'!$X193</f>
        <v>Cost of Goods Sold:COGS- Travel Expenses:Ground Transportation</v>
      </c>
      <c r="G191" s="2"/>
      <c r="H191" s="2"/>
      <c r="I191" s="2"/>
      <c r="J191" s="2"/>
      <c r="K191" s="2"/>
      <c r="L191" s="2"/>
      <c r="M191" s="2"/>
      <c r="N191" s="2" t="str">
        <f>'QBO Transactions'!$Y193</f>
        <v>300- ServiceNow:310- Delivery</v>
      </c>
      <c r="O191" s="2"/>
      <c r="P191" s="2"/>
      <c r="Q191" s="2" t="str">
        <f>'QBO Transactions'!$T193</f>
        <v>UBER   *EATS MASTERCARD-XXXXXXXMLZDG-Anamaria Gramada</v>
      </c>
      <c r="R191" s="2"/>
      <c r="S191" s="2"/>
      <c r="T191" s="2"/>
      <c r="U191" s="2"/>
      <c r="V191" s="2"/>
      <c r="W191" s="2"/>
      <c r="X191" s="2" t="str">
        <f t="shared" si="2"/>
        <v>UBER   *EATS MASTERCARD-XXXXXXXMLZDG-Anamaria Gramada</v>
      </c>
      <c r="Y191" s="4">
        <f>'QBO Transactions'!$Q193</f>
        <v>46231</v>
      </c>
      <c r="Z191" s="2"/>
      <c r="AA191" s="2"/>
      <c r="AB191" s="2"/>
      <c r="AC191" s="2"/>
      <c r="AD191" s="2"/>
      <c r="AE191" s="2"/>
    </row>
    <row r="192" spans="1:31" ht="12.75" customHeight="1" x14ac:dyDescent="0.25">
      <c r="A192" s="2"/>
      <c r="B192" s="2" t="str">
        <f>'QBO Transactions'!$U194</f>
        <v>Brex Credit Card</v>
      </c>
      <c r="C192" s="3">
        <f>'QBO Transactions'!$S194</f>
        <v>50.01</v>
      </c>
      <c r="D192" s="2" t="str">
        <f>'QBO Transactions'!$R194</f>
        <v>Sweeney's</v>
      </c>
      <c r="E192" s="2"/>
      <c r="F192" s="3" t="str">
        <f>'QBO Transactions'!$X194</f>
        <v>Sales &amp; Marketing:Sales &amp; Marketing- Travel Expenses:Meals &amp; Entertainment</v>
      </c>
      <c r="G192" s="2"/>
      <c r="H192" s="2"/>
      <c r="I192" s="2"/>
      <c r="J192" s="2"/>
      <c r="K192" s="2"/>
      <c r="L192" s="2"/>
      <c r="M192" s="2"/>
      <c r="N192" s="2" t="str">
        <f>'QBO Transactions'!$Y194</f>
        <v>200- Datadog:230- Sales</v>
      </c>
      <c r="O192" s="2"/>
      <c r="P192" s="2"/>
      <c r="Q192" s="2" t="str">
        <f>'QBO Transactions'!$T194</f>
        <v>TST*SWEENEYS MASTERCARD-XXXXXXA29F03-Jared Kennedy</v>
      </c>
      <c r="R192" s="2"/>
      <c r="S192" s="2"/>
      <c r="T192" s="2"/>
      <c r="U192" s="2"/>
      <c r="V192" s="2"/>
      <c r="W192" s="2"/>
      <c r="X192" s="2" t="str">
        <f t="shared" si="2"/>
        <v>TST*SWEENEYS MASTERCARD-XXXXXXA29F03-Jared Kennedy</v>
      </c>
      <c r="Y192" s="4">
        <f>'QBO Transactions'!$Q194</f>
        <v>46231</v>
      </c>
      <c r="Z192" s="2"/>
      <c r="AA192" s="2"/>
      <c r="AB192" s="2"/>
      <c r="AC192" s="2"/>
      <c r="AD192" s="2"/>
      <c r="AE192" s="2"/>
    </row>
    <row r="193" spans="1:31" ht="12.75" customHeight="1" x14ac:dyDescent="0.25">
      <c r="A193" s="2"/>
      <c r="B193" s="2" t="str">
        <f>'QBO Transactions'!$U195</f>
        <v>Brex Credit Card</v>
      </c>
      <c r="C193" s="3">
        <f>'QBO Transactions'!$S195</f>
        <v>32.82</v>
      </c>
      <c r="D193" s="2" t="str">
        <f>'QBO Transactions'!$R195</f>
        <v>Sweeney's</v>
      </c>
      <c r="E193" s="2"/>
      <c r="F193" s="3" t="str">
        <f>'QBO Transactions'!$X195</f>
        <v>Sales &amp; Marketing:Sales &amp; Marketing- Travel Expenses:Meals &amp; Entertainment</v>
      </c>
      <c r="G193" s="2"/>
      <c r="H193" s="2"/>
      <c r="I193" s="2"/>
      <c r="J193" s="2"/>
      <c r="K193" s="2"/>
      <c r="L193" s="2"/>
      <c r="M193" s="2"/>
      <c r="N193" s="2" t="str">
        <f>'QBO Transactions'!$Y195</f>
        <v>200- Datadog:230- Sales</v>
      </c>
      <c r="O193" s="2"/>
      <c r="P193" s="2"/>
      <c r="Q193" s="2" t="str">
        <f>'QBO Transactions'!$T195</f>
        <v>TST*SWEENEYS MASTERCARD-XXXXXXVJNK8B-James Dean</v>
      </c>
      <c r="R193" s="2"/>
      <c r="S193" s="2"/>
      <c r="T193" s="2"/>
      <c r="U193" s="2"/>
      <c r="V193" s="2"/>
      <c r="W193" s="2"/>
      <c r="X193" s="2" t="str">
        <f t="shared" si="2"/>
        <v>TST*SWEENEYS MASTERCARD-XXXXXXVJNK8B-James Dean</v>
      </c>
      <c r="Y193" s="4">
        <f>'QBO Transactions'!$Q195</f>
        <v>46231</v>
      </c>
      <c r="Z193" s="2"/>
      <c r="AA193" s="2"/>
      <c r="AB193" s="2"/>
      <c r="AC193" s="2"/>
      <c r="AD193" s="2"/>
      <c r="AE193" s="2"/>
    </row>
    <row r="194" spans="1:31" ht="12.75" customHeight="1" x14ac:dyDescent="0.25">
      <c r="A194" s="2"/>
      <c r="B194" s="2" t="str">
        <f>'QBO Transactions'!$U196</f>
        <v>Brex Credit Card</v>
      </c>
      <c r="C194" s="3">
        <f>'QBO Transactions'!$S196</f>
        <v>48.11</v>
      </c>
      <c r="D194" s="2" t="str">
        <f>'QBO Transactions'!$R196</f>
        <v>Uber</v>
      </c>
      <c r="E194" s="2"/>
      <c r="F194" s="3" t="str">
        <f>'QBO Transactions'!$X196</f>
        <v>Cost of Goods Sold:COGS- Travel Expenses:Ground Transportation</v>
      </c>
      <c r="G194" s="2"/>
      <c r="H194" s="2"/>
      <c r="I194" s="2"/>
      <c r="J194" s="2"/>
      <c r="K194" s="2"/>
      <c r="L194" s="2"/>
      <c r="M194" s="2"/>
      <c r="N194" s="2" t="str">
        <f>'QBO Transactions'!$Y196</f>
        <v>300- ServiceNow:320- Engineering</v>
      </c>
      <c r="O194" s="2"/>
      <c r="P194" s="2"/>
      <c r="Q194" s="2" t="str">
        <f>'QBO Transactions'!$T196</f>
        <v>UBER   *EATS MASTERCARD-XXXXXXYBQWP8-Jeff Mu</v>
      </c>
      <c r="R194" s="2"/>
      <c r="S194" s="2"/>
      <c r="T194" s="2"/>
      <c r="U194" s="2"/>
      <c r="V194" s="2"/>
      <c r="W194" s="2"/>
      <c r="X194" s="2" t="str">
        <f t="shared" ref="X194:X257" si="3">Q194</f>
        <v>UBER   *EATS MASTERCARD-XXXXXXYBQWP8-Jeff Mu</v>
      </c>
      <c r="Y194" s="4">
        <f>'QBO Transactions'!$Q196</f>
        <v>46232</v>
      </c>
      <c r="Z194" s="2"/>
      <c r="AA194" s="2"/>
      <c r="AB194" s="2"/>
      <c r="AC194" s="2"/>
      <c r="AD194" s="2"/>
      <c r="AE194" s="2"/>
    </row>
    <row r="195" spans="1:31" ht="12.75" customHeight="1" x14ac:dyDescent="0.25">
      <c r="A195" s="2"/>
      <c r="B195" s="2" t="str">
        <f>'QBO Transactions'!$U197</f>
        <v>Brex Credit Card</v>
      </c>
      <c r="C195" s="3">
        <f>'QBO Transactions'!$S197</f>
        <v>25.92</v>
      </c>
      <c r="D195" s="2" t="str">
        <f>'QBO Transactions'!$R197</f>
        <v>Lyft</v>
      </c>
      <c r="E195" s="2"/>
      <c r="F195" s="3" t="str">
        <f>'QBO Transactions'!$X197</f>
        <v>Sales &amp; Marketing:Sales &amp; Marketing- Travel Expenses:Ground Transportation</v>
      </c>
      <c r="G195" s="2"/>
      <c r="H195" s="2"/>
      <c r="I195" s="2"/>
      <c r="J195" s="2"/>
      <c r="K195" s="2"/>
      <c r="L195" s="2"/>
      <c r="M195" s="2"/>
      <c r="N195" s="2" t="str">
        <f>'QBO Transactions'!$Y197</f>
        <v>100- Operations:120- Marketing</v>
      </c>
      <c r="O195" s="2"/>
      <c r="P195" s="2"/>
      <c r="Q195" s="2" t="str">
        <f>'QBO Transactions'!$T197</f>
        <v>LYFT   *1 RIDE 07-27 MASTERCARD-XXXXXXMWIBZ1-Karalyn Sims</v>
      </c>
      <c r="R195" s="2"/>
      <c r="S195" s="2"/>
      <c r="T195" s="2"/>
      <c r="U195" s="2"/>
      <c r="V195" s="2"/>
      <c r="W195" s="2"/>
      <c r="X195" s="2" t="str">
        <f t="shared" si="3"/>
        <v>LYFT   *1 RIDE 07-27 MASTERCARD-XXXXXXMWIBZ1-Karalyn Sims</v>
      </c>
      <c r="Y195" s="4">
        <f>'QBO Transactions'!$Q197</f>
        <v>46232</v>
      </c>
      <c r="Z195" s="2"/>
      <c r="AA195" s="2"/>
      <c r="AB195" s="2"/>
      <c r="AC195" s="2"/>
      <c r="AD195" s="2"/>
      <c r="AE195" s="2"/>
    </row>
    <row r="196" spans="1:31" ht="12.75" customHeight="1" x14ac:dyDescent="0.25">
      <c r="A196" s="2"/>
      <c r="B196" s="2" t="str">
        <f>'QBO Transactions'!$U198</f>
        <v>Brex Credit Card</v>
      </c>
      <c r="C196" s="3">
        <f>'QBO Transactions'!$S198</f>
        <v>11.46</v>
      </c>
      <c r="D196" s="2" t="str">
        <f>'QBO Transactions'!$R198</f>
        <v>Food Vendor</v>
      </c>
      <c r="E196" s="2"/>
      <c r="F196" s="3" t="str">
        <f>'QBO Transactions'!$X198</f>
        <v>Cost of Goods Sold:COGS- Travel Expenses:Meals &amp; Entertainment</v>
      </c>
      <c r="G196" s="2"/>
      <c r="H196" s="2"/>
      <c r="I196" s="2"/>
      <c r="J196" s="2"/>
      <c r="K196" s="2"/>
      <c r="L196" s="2"/>
      <c r="M196" s="2"/>
      <c r="N196" s="2" t="str">
        <f>'QBO Transactions'!$Y198</f>
        <v>300- ServiceNow:320- Engineering</v>
      </c>
      <c r="O196" s="2"/>
      <c r="P196" s="2"/>
      <c r="Q196" s="2" t="str">
        <f>'QBO Transactions'!$T198</f>
        <v>THE WILDDUCK MARKET PL MASTERCARD-XXXXXXR8ARDU-Robert Kolosky</v>
      </c>
      <c r="R196" s="2"/>
      <c r="S196" s="2"/>
      <c r="T196" s="2"/>
      <c r="U196" s="2"/>
      <c r="V196" s="2"/>
      <c r="W196" s="2"/>
      <c r="X196" s="2" t="str">
        <f t="shared" si="3"/>
        <v>THE WILDDUCK MARKET PL MASTERCARD-XXXXXXR8ARDU-Robert Kolosky</v>
      </c>
      <c r="Y196" s="4">
        <f>'QBO Transactions'!$Q198</f>
        <v>46231</v>
      </c>
      <c r="Z196" s="2"/>
      <c r="AA196" s="2"/>
      <c r="AB196" s="2"/>
      <c r="AC196" s="2"/>
      <c r="AD196" s="2"/>
      <c r="AE196" s="2"/>
    </row>
    <row r="197" spans="1:31" ht="12.75" customHeight="1" x14ac:dyDescent="0.25">
      <c r="A197" s="2"/>
      <c r="B197" s="2" t="str">
        <f>'QBO Transactions'!$U199</f>
        <v>Brex Credit Card</v>
      </c>
      <c r="C197" s="3">
        <f>'QBO Transactions'!$S199</f>
        <v>754.88</v>
      </c>
      <c r="D197" s="2" t="str">
        <f>'QBO Transactions'!$R199</f>
        <v>Food Vendor</v>
      </c>
      <c r="E197" s="2"/>
      <c r="F197" s="3" t="str">
        <f>'QBO Transactions'!$X199</f>
        <v>Sales &amp; Marketing:Sales &amp; Marketing- Travel Expenses:Meals &amp; Entertainment</v>
      </c>
      <c r="G197" s="2"/>
      <c r="H197" s="2"/>
      <c r="I197" s="2"/>
      <c r="J197" s="2"/>
      <c r="K197" s="2"/>
      <c r="L197" s="2"/>
      <c r="M197" s="2"/>
      <c r="N197" s="2" t="str">
        <f>'QBO Transactions'!$Y199</f>
        <v>100- Operations:120- Marketing</v>
      </c>
      <c r="O197" s="2"/>
      <c r="P197" s="2"/>
      <c r="Q197" s="2" t="str">
        <f>'QBO Transactions'!$T199</f>
        <v>RAFFLES BOSTON F&amp;B MASTERCARD-XXXXXXY5J5SE-Toni Manning</v>
      </c>
      <c r="R197" s="2"/>
      <c r="S197" s="2"/>
      <c r="T197" s="2"/>
      <c r="U197" s="2"/>
      <c r="V197" s="2"/>
      <c r="W197" s="2"/>
      <c r="X197" s="2" t="str">
        <f t="shared" si="3"/>
        <v>RAFFLES BOSTON F&amp;B MASTERCARD-XXXXXXY5J5SE-Toni Manning</v>
      </c>
      <c r="Y197" s="4">
        <f>'QBO Transactions'!$Q199</f>
        <v>46232</v>
      </c>
      <c r="Z197" s="2"/>
      <c r="AA197" s="2"/>
      <c r="AB197" s="2"/>
      <c r="AC197" s="2"/>
      <c r="AD197" s="2"/>
      <c r="AE197" s="2"/>
    </row>
    <row r="198" spans="1:31" ht="12.75" customHeight="1" x14ac:dyDescent="0.25">
      <c r="A198" s="2"/>
      <c r="B198" s="2" t="str">
        <f>'QBO Transactions'!$U200</f>
        <v>Brex Credit Card</v>
      </c>
      <c r="C198" s="3">
        <f>'QBO Transactions'!$S200</f>
        <v>16.579999999999998</v>
      </c>
      <c r="D198" s="2" t="str">
        <f>'QBO Transactions'!$R200</f>
        <v>Uber</v>
      </c>
      <c r="E198" s="2"/>
      <c r="F198" s="3" t="str">
        <f>'QBO Transactions'!$X200</f>
        <v>Sales &amp; Marketing:Sales &amp; Marketing- Travel Expenses:Ground Transportation</v>
      </c>
      <c r="G198" s="2"/>
      <c r="H198" s="2"/>
      <c r="I198" s="2"/>
      <c r="J198" s="2"/>
      <c r="K198" s="2"/>
      <c r="L198" s="2"/>
      <c r="M198" s="2"/>
      <c r="N198" s="2" t="str">
        <f>'QBO Transactions'!$Y200</f>
        <v>200- Datadog:230- Sales</v>
      </c>
      <c r="O198" s="2"/>
      <c r="P198" s="2"/>
      <c r="Q198" s="2" t="str">
        <f>'QBO Transactions'!$T200</f>
        <v>UBER   *TRIP MASTERCARD-XXXXXXC83NBT-Jackson Donahoe</v>
      </c>
      <c r="R198" s="2"/>
      <c r="S198" s="2"/>
      <c r="T198" s="2"/>
      <c r="U198" s="2"/>
      <c r="V198" s="2"/>
      <c r="W198" s="2"/>
      <c r="X198" s="2" t="str">
        <f t="shared" si="3"/>
        <v>UBER   *TRIP MASTERCARD-XXXXXXC83NBT-Jackson Donahoe</v>
      </c>
      <c r="Y198" s="4">
        <f>'QBO Transactions'!$Q200</f>
        <v>46232</v>
      </c>
      <c r="Z198" s="2"/>
      <c r="AA198" s="2"/>
      <c r="AB198" s="2"/>
      <c r="AC198" s="2"/>
      <c r="AD198" s="2"/>
      <c r="AE198" s="2"/>
    </row>
    <row r="199" spans="1:31" ht="12.75" customHeight="1" x14ac:dyDescent="0.25">
      <c r="A199" s="2"/>
      <c r="B199" s="2" t="str">
        <f>'QBO Transactions'!$U201</f>
        <v>Brex Credit Card</v>
      </c>
      <c r="C199" s="3">
        <f>'QBO Transactions'!$S201</f>
        <v>61.13</v>
      </c>
      <c r="D199" s="2" t="str">
        <f>'QBO Transactions'!$R201</f>
        <v>Uber</v>
      </c>
      <c r="E199" s="2"/>
      <c r="F199" s="3" t="str">
        <f>'QBO Transactions'!$X201</f>
        <v>Sales &amp; Marketing:Sales &amp; Marketing- Travel Expenses:Ground Transportation</v>
      </c>
      <c r="G199" s="2"/>
      <c r="H199" s="2"/>
      <c r="I199" s="2"/>
      <c r="J199" s="2"/>
      <c r="K199" s="2"/>
      <c r="L199" s="2"/>
      <c r="M199" s="2"/>
      <c r="N199" s="2" t="str">
        <f>'QBO Transactions'!$Y201</f>
        <v>300- ServiceNow:330- Sales</v>
      </c>
      <c r="O199" s="2"/>
      <c r="P199" s="2"/>
      <c r="Q199" s="2" t="str">
        <f>'QBO Transactions'!$T201</f>
        <v>UBER   *TRIP MASTERCARD-XXXXXXF4ZM7I-Maile Call</v>
      </c>
      <c r="R199" s="2"/>
      <c r="S199" s="2"/>
      <c r="T199" s="2"/>
      <c r="U199" s="2"/>
      <c r="V199" s="2"/>
      <c r="W199" s="2"/>
      <c r="X199" s="2" t="str">
        <f t="shared" si="3"/>
        <v>UBER   *TRIP MASTERCARD-XXXXXXF4ZM7I-Maile Call</v>
      </c>
      <c r="Y199" s="4">
        <f>'QBO Transactions'!$Q201</f>
        <v>46231</v>
      </c>
      <c r="Z199" s="2"/>
      <c r="AA199" s="2"/>
      <c r="AB199" s="2"/>
      <c r="AC199" s="2"/>
      <c r="AD199" s="2"/>
      <c r="AE199" s="2"/>
    </row>
    <row r="200" spans="1:31" ht="12.75" customHeight="1" x14ac:dyDescent="0.25">
      <c r="A200" s="2"/>
      <c r="B200" s="2" t="str">
        <f>'QBO Transactions'!$U202</f>
        <v>Brex Credit Card</v>
      </c>
      <c r="C200" s="3">
        <f>'QBO Transactions'!$S202</f>
        <v>167.5</v>
      </c>
      <c r="D200" s="2" t="str">
        <f>'QBO Transactions'!$R202</f>
        <v>Capital Burger</v>
      </c>
      <c r="E200" s="2"/>
      <c r="F200" s="3" t="str">
        <f>'QBO Transactions'!$X202</f>
        <v>Sales &amp; Marketing:Sales &amp; Marketing- Travel Expenses:Meals &amp; Entertainment</v>
      </c>
      <c r="G200" s="2"/>
      <c r="H200" s="2"/>
      <c r="I200" s="2"/>
      <c r="J200" s="2"/>
      <c r="K200" s="2"/>
      <c r="L200" s="2"/>
      <c r="M200" s="2"/>
      <c r="N200" s="2" t="str">
        <f>'QBO Transactions'!$Y202</f>
        <v>300- ServiceNow:330- Sales</v>
      </c>
      <c r="O200" s="2"/>
      <c r="P200" s="2"/>
      <c r="Q200" s="2" t="str">
        <f>'QBO Transactions'!$T202</f>
        <v>CAPITAL BURGER 0213402 MASTERCARD-XXXXXXUZL52L-Matt Hyman</v>
      </c>
      <c r="R200" s="2"/>
      <c r="S200" s="2"/>
      <c r="T200" s="2"/>
      <c r="U200" s="2"/>
      <c r="V200" s="2"/>
      <c r="W200" s="2"/>
      <c r="X200" s="2" t="str">
        <f t="shared" si="3"/>
        <v>CAPITAL BURGER 0213402 MASTERCARD-XXXXXXUZL52L-Matt Hyman</v>
      </c>
      <c r="Y200" s="4">
        <f>'QBO Transactions'!$Q202</f>
        <v>46232</v>
      </c>
      <c r="Z200" s="2"/>
      <c r="AA200" s="2"/>
      <c r="AB200" s="2"/>
      <c r="AC200" s="2"/>
      <c r="AD200" s="2"/>
      <c r="AE200" s="2"/>
    </row>
    <row r="201" spans="1:31" ht="12.75" customHeight="1" x14ac:dyDescent="0.25">
      <c r="A201" s="2"/>
      <c r="B201" s="2" t="str">
        <f>'QBO Transactions'!$U203</f>
        <v>Brex Credit Card</v>
      </c>
      <c r="C201" s="3">
        <f>'QBO Transactions'!$S203</f>
        <v>17.39</v>
      </c>
      <c r="D201" s="2" t="str">
        <f>'QBO Transactions'!$R203</f>
        <v>Food Vendor</v>
      </c>
      <c r="E201" s="2"/>
      <c r="F201" s="3" t="str">
        <f>'QBO Transactions'!$X203</f>
        <v>Cost of Goods Sold:COGS- Travel Expenses:Meals &amp; Entertainment</v>
      </c>
      <c r="G201" s="2"/>
      <c r="H201" s="2"/>
      <c r="I201" s="2"/>
      <c r="J201" s="2"/>
      <c r="K201" s="2"/>
      <c r="L201" s="2"/>
      <c r="M201" s="2"/>
      <c r="N201" s="2" t="str">
        <f>'QBO Transactions'!$Y203</f>
        <v>300- ServiceNow:320- Engineering</v>
      </c>
      <c r="O201" s="2"/>
      <c r="P201" s="2"/>
      <c r="Q201" s="2" t="str">
        <f>'QBO Transactions'!$T203</f>
        <v>TST*LEVAIN NEWBURY BOS MASTERCARD-XXXXXXCJOTOY-Jonathan Stricklin</v>
      </c>
      <c r="R201" s="2"/>
      <c r="S201" s="2"/>
      <c r="T201" s="2"/>
      <c r="U201" s="2"/>
      <c r="V201" s="2"/>
      <c r="W201" s="2"/>
      <c r="X201" s="2" t="str">
        <f t="shared" si="3"/>
        <v>TST*LEVAIN NEWBURY BOS MASTERCARD-XXXXXXCJOTOY-Jonathan Stricklin</v>
      </c>
      <c r="Y201" s="4">
        <f>'QBO Transactions'!$Q203</f>
        <v>46231</v>
      </c>
      <c r="Z201" s="2"/>
      <c r="AA201" s="2"/>
      <c r="AB201" s="2"/>
      <c r="AC201" s="2"/>
      <c r="AD201" s="2"/>
      <c r="AE201" s="2"/>
    </row>
    <row r="202" spans="1:31" ht="12.75" customHeight="1" x14ac:dyDescent="0.25">
      <c r="A202" s="2"/>
      <c r="B202" s="2" t="str">
        <f>'QBO Transactions'!$U204</f>
        <v>Brex Credit Card</v>
      </c>
      <c r="C202" s="3">
        <f>'QBO Transactions'!$S204</f>
        <v>5.75</v>
      </c>
      <c r="D202" s="2" t="str">
        <f>'QBO Transactions'!$R204</f>
        <v>Uber</v>
      </c>
      <c r="E202" s="2"/>
      <c r="F202" s="3" t="str">
        <f>'QBO Transactions'!$X204</f>
        <v>Sales &amp; Marketing:Sales &amp; Marketing- Travel Expenses:Ground Transportation</v>
      </c>
      <c r="G202" s="2"/>
      <c r="H202" s="2"/>
      <c r="I202" s="2"/>
      <c r="J202" s="2"/>
      <c r="K202" s="2"/>
      <c r="L202" s="2"/>
      <c r="M202" s="2"/>
      <c r="N202" s="2" t="str">
        <f>'QBO Transactions'!$Y204</f>
        <v>200- Datadog:230- Sales</v>
      </c>
      <c r="O202" s="2"/>
      <c r="P202" s="2"/>
      <c r="Q202" s="2" t="str">
        <f>'QBO Transactions'!$T204</f>
        <v>UBER   *TRIP MASTERCARD-XXXXXXX7XU0P-Jackson Donahoe</v>
      </c>
      <c r="R202" s="2"/>
      <c r="S202" s="2"/>
      <c r="T202" s="2"/>
      <c r="U202" s="2"/>
      <c r="V202" s="2"/>
      <c r="W202" s="2"/>
      <c r="X202" s="2" t="str">
        <f t="shared" si="3"/>
        <v>UBER   *TRIP MASTERCARD-XXXXXXX7XU0P-Jackson Donahoe</v>
      </c>
      <c r="Y202" s="4">
        <f>'QBO Transactions'!$Q204</f>
        <v>46231</v>
      </c>
      <c r="Z202" s="2"/>
      <c r="AA202" s="2"/>
      <c r="AB202" s="2"/>
      <c r="AC202" s="2"/>
      <c r="AD202" s="2"/>
      <c r="AE202" s="2"/>
    </row>
    <row r="203" spans="1:31" ht="12.75" customHeight="1" x14ac:dyDescent="0.25">
      <c r="A203" s="2"/>
      <c r="B203" s="2" t="str">
        <f>'QBO Transactions'!$U205</f>
        <v>Brex Credit Card</v>
      </c>
      <c r="C203" s="3">
        <f>'QBO Transactions'!$S205</f>
        <v>12.19</v>
      </c>
      <c r="D203" s="2" t="str">
        <f>'QBO Transactions'!$R205</f>
        <v>Raising Canes</v>
      </c>
      <c r="E203" s="2"/>
      <c r="F203" s="3" t="str">
        <f>'QBO Transactions'!$X205</f>
        <v>Cost of Goods Sold:COGS- Travel Expenses:Meals &amp; Entertainment</v>
      </c>
      <c r="G203" s="2"/>
      <c r="H203" s="2"/>
      <c r="I203" s="2"/>
      <c r="J203" s="2"/>
      <c r="K203" s="2"/>
      <c r="L203" s="2"/>
      <c r="M203" s="2"/>
      <c r="N203" s="2" t="str">
        <f>'QBO Transactions'!$Y205</f>
        <v>300- ServiceNow:320- Engineering</v>
      </c>
      <c r="O203" s="2"/>
      <c r="P203" s="2"/>
      <c r="Q203" s="2" t="str">
        <f>'QBO Transactions'!$T205</f>
        <v>RAISING CANES 0676 MASTERCARD-XXXXXXYRVP6K-Tanner Ylvisaker</v>
      </c>
      <c r="R203" s="2"/>
      <c r="S203" s="2"/>
      <c r="T203" s="2"/>
      <c r="U203" s="2"/>
      <c r="V203" s="2"/>
      <c r="W203" s="2"/>
      <c r="X203" s="2" t="str">
        <f t="shared" si="3"/>
        <v>RAISING CANES 0676 MASTERCARD-XXXXXXYRVP6K-Tanner Ylvisaker</v>
      </c>
      <c r="Y203" s="4">
        <f>'QBO Transactions'!$Q205</f>
        <v>46232</v>
      </c>
      <c r="Z203" s="2"/>
      <c r="AA203" s="2"/>
      <c r="AB203" s="2"/>
      <c r="AC203" s="2"/>
      <c r="AD203" s="2"/>
      <c r="AE203" s="2"/>
    </row>
    <row r="204" spans="1:31" ht="12.75" customHeight="1" x14ac:dyDescent="0.25">
      <c r="A204" s="2"/>
      <c r="B204" s="2" t="str">
        <f>'QBO Transactions'!$U206</f>
        <v>Brex Credit Card</v>
      </c>
      <c r="C204" s="3">
        <f>'QBO Transactions'!$S206</f>
        <v>8</v>
      </c>
      <c r="D204" s="2" t="str">
        <f>'QBO Transactions'!$R206</f>
        <v>Uber</v>
      </c>
      <c r="E204" s="2"/>
      <c r="F204" s="3" t="str">
        <f>'QBO Transactions'!$X206</f>
        <v>Cost of Goods Sold:COGS- Travel Expenses:Ground Transportation</v>
      </c>
      <c r="G204" s="2"/>
      <c r="H204" s="2"/>
      <c r="I204" s="2"/>
      <c r="J204" s="2"/>
      <c r="K204" s="2"/>
      <c r="L204" s="2"/>
      <c r="M204" s="2"/>
      <c r="N204" s="2" t="str">
        <f>'QBO Transactions'!$Y206</f>
        <v>300- ServiceNow:320- Engineering</v>
      </c>
      <c r="O204" s="2"/>
      <c r="P204" s="2"/>
      <c r="Q204" s="2" t="str">
        <f>'QBO Transactions'!$T206</f>
        <v>UBER   *TRIP MASTERCARD-XXXXXXSFKFIR-Gary Baker</v>
      </c>
      <c r="R204" s="2"/>
      <c r="S204" s="2"/>
      <c r="T204" s="2"/>
      <c r="U204" s="2"/>
      <c r="V204" s="2"/>
      <c r="W204" s="2"/>
      <c r="X204" s="2" t="str">
        <f t="shared" si="3"/>
        <v>UBER   *TRIP MASTERCARD-XXXXXXSFKFIR-Gary Baker</v>
      </c>
      <c r="Y204" s="4">
        <f>'QBO Transactions'!$Q206</f>
        <v>46231</v>
      </c>
      <c r="Z204" s="2"/>
      <c r="AA204" s="2"/>
      <c r="AB204" s="2"/>
      <c r="AC204" s="2"/>
      <c r="AD204" s="2"/>
      <c r="AE204" s="2"/>
    </row>
    <row r="205" spans="1:31" ht="12.75" customHeight="1" x14ac:dyDescent="0.25">
      <c r="A205" s="2"/>
      <c r="B205" s="2" t="str">
        <f>'QBO Transactions'!$U207</f>
        <v>Brex Credit Card</v>
      </c>
      <c r="C205" s="3">
        <f>'QBO Transactions'!$S207</f>
        <v>13.47</v>
      </c>
      <c r="D205" s="2" t="str">
        <f>'QBO Transactions'!$R207</f>
        <v>Chick-Fil-A</v>
      </c>
      <c r="E205" s="2"/>
      <c r="F205" s="3" t="str">
        <f>'QBO Transactions'!$X207</f>
        <v>Cost of Goods Sold:COGS- Travel Expenses:Meals &amp; Entertainment</v>
      </c>
      <c r="G205" s="2"/>
      <c r="H205" s="2"/>
      <c r="I205" s="2"/>
      <c r="J205" s="2"/>
      <c r="K205" s="2"/>
      <c r="L205" s="2"/>
      <c r="M205" s="2"/>
      <c r="N205" s="2" t="str">
        <f>'QBO Transactions'!$Y207</f>
        <v>300- ServiceNow:320- Engineering</v>
      </c>
      <c r="O205" s="2"/>
      <c r="P205" s="2"/>
      <c r="Q205" s="2" t="str">
        <f>'QBO Transactions'!$T207</f>
        <v>CHICK-FIL-A #04205 MASTERCARD-XXXXXXO44W49-Ben Savage</v>
      </c>
      <c r="R205" s="2"/>
      <c r="S205" s="2"/>
      <c r="T205" s="2"/>
      <c r="U205" s="2"/>
      <c r="V205" s="2"/>
      <c r="W205" s="2"/>
      <c r="X205" s="2" t="str">
        <f t="shared" si="3"/>
        <v>CHICK-FIL-A #04205 MASTERCARD-XXXXXXO44W49-Ben Savage</v>
      </c>
      <c r="Y205" s="4">
        <f>'QBO Transactions'!$Q207</f>
        <v>46232</v>
      </c>
      <c r="Z205" s="2"/>
      <c r="AA205" s="2"/>
      <c r="AB205" s="2"/>
      <c r="AC205" s="2"/>
      <c r="AD205" s="2"/>
      <c r="AE205" s="2"/>
    </row>
    <row r="206" spans="1:31" ht="12.75" customHeight="1" x14ac:dyDescent="0.25">
      <c r="A206" s="2"/>
      <c r="B206" s="2" t="str">
        <f>'QBO Transactions'!$U208</f>
        <v>Brex Credit Card</v>
      </c>
      <c r="C206" s="3">
        <f>'QBO Transactions'!$S208</f>
        <v>25.54</v>
      </c>
      <c r="D206" s="2" t="str">
        <f>'QBO Transactions'!$R208</f>
        <v>Uber</v>
      </c>
      <c r="E206" s="2"/>
      <c r="F206" s="3" t="str">
        <f>'QBO Transactions'!$X208</f>
        <v>Cost of Goods Sold:COGS- Travel Expenses:Ground Transportation</v>
      </c>
      <c r="G206" s="2"/>
      <c r="H206" s="2"/>
      <c r="I206" s="2"/>
      <c r="J206" s="2"/>
      <c r="K206" s="2"/>
      <c r="L206" s="2"/>
      <c r="M206" s="2"/>
      <c r="N206" s="2" t="str">
        <f>'QBO Transactions'!$Y208</f>
        <v>200- Datadog:220- Engineering</v>
      </c>
      <c r="O206" s="2"/>
      <c r="P206" s="2"/>
      <c r="Q206" s="2" t="str">
        <f>'QBO Transactions'!$T208</f>
        <v>UBER   *TRIP MASTERCARD-XXXXXX2T12SS-Saurabh Premraj</v>
      </c>
      <c r="R206" s="2"/>
      <c r="S206" s="2"/>
      <c r="T206" s="2"/>
      <c r="U206" s="2"/>
      <c r="V206" s="2"/>
      <c r="W206" s="2"/>
      <c r="X206" s="2" t="str">
        <f t="shared" si="3"/>
        <v>UBER   *TRIP MASTERCARD-XXXXXX2T12SS-Saurabh Premraj</v>
      </c>
      <c r="Y206" s="4">
        <f>'QBO Transactions'!$Q208</f>
        <v>46231</v>
      </c>
      <c r="Z206" s="2"/>
      <c r="AA206" s="2"/>
      <c r="AB206" s="2"/>
      <c r="AC206" s="2"/>
      <c r="AD206" s="2"/>
      <c r="AE206" s="2"/>
    </row>
    <row r="207" spans="1:31" ht="12.75" customHeight="1" x14ac:dyDescent="0.25">
      <c r="A207" s="2"/>
      <c r="B207" s="2" t="str">
        <f>'QBO Transactions'!$U209</f>
        <v>Brex Credit Card</v>
      </c>
      <c r="C207" s="3">
        <f>'QBO Transactions'!$S209</f>
        <v>24.42</v>
      </c>
      <c r="D207" s="2" t="str">
        <f>'QBO Transactions'!$R209</f>
        <v>Star Market</v>
      </c>
      <c r="E207" s="2"/>
      <c r="F207" s="3" t="str">
        <f>'QBO Transactions'!$X209</f>
        <v>Cost of Goods Sold:COGS- Travel Expenses:Meals &amp; Entertainment</v>
      </c>
      <c r="G207" s="2"/>
      <c r="H207" s="2"/>
      <c r="I207" s="2"/>
      <c r="J207" s="2"/>
      <c r="K207" s="2"/>
      <c r="L207" s="2"/>
      <c r="M207" s="2"/>
      <c r="N207" s="2" t="str">
        <f>'QBO Transactions'!$Y209</f>
        <v>300- ServiceNow:320- Engineering</v>
      </c>
      <c r="O207" s="2"/>
      <c r="P207" s="2"/>
      <c r="Q207" s="2" t="str">
        <f>'QBO Transactions'!$T209</f>
        <v>STAR MARKET 0602 MASTERCARD-XXXXXX9KL42L-Cody Sandford</v>
      </c>
      <c r="R207" s="2"/>
      <c r="S207" s="2"/>
      <c r="T207" s="2"/>
      <c r="U207" s="2"/>
      <c r="V207" s="2"/>
      <c r="W207" s="2"/>
      <c r="X207" s="2" t="str">
        <f t="shared" si="3"/>
        <v>STAR MARKET 0602 MASTERCARD-XXXXXX9KL42L-Cody Sandford</v>
      </c>
      <c r="Y207" s="4">
        <f>'QBO Transactions'!$Q209</f>
        <v>46232</v>
      </c>
      <c r="Z207" s="2"/>
      <c r="AA207" s="2"/>
      <c r="AB207" s="2"/>
      <c r="AC207" s="2"/>
      <c r="AD207" s="2"/>
      <c r="AE207" s="2"/>
    </row>
    <row r="208" spans="1:31" ht="12.75" customHeight="1" x14ac:dyDescent="0.25">
      <c r="A208" s="2"/>
      <c r="B208" s="2" t="str">
        <f>'QBO Transactions'!$U210</f>
        <v>Brex Credit Card</v>
      </c>
      <c r="C208" s="3">
        <f>'QBO Transactions'!$S210</f>
        <v>33.97</v>
      </c>
      <c r="D208" s="2" t="str">
        <f>'QBO Transactions'!$R210</f>
        <v>Uber</v>
      </c>
      <c r="E208" s="2"/>
      <c r="F208" s="3" t="str">
        <f>'QBO Transactions'!$X210</f>
        <v>Sales &amp; Marketing:Sales &amp; Marketing- Travel Expenses:Ground Transportation</v>
      </c>
      <c r="G208" s="2"/>
      <c r="H208" s="2"/>
      <c r="I208" s="2"/>
      <c r="J208" s="2"/>
      <c r="K208" s="2"/>
      <c r="L208" s="2"/>
      <c r="M208" s="2"/>
      <c r="N208" s="2" t="str">
        <f>'QBO Transactions'!$Y210</f>
        <v>300- ServiceNow:330- Sales</v>
      </c>
      <c r="O208" s="2"/>
      <c r="P208" s="2"/>
      <c r="Q208" s="2" t="str">
        <f>'QBO Transactions'!$T210</f>
        <v>UBER   *TRIP MASTERCARD-XXXXXXGG2SM5-Matt Hyman</v>
      </c>
      <c r="R208" s="2"/>
      <c r="S208" s="2"/>
      <c r="T208" s="2"/>
      <c r="U208" s="2"/>
      <c r="V208" s="2"/>
      <c r="W208" s="2"/>
      <c r="X208" s="2" t="str">
        <f t="shared" si="3"/>
        <v>UBER   *TRIP MASTERCARD-XXXXXXGG2SM5-Matt Hyman</v>
      </c>
      <c r="Y208" s="4">
        <f>'QBO Transactions'!$Q210</f>
        <v>46232</v>
      </c>
      <c r="Z208" s="2"/>
      <c r="AA208" s="2"/>
      <c r="AB208" s="2"/>
      <c r="AC208" s="2"/>
      <c r="AD208" s="2"/>
      <c r="AE208" s="2"/>
    </row>
    <row r="209" spans="1:31" ht="12.75" customHeight="1" x14ac:dyDescent="0.25">
      <c r="A209" s="2"/>
      <c r="B209" s="2" t="str">
        <f>'QBO Transactions'!$U211</f>
        <v>Brex Credit Card</v>
      </c>
      <c r="C209" s="3">
        <f>'QBO Transactions'!$S211</f>
        <v>39.22</v>
      </c>
      <c r="D209" s="2" t="str">
        <f>'QBO Transactions'!$R211</f>
        <v>Door Dash</v>
      </c>
      <c r="E209" s="2"/>
      <c r="F209" s="3" t="str">
        <f>'QBO Transactions'!$X211</f>
        <v>Cost of Goods Sold:COGS- Travel Expenses:Meals &amp; Entertainment</v>
      </c>
      <c r="G209" s="2"/>
      <c r="H209" s="2"/>
      <c r="I209" s="2"/>
      <c r="J209" s="2"/>
      <c r="K209" s="2"/>
      <c r="L209" s="2"/>
      <c r="M209" s="2"/>
      <c r="N209" s="2" t="str">
        <f>'QBO Transactions'!$Y211</f>
        <v>300- ServiceNow:320- Engineering</v>
      </c>
      <c r="O209" s="2"/>
      <c r="P209" s="2"/>
      <c r="Q209" s="2" t="str">
        <f>'QBO Transactions'!$T211</f>
        <v>DD *DOORDASH THEKOSHER MASTERCARD-XXXXXXR4YS5L-Israel Baral</v>
      </c>
      <c r="R209" s="2"/>
      <c r="S209" s="2"/>
      <c r="T209" s="2"/>
      <c r="U209" s="2"/>
      <c r="V209" s="2"/>
      <c r="W209" s="2"/>
      <c r="X209" s="2" t="str">
        <f t="shared" si="3"/>
        <v>DD *DOORDASH THEKOSHER MASTERCARD-XXXXXXR4YS5L-Israel Baral</v>
      </c>
      <c r="Y209" s="4">
        <f>'QBO Transactions'!$Q211</f>
        <v>46231</v>
      </c>
      <c r="Z209" s="2"/>
      <c r="AA209" s="2"/>
      <c r="AB209" s="2"/>
      <c r="AC209" s="2"/>
      <c r="AD209" s="2"/>
      <c r="AE209" s="2"/>
    </row>
    <row r="210" spans="1:31" ht="12.75" customHeight="1" x14ac:dyDescent="0.25">
      <c r="A210" s="2"/>
      <c r="B210" s="2" t="str">
        <f>'QBO Transactions'!$U212</f>
        <v>Brex Credit Card</v>
      </c>
      <c r="C210" s="3">
        <f>'QBO Transactions'!$S212</f>
        <v>36.14</v>
      </c>
      <c r="D210" s="2" t="str">
        <f>'QBO Transactions'!$R212</f>
        <v>Uber</v>
      </c>
      <c r="E210" s="2"/>
      <c r="F210" s="3" t="str">
        <f>'QBO Transactions'!$X212</f>
        <v>Cost of Goods Sold:COGS- Travel Expenses:Ground Transportation</v>
      </c>
      <c r="G210" s="2"/>
      <c r="H210" s="2"/>
      <c r="I210" s="2"/>
      <c r="J210" s="2"/>
      <c r="K210" s="2"/>
      <c r="L210" s="2"/>
      <c r="M210" s="2"/>
      <c r="N210" s="2" t="str">
        <f>'QBO Transactions'!$Y212</f>
        <v>300- ServiceNow:320- Engineering</v>
      </c>
      <c r="O210" s="2"/>
      <c r="P210" s="2"/>
      <c r="Q210" s="2" t="str">
        <f>'QBO Transactions'!$T212</f>
        <v>UBER   *EATS MASTERCARD-XXXXXXPUPSDG-Mitchell Deaner</v>
      </c>
      <c r="R210" s="2"/>
      <c r="S210" s="2"/>
      <c r="T210" s="2"/>
      <c r="U210" s="2"/>
      <c r="V210" s="2"/>
      <c r="W210" s="2"/>
      <c r="X210" s="2" t="str">
        <f t="shared" si="3"/>
        <v>UBER   *EATS MASTERCARD-XXXXXXPUPSDG-Mitchell Deaner</v>
      </c>
      <c r="Y210" s="4">
        <f>'QBO Transactions'!$Q212</f>
        <v>46231</v>
      </c>
      <c r="Z210" s="2"/>
      <c r="AA210" s="2"/>
      <c r="AB210" s="2"/>
      <c r="AC210" s="2"/>
      <c r="AD210" s="2"/>
      <c r="AE210" s="2"/>
    </row>
    <row r="211" spans="1:31" ht="12.75" customHeight="1" x14ac:dyDescent="0.25">
      <c r="A211" s="2"/>
      <c r="B211" s="2" t="str">
        <f>'QBO Transactions'!$U213</f>
        <v>Brex Credit Card</v>
      </c>
      <c r="C211" s="3">
        <f>'QBO Transactions'!$S213</f>
        <v>45</v>
      </c>
      <c r="D211" s="2" t="str">
        <f>'QBO Transactions'!$R213</f>
        <v>Back Bay Garage</v>
      </c>
      <c r="E211" s="2"/>
      <c r="F211" s="3" t="str">
        <f>'QBO Transactions'!$X213</f>
        <v>General &amp; Administrative:G&amp;A- Travel Expenses:Ground Transportation</v>
      </c>
      <c r="G211" s="2"/>
      <c r="H211" s="2"/>
      <c r="I211" s="2"/>
      <c r="J211" s="2"/>
      <c r="K211" s="2"/>
      <c r="L211" s="2"/>
      <c r="M211" s="2"/>
      <c r="N211" s="2" t="str">
        <f>'QBO Transactions'!$Y213</f>
        <v>100- Operations:110- G&amp;A</v>
      </c>
      <c r="O211" s="2"/>
      <c r="P211" s="2"/>
      <c r="Q211" s="2" t="str">
        <f>'QBO Transactions'!$T213</f>
        <v>VPNE BackBayGarage MASTERCARD-XXXXXXXGXL1T-Kevin Ebert</v>
      </c>
      <c r="R211" s="2"/>
      <c r="S211" s="2"/>
      <c r="T211" s="2"/>
      <c r="U211" s="2"/>
      <c r="V211" s="2"/>
      <c r="W211" s="2"/>
      <c r="X211" s="2" t="str">
        <f t="shared" si="3"/>
        <v>VPNE BackBayGarage MASTERCARD-XXXXXXXGXL1T-Kevin Ebert</v>
      </c>
      <c r="Y211" s="4">
        <f>'QBO Transactions'!$Q213</f>
        <v>46231</v>
      </c>
      <c r="Z211" s="2"/>
      <c r="AA211" s="2"/>
      <c r="AB211" s="2"/>
      <c r="AC211" s="2"/>
      <c r="AD211" s="2"/>
      <c r="AE211" s="2"/>
    </row>
    <row r="212" spans="1:31" ht="12.75" customHeight="1" x14ac:dyDescent="0.25">
      <c r="A212" s="2"/>
      <c r="B212" s="2" t="str">
        <f>'QBO Transactions'!$U214</f>
        <v>Brex Credit Card</v>
      </c>
      <c r="C212" s="3">
        <f>'QBO Transactions'!$S214</f>
        <v>35</v>
      </c>
      <c r="D212" s="2" t="str">
        <f>'QBO Transactions'!$R214</f>
        <v>Back Bay Garage</v>
      </c>
      <c r="E212" s="2"/>
      <c r="F212" s="3" t="str">
        <f>'QBO Transactions'!$X214</f>
        <v>Sales &amp; Marketing:Sales &amp; Marketing- Travel Expenses:Ground Transportation</v>
      </c>
      <c r="G212" s="2"/>
      <c r="H212" s="2"/>
      <c r="I212" s="2"/>
      <c r="J212" s="2"/>
      <c r="K212" s="2"/>
      <c r="L212" s="2"/>
      <c r="M212" s="2"/>
      <c r="N212" s="2" t="str">
        <f>'QBO Transactions'!$Y214</f>
        <v>200- Datadog:230- Sales</v>
      </c>
      <c r="O212" s="2"/>
      <c r="P212" s="2"/>
      <c r="Q212" s="2" t="str">
        <f>'QBO Transactions'!$T214</f>
        <v>VPNE BackBayGarage MASTERCARD-XXXXXXZYJ7J6-Tomas Cespedes</v>
      </c>
      <c r="R212" s="2"/>
      <c r="S212" s="2"/>
      <c r="T212" s="2"/>
      <c r="U212" s="2"/>
      <c r="V212" s="2"/>
      <c r="W212" s="2"/>
      <c r="X212" s="2" t="str">
        <f t="shared" si="3"/>
        <v>VPNE BackBayGarage MASTERCARD-XXXXXXZYJ7J6-Tomas Cespedes</v>
      </c>
      <c r="Y212" s="4">
        <f>'QBO Transactions'!$Q214</f>
        <v>46231</v>
      </c>
      <c r="Z212" s="2"/>
      <c r="AA212" s="2"/>
      <c r="AB212" s="2"/>
      <c r="AC212" s="2"/>
      <c r="AD212" s="2"/>
      <c r="AE212" s="2"/>
    </row>
    <row r="213" spans="1:31" ht="12.75" customHeight="1" x14ac:dyDescent="0.25">
      <c r="A213" s="2"/>
      <c r="B213" s="2" t="str">
        <f>'QBO Transactions'!$U215</f>
        <v>Brex Credit Card</v>
      </c>
      <c r="C213" s="3">
        <f>'QBO Transactions'!$S215</f>
        <v>10.99</v>
      </c>
      <c r="D213" s="2" t="str">
        <f>'QBO Transactions'!$R215</f>
        <v>Starbucks</v>
      </c>
      <c r="E213" s="2"/>
      <c r="F213" s="3" t="str">
        <f>'QBO Transactions'!$X215</f>
        <v>Sales &amp; Marketing:Sales &amp; Marketing- Travel Expenses:Meals &amp; Entertainment</v>
      </c>
      <c r="G213" s="2"/>
      <c r="H213" s="2"/>
      <c r="I213" s="2"/>
      <c r="J213" s="2"/>
      <c r="K213" s="2"/>
      <c r="L213" s="2"/>
      <c r="M213" s="2"/>
      <c r="N213" s="2" t="str">
        <f>'QBO Transactions'!$Y215</f>
        <v>100- Operations:120- Marketing</v>
      </c>
      <c r="O213" s="2"/>
      <c r="P213" s="2"/>
      <c r="Q213" s="2" t="str">
        <f>'QBO Transactions'!$T215</f>
        <v>STARBUCKS STORE 80448 MASTERCARD-XXXXXXSXHAHD-Toni Manning</v>
      </c>
      <c r="R213" s="2"/>
      <c r="S213" s="2"/>
      <c r="T213" s="2"/>
      <c r="U213" s="2"/>
      <c r="V213" s="2"/>
      <c r="W213" s="2"/>
      <c r="X213" s="2" t="str">
        <f t="shared" si="3"/>
        <v>STARBUCKS STORE 80448 MASTERCARD-XXXXXXSXHAHD-Toni Manning</v>
      </c>
      <c r="Y213" s="4">
        <f>'QBO Transactions'!$Q215</f>
        <v>46232</v>
      </c>
      <c r="Z213" s="2"/>
      <c r="AA213" s="2"/>
      <c r="AB213" s="2"/>
      <c r="AC213" s="2"/>
      <c r="AD213" s="2"/>
      <c r="AE213" s="2"/>
    </row>
    <row r="214" spans="1:31" ht="12.75" customHeight="1" x14ac:dyDescent="0.25">
      <c r="A214" s="2"/>
      <c r="B214" s="2" t="str">
        <f>'QBO Transactions'!$U216</f>
        <v>Brex Credit Card</v>
      </c>
      <c r="C214" s="3">
        <f>'QBO Transactions'!$S216</f>
        <v>2.75</v>
      </c>
      <c r="D214" s="2" t="str">
        <f>'QBO Transactions'!$R216</f>
        <v>Uber</v>
      </c>
      <c r="E214" s="2"/>
      <c r="F214" s="3" t="str">
        <f>'QBO Transactions'!$X216</f>
        <v>Sales &amp; Marketing:Sales &amp; Marketing- Travel Expenses:Ground Transportation</v>
      </c>
      <c r="G214" s="2"/>
      <c r="H214" s="2"/>
      <c r="I214" s="2"/>
      <c r="J214" s="2"/>
      <c r="K214" s="2"/>
      <c r="L214" s="2"/>
      <c r="M214" s="2"/>
      <c r="N214" s="2" t="str">
        <f>'QBO Transactions'!$Y216</f>
        <v>100- Operations:120- Marketing</v>
      </c>
      <c r="O214" s="2"/>
      <c r="P214" s="2"/>
      <c r="Q214" s="2" t="str">
        <f>'QBO Transactions'!$T216</f>
        <v>UBER   *TRIP MASTERCARD-XXXXXXU0BO4Q-Toni Manning</v>
      </c>
      <c r="R214" s="2"/>
      <c r="S214" s="2"/>
      <c r="T214" s="2"/>
      <c r="U214" s="2"/>
      <c r="V214" s="2"/>
      <c r="W214" s="2"/>
      <c r="X214" s="2" t="str">
        <f t="shared" si="3"/>
        <v>UBER   *TRIP MASTERCARD-XXXXXXU0BO4Q-Toni Manning</v>
      </c>
      <c r="Y214" s="4">
        <f>'QBO Transactions'!$Q216</f>
        <v>46231</v>
      </c>
      <c r="Z214" s="2"/>
      <c r="AA214" s="2"/>
      <c r="AB214" s="2"/>
      <c r="AC214" s="2"/>
      <c r="AD214" s="2"/>
      <c r="AE214" s="2"/>
    </row>
    <row r="215" spans="1:31" ht="12.75" customHeight="1" x14ac:dyDescent="0.25">
      <c r="A215" s="2"/>
      <c r="B215" s="2" t="str">
        <f>'QBO Transactions'!$U217</f>
        <v>Brex Credit Card</v>
      </c>
      <c r="C215" s="3">
        <f>'QBO Transactions'!$S217</f>
        <v>29.03</v>
      </c>
      <c r="D215" s="2" t="str">
        <f>'QBO Transactions'!$R217</f>
        <v>Uber</v>
      </c>
      <c r="E215" s="2"/>
      <c r="F215" s="3" t="str">
        <f>'QBO Transactions'!$X217</f>
        <v>Sales &amp; Marketing:Sales &amp; Marketing- Travel Expenses:Ground Transportation</v>
      </c>
      <c r="G215" s="2"/>
      <c r="H215" s="2"/>
      <c r="I215" s="2"/>
      <c r="J215" s="2"/>
      <c r="K215" s="2"/>
      <c r="L215" s="2"/>
      <c r="M215" s="2"/>
      <c r="N215" s="2" t="str">
        <f>'QBO Transactions'!$Y217</f>
        <v>200- Datadog:230- Sales</v>
      </c>
      <c r="O215" s="2"/>
      <c r="P215" s="2"/>
      <c r="Q215" s="2" t="str">
        <f>'QBO Transactions'!$T217</f>
        <v>UBER   *EATS MASTERCARD-XXXXXX51PIWG-Tyler Grimshaw</v>
      </c>
      <c r="R215" s="2"/>
      <c r="S215" s="2"/>
      <c r="T215" s="2"/>
      <c r="U215" s="2"/>
      <c r="V215" s="2"/>
      <c r="W215" s="2"/>
      <c r="X215" s="2" t="str">
        <f t="shared" si="3"/>
        <v>UBER   *EATS MASTERCARD-XXXXXX51PIWG-Tyler Grimshaw</v>
      </c>
      <c r="Y215" s="4">
        <f>'QBO Transactions'!$Q217</f>
        <v>46231</v>
      </c>
      <c r="Z215" s="2"/>
      <c r="AA215" s="2"/>
      <c r="AB215" s="2"/>
      <c r="AC215" s="2"/>
      <c r="AD215" s="2"/>
      <c r="AE215" s="2"/>
    </row>
    <row r="216" spans="1:31" ht="12.75" customHeight="1" x14ac:dyDescent="0.25">
      <c r="A216" s="2"/>
      <c r="B216" s="2" t="str">
        <f>'QBO Transactions'!$U218</f>
        <v>Brex Credit Card</v>
      </c>
      <c r="C216" s="3">
        <f>'QBO Transactions'!$S218</f>
        <v>25</v>
      </c>
      <c r="D216" s="2" t="str">
        <f>'QBO Transactions'!$R218</f>
        <v>Starbucks</v>
      </c>
      <c r="E216" s="2"/>
      <c r="F216" s="3" t="str">
        <f>'QBO Transactions'!$X218</f>
        <v>General &amp; Administrative:G&amp;A- Travel Expenses:Meals &amp; Entertainment</v>
      </c>
      <c r="G216" s="2"/>
      <c r="H216" s="2"/>
      <c r="I216" s="2"/>
      <c r="J216" s="2"/>
      <c r="K216" s="2"/>
      <c r="L216" s="2"/>
      <c r="M216" s="2"/>
      <c r="N216" s="2" t="str">
        <f>'QBO Transactions'!$Y218</f>
        <v>100- Operations:110- G&amp;A</v>
      </c>
      <c r="O216" s="2"/>
      <c r="P216" s="2"/>
      <c r="Q216" s="2" t="str">
        <f>'QBO Transactions'!$T218</f>
        <v>STARBUCKS 8007827282 MASTERCARD-XXXXXXT32D5A-Mickenzi Krpec</v>
      </c>
      <c r="R216" s="2"/>
      <c r="S216" s="2"/>
      <c r="T216" s="2"/>
      <c r="U216" s="2"/>
      <c r="V216" s="2"/>
      <c r="W216" s="2"/>
      <c r="X216" s="2" t="str">
        <f t="shared" si="3"/>
        <v>STARBUCKS 8007827282 MASTERCARD-XXXXXXT32D5A-Mickenzi Krpec</v>
      </c>
      <c r="Y216" s="4">
        <f>'QBO Transactions'!$Q218</f>
        <v>46231</v>
      </c>
      <c r="Z216" s="2"/>
      <c r="AA216" s="2"/>
      <c r="AB216" s="2"/>
      <c r="AC216" s="2"/>
      <c r="AD216" s="2"/>
      <c r="AE216" s="2"/>
    </row>
    <row r="217" spans="1:31" ht="12.75" customHeight="1" x14ac:dyDescent="0.25">
      <c r="A217" s="2"/>
      <c r="B217" s="2" t="str">
        <f>'QBO Transactions'!$U219</f>
        <v>Brex Credit Card</v>
      </c>
      <c r="C217" s="3">
        <f>'QBO Transactions'!$S219</f>
        <v>25.06</v>
      </c>
      <c r="D217" s="2" t="str">
        <f>'QBO Transactions'!$R219</f>
        <v>Travel Vendor</v>
      </c>
      <c r="E217" s="2"/>
      <c r="F217" s="3" t="str">
        <f>'QBO Transactions'!$X219</f>
        <v>Sales &amp; Marketing:Sales &amp; Marketing- Travel Expenses:Airfare</v>
      </c>
      <c r="G217" s="2"/>
      <c r="H217" s="2"/>
      <c r="I217" s="2"/>
      <c r="J217" s="2"/>
      <c r="K217" s="2"/>
      <c r="L217" s="2"/>
      <c r="M217" s="2"/>
      <c r="N217" s="2" t="str">
        <f>'QBO Transactions'!$Y219</f>
        <v>300- ServiceNow:330- Sales</v>
      </c>
      <c r="O217" s="2"/>
      <c r="P217" s="2"/>
      <c r="Q217" s="2" t="str">
        <f>'QBO Transactions'!$T219</f>
        <v>PHX 12 News Shop MASTERCARD-XXXXXXPK05Q9-Gary Passaglia</v>
      </c>
      <c r="R217" s="2"/>
      <c r="S217" s="2"/>
      <c r="T217" s="2"/>
      <c r="U217" s="2"/>
      <c r="V217" s="2"/>
      <c r="W217" s="2"/>
      <c r="X217" s="2" t="str">
        <f t="shared" si="3"/>
        <v>PHX 12 News Shop MASTERCARD-XXXXXXPK05Q9-Gary Passaglia</v>
      </c>
      <c r="Y217" s="4">
        <f>'QBO Transactions'!$Q219</f>
        <v>46231</v>
      </c>
      <c r="Z217" s="2"/>
      <c r="AA217" s="2"/>
      <c r="AB217" s="2"/>
      <c r="AC217" s="2"/>
      <c r="AD217" s="2"/>
      <c r="AE217" s="2"/>
    </row>
    <row r="218" spans="1:31" ht="12.75" customHeight="1" x14ac:dyDescent="0.25">
      <c r="A218" s="2"/>
      <c r="B218" s="2" t="str">
        <f>'QBO Transactions'!$U220</f>
        <v>Brex Credit Card</v>
      </c>
      <c r="C218" s="3">
        <f>'QBO Transactions'!$S220</f>
        <v>13.8</v>
      </c>
      <c r="D218" s="2" t="str">
        <f>'QBO Transactions'!$R220</f>
        <v>Office Vendor</v>
      </c>
      <c r="E218" s="2"/>
      <c r="F218" s="3" t="str">
        <f>'QBO Transactions'!$X220</f>
        <v>General &amp; Administrative:Office Expenses:Dues &amp; Subscriptions</v>
      </c>
      <c r="G218" s="2"/>
      <c r="H218" s="2"/>
      <c r="I218" s="2"/>
      <c r="J218" s="2"/>
      <c r="K218" s="2"/>
      <c r="L218" s="2"/>
      <c r="M218" s="2"/>
      <c r="N218" s="2" t="str">
        <f>'QBO Transactions'!$Y220</f>
        <v>300- ServiceNow:330- Sales</v>
      </c>
      <c r="O218" s="2"/>
      <c r="P218" s="2"/>
      <c r="Q218" s="2" t="str">
        <f>'QBO Transactions'!$T220</f>
        <v>HUDSONST1738 MASTERCARD-XXXXXX94L39J-Matt Hyman</v>
      </c>
      <c r="R218" s="2"/>
      <c r="S218" s="2"/>
      <c r="T218" s="2"/>
      <c r="U218" s="2"/>
      <c r="V218" s="2"/>
      <c r="W218" s="2"/>
      <c r="X218" s="2" t="str">
        <f t="shared" si="3"/>
        <v>HUDSONST1738 MASTERCARD-XXXXXX94L39J-Matt Hyman</v>
      </c>
      <c r="Y218" s="4">
        <f>'QBO Transactions'!$Q220</f>
        <v>46231</v>
      </c>
      <c r="Z218" s="2"/>
      <c r="AA218" s="2"/>
      <c r="AB218" s="2"/>
      <c r="AC218" s="2"/>
      <c r="AD218" s="2"/>
      <c r="AE218" s="2"/>
    </row>
    <row r="219" spans="1:31" ht="12.75" customHeight="1" x14ac:dyDescent="0.25">
      <c r="A219" s="2"/>
      <c r="B219" s="2" t="str">
        <f>'QBO Transactions'!$U221</f>
        <v>Brex Credit Card</v>
      </c>
      <c r="C219" s="3">
        <f>'QBO Transactions'!$S221</f>
        <v>16.91</v>
      </c>
      <c r="D219" s="2" t="str">
        <f>'QBO Transactions'!$R221</f>
        <v>Sweeney's</v>
      </c>
      <c r="E219" s="2"/>
      <c r="F219" s="3" t="str">
        <f>'QBO Transactions'!$X221</f>
        <v>Cost of Goods Sold:COGS- Travel Expenses:Meals &amp; Entertainment</v>
      </c>
      <c r="G219" s="2"/>
      <c r="H219" s="2"/>
      <c r="I219" s="2"/>
      <c r="J219" s="2"/>
      <c r="K219" s="2"/>
      <c r="L219" s="2"/>
      <c r="M219" s="2"/>
      <c r="N219" s="2" t="str">
        <f>'QBO Transactions'!$Y221</f>
        <v>300- ServiceNow:320- Engineering</v>
      </c>
      <c r="O219" s="2"/>
      <c r="P219" s="2"/>
      <c r="Q219" s="2" t="str">
        <f>'QBO Transactions'!$T221</f>
        <v>TST*SWEENEYS MASTERCARD-XXXXXX2CS49P-Ben Savage</v>
      </c>
      <c r="R219" s="2"/>
      <c r="S219" s="2"/>
      <c r="T219" s="2"/>
      <c r="U219" s="2"/>
      <c r="V219" s="2"/>
      <c r="W219" s="2"/>
      <c r="X219" s="2" t="str">
        <f t="shared" si="3"/>
        <v>TST*SWEENEYS MASTERCARD-XXXXXX2CS49P-Ben Savage</v>
      </c>
      <c r="Y219" s="4">
        <f>'QBO Transactions'!$Q221</f>
        <v>46231</v>
      </c>
      <c r="Z219" s="2"/>
      <c r="AA219" s="2"/>
      <c r="AB219" s="2"/>
      <c r="AC219" s="2"/>
      <c r="AD219" s="2"/>
      <c r="AE219" s="2"/>
    </row>
    <row r="220" spans="1:31" ht="12.75" customHeight="1" x14ac:dyDescent="0.25">
      <c r="A220" s="2"/>
      <c r="B220" s="2" t="str">
        <f>'QBO Transactions'!$U222</f>
        <v>Brex Credit Card</v>
      </c>
      <c r="C220" s="3">
        <f>'QBO Transactions'!$S222</f>
        <v>48.74</v>
      </c>
      <c r="D220" s="2" t="str">
        <f>'QBO Transactions'!$R222</f>
        <v>Food Vendor</v>
      </c>
      <c r="E220" s="2"/>
      <c r="F220" s="3" t="str">
        <f>'QBO Transactions'!$X222</f>
        <v>Sales &amp; Marketing:Sales &amp; Marketing- Travel Expenses:Meals &amp; Entertainment</v>
      </c>
      <c r="G220" s="2"/>
      <c r="H220" s="2"/>
      <c r="I220" s="2"/>
      <c r="J220" s="2"/>
      <c r="K220" s="2"/>
      <c r="L220" s="2"/>
      <c r="M220" s="2"/>
      <c r="N220" s="2" t="str">
        <f>'QBO Transactions'!$Y222</f>
        <v>300- ServiceNow:330- Sales</v>
      </c>
      <c r="O220" s="2"/>
      <c r="P220" s="2"/>
      <c r="Q220" s="2" t="str">
        <f>'QBO Transactions'!$T222</f>
        <v>PHX HUMBLE PIE S3 6301 MASTERCARD-XXXXXXB7OGA3-Gary Passaglia</v>
      </c>
      <c r="R220" s="2"/>
      <c r="S220" s="2"/>
      <c r="T220" s="2"/>
      <c r="U220" s="2"/>
      <c r="V220" s="2"/>
      <c r="W220" s="2"/>
      <c r="X220" s="2" t="str">
        <f t="shared" si="3"/>
        <v>PHX HUMBLE PIE S3 6301 MASTERCARD-XXXXXXB7OGA3-Gary Passaglia</v>
      </c>
      <c r="Y220" s="4">
        <f>'QBO Transactions'!$Q222</f>
        <v>46231</v>
      </c>
      <c r="Z220" s="2"/>
      <c r="AA220" s="2"/>
      <c r="AB220" s="2"/>
      <c r="AC220" s="2"/>
      <c r="AD220" s="2"/>
      <c r="AE220" s="2"/>
    </row>
    <row r="221" spans="1:31" ht="12.75" customHeight="1" x14ac:dyDescent="0.25">
      <c r="A221" s="2"/>
      <c r="B221" s="2" t="str">
        <f>'QBO Transactions'!$U223</f>
        <v>Brex Credit Card</v>
      </c>
      <c r="C221" s="3">
        <f>'QBO Transactions'!$S223</f>
        <v>15</v>
      </c>
      <c r="D221" s="2" t="str">
        <f>'QBO Transactions'!$R223</f>
        <v>Office Vendor</v>
      </c>
      <c r="E221" s="2"/>
      <c r="F221" s="3" t="str">
        <f>'QBO Transactions'!$X223</f>
        <v>General &amp; Administrative:Office Expenses:Utilities</v>
      </c>
      <c r="G221" s="2"/>
      <c r="H221" s="2"/>
      <c r="I221" s="2"/>
      <c r="J221" s="2"/>
      <c r="K221" s="2"/>
      <c r="L221" s="2"/>
      <c r="M221" s="2"/>
      <c r="N221" s="2" t="str">
        <f>'QBO Transactions'!$Y223</f>
        <v>300- ServiceNow:320- Engineering</v>
      </c>
      <c r="O221" s="2"/>
      <c r="P221" s="2"/>
      <c r="Q221" s="2" t="str">
        <f>'QBO Transactions'!$T223</f>
        <v>esimplus.me MASTERCARD-XXXXXXWT88J5-Angel Angelov</v>
      </c>
      <c r="R221" s="2"/>
      <c r="S221" s="2"/>
      <c r="T221" s="2"/>
      <c r="U221" s="2"/>
      <c r="V221" s="2"/>
      <c r="W221" s="2"/>
      <c r="X221" s="2" t="str">
        <f t="shared" si="3"/>
        <v>esimplus.me MASTERCARD-XXXXXXWT88J5-Angel Angelov</v>
      </c>
      <c r="Y221" s="4">
        <f>'QBO Transactions'!$Q223</f>
        <v>46231</v>
      </c>
      <c r="Z221" s="2"/>
      <c r="AA221" s="2"/>
      <c r="AB221" s="2"/>
      <c r="AC221" s="2"/>
      <c r="AD221" s="2"/>
      <c r="AE221" s="2"/>
    </row>
    <row r="222" spans="1:31" ht="12.75" customHeight="1" x14ac:dyDescent="0.25">
      <c r="A222" s="2"/>
      <c r="B222" s="2" t="str">
        <f>'QBO Transactions'!$U224</f>
        <v>Brex Credit Card</v>
      </c>
      <c r="C222" s="3">
        <f>'QBO Transactions'!$S224</f>
        <v>37.479999999999997</v>
      </c>
      <c r="D222" s="2" t="str">
        <f>'QBO Transactions'!$R224</f>
        <v>Uber</v>
      </c>
      <c r="E222" s="2"/>
      <c r="F222" s="3" t="str">
        <f>'QBO Transactions'!$X224</f>
        <v>Sales &amp; Marketing:Sales &amp; Marketing- Travel Expenses:Ground Transportation</v>
      </c>
      <c r="G222" s="2"/>
      <c r="H222" s="2"/>
      <c r="I222" s="2"/>
      <c r="J222" s="2"/>
      <c r="K222" s="2"/>
      <c r="L222" s="2"/>
      <c r="M222" s="2"/>
      <c r="N222" s="2" t="str">
        <f>'QBO Transactions'!$Y224</f>
        <v>300- ServiceNow:330- Sales</v>
      </c>
      <c r="O222" s="2"/>
      <c r="P222" s="2"/>
      <c r="Q222" s="2" t="str">
        <f>'QBO Transactions'!$T224</f>
        <v>UBER   *TRIP MASTERCARD-XXXXXXUSNTEW-John Taylor</v>
      </c>
      <c r="R222" s="2"/>
      <c r="S222" s="2"/>
      <c r="T222" s="2"/>
      <c r="U222" s="2"/>
      <c r="V222" s="2"/>
      <c r="W222" s="2"/>
      <c r="X222" s="2" t="str">
        <f t="shared" si="3"/>
        <v>UBER   *TRIP MASTERCARD-XXXXXXUSNTEW-John Taylor</v>
      </c>
      <c r="Y222" s="4">
        <f>'QBO Transactions'!$Q224</f>
        <v>46231</v>
      </c>
      <c r="Z222" s="2"/>
      <c r="AA222" s="2"/>
      <c r="AB222" s="2"/>
      <c r="AC222" s="2"/>
      <c r="AD222" s="2"/>
      <c r="AE222" s="2"/>
    </row>
    <row r="223" spans="1:31" ht="12.75" customHeight="1" x14ac:dyDescent="0.25">
      <c r="A223" s="2"/>
      <c r="B223" s="2" t="str">
        <f>'QBO Transactions'!$U225</f>
        <v>Brex Credit Card</v>
      </c>
      <c r="C223" s="3">
        <f>'QBO Transactions'!$S225</f>
        <v>34.909999999999997</v>
      </c>
      <c r="D223" s="2" t="str">
        <f>'QBO Transactions'!$R225</f>
        <v>Door Dash</v>
      </c>
      <c r="E223" s="2"/>
      <c r="F223" s="3" t="str">
        <f>'QBO Transactions'!$X225</f>
        <v>Cost of Goods Sold:COGS- Travel Expenses:Meals &amp; Entertainment</v>
      </c>
      <c r="G223" s="2"/>
      <c r="H223" s="2"/>
      <c r="I223" s="2"/>
      <c r="J223" s="2"/>
      <c r="K223" s="2"/>
      <c r="L223" s="2"/>
      <c r="M223" s="2"/>
      <c r="N223" s="2" t="str">
        <f>'QBO Transactions'!$Y225</f>
        <v>300- ServiceNow:320- Engineering</v>
      </c>
      <c r="O223" s="2"/>
      <c r="P223" s="2"/>
      <c r="Q223" s="2" t="str">
        <f>'QBO Transactions'!$T225</f>
        <v>DD *DOORDASH VEGGIECRU MASTERCARD-XXXXXX1ABYLG-Israel Baral</v>
      </c>
      <c r="R223" s="2"/>
      <c r="S223" s="2"/>
      <c r="T223" s="2"/>
      <c r="U223" s="2"/>
      <c r="V223" s="2"/>
      <c r="W223" s="2"/>
      <c r="X223" s="2" t="str">
        <f t="shared" si="3"/>
        <v>DD *DOORDASH VEGGIECRU MASTERCARD-XXXXXX1ABYLG-Israel Baral</v>
      </c>
      <c r="Y223" s="4">
        <f>'QBO Transactions'!$Q225</f>
        <v>46231</v>
      </c>
      <c r="Z223" s="2"/>
      <c r="AA223" s="2"/>
      <c r="AB223" s="2"/>
      <c r="AC223" s="2"/>
      <c r="AD223" s="2"/>
      <c r="AE223" s="2"/>
    </row>
    <row r="224" spans="1:31" ht="12.75" customHeight="1" x14ac:dyDescent="0.25">
      <c r="A224" s="2"/>
      <c r="B224" s="2" t="str">
        <f>'QBO Transactions'!$U226</f>
        <v>Brex Credit Card</v>
      </c>
      <c r="C224" s="3">
        <f>'QBO Transactions'!$S226</f>
        <v>195</v>
      </c>
      <c r="D224" s="2" t="str">
        <f>'QBO Transactions'!$R226</f>
        <v>Delta</v>
      </c>
      <c r="E224" s="2"/>
      <c r="F224" s="3" t="str">
        <f>'QBO Transactions'!$X226</f>
        <v>Sales &amp; Marketing:Sales &amp; Marketing- Travel Expenses:Airfare</v>
      </c>
      <c r="G224" s="2"/>
      <c r="H224" s="2"/>
      <c r="I224" s="2"/>
      <c r="J224" s="2"/>
      <c r="K224" s="2"/>
      <c r="L224" s="2"/>
      <c r="M224" s="2"/>
      <c r="N224" s="2" t="str">
        <f>'QBO Transactions'!$Y226</f>
        <v>300- ServiceNow:330- Sales</v>
      </c>
      <c r="O224" s="2"/>
      <c r="P224" s="2"/>
      <c r="Q224" s="2" t="str">
        <f>'QBO Transactions'!$T226</f>
        <v>DELTA MASTERCARD-XXXXXXVPB6MU-Matt Hyman</v>
      </c>
      <c r="R224" s="2"/>
      <c r="S224" s="2"/>
      <c r="T224" s="2"/>
      <c r="U224" s="2"/>
      <c r="V224" s="2"/>
      <c r="W224" s="2"/>
      <c r="X224" s="2" t="str">
        <f t="shared" si="3"/>
        <v>DELTA MASTERCARD-XXXXXXVPB6MU-Matt Hyman</v>
      </c>
      <c r="Y224" s="4">
        <f>'QBO Transactions'!$Q226</f>
        <v>46231</v>
      </c>
      <c r="Z224" s="2"/>
      <c r="AA224" s="2"/>
      <c r="AB224" s="2"/>
      <c r="AC224" s="2"/>
      <c r="AD224" s="2"/>
      <c r="AE224" s="2"/>
    </row>
    <row r="225" spans="1:31" ht="12.75" customHeight="1" x14ac:dyDescent="0.25">
      <c r="A225" s="2"/>
      <c r="B225" s="2" t="str">
        <f>'QBO Transactions'!$U227</f>
        <v>Brex Credit Card</v>
      </c>
      <c r="C225" s="3">
        <f>'QBO Transactions'!$S227</f>
        <v>765.9</v>
      </c>
      <c r="D225" s="2" t="str">
        <f>'QBO Transactions'!$R227</f>
        <v>United Airlines</v>
      </c>
      <c r="E225" s="2"/>
      <c r="F225" s="3" t="str">
        <f>'QBO Transactions'!$X227</f>
        <v>General &amp; Administrative:G&amp;A- Travel Expenses:Airfare</v>
      </c>
      <c r="G225" s="2"/>
      <c r="H225" s="2"/>
      <c r="I225" s="2"/>
      <c r="J225" s="2"/>
      <c r="K225" s="2"/>
      <c r="L225" s="2"/>
      <c r="M225" s="2"/>
      <c r="N225" s="2" t="str">
        <f>'QBO Transactions'!$Y227</f>
        <v>100- Operations:110- G&amp;A</v>
      </c>
      <c r="O225" s="2"/>
      <c r="P225" s="2"/>
      <c r="Q225" s="2" t="str">
        <f>'QBO Transactions'!$T227</f>
        <v>FIRST UNITED MARKET 2 MASTERCARD-XXXXXXYGQS1C-Mickenzi Krpec</v>
      </c>
      <c r="R225" s="2"/>
      <c r="S225" s="2"/>
      <c r="T225" s="2"/>
      <c r="U225" s="2"/>
      <c r="V225" s="2"/>
      <c r="W225" s="2"/>
      <c r="X225" s="2" t="str">
        <f t="shared" si="3"/>
        <v>FIRST UNITED MARKET 2 MASTERCARD-XXXXXXYGQS1C-Mickenzi Krpec</v>
      </c>
      <c r="Y225" s="4">
        <f>'QBO Transactions'!$Q227</f>
        <v>46231</v>
      </c>
      <c r="Z225" s="2"/>
      <c r="AA225" s="2"/>
      <c r="AB225" s="2"/>
      <c r="AC225" s="2"/>
      <c r="AD225" s="2"/>
      <c r="AE225" s="2"/>
    </row>
    <row r="226" spans="1:31" ht="12.75" customHeight="1" x14ac:dyDescent="0.25">
      <c r="A226" s="2"/>
      <c r="B226" s="2" t="str">
        <f>'QBO Transactions'!$U228</f>
        <v>Brex Credit Card</v>
      </c>
      <c r="C226" s="3">
        <f>'QBO Transactions'!$S228</f>
        <v>14.34</v>
      </c>
      <c r="D226" s="2" t="str">
        <f>'QBO Transactions'!$R228</f>
        <v>Dig Inn</v>
      </c>
      <c r="E226" s="2"/>
      <c r="F226" s="3" t="str">
        <f>'QBO Transactions'!$X228</f>
        <v>Cost of Goods Sold:COGS- Travel Expenses:Meals &amp; Entertainment</v>
      </c>
      <c r="G226" s="2"/>
      <c r="H226" s="2"/>
      <c r="I226" s="2"/>
      <c r="J226" s="2"/>
      <c r="K226" s="2"/>
      <c r="L226" s="2"/>
      <c r="M226" s="2"/>
      <c r="N226" s="2" t="str">
        <f>'QBO Transactions'!$Y228</f>
        <v>300- ServiceNow:320- Engineering</v>
      </c>
      <c r="O226" s="2"/>
      <c r="P226" s="2"/>
      <c r="Q226" s="2" t="str">
        <f>'QBO Transactions'!$T228</f>
        <v>TST* DIG INN - BACK BA MASTERCARD-XXXXXXXPE834-Brendan Nolan</v>
      </c>
      <c r="R226" s="2"/>
      <c r="S226" s="2"/>
      <c r="T226" s="2"/>
      <c r="U226" s="2"/>
      <c r="V226" s="2"/>
      <c r="W226" s="2"/>
      <c r="X226" s="2" t="str">
        <f t="shared" si="3"/>
        <v>TST* DIG INN - BACK BA MASTERCARD-XXXXXXXPE834-Brendan Nolan</v>
      </c>
      <c r="Y226" s="4">
        <f>'QBO Transactions'!$Q228</f>
        <v>46231</v>
      </c>
      <c r="Z226" s="2"/>
      <c r="AA226" s="2"/>
      <c r="AB226" s="2"/>
      <c r="AC226" s="2"/>
      <c r="AD226" s="2"/>
      <c r="AE226" s="2"/>
    </row>
    <row r="227" spans="1:31" ht="12.75" customHeight="1" x14ac:dyDescent="0.25">
      <c r="A227" s="2"/>
      <c r="B227" s="2" t="str">
        <f>'QBO Transactions'!$U229</f>
        <v>Brex Credit Card</v>
      </c>
      <c r="C227" s="3">
        <f>'QBO Transactions'!$S229</f>
        <v>25.55</v>
      </c>
      <c r="D227" s="2" t="str">
        <f>'QBO Transactions'!$R229</f>
        <v>Curb</v>
      </c>
      <c r="E227" s="2"/>
      <c r="F227" s="3" t="str">
        <f>'QBO Transactions'!$X229</f>
        <v>Sales &amp; Marketing:Sales &amp; Marketing- Travel Expenses:Ground Transportation</v>
      </c>
      <c r="G227" s="2"/>
      <c r="H227" s="2"/>
      <c r="I227" s="2"/>
      <c r="J227" s="2"/>
      <c r="K227" s="2"/>
      <c r="L227" s="2"/>
      <c r="M227" s="2"/>
      <c r="N227" s="2" t="str">
        <f>'QBO Transactions'!$Y229</f>
        <v>200- Datadog:230- Sales</v>
      </c>
      <c r="O227" s="2"/>
      <c r="P227" s="2"/>
      <c r="Q227" s="2" t="str">
        <f>'QBO Transactions'!$T229</f>
        <v>CURB BOS TAXI MASTERCARD-XXXXXX4DGFH3-Dean DeMonte</v>
      </c>
      <c r="R227" s="2"/>
      <c r="S227" s="2"/>
      <c r="T227" s="2"/>
      <c r="U227" s="2"/>
      <c r="V227" s="2"/>
      <c r="W227" s="2"/>
      <c r="X227" s="2" t="str">
        <f t="shared" si="3"/>
        <v>CURB BOS TAXI MASTERCARD-XXXXXX4DGFH3-Dean DeMonte</v>
      </c>
      <c r="Y227" s="4">
        <f>'QBO Transactions'!$Q229</f>
        <v>46231</v>
      </c>
      <c r="Z227" s="2"/>
      <c r="AA227" s="2"/>
      <c r="AB227" s="2"/>
      <c r="AC227" s="2"/>
      <c r="AD227" s="2"/>
      <c r="AE227" s="2"/>
    </row>
    <row r="228" spans="1:31" ht="12.75" customHeight="1" x14ac:dyDescent="0.25">
      <c r="A228" s="2"/>
      <c r="B228" s="2" t="str">
        <f>'QBO Transactions'!$U230</f>
        <v>Brex Credit Card</v>
      </c>
      <c r="C228" s="3">
        <f>'QBO Transactions'!$S230</f>
        <v>7.98</v>
      </c>
      <c r="D228" s="2" t="str">
        <f>'QBO Transactions'!$R230</f>
        <v>Food Vendor</v>
      </c>
      <c r="E228" s="2"/>
      <c r="F228" s="3" t="str">
        <f>'QBO Transactions'!$X230</f>
        <v>Cost of Goods Sold:COGS- Travel Expenses:Meals &amp; Entertainment</v>
      </c>
      <c r="G228" s="2"/>
      <c r="H228" s="2"/>
      <c r="I228" s="2"/>
      <c r="J228" s="2"/>
      <c r="K228" s="2"/>
      <c r="L228" s="2"/>
      <c r="M228" s="2"/>
      <c r="N228" s="2" t="str">
        <f>'QBO Transactions'!$Y230</f>
        <v>200- Datadog:220- Engineering</v>
      </c>
      <c r="O228" s="2"/>
      <c r="P228" s="2"/>
      <c r="Q228" s="2" t="str">
        <f>'QBO Transactions'!$T230</f>
        <v>TRADER JOE S #500 MASTERCARD-XXXXXXJAIN8T-Anthony Nguyen</v>
      </c>
      <c r="R228" s="2"/>
      <c r="S228" s="2"/>
      <c r="T228" s="2"/>
      <c r="U228" s="2"/>
      <c r="V228" s="2"/>
      <c r="W228" s="2"/>
      <c r="X228" s="2" t="str">
        <f t="shared" si="3"/>
        <v>TRADER JOE S #500 MASTERCARD-XXXXXXJAIN8T-Anthony Nguyen</v>
      </c>
      <c r="Y228" s="4">
        <f>'QBO Transactions'!$Q230</f>
        <v>46231</v>
      </c>
      <c r="Z228" s="2"/>
      <c r="AA228" s="2"/>
      <c r="AB228" s="2"/>
      <c r="AC228" s="2"/>
      <c r="AD228" s="2"/>
      <c r="AE228" s="2"/>
    </row>
    <row r="229" spans="1:31" ht="12.75" customHeight="1" x14ac:dyDescent="0.25">
      <c r="A229" s="2"/>
      <c r="B229" s="2" t="str">
        <f>'QBO Transactions'!$U231</f>
        <v>Brex Credit Card</v>
      </c>
      <c r="C229" s="3">
        <f>'QBO Transactions'!$S231</f>
        <v>42.98</v>
      </c>
      <c r="D229" s="2" t="str">
        <f>'QBO Transactions'!$R231</f>
        <v>Uber</v>
      </c>
      <c r="E229" s="2"/>
      <c r="F229" s="3" t="str">
        <f>'QBO Transactions'!$X231</f>
        <v>Sales &amp; Marketing:Sales &amp; Marketing- Travel Expenses:Ground Transportation</v>
      </c>
      <c r="G229" s="2"/>
      <c r="H229" s="2"/>
      <c r="I229" s="2"/>
      <c r="J229" s="2"/>
      <c r="K229" s="2"/>
      <c r="L229" s="2"/>
      <c r="M229" s="2"/>
      <c r="N229" s="2" t="str">
        <f>'QBO Transactions'!$Y231</f>
        <v>300- ServiceNow:330- Sales</v>
      </c>
      <c r="O229" s="2"/>
      <c r="P229" s="2"/>
      <c r="Q229" s="2" t="str">
        <f>'QBO Transactions'!$T231</f>
        <v>UBER   *TRIP MASTERCARD-XXXXXXPD1OUF-Brian McGonigal</v>
      </c>
      <c r="R229" s="2"/>
      <c r="S229" s="2"/>
      <c r="T229" s="2"/>
      <c r="U229" s="2"/>
      <c r="V229" s="2"/>
      <c r="W229" s="2"/>
      <c r="X229" s="2" t="str">
        <f t="shared" si="3"/>
        <v>UBER   *TRIP MASTERCARD-XXXXXXPD1OUF-Brian McGonigal</v>
      </c>
      <c r="Y229" s="4">
        <f>'QBO Transactions'!$Q231</f>
        <v>46231</v>
      </c>
      <c r="Z229" s="2"/>
      <c r="AA229" s="2"/>
      <c r="AB229" s="2"/>
      <c r="AC229" s="2"/>
      <c r="AD229" s="2"/>
      <c r="AE229" s="2"/>
    </row>
    <row r="230" spans="1:31" ht="12.75" customHeight="1" x14ac:dyDescent="0.25">
      <c r="A230" s="2"/>
      <c r="B230" s="2" t="str">
        <f>'QBO Transactions'!$U232</f>
        <v>Brex Credit Card</v>
      </c>
      <c r="C230" s="3">
        <f>'QBO Transactions'!$S232</f>
        <v>17.23</v>
      </c>
      <c r="D230" s="2" t="str">
        <f>'QBO Transactions'!$R232</f>
        <v>Chipotle</v>
      </c>
      <c r="E230" s="2"/>
      <c r="F230" s="3" t="str">
        <f>'QBO Transactions'!$X232</f>
        <v>Cost of Goods Sold:COGS- Travel Expenses:Meals &amp; Entertainment</v>
      </c>
      <c r="G230" s="2"/>
      <c r="H230" s="2"/>
      <c r="I230" s="2"/>
      <c r="J230" s="2"/>
      <c r="K230" s="2"/>
      <c r="L230" s="2"/>
      <c r="M230" s="2"/>
      <c r="N230" s="2" t="str">
        <f>'QBO Transactions'!$Y232</f>
        <v>300- ServiceNow:320- Engineering</v>
      </c>
      <c r="O230" s="2"/>
      <c r="P230" s="2"/>
      <c r="Q230" s="2" t="str">
        <f>'QBO Transactions'!$T232</f>
        <v>CHIPOTLE 2341 MASTERCARD-XXXXXXMA9XAR-Kyle Brueckner</v>
      </c>
      <c r="R230" s="2"/>
      <c r="S230" s="2"/>
      <c r="T230" s="2"/>
      <c r="U230" s="2"/>
      <c r="V230" s="2"/>
      <c r="W230" s="2"/>
      <c r="X230" s="2" t="str">
        <f t="shared" si="3"/>
        <v>CHIPOTLE 2341 MASTERCARD-XXXXXXMA9XAR-Kyle Brueckner</v>
      </c>
      <c r="Y230" s="4">
        <f>'QBO Transactions'!$Q232</f>
        <v>46231</v>
      </c>
      <c r="Z230" s="2"/>
      <c r="AA230" s="2"/>
      <c r="AB230" s="2"/>
      <c r="AC230" s="2"/>
      <c r="AD230" s="2"/>
      <c r="AE230" s="2"/>
    </row>
    <row r="231" spans="1:31" ht="12.75" customHeight="1" x14ac:dyDescent="0.25">
      <c r="A231" s="2"/>
      <c r="B231" s="2" t="str">
        <f>'QBO Transactions'!$U233</f>
        <v>Brex Credit Card</v>
      </c>
      <c r="C231" s="3">
        <f>'QBO Transactions'!$S233</f>
        <v>300</v>
      </c>
      <c r="D231" s="2" t="str">
        <f>'QBO Transactions'!$R233</f>
        <v>Food Vendor</v>
      </c>
      <c r="E231" s="2"/>
      <c r="F231" s="3" t="str">
        <f>'QBO Transactions'!$X233</f>
        <v>Sales &amp; Marketing:Sales &amp; Marketing- Travel Expenses:Meals &amp; Entertainment</v>
      </c>
      <c r="G231" s="2"/>
      <c r="H231" s="2"/>
      <c r="I231" s="2"/>
      <c r="J231" s="2"/>
      <c r="K231" s="2"/>
      <c r="L231" s="2"/>
      <c r="M231" s="2"/>
      <c r="N231" s="2" t="str">
        <f>'QBO Transactions'!$Y233</f>
        <v>200- Datadog:230- Sales</v>
      </c>
      <c r="O231" s="2"/>
      <c r="P231" s="2"/>
      <c r="Q231" s="2" t="str">
        <f>'QBO Transactions'!$T233</f>
        <v>TST* LOLITA BACK BAY MASTERCARD-XXXXXXJ1O63Z-Tomas Cespedes</v>
      </c>
      <c r="R231" s="2"/>
      <c r="S231" s="2"/>
      <c r="T231" s="2"/>
      <c r="U231" s="2"/>
      <c r="V231" s="2"/>
      <c r="W231" s="2"/>
      <c r="X231" s="2" t="str">
        <f t="shared" si="3"/>
        <v>TST* LOLITA BACK BAY MASTERCARD-XXXXXXJ1O63Z-Tomas Cespedes</v>
      </c>
      <c r="Y231" s="4">
        <f>'QBO Transactions'!$Q233</f>
        <v>46231</v>
      </c>
      <c r="Z231" s="2"/>
      <c r="AA231" s="2"/>
      <c r="AB231" s="2"/>
      <c r="AC231" s="2"/>
      <c r="AD231" s="2"/>
      <c r="AE231" s="2"/>
    </row>
    <row r="232" spans="1:31" ht="12.75" customHeight="1" x14ac:dyDescent="0.25">
      <c r="A232" s="2"/>
      <c r="B232" s="2" t="str">
        <f>'QBO Transactions'!$U234</f>
        <v>Brex Credit Card</v>
      </c>
      <c r="C232" s="3">
        <f>'QBO Transactions'!$S234</f>
        <v>32.58</v>
      </c>
      <c r="D232" s="2" t="str">
        <f>'QBO Transactions'!$R234</f>
        <v>Tatte</v>
      </c>
      <c r="E232" s="2"/>
      <c r="F232" s="3" t="str">
        <f>'QBO Transactions'!$X234</f>
        <v>Cost of Goods Sold:COGS- Travel Expenses:Meals &amp; Entertainment</v>
      </c>
      <c r="G232" s="2"/>
      <c r="H232" s="2"/>
      <c r="I232" s="2"/>
      <c r="J232" s="2"/>
      <c r="K232" s="2"/>
      <c r="L232" s="2"/>
      <c r="M232" s="2"/>
      <c r="N232" s="2" t="str">
        <f>'QBO Transactions'!$Y234</f>
        <v>300- ServiceNow:310- Delivery</v>
      </c>
      <c r="O232" s="2"/>
      <c r="P232" s="2"/>
      <c r="Q232" s="2" t="str">
        <f>'QBO Transactions'!$T234</f>
        <v>TST* TATTE BAKERY BACK MASTERCARD-XXXXXX28BFPW-Anamaria Gramada</v>
      </c>
      <c r="R232" s="2"/>
      <c r="S232" s="2"/>
      <c r="T232" s="2"/>
      <c r="U232" s="2"/>
      <c r="V232" s="2"/>
      <c r="W232" s="2"/>
      <c r="X232" s="2" t="str">
        <f t="shared" si="3"/>
        <v>TST* TATTE BAKERY BACK MASTERCARD-XXXXXX28BFPW-Anamaria Gramada</v>
      </c>
      <c r="Y232" s="4">
        <f>'QBO Transactions'!$Q234</f>
        <v>46231</v>
      </c>
      <c r="Z232" s="2"/>
      <c r="AA232" s="2"/>
      <c r="AB232" s="2"/>
      <c r="AC232" s="2"/>
      <c r="AD232" s="2"/>
      <c r="AE232" s="2"/>
    </row>
    <row r="233" spans="1:31" ht="12.75" customHeight="1" x14ac:dyDescent="0.25">
      <c r="A233" s="2"/>
      <c r="B233" s="2" t="str">
        <f>'QBO Transactions'!$U235</f>
        <v>Brex Credit Card</v>
      </c>
      <c r="C233" s="3">
        <f>'QBO Transactions'!$S235</f>
        <v>8</v>
      </c>
      <c r="D233" s="2" t="str">
        <f>'QBO Transactions'!$R235</f>
        <v>Wifi Onboard</v>
      </c>
      <c r="E233" s="2"/>
      <c r="F233" s="3" t="str">
        <f>'QBO Transactions'!$X235</f>
        <v>Cost of Goods Sold:COGS- Travel Expenses:Other Travel Expenses</v>
      </c>
      <c r="G233" s="2"/>
      <c r="H233" s="2"/>
      <c r="I233" s="2"/>
      <c r="J233" s="2"/>
      <c r="K233" s="2"/>
      <c r="L233" s="2"/>
      <c r="M233" s="2"/>
      <c r="N233" s="2" t="str">
        <f>'QBO Transactions'!$Y235</f>
        <v>300- ServiceNow:320- Engineering</v>
      </c>
      <c r="O233" s="2"/>
      <c r="P233" s="2"/>
      <c r="Q233" s="2" t="str">
        <f>'QBO Transactions'!$T235</f>
        <v>WIFIONBOARD ALASKA MASTERCARD-XXXXXXP3HC2R-Gary Baker</v>
      </c>
      <c r="R233" s="2"/>
      <c r="S233" s="2"/>
      <c r="T233" s="2"/>
      <c r="U233" s="2"/>
      <c r="V233" s="2"/>
      <c r="W233" s="2"/>
      <c r="X233" s="2" t="str">
        <f t="shared" si="3"/>
        <v>WIFIONBOARD ALASKA MASTERCARD-XXXXXXP3HC2R-Gary Baker</v>
      </c>
      <c r="Y233" s="4">
        <f>'QBO Transactions'!$Q235</f>
        <v>46231</v>
      </c>
      <c r="Z233" s="2"/>
      <c r="AA233" s="2"/>
      <c r="AB233" s="2"/>
      <c r="AC233" s="2"/>
      <c r="AD233" s="2"/>
      <c r="AE233" s="2"/>
    </row>
    <row r="234" spans="1:31" ht="12.75" customHeight="1" x14ac:dyDescent="0.25">
      <c r="A234" s="2"/>
      <c r="B234" s="2" t="str">
        <f>'QBO Transactions'!$U236</f>
        <v>Brex Credit Card</v>
      </c>
      <c r="C234" s="3">
        <f>'QBO Transactions'!$S236</f>
        <v>5.33</v>
      </c>
      <c r="D234" s="2" t="str">
        <f>'QBO Transactions'!$R236</f>
        <v>Food Vendor</v>
      </c>
      <c r="E234" s="2"/>
      <c r="F234" s="3" t="str">
        <f>'QBO Transactions'!$X236</f>
        <v>Sales &amp; Marketing:Sales &amp; Marketing- Travel Expenses:Meals &amp; Entertainment</v>
      </c>
      <c r="G234" s="2"/>
      <c r="H234" s="2"/>
      <c r="I234" s="2"/>
      <c r="J234" s="2"/>
      <c r="K234" s="2"/>
      <c r="L234" s="2"/>
      <c r="M234" s="2"/>
      <c r="N234" s="2" t="str">
        <f>'QBO Transactions'!$Y236</f>
        <v>300- ServiceNow:330- Sales</v>
      </c>
      <c r="O234" s="2"/>
      <c r="P234" s="2"/>
      <c r="Q234" s="2" t="str">
        <f>'QBO Transactions'!$T236</f>
        <v>TST* GREENLEAF - JOHN MASTERCARD-XXXXXXXZLM9K-Gary Passaglia</v>
      </c>
      <c r="R234" s="2"/>
      <c r="S234" s="2"/>
      <c r="T234" s="2"/>
      <c r="U234" s="2"/>
      <c r="V234" s="2"/>
      <c r="W234" s="2"/>
      <c r="X234" s="2" t="str">
        <f t="shared" si="3"/>
        <v>TST* GREENLEAF - JOHN MASTERCARD-XXXXXXXZLM9K-Gary Passaglia</v>
      </c>
      <c r="Y234" s="4">
        <f>'QBO Transactions'!$Q236</f>
        <v>46232</v>
      </c>
      <c r="Z234" s="2"/>
      <c r="AA234" s="2"/>
      <c r="AB234" s="2"/>
      <c r="AC234" s="2"/>
      <c r="AD234" s="2"/>
      <c r="AE234" s="2"/>
    </row>
    <row r="235" spans="1:31" ht="12.75" customHeight="1" x14ac:dyDescent="0.25">
      <c r="A235" s="2"/>
      <c r="B235" s="2" t="str">
        <f>'QBO Transactions'!$U237</f>
        <v>Brex Credit Card</v>
      </c>
      <c r="C235" s="3">
        <f>'QBO Transactions'!$S237</f>
        <v>8</v>
      </c>
      <c r="D235" s="2" t="str">
        <f>'QBO Transactions'!$R237</f>
        <v>United Airlines</v>
      </c>
      <c r="E235" s="2"/>
      <c r="F235" s="3" t="str">
        <f>'QBO Transactions'!$X237</f>
        <v>Sales &amp; Marketing:Sales &amp; Marketing- Travel Expenses:Airfare</v>
      </c>
      <c r="G235" s="2"/>
      <c r="H235" s="2"/>
      <c r="I235" s="2"/>
      <c r="J235" s="2"/>
      <c r="K235" s="2"/>
      <c r="L235" s="2"/>
      <c r="M235" s="2"/>
      <c r="N235" s="2" t="str">
        <f>'QBO Transactions'!$Y237</f>
        <v>200- Datadog:230- Sales</v>
      </c>
      <c r="O235" s="2"/>
      <c r="P235" s="2"/>
      <c r="Q235" s="2" t="str">
        <f>'QBO Transactions'!$T237</f>
        <v>UA INFLT MASTERCARD-XXXXXX3HGMWX-Tyler Grimshaw</v>
      </c>
      <c r="R235" s="2"/>
      <c r="S235" s="2"/>
      <c r="T235" s="2"/>
      <c r="U235" s="2"/>
      <c r="V235" s="2"/>
      <c r="W235" s="2"/>
      <c r="X235" s="2" t="str">
        <f t="shared" si="3"/>
        <v>UA INFLT MASTERCARD-XXXXXX3HGMWX-Tyler Grimshaw</v>
      </c>
      <c r="Y235" s="4">
        <f>'QBO Transactions'!$Q237</f>
        <v>46232</v>
      </c>
      <c r="Z235" s="2"/>
      <c r="AA235" s="2"/>
      <c r="AB235" s="2"/>
      <c r="AC235" s="2"/>
      <c r="AD235" s="2"/>
      <c r="AE235" s="2"/>
    </row>
    <row r="236" spans="1:31" ht="12.75" customHeight="1" x14ac:dyDescent="0.25">
      <c r="A236" s="2"/>
      <c r="B236" s="2" t="str">
        <f>'QBO Transactions'!$U238</f>
        <v>Brex Credit Card</v>
      </c>
      <c r="C236" s="3">
        <f>'QBO Transactions'!$S238</f>
        <v>14.43</v>
      </c>
      <c r="D236" s="2" t="str">
        <f>'QBO Transactions'!$R238</f>
        <v>Office Vendor</v>
      </c>
      <c r="E236" s="2"/>
      <c r="F236" s="3" t="str">
        <f>'QBO Transactions'!$X238</f>
        <v>General &amp; Administrative:Office Expenses:Dues &amp; Subscriptions</v>
      </c>
      <c r="G236" s="2"/>
      <c r="H236" s="2"/>
      <c r="I236" s="2"/>
      <c r="J236" s="2"/>
      <c r="K236" s="2"/>
      <c r="L236" s="2"/>
      <c r="M236" s="2"/>
      <c r="N236" s="2" t="str">
        <f>'QBO Transactions'!$Y238</f>
        <v>300- ServiceNow:330- Sales</v>
      </c>
      <c r="O236" s="2"/>
      <c r="P236" s="2"/>
      <c r="Q236" s="2" t="str">
        <f>'QBO Transactions'!$T238</f>
        <v>MARKET ST1409 MASTERCARD-XXXXXXCMHSYY-Gary Passaglia</v>
      </c>
      <c r="R236" s="2"/>
      <c r="S236" s="2"/>
      <c r="T236" s="2"/>
      <c r="U236" s="2"/>
      <c r="V236" s="2"/>
      <c r="W236" s="2"/>
      <c r="X236" s="2" t="str">
        <f t="shared" si="3"/>
        <v>MARKET ST1409 MASTERCARD-XXXXXXCMHSYY-Gary Passaglia</v>
      </c>
      <c r="Y236" s="4">
        <f>'QBO Transactions'!$Q238</f>
        <v>46231</v>
      </c>
      <c r="Z236" s="2"/>
      <c r="AA236" s="2"/>
      <c r="AB236" s="2"/>
      <c r="AC236" s="2"/>
      <c r="AD236" s="2"/>
      <c r="AE236" s="2"/>
    </row>
    <row r="237" spans="1:31" ht="12.75" customHeight="1" x14ac:dyDescent="0.25">
      <c r="A237" s="2"/>
      <c r="B237" s="2" t="str">
        <f>'QBO Transactions'!$U239</f>
        <v>Brex Credit Card</v>
      </c>
      <c r="C237" s="3">
        <f>'QBO Transactions'!$S239</f>
        <v>17.7</v>
      </c>
      <c r="D237" s="2" t="str">
        <f>'QBO Transactions'!$R239</f>
        <v>Life Alive</v>
      </c>
      <c r="E237" s="2"/>
      <c r="F237" s="3" t="str">
        <f>'QBO Transactions'!$X239</f>
        <v>Sales &amp; Marketing:Sales &amp; Marketing- Travel Expenses:Meals &amp; Entertainment</v>
      </c>
      <c r="G237" s="2"/>
      <c r="H237" s="2"/>
      <c r="I237" s="2"/>
      <c r="J237" s="2"/>
      <c r="K237" s="2"/>
      <c r="L237" s="2"/>
      <c r="M237" s="2"/>
      <c r="N237" s="2" t="str">
        <f>'QBO Transactions'!$Y239</f>
        <v>100- Operations:120- Marketing</v>
      </c>
      <c r="O237" s="2"/>
      <c r="P237" s="2"/>
      <c r="Q237" s="2" t="str">
        <f>'QBO Transactions'!$T239</f>
        <v>PAR*LIFE ALIVE CAFE - MASTERCARD-XXXXXXJE4PYU-Karalyn Sims</v>
      </c>
      <c r="R237" s="2"/>
      <c r="S237" s="2"/>
      <c r="T237" s="2"/>
      <c r="U237" s="2"/>
      <c r="V237" s="2"/>
      <c r="W237" s="2"/>
      <c r="X237" s="2" t="str">
        <f t="shared" si="3"/>
        <v>PAR*LIFE ALIVE CAFE - MASTERCARD-XXXXXXJE4PYU-Karalyn Sims</v>
      </c>
      <c r="Y237" s="4">
        <f>'QBO Transactions'!$Q239</f>
        <v>46231</v>
      </c>
      <c r="Z237" s="2"/>
      <c r="AA237" s="2"/>
      <c r="AB237" s="2"/>
      <c r="AC237" s="2"/>
      <c r="AD237" s="2"/>
      <c r="AE237" s="2"/>
    </row>
    <row r="238" spans="1:31" ht="12.75" customHeight="1" x14ac:dyDescent="0.25">
      <c r="A238" s="2"/>
      <c r="B238" s="2" t="str">
        <f>'QBO Transactions'!$U240</f>
        <v>Brex Credit Card</v>
      </c>
      <c r="C238" s="3">
        <f>'QBO Transactions'!$S240</f>
        <v>6.79</v>
      </c>
      <c r="D238" s="2" t="str">
        <f>'QBO Transactions'!$R240</f>
        <v>Starbucks</v>
      </c>
      <c r="E238" s="2"/>
      <c r="F238" s="3" t="str">
        <f>'QBO Transactions'!$X240</f>
        <v>Cost of Goods Sold:COGS- Travel Expenses:Meals &amp; Entertainment</v>
      </c>
      <c r="G238" s="2"/>
      <c r="H238" s="2"/>
      <c r="I238" s="2"/>
      <c r="J238" s="2"/>
      <c r="K238" s="2"/>
      <c r="L238" s="2"/>
      <c r="M238" s="2"/>
      <c r="N238" s="2" t="str">
        <f>'QBO Transactions'!$Y240</f>
        <v>300- ServiceNow:320- Engineering</v>
      </c>
      <c r="O238" s="2"/>
      <c r="P238" s="2"/>
      <c r="Q238" s="2" t="str">
        <f>'QBO Transactions'!$T240</f>
        <v>STARBUCKS STORE 80448 MASTERCARD-XXXXXXBKDZ65-Tanner Ylvisaker</v>
      </c>
      <c r="R238" s="2"/>
      <c r="S238" s="2"/>
      <c r="T238" s="2"/>
      <c r="U238" s="2"/>
      <c r="V238" s="2"/>
      <c r="W238" s="2"/>
      <c r="X238" s="2" t="str">
        <f t="shared" si="3"/>
        <v>STARBUCKS STORE 80448 MASTERCARD-XXXXXXBKDZ65-Tanner Ylvisaker</v>
      </c>
      <c r="Y238" s="4">
        <f>'QBO Transactions'!$Q240</f>
        <v>46232</v>
      </c>
      <c r="Z238" s="2"/>
      <c r="AA238" s="2"/>
      <c r="AB238" s="2"/>
      <c r="AC238" s="2"/>
      <c r="AD238" s="2"/>
      <c r="AE238" s="2"/>
    </row>
    <row r="239" spans="1:31" ht="12.75" customHeight="1" x14ac:dyDescent="0.25">
      <c r="A239" s="2"/>
      <c r="B239" s="2" t="str">
        <f>'QBO Transactions'!$U241</f>
        <v>Brex Credit Card</v>
      </c>
      <c r="C239" s="3">
        <f>'QBO Transactions'!$S241</f>
        <v>36.979999999999997</v>
      </c>
      <c r="D239" s="2" t="str">
        <f>'QBO Transactions'!$R241</f>
        <v>Uber</v>
      </c>
      <c r="E239" s="2"/>
      <c r="F239" s="3" t="str">
        <f>'QBO Transactions'!$X241</f>
        <v>Sales &amp; Marketing:Sales &amp; Marketing- Travel Expenses:Ground Transportation</v>
      </c>
      <c r="G239" s="2"/>
      <c r="H239" s="2"/>
      <c r="I239" s="2"/>
      <c r="J239" s="2"/>
      <c r="K239" s="2"/>
      <c r="L239" s="2"/>
      <c r="M239" s="2"/>
      <c r="N239" s="2" t="str">
        <f>'QBO Transactions'!$Y241</f>
        <v>300- ServiceNow:330- Sales</v>
      </c>
      <c r="O239" s="2"/>
      <c r="P239" s="2"/>
      <c r="Q239" s="2" t="str">
        <f>'QBO Transactions'!$T241</f>
        <v>UBER   *TRIP MASTERCARD-XXXXXXE9FNCO-Ryan Hale</v>
      </c>
      <c r="R239" s="2"/>
      <c r="S239" s="2"/>
      <c r="T239" s="2"/>
      <c r="U239" s="2"/>
      <c r="V239" s="2"/>
      <c r="W239" s="2"/>
      <c r="X239" s="2" t="str">
        <f t="shared" si="3"/>
        <v>UBER   *TRIP MASTERCARD-XXXXXXE9FNCO-Ryan Hale</v>
      </c>
      <c r="Y239" s="4">
        <f>'QBO Transactions'!$Q241</f>
        <v>46231</v>
      </c>
      <c r="Z239" s="2"/>
      <c r="AA239" s="2"/>
      <c r="AB239" s="2"/>
      <c r="AC239" s="2"/>
      <c r="AD239" s="2"/>
      <c r="AE239" s="2"/>
    </row>
    <row r="240" spans="1:31" ht="12.75" customHeight="1" x14ac:dyDescent="0.25">
      <c r="A240" s="2"/>
      <c r="B240" s="2" t="str">
        <f>'QBO Transactions'!$U242</f>
        <v>Brex Credit Card</v>
      </c>
      <c r="C240" s="3">
        <f>'QBO Transactions'!$S242</f>
        <v>31.97</v>
      </c>
      <c r="D240" s="2" t="str">
        <f>'QBO Transactions'!$R242</f>
        <v>Uber</v>
      </c>
      <c r="E240" s="2"/>
      <c r="F240" s="3" t="str">
        <f>'QBO Transactions'!$X242</f>
        <v>Cost of Goods Sold:COGS- Travel Expenses:Ground Transportation</v>
      </c>
      <c r="G240" s="2"/>
      <c r="H240" s="2"/>
      <c r="I240" s="2"/>
      <c r="J240" s="2"/>
      <c r="K240" s="2"/>
      <c r="L240" s="2"/>
      <c r="M240" s="2"/>
      <c r="N240" s="2" t="str">
        <f>'QBO Transactions'!$Y242</f>
        <v>300- ServiceNow:320- Engineering</v>
      </c>
      <c r="O240" s="2"/>
      <c r="P240" s="2"/>
      <c r="Q240" s="2" t="str">
        <f>'QBO Transactions'!$T242</f>
        <v>UBER   *TRIP MASTERCARD-XXXXXXUVGSPA-Cody Sandford</v>
      </c>
      <c r="R240" s="2"/>
      <c r="S240" s="2"/>
      <c r="T240" s="2"/>
      <c r="U240" s="2"/>
      <c r="V240" s="2"/>
      <c r="W240" s="2"/>
      <c r="X240" s="2" t="str">
        <f t="shared" si="3"/>
        <v>UBER   *TRIP MASTERCARD-XXXXXXUVGSPA-Cody Sandford</v>
      </c>
      <c r="Y240" s="4">
        <f>'QBO Transactions'!$Q242</f>
        <v>46231</v>
      </c>
      <c r="Z240" s="2"/>
      <c r="AA240" s="2"/>
      <c r="AB240" s="2"/>
      <c r="AC240" s="2"/>
      <c r="AD240" s="2"/>
      <c r="AE240" s="2"/>
    </row>
    <row r="241" spans="1:31" ht="12.75" customHeight="1" x14ac:dyDescent="0.25">
      <c r="A241" s="2"/>
      <c r="B241" s="2" t="str">
        <f>'QBO Transactions'!$U243</f>
        <v>Brex Credit Card</v>
      </c>
      <c r="C241" s="3">
        <f>'QBO Transactions'!$S243</f>
        <v>12.93</v>
      </c>
      <c r="D241" s="2" t="str">
        <f>'QBO Transactions'!$R243</f>
        <v>Blue Bottle</v>
      </c>
      <c r="E241" s="2"/>
      <c r="F241" s="3" t="str">
        <f>'QBO Transactions'!$X243</f>
        <v>General &amp; Administrative:G&amp;A- Travel Expenses:Meals &amp; Entertainment</v>
      </c>
      <c r="G241" s="2"/>
      <c r="H241" s="2"/>
      <c r="I241" s="2"/>
      <c r="J241" s="2"/>
      <c r="K241" s="2"/>
      <c r="L241" s="2"/>
      <c r="M241" s="2"/>
      <c r="N241" s="2" t="str">
        <f>'QBO Transactions'!$Y243</f>
        <v>300- ServiceNow:320- Engineering</v>
      </c>
      <c r="O241" s="2"/>
      <c r="P241" s="2"/>
      <c r="Q241" s="2" t="str">
        <f>'QBO Transactions'!$T243</f>
        <v>SQ *BLUE BOTTLE COFFEE MASTERCARD-XXXXXX26IUJX-Elias Kapetanopoulos</v>
      </c>
      <c r="R241" s="2"/>
      <c r="S241" s="2"/>
      <c r="T241" s="2"/>
      <c r="U241" s="2"/>
      <c r="V241" s="2"/>
      <c r="W241" s="2"/>
      <c r="X241" s="2" t="str">
        <f t="shared" si="3"/>
        <v>SQ *BLUE BOTTLE COFFEE MASTERCARD-XXXXXX26IUJX-Elias Kapetanopoulos</v>
      </c>
      <c r="Y241" s="4">
        <f>'QBO Transactions'!$Q243</f>
        <v>46231</v>
      </c>
      <c r="Z241" s="2"/>
      <c r="AA241" s="2"/>
      <c r="AB241" s="2"/>
      <c r="AC241" s="2"/>
      <c r="AD241" s="2"/>
      <c r="AE241" s="2"/>
    </row>
    <row r="242" spans="1:31" ht="12.75" customHeight="1" x14ac:dyDescent="0.25">
      <c r="A242" s="2"/>
      <c r="B242" s="2" t="str">
        <f>'QBO Transactions'!$U244</f>
        <v>Brex Credit Card</v>
      </c>
      <c r="C242" s="3">
        <f>'QBO Transactions'!$S244</f>
        <v>53</v>
      </c>
      <c r="D242" s="2" t="str">
        <f>'QBO Transactions'!$R244</f>
        <v>SpotHero</v>
      </c>
      <c r="E242" s="2"/>
      <c r="F242" s="3" t="str">
        <f>'QBO Transactions'!$X244</f>
        <v>Cost of Goods Sold:COGS- Travel Expenses:Ground Transportation</v>
      </c>
      <c r="G242" s="2"/>
      <c r="H242" s="2"/>
      <c r="I242" s="2"/>
      <c r="J242" s="2"/>
      <c r="K242" s="2"/>
      <c r="L242" s="2"/>
      <c r="M242" s="2"/>
      <c r="N242" s="2" t="str">
        <f>'QBO Transactions'!$Y244</f>
        <v>200- Datadog:220- Engineering</v>
      </c>
      <c r="O242" s="2"/>
      <c r="P242" s="2"/>
      <c r="Q242" s="2" t="str">
        <f>'QBO Transactions'!$T244</f>
        <v>SPOTHERO 844-356-8054 MASTERCARD-XXXXXX2I7BHI-Logan Rohloff</v>
      </c>
      <c r="R242" s="2"/>
      <c r="S242" s="2"/>
      <c r="T242" s="2"/>
      <c r="U242" s="2"/>
      <c r="V242" s="2"/>
      <c r="W242" s="2"/>
      <c r="X242" s="2" t="str">
        <f t="shared" si="3"/>
        <v>SPOTHERO 844-356-8054 MASTERCARD-XXXXXX2I7BHI-Logan Rohloff</v>
      </c>
      <c r="Y242" s="4">
        <f>'QBO Transactions'!$Q244</f>
        <v>46231</v>
      </c>
      <c r="Z242" s="2"/>
      <c r="AA242" s="2"/>
      <c r="AB242" s="2"/>
      <c r="AC242" s="2"/>
      <c r="AD242" s="2"/>
      <c r="AE242" s="2"/>
    </row>
    <row r="243" spans="1:31" ht="12.75" customHeight="1" x14ac:dyDescent="0.25">
      <c r="A243" s="2"/>
      <c r="B243" s="2" t="str">
        <f>'QBO Transactions'!$U245</f>
        <v>Brex Credit Card</v>
      </c>
      <c r="C243" s="3">
        <f>'QBO Transactions'!$S245</f>
        <v>2986.17</v>
      </c>
      <c r="D243" s="2" t="str">
        <f>'QBO Transactions'!$R245</f>
        <v>Food Vendor</v>
      </c>
      <c r="E243" s="2"/>
      <c r="F243" s="3" t="str">
        <f>'QBO Transactions'!$X245</f>
        <v>Sales &amp; Marketing:Sales &amp; Marketing- Travel Expenses:Meals &amp; Entertainment</v>
      </c>
      <c r="G243" s="2"/>
      <c r="H243" s="2"/>
      <c r="I243" s="2"/>
      <c r="J243" s="2"/>
      <c r="K243" s="2"/>
      <c r="L243" s="2"/>
      <c r="M243" s="2"/>
      <c r="N243" s="2" t="str">
        <f>'QBO Transactions'!$Y245</f>
        <v>100- Operations:120- Marketing</v>
      </c>
      <c r="O243" s="2"/>
      <c r="P243" s="2"/>
      <c r="Q243" s="2" t="str">
        <f>'QBO Transactions'!$T245</f>
        <v>Ande* Bar Primi Penn MASTERCARD-XXXXXX5G16Q8-Victoria Molins</v>
      </c>
      <c r="R243" s="2"/>
      <c r="S243" s="2"/>
      <c r="T243" s="2"/>
      <c r="U243" s="2"/>
      <c r="V243" s="2"/>
      <c r="W243" s="2"/>
      <c r="X243" s="2" t="str">
        <f t="shared" si="3"/>
        <v>Ande* Bar Primi Penn MASTERCARD-XXXXXX5G16Q8-Victoria Molins</v>
      </c>
      <c r="Y243" s="4">
        <f>'QBO Transactions'!$Q245</f>
        <v>46231</v>
      </c>
      <c r="Z243" s="2"/>
      <c r="AA243" s="2"/>
      <c r="AB243" s="2"/>
      <c r="AC243" s="2"/>
      <c r="AD243" s="2"/>
      <c r="AE243" s="2"/>
    </row>
    <row r="244" spans="1:31" ht="12.75" customHeight="1" x14ac:dyDescent="0.25">
      <c r="A244" s="2"/>
      <c r="B244" s="2" t="str">
        <f>'QBO Transactions'!$U246</f>
        <v>Brex Credit Card</v>
      </c>
      <c r="C244" s="3">
        <f>'QBO Transactions'!$S246</f>
        <v>366.19</v>
      </c>
      <c r="D244" s="2" t="str">
        <f>'QBO Transactions'!$R246</f>
        <v>Food Vendor</v>
      </c>
      <c r="E244" s="2"/>
      <c r="F244" s="3" t="str">
        <f>'QBO Transactions'!$X246</f>
        <v>Sales &amp; Marketing:Sales &amp; Marketing- Travel Expenses:Meals &amp; Entertainment</v>
      </c>
      <c r="G244" s="2"/>
      <c r="H244" s="2"/>
      <c r="I244" s="2"/>
      <c r="J244" s="2"/>
      <c r="K244" s="2"/>
      <c r="L244" s="2"/>
      <c r="M244" s="2"/>
      <c r="N244" s="2" t="str">
        <f>'QBO Transactions'!$Y246</f>
        <v>100- Operations:120- Marketing</v>
      </c>
      <c r="O244" s="2"/>
      <c r="P244" s="2"/>
      <c r="Q244" s="2" t="str">
        <f>'QBO Transactions'!$T246</f>
        <v>ORETTA DOWNTOWN MASTERCARD-XXXXXXXTNC59-Victoria Molins</v>
      </c>
      <c r="R244" s="2"/>
      <c r="S244" s="2"/>
      <c r="T244" s="2"/>
      <c r="U244" s="2"/>
      <c r="V244" s="2"/>
      <c r="W244" s="2"/>
      <c r="X244" s="2" t="str">
        <f t="shared" si="3"/>
        <v>ORETTA DOWNTOWN MASTERCARD-XXXXXXXTNC59-Victoria Molins</v>
      </c>
      <c r="Y244" s="4">
        <f>'QBO Transactions'!$Q246</f>
        <v>46231</v>
      </c>
      <c r="Z244" s="2"/>
      <c r="AA244" s="2"/>
      <c r="AB244" s="2"/>
      <c r="AC244" s="2"/>
      <c r="AD244" s="2"/>
      <c r="AE244" s="2"/>
    </row>
    <row r="245" spans="1:31" ht="12.75" customHeight="1" x14ac:dyDescent="0.25">
      <c r="A245" s="2"/>
      <c r="B245" s="2" t="str">
        <f>'QBO Transactions'!$U247</f>
        <v>Brex Credit Card</v>
      </c>
      <c r="C245" s="3">
        <f>'QBO Transactions'!$S247</f>
        <v>69</v>
      </c>
      <c r="D245" s="2" t="str">
        <f>'QBO Transactions'!$R247</f>
        <v>Shodan API</v>
      </c>
      <c r="E245" s="2"/>
      <c r="F245" s="3" t="str">
        <f>'QBO Transactions'!$X247</f>
        <v>General &amp; Administrative:Software Licenses</v>
      </c>
      <c r="G245" s="2"/>
      <c r="H245" s="2"/>
      <c r="I245" s="2"/>
      <c r="J245" s="2"/>
      <c r="K245" s="2"/>
      <c r="L245" s="2"/>
      <c r="M245" s="2"/>
      <c r="N245" s="2" t="str">
        <f>'QBO Transactions'!$Y247</f>
        <v>100- Operations:110- G&amp;A</v>
      </c>
      <c r="O245" s="2"/>
      <c r="P245" s="2"/>
      <c r="Q245" s="2" t="str">
        <f>'QBO Transactions'!$T247</f>
        <v>SHODAN BASIC API MASTERCARD-XXXXXXPTJKGU-Eric Rabkin</v>
      </c>
      <c r="R245" s="2"/>
      <c r="S245" s="2"/>
      <c r="T245" s="2"/>
      <c r="U245" s="2"/>
      <c r="V245" s="2"/>
      <c r="W245" s="2"/>
      <c r="X245" s="2" t="str">
        <f t="shared" si="3"/>
        <v>SHODAN BASIC API MASTERCARD-XXXXXXPTJKGU-Eric Rabkin</v>
      </c>
      <c r="Y245" s="4">
        <f>'QBO Transactions'!$Q247</f>
        <v>46231</v>
      </c>
      <c r="Z245" s="2"/>
      <c r="AA245" s="2"/>
      <c r="AB245" s="2"/>
      <c r="AC245" s="2"/>
      <c r="AD245" s="2"/>
      <c r="AE245" s="2"/>
    </row>
    <row r="246" spans="1:31" ht="12.75" customHeight="1" x14ac:dyDescent="0.25">
      <c r="A246" s="2"/>
      <c r="B246" s="2" t="str">
        <f>'QBO Transactions'!$U248</f>
        <v>Brex Credit Card</v>
      </c>
      <c r="C246" s="3">
        <f>'QBO Transactions'!$S248</f>
        <v>10</v>
      </c>
      <c r="D246" s="2" t="str">
        <f>'QBO Transactions'!$R248</f>
        <v>Uber</v>
      </c>
      <c r="E246" s="2"/>
      <c r="F246" s="3" t="str">
        <f>'QBO Transactions'!$X248</f>
        <v>Cost of Goods Sold:COGS- Travel Expenses:Ground Transportation</v>
      </c>
      <c r="G246" s="2"/>
      <c r="H246" s="2"/>
      <c r="I246" s="2"/>
      <c r="J246" s="2"/>
      <c r="K246" s="2"/>
      <c r="L246" s="2"/>
      <c r="M246" s="2"/>
      <c r="N246" s="2" t="str">
        <f>'QBO Transactions'!$Y248</f>
        <v>300- ServiceNow:320- Engineering</v>
      </c>
      <c r="O246" s="2"/>
      <c r="P246" s="2"/>
      <c r="Q246" s="2" t="str">
        <f>'QBO Transactions'!$T248</f>
        <v>UBER   *TRIP MASTERCARD-XXXXXXTYJKQ6-Gary Baker</v>
      </c>
      <c r="R246" s="2"/>
      <c r="S246" s="2"/>
      <c r="T246" s="2"/>
      <c r="U246" s="2"/>
      <c r="V246" s="2"/>
      <c r="W246" s="2"/>
      <c r="X246" s="2" t="str">
        <f t="shared" si="3"/>
        <v>UBER   *TRIP MASTERCARD-XXXXXXTYJKQ6-Gary Baker</v>
      </c>
      <c r="Y246" s="4">
        <f>'QBO Transactions'!$Q248</f>
        <v>46231</v>
      </c>
      <c r="Z246" s="2"/>
      <c r="AA246" s="2"/>
      <c r="AB246" s="2"/>
      <c r="AC246" s="2"/>
      <c r="AD246" s="2"/>
      <c r="AE246" s="2"/>
    </row>
    <row r="247" spans="1:31" ht="12.75" customHeight="1" x14ac:dyDescent="0.25">
      <c r="A247" s="2"/>
      <c r="B247" s="2" t="str">
        <f>'QBO Transactions'!$U249</f>
        <v>Brex Credit Card</v>
      </c>
      <c r="C247" s="3">
        <f>'QBO Transactions'!$S249</f>
        <v>3595.46</v>
      </c>
      <c r="D247" s="2" t="str">
        <f>'QBO Transactions'!$R249</f>
        <v>Cision US Inc.</v>
      </c>
      <c r="E247" s="2"/>
      <c r="F247" s="3" t="str">
        <f>'QBO Transactions'!$X249</f>
        <v>Sales &amp; Marketing:Marketing Expenses:Other Marketing Expenses</v>
      </c>
      <c r="G247" s="2"/>
      <c r="H247" s="2"/>
      <c r="I247" s="2"/>
      <c r="J247" s="2"/>
      <c r="K247" s="2"/>
      <c r="L247" s="2"/>
      <c r="M247" s="2"/>
      <c r="N247" s="2" t="str">
        <f>'QBO Transactions'!$Y249</f>
        <v>100- Operations:120- Marketing</v>
      </c>
      <c r="O247" s="2"/>
      <c r="P247" s="2"/>
      <c r="Q247" s="2" t="str">
        <f>'QBO Transactions'!$T249</f>
        <v>CISION US INC. MASTERCARD-XXXXXX0X3WEQ-Karalyn Sims</v>
      </c>
      <c r="R247" s="2"/>
      <c r="S247" s="2"/>
      <c r="T247" s="2"/>
      <c r="U247" s="2"/>
      <c r="V247" s="2"/>
      <c r="W247" s="2"/>
      <c r="X247" s="2" t="str">
        <f t="shared" si="3"/>
        <v>CISION US INC. MASTERCARD-XXXXXX0X3WEQ-Karalyn Sims</v>
      </c>
      <c r="Y247" s="4">
        <f>'QBO Transactions'!$Q249</f>
        <v>46231</v>
      </c>
      <c r="Z247" s="2"/>
      <c r="AA247" s="2"/>
      <c r="AB247" s="2"/>
      <c r="AC247" s="2"/>
      <c r="AD247" s="2"/>
      <c r="AE247" s="2"/>
    </row>
    <row r="248" spans="1:31" ht="12.75" customHeight="1" x14ac:dyDescent="0.25">
      <c r="A248" s="2"/>
      <c r="B248" s="2" t="str">
        <f>'QBO Transactions'!$U250</f>
        <v>Brex Credit Card</v>
      </c>
      <c r="C248" s="3">
        <f>'QBO Transactions'!$S250</f>
        <v>15.92</v>
      </c>
      <c r="D248" s="2" t="str">
        <f>'QBO Transactions'!$R250</f>
        <v>Food Vendor</v>
      </c>
      <c r="E248" s="2"/>
      <c r="F248" s="3" t="str">
        <f>'QBO Transactions'!$X250</f>
        <v>Sales &amp; Marketing:Sales &amp; Marketing- Travel Expenses:Meals &amp; Entertainment</v>
      </c>
      <c r="G248" s="2"/>
      <c r="H248" s="2"/>
      <c r="I248" s="2"/>
      <c r="J248" s="2"/>
      <c r="K248" s="2"/>
      <c r="L248" s="2"/>
      <c r="M248" s="2"/>
      <c r="N248" s="2" t="str">
        <f>'QBO Transactions'!$Y250</f>
        <v>300- ServiceNow:330- Sales</v>
      </c>
      <c r="O248" s="2"/>
      <c r="P248" s="2"/>
      <c r="Q248" s="2" t="str">
        <f>'QBO Transactions'!$T250</f>
        <v>TST*BILLY GOAT TAVERN MASTERCARD-XXXXXXIKUROC-John Taylor</v>
      </c>
      <c r="R248" s="2"/>
      <c r="S248" s="2"/>
      <c r="T248" s="2"/>
      <c r="U248" s="2"/>
      <c r="V248" s="2"/>
      <c r="W248" s="2"/>
      <c r="X248" s="2" t="str">
        <f t="shared" si="3"/>
        <v>TST*BILLY GOAT TAVERN MASTERCARD-XXXXXXIKUROC-John Taylor</v>
      </c>
      <c r="Y248" s="4">
        <f>'QBO Transactions'!$Q250</f>
        <v>46231</v>
      </c>
      <c r="Z248" s="2"/>
      <c r="AA248" s="2"/>
      <c r="AB248" s="2"/>
      <c r="AC248" s="2"/>
      <c r="AD248" s="2"/>
      <c r="AE248" s="2"/>
    </row>
    <row r="249" spans="1:31" ht="12.75" customHeight="1" x14ac:dyDescent="0.25">
      <c r="A249" s="2"/>
      <c r="B249" s="2" t="str">
        <f>'QBO Transactions'!$U251</f>
        <v>Brex Credit Card</v>
      </c>
      <c r="C249" s="3">
        <f>'QBO Transactions'!$S251</f>
        <v>24.79</v>
      </c>
      <c r="D249" s="2" t="str">
        <f>'QBO Transactions'!$R251</f>
        <v>Thinking Cup</v>
      </c>
      <c r="E249" s="2"/>
      <c r="F249" s="3" t="str">
        <f>'QBO Transactions'!$X251</f>
        <v>Sales &amp; Marketing:Sales &amp; Marketing- Travel Expenses:Meals &amp; Entertainment</v>
      </c>
      <c r="G249" s="2"/>
      <c r="H249" s="2"/>
      <c r="I249" s="2"/>
      <c r="J249" s="2"/>
      <c r="K249" s="2"/>
      <c r="L249" s="2"/>
      <c r="M249" s="2"/>
      <c r="N249" s="2" t="str">
        <f>'QBO Transactions'!$Y251</f>
        <v>200- Datadog:230- Sales</v>
      </c>
      <c r="O249" s="2"/>
      <c r="P249" s="2"/>
      <c r="Q249" s="2" t="str">
        <f>'QBO Transactions'!$T251</f>
        <v>SQ *THINKING CUP NEWBU MASTERCARD-XXXXXXN3WXZX-Jared Kennedy</v>
      </c>
      <c r="R249" s="2"/>
      <c r="S249" s="2"/>
      <c r="T249" s="2"/>
      <c r="U249" s="2"/>
      <c r="V249" s="2"/>
      <c r="W249" s="2"/>
      <c r="X249" s="2" t="str">
        <f t="shared" si="3"/>
        <v>SQ *THINKING CUP NEWBU MASTERCARD-XXXXXXN3WXZX-Jared Kennedy</v>
      </c>
      <c r="Y249" s="4">
        <f>'QBO Transactions'!$Q251</f>
        <v>46231</v>
      </c>
      <c r="Z249" s="2"/>
      <c r="AA249" s="2"/>
      <c r="AB249" s="2"/>
      <c r="AC249" s="2"/>
      <c r="AD249" s="2"/>
      <c r="AE249" s="2"/>
    </row>
    <row r="250" spans="1:31" ht="12.75" customHeight="1" x14ac:dyDescent="0.25">
      <c r="A250" s="2"/>
      <c r="B250" s="2" t="str">
        <f>'QBO Transactions'!$U252</f>
        <v>Brex Credit Card</v>
      </c>
      <c r="C250" s="3">
        <f>'QBO Transactions'!$S252</f>
        <v>3.19</v>
      </c>
      <c r="D250" s="2" t="str">
        <f>'QBO Transactions'!$R252</f>
        <v>Travel Vendor</v>
      </c>
      <c r="E250" s="2"/>
      <c r="F250" s="3" t="str">
        <f>'QBO Transactions'!$X252</f>
        <v>Cost of Goods Sold:COGS- Travel Expenses:Ground Transportation</v>
      </c>
      <c r="G250" s="2"/>
      <c r="H250" s="2"/>
      <c r="I250" s="2"/>
      <c r="J250" s="2"/>
      <c r="K250" s="2"/>
      <c r="L250" s="2"/>
      <c r="M250" s="2"/>
      <c r="N250" s="2" t="str">
        <f>'QBO Transactions'!$Y252</f>
        <v>300- ServiceNow:320- Engineering</v>
      </c>
      <c r="O250" s="2"/>
      <c r="P250" s="2"/>
      <c r="Q250" s="2" t="str">
        <f>'QBO Transactions'!$T252</f>
        <v>PDX Market 503 MASTERCARD-XXXXXX13JRLX-Gary Baker</v>
      </c>
      <c r="R250" s="2"/>
      <c r="S250" s="2"/>
      <c r="T250" s="2"/>
      <c r="U250" s="2"/>
      <c r="V250" s="2"/>
      <c r="W250" s="2"/>
      <c r="X250" s="2" t="str">
        <f t="shared" si="3"/>
        <v>PDX Market 503 MASTERCARD-XXXXXX13JRLX-Gary Baker</v>
      </c>
      <c r="Y250" s="4">
        <f>'QBO Transactions'!$Q252</f>
        <v>46231</v>
      </c>
      <c r="Z250" s="2"/>
      <c r="AA250" s="2"/>
      <c r="AB250" s="2"/>
      <c r="AC250" s="2"/>
      <c r="AD250" s="2"/>
      <c r="AE250" s="2"/>
    </row>
    <row r="251" spans="1:31" ht="12.75" customHeight="1" x14ac:dyDescent="0.25">
      <c r="A251" s="2"/>
      <c r="B251" s="2" t="str">
        <f>'QBO Transactions'!$U253</f>
        <v>Brex Credit Card</v>
      </c>
      <c r="C251" s="3">
        <f>'QBO Transactions'!$S253</f>
        <v>7.5</v>
      </c>
      <c r="D251" s="2" t="str">
        <f>'QBO Transactions'!$R253</f>
        <v>Food Vendor</v>
      </c>
      <c r="E251" s="2"/>
      <c r="F251" s="3" t="str">
        <f>'QBO Transactions'!$X253</f>
        <v>Cost of Goods Sold:COGS- Travel Expenses:Meals &amp; Entertainment</v>
      </c>
      <c r="G251" s="2"/>
      <c r="H251" s="2"/>
      <c r="I251" s="2"/>
      <c r="J251" s="2"/>
      <c r="K251" s="2"/>
      <c r="L251" s="2"/>
      <c r="M251" s="2"/>
      <c r="N251" s="2" t="str">
        <f>'QBO Transactions'!$Y253</f>
        <v>300- ServiceNow:320- Engineering</v>
      </c>
      <c r="O251" s="2"/>
      <c r="P251" s="2"/>
      <c r="Q251" s="2" t="str">
        <f>'QBO Transactions'!$T253</f>
        <v>McDonalds 36186 MASTERCARD-XXXXXXRIW9NN-Gary Baker</v>
      </c>
      <c r="R251" s="2"/>
      <c r="S251" s="2"/>
      <c r="T251" s="2"/>
      <c r="U251" s="2"/>
      <c r="V251" s="2"/>
      <c r="W251" s="2"/>
      <c r="X251" s="2" t="str">
        <f t="shared" si="3"/>
        <v>McDonalds 36186 MASTERCARD-XXXXXXRIW9NN-Gary Baker</v>
      </c>
      <c r="Y251" s="4">
        <f>'QBO Transactions'!$Q253</f>
        <v>46232</v>
      </c>
      <c r="Z251" s="2"/>
      <c r="AA251" s="2"/>
      <c r="AB251" s="2"/>
      <c r="AC251" s="2"/>
      <c r="AD251" s="2"/>
      <c r="AE251" s="2"/>
    </row>
    <row r="252" spans="1:31" ht="12.75" customHeight="1" x14ac:dyDescent="0.25">
      <c r="A252" s="2"/>
      <c r="B252" s="2" t="str">
        <f>'QBO Transactions'!$U254</f>
        <v>Brex Credit Card</v>
      </c>
      <c r="C252" s="3">
        <f>'QBO Transactions'!$S254</f>
        <v>15</v>
      </c>
      <c r="D252" s="2" t="str">
        <f>'QBO Transactions'!$R254</f>
        <v>Uber</v>
      </c>
      <c r="E252" s="2"/>
      <c r="F252" s="3" t="str">
        <f>'QBO Transactions'!$X254</f>
        <v>Sales &amp; Marketing:Sales &amp; Marketing- Travel Expenses:Ground Transportation</v>
      </c>
      <c r="G252" s="2"/>
      <c r="H252" s="2"/>
      <c r="I252" s="2"/>
      <c r="J252" s="2"/>
      <c r="K252" s="2"/>
      <c r="L252" s="2"/>
      <c r="M252" s="2"/>
      <c r="N252" s="2" t="str">
        <f>'QBO Transactions'!$Y254</f>
        <v>300- ServiceNow:330- Sales</v>
      </c>
      <c r="O252" s="2"/>
      <c r="P252" s="2"/>
      <c r="Q252" s="2" t="str">
        <f>'QBO Transactions'!$T254</f>
        <v>UBER   *TRIP MASTERCARD-XXXXXXOCPTCM-John Taylor</v>
      </c>
      <c r="R252" s="2"/>
      <c r="S252" s="2"/>
      <c r="T252" s="2"/>
      <c r="U252" s="2"/>
      <c r="V252" s="2"/>
      <c r="W252" s="2"/>
      <c r="X252" s="2" t="str">
        <f t="shared" si="3"/>
        <v>UBER   *TRIP MASTERCARD-XXXXXXOCPTCM-John Taylor</v>
      </c>
      <c r="Y252" s="4">
        <f>'QBO Transactions'!$Q254</f>
        <v>46231</v>
      </c>
      <c r="Z252" s="2"/>
      <c r="AA252" s="2"/>
      <c r="AB252" s="2"/>
      <c r="AC252" s="2"/>
      <c r="AD252" s="2"/>
      <c r="AE252" s="2"/>
    </row>
    <row r="253" spans="1:31" ht="12.75" customHeight="1" x14ac:dyDescent="0.25">
      <c r="A253" s="2"/>
      <c r="B253" s="2" t="str">
        <f>'QBO Transactions'!$U255</f>
        <v>Brex Credit Card</v>
      </c>
      <c r="C253" s="3">
        <f>'QBO Transactions'!$S255</f>
        <v>5.76</v>
      </c>
      <c r="D253" s="2" t="str">
        <f>'QBO Transactions'!$R255</f>
        <v>Starbucks</v>
      </c>
      <c r="E253" s="2"/>
      <c r="F253" s="3" t="str">
        <f>'QBO Transactions'!$X255</f>
        <v>Sales &amp; Marketing:Sales &amp; Marketing- Travel Expenses:Meals &amp; Entertainment</v>
      </c>
      <c r="G253" s="2"/>
      <c r="H253" s="2"/>
      <c r="I253" s="2"/>
      <c r="J253" s="2"/>
      <c r="K253" s="2"/>
      <c r="L253" s="2"/>
      <c r="M253" s="2"/>
      <c r="N253" s="2" t="str">
        <f>'QBO Transactions'!$Y255</f>
        <v>100- Operations:120- Marketing</v>
      </c>
      <c r="O253" s="2"/>
      <c r="P253" s="2"/>
      <c r="Q253" s="2" t="str">
        <f>'QBO Transactions'!$T255</f>
        <v>STARBUCKS STORE 80448 MASTERCARD-XXXXXXG5VMSN-Toni Manning</v>
      </c>
      <c r="R253" s="2"/>
      <c r="S253" s="2"/>
      <c r="T253" s="2"/>
      <c r="U253" s="2"/>
      <c r="V253" s="2"/>
      <c r="W253" s="2"/>
      <c r="X253" s="2" t="str">
        <f t="shared" si="3"/>
        <v>STARBUCKS STORE 80448 MASTERCARD-XXXXXXG5VMSN-Toni Manning</v>
      </c>
      <c r="Y253" s="4">
        <f>'QBO Transactions'!$Q255</f>
        <v>46232</v>
      </c>
      <c r="Z253" s="2"/>
      <c r="AA253" s="2"/>
      <c r="AB253" s="2"/>
      <c r="AC253" s="2"/>
      <c r="AD253" s="2"/>
      <c r="AE253" s="2"/>
    </row>
    <row r="254" spans="1:31" ht="12.75" customHeight="1" x14ac:dyDescent="0.25">
      <c r="A254" s="2"/>
      <c r="B254" s="2" t="str">
        <f>'QBO Transactions'!$U256</f>
        <v>Brex Credit Card</v>
      </c>
      <c r="C254" s="3">
        <f>'QBO Transactions'!$S256</f>
        <v>11.7</v>
      </c>
      <c r="D254" s="2" t="str">
        <f>'QBO Transactions'!$R256</f>
        <v>Starbucks</v>
      </c>
      <c r="E254" s="2"/>
      <c r="F254" s="3" t="str">
        <f>'QBO Transactions'!$X256</f>
        <v>General &amp; Administrative:G&amp;A- Travel Expenses:Meals &amp; Entertainment</v>
      </c>
      <c r="G254" s="2"/>
      <c r="H254" s="2"/>
      <c r="I254" s="2"/>
      <c r="J254" s="2"/>
      <c r="K254" s="2"/>
      <c r="L254" s="2"/>
      <c r="M254" s="2"/>
      <c r="N254" s="2" t="str">
        <f>'QBO Transactions'!$Y256</f>
        <v>300- ServiceNow:320- Engineering</v>
      </c>
      <c r="O254" s="2"/>
      <c r="P254" s="2"/>
      <c r="Q254" s="2" t="str">
        <f>'QBO Transactions'!$T256</f>
        <v>STARBUCKS STORE 80448 MASTERCARD-XXXXXX8UADGB-Daniel Levin</v>
      </c>
      <c r="R254" s="2"/>
      <c r="S254" s="2"/>
      <c r="T254" s="2"/>
      <c r="U254" s="2"/>
      <c r="V254" s="2"/>
      <c r="W254" s="2"/>
      <c r="X254" s="2" t="str">
        <f t="shared" si="3"/>
        <v>STARBUCKS STORE 80448 MASTERCARD-XXXXXX8UADGB-Daniel Levin</v>
      </c>
      <c r="Y254" s="4">
        <f>'QBO Transactions'!$Q256</f>
        <v>46232</v>
      </c>
      <c r="Z254" s="2"/>
      <c r="AA254" s="2"/>
      <c r="AB254" s="2"/>
      <c r="AC254" s="2"/>
      <c r="AD254" s="2"/>
      <c r="AE254" s="2"/>
    </row>
    <row r="255" spans="1:31" ht="12.75" customHeight="1" x14ac:dyDescent="0.25">
      <c r="A255" s="2"/>
      <c r="B255" s="2" t="str">
        <f>'QBO Transactions'!$U257</f>
        <v>Brex Credit Card</v>
      </c>
      <c r="C255" s="3">
        <f>'QBO Transactions'!$S257</f>
        <v>22.5</v>
      </c>
      <c r="D255" s="2" t="str">
        <f>'QBO Transactions'!$R257</f>
        <v>Mbta</v>
      </c>
      <c r="E255" s="2"/>
      <c r="F255" s="3" t="str">
        <f>'QBO Transactions'!$X257</f>
        <v>Sales &amp; Marketing:Sales &amp; Marketing- Travel Expenses:Ground Transportation</v>
      </c>
      <c r="G255" s="2"/>
      <c r="H255" s="2"/>
      <c r="I255" s="2"/>
      <c r="J255" s="2"/>
      <c r="K255" s="2"/>
      <c r="L255" s="2"/>
      <c r="M255" s="2"/>
      <c r="N255" s="2" t="str">
        <f>'QBO Transactions'!$Y257</f>
        <v>300- ServiceNow:330- Sales</v>
      </c>
      <c r="O255" s="2"/>
      <c r="P255" s="2"/>
      <c r="Q255" s="2" t="str">
        <f>'QBO Transactions'!$T257</f>
        <v>MBTA WELLINGTON MASTERCARD-XXXXXXXSPWA2-Sal Costa</v>
      </c>
      <c r="R255" s="2"/>
      <c r="S255" s="2"/>
      <c r="T255" s="2"/>
      <c r="U255" s="2"/>
      <c r="V255" s="2"/>
      <c r="W255" s="2"/>
      <c r="X255" s="2" t="str">
        <f t="shared" si="3"/>
        <v>MBTA WELLINGTON MASTERCARD-XXXXXXXSPWA2-Sal Costa</v>
      </c>
      <c r="Y255" s="4">
        <f>'QBO Transactions'!$Q257</f>
        <v>46232</v>
      </c>
      <c r="Z255" s="2"/>
      <c r="AA255" s="2"/>
      <c r="AB255" s="2"/>
      <c r="AC255" s="2"/>
      <c r="AD255" s="2"/>
      <c r="AE255" s="2"/>
    </row>
    <row r="256" spans="1:31" ht="12.75" customHeight="1" x14ac:dyDescent="0.25">
      <c r="A256" s="2"/>
      <c r="B256" s="2" t="str">
        <f>'QBO Transactions'!$U258</f>
        <v>Brex Credit Card</v>
      </c>
      <c r="C256" s="3">
        <f>'QBO Transactions'!$S258</f>
        <v>1.7</v>
      </c>
      <c r="D256" s="2" t="str">
        <f>'QBO Transactions'!$R258</f>
        <v>Mbta</v>
      </c>
      <c r="E256" s="2"/>
      <c r="F256" s="3" t="str">
        <f>'QBO Transactions'!$X258</f>
        <v>Sales &amp; Marketing:Sales &amp; Marketing- Travel Expenses:Ground Transportation</v>
      </c>
      <c r="G256" s="2"/>
      <c r="H256" s="2"/>
      <c r="I256" s="2"/>
      <c r="J256" s="2"/>
      <c r="K256" s="2"/>
      <c r="L256" s="2"/>
      <c r="M256" s="2"/>
      <c r="N256" s="2" t="str">
        <f>'QBO Transactions'!$Y258</f>
        <v>100- Operations:120- Marketing</v>
      </c>
      <c r="O256" s="2"/>
      <c r="P256" s="2"/>
      <c r="Q256" s="2" t="str">
        <f>'QBO Transactions'!$T258</f>
        <v>MBTA-550048231694 MASTERCARD-XXXXXXPG67FV-Karalyn Sims</v>
      </c>
      <c r="R256" s="2"/>
      <c r="S256" s="2"/>
      <c r="T256" s="2"/>
      <c r="U256" s="2"/>
      <c r="V256" s="2"/>
      <c r="W256" s="2"/>
      <c r="X256" s="2" t="str">
        <f t="shared" si="3"/>
        <v>MBTA-550048231694 MASTERCARD-XXXXXXPG67FV-Karalyn Sims</v>
      </c>
      <c r="Y256" s="4">
        <f>'QBO Transactions'!$Q258</f>
        <v>46231</v>
      </c>
      <c r="Z256" s="2"/>
      <c r="AA256" s="2"/>
      <c r="AB256" s="2"/>
      <c r="AC256" s="2"/>
      <c r="AD256" s="2"/>
      <c r="AE256" s="2"/>
    </row>
    <row r="257" spans="1:31" ht="12.75" customHeight="1" x14ac:dyDescent="0.25">
      <c r="A257" s="2"/>
      <c r="B257" s="2" t="str">
        <f>'QBO Transactions'!$U259</f>
        <v>Brex Credit Card</v>
      </c>
      <c r="C257" s="3">
        <f>'QBO Transactions'!$S259</f>
        <v>53.97</v>
      </c>
      <c r="D257" s="2" t="str">
        <f>'QBO Transactions'!$R259</f>
        <v>Uber</v>
      </c>
      <c r="E257" s="2"/>
      <c r="F257" s="3" t="str">
        <f>'QBO Transactions'!$X259</f>
        <v>Sales &amp; Marketing:Sales &amp; Marketing- Travel Expenses:Ground Transportation</v>
      </c>
      <c r="G257" s="2"/>
      <c r="H257" s="2"/>
      <c r="I257" s="2"/>
      <c r="J257" s="2"/>
      <c r="K257" s="2"/>
      <c r="L257" s="2"/>
      <c r="M257" s="2"/>
      <c r="N257" s="2" t="str">
        <f>'QBO Transactions'!$Y259</f>
        <v>300- ServiceNow:330- Sales</v>
      </c>
      <c r="O257" s="2"/>
      <c r="P257" s="2"/>
      <c r="Q257" s="2" t="str">
        <f>'QBO Transactions'!$T259</f>
        <v>UBER   *TRIP MASTERCARD-XXXXXXS8YWRU-Chloe Brant</v>
      </c>
      <c r="R257" s="2"/>
      <c r="S257" s="2"/>
      <c r="T257" s="2"/>
      <c r="U257" s="2"/>
      <c r="V257" s="2"/>
      <c r="W257" s="2"/>
      <c r="X257" s="2" t="str">
        <f t="shared" si="3"/>
        <v>UBER   *TRIP MASTERCARD-XXXXXXS8YWRU-Chloe Brant</v>
      </c>
      <c r="Y257" s="4">
        <f>'QBO Transactions'!$Q259</f>
        <v>46231</v>
      </c>
      <c r="Z257" s="2"/>
      <c r="AA257" s="2"/>
      <c r="AB257" s="2"/>
      <c r="AC257" s="2"/>
      <c r="AD257" s="2"/>
      <c r="AE257" s="2"/>
    </row>
    <row r="258" spans="1:31" ht="12.75" customHeight="1" x14ac:dyDescent="0.25">
      <c r="A258" s="2"/>
      <c r="B258" s="2" t="str">
        <f>'QBO Transactions'!$U260</f>
        <v>Brex Credit Card</v>
      </c>
      <c r="C258" s="3">
        <f>'QBO Transactions'!$S260</f>
        <v>7.85</v>
      </c>
      <c r="D258" s="2" t="str">
        <f>'QBO Transactions'!$R260</f>
        <v>Blank Street</v>
      </c>
      <c r="E258" s="2"/>
      <c r="F258" s="3" t="str">
        <f>'QBO Transactions'!$X260</f>
        <v>Cost of Goods Sold:COGS- Travel Expenses:Meals &amp; Entertainment</v>
      </c>
      <c r="G258" s="2"/>
      <c r="H258" s="2"/>
      <c r="I258" s="2"/>
      <c r="J258" s="2"/>
      <c r="K258" s="2"/>
      <c r="L258" s="2"/>
      <c r="M258" s="2"/>
      <c r="N258" s="2" t="str">
        <f>'QBO Transactions'!$Y260</f>
        <v>300- ServiceNow:320- Engineering</v>
      </c>
      <c r="O258" s="2"/>
      <c r="P258" s="2"/>
      <c r="Q258" s="2" t="str">
        <f>'QBO Transactions'!$T260</f>
        <v>SQ *BLANK STREET COFFE MASTERCARD-XXXXXXNLCFXI-Talon Walz</v>
      </c>
      <c r="R258" s="2"/>
      <c r="S258" s="2"/>
      <c r="T258" s="2"/>
      <c r="U258" s="2"/>
      <c r="V258" s="2"/>
      <c r="W258" s="2"/>
      <c r="X258" s="2" t="str">
        <f t="shared" ref="X258:X321" si="4">Q258</f>
        <v>SQ *BLANK STREET COFFE MASTERCARD-XXXXXXNLCFXI-Talon Walz</v>
      </c>
      <c r="Y258" s="4">
        <f>'QBO Transactions'!$Q260</f>
        <v>46231</v>
      </c>
      <c r="Z258" s="2"/>
      <c r="AA258" s="2"/>
      <c r="AB258" s="2"/>
      <c r="AC258" s="2"/>
      <c r="AD258" s="2"/>
      <c r="AE258" s="2"/>
    </row>
    <row r="259" spans="1:31" ht="12.75" customHeight="1" x14ac:dyDescent="0.25">
      <c r="A259" s="2"/>
      <c r="B259" s="2" t="str">
        <f>'QBO Transactions'!$U261</f>
        <v>Brex Credit Card</v>
      </c>
      <c r="C259" s="3">
        <f>'QBO Transactions'!$S261</f>
        <v>11.98</v>
      </c>
      <c r="D259" s="2" t="str">
        <f>'QBO Transactions'!$R261</f>
        <v>Travel Vendor</v>
      </c>
      <c r="E259" s="2"/>
      <c r="F259" s="3" t="str">
        <f>'QBO Transactions'!$X261</f>
        <v>Sales &amp; Marketing:Sales &amp; Marketing- Travel Expenses:Other Travel Expenses</v>
      </c>
      <c r="G259" s="2"/>
      <c r="H259" s="2"/>
      <c r="I259" s="2"/>
      <c r="J259" s="2"/>
      <c r="K259" s="2"/>
      <c r="L259" s="2"/>
      <c r="M259" s="2"/>
      <c r="N259" s="2" t="str">
        <f>'QBO Transactions'!$Y261</f>
        <v>300- ServiceNow:330- Sales</v>
      </c>
      <c r="O259" s="2"/>
      <c r="P259" s="2"/>
      <c r="Q259" s="2" t="str">
        <f>'QBO Transactions'!$T261</f>
        <v>MSN Trip Advisor Shop MASTERCARD-XXXXXXG5PB6Q-Ryan Hale</v>
      </c>
      <c r="R259" s="2"/>
      <c r="S259" s="2"/>
      <c r="T259" s="2"/>
      <c r="U259" s="2"/>
      <c r="V259" s="2"/>
      <c r="W259" s="2"/>
      <c r="X259" s="2" t="str">
        <f t="shared" si="4"/>
        <v>MSN Trip Advisor Shop MASTERCARD-XXXXXXG5PB6Q-Ryan Hale</v>
      </c>
      <c r="Y259" s="4">
        <f>'QBO Transactions'!$Q261</f>
        <v>46231</v>
      </c>
      <c r="Z259" s="2"/>
      <c r="AA259" s="2"/>
      <c r="AB259" s="2"/>
      <c r="AC259" s="2"/>
      <c r="AD259" s="2"/>
      <c r="AE259" s="2"/>
    </row>
    <row r="260" spans="1:31" ht="12.75" customHeight="1" x14ac:dyDescent="0.25">
      <c r="A260" s="2"/>
      <c r="B260" s="2" t="str">
        <f>'QBO Transactions'!$U262</f>
        <v>Brex Credit Card</v>
      </c>
      <c r="C260" s="3">
        <f>'QBO Transactions'!$S262</f>
        <v>26.5</v>
      </c>
      <c r="D260" s="2" t="str">
        <f>'QBO Transactions'!$R262</f>
        <v>SpotHero</v>
      </c>
      <c r="E260" s="2"/>
      <c r="F260" s="3" t="str">
        <f>'QBO Transactions'!$X262</f>
        <v>Sales &amp; Marketing:Sales &amp; Marketing- Travel Expenses:Ground Transportation</v>
      </c>
      <c r="G260" s="2"/>
      <c r="H260" s="2"/>
      <c r="I260" s="2"/>
      <c r="J260" s="2"/>
      <c r="K260" s="2"/>
      <c r="L260" s="2"/>
      <c r="M260" s="2"/>
      <c r="N260" s="2" t="str">
        <f>'QBO Transactions'!$Y262</f>
        <v>200- Datadog:230- Sales</v>
      </c>
      <c r="O260" s="2"/>
      <c r="P260" s="2"/>
      <c r="Q260" s="2" t="str">
        <f>'QBO Transactions'!$T262</f>
        <v>SPOTHERO 844-356-8054 MASTERCARD-XXXXXXT33PDR-Jesse Eddy</v>
      </c>
      <c r="R260" s="2"/>
      <c r="S260" s="2"/>
      <c r="T260" s="2"/>
      <c r="U260" s="2"/>
      <c r="V260" s="2"/>
      <c r="W260" s="2"/>
      <c r="X260" s="2" t="str">
        <f t="shared" si="4"/>
        <v>SPOTHERO 844-356-8054 MASTERCARD-XXXXXXT33PDR-Jesse Eddy</v>
      </c>
      <c r="Y260" s="4">
        <f>'QBO Transactions'!$Q262</f>
        <v>46230</v>
      </c>
      <c r="Z260" s="2"/>
      <c r="AA260" s="2"/>
      <c r="AB260" s="2"/>
      <c r="AC260" s="2"/>
      <c r="AD260" s="2"/>
      <c r="AE260" s="2"/>
    </row>
    <row r="261" spans="1:31" ht="12.75" customHeight="1" x14ac:dyDescent="0.25">
      <c r="A261" s="2"/>
      <c r="B261" s="2" t="str">
        <f>'QBO Transactions'!$U263</f>
        <v>Brex Credit Card</v>
      </c>
      <c r="C261" s="3">
        <f>'QBO Transactions'!$S263</f>
        <v>50.77</v>
      </c>
      <c r="D261" s="2" t="str">
        <f>'QBO Transactions'!$R263</f>
        <v>LinkedIn Corporation</v>
      </c>
      <c r="E261" s="2"/>
      <c r="F261" s="3" t="str">
        <f>'QBO Transactions'!$X263</f>
        <v>General &amp; Administrative:Office Expenses:Dues &amp; Subscriptions</v>
      </c>
      <c r="G261" s="2"/>
      <c r="H261" s="2"/>
      <c r="I261" s="2"/>
      <c r="J261" s="2"/>
      <c r="K261" s="2"/>
      <c r="L261" s="2"/>
      <c r="M261" s="2"/>
      <c r="N261" s="2" t="str">
        <f>'QBO Transactions'!$Y263</f>
        <v>100- Operations:120- Marketing</v>
      </c>
      <c r="O261" s="2"/>
      <c r="P261" s="2"/>
      <c r="Q261" s="2" t="str">
        <f>'QBO Transactions'!$T263</f>
        <v>LinkedIn P3060452828 MASTERCARD-XXXXXXVX4IDU-Karalyn Sims</v>
      </c>
      <c r="R261" s="2"/>
      <c r="S261" s="2"/>
      <c r="T261" s="2"/>
      <c r="U261" s="2"/>
      <c r="V261" s="2"/>
      <c r="W261" s="2"/>
      <c r="X261" s="2" t="str">
        <f t="shared" si="4"/>
        <v>LinkedIn P3060452828 MASTERCARD-XXXXXXVX4IDU-Karalyn Sims</v>
      </c>
      <c r="Y261" s="4">
        <f>'QBO Transactions'!$Q263</f>
        <v>46231</v>
      </c>
      <c r="Z261" s="2"/>
      <c r="AA261" s="2"/>
      <c r="AB261" s="2"/>
      <c r="AC261" s="2"/>
      <c r="AD261" s="2"/>
      <c r="AE261" s="2"/>
    </row>
    <row r="262" spans="1:31" ht="12.75" customHeight="1" x14ac:dyDescent="0.25">
      <c r="A262" s="2"/>
      <c r="B262" s="2" t="str">
        <f>'QBO Transactions'!$U264</f>
        <v>Brex Credit Card</v>
      </c>
      <c r="C262" s="3">
        <f>'QBO Transactions'!$S264</f>
        <v>67.14</v>
      </c>
      <c r="D262" s="2" t="str">
        <f>'QBO Transactions'!$R264</f>
        <v>Uber</v>
      </c>
      <c r="E262" s="2"/>
      <c r="F262" s="3" t="str">
        <f>'QBO Transactions'!$X264</f>
        <v>Cost of Goods Sold:COGS- Travel Expenses:Ground Transportation</v>
      </c>
      <c r="G262" s="2"/>
      <c r="H262" s="2"/>
      <c r="I262" s="2"/>
      <c r="J262" s="2"/>
      <c r="K262" s="2"/>
      <c r="L262" s="2"/>
      <c r="M262" s="2"/>
      <c r="N262" s="2" t="str">
        <f>'QBO Transactions'!$Y264</f>
        <v>300- ServiceNow:310- Delivery</v>
      </c>
      <c r="O262" s="2"/>
      <c r="P262" s="2"/>
      <c r="Q262" s="2" t="str">
        <f>'QBO Transactions'!$T264</f>
        <v>UBER   *TRIP MASTERCARD-XXXXXXXMDQ5N-Patrick Dennis</v>
      </c>
      <c r="R262" s="2"/>
      <c r="S262" s="2"/>
      <c r="T262" s="2"/>
      <c r="U262" s="2"/>
      <c r="V262" s="2"/>
      <c r="W262" s="2"/>
      <c r="X262" s="2" t="str">
        <f t="shared" si="4"/>
        <v>UBER   *TRIP MASTERCARD-XXXXXXXMDQ5N-Patrick Dennis</v>
      </c>
      <c r="Y262" s="4">
        <f>'QBO Transactions'!$Q264</f>
        <v>46231</v>
      </c>
      <c r="Z262" s="2"/>
      <c r="AA262" s="2"/>
      <c r="AB262" s="2"/>
      <c r="AC262" s="2"/>
      <c r="AD262" s="2"/>
      <c r="AE262" s="2"/>
    </row>
    <row r="263" spans="1:31" ht="12.75" customHeight="1" x14ac:dyDescent="0.25">
      <c r="A263" s="2"/>
      <c r="B263" s="2" t="str">
        <f>'QBO Transactions'!$U265</f>
        <v>Brex Credit Card</v>
      </c>
      <c r="C263" s="3">
        <f>'QBO Transactions'!$S265</f>
        <v>21.94</v>
      </c>
      <c r="D263" s="2" t="str">
        <f>'QBO Transactions'!$R265</f>
        <v>Uber</v>
      </c>
      <c r="E263" s="2"/>
      <c r="F263" s="3" t="str">
        <f>'QBO Transactions'!$X265</f>
        <v>Cost of Goods Sold:COGS- Travel Expenses:Ground Transportation</v>
      </c>
      <c r="G263" s="2"/>
      <c r="H263" s="2"/>
      <c r="I263" s="2"/>
      <c r="J263" s="2"/>
      <c r="K263" s="2"/>
      <c r="L263" s="2"/>
      <c r="M263" s="2"/>
      <c r="N263" s="2" t="str">
        <f>'QBO Transactions'!$Y265</f>
        <v>300- ServiceNow:310- Delivery</v>
      </c>
      <c r="O263" s="2"/>
      <c r="P263" s="2"/>
      <c r="Q263" s="2" t="str">
        <f>'QBO Transactions'!$T265</f>
        <v>UBER   *TRIP MASTERCARD-XXXXXXHW6KR9-Patrick Dennis</v>
      </c>
      <c r="R263" s="2"/>
      <c r="S263" s="2"/>
      <c r="T263" s="2"/>
      <c r="U263" s="2"/>
      <c r="V263" s="2"/>
      <c r="W263" s="2"/>
      <c r="X263" s="2" t="str">
        <f t="shared" si="4"/>
        <v>UBER   *TRIP MASTERCARD-XXXXXXHW6KR9-Patrick Dennis</v>
      </c>
      <c r="Y263" s="4">
        <f>'QBO Transactions'!$Q265</f>
        <v>46231</v>
      </c>
      <c r="Z263" s="2"/>
      <c r="AA263" s="2"/>
      <c r="AB263" s="2"/>
      <c r="AC263" s="2"/>
      <c r="AD263" s="2"/>
      <c r="AE263" s="2"/>
    </row>
    <row r="264" spans="1:31" ht="12.75" customHeight="1" x14ac:dyDescent="0.25">
      <c r="A264" s="2"/>
      <c r="B264" s="2" t="str">
        <f>'QBO Transactions'!$U266</f>
        <v>Brex Credit Card</v>
      </c>
      <c r="C264" s="3">
        <f>'QBO Transactions'!$S266</f>
        <v>26.96</v>
      </c>
      <c r="D264" s="2" t="str">
        <f>'QBO Transactions'!$R266</f>
        <v>Uber</v>
      </c>
      <c r="E264" s="2"/>
      <c r="F264" s="3" t="str">
        <f>'QBO Transactions'!$X266</f>
        <v>Cost of Goods Sold:COGS- Travel Expenses:Ground Transportation</v>
      </c>
      <c r="G264" s="2"/>
      <c r="H264" s="2"/>
      <c r="I264" s="2"/>
      <c r="J264" s="2"/>
      <c r="K264" s="2"/>
      <c r="L264" s="2"/>
      <c r="M264" s="2"/>
      <c r="N264" s="2" t="str">
        <f>'QBO Transactions'!$Y266</f>
        <v>300- ServiceNow:320- Engineering</v>
      </c>
      <c r="O264" s="2"/>
      <c r="P264" s="2"/>
      <c r="Q264" s="2" t="str">
        <f>'QBO Transactions'!$T266</f>
        <v>UBER   *TRIP MASTERCARD-XXXXXXLT5509-Talon Walz</v>
      </c>
      <c r="R264" s="2"/>
      <c r="S264" s="2"/>
      <c r="T264" s="2"/>
      <c r="U264" s="2"/>
      <c r="V264" s="2"/>
      <c r="W264" s="2"/>
      <c r="X264" s="2" t="str">
        <f t="shared" si="4"/>
        <v>UBER   *TRIP MASTERCARD-XXXXXXLT5509-Talon Walz</v>
      </c>
      <c r="Y264" s="4">
        <f>'QBO Transactions'!$Q266</f>
        <v>46231</v>
      </c>
      <c r="Z264" s="2"/>
      <c r="AA264" s="2"/>
      <c r="AB264" s="2"/>
      <c r="AC264" s="2"/>
      <c r="AD264" s="2"/>
      <c r="AE264" s="2"/>
    </row>
    <row r="265" spans="1:31" ht="12.75" customHeight="1" x14ac:dyDescent="0.25">
      <c r="A265" s="2"/>
      <c r="B265" s="2" t="str">
        <f>'QBO Transactions'!$U267</f>
        <v>Brex Credit Card</v>
      </c>
      <c r="C265" s="3">
        <f>'QBO Transactions'!$S267</f>
        <v>8</v>
      </c>
      <c r="D265" s="2" t="str">
        <f>'QBO Transactions'!$R267</f>
        <v>Food Vendor</v>
      </c>
      <c r="E265" s="2"/>
      <c r="F265" s="3" t="str">
        <f>'QBO Transactions'!$X267</f>
        <v>Cost of Goods Sold:COGS- Travel Expenses:Meals &amp; Entertainment</v>
      </c>
      <c r="G265" s="2"/>
      <c r="H265" s="2"/>
      <c r="I265" s="2"/>
      <c r="J265" s="2"/>
      <c r="K265" s="2"/>
      <c r="L265" s="2"/>
      <c r="M265" s="2"/>
      <c r="N265" s="2" t="str">
        <f>'QBO Transactions'!$Y267</f>
        <v>300- ServiceNow:320- Engineering</v>
      </c>
      <c r="O265" s="2"/>
      <c r="P265" s="2"/>
      <c r="Q265" s="2" t="str">
        <f>'QBO Transactions'!$T267</f>
        <v>SPO*FINAGLEABAGEL MASTERCARD-XXXXXXV0MQPY-Jonathan Stricklin</v>
      </c>
      <c r="R265" s="2"/>
      <c r="S265" s="2"/>
      <c r="T265" s="2"/>
      <c r="U265" s="2"/>
      <c r="V265" s="2"/>
      <c r="W265" s="2"/>
      <c r="X265" s="2" t="str">
        <f t="shared" si="4"/>
        <v>SPO*FINAGLEABAGEL MASTERCARD-XXXXXXV0MQPY-Jonathan Stricklin</v>
      </c>
      <c r="Y265" s="4">
        <f>'QBO Transactions'!$Q267</f>
        <v>46231</v>
      </c>
      <c r="Z265" s="2"/>
      <c r="AA265" s="2"/>
      <c r="AB265" s="2"/>
      <c r="AC265" s="2"/>
      <c r="AD265" s="2"/>
      <c r="AE265" s="2"/>
    </row>
    <row r="266" spans="1:31" ht="12.75" customHeight="1" x14ac:dyDescent="0.25">
      <c r="A266" s="2"/>
      <c r="B266" s="2" t="str">
        <f>'QBO Transactions'!$U268</f>
        <v>Brex Credit Card</v>
      </c>
      <c r="C266" s="3">
        <f>'QBO Transactions'!$S268</f>
        <v>49.27</v>
      </c>
      <c r="D266" s="2" t="str">
        <f>'QBO Transactions'!$R268</f>
        <v>Uber</v>
      </c>
      <c r="E266" s="2"/>
      <c r="F266" s="3" t="str">
        <f>'QBO Transactions'!$X268</f>
        <v>Cost of Goods Sold:COGS- Travel Expenses:Ground Transportation</v>
      </c>
      <c r="G266" s="2"/>
      <c r="H266" s="2"/>
      <c r="I266" s="2"/>
      <c r="J266" s="2"/>
      <c r="K266" s="2"/>
      <c r="L266" s="2"/>
      <c r="M266" s="2"/>
      <c r="N266" s="2" t="str">
        <f>'QBO Transactions'!$Y268</f>
        <v>300- ServiceNow:320- Engineering</v>
      </c>
      <c r="O266" s="2"/>
      <c r="P266" s="2"/>
      <c r="Q266" s="2" t="str">
        <f>'QBO Transactions'!$T268</f>
        <v>UBER   *TRIP MASTERCARD-XXXXXXWDEDM4-Israel Baral</v>
      </c>
      <c r="R266" s="2"/>
      <c r="S266" s="2"/>
      <c r="T266" s="2"/>
      <c r="U266" s="2"/>
      <c r="V266" s="2"/>
      <c r="W266" s="2"/>
      <c r="X266" s="2" t="str">
        <f t="shared" si="4"/>
        <v>UBER   *TRIP MASTERCARD-XXXXXXWDEDM4-Israel Baral</v>
      </c>
      <c r="Y266" s="4">
        <f>'QBO Transactions'!$Q268</f>
        <v>46231</v>
      </c>
      <c r="Z266" s="2"/>
      <c r="AA266" s="2"/>
      <c r="AB266" s="2"/>
      <c r="AC266" s="2"/>
      <c r="AD266" s="2"/>
      <c r="AE266" s="2"/>
    </row>
    <row r="267" spans="1:31" ht="12.75" customHeight="1" x14ac:dyDescent="0.25">
      <c r="A267" s="2"/>
      <c r="B267" s="2" t="str">
        <f>'QBO Transactions'!$U269</f>
        <v>Brex Credit Card</v>
      </c>
      <c r="C267" s="3">
        <f>'QBO Transactions'!$S269</f>
        <v>5.29</v>
      </c>
      <c r="D267" s="2" t="str">
        <f>'QBO Transactions'!$R269</f>
        <v>Office Vendor</v>
      </c>
      <c r="E267" s="2"/>
      <c r="F267" s="3" t="str">
        <f>'QBO Transactions'!$X269</f>
        <v>General &amp; Administrative:Office Expenses:Dues &amp; Subscriptions</v>
      </c>
      <c r="G267" s="2"/>
      <c r="H267" s="2"/>
      <c r="I267" s="2"/>
      <c r="J267" s="2"/>
      <c r="K267" s="2"/>
      <c r="L267" s="2"/>
      <c r="M267" s="2"/>
      <c r="N267" s="2" t="str">
        <f>'QBO Transactions'!$Y269</f>
        <v>300- ServiceNow:320- Engineering</v>
      </c>
      <c r="O267" s="2"/>
      <c r="P267" s="2"/>
      <c r="Q267" s="2" t="str">
        <f>'QBO Transactions'!$T269</f>
        <v>STLR BA/RJ SURF ST2895 MASTERCARD-XXXXXXIRLM5N-Cody Sandford</v>
      </c>
      <c r="R267" s="2"/>
      <c r="S267" s="2"/>
      <c r="T267" s="2"/>
      <c r="U267" s="2"/>
      <c r="V267" s="2"/>
      <c r="W267" s="2"/>
      <c r="X267" s="2" t="str">
        <f t="shared" si="4"/>
        <v>STLR BA/RJ SURF ST2895 MASTERCARD-XXXXXXIRLM5N-Cody Sandford</v>
      </c>
      <c r="Y267" s="4">
        <f>'QBO Transactions'!$Q269</f>
        <v>46231</v>
      </c>
      <c r="Z267" s="2"/>
      <c r="AA267" s="2"/>
      <c r="AB267" s="2"/>
      <c r="AC267" s="2"/>
      <c r="AD267" s="2"/>
      <c r="AE267" s="2"/>
    </row>
    <row r="268" spans="1:31" ht="12.75" customHeight="1" x14ac:dyDescent="0.25">
      <c r="A268" s="2"/>
      <c r="B268" s="2" t="str">
        <f>'QBO Transactions'!$U270</f>
        <v>Brex Credit Card</v>
      </c>
      <c r="C268" s="3">
        <f>'QBO Transactions'!$S270</f>
        <v>14.48</v>
      </c>
      <c r="D268" s="2" t="str">
        <f>'QBO Transactions'!$R270</f>
        <v>Chick-Fil-A</v>
      </c>
      <c r="E268" s="2"/>
      <c r="F268" s="3" t="str">
        <f>'QBO Transactions'!$X270</f>
        <v>Cost of Goods Sold:COGS- Travel Expenses:Meals &amp; Entertainment</v>
      </c>
      <c r="G268" s="2"/>
      <c r="H268" s="2"/>
      <c r="I268" s="2"/>
      <c r="J268" s="2"/>
      <c r="K268" s="2"/>
      <c r="L268" s="2"/>
      <c r="M268" s="2"/>
      <c r="N268" s="2" t="str">
        <f>'QBO Transactions'!$Y270</f>
        <v>300- ServiceNow:320- Engineering</v>
      </c>
      <c r="O268" s="2"/>
      <c r="P268" s="2"/>
      <c r="Q268" s="2" t="str">
        <f>'QBO Transactions'!$T270</f>
        <v>TPA_6126_Chick-fil-A MASTERCARD-XXXXXXF1T4IK-Cody Sandford</v>
      </c>
      <c r="R268" s="2"/>
      <c r="S268" s="2"/>
      <c r="T268" s="2"/>
      <c r="U268" s="2"/>
      <c r="V268" s="2"/>
      <c r="W268" s="2"/>
      <c r="X268" s="2" t="str">
        <f t="shared" si="4"/>
        <v>TPA_6126_Chick-fil-A MASTERCARD-XXXXXXF1T4IK-Cody Sandford</v>
      </c>
      <c r="Y268" s="4">
        <f>'QBO Transactions'!$Q270</f>
        <v>46230</v>
      </c>
      <c r="Z268" s="2"/>
      <c r="AA268" s="2"/>
      <c r="AB268" s="2"/>
      <c r="AC268" s="2"/>
      <c r="AD268" s="2"/>
      <c r="AE268" s="2"/>
    </row>
    <row r="269" spans="1:31" ht="12.75" customHeight="1" x14ac:dyDescent="0.25">
      <c r="A269" s="2"/>
      <c r="B269" s="2" t="str">
        <f>'QBO Transactions'!$U271</f>
        <v>Brex Credit Card</v>
      </c>
      <c r="C269" s="3">
        <f>'QBO Transactions'!$S271</f>
        <v>23.49</v>
      </c>
      <c r="D269" s="2" t="str">
        <f>'QBO Transactions'!$R271</f>
        <v>Food Vendor</v>
      </c>
      <c r="E269" s="2"/>
      <c r="F269" s="3" t="str">
        <f>'QBO Transactions'!$X271</f>
        <v>Cost of Goods Sold:COGS- Travel Expenses:Meals &amp; Entertainment</v>
      </c>
      <c r="G269" s="2"/>
      <c r="H269" s="2"/>
      <c r="I269" s="2"/>
      <c r="J269" s="2"/>
      <c r="K269" s="2"/>
      <c r="L269" s="2"/>
      <c r="M269" s="2"/>
      <c r="N269" s="2" t="str">
        <f>'QBO Transactions'!$Y271</f>
        <v>300- ServiceNow:320- Engineering</v>
      </c>
      <c r="O269" s="2"/>
      <c r="P269" s="2"/>
      <c r="Q269" s="2" t="str">
        <f>'QBO Transactions'!$T271</f>
        <v>BREWDOG MASTERCARD-XXXXXX1NHL0V-Ben Savage</v>
      </c>
      <c r="R269" s="2"/>
      <c r="S269" s="2"/>
      <c r="T269" s="2"/>
      <c r="U269" s="2"/>
      <c r="V269" s="2"/>
      <c r="W269" s="2"/>
      <c r="X269" s="2" t="str">
        <f t="shared" si="4"/>
        <v>BREWDOG MASTERCARD-XXXXXX1NHL0V-Ben Savage</v>
      </c>
      <c r="Y269" s="4">
        <f>'QBO Transactions'!$Q271</f>
        <v>46231</v>
      </c>
      <c r="Z269" s="2"/>
      <c r="AA269" s="2"/>
      <c r="AB269" s="2"/>
      <c r="AC269" s="2"/>
      <c r="AD269" s="2"/>
      <c r="AE269" s="2"/>
    </row>
    <row r="270" spans="1:31" ht="12.75" customHeight="1" x14ac:dyDescent="0.25">
      <c r="A270" s="2"/>
      <c r="B270" s="2" t="str">
        <f>'QBO Transactions'!$U272</f>
        <v>Brex Credit Card</v>
      </c>
      <c r="C270" s="3">
        <f>'QBO Transactions'!$S272</f>
        <v>49.28</v>
      </c>
      <c r="D270" s="2" t="str">
        <f>'QBO Transactions'!$R272</f>
        <v>Uber</v>
      </c>
      <c r="E270" s="2"/>
      <c r="F270" s="3" t="str">
        <f>'QBO Transactions'!$X272</f>
        <v>Cost of Goods Sold:COGS- Travel Expenses:Ground Transportation</v>
      </c>
      <c r="G270" s="2"/>
      <c r="H270" s="2"/>
      <c r="I270" s="2"/>
      <c r="J270" s="2"/>
      <c r="K270" s="2"/>
      <c r="L270" s="2"/>
      <c r="M270" s="2"/>
      <c r="N270" s="2" t="str">
        <f>'QBO Transactions'!$Y272</f>
        <v>300- ServiceNow:320- Engineering</v>
      </c>
      <c r="O270" s="2"/>
      <c r="P270" s="2"/>
      <c r="Q270" s="2" t="str">
        <f>'QBO Transactions'!$T272</f>
        <v>UBER   *TRIP MASTERCARD-XXXXXXTGF9PQ-Kevin Montes de Oca</v>
      </c>
      <c r="R270" s="2"/>
      <c r="S270" s="2"/>
      <c r="T270" s="2"/>
      <c r="U270" s="2"/>
      <c r="V270" s="2"/>
      <c r="W270" s="2"/>
      <c r="X270" s="2" t="str">
        <f t="shared" si="4"/>
        <v>UBER   *TRIP MASTERCARD-XXXXXXTGF9PQ-Kevin Montes de Oca</v>
      </c>
      <c r="Y270" s="4">
        <f>'QBO Transactions'!$Q272</f>
        <v>46231</v>
      </c>
      <c r="Z270" s="2"/>
      <c r="AA270" s="2"/>
      <c r="AB270" s="2"/>
      <c r="AC270" s="2"/>
      <c r="AD270" s="2"/>
      <c r="AE270" s="2"/>
    </row>
    <row r="271" spans="1:31" ht="12.75" customHeight="1" x14ac:dyDescent="0.25">
      <c r="A271" s="2"/>
      <c r="B271" s="2" t="str">
        <f>'QBO Transactions'!$U273</f>
        <v>Brex Credit Card</v>
      </c>
      <c r="C271" s="3">
        <f>'QBO Transactions'!$S273</f>
        <v>21.54</v>
      </c>
      <c r="D271" s="2" t="str">
        <f>'QBO Transactions'!$R273</f>
        <v>WHSmith</v>
      </c>
      <c r="E271" s="2"/>
      <c r="F271" s="3" t="str">
        <f>'QBO Transactions'!$X273</f>
        <v>Cost of Goods Sold:COGS- Travel Expenses:Meals &amp; Entertainment</v>
      </c>
      <c r="G271" s="2"/>
      <c r="H271" s="2"/>
      <c r="I271" s="2"/>
      <c r="J271" s="2"/>
      <c r="K271" s="2"/>
      <c r="L271" s="2"/>
      <c r="M271" s="2"/>
      <c r="N271" s="2" t="str">
        <f>'QBO Transactions'!$Y273</f>
        <v>300- ServiceNow:320- Engineering</v>
      </c>
      <c r="O271" s="2"/>
      <c r="P271" s="2"/>
      <c r="Q271" s="2" t="str">
        <f>'QBO Transactions'!$T273</f>
        <v>WH Smith Edinburgh Air MASTERCARD-XXXXXXNV1021-Ben Savage</v>
      </c>
      <c r="R271" s="2"/>
      <c r="S271" s="2"/>
      <c r="T271" s="2"/>
      <c r="U271" s="2"/>
      <c r="V271" s="2"/>
      <c r="W271" s="2"/>
      <c r="X271" s="2" t="str">
        <f t="shared" si="4"/>
        <v>WH Smith Edinburgh Air MASTERCARD-XXXXXXNV1021-Ben Savage</v>
      </c>
      <c r="Y271" s="4">
        <f>'QBO Transactions'!$Q273</f>
        <v>46231</v>
      </c>
      <c r="Z271" s="2"/>
      <c r="AA271" s="2"/>
      <c r="AB271" s="2"/>
      <c r="AC271" s="2"/>
      <c r="AD271" s="2"/>
      <c r="AE271" s="2"/>
    </row>
    <row r="272" spans="1:31" ht="12.75" customHeight="1" x14ac:dyDescent="0.25">
      <c r="A272" s="2"/>
      <c r="B272" s="2" t="str">
        <f>'QBO Transactions'!$U274</f>
        <v>Brex Credit Card</v>
      </c>
      <c r="C272" s="3">
        <f>'QBO Transactions'!$S274</f>
        <v>3.03</v>
      </c>
      <c r="D272" s="2" t="str">
        <f>'QBO Transactions'!$R274</f>
        <v>Pret a Manger</v>
      </c>
      <c r="E272" s="2"/>
      <c r="F272" s="3" t="str">
        <f>'QBO Transactions'!$X274</f>
        <v>Sales &amp; Marketing:Sales &amp; Marketing- Travel Expenses:Meals &amp; Entertainment</v>
      </c>
      <c r="G272" s="2"/>
      <c r="H272" s="2"/>
      <c r="I272" s="2"/>
      <c r="J272" s="2"/>
      <c r="K272" s="2"/>
      <c r="L272" s="2"/>
      <c r="M272" s="2"/>
      <c r="N272" s="2" t="str">
        <f>'QBO Transactions'!$Y274</f>
        <v>200- Datadog:230- Sales</v>
      </c>
      <c r="O272" s="2"/>
      <c r="P272" s="2"/>
      <c r="Q272" s="2" t="str">
        <f>'QBO Transactions'!$T274</f>
        <v>PRET A MANGER MASTERCARD-XXXXXX6D84FQ-Dean DeMonte</v>
      </c>
      <c r="R272" s="2"/>
      <c r="S272" s="2"/>
      <c r="T272" s="2"/>
      <c r="U272" s="2"/>
      <c r="V272" s="2"/>
      <c r="W272" s="2"/>
      <c r="X272" s="2" t="str">
        <f t="shared" si="4"/>
        <v>PRET A MANGER MASTERCARD-XXXXXX6D84FQ-Dean DeMonte</v>
      </c>
      <c r="Y272" s="4">
        <f>'QBO Transactions'!$Q274</f>
        <v>46231</v>
      </c>
      <c r="Z272" s="2"/>
      <c r="AA272" s="2"/>
      <c r="AB272" s="2"/>
      <c r="AC272" s="2"/>
      <c r="AD272" s="2"/>
      <c r="AE272" s="2"/>
    </row>
    <row r="273" spans="1:31" ht="12.75" customHeight="1" x14ac:dyDescent="0.25">
      <c r="A273" s="2"/>
      <c r="B273" s="2" t="str">
        <f>'QBO Transactions'!$U275</f>
        <v>Brex Credit Card</v>
      </c>
      <c r="C273" s="3">
        <f>'QBO Transactions'!$S275</f>
        <v>65.97</v>
      </c>
      <c r="D273" s="2" t="str">
        <f>'QBO Transactions'!$R275</f>
        <v>Uber</v>
      </c>
      <c r="E273" s="2"/>
      <c r="F273" s="3" t="str">
        <f>'QBO Transactions'!$X275</f>
        <v>Cost of Goods Sold:COGS- Travel Expenses:Ground Transportation</v>
      </c>
      <c r="G273" s="2"/>
      <c r="H273" s="2"/>
      <c r="I273" s="2"/>
      <c r="J273" s="2"/>
      <c r="K273" s="2"/>
      <c r="L273" s="2"/>
      <c r="M273" s="2"/>
      <c r="N273" s="2" t="str">
        <f>'QBO Transactions'!$Y275</f>
        <v>300- ServiceNow:320- Engineering</v>
      </c>
      <c r="O273" s="2"/>
      <c r="P273" s="2"/>
      <c r="Q273" s="2" t="str">
        <f>'QBO Transactions'!$T275</f>
        <v>UBER   *TRIP MASTERCARD-XXXXXXU8ZSWF-Ben Savage</v>
      </c>
      <c r="R273" s="2"/>
      <c r="S273" s="2"/>
      <c r="T273" s="2"/>
      <c r="U273" s="2"/>
      <c r="V273" s="2"/>
      <c r="W273" s="2"/>
      <c r="X273" s="2" t="str">
        <f t="shared" si="4"/>
        <v>UBER   *TRIP MASTERCARD-XXXXXXU8ZSWF-Ben Savage</v>
      </c>
      <c r="Y273" s="4">
        <f>'QBO Transactions'!$Q275</f>
        <v>46231</v>
      </c>
      <c r="Z273" s="2"/>
      <c r="AA273" s="2"/>
      <c r="AB273" s="2"/>
      <c r="AC273" s="2"/>
      <c r="AD273" s="2"/>
      <c r="AE273" s="2"/>
    </row>
    <row r="274" spans="1:31" ht="12.75" customHeight="1" x14ac:dyDescent="0.25">
      <c r="A274" s="2"/>
      <c r="B274" s="2" t="str">
        <f>'QBO Transactions'!$U276</f>
        <v>Brex Credit Card</v>
      </c>
      <c r="C274" s="3">
        <f>'QBO Transactions'!$S276</f>
        <v>92.14</v>
      </c>
      <c r="D274" s="2" t="str">
        <f>'QBO Transactions'!$R276</f>
        <v>Zettle</v>
      </c>
      <c r="E274" s="2"/>
      <c r="F274" s="3" t="str">
        <f>'QBO Transactions'!$X276</f>
        <v>Sales &amp; Marketing:Sales &amp; Marketing- Travel Expenses:Meals &amp; Entertainment</v>
      </c>
      <c r="G274" s="2"/>
      <c r="H274" s="2"/>
      <c r="I274" s="2"/>
      <c r="J274" s="2"/>
      <c r="K274" s="2"/>
      <c r="L274" s="2"/>
      <c r="M274" s="2"/>
      <c r="N274" s="2" t="str">
        <f>'QBO Transactions'!$Y276</f>
        <v>200- Datadog:230- Sales</v>
      </c>
      <c r="O274" s="2"/>
      <c r="P274" s="2"/>
      <c r="Q274" s="2" t="str">
        <f>'QBO Transactions'!$T276</f>
        <v>Zettle_*wellington car MASTERCARD-XXXXXX03LHA5-Dean DeMonte</v>
      </c>
      <c r="R274" s="2"/>
      <c r="S274" s="2"/>
      <c r="T274" s="2"/>
      <c r="U274" s="2"/>
      <c r="V274" s="2"/>
      <c r="W274" s="2"/>
      <c r="X274" s="2" t="str">
        <f t="shared" si="4"/>
        <v>Zettle_*wellington car MASTERCARD-XXXXXX03LHA5-Dean DeMonte</v>
      </c>
      <c r="Y274" s="4">
        <f>'QBO Transactions'!$Q276</f>
        <v>46231</v>
      </c>
      <c r="Z274" s="2"/>
      <c r="AA274" s="2"/>
      <c r="AB274" s="2"/>
      <c r="AC274" s="2"/>
      <c r="AD274" s="2"/>
      <c r="AE274" s="2"/>
    </row>
    <row r="275" spans="1:31" ht="12.75" customHeight="1" x14ac:dyDescent="0.25">
      <c r="A275" s="2"/>
      <c r="B275" s="2" t="str">
        <f>'QBO Transactions'!$U277</f>
        <v>Brex Credit Card</v>
      </c>
      <c r="C275" s="3">
        <f>'QBO Transactions'!$S277</f>
        <v>32.869999999999997</v>
      </c>
      <c r="D275" s="2" t="str">
        <f>'QBO Transactions'!$R277</f>
        <v>Uber</v>
      </c>
      <c r="E275" s="2"/>
      <c r="F275" s="3" t="str">
        <f>'QBO Transactions'!$X277</f>
        <v>Cost of Goods Sold:COGS- Travel Expenses:Ground Transportation</v>
      </c>
      <c r="G275" s="2"/>
      <c r="H275" s="2"/>
      <c r="I275" s="2"/>
      <c r="J275" s="2"/>
      <c r="K275" s="2"/>
      <c r="L275" s="2"/>
      <c r="M275" s="2"/>
      <c r="N275" s="2" t="str">
        <f>'QBO Transactions'!$Y277</f>
        <v>300- ServiceNow:320- Engineering</v>
      </c>
      <c r="O275" s="2"/>
      <c r="P275" s="2"/>
      <c r="Q275" s="2" t="str">
        <f>'QBO Transactions'!$T277</f>
        <v>UBER   *TRIP MASTERCARD-XXXXXXUN09FU-Jon Giara</v>
      </c>
      <c r="R275" s="2"/>
      <c r="S275" s="2"/>
      <c r="T275" s="2"/>
      <c r="U275" s="2"/>
      <c r="V275" s="2"/>
      <c r="W275" s="2"/>
      <c r="X275" s="2" t="str">
        <f t="shared" si="4"/>
        <v>UBER   *TRIP MASTERCARD-XXXXXXUN09FU-Jon Giara</v>
      </c>
      <c r="Y275" s="4">
        <f>'QBO Transactions'!$Q277</f>
        <v>46230</v>
      </c>
      <c r="Z275" s="2"/>
      <c r="AA275" s="2"/>
      <c r="AB275" s="2"/>
      <c r="AC275" s="2"/>
      <c r="AD275" s="2"/>
      <c r="AE275" s="2"/>
    </row>
    <row r="276" spans="1:31" ht="12.75" customHeight="1" x14ac:dyDescent="0.25">
      <c r="A276" s="2"/>
      <c r="B276" s="2" t="str">
        <f>'QBO Transactions'!$U278</f>
        <v>Brex Credit Card</v>
      </c>
      <c r="C276" s="3">
        <f>'QBO Transactions'!$S278</f>
        <v>13.77</v>
      </c>
      <c r="D276" s="2" t="str">
        <f>'QBO Transactions'!$R278</f>
        <v>Travel Vendor</v>
      </c>
      <c r="E276" s="2"/>
      <c r="F276" s="3" t="str">
        <f>'QBO Transactions'!$X278</f>
        <v>Cost of Goods Sold:COGS- Travel Expenses:Other Travel Expenses</v>
      </c>
      <c r="G276" s="2"/>
      <c r="H276" s="2"/>
      <c r="I276" s="2"/>
      <c r="J276" s="2"/>
      <c r="K276" s="2"/>
      <c r="L276" s="2"/>
      <c r="M276" s="2"/>
      <c r="N276" s="2" t="str">
        <f>'QBO Transactions'!$Y278</f>
        <v>300- ServiceNow:320- Engineering</v>
      </c>
      <c r="O276" s="2"/>
      <c r="P276" s="2"/>
      <c r="Q276" s="2" t="str">
        <f>'QBO Transactions'!$T278</f>
        <v>TRAVEL RIGHT @SLC 519 MASTERCARD-XXXXXXOVHQ92-Talon Walz</v>
      </c>
      <c r="R276" s="2"/>
      <c r="S276" s="2"/>
      <c r="T276" s="2"/>
      <c r="U276" s="2"/>
      <c r="V276" s="2"/>
      <c r="W276" s="2"/>
      <c r="X276" s="2" t="str">
        <f t="shared" si="4"/>
        <v>TRAVEL RIGHT @SLC 519 MASTERCARD-XXXXXXOVHQ92-Talon Walz</v>
      </c>
      <c r="Y276" s="4">
        <f>'QBO Transactions'!$Q278</f>
        <v>46230</v>
      </c>
      <c r="Z276" s="2"/>
      <c r="AA276" s="2"/>
      <c r="AB276" s="2"/>
      <c r="AC276" s="2"/>
      <c r="AD276" s="2"/>
      <c r="AE276" s="2"/>
    </row>
    <row r="277" spans="1:31" ht="12.75" customHeight="1" x14ac:dyDescent="0.25">
      <c r="A277" s="2"/>
      <c r="B277" s="2" t="str">
        <f>'QBO Transactions'!$U279</f>
        <v>Brex Credit Card</v>
      </c>
      <c r="C277" s="3">
        <f>'QBO Transactions'!$S279</f>
        <v>37.72</v>
      </c>
      <c r="D277" s="2" t="str">
        <f>'QBO Transactions'!$R279</f>
        <v>Lyft</v>
      </c>
      <c r="E277" s="2"/>
      <c r="F277" s="3" t="str">
        <f>'QBO Transactions'!$X279</f>
        <v>Cost of Goods Sold:COGS- Travel Expenses:Ground Transportation</v>
      </c>
      <c r="G277" s="2"/>
      <c r="H277" s="2"/>
      <c r="I277" s="2"/>
      <c r="J277" s="2"/>
      <c r="K277" s="2"/>
      <c r="L277" s="2"/>
      <c r="M277" s="2"/>
      <c r="N277" s="2" t="str">
        <f>'QBO Transactions'!$Y279</f>
        <v>300- ServiceNow:320- Engineering</v>
      </c>
      <c r="O277" s="2"/>
      <c r="P277" s="2"/>
      <c r="Q277" s="2" t="str">
        <f>'QBO Transactions'!$T279</f>
        <v>LYFT   *1 RIDE 07-27 MASTERCARD-XXXXXXG8XGY4-Kyle Bense</v>
      </c>
      <c r="R277" s="2"/>
      <c r="S277" s="2"/>
      <c r="T277" s="2"/>
      <c r="U277" s="2"/>
      <c r="V277" s="2"/>
      <c r="W277" s="2"/>
      <c r="X277" s="2" t="str">
        <f t="shared" si="4"/>
        <v>LYFT   *1 RIDE 07-27 MASTERCARD-XXXXXXG8XGY4-Kyle Bense</v>
      </c>
      <c r="Y277" s="4">
        <f>'QBO Transactions'!$Q279</f>
        <v>46231</v>
      </c>
      <c r="Z277" s="2"/>
      <c r="AA277" s="2"/>
      <c r="AB277" s="2"/>
      <c r="AC277" s="2"/>
      <c r="AD277" s="2"/>
      <c r="AE277" s="2"/>
    </row>
    <row r="278" spans="1:31" ht="12.75" customHeight="1" x14ac:dyDescent="0.25">
      <c r="A278" s="2"/>
      <c r="B278" s="2" t="str">
        <f>'QBO Transactions'!$U280</f>
        <v>Brex Credit Card</v>
      </c>
      <c r="C278" s="3">
        <f>'QBO Transactions'!$S280</f>
        <v>45.93</v>
      </c>
      <c r="D278" s="2" t="str">
        <f>'QBO Transactions'!$R280</f>
        <v>Uber</v>
      </c>
      <c r="E278" s="2"/>
      <c r="F278" s="3" t="str">
        <f>'QBO Transactions'!$X280</f>
        <v>Cost of Goods Sold:COGS- Travel Expenses:Ground Transportation</v>
      </c>
      <c r="G278" s="2"/>
      <c r="H278" s="2"/>
      <c r="I278" s="2"/>
      <c r="J278" s="2"/>
      <c r="K278" s="2"/>
      <c r="L278" s="2"/>
      <c r="M278" s="2"/>
      <c r="N278" s="2" t="str">
        <f>'QBO Transactions'!$Y280</f>
        <v>300- ServiceNow:320- Engineering</v>
      </c>
      <c r="O278" s="2"/>
      <c r="P278" s="2"/>
      <c r="Q278" s="2" t="str">
        <f>'QBO Transactions'!$T280</f>
        <v>UBER   *TRIP MASTERCARD-XXXXXX12KILV-Daniel Throckmorton</v>
      </c>
      <c r="R278" s="2"/>
      <c r="S278" s="2"/>
      <c r="T278" s="2"/>
      <c r="U278" s="2"/>
      <c r="V278" s="2"/>
      <c r="W278" s="2"/>
      <c r="X278" s="2" t="str">
        <f t="shared" si="4"/>
        <v>UBER   *TRIP MASTERCARD-XXXXXX12KILV-Daniel Throckmorton</v>
      </c>
      <c r="Y278" s="4">
        <f>'QBO Transactions'!$Q280</f>
        <v>46230</v>
      </c>
      <c r="Z278" s="2"/>
      <c r="AA278" s="2"/>
      <c r="AB278" s="2"/>
      <c r="AC278" s="2"/>
      <c r="AD278" s="2"/>
      <c r="AE278" s="2"/>
    </row>
    <row r="279" spans="1:31" ht="12.75" customHeight="1" x14ac:dyDescent="0.25">
      <c r="A279" s="2"/>
      <c r="B279" s="2" t="str">
        <f>'QBO Transactions'!$U281</f>
        <v>Brex Credit Card</v>
      </c>
      <c r="C279" s="3">
        <f>'QBO Transactions'!$S281</f>
        <v>42.86</v>
      </c>
      <c r="D279" s="2" t="str">
        <f>'QBO Transactions'!$R281</f>
        <v>Uber</v>
      </c>
      <c r="E279" s="2"/>
      <c r="F279" s="3" t="str">
        <f>'QBO Transactions'!$X281</f>
        <v>Sales &amp; Marketing:Sales &amp; Marketing- Travel Expenses:Ground Transportation</v>
      </c>
      <c r="G279" s="2"/>
      <c r="H279" s="2"/>
      <c r="I279" s="2"/>
      <c r="J279" s="2"/>
      <c r="K279" s="2"/>
      <c r="L279" s="2"/>
      <c r="M279" s="2"/>
      <c r="N279" s="2" t="str">
        <f>'QBO Transactions'!$Y281</f>
        <v>200- Datadog:230- Sales</v>
      </c>
      <c r="O279" s="2"/>
      <c r="P279" s="2"/>
      <c r="Q279" s="2" t="str">
        <f>'QBO Transactions'!$T281</f>
        <v>UBER   *EATS MASTERCARD-XXXXXXMUIGCM-Ryan Henrich</v>
      </c>
      <c r="R279" s="2"/>
      <c r="S279" s="2"/>
      <c r="T279" s="2"/>
      <c r="U279" s="2"/>
      <c r="V279" s="2"/>
      <c r="W279" s="2"/>
      <c r="X279" s="2" t="str">
        <f t="shared" si="4"/>
        <v>UBER   *EATS MASTERCARD-XXXXXXMUIGCM-Ryan Henrich</v>
      </c>
      <c r="Y279" s="4">
        <f>'QBO Transactions'!$Q281</f>
        <v>46230</v>
      </c>
      <c r="Z279" s="2"/>
      <c r="AA279" s="2"/>
      <c r="AB279" s="2"/>
      <c r="AC279" s="2"/>
      <c r="AD279" s="2"/>
      <c r="AE279" s="2"/>
    </row>
    <row r="280" spans="1:31" ht="12.75" customHeight="1" x14ac:dyDescent="0.25">
      <c r="A280" s="2"/>
      <c r="B280" s="2" t="str">
        <f>'QBO Transactions'!$U282</f>
        <v>Brex Credit Card</v>
      </c>
      <c r="C280" s="3">
        <f>'QBO Transactions'!$S282</f>
        <v>36.4</v>
      </c>
      <c r="D280" s="2" t="str">
        <f>'QBO Transactions'!$R282</f>
        <v>Taxi Vendor</v>
      </c>
      <c r="E280" s="2"/>
      <c r="F280" s="3" t="str">
        <f>'QBO Transactions'!$X282</f>
        <v>Sales &amp; Marketing:Sales &amp; Marketing- Travel Expenses:Ground Transportation</v>
      </c>
      <c r="G280" s="2"/>
      <c r="H280" s="2"/>
      <c r="I280" s="2"/>
      <c r="J280" s="2"/>
      <c r="K280" s="2"/>
      <c r="L280" s="2"/>
      <c r="M280" s="2"/>
      <c r="N280" s="2" t="str">
        <f>'QBO Transactions'!$Y282</f>
        <v>300- ServiceNow:330- Sales</v>
      </c>
      <c r="O280" s="2"/>
      <c r="P280" s="2"/>
      <c r="Q280" s="2" t="str">
        <f>'QBO Transactions'!$T282</f>
        <v>CMT BOSTON MASTERCARD-XXXXXXGLYANB-Daniel Mooney</v>
      </c>
      <c r="R280" s="2"/>
      <c r="S280" s="2"/>
      <c r="T280" s="2"/>
      <c r="U280" s="2"/>
      <c r="V280" s="2"/>
      <c r="W280" s="2"/>
      <c r="X280" s="2" t="str">
        <f t="shared" si="4"/>
        <v>CMT BOSTON MASTERCARD-XXXXXXGLYANB-Daniel Mooney</v>
      </c>
      <c r="Y280" s="4">
        <f>'QBO Transactions'!$Q282</f>
        <v>46231</v>
      </c>
      <c r="Z280" s="2"/>
      <c r="AA280" s="2"/>
      <c r="AB280" s="2"/>
      <c r="AC280" s="2"/>
      <c r="AD280" s="2"/>
      <c r="AE280" s="2"/>
    </row>
    <row r="281" spans="1:31" ht="12.75" customHeight="1" x14ac:dyDescent="0.25">
      <c r="A281" s="2"/>
      <c r="B281" s="2" t="str">
        <f>'QBO Transactions'!$U283</f>
        <v>Brex Credit Card</v>
      </c>
      <c r="C281" s="3">
        <f>'QBO Transactions'!$S283</f>
        <v>29.38</v>
      </c>
      <c r="D281" s="2" t="str">
        <f>'QBO Transactions'!$R283</f>
        <v>Lyft</v>
      </c>
      <c r="E281" s="2"/>
      <c r="F281" s="3" t="str">
        <f>'QBO Transactions'!$X283</f>
        <v>Cost of Goods Sold:COGS- Travel Expenses:Ground Transportation</v>
      </c>
      <c r="G281" s="2"/>
      <c r="H281" s="2"/>
      <c r="I281" s="2"/>
      <c r="J281" s="2"/>
      <c r="K281" s="2"/>
      <c r="L281" s="2"/>
      <c r="M281" s="2"/>
      <c r="N281" s="2" t="str">
        <f>'QBO Transactions'!$Y283</f>
        <v>300- ServiceNow:320- Engineering</v>
      </c>
      <c r="O281" s="2"/>
      <c r="P281" s="2"/>
      <c r="Q281" s="2" t="str">
        <f>'QBO Transactions'!$T283</f>
        <v>LYFT   *1 RIDE 07-26 MASTERCARD-XXXXXXUQWC4E-Nicholas Stauffer</v>
      </c>
      <c r="R281" s="2"/>
      <c r="S281" s="2"/>
      <c r="T281" s="2"/>
      <c r="U281" s="2"/>
      <c r="V281" s="2"/>
      <c r="W281" s="2"/>
      <c r="X281" s="2" t="str">
        <f t="shared" si="4"/>
        <v>LYFT   *1 RIDE 07-26 MASTERCARD-XXXXXXUQWC4E-Nicholas Stauffer</v>
      </c>
      <c r="Y281" s="4">
        <f>'QBO Transactions'!$Q283</f>
        <v>46231</v>
      </c>
      <c r="Z281" s="2"/>
      <c r="AA281" s="2"/>
      <c r="AB281" s="2"/>
      <c r="AC281" s="2"/>
      <c r="AD281" s="2"/>
      <c r="AE281" s="2"/>
    </row>
    <row r="282" spans="1:31" ht="12.75" customHeight="1" x14ac:dyDescent="0.25">
      <c r="A282" s="2"/>
      <c r="B282" s="2" t="str">
        <f>'QBO Transactions'!$U284</f>
        <v>Brex Credit Card</v>
      </c>
      <c r="C282" s="3">
        <f>'QBO Transactions'!$S284</f>
        <v>40.93</v>
      </c>
      <c r="D282" s="2" t="str">
        <f>'QBO Transactions'!$R284</f>
        <v>Uber</v>
      </c>
      <c r="E282" s="2"/>
      <c r="F282" s="3" t="str">
        <f>'QBO Transactions'!$X284</f>
        <v>Cost of Goods Sold:COGS- Travel Expenses:Ground Transportation</v>
      </c>
      <c r="G282" s="2"/>
      <c r="H282" s="2"/>
      <c r="I282" s="2"/>
      <c r="J282" s="2"/>
      <c r="K282" s="2"/>
      <c r="L282" s="2"/>
      <c r="M282" s="2"/>
      <c r="N282" s="2" t="str">
        <f>'QBO Transactions'!$Y284</f>
        <v>300- ServiceNow:320- Engineering</v>
      </c>
      <c r="O282" s="2"/>
      <c r="P282" s="2"/>
      <c r="Q282" s="2" t="str">
        <f>'QBO Transactions'!$T284</f>
        <v>UBER   *TRIP MASTERCARD-XXXXXX9FQ9TL-Gary Baker</v>
      </c>
      <c r="R282" s="2"/>
      <c r="S282" s="2"/>
      <c r="T282" s="2"/>
      <c r="U282" s="2"/>
      <c r="V282" s="2"/>
      <c r="W282" s="2"/>
      <c r="X282" s="2" t="str">
        <f t="shared" si="4"/>
        <v>UBER   *TRIP MASTERCARD-XXXXXX9FQ9TL-Gary Baker</v>
      </c>
      <c r="Y282" s="4">
        <f>'QBO Transactions'!$Q284</f>
        <v>46231</v>
      </c>
      <c r="Z282" s="2"/>
      <c r="AA282" s="2"/>
      <c r="AB282" s="2"/>
      <c r="AC282" s="2"/>
      <c r="AD282" s="2"/>
      <c r="AE282" s="2"/>
    </row>
    <row r="283" spans="1:31" ht="12.75" customHeight="1" x14ac:dyDescent="0.25">
      <c r="A283" s="2"/>
      <c r="B283" s="2" t="str">
        <f>'QBO Transactions'!$U285</f>
        <v>Brex Credit Card</v>
      </c>
      <c r="C283" s="3">
        <f>'QBO Transactions'!$S285</f>
        <v>14.43</v>
      </c>
      <c r="D283" s="2" t="str">
        <f>'QBO Transactions'!$R285</f>
        <v>Raising Canes</v>
      </c>
      <c r="E283" s="2"/>
      <c r="F283" s="3" t="str">
        <f>'QBO Transactions'!$X285</f>
        <v>Cost of Goods Sold:COGS- Travel Expenses:Meals &amp; Entertainment</v>
      </c>
      <c r="G283" s="2"/>
      <c r="H283" s="2"/>
      <c r="I283" s="2"/>
      <c r="J283" s="2"/>
      <c r="K283" s="2"/>
      <c r="L283" s="2"/>
      <c r="M283" s="2"/>
      <c r="N283" s="2" t="str">
        <f>'QBO Transactions'!$Y285</f>
        <v>300- ServiceNow:320- Engineering</v>
      </c>
      <c r="O283" s="2"/>
      <c r="P283" s="2"/>
      <c r="Q283" s="2" t="str">
        <f>'QBO Transactions'!$T285</f>
        <v>RAISING CANES 0676 MASTERCARD-XXXXXXUE805P-Anthony Tambash</v>
      </c>
      <c r="R283" s="2"/>
      <c r="S283" s="2"/>
      <c r="T283" s="2"/>
      <c r="U283" s="2"/>
      <c r="V283" s="2"/>
      <c r="W283" s="2"/>
      <c r="X283" s="2" t="str">
        <f t="shared" si="4"/>
        <v>RAISING CANES 0676 MASTERCARD-XXXXXXUE805P-Anthony Tambash</v>
      </c>
      <c r="Y283" s="4">
        <f>'QBO Transactions'!$Q285</f>
        <v>46231</v>
      </c>
      <c r="Z283" s="2"/>
      <c r="AA283" s="2"/>
      <c r="AB283" s="2"/>
      <c r="AC283" s="2"/>
      <c r="AD283" s="2"/>
      <c r="AE283" s="2"/>
    </row>
    <row r="284" spans="1:31" ht="12.75" customHeight="1" x14ac:dyDescent="0.25">
      <c r="A284" s="2"/>
      <c r="B284" s="2" t="str">
        <f>'QBO Transactions'!$U286</f>
        <v>Brex Credit Card</v>
      </c>
      <c r="C284" s="3">
        <f>'QBO Transactions'!$S286</f>
        <v>39.299999999999997</v>
      </c>
      <c r="D284" s="2" t="str">
        <f>'QBO Transactions'!$R286</f>
        <v>Curb</v>
      </c>
      <c r="E284" s="2"/>
      <c r="F284" s="3" t="str">
        <f>'QBO Transactions'!$X286</f>
        <v>Cost of Goods Sold:COGS- Travel Expenses:Ground Transportation</v>
      </c>
      <c r="G284" s="2"/>
      <c r="H284" s="2"/>
      <c r="I284" s="2"/>
      <c r="J284" s="2"/>
      <c r="K284" s="2"/>
      <c r="L284" s="2"/>
      <c r="M284" s="2"/>
      <c r="N284" s="2" t="str">
        <f>'QBO Transactions'!$Y286</f>
        <v>300- ServiceNow:320- Engineering</v>
      </c>
      <c r="O284" s="2"/>
      <c r="P284" s="2"/>
      <c r="Q284" s="2" t="str">
        <f>'QBO Transactions'!$T286</f>
        <v>CURB BOS TAXI MASTERCARD-XXXXXXAQSKK5-Kyle Brueckner</v>
      </c>
      <c r="R284" s="2"/>
      <c r="S284" s="2"/>
      <c r="T284" s="2"/>
      <c r="U284" s="2"/>
      <c r="V284" s="2"/>
      <c r="W284" s="2"/>
      <c r="X284" s="2" t="str">
        <f t="shared" si="4"/>
        <v>CURB BOS TAXI MASTERCARD-XXXXXXAQSKK5-Kyle Brueckner</v>
      </c>
      <c r="Y284" s="4">
        <f>'QBO Transactions'!$Q286</f>
        <v>46230</v>
      </c>
      <c r="Z284" s="2"/>
      <c r="AA284" s="2"/>
      <c r="AB284" s="2"/>
      <c r="AC284" s="2"/>
      <c r="AD284" s="2"/>
      <c r="AE284" s="2"/>
    </row>
    <row r="285" spans="1:31" ht="12.75" customHeight="1" x14ac:dyDescent="0.25">
      <c r="A285" s="2"/>
      <c r="B285" s="2" t="str">
        <f>'QBO Transactions'!$U287</f>
        <v>Brex Credit Card</v>
      </c>
      <c r="C285" s="3">
        <f>'QBO Transactions'!$S287</f>
        <v>33.549999999999997</v>
      </c>
      <c r="D285" s="2" t="str">
        <f>'QBO Transactions'!$R287</f>
        <v>Taxi Vendor</v>
      </c>
      <c r="E285" s="2"/>
      <c r="F285" s="3" t="str">
        <f>'QBO Transactions'!$X287</f>
        <v>Cost of Goods Sold:COGS- Travel Expenses:Ground Transportation</v>
      </c>
      <c r="G285" s="2"/>
      <c r="H285" s="2"/>
      <c r="I285" s="2"/>
      <c r="J285" s="2"/>
      <c r="K285" s="2"/>
      <c r="L285" s="2"/>
      <c r="M285" s="2"/>
      <c r="N285" s="2" t="str">
        <f>'QBO Transactions'!$Y287</f>
        <v>300- ServiceNow:320- Engineering</v>
      </c>
      <c r="O285" s="2"/>
      <c r="P285" s="2"/>
      <c r="Q285" s="2" t="str">
        <f>'QBO Transactions'!$T287</f>
        <v>NYC TAXI 1246 12460010 MASTERCARD-XXXXXX5E5ZYF-Jacob McKenna</v>
      </c>
      <c r="R285" s="2"/>
      <c r="S285" s="2"/>
      <c r="T285" s="2"/>
      <c r="U285" s="2"/>
      <c r="V285" s="2"/>
      <c r="W285" s="2"/>
      <c r="X285" s="2" t="str">
        <f t="shared" si="4"/>
        <v>NYC TAXI 1246 12460010 MASTERCARD-XXXXXX5E5ZYF-Jacob McKenna</v>
      </c>
      <c r="Y285" s="4">
        <f>'QBO Transactions'!$Q287</f>
        <v>46231</v>
      </c>
      <c r="Z285" s="2"/>
      <c r="AA285" s="2"/>
      <c r="AB285" s="2"/>
      <c r="AC285" s="2"/>
      <c r="AD285" s="2"/>
      <c r="AE285" s="2"/>
    </row>
    <row r="286" spans="1:31" ht="12.75" customHeight="1" x14ac:dyDescent="0.25">
      <c r="A286" s="2"/>
      <c r="B286" s="2" t="str">
        <f>'QBO Transactions'!$U288</f>
        <v>Brex Credit Card</v>
      </c>
      <c r="C286" s="3">
        <f>'QBO Transactions'!$S288</f>
        <v>16.690000000000001</v>
      </c>
      <c r="D286" s="2" t="str">
        <f>'QBO Transactions'!$R288</f>
        <v>Cava</v>
      </c>
      <c r="E286" s="2"/>
      <c r="F286" s="3" t="str">
        <f>'QBO Transactions'!$X288</f>
        <v>Cost of Goods Sold:COGS- Travel Expenses:Meals &amp; Entertainment</v>
      </c>
      <c r="G286" s="2"/>
      <c r="H286" s="2"/>
      <c r="I286" s="2"/>
      <c r="J286" s="2"/>
      <c r="K286" s="2"/>
      <c r="L286" s="2"/>
      <c r="M286" s="2"/>
      <c r="N286" s="2" t="str">
        <f>'QBO Transactions'!$Y288</f>
        <v>300- ServiceNow:320- Engineering</v>
      </c>
      <c r="O286" s="2"/>
      <c r="P286" s="2"/>
      <c r="Q286" s="2" t="str">
        <f>'QBO Transactions'!$T288</f>
        <v>10061 CAVA BACK BAY MASTERCARD-XXXXXXFSBFXP-Brendan Nolan</v>
      </c>
      <c r="R286" s="2"/>
      <c r="S286" s="2"/>
      <c r="T286" s="2"/>
      <c r="U286" s="2"/>
      <c r="V286" s="2"/>
      <c r="W286" s="2"/>
      <c r="X286" s="2" t="str">
        <f t="shared" si="4"/>
        <v>10061 CAVA BACK BAY MASTERCARD-XXXXXXFSBFXP-Brendan Nolan</v>
      </c>
      <c r="Y286" s="4">
        <f>'QBO Transactions'!$Q288</f>
        <v>46230</v>
      </c>
      <c r="Z286" s="2"/>
      <c r="AA286" s="2"/>
      <c r="AB286" s="2"/>
      <c r="AC286" s="2"/>
      <c r="AD286" s="2"/>
      <c r="AE286" s="2"/>
    </row>
    <row r="287" spans="1:31" ht="12.75" customHeight="1" x14ac:dyDescent="0.25">
      <c r="A287" s="2"/>
      <c r="B287" s="2" t="str">
        <f>'QBO Transactions'!$U289</f>
        <v>Brex Credit Card</v>
      </c>
      <c r="C287" s="3">
        <f>'QBO Transactions'!$S289</f>
        <v>49.59</v>
      </c>
      <c r="D287" s="2" t="str">
        <f>'QBO Transactions'!$R289</f>
        <v>Food Vendor</v>
      </c>
      <c r="E287" s="2"/>
      <c r="F287" s="3" t="str">
        <f>'QBO Transactions'!$X289</f>
        <v>Cost of Goods Sold:COGS- Travel Expenses:Meals &amp; Entertainment</v>
      </c>
      <c r="G287" s="2"/>
      <c r="H287" s="2"/>
      <c r="I287" s="2"/>
      <c r="J287" s="2"/>
      <c r="K287" s="2"/>
      <c r="L287" s="2"/>
      <c r="M287" s="2"/>
      <c r="N287" s="2" t="str">
        <f>'QBO Transactions'!$Y289</f>
        <v>200- Datadog:220- Engineering</v>
      </c>
      <c r="O287" s="2"/>
      <c r="P287" s="2"/>
      <c r="Q287" s="2" t="str">
        <f>'QBO Transactions'!$T289</f>
        <v>SPO*A.T.O'KEEFE'S MASTERCARD-XXXXXXY8M1RL-Luis Gallego Cardona</v>
      </c>
      <c r="R287" s="2"/>
      <c r="S287" s="2"/>
      <c r="T287" s="2"/>
      <c r="U287" s="2"/>
      <c r="V287" s="2"/>
      <c r="W287" s="2"/>
      <c r="X287" s="2" t="str">
        <f t="shared" si="4"/>
        <v>SPO*A.T.O'KEEFE'S MASTERCARD-XXXXXXY8M1RL-Luis Gallego Cardona</v>
      </c>
      <c r="Y287" s="4">
        <f>'QBO Transactions'!$Q289</f>
        <v>46230</v>
      </c>
      <c r="Z287" s="2"/>
      <c r="AA287" s="2"/>
      <c r="AB287" s="2"/>
      <c r="AC287" s="2"/>
      <c r="AD287" s="2"/>
      <c r="AE287" s="2"/>
    </row>
    <row r="288" spans="1:31" ht="12.75" customHeight="1" x14ac:dyDescent="0.25">
      <c r="A288" s="2"/>
      <c r="B288" s="2" t="str">
        <f>'QBO Transactions'!$U290</f>
        <v>Brex Credit Card</v>
      </c>
      <c r="C288" s="3">
        <f>'QBO Transactions'!$S290</f>
        <v>450.68</v>
      </c>
      <c r="D288" s="2" t="str">
        <f>'QBO Transactions'!$R290</f>
        <v>Sweeney's</v>
      </c>
      <c r="E288" s="2"/>
      <c r="F288" s="3" t="str">
        <f>'QBO Transactions'!$X290</f>
        <v>Cost of Goods Sold:COGS- Travel Expenses:Meals &amp; Entertainment</v>
      </c>
      <c r="G288" s="2"/>
      <c r="H288" s="2"/>
      <c r="I288" s="2"/>
      <c r="J288" s="2"/>
      <c r="K288" s="2"/>
      <c r="L288" s="2"/>
      <c r="M288" s="2"/>
      <c r="N288" s="2" t="str">
        <f>'QBO Transactions'!$Y290</f>
        <v>200- Datadog:220- Engineering</v>
      </c>
      <c r="O288" s="2"/>
      <c r="P288" s="2"/>
      <c r="Q288" s="2" t="str">
        <f>'QBO Transactions'!$T290</f>
        <v>TST*SWEENEYS MASTERCARD-XXXXXXPHJNP3-Aaron Rhodes</v>
      </c>
      <c r="R288" s="2"/>
      <c r="S288" s="2"/>
      <c r="T288" s="2"/>
      <c r="U288" s="2"/>
      <c r="V288" s="2"/>
      <c r="W288" s="2"/>
      <c r="X288" s="2" t="str">
        <f t="shared" si="4"/>
        <v>TST*SWEENEYS MASTERCARD-XXXXXXPHJNP3-Aaron Rhodes</v>
      </c>
      <c r="Y288" s="4">
        <f>'QBO Transactions'!$Q290</f>
        <v>46230</v>
      </c>
      <c r="Z288" s="2"/>
      <c r="AA288" s="2"/>
      <c r="AB288" s="2"/>
      <c r="AC288" s="2"/>
      <c r="AD288" s="2"/>
      <c r="AE288" s="2"/>
    </row>
    <row r="289" spans="1:31" ht="12.75" customHeight="1" x14ac:dyDescent="0.25">
      <c r="A289" s="2"/>
      <c r="B289" s="2" t="str">
        <f>'QBO Transactions'!$U291</f>
        <v>Brex Credit Card</v>
      </c>
      <c r="C289" s="3">
        <f>'QBO Transactions'!$S291</f>
        <v>31.03</v>
      </c>
      <c r="D289" s="2" t="str">
        <f>'QBO Transactions'!$R291</f>
        <v>Sweeney's</v>
      </c>
      <c r="E289" s="2"/>
      <c r="F289" s="3" t="str">
        <f>'QBO Transactions'!$X291</f>
        <v>Cost of Goods Sold:COGS- Travel Expenses:Meals &amp; Entertainment</v>
      </c>
      <c r="G289" s="2"/>
      <c r="H289" s="2"/>
      <c r="I289" s="2"/>
      <c r="J289" s="2"/>
      <c r="K289" s="2"/>
      <c r="L289" s="2"/>
      <c r="M289" s="2"/>
      <c r="N289" s="2" t="str">
        <f>'QBO Transactions'!$Y291</f>
        <v>300- ServiceNow:310- Delivery</v>
      </c>
      <c r="O289" s="2"/>
      <c r="P289" s="2"/>
      <c r="Q289" s="2" t="str">
        <f>'QBO Transactions'!$T291</f>
        <v>TST*SWEENEYS MASTERCARD-XXXXXX3GQHNG-Oliver McCaffrey</v>
      </c>
      <c r="R289" s="2"/>
      <c r="S289" s="2"/>
      <c r="T289" s="2"/>
      <c r="U289" s="2"/>
      <c r="V289" s="2"/>
      <c r="W289" s="2"/>
      <c r="X289" s="2" t="str">
        <f t="shared" si="4"/>
        <v>TST*SWEENEYS MASTERCARD-XXXXXX3GQHNG-Oliver McCaffrey</v>
      </c>
      <c r="Y289" s="4">
        <f>'QBO Transactions'!$Q291</f>
        <v>46230</v>
      </c>
      <c r="Z289" s="2"/>
      <c r="AA289" s="2"/>
      <c r="AB289" s="2"/>
      <c r="AC289" s="2"/>
      <c r="AD289" s="2"/>
      <c r="AE289" s="2"/>
    </row>
    <row r="290" spans="1:31" ht="12.75" customHeight="1" x14ac:dyDescent="0.25">
      <c r="A290" s="2"/>
      <c r="B290" s="2" t="str">
        <f>'QBO Transactions'!$U292</f>
        <v>Brex Credit Card</v>
      </c>
      <c r="C290" s="3">
        <f>'QBO Transactions'!$S292</f>
        <v>107.21</v>
      </c>
      <c r="D290" s="2" t="str">
        <f>'QBO Transactions'!$R292</f>
        <v>Sweeney's</v>
      </c>
      <c r="E290" s="2"/>
      <c r="F290" s="3" t="str">
        <f>'QBO Transactions'!$X292</f>
        <v>Cost of Goods Sold:COGS- Travel Expenses:Meals &amp; Entertainment</v>
      </c>
      <c r="G290" s="2"/>
      <c r="H290" s="2"/>
      <c r="I290" s="2"/>
      <c r="J290" s="2"/>
      <c r="K290" s="2"/>
      <c r="L290" s="2"/>
      <c r="M290" s="2"/>
      <c r="N290" s="2" t="str">
        <f>'QBO Transactions'!$Y292</f>
        <v>300- ServiceNow:320- Engineering</v>
      </c>
      <c r="O290" s="2"/>
      <c r="P290" s="2"/>
      <c r="Q290" s="2" t="str">
        <f>'QBO Transactions'!$T292</f>
        <v>TST*SWEENEYS MASTERCARD-XXXXXXKNZPSJ-Robert Kolosky</v>
      </c>
      <c r="R290" s="2"/>
      <c r="S290" s="2"/>
      <c r="T290" s="2"/>
      <c r="U290" s="2"/>
      <c r="V290" s="2"/>
      <c r="W290" s="2"/>
      <c r="X290" s="2" t="str">
        <f t="shared" si="4"/>
        <v>TST*SWEENEYS MASTERCARD-XXXXXXKNZPSJ-Robert Kolosky</v>
      </c>
      <c r="Y290" s="4">
        <f>'QBO Transactions'!$Q292</f>
        <v>46230</v>
      </c>
      <c r="Z290" s="2"/>
      <c r="AA290" s="2"/>
      <c r="AB290" s="2"/>
      <c r="AC290" s="2"/>
      <c r="AD290" s="2"/>
      <c r="AE290" s="2"/>
    </row>
    <row r="291" spans="1:31" ht="12.75" customHeight="1" x14ac:dyDescent="0.25">
      <c r="A291" s="2"/>
      <c r="B291" s="2" t="str">
        <f>'QBO Transactions'!$U293</f>
        <v>Brex Credit Card</v>
      </c>
      <c r="C291" s="3">
        <f>'QBO Transactions'!$S293</f>
        <v>45.91</v>
      </c>
      <c r="D291" s="2" t="str">
        <f>'QBO Transactions'!$R293</f>
        <v>Lyft</v>
      </c>
      <c r="E291" s="2"/>
      <c r="F291" s="3" t="str">
        <f>'QBO Transactions'!$X293</f>
        <v>Cost of Goods Sold:COGS- Travel Expenses:Ground Transportation</v>
      </c>
      <c r="G291" s="2"/>
      <c r="H291" s="2"/>
      <c r="I291" s="2"/>
      <c r="J291" s="2"/>
      <c r="K291" s="2"/>
      <c r="L291" s="2"/>
      <c r="M291" s="2"/>
      <c r="N291" s="2" t="str">
        <f>'QBO Transactions'!$Y293</f>
        <v>300- ServiceNow:320- Engineering</v>
      </c>
      <c r="O291" s="2"/>
      <c r="P291" s="2"/>
      <c r="Q291" s="2" t="str">
        <f>'QBO Transactions'!$T293</f>
        <v>LYFT   *1 RIDE 07-26 MASTERCARD-XXXXXXFXU3PX-Robert Witty</v>
      </c>
      <c r="R291" s="2"/>
      <c r="S291" s="2"/>
      <c r="T291" s="2"/>
      <c r="U291" s="2"/>
      <c r="V291" s="2"/>
      <c r="W291" s="2"/>
      <c r="X291" s="2" t="str">
        <f t="shared" si="4"/>
        <v>LYFT   *1 RIDE 07-26 MASTERCARD-XXXXXXFXU3PX-Robert Witty</v>
      </c>
      <c r="Y291" s="4">
        <f>'QBO Transactions'!$Q293</f>
        <v>46231</v>
      </c>
      <c r="Z291" s="2"/>
      <c r="AA291" s="2"/>
      <c r="AB291" s="2"/>
      <c r="AC291" s="2"/>
      <c r="AD291" s="2"/>
      <c r="AE291" s="2"/>
    </row>
    <row r="292" spans="1:31" ht="12.75" customHeight="1" x14ac:dyDescent="0.25">
      <c r="A292" s="2"/>
      <c r="B292" s="2" t="str">
        <f>'QBO Transactions'!$U294</f>
        <v>Brex Credit Card</v>
      </c>
      <c r="C292" s="3">
        <f>'QBO Transactions'!$S294</f>
        <v>45.48</v>
      </c>
      <c r="D292" s="2" t="str">
        <f>'QBO Transactions'!$R294</f>
        <v>Sweeney's</v>
      </c>
      <c r="E292" s="2"/>
      <c r="F292" s="3" t="str">
        <f>'QBO Transactions'!$X294</f>
        <v>Cost of Goods Sold:COGS- Travel Expenses:Meals &amp; Entertainment</v>
      </c>
      <c r="G292" s="2"/>
      <c r="H292" s="2"/>
      <c r="I292" s="2"/>
      <c r="J292" s="2"/>
      <c r="K292" s="2"/>
      <c r="L292" s="2"/>
      <c r="M292" s="2"/>
      <c r="N292" s="2" t="str">
        <f>'QBO Transactions'!$Y294</f>
        <v>300- ServiceNow:320- Engineering</v>
      </c>
      <c r="O292" s="2"/>
      <c r="P292" s="2"/>
      <c r="Q292" s="2" t="str">
        <f>'QBO Transactions'!$T294</f>
        <v>TST*SWEENEYS MASTERCARD-XXXXXXMHA1RS-Zachary Kenyon</v>
      </c>
      <c r="R292" s="2"/>
      <c r="S292" s="2"/>
      <c r="T292" s="2"/>
      <c r="U292" s="2"/>
      <c r="V292" s="2"/>
      <c r="W292" s="2"/>
      <c r="X292" s="2" t="str">
        <f t="shared" si="4"/>
        <v>TST*SWEENEYS MASTERCARD-XXXXXXMHA1RS-Zachary Kenyon</v>
      </c>
      <c r="Y292" s="4">
        <f>'QBO Transactions'!$Q294</f>
        <v>46230</v>
      </c>
      <c r="Z292" s="2"/>
      <c r="AA292" s="2"/>
      <c r="AB292" s="2"/>
      <c r="AC292" s="2"/>
      <c r="AD292" s="2"/>
      <c r="AE292" s="2"/>
    </row>
    <row r="293" spans="1:31" ht="12.75" customHeight="1" x14ac:dyDescent="0.25">
      <c r="A293" s="2"/>
      <c r="B293" s="2" t="str">
        <f>'QBO Transactions'!$U295</f>
        <v>Brex Credit Card</v>
      </c>
      <c r="C293" s="3">
        <f>'QBO Transactions'!$S295</f>
        <v>47.95</v>
      </c>
      <c r="D293" s="2" t="str">
        <f>'QBO Transactions'!$R295</f>
        <v>Uber</v>
      </c>
      <c r="E293" s="2"/>
      <c r="F293" s="3" t="str">
        <f>'QBO Transactions'!$X295</f>
        <v>Cost of Goods Sold:COGS- Travel Expenses:Ground Transportation</v>
      </c>
      <c r="G293" s="2"/>
      <c r="H293" s="2"/>
      <c r="I293" s="2"/>
      <c r="J293" s="2"/>
      <c r="K293" s="2"/>
      <c r="L293" s="2"/>
      <c r="M293" s="2"/>
      <c r="N293" s="2" t="str">
        <f>'QBO Transactions'!$Y295</f>
        <v>300- ServiceNow:320- Engineering</v>
      </c>
      <c r="O293" s="2"/>
      <c r="P293" s="2"/>
      <c r="Q293" s="2" t="str">
        <f>'QBO Transactions'!$T295</f>
        <v>UBER   *TRIP MASTERCARD-XXXXXXOW91HO-Gary Baker</v>
      </c>
      <c r="R293" s="2"/>
      <c r="S293" s="2"/>
      <c r="T293" s="2"/>
      <c r="U293" s="2"/>
      <c r="V293" s="2"/>
      <c r="W293" s="2"/>
      <c r="X293" s="2" t="str">
        <f t="shared" si="4"/>
        <v>UBER   *TRIP MASTERCARD-XXXXXXOW91HO-Gary Baker</v>
      </c>
      <c r="Y293" s="4">
        <f>'QBO Transactions'!$Q295</f>
        <v>46231</v>
      </c>
      <c r="Z293" s="2"/>
      <c r="AA293" s="2"/>
      <c r="AB293" s="2"/>
      <c r="AC293" s="2"/>
      <c r="AD293" s="2"/>
      <c r="AE293" s="2"/>
    </row>
    <row r="294" spans="1:31" ht="12.75" customHeight="1" x14ac:dyDescent="0.25">
      <c r="A294" s="2"/>
      <c r="B294" s="2" t="str">
        <f>'QBO Transactions'!$U296</f>
        <v>Brex Credit Card</v>
      </c>
      <c r="C294" s="3">
        <f>'QBO Transactions'!$S296</f>
        <v>30.38</v>
      </c>
      <c r="D294" s="2" t="str">
        <f>'QBO Transactions'!$R296</f>
        <v>Uber</v>
      </c>
      <c r="E294" s="2"/>
      <c r="F294" s="3" t="str">
        <f>'QBO Transactions'!$X296</f>
        <v>Cost of Goods Sold:COGS- Travel Expenses:Ground Transportation</v>
      </c>
      <c r="G294" s="2"/>
      <c r="H294" s="2"/>
      <c r="I294" s="2"/>
      <c r="J294" s="2"/>
      <c r="K294" s="2"/>
      <c r="L294" s="2"/>
      <c r="M294" s="2"/>
      <c r="N294" s="2" t="str">
        <f>'QBO Transactions'!$Y296</f>
        <v>300- ServiceNow:310- Delivery</v>
      </c>
      <c r="O294" s="2"/>
      <c r="P294" s="2"/>
      <c r="Q294" s="2" t="str">
        <f>'QBO Transactions'!$T296</f>
        <v>UBER   *TRIP MASTERCARD-XXXXXXVOAD15-Anamaria Gramada</v>
      </c>
      <c r="R294" s="2"/>
      <c r="S294" s="2"/>
      <c r="T294" s="2"/>
      <c r="U294" s="2"/>
      <c r="V294" s="2"/>
      <c r="W294" s="2"/>
      <c r="X294" s="2" t="str">
        <f t="shared" si="4"/>
        <v>UBER   *TRIP MASTERCARD-XXXXXXVOAD15-Anamaria Gramada</v>
      </c>
      <c r="Y294" s="4">
        <f>'QBO Transactions'!$Q296</f>
        <v>46231</v>
      </c>
      <c r="Z294" s="2"/>
      <c r="AA294" s="2"/>
      <c r="AB294" s="2"/>
      <c r="AC294" s="2"/>
      <c r="AD294" s="2"/>
      <c r="AE294" s="2"/>
    </row>
    <row r="295" spans="1:31" ht="12.75" customHeight="1" x14ac:dyDescent="0.25">
      <c r="A295" s="2"/>
      <c r="B295" s="2" t="str">
        <f>'QBO Transactions'!$U297</f>
        <v>Brex Credit Card</v>
      </c>
      <c r="C295" s="3">
        <f>'QBO Transactions'!$S297</f>
        <v>48.15</v>
      </c>
      <c r="D295" s="2" t="str">
        <f>'QBO Transactions'!$R297</f>
        <v>Sweeney's</v>
      </c>
      <c r="E295" s="2"/>
      <c r="F295" s="3" t="str">
        <f>'QBO Transactions'!$X297</f>
        <v>Cost of Goods Sold:COGS- Travel Expenses:Meals &amp; Entertainment</v>
      </c>
      <c r="G295" s="2"/>
      <c r="H295" s="2"/>
      <c r="I295" s="2"/>
      <c r="J295" s="2"/>
      <c r="K295" s="2"/>
      <c r="L295" s="2"/>
      <c r="M295" s="2"/>
      <c r="N295" s="2" t="str">
        <f>'QBO Transactions'!$Y297</f>
        <v>200- Datadog:220- Engineering</v>
      </c>
      <c r="O295" s="2"/>
      <c r="P295" s="2"/>
      <c r="Q295" s="2" t="str">
        <f>'QBO Transactions'!$T297</f>
        <v>TST*SWEENEYS MASTERCARD-XXXXXX859CP1-Michael Christinsen</v>
      </c>
      <c r="R295" s="2"/>
      <c r="S295" s="2"/>
      <c r="T295" s="2"/>
      <c r="U295" s="2"/>
      <c r="V295" s="2"/>
      <c r="W295" s="2"/>
      <c r="X295" s="2" t="str">
        <f t="shared" si="4"/>
        <v>TST*SWEENEYS MASTERCARD-XXXXXX859CP1-Michael Christinsen</v>
      </c>
      <c r="Y295" s="4">
        <f>'QBO Transactions'!$Q297</f>
        <v>46230</v>
      </c>
      <c r="Z295" s="2"/>
      <c r="AA295" s="2"/>
      <c r="AB295" s="2"/>
      <c r="AC295" s="2"/>
      <c r="AD295" s="2"/>
      <c r="AE295" s="2"/>
    </row>
    <row r="296" spans="1:31" ht="12.75" customHeight="1" x14ac:dyDescent="0.25">
      <c r="A296" s="2"/>
      <c r="B296" s="2" t="str">
        <f>'QBO Transactions'!$U298</f>
        <v>Brex Credit Card</v>
      </c>
      <c r="C296" s="3">
        <f>'QBO Transactions'!$S298</f>
        <v>45.45</v>
      </c>
      <c r="D296" s="2" t="str">
        <f>'QBO Transactions'!$R298</f>
        <v>Sweeney's</v>
      </c>
      <c r="E296" s="2"/>
      <c r="F296" s="3" t="str">
        <f>'QBO Transactions'!$X298</f>
        <v>Cost of Goods Sold:COGS- Travel Expenses:Meals &amp; Entertainment</v>
      </c>
      <c r="G296" s="2"/>
      <c r="H296" s="2"/>
      <c r="I296" s="2"/>
      <c r="J296" s="2"/>
      <c r="K296" s="2"/>
      <c r="L296" s="2"/>
      <c r="M296" s="2"/>
      <c r="N296" s="2" t="str">
        <f>'QBO Transactions'!$Y298</f>
        <v>200- Datadog:220- Engineering</v>
      </c>
      <c r="O296" s="2"/>
      <c r="P296" s="2"/>
      <c r="Q296" s="2" t="str">
        <f>'QBO Transactions'!$T298</f>
        <v>TST*SWEENEYS MASTERCARD-XXXXXXGSS4CH-Luis Gallego Cardona</v>
      </c>
      <c r="R296" s="2"/>
      <c r="S296" s="2"/>
      <c r="T296" s="2"/>
      <c r="U296" s="2"/>
      <c r="V296" s="2"/>
      <c r="W296" s="2"/>
      <c r="X296" s="2" t="str">
        <f t="shared" si="4"/>
        <v>TST*SWEENEYS MASTERCARD-XXXXXXGSS4CH-Luis Gallego Cardona</v>
      </c>
      <c r="Y296" s="4">
        <f>'QBO Transactions'!$Q298</f>
        <v>46230</v>
      </c>
      <c r="Z296" s="2"/>
      <c r="AA296" s="2"/>
      <c r="AB296" s="2"/>
      <c r="AC296" s="2"/>
      <c r="AD296" s="2"/>
      <c r="AE296" s="2"/>
    </row>
    <row r="297" spans="1:31" ht="12.75" customHeight="1" x14ac:dyDescent="0.25">
      <c r="A297" s="2"/>
      <c r="B297" s="2" t="str">
        <f>'QBO Transactions'!$U299</f>
        <v>Brex Credit Card</v>
      </c>
      <c r="C297" s="3">
        <f>'QBO Transactions'!$S299</f>
        <v>46.22</v>
      </c>
      <c r="D297" s="2" t="str">
        <f>'QBO Transactions'!$R299</f>
        <v>Sweeney's</v>
      </c>
      <c r="E297" s="2"/>
      <c r="F297" s="3" t="str">
        <f>'QBO Transactions'!$X299</f>
        <v>Cost of Goods Sold:COGS- Travel Expenses:Meals &amp; Entertainment</v>
      </c>
      <c r="G297" s="2"/>
      <c r="H297" s="2"/>
      <c r="I297" s="2"/>
      <c r="J297" s="2"/>
      <c r="K297" s="2"/>
      <c r="L297" s="2"/>
      <c r="M297" s="2"/>
      <c r="N297" s="2" t="str">
        <f>'QBO Transactions'!$Y299</f>
        <v>300- ServiceNow:320- Engineering</v>
      </c>
      <c r="O297" s="2"/>
      <c r="P297" s="2"/>
      <c r="Q297" s="2" t="str">
        <f>'QBO Transactions'!$T299</f>
        <v>TST*SWEENEYS MASTERCARD-XXXXXX4X9H15-Favian Velasco</v>
      </c>
      <c r="R297" s="2"/>
      <c r="S297" s="2"/>
      <c r="T297" s="2"/>
      <c r="U297" s="2"/>
      <c r="V297" s="2"/>
      <c r="W297" s="2"/>
      <c r="X297" s="2" t="str">
        <f t="shared" si="4"/>
        <v>TST*SWEENEYS MASTERCARD-XXXXXX4X9H15-Favian Velasco</v>
      </c>
      <c r="Y297" s="4">
        <f>'QBO Transactions'!$Q299</f>
        <v>46230</v>
      </c>
      <c r="Z297" s="2"/>
      <c r="AA297" s="2"/>
      <c r="AB297" s="2"/>
      <c r="AC297" s="2"/>
      <c r="AD297" s="2"/>
      <c r="AE297" s="2"/>
    </row>
    <row r="298" spans="1:31" ht="12.75" customHeight="1" x14ac:dyDescent="0.25">
      <c r="A298" s="2"/>
      <c r="B298" s="2" t="str">
        <f>'QBO Transactions'!$U300</f>
        <v>Brex Credit Card</v>
      </c>
      <c r="C298" s="3">
        <f>'QBO Transactions'!$S300</f>
        <v>36.950000000000003</v>
      </c>
      <c r="D298" s="2" t="str">
        <f>'QBO Transactions'!$R300</f>
        <v>Uber</v>
      </c>
      <c r="E298" s="2"/>
      <c r="F298" s="3" t="str">
        <f>'QBO Transactions'!$X300</f>
        <v>Cost of Goods Sold:COGS- Travel Expenses:Ground Transportation</v>
      </c>
      <c r="G298" s="2"/>
      <c r="H298" s="2"/>
      <c r="I298" s="2"/>
      <c r="J298" s="2"/>
      <c r="K298" s="2"/>
      <c r="L298" s="2"/>
      <c r="M298" s="2"/>
      <c r="N298" s="2" t="str">
        <f>'QBO Transactions'!$Y300</f>
        <v>200- Datadog:220- Engineering</v>
      </c>
      <c r="O298" s="2"/>
      <c r="P298" s="2"/>
      <c r="Q298" s="2" t="str">
        <f>'QBO Transactions'!$T300</f>
        <v>UBER   *TRIP MASTERCARD-XXXXXXKI49KH-James Whitehead</v>
      </c>
      <c r="R298" s="2"/>
      <c r="S298" s="2"/>
      <c r="T298" s="2"/>
      <c r="U298" s="2"/>
      <c r="V298" s="2"/>
      <c r="W298" s="2"/>
      <c r="X298" s="2" t="str">
        <f t="shared" si="4"/>
        <v>UBER   *TRIP MASTERCARD-XXXXXXKI49KH-James Whitehead</v>
      </c>
      <c r="Y298" s="4">
        <f>'QBO Transactions'!$Q300</f>
        <v>46230</v>
      </c>
      <c r="Z298" s="2"/>
      <c r="AA298" s="2"/>
      <c r="AB298" s="2"/>
      <c r="AC298" s="2"/>
      <c r="AD298" s="2"/>
      <c r="AE298" s="2"/>
    </row>
    <row r="299" spans="1:31" ht="12.75" customHeight="1" x14ac:dyDescent="0.25">
      <c r="A299" s="2"/>
      <c r="B299" s="2" t="str">
        <f>'QBO Transactions'!$U301</f>
        <v>Brex Credit Card</v>
      </c>
      <c r="C299" s="3">
        <f>'QBO Transactions'!$S301</f>
        <v>14.43</v>
      </c>
      <c r="D299" s="2" t="str">
        <f>'QBO Transactions'!$R301</f>
        <v>Raising Canes</v>
      </c>
      <c r="E299" s="2"/>
      <c r="F299" s="3" t="str">
        <f>'QBO Transactions'!$X301</f>
        <v>Cost of Goods Sold:COGS- Travel Expenses:Meals &amp; Entertainment</v>
      </c>
      <c r="G299" s="2"/>
      <c r="H299" s="2"/>
      <c r="I299" s="2"/>
      <c r="J299" s="2"/>
      <c r="K299" s="2"/>
      <c r="L299" s="2"/>
      <c r="M299" s="2"/>
      <c r="N299" s="2" t="str">
        <f>'QBO Transactions'!$Y301</f>
        <v>300- ServiceNow:320- Engineering</v>
      </c>
      <c r="O299" s="2"/>
      <c r="P299" s="2"/>
      <c r="Q299" s="2" t="str">
        <f>'QBO Transactions'!$T301</f>
        <v>RAISING CANES 0676 MASTERCARD-XXXXXXGHGZBY-Tanner Ylvisaker</v>
      </c>
      <c r="R299" s="2"/>
      <c r="S299" s="2"/>
      <c r="T299" s="2"/>
      <c r="U299" s="2"/>
      <c r="V299" s="2"/>
      <c r="W299" s="2"/>
      <c r="X299" s="2" t="str">
        <f t="shared" si="4"/>
        <v>RAISING CANES 0676 MASTERCARD-XXXXXXGHGZBY-Tanner Ylvisaker</v>
      </c>
      <c r="Y299" s="4">
        <f>'QBO Transactions'!$Q301</f>
        <v>46231</v>
      </c>
      <c r="Z299" s="2"/>
      <c r="AA299" s="2"/>
      <c r="AB299" s="2"/>
      <c r="AC299" s="2"/>
      <c r="AD299" s="2"/>
      <c r="AE299" s="2"/>
    </row>
    <row r="300" spans="1:31" ht="12.75" customHeight="1" x14ac:dyDescent="0.25">
      <c r="A300" s="2"/>
      <c r="B300" s="2" t="str">
        <f>'QBO Transactions'!$U302</f>
        <v>Brex Credit Card</v>
      </c>
      <c r="C300" s="3">
        <f>'QBO Transactions'!$S302</f>
        <v>42.94</v>
      </c>
      <c r="D300" s="2" t="str">
        <f>'QBO Transactions'!$R302</f>
        <v>Uber</v>
      </c>
      <c r="E300" s="2"/>
      <c r="F300" s="3" t="str">
        <f>'QBO Transactions'!$X302</f>
        <v>Cost of Goods Sold:COGS- Travel Expenses:Ground Transportation</v>
      </c>
      <c r="G300" s="2"/>
      <c r="H300" s="2"/>
      <c r="I300" s="2"/>
      <c r="J300" s="2"/>
      <c r="K300" s="2"/>
      <c r="L300" s="2"/>
      <c r="M300" s="2"/>
      <c r="N300" s="2" t="str">
        <f>'QBO Transactions'!$Y302</f>
        <v>300- ServiceNow:320- Engineering</v>
      </c>
      <c r="O300" s="2"/>
      <c r="P300" s="2"/>
      <c r="Q300" s="2" t="str">
        <f>'QBO Transactions'!$T302</f>
        <v>UBER   *TRIP MASTERCARD-XXXXXX3G0HE8-Tanner Ylvisaker</v>
      </c>
      <c r="R300" s="2"/>
      <c r="S300" s="2"/>
      <c r="T300" s="2"/>
      <c r="U300" s="2"/>
      <c r="V300" s="2"/>
      <c r="W300" s="2"/>
      <c r="X300" s="2" t="str">
        <f t="shared" si="4"/>
        <v>UBER   *TRIP MASTERCARD-XXXXXX3G0HE8-Tanner Ylvisaker</v>
      </c>
      <c r="Y300" s="4">
        <f>'QBO Transactions'!$Q302</f>
        <v>46230</v>
      </c>
      <c r="Z300" s="2"/>
      <c r="AA300" s="2"/>
      <c r="AB300" s="2"/>
      <c r="AC300" s="2"/>
      <c r="AD300" s="2"/>
      <c r="AE300" s="2"/>
    </row>
    <row r="301" spans="1:31" ht="12.75" customHeight="1" x14ac:dyDescent="0.25">
      <c r="A301" s="2"/>
      <c r="B301" s="2" t="str">
        <f>'QBO Transactions'!$U303</f>
        <v>Brex Credit Card</v>
      </c>
      <c r="C301" s="3">
        <f>'QBO Transactions'!$S303</f>
        <v>18.239999999999998</v>
      </c>
      <c r="D301" s="2" t="str">
        <f>'QBO Transactions'!$R303</f>
        <v>Cava</v>
      </c>
      <c r="E301" s="2"/>
      <c r="F301" s="3" t="str">
        <f>'QBO Transactions'!$X303</f>
        <v>Cost of Goods Sold:COGS- Travel Expenses:Meals &amp; Entertainment</v>
      </c>
      <c r="G301" s="2"/>
      <c r="H301" s="2"/>
      <c r="I301" s="2"/>
      <c r="J301" s="2"/>
      <c r="K301" s="2"/>
      <c r="L301" s="2"/>
      <c r="M301" s="2"/>
      <c r="N301" s="2" t="str">
        <f>'QBO Transactions'!$Y303</f>
        <v>300- ServiceNow:320- Engineering</v>
      </c>
      <c r="O301" s="2"/>
      <c r="P301" s="2"/>
      <c r="Q301" s="2" t="str">
        <f>'QBO Transactions'!$T303</f>
        <v>10061 CAVA BACK BAY MASTERCARD-XXXXXXXP3JVW-Tokuya Takahashi</v>
      </c>
      <c r="R301" s="2"/>
      <c r="S301" s="2"/>
      <c r="T301" s="2"/>
      <c r="U301" s="2"/>
      <c r="V301" s="2"/>
      <c r="W301" s="2"/>
      <c r="X301" s="2" t="str">
        <f t="shared" si="4"/>
        <v>10061 CAVA BACK BAY MASTERCARD-XXXXXXXP3JVW-Tokuya Takahashi</v>
      </c>
      <c r="Y301" s="4">
        <f>'QBO Transactions'!$Q303</f>
        <v>46230</v>
      </c>
      <c r="Z301" s="2"/>
      <c r="AA301" s="2"/>
      <c r="AB301" s="2"/>
      <c r="AC301" s="2"/>
      <c r="AD301" s="2"/>
      <c r="AE301" s="2"/>
    </row>
    <row r="302" spans="1:31" ht="12.75" customHeight="1" x14ac:dyDescent="0.25">
      <c r="A302" s="2"/>
      <c r="B302" s="2" t="str">
        <f>'QBO Transactions'!$U304</f>
        <v>Brex Credit Card</v>
      </c>
      <c r="C302" s="3">
        <f>'QBO Transactions'!$S304</f>
        <v>89.88</v>
      </c>
      <c r="D302" s="2" t="str">
        <f>'QBO Transactions'!$R304</f>
        <v>Capital Burger</v>
      </c>
      <c r="E302" s="2"/>
      <c r="F302" s="3" t="str">
        <f>'QBO Transactions'!$X304</f>
        <v>Sales &amp; Marketing:Sales &amp; Marketing- Travel Expenses:Meals &amp; Entertainment</v>
      </c>
      <c r="G302" s="2"/>
      <c r="H302" s="2"/>
      <c r="I302" s="2"/>
      <c r="J302" s="2"/>
      <c r="K302" s="2"/>
      <c r="L302" s="2"/>
      <c r="M302" s="2"/>
      <c r="N302" s="2" t="str">
        <f>'QBO Transactions'!$Y304</f>
        <v>200- Datadog:230- Sales</v>
      </c>
      <c r="O302" s="2"/>
      <c r="P302" s="2"/>
      <c r="Q302" s="2" t="str">
        <f>'QBO Transactions'!$T304</f>
        <v>CAPITAL BURGER 0213402 MASTERCARD-XXXXXXUELBD7-James Dean</v>
      </c>
      <c r="R302" s="2"/>
      <c r="S302" s="2"/>
      <c r="T302" s="2"/>
      <c r="U302" s="2"/>
      <c r="V302" s="2"/>
      <c r="W302" s="2"/>
      <c r="X302" s="2" t="str">
        <f t="shared" si="4"/>
        <v>CAPITAL BURGER 0213402 MASTERCARD-XXXXXXUELBD7-James Dean</v>
      </c>
      <c r="Y302" s="4">
        <f>'QBO Transactions'!$Q304</f>
        <v>46231</v>
      </c>
      <c r="Z302" s="2"/>
      <c r="AA302" s="2"/>
      <c r="AB302" s="2"/>
      <c r="AC302" s="2"/>
      <c r="AD302" s="2"/>
      <c r="AE302" s="2"/>
    </row>
    <row r="303" spans="1:31" ht="12.75" customHeight="1" x14ac:dyDescent="0.25">
      <c r="A303" s="2"/>
      <c r="B303" s="2" t="str">
        <f>'QBO Transactions'!$U305</f>
        <v>Brex Credit Card</v>
      </c>
      <c r="C303" s="3">
        <f>'QBO Transactions'!$S305</f>
        <v>48.93</v>
      </c>
      <c r="D303" s="2" t="str">
        <f>'QBO Transactions'!$R305</f>
        <v>Uber</v>
      </c>
      <c r="E303" s="2"/>
      <c r="F303" s="3" t="str">
        <f>'QBO Transactions'!$X305</f>
        <v>Cost of Goods Sold:COGS- Travel Expenses:Ground Transportation</v>
      </c>
      <c r="G303" s="2"/>
      <c r="H303" s="2"/>
      <c r="I303" s="2"/>
      <c r="J303" s="2"/>
      <c r="K303" s="2"/>
      <c r="L303" s="2"/>
      <c r="M303" s="2"/>
      <c r="N303" s="2" t="str">
        <f>'QBO Transactions'!$Y305</f>
        <v>200- Datadog:220- Engineering</v>
      </c>
      <c r="O303" s="2"/>
      <c r="P303" s="2"/>
      <c r="Q303" s="2" t="str">
        <f>'QBO Transactions'!$T305</f>
        <v>UBER   *TRIP MASTERCARD-XXXXXXI5GUIE-Yadwinder Singh</v>
      </c>
      <c r="R303" s="2"/>
      <c r="S303" s="2"/>
      <c r="T303" s="2"/>
      <c r="U303" s="2"/>
      <c r="V303" s="2"/>
      <c r="W303" s="2"/>
      <c r="X303" s="2" t="str">
        <f t="shared" si="4"/>
        <v>UBER   *TRIP MASTERCARD-XXXXXXI5GUIE-Yadwinder Singh</v>
      </c>
      <c r="Y303" s="4">
        <f>'QBO Transactions'!$Q305</f>
        <v>46230</v>
      </c>
      <c r="Z303" s="2"/>
      <c r="AA303" s="2"/>
      <c r="AB303" s="2"/>
      <c r="AC303" s="2"/>
      <c r="AD303" s="2"/>
      <c r="AE303" s="2"/>
    </row>
    <row r="304" spans="1:31" ht="12.75" customHeight="1" x14ac:dyDescent="0.25">
      <c r="A304" s="2"/>
      <c r="B304" s="2" t="str">
        <f>'QBO Transactions'!$U306</f>
        <v>Brex Credit Card</v>
      </c>
      <c r="C304" s="3">
        <f>'QBO Transactions'!$S306</f>
        <v>50</v>
      </c>
      <c r="D304" s="2" t="str">
        <f>'QBO Transactions'!$R306</f>
        <v>Food Vendor</v>
      </c>
      <c r="E304" s="2"/>
      <c r="F304" s="3" t="str">
        <f>'QBO Transactions'!$X306</f>
        <v>Cost of Goods Sold:COGS- Travel Expenses:Meals &amp; Entertainment</v>
      </c>
      <c r="G304" s="2"/>
      <c r="H304" s="2"/>
      <c r="I304" s="2"/>
      <c r="J304" s="2"/>
      <c r="K304" s="2"/>
      <c r="L304" s="2"/>
      <c r="M304" s="2"/>
      <c r="N304" s="2" t="str">
        <f>'QBO Transactions'!$Y306</f>
        <v>200- Datadog:220- Engineering</v>
      </c>
      <c r="O304" s="2"/>
      <c r="P304" s="2"/>
      <c r="Q304" s="2" t="str">
        <f>'QBO Transactions'!$T306</f>
        <v>TST*PIATTINI MASTERCARD-XXXXXX2KT0Z9-Yadwinder Singh</v>
      </c>
      <c r="R304" s="2"/>
      <c r="S304" s="2"/>
      <c r="T304" s="2"/>
      <c r="U304" s="2"/>
      <c r="V304" s="2"/>
      <c r="W304" s="2"/>
      <c r="X304" s="2" t="str">
        <f t="shared" si="4"/>
        <v>TST*PIATTINI MASTERCARD-XXXXXX2KT0Z9-Yadwinder Singh</v>
      </c>
      <c r="Y304" s="4">
        <f>'QBO Transactions'!$Q306</f>
        <v>46230</v>
      </c>
      <c r="Z304" s="2"/>
      <c r="AA304" s="2"/>
      <c r="AB304" s="2"/>
      <c r="AC304" s="2"/>
      <c r="AD304" s="2"/>
      <c r="AE304" s="2"/>
    </row>
    <row r="305" spans="1:31" ht="12.75" customHeight="1" x14ac:dyDescent="0.25">
      <c r="A305" s="2"/>
      <c r="B305" s="2" t="str">
        <f>'QBO Transactions'!$U307</f>
        <v>Brex Credit Card</v>
      </c>
      <c r="C305" s="3">
        <f>'QBO Transactions'!$S307</f>
        <v>3</v>
      </c>
      <c r="D305" s="2" t="str">
        <f>'QBO Transactions'!$R307</f>
        <v>Travel Vendor</v>
      </c>
      <c r="E305" s="2"/>
      <c r="F305" s="3" t="str">
        <f>'QBO Transactions'!$X307</f>
        <v>Cost of Goods Sold:COGS- Travel Expenses:Other Travel Expenses</v>
      </c>
      <c r="G305" s="2"/>
      <c r="H305" s="2"/>
      <c r="I305" s="2"/>
      <c r="J305" s="2"/>
      <c r="K305" s="2"/>
      <c r="L305" s="2"/>
      <c r="M305" s="2"/>
      <c r="N305" s="2" t="str">
        <f>'QBO Transactions'!$Y307</f>
        <v>300- ServiceNow:310- Delivery</v>
      </c>
      <c r="O305" s="2"/>
      <c r="P305" s="2"/>
      <c r="Q305" s="2" t="str">
        <f>'QBO Transactions'!$T307</f>
        <v>MASSACHUSETTS PORT AUT MASTERCARD-XXXXXX1YMFVE-Oliver McCaffrey</v>
      </c>
      <c r="R305" s="2"/>
      <c r="S305" s="2"/>
      <c r="T305" s="2"/>
      <c r="U305" s="2"/>
      <c r="V305" s="2"/>
      <c r="W305" s="2"/>
      <c r="X305" s="2" t="str">
        <f t="shared" si="4"/>
        <v>MASSACHUSETTS PORT AUT MASTERCARD-XXXXXX1YMFVE-Oliver McCaffrey</v>
      </c>
      <c r="Y305" s="4">
        <f>'QBO Transactions'!$Q307</f>
        <v>46230</v>
      </c>
      <c r="Z305" s="2"/>
      <c r="AA305" s="2"/>
      <c r="AB305" s="2"/>
      <c r="AC305" s="2"/>
      <c r="AD305" s="2"/>
      <c r="AE305" s="2"/>
    </row>
    <row r="306" spans="1:31" ht="12.75" customHeight="1" x14ac:dyDescent="0.25">
      <c r="A306" s="2"/>
      <c r="B306" s="2" t="str">
        <f>'QBO Transactions'!$U308</f>
        <v>Brex Credit Card</v>
      </c>
      <c r="C306" s="3">
        <f>'QBO Transactions'!$S308</f>
        <v>35.94</v>
      </c>
      <c r="D306" s="2" t="str">
        <f>'QBO Transactions'!$R308</f>
        <v>Uber</v>
      </c>
      <c r="E306" s="2"/>
      <c r="F306" s="3" t="str">
        <f>'QBO Transactions'!$X308</f>
        <v>Sales &amp; Marketing:Sales &amp; Marketing- Travel Expenses:Ground Transportation</v>
      </c>
      <c r="G306" s="2"/>
      <c r="H306" s="2"/>
      <c r="I306" s="2"/>
      <c r="J306" s="2"/>
      <c r="K306" s="2"/>
      <c r="L306" s="2"/>
      <c r="M306" s="2"/>
      <c r="N306" s="2" t="str">
        <f>'QBO Transactions'!$Y308</f>
        <v>300- ServiceNow:330- Sales</v>
      </c>
      <c r="O306" s="2"/>
      <c r="P306" s="2"/>
      <c r="Q306" s="2" t="str">
        <f>'QBO Transactions'!$T308</f>
        <v>UBER   *TRIP MASTERCARD-XXXXXXUXBJEF-Nestor Abad Rodriguez</v>
      </c>
      <c r="R306" s="2"/>
      <c r="S306" s="2"/>
      <c r="T306" s="2"/>
      <c r="U306" s="2"/>
      <c r="V306" s="2"/>
      <c r="W306" s="2"/>
      <c r="X306" s="2" t="str">
        <f t="shared" si="4"/>
        <v>UBER   *TRIP MASTERCARD-XXXXXXUXBJEF-Nestor Abad Rodriguez</v>
      </c>
      <c r="Y306" s="4">
        <f>'QBO Transactions'!$Q308</f>
        <v>46231</v>
      </c>
      <c r="Z306" s="2"/>
      <c r="AA306" s="2"/>
      <c r="AB306" s="2"/>
      <c r="AC306" s="2"/>
      <c r="AD306" s="2"/>
      <c r="AE306" s="2"/>
    </row>
    <row r="307" spans="1:31" ht="12.75" customHeight="1" x14ac:dyDescent="0.25">
      <c r="A307" s="2"/>
      <c r="B307" s="2" t="str">
        <f>'QBO Transactions'!$U309</f>
        <v>Brex Credit Card</v>
      </c>
      <c r="C307" s="3">
        <f>'QBO Transactions'!$S309</f>
        <v>14.61</v>
      </c>
      <c r="D307" s="2" t="str">
        <f>'QBO Transactions'!$R309</f>
        <v>Chipotle</v>
      </c>
      <c r="E307" s="2"/>
      <c r="F307" s="3" t="str">
        <f>'QBO Transactions'!$X309</f>
        <v>Cost of Goods Sold:COGS- Travel Expenses:Meals &amp; Entertainment</v>
      </c>
      <c r="G307" s="2"/>
      <c r="H307" s="2"/>
      <c r="I307" s="2"/>
      <c r="J307" s="2"/>
      <c r="K307" s="2"/>
      <c r="L307" s="2"/>
      <c r="M307" s="2"/>
      <c r="N307" s="2" t="str">
        <f>'QBO Transactions'!$Y309</f>
        <v>300- ServiceNow:320- Engineering</v>
      </c>
      <c r="O307" s="2"/>
      <c r="P307" s="2"/>
      <c r="Q307" s="2" t="str">
        <f>'QBO Transactions'!$T309</f>
        <v>CHIPOTLE MEX GR ONLINE MASTERCARD-XXXXXX1UTLSG-Noah Zahrt</v>
      </c>
      <c r="R307" s="2"/>
      <c r="S307" s="2"/>
      <c r="T307" s="2"/>
      <c r="U307" s="2"/>
      <c r="V307" s="2"/>
      <c r="W307" s="2"/>
      <c r="X307" s="2" t="str">
        <f t="shared" si="4"/>
        <v>CHIPOTLE MEX GR ONLINE MASTERCARD-XXXXXX1UTLSG-Noah Zahrt</v>
      </c>
      <c r="Y307" s="4">
        <f>'QBO Transactions'!$Q309</f>
        <v>46230</v>
      </c>
      <c r="Z307" s="2"/>
      <c r="AA307" s="2"/>
      <c r="AB307" s="2"/>
      <c r="AC307" s="2"/>
      <c r="AD307" s="2"/>
      <c r="AE307" s="2"/>
    </row>
    <row r="308" spans="1:31" ht="12.75" customHeight="1" x14ac:dyDescent="0.25">
      <c r="A308" s="2"/>
      <c r="B308" s="2" t="str">
        <f>'QBO Transactions'!$U310</f>
        <v>Brex Credit Card</v>
      </c>
      <c r="C308" s="3">
        <f>'QBO Transactions'!$S310</f>
        <v>59.22</v>
      </c>
      <c r="D308" s="2" t="str">
        <f>'QBO Transactions'!$R310</f>
        <v>Sweeney's</v>
      </c>
      <c r="E308" s="2"/>
      <c r="F308" s="3" t="str">
        <f>'QBO Transactions'!$X310</f>
        <v>Sales &amp; Marketing:Sales &amp; Marketing- Travel Expenses:Meals &amp; Entertainment</v>
      </c>
      <c r="G308" s="2"/>
      <c r="H308" s="2"/>
      <c r="I308" s="2"/>
      <c r="J308" s="2"/>
      <c r="K308" s="2"/>
      <c r="L308" s="2"/>
      <c r="M308" s="2"/>
      <c r="N308" s="2" t="str">
        <f>'QBO Transactions'!$Y310</f>
        <v>300- ServiceNow:330- Sales</v>
      </c>
      <c r="O308" s="2"/>
      <c r="P308" s="2"/>
      <c r="Q308" s="2" t="str">
        <f>'QBO Transactions'!$T310</f>
        <v>TST*SWEENEYS MASTERCARD-XXXXXXEWSAOO-Nestor Abad Rodriguez</v>
      </c>
      <c r="R308" s="2"/>
      <c r="S308" s="2"/>
      <c r="T308" s="2"/>
      <c r="U308" s="2"/>
      <c r="V308" s="2"/>
      <c r="W308" s="2"/>
      <c r="X308" s="2" t="str">
        <f t="shared" si="4"/>
        <v>TST*SWEENEYS MASTERCARD-XXXXXXEWSAOO-Nestor Abad Rodriguez</v>
      </c>
      <c r="Y308" s="4">
        <f>'QBO Transactions'!$Q310</f>
        <v>46230</v>
      </c>
      <c r="Z308" s="2"/>
      <c r="AA308" s="2"/>
      <c r="AB308" s="2"/>
      <c r="AC308" s="2"/>
      <c r="AD308" s="2"/>
      <c r="AE308" s="2"/>
    </row>
    <row r="309" spans="1:31" ht="12.75" customHeight="1" x14ac:dyDescent="0.25">
      <c r="A309" s="2"/>
      <c r="B309" s="2" t="str">
        <f>'QBO Transactions'!$U311</f>
        <v>Brex Credit Card</v>
      </c>
      <c r="C309" s="3">
        <f>'QBO Transactions'!$S311</f>
        <v>50</v>
      </c>
      <c r="D309" s="2" t="str">
        <f>'QBO Transactions'!$R311</f>
        <v>Food Vendor</v>
      </c>
      <c r="E309" s="2"/>
      <c r="F309" s="3" t="str">
        <f>'QBO Transactions'!$X311</f>
        <v>Cost of Goods Sold:COGS- Travel Expenses:Meals &amp; Entertainment</v>
      </c>
      <c r="G309" s="2"/>
      <c r="H309" s="2"/>
      <c r="I309" s="2"/>
      <c r="J309" s="2"/>
      <c r="K309" s="2"/>
      <c r="L309" s="2"/>
      <c r="M309" s="2"/>
      <c r="N309" s="2" t="str">
        <f>'QBO Transactions'!$Y311</f>
        <v>300- ServiceNow:320- Engineering</v>
      </c>
      <c r="O309" s="2"/>
      <c r="P309" s="2"/>
      <c r="Q309" s="2" t="str">
        <f>'QBO Transactions'!$T311</f>
        <v>Grill 23  Bar MASTERCARD-XXXXXX8ZZ2FR-Jeff Mu</v>
      </c>
      <c r="R309" s="2"/>
      <c r="S309" s="2"/>
      <c r="T309" s="2"/>
      <c r="U309" s="2"/>
      <c r="V309" s="2"/>
      <c r="W309" s="2"/>
      <c r="X309" s="2" t="str">
        <f t="shared" si="4"/>
        <v>Grill 23  Bar MASTERCARD-XXXXXX8ZZ2FR-Jeff Mu</v>
      </c>
      <c r="Y309" s="4">
        <f>'QBO Transactions'!$Q311</f>
        <v>46230</v>
      </c>
      <c r="Z309" s="2"/>
      <c r="AA309" s="2"/>
      <c r="AB309" s="2"/>
      <c r="AC309" s="2"/>
      <c r="AD309" s="2"/>
      <c r="AE309" s="2"/>
    </row>
    <row r="310" spans="1:31" ht="12.75" customHeight="1" x14ac:dyDescent="0.25">
      <c r="A310" s="2"/>
      <c r="B310" s="2" t="str">
        <f>'QBO Transactions'!$U312</f>
        <v>Brex Credit Card</v>
      </c>
      <c r="C310" s="3">
        <f>'QBO Transactions'!$S312</f>
        <v>47.95</v>
      </c>
      <c r="D310" s="2" t="str">
        <f>'QBO Transactions'!$R312</f>
        <v>Uber</v>
      </c>
      <c r="E310" s="2"/>
      <c r="F310" s="3" t="str">
        <f>'QBO Transactions'!$X312</f>
        <v>Sales &amp; Marketing:Sales &amp; Marketing- Travel Expenses:Ground Transportation</v>
      </c>
      <c r="G310" s="2"/>
      <c r="H310" s="2"/>
      <c r="I310" s="2"/>
      <c r="J310" s="2"/>
      <c r="K310" s="2"/>
      <c r="L310" s="2"/>
      <c r="M310" s="2"/>
      <c r="N310" s="2" t="str">
        <f>'QBO Transactions'!$Y312</f>
        <v>300- ServiceNow:330- Sales</v>
      </c>
      <c r="O310" s="2"/>
      <c r="P310" s="2"/>
      <c r="Q310" s="2" t="str">
        <f>'QBO Transactions'!$T312</f>
        <v>UBER   *TRIP MASTERCARD-XXXXXX8QPW57-Gary Passaglia</v>
      </c>
      <c r="R310" s="2"/>
      <c r="S310" s="2"/>
      <c r="T310" s="2"/>
      <c r="U310" s="2"/>
      <c r="V310" s="2"/>
      <c r="W310" s="2"/>
      <c r="X310" s="2" t="str">
        <f t="shared" si="4"/>
        <v>UBER   *TRIP MASTERCARD-XXXXXX8QPW57-Gary Passaglia</v>
      </c>
      <c r="Y310" s="4">
        <f>'QBO Transactions'!$Q312</f>
        <v>46231</v>
      </c>
      <c r="Z310" s="2"/>
      <c r="AA310" s="2"/>
      <c r="AB310" s="2"/>
      <c r="AC310" s="2"/>
      <c r="AD310" s="2"/>
      <c r="AE310" s="2"/>
    </row>
    <row r="311" spans="1:31" ht="12.75" customHeight="1" x14ac:dyDescent="0.25">
      <c r="A311" s="2"/>
      <c r="B311" s="2" t="str">
        <f>'QBO Transactions'!$U313</f>
        <v>Brex Credit Card</v>
      </c>
      <c r="C311" s="3">
        <f>'QBO Transactions'!$S313</f>
        <v>31.3</v>
      </c>
      <c r="D311" s="2" t="str">
        <f>'QBO Transactions'!$R313</f>
        <v>Uber</v>
      </c>
      <c r="E311" s="2"/>
      <c r="F311" s="3" t="str">
        <f>'QBO Transactions'!$X313</f>
        <v>General &amp; Administrative:G&amp;A- Travel Expenses:Ground Transportation</v>
      </c>
      <c r="G311" s="2"/>
      <c r="H311" s="2"/>
      <c r="I311" s="2"/>
      <c r="J311" s="2"/>
      <c r="K311" s="2"/>
      <c r="L311" s="2"/>
      <c r="M311" s="2"/>
      <c r="N311" s="2" t="str">
        <f>'QBO Transactions'!$Y313</f>
        <v>100- Operations:110- G&amp;A</v>
      </c>
      <c r="O311" s="2"/>
      <c r="P311" s="2"/>
      <c r="Q311" s="2" t="str">
        <f>'QBO Transactions'!$T313</f>
        <v>UBER   *TRIP MASTERCARD-XXXXXXYR5HRZ-Lauren Lechleitner</v>
      </c>
      <c r="R311" s="2"/>
      <c r="S311" s="2"/>
      <c r="T311" s="2"/>
      <c r="U311" s="2"/>
      <c r="V311" s="2"/>
      <c r="W311" s="2"/>
      <c r="X311" s="2" t="str">
        <f t="shared" si="4"/>
        <v>UBER   *TRIP MASTERCARD-XXXXXXYR5HRZ-Lauren Lechleitner</v>
      </c>
      <c r="Y311" s="4">
        <f>'QBO Transactions'!$Q313</f>
        <v>46231</v>
      </c>
      <c r="Z311" s="2"/>
      <c r="AA311" s="2"/>
      <c r="AB311" s="2"/>
      <c r="AC311" s="2"/>
      <c r="AD311" s="2"/>
      <c r="AE311" s="2"/>
    </row>
    <row r="312" spans="1:31" ht="12.75" customHeight="1" x14ac:dyDescent="0.25">
      <c r="A312" s="2"/>
      <c r="B312" s="2" t="str">
        <f>'QBO Transactions'!$U314</f>
        <v>Brex Credit Card</v>
      </c>
      <c r="C312" s="3">
        <f>'QBO Transactions'!$S314</f>
        <v>38.119999999999997</v>
      </c>
      <c r="D312" s="2" t="str">
        <f>'QBO Transactions'!$R314</f>
        <v>Uber</v>
      </c>
      <c r="E312" s="2"/>
      <c r="F312" s="3" t="str">
        <f>'QBO Transactions'!$X314</f>
        <v>Cost of Goods Sold:COGS- Travel Expenses:Ground Transportation</v>
      </c>
      <c r="G312" s="2"/>
      <c r="H312" s="2"/>
      <c r="I312" s="2"/>
      <c r="J312" s="2"/>
      <c r="K312" s="2"/>
      <c r="L312" s="2"/>
      <c r="M312" s="2"/>
      <c r="N312" s="2" t="str">
        <f>'QBO Transactions'!$Y314</f>
        <v>200- Datadog:220- Engineering</v>
      </c>
      <c r="O312" s="2"/>
      <c r="P312" s="2"/>
      <c r="Q312" s="2" t="str">
        <f>'QBO Transactions'!$T314</f>
        <v>UBER   *EATS MASTERCARD-XXXXXXEOE7VA-Anthony Nguyen</v>
      </c>
      <c r="R312" s="2"/>
      <c r="S312" s="2"/>
      <c r="T312" s="2"/>
      <c r="U312" s="2"/>
      <c r="V312" s="2"/>
      <c r="W312" s="2"/>
      <c r="X312" s="2" t="str">
        <f t="shared" si="4"/>
        <v>UBER   *EATS MASTERCARD-XXXXXXEOE7VA-Anthony Nguyen</v>
      </c>
      <c r="Y312" s="4">
        <f>'QBO Transactions'!$Q314</f>
        <v>46230</v>
      </c>
      <c r="Z312" s="2"/>
      <c r="AA312" s="2"/>
      <c r="AB312" s="2"/>
      <c r="AC312" s="2"/>
      <c r="AD312" s="2"/>
      <c r="AE312" s="2"/>
    </row>
    <row r="313" spans="1:31" ht="12.75" customHeight="1" x14ac:dyDescent="0.25">
      <c r="A313" s="2"/>
      <c r="B313" s="2" t="str">
        <f>'QBO Transactions'!$U315</f>
        <v>Brex Credit Card</v>
      </c>
      <c r="C313" s="3">
        <f>'QBO Transactions'!$S315</f>
        <v>98.38</v>
      </c>
      <c r="D313" s="2" t="str">
        <f>'QBO Transactions'!$R315</f>
        <v>Lyft</v>
      </c>
      <c r="E313" s="2"/>
      <c r="F313" s="3" t="str">
        <f>'QBO Transactions'!$X315</f>
        <v>Sales &amp; Marketing:Sales &amp; Marketing- Travel Expenses:Ground Transportation</v>
      </c>
      <c r="G313" s="2"/>
      <c r="H313" s="2"/>
      <c r="I313" s="2"/>
      <c r="J313" s="2"/>
      <c r="K313" s="2"/>
      <c r="L313" s="2"/>
      <c r="M313" s="2"/>
      <c r="N313" s="2" t="str">
        <f>'QBO Transactions'!$Y315</f>
        <v>200- Datadog:230- Sales</v>
      </c>
      <c r="O313" s="2"/>
      <c r="P313" s="2"/>
      <c r="Q313" s="2" t="str">
        <f>'QBO Transactions'!$T315</f>
        <v>LYFT   *SCHD AIR 07-27 MASTERCARD-XXXXXXQ756LD-Tyler Grimshaw</v>
      </c>
      <c r="R313" s="2"/>
      <c r="S313" s="2"/>
      <c r="T313" s="2"/>
      <c r="U313" s="2"/>
      <c r="V313" s="2"/>
      <c r="W313" s="2"/>
      <c r="X313" s="2" t="str">
        <f t="shared" si="4"/>
        <v>LYFT   *SCHD AIR 07-27 MASTERCARD-XXXXXXQ756LD-Tyler Grimshaw</v>
      </c>
      <c r="Y313" s="4">
        <f>'QBO Transactions'!$Q315</f>
        <v>46231</v>
      </c>
      <c r="Z313" s="2"/>
      <c r="AA313" s="2"/>
      <c r="AB313" s="2"/>
      <c r="AC313" s="2"/>
      <c r="AD313" s="2"/>
      <c r="AE313" s="2"/>
    </row>
    <row r="314" spans="1:31" ht="12.75" customHeight="1" x14ac:dyDescent="0.25">
      <c r="A314" s="2"/>
      <c r="B314" s="2" t="str">
        <f>'QBO Transactions'!$U316</f>
        <v>Brex Credit Card</v>
      </c>
      <c r="C314" s="3">
        <f>'QBO Transactions'!$S316</f>
        <v>12.19</v>
      </c>
      <c r="D314" s="2" t="str">
        <f>'QBO Transactions'!$R316</f>
        <v>Raising Canes</v>
      </c>
      <c r="E314" s="2"/>
      <c r="F314" s="3" t="str">
        <f>'QBO Transactions'!$X316</f>
        <v>General &amp; Administrative:G&amp;A- Travel Expenses:Meals &amp; Entertainment</v>
      </c>
      <c r="G314" s="2"/>
      <c r="H314" s="2"/>
      <c r="I314" s="2"/>
      <c r="J314" s="2"/>
      <c r="K314" s="2"/>
      <c r="L314" s="2"/>
      <c r="M314" s="2"/>
      <c r="N314" s="2" t="str">
        <f>'QBO Transactions'!$Y316</f>
        <v>300- ServiceNow:320- Engineering</v>
      </c>
      <c r="O314" s="2"/>
      <c r="P314" s="2"/>
      <c r="Q314" s="2" t="str">
        <f>'QBO Transactions'!$T316</f>
        <v>RAISING CANES 0676 MASTERCARD-XXXXXX118P8Y-Daniel Levin</v>
      </c>
      <c r="R314" s="2"/>
      <c r="S314" s="2"/>
      <c r="T314" s="2"/>
      <c r="U314" s="2"/>
      <c r="V314" s="2"/>
      <c r="W314" s="2"/>
      <c r="X314" s="2" t="str">
        <f t="shared" si="4"/>
        <v>RAISING CANES 0676 MASTERCARD-XXXXXX118P8Y-Daniel Levin</v>
      </c>
      <c r="Y314" s="4">
        <f>'QBO Transactions'!$Q316</f>
        <v>46231</v>
      </c>
      <c r="Z314" s="2"/>
      <c r="AA314" s="2"/>
      <c r="AB314" s="2"/>
      <c r="AC314" s="2"/>
      <c r="AD314" s="2"/>
      <c r="AE314" s="2"/>
    </row>
    <row r="315" spans="1:31" ht="12.75" customHeight="1" x14ac:dyDescent="0.25">
      <c r="A315" s="2"/>
      <c r="B315" s="2" t="str">
        <f>'QBO Transactions'!$U317</f>
        <v>Brex Credit Card</v>
      </c>
      <c r="C315" s="3">
        <f>'QBO Transactions'!$S317</f>
        <v>4.29</v>
      </c>
      <c r="D315" s="2" t="str">
        <f>'QBO Transactions'!$R317</f>
        <v>Walgreens</v>
      </c>
      <c r="E315" s="2"/>
      <c r="F315" s="3" t="str">
        <f>'QBO Transactions'!$X317</f>
        <v>Sales &amp; Marketing:Sales &amp; Marketing- Travel Expenses:Other Travel Expenses</v>
      </c>
      <c r="G315" s="2"/>
      <c r="H315" s="2"/>
      <c r="I315" s="2"/>
      <c r="J315" s="2"/>
      <c r="K315" s="2"/>
      <c r="L315" s="2"/>
      <c r="M315" s="2"/>
      <c r="N315" s="2" t="str">
        <f>'QBO Transactions'!$Y317</f>
        <v>100- Operations:120- Marketing</v>
      </c>
      <c r="O315" s="2"/>
      <c r="P315" s="2"/>
      <c r="Q315" s="2" t="str">
        <f>'QBO Transactions'!$T317</f>
        <v>WALGREENS #2933 MASTERCARD-XXXXXX49FVIO-Toni Manning</v>
      </c>
      <c r="R315" s="2"/>
      <c r="S315" s="2"/>
      <c r="T315" s="2"/>
      <c r="U315" s="2"/>
      <c r="V315" s="2"/>
      <c r="W315" s="2"/>
      <c r="X315" s="2" t="str">
        <f t="shared" si="4"/>
        <v>WALGREENS #2933 MASTERCARD-XXXXXX49FVIO-Toni Manning</v>
      </c>
      <c r="Y315" s="4">
        <f>'QBO Transactions'!$Q317</f>
        <v>46230</v>
      </c>
      <c r="Z315" s="2"/>
      <c r="AA315" s="2"/>
      <c r="AB315" s="2"/>
      <c r="AC315" s="2"/>
      <c r="AD315" s="2"/>
      <c r="AE315" s="2"/>
    </row>
    <row r="316" spans="1:31" ht="12.75" customHeight="1" x14ac:dyDescent="0.25">
      <c r="A316" s="2"/>
      <c r="B316" s="2" t="str">
        <f>'QBO Transactions'!$U318</f>
        <v>Brex Credit Card</v>
      </c>
      <c r="C316" s="3">
        <f>'QBO Transactions'!$S318</f>
        <v>34</v>
      </c>
      <c r="D316" s="2" t="str">
        <f>'QBO Transactions'!$R318</f>
        <v>Uber</v>
      </c>
      <c r="E316" s="2"/>
      <c r="F316" s="3" t="str">
        <f>'QBO Transactions'!$X318</f>
        <v>Cost of Goods Sold:COGS- Travel Expenses:Ground Transportation</v>
      </c>
      <c r="G316" s="2"/>
      <c r="H316" s="2"/>
      <c r="I316" s="2"/>
      <c r="J316" s="2"/>
      <c r="K316" s="2"/>
      <c r="L316" s="2"/>
      <c r="M316" s="2"/>
      <c r="N316" s="2" t="str">
        <f>'QBO Transactions'!$Y318</f>
        <v>300- ServiceNow:320- Engineering</v>
      </c>
      <c r="O316" s="2"/>
      <c r="P316" s="2"/>
      <c r="Q316" s="2" t="str">
        <f>'QBO Transactions'!$T318</f>
        <v>UBER   *EATS MASTERCARD-XXXXXXAJFANH-Mitchell Deaner</v>
      </c>
      <c r="R316" s="2"/>
      <c r="S316" s="2"/>
      <c r="T316" s="2"/>
      <c r="U316" s="2"/>
      <c r="V316" s="2"/>
      <c r="W316" s="2"/>
      <c r="X316" s="2" t="str">
        <f t="shared" si="4"/>
        <v>UBER   *EATS MASTERCARD-XXXXXXAJFANH-Mitchell Deaner</v>
      </c>
      <c r="Y316" s="4">
        <f>'QBO Transactions'!$Q318</f>
        <v>46230</v>
      </c>
      <c r="Z316" s="2"/>
      <c r="AA316" s="2"/>
      <c r="AB316" s="2"/>
      <c r="AC316" s="2"/>
      <c r="AD316" s="2"/>
      <c r="AE316" s="2"/>
    </row>
    <row r="317" spans="1:31" ht="12.75" customHeight="1" x14ac:dyDescent="0.25">
      <c r="A317" s="2"/>
      <c r="B317" s="2" t="str">
        <f>'QBO Transactions'!$U319</f>
        <v>Brex Credit Card</v>
      </c>
      <c r="C317" s="3">
        <f>'QBO Transactions'!$S319</f>
        <v>24.96</v>
      </c>
      <c r="D317" s="2" t="str">
        <f>'QBO Transactions'!$R319</f>
        <v>Food Vendor</v>
      </c>
      <c r="E317" s="2"/>
      <c r="F317" s="3" t="str">
        <f>'QBO Transactions'!$X319</f>
        <v>Cost of Goods Sold:COGS- Travel Expenses:Meals &amp; Entertainment</v>
      </c>
      <c r="G317" s="2"/>
      <c r="H317" s="2"/>
      <c r="I317" s="2"/>
      <c r="J317" s="2"/>
      <c r="K317" s="2"/>
      <c r="L317" s="2"/>
      <c r="M317" s="2"/>
      <c r="N317" s="2" t="str">
        <f>'QBO Transactions'!$Y319</f>
        <v>300- ServiceNow:320- Engineering</v>
      </c>
      <c r="O317" s="2"/>
      <c r="P317" s="2"/>
      <c r="Q317" s="2" t="str">
        <f>'QBO Transactions'!$T319</f>
        <v>RED ROCK BREWING SLC C MASTERCARD-XXXXXX1GVB79-Nicholas Stauffer</v>
      </c>
      <c r="R317" s="2"/>
      <c r="S317" s="2"/>
      <c r="T317" s="2"/>
      <c r="U317" s="2"/>
      <c r="V317" s="2"/>
      <c r="W317" s="2"/>
      <c r="X317" s="2" t="str">
        <f t="shared" si="4"/>
        <v>RED ROCK BREWING SLC C MASTERCARD-XXXXXX1GVB79-Nicholas Stauffer</v>
      </c>
      <c r="Y317" s="4">
        <f>'QBO Transactions'!$Q319</f>
        <v>46231</v>
      </c>
      <c r="Z317" s="2"/>
      <c r="AA317" s="2"/>
      <c r="AB317" s="2"/>
      <c r="AC317" s="2"/>
      <c r="AD317" s="2"/>
      <c r="AE317" s="2"/>
    </row>
    <row r="318" spans="1:31" ht="12.75" customHeight="1" x14ac:dyDescent="0.25">
      <c r="A318" s="2"/>
      <c r="B318" s="2" t="str">
        <f>'QBO Transactions'!$U320</f>
        <v>Brex Credit Card</v>
      </c>
      <c r="C318" s="3">
        <f>'QBO Transactions'!$S320</f>
        <v>32.549999999999997</v>
      </c>
      <c r="D318" s="2" t="str">
        <f>'QBO Transactions'!$R320</f>
        <v>Curb</v>
      </c>
      <c r="E318" s="2"/>
      <c r="F318" s="3" t="str">
        <f>'QBO Transactions'!$X320</f>
        <v>Sales &amp; Marketing:Sales &amp; Marketing- Travel Expenses:Ground Transportation</v>
      </c>
      <c r="G318" s="2"/>
      <c r="H318" s="2"/>
      <c r="I318" s="2"/>
      <c r="J318" s="2"/>
      <c r="K318" s="2"/>
      <c r="L318" s="2"/>
      <c r="M318" s="2"/>
      <c r="N318" s="2" t="str">
        <f>'QBO Transactions'!$Y320</f>
        <v>100- Operations:120- Marketing</v>
      </c>
      <c r="O318" s="2"/>
      <c r="P318" s="2"/>
      <c r="Q318" s="2" t="str">
        <f>'QBO Transactions'!$T320</f>
        <v>CURB BOS TAXI MASTERCARD-XXXXXXTAOT0W-Toni Manning</v>
      </c>
      <c r="R318" s="2"/>
      <c r="S318" s="2"/>
      <c r="T318" s="2"/>
      <c r="U318" s="2"/>
      <c r="V318" s="2"/>
      <c r="W318" s="2"/>
      <c r="X318" s="2" t="str">
        <f t="shared" si="4"/>
        <v>CURB BOS TAXI MASTERCARD-XXXXXXTAOT0W-Toni Manning</v>
      </c>
      <c r="Y318" s="4">
        <f>'QBO Transactions'!$Q320</f>
        <v>46230</v>
      </c>
      <c r="Z318" s="2"/>
      <c r="AA318" s="2"/>
      <c r="AB318" s="2"/>
      <c r="AC318" s="2"/>
      <c r="AD318" s="2"/>
      <c r="AE318" s="2"/>
    </row>
    <row r="319" spans="1:31" ht="12.75" customHeight="1" x14ac:dyDescent="0.25">
      <c r="A319" s="2"/>
      <c r="B319" s="2" t="str">
        <f>'QBO Transactions'!$U321</f>
        <v>Brex Credit Card</v>
      </c>
      <c r="C319" s="3">
        <f>'QBO Transactions'!$S321</f>
        <v>26.93</v>
      </c>
      <c r="D319" s="2" t="str">
        <f>'QBO Transactions'!$R321</f>
        <v>Greco</v>
      </c>
      <c r="E319" s="2"/>
      <c r="F319" s="3" t="str">
        <f>'QBO Transactions'!$X321</f>
        <v>Cost of Goods Sold:COGS- Travel Expenses:Meals &amp; Entertainment</v>
      </c>
      <c r="G319" s="2"/>
      <c r="H319" s="2"/>
      <c r="I319" s="2"/>
      <c r="J319" s="2"/>
      <c r="K319" s="2"/>
      <c r="L319" s="2"/>
      <c r="M319" s="2"/>
      <c r="N319" s="2" t="str">
        <f>'QBO Transactions'!$Y321</f>
        <v>300- ServiceNow:320- Engineering</v>
      </c>
      <c r="O319" s="2"/>
      <c r="P319" s="2"/>
      <c r="Q319" s="2" t="str">
        <f>'QBO Transactions'!$T321</f>
        <v>SQ *GRECO MASTERCARD-XXXXXX76PMD5-Jon Giara</v>
      </c>
      <c r="R319" s="2"/>
      <c r="S319" s="2"/>
      <c r="T319" s="2"/>
      <c r="U319" s="2"/>
      <c r="V319" s="2"/>
      <c r="W319" s="2"/>
      <c r="X319" s="2" t="str">
        <f t="shared" si="4"/>
        <v>SQ *GRECO MASTERCARD-XXXXXX76PMD5-Jon Giara</v>
      </c>
      <c r="Y319" s="4">
        <f>'QBO Transactions'!$Q321</f>
        <v>46230</v>
      </c>
      <c r="Z319" s="2"/>
      <c r="AA319" s="2"/>
      <c r="AB319" s="2"/>
      <c r="AC319" s="2"/>
      <c r="AD319" s="2"/>
      <c r="AE319" s="2"/>
    </row>
    <row r="320" spans="1:31" ht="12.75" customHeight="1" x14ac:dyDescent="0.25">
      <c r="A320" s="2"/>
      <c r="B320" s="2" t="str">
        <f>'QBO Transactions'!$U322</f>
        <v>Brex Credit Card</v>
      </c>
      <c r="C320" s="3">
        <f>'QBO Transactions'!$S322</f>
        <v>5.99</v>
      </c>
      <c r="D320" s="2" t="str">
        <f>'QBO Transactions'!$R322</f>
        <v>Travel Vendor</v>
      </c>
      <c r="E320" s="2"/>
      <c r="F320" s="3" t="str">
        <f>'QBO Transactions'!$X322</f>
        <v>Cost of Goods Sold:COGS- Travel Expenses:Airfare</v>
      </c>
      <c r="G320" s="2"/>
      <c r="H320" s="2"/>
      <c r="I320" s="2"/>
      <c r="J320" s="2"/>
      <c r="K320" s="2"/>
      <c r="L320" s="2"/>
      <c r="M320" s="2"/>
      <c r="N320" s="2" t="str">
        <f>'QBO Transactions'!$Y322</f>
        <v>300- ServiceNow:320- Engineering</v>
      </c>
      <c r="O320" s="2"/>
      <c r="P320" s="2"/>
      <c r="Q320" s="2" t="str">
        <f>'QBO Transactions'!$T322</f>
        <v>PHX 12 News Shop MASTERCARD-XXXXXXHENV5L-Kyle Bense</v>
      </c>
      <c r="R320" s="2"/>
      <c r="S320" s="2"/>
      <c r="T320" s="2"/>
      <c r="U320" s="2"/>
      <c r="V320" s="2"/>
      <c r="W320" s="2"/>
      <c r="X320" s="2" t="str">
        <f t="shared" si="4"/>
        <v>PHX 12 News Shop MASTERCARD-XXXXXXHENV5L-Kyle Bense</v>
      </c>
      <c r="Y320" s="4">
        <f>'QBO Transactions'!$Q322</f>
        <v>46230</v>
      </c>
      <c r="Z320" s="2"/>
      <c r="AA320" s="2"/>
      <c r="AB320" s="2"/>
      <c r="AC320" s="2"/>
      <c r="AD320" s="2"/>
      <c r="AE320" s="2"/>
    </row>
    <row r="321" spans="1:31" ht="12.75" customHeight="1" x14ac:dyDescent="0.25">
      <c r="A321" s="2"/>
      <c r="B321" s="2" t="str">
        <f>'QBO Transactions'!$U323</f>
        <v>Brex Credit Card</v>
      </c>
      <c r="C321" s="3">
        <f>'QBO Transactions'!$S323</f>
        <v>35.83</v>
      </c>
      <c r="D321" s="2" t="str">
        <f>'QBO Transactions'!$R323</f>
        <v>Uber</v>
      </c>
      <c r="E321" s="2"/>
      <c r="F321" s="3" t="str">
        <f>'QBO Transactions'!$X323</f>
        <v>Cost of Goods Sold:COGS- Travel Expenses:Ground Transportation</v>
      </c>
      <c r="G321" s="2"/>
      <c r="H321" s="2"/>
      <c r="I321" s="2"/>
      <c r="J321" s="2"/>
      <c r="K321" s="2"/>
      <c r="L321" s="2"/>
      <c r="M321" s="2"/>
      <c r="N321" s="2" t="str">
        <f>'QBO Transactions'!$Y323</f>
        <v>300- ServiceNow:320- Engineering</v>
      </c>
      <c r="O321" s="2"/>
      <c r="P321" s="2"/>
      <c r="Q321" s="2" t="str">
        <f>'QBO Transactions'!$T323</f>
        <v>UBER   *TRIP MASTERCARD-XXXXXXT1RZ7P-Mitchell Deaner</v>
      </c>
      <c r="R321" s="2"/>
      <c r="S321" s="2"/>
      <c r="T321" s="2"/>
      <c r="U321" s="2"/>
      <c r="V321" s="2"/>
      <c r="W321" s="2"/>
      <c r="X321" s="2" t="str">
        <f t="shared" si="4"/>
        <v>UBER   *TRIP MASTERCARD-XXXXXXT1RZ7P-Mitchell Deaner</v>
      </c>
      <c r="Y321" s="4">
        <f>'QBO Transactions'!$Q323</f>
        <v>46230</v>
      </c>
      <c r="Z321" s="2"/>
      <c r="AA321" s="2"/>
      <c r="AB321" s="2"/>
      <c r="AC321" s="2"/>
      <c r="AD321" s="2"/>
      <c r="AE321" s="2"/>
    </row>
    <row r="322" spans="1:31" ht="12.75" customHeight="1" x14ac:dyDescent="0.25">
      <c r="A322" s="2"/>
      <c r="B322" s="2" t="str">
        <f>'QBO Transactions'!$U324</f>
        <v>Brex Credit Card</v>
      </c>
      <c r="C322" s="3">
        <f>'QBO Transactions'!$S324</f>
        <v>33.090000000000003</v>
      </c>
      <c r="D322" s="2" t="str">
        <f>'QBO Transactions'!$R324</f>
        <v>Lyft</v>
      </c>
      <c r="E322" s="2"/>
      <c r="F322" s="3" t="str">
        <f>'QBO Transactions'!$X324</f>
        <v>Sales &amp; Marketing:Sales &amp; Marketing- Travel Expenses:Ground Transportation</v>
      </c>
      <c r="G322" s="2"/>
      <c r="H322" s="2"/>
      <c r="I322" s="2"/>
      <c r="J322" s="2"/>
      <c r="K322" s="2"/>
      <c r="L322" s="2"/>
      <c r="M322" s="2"/>
      <c r="N322" s="2" t="str">
        <f>'QBO Transactions'!$Y324</f>
        <v>100- Operations:120- Marketing</v>
      </c>
      <c r="O322" s="2"/>
      <c r="P322" s="2"/>
      <c r="Q322" s="2" t="str">
        <f>'QBO Transactions'!$T324</f>
        <v>LYFT   *1 RIDE 07-26 MASTERCARD-XXXXXXOSJU4I-Nikita Ashok</v>
      </c>
      <c r="R322" s="2"/>
      <c r="S322" s="2"/>
      <c r="T322" s="2"/>
      <c r="U322" s="2"/>
      <c r="V322" s="2"/>
      <c r="W322" s="2"/>
      <c r="X322" s="2" t="str">
        <f t="shared" ref="X322:X385" si="5">Q322</f>
        <v>LYFT   *1 RIDE 07-26 MASTERCARD-XXXXXXOSJU4I-Nikita Ashok</v>
      </c>
      <c r="Y322" s="4">
        <f>'QBO Transactions'!$Q324</f>
        <v>46231</v>
      </c>
      <c r="Z322" s="2"/>
      <c r="AA322" s="2"/>
      <c r="AB322" s="2"/>
      <c r="AC322" s="2"/>
      <c r="AD322" s="2"/>
      <c r="AE322" s="2"/>
    </row>
    <row r="323" spans="1:31" ht="12.75" customHeight="1" x14ac:dyDescent="0.25">
      <c r="A323" s="2"/>
      <c r="B323" s="2" t="str">
        <f>'QBO Transactions'!$U325</f>
        <v>Brex Credit Card</v>
      </c>
      <c r="C323" s="3">
        <f>'QBO Transactions'!$S325</f>
        <v>43</v>
      </c>
      <c r="D323" s="2" t="str">
        <f>'QBO Transactions'!$R325</f>
        <v>Asana</v>
      </c>
      <c r="E323" s="2"/>
      <c r="F323" s="3" t="str">
        <f>'QBO Transactions'!$X325</f>
        <v>General &amp; Administrative:Software Licenses</v>
      </c>
      <c r="G323" s="2"/>
      <c r="H323" s="2"/>
      <c r="I323" s="2"/>
      <c r="J323" s="2"/>
      <c r="K323" s="2"/>
      <c r="L323" s="2"/>
      <c r="M323" s="2"/>
      <c r="N323" s="2" t="str">
        <f>'QBO Transactions'!$Y325</f>
        <v>100- Operations:110- G&amp;A</v>
      </c>
      <c r="O323" s="2"/>
      <c r="P323" s="2"/>
      <c r="Q323" s="2" t="str">
        <f>'QBO Transactions'!$T325</f>
        <v>ASANA.COM MASTERCARD-XXXXXXAEQVU3-Vincent Planz</v>
      </c>
      <c r="R323" s="2"/>
      <c r="S323" s="2"/>
      <c r="T323" s="2"/>
      <c r="U323" s="2"/>
      <c r="V323" s="2"/>
      <c r="W323" s="2"/>
      <c r="X323" s="2" t="str">
        <f t="shared" si="5"/>
        <v>ASANA.COM MASTERCARD-XXXXXXAEQVU3-Vincent Planz</v>
      </c>
      <c r="Y323" s="4">
        <f>'QBO Transactions'!$Q325</f>
        <v>46230</v>
      </c>
      <c r="Z323" s="2"/>
      <c r="AA323" s="2"/>
      <c r="AB323" s="2"/>
      <c r="AC323" s="2"/>
      <c r="AD323" s="2"/>
      <c r="AE323" s="2"/>
    </row>
    <row r="324" spans="1:31" ht="12.75" customHeight="1" x14ac:dyDescent="0.25">
      <c r="A324" s="2"/>
      <c r="B324" s="2" t="str">
        <f>'QBO Transactions'!$U326</f>
        <v>Brex Credit Card</v>
      </c>
      <c r="C324" s="3">
        <f>'QBO Transactions'!$S326</f>
        <v>64.86</v>
      </c>
      <c r="D324" s="2" t="str">
        <f>'QBO Transactions'!$R326</f>
        <v>Food Vendor</v>
      </c>
      <c r="E324" s="2"/>
      <c r="F324" s="3" t="str">
        <f>'QBO Transactions'!$X326</f>
        <v>Sales &amp; Marketing:Sales &amp; Marketing- Travel Expenses:Meals &amp; Entertainment</v>
      </c>
      <c r="G324" s="2"/>
      <c r="H324" s="2"/>
      <c r="I324" s="2"/>
      <c r="J324" s="2"/>
      <c r="K324" s="2"/>
      <c r="L324" s="2"/>
      <c r="M324" s="2"/>
      <c r="N324" s="2" t="str">
        <f>'QBO Transactions'!$Y326</f>
        <v>100- Operations:120- Marketing</v>
      </c>
      <c r="O324" s="2"/>
      <c r="P324" s="2"/>
      <c r="Q324" s="2" t="str">
        <f>'QBO Transactions'!$T326</f>
        <v>THE WILDDUCK MARKET PL MASTERCARD-XXXXXXNCUZ4Y-Leslee Brady</v>
      </c>
      <c r="R324" s="2"/>
      <c r="S324" s="2"/>
      <c r="T324" s="2"/>
      <c r="U324" s="2"/>
      <c r="V324" s="2"/>
      <c r="W324" s="2"/>
      <c r="X324" s="2" t="str">
        <f t="shared" si="5"/>
        <v>THE WILDDUCK MARKET PL MASTERCARD-XXXXXXNCUZ4Y-Leslee Brady</v>
      </c>
      <c r="Y324" s="4">
        <f>'QBO Transactions'!$Q326</f>
        <v>46230</v>
      </c>
      <c r="Z324" s="2"/>
      <c r="AA324" s="2"/>
      <c r="AB324" s="2"/>
      <c r="AC324" s="2"/>
      <c r="AD324" s="2"/>
      <c r="AE324" s="2"/>
    </row>
    <row r="325" spans="1:31" ht="12.75" customHeight="1" x14ac:dyDescent="0.25">
      <c r="A325" s="2"/>
      <c r="B325" s="2" t="str">
        <f>'QBO Transactions'!$U327</f>
        <v>Brex Credit Card</v>
      </c>
      <c r="C325" s="3">
        <f>'QBO Transactions'!$S327</f>
        <v>19.7</v>
      </c>
      <c r="D325" s="2" t="str">
        <f>'QBO Transactions'!$R327</f>
        <v>Panera Bread</v>
      </c>
      <c r="E325" s="2"/>
      <c r="F325" s="3" t="str">
        <f>'QBO Transactions'!$X327</f>
        <v>Cost of Goods Sold:COGS- Travel Expenses:Meals &amp; Entertainment</v>
      </c>
      <c r="G325" s="2"/>
      <c r="H325" s="2"/>
      <c r="I325" s="2"/>
      <c r="J325" s="2"/>
      <c r="K325" s="2"/>
      <c r="L325" s="2"/>
      <c r="M325" s="2"/>
      <c r="N325" s="2" t="str">
        <f>'QBO Transactions'!$Y327</f>
        <v>300- ServiceNow:320- Engineering</v>
      </c>
      <c r="O325" s="2"/>
      <c r="P325" s="2"/>
      <c r="Q325" s="2" t="str">
        <f>'QBO Transactions'!$T327</f>
        <v>PANERA BREAD #202979 P MASTERCARD-XXXXXXTIMBNE-Robert Witty</v>
      </c>
      <c r="R325" s="2"/>
      <c r="S325" s="2"/>
      <c r="T325" s="2"/>
      <c r="U325" s="2"/>
      <c r="V325" s="2"/>
      <c r="W325" s="2"/>
      <c r="X325" s="2" t="str">
        <f t="shared" si="5"/>
        <v>PANERA BREAD #202979 P MASTERCARD-XXXXXXTIMBNE-Robert Witty</v>
      </c>
      <c r="Y325" s="4">
        <f>'QBO Transactions'!$Q327</f>
        <v>46230</v>
      </c>
      <c r="Z325" s="2"/>
      <c r="AA325" s="2"/>
      <c r="AB325" s="2"/>
      <c r="AC325" s="2"/>
      <c r="AD325" s="2"/>
      <c r="AE325" s="2"/>
    </row>
    <row r="326" spans="1:31" ht="12.75" customHeight="1" x14ac:dyDescent="0.25">
      <c r="A326" s="2"/>
      <c r="B326" s="2" t="str">
        <f>'QBO Transactions'!$U328</f>
        <v>Brex Credit Card</v>
      </c>
      <c r="C326" s="3">
        <f>'QBO Transactions'!$S328</f>
        <v>17.95</v>
      </c>
      <c r="D326" s="2" t="str">
        <f>'QBO Transactions'!$R328</f>
        <v>Uber</v>
      </c>
      <c r="E326" s="2"/>
      <c r="F326" s="3" t="str">
        <f>'QBO Transactions'!$X328</f>
        <v>Cost of Goods Sold:COGS- Travel Expenses:Ground Transportation</v>
      </c>
      <c r="G326" s="2"/>
      <c r="H326" s="2"/>
      <c r="I326" s="2"/>
      <c r="J326" s="2"/>
      <c r="K326" s="2"/>
      <c r="L326" s="2"/>
      <c r="M326" s="2"/>
      <c r="N326" s="2" t="str">
        <f>'QBO Transactions'!$Y328</f>
        <v>200- Datadog:220- Engineering</v>
      </c>
      <c r="O326" s="2"/>
      <c r="P326" s="2"/>
      <c r="Q326" s="2" t="str">
        <f>'QBO Transactions'!$T328</f>
        <v>UBER   *TRIP MASTERCARD-XXXXXX662USM-Anthony Nguyen</v>
      </c>
      <c r="R326" s="2"/>
      <c r="S326" s="2"/>
      <c r="T326" s="2"/>
      <c r="U326" s="2"/>
      <c r="V326" s="2"/>
      <c r="W326" s="2"/>
      <c r="X326" s="2" t="str">
        <f t="shared" si="5"/>
        <v>UBER   *TRIP MASTERCARD-XXXXXX662USM-Anthony Nguyen</v>
      </c>
      <c r="Y326" s="4">
        <f>'QBO Transactions'!$Q328</f>
        <v>46231</v>
      </c>
      <c r="Z326" s="2"/>
      <c r="AA326" s="2"/>
      <c r="AB326" s="2"/>
      <c r="AC326" s="2"/>
      <c r="AD326" s="2"/>
      <c r="AE326" s="2"/>
    </row>
    <row r="327" spans="1:31" ht="12.75" customHeight="1" x14ac:dyDescent="0.25">
      <c r="A327" s="2"/>
      <c r="B327" s="2" t="str">
        <f>'QBO Transactions'!$U329</f>
        <v>Brex Credit Card</v>
      </c>
      <c r="C327" s="3">
        <f>'QBO Transactions'!$S329</f>
        <v>15.9</v>
      </c>
      <c r="D327" s="2" t="str">
        <f>'QBO Transactions'!$R329</f>
        <v>Panda Express</v>
      </c>
      <c r="E327" s="2"/>
      <c r="F327" s="3" t="str">
        <f>'QBO Transactions'!$X329</f>
        <v>Cost of Goods Sold:COGS- Travel Expenses:Meals &amp; Entertainment</v>
      </c>
      <c r="G327" s="2"/>
      <c r="H327" s="2"/>
      <c r="I327" s="2"/>
      <c r="J327" s="2"/>
      <c r="K327" s="2"/>
      <c r="L327" s="2"/>
      <c r="M327" s="2"/>
      <c r="N327" s="2" t="str">
        <f>'QBO Transactions'!$Y329</f>
        <v>300- ServiceNow:320- Engineering</v>
      </c>
      <c r="O327" s="2"/>
      <c r="P327" s="2"/>
      <c r="Q327" s="2" t="str">
        <f>'QBO Transactions'!$T329</f>
        <v>PANDA EXPRESS #2301 MASTERCARD-XXXXXXS5G548-Kyle Bense</v>
      </c>
      <c r="R327" s="2"/>
      <c r="S327" s="2"/>
      <c r="T327" s="2"/>
      <c r="U327" s="2"/>
      <c r="V327" s="2"/>
      <c r="W327" s="2"/>
      <c r="X327" s="2" t="str">
        <f t="shared" si="5"/>
        <v>PANDA EXPRESS #2301 MASTERCARD-XXXXXXS5G548-Kyle Bense</v>
      </c>
      <c r="Y327" s="4">
        <f>'QBO Transactions'!$Q329</f>
        <v>46230</v>
      </c>
      <c r="Z327" s="2"/>
      <c r="AA327" s="2"/>
      <c r="AB327" s="2"/>
      <c r="AC327" s="2"/>
      <c r="AD327" s="2"/>
      <c r="AE327" s="2"/>
    </row>
    <row r="328" spans="1:31" ht="12.75" customHeight="1" x14ac:dyDescent="0.25">
      <c r="A328" s="2"/>
      <c r="B328" s="2" t="str">
        <f>'QBO Transactions'!$U330</f>
        <v>Brex Credit Card</v>
      </c>
      <c r="C328" s="3">
        <f>'QBO Transactions'!$S330</f>
        <v>40.94</v>
      </c>
      <c r="D328" s="2" t="str">
        <f>'QBO Transactions'!$R330</f>
        <v>Uber</v>
      </c>
      <c r="E328" s="2"/>
      <c r="F328" s="3" t="str">
        <f>'QBO Transactions'!$X330</f>
        <v>Sales &amp; Marketing:Sales &amp; Marketing- Travel Expenses:Ground Transportation</v>
      </c>
      <c r="G328" s="2"/>
      <c r="H328" s="2"/>
      <c r="I328" s="2"/>
      <c r="J328" s="2"/>
      <c r="K328" s="2"/>
      <c r="L328" s="2"/>
      <c r="M328" s="2"/>
      <c r="N328" s="2" t="str">
        <f>'QBO Transactions'!$Y330</f>
        <v>300- ServiceNow:330- Sales</v>
      </c>
      <c r="O328" s="2"/>
      <c r="P328" s="2"/>
      <c r="Q328" s="2" t="str">
        <f>'QBO Transactions'!$T330</f>
        <v>UBER   *TRIP MASTERCARD-XXXXXX3WKYSZ-John Taylor</v>
      </c>
      <c r="R328" s="2"/>
      <c r="S328" s="2"/>
      <c r="T328" s="2"/>
      <c r="U328" s="2"/>
      <c r="V328" s="2"/>
      <c r="W328" s="2"/>
      <c r="X328" s="2" t="str">
        <f t="shared" si="5"/>
        <v>UBER   *TRIP MASTERCARD-XXXXXX3WKYSZ-John Taylor</v>
      </c>
      <c r="Y328" s="4">
        <f>'QBO Transactions'!$Q330</f>
        <v>46231</v>
      </c>
      <c r="Z328" s="2"/>
      <c r="AA328" s="2"/>
      <c r="AB328" s="2"/>
      <c r="AC328" s="2"/>
      <c r="AD328" s="2"/>
      <c r="AE328" s="2"/>
    </row>
    <row r="329" spans="1:31" ht="12.75" customHeight="1" x14ac:dyDescent="0.25">
      <c r="A329" s="2"/>
      <c r="B329" s="2" t="str">
        <f>'QBO Transactions'!$U331</f>
        <v>Brex Credit Card</v>
      </c>
      <c r="C329" s="3">
        <f>'QBO Transactions'!$S331</f>
        <v>23.94</v>
      </c>
      <c r="D329" s="2" t="str">
        <f>'QBO Transactions'!$R331</f>
        <v>Lyft</v>
      </c>
      <c r="E329" s="2"/>
      <c r="F329" s="3" t="str">
        <f>'QBO Transactions'!$X331</f>
        <v>Cost of Goods Sold:COGS- Travel Expenses:Ground Transportation</v>
      </c>
      <c r="G329" s="2"/>
      <c r="H329" s="2"/>
      <c r="I329" s="2"/>
      <c r="J329" s="2"/>
      <c r="K329" s="2"/>
      <c r="L329" s="2"/>
      <c r="M329" s="2"/>
      <c r="N329" s="2" t="str">
        <f>'QBO Transactions'!$Y331</f>
        <v>200- Datadog:220- Engineering</v>
      </c>
      <c r="O329" s="2"/>
      <c r="P329" s="2"/>
      <c r="Q329" s="2" t="str">
        <f>'QBO Transactions'!$T331</f>
        <v>LYFT   *1 RIDE 07-26 MASTERCARD-XXXXXX1DT7P8-Yadwinder Singh</v>
      </c>
      <c r="R329" s="2"/>
      <c r="S329" s="2"/>
      <c r="T329" s="2"/>
      <c r="U329" s="2"/>
      <c r="V329" s="2"/>
      <c r="W329" s="2"/>
      <c r="X329" s="2" t="str">
        <f t="shared" si="5"/>
        <v>LYFT   *1 RIDE 07-26 MASTERCARD-XXXXXX1DT7P8-Yadwinder Singh</v>
      </c>
      <c r="Y329" s="4">
        <f>'QBO Transactions'!$Q331</f>
        <v>46231</v>
      </c>
      <c r="Z329" s="2"/>
      <c r="AA329" s="2"/>
      <c r="AB329" s="2"/>
      <c r="AC329" s="2"/>
      <c r="AD329" s="2"/>
      <c r="AE329" s="2"/>
    </row>
    <row r="330" spans="1:31" ht="12.75" customHeight="1" x14ac:dyDescent="0.25">
      <c r="A330" s="2"/>
      <c r="B330" s="2" t="str">
        <f>'QBO Transactions'!$U332</f>
        <v>Brex Credit Card</v>
      </c>
      <c r="C330" s="3">
        <f>'QBO Transactions'!$S332</f>
        <v>30.04</v>
      </c>
      <c r="D330" s="2" t="str">
        <f>'QBO Transactions'!$R332</f>
        <v>Uber</v>
      </c>
      <c r="E330" s="2"/>
      <c r="F330" s="3" t="str">
        <f>'QBO Transactions'!$X332</f>
        <v>Cost of Goods Sold:COGS- Travel Expenses:Ground Transportation</v>
      </c>
      <c r="G330" s="2"/>
      <c r="H330" s="2"/>
      <c r="I330" s="2"/>
      <c r="J330" s="2"/>
      <c r="K330" s="2"/>
      <c r="L330" s="2"/>
      <c r="M330" s="2"/>
      <c r="N330" s="2" t="str">
        <f>'QBO Transactions'!$Y332</f>
        <v>200- Datadog:220- Engineering</v>
      </c>
      <c r="O330" s="2"/>
      <c r="P330" s="2"/>
      <c r="Q330" s="2" t="str">
        <f>'QBO Transactions'!$T332</f>
        <v>UBER   *TRIP MASTERCARD-XXXXXXX0PN8E-Dan Hennessy</v>
      </c>
      <c r="R330" s="2"/>
      <c r="S330" s="2"/>
      <c r="T330" s="2"/>
      <c r="U330" s="2"/>
      <c r="V330" s="2"/>
      <c r="W330" s="2"/>
      <c r="X330" s="2" t="str">
        <f t="shared" si="5"/>
        <v>UBER   *TRIP MASTERCARD-XXXXXXX0PN8E-Dan Hennessy</v>
      </c>
      <c r="Y330" s="4">
        <f>'QBO Transactions'!$Q332</f>
        <v>46230</v>
      </c>
      <c r="Z330" s="2"/>
      <c r="AA330" s="2"/>
      <c r="AB330" s="2"/>
      <c r="AC330" s="2"/>
      <c r="AD330" s="2"/>
      <c r="AE330" s="2"/>
    </row>
    <row r="331" spans="1:31" ht="12.75" customHeight="1" x14ac:dyDescent="0.25">
      <c r="A331" s="2"/>
      <c r="B331" s="2" t="str">
        <f>'QBO Transactions'!$U333</f>
        <v>Brex Credit Card</v>
      </c>
      <c r="C331" s="3">
        <f>'QBO Transactions'!$S333</f>
        <v>5.01</v>
      </c>
      <c r="D331" s="2" t="str">
        <f>'QBO Transactions'!$R333</f>
        <v>Food Vendor</v>
      </c>
      <c r="E331" s="2"/>
      <c r="F331" s="3" t="str">
        <f>'QBO Transactions'!$X333</f>
        <v>Cost of Goods Sold:COGS- Travel Expenses:Meals &amp; Entertainment</v>
      </c>
      <c r="G331" s="2"/>
      <c r="H331" s="2"/>
      <c r="I331" s="2"/>
      <c r="J331" s="2"/>
      <c r="K331" s="2"/>
      <c r="L331" s="2"/>
      <c r="M331" s="2"/>
      <c r="N331" s="2" t="str">
        <f>'QBO Transactions'!$Y333</f>
        <v>300- ServiceNow:320- Engineering</v>
      </c>
      <c r="O331" s="2"/>
      <c r="P331" s="2"/>
      <c r="Q331" s="2" t="str">
        <f>'QBO Transactions'!$T333</f>
        <v>DILLY'S DELI T4 PHX MASTERCARD-XXXXXXOORB4X-Kyle Bense</v>
      </c>
      <c r="R331" s="2"/>
      <c r="S331" s="2"/>
      <c r="T331" s="2"/>
      <c r="U331" s="2"/>
      <c r="V331" s="2"/>
      <c r="W331" s="2"/>
      <c r="X331" s="2" t="str">
        <f t="shared" si="5"/>
        <v>DILLY'S DELI T4 PHX MASTERCARD-XXXXXXOORB4X-Kyle Bense</v>
      </c>
      <c r="Y331" s="4">
        <f>'QBO Transactions'!$Q333</f>
        <v>46230</v>
      </c>
      <c r="Z331" s="2"/>
      <c r="AA331" s="2"/>
      <c r="AB331" s="2"/>
      <c r="AC331" s="2"/>
      <c r="AD331" s="2"/>
      <c r="AE331" s="2"/>
    </row>
    <row r="332" spans="1:31" ht="12.75" customHeight="1" x14ac:dyDescent="0.25">
      <c r="A332" s="2"/>
      <c r="B332" s="2" t="str">
        <f>'QBO Transactions'!$U334</f>
        <v>Brex Credit Card</v>
      </c>
      <c r="C332" s="3">
        <f>'QBO Transactions'!$S334</f>
        <v>55</v>
      </c>
      <c r="D332" s="2" t="str">
        <f>'QBO Transactions'!$R334</f>
        <v>Travel Vendor</v>
      </c>
      <c r="E332" s="2"/>
      <c r="F332" s="3" t="str">
        <f>'QBO Transactions'!$X334</f>
        <v>General &amp; Administrative:G&amp;A- Travel Expenses:Airfare</v>
      </c>
      <c r="G332" s="2"/>
      <c r="H332" s="2"/>
      <c r="I332" s="2"/>
      <c r="J332" s="2"/>
      <c r="K332" s="2"/>
      <c r="L332" s="2"/>
      <c r="M332" s="2"/>
      <c r="N332" s="2" t="str">
        <f>'QBO Transactions'!$Y334</f>
        <v>100- Operations:110- G&amp;A</v>
      </c>
      <c r="O332" s="2"/>
      <c r="P332" s="2"/>
      <c r="Q332" s="2" t="str">
        <f>'QBO Transactions'!$T334</f>
        <v>AA Kiosk MASTERCARD-XXXXXXUPBB61-Lauren Lechleitner</v>
      </c>
      <c r="R332" s="2"/>
      <c r="S332" s="2"/>
      <c r="T332" s="2"/>
      <c r="U332" s="2"/>
      <c r="V332" s="2"/>
      <c r="W332" s="2"/>
      <c r="X332" s="2" t="str">
        <f t="shared" si="5"/>
        <v>AA Kiosk MASTERCARD-XXXXXXUPBB61-Lauren Lechleitner</v>
      </c>
      <c r="Y332" s="4">
        <f>'QBO Transactions'!$Q334</f>
        <v>46230</v>
      </c>
      <c r="Z332" s="2"/>
      <c r="AA332" s="2"/>
      <c r="AB332" s="2"/>
      <c r="AC332" s="2"/>
      <c r="AD332" s="2"/>
      <c r="AE332" s="2"/>
    </row>
    <row r="333" spans="1:31" ht="12.75" customHeight="1" x14ac:dyDescent="0.25">
      <c r="A333" s="2"/>
      <c r="B333" s="2" t="str">
        <f>'QBO Transactions'!$U335</f>
        <v>Brex Credit Card</v>
      </c>
      <c r="C333" s="3">
        <f>'QBO Transactions'!$S335</f>
        <v>5.74</v>
      </c>
      <c r="D333" s="2" t="str">
        <f>'QBO Transactions'!$R335</f>
        <v>Hudson News</v>
      </c>
      <c r="E333" s="2"/>
      <c r="F333" s="3" t="str">
        <f>'QBO Transactions'!$X335</f>
        <v>Cost of Goods Sold:COGS- Travel Expenses:Meals &amp; Entertainment</v>
      </c>
      <c r="G333" s="2"/>
      <c r="H333" s="2"/>
      <c r="I333" s="2"/>
      <c r="J333" s="2"/>
      <c r="K333" s="2"/>
      <c r="L333" s="2"/>
      <c r="M333" s="2"/>
      <c r="N333" s="2" t="str">
        <f>'QBO Transactions'!$Y335</f>
        <v>300- ServiceNow:320- Engineering</v>
      </c>
      <c r="O333" s="2"/>
      <c r="P333" s="2"/>
      <c r="Q333" s="2" t="str">
        <f>'QBO Transactions'!$T335</f>
        <v>MSP HUDSON ST2295 MASTERCARD-XXXXXXBB5D6L-Tanner Ylvisaker</v>
      </c>
      <c r="R333" s="2"/>
      <c r="S333" s="2"/>
      <c r="T333" s="2"/>
      <c r="U333" s="2"/>
      <c r="V333" s="2"/>
      <c r="W333" s="2"/>
      <c r="X333" s="2" t="str">
        <f t="shared" si="5"/>
        <v>MSP HUDSON ST2295 MASTERCARD-XXXXXXBB5D6L-Tanner Ylvisaker</v>
      </c>
      <c r="Y333" s="4">
        <f>'QBO Transactions'!$Q335</f>
        <v>46230</v>
      </c>
      <c r="Z333" s="2"/>
      <c r="AA333" s="2"/>
      <c r="AB333" s="2"/>
      <c r="AC333" s="2"/>
      <c r="AD333" s="2"/>
      <c r="AE333" s="2"/>
    </row>
    <row r="334" spans="1:31" ht="12.75" customHeight="1" x14ac:dyDescent="0.25">
      <c r="A334" s="2"/>
      <c r="B334" s="2" t="str">
        <f>'QBO Transactions'!$U336</f>
        <v>Brex Credit Card</v>
      </c>
      <c r="C334" s="3">
        <f>'QBO Transactions'!$S336</f>
        <v>26.47</v>
      </c>
      <c r="D334" s="2" t="str">
        <f>'QBO Transactions'!$R336</f>
        <v>Travel Vendor</v>
      </c>
      <c r="E334" s="2"/>
      <c r="F334" s="3" t="str">
        <f>'QBO Transactions'!$X336</f>
        <v>Cost of Goods Sold:COGS- Travel Expenses:Other Travel Expenses</v>
      </c>
      <c r="G334" s="2"/>
      <c r="H334" s="2"/>
      <c r="I334" s="2"/>
      <c r="J334" s="2"/>
      <c r="K334" s="2"/>
      <c r="L334" s="2"/>
      <c r="M334" s="2"/>
      <c r="N334" s="2" t="str">
        <f>'QBO Transactions'!$Y336</f>
        <v>300- ServiceNow:320- Engineering</v>
      </c>
      <c r="O334" s="2"/>
      <c r="P334" s="2"/>
      <c r="Q334" s="2" t="str">
        <f>'QBO Transactions'!$T336</f>
        <v>PHX TRIP ADVISOR Shop MASTERCARD-XXXXXXTH2XVA-Kyle Bense</v>
      </c>
      <c r="R334" s="2"/>
      <c r="S334" s="2"/>
      <c r="T334" s="2"/>
      <c r="U334" s="2"/>
      <c r="V334" s="2"/>
      <c r="W334" s="2"/>
      <c r="X334" s="2" t="str">
        <f t="shared" si="5"/>
        <v>PHX TRIP ADVISOR Shop MASTERCARD-XXXXXXTH2XVA-Kyle Bense</v>
      </c>
      <c r="Y334" s="4">
        <f>'QBO Transactions'!$Q336</f>
        <v>46230</v>
      </c>
      <c r="Z334" s="2"/>
      <c r="AA334" s="2"/>
      <c r="AB334" s="2"/>
      <c r="AC334" s="2"/>
      <c r="AD334" s="2"/>
      <c r="AE334" s="2"/>
    </row>
    <row r="335" spans="1:31" ht="12.75" customHeight="1" x14ac:dyDescent="0.25">
      <c r="A335" s="2"/>
      <c r="B335" s="2" t="str">
        <f>'QBO Transactions'!$U337</f>
        <v>Brex Credit Card</v>
      </c>
      <c r="C335" s="3">
        <f>'QBO Transactions'!$S337</f>
        <v>23</v>
      </c>
      <c r="D335" s="2" t="str">
        <f>'QBO Transactions'!$R337</f>
        <v>Food Vendor</v>
      </c>
      <c r="E335" s="2"/>
      <c r="F335" s="3" t="str">
        <f>'QBO Transactions'!$X337</f>
        <v>Cost of Goods Sold:COGS- Travel Expenses:Meals &amp; Entertainment</v>
      </c>
      <c r="G335" s="2"/>
      <c r="H335" s="2"/>
      <c r="I335" s="2"/>
      <c r="J335" s="2"/>
      <c r="K335" s="2"/>
      <c r="L335" s="2"/>
      <c r="M335" s="2"/>
      <c r="N335" s="2" t="str">
        <f>'QBO Transactions'!$Y337</f>
        <v>200- Datadog:220- Engineering</v>
      </c>
      <c r="O335" s="2"/>
      <c r="P335" s="2"/>
      <c r="Q335" s="2" t="str">
        <f>'QBO Transactions'!$T337</f>
        <v>ARMK FENWAY CONCESSION MASTERCARD-XXXXXXWIKF5O-Anthony Nguyen</v>
      </c>
      <c r="R335" s="2"/>
      <c r="S335" s="2"/>
      <c r="T335" s="2"/>
      <c r="U335" s="2"/>
      <c r="V335" s="2"/>
      <c r="W335" s="2"/>
      <c r="X335" s="2" t="str">
        <f t="shared" si="5"/>
        <v>ARMK FENWAY CONCESSION MASTERCARD-XXXXXXWIKF5O-Anthony Nguyen</v>
      </c>
      <c r="Y335" s="4">
        <f>'QBO Transactions'!$Q337</f>
        <v>46231</v>
      </c>
      <c r="Z335" s="2"/>
      <c r="AA335" s="2"/>
      <c r="AB335" s="2"/>
      <c r="AC335" s="2"/>
      <c r="AD335" s="2"/>
      <c r="AE335" s="2"/>
    </row>
    <row r="336" spans="1:31" ht="12.75" customHeight="1" x14ac:dyDescent="0.25">
      <c r="A336" s="2"/>
      <c r="B336" s="2" t="str">
        <f>'QBO Transactions'!$U338</f>
        <v>Brex Credit Card</v>
      </c>
      <c r="C336" s="3">
        <f>'QBO Transactions'!$S338</f>
        <v>22.78</v>
      </c>
      <c r="D336" s="2" t="str">
        <f>'QBO Transactions'!$R338</f>
        <v>Shake Shack</v>
      </c>
      <c r="E336" s="2"/>
      <c r="F336" s="3" t="str">
        <f>'QBO Transactions'!$X338</f>
        <v>Cost of Goods Sold:COGS- Travel Expenses:Meals &amp; Entertainment</v>
      </c>
      <c r="G336" s="2"/>
      <c r="H336" s="2"/>
      <c r="I336" s="2"/>
      <c r="J336" s="2"/>
      <c r="K336" s="2"/>
      <c r="L336" s="2"/>
      <c r="M336" s="2"/>
      <c r="N336" s="2" t="str">
        <f>'QBO Transactions'!$Y338</f>
        <v>300- ServiceNow:320- Engineering</v>
      </c>
      <c r="O336" s="2"/>
      <c r="P336" s="2"/>
      <c r="Q336" s="2" t="str">
        <f>'QBO Transactions'!$T338</f>
        <v>SQ *SHAKE SHACK MASTERCARD-XXXXXX3OPET8-Noah Zahrt</v>
      </c>
      <c r="R336" s="2"/>
      <c r="S336" s="2"/>
      <c r="T336" s="2"/>
      <c r="U336" s="2"/>
      <c r="V336" s="2"/>
      <c r="W336" s="2"/>
      <c r="X336" s="2" t="str">
        <f t="shared" si="5"/>
        <v>SQ *SHAKE SHACK MASTERCARD-XXXXXX3OPET8-Noah Zahrt</v>
      </c>
      <c r="Y336" s="4">
        <f>'QBO Transactions'!$Q338</f>
        <v>46230</v>
      </c>
      <c r="Z336" s="2"/>
      <c r="AA336" s="2"/>
      <c r="AB336" s="2"/>
      <c r="AC336" s="2"/>
      <c r="AD336" s="2"/>
      <c r="AE336" s="2"/>
    </row>
    <row r="337" spans="1:31" ht="12.75" customHeight="1" x14ac:dyDescent="0.25">
      <c r="A337" s="2"/>
      <c r="B337" s="2" t="str">
        <f>'QBO Transactions'!$U339</f>
        <v>Brex Credit Card</v>
      </c>
      <c r="C337" s="3">
        <f>'QBO Transactions'!$S339</f>
        <v>47.96</v>
      </c>
      <c r="D337" s="2" t="str">
        <f>'QBO Transactions'!$R339</f>
        <v>Food Vendor</v>
      </c>
      <c r="E337" s="2"/>
      <c r="F337" s="3" t="str">
        <f>'QBO Transactions'!$X339</f>
        <v>Cost of Goods Sold:COGS- Travel Expenses:Meals &amp; Entertainment</v>
      </c>
      <c r="G337" s="2"/>
      <c r="H337" s="2"/>
      <c r="I337" s="2"/>
      <c r="J337" s="2"/>
      <c r="K337" s="2"/>
      <c r="L337" s="2"/>
      <c r="M337" s="2"/>
      <c r="N337" s="2" t="str">
        <f>'QBO Transactions'!$Y339</f>
        <v>200- Datadog:220- Engineering</v>
      </c>
      <c r="O337" s="2"/>
      <c r="P337" s="2"/>
      <c r="Q337" s="2" t="str">
        <f>'QBO Transactions'!$T339</f>
        <v>AMK FENWAY PARK CONCES MASTERCARD-XXXXXXKVMT6N-Anthony Nguyen</v>
      </c>
      <c r="R337" s="2"/>
      <c r="S337" s="2"/>
      <c r="T337" s="2"/>
      <c r="U337" s="2"/>
      <c r="V337" s="2"/>
      <c r="W337" s="2"/>
      <c r="X337" s="2" t="str">
        <f t="shared" si="5"/>
        <v>AMK FENWAY PARK CONCES MASTERCARD-XXXXXXKVMT6N-Anthony Nguyen</v>
      </c>
      <c r="Y337" s="4">
        <f>'QBO Transactions'!$Q339</f>
        <v>46230</v>
      </c>
      <c r="Z337" s="2"/>
      <c r="AA337" s="2"/>
      <c r="AB337" s="2"/>
      <c r="AC337" s="2"/>
      <c r="AD337" s="2"/>
      <c r="AE337" s="2"/>
    </row>
    <row r="338" spans="1:31" ht="12.75" customHeight="1" x14ac:dyDescent="0.25">
      <c r="A338" s="2"/>
      <c r="B338" s="2" t="str">
        <f>'QBO Transactions'!$U340</f>
        <v>Brex Credit Card</v>
      </c>
      <c r="C338" s="3">
        <f>'QBO Transactions'!$S340</f>
        <v>13.97</v>
      </c>
      <c r="D338" s="2" t="str">
        <f>'QBO Transactions'!$R340</f>
        <v>Food Vendor</v>
      </c>
      <c r="E338" s="2"/>
      <c r="F338" s="3" t="str">
        <f>'QBO Transactions'!$X340</f>
        <v>General &amp; Administrative:G&amp;A- Travel Expenses:Meals &amp; Entertainment</v>
      </c>
      <c r="G338" s="2"/>
      <c r="H338" s="2"/>
      <c r="I338" s="2"/>
      <c r="J338" s="2"/>
      <c r="K338" s="2"/>
      <c r="L338" s="2"/>
      <c r="M338" s="2"/>
      <c r="N338" s="2" t="str">
        <f>'QBO Transactions'!$Y340</f>
        <v>300- ServiceNow:320- Engineering</v>
      </c>
      <c r="O338" s="2"/>
      <c r="P338" s="2"/>
      <c r="Q338" s="2" t="str">
        <f>'QBO Transactions'!$T340</f>
        <v>TST* GOGO YA MASTERCARD-XXXXXX82PJVI-Daniel Levin</v>
      </c>
      <c r="R338" s="2"/>
      <c r="S338" s="2"/>
      <c r="T338" s="2"/>
      <c r="U338" s="2"/>
      <c r="V338" s="2"/>
      <c r="W338" s="2"/>
      <c r="X338" s="2" t="str">
        <f t="shared" si="5"/>
        <v>TST* GOGO YA MASTERCARD-XXXXXX82PJVI-Daniel Levin</v>
      </c>
      <c r="Y338" s="4">
        <f>'QBO Transactions'!$Q340</f>
        <v>46230</v>
      </c>
      <c r="Z338" s="2"/>
      <c r="AA338" s="2"/>
      <c r="AB338" s="2"/>
      <c r="AC338" s="2"/>
      <c r="AD338" s="2"/>
      <c r="AE338" s="2"/>
    </row>
    <row r="339" spans="1:31" ht="12.75" customHeight="1" x14ac:dyDescent="0.25">
      <c r="A339" s="2"/>
      <c r="B339" s="2" t="str">
        <f>'QBO Transactions'!$U341</f>
        <v>Brex Credit Card</v>
      </c>
      <c r="C339" s="3">
        <f>'QBO Transactions'!$S341</f>
        <v>12.71</v>
      </c>
      <c r="D339" s="2" t="str">
        <f>'QBO Transactions'!$R341</f>
        <v>Raising Canes</v>
      </c>
      <c r="E339" s="2"/>
      <c r="F339" s="3" t="str">
        <f>'QBO Transactions'!$X341</f>
        <v>Cost of Goods Sold:COGS- Travel Expenses:Meals &amp; Entertainment</v>
      </c>
      <c r="G339" s="2"/>
      <c r="H339" s="2"/>
      <c r="I339" s="2"/>
      <c r="J339" s="2"/>
      <c r="K339" s="2"/>
      <c r="L339" s="2"/>
      <c r="M339" s="2"/>
      <c r="N339" s="2" t="str">
        <f>'QBO Transactions'!$Y341</f>
        <v>300- ServiceNow:320- Engineering</v>
      </c>
      <c r="O339" s="2"/>
      <c r="P339" s="2"/>
      <c r="Q339" s="2" t="str">
        <f>'QBO Transactions'!$T341</f>
        <v>RAISING CANES 0676 MASTERCARD-XXXXXXQD76J5-Austin Nadler</v>
      </c>
      <c r="R339" s="2"/>
      <c r="S339" s="2"/>
      <c r="T339" s="2"/>
      <c r="U339" s="2"/>
      <c r="V339" s="2"/>
      <c r="W339" s="2"/>
      <c r="X339" s="2" t="str">
        <f t="shared" si="5"/>
        <v>RAISING CANES 0676 MASTERCARD-XXXXXXQD76J5-Austin Nadler</v>
      </c>
      <c r="Y339" s="4">
        <f>'QBO Transactions'!$Q341</f>
        <v>46231</v>
      </c>
      <c r="Z339" s="2"/>
      <c r="AA339" s="2"/>
      <c r="AB339" s="2"/>
      <c r="AC339" s="2"/>
      <c r="AD339" s="2"/>
      <c r="AE339" s="2"/>
    </row>
    <row r="340" spans="1:31" ht="12.75" customHeight="1" x14ac:dyDescent="0.25">
      <c r="A340" s="2"/>
      <c r="B340" s="2" t="str">
        <f>'QBO Transactions'!$U342</f>
        <v>Brex Credit Card</v>
      </c>
      <c r="C340" s="3">
        <f>'QBO Transactions'!$S342</f>
        <v>10.68</v>
      </c>
      <c r="D340" s="2" t="str">
        <f>'QBO Transactions'!$R342</f>
        <v>Food Vendor</v>
      </c>
      <c r="E340" s="2"/>
      <c r="F340" s="3" t="str">
        <f>'QBO Transactions'!$X342</f>
        <v>Cost of Goods Sold:COGS- Travel Expenses:Meals &amp; Entertainment</v>
      </c>
      <c r="G340" s="2"/>
      <c r="H340" s="2"/>
      <c r="I340" s="2"/>
      <c r="J340" s="2"/>
      <c r="K340" s="2"/>
      <c r="L340" s="2"/>
      <c r="M340" s="2"/>
      <c r="N340" s="2" t="str">
        <f>'QBO Transactions'!$Y342</f>
        <v>300- ServiceNow:320- Engineering</v>
      </c>
      <c r="O340" s="2"/>
      <c r="P340" s="2"/>
      <c r="Q340" s="2" t="str">
        <f>'QBO Transactions'!$T342</f>
        <v>SPO*FINAGLEABAGEL MASTERCARD-XXXXXXXFZE1R-Jonathan Stricklin</v>
      </c>
      <c r="R340" s="2"/>
      <c r="S340" s="2"/>
      <c r="T340" s="2"/>
      <c r="U340" s="2"/>
      <c r="V340" s="2"/>
      <c r="W340" s="2"/>
      <c r="X340" s="2" t="str">
        <f t="shared" si="5"/>
        <v>SPO*FINAGLEABAGEL MASTERCARD-XXXXXXXFZE1R-Jonathan Stricklin</v>
      </c>
      <c r="Y340" s="4">
        <f>'QBO Transactions'!$Q342</f>
        <v>46230</v>
      </c>
      <c r="Z340" s="2"/>
      <c r="AA340" s="2"/>
      <c r="AB340" s="2"/>
      <c r="AC340" s="2"/>
      <c r="AD340" s="2"/>
      <c r="AE340" s="2"/>
    </row>
    <row r="341" spans="1:31" ht="12.75" customHeight="1" x14ac:dyDescent="0.25">
      <c r="A341" s="2"/>
      <c r="B341" s="2" t="str">
        <f>'QBO Transactions'!$U343</f>
        <v>Brex Credit Card</v>
      </c>
      <c r="C341" s="3">
        <f>'QBO Transactions'!$S343</f>
        <v>34.950000000000003</v>
      </c>
      <c r="D341" s="2" t="str">
        <f>'QBO Transactions'!$R343</f>
        <v>Uber</v>
      </c>
      <c r="E341" s="2"/>
      <c r="F341" s="3" t="str">
        <f>'QBO Transactions'!$X343</f>
        <v>Cost of Goods Sold:COGS- Travel Expenses:Ground Transportation</v>
      </c>
      <c r="G341" s="2"/>
      <c r="H341" s="2"/>
      <c r="I341" s="2"/>
      <c r="J341" s="2"/>
      <c r="K341" s="2"/>
      <c r="L341" s="2"/>
      <c r="M341" s="2"/>
      <c r="N341" s="2" t="str">
        <f>'QBO Transactions'!$Y343</f>
        <v>300- ServiceNow:320- Engineering</v>
      </c>
      <c r="O341" s="2"/>
      <c r="P341" s="2"/>
      <c r="Q341" s="2" t="str">
        <f>'QBO Transactions'!$T343</f>
        <v>UBER   *TRIP MASTERCARD-XXXXXX9Z923Z-Noah Zahrt</v>
      </c>
      <c r="R341" s="2"/>
      <c r="S341" s="2"/>
      <c r="T341" s="2"/>
      <c r="U341" s="2"/>
      <c r="V341" s="2"/>
      <c r="W341" s="2"/>
      <c r="X341" s="2" t="str">
        <f t="shared" si="5"/>
        <v>UBER   *TRIP MASTERCARD-XXXXXX9Z923Z-Noah Zahrt</v>
      </c>
      <c r="Y341" s="4">
        <f>'QBO Transactions'!$Q343</f>
        <v>46230</v>
      </c>
      <c r="Z341" s="2"/>
      <c r="AA341" s="2"/>
      <c r="AB341" s="2"/>
      <c r="AC341" s="2"/>
      <c r="AD341" s="2"/>
      <c r="AE341" s="2"/>
    </row>
    <row r="342" spans="1:31" ht="12.75" customHeight="1" x14ac:dyDescent="0.25">
      <c r="A342" s="2"/>
      <c r="B342" s="2" t="str">
        <f>'QBO Transactions'!$U344</f>
        <v>Brex Credit Card</v>
      </c>
      <c r="C342" s="3">
        <f>'QBO Transactions'!$S344</f>
        <v>21.12</v>
      </c>
      <c r="D342" s="2" t="str">
        <f>'QBO Transactions'!$R344</f>
        <v>Capital Burger</v>
      </c>
      <c r="E342" s="2"/>
      <c r="F342" s="3" t="str">
        <f>'QBO Transactions'!$X344</f>
        <v>Cost of Goods Sold:COGS- Travel Expenses:Meals &amp; Entertainment</v>
      </c>
      <c r="G342" s="2"/>
      <c r="H342" s="2"/>
      <c r="I342" s="2"/>
      <c r="J342" s="2"/>
      <c r="K342" s="2"/>
      <c r="L342" s="2"/>
      <c r="M342" s="2"/>
      <c r="N342" s="2" t="str">
        <f>'QBO Transactions'!$Y344</f>
        <v>300- ServiceNow:320- Engineering</v>
      </c>
      <c r="O342" s="2"/>
      <c r="P342" s="2"/>
      <c r="Q342" s="2" t="str">
        <f>'QBO Transactions'!$T344</f>
        <v>CAPITAL BURGER 0213402 MASTERCARD-XXXXXXIM7M96-Jonathan Stricklin</v>
      </c>
      <c r="R342" s="2"/>
      <c r="S342" s="2"/>
      <c r="T342" s="2"/>
      <c r="U342" s="2"/>
      <c r="V342" s="2"/>
      <c r="W342" s="2"/>
      <c r="X342" s="2" t="str">
        <f t="shared" si="5"/>
        <v>CAPITAL BURGER 0213402 MASTERCARD-XXXXXXIM7M96-Jonathan Stricklin</v>
      </c>
      <c r="Y342" s="4">
        <f>'QBO Transactions'!$Q344</f>
        <v>46231</v>
      </c>
      <c r="Z342" s="2"/>
      <c r="AA342" s="2"/>
      <c r="AB342" s="2"/>
      <c r="AC342" s="2"/>
      <c r="AD342" s="2"/>
      <c r="AE342" s="2"/>
    </row>
    <row r="343" spans="1:31" ht="12.75" customHeight="1" x14ac:dyDescent="0.25">
      <c r="A343" s="2"/>
      <c r="B343" s="2" t="str">
        <f>'QBO Transactions'!$U345</f>
        <v>Brex Credit Card</v>
      </c>
      <c r="C343" s="3">
        <f>'QBO Transactions'!$S345</f>
        <v>30.95</v>
      </c>
      <c r="D343" s="2" t="str">
        <f>'QBO Transactions'!$R345</f>
        <v>Uber</v>
      </c>
      <c r="E343" s="2"/>
      <c r="F343" s="3" t="str">
        <f>'QBO Transactions'!$X345</f>
        <v>Cost of Goods Sold:COGS- Travel Expenses:Ground Transportation</v>
      </c>
      <c r="G343" s="2"/>
      <c r="H343" s="2"/>
      <c r="I343" s="2"/>
      <c r="J343" s="2"/>
      <c r="K343" s="2"/>
      <c r="L343" s="2"/>
      <c r="M343" s="2"/>
      <c r="N343" s="2" t="str">
        <f>'QBO Transactions'!$Y345</f>
        <v>300- ServiceNow:320- Engineering</v>
      </c>
      <c r="O343" s="2"/>
      <c r="P343" s="2"/>
      <c r="Q343" s="2" t="str">
        <f>'QBO Transactions'!$T345</f>
        <v>UBER   *TRIP MASTERCARD-XXXXXXUE09RY-Austin Nadler</v>
      </c>
      <c r="R343" s="2"/>
      <c r="S343" s="2"/>
      <c r="T343" s="2"/>
      <c r="U343" s="2"/>
      <c r="V343" s="2"/>
      <c r="W343" s="2"/>
      <c r="X343" s="2" t="str">
        <f t="shared" si="5"/>
        <v>UBER   *TRIP MASTERCARD-XXXXXXUE09RY-Austin Nadler</v>
      </c>
      <c r="Y343" s="4">
        <f>'QBO Transactions'!$Q345</f>
        <v>46230</v>
      </c>
      <c r="Z343" s="2"/>
      <c r="AA343" s="2"/>
      <c r="AB343" s="2"/>
      <c r="AC343" s="2"/>
      <c r="AD343" s="2"/>
      <c r="AE343" s="2"/>
    </row>
    <row r="344" spans="1:31" ht="12.75" customHeight="1" x14ac:dyDescent="0.25">
      <c r="A344" s="2"/>
      <c r="B344" s="2" t="str">
        <f>'QBO Transactions'!$U346</f>
        <v>Brex Credit Card</v>
      </c>
      <c r="C344" s="3">
        <f>'QBO Transactions'!$S346</f>
        <v>52.89</v>
      </c>
      <c r="D344" s="2" t="str">
        <f>'QBO Transactions'!$R346</f>
        <v>Food Vendor</v>
      </c>
      <c r="E344" s="2"/>
      <c r="F344" s="3" t="str">
        <f>'QBO Transactions'!$X346</f>
        <v>Cost of Goods Sold:COGS- Travel Expenses:Meals &amp; Entertainment</v>
      </c>
      <c r="G344" s="2"/>
      <c r="H344" s="2"/>
      <c r="I344" s="2"/>
      <c r="J344" s="2"/>
      <c r="K344" s="2"/>
      <c r="L344" s="2"/>
      <c r="M344" s="2"/>
      <c r="N344" s="2" t="str">
        <f>'QBO Transactions'!$Y346</f>
        <v>200- Datadog:220- Engineering</v>
      </c>
      <c r="O344" s="2"/>
      <c r="P344" s="2"/>
      <c r="Q344" s="2" t="str">
        <f>'QBO Transactions'!$T346</f>
        <v>AMK FENWAY PARK CONCES MASTERCARD-XXXXXXW0SQXC-Anthony Nguyen</v>
      </c>
      <c r="R344" s="2"/>
      <c r="S344" s="2"/>
      <c r="T344" s="2"/>
      <c r="U344" s="2"/>
      <c r="V344" s="2"/>
      <c r="W344" s="2"/>
      <c r="X344" s="2" t="str">
        <f t="shared" si="5"/>
        <v>AMK FENWAY PARK CONCES MASTERCARD-XXXXXXW0SQXC-Anthony Nguyen</v>
      </c>
      <c r="Y344" s="4">
        <f>'QBO Transactions'!$Q346</f>
        <v>46230</v>
      </c>
      <c r="Z344" s="2"/>
      <c r="AA344" s="2"/>
      <c r="AB344" s="2"/>
      <c r="AC344" s="2"/>
      <c r="AD344" s="2"/>
      <c r="AE344" s="2"/>
    </row>
    <row r="345" spans="1:31" ht="12.75" customHeight="1" x14ac:dyDescent="0.25">
      <c r="A345" s="2"/>
      <c r="B345" s="2" t="str">
        <f>'QBO Transactions'!$U347</f>
        <v>Brex Credit Card</v>
      </c>
      <c r="C345" s="3">
        <f>'QBO Transactions'!$S347</f>
        <v>8.2799999999999994</v>
      </c>
      <c r="D345" s="2" t="str">
        <f>'QBO Transactions'!$R347</f>
        <v>Food Vendor</v>
      </c>
      <c r="E345" s="2"/>
      <c r="F345" s="3" t="str">
        <f>'QBO Transactions'!$X347</f>
        <v>Sales &amp; Marketing:Sales &amp; Marketing- Travel Expenses:Meals &amp; Entertainment</v>
      </c>
      <c r="G345" s="2"/>
      <c r="H345" s="2"/>
      <c r="I345" s="2"/>
      <c r="J345" s="2"/>
      <c r="K345" s="2"/>
      <c r="L345" s="2"/>
      <c r="M345" s="2"/>
      <c r="N345" s="2" t="str">
        <f>'QBO Transactions'!$Y347</f>
        <v>200- Datadog:230- Sales</v>
      </c>
      <c r="O345" s="2"/>
      <c r="P345" s="2"/>
      <c r="Q345" s="2" t="str">
        <f>'QBO Transactions'!$T347</f>
        <v>TRADER JOE S #566 MASTERCARD-XXXXXXP8BM7M-James Dean</v>
      </c>
      <c r="R345" s="2"/>
      <c r="S345" s="2"/>
      <c r="T345" s="2"/>
      <c r="U345" s="2"/>
      <c r="V345" s="2"/>
      <c r="W345" s="2"/>
      <c r="X345" s="2" t="str">
        <f t="shared" si="5"/>
        <v>TRADER JOE S #566 MASTERCARD-XXXXXXP8BM7M-James Dean</v>
      </c>
      <c r="Y345" s="4">
        <f>'QBO Transactions'!$Q347</f>
        <v>46230</v>
      </c>
      <c r="Z345" s="2"/>
      <c r="AA345" s="2"/>
      <c r="AB345" s="2"/>
      <c r="AC345" s="2"/>
      <c r="AD345" s="2"/>
      <c r="AE345" s="2"/>
    </row>
    <row r="346" spans="1:31" ht="12.75" customHeight="1" x14ac:dyDescent="0.25">
      <c r="A346" s="2"/>
      <c r="B346" s="2" t="str">
        <f>'QBO Transactions'!$U348</f>
        <v>Brex Credit Card</v>
      </c>
      <c r="C346" s="3">
        <f>'QBO Transactions'!$S348</f>
        <v>28.98</v>
      </c>
      <c r="D346" s="2" t="str">
        <f>'QBO Transactions'!$R348</f>
        <v>Uber</v>
      </c>
      <c r="E346" s="2"/>
      <c r="F346" s="3" t="str">
        <f>'QBO Transactions'!$X348</f>
        <v>Cost of Goods Sold:COGS- Travel Expenses:Ground Transportation</v>
      </c>
      <c r="G346" s="2"/>
      <c r="H346" s="2"/>
      <c r="I346" s="2"/>
      <c r="J346" s="2"/>
      <c r="K346" s="2"/>
      <c r="L346" s="2"/>
      <c r="M346" s="2"/>
      <c r="N346" s="2" t="str">
        <f>'QBO Transactions'!$Y348</f>
        <v>300- ServiceNow:320- Engineering</v>
      </c>
      <c r="O346" s="2"/>
      <c r="P346" s="2"/>
      <c r="Q346" s="2" t="str">
        <f>'QBO Transactions'!$T348</f>
        <v>UBER   *TRIP MASTERCARD-XXXXXXSHQ9OE-Cody Sandford</v>
      </c>
      <c r="R346" s="2"/>
      <c r="S346" s="2"/>
      <c r="T346" s="2"/>
      <c r="U346" s="2"/>
      <c r="V346" s="2"/>
      <c r="W346" s="2"/>
      <c r="X346" s="2" t="str">
        <f t="shared" si="5"/>
        <v>UBER   *TRIP MASTERCARD-XXXXXXSHQ9OE-Cody Sandford</v>
      </c>
      <c r="Y346" s="4">
        <f>'QBO Transactions'!$Q348</f>
        <v>46231</v>
      </c>
      <c r="Z346" s="2"/>
      <c r="AA346" s="2"/>
      <c r="AB346" s="2"/>
      <c r="AC346" s="2"/>
      <c r="AD346" s="2"/>
      <c r="AE346" s="2"/>
    </row>
    <row r="347" spans="1:31" ht="12.75" customHeight="1" x14ac:dyDescent="0.25">
      <c r="A347" s="2"/>
      <c r="B347" s="2" t="str">
        <f>'QBO Transactions'!$U349</f>
        <v>Brex Credit Card</v>
      </c>
      <c r="C347" s="3">
        <f>'QBO Transactions'!$S349</f>
        <v>78.989999999999995</v>
      </c>
      <c r="D347" s="2" t="str">
        <f>'QBO Transactions'!$R349</f>
        <v>Uber</v>
      </c>
      <c r="E347" s="2"/>
      <c r="F347" s="3" t="str">
        <f>'QBO Transactions'!$X349</f>
        <v>Sales &amp; Marketing:Sales &amp; Marketing- Travel Expenses:Ground Transportation</v>
      </c>
      <c r="G347" s="2"/>
      <c r="H347" s="2"/>
      <c r="I347" s="2"/>
      <c r="J347" s="2"/>
      <c r="K347" s="2"/>
      <c r="L347" s="2"/>
      <c r="M347" s="2"/>
      <c r="N347" s="2" t="str">
        <f>'QBO Transactions'!$Y349</f>
        <v>100- Operations:120- Marketing</v>
      </c>
      <c r="O347" s="2"/>
      <c r="P347" s="2"/>
      <c r="Q347" s="2" t="str">
        <f>'QBO Transactions'!$T349</f>
        <v>UBER   *TRIP MASTERCARD-XXXXXXWAKSGS-Leslee Brady</v>
      </c>
      <c r="R347" s="2"/>
      <c r="S347" s="2"/>
      <c r="T347" s="2"/>
      <c r="U347" s="2"/>
      <c r="V347" s="2"/>
      <c r="W347" s="2"/>
      <c r="X347" s="2" t="str">
        <f t="shared" si="5"/>
        <v>UBER   *TRIP MASTERCARD-XXXXXXWAKSGS-Leslee Brady</v>
      </c>
      <c r="Y347" s="4">
        <f>'QBO Transactions'!$Q349</f>
        <v>46230</v>
      </c>
      <c r="Z347" s="2"/>
      <c r="AA347" s="2"/>
      <c r="AB347" s="2"/>
      <c r="AC347" s="2"/>
      <c r="AD347" s="2"/>
      <c r="AE347" s="2"/>
    </row>
    <row r="348" spans="1:31" ht="12.75" customHeight="1" x14ac:dyDescent="0.25">
      <c r="A348" s="2"/>
      <c r="B348" s="2" t="str">
        <f>'QBO Transactions'!$U350</f>
        <v>Brex Credit Card</v>
      </c>
      <c r="C348" s="3">
        <f>'QBO Transactions'!$S350</f>
        <v>70</v>
      </c>
      <c r="D348" s="2" t="str">
        <f>'QBO Transactions'!$R350</f>
        <v>Food Vendor</v>
      </c>
      <c r="E348" s="2"/>
      <c r="F348" s="3" t="str">
        <f>'QBO Transactions'!$X350</f>
        <v>Sales &amp; Marketing:Sales &amp; Marketing- Travel Expenses:Meals &amp; Entertainment</v>
      </c>
      <c r="G348" s="2"/>
      <c r="H348" s="2"/>
      <c r="I348" s="2"/>
      <c r="J348" s="2"/>
      <c r="K348" s="2"/>
      <c r="L348" s="2"/>
      <c r="M348" s="2"/>
      <c r="N348" s="2" t="str">
        <f>'QBO Transactions'!$Y350</f>
        <v>200- Datadog:230- Sales</v>
      </c>
      <c r="O348" s="2"/>
      <c r="P348" s="2"/>
      <c r="Q348" s="2" t="str">
        <f>'QBO Transactions'!$T350</f>
        <v>BLEACHER BAR MASTERCARD-XXXXXXLWS181-Jared Kennedy</v>
      </c>
      <c r="R348" s="2"/>
      <c r="S348" s="2"/>
      <c r="T348" s="2"/>
      <c r="U348" s="2"/>
      <c r="V348" s="2"/>
      <c r="W348" s="2"/>
      <c r="X348" s="2" t="str">
        <f t="shared" si="5"/>
        <v>BLEACHER BAR MASTERCARD-XXXXXXLWS181-Jared Kennedy</v>
      </c>
      <c r="Y348" s="4">
        <f>'QBO Transactions'!$Q350</f>
        <v>46231</v>
      </c>
      <c r="Z348" s="2"/>
      <c r="AA348" s="2"/>
      <c r="AB348" s="2"/>
      <c r="AC348" s="2"/>
      <c r="AD348" s="2"/>
      <c r="AE348" s="2"/>
    </row>
    <row r="349" spans="1:31" ht="12.75" customHeight="1" x14ac:dyDescent="0.25">
      <c r="A349" s="2"/>
      <c r="B349" s="2" t="str">
        <f>'QBO Transactions'!$U351</f>
        <v>Brex Credit Card</v>
      </c>
      <c r="C349" s="3">
        <f>'QBO Transactions'!$S351</f>
        <v>16.61</v>
      </c>
      <c r="D349" s="2" t="str">
        <f>'QBO Transactions'!$R351</f>
        <v>Hudson News</v>
      </c>
      <c r="E349" s="2"/>
      <c r="F349" s="3" t="str">
        <f>'QBO Transactions'!$X351</f>
        <v>Sales &amp; Marketing:Sales &amp; Marketing- Travel Expenses:Other Travel Expenses</v>
      </c>
      <c r="G349" s="2"/>
      <c r="H349" s="2"/>
      <c r="I349" s="2"/>
      <c r="J349" s="2"/>
      <c r="K349" s="2"/>
      <c r="L349" s="2"/>
      <c r="M349" s="2"/>
      <c r="N349" s="2" t="str">
        <f>'QBO Transactions'!$Y351</f>
        <v>100- Operations:120- Marketing</v>
      </c>
      <c r="O349" s="2"/>
      <c r="P349" s="2"/>
      <c r="Q349" s="2" t="str">
        <f>'QBO Transactions'!$T351</f>
        <v>BOS HUDSON NEWS ST1939 MASTERCARD-XXXXXXD8K62A-Leslee Brady</v>
      </c>
      <c r="R349" s="2"/>
      <c r="S349" s="2"/>
      <c r="T349" s="2"/>
      <c r="U349" s="2"/>
      <c r="V349" s="2"/>
      <c r="W349" s="2"/>
      <c r="X349" s="2" t="str">
        <f t="shared" si="5"/>
        <v>BOS HUDSON NEWS ST1939 MASTERCARD-XXXXXXD8K62A-Leslee Brady</v>
      </c>
      <c r="Y349" s="4">
        <f>'QBO Transactions'!$Q351</f>
        <v>46230</v>
      </c>
      <c r="Z349" s="2"/>
      <c r="AA349" s="2"/>
      <c r="AB349" s="2"/>
      <c r="AC349" s="2"/>
      <c r="AD349" s="2"/>
      <c r="AE349" s="2"/>
    </row>
    <row r="350" spans="1:31" ht="12.75" customHeight="1" x14ac:dyDescent="0.25">
      <c r="A350" s="2"/>
      <c r="B350" s="2" t="str">
        <f>'QBO Transactions'!$U352</f>
        <v>Brex Credit Card</v>
      </c>
      <c r="C350" s="3">
        <f>'QBO Transactions'!$S352</f>
        <v>45</v>
      </c>
      <c r="D350" s="2" t="str">
        <f>'QBO Transactions'!$R352</f>
        <v>Delta</v>
      </c>
      <c r="E350" s="2"/>
      <c r="F350" s="3" t="str">
        <f>'QBO Transactions'!$X352</f>
        <v>Cost of Goods Sold:COGS- Travel Expenses:Airfare</v>
      </c>
      <c r="G350" s="2"/>
      <c r="H350" s="2"/>
      <c r="I350" s="2"/>
      <c r="J350" s="2"/>
      <c r="K350" s="2"/>
      <c r="L350" s="2"/>
      <c r="M350" s="2"/>
      <c r="N350" s="2" t="str">
        <f>'QBO Transactions'!$Y352</f>
        <v>300- ServiceNow:320- Engineering</v>
      </c>
      <c r="O350" s="2"/>
      <c r="P350" s="2"/>
      <c r="Q350" s="2" t="str">
        <f>'QBO Transactions'!$T352</f>
        <v>DELTA MASTERCARD-XXXXXXY071FU-Jason Staake</v>
      </c>
      <c r="R350" s="2"/>
      <c r="S350" s="2"/>
      <c r="T350" s="2"/>
      <c r="U350" s="2"/>
      <c r="V350" s="2"/>
      <c r="W350" s="2"/>
      <c r="X350" s="2" t="str">
        <f t="shared" si="5"/>
        <v>DELTA MASTERCARD-XXXXXXY071FU-Jason Staake</v>
      </c>
      <c r="Y350" s="4">
        <f>'QBO Transactions'!$Q352</f>
        <v>46230</v>
      </c>
      <c r="Z350" s="2"/>
      <c r="AA350" s="2"/>
      <c r="AB350" s="2"/>
      <c r="AC350" s="2"/>
      <c r="AD350" s="2"/>
      <c r="AE350" s="2"/>
    </row>
    <row r="351" spans="1:31" ht="12.75" customHeight="1" x14ac:dyDescent="0.25">
      <c r="A351" s="2"/>
      <c r="B351" s="2" t="str">
        <f>'QBO Transactions'!$U353</f>
        <v>Brex Credit Card</v>
      </c>
      <c r="C351" s="3">
        <f>'QBO Transactions'!$S353</f>
        <v>12.96</v>
      </c>
      <c r="D351" s="2" t="str">
        <f>'QBO Transactions'!$R353</f>
        <v>Uber</v>
      </c>
      <c r="E351" s="2"/>
      <c r="F351" s="3" t="str">
        <f>'QBO Transactions'!$X353</f>
        <v>Cost of Goods Sold:COGS- Travel Expenses:Ground Transportation</v>
      </c>
      <c r="G351" s="2"/>
      <c r="H351" s="2"/>
      <c r="I351" s="2"/>
      <c r="J351" s="2"/>
      <c r="K351" s="2"/>
      <c r="L351" s="2"/>
      <c r="M351" s="2"/>
      <c r="N351" s="2" t="str">
        <f>'QBO Transactions'!$Y353</f>
        <v>200- Datadog:220- Engineering</v>
      </c>
      <c r="O351" s="2"/>
      <c r="P351" s="2"/>
      <c r="Q351" s="2" t="str">
        <f>'QBO Transactions'!$T353</f>
        <v>UBER   *TRIP MASTERCARD-XXXXXXHGAH81-Anthony Nguyen</v>
      </c>
      <c r="R351" s="2"/>
      <c r="S351" s="2"/>
      <c r="T351" s="2"/>
      <c r="U351" s="2"/>
      <c r="V351" s="2"/>
      <c r="W351" s="2"/>
      <c r="X351" s="2" t="str">
        <f t="shared" si="5"/>
        <v>UBER   *TRIP MASTERCARD-XXXXXXHGAH81-Anthony Nguyen</v>
      </c>
      <c r="Y351" s="4">
        <f>'QBO Transactions'!$Q353</f>
        <v>46230</v>
      </c>
      <c r="Z351" s="2"/>
      <c r="AA351" s="2"/>
      <c r="AB351" s="2"/>
      <c r="AC351" s="2"/>
      <c r="AD351" s="2"/>
      <c r="AE351" s="2"/>
    </row>
    <row r="352" spans="1:31" ht="12.75" customHeight="1" x14ac:dyDescent="0.25">
      <c r="A352" s="2"/>
      <c r="B352" s="2" t="str">
        <f>'QBO Transactions'!$U354</f>
        <v>Brex Credit Card</v>
      </c>
      <c r="C352" s="3">
        <f>'QBO Transactions'!$S354</f>
        <v>31.44</v>
      </c>
      <c r="D352" s="2" t="str">
        <f>'QBO Transactions'!$R354</f>
        <v>Uber</v>
      </c>
      <c r="E352" s="2"/>
      <c r="F352" s="3" t="str">
        <f>'QBO Transactions'!$X354</f>
        <v>Cost of Goods Sold:COGS- Travel Expenses:Ground Transportation</v>
      </c>
      <c r="G352" s="2"/>
      <c r="H352" s="2"/>
      <c r="I352" s="2"/>
      <c r="J352" s="2"/>
      <c r="K352" s="2"/>
      <c r="L352" s="2"/>
      <c r="M352" s="2"/>
      <c r="N352" s="2" t="str">
        <f>'QBO Transactions'!$Y354</f>
        <v>300- ServiceNow:320- Engineering</v>
      </c>
      <c r="O352" s="2"/>
      <c r="P352" s="2"/>
      <c r="Q352" s="2" t="str">
        <f>'QBO Transactions'!$T354</f>
        <v>UBER   *TRIP MASTERCARD-XXXXXX5TZ52V-Adam Hansen</v>
      </c>
      <c r="R352" s="2"/>
      <c r="S352" s="2"/>
      <c r="T352" s="2"/>
      <c r="U352" s="2"/>
      <c r="V352" s="2"/>
      <c r="W352" s="2"/>
      <c r="X352" s="2" t="str">
        <f t="shared" si="5"/>
        <v>UBER   *TRIP MASTERCARD-XXXXXX5TZ52V-Adam Hansen</v>
      </c>
      <c r="Y352" s="4">
        <f>'QBO Transactions'!$Q354</f>
        <v>46230</v>
      </c>
      <c r="Z352" s="2"/>
      <c r="AA352" s="2"/>
      <c r="AB352" s="2"/>
      <c r="AC352" s="2"/>
      <c r="AD352" s="2"/>
      <c r="AE352" s="2"/>
    </row>
    <row r="353" spans="1:31" ht="12.75" customHeight="1" x14ac:dyDescent="0.25">
      <c r="A353" s="2"/>
      <c r="B353" s="2" t="str">
        <f>'QBO Transactions'!$U355</f>
        <v>Brex Credit Card</v>
      </c>
      <c r="C353" s="3">
        <f>'QBO Transactions'!$S355</f>
        <v>69.78</v>
      </c>
      <c r="D353" s="2" t="str">
        <f>'QBO Transactions'!$R355</f>
        <v>Food Vendor</v>
      </c>
      <c r="E353" s="2"/>
      <c r="F353" s="3" t="str">
        <f>'QBO Transactions'!$X355</f>
        <v>Cost of Goods Sold:COGS- Travel Expenses:Meals &amp; Entertainment</v>
      </c>
      <c r="G353" s="2"/>
      <c r="H353" s="2"/>
      <c r="I353" s="2"/>
      <c r="J353" s="2"/>
      <c r="K353" s="2"/>
      <c r="L353" s="2"/>
      <c r="M353" s="2"/>
      <c r="N353" s="2" t="str">
        <f>'QBO Transactions'!$Y355</f>
        <v>200- Datadog:220- Engineering</v>
      </c>
      <c r="O353" s="2"/>
      <c r="P353" s="2"/>
      <c r="Q353" s="2" t="str">
        <f>'QBO Transactions'!$T355</f>
        <v>STEPHANIE S ON NEWBURY MASTERCARD-XXXXXXWJA9B5-Michael Christinsen</v>
      </c>
      <c r="R353" s="2"/>
      <c r="S353" s="2"/>
      <c r="T353" s="2"/>
      <c r="U353" s="2"/>
      <c r="V353" s="2"/>
      <c r="W353" s="2"/>
      <c r="X353" s="2" t="str">
        <f t="shared" si="5"/>
        <v>STEPHANIE S ON NEWBURY MASTERCARD-XXXXXXWJA9B5-Michael Christinsen</v>
      </c>
      <c r="Y353" s="4">
        <f>'QBO Transactions'!$Q355</f>
        <v>46231</v>
      </c>
      <c r="Z353" s="2"/>
      <c r="AA353" s="2"/>
      <c r="AB353" s="2"/>
      <c r="AC353" s="2"/>
      <c r="AD353" s="2"/>
      <c r="AE353" s="2"/>
    </row>
    <row r="354" spans="1:31" ht="12.75" customHeight="1" x14ac:dyDescent="0.25">
      <c r="A354" s="2"/>
      <c r="B354" s="2" t="str">
        <f>'QBO Transactions'!$U356</f>
        <v>Brex Credit Card</v>
      </c>
      <c r="C354" s="3">
        <f>'QBO Transactions'!$S356</f>
        <v>5</v>
      </c>
      <c r="D354" s="2" t="str">
        <f>'QBO Transactions'!$R356</f>
        <v>Food Vendor</v>
      </c>
      <c r="E354" s="2"/>
      <c r="F354" s="3" t="str">
        <f>'QBO Transactions'!$X356</f>
        <v>Cost of Goods Sold:COGS- Travel Expenses:Meals &amp; Entertainment</v>
      </c>
      <c r="G354" s="2"/>
      <c r="H354" s="2"/>
      <c r="I354" s="2"/>
      <c r="J354" s="2"/>
      <c r="K354" s="2"/>
      <c r="L354" s="2"/>
      <c r="M354" s="2"/>
      <c r="N354" s="2" t="str">
        <f>'QBO Transactions'!$Y356</f>
        <v>300- ServiceNow:320- Engineering</v>
      </c>
      <c r="O354" s="2"/>
      <c r="P354" s="2"/>
      <c r="Q354" s="2" t="str">
        <f>'QBO Transactions'!$T356</f>
        <v>SPRINGFIELD BRANCH MASTERCARD-XXXXXXU3ADFL-Robert Witty</v>
      </c>
      <c r="R354" s="2"/>
      <c r="S354" s="2"/>
      <c r="T354" s="2"/>
      <c r="U354" s="2"/>
      <c r="V354" s="2"/>
      <c r="W354" s="2"/>
      <c r="X354" s="2" t="str">
        <f t="shared" si="5"/>
        <v>SPRINGFIELD BRANCH MASTERCARD-XXXXXXU3ADFL-Robert Witty</v>
      </c>
      <c r="Y354" s="4">
        <f>'QBO Transactions'!$Q356</f>
        <v>46230</v>
      </c>
      <c r="Z354" s="2"/>
      <c r="AA354" s="2"/>
      <c r="AB354" s="2"/>
      <c r="AC354" s="2"/>
      <c r="AD354" s="2"/>
      <c r="AE354" s="2"/>
    </row>
    <row r="355" spans="1:31" ht="12.75" customHeight="1" x14ac:dyDescent="0.25">
      <c r="A355" s="2"/>
      <c r="B355" s="2" t="str">
        <f>'QBO Transactions'!$U357</f>
        <v>Brex Credit Card</v>
      </c>
      <c r="C355" s="3">
        <f>'QBO Transactions'!$S357</f>
        <v>30</v>
      </c>
      <c r="D355" s="2" t="str">
        <f>'QBO Transactions'!$R357</f>
        <v>Taxi Vendor</v>
      </c>
      <c r="E355" s="2"/>
      <c r="F355" s="3" t="str">
        <f>'QBO Transactions'!$X357</f>
        <v>Cost of Goods Sold:COGS- Travel Expenses:Ground Transportation</v>
      </c>
      <c r="G355" s="2"/>
      <c r="H355" s="2"/>
      <c r="I355" s="2"/>
      <c r="J355" s="2"/>
      <c r="K355" s="2"/>
      <c r="L355" s="2"/>
      <c r="M355" s="2"/>
      <c r="N355" s="2" t="str">
        <f>'QBO Transactions'!$Y357</f>
        <v>400- Synechron:410- Digital platforms G&amp;A</v>
      </c>
      <c r="O355" s="2"/>
      <c r="P355" s="2"/>
      <c r="Q355" s="2" t="str">
        <f>'QBO Transactions'!$T357</f>
        <v>BOSTON EXPRESS WEBSTOR MASTERCARD-XXXXXXO4OD1B-Erik Williams</v>
      </c>
      <c r="R355" s="2"/>
      <c r="S355" s="2"/>
      <c r="T355" s="2"/>
      <c r="U355" s="2"/>
      <c r="V355" s="2"/>
      <c r="W355" s="2"/>
      <c r="X355" s="2" t="str">
        <f t="shared" si="5"/>
        <v>BOSTON EXPRESS WEBSTOR MASTERCARD-XXXXXXO4OD1B-Erik Williams</v>
      </c>
      <c r="Y355" s="4">
        <f>'QBO Transactions'!$Q357</f>
        <v>46230</v>
      </c>
      <c r="Z355" s="2"/>
      <c r="AA355" s="2"/>
      <c r="AB355" s="2"/>
      <c r="AC355" s="2"/>
      <c r="AD355" s="2"/>
      <c r="AE355" s="2"/>
    </row>
    <row r="356" spans="1:31" ht="12.75" customHeight="1" x14ac:dyDescent="0.25">
      <c r="A356" s="2"/>
      <c r="B356" s="2" t="str">
        <f>'QBO Transactions'!$U358</f>
        <v>Brex Credit Card</v>
      </c>
      <c r="C356" s="3">
        <f>'QBO Transactions'!$S358</f>
        <v>35.979999999999997</v>
      </c>
      <c r="D356" s="2" t="str">
        <f>'QBO Transactions'!$R358</f>
        <v>Uber</v>
      </c>
      <c r="E356" s="2"/>
      <c r="F356" s="3" t="str">
        <f>'QBO Transactions'!$X358</f>
        <v>Cost of Goods Sold:COGS- Travel Expenses:Ground Transportation</v>
      </c>
      <c r="G356" s="2"/>
      <c r="H356" s="2"/>
      <c r="I356" s="2"/>
      <c r="J356" s="2"/>
      <c r="K356" s="2"/>
      <c r="L356" s="2"/>
      <c r="M356" s="2"/>
      <c r="N356" s="2" t="str">
        <f>'QBO Transactions'!$Y358</f>
        <v>300- ServiceNow:320- Engineering</v>
      </c>
      <c r="O356" s="2"/>
      <c r="P356" s="2"/>
      <c r="Q356" s="2" t="str">
        <f>'QBO Transactions'!$T358</f>
        <v>UBER   *TRIP MASTERCARD-XXXXXXFU9ORL-William Sanderford</v>
      </c>
      <c r="R356" s="2"/>
      <c r="S356" s="2"/>
      <c r="T356" s="2"/>
      <c r="U356" s="2"/>
      <c r="V356" s="2"/>
      <c r="W356" s="2"/>
      <c r="X356" s="2" t="str">
        <f t="shared" si="5"/>
        <v>UBER   *TRIP MASTERCARD-XXXXXXFU9ORL-William Sanderford</v>
      </c>
      <c r="Y356" s="4">
        <f>'QBO Transactions'!$Q358</f>
        <v>46230</v>
      </c>
      <c r="Z356" s="2"/>
      <c r="AA356" s="2"/>
      <c r="AB356" s="2"/>
      <c r="AC356" s="2"/>
      <c r="AD356" s="2"/>
      <c r="AE356" s="2"/>
    </row>
    <row r="357" spans="1:31" ht="12.75" customHeight="1" x14ac:dyDescent="0.25">
      <c r="A357" s="2"/>
      <c r="B357" s="2" t="str">
        <f>'QBO Transactions'!$U359</f>
        <v>Brex Credit Card</v>
      </c>
      <c r="C357" s="3">
        <f>'QBO Transactions'!$S359</f>
        <v>20.61</v>
      </c>
      <c r="D357" s="2" t="str">
        <f>'QBO Transactions'!$R359</f>
        <v>British Airways</v>
      </c>
      <c r="E357" s="2"/>
      <c r="F357" s="3" t="str">
        <f>'QBO Transactions'!$X359</f>
        <v>Sales &amp; Marketing:Sales &amp; Marketing- Travel Expenses:Airfare</v>
      </c>
      <c r="G357" s="2"/>
      <c r="H357" s="2"/>
      <c r="I357" s="2"/>
      <c r="J357" s="2"/>
      <c r="K357" s="2"/>
      <c r="L357" s="2"/>
      <c r="M357" s="2"/>
      <c r="N357" s="2" t="str">
        <f>'QBO Transactions'!$Y359</f>
        <v>100- Operations:120- Marketing</v>
      </c>
      <c r="O357" s="2"/>
      <c r="P357" s="2"/>
      <c r="Q357" s="2" t="str">
        <f>'QBO Transactions'!$T359</f>
        <v>BA Inflight Sales MASTERCARD-XXXXXXV7V294-Toni Manning</v>
      </c>
      <c r="R357" s="2"/>
      <c r="S357" s="2"/>
      <c r="T357" s="2"/>
      <c r="U357" s="2"/>
      <c r="V357" s="2"/>
      <c r="W357" s="2"/>
      <c r="X357" s="2" t="str">
        <f t="shared" si="5"/>
        <v>BA Inflight Sales MASTERCARD-XXXXXXV7V294-Toni Manning</v>
      </c>
      <c r="Y357" s="4">
        <f>'QBO Transactions'!$Q359</f>
        <v>46230</v>
      </c>
      <c r="Z357" s="2"/>
      <c r="AA357" s="2"/>
      <c r="AB357" s="2"/>
      <c r="AC357" s="2"/>
      <c r="AD357" s="2"/>
      <c r="AE357" s="2"/>
    </row>
    <row r="358" spans="1:31" ht="12.75" customHeight="1" x14ac:dyDescent="0.25">
      <c r="A358" s="2"/>
      <c r="B358" s="2" t="str">
        <f>'QBO Transactions'!$U360</f>
        <v>Brex Credit Card</v>
      </c>
      <c r="C358" s="3">
        <f>'QBO Transactions'!$S360</f>
        <v>16.239999999999998</v>
      </c>
      <c r="D358" s="2" t="str">
        <f>'QBO Transactions'!$R360</f>
        <v>WHSmith</v>
      </c>
      <c r="E358" s="2"/>
      <c r="F358" s="3" t="str">
        <f>'QBO Transactions'!$X360</f>
        <v>Cost of Goods Sold:COGS- Travel Expenses:Meals &amp; Entertainment</v>
      </c>
      <c r="G358" s="2"/>
      <c r="H358" s="2"/>
      <c r="I358" s="2"/>
      <c r="J358" s="2"/>
      <c r="K358" s="2"/>
      <c r="L358" s="2"/>
      <c r="M358" s="2"/>
      <c r="N358" s="2" t="str">
        <f>'QBO Transactions'!$Y360</f>
        <v>300- ServiceNow:310- Delivery</v>
      </c>
      <c r="O358" s="2"/>
      <c r="P358" s="2"/>
      <c r="Q358" s="2" t="str">
        <f>'QBO Transactions'!$T360</f>
        <v>WH Smith Dublin Airpor MASTERCARD-XXXXXXP58YUQ-Oliver McCaffrey</v>
      </c>
      <c r="R358" s="2"/>
      <c r="S358" s="2"/>
      <c r="T358" s="2"/>
      <c r="U358" s="2"/>
      <c r="V358" s="2"/>
      <c r="W358" s="2"/>
      <c r="X358" s="2" t="str">
        <f t="shared" si="5"/>
        <v>WH Smith Dublin Airpor MASTERCARD-XXXXXXP58YUQ-Oliver McCaffrey</v>
      </c>
      <c r="Y358" s="4">
        <f>'QBO Transactions'!$Q360</f>
        <v>46230</v>
      </c>
      <c r="Z358" s="2"/>
      <c r="AA358" s="2"/>
      <c r="AB358" s="2"/>
      <c r="AC358" s="2"/>
      <c r="AD358" s="2"/>
      <c r="AE358" s="2"/>
    </row>
    <row r="359" spans="1:31" ht="12.75" customHeight="1" x14ac:dyDescent="0.25">
      <c r="A359" s="2"/>
      <c r="B359" s="2" t="str">
        <f>'QBO Transactions'!$U361</f>
        <v>Brex Credit Card</v>
      </c>
      <c r="C359" s="3">
        <f>'QBO Transactions'!$S361</f>
        <v>25.49</v>
      </c>
      <c r="D359" s="2" t="str">
        <f>'QBO Transactions'!$R361</f>
        <v>Lyft</v>
      </c>
      <c r="E359" s="2"/>
      <c r="F359" s="3" t="str">
        <f>'QBO Transactions'!$X361</f>
        <v>Cost of Goods Sold:COGS- Travel Expenses:Ground Transportation</v>
      </c>
      <c r="G359" s="2"/>
      <c r="H359" s="2"/>
      <c r="I359" s="2"/>
      <c r="J359" s="2"/>
      <c r="K359" s="2"/>
      <c r="L359" s="2"/>
      <c r="M359" s="2"/>
      <c r="N359" s="2" t="str">
        <f>'QBO Transactions'!$Y361</f>
        <v>300- ServiceNow:320- Engineering</v>
      </c>
      <c r="O359" s="2"/>
      <c r="P359" s="2"/>
      <c r="Q359" s="2" t="str">
        <f>'QBO Transactions'!$T361</f>
        <v>LYFT   *AIRPORT 07-26 MASTERCARD-XXXXXX41MEBZ-Tokuya Takahashi</v>
      </c>
      <c r="R359" s="2"/>
      <c r="S359" s="2"/>
      <c r="T359" s="2"/>
      <c r="U359" s="2"/>
      <c r="V359" s="2"/>
      <c r="W359" s="2"/>
      <c r="X359" s="2" t="str">
        <f t="shared" si="5"/>
        <v>LYFT   *AIRPORT 07-26 MASTERCARD-XXXXXX41MEBZ-Tokuya Takahashi</v>
      </c>
      <c r="Y359" s="4">
        <f>'QBO Transactions'!$Q361</f>
        <v>46230</v>
      </c>
      <c r="Z359" s="2"/>
      <c r="AA359" s="2"/>
      <c r="AB359" s="2"/>
      <c r="AC359" s="2"/>
      <c r="AD359" s="2"/>
      <c r="AE359" s="2"/>
    </row>
    <row r="360" spans="1:31" ht="12.75" customHeight="1" x14ac:dyDescent="0.25">
      <c r="A360" s="2"/>
      <c r="B360" s="2" t="str">
        <f>'QBO Transactions'!$U362</f>
        <v>Brex Credit Card</v>
      </c>
      <c r="C360" s="3">
        <f>'QBO Transactions'!$S362</f>
        <v>57.9</v>
      </c>
      <c r="D360" s="2" t="str">
        <f>'QBO Transactions'!$R362</f>
        <v>Lyft</v>
      </c>
      <c r="E360" s="2"/>
      <c r="F360" s="3" t="str">
        <f>'QBO Transactions'!$X362</f>
        <v>Cost of Goods Sold:COGS- Travel Expenses:Ground Transportation</v>
      </c>
      <c r="G360" s="2"/>
      <c r="H360" s="2"/>
      <c r="I360" s="2"/>
      <c r="J360" s="2"/>
      <c r="K360" s="2"/>
      <c r="L360" s="2"/>
      <c r="M360" s="2"/>
      <c r="N360" s="2" t="str">
        <f>'QBO Transactions'!$Y362</f>
        <v>300- ServiceNow:320- Engineering</v>
      </c>
      <c r="O360" s="2"/>
      <c r="P360" s="2"/>
      <c r="Q360" s="2" t="str">
        <f>'QBO Transactions'!$T362</f>
        <v>LYFT   *2 RIDES 07-26 MASTERCARD-XXXXXX0LTX7Y-Jeff Mu</v>
      </c>
      <c r="R360" s="2"/>
      <c r="S360" s="2"/>
      <c r="T360" s="2"/>
      <c r="U360" s="2"/>
      <c r="V360" s="2"/>
      <c r="W360" s="2"/>
      <c r="X360" s="2" t="str">
        <f t="shared" si="5"/>
        <v>LYFT   *2 RIDES 07-26 MASTERCARD-XXXXXX0LTX7Y-Jeff Mu</v>
      </c>
      <c r="Y360" s="4">
        <f>'QBO Transactions'!$Q362</f>
        <v>46231</v>
      </c>
      <c r="Z360" s="2"/>
      <c r="AA360" s="2"/>
      <c r="AB360" s="2"/>
      <c r="AC360" s="2"/>
      <c r="AD360" s="2"/>
      <c r="AE360" s="2"/>
    </row>
    <row r="361" spans="1:31" ht="12.75" customHeight="1" x14ac:dyDescent="0.25">
      <c r="A361" s="2"/>
      <c r="B361" s="2" t="str">
        <f>'QBO Transactions'!$U363</f>
        <v>Brex Credit Card</v>
      </c>
      <c r="C361" s="3">
        <f>'QBO Transactions'!$S363</f>
        <v>12.94</v>
      </c>
      <c r="D361" s="2" t="str">
        <f>'QBO Transactions'!$R363</f>
        <v>Hudson News</v>
      </c>
      <c r="E361" s="2"/>
      <c r="F361" s="3" t="str">
        <f>'QBO Transactions'!$X363</f>
        <v>Cost of Goods Sold:COGS- Travel Expenses:Meals &amp; Entertainment</v>
      </c>
      <c r="G361" s="2"/>
      <c r="H361" s="2"/>
      <c r="I361" s="2"/>
      <c r="J361" s="2"/>
      <c r="K361" s="2"/>
      <c r="L361" s="2"/>
      <c r="M361" s="2"/>
      <c r="N361" s="2" t="str">
        <f>'QBO Transactions'!$Y363</f>
        <v>300- ServiceNow:320- Engineering</v>
      </c>
      <c r="O361" s="2"/>
      <c r="P361" s="2"/>
      <c r="Q361" s="2" t="str">
        <f>'QBO Transactions'!$T363</f>
        <v>EVOLVE BY HUDSON ST236 MASTERCARD-XXXXXX0FPLZS-Jon Giara</v>
      </c>
      <c r="R361" s="2"/>
      <c r="S361" s="2"/>
      <c r="T361" s="2"/>
      <c r="U361" s="2"/>
      <c r="V361" s="2"/>
      <c r="W361" s="2"/>
      <c r="X361" s="2" t="str">
        <f t="shared" si="5"/>
        <v>EVOLVE BY HUDSON ST236 MASTERCARD-XXXXXX0FPLZS-Jon Giara</v>
      </c>
      <c r="Y361" s="4">
        <f>'QBO Transactions'!$Q363</f>
        <v>46230</v>
      </c>
      <c r="Z361" s="2"/>
      <c r="AA361" s="2"/>
      <c r="AB361" s="2"/>
      <c r="AC361" s="2"/>
      <c r="AD361" s="2"/>
      <c r="AE361" s="2"/>
    </row>
    <row r="362" spans="1:31" ht="12.75" customHeight="1" x14ac:dyDescent="0.25">
      <c r="A362" s="2"/>
      <c r="B362" s="2" t="str">
        <f>'QBO Transactions'!$U364</f>
        <v>Brex Credit Card</v>
      </c>
      <c r="C362" s="3">
        <f>'QBO Transactions'!$S364</f>
        <v>22.62</v>
      </c>
      <c r="D362" s="2" t="str">
        <f>'QBO Transactions'!$R364</f>
        <v>Pret a Manger</v>
      </c>
      <c r="E362" s="2"/>
      <c r="F362" s="3" t="str">
        <f>'QBO Transactions'!$X364</f>
        <v>Cost of Goods Sold:COGS- Travel Expenses:Meals &amp; Entertainment</v>
      </c>
      <c r="G362" s="2"/>
      <c r="H362" s="2"/>
      <c r="I362" s="2"/>
      <c r="J362" s="2"/>
      <c r="K362" s="2"/>
      <c r="L362" s="2"/>
      <c r="M362" s="2"/>
      <c r="N362" s="2" t="str">
        <f>'QBO Transactions'!$Y364</f>
        <v>200- Datadog:220- Engineering</v>
      </c>
      <c r="O362" s="2"/>
      <c r="P362" s="2"/>
      <c r="Q362" s="2" t="str">
        <f>'QBO Transactions'!$T364</f>
        <v>PRET A MANGER MASTERCARD-XXXXXX2XFI15-James Whitehead</v>
      </c>
      <c r="R362" s="2"/>
      <c r="S362" s="2"/>
      <c r="T362" s="2"/>
      <c r="U362" s="2"/>
      <c r="V362" s="2"/>
      <c r="W362" s="2"/>
      <c r="X362" s="2" t="str">
        <f t="shared" si="5"/>
        <v>PRET A MANGER MASTERCARD-XXXXXX2XFI15-James Whitehead</v>
      </c>
      <c r="Y362" s="4">
        <f>'QBO Transactions'!$Q364</f>
        <v>46230</v>
      </c>
      <c r="Z362" s="2"/>
      <c r="AA362" s="2"/>
      <c r="AB362" s="2"/>
      <c r="AC362" s="2"/>
      <c r="AD362" s="2"/>
      <c r="AE362" s="2"/>
    </row>
    <row r="363" spans="1:31" ht="12.75" customHeight="1" x14ac:dyDescent="0.25">
      <c r="A363" s="2"/>
      <c r="B363" s="2" t="str">
        <f>'QBO Transactions'!$U365</f>
        <v>Brex Credit Card</v>
      </c>
      <c r="C363" s="3">
        <f>'QBO Transactions'!$S365</f>
        <v>22.89</v>
      </c>
      <c r="D363" s="2" t="str">
        <f>'QBO Transactions'!$R365</f>
        <v>Dunkin Donuts</v>
      </c>
      <c r="E363" s="2"/>
      <c r="F363" s="3" t="str">
        <f>'QBO Transactions'!$X365</f>
        <v>Sales &amp; Marketing:Sales &amp; Marketing- Travel Expenses:Meals &amp; Entertainment</v>
      </c>
      <c r="G363" s="2"/>
      <c r="H363" s="2"/>
      <c r="I363" s="2"/>
      <c r="J363" s="2"/>
      <c r="K363" s="2"/>
      <c r="L363" s="2"/>
      <c r="M363" s="2"/>
      <c r="N363" s="2" t="str">
        <f>'QBO Transactions'!$Y365</f>
        <v>100- Operations:120- Marketing</v>
      </c>
      <c r="O363" s="2"/>
      <c r="P363" s="2"/>
      <c r="Q363" s="2" t="str">
        <f>'QBO Transactions'!$T365</f>
        <v>HUDSON-DUNKIN ST1341 MASTERCARD-XXXXXXGUO3ZE-Leslee Brady</v>
      </c>
      <c r="R363" s="2"/>
      <c r="S363" s="2"/>
      <c r="T363" s="2"/>
      <c r="U363" s="2"/>
      <c r="V363" s="2"/>
      <c r="W363" s="2"/>
      <c r="X363" s="2" t="str">
        <f t="shared" si="5"/>
        <v>HUDSON-DUNKIN ST1341 MASTERCARD-XXXXXXGUO3ZE-Leslee Brady</v>
      </c>
      <c r="Y363" s="4">
        <f>'QBO Transactions'!$Q365</f>
        <v>46230</v>
      </c>
      <c r="Z363" s="2"/>
      <c r="AA363" s="2"/>
      <c r="AB363" s="2"/>
      <c r="AC363" s="2"/>
      <c r="AD363" s="2"/>
      <c r="AE363" s="2"/>
    </row>
    <row r="364" spans="1:31" ht="12.75" customHeight="1" x14ac:dyDescent="0.25">
      <c r="A364" s="2"/>
      <c r="B364" s="2" t="str">
        <f>'QBO Transactions'!$U366</f>
        <v>Brex Credit Card</v>
      </c>
      <c r="C364" s="3">
        <f>'QBO Transactions'!$S366</f>
        <v>17.28</v>
      </c>
      <c r="D364" s="2" t="str">
        <f>'QBO Transactions'!$R366</f>
        <v>Office Vendor</v>
      </c>
      <c r="E364" s="2"/>
      <c r="F364" s="3" t="str">
        <f>'QBO Transactions'!$X366</f>
        <v>General &amp; Administrative:Office Expenses:Dues &amp; Subscriptions</v>
      </c>
      <c r="G364" s="2"/>
      <c r="H364" s="2"/>
      <c r="I364" s="2"/>
      <c r="J364" s="2"/>
      <c r="K364" s="2"/>
      <c r="L364" s="2"/>
      <c r="M364" s="2"/>
      <c r="N364" s="2" t="str">
        <f>'QBO Transactions'!$Y366</f>
        <v>300- ServiceNow:320- Engineering</v>
      </c>
      <c r="O364" s="2"/>
      <c r="P364" s="2"/>
      <c r="Q364" s="2" t="str">
        <f>'QBO Transactions'!$T366</f>
        <v>US NEWS AND WORLD REPO MASTERCARD-XXXXXX9V2NHQ-Zachary Kenyon</v>
      </c>
      <c r="R364" s="2"/>
      <c r="S364" s="2"/>
      <c r="T364" s="2"/>
      <c r="U364" s="2"/>
      <c r="V364" s="2"/>
      <c r="W364" s="2"/>
      <c r="X364" s="2" t="str">
        <f t="shared" si="5"/>
        <v>US NEWS AND WORLD REPO MASTERCARD-XXXXXX9V2NHQ-Zachary Kenyon</v>
      </c>
      <c r="Y364" s="4">
        <f>'QBO Transactions'!$Q366</f>
        <v>46230</v>
      </c>
      <c r="Z364" s="2"/>
      <c r="AA364" s="2"/>
      <c r="AB364" s="2"/>
      <c r="AC364" s="2"/>
      <c r="AD364" s="2"/>
      <c r="AE364" s="2"/>
    </row>
    <row r="365" spans="1:31" ht="12.75" customHeight="1" x14ac:dyDescent="0.25">
      <c r="A365" s="2"/>
      <c r="B365" s="2" t="str">
        <f>'QBO Transactions'!$U367</f>
        <v>Brex Credit Card</v>
      </c>
      <c r="C365" s="3">
        <f>'QBO Transactions'!$S367</f>
        <v>20.21</v>
      </c>
      <c r="D365" s="2" t="str">
        <f>'QBO Transactions'!$R367</f>
        <v>Food Vendor</v>
      </c>
      <c r="E365" s="2"/>
      <c r="F365" s="3" t="str">
        <f>'QBO Transactions'!$X367</f>
        <v>Cost of Goods Sold:COGS- Travel Expenses:Meals &amp; Entertainment</v>
      </c>
      <c r="G365" s="2"/>
      <c r="H365" s="2"/>
      <c r="I365" s="2"/>
      <c r="J365" s="2"/>
      <c r="K365" s="2"/>
      <c r="L365" s="2"/>
      <c r="M365" s="2"/>
      <c r="N365" s="2" t="str">
        <f>'QBO Transactions'!$Y367</f>
        <v>200- Datadog:220- Engineering</v>
      </c>
      <c r="O365" s="2"/>
      <c r="P365" s="2"/>
      <c r="Q365" s="2" t="str">
        <f>'QBO Transactions'!$T367</f>
        <v>TST* TASTES ON THE FLY MASTERCARD-XXXXXX4TS7DM-Yadwinder Singh</v>
      </c>
      <c r="R365" s="2"/>
      <c r="S365" s="2"/>
      <c r="T365" s="2"/>
      <c r="U365" s="2"/>
      <c r="V365" s="2"/>
      <c r="W365" s="2"/>
      <c r="X365" s="2" t="str">
        <f t="shared" si="5"/>
        <v>TST* TASTES ON THE FLY MASTERCARD-XXXXXX4TS7DM-Yadwinder Singh</v>
      </c>
      <c r="Y365" s="4">
        <f>'QBO Transactions'!$Q367</f>
        <v>46230</v>
      </c>
      <c r="Z365" s="2"/>
      <c r="AA365" s="2"/>
      <c r="AB365" s="2"/>
      <c r="AC365" s="2"/>
      <c r="AD365" s="2"/>
      <c r="AE365" s="2"/>
    </row>
    <row r="366" spans="1:31" ht="12.75" customHeight="1" x14ac:dyDescent="0.25">
      <c r="A366" s="2"/>
      <c r="B366" s="2" t="str">
        <f>'QBO Transactions'!$U368</f>
        <v>Brex Credit Card</v>
      </c>
      <c r="C366" s="3">
        <f>'QBO Transactions'!$S368</f>
        <v>7.08</v>
      </c>
      <c r="D366" s="2" t="str">
        <f>'QBO Transactions'!$R368</f>
        <v>Hudson News</v>
      </c>
      <c r="E366" s="2"/>
      <c r="F366" s="3" t="str">
        <f>'QBO Transactions'!$X368</f>
        <v>Cost of Goods Sold:COGS- Travel Expenses:Meals &amp; Entertainment</v>
      </c>
      <c r="G366" s="2"/>
      <c r="H366" s="2"/>
      <c r="I366" s="2"/>
      <c r="J366" s="2"/>
      <c r="K366" s="2"/>
      <c r="L366" s="2"/>
      <c r="M366" s="2"/>
      <c r="N366" s="2" t="str">
        <f>'QBO Transactions'!$Y368</f>
        <v>300- ServiceNow:320- Engineering</v>
      </c>
      <c r="O366" s="2"/>
      <c r="P366" s="2"/>
      <c r="Q366" s="2" t="str">
        <f>'QBO Transactions'!$T368</f>
        <v>HUDSONNEWS  ST1205 MASTERCARD-XXXXXXDKKRZ8-Austin Nadler</v>
      </c>
      <c r="R366" s="2"/>
      <c r="S366" s="2"/>
      <c r="T366" s="2"/>
      <c r="U366" s="2"/>
      <c r="V366" s="2"/>
      <c r="W366" s="2"/>
      <c r="X366" s="2" t="str">
        <f t="shared" si="5"/>
        <v>HUDSONNEWS  ST1205 MASTERCARD-XXXXXXDKKRZ8-Austin Nadler</v>
      </c>
      <c r="Y366" s="4">
        <f>'QBO Transactions'!$Q368</f>
        <v>46230</v>
      </c>
      <c r="Z366" s="2"/>
      <c r="AA366" s="2"/>
      <c r="AB366" s="2"/>
      <c r="AC366" s="2"/>
      <c r="AD366" s="2"/>
      <c r="AE366" s="2"/>
    </row>
    <row r="367" spans="1:31" ht="12.75" customHeight="1" x14ac:dyDescent="0.25">
      <c r="A367" s="2"/>
      <c r="B367" s="2" t="str">
        <f>'QBO Transactions'!$U369</f>
        <v>Brex Credit Card</v>
      </c>
      <c r="C367" s="3">
        <f>'QBO Transactions'!$S369</f>
        <v>13.58</v>
      </c>
      <c r="D367" s="2" t="str">
        <f>'QBO Transactions'!$R369</f>
        <v>Dunkin Donuts</v>
      </c>
      <c r="E367" s="2"/>
      <c r="F367" s="3" t="str">
        <f>'QBO Transactions'!$X369</f>
        <v>Sales &amp; Marketing:Sales &amp; Marketing- Travel Expenses:Meals &amp; Entertainment</v>
      </c>
      <c r="G367" s="2"/>
      <c r="H367" s="2"/>
      <c r="I367" s="2"/>
      <c r="J367" s="2"/>
      <c r="K367" s="2"/>
      <c r="L367" s="2"/>
      <c r="M367" s="2"/>
      <c r="N367" s="2" t="str">
        <f>'QBO Transactions'!$Y369</f>
        <v>100- Operations:120- Marketing</v>
      </c>
      <c r="O367" s="2"/>
      <c r="P367" s="2"/>
      <c r="Q367" s="2" t="str">
        <f>'QBO Transactions'!$T369</f>
        <v>HUDSON-DUNKIN ST1341 MASTERCARD-XXXXXXIXXNS9-Leslee Brady</v>
      </c>
      <c r="R367" s="2"/>
      <c r="S367" s="2"/>
      <c r="T367" s="2"/>
      <c r="U367" s="2"/>
      <c r="V367" s="2"/>
      <c r="W367" s="2"/>
      <c r="X367" s="2" t="str">
        <f t="shared" si="5"/>
        <v>HUDSON-DUNKIN ST1341 MASTERCARD-XXXXXXIXXNS9-Leslee Brady</v>
      </c>
      <c r="Y367" s="4">
        <f>'QBO Transactions'!$Q369</f>
        <v>46230</v>
      </c>
      <c r="Z367" s="2"/>
      <c r="AA367" s="2"/>
      <c r="AB367" s="2"/>
      <c r="AC367" s="2"/>
      <c r="AD367" s="2"/>
      <c r="AE367" s="2"/>
    </row>
    <row r="368" spans="1:31" ht="12.75" customHeight="1" x14ac:dyDescent="0.25">
      <c r="A368" s="2"/>
      <c r="B368" s="2" t="str">
        <f>'QBO Transactions'!$U370</f>
        <v>Brex Credit Card</v>
      </c>
      <c r="C368" s="3">
        <f>'QBO Transactions'!$S370</f>
        <v>9.69</v>
      </c>
      <c r="D368" s="2" t="str">
        <f>'QBO Transactions'!$R370</f>
        <v>Travel Vendor</v>
      </c>
      <c r="E368" s="2"/>
      <c r="F368" s="3" t="str">
        <f>'QBO Transactions'!$X370</f>
        <v>Sales &amp; Marketing:Sales &amp; Marketing- Travel Expenses:Airfare</v>
      </c>
      <c r="G368" s="2"/>
      <c r="H368" s="2"/>
      <c r="I368" s="2"/>
      <c r="J368" s="2"/>
      <c r="K368" s="2"/>
      <c r="L368" s="2"/>
      <c r="M368" s="2"/>
      <c r="N368" s="2" t="str">
        <f>'QBO Transactions'!$Y370</f>
        <v>100- Operations:120- Marketing</v>
      </c>
      <c r="O368" s="2"/>
      <c r="P368" s="2"/>
      <c r="Q368" s="2" t="str">
        <f>'QBO Transactions'!$T370</f>
        <v>CHS AIRP FLIGHT READY MASTERCARD-XXXXXXVM2YIQ-Leslee Brady</v>
      </c>
      <c r="R368" s="2"/>
      <c r="S368" s="2"/>
      <c r="T368" s="2"/>
      <c r="U368" s="2"/>
      <c r="V368" s="2"/>
      <c r="W368" s="2"/>
      <c r="X368" s="2" t="str">
        <f t="shared" si="5"/>
        <v>CHS AIRP FLIGHT READY MASTERCARD-XXXXXXVM2YIQ-Leslee Brady</v>
      </c>
      <c r="Y368" s="4">
        <f>'QBO Transactions'!$Q370</f>
        <v>46231</v>
      </c>
      <c r="Z368" s="2"/>
      <c r="AA368" s="2"/>
      <c r="AB368" s="2"/>
      <c r="AC368" s="2"/>
      <c r="AD368" s="2"/>
      <c r="AE368" s="2"/>
    </row>
    <row r="369" spans="1:31" ht="12.75" customHeight="1" x14ac:dyDescent="0.25">
      <c r="A369" s="2"/>
      <c r="B369" s="2" t="str">
        <f>'QBO Transactions'!$U371</f>
        <v>Brex Credit Card</v>
      </c>
      <c r="C369" s="3">
        <f>'QBO Transactions'!$S371</f>
        <v>7.43</v>
      </c>
      <c r="D369" s="2" t="str">
        <f>'QBO Transactions'!$R371</f>
        <v>Starbucks</v>
      </c>
      <c r="E369" s="2"/>
      <c r="F369" s="3" t="str">
        <f>'QBO Transactions'!$X371</f>
        <v>Sales &amp; Marketing:Sales &amp; Marketing- Travel Expenses:Meals &amp; Entertainment</v>
      </c>
      <c r="G369" s="2"/>
      <c r="H369" s="2"/>
      <c r="I369" s="2"/>
      <c r="J369" s="2"/>
      <c r="K369" s="2"/>
      <c r="L369" s="2"/>
      <c r="M369" s="2"/>
      <c r="N369" s="2" t="str">
        <f>'QBO Transactions'!$Y371</f>
        <v>100- Operations:120- Marketing</v>
      </c>
      <c r="O369" s="2"/>
      <c r="P369" s="2"/>
      <c r="Q369" s="2" t="str">
        <f>'QBO Transactions'!$T371</f>
        <v>STARBUCKS T5A MASTERCARD-XXXXXXF9RX1G-Toni Manning</v>
      </c>
      <c r="R369" s="2"/>
      <c r="S369" s="2"/>
      <c r="T369" s="2"/>
      <c r="U369" s="2"/>
      <c r="V369" s="2"/>
      <c r="W369" s="2"/>
      <c r="X369" s="2" t="str">
        <f t="shared" si="5"/>
        <v>STARBUCKS T5A MASTERCARD-XXXXXXF9RX1G-Toni Manning</v>
      </c>
      <c r="Y369" s="4">
        <f>'QBO Transactions'!$Q371</f>
        <v>46230</v>
      </c>
      <c r="Z369" s="2"/>
      <c r="AA369" s="2"/>
      <c r="AB369" s="2"/>
      <c r="AC369" s="2"/>
      <c r="AD369" s="2"/>
      <c r="AE369" s="2"/>
    </row>
    <row r="370" spans="1:31" ht="12.75" customHeight="1" x14ac:dyDescent="0.25">
      <c r="A370" s="2"/>
      <c r="B370" s="2" t="str">
        <f>'QBO Transactions'!$U372</f>
        <v>Brex Credit Card</v>
      </c>
      <c r="C370" s="3">
        <f>'QBO Transactions'!$S372</f>
        <v>122.47</v>
      </c>
      <c r="D370" s="2" t="str">
        <f>'QBO Transactions'!$R372</f>
        <v>Lyft</v>
      </c>
      <c r="E370" s="2"/>
      <c r="F370" s="3" t="str">
        <f>'QBO Transactions'!$X372</f>
        <v>Cost of Goods Sold:COGS- Travel Expenses:Ground Transportation</v>
      </c>
      <c r="G370" s="2"/>
      <c r="H370" s="2"/>
      <c r="I370" s="2"/>
      <c r="J370" s="2"/>
      <c r="K370" s="2"/>
      <c r="L370" s="2"/>
      <c r="M370" s="2"/>
      <c r="N370" s="2" t="str">
        <f>'QBO Transactions'!$Y372</f>
        <v>300- ServiceNow:320- Engineering</v>
      </c>
      <c r="O370" s="2"/>
      <c r="P370" s="2"/>
      <c r="Q370" s="2" t="str">
        <f>'QBO Transactions'!$T372</f>
        <v>LYFT   *2 RIDES 07-26 MASTERCARD-XXXXXXYVSM0T-Zachary Kenyon</v>
      </c>
      <c r="R370" s="2"/>
      <c r="S370" s="2"/>
      <c r="T370" s="2"/>
      <c r="U370" s="2"/>
      <c r="V370" s="2"/>
      <c r="W370" s="2"/>
      <c r="X370" s="2" t="str">
        <f t="shared" si="5"/>
        <v>LYFT   *2 RIDES 07-26 MASTERCARD-XXXXXXYVSM0T-Zachary Kenyon</v>
      </c>
      <c r="Y370" s="4">
        <f>'QBO Transactions'!$Q372</f>
        <v>46231</v>
      </c>
      <c r="Z370" s="2"/>
      <c r="AA370" s="2"/>
      <c r="AB370" s="2"/>
      <c r="AC370" s="2"/>
      <c r="AD370" s="2"/>
      <c r="AE370" s="2"/>
    </row>
    <row r="371" spans="1:31" ht="12.75" customHeight="1" x14ac:dyDescent="0.25">
      <c r="A371" s="2"/>
      <c r="B371" s="2" t="str">
        <f>'QBO Transactions'!$U373</f>
        <v>Brex Credit Card</v>
      </c>
      <c r="C371" s="3">
        <f>'QBO Transactions'!$S373</f>
        <v>2.7</v>
      </c>
      <c r="D371" s="2" t="str">
        <f>'QBO Transactions'!$R373</f>
        <v>Travel Vendor</v>
      </c>
      <c r="E371" s="2"/>
      <c r="F371" s="3" t="str">
        <f>'QBO Transactions'!$X373</f>
        <v>Cost of Goods Sold:COGS- Travel Expenses:Other Travel Expenses</v>
      </c>
      <c r="G371" s="2"/>
      <c r="H371" s="2"/>
      <c r="I371" s="2"/>
      <c r="J371" s="2"/>
      <c r="K371" s="2"/>
      <c r="L371" s="2"/>
      <c r="M371" s="2"/>
      <c r="N371" s="2" t="str">
        <f>'QBO Transactions'!$Y373</f>
        <v>300- ServiceNow:310- Delivery</v>
      </c>
      <c r="O371" s="2"/>
      <c r="P371" s="2"/>
      <c r="Q371" s="2" t="str">
        <f>'QBO Transactions'!$T373</f>
        <v>NORTHLINK M1 LIMITED MASTERCARD-XXXXXX0BQA0T-Oliver McCaffrey</v>
      </c>
      <c r="R371" s="2"/>
      <c r="S371" s="2"/>
      <c r="T371" s="2"/>
      <c r="U371" s="2"/>
      <c r="V371" s="2"/>
      <c r="W371" s="2"/>
      <c r="X371" s="2" t="str">
        <f t="shared" si="5"/>
        <v>NORTHLINK M1 LIMITED MASTERCARD-XXXXXX0BQA0T-Oliver McCaffrey</v>
      </c>
      <c r="Y371" s="4">
        <f>'QBO Transactions'!$Q373</f>
        <v>46230</v>
      </c>
      <c r="Z371" s="2"/>
      <c r="AA371" s="2"/>
      <c r="AB371" s="2"/>
      <c r="AC371" s="2"/>
      <c r="AD371" s="2"/>
      <c r="AE371" s="2"/>
    </row>
    <row r="372" spans="1:31" ht="12.75" customHeight="1" x14ac:dyDescent="0.25">
      <c r="A372" s="2"/>
      <c r="B372" s="2" t="str">
        <f>'QBO Transactions'!$U374</f>
        <v>Brex Credit Card</v>
      </c>
      <c r="C372" s="3">
        <f>'QBO Transactions'!$S374</f>
        <v>27.46</v>
      </c>
      <c r="D372" s="2" t="str">
        <f>'QBO Transactions'!$R374</f>
        <v>WHSmith</v>
      </c>
      <c r="E372" s="2"/>
      <c r="F372" s="3" t="str">
        <f>'QBO Transactions'!$X374</f>
        <v>Sales &amp; Marketing:Sales &amp; Marketing- Travel Expenses:Meals &amp; Entertainment</v>
      </c>
      <c r="G372" s="2"/>
      <c r="H372" s="2"/>
      <c r="I372" s="2"/>
      <c r="J372" s="2"/>
      <c r="K372" s="2"/>
      <c r="L372" s="2"/>
      <c r="M372" s="2"/>
      <c r="N372" s="2" t="str">
        <f>'QBO Transactions'!$Y374</f>
        <v>100- Operations:120- Marketing</v>
      </c>
      <c r="O372" s="2"/>
      <c r="P372" s="2"/>
      <c r="Q372" s="2" t="str">
        <f>'QBO Transactions'!$T374</f>
        <v>WH Smith Heathrow T5 MASTERCARD-XXXXXXH2I0S4-Toni Manning</v>
      </c>
      <c r="R372" s="2"/>
      <c r="S372" s="2"/>
      <c r="T372" s="2"/>
      <c r="U372" s="2"/>
      <c r="V372" s="2"/>
      <c r="W372" s="2"/>
      <c r="X372" s="2" t="str">
        <f t="shared" si="5"/>
        <v>WH Smith Heathrow T5 MASTERCARD-XXXXXXH2I0S4-Toni Manning</v>
      </c>
      <c r="Y372" s="4">
        <f>'QBO Transactions'!$Q374</f>
        <v>46230</v>
      </c>
      <c r="Z372" s="2"/>
      <c r="AA372" s="2"/>
      <c r="AB372" s="2"/>
      <c r="AC372" s="2"/>
      <c r="AD372" s="2"/>
      <c r="AE372" s="2"/>
    </row>
    <row r="373" spans="1:31" ht="12.75" customHeight="1" x14ac:dyDescent="0.25">
      <c r="A373" s="2"/>
      <c r="B373" s="2" t="str">
        <f>'QBO Transactions'!$U375</f>
        <v>Brex Credit Card</v>
      </c>
      <c r="C373" s="3">
        <f>'QBO Transactions'!$S375</f>
        <v>1776.99</v>
      </c>
      <c r="D373" s="2" t="str">
        <f>'QBO Transactions'!$R375</f>
        <v>Bamboo HR</v>
      </c>
      <c r="E373" s="2"/>
      <c r="F373" s="3" t="str">
        <f>'QBO Transactions'!$X375</f>
        <v>General &amp; Administrative:Software Licenses</v>
      </c>
      <c r="G373" s="2"/>
      <c r="H373" s="2"/>
      <c r="I373" s="2"/>
      <c r="J373" s="2"/>
      <c r="K373" s="2"/>
      <c r="L373" s="2"/>
      <c r="M373" s="2"/>
      <c r="N373" s="2" t="str">
        <f>'QBO Transactions'!$Y375</f>
        <v>100- Operations:110- G&amp;A</v>
      </c>
      <c r="O373" s="2"/>
      <c r="P373" s="2"/>
      <c r="Q373" s="2" t="str">
        <f>'QBO Transactions'!$T375</f>
        <v>BAMBOOHR HRIS MASTERCARD-XXXXXX2XMSHC-Eric Rabkin</v>
      </c>
      <c r="R373" s="2"/>
      <c r="S373" s="2"/>
      <c r="T373" s="2"/>
      <c r="U373" s="2"/>
      <c r="V373" s="2"/>
      <c r="W373" s="2"/>
      <c r="X373" s="2" t="str">
        <f t="shared" si="5"/>
        <v>BAMBOOHR HRIS MASTERCARD-XXXXXX2XMSHC-Eric Rabkin</v>
      </c>
      <c r="Y373" s="4">
        <f>'QBO Transactions'!$Q375</f>
        <v>46230</v>
      </c>
      <c r="Z373" s="2"/>
      <c r="AA373" s="2"/>
      <c r="AB373" s="2"/>
      <c r="AC373" s="2"/>
      <c r="AD373" s="2"/>
      <c r="AE373" s="2"/>
    </row>
    <row r="374" spans="1:31" ht="12.75" customHeight="1" x14ac:dyDescent="0.25">
      <c r="A374" s="2"/>
      <c r="B374" s="2" t="str">
        <f>'QBO Transactions'!$U376</f>
        <v>Brex Credit Card</v>
      </c>
      <c r="C374" s="3">
        <f>'QBO Transactions'!$S376</f>
        <v>81.099999999999994</v>
      </c>
      <c r="D374" s="2" t="str">
        <f>'QBO Transactions'!$R376</f>
        <v>Uber</v>
      </c>
      <c r="E374" s="2"/>
      <c r="F374" s="3" t="str">
        <f>'QBO Transactions'!$X376</f>
        <v>Sales &amp; Marketing:Sales &amp; Marketing- Travel Expenses:Ground Transportation</v>
      </c>
      <c r="G374" s="2"/>
      <c r="H374" s="2"/>
      <c r="I374" s="2"/>
      <c r="J374" s="2"/>
      <c r="K374" s="2"/>
      <c r="L374" s="2"/>
      <c r="M374" s="2"/>
      <c r="N374" s="2" t="str">
        <f>'QBO Transactions'!$Y376</f>
        <v>100- Operations:120- Marketing</v>
      </c>
      <c r="O374" s="2"/>
      <c r="P374" s="2"/>
      <c r="Q374" s="2" t="str">
        <f>'QBO Transactions'!$T376</f>
        <v>UBR* PENDING.UBER.COM MASTERCARD-XXXXXXSWVR62-Toni Manning</v>
      </c>
      <c r="R374" s="2"/>
      <c r="S374" s="2"/>
      <c r="T374" s="2"/>
      <c r="U374" s="2"/>
      <c r="V374" s="2"/>
      <c r="W374" s="2"/>
      <c r="X374" s="2" t="str">
        <f t="shared" si="5"/>
        <v>UBR* PENDING.UBER.COM MASTERCARD-XXXXXXSWVR62-Toni Manning</v>
      </c>
      <c r="Y374" s="4">
        <f>'QBO Transactions'!$Q376</f>
        <v>46230</v>
      </c>
      <c r="Z374" s="2"/>
      <c r="AA374" s="2"/>
      <c r="AB374" s="2"/>
      <c r="AC374" s="2"/>
      <c r="AD374" s="2"/>
      <c r="AE374" s="2"/>
    </row>
    <row r="375" spans="1:31" ht="12.75" customHeight="1" x14ac:dyDescent="0.25">
      <c r="A375" s="2"/>
      <c r="B375" s="2" t="str">
        <f>'QBO Transactions'!$U377</f>
        <v>Brex Credit Card</v>
      </c>
      <c r="C375" s="3">
        <f>'QBO Transactions'!$S377</f>
        <v>17.86</v>
      </c>
      <c r="D375" s="2" t="str">
        <f>'QBO Transactions'!$R377</f>
        <v>Whataburger</v>
      </c>
      <c r="E375" s="2"/>
      <c r="F375" s="3" t="str">
        <f>'QBO Transactions'!$X377</f>
        <v>Sales &amp; Marketing:Sales &amp; Marketing- Travel Expenses:Meals &amp; Entertainment</v>
      </c>
      <c r="G375" s="2"/>
      <c r="H375" s="2"/>
      <c r="I375" s="2"/>
      <c r="J375" s="2"/>
      <c r="K375" s="2"/>
      <c r="L375" s="2"/>
      <c r="M375" s="2"/>
      <c r="N375" s="2" t="str">
        <f>'QBO Transactions'!$Y377</f>
        <v>300- ServiceNow:330- Sales</v>
      </c>
      <c r="O375" s="2"/>
      <c r="P375" s="2"/>
      <c r="Q375" s="2" t="str">
        <f>'QBO Transactions'!$T377</f>
        <v>SAT Whataburger MASTERCARD-XXXXXX9P3FN5-Sal Costa</v>
      </c>
      <c r="R375" s="2"/>
      <c r="S375" s="2"/>
      <c r="T375" s="2"/>
      <c r="U375" s="2"/>
      <c r="V375" s="2"/>
      <c r="W375" s="2"/>
      <c r="X375" s="2" t="str">
        <f t="shared" si="5"/>
        <v>SAT Whataburger MASTERCARD-XXXXXX9P3FN5-Sal Costa</v>
      </c>
      <c r="Y375" s="4">
        <f>'QBO Transactions'!$Q377</f>
        <v>46230</v>
      </c>
      <c r="Z375" s="2"/>
      <c r="AA375" s="2"/>
      <c r="AB375" s="2"/>
      <c r="AC375" s="2"/>
      <c r="AD375" s="2"/>
      <c r="AE375" s="2"/>
    </row>
    <row r="376" spans="1:31" ht="12.75" customHeight="1" x14ac:dyDescent="0.25">
      <c r="A376" s="2"/>
      <c r="B376" s="2" t="str">
        <f>'QBO Transactions'!$U378</f>
        <v>Brex Credit Card</v>
      </c>
      <c r="C376" s="3">
        <f>'QBO Transactions'!$S378</f>
        <v>18.59</v>
      </c>
      <c r="D376" s="2" t="str">
        <f>'QBO Transactions'!$R378</f>
        <v>Starbucks</v>
      </c>
      <c r="E376" s="2"/>
      <c r="F376" s="3" t="str">
        <f>'QBO Transactions'!$X378</f>
        <v>Cost of Goods Sold:COGS- Travel Expenses:Meals &amp; Entertainment</v>
      </c>
      <c r="G376" s="2"/>
      <c r="H376" s="2"/>
      <c r="I376" s="2"/>
      <c r="J376" s="2"/>
      <c r="K376" s="2"/>
      <c r="L376" s="2"/>
      <c r="M376" s="2"/>
      <c r="N376" s="2" t="str">
        <f>'QBO Transactions'!$Y378</f>
        <v>300- ServiceNow:320- Engineering</v>
      </c>
      <c r="O376" s="2"/>
      <c r="P376" s="2"/>
      <c r="Q376" s="2" t="str">
        <f>'QBO Transactions'!$T378</f>
        <v>STARBUCKS STORE 20135 MASTERCARD-XXXXXXKBLPPX-Jonathan Stricklin</v>
      </c>
      <c r="R376" s="2"/>
      <c r="S376" s="2"/>
      <c r="T376" s="2"/>
      <c r="U376" s="2"/>
      <c r="V376" s="2"/>
      <c r="W376" s="2"/>
      <c r="X376" s="2" t="str">
        <f t="shared" si="5"/>
        <v>STARBUCKS STORE 20135 MASTERCARD-XXXXXXKBLPPX-Jonathan Stricklin</v>
      </c>
      <c r="Y376" s="4">
        <f>'QBO Transactions'!$Q378</f>
        <v>46231</v>
      </c>
      <c r="Z376" s="2"/>
      <c r="AA376" s="2"/>
      <c r="AB376" s="2"/>
      <c r="AC376" s="2"/>
      <c r="AD376" s="2"/>
      <c r="AE376" s="2"/>
    </row>
    <row r="377" spans="1:31" ht="12.75" customHeight="1" x14ac:dyDescent="0.25">
      <c r="A377" s="2"/>
      <c r="B377" s="2" t="str">
        <f>'QBO Transactions'!$U379</f>
        <v>Brex Credit Card</v>
      </c>
      <c r="C377" s="3">
        <f>'QBO Transactions'!$S379</f>
        <v>6.28</v>
      </c>
      <c r="D377" s="2" t="str">
        <f>'QBO Transactions'!$R379</f>
        <v>Office Vendor</v>
      </c>
      <c r="E377" s="2"/>
      <c r="F377" s="3" t="str">
        <f>'QBO Transactions'!$X379</f>
        <v>General &amp; Administrative:Office Expenses:Dues &amp; Subscriptions</v>
      </c>
      <c r="G377" s="2"/>
      <c r="H377" s="2"/>
      <c r="I377" s="2"/>
      <c r="J377" s="2"/>
      <c r="K377" s="2"/>
      <c r="L377" s="2"/>
      <c r="M377" s="2"/>
      <c r="N377" s="2" t="str">
        <f>'QBO Transactions'!$Y379</f>
        <v>300- ServiceNow:320- Engineering</v>
      </c>
      <c r="O377" s="2"/>
      <c r="P377" s="2"/>
      <c r="Q377" s="2" t="str">
        <f>'QBO Transactions'!$T379</f>
        <v>HUDSONST1691 MASTERCARD-XXXXXX9F3QIS-Jason Speet</v>
      </c>
      <c r="R377" s="2"/>
      <c r="S377" s="2"/>
      <c r="T377" s="2"/>
      <c r="U377" s="2"/>
      <c r="V377" s="2"/>
      <c r="W377" s="2"/>
      <c r="X377" s="2" t="str">
        <f t="shared" si="5"/>
        <v>HUDSONST1691 MASTERCARD-XXXXXX9F3QIS-Jason Speet</v>
      </c>
      <c r="Y377" s="4">
        <f>'QBO Transactions'!$Q379</f>
        <v>46230</v>
      </c>
      <c r="Z377" s="2"/>
      <c r="AA377" s="2"/>
      <c r="AB377" s="2"/>
      <c r="AC377" s="2"/>
      <c r="AD377" s="2"/>
      <c r="AE377" s="2"/>
    </row>
    <row r="378" spans="1:31" ht="12.75" customHeight="1" x14ac:dyDescent="0.25">
      <c r="A378" s="2"/>
      <c r="B378" s="2" t="str">
        <f>'QBO Transactions'!$U380</f>
        <v>Brex Credit Card</v>
      </c>
      <c r="C378" s="3">
        <f>'QBO Transactions'!$S380</f>
        <v>18.09</v>
      </c>
      <c r="D378" s="2" t="str">
        <f>'QBO Transactions'!$R380</f>
        <v>Taxi Vendor</v>
      </c>
      <c r="E378" s="2"/>
      <c r="F378" s="3" t="str">
        <f>'QBO Transactions'!$X380</f>
        <v>Cost of Goods Sold:COGS- Travel Expenses:Ground Transportation</v>
      </c>
      <c r="G378" s="2"/>
      <c r="H378" s="2"/>
      <c r="I378" s="2"/>
      <c r="J378" s="2"/>
      <c r="K378" s="2"/>
      <c r="L378" s="2"/>
      <c r="M378" s="2"/>
      <c r="N378" s="2" t="str">
        <f>'QBO Transactions'!$Y380</f>
        <v>200- Datadog:220- Engineering</v>
      </c>
      <c r="O378" s="2"/>
      <c r="P378" s="2"/>
      <c r="Q378" s="2" t="str">
        <f>'QBO Transactions'!$T380</f>
        <v>SumUp  *Stephen crowle MASTERCARD-XXXXXXBEYT06-Dan Hennessy</v>
      </c>
      <c r="R378" s="2"/>
      <c r="S378" s="2"/>
      <c r="T378" s="2"/>
      <c r="U378" s="2"/>
      <c r="V378" s="2"/>
      <c r="W378" s="2"/>
      <c r="X378" s="2" t="str">
        <f t="shared" si="5"/>
        <v>SumUp  *Stephen crowle MASTERCARD-XXXXXXBEYT06-Dan Hennessy</v>
      </c>
      <c r="Y378" s="4">
        <f>'QBO Transactions'!$Q380</f>
        <v>46230</v>
      </c>
      <c r="Z378" s="2"/>
      <c r="AA378" s="2"/>
      <c r="AB378" s="2"/>
      <c r="AC378" s="2"/>
      <c r="AD378" s="2"/>
      <c r="AE378" s="2"/>
    </row>
    <row r="379" spans="1:31" ht="12.75" customHeight="1" x14ac:dyDescent="0.25">
      <c r="A379" s="2"/>
      <c r="B379" s="2" t="str">
        <f>'QBO Transactions'!$U381</f>
        <v>Brex Credit Card</v>
      </c>
      <c r="C379" s="3">
        <f>'QBO Transactions'!$S381</f>
        <v>2.35</v>
      </c>
      <c r="D379" s="2" t="str">
        <f>'QBO Transactions'!$R381</f>
        <v>Uber</v>
      </c>
      <c r="E379" s="2"/>
      <c r="F379" s="3" t="str">
        <f>'QBO Transactions'!$X381</f>
        <v>Sales &amp; Marketing:Sales &amp; Marketing- Travel Expenses:Ground Transportation</v>
      </c>
      <c r="G379" s="2"/>
      <c r="H379" s="2"/>
      <c r="I379" s="2"/>
      <c r="J379" s="2"/>
      <c r="K379" s="2"/>
      <c r="L379" s="2"/>
      <c r="M379" s="2"/>
      <c r="N379" s="2" t="str">
        <f>'QBO Transactions'!$Y381</f>
        <v>300- ServiceNow:330- Sales</v>
      </c>
      <c r="O379" s="2"/>
      <c r="P379" s="2"/>
      <c r="Q379" s="2" t="str">
        <f>'QBO Transactions'!$T381</f>
        <v>UBER   *TRIP MASTERCARD-XXXXXXVO1XF6-Nestor Abad Rodriguez</v>
      </c>
      <c r="R379" s="2"/>
      <c r="S379" s="2"/>
      <c r="T379" s="2"/>
      <c r="U379" s="2"/>
      <c r="V379" s="2"/>
      <c r="W379" s="2"/>
      <c r="X379" s="2" t="str">
        <f t="shared" si="5"/>
        <v>UBER   *TRIP MASTERCARD-XXXXXXVO1XF6-Nestor Abad Rodriguez</v>
      </c>
      <c r="Y379" s="4">
        <f>'QBO Transactions'!$Q381</f>
        <v>46230</v>
      </c>
      <c r="Z379" s="2"/>
      <c r="AA379" s="2"/>
      <c r="AB379" s="2"/>
      <c r="AC379" s="2"/>
      <c r="AD379" s="2"/>
      <c r="AE379" s="2"/>
    </row>
    <row r="380" spans="1:31" ht="12.75" customHeight="1" x14ac:dyDescent="0.25">
      <c r="A380" s="2"/>
      <c r="B380" s="2" t="str">
        <f>'QBO Transactions'!$U382</f>
        <v>Brex Credit Card</v>
      </c>
      <c r="C380" s="3">
        <f>'QBO Transactions'!$S382</f>
        <v>48.13</v>
      </c>
      <c r="D380" s="2" t="str">
        <f>'QBO Transactions'!$R382</f>
        <v>Food Vendor</v>
      </c>
      <c r="E380" s="2"/>
      <c r="F380" s="3" t="str">
        <f>'QBO Transactions'!$X382</f>
        <v>Cost of Goods Sold:COGS- Travel Expenses:Meals &amp; Entertainment</v>
      </c>
      <c r="G380" s="2"/>
      <c r="H380" s="2"/>
      <c r="I380" s="2"/>
      <c r="J380" s="2"/>
      <c r="K380" s="2"/>
      <c r="L380" s="2"/>
      <c r="M380" s="2"/>
      <c r="N380" s="2" t="str">
        <f>'QBO Transactions'!$Y382</f>
        <v>200- Datadog:210- Delivery</v>
      </c>
      <c r="O380" s="2"/>
      <c r="P380" s="2"/>
      <c r="Q380" s="2" t="str">
        <f>'QBO Transactions'!$T382</f>
        <v>Leo's MASTERCARD-XXXXXXA929QT-Patrick Donovan</v>
      </c>
      <c r="R380" s="2"/>
      <c r="S380" s="2"/>
      <c r="T380" s="2"/>
      <c r="U380" s="2"/>
      <c r="V380" s="2"/>
      <c r="W380" s="2"/>
      <c r="X380" s="2" t="str">
        <f t="shared" si="5"/>
        <v>Leo's MASTERCARD-XXXXXXA929QT-Patrick Donovan</v>
      </c>
      <c r="Y380" s="4">
        <f>'QBO Transactions'!$Q382</f>
        <v>46229</v>
      </c>
      <c r="Z380" s="2"/>
      <c r="AA380" s="2"/>
      <c r="AB380" s="2"/>
      <c r="AC380" s="2"/>
      <c r="AD380" s="2"/>
      <c r="AE380" s="2"/>
    </row>
    <row r="381" spans="1:31" ht="12.75" customHeight="1" x14ac:dyDescent="0.25">
      <c r="A381" s="2"/>
      <c r="B381" s="2" t="str">
        <f>'QBO Transactions'!$U383</f>
        <v>Brex Credit Card</v>
      </c>
      <c r="C381" s="3">
        <f>'QBO Transactions'!$S383</f>
        <v>33.92</v>
      </c>
      <c r="D381" s="2" t="str">
        <f>'QBO Transactions'!$R383</f>
        <v>Food Vendor</v>
      </c>
      <c r="E381" s="2"/>
      <c r="F381" s="3" t="str">
        <f>'QBO Transactions'!$X383</f>
        <v>Cost of Goods Sold:COGS- Travel Expenses:Meals &amp; Entertainment</v>
      </c>
      <c r="G381" s="2"/>
      <c r="H381" s="2"/>
      <c r="I381" s="2"/>
      <c r="J381" s="2"/>
      <c r="K381" s="2"/>
      <c r="L381" s="2"/>
      <c r="M381" s="2"/>
      <c r="N381" s="2" t="str">
        <f>'QBO Transactions'!$Y383</f>
        <v>300- ServiceNow:320- Engineering</v>
      </c>
      <c r="O381" s="2"/>
      <c r="P381" s="2"/>
      <c r="Q381" s="2" t="str">
        <f>'QBO Transactions'!$T383</f>
        <v>THE WILDDUCK MARKET PL MASTERCARD-XXXXXX7AGXI2-Robert Kolosky</v>
      </c>
      <c r="R381" s="2"/>
      <c r="S381" s="2"/>
      <c r="T381" s="2"/>
      <c r="U381" s="2"/>
      <c r="V381" s="2"/>
      <c r="W381" s="2"/>
      <c r="X381" s="2" t="str">
        <f t="shared" si="5"/>
        <v>THE WILDDUCK MARKET PL MASTERCARD-XXXXXX7AGXI2-Robert Kolosky</v>
      </c>
      <c r="Y381" s="4">
        <f>'QBO Transactions'!$Q383</f>
        <v>46229</v>
      </c>
      <c r="Z381" s="2"/>
      <c r="AA381" s="2"/>
      <c r="AB381" s="2"/>
      <c r="AC381" s="2"/>
      <c r="AD381" s="2"/>
      <c r="AE381" s="2"/>
    </row>
    <row r="382" spans="1:31" ht="12.75" customHeight="1" x14ac:dyDescent="0.25">
      <c r="A382" s="2"/>
      <c r="B382" s="2" t="str">
        <f>'QBO Transactions'!$U384</f>
        <v>Brex Credit Card</v>
      </c>
      <c r="C382" s="3">
        <f>'QBO Transactions'!$S384</f>
        <v>48.13</v>
      </c>
      <c r="D382" s="2" t="str">
        <f>'QBO Transactions'!$R384</f>
        <v>Food Vendor</v>
      </c>
      <c r="E382" s="2"/>
      <c r="F382" s="3" t="str">
        <f>'QBO Transactions'!$X384</f>
        <v>Cost of Goods Sold:COGS- Travel Expenses:Meals &amp; Entertainment</v>
      </c>
      <c r="G382" s="2"/>
      <c r="H382" s="2"/>
      <c r="I382" s="2"/>
      <c r="J382" s="2"/>
      <c r="K382" s="2"/>
      <c r="L382" s="2"/>
      <c r="M382" s="2"/>
      <c r="N382" s="2" t="str">
        <f>'QBO Transactions'!$Y384</f>
        <v>200- Datadog:210- Delivery</v>
      </c>
      <c r="O382" s="2"/>
      <c r="P382" s="2"/>
      <c r="Q382" s="2" t="str">
        <f>'QBO Transactions'!$T384</f>
        <v>La Pollera Colora MASTERCARD-XXXXXX4U1XGE-Patrick Donovan</v>
      </c>
      <c r="R382" s="2"/>
      <c r="S382" s="2"/>
      <c r="T382" s="2"/>
      <c r="U382" s="2"/>
      <c r="V382" s="2"/>
      <c r="W382" s="2"/>
      <c r="X382" s="2" t="str">
        <f t="shared" si="5"/>
        <v>La Pollera Colora MASTERCARD-XXXXXX4U1XGE-Patrick Donovan</v>
      </c>
      <c r="Y382" s="4">
        <f>'QBO Transactions'!$Q384</f>
        <v>46229</v>
      </c>
      <c r="Z382" s="2"/>
      <c r="AA382" s="2"/>
      <c r="AB382" s="2"/>
      <c r="AC382" s="2"/>
      <c r="AD382" s="2"/>
      <c r="AE382" s="2"/>
    </row>
    <row r="383" spans="1:31" ht="12.75" customHeight="1" x14ac:dyDescent="0.25">
      <c r="A383" s="2"/>
      <c r="B383" s="2" t="str">
        <f>'QBO Transactions'!$U385</f>
        <v>Brex Credit Card</v>
      </c>
      <c r="C383" s="3">
        <f>'QBO Transactions'!$S385</f>
        <v>28.88</v>
      </c>
      <c r="D383" s="2" t="str">
        <f>'QBO Transactions'!$R385</f>
        <v>Travel Vendor</v>
      </c>
      <c r="E383" s="2"/>
      <c r="F383" s="3" t="str">
        <f>'QBO Transactions'!$X385</f>
        <v>Cost of Goods Sold:COGS- Travel Expenses:Meals &amp; Entertainment</v>
      </c>
      <c r="G383" s="2"/>
      <c r="H383" s="2"/>
      <c r="I383" s="2"/>
      <c r="J383" s="2"/>
      <c r="K383" s="2"/>
      <c r="L383" s="2"/>
      <c r="M383" s="2"/>
      <c r="N383" s="2" t="str">
        <f>'QBO Transactions'!$Y385</f>
        <v>200- Datadog:210- Delivery</v>
      </c>
      <c r="O383" s="2"/>
      <c r="P383" s="2"/>
      <c r="Q383" s="2" t="str">
        <f>'QBO Transactions'!$T385</f>
        <v>SumUp  *la pollera col MASTERCARD-XXXXXXBXBOAL-Patrick Donovan</v>
      </c>
      <c r="R383" s="2"/>
      <c r="S383" s="2"/>
      <c r="T383" s="2"/>
      <c r="U383" s="2"/>
      <c r="V383" s="2"/>
      <c r="W383" s="2"/>
      <c r="X383" s="2" t="str">
        <f t="shared" si="5"/>
        <v>SumUp  *la pollera col MASTERCARD-XXXXXXBXBOAL-Patrick Donovan</v>
      </c>
      <c r="Y383" s="4">
        <f>'QBO Transactions'!$Q385</f>
        <v>46230</v>
      </c>
      <c r="Z383" s="2"/>
      <c r="AA383" s="2"/>
      <c r="AB383" s="2"/>
      <c r="AC383" s="2"/>
      <c r="AD383" s="2"/>
      <c r="AE383" s="2"/>
    </row>
    <row r="384" spans="1:31" ht="12.75" customHeight="1" x14ac:dyDescent="0.25">
      <c r="A384" s="2"/>
      <c r="B384" s="2" t="str">
        <f>'QBO Transactions'!$U386</f>
        <v>Brex Credit Card</v>
      </c>
      <c r="C384" s="3">
        <f>'QBO Transactions'!$S386</f>
        <v>26.03</v>
      </c>
      <c r="D384" s="2" t="str">
        <f>'QBO Transactions'!$R386</f>
        <v>Lyft</v>
      </c>
      <c r="E384" s="2"/>
      <c r="F384" s="3" t="str">
        <f>'QBO Transactions'!$X386</f>
        <v>Cost of Goods Sold:COGS- Travel Expenses:Ground Transportation</v>
      </c>
      <c r="G384" s="2"/>
      <c r="H384" s="2"/>
      <c r="I384" s="2"/>
      <c r="J384" s="2"/>
      <c r="K384" s="2"/>
      <c r="L384" s="2"/>
      <c r="M384" s="2"/>
      <c r="N384" s="2" t="str">
        <f>'QBO Transactions'!$Y386</f>
        <v>300- ServiceNow:320- Engineering</v>
      </c>
      <c r="O384" s="2"/>
      <c r="P384" s="2"/>
      <c r="Q384" s="2" t="str">
        <f>'QBO Transactions'!$T386</f>
        <v>LYFT   *SCHD AIR 07-26 MASTERCARD-XXXXXXGAACO9-Robert Witty</v>
      </c>
      <c r="R384" s="2"/>
      <c r="S384" s="2"/>
      <c r="T384" s="2"/>
      <c r="U384" s="2"/>
      <c r="V384" s="2"/>
      <c r="W384" s="2"/>
      <c r="X384" s="2" t="str">
        <f t="shared" si="5"/>
        <v>LYFT   *SCHD AIR 07-26 MASTERCARD-XXXXXXGAACO9-Robert Witty</v>
      </c>
      <c r="Y384" s="4">
        <f>'QBO Transactions'!$Q386</f>
        <v>46230</v>
      </c>
      <c r="Z384" s="2"/>
      <c r="AA384" s="2"/>
      <c r="AB384" s="2"/>
      <c r="AC384" s="2"/>
      <c r="AD384" s="2"/>
      <c r="AE384" s="2"/>
    </row>
    <row r="385" spans="1:31" ht="12.75" customHeight="1" x14ac:dyDescent="0.25">
      <c r="A385" s="2"/>
      <c r="B385" s="2" t="str">
        <f>'QBO Transactions'!$U387</f>
        <v>Brex Credit Card</v>
      </c>
      <c r="C385" s="3">
        <f>'QBO Transactions'!$S387</f>
        <v>45</v>
      </c>
      <c r="D385" s="2" t="str">
        <f>'QBO Transactions'!$R387</f>
        <v>Delta</v>
      </c>
      <c r="E385" s="2"/>
      <c r="F385" s="3" t="str">
        <f>'QBO Transactions'!$X387</f>
        <v>Cost of Goods Sold:COGS- Travel Expenses:Airfare</v>
      </c>
      <c r="G385" s="2"/>
      <c r="H385" s="2"/>
      <c r="I385" s="2"/>
      <c r="J385" s="2"/>
      <c r="K385" s="2"/>
      <c r="L385" s="2"/>
      <c r="M385" s="2"/>
      <c r="N385" s="2" t="str">
        <f>'QBO Transactions'!$Y387</f>
        <v>300- ServiceNow:320- Engineering</v>
      </c>
      <c r="O385" s="2"/>
      <c r="P385" s="2"/>
      <c r="Q385" s="2" t="str">
        <f>'QBO Transactions'!$T387</f>
        <v>DELTA MASTERCARD-XXXXXXPIK06W-Nicholas Stauffer</v>
      </c>
      <c r="R385" s="2"/>
      <c r="S385" s="2"/>
      <c r="T385" s="2"/>
      <c r="U385" s="2"/>
      <c r="V385" s="2"/>
      <c r="W385" s="2"/>
      <c r="X385" s="2" t="str">
        <f t="shared" si="5"/>
        <v>DELTA MASTERCARD-XXXXXXPIK06W-Nicholas Stauffer</v>
      </c>
      <c r="Y385" s="4">
        <f>'QBO Transactions'!$Q387</f>
        <v>46229</v>
      </c>
      <c r="Z385" s="2"/>
      <c r="AA385" s="2"/>
      <c r="AB385" s="2"/>
      <c r="AC385" s="2"/>
      <c r="AD385" s="2"/>
      <c r="AE385" s="2"/>
    </row>
    <row r="386" spans="1:31" ht="12.75" customHeight="1" x14ac:dyDescent="0.25">
      <c r="A386" s="2"/>
      <c r="B386" s="2" t="str">
        <f>'QBO Transactions'!$U388</f>
        <v>Brex Credit Card</v>
      </c>
      <c r="C386" s="3">
        <f>'QBO Transactions'!$S388</f>
        <v>384.72</v>
      </c>
      <c r="D386" s="2" t="str">
        <f>'QBO Transactions'!$R388</f>
        <v>Amazon</v>
      </c>
      <c r="E386" s="2"/>
      <c r="F386" s="3" t="str">
        <f>'QBO Transactions'!$X388</f>
        <v>General &amp; Administrative:Office Expenses:Office Supplies</v>
      </c>
      <c r="G386" s="2"/>
      <c r="H386" s="2"/>
      <c r="I386" s="2"/>
      <c r="J386" s="2"/>
      <c r="K386" s="2"/>
      <c r="L386" s="2"/>
      <c r="M386" s="2"/>
      <c r="N386" s="2" t="str">
        <f>'QBO Transactions'!$Y388</f>
        <v>100- Operations:110- G&amp;A</v>
      </c>
      <c r="O386" s="2"/>
      <c r="P386" s="2"/>
      <c r="Q386" s="2" t="str">
        <f>'QBO Transactions'!$T388</f>
        <v>AMAZON MKTPL*D293C8FB3 MASTERCARD-XXXXXX4T5CUK-Mickenzi Krpec</v>
      </c>
      <c r="R386" s="2"/>
      <c r="S386" s="2"/>
      <c r="T386" s="2"/>
      <c r="U386" s="2"/>
      <c r="V386" s="2"/>
      <c r="W386" s="2"/>
      <c r="X386" s="2" t="str">
        <f t="shared" ref="X386:X449" si="6">Q386</f>
        <v>AMAZON MKTPL*D293C8FB3 MASTERCARD-XXXXXX4T5CUK-Mickenzi Krpec</v>
      </c>
      <c r="Y386" s="4">
        <f>'QBO Transactions'!$Q388</f>
        <v>46232</v>
      </c>
      <c r="Z386" s="2"/>
      <c r="AA386" s="2"/>
      <c r="AB386" s="2"/>
      <c r="AC386" s="2"/>
      <c r="AD386" s="2"/>
      <c r="AE386" s="2"/>
    </row>
    <row r="387" spans="1:31" ht="12.75" customHeight="1" x14ac:dyDescent="0.25">
      <c r="A387" s="2"/>
      <c r="B387" s="2" t="str">
        <f>'QBO Transactions'!$U389</f>
        <v>Brex Credit Card</v>
      </c>
      <c r="C387" s="3">
        <f>'QBO Transactions'!$S389</f>
        <v>41.7</v>
      </c>
      <c r="D387" s="2" t="str">
        <f>'QBO Transactions'!$R389</f>
        <v>Curb</v>
      </c>
      <c r="E387" s="2"/>
      <c r="F387" s="3" t="str">
        <f>'QBO Transactions'!$X389</f>
        <v>Cost of Goods Sold:COGS- Travel Expenses:Ground Transportation</v>
      </c>
      <c r="G387" s="2"/>
      <c r="H387" s="2"/>
      <c r="I387" s="2"/>
      <c r="J387" s="2"/>
      <c r="K387" s="2"/>
      <c r="L387" s="2"/>
      <c r="M387" s="2"/>
      <c r="N387" s="2" t="str">
        <f>'QBO Transactions'!$Y389</f>
        <v>300- ServiceNow:320- Engineering</v>
      </c>
      <c r="O387" s="2"/>
      <c r="P387" s="2"/>
      <c r="Q387" s="2" t="str">
        <f>'QBO Transactions'!$T389</f>
        <v>CURB BOS TAXI MASTERCARD-XXXXXXJYAU54-Robert Kolosky</v>
      </c>
      <c r="R387" s="2"/>
      <c r="S387" s="2"/>
      <c r="T387" s="2"/>
      <c r="U387" s="2"/>
      <c r="V387" s="2"/>
      <c r="W387" s="2"/>
      <c r="X387" s="2" t="str">
        <f t="shared" si="6"/>
        <v>CURB BOS TAXI MASTERCARD-XXXXXXJYAU54-Robert Kolosky</v>
      </c>
      <c r="Y387" s="4">
        <f>'QBO Transactions'!$Q389</f>
        <v>46229</v>
      </c>
      <c r="Z387" s="2"/>
      <c r="AA387" s="2"/>
      <c r="AB387" s="2"/>
      <c r="AC387" s="2"/>
      <c r="AD387" s="2"/>
      <c r="AE387" s="2"/>
    </row>
    <row r="388" spans="1:31" ht="12.75" customHeight="1" x14ac:dyDescent="0.25">
      <c r="A388" s="2"/>
      <c r="B388" s="2" t="str">
        <f>'QBO Transactions'!$U390</f>
        <v>Brex Credit Card</v>
      </c>
      <c r="C388" s="3">
        <f>'QBO Transactions'!$S390</f>
        <v>31.65</v>
      </c>
      <c r="D388" s="2" t="str">
        <f>'QBO Transactions'!$R390</f>
        <v>Uber</v>
      </c>
      <c r="E388" s="2"/>
      <c r="F388" s="3" t="str">
        <f>'QBO Transactions'!$X390</f>
        <v>Sales &amp; Marketing:Sales &amp; Marketing- Travel Expenses:Ground Transportation</v>
      </c>
      <c r="G388" s="2"/>
      <c r="H388" s="2"/>
      <c r="I388" s="2"/>
      <c r="J388" s="2"/>
      <c r="K388" s="2"/>
      <c r="L388" s="2"/>
      <c r="M388" s="2"/>
      <c r="N388" s="2" t="str">
        <f>'QBO Transactions'!$Y390</f>
        <v>300- ServiceNow:330- Sales</v>
      </c>
      <c r="O388" s="2"/>
      <c r="P388" s="2"/>
      <c r="Q388" s="2" t="str">
        <f>'QBO Transactions'!$T390</f>
        <v>UBER   *TRIP MASTERCARD-XXXXXX3GH39T-Nestor Abad Rodriguez</v>
      </c>
      <c r="R388" s="2"/>
      <c r="S388" s="2"/>
      <c r="T388" s="2"/>
      <c r="U388" s="2"/>
      <c r="V388" s="2"/>
      <c r="W388" s="2"/>
      <c r="X388" s="2" t="str">
        <f t="shared" si="6"/>
        <v>UBER   *TRIP MASTERCARD-XXXXXX3GH39T-Nestor Abad Rodriguez</v>
      </c>
      <c r="Y388" s="4">
        <f>'QBO Transactions'!$Q390</f>
        <v>46230</v>
      </c>
      <c r="Z388" s="2"/>
      <c r="AA388" s="2"/>
      <c r="AB388" s="2"/>
      <c r="AC388" s="2"/>
      <c r="AD388" s="2"/>
      <c r="AE388" s="2"/>
    </row>
    <row r="389" spans="1:31" ht="12.75" customHeight="1" x14ac:dyDescent="0.25">
      <c r="A389" s="2"/>
      <c r="B389" s="2" t="str">
        <f>'QBO Transactions'!$U391</f>
        <v>Brex Credit Card</v>
      </c>
      <c r="C389" s="3">
        <f>'QBO Transactions'!$S391</f>
        <v>35.69</v>
      </c>
      <c r="D389" s="2" t="str">
        <f>'QBO Transactions'!$R391</f>
        <v>Uber</v>
      </c>
      <c r="E389" s="2"/>
      <c r="F389" s="3" t="str">
        <f>'QBO Transactions'!$X391</f>
        <v>Cost of Goods Sold:COGS- Travel Expenses:Ground Transportation</v>
      </c>
      <c r="G389" s="2"/>
      <c r="H389" s="2"/>
      <c r="I389" s="2"/>
      <c r="J389" s="2"/>
      <c r="K389" s="2"/>
      <c r="L389" s="2"/>
      <c r="M389" s="2"/>
      <c r="N389" s="2" t="str">
        <f>'QBO Transactions'!$Y391</f>
        <v>200- Datadog:220- Engineering</v>
      </c>
      <c r="O389" s="2"/>
      <c r="P389" s="2"/>
      <c r="Q389" s="2" t="str">
        <f>'QBO Transactions'!$T391</f>
        <v>UBER   *EATS MASTERCARD-XXXXXXS6TK97-Anthony Nguyen</v>
      </c>
      <c r="R389" s="2"/>
      <c r="S389" s="2"/>
      <c r="T389" s="2"/>
      <c r="U389" s="2"/>
      <c r="V389" s="2"/>
      <c r="W389" s="2"/>
      <c r="X389" s="2" t="str">
        <f t="shared" si="6"/>
        <v>UBER   *EATS MASTERCARD-XXXXXXS6TK97-Anthony Nguyen</v>
      </c>
      <c r="Y389" s="4">
        <f>'QBO Transactions'!$Q391</f>
        <v>46229</v>
      </c>
      <c r="Z389" s="2"/>
      <c r="AA389" s="2"/>
      <c r="AB389" s="2"/>
      <c r="AC389" s="2"/>
      <c r="AD389" s="2"/>
      <c r="AE389" s="2"/>
    </row>
    <row r="390" spans="1:31" ht="12.75" customHeight="1" x14ac:dyDescent="0.25">
      <c r="A390" s="2"/>
      <c r="B390" s="2" t="str">
        <f>'QBO Transactions'!$U392</f>
        <v>Brex Credit Card</v>
      </c>
      <c r="C390" s="3">
        <f>'QBO Transactions'!$S392</f>
        <v>54.94</v>
      </c>
      <c r="D390" s="2" t="str">
        <f>'QBO Transactions'!$R392</f>
        <v>Uber</v>
      </c>
      <c r="E390" s="2"/>
      <c r="F390" s="3" t="str">
        <f>'QBO Transactions'!$X392</f>
        <v>Cost of Goods Sold:COGS- Travel Expenses:Ground Transportation</v>
      </c>
      <c r="G390" s="2"/>
      <c r="H390" s="2"/>
      <c r="I390" s="2"/>
      <c r="J390" s="2"/>
      <c r="K390" s="2"/>
      <c r="L390" s="2"/>
      <c r="M390" s="2"/>
      <c r="N390" s="2" t="str">
        <f>'QBO Transactions'!$Y392</f>
        <v>300- ServiceNow:320- Engineering</v>
      </c>
      <c r="O390" s="2"/>
      <c r="P390" s="2"/>
      <c r="Q390" s="2" t="str">
        <f>'QBO Transactions'!$T392</f>
        <v>UBER   *TRIP MASTERCARD-XXXXXXEI9IF9-Jon Giara</v>
      </c>
      <c r="R390" s="2"/>
      <c r="S390" s="2"/>
      <c r="T390" s="2"/>
      <c r="U390" s="2"/>
      <c r="V390" s="2"/>
      <c r="W390" s="2"/>
      <c r="X390" s="2" t="str">
        <f t="shared" si="6"/>
        <v>UBER   *TRIP MASTERCARD-XXXXXXEI9IF9-Jon Giara</v>
      </c>
      <c r="Y390" s="4">
        <f>'QBO Transactions'!$Q392</f>
        <v>46230</v>
      </c>
      <c r="Z390" s="2"/>
      <c r="AA390" s="2"/>
      <c r="AB390" s="2"/>
      <c r="AC390" s="2"/>
      <c r="AD390" s="2"/>
      <c r="AE390" s="2"/>
    </row>
    <row r="391" spans="1:31" ht="12.75" customHeight="1" x14ac:dyDescent="0.25">
      <c r="A391" s="2"/>
      <c r="B391" s="2" t="str">
        <f>'QBO Transactions'!$U393</f>
        <v>Brex Credit Card</v>
      </c>
      <c r="C391" s="3">
        <f>'QBO Transactions'!$S393</f>
        <v>50</v>
      </c>
      <c r="D391" s="2" t="str">
        <f>'QBO Transactions'!$R393</f>
        <v>United Airlines</v>
      </c>
      <c r="E391" s="2"/>
      <c r="F391" s="3" t="str">
        <f>'QBO Transactions'!$X393</f>
        <v>Cost of Goods Sold:COGS- Travel Expenses:Airfare</v>
      </c>
      <c r="G391" s="2"/>
      <c r="H391" s="2"/>
      <c r="I391" s="2"/>
      <c r="J391" s="2"/>
      <c r="K391" s="2"/>
      <c r="L391" s="2"/>
      <c r="M391" s="2"/>
      <c r="N391" s="2" t="str">
        <f>'QBO Transactions'!$Y393</f>
        <v>200- Datadog:220- Engineering</v>
      </c>
      <c r="O391" s="2"/>
      <c r="P391" s="2"/>
      <c r="Q391" s="2" t="str">
        <f>'QBO Transactions'!$T393</f>
        <v>UNITED MASTERCARD-XXXXXXV1RRQ8-Yadwinder Singh</v>
      </c>
      <c r="R391" s="2"/>
      <c r="S391" s="2"/>
      <c r="T391" s="2"/>
      <c r="U391" s="2"/>
      <c r="V391" s="2"/>
      <c r="W391" s="2"/>
      <c r="X391" s="2" t="str">
        <f t="shared" si="6"/>
        <v>UNITED MASTERCARD-XXXXXXV1RRQ8-Yadwinder Singh</v>
      </c>
      <c r="Y391" s="4">
        <f>'QBO Transactions'!$Q393</f>
        <v>46230</v>
      </c>
      <c r="Z391" s="2"/>
      <c r="AA391" s="2"/>
      <c r="AB391" s="2"/>
      <c r="AC391" s="2"/>
      <c r="AD391" s="2"/>
      <c r="AE391" s="2"/>
    </row>
    <row r="392" spans="1:31" ht="12.75" customHeight="1" x14ac:dyDescent="0.25">
      <c r="A392" s="2"/>
      <c r="B392" s="2" t="str">
        <f>'QBO Transactions'!$U394</f>
        <v>Brex Credit Card</v>
      </c>
      <c r="C392" s="3">
        <f>'QBO Transactions'!$S394</f>
        <v>68.69</v>
      </c>
      <c r="D392" s="2" t="str">
        <f>'QBO Transactions'!$R394</f>
        <v>Food Vendor</v>
      </c>
      <c r="E392" s="2"/>
      <c r="F392" s="3" t="str">
        <f>'QBO Transactions'!$X394</f>
        <v>Cost of Goods Sold:COGS- Travel Expenses:Meals &amp; Entertainment</v>
      </c>
      <c r="G392" s="2"/>
      <c r="H392" s="2"/>
      <c r="I392" s="2"/>
      <c r="J392" s="2"/>
      <c r="K392" s="2"/>
      <c r="L392" s="2"/>
      <c r="M392" s="2"/>
      <c r="N392" s="2" t="str">
        <f>'QBO Transactions'!$Y394</f>
        <v>300- ServiceNow:320- Engineering</v>
      </c>
      <c r="O392" s="2"/>
      <c r="P392" s="2"/>
      <c r="Q392" s="2" t="str">
        <f>'QBO Transactions'!$T394</f>
        <v>JFK BOULTON AND WATT 1 MASTERCARD-XXXXXXF35IT9-Ona Kolosky</v>
      </c>
      <c r="R392" s="2"/>
      <c r="S392" s="2"/>
      <c r="T392" s="2"/>
      <c r="U392" s="2"/>
      <c r="V392" s="2"/>
      <c r="W392" s="2"/>
      <c r="X392" s="2" t="str">
        <f t="shared" si="6"/>
        <v>JFK BOULTON AND WATT 1 MASTERCARD-XXXXXXF35IT9-Ona Kolosky</v>
      </c>
      <c r="Y392" s="4">
        <f>'QBO Transactions'!$Q394</f>
        <v>46229</v>
      </c>
      <c r="Z392" s="2"/>
      <c r="AA392" s="2"/>
      <c r="AB392" s="2"/>
      <c r="AC392" s="2"/>
      <c r="AD392" s="2"/>
      <c r="AE392" s="2"/>
    </row>
    <row r="393" spans="1:31" ht="12.75" customHeight="1" x14ac:dyDescent="0.25">
      <c r="A393" s="2"/>
      <c r="B393" s="2" t="str">
        <f>'QBO Transactions'!$U395</f>
        <v>Brex Credit Card</v>
      </c>
      <c r="C393" s="3">
        <f>'QBO Transactions'!$S395</f>
        <v>130.99</v>
      </c>
      <c r="D393" s="2" t="str">
        <f>'QBO Transactions'!$R395</f>
        <v>Travel Vendor</v>
      </c>
      <c r="E393" s="2"/>
      <c r="F393" s="3" t="str">
        <f>'QBO Transactions'!$X395</f>
        <v>Sales &amp; Marketing:Sales &amp; Marketing- Travel Expenses:Other Travel Expenses</v>
      </c>
      <c r="G393" s="2"/>
      <c r="H393" s="2"/>
      <c r="I393" s="2"/>
      <c r="J393" s="2"/>
      <c r="K393" s="2"/>
      <c r="L393" s="2"/>
      <c r="M393" s="2"/>
      <c r="N393" s="2" t="str">
        <f>'QBO Transactions'!$Y395</f>
        <v>300- ServiceNow:330- Sales</v>
      </c>
      <c r="O393" s="2"/>
      <c r="P393" s="2"/>
      <c r="Q393" s="2" t="str">
        <f>'QBO Transactions'!$T395</f>
        <v>83530 - SAT ST GARAGE MASTERCARD-XXXXXXDAN11H-Sal Costa</v>
      </c>
      <c r="R393" s="2"/>
      <c r="S393" s="2"/>
      <c r="T393" s="2"/>
      <c r="U393" s="2"/>
      <c r="V393" s="2"/>
      <c r="W393" s="2"/>
      <c r="X393" s="2" t="str">
        <f t="shared" si="6"/>
        <v>83530 - SAT ST GARAGE MASTERCARD-XXXXXXDAN11H-Sal Costa</v>
      </c>
      <c r="Y393" s="4">
        <f>'QBO Transactions'!$Q395</f>
        <v>46230</v>
      </c>
      <c r="Z393" s="2"/>
      <c r="AA393" s="2"/>
      <c r="AB393" s="2"/>
      <c r="AC393" s="2"/>
      <c r="AD393" s="2"/>
      <c r="AE393" s="2"/>
    </row>
    <row r="394" spans="1:31" ht="12.75" customHeight="1" x14ac:dyDescent="0.25">
      <c r="A394" s="2"/>
      <c r="B394" s="2" t="str">
        <f>'QBO Transactions'!$U396</f>
        <v>Brex Credit Card</v>
      </c>
      <c r="C394" s="3">
        <f>'QBO Transactions'!$S396</f>
        <v>7.89</v>
      </c>
      <c r="D394" s="2" t="str">
        <f>'QBO Transactions'!$R396</f>
        <v>Hudson News</v>
      </c>
      <c r="E394" s="2"/>
      <c r="F394" s="3" t="str">
        <f>'QBO Transactions'!$X396</f>
        <v>Cost of Goods Sold:COGS- Travel Expenses:Meals &amp; Entertainment</v>
      </c>
      <c r="G394" s="2"/>
      <c r="H394" s="2"/>
      <c r="I394" s="2"/>
      <c r="J394" s="2"/>
      <c r="K394" s="2"/>
      <c r="L394" s="2"/>
      <c r="M394" s="2"/>
      <c r="N394" s="2" t="str">
        <f>'QBO Transactions'!$Y396</f>
        <v>300- ServiceNow:320- Engineering</v>
      </c>
      <c r="O394" s="2"/>
      <c r="P394" s="2"/>
      <c r="Q394" s="2" t="str">
        <f>'QBO Transactions'!$T396</f>
        <v>HUDSONNEWS  ST1180 MASTERCARD-XXXXXX7WSTLW-Robert Kolosky</v>
      </c>
      <c r="R394" s="2"/>
      <c r="S394" s="2"/>
      <c r="T394" s="2"/>
      <c r="U394" s="2"/>
      <c r="V394" s="2"/>
      <c r="W394" s="2"/>
      <c r="X394" s="2" t="str">
        <f t="shared" si="6"/>
        <v>HUDSONNEWS  ST1180 MASTERCARD-XXXXXX7WSTLW-Robert Kolosky</v>
      </c>
      <c r="Y394" s="4">
        <f>'QBO Transactions'!$Q396</f>
        <v>46229</v>
      </c>
      <c r="Z394" s="2"/>
      <c r="AA394" s="2"/>
      <c r="AB394" s="2"/>
      <c r="AC394" s="2"/>
      <c r="AD394" s="2"/>
      <c r="AE394" s="2"/>
    </row>
    <row r="395" spans="1:31" ht="12.75" customHeight="1" x14ac:dyDescent="0.25">
      <c r="A395" s="2"/>
      <c r="B395" s="2" t="str">
        <f>'QBO Transactions'!$U397</f>
        <v>Brex Credit Card</v>
      </c>
      <c r="C395" s="3">
        <f>'QBO Transactions'!$S397</f>
        <v>8.94</v>
      </c>
      <c r="D395" s="2" t="str">
        <f>'QBO Transactions'!$R397</f>
        <v>Uber</v>
      </c>
      <c r="E395" s="2"/>
      <c r="F395" s="3" t="str">
        <f>'QBO Transactions'!$X397</f>
        <v>Cost of Goods Sold:COGS- Travel Expenses:Ground Transportation</v>
      </c>
      <c r="G395" s="2"/>
      <c r="H395" s="2"/>
      <c r="I395" s="2"/>
      <c r="J395" s="2"/>
      <c r="K395" s="2"/>
      <c r="L395" s="2"/>
      <c r="M395" s="2"/>
      <c r="N395" s="2" t="str">
        <f>'QBO Transactions'!$Y397</f>
        <v>200- Datadog:220- Engineering</v>
      </c>
      <c r="O395" s="2"/>
      <c r="P395" s="2"/>
      <c r="Q395" s="2" t="str">
        <f>'QBO Transactions'!$T397</f>
        <v>UBER   *TRIP MASTERCARD-XXXXXXIBU27M-Anthony Nguyen</v>
      </c>
      <c r="R395" s="2"/>
      <c r="S395" s="2"/>
      <c r="T395" s="2"/>
      <c r="U395" s="2"/>
      <c r="V395" s="2"/>
      <c r="W395" s="2"/>
      <c r="X395" s="2" t="str">
        <f t="shared" si="6"/>
        <v>UBER   *TRIP MASTERCARD-XXXXXXIBU27M-Anthony Nguyen</v>
      </c>
      <c r="Y395" s="4">
        <f>'QBO Transactions'!$Q397</f>
        <v>46229</v>
      </c>
      <c r="Z395" s="2"/>
      <c r="AA395" s="2"/>
      <c r="AB395" s="2"/>
      <c r="AC395" s="2"/>
      <c r="AD395" s="2"/>
      <c r="AE395" s="2"/>
    </row>
    <row r="396" spans="1:31" ht="12.75" customHeight="1" x14ac:dyDescent="0.25">
      <c r="A396" s="2"/>
      <c r="B396" s="2" t="str">
        <f>'QBO Transactions'!$U398</f>
        <v>Brex Credit Card</v>
      </c>
      <c r="C396" s="3">
        <f>'QBO Transactions'!$S398</f>
        <v>74.959999999999994</v>
      </c>
      <c r="D396" s="2" t="str">
        <f>'QBO Transactions'!$R398</f>
        <v>Travel Vendor</v>
      </c>
      <c r="E396" s="2"/>
      <c r="F396" s="3" t="str">
        <f>'QBO Transactions'!$X398</f>
        <v>Cost of Goods Sold:COGS- Travel Expenses:Other Travel Expenses</v>
      </c>
      <c r="G396" s="2"/>
      <c r="H396" s="2"/>
      <c r="I396" s="2"/>
      <c r="J396" s="2"/>
      <c r="K396" s="2"/>
      <c r="L396" s="2"/>
      <c r="M396" s="2"/>
      <c r="N396" s="2" t="str">
        <f>'QBO Transactions'!$Y398</f>
        <v>300- ServiceNow:320- Engineering</v>
      </c>
      <c r="O396" s="2"/>
      <c r="P396" s="2"/>
      <c r="Q396" s="2" t="str">
        <f>'QBO Transactions'!$T398</f>
        <v>PARK N JET - LOT 2 MASTERCARD-XXXXXXA6EDNZ-Daniel Throckmorton</v>
      </c>
      <c r="R396" s="2"/>
      <c r="S396" s="2"/>
      <c r="T396" s="2"/>
      <c r="U396" s="2"/>
      <c r="V396" s="2"/>
      <c r="W396" s="2"/>
      <c r="X396" s="2" t="str">
        <f t="shared" si="6"/>
        <v>PARK N JET - LOT 2 MASTERCARD-XXXXXXA6EDNZ-Daniel Throckmorton</v>
      </c>
      <c r="Y396" s="4">
        <f>'QBO Transactions'!$Q398</f>
        <v>46229</v>
      </c>
      <c r="Z396" s="2"/>
      <c r="AA396" s="2"/>
      <c r="AB396" s="2"/>
      <c r="AC396" s="2"/>
      <c r="AD396" s="2"/>
      <c r="AE396" s="2"/>
    </row>
    <row r="397" spans="1:31" ht="12.75" customHeight="1" x14ac:dyDescent="0.25">
      <c r="A397" s="2"/>
      <c r="B397" s="2" t="str">
        <f>'QBO Transactions'!$U399</f>
        <v>Brex Credit Card</v>
      </c>
      <c r="C397" s="3">
        <f>'QBO Transactions'!$S399</f>
        <v>620</v>
      </c>
      <c r="D397" s="2" t="str">
        <f>'QBO Transactions'!$R399</f>
        <v>Travel Vendor</v>
      </c>
      <c r="E397" s="2"/>
      <c r="F397" s="3" t="str">
        <f>'QBO Transactions'!$X399</f>
        <v>Cost of Goods Sold:COGS- Travel Expenses:Meals &amp; Entertainment</v>
      </c>
      <c r="G397" s="2"/>
      <c r="H397" s="2"/>
      <c r="I397" s="2"/>
      <c r="J397" s="2"/>
      <c r="K397" s="2"/>
      <c r="L397" s="2"/>
      <c r="M397" s="2"/>
      <c r="N397" s="2" t="str">
        <f>'QBO Transactions'!$Y399</f>
        <v>200- Datadog:210- Delivery</v>
      </c>
      <c r="O397" s="2"/>
      <c r="P397" s="2"/>
      <c r="Q397" s="2" t="str">
        <f>'QBO Transactions'!$T399</f>
        <v>GAMETIME MASTERCARD-XXXXXXPZ30JW-Maci Villavicencio</v>
      </c>
      <c r="R397" s="2"/>
      <c r="S397" s="2"/>
      <c r="T397" s="2"/>
      <c r="U397" s="2"/>
      <c r="V397" s="2"/>
      <c r="W397" s="2"/>
      <c r="X397" s="2" t="str">
        <f t="shared" si="6"/>
        <v>GAMETIME MASTERCARD-XXXXXXPZ30JW-Maci Villavicencio</v>
      </c>
      <c r="Y397" s="4">
        <f>'QBO Transactions'!$Q399</f>
        <v>46229</v>
      </c>
      <c r="Z397" s="2"/>
      <c r="AA397" s="2"/>
      <c r="AB397" s="2"/>
      <c r="AC397" s="2"/>
      <c r="AD397" s="2"/>
      <c r="AE397" s="2"/>
    </row>
    <row r="398" spans="1:31" ht="12.75" customHeight="1" x14ac:dyDescent="0.25">
      <c r="A398" s="2"/>
      <c r="B398" s="2" t="str">
        <f>'QBO Transactions'!$U400</f>
        <v>Brex Credit Card</v>
      </c>
      <c r="C398" s="3">
        <f>'QBO Transactions'!$S400</f>
        <v>32.21</v>
      </c>
      <c r="D398" s="2" t="str">
        <f>'QBO Transactions'!$R400</f>
        <v>Food Vendor</v>
      </c>
      <c r="E398" s="2"/>
      <c r="F398" s="3" t="str">
        <f>'QBO Transactions'!$X400</f>
        <v>Sales &amp; Marketing:Sales &amp; Marketing- Travel Expenses:Meals &amp; Entertainment</v>
      </c>
      <c r="G398" s="2"/>
      <c r="H398" s="2"/>
      <c r="I398" s="2"/>
      <c r="J398" s="2"/>
      <c r="K398" s="2"/>
      <c r="L398" s="2"/>
      <c r="M398" s="2"/>
      <c r="N398" s="2" t="str">
        <f>'QBO Transactions'!$Y400</f>
        <v>200- Datadog:230- Sales</v>
      </c>
      <c r="O398" s="2"/>
      <c r="P398" s="2"/>
      <c r="Q398" s="2" t="str">
        <f>'QBO Transactions'!$T400</f>
        <v>TST* THE FRIENDLY TOAS MASTERCARD-XXXXXXE8FZ9Z-James Dean</v>
      </c>
      <c r="R398" s="2"/>
      <c r="S398" s="2"/>
      <c r="T398" s="2"/>
      <c r="U398" s="2"/>
      <c r="V398" s="2"/>
      <c r="W398" s="2"/>
      <c r="X398" s="2" t="str">
        <f t="shared" si="6"/>
        <v>TST* THE FRIENDLY TOAS MASTERCARD-XXXXXXE8FZ9Z-James Dean</v>
      </c>
      <c r="Y398" s="4">
        <f>'QBO Transactions'!$Q400</f>
        <v>46229</v>
      </c>
      <c r="Z398" s="2"/>
      <c r="AA398" s="2"/>
      <c r="AB398" s="2"/>
      <c r="AC398" s="2"/>
      <c r="AD398" s="2"/>
      <c r="AE398" s="2"/>
    </row>
    <row r="399" spans="1:31" ht="12.75" customHeight="1" x14ac:dyDescent="0.25">
      <c r="A399" s="2"/>
      <c r="B399" s="2" t="str">
        <f>'QBO Transactions'!$U401</f>
        <v>Brex Credit Card</v>
      </c>
      <c r="C399" s="3">
        <f>'QBO Transactions'!$S401</f>
        <v>17.78</v>
      </c>
      <c r="D399" s="2" t="str">
        <f>'QBO Transactions'!$R401</f>
        <v>Food Vendor</v>
      </c>
      <c r="E399" s="2"/>
      <c r="F399" s="3" t="str">
        <f>'QBO Transactions'!$X401</f>
        <v>Cost of Goods Sold:COGS- Travel Expenses:Meals &amp; Entertainment</v>
      </c>
      <c r="G399" s="2"/>
      <c r="H399" s="2"/>
      <c r="I399" s="2"/>
      <c r="J399" s="2"/>
      <c r="K399" s="2"/>
      <c r="L399" s="2"/>
      <c r="M399" s="2"/>
      <c r="N399" s="2" t="str">
        <f>'QBO Transactions'!$Y401</f>
        <v>200- Datadog:220- Engineering</v>
      </c>
      <c r="O399" s="2"/>
      <c r="P399" s="2"/>
      <c r="Q399" s="2" t="str">
        <f>'QBO Transactions'!$T401</f>
        <v>QDOBA 3198 MASTERCARD-XXXXXXV8SUDH-Anthony Nguyen</v>
      </c>
      <c r="R399" s="2"/>
      <c r="S399" s="2"/>
      <c r="T399" s="2"/>
      <c r="U399" s="2"/>
      <c r="V399" s="2"/>
      <c r="W399" s="2"/>
      <c r="X399" s="2" t="str">
        <f t="shared" si="6"/>
        <v>QDOBA 3198 MASTERCARD-XXXXXXV8SUDH-Anthony Nguyen</v>
      </c>
      <c r="Y399" s="4">
        <f>'QBO Transactions'!$Q401</f>
        <v>46229</v>
      </c>
      <c r="Z399" s="2"/>
      <c r="AA399" s="2"/>
      <c r="AB399" s="2"/>
      <c r="AC399" s="2"/>
      <c r="AD399" s="2"/>
      <c r="AE399" s="2"/>
    </row>
    <row r="400" spans="1:31" ht="12.75" customHeight="1" x14ac:dyDescent="0.25">
      <c r="A400" s="2"/>
      <c r="B400" s="2" t="str">
        <f>'QBO Transactions'!$U402</f>
        <v>Brex Credit Card</v>
      </c>
      <c r="C400" s="3">
        <f>'QBO Transactions'!$S402</f>
        <v>17.32</v>
      </c>
      <c r="D400" s="2" t="str">
        <f>'QBO Transactions'!$R402</f>
        <v>Food Vendor</v>
      </c>
      <c r="E400" s="2"/>
      <c r="F400" s="3" t="str">
        <f>'QBO Transactions'!$X402</f>
        <v>Sales &amp; Marketing:Sales &amp; Marketing- Travel Expenses:Meals &amp; Entertainment</v>
      </c>
      <c r="G400" s="2"/>
      <c r="H400" s="2"/>
      <c r="I400" s="2"/>
      <c r="J400" s="2"/>
      <c r="K400" s="2"/>
      <c r="L400" s="2"/>
      <c r="M400" s="2"/>
      <c r="N400" s="2" t="str">
        <f>'QBO Transactions'!$Y402</f>
        <v>200- Datadog:230- Sales</v>
      </c>
      <c r="O400" s="2"/>
      <c r="P400" s="2"/>
      <c r="Q400" s="2" t="str">
        <f>'QBO Transactions'!$T402</f>
        <v>QDOBA 3198 MASTERCARD-XXXXXXL3985L-Jared Kennedy</v>
      </c>
      <c r="R400" s="2"/>
      <c r="S400" s="2"/>
      <c r="T400" s="2"/>
      <c r="U400" s="2"/>
      <c r="V400" s="2"/>
      <c r="W400" s="2"/>
      <c r="X400" s="2" t="str">
        <f t="shared" si="6"/>
        <v>QDOBA 3198 MASTERCARD-XXXXXXL3985L-Jared Kennedy</v>
      </c>
      <c r="Y400" s="4">
        <f>'QBO Transactions'!$Q402</f>
        <v>46229</v>
      </c>
      <c r="Z400" s="2"/>
      <c r="AA400" s="2"/>
      <c r="AB400" s="2"/>
      <c r="AC400" s="2"/>
      <c r="AD400" s="2"/>
      <c r="AE400" s="2"/>
    </row>
    <row r="401" spans="1:31" ht="12.75" customHeight="1" x14ac:dyDescent="0.25">
      <c r="A401" s="2"/>
      <c r="B401" s="2" t="str">
        <f>'QBO Transactions'!$U403</f>
        <v>Brex Credit Card</v>
      </c>
      <c r="C401" s="3">
        <f>'QBO Transactions'!$S403</f>
        <v>3.19</v>
      </c>
      <c r="D401" s="2" t="str">
        <f>'QBO Transactions'!$R403</f>
        <v>Taxi Vendor</v>
      </c>
      <c r="E401" s="2"/>
      <c r="F401" s="3" t="str">
        <f>'QBO Transactions'!$X403</f>
        <v>Sales &amp; Marketing:Sales &amp; Marketing- Travel Expenses:Ground Transportation</v>
      </c>
      <c r="G401" s="2"/>
      <c r="H401" s="2"/>
      <c r="I401" s="2"/>
      <c r="J401" s="2"/>
      <c r="K401" s="2"/>
      <c r="L401" s="2"/>
      <c r="M401" s="2"/>
      <c r="N401" s="2" t="str">
        <f>'QBO Transactions'!$Y403</f>
        <v>200- Datadog:230- Sales</v>
      </c>
      <c r="O401" s="2"/>
      <c r="P401" s="2"/>
      <c r="Q401" s="2" t="str">
        <f>'QBO Transactions'!$T403</f>
        <v>BLUEBIK*RIDE MASTERCARD-XXXXXXCG3A0C-Jared Kennedy</v>
      </c>
      <c r="R401" s="2"/>
      <c r="S401" s="2"/>
      <c r="T401" s="2"/>
      <c r="U401" s="2"/>
      <c r="V401" s="2"/>
      <c r="W401" s="2"/>
      <c r="X401" s="2" t="str">
        <f t="shared" si="6"/>
        <v>BLUEBIK*RIDE MASTERCARD-XXXXXXCG3A0C-Jared Kennedy</v>
      </c>
      <c r="Y401" s="4">
        <f>'QBO Transactions'!$Q403</f>
        <v>46229</v>
      </c>
      <c r="Z401" s="2"/>
      <c r="AA401" s="2"/>
      <c r="AB401" s="2"/>
      <c r="AC401" s="2"/>
      <c r="AD401" s="2"/>
      <c r="AE401" s="2"/>
    </row>
    <row r="402" spans="1:31" ht="12.75" customHeight="1" x14ac:dyDescent="0.25">
      <c r="A402" s="2"/>
      <c r="B402" s="2" t="str">
        <f>'QBO Transactions'!$U404</f>
        <v>Brex Credit Card</v>
      </c>
      <c r="C402" s="3">
        <f>'QBO Transactions'!$S404</f>
        <v>3.19</v>
      </c>
      <c r="D402" s="2" t="str">
        <f>'QBO Transactions'!$R404</f>
        <v>Travel Vendor</v>
      </c>
      <c r="E402" s="2"/>
      <c r="F402" s="3" t="str">
        <f>'QBO Transactions'!$X404</f>
        <v>Sales &amp; Marketing:Sales &amp; Marketing- Travel Expenses:Other Travel Expenses</v>
      </c>
      <c r="G402" s="2"/>
      <c r="H402" s="2"/>
      <c r="I402" s="2"/>
      <c r="J402" s="2"/>
      <c r="K402" s="2"/>
      <c r="L402" s="2"/>
      <c r="M402" s="2"/>
      <c r="N402" s="2" t="str">
        <f>'QBO Transactions'!$Y404</f>
        <v>200- Datadog:230- Sales</v>
      </c>
      <c r="O402" s="2"/>
      <c r="P402" s="2"/>
      <c r="Q402" s="2" t="str">
        <f>'QBO Transactions'!$T404</f>
        <v>BLUEBIK*RIDE MASTERCARD-XXXXXXA0VGVS-Jared Kennedy</v>
      </c>
      <c r="R402" s="2"/>
      <c r="S402" s="2"/>
      <c r="T402" s="2"/>
      <c r="U402" s="2"/>
      <c r="V402" s="2"/>
      <c r="W402" s="2"/>
      <c r="X402" s="2" t="str">
        <f t="shared" si="6"/>
        <v>BLUEBIK*RIDE MASTERCARD-XXXXXXA0VGVS-Jared Kennedy</v>
      </c>
      <c r="Y402" s="4">
        <f>'QBO Transactions'!$Q404</f>
        <v>46229</v>
      </c>
      <c r="Z402" s="2"/>
      <c r="AA402" s="2"/>
      <c r="AB402" s="2"/>
      <c r="AC402" s="2"/>
      <c r="AD402" s="2"/>
      <c r="AE402" s="2"/>
    </row>
    <row r="403" spans="1:31" ht="12.75" customHeight="1" x14ac:dyDescent="0.25">
      <c r="A403" s="2"/>
      <c r="B403" s="2" t="str">
        <f>'QBO Transactions'!$U405</f>
        <v>Brex Credit Card</v>
      </c>
      <c r="C403" s="3">
        <f>'QBO Transactions'!$S405</f>
        <v>79.989999999999995</v>
      </c>
      <c r="D403" s="2" t="str">
        <f>'QBO Transactions'!$R405</f>
        <v>Delta</v>
      </c>
      <c r="E403" s="2"/>
      <c r="F403" s="3" t="str">
        <f>'QBO Transactions'!$X405</f>
        <v>Sales &amp; Marketing:Sales &amp; Marketing- Travel Expenses:Airfare</v>
      </c>
      <c r="G403" s="2"/>
      <c r="H403" s="2"/>
      <c r="I403" s="2"/>
      <c r="J403" s="2"/>
      <c r="K403" s="2"/>
      <c r="L403" s="2"/>
      <c r="M403" s="2"/>
      <c r="N403" s="2" t="str">
        <f>'QBO Transactions'!$Y405</f>
        <v>200- Datadog:230- Sales</v>
      </c>
      <c r="O403" s="2"/>
      <c r="P403" s="2"/>
      <c r="Q403" s="2" t="str">
        <f>'QBO Transactions'!$T405</f>
        <v>DELTA MASTERCARD-XXXXXX7QJKX1-Dean DeMonte</v>
      </c>
      <c r="R403" s="2"/>
      <c r="S403" s="2"/>
      <c r="T403" s="2"/>
      <c r="U403" s="2"/>
      <c r="V403" s="2"/>
      <c r="W403" s="2"/>
      <c r="X403" s="2" t="str">
        <f t="shared" si="6"/>
        <v>DELTA MASTERCARD-XXXXXX7QJKX1-Dean DeMonte</v>
      </c>
      <c r="Y403" s="4">
        <f>'QBO Transactions'!$Q405</f>
        <v>46229</v>
      </c>
      <c r="Z403" s="2"/>
      <c r="AA403" s="2"/>
      <c r="AB403" s="2"/>
      <c r="AC403" s="2"/>
      <c r="AD403" s="2"/>
      <c r="AE403" s="2"/>
    </row>
    <row r="404" spans="1:31" ht="12.75" customHeight="1" x14ac:dyDescent="0.25">
      <c r="A404" s="2"/>
      <c r="B404" s="2" t="str">
        <f>'QBO Transactions'!$U406</f>
        <v>Brex Credit Card</v>
      </c>
      <c r="C404" s="3">
        <f>'QBO Transactions'!$S406</f>
        <v>4.59</v>
      </c>
      <c r="D404" s="2" t="str">
        <f>'QBO Transactions'!$R406</f>
        <v>Travel Vendor</v>
      </c>
      <c r="E404" s="2"/>
      <c r="F404" s="3" t="str">
        <f>'QBO Transactions'!$X406</f>
        <v>Sales &amp; Marketing:Sales &amp; Marketing- Travel Expenses:Other Travel Expenses</v>
      </c>
      <c r="G404" s="2"/>
      <c r="H404" s="2"/>
      <c r="I404" s="2"/>
      <c r="J404" s="2"/>
      <c r="K404" s="2"/>
      <c r="L404" s="2"/>
      <c r="M404" s="2"/>
      <c r="N404" s="2" t="str">
        <f>'QBO Transactions'!$Y406</f>
        <v>200- Datadog:230- Sales</v>
      </c>
      <c r="O404" s="2"/>
      <c r="P404" s="2"/>
      <c r="Q404" s="2" t="str">
        <f>'QBO Transactions'!$T406</f>
        <v>BLUEBIK*RIDE MASTERCARD-XXXXXX9OAEBS-Jared Kennedy</v>
      </c>
      <c r="R404" s="2"/>
      <c r="S404" s="2"/>
      <c r="T404" s="2"/>
      <c r="U404" s="2"/>
      <c r="V404" s="2"/>
      <c r="W404" s="2"/>
      <c r="X404" s="2" t="str">
        <f t="shared" si="6"/>
        <v>BLUEBIK*RIDE MASTERCARD-XXXXXX9OAEBS-Jared Kennedy</v>
      </c>
      <c r="Y404" s="4">
        <f>'QBO Transactions'!$Q406</f>
        <v>46229</v>
      </c>
      <c r="Z404" s="2"/>
      <c r="AA404" s="2"/>
      <c r="AB404" s="2"/>
      <c r="AC404" s="2"/>
      <c r="AD404" s="2"/>
      <c r="AE404" s="2"/>
    </row>
    <row r="405" spans="1:31" ht="12.75" customHeight="1" x14ac:dyDescent="0.25">
      <c r="A405" s="2"/>
      <c r="B405" s="2" t="str">
        <f>'QBO Transactions'!$U407</f>
        <v>Brex Credit Card</v>
      </c>
      <c r="C405" s="3">
        <f>'QBO Transactions'!$S407</f>
        <v>5.64</v>
      </c>
      <c r="D405" s="2" t="str">
        <f>'QBO Transactions'!$R407</f>
        <v>Taxi Vendor</v>
      </c>
      <c r="E405" s="2"/>
      <c r="F405" s="3" t="str">
        <f>'QBO Transactions'!$X407</f>
        <v>Sales &amp; Marketing:Sales &amp; Marketing- Travel Expenses:Ground Transportation</v>
      </c>
      <c r="G405" s="2"/>
      <c r="H405" s="2"/>
      <c r="I405" s="2"/>
      <c r="J405" s="2"/>
      <c r="K405" s="2"/>
      <c r="L405" s="2"/>
      <c r="M405" s="2"/>
      <c r="N405" s="2" t="str">
        <f>'QBO Transactions'!$Y407</f>
        <v>200- Datadog:230- Sales</v>
      </c>
      <c r="O405" s="2"/>
      <c r="P405" s="2"/>
      <c r="Q405" s="2" t="str">
        <f>'QBO Transactions'!$T407</f>
        <v>BLUEBIK*RIDE MASTERCARD-XXXXXX6VQLD3-Jared Kennedy</v>
      </c>
      <c r="R405" s="2"/>
      <c r="S405" s="2"/>
      <c r="T405" s="2"/>
      <c r="U405" s="2"/>
      <c r="V405" s="2"/>
      <c r="W405" s="2"/>
      <c r="X405" s="2" t="str">
        <f t="shared" si="6"/>
        <v>BLUEBIK*RIDE MASTERCARD-XXXXXX6VQLD3-Jared Kennedy</v>
      </c>
      <c r="Y405" s="4">
        <f>'QBO Transactions'!$Q407</f>
        <v>46229</v>
      </c>
      <c r="Z405" s="2"/>
      <c r="AA405" s="2"/>
      <c r="AB405" s="2"/>
      <c r="AC405" s="2"/>
      <c r="AD405" s="2"/>
      <c r="AE405" s="2"/>
    </row>
    <row r="406" spans="1:31" ht="12.75" customHeight="1" x14ac:dyDescent="0.25">
      <c r="A406" s="2"/>
      <c r="B406" s="2" t="str">
        <f>'QBO Transactions'!$U408</f>
        <v>Brex Credit Card</v>
      </c>
      <c r="C406" s="3">
        <f>'QBO Transactions'!$S408</f>
        <v>11.74</v>
      </c>
      <c r="D406" s="2" t="str">
        <f>'QBO Transactions'!$R408</f>
        <v>Taxi Vendor</v>
      </c>
      <c r="E406" s="2"/>
      <c r="F406" s="3" t="str">
        <f>'QBO Transactions'!$X408</f>
        <v>Cost of Goods Sold:COGS- Travel Expenses:Ground Transportation</v>
      </c>
      <c r="G406" s="2"/>
      <c r="H406" s="2"/>
      <c r="I406" s="2"/>
      <c r="J406" s="2"/>
      <c r="K406" s="2"/>
      <c r="L406" s="2"/>
      <c r="M406" s="2"/>
      <c r="N406" s="2" t="str">
        <f>'QBO Transactions'!$Y408</f>
        <v>200- Datadog:220- Engineering</v>
      </c>
      <c r="O406" s="2"/>
      <c r="P406" s="2"/>
      <c r="Q406" s="2" t="str">
        <f>'QBO Transactions'!$T408</f>
        <v>SumUp  *Taxi Anthony M MASTERCARD-XXXXXXM10QOG-Dan Hennessy</v>
      </c>
      <c r="R406" s="2"/>
      <c r="S406" s="2"/>
      <c r="T406" s="2"/>
      <c r="U406" s="2"/>
      <c r="V406" s="2"/>
      <c r="W406" s="2"/>
      <c r="X406" s="2" t="str">
        <f t="shared" si="6"/>
        <v>SumUp  *Taxi Anthony M MASTERCARD-XXXXXXM10QOG-Dan Hennessy</v>
      </c>
      <c r="Y406" s="4">
        <f>'QBO Transactions'!$Q408</f>
        <v>46229</v>
      </c>
      <c r="Z406" s="2"/>
      <c r="AA406" s="2"/>
      <c r="AB406" s="2"/>
      <c r="AC406" s="2"/>
      <c r="AD406" s="2"/>
      <c r="AE406" s="2"/>
    </row>
    <row r="407" spans="1:31" ht="12.75" customHeight="1" x14ac:dyDescent="0.25">
      <c r="A407" s="2"/>
      <c r="B407" s="2" t="str">
        <f>'QBO Transactions'!$U409</f>
        <v>Brex Credit Card</v>
      </c>
      <c r="C407" s="3">
        <f>'QBO Transactions'!$S409</f>
        <v>3.19</v>
      </c>
      <c r="D407" s="2" t="str">
        <f>'QBO Transactions'!$R409</f>
        <v>CVS</v>
      </c>
      <c r="E407" s="2"/>
      <c r="F407" s="3" t="str">
        <f>'QBO Transactions'!$X409</f>
        <v>General &amp; Administrative:Office Expenses:Office Supplies</v>
      </c>
      <c r="G407" s="2"/>
      <c r="H407" s="2"/>
      <c r="I407" s="2"/>
      <c r="J407" s="2"/>
      <c r="K407" s="2"/>
      <c r="L407" s="2"/>
      <c r="M407" s="2"/>
      <c r="N407" s="2" t="str">
        <f>'QBO Transactions'!$Y409</f>
        <v>200- Datadog:230- Sales</v>
      </c>
      <c r="O407" s="2"/>
      <c r="P407" s="2"/>
      <c r="Q407" s="2" t="str">
        <f>'QBO Transactions'!$T409</f>
        <v>CVS/PHARMACY #01002 MASTERCARD-XXXXXXD3FCDQ-Jared Kennedy</v>
      </c>
      <c r="R407" s="2"/>
      <c r="S407" s="2"/>
      <c r="T407" s="2"/>
      <c r="U407" s="2"/>
      <c r="V407" s="2"/>
      <c r="W407" s="2"/>
      <c r="X407" s="2" t="str">
        <f t="shared" si="6"/>
        <v>CVS/PHARMACY #01002 MASTERCARD-XXXXXXD3FCDQ-Jared Kennedy</v>
      </c>
      <c r="Y407" s="4">
        <f>'QBO Transactions'!$Q409</f>
        <v>46229</v>
      </c>
      <c r="Z407" s="2"/>
      <c r="AA407" s="2"/>
      <c r="AB407" s="2"/>
      <c r="AC407" s="2"/>
      <c r="AD407" s="2"/>
      <c r="AE407" s="2"/>
    </row>
    <row r="408" spans="1:31" ht="12.75" customHeight="1" x14ac:dyDescent="0.25">
      <c r="A408" s="2"/>
      <c r="B408" s="2" t="str">
        <f>'QBO Transactions'!$U410</f>
        <v>Brex Credit Card</v>
      </c>
      <c r="C408" s="3">
        <f>'QBO Transactions'!$S410</f>
        <v>3.19</v>
      </c>
      <c r="D408" s="2" t="str">
        <f>'QBO Transactions'!$R410</f>
        <v>CVS</v>
      </c>
      <c r="E408" s="2"/>
      <c r="F408" s="3" t="str">
        <f>'QBO Transactions'!$X410</f>
        <v>General &amp; Administrative:Office Expenses:Office Supplies</v>
      </c>
      <c r="G408" s="2"/>
      <c r="H408" s="2"/>
      <c r="I408" s="2"/>
      <c r="J408" s="2"/>
      <c r="K408" s="2"/>
      <c r="L408" s="2"/>
      <c r="M408" s="2"/>
      <c r="N408" s="2" t="str">
        <f>'QBO Transactions'!$Y410</f>
        <v>200- Datadog:220- Engineering</v>
      </c>
      <c r="O408" s="2"/>
      <c r="P408" s="2"/>
      <c r="Q408" s="2" t="str">
        <f>'QBO Transactions'!$T410</f>
        <v>CVS/PHARMACY #01002 MASTERCARD-XXXXXX5QUMEG-Anthony Nguyen</v>
      </c>
      <c r="R408" s="2"/>
      <c r="S408" s="2"/>
      <c r="T408" s="2"/>
      <c r="U408" s="2"/>
      <c r="V408" s="2"/>
      <c r="W408" s="2"/>
      <c r="X408" s="2" t="str">
        <f t="shared" si="6"/>
        <v>CVS/PHARMACY #01002 MASTERCARD-XXXXXX5QUMEG-Anthony Nguyen</v>
      </c>
      <c r="Y408" s="4">
        <f>'QBO Transactions'!$Q410</f>
        <v>46229</v>
      </c>
      <c r="Z408" s="2"/>
      <c r="AA408" s="2"/>
      <c r="AB408" s="2"/>
      <c r="AC408" s="2"/>
      <c r="AD408" s="2"/>
      <c r="AE408" s="2"/>
    </row>
    <row r="409" spans="1:31" ht="12.75" customHeight="1" x14ac:dyDescent="0.25">
      <c r="A409" s="2"/>
      <c r="B409" s="2" t="str">
        <f>'QBO Transactions'!$U411</f>
        <v>Brex Credit Card</v>
      </c>
      <c r="C409" s="3">
        <f>'QBO Transactions'!$S411</f>
        <v>59</v>
      </c>
      <c r="D409" s="2" t="str">
        <f>'QBO Transactions'!$R411</f>
        <v>JetBlue</v>
      </c>
      <c r="E409" s="2"/>
      <c r="F409" s="3" t="str">
        <f>'QBO Transactions'!$X411</f>
        <v>Cost of Goods Sold:COGS- Travel Expenses:Airfare</v>
      </c>
      <c r="G409" s="2"/>
      <c r="H409" s="2"/>
      <c r="I409" s="2"/>
      <c r="J409" s="2"/>
      <c r="K409" s="2"/>
      <c r="L409" s="2"/>
      <c r="M409" s="2"/>
      <c r="N409" s="2" t="str">
        <f>'QBO Transactions'!$Y411</f>
        <v>300- ServiceNow:320- Engineering</v>
      </c>
      <c r="O409" s="2"/>
      <c r="P409" s="2"/>
      <c r="Q409" s="2" t="str">
        <f>'QBO Transactions'!$T411</f>
        <v>JETBLUE MASTERCARD-XXXXXXBG3S71-Noah Zahrt</v>
      </c>
      <c r="R409" s="2"/>
      <c r="S409" s="2"/>
      <c r="T409" s="2"/>
      <c r="U409" s="2"/>
      <c r="V409" s="2"/>
      <c r="W409" s="2"/>
      <c r="X409" s="2" t="str">
        <f t="shared" si="6"/>
        <v>JETBLUE MASTERCARD-XXXXXXBG3S71-Noah Zahrt</v>
      </c>
      <c r="Y409" s="4">
        <f>'QBO Transactions'!$Q411</f>
        <v>46230</v>
      </c>
      <c r="Z409" s="2"/>
      <c r="AA409" s="2"/>
      <c r="AB409" s="2"/>
      <c r="AC409" s="2"/>
      <c r="AD409" s="2"/>
      <c r="AE409" s="2"/>
    </row>
    <row r="410" spans="1:31" ht="12.75" customHeight="1" x14ac:dyDescent="0.25">
      <c r="A410" s="2"/>
      <c r="B410" s="2" t="str">
        <f>'QBO Transactions'!$U412</f>
        <v>Brex Credit Card</v>
      </c>
      <c r="C410" s="3">
        <f>'QBO Transactions'!$S412</f>
        <v>45</v>
      </c>
      <c r="D410" s="2" t="str">
        <f>'QBO Transactions'!$R412</f>
        <v>Delta</v>
      </c>
      <c r="E410" s="2"/>
      <c r="F410" s="3" t="str">
        <f>'QBO Transactions'!$X412</f>
        <v>General &amp; Administrative:G&amp;A- Travel Expenses:Airfare</v>
      </c>
      <c r="G410" s="2"/>
      <c r="H410" s="2"/>
      <c r="I410" s="2"/>
      <c r="J410" s="2"/>
      <c r="K410" s="2"/>
      <c r="L410" s="2"/>
      <c r="M410" s="2"/>
      <c r="N410" s="2" t="str">
        <f>'QBO Transactions'!$Y412</f>
        <v>300- ServiceNow:320- Engineering</v>
      </c>
      <c r="O410" s="2"/>
      <c r="P410" s="2"/>
      <c r="Q410" s="2" t="str">
        <f>'QBO Transactions'!$T412</f>
        <v>DELTA MASTERCARD-XXXXXXACISJ2-Daniel Levin</v>
      </c>
      <c r="R410" s="2"/>
      <c r="S410" s="2"/>
      <c r="T410" s="2"/>
      <c r="U410" s="2"/>
      <c r="V410" s="2"/>
      <c r="W410" s="2"/>
      <c r="X410" s="2" t="str">
        <f t="shared" si="6"/>
        <v>DELTA MASTERCARD-XXXXXXACISJ2-Daniel Levin</v>
      </c>
      <c r="Y410" s="4">
        <f>'QBO Transactions'!$Q412</f>
        <v>46229</v>
      </c>
      <c r="Z410" s="2"/>
      <c r="AA410" s="2"/>
      <c r="AB410" s="2"/>
      <c r="AC410" s="2"/>
      <c r="AD410" s="2"/>
      <c r="AE410" s="2"/>
    </row>
    <row r="411" spans="1:31" ht="12.75" customHeight="1" x14ac:dyDescent="0.25">
      <c r="A411" s="2"/>
      <c r="B411" s="2" t="str">
        <f>'QBO Transactions'!$U413</f>
        <v>Brex Credit Card</v>
      </c>
      <c r="C411" s="3">
        <f>'QBO Transactions'!$S413</f>
        <v>30.78</v>
      </c>
      <c r="D411" s="2" t="str">
        <f>'QBO Transactions'!$R413</f>
        <v>Office Vendor</v>
      </c>
      <c r="E411" s="2"/>
      <c r="F411" s="3" t="str">
        <f>'QBO Transactions'!$X413</f>
        <v>General &amp; Administrative:Office Expenses:Dues &amp; Subscriptions</v>
      </c>
      <c r="G411" s="2"/>
      <c r="H411" s="2"/>
      <c r="I411" s="2"/>
      <c r="J411" s="2"/>
      <c r="K411" s="2"/>
      <c r="L411" s="2"/>
      <c r="M411" s="2"/>
      <c r="N411" s="2" t="str">
        <f>'QBO Transactions'!$Y413</f>
        <v>300- ServiceNow:320- Engineering</v>
      </c>
      <c r="O411" s="2"/>
      <c r="P411" s="2"/>
      <c r="Q411" s="2" t="str">
        <f>'QBO Transactions'!$T413</f>
        <v>HUDSON/TECH ST 1514 MASTERCARD-XXXXXX5K8V69-Robert Kolosky</v>
      </c>
      <c r="R411" s="2"/>
      <c r="S411" s="2"/>
      <c r="T411" s="2"/>
      <c r="U411" s="2"/>
      <c r="V411" s="2"/>
      <c r="W411" s="2"/>
      <c r="X411" s="2" t="str">
        <f t="shared" si="6"/>
        <v>HUDSON/TECH ST 1514 MASTERCARD-XXXXXX5K8V69-Robert Kolosky</v>
      </c>
      <c r="Y411" s="4">
        <f>'QBO Transactions'!$Q413</f>
        <v>46229</v>
      </c>
      <c r="Z411" s="2"/>
      <c r="AA411" s="2"/>
      <c r="AB411" s="2"/>
      <c r="AC411" s="2"/>
      <c r="AD411" s="2"/>
      <c r="AE411" s="2"/>
    </row>
    <row r="412" spans="1:31" ht="12.75" customHeight="1" x14ac:dyDescent="0.25">
      <c r="A412" s="2"/>
      <c r="B412" s="2" t="str">
        <f>'QBO Transactions'!$U414</f>
        <v>Brex Credit Card</v>
      </c>
      <c r="C412" s="3">
        <f>'QBO Transactions'!$S414</f>
        <v>5207.76</v>
      </c>
      <c r="D412" s="2" t="str">
        <f>'QBO Transactions'!$R414</f>
        <v>Anthropic</v>
      </c>
      <c r="E412" s="2"/>
      <c r="F412" s="3" t="str">
        <f>'QBO Transactions'!$X414</f>
        <v>General &amp; Administrative:Software Licenses</v>
      </c>
      <c r="G412" s="2"/>
      <c r="H412" s="2"/>
      <c r="I412" s="2"/>
      <c r="J412" s="2"/>
      <c r="K412" s="2"/>
      <c r="L412" s="2"/>
      <c r="M412" s="2"/>
      <c r="N412" s="2" t="str">
        <f>'QBO Transactions'!$Y414</f>
        <v>100- Operations:110- G&amp;A</v>
      </c>
      <c r="O412" s="2"/>
      <c r="P412" s="2"/>
      <c r="Q412" s="2" t="str">
        <f>'QBO Transactions'!$T414</f>
        <v>ANTHROPIC MASTERCARD-XXXXXXZ33KEK-Eric Rabkin</v>
      </c>
      <c r="R412" s="2"/>
      <c r="S412" s="2"/>
      <c r="T412" s="2"/>
      <c r="U412" s="2"/>
      <c r="V412" s="2"/>
      <c r="W412" s="2"/>
      <c r="X412" s="2" t="str">
        <f t="shared" si="6"/>
        <v>ANTHROPIC MASTERCARD-XXXXXXZ33KEK-Eric Rabkin</v>
      </c>
      <c r="Y412" s="4">
        <f>'QBO Transactions'!$Q414</f>
        <v>46229</v>
      </c>
      <c r="Z412" s="2"/>
      <c r="AA412" s="2"/>
      <c r="AB412" s="2"/>
      <c r="AC412" s="2"/>
      <c r="AD412" s="2"/>
      <c r="AE412" s="2"/>
    </row>
    <row r="413" spans="1:31" ht="12.75" customHeight="1" x14ac:dyDescent="0.25">
      <c r="A413" s="2"/>
      <c r="B413" s="2" t="str">
        <f>'QBO Transactions'!$U415</f>
        <v>Brex Credit Card</v>
      </c>
      <c r="C413" s="3">
        <f>'QBO Transactions'!$S415</f>
        <v>253.91</v>
      </c>
      <c r="D413" s="2" t="str">
        <f>'QBO Transactions'!$R415</f>
        <v>Hotel Vendor</v>
      </c>
      <c r="E413" s="2"/>
      <c r="F413" s="3" t="str">
        <f>'QBO Transactions'!$X415</f>
        <v>Cost of Goods Sold:COGS- Travel Expenses:Lodging</v>
      </c>
      <c r="G413" s="2"/>
      <c r="H413" s="2"/>
      <c r="I413" s="2"/>
      <c r="J413" s="2"/>
      <c r="K413" s="2"/>
      <c r="L413" s="2"/>
      <c r="M413" s="2"/>
      <c r="N413" s="2" t="str">
        <f>'QBO Transactions'!$Y415</f>
        <v>300- ServiceNow:320- Engineering</v>
      </c>
      <c r="O413" s="2"/>
      <c r="P413" s="2"/>
      <c r="Q413" s="2" t="str">
        <f>'QBO Transactions'!$T415</f>
        <v>SPTHOTEL*9089175941394 MASTERCARD-XXXXXX9Y1NSS-Kyle Bense</v>
      </c>
      <c r="R413" s="2"/>
      <c r="S413" s="2"/>
      <c r="T413" s="2"/>
      <c r="U413" s="2"/>
      <c r="V413" s="2"/>
      <c r="W413" s="2"/>
      <c r="X413" s="2" t="str">
        <f t="shared" si="6"/>
        <v>SPTHOTEL*9089175941394 MASTERCARD-XXXXXX9Y1NSS-Kyle Bense</v>
      </c>
      <c r="Y413" s="4">
        <f>'QBO Transactions'!$Q415</f>
        <v>46228</v>
      </c>
      <c r="Z413" s="2"/>
      <c r="AA413" s="2"/>
      <c r="AB413" s="2"/>
      <c r="AC413" s="2"/>
      <c r="AD413" s="2"/>
      <c r="AE413" s="2"/>
    </row>
    <row r="414" spans="1:31" ht="12.75" customHeight="1" x14ac:dyDescent="0.25">
      <c r="A414" s="2"/>
      <c r="B414" s="2" t="str">
        <f>'QBO Transactions'!$U416</f>
        <v>Brex Credit Card</v>
      </c>
      <c r="C414" s="3">
        <f>'QBO Transactions'!$S416</f>
        <v>322</v>
      </c>
      <c r="D414" s="2" t="str">
        <f>'QBO Transactions'!$R416</f>
        <v>Microsoft</v>
      </c>
      <c r="E414" s="2"/>
      <c r="F414" s="3" t="str">
        <f>'QBO Transactions'!$X416</f>
        <v>General &amp; Administrative:Software Licenses</v>
      </c>
      <c r="G414" s="2"/>
      <c r="H414" s="2"/>
      <c r="I414" s="2"/>
      <c r="J414" s="2"/>
      <c r="K414" s="2"/>
      <c r="L414" s="2"/>
      <c r="M414" s="2"/>
      <c r="N414" s="2" t="str">
        <f>'QBO Transactions'!$Y416</f>
        <v>100- Operations:110- G&amp;A</v>
      </c>
      <c r="O414" s="2"/>
      <c r="P414" s="2"/>
      <c r="Q414" s="2" t="str">
        <f>'QBO Transactions'!$T416</f>
        <v>Microsoft-G173381905 MASTERCARD-XXXXXXYBRSB6-Eric Rabkin</v>
      </c>
      <c r="R414" s="2"/>
      <c r="S414" s="2"/>
      <c r="T414" s="2"/>
      <c r="U414" s="2"/>
      <c r="V414" s="2"/>
      <c r="W414" s="2"/>
      <c r="X414" s="2" t="str">
        <f t="shared" si="6"/>
        <v>Microsoft-G173381905 MASTERCARD-XXXXXXYBRSB6-Eric Rabkin</v>
      </c>
      <c r="Y414" s="4">
        <f>'QBO Transactions'!$Q416</f>
        <v>46228</v>
      </c>
      <c r="Z414" s="2"/>
      <c r="AA414" s="2"/>
      <c r="AB414" s="2"/>
      <c r="AC414" s="2"/>
      <c r="AD414" s="2"/>
      <c r="AE414" s="2"/>
    </row>
    <row r="415" spans="1:31" ht="12.75" customHeight="1" x14ac:dyDescent="0.25">
      <c r="A415" s="2"/>
      <c r="B415" s="2" t="str">
        <f>'QBO Transactions'!$U417</f>
        <v>Brex Credit Card</v>
      </c>
      <c r="C415" s="3">
        <f>'QBO Transactions'!$S417</f>
        <v>12.75</v>
      </c>
      <c r="D415" s="2" t="str">
        <f>'QBO Transactions'!$R417</f>
        <v>Microsoft</v>
      </c>
      <c r="E415" s="2"/>
      <c r="F415" s="3" t="str">
        <f>'QBO Transactions'!$X417</f>
        <v>General &amp; Administrative:Software Licenses</v>
      </c>
      <c r="G415" s="2"/>
      <c r="H415" s="2"/>
      <c r="I415" s="2"/>
      <c r="J415" s="2"/>
      <c r="K415" s="2"/>
      <c r="L415" s="2"/>
      <c r="M415" s="2"/>
      <c r="N415" s="2" t="str">
        <f>'QBO Transactions'!$Y417</f>
        <v>200- Datadog:220- Engineering</v>
      </c>
      <c r="O415" s="2"/>
      <c r="P415" s="2"/>
      <c r="Q415" s="2" t="str">
        <f>'QBO Transactions'!$T417</f>
        <v>Microsoft-G173331428 MASTERCARD-XXXXXXOWPIAN-Reuben Stump</v>
      </c>
      <c r="R415" s="2"/>
      <c r="S415" s="2"/>
      <c r="T415" s="2"/>
      <c r="U415" s="2"/>
      <c r="V415" s="2"/>
      <c r="W415" s="2"/>
      <c r="X415" s="2" t="str">
        <f t="shared" si="6"/>
        <v>Microsoft-G173331428 MASTERCARD-XXXXXXOWPIAN-Reuben Stump</v>
      </c>
      <c r="Y415" s="4">
        <f>'QBO Transactions'!$Q417</f>
        <v>46228</v>
      </c>
      <c r="Z415" s="2"/>
      <c r="AA415" s="2"/>
      <c r="AB415" s="2"/>
      <c r="AC415" s="2"/>
      <c r="AD415" s="2"/>
      <c r="AE415" s="2"/>
    </row>
    <row r="416" spans="1:31" ht="12.75" customHeight="1" x14ac:dyDescent="0.25">
      <c r="A416" s="2"/>
      <c r="B416" s="2" t="str">
        <f>'QBO Transactions'!$U418</f>
        <v>Brex Credit Card</v>
      </c>
      <c r="C416" s="3">
        <f>'QBO Transactions'!$S418</f>
        <v>70</v>
      </c>
      <c r="D416" s="2" t="str">
        <f>'QBO Transactions'!$R418</f>
        <v>Microsoft</v>
      </c>
      <c r="E416" s="2"/>
      <c r="F416" s="3" t="str">
        <f>'QBO Transactions'!$X418</f>
        <v>General &amp; Administrative:Software Licenses</v>
      </c>
      <c r="G416" s="2"/>
      <c r="H416" s="2"/>
      <c r="I416" s="2"/>
      <c r="J416" s="2"/>
      <c r="K416" s="2"/>
      <c r="L416" s="2"/>
      <c r="M416" s="2"/>
      <c r="N416" s="2" t="str">
        <f>'QBO Transactions'!$Y418</f>
        <v>100- Operations:110- G&amp;A</v>
      </c>
      <c r="O416" s="2"/>
      <c r="P416" s="2"/>
      <c r="Q416" s="2" t="str">
        <f>'QBO Transactions'!$T418</f>
        <v>Microsoft-G173320361 MASTERCARD-XXXXXXBAP52A-Eric Rabkin</v>
      </c>
      <c r="R416" s="2"/>
      <c r="S416" s="2"/>
      <c r="T416" s="2"/>
      <c r="U416" s="2"/>
      <c r="V416" s="2"/>
      <c r="W416" s="2"/>
      <c r="X416" s="2" t="str">
        <f t="shared" si="6"/>
        <v>Microsoft-G173320361 MASTERCARD-XXXXXXBAP52A-Eric Rabkin</v>
      </c>
      <c r="Y416" s="4">
        <f>'QBO Transactions'!$Q418</f>
        <v>46228</v>
      </c>
      <c r="Z416" s="2"/>
      <c r="AA416" s="2"/>
      <c r="AB416" s="2"/>
      <c r="AC416" s="2"/>
      <c r="AD416" s="2"/>
      <c r="AE416" s="2"/>
    </row>
    <row r="417" spans="1:31" ht="12.75" customHeight="1" x14ac:dyDescent="0.25">
      <c r="A417" s="2"/>
      <c r="B417" s="2" t="str">
        <f>'QBO Transactions'!$U419</f>
        <v>Brex Credit Card</v>
      </c>
      <c r="C417" s="3">
        <f>'QBO Transactions'!$S419</f>
        <v>11.95</v>
      </c>
      <c r="D417" s="2" t="str">
        <f>'QBO Transactions'!$R419</f>
        <v>Uber</v>
      </c>
      <c r="E417" s="2"/>
      <c r="F417" s="3" t="str">
        <f>'QBO Transactions'!$X419</f>
        <v>Cost of Goods Sold:COGS- Travel Expenses:Ground Transportation</v>
      </c>
      <c r="G417" s="2"/>
      <c r="H417" s="2"/>
      <c r="I417" s="2"/>
      <c r="J417" s="2"/>
      <c r="K417" s="2"/>
      <c r="L417" s="2"/>
      <c r="M417" s="2"/>
      <c r="N417" s="2" t="str">
        <f>'QBO Transactions'!$Y419</f>
        <v>200- Datadog:220- Engineering</v>
      </c>
      <c r="O417" s="2"/>
      <c r="P417" s="2"/>
      <c r="Q417" s="2" t="str">
        <f>'QBO Transactions'!$T419</f>
        <v>UBER   *TRIP MASTERCARD-XXXXXXUDI71M-Anthony Nguyen</v>
      </c>
      <c r="R417" s="2"/>
      <c r="S417" s="2"/>
      <c r="T417" s="2"/>
      <c r="U417" s="2"/>
      <c r="V417" s="2"/>
      <c r="W417" s="2"/>
      <c r="X417" s="2" t="str">
        <f t="shared" si="6"/>
        <v>UBER   *TRIP MASTERCARD-XXXXXXUDI71M-Anthony Nguyen</v>
      </c>
      <c r="Y417" s="4">
        <f>'QBO Transactions'!$Q419</f>
        <v>46229</v>
      </c>
      <c r="Z417" s="2"/>
      <c r="AA417" s="2"/>
      <c r="AB417" s="2"/>
      <c r="AC417" s="2"/>
      <c r="AD417" s="2"/>
      <c r="AE417" s="2"/>
    </row>
    <row r="418" spans="1:31" ht="12.75" customHeight="1" x14ac:dyDescent="0.25">
      <c r="A418" s="2"/>
      <c r="B418" s="2" t="str">
        <f>'QBO Transactions'!$U420</f>
        <v>Brex Credit Card</v>
      </c>
      <c r="C418" s="3">
        <f>'QBO Transactions'!$S420</f>
        <v>8.09</v>
      </c>
      <c r="D418" s="2" t="str">
        <f>'QBO Transactions'!$R420</f>
        <v>Star Market</v>
      </c>
      <c r="E418" s="2"/>
      <c r="F418" s="3" t="str">
        <f>'QBO Transactions'!$X420</f>
        <v>Cost of Goods Sold:COGS- Travel Expenses:Meals &amp; Entertainment</v>
      </c>
      <c r="G418" s="2"/>
      <c r="H418" s="2"/>
      <c r="I418" s="2"/>
      <c r="J418" s="2"/>
      <c r="K418" s="2"/>
      <c r="L418" s="2"/>
      <c r="M418" s="2"/>
      <c r="N418" s="2" t="str">
        <f>'QBO Transactions'!$Y420</f>
        <v>200- Datadog:220- Engineering</v>
      </c>
      <c r="O418" s="2"/>
      <c r="P418" s="2"/>
      <c r="Q418" s="2" t="str">
        <f>'QBO Transactions'!$T420</f>
        <v>STAR MARKET 2576 MASTERCARD-XXXXXXFTF6RH-Anthony Nguyen</v>
      </c>
      <c r="R418" s="2"/>
      <c r="S418" s="2"/>
      <c r="T418" s="2"/>
      <c r="U418" s="2"/>
      <c r="V418" s="2"/>
      <c r="W418" s="2"/>
      <c r="X418" s="2" t="str">
        <f t="shared" si="6"/>
        <v>STAR MARKET 2576 MASTERCARD-XXXXXXFTF6RH-Anthony Nguyen</v>
      </c>
      <c r="Y418" s="4">
        <f>'QBO Transactions'!$Q420</f>
        <v>46229</v>
      </c>
      <c r="Z418" s="2"/>
      <c r="AA418" s="2"/>
      <c r="AB418" s="2"/>
      <c r="AC418" s="2"/>
      <c r="AD418" s="2"/>
      <c r="AE418" s="2"/>
    </row>
    <row r="419" spans="1:31" ht="12.75" customHeight="1" x14ac:dyDescent="0.25">
      <c r="A419" s="2"/>
      <c r="B419" s="2" t="str">
        <f>'QBO Transactions'!$U421</f>
        <v>Brex Credit Card</v>
      </c>
      <c r="C419" s="3">
        <f>'QBO Transactions'!$S421</f>
        <v>19.97</v>
      </c>
      <c r="D419" s="2" t="str">
        <f>'QBO Transactions'!$R421</f>
        <v>Star Market</v>
      </c>
      <c r="E419" s="2"/>
      <c r="F419" s="3" t="str">
        <f>'QBO Transactions'!$X421</f>
        <v>Sales &amp; Marketing:Sales &amp; Marketing- Travel Expenses:Meals &amp; Entertainment</v>
      </c>
      <c r="G419" s="2"/>
      <c r="H419" s="2"/>
      <c r="I419" s="2"/>
      <c r="J419" s="2"/>
      <c r="K419" s="2"/>
      <c r="L419" s="2"/>
      <c r="M419" s="2"/>
      <c r="N419" s="2" t="str">
        <f>'QBO Transactions'!$Y421</f>
        <v>200- Datadog:230- Sales</v>
      </c>
      <c r="O419" s="2"/>
      <c r="P419" s="2"/>
      <c r="Q419" s="2" t="str">
        <f>'QBO Transactions'!$T421</f>
        <v>STAR MARKET 2576 MASTERCARD-XXXXXX9DX9CG-Jared Kennedy</v>
      </c>
      <c r="R419" s="2"/>
      <c r="S419" s="2"/>
      <c r="T419" s="2"/>
      <c r="U419" s="2"/>
      <c r="V419" s="2"/>
      <c r="W419" s="2"/>
      <c r="X419" s="2" t="str">
        <f t="shared" si="6"/>
        <v>STAR MARKET 2576 MASTERCARD-XXXXXX9DX9CG-Jared Kennedy</v>
      </c>
      <c r="Y419" s="4">
        <f>'QBO Transactions'!$Q421</f>
        <v>46229</v>
      </c>
      <c r="Z419" s="2"/>
      <c r="AA419" s="2"/>
      <c r="AB419" s="2"/>
      <c r="AC419" s="2"/>
      <c r="AD419" s="2"/>
      <c r="AE419" s="2"/>
    </row>
    <row r="420" spans="1:31" ht="12.75" customHeight="1" x14ac:dyDescent="0.25">
      <c r="A420" s="2"/>
      <c r="B420" s="2" t="str">
        <f>'QBO Transactions'!$U422</f>
        <v>Brex Credit Card</v>
      </c>
      <c r="C420" s="3">
        <f>'QBO Transactions'!$S422</f>
        <v>254.53</v>
      </c>
      <c r="D420" s="2" t="str">
        <f>'QBO Transactions'!$R422</f>
        <v>Food Vendor</v>
      </c>
      <c r="E420" s="2"/>
      <c r="F420" s="3" t="str">
        <f>'QBO Transactions'!$X422</f>
        <v>Sales &amp; Marketing:Sales &amp; Marketing- Travel Expenses:Meals &amp; Entertainment</v>
      </c>
      <c r="G420" s="2"/>
      <c r="H420" s="2"/>
      <c r="I420" s="2"/>
      <c r="J420" s="2"/>
      <c r="K420" s="2"/>
      <c r="L420" s="2"/>
      <c r="M420" s="2"/>
      <c r="N420" s="2" t="str">
        <f>'QBO Transactions'!$Y422</f>
        <v>200- Datadog:230- Sales</v>
      </c>
      <c r="O420" s="2"/>
      <c r="P420" s="2"/>
      <c r="Q420" s="2" t="str">
        <f>'QBO Transactions'!$T422</f>
        <v>TST*SWEET CHEEKS Q MASTERCARD-XXXXXXHBBGS2-James Dean</v>
      </c>
      <c r="R420" s="2"/>
      <c r="S420" s="2"/>
      <c r="T420" s="2"/>
      <c r="U420" s="2"/>
      <c r="V420" s="2"/>
      <c r="W420" s="2"/>
      <c r="X420" s="2" t="str">
        <f t="shared" si="6"/>
        <v>TST*SWEET CHEEKS Q MASTERCARD-XXXXXXHBBGS2-James Dean</v>
      </c>
      <c r="Y420" s="4">
        <f>'QBO Transactions'!$Q422</f>
        <v>46228</v>
      </c>
      <c r="Z420" s="2"/>
      <c r="AA420" s="2"/>
      <c r="AB420" s="2"/>
      <c r="AC420" s="2"/>
      <c r="AD420" s="2"/>
      <c r="AE420" s="2"/>
    </row>
    <row r="421" spans="1:31" ht="12.75" customHeight="1" x14ac:dyDescent="0.25">
      <c r="A421" s="2"/>
      <c r="B421" s="2" t="str">
        <f>'QBO Transactions'!$U423</f>
        <v>Brex Credit Card</v>
      </c>
      <c r="C421" s="3">
        <f>'QBO Transactions'!$S423</f>
        <v>9.07</v>
      </c>
      <c r="D421" s="2" t="str">
        <f>'QBO Transactions'!$R423</f>
        <v>Uber</v>
      </c>
      <c r="E421" s="2"/>
      <c r="F421" s="3" t="str">
        <f>'QBO Transactions'!$X423</f>
        <v>Sales &amp; Marketing:Sales &amp; Marketing- Travel Expenses:Ground Transportation</v>
      </c>
      <c r="G421" s="2"/>
      <c r="H421" s="2"/>
      <c r="I421" s="2"/>
      <c r="J421" s="2"/>
      <c r="K421" s="2"/>
      <c r="L421" s="2"/>
      <c r="M421" s="2"/>
      <c r="N421" s="2" t="str">
        <f>'QBO Transactions'!$Y423</f>
        <v>200- Datadog:230- Sales</v>
      </c>
      <c r="O421" s="2"/>
      <c r="P421" s="2"/>
      <c r="Q421" s="2" t="str">
        <f>'QBO Transactions'!$T423</f>
        <v>UBER   *TRIP MASTERCARD-XXXXXXIO6VLI-James Dean</v>
      </c>
      <c r="R421" s="2"/>
      <c r="S421" s="2"/>
      <c r="T421" s="2"/>
      <c r="U421" s="2"/>
      <c r="V421" s="2"/>
      <c r="W421" s="2"/>
      <c r="X421" s="2" t="str">
        <f t="shared" si="6"/>
        <v>UBER   *TRIP MASTERCARD-XXXXXXIO6VLI-James Dean</v>
      </c>
      <c r="Y421" s="4">
        <f>'QBO Transactions'!$Q423</f>
        <v>46229</v>
      </c>
      <c r="Z421" s="2"/>
      <c r="AA421" s="2"/>
      <c r="AB421" s="2"/>
      <c r="AC421" s="2"/>
      <c r="AD421" s="2"/>
      <c r="AE421" s="2"/>
    </row>
    <row r="422" spans="1:31" ht="12.75" customHeight="1" x14ac:dyDescent="0.25">
      <c r="A422" s="2"/>
      <c r="B422" s="2" t="str">
        <f>'QBO Transactions'!$U424</f>
        <v>Brex Credit Card</v>
      </c>
      <c r="C422" s="3">
        <f>'QBO Transactions'!$S424</f>
        <v>39.79</v>
      </c>
      <c r="D422" s="2" t="str">
        <f>'QBO Transactions'!$R424</f>
        <v>Uber</v>
      </c>
      <c r="E422" s="2"/>
      <c r="F422" s="3" t="str">
        <f>'QBO Transactions'!$X424</f>
        <v>Cost of Goods Sold:COGS- Travel Expenses:Ground Transportation</v>
      </c>
      <c r="G422" s="2"/>
      <c r="H422" s="2"/>
      <c r="I422" s="2"/>
      <c r="J422" s="2"/>
      <c r="K422" s="2"/>
      <c r="L422" s="2"/>
      <c r="M422" s="2"/>
      <c r="N422" s="2" t="str">
        <f>'QBO Transactions'!$Y424</f>
        <v>300- ServiceNow:320- Engineering</v>
      </c>
      <c r="O422" s="2"/>
      <c r="P422" s="2"/>
      <c r="Q422" s="2" t="str">
        <f>'QBO Transactions'!$T424</f>
        <v>UBER *EATS HELP.UBER.C MASTERCARD-XXXXXXVHB95S-Brianne Gallagher</v>
      </c>
      <c r="R422" s="2"/>
      <c r="S422" s="2"/>
      <c r="T422" s="2"/>
      <c r="U422" s="2"/>
      <c r="V422" s="2"/>
      <c r="W422" s="2"/>
      <c r="X422" s="2" t="str">
        <f t="shared" si="6"/>
        <v>UBER *EATS HELP.UBER.C MASTERCARD-XXXXXXVHB95S-Brianne Gallagher</v>
      </c>
      <c r="Y422" s="4">
        <f>'QBO Transactions'!$Q424</f>
        <v>46228</v>
      </c>
      <c r="Z422" s="2"/>
      <c r="AA422" s="2"/>
      <c r="AB422" s="2"/>
      <c r="AC422" s="2"/>
      <c r="AD422" s="2"/>
      <c r="AE422" s="2"/>
    </row>
    <row r="423" spans="1:31" ht="12.75" customHeight="1" x14ac:dyDescent="0.25">
      <c r="A423" s="2"/>
      <c r="B423" s="2" t="str">
        <f>'QBO Transactions'!$U425</f>
        <v>Brex Credit Card</v>
      </c>
      <c r="C423" s="3">
        <f>'QBO Transactions'!$S425</f>
        <v>30</v>
      </c>
      <c r="D423" s="2" t="str">
        <f>'QBO Transactions'!$R425</f>
        <v>Food Vendor</v>
      </c>
      <c r="E423" s="2"/>
      <c r="F423" s="3" t="str">
        <f>'QBO Transactions'!$X425</f>
        <v>Sales &amp; Marketing:Sales &amp; Marketing- Travel Expenses:Meals &amp; Entertainment</v>
      </c>
      <c r="G423" s="2"/>
      <c r="H423" s="2"/>
      <c r="I423" s="2"/>
      <c r="J423" s="2"/>
      <c r="K423" s="2"/>
      <c r="L423" s="2"/>
      <c r="M423" s="2"/>
      <c r="N423" s="2" t="str">
        <f>'QBO Transactions'!$Y425</f>
        <v>200- Datadog:230- Sales</v>
      </c>
      <c r="O423" s="2"/>
      <c r="P423" s="2"/>
      <c r="Q423" s="2" t="str">
        <f>'QBO Transactions'!$T425</f>
        <v>SQ *PRUDENTIAL CENTER MASTERCARD-XXXXXXT7NOLF-Jared Kennedy</v>
      </c>
      <c r="R423" s="2"/>
      <c r="S423" s="2"/>
      <c r="T423" s="2"/>
      <c r="U423" s="2"/>
      <c r="V423" s="2"/>
      <c r="W423" s="2"/>
      <c r="X423" s="2" t="str">
        <f t="shared" si="6"/>
        <v>SQ *PRUDENTIAL CENTER MASTERCARD-XXXXXXT7NOLF-Jared Kennedy</v>
      </c>
      <c r="Y423" s="4">
        <f>'QBO Transactions'!$Q425</f>
        <v>46228</v>
      </c>
      <c r="Z423" s="2"/>
      <c r="AA423" s="2"/>
      <c r="AB423" s="2"/>
      <c r="AC423" s="2"/>
      <c r="AD423" s="2"/>
      <c r="AE423" s="2"/>
    </row>
    <row r="424" spans="1:31" ht="12.75" customHeight="1" x14ac:dyDescent="0.25">
      <c r="A424" s="2"/>
      <c r="B424" s="2" t="str">
        <f>'QBO Transactions'!$U426</f>
        <v>Brex Credit Card</v>
      </c>
      <c r="C424" s="3">
        <f>'QBO Transactions'!$S426</f>
        <v>50</v>
      </c>
      <c r="D424" s="2" t="str">
        <f>'QBO Transactions'!$R426</f>
        <v>Uber</v>
      </c>
      <c r="E424" s="2"/>
      <c r="F424" s="3" t="str">
        <f>'QBO Transactions'!$X426</f>
        <v>General &amp; Administrative:G&amp;A- Travel Expenses:Ground Transportation</v>
      </c>
      <c r="G424" s="2"/>
      <c r="H424" s="2"/>
      <c r="I424" s="2"/>
      <c r="J424" s="2"/>
      <c r="K424" s="2"/>
      <c r="L424" s="2"/>
      <c r="M424" s="2"/>
      <c r="N424" s="2" t="str">
        <f>'QBO Transactions'!$Y426</f>
        <v>100- Operations:110- G&amp;A</v>
      </c>
      <c r="O424" s="2"/>
      <c r="P424" s="2"/>
      <c r="Q424" s="2" t="str">
        <f>'QBO Transactions'!$T426</f>
        <v>UBER   *EATS MASTERCARD-XXXXXXMUU79J-Mickenzi Krpec</v>
      </c>
      <c r="R424" s="2"/>
      <c r="S424" s="2"/>
      <c r="T424" s="2"/>
      <c r="U424" s="2"/>
      <c r="V424" s="2"/>
      <c r="W424" s="2"/>
      <c r="X424" s="2" t="str">
        <f t="shared" si="6"/>
        <v>UBER   *EATS MASTERCARD-XXXXXXMUU79J-Mickenzi Krpec</v>
      </c>
      <c r="Y424" s="4">
        <f>'QBO Transactions'!$Q426</f>
        <v>46228</v>
      </c>
      <c r="Z424" s="2"/>
      <c r="AA424" s="2"/>
      <c r="AB424" s="2"/>
      <c r="AC424" s="2"/>
      <c r="AD424" s="2"/>
      <c r="AE424" s="2"/>
    </row>
    <row r="425" spans="1:31" ht="12.75" customHeight="1" x14ac:dyDescent="0.25">
      <c r="A425" s="2"/>
      <c r="B425" s="2" t="str">
        <f>'QBO Transactions'!$U427</f>
        <v>Brex Credit Card</v>
      </c>
      <c r="C425" s="3">
        <f>'QBO Transactions'!$S427</f>
        <v>0.02</v>
      </c>
      <c r="D425" s="2" t="str">
        <f>'QBO Transactions'!$R427</f>
        <v>Aylab DE</v>
      </c>
      <c r="E425" s="2"/>
      <c r="F425" s="3" t="str">
        <f>'QBO Transactions'!$X427</f>
        <v>Sales &amp; Marketing:Marketing Expenses:Other Marketing Expenses</v>
      </c>
      <c r="G425" s="2"/>
      <c r="H425" s="2"/>
      <c r="I425" s="2"/>
      <c r="J425" s="2"/>
      <c r="K425" s="2"/>
      <c r="L425" s="2"/>
      <c r="M425" s="2"/>
      <c r="N425" s="2" t="str">
        <f>'QBO Transactions'!$Y427</f>
        <v>100- Operations:120- Marketing</v>
      </c>
      <c r="O425" s="2"/>
      <c r="P425" s="2"/>
      <c r="Q425" s="2" t="str">
        <f>'QBO Transactions'!$T427</f>
        <v>PAIR Finance GmbH MASTERCARD-XXXXXXYLRFH4-Ayla Hourani</v>
      </c>
      <c r="R425" s="2"/>
      <c r="S425" s="2"/>
      <c r="T425" s="2"/>
      <c r="U425" s="2"/>
      <c r="V425" s="2"/>
      <c r="W425" s="2"/>
      <c r="X425" s="2" t="str">
        <f t="shared" si="6"/>
        <v>PAIR Finance GmbH MASTERCARD-XXXXXXYLRFH4-Ayla Hourani</v>
      </c>
      <c r="Y425" s="4">
        <f>'QBO Transactions'!$Q427</f>
        <v>46228</v>
      </c>
      <c r="Z425" s="2"/>
      <c r="AA425" s="2"/>
      <c r="AB425" s="2"/>
      <c r="AC425" s="2"/>
      <c r="AD425" s="2"/>
      <c r="AE425" s="2"/>
    </row>
    <row r="426" spans="1:31" ht="12.75" customHeight="1" x14ac:dyDescent="0.25">
      <c r="A426" s="2"/>
      <c r="B426" s="2" t="str">
        <f>'QBO Transactions'!$U428</f>
        <v>Brex Credit Card</v>
      </c>
      <c r="C426" s="3">
        <f>'QBO Transactions'!$S428</f>
        <v>31.53</v>
      </c>
      <c r="D426" s="2" t="str">
        <f>'QBO Transactions'!$R428</f>
        <v>Aylab DE</v>
      </c>
      <c r="E426" s="2"/>
      <c r="F426" s="3" t="str">
        <f>'QBO Transactions'!$X428</f>
        <v>Sales &amp; Marketing:Marketing Expenses:Other Marketing Expenses</v>
      </c>
      <c r="G426" s="2"/>
      <c r="H426" s="2"/>
      <c r="I426" s="2"/>
      <c r="J426" s="2"/>
      <c r="K426" s="2"/>
      <c r="L426" s="2"/>
      <c r="M426" s="2"/>
      <c r="N426" s="2" t="str">
        <f>'QBO Transactions'!$Y428</f>
        <v>100- Operations:120- Marketing</v>
      </c>
      <c r="O426" s="2"/>
      <c r="P426" s="2"/>
      <c r="Q426" s="2" t="str">
        <f>'QBO Transactions'!$T428</f>
        <v>PAIR Finance GmbH MASTERCARD-XXXXXXKM8JG6-Ayla Hourani</v>
      </c>
      <c r="R426" s="2"/>
      <c r="S426" s="2"/>
      <c r="T426" s="2"/>
      <c r="U426" s="2"/>
      <c r="V426" s="2"/>
      <c r="W426" s="2"/>
      <c r="X426" s="2" t="str">
        <f t="shared" si="6"/>
        <v>PAIR Finance GmbH MASTERCARD-XXXXXXKM8JG6-Ayla Hourani</v>
      </c>
      <c r="Y426" s="4">
        <f>'QBO Transactions'!$Q428</f>
        <v>46228</v>
      </c>
      <c r="Z426" s="2"/>
      <c r="AA426" s="2"/>
      <c r="AB426" s="2"/>
      <c r="AC426" s="2"/>
      <c r="AD426" s="2"/>
      <c r="AE426" s="2"/>
    </row>
    <row r="427" spans="1:31" ht="12.75" customHeight="1" x14ac:dyDescent="0.25">
      <c r="A427" s="2"/>
      <c r="B427" s="2" t="str">
        <f>'QBO Transactions'!$U429</f>
        <v>Brex Credit Card</v>
      </c>
      <c r="C427" s="3">
        <f>'QBO Transactions'!$S429</f>
        <v>809.81</v>
      </c>
      <c r="D427" s="2" t="str">
        <f>'QBO Transactions'!$R429</f>
        <v>American Airlines</v>
      </c>
      <c r="E427" s="2"/>
      <c r="F427" s="3" t="str">
        <f>'QBO Transactions'!$X429</f>
        <v>General &amp; Administrative:G&amp;A- Travel Expenses:Airfare</v>
      </c>
      <c r="G427" s="2"/>
      <c r="H427" s="2"/>
      <c r="I427" s="2"/>
      <c r="J427" s="2"/>
      <c r="K427" s="2"/>
      <c r="L427" s="2"/>
      <c r="M427" s="2"/>
      <c r="N427" s="2" t="str">
        <f>'QBO Transactions'!$Y429</f>
        <v>100- Operations:110- G&amp;A</v>
      </c>
      <c r="O427" s="2"/>
      <c r="P427" s="2"/>
      <c r="Q427" s="2" t="str">
        <f>'QBO Transactions'!$T429</f>
        <v>AMERICAN MASTERCARD-XXXXXXAEI03U-Mickenzi Krpec</v>
      </c>
      <c r="R427" s="2"/>
      <c r="S427" s="2"/>
      <c r="T427" s="2"/>
      <c r="U427" s="2"/>
      <c r="V427" s="2"/>
      <c r="W427" s="2"/>
      <c r="X427" s="2" t="str">
        <f t="shared" si="6"/>
        <v>AMERICAN MASTERCARD-XXXXXXAEI03U-Mickenzi Krpec</v>
      </c>
      <c r="Y427" s="4">
        <f>'QBO Transactions'!$Q429</f>
        <v>46228</v>
      </c>
      <c r="Z427" s="2"/>
      <c r="AA427" s="2"/>
      <c r="AB427" s="2"/>
      <c r="AC427" s="2"/>
      <c r="AD427" s="2"/>
      <c r="AE427" s="2"/>
    </row>
    <row r="428" spans="1:31" ht="12.75" customHeight="1" x14ac:dyDescent="0.25">
      <c r="A428" s="2"/>
      <c r="B428" s="2" t="str">
        <f>'QBO Transactions'!$U430</f>
        <v>Brex Credit Card</v>
      </c>
      <c r="C428" s="3">
        <f>'QBO Transactions'!$S430</f>
        <v>550.6</v>
      </c>
      <c r="D428" s="2" t="str">
        <f>'QBO Transactions'!$R430</f>
        <v>Food Vendor</v>
      </c>
      <c r="E428" s="2"/>
      <c r="F428" s="3" t="str">
        <f>'QBO Transactions'!$X430</f>
        <v>General &amp; Administrative:G&amp;A- Travel Expenses:Meals &amp; Entertainment</v>
      </c>
      <c r="G428" s="2"/>
      <c r="H428" s="2"/>
      <c r="I428" s="2"/>
      <c r="J428" s="2"/>
      <c r="K428" s="2"/>
      <c r="L428" s="2"/>
      <c r="M428" s="2"/>
      <c r="N428" s="2" t="str">
        <f>'QBO Transactions'!$Y430</f>
        <v>100- Operations:110- G&amp;A</v>
      </c>
      <c r="O428" s="2"/>
      <c r="P428" s="2"/>
      <c r="Q428" s="2" t="str">
        <f>'QBO Transactions'!$T430</f>
        <v>SQ *BRICK STREET BAGEL MASTERCARD-XXXXXXXVFQM6-Mickenzi Krpec</v>
      </c>
      <c r="R428" s="2"/>
      <c r="S428" s="2"/>
      <c r="T428" s="2"/>
      <c r="U428" s="2"/>
      <c r="V428" s="2"/>
      <c r="W428" s="2"/>
      <c r="X428" s="2" t="str">
        <f t="shared" si="6"/>
        <v>SQ *BRICK STREET BAGEL MASTERCARD-XXXXXXXVFQM6-Mickenzi Krpec</v>
      </c>
      <c r="Y428" s="4">
        <f>'QBO Transactions'!$Q430</f>
        <v>46228</v>
      </c>
      <c r="Z428" s="2"/>
      <c r="AA428" s="2"/>
      <c r="AB428" s="2"/>
      <c r="AC428" s="2"/>
      <c r="AD428" s="2"/>
      <c r="AE428" s="2"/>
    </row>
    <row r="429" spans="1:31" ht="12.75" customHeight="1" x14ac:dyDescent="0.25">
      <c r="A429" s="2"/>
      <c r="B429" s="2" t="str">
        <f>'QBO Transactions'!$U431</f>
        <v>Brex Credit Card</v>
      </c>
      <c r="C429" s="3">
        <f>'QBO Transactions'!$S431</f>
        <v>32.630000000000003</v>
      </c>
      <c r="D429" s="2" t="str">
        <f>'QBO Transactions'!$R431</f>
        <v>Food Vendor</v>
      </c>
      <c r="E429" s="2"/>
      <c r="F429" s="3" t="str">
        <f>'QBO Transactions'!$X431</f>
        <v>Cost of Goods Sold:COGS- Travel Expenses:Meals &amp; Entertainment</v>
      </c>
      <c r="G429" s="2"/>
      <c r="H429" s="2"/>
      <c r="I429" s="2"/>
      <c r="J429" s="2"/>
      <c r="K429" s="2"/>
      <c r="L429" s="2"/>
      <c r="M429" s="2"/>
      <c r="N429" s="2" t="str">
        <f>'QBO Transactions'!$Y431</f>
        <v>200- Datadog:220- Engineering</v>
      </c>
      <c r="O429" s="2"/>
      <c r="P429" s="2"/>
      <c r="Q429" s="2" t="str">
        <f>'QBO Transactions'!$T431</f>
        <v>TST*NIGHTSHIFT - BEER MASTERCARD-XXXXXXYKPRIN-Anthony Nguyen</v>
      </c>
      <c r="R429" s="2"/>
      <c r="S429" s="2"/>
      <c r="T429" s="2"/>
      <c r="U429" s="2"/>
      <c r="V429" s="2"/>
      <c r="W429" s="2"/>
      <c r="X429" s="2" t="str">
        <f t="shared" si="6"/>
        <v>TST*NIGHTSHIFT - BEER MASTERCARD-XXXXXXYKPRIN-Anthony Nguyen</v>
      </c>
      <c r="Y429" s="4">
        <f>'QBO Transactions'!$Q431</f>
        <v>46228</v>
      </c>
      <c r="Z429" s="2"/>
      <c r="AA429" s="2"/>
      <c r="AB429" s="2"/>
      <c r="AC429" s="2"/>
      <c r="AD429" s="2"/>
      <c r="AE429" s="2"/>
    </row>
    <row r="430" spans="1:31" ht="12.75" customHeight="1" x14ac:dyDescent="0.25">
      <c r="A430" s="2"/>
      <c r="B430" s="2" t="str">
        <f>'QBO Transactions'!$U432</f>
        <v>Brex Credit Card</v>
      </c>
      <c r="C430" s="3">
        <f>'QBO Transactions'!$S432</f>
        <v>861.71</v>
      </c>
      <c r="D430" s="2" t="str">
        <f>'QBO Transactions'!$R432</f>
        <v>Uber</v>
      </c>
      <c r="E430" s="2"/>
      <c r="F430" s="3" t="str">
        <f>'QBO Transactions'!$X432</f>
        <v>General &amp; Administrative:G&amp;A- Travel Expenses:Ground Transportation</v>
      </c>
      <c r="G430" s="2"/>
      <c r="H430" s="2"/>
      <c r="I430" s="2"/>
      <c r="J430" s="2"/>
      <c r="K430" s="2"/>
      <c r="L430" s="2"/>
      <c r="M430" s="2"/>
      <c r="N430" s="2" t="str">
        <f>'QBO Transactions'!$Y432</f>
        <v>100- Operations:110- G&amp;A</v>
      </c>
      <c r="O430" s="2"/>
      <c r="P430" s="2"/>
      <c r="Q430" s="2" t="str">
        <f>'QBO Transactions'!$T432</f>
        <v>UBER   *EATS MASTERCARD-XXXXXXP5P31P-Mickenzi Krpec</v>
      </c>
      <c r="R430" s="2"/>
      <c r="S430" s="2"/>
      <c r="T430" s="2"/>
      <c r="U430" s="2"/>
      <c r="V430" s="2"/>
      <c r="W430" s="2"/>
      <c r="X430" s="2" t="str">
        <f t="shared" si="6"/>
        <v>UBER   *EATS MASTERCARD-XXXXXXP5P31P-Mickenzi Krpec</v>
      </c>
      <c r="Y430" s="4">
        <f>'QBO Transactions'!$Q432</f>
        <v>46228</v>
      </c>
      <c r="Z430" s="2"/>
      <c r="AA430" s="2"/>
      <c r="AB430" s="2"/>
      <c r="AC430" s="2"/>
      <c r="AD430" s="2"/>
      <c r="AE430" s="2"/>
    </row>
    <row r="431" spans="1:31" ht="12.75" customHeight="1" x14ac:dyDescent="0.25">
      <c r="A431" s="2"/>
      <c r="B431" s="2" t="str">
        <f>'QBO Transactions'!$U433</f>
        <v>Brex Credit Card</v>
      </c>
      <c r="C431" s="3">
        <f>'QBO Transactions'!$S433</f>
        <v>34.340000000000003</v>
      </c>
      <c r="D431" s="2" t="str">
        <f>'QBO Transactions'!$R433</f>
        <v>Cactus Club</v>
      </c>
      <c r="E431" s="2"/>
      <c r="F431" s="3" t="str">
        <f>'QBO Transactions'!$X433</f>
        <v>Sales &amp; Marketing:Sales &amp; Marketing- Travel Expenses:Meals &amp; Entertainment</v>
      </c>
      <c r="G431" s="2"/>
      <c r="H431" s="2"/>
      <c r="I431" s="2"/>
      <c r="J431" s="2"/>
      <c r="K431" s="2"/>
      <c r="L431" s="2"/>
      <c r="M431" s="2"/>
      <c r="N431" s="2" t="str">
        <f>'QBO Transactions'!$Y433</f>
        <v>200- Datadog:230- Sales</v>
      </c>
      <c r="O431" s="2"/>
      <c r="P431" s="2"/>
      <c r="Q431" s="2" t="str">
        <f>'QBO Transactions'!$T433</f>
        <v>CACTUS CLUB BACK BAY MASTERCARD-XXXXXX655Y60-Ryan Henrich</v>
      </c>
      <c r="R431" s="2"/>
      <c r="S431" s="2"/>
      <c r="T431" s="2"/>
      <c r="U431" s="2"/>
      <c r="V431" s="2"/>
      <c r="W431" s="2"/>
      <c r="X431" s="2" t="str">
        <f t="shared" si="6"/>
        <v>CACTUS CLUB BACK BAY MASTERCARD-XXXXXX655Y60-Ryan Henrich</v>
      </c>
      <c r="Y431" s="4">
        <f>'QBO Transactions'!$Q433</f>
        <v>46229</v>
      </c>
      <c r="Z431" s="2"/>
      <c r="AA431" s="2"/>
      <c r="AB431" s="2"/>
      <c r="AC431" s="2"/>
      <c r="AD431" s="2"/>
      <c r="AE431" s="2"/>
    </row>
    <row r="432" spans="1:31" ht="12.75" customHeight="1" x14ac:dyDescent="0.25">
      <c r="A432" s="2"/>
      <c r="B432" s="2" t="str">
        <f>'QBO Transactions'!$U434</f>
        <v>Brex Credit Card</v>
      </c>
      <c r="C432" s="3">
        <f>'QBO Transactions'!$S434</f>
        <v>94.44</v>
      </c>
      <c r="D432" s="2" t="str">
        <f>'QBO Transactions'!$R434</f>
        <v>Amazon</v>
      </c>
      <c r="E432" s="2"/>
      <c r="F432" s="3" t="str">
        <f>'QBO Transactions'!$X434</f>
        <v>General &amp; Administrative:Office Expenses:Office Supplies</v>
      </c>
      <c r="G432" s="2"/>
      <c r="H432" s="2"/>
      <c r="I432" s="2"/>
      <c r="J432" s="2"/>
      <c r="K432" s="2"/>
      <c r="L432" s="2"/>
      <c r="M432" s="2"/>
      <c r="N432" s="2" t="str">
        <f>'QBO Transactions'!$Y434</f>
        <v>100- Operations:110- G&amp;A</v>
      </c>
      <c r="O432" s="2"/>
      <c r="P432" s="2"/>
      <c r="Q432" s="2" t="str">
        <f>'QBO Transactions'!$T434</f>
        <v>AMAZON MKTPL*B21A20B23 MASTERCARD-XXXXXXGZD06F-Mickenzi Krpec</v>
      </c>
      <c r="R432" s="2"/>
      <c r="S432" s="2"/>
      <c r="T432" s="2"/>
      <c r="U432" s="2"/>
      <c r="V432" s="2"/>
      <c r="W432" s="2"/>
      <c r="X432" s="2" t="str">
        <f t="shared" si="6"/>
        <v>AMAZON MKTPL*B21A20B23 MASTERCARD-XXXXXXGZD06F-Mickenzi Krpec</v>
      </c>
      <c r="Y432" s="4">
        <f>'QBO Transactions'!$Q434</f>
        <v>46231</v>
      </c>
      <c r="Z432" s="2"/>
      <c r="AA432" s="2"/>
      <c r="AB432" s="2"/>
      <c r="AC432" s="2"/>
      <c r="AD432" s="2"/>
      <c r="AE432" s="2"/>
    </row>
    <row r="433" spans="1:31" ht="12.75" customHeight="1" x14ac:dyDescent="0.25">
      <c r="A433" s="2"/>
      <c r="B433" s="2" t="str">
        <f>'QBO Transactions'!$U435</f>
        <v>Brex Credit Card</v>
      </c>
      <c r="C433" s="3">
        <f>'QBO Transactions'!$S435</f>
        <v>80</v>
      </c>
      <c r="D433" s="2" t="str">
        <f>'QBO Transactions'!$R435</f>
        <v>PKL Boston</v>
      </c>
      <c r="E433" s="2"/>
      <c r="F433" s="3" t="str">
        <f>'QBO Transactions'!$X435</f>
        <v>Cost of Goods Sold:COGS- Travel Expenses:Meals &amp; Entertainment</v>
      </c>
      <c r="G433" s="2"/>
      <c r="H433" s="2"/>
      <c r="I433" s="2"/>
      <c r="J433" s="2"/>
      <c r="K433" s="2"/>
      <c r="L433" s="2"/>
      <c r="M433" s="2"/>
      <c r="N433" s="2" t="str">
        <f>'QBO Transactions'!$Y435</f>
        <v>200- Datadog:220- Engineering</v>
      </c>
      <c r="O433" s="2"/>
      <c r="P433" s="2"/>
      <c r="Q433" s="2" t="str">
        <f>'QBO Transactions'!$T435</f>
        <v>WWW.PLAYPKL.COM MASTERCARD-XXXXXXMDXRLT-Daniel Roy</v>
      </c>
      <c r="R433" s="2"/>
      <c r="S433" s="2"/>
      <c r="T433" s="2"/>
      <c r="U433" s="2"/>
      <c r="V433" s="2"/>
      <c r="W433" s="2"/>
      <c r="X433" s="2" t="str">
        <f t="shared" si="6"/>
        <v>WWW.PLAYPKL.COM MASTERCARD-XXXXXXMDXRLT-Daniel Roy</v>
      </c>
      <c r="Y433" s="4">
        <f>'QBO Transactions'!$Q435</f>
        <v>46228</v>
      </c>
      <c r="Z433" s="2"/>
      <c r="AA433" s="2"/>
      <c r="AB433" s="2"/>
      <c r="AC433" s="2"/>
      <c r="AD433" s="2"/>
      <c r="AE433" s="2"/>
    </row>
    <row r="434" spans="1:31" ht="12.75" customHeight="1" x14ac:dyDescent="0.25">
      <c r="A434" s="2"/>
      <c r="B434" s="2" t="str">
        <f>'QBO Transactions'!$U436</f>
        <v>Brex Credit Card</v>
      </c>
      <c r="C434" s="3">
        <f>'QBO Transactions'!$S436</f>
        <v>40</v>
      </c>
      <c r="D434" s="2" t="str">
        <f>'QBO Transactions'!$R436</f>
        <v>PKL Boston</v>
      </c>
      <c r="E434" s="2"/>
      <c r="F434" s="3" t="str">
        <f>'QBO Transactions'!$X436</f>
        <v>Cost of Goods Sold:COGS- Travel Expenses:Meals &amp; Entertainment</v>
      </c>
      <c r="G434" s="2"/>
      <c r="H434" s="2"/>
      <c r="I434" s="2"/>
      <c r="J434" s="2"/>
      <c r="K434" s="2"/>
      <c r="L434" s="2"/>
      <c r="M434" s="2"/>
      <c r="N434" s="2" t="str">
        <f>'QBO Transactions'!$Y436</f>
        <v>200- Datadog:220- Engineering</v>
      </c>
      <c r="O434" s="2"/>
      <c r="P434" s="2"/>
      <c r="Q434" s="2" t="str">
        <f>'QBO Transactions'!$T436</f>
        <v>WWW.PLAYPKL.COM MASTERCARD-XXXXXX41CA32-Paul Kim</v>
      </c>
      <c r="R434" s="2"/>
      <c r="S434" s="2"/>
      <c r="T434" s="2"/>
      <c r="U434" s="2"/>
      <c r="V434" s="2"/>
      <c r="W434" s="2"/>
      <c r="X434" s="2" t="str">
        <f t="shared" si="6"/>
        <v>WWW.PLAYPKL.COM MASTERCARD-XXXXXX41CA32-Paul Kim</v>
      </c>
      <c r="Y434" s="4">
        <f>'QBO Transactions'!$Q436</f>
        <v>46228</v>
      </c>
      <c r="Z434" s="2"/>
      <c r="AA434" s="2"/>
      <c r="AB434" s="2"/>
      <c r="AC434" s="2"/>
      <c r="AD434" s="2"/>
      <c r="AE434" s="2"/>
    </row>
    <row r="435" spans="1:31" ht="12.75" customHeight="1" x14ac:dyDescent="0.25">
      <c r="A435" s="2"/>
      <c r="B435" s="2" t="str">
        <f>'QBO Transactions'!$U437</f>
        <v>Brex Credit Card</v>
      </c>
      <c r="C435" s="3">
        <f>'QBO Transactions'!$S437</f>
        <v>14.75</v>
      </c>
      <c r="D435" s="2" t="str">
        <f>'QBO Transactions'!$R437</f>
        <v>Food Vendor</v>
      </c>
      <c r="E435" s="2"/>
      <c r="F435" s="3" t="str">
        <f>'QBO Transactions'!$X437</f>
        <v>Cost of Goods Sold:COGS- Travel Expenses:Meals &amp; Entertainment</v>
      </c>
      <c r="G435" s="2"/>
      <c r="H435" s="2"/>
      <c r="I435" s="2"/>
      <c r="J435" s="2"/>
      <c r="K435" s="2"/>
      <c r="L435" s="2"/>
      <c r="M435" s="2"/>
      <c r="N435" s="2" t="str">
        <f>'QBO Transactions'!$Y437</f>
        <v>300- ServiceNow:310- Delivery</v>
      </c>
      <c r="O435" s="2"/>
      <c r="P435" s="2"/>
      <c r="Q435" s="2" t="str">
        <f>'QBO Transactions'!$T437</f>
        <v>TST* NAYA - 500 BOYLST MASTERCARD-XXXXXXTNL1SR-Hannah Farley</v>
      </c>
      <c r="R435" s="2"/>
      <c r="S435" s="2"/>
      <c r="T435" s="2"/>
      <c r="U435" s="2"/>
      <c r="V435" s="2"/>
      <c r="W435" s="2"/>
      <c r="X435" s="2" t="str">
        <f t="shared" si="6"/>
        <v>TST* NAYA - 500 BOYLST MASTERCARD-XXXXXXTNL1SR-Hannah Farley</v>
      </c>
      <c r="Y435" s="4">
        <f>'QBO Transactions'!$Q437</f>
        <v>46228</v>
      </c>
      <c r="Z435" s="2"/>
      <c r="AA435" s="2"/>
      <c r="AB435" s="2"/>
      <c r="AC435" s="2"/>
      <c r="AD435" s="2"/>
      <c r="AE435" s="2"/>
    </row>
    <row r="436" spans="1:31" ht="12.75" customHeight="1" x14ac:dyDescent="0.25">
      <c r="A436" s="2"/>
      <c r="B436" s="2" t="str">
        <f>'QBO Transactions'!$U438</f>
        <v>Brex Credit Card</v>
      </c>
      <c r="C436" s="3">
        <f>'QBO Transactions'!$S438</f>
        <v>18.14</v>
      </c>
      <c r="D436" s="2" t="str">
        <f>'QBO Transactions'!$R438</f>
        <v>Food Vendor</v>
      </c>
      <c r="E436" s="2"/>
      <c r="F436" s="3" t="str">
        <f>'QBO Transactions'!$X438</f>
        <v>General &amp; Administrative:G&amp;A- Travel Expenses:Meals &amp; Entertainment</v>
      </c>
      <c r="G436" s="2"/>
      <c r="H436" s="2"/>
      <c r="I436" s="2"/>
      <c r="J436" s="2"/>
      <c r="K436" s="2"/>
      <c r="L436" s="2"/>
      <c r="M436" s="2"/>
      <c r="N436" s="2" t="str">
        <f>'QBO Transactions'!$Y438</f>
        <v>100- Operations:110- G&amp;A</v>
      </c>
      <c r="O436" s="2"/>
      <c r="P436" s="2"/>
      <c r="Q436" s="2" t="str">
        <f>'QBO Transactions'!$T438</f>
        <v>DIG.. MASTERCARD-XXXXXXK91ZL8-Zayn Moselhy</v>
      </c>
      <c r="R436" s="2"/>
      <c r="S436" s="2"/>
      <c r="T436" s="2"/>
      <c r="U436" s="2"/>
      <c r="V436" s="2"/>
      <c r="W436" s="2"/>
      <c r="X436" s="2" t="str">
        <f t="shared" si="6"/>
        <v>DIG.. MASTERCARD-XXXXXXK91ZL8-Zayn Moselhy</v>
      </c>
      <c r="Y436" s="4">
        <f>'QBO Transactions'!$Q438</f>
        <v>46228</v>
      </c>
      <c r="Z436" s="2"/>
      <c r="AA436" s="2"/>
      <c r="AB436" s="2"/>
      <c r="AC436" s="2"/>
      <c r="AD436" s="2"/>
      <c r="AE436" s="2"/>
    </row>
    <row r="437" spans="1:31" ht="12.75" customHeight="1" x14ac:dyDescent="0.25">
      <c r="A437" s="2"/>
      <c r="B437" s="2" t="str">
        <f>'QBO Transactions'!$U439</f>
        <v>Brex Credit Card</v>
      </c>
      <c r="C437" s="3">
        <f>'QBO Transactions'!$S439</f>
        <v>40</v>
      </c>
      <c r="D437" s="2" t="str">
        <f>'QBO Transactions'!$R439</f>
        <v>PKL Boston</v>
      </c>
      <c r="E437" s="2"/>
      <c r="F437" s="3" t="str">
        <f>'QBO Transactions'!$X439</f>
        <v>Cost of Goods Sold:COGS- Travel Expenses:Meals &amp; Entertainment</v>
      </c>
      <c r="G437" s="2"/>
      <c r="H437" s="2"/>
      <c r="I437" s="2"/>
      <c r="J437" s="2"/>
      <c r="K437" s="2"/>
      <c r="L437" s="2"/>
      <c r="M437" s="2"/>
      <c r="N437" s="2" t="str">
        <f>'QBO Transactions'!$Y439</f>
        <v>200- Datadog:220- Engineering</v>
      </c>
      <c r="O437" s="2"/>
      <c r="P437" s="2"/>
      <c r="Q437" s="2" t="str">
        <f>'QBO Transactions'!$T439</f>
        <v>WWW.PLAYPKL.COM MASTERCARD-XXXXXXI9QTIG-Paul Kim</v>
      </c>
      <c r="R437" s="2"/>
      <c r="S437" s="2"/>
      <c r="T437" s="2"/>
      <c r="U437" s="2"/>
      <c r="V437" s="2"/>
      <c r="W437" s="2"/>
      <c r="X437" s="2" t="str">
        <f t="shared" si="6"/>
        <v>WWW.PLAYPKL.COM MASTERCARD-XXXXXXI9QTIG-Paul Kim</v>
      </c>
      <c r="Y437" s="4">
        <f>'QBO Transactions'!$Q439</f>
        <v>46228</v>
      </c>
      <c r="Z437" s="2"/>
      <c r="AA437" s="2"/>
      <c r="AB437" s="2"/>
      <c r="AC437" s="2"/>
      <c r="AD437" s="2"/>
      <c r="AE437" s="2"/>
    </row>
    <row r="438" spans="1:31" ht="12.75" customHeight="1" x14ac:dyDescent="0.25">
      <c r="A438" s="2"/>
      <c r="B438" s="2" t="str">
        <f>'QBO Transactions'!$U440</f>
        <v>Brex Credit Card</v>
      </c>
      <c r="C438" s="3">
        <f>'QBO Transactions'!$S440</f>
        <v>58.56</v>
      </c>
      <c r="D438" s="2" t="str">
        <f>'QBO Transactions'!$R440</f>
        <v>Food Vendor</v>
      </c>
      <c r="E438" s="2"/>
      <c r="F438" s="3" t="str">
        <f>'QBO Transactions'!$X440</f>
        <v>General &amp; Administrative:G&amp;A- Travel Expenses:Meals &amp; Entertainment</v>
      </c>
      <c r="G438" s="2"/>
      <c r="H438" s="2"/>
      <c r="I438" s="2"/>
      <c r="J438" s="2"/>
      <c r="K438" s="2"/>
      <c r="L438" s="2"/>
      <c r="M438" s="2"/>
      <c r="N438" s="2" t="str">
        <f>'QBO Transactions'!$Y440</f>
        <v>100- Operations:110- G&amp;A</v>
      </c>
      <c r="O438" s="2"/>
      <c r="P438" s="2"/>
      <c r="Q438" s="2" t="str">
        <f>'QBO Transactions'!$T440</f>
        <v>TST* ALL ANTICO VINAIO MASTERCARD-XXXXXXA9GJ24-Eric Rabkin</v>
      </c>
      <c r="R438" s="2"/>
      <c r="S438" s="2"/>
      <c r="T438" s="2"/>
      <c r="U438" s="2"/>
      <c r="V438" s="2"/>
      <c r="W438" s="2"/>
      <c r="X438" s="2" t="str">
        <f t="shared" si="6"/>
        <v>TST* ALL ANTICO VINAIO MASTERCARD-XXXXXXA9GJ24-Eric Rabkin</v>
      </c>
      <c r="Y438" s="4">
        <f>'QBO Transactions'!$Q440</f>
        <v>46228</v>
      </c>
      <c r="Z438" s="2"/>
      <c r="AA438" s="2"/>
      <c r="AB438" s="2"/>
      <c r="AC438" s="2"/>
      <c r="AD438" s="2"/>
      <c r="AE438" s="2"/>
    </row>
    <row r="439" spans="1:31" ht="12.75" customHeight="1" x14ac:dyDescent="0.25">
      <c r="A439" s="2"/>
      <c r="B439" s="2" t="str">
        <f>'QBO Transactions'!$U441</f>
        <v>Brex Credit Card</v>
      </c>
      <c r="C439" s="3">
        <f>'QBO Transactions'!$S441</f>
        <v>16.64</v>
      </c>
      <c r="D439" s="2" t="str">
        <f>'QBO Transactions'!$R441</f>
        <v>Dig Inn</v>
      </c>
      <c r="E439" s="2"/>
      <c r="F439" s="3" t="str">
        <f>'QBO Transactions'!$X441</f>
        <v>General &amp; Administrative:G&amp;A- Travel Expenses:Meals &amp; Entertainment</v>
      </c>
      <c r="G439" s="2"/>
      <c r="H439" s="2"/>
      <c r="I439" s="2"/>
      <c r="J439" s="2"/>
      <c r="K439" s="2"/>
      <c r="L439" s="2"/>
      <c r="M439" s="2"/>
      <c r="N439" s="2" t="str">
        <f>'QBO Transactions'!$Y441</f>
        <v>300- ServiceNow:320- Engineering</v>
      </c>
      <c r="O439" s="2"/>
      <c r="P439" s="2"/>
      <c r="Q439" s="2" t="str">
        <f>'QBO Transactions'!$T441</f>
        <v>TST* DIG INN - BACK BA MASTERCARD-XXXXXXWHLUC6-Sakshi Sasalate</v>
      </c>
      <c r="R439" s="2"/>
      <c r="S439" s="2"/>
      <c r="T439" s="2"/>
      <c r="U439" s="2"/>
      <c r="V439" s="2"/>
      <c r="W439" s="2"/>
      <c r="X439" s="2" t="str">
        <f t="shared" si="6"/>
        <v>TST* DIG INN - BACK BA MASTERCARD-XXXXXXWHLUC6-Sakshi Sasalate</v>
      </c>
      <c r="Y439" s="4">
        <f>'QBO Transactions'!$Q441</f>
        <v>46228</v>
      </c>
      <c r="Z439" s="2"/>
      <c r="AA439" s="2"/>
      <c r="AB439" s="2"/>
      <c r="AC439" s="2"/>
      <c r="AD439" s="2"/>
      <c r="AE439" s="2"/>
    </row>
    <row r="440" spans="1:31" ht="12.75" customHeight="1" x14ac:dyDescent="0.25">
      <c r="A440" s="2"/>
      <c r="B440" s="2" t="str">
        <f>'QBO Transactions'!$U442</f>
        <v>Brex Credit Card</v>
      </c>
      <c r="C440" s="3">
        <f>'QBO Transactions'!$S442</f>
        <v>18.239999999999998</v>
      </c>
      <c r="D440" s="2" t="str">
        <f>'QBO Transactions'!$R442</f>
        <v>Chipotle</v>
      </c>
      <c r="E440" s="2"/>
      <c r="F440" s="3" t="str">
        <f>'QBO Transactions'!$X442</f>
        <v>Sales &amp; Marketing:Sales &amp; Marketing- Travel Expenses:Meals &amp; Entertainment</v>
      </c>
      <c r="G440" s="2"/>
      <c r="H440" s="2"/>
      <c r="I440" s="2"/>
      <c r="J440" s="2"/>
      <c r="K440" s="2"/>
      <c r="L440" s="2"/>
      <c r="M440" s="2"/>
      <c r="N440" s="2" t="str">
        <f>'QBO Transactions'!$Y442</f>
        <v>200- Datadog:230- Sales</v>
      </c>
      <c r="O440" s="2"/>
      <c r="P440" s="2"/>
      <c r="Q440" s="2" t="str">
        <f>'QBO Transactions'!$T442</f>
        <v>CHIPOTLE 2341 MASTERCARD-XXXXXXT1JF9H-Jackson Donahoe</v>
      </c>
      <c r="R440" s="2"/>
      <c r="S440" s="2"/>
      <c r="T440" s="2"/>
      <c r="U440" s="2"/>
      <c r="V440" s="2"/>
      <c r="W440" s="2"/>
      <c r="X440" s="2" t="str">
        <f t="shared" si="6"/>
        <v>CHIPOTLE 2341 MASTERCARD-XXXXXXT1JF9H-Jackson Donahoe</v>
      </c>
      <c r="Y440" s="4">
        <f>'QBO Transactions'!$Q442</f>
        <v>46228</v>
      </c>
      <c r="Z440" s="2"/>
      <c r="AA440" s="2"/>
      <c r="AB440" s="2"/>
      <c r="AC440" s="2"/>
      <c r="AD440" s="2"/>
      <c r="AE440" s="2"/>
    </row>
    <row r="441" spans="1:31" ht="12.75" customHeight="1" x14ac:dyDescent="0.25">
      <c r="A441" s="2"/>
      <c r="B441" s="2" t="str">
        <f>'QBO Transactions'!$U443</f>
        <v>Brex Credit Card</v>
      </c>
      <c r="C441" s="3">
        <f>'QBO Transactions'!$S443</f>
        <v>80</v>
      </c>
      <c r="D441" s="2" t="str">
        <f>'QBO Transactions'!$R443</f>
        <v>PKL Boston</v>
      </c>
      <c r="E441" s="2"/>
      <c r="F441" s="3" t="str">
        <f>'QBO Transactions'!$X443</f>
        <v>General &amp; Administrative:G&amp;A- Travel Expenses:Meals &amp; Entertainment</v>
      </c>
      <c r="G441" s="2"/>
      <c r="H441" s="2"/>
      <c r="I441" s="2"/>
      <c r="J441" s="2"/>
      <c r="K441" s="2"/>
      <c r="L441" s="2"/>
      <c r="M441" s="2"/>
      <c r="N441" s="2" t="str">
        <f>'QBO Transactions'!$Y443</f>
        <v>100- Operations:110- G&amp;A</v>
      </c>
      <c r="O441" s="2"/>
      <c r="P441" s="2"/>
      <c r="Q441" s="2" t="str">
        <f>'QBO Transactions'!$T443</f>
        <v>WWW.PLAYPKL.COM MASTERCARD-XXXXXXX4LD73-Mickenzi Krpec</v>
      </c>
      <c r="R441" s="2"/>
      <c r="S441" s="2"/>
      <c r="T441" s="2"/>
      <c r="U441" s="2"/>
      <c r="V441" s="2"/>
      <c r="W441" s="2"/>
      <c r="X441" s="2" t="str">
        <f t="shared" si="6"/>
        <v>WWW.PLAYPKL.COM MASTERCARD-XXXXXXX4LD73-Mickenzi Krpec</v>
      </c>
      <c r="Y441" s="4">
        <f>'QBO Transactions'!$Q443</f>
        <v>46228</v>
      </c>
      <c r="Z441" s="2"/>
      <c r="AA441" s="2"/>
      <c r="AB441" s="2"/>
      <c r="AC441" s="2"/>
      <c r="AD441" s="2"/>
      <c r="AE441" s="2"/>
    </row>
    <row r="442" spans="1:31" ht="12.75" customHeight="1" x14ac:dyDescent="0.25">
      <c r="A442" s="2"/>
      <c r="B442" s="2" t="str">
        <f>'QBO Transactions'!$U444</f>
        <v>Brex Credit Card</v>
      </c>
      <c r="C442" s="3">
        <f>'QBO Transactions'!$S444</f>
        <v>6157.41</v>
      </c>
      <c r="D442" s="2" t="str">
        <f>'QBO Transactions'!$R444</f>
        <v>Food Vendor</v>
      </c>
      <c r="E442" s="2"/>
      <c r="F442" s="3" t="str">
        <f>'QBO Transactions'!$X444</f>
        <v>General &amp; Administrative:G&amp;A- Travel Expenses:Meals &amp; Entertainment</v>
      </c>
      <c r="G442" s="2"/>
      <c r="H442" s="2"/>
      <c r="I442" s="2"/>
      <c r="J442" s="2"/>
      <c r="K442" s="2"/>
      <c r="L442" s="2"/>
      <c r="M442" s="2"/>
      <c r="N442" s="2" t="str">
        <f>'QBO Transactions'!$Y444</f>
        <v>100- Operations:110- G&amp;A</v>
      </c>
      <c r="O442" s="2"/>
      <c r="P442" s="2"/>
      <c r="Q442" s="2" t="str">
        <f>'QBO Transactions'!$T444</f>
        <v>TST*THE DIRTY ITALIAN MASTERCARD-XXXXXXO96PUO-Mickenzi Krpec</v>
      </c>
      <c r="R442" s="2"/>
      <c r="S442" s="2"/>
      <c r="T442" s="2"/>
      <c r="U442" s="2"/>
      <c r="V442" s="2"/>
      <c r="W442" s="2"/>
      <c r="X442" s="2" t="str">
        <f t="shared" si="6"/>
        <v>TST*THE DIRTY ITALIAN MASTERCARD-XXXXXXO96PUO-Mickenzi Krpec</v>
      </c>
      <c r="Y442" s="4">
        <f>'QBO Transactions'!$Q444</f>
        <v>46228</v>
      </c>
      <c r="Z442" s="2"/>
      <c r="AA442" s="2"/>
      <c r="AB442" s="2"/>
      <c r="AC442" s="2"/>
      <c r="AD442" s="2"/>
      <c r="AE442" s="2"/>
    </row>
    <row r="443" spans="1:31" ht="12.75" customHeight="1" x14ac:dyDescent="0.25">
      <c r="A443" s="2"/>
      <c r="B443" s="2" t="str">
        <f>'QBO Transactions'!$U445</f>
        <v>Brex Credit Card</v>
      </c>
      <c r="C443" s="3">
        <f>'QBO Transactions'!$S445</f>
        <v>213.32</v>
      </c>
      <c r="D443" s="2" t="str">
        <f>'QBO Transactions'!$R445</f>
        <v>Hotel Vendor</v>
      </c>
      <c r="E443" s="2"/>
      <c r="F443" s="3" t="str">
        <f>'QBO Transactions'!$X445</f>
        <v>Cost of Goods Sold:COGS- Travel Expenses:Lodging</v>
      </c>
      <c r="G443" s="2"/>
      <c r="H443" s="2"/>
      <c r="I443" s="2"/>
      <c r="J443" s="2"/>
      <c r="K443" s="2"/>
      <c r="L443" s="2"/>
      <c r="M443" s="2"/>
      <c r="N443" s="2" t="str">
        <f>'QBO Transactions'!$Y445</f>
        <v>300- ServiceNow:320- Engineering</v>
      </c>
      <c r="O443" s="2"/>
      <c r="P443" s="2"/>
      <c r="Q443" s="2" t="str">
        <f>'QBO Transactions'!$T445</f>
        <v>BKG*SPRINGHILL SUITES MASTERCARD-XXXXXXKJ29IZ-Rory Siedler</v>
      </c>
      <c r="R443" s="2"/>
      <c r="S443" s="2"/>
      <c r="T443" s="2"/>
      <c r="U443" s="2"/>
      <c r="V443" s="2"/>
      <c r="W443" s="2"/>
      <c r="X443" s="2" t="str">
        <f t="shared" si="6"/>
        <v>BKG*SPRINGHILL SUITES MASTERCARD-XXXXXXKJ29IZ-Rory Siedler</v>
      </c>
      <c r="Y443" s="4">
        <f>'QBO Transactions'!$Q445</f>
        <v>46228</v>
      </c>
      <c r="Z443" s="2"/>
      <c r="AA443" s="2"/>
      <c r="AB443" s="2"/>
      <c r="AC443" s="2"/>
      <c r="AD443" s="2"/>
      <c r="AE443" s="2"/>
    </row>
    <row r="444" spans="1:31" ht="12.75" customHeight="1" x14ac:dyDescent="0.25">
      <c r="A444" s="2"/>
      <c r="B444" s="2" t="str">
        <f>'QBO Transactions'!$U446</f>
        <v>Brex Credit Card</v>
      </c>
      <c r="C444" s="3">
        <f>'QBO Transactions'!$S446</f>
        <v>670.4</v>
      </c>
      <c r="D444" s="2" t="str">
        <f>'QBO Transactions'!$R446</f>
        <v>Delta</v>
      </c>
      <c r="E444" s="2"/>
      <c r="F444" s="3" t="str">
        <f>'QBO Transactions'!$X446</f>
        <v>Cost of Goods Sold:COGS- Travel Expenses:Airfare</v>
      </c>
      <c r="G444" s="2"/>
      <c r="H444" s="2"/>
      <c r="I444" s="2"/>
      <c r="J444" s="2"/>
      <c r="K444" s="2"/>
      <c r="L444" s="2"/>
      <c r="M444" s="2"/>
      <c r="N444" s="2" t="str">
        <f>'QBO Transactions'!$Y446</f>
        <v>300- ServiceNow:320- Engineering</v>
      </c>
      <c r="O444" s="2"/>
      <c r="P444" s="2"/>
      <c r="Q444" s="2" t="str">
        <f>'QBO Transactions'!$T446</f>
        <v>DELTA MASTERCARD-XXXXXXT6IPKL-Rory Siedler</v>
      </c>
      <c r="R444" s="2"/>
      <c r="S444" s="2"/>
      <c r="T444" s="2"/>
      <c r="U444" s="2"/>
      <c r="V444" s="2"/>
      <c r="W444" s="2"/>
      <c r="X444" s="2" t="str">
        <f t="shared" si="6"/>
        <v>DELTA MASTERCARD-XXXXXXT6IPKL-Rory Siedler</v>
      </c>
      <c r="Y444" s="4">
        <f>'QBO Transactions'!$Q446</f>
        <v>46229</v>
      </c>
      <c r="Z444" s="2"/>
      <c r="AA444" s="2"/>
      <c r="AB444" s="2"/>
      <c r="AC444" s="2"/>
      <c r="AD444" s="2"/>
      <c r="AE444" s="2"/>
    </row>
    <row r="445" spans="1:31" ht="12.75" customHeight="1" x14ac:dyDescent="0.25">
      <c r="A445" s="2"/>
      <c r="B445" s="2" t="str">
        <f>'QBO Transactions'!$U447</f>
        <v>Brex Credit Card</v>
      </c>
      <c r="C445" s="3">
        <f>'QBO Transactions'!$S447</f>
        <v>20.97</v>
      </c>
      <c r="D445" s="2" t="str">
        <f>'QBO Transactions'!$R447</f>
        <v>Sweetgreen</v>
      </c>
      <c r="E445" s="2"/>
      <c r="F445" s="3" t="str">
        <f>'QBO Transactions'!$X447</f>
        <v>General &amp; Administrative:G&amp;A- Travel Expenses:Meals &amp; Entertainment</v>
      </c>
      <c r="G445" s="2"/>
      <c r="H445" s="2"/>
      <c r="I445" s="2"/>
      <c r="J445" s="2"/>
      <c r="K445" s="2"/>
      <c r="L445" s="2"/>
      <c r="M445" s="2"/>
      <c r="N445" s="2" t="str">
        <f>'QBO Transactions'!$Y447</f>
        <v>100- Operations:110- G&amp;A</v>
      </c>
      <c r="O445" s="2"/>
      <c r="P445" s="2"/>
      <c r="Q445" s="2" t="str">
        <f>'QBO Transactions'!$T447</f>
        <v>WWW.SWEETGREEN.COM MASTERCARD-XXXXXXHZO00Y-Mickenzi Krpec</v>
      </c>
      <c r="R445" s="2"/>
      <c r="S445" s="2"/>
      <c r="T445" s="2"/>
      <c r="U445" s="2"/>
      <c r="V445" s="2"/>
      <c r="W445" s="2"/>
      <c r="X445" s="2" t="str">
        <f t="shared" si="6"/>
        <v>WWW.SWEETGREEN.COM MASTERCARD-XXXXXXHZO00Y-Mickenzi Krpec</v>
      </c>
      <c r="Y445" s="4">
        <f>'QBO Transactions'!$Q447</f>
        <v>46228</v>
      </c>
      <c r="Z445" s="2"/>
      <c r="AA445" s="2"/>
      <c r="AB445" s="2"/>
      <c r="AC445" s="2"/>
      <c r="AD445" s="2"/>
      <c r="AE445" s="2"/>
    </row>
    <row r="446" spans="1:31" ht="12.75" customHeight="1" x14ac:dyDescent="0.25">
      <c r="A446" s="2"/>
      <c r="B446" s="2" t="str">
        <f>'QBO Transactions'!$U448</f>
        <v>Brex Credit Card</v>
      </c>
      <c r="C446" s="3">
        <f>'QBO Transactions'!$S448</f>
        <v>15.94</v>
      </c>
      <c r="D446" s="2" t="str">
        <f>'QBO Transactions'!$R448</f>
        <v>Office Vendor</v>
      </c>
      <c r="E446" s="2"/>
      <c r="F446" s="3" t="str">
        <f>'QBO Transactions'!$X448</f>
        <v>General &amp; Administrative:Software Licenses</v>
      </c>
      <c r="G446" s="2"/>
      <c r="H446" s="2"/>
      <c r="I446" s="2"/>
      <c r="J446" s="2"/>
      <c r="K446" s="2"/>
      <c r="L446" s="2"/>
      <c r="M446" s="2"/>
      <c r="N446" s="2" t="str">
        <f>'QBO Transactions'!$Y448</f>
        <v>300- ServiceNow:330- Sales</v>
      </c>
      <c r="O446" s="2"/>
      <c r="P446" s="2"/>
      <c r="Q446" s="2" t="str">
        <f>'QBO Transactions'!$T448</f>
        <v>LINKTREE* LINKTREE MASTERCARD-XXXXXXLJ8IIG-Maile Call</v>
      </c>
      <c r="R446" s="2"/>
      <c r="S446" s="2"/>
      <c r="T446" s="2"/>
      <c r="U446" s="2"/>
      <c r="V446" s="2"/>
      <c r="W446" s="2"/>
      <c r="X446" s="2" t="str">
        <f t="shared" si="6"/>
        <v>LINKTREE* LINKTREE MASTERCARD-XXXXXXLJ8IIG-Maile Call</v>
      </c>
      <c r="Y446" s="4">
        <f>'QBO Transactions'!$Q448</f>
        <v>46228</v>
      </c>
      <c r="Z446" s="2"/>
      <c r="AA446" s="2"/>
      <c r="AB446" s="2"/>
      <c r="AC446" s="2"/>
      <c r="AD446" s="2"/>
      <c r="AE446" s="2"/>
    </row>
    <row r="447" spans="1:31" ht="12.75" customHeight="1" x14ac:dyDescent="0.25">
      <c r="A447" s="2"/>
      <c r="B447" s="2" t="str">
        <f>'QBO Transactions'!$U449</f>
        <v>Brex Credit Card</v>
      </c>
      <c r="C447" s="3">
        <f>'QBO Transactions'!$S449</f>
        <v>69.95</v>
      </c>
      <c r="D447" s="2" t="str">
        <f>'QBO Transactions'!$R449</f>
        <v>Office Vendor</v>
      </c>
      <c r="E447" s="2"/>
      <c r="F447" s="3" t="str">
        <f>'QBO Transactions'!$X449</f>
        <v>General &amp; Administrative:Office Expenses:Office Supplies</v>
      </c>
      <c r="G447" s="2"/>
      <c r="H447" s="2"/>
      <c r="I447" s="2"/>
      <c r="J447" s="2"/>
      <c r="K447" s="2"/>
      <c r="L447" s="2"/>
      <c r="M447" s="2"/>
      <c r="N447" s="2" t="str">
        <f>'QBO Transactions'!$Y449</f>
        <v>300- ServiceNow:320- Engineering</v>
      </c>
      <c r="O447" s="2"/>
      <c r="P447" s="2"/>
      <c r="Q447" s="2" t="str">
        <f>'QBO Transactions'!$T449</f>
        <v>AMC 9640 ONLINE MASTERCARD-XXXXXX7BP0TF-Tim Marro</v>
      </c>
      <c r="R447" s="2"/>
      <c r="S447" s="2"/>
      <c r="T447" s="2"/>
      <c r="U447" s="2"/>
      <c r="V447" s="2"/>
      <c r="W447" s="2"/>
      <c r="X447" s="2" t="str">
        <f t="shared" si="6"/>
        <v>AMC 9640 ONLINE MASTERCARD-XXXXXX7BP0TF-Tim Marro</v>
      </c>
      <c r="Y447" s="4">
        <f>'QBO Transactions'!$Q449</f>
        <v>46229</v>
      </c>
      <c r="Z447" s="2"/>
      <c r="AA447" s="2"/>
      <c r="AB447" s="2"/>
      <c r="AC447" s="2"/>
      <c r="AD447" s="2"/>
      <c r="AE447" s="2"/>
    </row>
    <row r="448" spans="1:31" ht="12.75" customHeight="1" x14ac:dyDescent="0.25">
      <c r="A448" s="2"/>
      <c r="B448" s="2" t="str">
        <f>'QBO Transactions'!$U450</f>
        <v>Brex Credit Card</v>
      </c>
      <c r="C448" s="3">
        <f>'QBO Transactions'!$S450</f>
        <v>25.57</v>
      </c>
      <c r="D448" s="2" t="str">
        <f>'QBO Transactions'!$R450</f>
        <v>Target</v>
      </c>
      <c r="E448" s="2"/>
      <c r="F448" s="3" t="str">
        <f>'QBO Transactions'!$X450</f>
        <v>General &amp; Administrative:Office Expenses:Office Supplies</v>
      </c>
      <c r="G448" s="2"/>
      <c r="H448" s="2"/>
      <c r="I448" s="2"/>
      <c r="J448" s="2"/>
      <c r="K448" s="2"/>
      <c r="L448" s="2"/>
      <c r="M448" s="2"/>
      <c r="N448" s="2" t="str">
        <f>'QBO Transactions'!$Y450</f>
        <v>300- ServiceNow:330- Sales</v>
      </c>
      <c r="O448" s="2"/>
      <c r="P448" s="2"/>
      <c r="Q448" s="2" t="str">
        <f>'QBO Transactions'!$T450</f>
        <v>TARGET.COM MASTERCARD-XXXXXXXZYMIL-Brian McGonigal</v>
      </c>
      <c r="R448" s="2"/>
      <c r="S448" s="2"/>
      <c r="T448" s="2"/>
      <c r="U448" s="2"/>
      <c r="V448" s="2"/>
      <c r="W448" s="2"/>
      <c r="X448" s="2" t="str">
        <f t="shared" si="6"/>
        <v>TARGET.COM MASTERCARD-XXXXXXXZYMIL-Brian McGonigal</v>
      </c>
      <c r="Y448" s="4">
        <f>'QBO Transactions'!$Q450</f>
        <v>46228</v>
      </c>
      <c r="Z448" s="2"/>
      <c r="AA448" s="2"/>
      <c r="AB448" s="2"/>
      <c r="AC448" s="2"/>
      <c r="AD448" s="2"/>
      <c r="AE448" s="2"/>
    </row>
    <row r="449" spans="1:31" ht="12.75" customHeight="1" x14ac:dyDescent="0.25">
      <c r="A449" s="2"/>
      <c r="B449" s="2" t="str">
        <f>'QBO Transactions'!$U451</f>
        <v>Brex Credit Card</v>
      </c>
      <c r="C449" s="3">
        <f>'QBO Transactions'!$S451</f>
        <v>13.2</v>
      </c>
      <c r="D449" s="2" t="str">
        <f>'QBO Transactions'!$R451</f>
        <v>Starbucks</v>
      </c>
      <c r="E449" s="2"/>
      <c r="F449" s="3" t="str">
        <f>'QBO Transactions'!$X451</f>
        <v>Sales &amp; Marketing:Sales &amp; Marketing- Travel Expenses:Meals &amp; Entertainment</v>
      </c>
      <c r="G449" s="2"/>
      <c r="H449" s="2"/>
      <c r="I449" s="2"/>
      <c r="J449" s="2"/>
      <c r="K449" s="2"/>
      <c r="L449" s="2"/>
      <c r="M449" s="2"/>
      <c r="N449" s="2" t="str">
        <f>'QBO Transactions'!$Y451</f>
        <v>200- Datadog:230- Sales</v>
      </c>
      <c r="O449" s="2"/>
      <c r="P449" s="2"/>
      <c r="Q449" s="2" t="str">
        <f>'QBO Transactions'!$T451</f>
        <v>STARBUCKS STORE 80448 MASTERCARD-XXXXXXMFV3YY-Jared Kennedy</v>
      </c>
      <c r="R449" s="2"/>
      <c r="S449" s="2"/>
      <c r="T449" s="2"/>
      <c r="U449" s="2"/>
      <c r="V449" s="2"/>
      <c r="W449" s="2"/>
      <c r="X449" s="2" t="str">
        <f t="shared" si="6"/>
        <v>STARBUCKS STORE 80448 MASTERCARD-XXXXXXMFV3YY-Jared Kennedy</v>
      </c>
      <c r="Y449" s="4">
        <f>'QBO Transactions'!$Q451</f>
        <v>46229</v>
      </c>
      <c r="Z449" s="2"/>
      <c r="AA449" s="2"/>
      <c r="AB449" s="2"/>
      <c r="AC449" s="2"/>
      <c r="AD449" s="2"/>
      <c r="AE449" s="2"/>
    </row>
    <row r="450" spans="1:31" ht="12.75" customHeight="1" x14ac:dyDescent="0.25">
      <c r="A450" s="2"/>
      <c r="B450" s="2" t="str">
        <f>'QBO Transactions'!$U452</f>
        <v>Brex Credit Card</v>
      </c>
      <c r="C450" s="3">
        <f>'QBO Transactions'!$S452</f>
        <v>29.21</v>
      </c>
      <c r="D450" s="2" t="str">
        <f>'QBO Transactions'!$R452</f>
        <v>Food Vendor</v>
      </c>
      <c r="E450" s="2"/>
      <c r="F450" s="3" t="str">
        <f>'QBO Transactions'!$X452</f>
        <v>Sales &amp; Marketing:Sales &amp; Marketing- Travel Expenses:Meals &amp; Entertainment</v>
      </c>
      <c r="G450" s="2"/>
      <c r="H450" s="2"/>
      <c r="I450" s="2"/>
      <c r="J450" s="2"/>
      <c r="K450" s="2"/>
      <c r="L450" s="2"/>
      <c r="M450" s="2"/>
      <c r="N450" s="2" t="str">
        <f>'QBO Transactions'!$Y452</f>
        <v>200- Datadog:230- Sales</v>
      </c>
      <c r="O450" s="2"/>
      <c r="P450" s="2"/>
      <c r="Q450" s="2" t="str">
        <f>'QBO Transactions'!$T452</f>
        <v>TST* THE FRIENDLY TOAS MASTERCARD-XXXXXX3EYF65-James Dean</v>
      </c>
      <c r="R450" s="2"/>
      <c r="S450" s="2"/>
      <c r="T450" s="2"/>
      <c r="U450" s="2"/>
      <c r="V450" s="2"/>
      <c r="W450" s="2"/>
      <c r="X450" s="2" t="str">
        <f t="shared" ref="X450:X513" si="7">Q450</f>
        <v>TST* THE FRIENDLY TOAS MASTERCARD-XXXXXX3EYF65-James Dean</v>
      </c>
      <c r="Y450" s="4">
        <f>'QBO Transactions'!$Q452</f>
        <v>46228</v>
      </c>
      <c r="Z450" s="2"/>
      <c r="AA450" s="2"/>
      <c r="AB450" s="2"/>
      <c r="AC450" s="2"/>
      <c r="AD450" s="2"/>
      <c r="AE450" s="2"/>
    </row>
    <row r="451" spans="1:31" ht="12.75" customHeight="1" x14ac:dyDescent="0.25">
      <c r="A451" s="2"/>
      <c r="B451" s="2" t="str">
        <f>'QBO Transactions'!$U453</f>
        <v>Brex Credit Card</v>
      </c>
      <c r="C451" s="3">
        <f>'QBO Transactions'!$S453</f>
        <v>68.849999999999994</v>
      </c>
      <c r="D451" s="2" t="str">
        <f>'QBO Transactions'!$R453</f>
        <v>Food Vendor</v>
      </c>
      <c r="E451" s="2"/>
      <c r="F451" s="3" t="str">
        <f>'QBO Transactions'!$X453</f>
        <v>Sales &amp; Marketing:Sales &amp; Marketing- Travel Expenses:Meals &amp; Entertainment</v>
      </c>
      <c r="G451" s="2"/>
      <c r="H451" s="2"/>
      <c r="I451" s="2"/>
      <c r="J451" s="2"/>
      <c r="K451" s="2"/>
      <c r="L451" s="2"/>
      <c r="M451" s="2"/>
      <c r="N451" s="2" t="str">
        <f>'QBO Transactions'!$Y453</f>
        <v>200- Datadog:230- Sales</v>
      </c>
      <c r="O451" s="2"/>
      <c r="P451" s="2"/>
      <c r="Q451" s="2" t="str">
        <f>'QBO Transactions'!$T453</f>
        <v>SCAMPO MASTERCARD-XXXXXXCTHA7M-Ryan Henrich</v>
      </c>
      <c r="R451" s="2"/>
      <c r="S451" s="2"/>
      <c r="T451" s="2"/>
      <c r="U451" s="2"/>
      <c r="V451" s="2"/>
      <c r="W451" s="2"/>
      <c r="X451" s="2" t="str">
        <f t="shared" si="7"/>
        <v>SCAMPO MASTERCARD-XXXXXXCTHA7M-Ryan Henrich</v>
      </c>
      <c r="Y451" s="4">
        <f>'QBO Transactions'!$Q453</f>
        <v>46228</v>
      </c>
      <c r="Z451" s="2"/>
      <c r="AA451" s="2"/>
      <c r="AB451" s="2"/>
      <c r="AC451" s="2"/>
      <c r="AD451" s="2"/>
      <c r="AE451" s="2"/>
    </row>
    <row r="452" spans="1:31" ht="12.75" customHeight="1" x14ac:dyDescent="0.25">
      <c r="A452" s="2"/>
      <c r="B452" s="2" t="str">
        <f>'QBO Transactions'!$U454</f>
        <v>Brex Credit Card</v>
      </c>
      <c r="C452" s="3">
        <f>'QBO Transactions'!$S454</f>
        <v>14.94</v>
      </c>
      <c r="D452" s="2" t="str">
        <f>'QBO Transactions'!$R454</f>
        <v>Uber</v>
      </c>
      <c r="E452" s="2"/>
      <c r="F452" s="3" t="str">
        <f>'QBO Transactions'!$X454</f>
        <v>Cost of Goods Sold:COGS- Travel Expenses:Ground Transportation</v>
      </c>
      <c r="G452" s="2"/>
      <c r="H452" s="2"/>
      <c r="I452" s="2"/>
      <c r="J452" s="2"/>
      <c r="K452" s="2"/>
      <c r="L452" s="2"/>
      <c r="M452" s="2"/>
      <c r="N452" s="2" t="str">
        <f>'QBO Transactions'!$Y454</f>
        <v>200- Datadog:220- Engineering</v>
      </c>
      <c r="O452" s="2"/>
      <c r="P452" s="2"/>
      <c r="Q452" s="2" t="str">
        <f>'QBO Transactions'!$T454</f>
        <v>UBER   *TRIP MASTERCARD-XXXXXXY8ND1E-Anthony Nguyen</v>
      </c>
      <c r="R452" s="2"/>
      <c r="S452" s="2"/>
      <c r="T452" s="2"/>
      <c r="U452" s="2"/>
      <c r="V452" s="2"/>
      <c r="W452" s="2"/>
      <c r="X452" s="2" t="str">
        <f t="shared" si="7"/>
        <v>UBER   *TRIP MASTERCARD-XXXXXXY8ND1E-Anthony Nguyen</v>
      </c>
      <c r="Y452" s="4">
        <f>'QBO Transactions'!$Q454</f>
        <v>46228</v>
      </c>
      <c r="Z452" s="2"/>
      <c r="AA452" s="2"/>
      <c r="AB452" s="2"/>
      <c r="AC452" s="2"/>
      <c r="AD452" s="2"/>
      <c r="AE452" s="2"/>
    </row>
    <row r="453" spans="1:31" ht="12.75" customHeight="1" x14ac:dyDescent="0.25">
      <c r="A453" s="2"/>
      <c r="B453" s="2" t="str">
        <f>'QBO Transactions'!$U455</f>
        <v>Brex Credit Card</v>
      </c>
      <c r="C453" s="3">
        <f>'QBO Transactions'!$S455</f>
        <v>9.43</v>
      </c>
      <c r="D453" s="2" t="str">
        <f>'QBO Transactions'!$R455</f>
        <v>Star Market</v>
      </c>
      <c r="E453" s="2"/>
      <c r="F453" s="3" t="str">
        <f>'QBO Transactions'!$X455</f>
        <v>Cost of Goods Sold:COGS- Travel Expenses:Meals &amp; Entertainment</v>
      </c>
      <c r="G453" s="2"/>
      <c r="H453" s="2"/>
      <c r="I453" s="2"/>
      <c r="J453" s="2"/>
      <c r="K453" s="2"/>
      <c r="L453" s="2"/>
      <c r="M453" s="2"/>
      <c r="N453" s="2" t="str">
        <f>'QBO Transactions'!$Y455</f>
        <v>200- Datadog:220- Engineering</v>
      </c>
      <c r="O453" s="2"/>
      <c r="P453" s="2"/>
      <c r="Q453" s="2" t="str">
        <f>'QBO Transactions'!$T455</f>
        <v>STAR MARKET 2576 MASTERCARD-XXXXXXQ3O7G4-Anthony Nguyen</v>
      </c>
      <c r="R453" s="2"/>
      <c r="S453" s="2"/>
      <c r="T453" s="2"/>
      <c r="U453" s="2"/>
      <c r="V453" s="2"/>
      <c r="W453" s="2"/>
      <c r="X453" s="2" t="str">
        <f t="shared" si="7"/>
        <v>STAR MARKET 2576 MASTERCARD-XXXXXXQ3O7G4-Anthony Nguyen</v>
      </c>
      <c r="Y453" s="4">
        <f>'QBO Transactions'!$Q455</f>
        <v>46228</v>
      </c>
      <c r="Z453" s="2"/>
      <c r="AA453" s="2"/>
      <c r="AB453" s="2"/>
      <c r="AC453" s="2"/>
      <c r="AD453" s="2"/>
      <c r="AE453" s="2"/>
    </row>
    <row r="454" spans="1:31" ht="12.75" customHeight="1" x14ac:dyDescent="0.25">
      <c r="A454" s="2"/>
      <c r="B454" s="2" t="str">
        <f>'QBO Transactions'!$U456</f>
        <v>Brex Credit Card</v>
      </c>
      <c r="C454" s="3">
        <f>'QBO Transactions'!$S456</f>
        <v>4.8</v>
      </c>
      <c r="D454" s="2" t="str">
        <f>'QBO Transactions'!$R456</f>
        <v>Mbta</v>
      </c>
      <c r="E454" s="2"/>
      <c r="F454" s="3" t="str">
        <f>'QBO Transactions'!$X456</f>
        <v>Cost of Goods Sold:COGS- Travel Expenses:Ground Transportation</v>
      </c>
      <c r="G454" s="2"/>
      <c r="H454" s="2"/>
      <c r="I454" s="2"/>
      <c r="J454" s="2"/>
      <c r="K454" s="2"/>
      <c r="L454" s="2"/>
      <c r="M454" s="2"/>
      <c r="N454" s="2" t="str">
        <f>'QBO Transactions'!$Y456</f>
        <v>200- Datadog:220- Engineering</v>
      </c>
      <c r="O454" s="2"/>
      <c r="P454" s="2"/>
      <c r="Q454" s="2" t="str">
        <f>'QBO Transactions'!$T456</f>
        <v>MBTA COPLEY MASTERCARD-XXXXXXW2K1AJ-Anthony Nguyen</v>
      </c>
      <c r="R454" s="2"/>
      <c r="S454" s="2"/>
      <c r="T454" s="2"/>
      <c r="U454" s="2"/>
      <c r="V454" s="2"/>
      <c r="W454" s="2"/>
      <c r="X454" s="2" t="str">
        <f t="shared" si="7"/>
        <v>MBTA COPLEY MASTERCARD-XXXXXXW2K1AJ-Anthony Nguyen</v>
      </c>
      <c r="Y454" s="4">
        <f>'QBO Transactions'!$Q456</f>
        <v>46228</v>
      </c>
      <c r="Z454" s="2"/>
      <c r="AA454" s="2"/>
      <c r="AB454" s="2"/>
      <c r="AC454" s="2"/>
      <c r="AD454" s="2"/>
      <c r="AE454" s="2"/>
    </row>
    <row r="455" spans="1:31" ht="12.75" customHeight="1" x14ac:dyDescent="0.25">
      <c r="A455" s="2"/>
      <c r="B455" s="2" t="str">
        <f>'QBO Transactions'!$U457</f>
        <v>Brex Credit Card</v>
      </c>
      <c r="C455" s="3">
        <f>'QBO Transactions'!$S457</f>
        <v>15.87</v>
      </c>
      <c r="D455" s="2" t="str">
        <f>'QBO Transactions'!$R457</f>
        <v>Chick-Fil-A</v>
      </c>
      <c r="E455" s="2"/>
      <c r="F455" s="3" t="str">
        <f>'QBO Transactions'!$X457</f>
        <v>Sales &amp; Marketing:Sales &amp; Marketing- Travel Expenses:Meals &amp; Entertainment</v>
      </c>
      <c r="G455" s="2"/>
      <c r="H455" s="2"/>
      <c r="I455" s="2"/>
      <c r="J455" s="2"/>
      <c r="K455" s="2"/>
      <c r="L455" s="2"/>
      <c r="M455" s="2"/>
      <c r="N455" s="2" t="str">
        <f>'QBO Transactions'!$Y457</f>
        <v>200- Datadog:230- Sales</v>
      </c>
      <c r="O455" s="2"/>
      <c r="P455" s="2"/>
      <c r="Q455" s="2" t="str">
        <f>'QBO Transactions'!$T457</f>
        <v>CHICK-FIL-A #04205 MASTERCARD-XXXXXX13X4BK-James Dean</v>
      </c>
      <c r="R455" s="2"/>
      <c r="S455" s="2"/>
      <c r="T455" s="2"/>
      <c r="U455" s="2"/>
      <c r="V455" s="2"/>
      <c r="W455" s="2"/>
      <c r="X455" s="2" t="str">
        <f t="shared" si="7"/>
        <v>CHICK-FIL-A #04205 MASTERCARD-XXXXXX13X4BK-James Dean</v>
      </c>
      <c r="Y455" s="4">
        <f>'QBO Transactions'!$Q457</f>
        <v>46228</v>
      </c>
      <c r="Z455" s="2"/>
      <c r="AA455" s="2"/>
      <c r="AB455" s="2"/>
      <c r="AC455" s="2"/>
      <c r="AD455" s="2"/>
      <c r="AE455" s="2"/>
    </row>
    <row r="456" spans="1:31" ht="12.75" customHeight="1" x14ac:dyDescent="0.25">
      <c r="A456" s="2"/>
      <c r="B456" s="2" t="str">
        <f>'QBO Transactions'!$U458</f>
        <v>Brex Credit Card</v>
      </c>
      <c r="C456" s="3">
        <f>'QBO Transactions'!$S458</f>
        <v>22.3</v>
      </c>
      <c r="D456" s="2" t="str">
        <f>'QBO Transactions'!$R458</f>
        <v>Amazon</v>
      </c>
      <c r="E456" s="2"/>
      <c r="F456" s="3" t="str">
        <f>'QBO Transactions'!$X458</f>
        <v>General &amp; Administrative:Office Expenses:Office Supplies</v>
      </c>
      <c r="G456" s="2"/>
      <c r="H456" s="2"/>
      <c r="I456" s="2"/>
      <c r="J456" s="2"/>
      <c r="K456" s="2"/>
      <c r="L456" s="2"/>
      <c r="M456" s="2"/>
      <c r="N456" s="2" t="str">
        <f>'QBO Transactions'!$Y458</f>
        <v>200- Datadog:220- Engineering</v>
      </c>
      <c r="O456" s="2"/>
      <c r="P456" s="2"/>
      <c r="Q456" s="2" t="str">
        <f>'QBO Transactions'!$T458</f>
        <v>AMAZON MKTPL*1T1RN5UT3 MASTERCARD-XXXXXXC1V5ET-Jeremy Pope</v>
      </c>
      <c r="R456" s="2"/>
      <c r="S456" s="2"/>
      <c r="T456" s="2"/>
      <c r="U456" s="2"/>
      <c r="V456" s="2"/>
      <c r="W456" s="2"/>
      <c r="X456" s="2" t="str">
        <f t="shared" si="7"/>
        <v>AMAZON MKTPL*1T1RN5UT3 MASTERCARD-XXXXXXC1V5ET-Jeremy Pope</v>
      </c>
      <c r="Y456" s="4">
        <f>'QBO Transactions'!$Q458</f>
        <v>46228</v>
      </c>
      <c r="Z456" s="2"/>
      <c r="AA456" s="2"/>
      <c r="AB456" s="2"/>
      <c r="AC456" s="2"/>
      <c r="AD456" s="2"/>
      <c r="AE456" s="2"/>
    </row>
    <row r="457" spans="1:31" ht="12.75" customHeight="1" x14ac:dyDescent="0.25">
      <c r="A457" s="2"/>
      <c r="B457" s="2" t="str">
        <f>'QBO Transactions'!$U459</f>
        <v>Brex Credit Card</v>
      </c>
      <c r="C457" s="3">
        <f>'QBO Transactions'!$S459</f>
        <v>4464.7</v>
      </c>
      <c r="D457" s="2" t="str">
        <f>'QBO Transactions'!$R459</f>
        <v>Food Vendor</v>
      </c>
      <c r="E457" s="2"/>
      <c r="F457" s="3" t="str">
        <f>'QBO Transactions'!$X459</f>
        <v>General &amp; Administrative:G&amp;A- Travel Expenses:Meals &amp; Entertainment</v>
      </c>
      <c r="G457" s="2"/>
      <c r="H457" s="2"/>
      <c r="I457" s="2"/>
      <c r="J457" s="2"/>
      <c r="K457" s="2"/>
      <c r="L457" s="2"/>
      <c r="M457" s="2"/>
      <c r="N457" s="2" t="str">
        <f>'QBO Transactions'!$Y459</f>
        <v>100- Operations:110- G&amp;A</v>
      </c>
      <c r="O457" s="2"/>
      <c r="P457" s="2"/>
      <c r="Q457" s="2" t="str">
        <f>'QBO Transactions'!$T459</f>
        <v>KOWLOON RESTAURANT MASTERCARD-XXXXXX7B42K2-Mickenzi Krpec</v>
      </c>
      <c r="R457" s="2"/>
      <c r="S457" s="2"/>
      <c r="T457" s="2"/>
      <c r="U457" s="2"/>
      <c r="V457" s="2"/>
      <c r="W457" s="2"/>
      <c r="X457" s="2" t="str">
        <f t="shared" si="7"/>
        <v>KOWLOON RESTAURANT MASTERCARD-XXXXXX7B42K2-Mickenzi Krpec</v>
      </c>
      <c r="Y457" s="4">
        <f>'QBO Transactions'!$Q459</f>
        <v>46228</v>
      </c>
      <c r="Z457" s="2"/>
      <c r="AA457" s="2"/>
      <c r="AB457" s="2"/>
      <c r="AC457" s="2"/>
      <c r="AD457" s="2"/>
      <c r="AE457" s="2"/>
    </row>
    <row r="458" spans="1:31" ht="12.75" customHeight="1" x14ac:dyDescent="0.25">
      <c r="A458" s="2"/>
      <c r="B458" s="2" t="str">
        <f>'QBO Transactions'!$U460</f>
        <v>Brex Credit Card</v>
      </c>
      <c r="C458" s="3">
        <f>'QBO Transactions'!$S460</f>
        <v>88.48</v>
      </c>
      <c r="D458" s="2" t="str">
        <f>'QBO Transactions'!$R460</f>
        <v>Food Vendor</v>
      </c>
      <c r="E458" s="2"/>
      <c r="F458" s="3" t="str">
        <f>'QBO Transactions'!$X460</f>
        <v>Sales &amp; Marketing:Sales &amp; Marketing- Travel Expenses:Meals &amp; Entertainment</v>
      </c>
      <c r="G458" s="2"/>
      <c r="H458" s="2"/>
      <c r="I458" s="2"/>
      <c r="J458" s="2"/>
      <c r="K458" s="2"/>
      <c r="L458" s="2"/>
      <c r="M458" s="2"/>
      <c r="N458" s="2" t="str">
        <f>'QBO Transactions'!$Y460</f>
        <v>200- Datadog:230- Sales</v>
      </c>
      <c r="O458" s="2"/>
      <c r="P458" s="2"/>
      <c r="Q458" s="2" t="str">
        <f>'QBO Transactions'!$T460</f>
        <v>BROADSIDE TAVERN MASTERCARD-XXXXXXYX8BZA-Jackson Donahoe</v>
      </c>
      <c r="R458" s="2"/>
      <c r="S458" s="2"/>
      <c r="T458" s="2"/>
      <c r="U458" s="2"/>
      <c r="V458" s="2"/>
      <c r="W458" s="2"/>
      <c r="X458" s="2" t="str">
        <f t="shared" si="7"/>
        <v>BROADSIDE TAVERN MASTERCARD-XXXXXXYX8BZA-Jackson Donahoe</v>
      </c>
      <c r="Y458" s="4">
        <f>'QBO Transactions'!$Q460</f>
        <v>46228</v>
      </c>
      <c r="Z458" s="2"/>
      <c r="AA458" s="2"/>
      <c r="AB458" s="2"/>
      <c r="AC458" s="2"/>
      <c r="AD458" s="2"/>
      <c r="AE458" s="2"/>
    </row>
    <row r="459" spans="1:31" ht="12.75" customHeight="1" x14ac:dyDescent="0.25">
      <c r="A459" s="2"/>
      <c r="B459" s="2" t="str">
        <f>'QBO Transactions'!$U461</f>
        <v>Brex Credit Card</v>
      </c>
      <c r="C459" s="3">
        <f>'QBO Transactions'!$S461</f>
        <v>1527.98</v>
      </c>
      <c r="D459" s="2" t="str">
        <f>'QBO Transactions'!$R461</f>
        <v>The Liberty Hotel</v>
      </c>
      <c r="E459" s="2"/>
      <c r="F459" s="3" t="str">
        <f>'QBO Transactions'!$X461</f>
        <v>Sales &amp; Marketing:Sales &amp; Marketing- Travel Expenses:Lodging</v>
      </c>
      <c r="G459" s="2"/>
      <c r="H459" s="2"/>
      <c r="I459" s="2"/>
      <c r="J459" s="2"/>
      <c r="K459" s="2"/>
      <c r="L459" s="2"/>
      <c r="M459" s="2"/>
      <c r="N459" s="2" t="str">
        <f>'QBO Transactions'!$Y461</f>
        <v>200- Datadog:230- Sales</v>
      </c>
      <c r="O459" s="2"/>
      <c r="P459" s="2"/>
      <c r="Q459" s="2" t="str">
        <f>'QBO Transactions'!$T461</f>
        <v>THE LIBERTY HOTEL MASTERCARD-XXXXXXJO1V8U-Ryan Henrich</v>
      </c>
      <c r="R459" s="2"/>
      <c r="S459" s="2"/>
      <c r="T459" s="2"/>
      <c r="U459" s="2"/>
      <c r="V459" s="2"/>
      <c r="W459" s="2"/>
      <c r="X459" s="2" t="str">
        <f t="shared" si="7"/>
        <v>THE LIBERTY HOTEL MASTERCARD-XXXXXXJO1V8U-Ryan Henrich</v>
      </c>
      <c r="Y459" s="4">
        <f>'QBO Transactions'!$Q461</f>
        <v>46228</v>
      </c>
      <c r="Z459" s="2"/>
      <c r="AA459" s="2"/>
      <c r="AB459" s="2"/>
      <c r="AC459" s="2"/>
      <c r="AD459" s="2"/>
      <c r="AE459" s="2"/>
    </row>
    <row r="460" spans="1:31" ht="12.75" customHeight="1" x14ac:dyDescent="0.25">
      <c r="A460" s="2"/>
      <c r="B460" s="2" t="str">
        <f>'QBO Transactions'!$U462</f>
        <v>Brex Credit Card</v>
      </c>
      <c r="C460" s="3">
        <f>'QBO Transactions'!$S462</f>
        <v>40</v>
      </c>
      <c r="D460" s="2" t="str">
        <f>'QBO Transactions'!$R462</f>
        <v>Southwest Air</v>
      </c>
      <c r="E460" s="2"/>
      <c r="F460" s="3" t="str">
        <f>'QBO Transactions'!$X462</f>
        <v>Sales &amp; Marketing:Sales &amp; Marketing- Travel Expenses:Airfare</v>
      </c>
      <c r="G460" s="2"/>
      <c r="H460" s="2"/>
      <c r="I460" s="2"/>
      <c r="J460" s="2"/>
      <c r="K460" s="2"/>
      <c r="L460" s="2"/>
      <c r="M460" s="2"/>
      <c r="N460" s="2" t="str">
        <f>'QBO Transactions'!$Y462</f>
        <v>300- ServiceNow:330- Sales</v>
      </c>
      <c r="O460" s="2"/>
      <c r="P460" s="2"/>
      <c r="Q460" s="2" t="str">
        <f>'QBO Transactions'!$T462</f>
        <v>SOUTHWES MASTERCARD-XXXXXXEIOZHI-Matthew Morris</v>
      </c>
      <c r="R460" s="2"/>
      <c r="S460" s="2"/>
      <c r="T460" s="2"/>
      <c r="U460" s="2"/>
      <c r="V460" s="2"/>
      <c r="W460" s="2"/>
      <c r="X460" s="2" t="str">
        <f t="shared" si="7"/>
        <v>SOUTHWES MASTERCARD-XXXXXXEIOZHI-Matthew Morris</v>
      </c>
      <c r="Y460" s="4">
        <f>'QBO Transactions'!$Q462</f>
        <v>46228</v>
      </c>
      <c r="Z460" s="2"/>
      <c r="AA460" s="2"/>
      <c r="AB460" s="2"/>
      <c r="AC460" s="2"/>
      <c r="AD460" s="2"/>
      <c r="AE460" s="2"/>
    </row>
    <row r="461" spans="1:31" ht="12.75" customHeight="1" x14ac:dyDescent="0.25">
      <c r="A461" s="2"/>
      <c r="B461" s="2" t="str">
        <f>'QBO Transactions'!$U463</f>
        <v>Brex Credit Card</v>
      </c>
      <c r="C461" s="3">
        <f>'QBO Transactions'!$S463</f>
        <v>40</v>
      </c>
      <c r="D461" s="2" t="str">
        <f>'QBO Transactions'!$R463</f>
        <v>Southwest Air</v>
      </c>
      <c r="E461" s="2"/>
      <c r="F461" s="3" t="str">
        <f>'QBO Transactions'!$X463</f>
        <v>Sales &amp; Marketing:Sales &amp; Marketing- Travel Expenses:Airfare</v>
      </c>
      <c r="G461" s="2"/>
      <c r="H461" s="2"/>
      <c r="I461" s="2"/>
      <c r="J461" s="2"/>
      <c r="K461" s="2"/>
      <c r="L461" s="2"/>
      <c r="M461" s="2"/>
      <c r="N461" s="2" t="str">
        <f>'QBO Transactions'!$Y463</f>
        <v>300- ServiceNow:330- Sales</v>
      </c>
      <c r="O461" s="2"/>
      <c r="P461" s="2"/>
      <c r="Q461" s="2" t="str">
        <f>'QBO Transactions'!$T463</f>
        <v>SOUTHWES MASTERCARD-XXXXXXHTW44U-Matthew Morris</v>
      </c>
      <c r="R461" s="2"/>
      <c r="S461" s="2"/>
      <c r="T461" s="2"/>
      <c r="U461" s="2"/>
      <c r="V461" s="2"/>
      <c r="W461" s="2"/>
      <c r="X461" s="2" t="str">
        <f t="shared" si="7"/>
        <v>SOUTHWES MASTERCARD-XXXXXXHTW44U-Matthew Morris</v>
      </c>
      <c r="Y461" s="4">
        <f>'QBO Transactions'!$Q463</f>
        <v>46228</v>
      </c>
      <c r="Z461" s="2"/>
      <c r="AA461" s="2"/>
      <c r="AB461" s="2"/>
      <c r="AC461" s="2"/>
      <c r="AD461" s="2"/>
      <c r="AE461" s="2"/>
    </row>
    <row r="462" spans="1:31" ht="12.75" customHeight="1" x14ac:dyDescent="0.25">
      <c r="A462" s="2"/>
      <c r="B462" s="2" t="str">
        <f>'QBO Transactions'!$U464</f>
        <v>Brex Credit Card</v>
      </c>
      <c r="C462" s="3">
        <f>'QBO Transactions'!$S464</f>
        <v>421.6</v>
      </c>
      <c r="D462" s="2" t="str">
        <f>'QBO Transactions'!$R464</f>
        <v>Southwest Air</v>
      </c>
      <c r="E462" s="2"/>
      <c r="F462" s="3" t="str">
        <f>'QBO Transactions'!$X464</f>
        <v>Sales &amp; Marketing:Sales &amp; Marketing- Travel Expenses:Airfare</v>
      </c>
      <c r="G462" s="2"/>
      <c r="H462" s="2"/>
      <c r="I462" s="2"/>
      <c r="J462" s="2"/>
      <c r="K462" s="2"/>
      <c r="L462" s="2"/>
      <c r="M462" s="2"/>
      <c r="N462" s="2" t="str">
        <f>'QBO Transactions'!$Y464</f>
        <v>300- ServiceNow:330- Sales</v>
      </c>
      <c r="O462" s="2"/>
      <c r="P462" s="2"/>
      <c r="Q462" s="2" t="str">
        <f>'QBO Transactions'!$T464</f>
        <v>SOUTHWES MASTERCARD-XXXXXX61JKF2-Matthew Morris</v>
      </c>
      <c r="R462" s="2"/>
      <c r="S462" s="2"/>
      <c r="T462" s="2"/>
      <c r="U462" s="2"/>
      <c r="V462" s="2"/>
      <c r="W462" s="2"/>
      <c r="X462" s="2" t="str">
        <f t="shared" si="7"/>
        <v>SOUTHWES MASTERCARD-XXXXXX61JKF2-Matthew Morris</v>
      </c>
      <c r="Y462" s="4">
        <f>'QBO Transactions'!$Q464</f>
        <v>46228</v>
      </c>
      <c r="Z462" s="2"/>
      <c r="AA462" s="2"/>
      <c r="AB462" s="2"/>
      <c r="AC462" s="2"/>
      <c r="AD462" s="2"/>
      <c r="AE462" s="2"/>
    </row>
    <row r="463" spans="1:31" ht="12.75" customHeight="1" x14ac:dyDescent="0.25">
      <c r="A463" s="2"/>
      <c r="B463" s="2" t="str">
        <f>'QBO Transactions'!$U465</f>
        <v>Brex Credit Card</v>
      </c>
      <c r="C463" s="3">
        <f>'QBO Transactions'!$S465</f>
        <v>31</v>
      </c>
      <c r="D463" s="2" t="str">
        <f>'QBO Transactions'!$R465</f>
        <v>Southwest Air</v>
      </c>
      <c r="E463" s="2"/>
      <c r="F463" s="3" t="str">
        <f>'QBO Transactions'!$X465</f>
        <v>Sales &amp; Marketing:Sales &amp; Marketing- Travel Expenses:Airfare</v>
      </c>
      <c r="G463" s="2"/>
      <c r="H463" s="2"/>
      <c r="I463" s="2"/>
      <c r="J463" s="2"/>
      <c r="K463" s="2"/>
      <c r="L463" s="2"/>
      <c r="M463" s="2"/>
      <c r="N463" s="2" t="str">
        <f>'QBO Transactions'!$Y465</f>
        <v>300- ServiceNow:330- Sales</v>
      </c>
      <c r="O463" s="2"/>
      <c r="P463" s="2"/>
      <c r="Q463" s="2" t="str">
        <f>'QBO Transactions'!$T465</f>
        <v>SOUTHWES MASTERCARD-XXXXXXGTJQR2-Matthew Morris</v>
      </c>
      <c r="R463" s="2"/>
      <c r="S463" s="2"/>
      <c r="T463" s="2"/>
      <c r="U463" s="2"/>
      <c r="V463" s="2"/>
      <c r="W463" s="2"/>
      <c r="X463" s="2" t="str">
        <f t="shared" si="7"/>
        <v>SOUTHWES MASTERCARD-XXXXXXGTJQR2-Matthew Morris</v>
      </c>
      <c r="Y463" s="4">
        <f>'QBO Transactions'!$Q465</f>
        <v>46228</v>
      </c>
      <c r="Z463" s="2"/>
      <c r="AA463" s="2"/>
      <c r="AB463" s="2"/>
      <c r="AC463" s="2"/>
      <c r="AD463" s="2"/>
      <c r="AE463" s="2"/>
    </row>
    <row r="464" spans="1:31" ht="12.75" customHeight="1" x14ac:dyDescent="0.25">
      <c r="A464" s="2"/>
      <c r="B464" s="2" t="str">
        <f>'QBO Transactions'!$U466</f>
        <v>Brex Credit Card</v>
      </c>
      <c r="C464" s="3">
        <f>'QBO Transactions'!$S466</f>
        <v>137.35</v>
      </c>
      <c r="D464" s="2" t="str">
        <f>'QBO Transactions'!$R466</f>
        <v>Hotel Vendor</v>
      </c>
      <c r="E464" s="2"/>
      <c r="F464" s="3" t="str">
        <f>'QBO Transactions'!$X466</f>
        <v>Sales &amp; Marketing:Sales &amp; Marketing- Travel Expenses:Lodging</v>
      </c>
      <c r="G464" s="2"/>
      <c r="H464" s="2"/>
      <c r="I464" s="2"/>
      <c r="J464" s="2"/>
      <c r="K464" s="2"/>
      <c r="L464" s="2"/>
      <c r="M464" s="2"/>
      <c r="N464" s="2" t="str">
        <f>'QBO Transactions'!$Y466</f>
        <v>200- Datadog:230- Sales</v>
      </c>
      <c r="O464" s="2"/>
      <c r="P464" s="2"/>
      <c r="Q464" s="2" t="str">
        <f>'QBO Transactions'!$T466</f>
        <v>THE ENVOY HOTEL FB MASTERCARD-XXXXXX9W0CUX-Colin Galanaugh</v>
      </c>
      <c r="R464" s="2"/>
      <c r="S464" s="2"/>
      <c r="T464" s="2"/>
      <c r="U464" s="2"/>
      <c r="V464" s="2"/>
      <c r="W464" s="2"/>
      <c r="X464" s="2" t="str">
        <f t="shared" si="7"/>
        <v>THE ENVOY HOTEL FB MASTERCARD-XXXXXX9W0CUX-Colin Galanaugh</v>
      </c>
      <c r="Y464" s="4">
        <f>'QBO Transactions'!$Q466</f>
        <v>46228</v>
      </c>
      <c r="Z464" s="2"/>
      <c r="AA464" s="2"/>
      <c r="AB464" s="2"/>
      <c r="AC464" s="2"/>
      <c r="AD464" s="2"/>
      <c r="AE464" s="2"/>
    </row>
    <row r="465" spans="1:31" ht="12.75" customHeight="1" x14ac:dyDescent="0.25">
      <c r="A465" s="2"/>
      <c r="B465" s="2" t="str">
        <f>'QBO Transactions'!$U467</f>
        <v>Brex Credit Card</v>
      </c>
      <c r="C465" s="3">
        <f>'QBO Transactions'!$S467</f>
        <v>48.2</v>
      </c>
      <c r="D465" s="2" t="str">
        <f>'QBO Transactions'!$R467</f>
        <v>Amazon</v>
      </c>
      <c r="E465" s="2"/>
      <c r="F465" s="3" t="str">
        <f>'QBO Transactions'!$X467</f>
        <v>General &amp; Administrative:Office Expenses:Office Supplies</v>
      </c>
      <c r="G465" s="2"/>
      <c r="H465" s="2"/>
      <c r="I465" s="2"/>
      <c r="J465" s="2"/>
      <c r="K465" s="2"/>
      <c r="L465" s="2"/>
      <c r="M465" s="2"/>
      <c r="N465" s="2" t="str">
        <f>'QBO Transactions'!$Y467</f>
        <v>200- Datadog:220- Engineering</v>
      </c>
      <c r="O465" s="2"/>
      <c r="P465" s="2"/>
      <c r="Q465" s="2" t="str">
        <f>'QBO Transactions'!$T467</f>
        <v>AMAZON MKTPL*6W7JQ0RA3 MASTERCARD-XXXXXXMBVWNZ-Jeremy Pope</v>
      </c>
      <c r="R465" s="2"/>
      <c r="S465" s="2"/>
      <c r="T465" s="2"/>
      <c r="U465" s="2"/>
      <c r="V465" s="2"/>
      <c r="W465" s="2"/>
      <c r="X465" s="2" t="str">
        <f t="shared" si="7"/>
        <v>AMAZON MKTPL*6W7JQ0RA3 MASTERCARD-XXXXXXMBVWNZ-Jeremy Pope</v>
      </c>
      <c r="Y465" s="4">
        <f>'QBO Transactions'!$Q467</f>
        <v>46230</v>
      </c>
      <c r="Z465" s="2"/>
      <c r="AA465" s="2"/>
      <c r="AB465" s="2"/>
      <c r="AC465" s="2"/>
      <c r="AD465" s="2"/>
      <c r="AE465" s="2"/>
    </row>
    <row r="466" spans="1:31" ht="12.75" customHeight="1" x14ac:dyDescent="0.25">
      <c r="A466" s="2"/>
      <c r="B466" s="2" t="str">
        <f>'QBO Transactions'!$U468</f>
        <v>Brex Credit Card</v>
      </c>
      <c r="C466" s="3">
        <f>'QBO Transactions'!$S468</f>
        <v>447.69</v>
      </c>
      <c r="D466" s="2" t="str">
        <f>'QBO Transactions'!$R468</f>
        <v>Hertz</v>
      </c>
      <c r="E466" s="2"/>
      <c r="F466" s="3" t="str">
        <f>'QBO Transactions'!$X468</f>
        <v>Sales &amp; Marketing:Sales &amp; Marketing- Travel Expenses:Ground Transportation</v>
      </c>
      <c r="G466" s="2"/>
      <c r="H466" s="2"/>
      <c r="I466" s="2"/>
      <c r="J466" s="2"/>
      <c r="K466" s="2"/>
      <c r="L466" s="2"/>
      <c r="M466" s="2"/>
      <c r="N466" s="2" t="str">
        <f>'QBO Transactions'!$Y468</f>
        <v>300- ServiceNow:330- Sales</v>
      </c>
      <c r="O466" s="2"/>
      <c r="P466" s="2"/>
      <c r="Q466" s="2" t="str">
        <f>'QBO Transactions'!$T468</f>
        <v>HERTZ CAR RENTAL MASTERCARD-XXXXXXKJXL35-Gary Passaglia</v>
      </c>
      <c r="R466" s="2"/>
      <c r="S466" s="2"/>
      <c r="T466" s="2"/>
      <c r="U466" s="2"/>
      <c r="V466" s="2"/>
      <c r="W466" s="2"/>
      <c r="X466" s="2" t="str">
        <f t="shared" si="7"/>
        <v>HERTZ CAR RENTAL MASTERCARD-XXXXXXKJXL35-Gary Passaglia</v>
      </c>
      <c r="Y466" s="4">
        <f>'QBO Transactions'!$Q468</f>
        <v>46230</v>
      </c>
      <c r="Z466" s="2"/>
      <c r="AA466" s="2"/>
      <c r="AB466" s="2"/>
      <c r="AC466" s="2"/>
      <c r="AD466" s="2"/>
      <c r="AE466" s="2"/>
    </row>
    <row r="467" spans="1:31" ht="12.75" customHeight="1" x14ac:dyDescent="0.25">
      <c r="A467" s="2"/>
      <c r="B467" s="2" t="str">
        <f>'QBO Transactions'!$U469</f>
        <v/>
      </c>
      <c r="C467" s="3" t="str">
        <f>'QBO Transactions'!$S469</f>
        <v/>
      </c>
      <c r="D467" s="2" t="str">
        <f>'QBO Transactions'!$R469</f>
        <v/>
      </c>
      <c r="E467" s="2"/>
      <c r="F467" s="3" t="str">
        <f>'QBO Transactions'!$X469</f>
        <v/>
      </c>
      <c r="G467" s="2"/>
      <c r="H467" s="2"/>
      <c r="I467" s="2"/>
      <c r="J467" s="2"/>
      <c r="K467" s="2"/>
      <c r="L467" s="2"/>
      <c r="M467" s="2"/>
      <c r="N467" s="2" t="str">
        <f>'QBO Transactions'!$Y469</f>
        <v/>
      </c>
      <c r="O467" s="2"/>
      <c r="P467" s="2"/>
      <c r="Q467" s="2" t="str">
        <f>'QBO Transactions'!$T469</f>
        <v/>
      </c>
      <c r="R467" s="2"/>
      <c r="S467" s="2"/>
      <c r="T467" s="2"/>
      <c r="U467" s="2"/>
      <c r="V467" s="2"/>
      <c r="W467" s="2"/>
      <c r="X467" s="2" t="str">
        <f t="shared" si="7"/>
        <v/>
      </c>
      <c r="Y467" s="4" t="str">
        <f>'QBO Transactions'!$Q469</f>
        <v/>
      </c>
      <c r="Z467" s="2"/>
      <c r="AA467" s="2"/>
      <c r="AB467" s="2"/>
      <c r="AC467" s="2"/>
      <c r="AD467" s="2"/>
      <c r="AE467" s="2"/>
    </row>
    <row r="468" spans="1:31" ht="12.75" customHeight="1" x14ac:dyDescent="0.25">
      <c r="A468" s="2"/>
      <c r="B468" s="2" t="str">
        <f>'QBO Transactions'!$U470</f>
        <v/>
      </c>
      <c r="C468" s="3" t="str">
        <f>'QBO Transactions'!$S470</f>
        <v/>
      </c>
      <c r="D468" s="2" t="str">
        <f>'QBO Transactions'!$R470</f>
        <v/>
      </c>
      <c r="E468" s="2"/>
      <c r="F468" s="3" t="str">
        <f>'QBO Transactions'!$X470</f>
        <v/>
      </c>
      <c r="G468" s="2"/>
      <c r="H468" s="2"/>
      <c r="I468" s="2"/>
      <c r="J468" s="2"/>
      <c r="K468" s="2"/>
      <c r="L468" s="2"/>
      <c r="M468" s="2"/>
      <c r="N468" s="2" t="str">
        <f>'QBO Transactions'!$Y470</f>
        <v/>
      </c>
      <c r="O468" s="2"/>
      <c r="P468" s="2"/>
      <c r="Q468" s="2" t="str">
        <f>'QBO Transactions'!$T470</f>
        <v/>
      </c>
      <c r="R468" s="2"/>
      <c r="S468" s="2"/>
      <c r="T468" s="2"/>
      <c r="U468" s="2"/>
      <c r="V468" s="2"/>
      <c r="W468" s="2"/>
      <c r="X468" s="2" t="str">
        <f t="shared" si="7"/>
        <v/>
      </c>
      <c r="Y468" s="4" t="str">
        <f>'QBO Transactions'!$Q470</f>
        <v/>
      </c>
      <c r="Z468" s="2"/>
      <c r="AA468" s="2"/>
      <c r="AB468" s="2"/>
      <c r="AC468" s="2"/>
      <c r="AD468" s="2"/>
      <c r="AE468" s="2"/>
    </row>
    <row r="469" spans="1:31" ht="12.75" customHeight="1" x14ac:dyDescent="0.25">
      <c r="A469" s="2"/>
      <c r="B469" s="2" t="str">
        <f>'QBO Transactions'!$U471</f>
        <v/>
      </c>
      <c r="C469" s="3" t="str">
        <f>'QBO Transactions'!$S471</f>
        <v/>
      </c>
      <c r="D469" s="2" t="str">
        <f>'QBO Transactions'!$R471</f>
        <v/>
      </c>
      <c r="E469" s="2"/>
      <c r="F469" s="3" t="str">
        <f>'QBO Transactions'!$X471</f>
        <v/>
      </c>
      <c r="G469" s="2"/>
      <c r="H469" s="2"/>
      <c r="I469" s="2"/>
      <c r="J469" s="2"/>
      <c r="K469" s="2"/>
      <c r="L469" s="2"/>
      <c r="M469" s="2"/>
      <c r="N469" s="2" t="str">
        <f>'QBO Transactions'!$Y471</f>
        <v/>
      </c>
      <c r="O469" s="2"/>
      <c r="P469" s="2"/>
      <c r="Q469" s="2" t="str">
        <f>'QBO Transactions'!$T471</f>
        <v/>
      </c>
      <c r="R469" s="2"/>
      <c r="S469" s="2"/>
      <c r="T469" s="2"/>
      <c r="U469" s="2"/>
      <c r="V469" s="2"/>
      <c r="W469" s="2"/>
      <c r="X469" s="2" t="str">
        <f t="shared" si="7"/>
        <v/>
      </c>
      <c r="Y469" s="4" t="str">
        <f>'QBO Transactions'!$Q471</f>
        <v/>
      </c>
      <c r="Z469" s="2"/>
      <c r="AA469" s="2"/>
      <c r="AB469" s="2"/>
      <c r="AC469" s="2"/>
      <c r="AD469" s="2"/>
      <c r="AE469" s="2"/>
    </row>
    <row r="470" spans="1:31" ht="12.75" customHeight="1" x14ac:dyDescent="0.25">
      <c r="A470" s="2"/>
      <c r="B470" s="2" t="str">
        <f>'QBO Transactions'!$U472</f>
        <v/>
      </c>
      <c r="C470" s="3" t="str">
        <f>'QBO Transactions'!$S472</f>
        <v/>
      </c>
      <c r="D470" s="2" t="str">
        <f>'QBO Transactions'!$R472</f>
        <v/>
      </c>
      <c r="E470" s="2"/>
      <c r="F470" s="3" t="str">
        <f>'QBO Transactions'!$X472</f>
        <v/>
      </c>
      <c r="G470" s="2"/>
      <c r="H470" s="2"/>
      <c r="I470" s="2"/>
      <c r="J470" s="2"/>
      <c r="K470" s="2"/>
      <c r="L470" s="2"/>
      <c r="M470" s="2"/>
      <c r="N470" s="2" t="str">
        <f>'QBO Transactions'!$Y472</f>
        <v/>
      </c>
      <c r="O470" s="2"/>
      <c r="P470" s="2"/>
      <c r="Q470" s="2" t="str">
        <f>'QBO Transactions'!$T472</f>
        <v/>
      </c>
      <c r="R470" s="2"/>
      <c r="S470" s="2"/>
      <c r="T470" s="2"/>
      <c r="U470" s="2"/>
      <c r="V470" s="2"/>
      <c r="W470" s="2"/>
      <c r="X470" s="2" t="str">
        <f t="shared" si="7"/>
        <v/>
      </c>
      <c r="Y470" s="4" t="str">
        <f>'QBO Transactions'!$Q472</f>
        <v/>
      </c>
      <c r="Z470" s="2"/>
      <c r="AA470" s="2"/>
      <c r="AB470" s="2"/>
      <c r="AC470" s="2"/>
      <c r="AD470" s="2"/>
      <c r="AE470" s="2"/>
    </row>
    <row r="471" spans="1:31" ht="12.75" customHeight="1" x14ac:dyDescent="0.25">
      <c r="A471" s="2"/>
      <c r="B471" s="2" t="str">
        <f>'QBO Transactions'!$U473</f>
        <v/>
      </c>
      <c r="C471" s="3" t="str">
        <f>'QBO Transactions'!$S473</f>
        <v/>
      </c>
      <c r="D471" s="2" t="str">
        <f>'QBO Transactions'!$R473</f>
        <v/>
      </c>
      <c r="E471" s="2"/>
      <c r="F471" s="3" t="str">
        <f>'QBO Transactions'!$X473</f>
        <v/>
      </c>
      <c r="G471" s="2"/>
      <c r="H471" s="2"/>
      <c r="I471" s="2"/>
      <c r="J471" s="2"/>
      <c r="K471" s="2"/>
      <c r="L471" s="2"/>
      <c r="M471" s="2"/>
      <c r="N471" s="2" t="str">
        <f>'QBO Transactions'!$Y473</f>
        <v/>
      </c>
      <c r="O471" s="2"/>
      <c r="P471" s="2"/>
      <c r="Q471" s="2" t="str">
        <f>'QBO Transactions'!$T473</f>
        <v/>
      </c>
      <c r="R471" s="2"/>
      <c r="S471" s="2"/>
      <c r="T471" s="2"/>
      <c r="U471" s="2"/>
      <c r="V471" s="2"/>
      <c r="W471" s="2"/>
      <c r="X471" s="2" t="str">
        <f t="shared" si="7"/>
        <v/>
      </c>
      <c r="Y471" s="4" t="str">
        <f>'QBO Transactions'!$Q473</f>
        <v/>
      </c>
      <c r="Z471" s="2"/>
      <c r="AA471" s="2"/>
      <c r="AB471" s="2"/>
      <c r="AC471" s="2"/>
      <c r="AD471" s="2"/>
      <c r="AE471" s="2"/>
    </row>
    <row r="472" spans="1:31" ht="12.75" customHeight="1" x14ac:dyDescent="0.25">
      <c r="A472" s="2"/>
      <c r="B472" s="2" t="str">
        <f>'QBO Transactions'!$U474</f>
        <v/>
      </c>
      <c r="C472" s="3" t="str">
        <f>'QBO Transactions'!$S474</f>
        <v/>
      </c>
      <c r="D472" s="2" t="str">
        <f>'QBO Transactions'!$R474</f>
        <v/>
      </c>
      <c r="E472" s="2"/>
      <c r="F472" s="3" t="str">
        <f>'QBO Transactions'!$X474</f>
        <v/>
      </c>
      <c r="G472" s="2"/>
      <c r="H472" s="2"/>
      <c r="I472" s="2"/>
      <c r="J472" s="2"/>
      <c r="K472" s="2"/>
      <c r="L472" s="2"/>
      <c r="M472" s="2"/>
      <c r="N472" s="2" t="str">
        <f>'QBO Transactions'!$Y474</f>
        <v/>
      </c>
      <c r="O472" s="2"/>
      <c r="P472" s="2"/>
      <c r="Q472" s="2" t="str">
        <f>'QBO Transactions'!$T474</f>
        <v/>
      </c>
      <c r="R472" s="2"/>
      <c r="S472" s="2"/>
      <c r="T472" s="2"/>
      <c r="U472" s="2"/>
      <c r="V472" s="2"/>
      <c r="W472" s="2"/>
      <c r="X472" s="2" t="str">
        <f t="shared" si="7"/>
        <v/>
      </c>
      <c r="Y472" s="4" t="str">
        <f>'QBO Transactions'!$Q474</f>
        <v/>
      </c>
      <c r="Z472" s="2"/>
      <c r="AA472" s="2"/>
      <c r="AB472" s="2"/>
      <c r="AC472" s="2"/>
      <c r="AD472" s="2"/>
      <c r="AE472" s="2"/>
    </row>
    <row r="473" spans="1:31" ht="12.75" customHeight="1" x14ac:dyDescent="0.25">
      <c r="A473" s="2"/>
      <c r="B473" s="2" t="str">
        <f>'QBO Transactions'!$U475</f>
        <v/>
      </c>
      <c r="C473" s="3" t="str">
        <f>'QBO Transactions'!$S475</f>
        <v/>
      </c>
      <c r="D473" s="2" t="str">
        <f>'QBO Transactions'!$R475</f>
        <v/>
      </c>
      <c r="E473" s="2"/>
      <c r="F473" s="3" t="str">
        <f>'QBO Transactions'!$X475</f>
        <v/>
      </c>
      <c r="G473" s="2"/>
      <c r="H473" s="2"/>
      <c r="I473" s="2"/>
      <c r="J473" s="2"/>
      <c r="K473" s="2"/>
      <c r="L473" s="2"/>
      <c r="M473" s="2"/>
      <c r="N473" s="2" t="str">
        <f>'QBO Transactions'!$Y475</f>
        <v/>
      </c>
      <c r="O473" s="2"/>
      <c r="P473" s="2"/>
      <c r="Q473" s="2" t="str">
        <f>'QBO Transactions'!$T475</f>
        <v/>
      </c>
      <c r="R473" s="2"/>
      <c r="S473" s="2"/>
      <c r="T473" s="2"/>
      <c r="U473" s="2"/>
      <c r="V473" s="2"/>
      <c r="W473" s="2"/>
      <c r="X473" s="2" t="str">
        <f t="shared" si="7"/>
        <v/>
      </c>
      <c r="Y473" s="4" t="str">
        <f>'QBO Transactions'!$Q475</f>
        <v/>
      </c>
      <c r="Z473" s="2"/>
      <c r="AA473" s="2"/>
      <c r="AB473" s="2"/>
      <c r="AC473" s="2"/>
      <c r="AD473" s="2"/>
      <c r="AE473" s="2"/>
    </row>
    <row r="474" spans="1:31" ht="12.75" customHeight="1" x14ac:dyDescent="0.25">
      <c r="A474" s="2"/>
      <c r="B474" s="2" t="str">
        <f>'QBO Transactions'!$U476</f>
        <v/>
      </c>
      <c r="C474" s="3" t="str">
        <f>'QBO Transactions'!$S476</f>
        <v/>
      </c>
      <c r="D474" s="2" t="str">
        <f>'QBO Transactions'!$R476</f>
        <v/>
      </c>
      <c r="E474" s="2"/>
      <c r="F474" s="3" t="str">
        <f>'QBO Transactions'!$X476</f>
        <v/>
      </c>
      <c r="G474" s="2"/>
      <c r="H474" s="2"/>
      <c r="I474" s="2"/>
      <c r="J474" s="2"/>
      <c r="K474" s="2"/>
      <c r="L474" s="2"/>
      <c r="M474" s="2"/>
      <c r="N474" s="2" t="str">
        <f>'QBO Transactions'!$Y476</f>
        <v/>
      </c>
      <c r="O474" s="2"/>
      <c r="P474" s="2"/>
      <c r="Q474" s="2" t="str">
        <f>'QBO Transactions'!$T476</f>
        <v/>
      </c>
      <c r="R474" s="2"/>
      <c r="S474" s="2"/>
      <c r="T474" s="2"/>
      <c r="U474" s="2"/>
      <c r="V474" s="2"/>
      <c r="W474" s="2"/>
      <c r="X474" s="2" t="str">
        <f t="shared" si="7"/>
        <v/>
      </c>
      <c r="Y474" s="4" t="str">
        <f>'QBO Transactions'!$Q476</f>
        <v/>
      </c>
      <c r="Z474" s="2"/>
      <c r="AA474" s="2"/>
      <c r="AB474" s="2"/>
      <c r="AC474" s="2"/>
      <c r="AD474" s="2"/>
      <c r="AE474" s="2"/>
    </row>
    <row r="475" spans="1:31" ht="12.75" customHeight="1" x14ac:dyDescent="0.25">
      <c r="A475" s="2"/>
      <c r="B475" s="2" t="str">
        <f>'QBO Transactions'!$U477</f>
        <v/>
      </c>
      <c r="C475" s="3" t="str">
        <f>'QBO Transactions'!$S477</f>
        <v/>
      </c>
      <c r="D475" s="2" t="str">
        <f>'QBO Transactions'!$R477</f>
        <v/>
      </c>
      <c r="E475" s="2"/>
      <c r="F475" s="3" t="str">
        <f>'QBO Transactions'!$X477</f>
        <v/>
      </c>
      <c r="G475" s="2"/>
      <c r="H475" s="2"/>
      <c r="I475" s="2"/>
      <c r="J475" s="2"/>
      <c r="K475" s="2"/>
      <c r="L475" s="2"/>
      <c r="M475" s="2"/>
      <c r="N475" s="2" t="str">
        <f>'QBO Transactions'!$Y477</f>
        <v/>
      </c>
      <c r="O475" s="2"/>
      <c r="P475" s="2"/>
      <c r="Q475" s="2" t="str">
        <f>'QBO Transactions'!$T477</f>
        <v/>
      </c>
      <c r="R475" s="2"/>
      <c r="S475" s="2"/>
      <c r="T475" s="2"/>
      <c r="U475" s="2"/>
      <c r="V475" s="2"/>
      <c r="W475" s="2"/>
      <c r="X475" s="2" t="str">
        <f t="shared" si="7"/>
        <v/>
      </c>
      <c r="Y475" s="4" t="str">
        <f>'QBO Transactions'!$Q477</f>
        <v/>
      </c>
      <c r="Z475" s="2"/>
      <c r="AA475" s="2"/>
      <c r="AB475" s="2"/>
      <c r="AC475" s="2"/>
      <c r="AD475" s="2"/>
      <c r="AE475" s="2"/>
    </row>
    <row r="476" spans="1:31" ht="12.75" customHeight="1" x14ac:dyDescent="0.25">
      <c r="A476" s="2"/>
      <c r="B476" s="2" t="str">
        <f>'QBO Transactions'!$U478</f>
        <v/>
      </c>
      <c r="C476" s="3" t="str">
        <f>'QBO Transactions'!$S478</f>
        <v/>
      </c>
      <c r="D476" s="2" t="str">
        <f>'QBO Transactions'!$R478</f>
        <v/>
      </c>
      <c r="E476" s="2"/>
      <c r="F476" s="3" t="str">
        <f>'QBO Transactions'!$X478</f>
        <v/>
      </c>
      <c r="G476" s="2"/>
      <c r="H476" s="2"/>
      <c r="I476" s="2"/>
      <c r="J476" s="2"/>
      <c r="K476" s="2"/>
      <c r="L476" s="2"/>
      <c r="M476" s="2"/>
      <c r="N476" s="2" t="str">
        <f>'QBO Transactions'!$Y478</f>
        <v/>
      </c>
      <c r="O476" s="2"/>
      <c r="P476" s="2"/>
      <c r="Q476" s="2" t="str">
        <f>'QBO Transactions'!$T478</f>
        <v/>
      </c>
      <c r="R476" s="2"/>
      <c r="S476" s="2"/>
      <c r="T476" s="2"/>
      <c r="U476" s="2"/>
      <c r="V476" s="2"/>
      <c r="W476" s="2"/>
      <c r="X476" s="2" t="str">
        <f t="shared" si="7"/>
        <v/>
      </c>
      <c r="Y476" s="4" t="str">
        <f>'QBO Transactions'!$Q478</f>
        <v/>
      </c>
      <c r="Z476" s="2"/>
      <c r="AA476" s="2"/>
      <c r="AB476" s="2"/>
      <c r="AC476" s="2"/>
      <c r="AD476" s="2"/>
      <c r="AE476" s="2"/>
    </row>
    <row r="477" spans="1:31" ht="12.75" customHeight="1" x14ac:dyDescent="0.25">
      <c r="A477" s="2"/>
      <c r="B477" s="2" t="str">
        <f>'QBO Transactions'!$U479</f>
        <v/>
      </c>
      <c r="C477" s="3" t="str">
        <f>'QBO Transactions'!$S479</f>
        <v/>
      </c>
      <c r="D477" s="2" t="str">
        <f>'QBO Transactions'!$R479</f>
        <v/>
      </c>
      <c r="E477" s="2"/>
      <c r="F477" s="3" t="str">
        <f>'QBO Transactions'!$X479</f>
        <v/>
      </c>
      <c r="G477" s="2"/>
      <c r="H477" s="2"/>
      <c r="I477" s="2"/>
      <c r="J477" s="2"/>
      <c r="K477" s="2"/>
      <c r="L477" s="2"/>
      <c r="M477" s="2"/>
      <c r="N477" s="2" t="str">
        <f>'QBO Transactions'!$Y479</f>
        <v/>
      </c>
      <c r="O477" s="2"/>
      <c r="P477" s="2"/>
      <c r="Q477" s="2" t="str">
        <f>'QBO Transactions'!$T479</f>
        <v/>
      </c>
      <c r="R477" s="2"/>
      <c r="S477" s="2"/>
      <c r="T477" s="2"/>
      <c r="U477" s="2"/>
      <c r="V477" s="2"/>
      <c r="W477" s="2"/>
      <c r="X477" s="2" t="str">
        <f t="shared" si="7"/>
        <v/>
      </c>
      <c r="Y477" s="4" t="str">
        <f>'QBO Transactions'!$Q479</f>
        <v/>
      </c>
      <c r="Z477" s="2"/>
      <c r="AA477" s="2"/>
      <c r="AB477" s="2"/>
      <c r="AC477" s="2"/>
      <c r="AD477" s="2"/>
      <c r="AE477" s="2"/>
    </row>
    <row r="478" spans="1:31" ht="12.75" customHeight="1" x14ac:dyDescent="0.25">
      <c r="A478" s="2"/>
      <c r="B478" s="2" t="str">
        <f>'QBO Transactions'!$U480</f>
        <v/>
      </c>
      <c r="C478" s="3" t="str">
        <f>'QBO Transactions'!$S480</f>
        <v/>
      </c>
      <c r="D478" s="2" t="str">
        <f>'QBO Transactions'!$R480</f>
        <v/>
      </c>
      <c r="E478" s="2"/>
      <c r="F478" s="3" t="str">
        <f>'QBO Transactions'!$X480</f>
        <v/>
      </c>
      <c r="G478" s="2"/>
      <c r="H478" s="2"/>
      <c r="I478" s="2"/>
      <c r="J478" s="2"/>
      <c r="K478" s="2"/>
      <c r="L478" s="2"/>
      <c r="M478" s="2"/>
      <c r="N478" s="2" t="str">
        <f>'QBO Transactions'!$Y480</f>
        <v/>
      </c>
      <c r="O478" s="2"/>
      <c r="P478" s="2"/>
      <c r="Q478" s="2" t="str">
        <f>'QBO Transactions'!$T480</f>
        <v/>
      </c>
      <c r="R478" s="2"/>
      <c r="S478" s="2"/>
      <c r="T478" s="2"/>
      <c r="U478" s="2"/>
      <c r="V478" s="2"/>
      <c r="W478" s="2"/>
      <c r="X478" s="2" t="str">
        <f t="shared" si="7"/>
        <v/>
      </c>
      <c r="Y478" s="4" t="str">
        <f>'QBO Transactions'!$Q480</f>
        <v/>
      </c>
      <c r="Z478" s="2"/>
      <c r="AA478" s="2"/>
      <c r="AB478" s="2"/>
      <c r="AC478" s="2"/>
      <c r="AD478" s="2"/>
      <c r="AE478" s="2"/>
    </row>
    <row r="479" spans="1:31" ht="12.75" customHeight="1" x14ac:dyDescent="0.25">
      <c r="A479" s="2"/>
      <c r="B479" s="2" t="str">
        <f>'QBO Transactions'!$U481</f>
        <v/>
      </c>
      <c r="C479" s="3" t="str">
        <f>'QBO Transactions'!$S481</f>
        <v/>
      </c>
      <c r="D479" s="2" t="str">
        <f>'QBO Transactions'!$R481</f>
        <v/>
      </c>
      <c r="E479" s="2"/>
      <c r="F479" s="3" t="str">
        <f>'QBO Transactions'!$X481</f>
        <v/>
      </c>
      <c r="G479" s="2"/>
      <c r="H479" s="2"/>
      <c r="I479" s="2"/>
      <c r="J479" s="2"/>
      <c r="K479" s="2"/>
      <c r="L479" s="2"/>
      <c r="M479" s="2"/>
      <c r="N479" s="2" t="str">
        <f>'QBO Transactions'!$Y481</f>
        <v/>
      </c>
      <c r="O479" s="2"/>
      <c r="P479" s="2"/>
      <c r="Q479" s="2" t="str">
        <f>'QBO Transactions'!$T481</f>
        <v/>
      </c>
      <c r="R479" s="2"/>
      <c r="S479" s="2"/>
      <c r="T479" s="2"/>
      <c r="U479" s="2"/>
      <c r="V479" s="2"/>
      <c r="W479" s="2"/>
      <c r="X479" s="2" t="str">
        <f t="shared" si="7"/>
        <v/>
      </c>
      <c r="Y479" s="4" t="str">
        <f>'QBO Transactions'!$Q481</f>
        <v/>
      </c>
      <c r="Z479" s="2"/>
      <c r="AA479" s="2"/>
      <c r="AB479" s="2"/>
      <c r="AC479" s="2"/>
      <c r="AD479" s="2"/>
      <c r="AE479" s="2"/>
    </row>
    <row r="480" spans="1:31" ht="12.75" customHeight="1" x14ac:dyDescent="0.25">
      <c r="A480" s="2"/>
      <c r="B480" s="2" t="str">
        <f>'QBO Transactions'!$U482</f>
        <v/>
      </c>
      <c r="C480" s="3" t="str">
        <f>'QBO Transactions'!$S482</f>
        <v/>
      </c>
      <c r="D480" s="2" t="str">
        <f>'QBO Transactions'!$R482</f>
        <v/>
      </c>
      <c r="E480" s="2"/>
      <c r="F480" s="3" t="str">
        <f>'QBO Transactions'!$X482</f>
        <v/>
      </c>
      <c r="G480" s="2"/>
      <c r="H480" s="2"/>
      <c r="I480" s="2"/>
      <c r="J480" s="2"/>
      <c r="K480" s="2"/>
      <c r="L480" s="2"/>
      <c r="M480" s="2"/>
      <c r="N480" s="2" t="str">
        <f>'QBO Transactions'!$Y482</f>
        <v/>
      </c>
      <c r="O480" s="2"/>
      <c r="P480" s="2"/>
      <c r="Q480" s="2" t="str">
        <f>'QBO Transactions'!$T482</f>
        <v/>
      </c>
      <c r="R480" s="2"/>
      <c r="S480" s="2"/>
      <c r="T480" s="2"/>
      <c r="U480" s="2"/>
      <c r="V480" s="2"/>
      <c r="W480" s="2"/>
      <c r="X480" s="2" t="str">
        <f t="shared" si="7"/>
        <v/>
      </c>
      <c r="Y480" s="4" t="str">
        <f>'QBO Transactions'!$Q482</f>
        <v/>
      </c>
      <c r="Z480" s="2"/>
      <c r="AA480" s="2"/>
      <c r="AB480" s="2"/>
      <c r="AC480" s="2"/>
      <c r="AD480" s="2"/>
      <c r="AE480" s="2"/>
    </row>
    <row r="481" spans="1:31" ht="12.75" customHeight="1" x14ac:dyDescent="0.25">
      <c r="A481" s="2"/>
      <c r="B481" s="2" t="str">
        <f>'QBO Transactions'!$U483</f>
        <v/>
      </c>
      <c r="C481" s="3" t="str">
        <f>'QBO Transactions'!$S483</f>
        <v/>
      </c>
      <c r="D481" s="2" t="str">
        <f>'QBO Transactions'!$R483</f>
        <v/>
      </c>
      <c r="E481" s="2"/>
      <c r="F481" s="3" t="str">
        <f>'QBO Transactions'!$X483</f>
        <v/>
      </c>
      <c r="G481" s="2"/>
      <c r="H481" s="2"/>
      <c r="I481" s="2"/>
      <c r="J481" s="2"/>
      <c r="K481" s="2"/>
      <c r="L481" s="2"/>
      <c r="M481" s="2"/>
      <c r="N481" s="2" t="str">
        <f>'QBO Transactions'!$Y483</f>
        <v/>
      </c>
      <c r="O481" s="2"/>
      <c r="P481" s="2"/>
      <c r="Q481" s="2" t="str">
        <f>'QBO Transactions'!$T483</f>
        <v/>
      </c>
      <c r="R481" s="2"/>
      <c r="S481" s="2"/>
      <c r="T481" s="2"/>
      <c r="U481" s="2"/>
      <c r="V481" s="2"/>
      <c r="W481" s="2"/>
      <c r="X481" s="2" t="str">
        <f t="shared" si="7"/>
        <v/>
      </c>
      <c r="Y481" s="4" t="str">
        <f>'QBO Transactions'!$Q483</f>
        <v/>
      </c>
      <c r="Z481" s="2"/>
      <c r="AA481" s="2"/>
      <c r="AB481" s="2"/>
      <c r="AC481" s="2"/>
      <c r="AD481" s="2"/>
      <c r="AE481" s="2"/>
    </row>
    <row r="482" spans="1:31" ht="12.75" customHeight="1" x14ac:dyDescent="0.25">
      <c r="A482" s="2"/>
      <c r="B482" s="2" t="str">
        <f>'QBO Transactions'!$U484</f>
        <v/>
      </c>
      <c r="C482" s="3" t="str">
        <f>'QBO Transactions'!$S484</f>
        <v/>
      </c>
      <c r="D482" s="2" t="str">
        <f>'QBO Transactions'!$R484</f>
        <v/>
      </c>
      <c r="E482" s="2"/>
      <c r="F482" s="3" t="str">
        <f>'QBO Transactions'!$X484</f>
        <v/>
      </c>
      <c r="G482" s="2"/>
      <c r="H482" s="2"/>
      <c r="I482" s="2"/>
      <c r="J482" s="2"/>
      <c r="K482" s="2"/>
      <c r="L482" s="2"/>
      <c r="M482" s="2"/>
      <c r="N482" s="2" t="str">
        <f>'QBO Transactions'!$Y484</f>
        <v/>
      </c>
      <c r="O482" s="2"/>
      <c r="P482" s="2"/>
      <c r="Q482" s="2" t="str">
        <f>'QBO Transactions'!$T484</f>
        <v/>
      </c>
      <c r="R482" s="2"/>
      <c r="S482" s="2"/>
      <c r="T482" s="2"/>
      <c r="U482" s="2"/>
      <c r="V482" s="2"/>
      <c r="W482" s="2"/>
      <c r="X482" s="2" t="str">
        <f t="shared" si="7"/>
        <v/>
      </c>
      <c r="Y482" s="4" t="str">
        <f>'QBO Transactions'!$Q484</f>
        <v/>
      </c>
      <c r="Z482" s="2"/>
      <c r="AA482" s="2"/>
      <c r="AB482" s="2"/>
      <c r="AC482" s="2"/>
      <c r="AD482" s="2"/>
      <c r="AE482" s="2"/>
    </row>
    <row r="483" spans="1:31" ht="12.75" customHeight="1" x14ac:dyDescent="0.25">
      <c r="A483" s="2"/>
      <c r="B483" s="2" t="str">
        <f>'QBO Transactions'!$U485</f>
        <v/>
      </c>
      <c r="C483" s="3" t="str">
        <f>'QBO Transactions'!$S485</f>
        <v/>
      </c>
      <c r="D483" s="2" t="str">
        <f>'QBO Transactions'!$R485</f>
        <v/>
      </c>
      <c r="E483" s="2"/>
      <c r="F483" s="3" t="str">
        <f>'QBO Transactions'!$X485</f>
        <v/>
      </c>
      <c r="G483" s="2"/>
      <c r="H483" s="2"/>
      <c r="I483" s="2"/>
      <c r="J483" s="2"/>
      <c r="K483" s="2"/>
      <c r="L483" s="2"/>
      <c r="M483" s="2"/>
      <c r="N483" s="2" t="str">
        <f>'QBO Transactions'!$Y485</f>
        <v/>
      </c>
      <c r="O483" s="2"/>
      <c r="P483" s="2"/>
      <c r="Q483" s="2" t="str">
        <f>'QBO Transactions'!$T485</f>
        <v/>
      </c>
      <c r="R483" s="2"/>
      <c r="S483" s="2"/>
      <c r="T483" s="2"/>
      <c r="U483" s="2"/>
      <c r="V483" s="2"/>
      <c r="W483" s="2"/>
      <c r="X483" s="2" t="str">
        <f t="shared" si="7"/>
        <v/>
      </c>
      <c r="Y483" s="4" t="str">
        <f>'QBO Transactions'!$Q485</f>
        <v/>
      </c>
      <c r="Z483" s="2"/>
      <c r="AA483" s="2"/>
      <c r="AB483" s="2"/>
      <c r="AC483" s="2"/>
      <c r="AD483" s="2"/>
      <c r="AE483" s="2"/>
    </row>
    <row r="484" spans="1:31" ht="12.75" customHeight="1" x14ac:dyDescent="0.25">
      <c r="A484" s="2"/>
      <c r="B484" s="2" t="str">
        <f>'QBO Transactions'!$U486</f>
        <v/>
      </c>
      <c r="C484" s="3" t="str">
        <f>'QBO Transactions'!$S486</f>
        <v/>
      </c>
      <c r="D484" s="2" t="str">
        <f>'QBO Transactions'!$R486</f>
        <v/>
      </c>
      <c r="E484" s="2"/>
      <c r="F484" s="3" t="str">
        <f>'QBO Transactions'!$X486</f>
        <v/>
      </c>
      <c r="G484" s="2"/>
      <c r="H484" s="2"/>
      <c r="I484" s="2"/>
      <c r="J484" s="2"/>
      <c r="K484" s="2"/>
      <c r="L484" s="2"/>
      <c r="M484" s="2"/>
      <c r="N484" s="2" t="str">
        <f>'QBO Transactions'!$Y486</f>
        <v/>
      </c>
      <c r="O484" s="2"/>
      <c r="P484" s="2"/>
      <c r="Q484" s="2" t="str">
        <f>'QBO Transactions'!$T486</f>
        <v/>
      </c>
      <c r="R484" s="2"/>
      <c r="S484" s="2"/>
      <c r="T484" s="2"/>
      <c r="U484" s="2"/>
      <c r="V484" s="2"/>
      <c r="W484" s="2"/>
      <c r="X484" s="2" t="str">
        <f t="shared" si="7"/>
        <v/>
      </c>
      <c r="Y484" s="4" t="str">
        <f>'QBO Transactions'!$Q486</f>
        <v/>
      </c>
      <c r="Z484" s="2"/>
      <c r="AA484" s="2"/>
      <c r="AB484" s="2"/>
      <c r="AC484" s="2"/>
      <c r="AD484" s="2"/>
      <c r="AE484" s="2"/>
    </row>
    <row r="485" spans="1:31" ht="12.75" customHeight="1" x14ac:dyDescent="0.25">
      <c r="A485" s="2"/>
      <c r="B485" s="2" t="str">
        <f>'QBO Transactions'!$U487</f>
        <v/>
      </c>
      <c r="C485" s="3" t="str">
        <f>'QBO Transactions'!$S487</f>
        <v/>
      </c>
      <c r="D485" s="2" t="str">
        <f>'QBO Transactions'!$R487</f>
        <v/>
      </c>
      <c r="E485" s="2"/>
      <c r="F485" s="3" t="str">
        <f>'QBO Transactions'!$X487</f>
        <v/>
      </c>
      <c r="G485" s="2"/>
      <c r="H485" s="2"/>
      <c r="I485" s="2"/>
      <c r="J485" s="2"/>
      <c r="K485" s="2"/>
      <c r="L485" s="2"/>
      <c r="M485" s="2"/>
      <c r="N485" s="2" t="str">
        <f>'QBO Transactions'!$Y487</f>
        <v/>
      </c>
      <c r="O485" s="2"/>
      <c r="P485" s="2"/>
      <c r="Q485" s="2" t="str">
        <f>'QBO Transactions'!$T487</f>
        <v/>
      </c>
      <c r="R485" s="2"/>
      <c r="S485" s="2"/>
      <c r="T485" s="2"/>
      <c r="U485" s="2"/>
      <c r="V485" s="2"/>
      <c r="W485" s="2"/>
      <c r="X485" s="2" t="str">
        <f t="shared" si="7"/>
        <v/>
      </c>
      <c r="Y485" s="4" t="str">
        <f>'QBO Transactions'!$Q487</f>
        <v/>
      </c>
      <c r="Z485" s="2"/>
      <c r="AA485" s="2"/>
      <c r="AB485" s="2"/>
      <c r="AC485" s="2"/>
      <c r="AD485" s="2"/>
      <c r="AE485" s="2"/>
    </row>
    <row r="486" spans="1:31" ht="12.75" customHeight="1" x14ac:dyDescent="0.25">
      <c r="A486" s="2"/>
      <c r="B486" s="2" t="str">
        <f>'QBO Transactions'!$U488</f>
        <v/>
      </c>
      <c r="C486" s="3" t="str">
        <f>'QBO Transactions'!$S488</f>
        <v/>
      </c>
      <c r="D486" s="2" t="str">
        <f>'QBO Transactions'!$R488</f>
        <v/>
      </c>
      <c r="E486" s="2"/>
      <c r="F486" s="3" t="str">
        <f>'QBO Transactions'!$X488</f>
        <v/>
      </c>
      <c r="G486" s="2"/>
      <c r="H486" s="2"/>
      <c r="I486" s="2"/>
      <c r="J486" s="2"/>
      <c r="K486" s="2"/>
      <c r="L486" s="2"/>
      <c r="M486" s="2"/>
      <c r="N486" s="2" t="str">
        <f>'QBO Transactions'!$Y488</f>
        <v/>
      </c>
      <c r="O486" s="2"/>
      <c r="P486" s="2"/>
      <c r="Q486" s="2" t="str">
        <f>'QBO Transactions'!$T488</f>
        <v/>
      </c>
      <c r="R486" s="2"/>
      <c r="S486" s="2"/>
      <c r="T486" s="2"/>
      <c r="U486" s="2"/>
      <c r="V486" s="2"/>
      <c r="W486" s="2"/>
      <c r="X486" s="2" t="str">
        <f t="shared" si="7"/>
        <v/>
      </c>
      <c r="Y486" s="4" t="str">
        <f>'QBO Transactions'!$Q488</f>
        <v/>
      </c>
      <c r="Z486" s="2"/>
      <c r="AA486" s="2"/>
      <c r="AB486" s="2"/>
      <c r="AC486" s="2"/>
      <c r="AD486" s="2"/>
      <c r="AE486" s="2"/>
    </row>
    <row r="487" spans="1:31" ht="12.75" customHeight="1" x14ac:dyDescent="0.25">
      <c r="A487" s="2"/>
      <c r="B487" s="2" t="str">
        <f>'QBO Transactions'!$U489</f>
        <v/>
      </c>
      <c r="C487" s="3" t="str">
        <f>'QBO Transactions'!$S489</f>
        <v/>
      </c>
      <c r="D487" s="2" t="str">
        <f>'QBO Transactions'!$R489</f>
        <v/>
      </c>
      <c r="E487" s="2"/>
      <c r="F487" s="3" t="str">
        <f>'QBO Transactions'!$X489</f>
        <v/>
      </c>
      <c r="G487" s="2"/>
      <c r="H487" s="2"/>
      <c r="I487" s="2"/>
      <c r="J487" s="2"/>
      <c r="K487" s="2"/>
      <c r="L487" s="2"/>
      <c r="M487" s="2"/>
      <c r="N487" s="2" t="str">
        <f>'QBO Transactions'!$Y489</f>
        <v/>
      </c>
      <c r="O487" s="2"/>
      <c r="P487" s="2"/>
      <c r="Q487" s="2" t="str">
        <f>'QBO Transactions'!$T489</f>
        <v/>
      </c>
      <c r="R487" s="2"/>
      <c r="S487" s="2"/>
      <c r="T487" s="2"/>
      <c r="U487" s="2"/>
      <c r="V487" s="2"/>
      <c r="W487" s="2"/>
      <c r="X487" s="2" t="str">
        <f t="shared" si="7"/>
        <v/>
      </c>
      <c r="Y487" s="4" t="str">
        <f>'QBO Transactions'!$Q489</f>
        <v/>
      </c>
      <c r="Z487" s="2"/>
      <c r="AA487" s="2"/>
      <c r="AB487" s="2"/>
      <c r="AC487" s="2"/>
      <c r="AD487" s="2"/>
      <c r="AE487" s="2"/>
    </row>
    <row r="488" spans="1:31" ht="12.75" customHeight="1" x14ac:dyDescent="0.25">
      <c r="A488" s="2"/>
      <c r="B488" s="2" t="str">
        <f>'QBO Transactions'!$U490</f>
        <v/>
      </c>
      <c r="C488" s="3" t="str">
        <f>'QBO Transactions'!$S490</f>
        <v/>
      </c>
      <c r="D488" s="2" t="str">
        <f>'QBO Transactions'!$R490</f>
        <v/>
      </c>
      <c r="E488" s="2"/>
      <c r="F488" s="3" t="str">
        <f>'QBO Transactions'!$X490</f>
        <v/>
      </c>
      <c r="G488" s="2"/>
      <c r="H488" s="2"/>
      <c r="I488" s="2"/>
      <c r="J488" s="2"/>
      <c r="K488" s="2"/>
      <c r="L488" s="2"/>
      <c r="M488" s="2"/>
      <c r="N488" s="2" t="str">
        <f>'QBO Transactions'!$Y490</f>
        <v/>
      </c>
      <c r="O488" s="2"/>
      <c r="P488" s="2"/>
      <c r="Q488" s="2" t="str">
        <f>'QBO Transactions'!$T490</f>
        <v/>
      </c>
      <c r="R488" s="2"/>
      <c r="S488" s="2"/>
      <c r="T488" s="2"/>
      <c r="U488" s="2"/>
      <c r="V488" s="2"/>
      <c r="W488" s="2"/>
      <c r="X488" s="2" t="str">
        <f t="shared" si="7"/>
        <v/>
      </c>
      <c r="Y488" s="4" t="str">
        <f>'QBO Transactions'!$Q490</f>
        <v/>
      </c>
      <c r="Z488" s="2"/>
      <c r="AA488" s="2"/>
      <c r="AB488" s="2"/>
      <c r="AC488" s="2"/>
      <c r="AD488" s="2"/>
      <c r="AE488" s="2"/>
    </row>
    <row r="489" spans="1:31" ht="12.75" customHeight="1" x14ac:dyDescent="0.25">
      <c r="A489" s="2"/>
      <c r="B489" s="2" t="str">
        <f>'QBO Transactions'!$U491</f>
        <v/>
      </c>
      <c r="C489" s="3" t="str">
        <f>'QBO Transactions'!$S491</f>
        <v/>
      </c>
      <c r="D489" s="2" t="str">
        <f>'QBO Transactions'!$R491</f>
        <v/>
      </c>
      <c r="E489" s="2"/>
      <c r="F489" s="3" t="str">
        <f>'QBO Transactions'!$X491</f>
        <v/>
      </c>
      <c r="G489" s="2"/>
      <c r="H489" s="2"/>
      <c r="I489" s="2"/>
      <c r="J489" s="2"/>
      <c r="K489" s="2"/>
      <c r="L489" s="2"/>
      <c r="M489" s="2"/>
      <c r="N489" s="2" t="str">
        <f>'QBO Transactions'!$Y491</f>
        <v/>
      </c>
      <c r="O489" s="2"/>
      <c r="P489" s="2"/>
      <c r="Q489" s="2" t="str">
        <f>'QBO Transactions'!$T491</f>
        <v/>
      </c>
      <c r="R489" s="2"/>
      <c r="S489" s="2"/>
      <c r="T489" s="2"/>
      <c r="U489" s="2"/>
      <c r="V489" s="2"/>
      <c r="W489" s="2"/>
      <c r="X489" s="2" t="str">
        <f t="shared" si="7"/>
        <v/>
      </c>
      <c r="Y489" s="4" t="str">
        <f>'QBO Transactions'!$Q491</f>
        <v/>
      </c>
      <c r="Z489" s="2"/>
      <c r="AA489" s="2"/>
      <c r="AB489" s="2"/>
      <c r="AC489" s="2"/>
      <c r="AD489" s="2"/>
      <c r="AE489" s="2"/>
    </row>
    <row r="490" spans="1:31" ht="12.75" customHeight="1" x14ac:dyDescent="0.25">
      <c r="A490" s="2"/>
      <c r="B490" s="2" t="str">
        <f>'QBO Transactions'!$U492</f>
        <v/>
      </c>
      <c r="C490" s="3" t="str">
        <f>'QBO Transactions'!$S492</f>
        <v/>
      </c>
      <c r="D490" s="2" t="str">
        <f>'QBO Transactions'!$R492</f>
        <v/>
      </c>
      <c r="E490" s="2"/>
      <c r="F490" s="3" t="str">
        <f>'QBO Transactions'!$X492</f>
        <v/>
      </c>
      <c r="G490" s="2"/>
      <c r="H490" s="2"/>
      <c r="I490" s="2"/>
      <c r="J490" s="2"/>
      <c r="K490" s="2"/>
      <c r="L490" s="2"/>
      <c r="M490" s="2"/>
      <c r="N490" s="2" t="str">
        <f>'QBO Transactions'!$Y492</f>
        <v/>
      </c>
      <c r="O490" s="2"/>
      <c r="P490" s="2"/>
      <c r="Q490" s="2" t="str">
        <f>'QBO Transactions'!$T492</f>
        <v/>
      </c>
      <c r="R490" s="2"/>
      <c r="S490" s="2"/>
      <c r="T490" s="2"/>
      <c r="U490" s="2"/>
      <c r="V490" s="2"/>
      <c r="W490" s="2"/>
      <c r="X490" s="2" t="str">
        <f t="shared" si="7"/>
        <v/>
      </c>
      <c r="Y490" s="4" t="str">
        <f>'QBO Transactions'!$Q492</f>
        <v/>
      </c>
      <c r="Z490" s="2"/>
      <c r="AA490" s="2"/>
      <c r="AB490" s="2"/>
      <c r="AC490" s="2"/>
      <c r="AD490" s="2"/>
      <c r="AE490" s="2"/>
    </row>
    <row r="491" spans="1:31" ht="12.75" customHeight="1" x14ac:dyDescent="0.25">
      <c r="A491" s="2"/>
      <c r="B491" s="2" t="str">
        <f>'QBO Transactions'!$U493</f>
        <v/>
      </c>
      <c r="C491" s="3" t="str">
        <f>'QBO Transactions'!$S493</f>
        <v/>
      </c>
      <c r="D491" s="2" t="str">
        <f>'QBO Transactions'!$R493</f>
        <v/>
      </c>
      <c r="E491" s="2"/>
      <c r="F491" s="3" t="str">
        <f>'QBO Transactions'!$X493</f>
        <v/>
      </c>
      <c r="G491" s="2"/>
      <c r="H491" s="2"/>
      <c r="I491" s="2"/>
      <c r="J491" s="2"/>
      <c r="K491" s="2"/>
      <c r="L491" s="2"/>
      <c r="M491" s="2"/>
      <c r="N491" s="2" t="str">
        <f>'QBO Transactions'!$Y493</f>
        <v/>
      </c>
      <c r="O491" s="2"/>
      <c r="P491" s="2"/>
      <c r="Q491" s="2" t="str">
        <f>'QBO Transactions'!$T493</f>
        <v/>
      </c>
      <c r="R491" s="2"/>
      <c r="S491" s="2"/>
      <c r="T491" s="2"/>
      <c r="U491" s="2"/>
      <c r="V491" s="2"/>
      <c r="W491" s="2"/>
      <c r="X491" s="2" t="str">
        <f t="shared" si="7"/>
        <v/>
      </c>
      <c r="Y491" s="4" t="str">
        <f>'QBO Transactions'!$Q493</f>
        <v/>
      </c>
      <c r="Z491" s="2"/>
      <c r="AA491" s="2"/>
      <c r="AB491" s="2"/>
      <c r="AC491" s="2"/>
      <c r="AD491" s="2"/>
      <c r="AE491" s="2"/>
    </row>
    <row r="492" spans="1:31" ht="12.75" customHeight="1" x14ac:dyDescent="0.25">
      <c r="A492" s="2"/>
      <c r="B492" s="2" t="str">
        <f>'QBO Transactions'!$U494</f>
        <v/>
      </c>
      <c r="C492" s="3" t="str">
        <f>'QBO Transactions'!$S494</f>
        <v/>
      </c>
      <c r="D492" s="2" t="str">
        <f>'QBO Transactions'!$R494</f>
        <v/>
      </c>
      <c r="E492" s="2"/>
      <c r="F492" s="3" t="str">
        <f>'QBO Transactions'!$X494</f>
        <v/>
      </c>
      <c r="G492" s="2"/>
      <c r="H492" s="2"/>
      <c r="I492" s="2"/>
      <c r="J492" s="2"/>
      <c r="K492" s="2"/>
      <c r="L492" s="2"/>
      <c r="M492" s="2"/>
      <c r="N492" s="2" t="str">
        <f>'QBO Transactions'!$Y494</f>
        <v/>
      </c>
      <c r="O492" s="2"/>
      <c r="P492" s="2"/>
      <c r="Q492" s="2" t="str">
        <f>'QBO Transactions'!$T494</f>
        <v/>
      </c>
      <c r="R492" s="2"/>
      <c r="S492" s="2"/>
      <c r="T492" s="2"/>
      <c r="U492" s="2"/>
      <c r="V492" s="2"/>
      <c r="W492" s="2"/>
      <c r="X492" s="2" t="str">
        <f t="shared" si="7"/>
        <v/>
      </c>
      <c r="Y492" s="4" t="str">
        <f>'QBO Transactions'!$Q494</f>
        <v/>
      </c>
      <c r="Z492" s="2"/>
      <c r="AA492" s="2"/>
      <c r="AB492" s="2"/>
      <c r="AC492" s="2"/>
      <c r="AD492" s="2"/>
      <c r="AE492" s="2"/>
    </row>
    <row r="493" spans="1:31" ht="12.75" customHeight="1" x14ac:dyDescent="0.25">
      <c r="A493" s="2"/>
      <c r="B493" s="2" t="str">
        <f>'QBO Transactions'!$U495</f>
        <v/>
      </c>
      <c r="C493" s="3" t="str">
        <f>'QBO Transactions'!$S495</f>
        <v/>
      </c>
      <c r="D493" s="2" t="str">
        <f>'QBO Transactions'!$R495</f>
        <v/>
      </c>
      <c r="E493" s="2"/>
      <c r="F493" s="3" t="str">
        <f>'QBO Transactions'!$X495</f>
        <v/>
      </c>
      <c r="G493" s="2"/>
      <c r="H493" s="2"/>
      <c r="I493" s="2"/>
      <c r="J493" s="2"/>
      <c r="K493" s="2"/>
      <c r="L493" s="2"/>
      <c r="M493" s="2"/>
      <c r="N493" s="2" t="str">
        <f>'QBO Transactions'!$Y495</f>
        <v/>
      </c>
      <c r="O493" s="2"/>
      <c r="P493" s="2"/>
      <c r="Q493" s="2" t="str">
        <f>'QBO Transactions'!$T495</f>
        <v/>
      </c>
      <c r="R493" s="2"/>
      <c r="S493" s="2"/>
      <c r="T493" s="2"/>
      <c r="U493" s="2"/>
      <c r="V493" s="2"/>
      <c r="W493" s="2"/>
      <c r="X493" s="2" t="str">
        <f t="shared" si="7"/>
        <v/>
      </c>
      <c r="Y493" s="4" t="str">
        <f>'QBO Transactions'!$Q495</f>
        <v/>
      </c>
      <c r="Z493" s="2"/>
      <c r="AA493" s="2"/>
      <c r="AB493" s="2"/>
      <c r="AC493" s="2"/>
      <c r="AD493" s="2"/>
      <c r="AE493" s="2"/>
    </row>
    <row r="494" spans="1:31" ht="12.75" customHeight="1" x14ac:dyDescent="0.25">
      <c r="A494" s="2"/>
      <c r="B494" s="2" t="str">
        <f>'QBO Transactions'!$U496</f>
        <v/>
      </c>
      <c r="C494" s="3" t="str">
        <f>'QBO Transactions'!$S496</f>
        <v/>
      </c>
      <c r="D494" s="2" t="str">
        <f>'QBO Transactions'!$R496</f>
        <v/>
      </c>
      <c r="E494" s="2"/>
      <c r="F494" s="3" t="str">
        <f>'QBO Transactions'!$X496</f>
        <v/>
      </c>
      <c r="G494" s="2"/>
      <c r="H494" s="2"/>
      <c r="I494" s="2"/>
      <c r="J494" s="2"/>
      <c r="K494" s="2"/>
      <c r="L494" s="2"/>
      <c r="M494" s="2"/>
      <c r="N494" s="2" t="str">
        <f>'QBO Transactions'!$Y496</f>
        <v/>
      </c>
      <c r="O494" s="2"/>
      <c r="P494" s="2"/>
      <c r="Q494" s="2" t="str">
        <f>'QBO Transactions'!$T496</f>
        <v/>
      </c>
      <c r="R494" s="2"/>
      <c r="S494" s="2"/>
      <c r="T494" s="2"/>
      <c r="U494" s="2"/>
      <c r="V494" s="2"/>
      <c r="W494" s="2"/>
      <c r="X494" s="2" t="str">
        <f t="shared" si="7"/>
        <v/>
      </c>
      <c r="Y494" s="4" t="str">
        <f>'QBO Transactions'!$Q496</f>
        <v/>
      </c>
      <c r="Z494" s="2"/>
      <c r="AA494" s="2"/>
      <c r="AB494" s="2"/>
      <c r="AC494" s="2"/>
      <c r="AD494" s="2"/>
      <c r="AE494" s="2"/>
    </row>
    <row r="495" spans="1:31" ht="12.75" customHeight="1" x14ac:dyDescent="0.25">
      <c r="A495" s="2"/>
      <c r="B495" s="2" t="str">
        <f>'QBO Transactions'!$U497</f>
        <v/>
      </c>
      <c r="C495" s="3" t="str">
        <f>'QBO Transactions'!$S497</f>
        <v/>
      </c>
      <c r="D495" s="2" t="str">
        <f>'QBO Transactions'!$R497</f>
        <v/>
      </c>
      <c r="E495" s="2"/>
      <c r="F495" s="3" t="str">
        <f>'QBO Transactions'!$X497</f>
        <v/>
      </c>
      <c r="G495" s="2"/>
      <c r="H495" s="2"/>
      <c r="I495" s="2"/>
      <c r="J495" s="2"/>
      <c r="K495" s="2"/>
      <c r="L495" s="2"/>
      <c r="M495" s="2"/>
      <c r="N495" s="2" t="str">
        <f>'QBO Transactions'!$Y497</f>
        <v/>
      </c>
      <c r="O495" s="2"/>
      <c r="P495" s="2"/>
      <c r="Q495" s="2" t="str">
        <f>'QBO Transactions'!$T497</f>
        <v/>
      </c>
      <c r="R495" s="2"/>
      <c r="S495" s="2"/>
      <c r="T495" s="2"/>
      <c r="U495" s="2"/>
      <c r="V495" s="2"/>
      <c r="W495" s="2"/>
      <c r="X495" s="2" t="str">
        <f t="shared" si="7"/>
        <v/>
      </c>
      <c r="Y495" s="4" t="str">
        <f>'QBO Transactions'!$Q497</f>
        <v/>
      </c>
      <c r="Z495" s="2"/>
      <c r="AA495" s="2"/>
      <c r="AB495" s="2"/>
      <c r="AC495" s="2"/>
      <c r="AD495" s="2"/>
      <c r="AE495" s="2"/>
    </row>
    <row r="496" spans="1:31" ht="12.75" customHeight="1" x14ac:dyDescent="0.25">
      <c r="A496" s="2"/>
      <c r="B496" s="2" t="str">
        <f>'QBO Transactions'!$U498</f>
        <v/>
      </c>
      <c r="C496" s="3" t="str">
        <f>'QBO Transactions'!$S498</f>
        <v/>
      </c>
      <c r="D496" s="2" t="str">
        <f>'QBO Transactions'!$R498</f>
        <v/>
      </c>
      <c r="E496" s="2"/>
      <c r="F496" s="3" t="str">
        <f>'QBO Transactions'!$X498</f>
        <v/>
      </c>
      <c r="G496" s="2"/>
      <c r="H496" s="2"/>
      <c r="I496" s="2"/>
      <c r="J496" s="2"/>
      <c r="K496" s="2"/>
      <c r="L496" s="2"/>
      <c r="M496" s="2"/>
      <c r="N496" s="2" t="str">
        <f>'QBO Transactions'!$Y498</f>
        <v/>
      </c>
      <c r="O496" s="2"/>
      <c r="P496" s="2"/>
      <c r="Q496" s="2" t="str">
        <f>'QBO Transactions'!$T498</f>
        <v/>
      </c>
      <c r="R496" s="2"/>
      <c r="S496" s="2"/>
      <c r="T496" s="2"/>
      <c r="U496" s="2"/>
      <c r="V496" s="2"/>
      <c r="W496" s="2"/>
      <c r="X496" s="2" t="str">
        <f t="shared" si="7"/>
        <v/>
      </c>
      <c r="Y496" s="4" t="str">
        <f>'QBO Transactions'!$Q498</f>
        <v/>
      </c>
      <c r="Z496" s="2"/>
      <c r="AA496" s="2"/>
      <c r="AB496" s="2"/>
      <c r="AC496" s="2"/>
      <c r="AD496" s="2"/>
      <c r="AE496" s="2"/>
    </row>
    <row r="497" spans="1:31" ht="12.75" customHeight="1" x14ac:dyDescent="0.25">
      <c r="A497" s="2"/>
      <c r="B497" s="2" t="str">
        <f>'QBO Transactions'!$U499</f>
        <v/>
      </c>
      <c r="C497" s="3" t="str">
        <f>'QBO Transactions'!$S499</f>
        <v/>
      </c>
      <c r="D497" s="2" t="str">
        <f>'QBO Transactions'!$R499</f>
        <v/>
      </c>
      <c r="E497" s="2"/>
      <c r="F497" s="3" t="str">
        <f>'QBO Transactions'!$X499</f>
        <v/>
      </c>
      <c r="G497" s="2"/>
      <c r="H497" s="2"/>
      <c r="I497" s="2"/>
      <c r="J497" s="2"/>
      <c r="K497" s="2"/>
      <c r="L497" s="2"/>
      <c r="M497" s="2"/>
      <c r="N497" s="2" t="str">
        <f>'QBO Transactions'!$Y499</f>
        <v/>
      </c>
      <c r="O497" s="2"/>
      <c r="P497" s="2"/>
      <c r="Q497" s="2" t="str">
        <f>'QBO Transactions'!$T499</f>
        <v/>
      </c>
      <c r="R497" s="2"/>
      <c r="S497" s="2"/>
      <c r="T497" s="2"/>
      <c r="U497" s="2"/>
      <c r="V497" s="2"/>
      <c r="W497" s="2"/>
      <c r="X497" s="2" t="str">
        <f t="shared" si="7"/>
        <v/>
      </c>
      <c r="Y497" s="4" t="str">
        <f>'QBO Transactions'!$Q499</f>
        <v/>
      </c>
      <c r="Z497" s="2"/>
      <c r="AA497" s="2"/>
      <c r="AB497" s="2"/>
      <c r="AC497" s="2"/>
      <c r="AD497" s="2"/>
      <c r="AE497" s="2"/>
    </row>
    <row r="498" spans="1:31" ht="12.75" customHeight="1" x14ac:dyDescent="0.25">
      <c r="A498" s="2"/>
      <c r="B498" s="2" t="str">
        <f>'QBO Transactions'!$U500</f>
        <v/>
      </c>
      <c r="C498" s="3" t="str">
        <f>'QBO Transactions'!$S500</f>
        <v/>
      </c>
      <c r="D498" s="2" t="str">
        <f>'QBO Transactions'!$R500</f>
        <v/>
      </c>
      <c r="E498" s="2"/>
      <c r="F498" s="3" t="str">
        <f>'QBO Transactions'!$X500</f>
        <v/>
      </c>
      <c r="G498" s="2"/>
      <c r="H498" s="2"/>
      <c r="I498" s="2"/>
      <c r="J498" s="2"/>
      <c r="K498" s="2"/>
      <c r="L498" s="2"/>
      <c r="M498" s="2"/>
      <c r="N498" s="2" t="str">
        <f>'QBO Transactions'!$Y500</f>
        <v/>
      </c>
      <c r="O498" s="2"/>
      <c r="P498" s="2"/>
      <c r="Q498" s="2" t="str">
        <f>'QBO Transactions'!$T500</f>
        <v/>
      </c>
      <c r="R498" s="2"/>
      <c r="S498" s="2"/>
      <c r="T498" s="2"/>
      <c r="U498" s="2"/>
      <c r="V498" s="2"/>
      <c r="W498" s="2"/>
      <c r="X498" s="2" t="str">
        <f t="shared" si="7"/>
        <v/>
      </c>
      <c r="Y498" s="4" t="str">
        <f>'QBO Transactions'!$Q500</f>
        <v/>
      </c>
      <c r="Z498" s="2"/>
      <c r="AA498" s="2"/>
      <c r="AB498" s="2"/>
      <c r="AC498" s="2"/>
      <c r="AD498" s="2"/>
      <c r="AE498" s="2"/>
    </row>
    <row r="499" spans="1:31" ht="12.75" customHeight="1" x14ac:dyDescent="0.25">
      <c r="A499" s="2"/>
      <c r="B499" s="2" t="str">
        <f>'QBO Transactions'!$U501</f>
        <v/>
      </c>
      <c r="C499" s="3" t="str">
        <f>'QBO Transactions'!$S501</f>
        <v/>
      </c>
      <c r="D499" s="2" t="str">
        <f>'QBO Transactions'!$R501</f>
        <v/>
      </c>
      <c r="E499" s="2"/>
      <c r="F499" s="3" t="str">
        <f>'QBO Transactions'!$X501</f>
        <v/>
      </c>
      <c r="G499" s="2"/>
      <c r="H499" s="2"/>
      <c r="I499" s="2"/>
      <c r="J499" s="2"/>
      <c r="K499" s="2"/>
      <c r="L499" s="2"/>
      <c r="M499" s="2"/>
      <c r="N499" s="2" t="str">
        <f>'QBO Transactions'!$Y501</f>
        <v/>
      </c>
      <c r="O499" s="2"/>
      <c r="P499" s="2"/>
      <c r="Q499" s="2" t="str">
        <f>'QBO Transactions'!$T501</f>
        <v/>
      </c>
      <c r="R499" s="2"/>
      <c r="S499" s="2"/>
      <c r="T499" s="2"/>
      <c r="U499" s="2"/>
      <c r="V499" s="2"/>
      <c r="W499" s="2"/>
      <c r="X499" s="2" t="str">
        <f t="shared" si="7"/>
        <v/>
      </c>
      <c r="Y499" s="4" t="str">
        <f>'QBO Transactions'!$Q501</f>
        <v/>
      </c>
      <c r="Z499" s="2"/>
      <c r="AA499" s="2"/>
      <c r="AB499" s="2"/>
      <c r="AC499" s="2"/>
      <c r="AD499" s="2"/>
      <c r="AE499" s="2"/>
    </row>
    <row r="500" spans="1:31" ht="12.75" customHeight="1" x14ac:dyDescent="0.25">
      <c r="A500" s="2"/>
      <c r="B500" s="2" t="str">
        <f>'QBO Transactions'!$U502</f>
        <v/>
      </c>
      <c r="C500" s="3" t="str">
        <f>'QBO Transactions'!$S502</f>
        <v/>
      </c>
      <c r="D500" s="2" t="str">
        <f>'QBO Transactions'!$R502</f>
        <v/>
      </c>
      <c r="E500" s="2"/>
      <c r="F500" s="3" t="str">
        <f>'QBO Transactions'!$X502</f>
        <v/>
      </c>
      <c r="G500" s="2"/>
      <c r="H500" s="2"/>
      <c r="I500" s="2"/>
      <c r="J500" s="2"/>
      <c r="K500" s="2"/>
      <c r="L500" s="2"/>
      <c r="M500" s="2"/>
      <c r="N500" s="2" t="str">
        <f>'QBO Transactions'!$Y502</f>
        <v/>
      </c>
      <c r="O500" s="2"/>
      <c r="P500" s="2"/>
      <c r="Q500" s="2" t="str">
        <f>'QBO Transactions'!$T502</f>
        <v/>
      </c>
      <c r="R500" s="2"/>
      <c r="S500" s="2"/>
      <c r="T500" s="2"/>
      <c r="U500" s="2"/>
      <c r="V500" s="2"/>
      <c r="W500" s="2"/>
      <c r="X500" s="2" t="str">
        <f t="shared" si="7"/>
        <v/>
      </c>
      <c r="Y500" s="4" t="str">
        <f>'QBO Transactions'!$Q502</f>
        <v/>
      </c>
      <c r="Z500" s="2"/>
      <c r="AA500" s="2"/>
      <c r="AB500" s="2"/>
      <c r="AC500" s="2"/>
      <c r="AD500" s="2"/>
      <c r="AE500" s="2"/>
    </row>
    <row r="501" spans="1:31" ht="12.75" customHeight="1" x14ac:dyDescent="0.25">
      <c r="A501" s="2"/>
      <c r="B501" s="2" t="str">
        <f>'QBO Transactions'!$U503</f>
        <v/>
      </c>
      <c r="C501" s="3" t="str">
        <f>'QBO Transactions'!$S503</f>
        <v/>
      </c>
      <c r="D501" s="2" t="str">
        <f>'QBO Transactions'!$R503</f>
        <v/>
      </c>
      <c r="E501" s="2"/>
      <c r="F501" s="3" t="str">
        <f>'QBO Transactions'!$X503</f>
        <v/>
      </c>
      <c r="G501" s="2"/>
      <c r="H501" s="2"/>
      <c r="I501" s="2"/>
      <c r="J501" s="2"/>
      <c r="K501" s="2"/>
      <c r="L501" s="2"/>
      <c r="M501" s="2"/>
      <c r="N501" s="2" t="str">
        <f>'QBO Transactions'!$Y503</f>
        <v/>
      </c>
      <c r="O501" s="2"/>
      <c r="P501" s="2"/>
      <c r="Q501" s="2" t="str">
        <f>'QBO Transactions'!$T503</f>
        <v/>
      </c>
      <c r="R501" s="2"/>
      <c r="S501" s="2"/>
      <c r="T501" s="2"/>
      <c r="U501" s="2"/>
      <c r="V501" s="2"/>
      <c r="W501" s="2"/>
      <c r="X501" s="2" t="str">
        <f t="shared" si="7"/>
        <v/>
      </c>
      <c r="Y501" s="4" t="str">
        <f>'QBO Transactions'!$Q503</f>
        <v/>
      </c>
      <c r="Z501" s="2"/>
      <c r="AA501" s="2"/>
      <c r="AB501" s="2"/>
      <c r="AC501" s="2"/>
      <c r="AD501" s="2"/>
      <c r="AE501" s="2"/>
    </row>
    <row r="502" spans="1:31" ht="12.75" customHeight="1" x14ac:dyDescent="0.25">
      <c r="A502" s="2"/>
      <c r="B502" s="2" t="str">
        <f>'QBO Transactions'!$U504</f>
        <v/>
      </c>
      <c r="C502" s="3" t="str">
        <f>'QBO Transactions'!$S504</f>
        <v/>
      </c>
      <c r="D502" s="2" t="str">
        <f>'QBO Transactions'!$R504</f>
        <v/>
      </c>
      <c r="E502" s="2"/>
      <c r="F502" s="3" t="str">
        <f>'QBO Transactions'!$X504</f>
        <v/>
      </c>
      <c r="G502" s="2"/>
      <c r="H502" s="2"/>
      <c r="I502" s="2"/>
      <c r="J502" s="2"/>
      <c r="K502" s="2"/>
      <c r="L502" s="2"/>
      <c r="M502" s="2"/>
      <c r="N502" s="2" t="str">
        <f>'QBO Transactions'!$Y504</f>
        <v/>
      </c>
      <c r="O502" s="2"/>
      <c r="P502" s="2"/>
      <c r="Q502" s="2" t="str">
        <f>'QBO Transactions'!$T504</f>
        <v/>
      </c>
      <c r="R502" s="2"/>
      <c r="S502" s="2"/>
      <c r="T502" s="2"/>
      <c r="U502" s="2"/>
      <c r="V502" s="2"/>
      <c r="W502" s="2"/>
      <c r="X502" s="2" t="str">
        <f t="shared" si="7"/>
        <v/>
      </c>
      <c r="Y502" s="4" t="str">
        <f>'QBO Transactions'!$Q504</f>
        <v/>
      </c>
      <c r="Z502" s="2"/>
      <c r="AA502" s="2"/>
      <c r="AB502" s="2"/>
      <c r="AC502" s="2"/>
      <c r="AD502" s="2"/>
      <c r="AE502" s="2"/>
    </row>
    <row r="503" spans="1:31" ht="12.75" customHeight="1" x14ac:dyDescent="0.25">
      <c r="A503" s="2"/>
      <c r="B503" s="2" t="str">
        <f>'QBO Transactions'!$U505</f>
        <v/>
      </c>
      <c r="C503" s="3" t="str">
        <f>'QBO Transactions'!$S505</f>
        <v/>
      </c>
      <c r="D503" s="2" t="str">
        <f>'QBO Transactions'!$R505</f>
        <v/>
      </c>
      <c r="E503" s="2"/>
      <c r="F503" s="3" t="str">
        <f>'QBO Transactions'!$X505</f>
        <v/>
      </c>
      <c r="G503" s="2"/>
      <c r="H503" s="2"/>
      <c r="I503" s="2"/>
      <c r="J503" s="2"/>
      <c r="K503" s="2"/>
      <c r="L503" s="2"/>
      <c r="M503" s="2"/>
      <c r="N503" s="2" t="str">
        <f>'QBO Transactions'!$Y505</f>
        <v/>
      </c>
      <c r="O503" s="2"/>
      <c r="P503" s="2"/>
      <c r="Q503" s="2" t="str">
        <f>'QBO Transactions'!$T505</f>
        <v/>
      </c>
      <c r="R503" s="2"/>
      <c r="S503" s="2"/>
      <c r="T503" s="2"/>
      <c r="U503" s="2"/>
      <c r="V503" s="2"/>
      <c r="W503" s="2"/>
      <c r="X503" s="2" t="str">
        <f t="shared" si="7"/>
        <v/>
      </c>
      <c r="Y503" s="4" t="str">
        <f>'QBO Transactions'!$Q505</f>
        <v/>
      </c>
      <c r="Z503" s="2"/>
      <c r="AA503" s="2"/>
      <c r="AB503" s="2"/>
      <c r="AC503" s="2"/>
      <c r="AD503" s="2"/>
      <c r="AE503" s="2"/>
    </row>
    <row r="504" spans="1:31" ht="12.75" customHeight="1" x14ac:dyDescent="0.25">
      <c r="A504" s="2"/>
      <c r="B504" s="2" t="str">
        <f>'QBO Transactions'!$U506</f>
        <v/>
      </c>
      <c r="C504" s="3" t="str">
        <f>'QBO Transactions'!$S506</f>
        <v/>
      </c>
      <c r="D504" s="2" t="str">
        <f>'QBO Transactions'!$R506</f>
        <v/>
      </c>
      <c r="E504" s="2"/>
      <c r="F504" s="3" t="str">
        <f>'QBO Transactions'!$X506</f>
        <v/>
      </c>
      <c r="G504" s="2"/>
      <c r="H504" s="2"/>
      <c r="I504" s="2"/>
      <c r="J504" s="2"/>
      <c r="K504" s="2"/>
      <c r="L504" s="2"/>
      <c r="M504" s="2"/>
      <c r="N504" s="2" t="str">
        <f>'QBO Transactions'!$Y506</f>
        <v/>
      </c>
      <c r="O504" s="2"/>
      <c r="P504" s="2"/>
      <c r="Q504" s="2" t="str">
        <f>'QBO Transactions'!$T506</f>
        <v/>
      </c>
      <c r="R504" s="2"/>
      <c r="S504" s="2"/>
      <c r="T504" s="2"/>
      <c r="U504" s="2"/>
      <c r="V504" s="2"/>
      <c r="W504" s="2"/>
      <c r="X504" s="2" t="str">
        <f t="shared" si="7"/>
        <v/>
      </c>
      <c r="Y504" s="4" t="str">
        <f>'QBO Transactions'!$Q506</f>
        <v/>
      </c>
      <c r="Z504" s="2"/>
      <c r="AA504" s="2"/>
      <c r="AB504" s="2"/>
      <c r="AC504" s="2"/>
      <c r="AD504" s="2"/>
      <c r="AE504" s="2"/>
    </row>
    <row r="505" spans="1:31" ht="12.75" customHeight="1" x14ac:dyDescent="0.25">
      <c r="A505" s="2"/>
      <c r="B505" s="2" t="str">
        <f>'QBO Transactions'!$U507</f>
        <v/>
      </c>
      <c r="C505" s="3" t="str">
        <f>'QBO Transactions'!$S507</f>
        <v/>
      </c>
      <c r="D505" s="2" t="str">
        <f>'QBO Transactions'!$R507</f>
        <v/>
      </c>
      <c r="E505" s="2"/>
      <c r="F505" s="3" t="str">
        <f>'QBO Transactions'!$X507</f>
        <v/>
      </c>
      <c r="G505" s="2"/>
      <c r="H505" s="2"/>
      <c r="I505" s="2"/>
      <c r="J505" s="2"/>
      <c r="K505" s="2"/>
      <c r="L505" s="2"/>
      <c r="M505" s="2"/>
      <c r="N505" s="2" t="str">
        <f>'QBO Transactions'!$Y507</f>
        <v/>
      </c>
      <c r="O505" s="2"/>
      <c r="P505" s="2"/>
      <c r="Q505" s="2" t="str">
        <f>'QBO Transactions'!$T507</f>
        <v/>
      </c>
      <c r="R505" s="2"/>
      <c r="S505" s="2"/>
      <c r="T505" s="2"/>
      <c r="U505" s="2"/>
      <c r="V505" s="2"/>
      <c r="W505" s="2"/>
      <c r="X505" s="2" t="str">
        <f t="shared" si="7"/>
        <v/>
      </c>
      <c r="Y505" s="4" t="str">
        <f>'QBO Transactions'!$Q507</f>
        <v/>
      </c>
      <c r="Z505" s="2"/>
      <c r="AA505" s="2"/>
      <c r="AB505" s="2"/>
      <c r="AC505" s="2"/>
      <c r="AD505" s="2"/>
      <c r="AE505" s="2"/>
    </row>
    <row r="506" spans="1:31" ht="12.75" customHeight="1" x14ac:dyDescent="0.25">
      <c r="A506" s="2"/>
      <c r="B506" s="2" t="str">
        <f>'QBO Transactions'!$U508</f>
        <v/>
      </c>
      <c r="C506" s="3" t="str">
        <f>'QBO Transactions'!$S508</f>
        <v/>
      </c>
      <c r="D506" s="2" t="str">
        <f>'QBO Transactions'!$R508</f>
        <v/>
      </c>
      <c r="E506" s="2"/>
      <c r="F506" s="3" t="str">
        <f>'QBO Transactions'!$X508</f>
        <v/>
      </c>
      <c r="G506" s="2"/>
      <c r="H506" s="2"/>
      <c r="I506" s="2"/>
      <c r="J506" s="2"/>
      <c r="K506" s="2"/>
      <c r="L506" s="2"/>
      <c r="M506" s="2"/>
      <c r="N506" s="2" t="str">
        <f>'QBO Transactions'!$Y508</f>
        <v/>
      </c>
      <c r="O506" s="2"/>
      <c r="P506" s="2"/>
      <c r="Q506" s="2" t="str">
        <f>'QBO Transactions'!$T508</f>
        <v/>
      </c>
      <c r="R506" s="2"/>
      <c r="S506" s="2"/>
      <c r="T506" s="2"/>
      <c r="U506" s="2"/>
      <c r="V506" s="2"/>
      <c r="W506" s="2"/>
      <c r="X506" s="2" t="str">
        <f t="shared" si="7"/>
        <v/>
      </c>
      <c r="Y506" s="4" t="str">
        <f>'QBO Transactions'!$Q508</f>
        <v/>
      </c>
      <c r="Z506" s="2"/>
      <c r="AA506" s="2"/>
      <c r="AB506" s="2"/>
      <c r="AC506" s="2"/>
      <c r="AD506" s="2"/>
      <c r="AE506" s="2"/>
    </row>
    <row r="507" spans="1:31" ht="12.75" customHeight="1" x14ac:dyDescent="0.25">
      <c r="A507" s="2"/>
      <c r="B507" s="2" t="str">
        <f>'QBO Transactions'!$U509</f>
        <v/>
      </c>
      <c r="C507" s="3" t="str">
        <f>'QBO Transactions'!$S509</f>
        <v/>
      </c>
      <c r="D507" s="2" t="str">
        <f>'QBO Transactions'!$R509</f>
        <v/>
      </c>
      <c r="E507" s="2"/>
      <c r="F507" s="3" t="str">
        <f>'QBO Transactions'!$X509</f>
        <v/>
      </c>
      <c r="G507" s="2"/>
      <c r="H507" s="2"/>
      <c r="I507" s="2"/>
      <c r="J507" s="2"/>
      <c r="K507" s="2"/>
      <c r="L507" s="2"/>
      <c r="M507" s="2"/>
      <c r="N507" s="2" t="str">
        <f>'QBO Transactions'!$Y509</f>
        <v/>
      </c>
      <c r="O507" s="2"/>
      <c r="P507" s="2"/>
      <c r="Q507" s="2" t="str">
        <f>'QBO Transactions'!$T509</f>
        <v/>
      </c>
      <c r="R507" s="2"/>
      <c r="S507" s="2"/>
      <c r="T507" s="2"/>
      <c r="U507" s="2"/>
      <c r="V507" s="2"/>
      <c r="W507" s="2"/>
      <c r="X507" s="2" t="str">
        <f t="shared" si="7"/>
        <v/>
      </c>
      <c r="Y507" s="4" t="str">
        <f>'QBO Transactions'!$Q509</f>
        <v/>
      </c>
      <c r="Z507" s="2"/>
      <c r="AA507" s="2"/>
      <c r="AB507" s="2"/>
      <c r="AC507" s="2"/>
      <c r="AD507" s="2"/>
      <c r="AE507" s="2"/>
    </row>
    <row r="508" spans="1:31" ht="12.75" customHeight="1" x14ac:dyDescent="0.25">
      <c r="A508" s="2"/>
      <c r="B508" s="2" t="str">
        <f>'QBO Transactions'!$U510</f>
        <v/>
      </c>
      <c r="C508" s="3" t="str">
        <f>'QBO Transactions'!$S510</f>
        <v/>
      </c>
      <c r="D508" s="2" t="str">
        <f>'QBO Transactions'!$R510</f>
        <v/>
      </c>
      <c r="E508" s="2"/>
      <c r="F508" s="3" t="str">
        <f>'QBO Transactions'!$X510</f>
        <v/>
      </c>
      <c r="G508" s="2"/>
      <c r="H508" s="2"/>
      <c r="I508" s="2"/>
      <c r="J508" s="2"/>
      <c r="K508" s="2"/>
      <c r="L508" s="2"/>
      <c r="M508" s="2"/>
      <c r="N508" s="2" t="str">
        <f>'QBO Transactions'!$Y510</f>
        <v/>
      </c>
      <c r="O508" s="2"/>
      <c r="P508" s="2"/>
      <c r="Q508" s="2" t="str">
        <f>'QBO Transactions'!$T510</f>
        <v/>
      </c>
      <c r="R508" s="2"/>
      <c r="S508" s="2"/>
      <c r="T508" s="2"/>
      <c r="U508" s="2"/>
      <c r="V508" s="2"/>
      <c r="W508" s="2"/>
      <c r="X508" s="2" t="str">
        <f t="shared" si="7"/>
        <v/>
      </c>
      <c r="Y508" s="4" t="str">
        <f>'QBO Transactions'!$Q510</f>
        <v/>
      </c>
      <c r="Z508" s="2"/>
      <c r="AA508" s="2"/>
      <c r="AB508" s="2"/>
      <c r="AC508" s="2"/>
      <c r="AD508" s="2"/>
      <c r="AE508" s="2"/>
    </row>
    <row r="509" spans="1:31" ht="12.75" customHeight="1" x14ac:dyDescent="0.25">
      <c r="A509" s="2"/>
      <c r="B509" s="2" t="str">
        <f>'QBO Transactions'!$U511</f>
        <v/>
      </c>
      <c r="C509" s="3" t="str">
        <f>'QBO Transactions'!$S511</f>
        <v/>
      </c>
      <c r="D509" s="2" t="str">
        <f>'QBO Transactions'!$R511</f>
        <v/>
      </c>
      <c r="E509" s="2"/>
      <c r="F509" s="3" t="str">
        <f>'QBO Transactions'!$X511</f>
        <v/>
      </c>
      <c r="G509" s="2"/>
      <c r="H509" s="2"/>
      <c r="I509" s="2"/>
      <c r="J509" s="2"/>
      <c r="K509" s="2"/>
      <c r="L509" s="2"/>
      <c r="M509" s="2"/>
      <c r="N509" s="2" t="str">
        <f>'QBO Transactions'!$Y511</f>
        <v/>
      </c>
      <c r="O509" s="2"/>
      <c r="P509" s="2"/>
      <c r="Q509" s="2" t="str">
        <f>'QBO Transactions'!$T511</f>
        <v/>
      </c>
      <c r="R509" s="2"/>
      <c r="S509" s="2"/>
      <c r="T509" s="2"/>
      <c r="U509" s="2"/>
      <c r="V509" s="2"/>
      <c r="W509" s="2"/>
      <c r="X509" s="2" t="str">
        <f t="shared" si="7"/>
        <v/>
      </c>
      <c r="Y509" s="4" t="str">
        <f>'QBO Transactions'!$Q511</f>
        <v/>
      </c>
      <c r="Z509" s="2"/>
      <c r="AA509" s="2"/>
      <c r="AB509" s="2"/>
      <c r="AC509" s="2"/>
      <c r="AD509" s="2"/>
      <c r="AE509" s="2"/>
    </row>
    <row r="510" spans="1:31" ht="12.75" customHeight="1" x14ac:dyDescent="0.25">
      <c r="A510" s="2"/>
      <c r="B510" s="2" t="str">
        <f>'QBO Transactions'!$U512</f>
        <v/>
      </c>
      <c r="C510" s="3" t="str">
        <f>'QBO Transactions'!$S512</f>
        <v/>
      </c>
      <c r="D510" s="2" t="str">
        <f>'QBO Transactions'!$R512</f>
        <v/>
      </c>
      <c r="E510" s="2"/>
      <c r="F510" s="3" t="str">
        <f>'QBO Transactions'!$X512</f>
        <v/>
      </c>
      <c r="G510" s="2"/>
      <c r="H510" s="2"/>
      <c r="I510" s="2"/>
      <c r="J510" s="2"/>
      <c r="K510" s="2"/>
      <c r="L510" s="2"/>
      <c r="M510" s="2"/>
      <c r="N510" s="2" t="str">
        <f>'QBO Transactions'!$Y512</f>
        <v/>
      </c>
      <c r="O510" s="2"/>
      <c r="P510" s="2"/>
      <c r="Q510" s="2" t="str">
        <f>'QBO Transactions'!$T512</f>
        <v/>
      </c>
      <c r="R510" s="2"/>
      <c r="S510" s="2"/>
      <c r="T510" s="2"/>
      <c r="U510" s="2"/>
      <c r="V510" s="2"/>
      <c r="W510" s="2"/>
      <c r="X510" s="2" t="str">
        <f t="shared" si="7"/>
        <v/>
      </c>
      <c r="Y510" s="4" t="str">
        <f>'QBO Transactions'!$Q512</f>
        <v/>
      </c>
      <c r="Z510" s="2"/>
      <c r="AA510" s="2"/>
      <c r="AB510" s="2"/>
      <c r="AC510" s="2"/>
      <c r="AD510" s="2"/>
      <c r="AE510" s="2"/>
    </row>
    <row r="511" spans="1:31" ht="12.75" customHeight="1" x14ac:dyDescent="0.25">
      <c r="A511" s="2"/>
      <c r="B511" s="2" t="str">
        <f>'QBO Transactions'!$U513</f>
        <v/>
      </c>
      <c r="C511" s="3" t="str">
        <f>'QBO Transactions'!$S513</f>
        <v/>
      </c>
      <c r="D511" s="2" t="str">
        <f>'QBO Transactions'!$R513</f>
        <v/>
      </c>
      <c r="E511" s="2"/>
      <c r="F511" s="3" t="str">
        <f>'QBO Transactions'!$X513</f>
        <v/>
      </c>
      <c r="G511" s="2"/>
      <c r="H511" s="2"/>
      <c r="I511" s="2"/>
      <c r="J511" s="2"/>
      <c r="K511" s="2"/>
      <c r="L511" s="2"/>
      <c r="M511" s="2"/>
      <c r="N511" s="2" t="str">
        <f>'QBO Transactions'!$Y513</f>
        <v/>
      </c>
      <c r="O511" s="2"/>
      <c r="P511" s="2"/>
      <c r="Q511" s="2" t="str">
        <f>'QBO Transactions'!$T513</f>
        <v/>
      </c>
      <c r="R511" s="2"/>
      <c r="S511" s="2"/>
      <c r="T511" s="2"/>
      <c r="U511" s="2"/>
      <c r="V511" s="2"/>
      <c r="W511" s="2"/>
      <c r="X511" s="2" t="str">
        <f t="shared" si="7"/>
        <v/>
      </c>
      <c r="Y511" s="4" t="str">
        <f>'QBO Transactions'!$Q513</f>
        <v/>
      </c>
      <c r="Z511" s="2"/>
      <c r="AA511" s="2"/>
      <c r="AB511" s="2"/>
      <c r="AC511" s="2"/>
      <c r="AD511" s="2"/>
      <c r="AE511" s="2"/>
    </row>
    <row r="512" spans="1:31" ht="12.75" customHeight="1" x14ac:dyDescent="0.25">
      <c r="A512" s="2"/>
      <c r="B512" s="2" t="str">
        <f>'QBO Transactions'!$U514</f>
        <v/>
      </c>
      <c r="C512" s="3" t="str">
        <f>'QBO Transactions'!$S514</f>
        <v/>
      </c>
      <c r="D512" s="2" t="str">
        <f>'QBO Transactions'!$R514</f>
        <v/>
      </c>
      <c r="E512" s="2"/>
      <c r="F512" s="3" t="str">
        <f>'QBO Transactions'!$X514</f>
        <v/>
      </c>
      <c r="G512" s="2"/>
      <c r="H512" s="2"/>
      <c r="I512" s="2"/>
      <c r="J512" s="2"/>
      <c r="K512" s="2"/>
      <c r="L512" s="2"/>
      <c r="M512" s="2"/>
      <c r="N512" s="2" t="str">
        <f>'QBO Transactions'!$Y514</f>
        <v/>
      </c>
      <c r="O512" s="2"/>
      <c r="P512" s="2"/>
      <c r="Q512" s="2" t="str">
        <f>'QBO Transactions'!$T514</f>
        <v/>
      </c>
      <c r="R512" s="2"/>
      <c r="S512" s="2"/>
      <c r="T512" s="2"/>
      <c r="U512" s="2"/>
      <c r="V512" s="2"/>
      <c r="W512" s="2"/>
      <c r="X512" s="2" t="str">
        <f t="shared" si="7"/>
        <v/>
      </c>
      <c r="Y512" s="4" t="str">
        <f>'QBO Transactions'!$Q514</f>
        <v/>
      </c>
      <c r="Z512" s="2"/>
      <c r="AA512" s="2"/>
      <c r="AB512" s="2"/>
      <c r="AC512" s="2"/>
      <c r="AD512" s="2"/>
      <c r="AE512" s="2"/>
    </row>
    <row r="513" spans="1:31" ht="12.75" customHeight="1" x14ac:dyDescent="0.25">
      <c r="A513" s="2"/>
      <c r="B513" s="2" t="str">
        <f>'QBO Transactions'!$U515</f>
        <v/>
      </c>
      <c r="C513" s="3" t="str">
        <f>'QBO Transactions'!$S515</f>
        <v/>
      </c>
      <c r="D513" s="2" t="str">
        <f>'QBO Transactions'!$R515</f>
        <v/>
      </c>
      <c r="E513" s="2"/>
      <c r="F513" s="3" t="str">
        <f>'QBO Transactions'!$X515</f>
        <v/>
      </c>
      <c r="G513" s="2"/>
      <c r="H513" s="2"/>
      <c r="I513" s="2"/>
      <c r="J513" s="2"/>
      <c r="K513" s="2"/>
      <c r="L513" s="2"/>
      <c r="M513" s="2"/>
      <c r="N513" s="2" t="str">
        <f>'QBO Transactions'!$Y515</f>
        <v/>
      </c>
      <c r="O513" s="2"/>
      <c r="P513" s="2"/>
      <c r="Q513" s="2" t="str">
        <f>'QBO Transactions'!$T515</f>
        <v/>
      </c>
      <c r="R513" s="2"/>
      <c r="S513" s="2"/>
      <c r="T513" s="2"/>
      <c r="U513" s="2"/>
      <c r="V513" s="2"/>
      <c r="W513" s="2"/>
      <c r="X513" s="2" t="str">
        <f t="shared" si="7"/>
        <v/>
      </c>
      <c r="Y513" s="4" t="str">
        <f>'QBO Transactions'!$Q515</f>
        <v/>
      </c>
      <c r="Z513" s="2"/>
      <c r="AA513" s="2"/>
      <c r="AB513" s="2"/>
      <c r="AC513" s="2"/>
      <c r="AD513" s="2"/>
      <c r="AE513" s="2"/>
    </row>
    <row r="514" spans="1:31" ht="12.75" customHeight="1" x14ac:dyDescent="0.25">
      <c r="A514" s="2"/>
      <c r="B514" s="2" t="str">
        <f>'QBO Transactions'!$U516</f>
        <v/>
      </c>
      <c r="C514" s="3" t="str">
        <f>'QBO Transactions'!$S516</f>
        <v/>
      </c>
      <c r="D514" s="2" t="str">
        <f>'QBO Transactions'!$R516</f>
        <v/>
      </c>
      <c r="E514" s="2"/>
      <c r="F514" s="3" t="str">
        <f>'QBO Transactions'!$X516</f>
        <v/>
      </c>
      <c r="G514" s="2"/>
      <c r="H514" s="2"/>
      <c r="I514" s="2"/>
      <c r="J514" s="2"/>
      <c r="K514" s="2"/>
      <c r="L514" s="2"/>
      <c r="M514" s="2"/>
      <c r="N514" s="2" t="str">
        <f>'QBO Transactions'!$Y516</f>
        <v/>
      </c>
      <c r="O514" s="2"/>
      <c r="P514" s="2"/>
      <c r="Q514" s="2" t="str">
        <f>'QBO Transactions'!$T516</f>
        <v/>
      </c>
      <c r="R514" s="2"/>
      <c r="S514" s="2"/>
      <c r="T514" s="2"/>
      <c r="U514" s="2"/>
      <c r="V514" s="2"/>
      <c r="W514" s="2"/>
      <c r="X514" s="2" t="str">
        <f t="shared" ref="X514:X577" si="8">Q514</f>
        <v/>
      </c>
      <c r="Y514" s="4" t="str">
        <f>'QBO Transactions'!$Q516</f>
        <v/>
      </c>
      <c r="Z514" s="2"/>
      <c r="AA514" s="2"/>
      <c r="AB514" s="2"/>
      <c r="AC514" s="2"/>
      <c r="AD514" s="2"/>
      <c r="AE514" s="2"/>
    </row>
    <row r="515" spans="1:31" ht="12.75" customHeight="1" x14ac:dyDescent="0.25">
      <c r="A515" s="2"/>
      <c r="B515" s="2" t="str">
        <f>'QBO Transactions'!$U517</f>
        <v/>
      </c>
      <c r="C515" s="3" t="str">
        <f>'QBO Transactions'!$S517</f>
        <v/>
      </c>
      <c r="D515" s="2" t="str">
        <f>'QBO Transactions'!$R517</f>
        <v/>
      </c>
      <c r="E515" s="2"/>
      <c r="F515" s="3" t="str">
        <f>'QBO Transactions'!$X517</f>
        <v/>
      </c>
      <c r="G515" s="2"/>
      <c r="H515" s="2"/>
      <c r="I515" s="2"/>
      <c r="J515" s="2"/>
      <c r="K515" s="2"/>
      <c r="L515" s="2"/>
      <c r="M515" s="2"/>
      <c r="N515" s="2" t="str">
        <f>'QBO Transactions'!$Y517</f>
        <v/>
      </c>
      <c r="O515" s="2"/>
      <c r="P515" s="2"/>
      <c r="Q515" s="2" t="str">
        <f>'QBO Transactions'!$T517</f>
        <v/>
      </c>
      <c r="R515" s="2"/>
      <c r="S515" s="2"/>
      <c r="T515" s="2"/>
      <c r="U515" s="2"/>
      <c r="V515" s="2"/>
      <c r="W515" s="2"/>
      <c r="X515" s="2" t="str">
        <f t="shared" si="8"/>
        <v/>
      </c>
      <c r="Y515" s="4" t="str">
        <f>'QBO Transactions'!$Q517</f>
        <v/>
      </c>
      <c r="Z515" s="2"/>
      <c r="AA515" s="2"/>
      <c r="AB515" s="2"/>
      <c r="AC515" s="2"/>
      <c r="AD515" s="2"/>
      <c r="AE515" s="2"/>
    </row>
    <row r="516" spans="1:31" ht="12.75" customHeight="1" x14ac:dyDescent="0.25">
      <c r="A516" s="2"/>
      <c r="B516" s="2" t="str">
        <f>'QBO Transactions'!$U518</f>
        <v/>
      </c>
      <c r="C516" s="3" t="str">
        <f>'QBO Transactions'!$S518</f>
        <v/>
      </c>
      <c r="D516" s="2" t="str">
        <f>'QBO Transactions'!$R518</f>
        <v/>
      </c>
      <c r="E516" s="2"/>
      <c r="F516" s="3" t="str">
        <f>'QBO Transactions'!$X518</f>
        <v/>
      </c>
      <c r="G516" s="2"/>
      <c r="H516" s="2"/>
      <c r="I516" s="2"/>
      <c r="J516" s="2"/>
      <c r="K516" s="2"/>
      <c r="L516" s="2"/>
      <c r="M516" s="2"/>
      <c r="N516" s="2" t="str">
        <f>'QBO Transactions'!$Y518</f>
        <v/>
      </c>
      <c r="O516" s="2"/>
      <c r="P516" s="2"/>
      <c r="Q516" s="2" t="str">
        <f>'QBO Transactions'!$T518</f>
        <v/>
      </c>
      <c r="R516" s="2"/>
      <c r="S516" s="2"/>
      <c r="T516" s="2"/>
      <c r="U516" s="2"/>
      <c r="V516" s="2"/>
      <c r="W516" s="2"/>
      <c r="X516" s="2" t="str">
        <f t="shared" si="8"/>
        <v/>
      </c>
      <c r="Y516" s="4" t="str">
        <f>'QBO Transactions'!$Q518</f>
        <v/>
      </c>
      <c r="Z516" s="2"/>
      <c r="AA516" s="2"/>
      <c r="AB516" s="2"/>
      <c r="AC516" s="2"/>
      <c r="AD516" s="2"/>
      <c r="AE516" s="2"/>
    </row>
    <row r="517" spans="1:31" ht="12.75" customHeight="1" x14ac:dyDescent="0.25">
      <c r="A517" s="2"/>
      <c r="B517" s="2" t="str">
        <f>'QBO Transactions'!$U519</f>
        <v/>
      </c>
      <c r="C517" s="3" t="str">
        <f>'QBO Transactions'!$S519</f>
        <v/>
      </c>
      <c r="D517" s="2" t="str">
        <f>'QBO Transactions'!$R519</f>
        <v/>
      </c>
      <c r="E517" s="2"/>
      <c r="F517" s="3" t="str">
        <f>'QBO Transactions'!$X519</f>
        <v/>
      </c>
      <c r="G517" s="2"/>
      <c r="H517" s="2"/>
      <c r="I517" s="2"/>
      <c r="J517" s="2"/>
      <c r="K517" s="2"/>
      <c r="L517" s="2"/>
      <c r="M517" s="2"/>
      <c r="N517" s="2" t="str">
        <f>'QBO Transactions'!$Y519</f>
        <v/>
      </c>
      <c r="O517" s="2"/>
      <c r="P517" s="2"/>
      <c r="Q517" s="2" t="str">
        <f>'QBO Transactions'!$T519</f>
        <v/>
      </c>
      <c r="R517" s="2"/>
      <c r="S517" s="2"/>
      <c r="T517" s="2"/>
      <c r="U517" s="2"/>
      <c r="V517" s="2"/>
      <c r="W517" s="2"/>
      <c r="X517" s="2" t="str">
        <f t="shared" si="8"/>
        <v/>
      </c>
      <c r="Y517" s="4" t="str">
        <f>'QBO Transactions'!$Q519</f>
        <v/>
      </c>
      <c r="Z517" s="2"/>
      <c r="AA517" s="2"/>
      <c r="AB517" s="2"/>
      <c r="AC517" s="2"/>
      <c r="AD517" s="2"/>
      <c r="AE517" s="2"/>
    </row>
    <row r="518" spans="1:31" ht="12.75" customHeight="1" x14ac:dyDescent="0.25">
      <c r="A518" s="2"/>
      <c r="B518" s="2" t="str">
        <f>'QBO Transactions'!$U520</f>
        <v/>
      </c>
      <c r="C518" s="3" t="str">
        <f>'QBO Transactions'!$S520</f>
        <v/>
      </c>
      <c r="D518" s="2" t="str">
        <f>'QBO Transactions'!$R520</f>
        <v/>
      </c>
      <c r="E518" s="2"/>
      <c r="F518" s="3" t="str">
        <f>'QBO Transactions'!$X520</f>
        <v/>
      </c>
      <c r="G518" s="2"/>
      <c r="H518" s="2"/>
      <c r="I518" s="2"/>
      <c r="J518" s="2"/>
      <c r="K518" s="2"/>
      <c r="L518" s="2"/>
      <c r="M518" s="2"/>
      <c r="N518" s="2" t="str">
        <f>'QBO Transactions'!$Y520</f>
        <v/>
      </c>
      <c r="O518" s="2"/>
      <c r="P518" s="2"/>
      <c r="Q518" s="2" t="str">
        <f>'QBO Transactions'!$T520</f>
        <v/>
      </c>
      <c r="R518" s="2"/>
      <c r="S518" s="2"/>
      <c r="T518" s="2"/>
      <c r="U518" s="2"/>
      <c r="V518" s="2"/>
      <c r="W518" s="2"/>
      <c r="X518" s="2" t="str">
        <f t="shared" si="8"/>
        <v/>
      </c>
      <c r="Y518" s="4" t="str">
        <f>'QBO Transactions'!$Q520</f>
        <v/>
      </c>
      <c r="Z518" s="2"/>
      <c r="AA518" s="2"/>
      <c r="AB518" s="2"/>
      <c r="AC518" s="2"/>
      <c r="AD518" s="2"/>
      <c r="AE518" s="2"/>
    </row>
    <row r="519" spans="1:31" ht="12.75" customHeight="1" x14ac:dyDescent="0.25">
      <c r="A519" s="2"/>
      <c r="B519" s="2" t="str">
        <f>'QBO Transactions'!$U521</f>
        <v/>
      </c>
      <c r="C519" s="3" t="str">
        <f>'QBO Transactions'!$S521</f>
        <v/>
      </c>
      <c r="D519" s="2" t="str">
        <f>'QBO Transactions'!$R521</f>
        <v/>
      </c>
      <c r="E519" s="2"/>
      <c r="F519" s="3" t="str">
        <f>'QBO Transactions'!$X521</f>
        <v/>
      </c>
      <c r="G519" s="2"/>
      <c r="H519" s="2"/>
      <c r="I519" s="2"/>
      <c r="J519" s="2"/>
      <c r="K519" s="2"/>
      <c r="L519" s="2"/>
      <c r="M519" s="2"/>
      <c r="N519" s="2" t="str">
        <f>'QBO Transactions'!$Y521</f>
        <v/>
      </c>
      <c r="O519" s="2"/>
      <c r="P519" s="2"/>
      <c r="Q519" s="2" t="str">
        <f>'QBO Transactions'!$T521</f>
        <v/>
      </c>
      <c r="R519" s="2"/>
      <c r="S519" s="2"/>
      <c r="T519" s="2"/>
      <c r="U519" s="2"/>
      <c r="V519" s="2"/>
      <c r="W519" s="2"/>
      <c r="X519" s="2" t="str">
        <f t="shared" si="8"/>
        <v/>
      </c>
      <c r="Y519" s="4" t="str">
        <f>'QBO Transactions'!$Q521</f>
        <v/>
      </c>
      <c r="Z519" s="2"/>
      <c r="AA519" s="2"/>
      <c r="AB519" s="2"/>
      <c r="AC519" s="2"/>
      <c r="AD519" s="2"/>
      <c r="AE519" s="2"/>
    </row>
    <row r="520" spans="1:31" ht="12.75" customHeight="1" x14ac:dyDescent="0.25">
      <c r="A520" s="2"/>
      <c r="B520" s="2" t="str">
        <f>'QBO Transactions'!$U522</f>
        <v/>
      </c>
      <c r="C520" s="3" t="str">
        <f>'QBO Transactions'!$S522</f>
        <v/>
      </c>
      <c r="D520" s="2" t="str">
        <f>'QBO Transactions'!$R522</f>
        <v/>
      </c>
      <c r="E520" s="2"/>
      <c r="F520" s="3" t="str">
        <f>'QBO Transactions'!$X522</f>
        <v/>
      </c>
      <c r="G520" s="2"/>
      <c r="H520" s="2"/>
      <c r="I520" s="2"/>
      <c r="J520" s="2"/>
      <c r="K520" s="2"/>
      <c r="L520" s="2"/>
      <c r="M520" s="2"/>
      <c r="N520" s="2" t="str">
        <f>'QBO Transactions'!$Y522</f>
        <v/>
      </c>
      <c r="O520" s="2"/>
      <c r="P520" s="2"/>
      <c r="Q520" s="2" t="str">
        <f>'QBO Transactions'!$T522</f>
        <v/>
      </c>
      <c r="R520" s="2"/>
      <c r="S520" s="2"/>
      <c r="T520" s="2"/>
      <c r="U520" s="2"/>
      <c r="V520" s="2"/>
      <c r="W520" s="2"/>
      <c r="X520" s="2" t="str">
        <f t="shared" si="8"/>
        <v/>
      </c>
      <c r="Y520" s="4" t="str">
        <f>'QBO Transactions'!$Q522</f>
        <v/>
      </c>
      <c r="Z520" s="2"/>
      <c r="AA520" s="2"/>
      <c r="AB520" s="2"/>
      <c r="AC520" s="2"/>
      <c r="AD520" s="2"/>
      <c r="AE520" s="2"/>
    </row>
    <row r="521" spans="1:31" ht="12.75" customHeight="1" x14ac:dyDescent="0.25">
      <c r="A521" s="2"/>
      <c r="B521" s="2" t="str">
        <f>'QBO Transactions'!$U523</f>
        <v/>
      </c>
      <c r="C521" s="3" t="str">
        <f>'QBO Transactions'!$S523</f>
        <v/>
      </c>
      <c r="D521" s="2" t="str">
        <f>'QBO Transactions'!$R523</f>
        <v/>
      </c>
      <c r="E521" s="2"/>
      <c r="F521" s="3" t="str">
        <f>'QBO Transactions'!$X523</f>
        <v/>
      </c>
      <c r="G521" s="2"/>
      <c r="H521" s="2"/>
      <c r="I521" s="2"/>
      <c r="J521" s="2"/>
      <c r="K521" s="2"/>
      <c r="L521" s="2"/>
      <c r="M521" s="2"/>
      <c r="N521" s="2" t="str">
        <f>'QBO Transactions'!$Y523</f>
        <v/>
      </c>
      <c r="O521" s="2"/>
      <c r="P521" s="2"/>
      <c r="Q521" s="2" t="str">
        <f>'QBO Transactions'!$T523</f>
        <v/>
      </c>
      <c r="R521" s="2"/>
      <c r="S521" s="2"/>
      <c r="T521" s="2"/>
      <c r="U521" s="2"/>
      <c r="V521" s="2"/>
      <c r="W521" s="2"/>
      <c r="X521" s="2" t="str">
        <f t="shared" si="8"/>
        <v/>
      </c>
      <c r="Y521" s="4" t="str">
        <f>'QBO Transactions'!$Q523</f>
        <v/>
      </c>
      <c r="Z521" s="2"/>
      <c r="AA521" s="2"/>
      <c r="AB521" s="2"/>
      <c r="AC521" s="2"/>
      <c r="AD521" s="2"/>
      <c r="AE521" s="2"/>
    </row>
    <row r="522" spans="1:31" ht="12.75" customHeight="1" x14ac:dyDescent="0.25">
      <c r="A522" s="2"/>
      <c r="B522" s="2" t="str">
        <f>'QBO Transactions'!$U524</f>
        <v/>
      </c>
      <c r="C522" s="3" t="str">
        <f>'QBO Transactions'!$S524</f>
        <v/>
      </c>
      <c r="D522" s="2" t="str">
        <f>'QBO Transactions'!$R524</f>
        <v/>
      </c>
      <c r="E522" s="2"/>
      <c r="F522" s="3" t="str">
        <f>'QBO Transactions'!$X524</f>
        <v/>
      </c>
      <c r="G522" s="2"/>
      <c r="H522" s="2"/>
      <c r="I522" s="2"/>
      <c r="J522" s="2"/>
      <c r="K522" s="2"/>
      <c r="L522" s="2"/>
      <c r="M522" s="2"/>
      <c r="N522" s="2" t="str">
        <f>'QBO Transactions'!$Y524</f>
        <v/>
      </c>
      <c r="O522" s="2"/>
      <c r="P522" s="2"/>
      <c r="Q522" s="2" t="str">
        <f>'QBO Transactions'!$T524</f>
        <v/>
      </c>
      <c r="R522" s="2"/>
      <c r="S522" s="2"/>
      <c r="T522" s="2"/>
      <c r="U522" s="2"/>
      <c r="V522" s="2"/>
      <c r="W522" s="2"/>
      <c r="X522" s="2" t="str">
        <f t="shared" si="8"/>
        <v/>
      </c>
      <c r="Y522" s="4" t="str">
        <f>'QBO Transactions'!$Q524</f>
        <v/>
      </c>
      <c r="Z522" s="2"/>
      <c r="AA522" s="2"/>
      <c r="AB522" s="2"/>
      <c r="AC522" s="2"/>
      <c r="AD522" s="2"/>
      <c r="AE522" s="2"/>
    </row>
    <row r="523" spans="1:31" ht="12.75" customHeight="1" x14ac:dyDescent="0.25">
      <c r="A523" s="2"/>
      <c r="B523" s="2" t="str">
        <f>'QBO Transactions'!$U525</f>
        <v/>
      </c>
      <c r="C523" s="3" t="str">
        <f>'QBO Transactions'!$S525</f>
        <v/>
      </c>
      <c r="D523" s="2" t="str">
        <f>'QBO Transactions'!$R525</f>
        <v/>
      </c>
      <c r="E523" s="2"/>
      <c r="F523" s="3" t="str">
        <f>'QBO Transactions'!$X525</f>
        <v/>
      </c>
      <c r="G523" s="2"/>
      <c r="H523" s="2"/>
      <c r="I523" s="2"/>
      <c r="J523" s="2"/>
      <c r="K523" s="2"/>
      <c r="L523" s="2"/>
      <c r="M523" s="2"/>
      <c r="N523" s="2" t="str">
        <f>'QBO Transactions'!$Y525</f>
        <v/>
      </c>
      <c r="O523" s="2"/>
      <c r="P523" s="2"/>
      <c r="Q523" s="2" t="str">
        <f>'QBO Transactions'!$T525</f>
        <v/>
      </c>
      <c r="R523" s="2"/>
      <c r="S523" s="2"/>
      <c r="T523" s="2"/>
      <c r="U523" s="2"/>
      <c r="V523" s="2"/>
      <c r="W523" s="2"/>
      <c r="X523" s="2" t="str">
        <f t="shared" si="8"/>
        <v/>
      </c>
      <c r="Y523" s="4" t="str">
        <f>'QBO Transactions'!$Q525</f>
        <v/>
      </c>
      <c r="Z523" s="2"/>
      <c r="AA523" s="2"/>
      <c r="AB523" s="2"/>
      <c r="AC523" s="2"/>
      <c r="AD523" s="2"/>
      <c r="AE523" s="2"/>
    </row>
    <row r="524" spans="1:31" ht="12.75" customHeight="1" x14ac:dyDescent="0.25">
      <c r="A524" s="2"/>
      <c r="B524" s="2" t="str">
        <f>'QBO Transactions'!$U526</f>
        <v/>
      </c>
      <c r="C524" s="3" t="str">
        <f>'QBO Transactions'!$S526</f>
        <v/>
      </c>
      <c r="D524" s="2" t="str">
        <f>'QBO Transactions'!$R526</f>
        <v/>
      </c>
      <c r="E524" s="2"/>
      <c r="F524" s="3" t="str">
        <f>'QBO Transactions'!$X526</f>
        <v/>
      </c>
      <c r="G524" s="2"/>
      <c r="H524" s="2"/>
      <c r="I524" s="2"/>
      <c r="J524" s="2"/>
      <c r="K524" s="2"/>
      <c r="L524" s="2"/>
      <c r="M524" s="2"/>
      <c r="N524" s="2" t="str">
        <f>'QBO Transactions'!$Y526</f>
        <v/>
      </c>
      <c r="O524" s="2"/>
      <c r="P524" s="2"/>
      <c r="Q524" s="2" t="str">
        <f>'QBO Transactions'!$T526</f>
        <v/>
      </c>
      <c r="R524" s="2"/>
      <c r="S524" s="2"/>
      <c r="T524" s="2"/>
      <c r="U524" s="2"/>
      <c r="V524" s="2"/>
      <c r="W524" s="2"/>
      <c r="X524" s="2" t="str">
        <f t="shared" si="8"/>
        <v/>
      </c>
      <c r="Y524" s="4" t="str">
        <f>'QBO Transactions'!$Q526</f>
        <v/>
      </c>
      <c r="Z524" s="2"/>
      <c r="AA524" s="2"/>
      <c r="AB524" s="2"/>
      <c r="AC524" s="2"/>
      <c r="AD524" s="2"/>
      <c r="AE524" s="2"/>
    </row>
    <row r="525" spans="1:31" ht="12.75" customHeight="1" x14ac:dyDescent="0.25">
      <c r="A525" s="2"/>
      <c r="B525" s="2" t="str">
        <f>'QBO Transactions'!$U527</f>
        <v/>
      </c>
      <c r="C525" s="3" t="str">
        <f>'QBO Transactions'!$S527</f>
        <v/>
      </c>
      <c r="D525" s="2" t="str">
        <f>'QBO Transactions'!$R527</f>
        <v/>
      </c>
      <c r="E525" s="2"/>
      <c r="F525" s="3" t="str">
        <f>'QBO Transactions'!$X527</f>
        <v/>
      </c>
      <c r="G525" s="2"/>
      <c r="H525" s="2"/>
      <c r="I525" s="2"/>
      <c r="J525" s="2"/>
      <c r="K525" s="2"/>
      <c r="L525" s="2"/>
      <c r="M525" s="2"/>
      <c r="N525" s="2" t="str">
        <f>'QBO Transactions'!$Y527</f>
        <v/>
      </c>
      <c r="O525" s="2"/>
      <c r="P525" s="2"/>
      <c r="Q525" s="2" t="str">
        <f>'QBO Transactions'!$T527</f>
        <v/>
      </c>
      <c r="R525" s="2"/>
      <c r="S525" s="2"/>
      <c r="T525" s="2"/>
      <c r="U525" s="2"/>
      <c r="V525" s="2"/>
      <c r="W525" s="2"/>
      <c r="X525" s="2" t="str">
        <f t="shared" si="8"/>
        <v/>
      </c>
      <c r="Y525" s="4" t="str">
        <f>'QBO Transactions'!$Q527</f>
        <v/>
      </c>
      <c r="Z525" s="2"/>
      <c r="AA525" s="2"/>
      <c r="AB525" s="2"/>
      <c r="AC525" s="2"/>
      <c r="AD525" s="2"/>
      <c r="AE525" s="2"/>
    </row>
    <row r="526" spans="1:31" ht="12.75" customHeight="1" x14ac:dyDescent="0.25">
      <c r="A526" s="2"/>
      <c r="B526" s="2" t="str">
        <f>'QBO Transactions'!$U528</f>
        <v/>
      </c>
      <c r="C526" s="3" t="str">
        <f>'QBO Transactions'!$S528</f>
        <v/>
      </c>
      <c r="D526" s="2" t="str">
        <f>'QBO Transactions'!$R528</f>
        <v/>
      </c>
      <c r="E526" s="2"/>
      <c r="F526" s="3" t="str">
        <f>'QBO Transactions'!$X528</f>
        <v/>
      </c>
      <c r="G526" s="2"/>
      <c r="H526" s="2"/>
      <c r="I526" s="2"/>
      <c r="J526" s="2"/>
      <c r="K526" s="2"/>
      <c r="L526" s="2"/>
      <c r="M526" s="2"/>
      <c r="N526" s="2" t="str">
        <f>'QBO Transactions'!$Y528</f>
        <v/>
      </c>
      <c r="O526" s="2"/>
      <c r="P526" s="2"/>
      <c r="Q526" s="2" t="str">
        <f>'QBO Transactions'!$T528</f>
        <v/>
      </c>
      <c r="R526" s="2"/>
      <c r="S526" s="2"/>
      <c r="T526" s="2"/>
      <c r="U526" s="2"/>
      <c r="V526" s="2"/>
      <c r="W526" s="2"/>
      <c r="X526" s="2" t="str">
        <f t="shared" si="8"/>
        <v/>
      </c>
      <c r="Y526" s="4" t="str">
        <f>'QBO Transactions'!$Q528</f>
        <v/>
      </c>
      <c r="Z526" s="2"/>
      <c r="AA526" s="2"/>
      <c r="AB526" s="2"/>
      <c r="AC526" s="2"/>
      <c r="AD526" s="2"/>
      <c r="AE526" s="2"/>
    </row>
    <row r="527" spans="1:31" ht="12.75" customHeight="1" x14ac:dyDescent="0.25">
      <c r="A527" s="2"/>
      <c r="B527" s="2" t="str">
        <f>'QBO Transactions'!$U529</f>
        <v/>
      </c>
      <c r="C527" s="3" t="str">
        <f>'QBO Transactions'!$S529</f>
        <v/>
      </c>
      <c r="D527" s="2" t="str">
        <f>'QBO Transactions'!$R529</f>
        <v/>
      </c>
      <c r="E527" s="2"/>
      <c r="F527" s="3" t="str">
        <f>'QBO Transactions'!$X529</f>
        <v/>
      </c>
      <c r="G527" s="2"/>
      <c r="H527" s="2"/>
      <c r="I527" s="2"/>
      <c r="J527" s="2"/>
      <c r="K527" s="2"/>
      <c r="L527" s="2"/>
      <c r="M527" s="2"/>
      <c r="N527" s="2" t="str">
        <f>'QBO Transactions'!$Y529</f>
        <v/>
      </c>
      <c r="O527" s="2"/>
      <c r="P527" s="2"/>
      <c r="Q527" s="2" t="str">
        <f>'QBO Transactions'!$T529</f>
        <v/>
      </c>
      <c r="R527" s="2"/>
      <c r="S527" s="2"/>
      <c r="T527" s="2"/>
      <c r="U527" s="2"/>
      <c r="V527" s="2"/>
      <c r="W527" s="2"/>
      <c r="X527" s="2" t="str">
        <f t="shared" si="8"/>
        <v/>
      </c>
      <c r="Y527" s="4" t="str">
        <f>'QBO Transactions'!$Q529</f>
        <v/>
      </c>
      <c r="Z527" s="2"/>
      <c r="AA527" s="2"/>
      <c r="AB527" s="2"/>
      <c r="AC527" s="2"/>
      <c r="AD527" s="2"/>
      <c r="AE527" s="2"/>
    </row>
    <row r="528" spans="1:31" ht="12.75" customHeight="1" x14ac:dyDescent="0.25">
      <c r="A528" s="2"/>
      <c r="B528" s="2" t="str">
        <f>'QBO Transactions'!$U530</f>
        <v/>
      </c>
      <c r="C528" s="3" t="str">
        <f>'QBO Transactions'!$S530</f>
        <v/>
      </c>
      <c r="D528" s="2" t="str">
        <f>'QBO Transactions'!$R530</f>
        <v/>
      </c>
      <c r="E528" s="2"/>
      <c r="F528" s="3" t="str">
        <f>'QBO Transactions'!$X530</f>
        <v/>
      </c>
      <c r="G528" s="2"/>
      <c r="H528" s="2"/>
      <c r="I528" s="2"/>
      <c r="J528" s="2"/>
      <c r="K528" s="2"/>
      <c r="L528" s="2"/>
      <c r="M528" s="2"/>
      <c r="N528" s="2" t="str">
        <f>'QBO Transactions'!$Y530</f>
        <v/>
      </c>
      <c r="O528" s="2"/>
      <c r="P528" s="2"/>
      <c r="Q528" s="2" t="str">
        <f>'QBO Transactions'!$T530</f>
        <v/>
      </c>
      <c r="R528" s="2"/>
      <c r="S528" s="2"/>
      <c r="T528" s="2"/>
      <c r="U528" s="2"/>
      <c r="V528" s="2"/>
      <c r="W528" s="2"/>
      <c r="X528" s="2" t="str">
        <f t="shared" si="8"/>
        <v/>
      </c>
      <c r="Y528" s="4" t="str">
        <f>'QBO Transactions'!$Q530</f>
        <v/>
      </c>
      <c r="Z528" s="2"/>
      <c r="AA528" s="2"/>
      <c r="AB528" s="2"/>
      <c r="AC528" s="2"/>
      <c r="AD528" s="2"/>
      <c r="AE528" s="2"/>
    </row>
    <row r="529" spans="1:31" ht="12.75" customHeight="1" x14ac:dyDescent="0.25">
      <c r="A529" s="2"/>
      <c r="B529" s="2" t="str">
        <f>'QBO Transactions'!$U531</f>
        <v/>
      </c>
      <c r="C529" s="3" t="str">
        <f>'QBO Transactions'!$S531</f>
        <v/>
      </c>
      <c r="D529" s="2" t="str">
        <f>'QBO Transactions'!$R531</f>
        <v/>
      </c>
      <c r="E529" s="2"/>
      <c r="F529" s="3" t="str">
        <f>'QBO Transactions'!$X531</f>
        <v/>
      </c>
      <c r="G529" s="2"/>
      <c r="H529" s="2"/>
      <c r="I529" s="2"/>
      <c r="J529" s="2"/>
      <c r="K529" s="2"/>
      <c r="L529" s="2"/>
      <c r="M529" s="2"/>
      <c r="N529" s="2" t="str">
        <f>'QBO Transactions'!$Y531</f>
        <v/>
      </c>
      <c r="O529" s="2"/>
      <c r="P529" s="2"/>
      <c r="Q529" s="2" t="str">
        <f>'QBO Transactions'!$T531</f>
        <v/>
      </c>
      <c r="R529" s="2"/>
      <c r="S529" s="2"/>
      <c r="T529" s="2"/>
      <c r="U529" s="2"/>
      <c r="V529" s="2"/>
      <c r="W529" s="2"/>
      <c r="X529" s="2" t="str">
        <f t="shared" si="8"/>
        <v/>
      </c>
      <c r="Y529" s="4" t="str">
        <f>'QBO Transactions'!$Q531</f>
        <v/>
      </c>
      <c r="Z529" s="2"/>
      <c r="AA529" s="2"/>
      <c r="AB529" s="2"/>
      <c r="AC529" s="2"/>
      <c r="AD529" s="2"/>
      <c r="AE529" s="2"/>
    </row>
    <row r="530" spans="1:31" ht="12.75" customHeight="1" x14ac:dyDescent="0.25">
      <c r="A530" s="2"/>
      <c r="B530" s="2" t="str">
        <f>'QBO Transactions'!$U532</f>
        <v/>
      </c>
      <c r="C530" s="3" t="str">
        <f>'QBO Transactions'!$S532</f>
        <v/>
      </c>
      <c r="D530" s="2" t="str">
        <f>'QBO Transactions'!$R532</f>
        <v/>
      </c>
      <c r="E530" s="2"/>
      <c r="F530" s="3" t="str">
        <f>'QBO Transactions'!$X532</f>
        <v/>
      </c>
      <c r="G530" s="2"/>
      <c r="H530" s="2"/>
      <c r="I530" s="2"/>
      <c r="J530" s="2"/>
      <c r="K530" s="2"/>
      <c r="L530" s="2"/>
      <c r="M530" s="2"/>
      <c r="N530" s="2" t="str">
        <f>'QBO Transactions'!$Y532</f>
        <v/>
      </c>
      <c r="O530" s="2"/>
      <c r="P530" s="2"/>
      <c r="Q530" s="2" t="str">
        <f>'QBO Transactions'!$T532</f>
        <v/>
      </c>
      <c r="R530" s="2"/>
      <c r="S530" s="2"/>
      <c r="T530" s="2"/>
      <c r="U530" s="2"/>
      <c r="V530" s="2"/>
      <c r="W530" s="2"/>
      <c r="X530" s="2" t="str">
        <f t="shared" si="8"/>
        <v/>
      </c>
      <c r="Y530" s="4" t="str">
        <f>'QBO Transactions'!$Q532</f>
        <v/>
      </c>
      <c r="Z530" s="2"/>
      <c r="AA530" s="2"/>
      <c r="AB530" s="2"/>
      <c r="AC530" s="2"/>
      <c r="AD530" s="2"/>
      <c r="AE530" s="2"/>
    </row>
    <row r="531" spans="1:31" ht="12.75" customHeight="1" x14ac:dyDescent="0.25">
      <c r="A531" s="2"/>
      <c r="B531" s="2" t="str">
        <f>'QBO Transactions'!$U533</f>
        <v/>
      </c>
      <c r="C531" s="3" t="str">
        <f>'QBO Transactions'!$S533</f>
        <v/>
      </c>
      <c r="D531" s="2" t="str">
        <f>'QBO Transactions'!$R533</f>
        <v/>
      </c>
      <c r="E531" s="2"/>
      <c r="F531" s="3" t="str">
        <f>'QBO Transactions'!$X533</f>
        <v/>
      </c>
      <c r="G531" s="2"/>
      <c r="H531" s="2"/>
      <c r="I531" s="2"/>
      <c r="J531" s="2"/>
      <c r="K531" s="2"/>
      <c r="L531" s="2"/>
      <c r="M531" s="2"/>
      <c r="N531" s="2" t="str">
        <f>'QBO Transactions'!$Y533</f>
        <v/>
      </c>
      <c r="O531" s="2"/>
      <c r="P531" s="2"/>
      <c r="Q531" s="2" t="str">
        <f>'QBO Transactions'!$T533</f>
        <v/>
      </c>
      <c r="R531" s="2"/>
      <c r="S531" s="2"/>
      <c r="T531" s="2"/>
      <c r="U531" s="2"/>
      <c r="V531" s="2"/>
      <c r="W531" s="2"/>
      <c r="X531" s="2" t="str">
        <f t="shared" si="8"/>
        <v/>
      </c>
      <c r="Y531" s="4" t="str">
        <f>'QBO Transactions'!$Q533</f>
        <v/>
      </c>
      <c r="Z531" s="2"/>
      <c r="AA531" s="2"/>
      <c r="AB531" s="2"/>
      <c r="AC531" s="2"/>
      <c r="AD531" s="2"/>
      <c r="AE531" s="2"/>
    </row>
    <row r="532" spans="1:31" ht="12.75" customHeight="1" x14ac:dyDescent="0.25">
      <c r="A532" s="2"/>
      <c r="B532" s="2" t="str">
        <f>'QBO Transactions'!$U534</f>
        <v/>
      </c>
      <c r="C532" s="3" t="str">
        <f>'QBO Transactions'!$S534</f>
        <v/>
      </c>
      <c r="D532" s="2" t="str">
        <f>'QBO Transactions'!$R534</f>
        <v/>
      </c>
      <c r="E532" s="2"/>
      <c r="F532" s="3" t="str">
        <f>'QBO Transactions'!$X534</f>
        <v/>
      </c>
      <c r="G532" s="2"/>
      <c r="H532" s="2"/>
      <c r="I532" s="2"/>
      <c r="J532" s="2"/>
      <c r="K532" s="2"/>
      <c r="L532" s="2"/>
      <c r="M532" s="2"/>
      <c r="N532" s="2" t="str">
        <f>'QBO Transactions'!$Y534</f>
        <v/>
      </c>
      <c r="O532" s="2"/>
      <c r="P532" s="2"/>
      <c r="Q532" s="2" t="str">
        <f>'QBO Transactions'!$T534</f>
        <v/>
      </c>
      <c r="R532" s="2"/>
      <c r="S532" s="2"/>
      <c r="T532" s="2"/>
      <c r="U532" s="2"/>
      <c r="V532" s="2"/>
      <c r="W532" s="2"/>
      <c r="X532" s="2" t="str">
        <f t="shared" si="8"/>
        <v/>
      </c>
      <c r="Y532" s="4" t="str">
        <f>'QBO Transactions'!$Q534</f>
        <v/>
      </c>
      <c r="Z532" s="2"/>
      <c r="AA532" s="2"/>
      <c r="AB532" s="2"/>
      <c r="AC532" s="2"/>
      <c r="AD532" s="2"/>
      <c r="AE532" s="2"/>
    </row>
    <row r="533" spans="1:31" ht="12.75" customHeight="1" x14ac:dyDescent="0.25">
      <c r="A533" s="2"/>
      <c r="B533" s="2" t="str">
        <f>'QBO Transactions'!$U535</f>
        <v/>
      </c>
      <c r="C533" s="3" t="str">
        <f>'QBO Transactions'!$S535</f>
        <v/>
      </c>
      <c r="D533" s="2" t="str">
        <f>'QBO Transactions'!$R535</f>
        <v/>
      </c>
      <c r="E533" s="2"/>
      <c r="F533" s="3" t="str">
        <f>'QBO Transactions'!$X535</f>
        <v/>
      </c>
      <c r="G533" s="2"/>
      <c r="H533" s="2"/>
      <c r="I533" s="2"/>
      <c r="J533" s="2"/>
      <c r="K533" s="2"/>
      <c r="L533" s="2"/>
      <c r="M533" s="2"/>
      <c r="N533" s="2" t="str">
        <f>'QBO Transactions'!$Y535</f>
        <v/>
      </c>
      <c r="O533" s="2"/>
      <c r="P533" s="2"/>
      <c r="Q533" s="2" t="str">
        <f>'QBO Transactions'!$T535</f>
        <v/>
      </c>
      <c r="R533" s="2"/>
      <c r="S533" s="2"/>
      <c r="T533" s="2"/>
      <c r="U533" s="2"/>
      <c r="V533" s="2"/>
      <c r="W533" s="2"/>
      <c r="X533" s="2" t="str">
        <f t="shared" si="8"/>
        <v/>
      </c>
      <c r="Y533" s="4" t="str">
        <f>'QBO Transactions'!$Q535</f>
        <v/>
      </c>
      <c r="Z533" s="2"/>
      <c r="AA533" s="2"/>
      <c r="AB533" s="2"/>
      <c r="AC533" s="2"/>
      <c r="AD533" s="2"/>
      <c r="AE533" s="2"/>
    </row>
    <row r="534" spans="1:31" ht="12.75" customHeight="1" x14ac:dyDescent="0.25">
      <c r="A534" s="2"/>
      <c r="B534" s="2" t="str">
        <f>'QBO Transactions'!$U536</f>
        <v/>
      </c>
      <c r="C534" s="3" t="str">
        <f>'QBO Transactions'!$S536</f>
        <v/>
      </c>
      <c r="D534" s="2" t="str">
        <f>'QBO Transactions'!$R536</f>
        <v/>
      </c>
      <c r="E534" s="2"/>
      <c r="F534" s="3" t="str">
        <f>'QBO Transactions'!$X536</f>
        <v/>
      </c>
      <c r="G534" s="2"/>
      <c r="H534" s="2"/>
      <c r="I534" s="2"/>
      <c r="J534" s="2"/>
      <c r="K534" s="2"/>
      <c r="L534" s="2"/>
      <c r="M534" s="2"/>
      <c r="N534" s="2" t="str">
        <f>'QBO Transactions'!$Y536</f>
        <v/>
      </c>
      <c r="O534" s="2"/>
      <c r="P534" s="2"/>
      <c r="Q534" s="2" t="str">
        <f>'QBO Transactions'!$T536</f>
        <v/>
      </c>
      <c r="R534" s="2"/>
      <c r="S534" s="2"/>
      <c r="T534" s="2"/>
      <c r="U534" s="2"/>
      <c r="V534" s="2"/>
      <c r="W534" s="2"/>
      <c r="X534" s="2" t="str">
        <f t="shared" si="8"/>
        <v/>
      </c>
      <c r="Y534" s="4" t="str">
        <f>'QBO Transactions'!$Q536</f>
        <v/>
      </c>
      <c r="Z534" s="2"/>
      <c r="AA534" s="2"/>
      <c r="AB534" s="2"/>
      <c r="AC534" s="2"/>
      <c r="AD534" s="2"/>
      <c r="AE534" s="2"/>
    </row>
    <row r="535" spans="1:31" ht="12.75" customHeight="1" x14ac:dyDescent="0.25">
      <c r="A535" s="2"/>
      <c r="B535" s="2" t="str">
        <f>'QBO Transactions'!$U537</f>
        <v/>
      </c>
      <c r="C535" s="3" t="str">
        <f>'QBO Transactions'!$S537</f>
        <v/>
      </c>
      <c r="D535" s="2" t="str">
        <f>'QBO Transactions'!$R537</f>
        <v/>
      </c>
      <c r="E535" s="2"/>
      <c r="F535" s="3" t="str">
        <f>'QBO Transactions'!$X537</f>
        <v/>
      </c>
      <c r="G535" s="2"/>
      <c r="H535" s="2"/>
      <c r="I535" s="2"/>
      <c r="J535" s="2"/>
      <c r="K535" s="2"/>
      <c r="L535" s="2"/>
      <c r="M535" s="2"/>
      <c r="N535" s="2" t="str">
        <f>'QBO Transactions'!$Y537</f>
        <v/>
      </c>
      <c r="O535" s="2"/>
      <c r="P535" s="2"/>
      <c r="Q535" s="2" t="str">
        <f>'QBO Transactions'!$T537</f>
        <v/>
      </c>
      <c r="R535" s="2"/>
      <c r="S535" s="2"/>
      <c r="T535" s="2"/>
      <c r="U535" s="2"/>
      <c r="V535" s="2"/>
      <c r="W535" s="2"/>
      <c r="X535" s="2" t="str">
        <f t="shared" si="8"/>
        <v/>
      </c>
      <c r="Y535" s="4" t="str">
        <f>'QBO Transactions'!$Q537</f>
        <v/>
      </c>
      <c r="Z535" s="2"/>
      <c r="AA535" s="2"/>
      <c r="AB535" s="2"/>
      <c r="AC535" s="2"/>
      <c r="AD535" s="2"/>
      <c r="AE535" s="2"/>
    </row>
    <row r="536" spans="1:31" ht="12.75" customHeight="1" x14ac:dyDescent="0.25">
      <c r="A536" s="2"/>
      <c r="B536" s="2" t="str">
        <f>'QBO Transactions'!$U538</f>
        <v/>
      </c>
      <c r="C536" s="3" t="str">
        <f>'QBO Transactions'!$S538</f>
        <v/>
      </c>
      <c r="D536" s="2" t="str">
        <f>'QBO Transactions'!$R538</f>
        <v/>
      </c>
      <c r="E536" s="2"/>
      <c r="F536" s="3" t="str">
        <f>'QBO Transactions'!$X538</f>
        <v/>
      </c>
      <c r="G536" s="2"/>
      <c r="H536" s="2"/>
      <c r="I536" s="2"/>
      <c r="J536" s="2"/>
      <c r="K536" s="2"/>
      <c r="L536" s="2"/>
      <c r="M536" s="2"/>
      <c r="N536" s="2" t="str">
        <f>'QBO Transactions'!$Y538</f>
        <v/>
      </c>
      <c r="O536" s="2"/>
      <c r="P536" s="2"/>
      <c r="Q536" s="2" t="str">
        <f>'QBO Transactions'!$T538</f>
        <v/>
      </c>
      <c r="R536" s="2"/>
      <c r="S536" s="2"/>
      <c r="T536" s="2"/>
      <c r="U536" s="2"/>
      <c r="V536" s="2"/>
      <c r="W536" s="2"/>
      <c r="X536" s="2" t="str">
        <f t="shared" si="8"/>
        <v/>
      </c>
      <c r="Y536" s="4" t="str">
        <f>'QBO Transactions'!$Q538</f>
        <v/>
      </c>
      <c r="Z536" s="2"/>
      <c r="AA536" s="2"/>
      <c r="AB536" s="2"/>
      <c r="AC536" s="2"/>
      <c r="AD536" s="2"/>
      <c r="AE536" s="2"/>
    </row>
    <row r="537" spans="1:31" ht="12.75" customHeight="1" x14ac:dyDescent="0.25">
      <c r="A537" s="2"/>
      <c r="B537" s="2" t="str">
        <f>'QBO Transactions'!$U539</f>
        <v/>
      </c>
      <c r="C537" s="3" t="str">
        <f>'QBO Transactions'!$S539</f>
        <v/>
      </c>
      <c r="D537" s="2" t="str">
        <f>'QBO Transactions'!$R539</f>
        <v/>
      </c>
      <c r="E537" s="2"/>
      <c r="F537" s="3" t="str">
        <f>'QBO Transactions'!$X539</f>
        <v/>
      </c>
      <c r="G537" s="2"/>
      <c r="H537" s="2"/>
      <c r="I537" s="2"/>
      <c r="J537" s="2"/>
      <c r="K537" s="2"/>
      <c r="L537" s="2"/>
      <c r="M537" s="2"/>
      <c r="N537" s="2" t="str">
        <f>'QBO Transactions'!$Y539</f>
        <v/>
      </c>
      <c r="O537" s="2"/>
      <c r="P537" s="2"/>
      <c r="Q537" s="2" t="str">
        <f>'QBO Transactions'!$T539</f>
        <v/>
      </c>
      <c r="R537" s="2"/>
      <c r="S537" s="2"/>
      <c r="T537" s="2"/>
      <c r="U537" s="2"/>
      <c r="V537" s="2"/>
      <c r="W537" s="2"/>
      <c r="X537" s="2" t="str">
        <f t="shared" si="8"/>
        <v/>
      </c>
      <c r="Y537" s="4" t="str">
        <f>'QBO Transactions'!$Q539</f>
        <v/>
      </c>
      <c r="Z537" s="2"/>
      <c r="AA537" s="2"/>
      <c r="AB537" s="2"/>
      <c r="AC537" s="2"/>
      <c r="AD537" s="2"/>
      <c r="AE537" s="2"/>
    </row>
    <row r="538" spans="1:31" ht="12.75" customHeight="1" x14ac:dyDescent="0.25">
      <c r="A538" s="2"/>
      <c r="B538" s="2" t="str">
        <f>'QBO Transactions'!$U540</f>
        <v/>
      </c>
      <c r="C538" s="3" t="str">
        <f>'QBO Transactions'!$S540</f>
        <v/>
      </c>
      <c r="D538" s="2" t="str">
        <f>'QBO Transactions'!$R540</f>
        <v/>
      </c>
      <c r="E538" s="2"/>
      <c r="F538" s="3" t="str">
        <f>'QBO Transactions'!$X540</f>
        <v/>
      </c>
      <c r="G538" s="2"/>
      <c r="H538" s="2"/>
      <c r="I538" s="2"/>
      <c r="J538" s="2"/>
      <c r="K538" s="2"/>
      <c r="L538" s="2"/>
      <c r="M538" s="2"/>
      <c r="N538" s="2" t="str">
        <f>'QBO Transactions'!$Y540</f>
        <v/>
      </c>
      <c r="O538" s="2"/>
      <c r="P538" s="2"/>
      <c r="Q538" s="2" t="str">
        <f>'QBO Transactions'!$T540</f>
        <v/>
      </c>
      <c r="R538" s="2"/>
      <c r="S538" s="2"/>
      <c r="T538" s="2"/>
      <c r="U538" s="2"/>
      <c r="V538" s="2"/>
      <c r="W538" s="2"/>
      <c r="X538" s="2" t="str">
        <f t="shared" si="8"/>
        <v/>
      </c>
      <c r="Y538" s="4" t="str">
        <f>'QBO Transactions'!$Q540</f>
        <v/>
      </c>
      <c r="Z538" s="2"/>
      <c r="AA538" s="2"/>
      <c r="AB538" s="2"/>
      <c r="AC538" s="2"/>
      <c r="AD538" s="2"/>
      <c r="AE538" s="2"/>
    </row>
    <row r="539" spans="1:31" ht="12.75" customHeight="1" x14ac:dyDescent="0.25">
      <c r="A539" s="2"/>
      <c r="B539" s="2" t="str">
        <f>'QBO Transactions'!$U541</f>
        <v/>
      </c>
      <c r="C539" s="3" t="str">
        <f>'QBO Transactions'!$S541</f>
        <v/>
      </c>
      <c r="D539" s="2" t="str">
        <f>'QBO Transactions'!$R541</f>
        <v/>
      </c>
      <c r="E539" s="2"/>
      <c r="F539" s="3" t="str">
        <f>'QBO Transactions'!$X541</f>
        <v/>
      </c>
      <c r="G539" s="2"/>
      <c r="H539" s="2"/>
      <c r="I539" s="2"/>
      <c r="J539" s="2"/>
      <c r="K539" s="2"/>
      <c r="L539" s="2"/>
      <c r="M539" s="2"/>
      <c r="N539" s="2" t="str">
        <f>'QBO Transactions'!$Y541</f>
        <v/>
      </c>
      <c r="O539" s="2"/>
      <c r="P539" s="2"/>
      <c r="Q539" s="2" t="str">
        <f>'QBO Transactions'!$T541</f>
        <v/>
      </c>
      <c r="R539" s="2"/>
      <c r="S539" s="2"/>
      <c r="T539" s="2"/>
      <c r="U539" s="2"/>
      <c r="V539" s="2"/>
      <c r="W539" s="2"/>
      <c r="X539" s="2" t="str">
        <f t="shared" si="8"/>
        <v/>
      </c>
      <c r="Y539" s="4" t="str">
        <f>'QBO Transactions'!$Q541</f>
        <v/>
      </c>
      <c r="Z539" s="2"/>
      <c r="AA539" s="2"/>
      <c r="AB539" s="2"/>
      <c r="AC539" s="2"/>
      <c r="AD539" s="2"/>
      <c r="AE539" s="2"/>
    </row>
    <row r="540" spans="1:31" ht="12.75" customHeight="1" x14ac:dyDescent="0.25">
      <c r="A540" s="2"/>
      <c r="B540" s="2" t="str">
        <f>'QBO Transactions'!$U542</f>
        <v/>
      </c>
      <c r="C540" s="3" t="str">
        <f>'QBO Transactions'!$S542</f>
        <v/>
      </c>
      <c r="D540" s="2" t="str">
        <f>'QBO Transactions'!$R542</f>
        <v/>
      </c>
      <c r="E540" s="2"/>
      <c r="F540" s="3" t="str">
        <f>'QBO Transactions'!$X542</f>
        <v/>
      </c>
      <c r="G540" s="2"/>
      <c r="H540" s="2"/>
      <c r="I540" s="2"/>
      <c r="J540" s="2"/>
      <c r="K540" s="2"/>
      <c r="L540" s="2"/>
      <c r="M540" s="2"/>
      <c r="N540" s="2" t="str">
        <f>'QBO Transactions'!$Y542</f>
        <v/>
      </c>
      <c r="O540" s="2"/>
      <c r="P540" s="2"/>
      <c r="Q540" s="2" t="str">
        <f>'QBO Transactions'!$T542</f>
        <v/>
      </c>
      <c r="R540" s="2"/>
      <c r="S540" s="2"/>
      <c r="T540" s="2"/>
      <c r="U540" s="2"/>
      <c r="V540" s="2"/>
      <c r="W540" s="2"/>
      <c r="X540" s="2" t="str">
        <f t="shared" si="8"/>
        <v/>
      </c>
      <c r="Y540" s="4" t="str">
        <f>'QBO Transactions'!$Q542</f>
        <v/>
      </c>
      <c r="Z540" s="2"/>
      <c r="AA540" s="2"/>
      <c r="AB540" s="2"/>
      <c r="AC540" s="2"/>
      <c r="AD540" s="2"/>
      <c r="AE540" s="2"/>
    </row>
    <row r="541" spans="1:31" ht="12.75" customHeight="1" x14ac:dyDescent="0.25">
      <c r="A541" s="2"/>
      <c r="B541" s="2" t="str">
        <f>'QBO Transactions'!$U543</f>
        <v/>
      </c>
      <c r="C541" s="3" t="str">
        <f>'QBO Transactions'!$S543</f>
        <v/>
      </c>
      <c r="D541" s="2" t="str">
        <f>'QBO Transactions'!$R543</f>
        <v/>
      </c>
      <c r="E541" s="2"/>
      <c r="F541" s="3" t="str">
        <f>'QBO Transactions'!$X543</f>
        <v/>
      </c>
      <c r="G541" s="2"/>
      <c r="H541" s="2"/>
      <c r="I541" s="2"/>
      <c r="J541" s="2"/>
      <c r="K541" s="2"/>
      <c r="L541" s="2"/>
      <c r="M541" s="2"/>
      <c r="N541" s="2" t="str">
        <f>'QBO Transactions'!$Y543</f>
        <v/>
      </c>
      <c r="O541" s="2"/>
      <c r="P541" s="2"/>
      <c r="Q541" s="2" t="str">
        <f>'QBO Transactions'!$T543</f>
        <v/>
      </c>
      <c r="R541" s="2"/>
      <c r="S541" s="2"/>
      <c r="T541" s="2"/>
      <c r="U541" s="2"/>
      <c r="V541" s="2"/>
      <c r="W541" s="2"/>
      <c r="X541" s="2" t="str">
        <f t="shared" si="8"/>
        <v/>
      </c>
      <c r="Y541" s="4" t="str">
        <f>'QBO Transactions'!$Q543</f>
        <v/>
      </c>
      <c r="Z541" s="2"/>
      <c r="AA541" s="2"/>
      <c r="AB541" s="2"/>
      <c r="AC541" s="2"/>
      <c r="AD541" s="2"/>
      <c r="AE541" s="2"/>
    </row>
    <row r="542" spans="1:31" ht="12.75" customHeight="1" x14ac:dyDescent="0.25">
      <c r="A542" s="2"/>
      <c r="B542" s="2" t="str">
        <f>'QBO Transactions'!$U544</f>
        <v/>
      </c>
      <c r="C542" s="3" t="str">
        <f>'QBO Transactions'!$S544</f>
        <v/>
      </c>
      <c r="D542" s="2" t="str">
        <f>'QBO Transactions'!$R544</f>
        <v/>
      </c>
      <c r="E542" s="2"/>
      <c r="F542" s="3" t="str">
        <f>'QBO Transactions'!$X544</f>
        <v/>
      </c>
      <c r="G542" s="2"/>
      <c r="H542" s="2"/>
      <c r="I542" s="2"/>
      <c r="J542" s="2"/>
      <c r="K542" s="2"/>
      <c r="L542" s="2"/>
      <c r="M542" s="2"/>
      <c r="N542" s="2" t="str">
        <f>'QBO Transactions'!$Y544</f>
        <v/>
      </c>
      <c r="O542" s="2"/>
      <c r="P542" s="2"/>
      <c r="Q542" s="2" t="str">
        <f>'QBO Transactions'!$T544</f>
        <v/>
      </c>
      <c r="R542" s="2"/>
      <c r="S542" s="2"/>
      <c r="T542" s="2"/>
      <c r="U542" s="2"/>
      <c r="V542" s="2"/>
      <c r="W542" s="2"/>
      <c r="X542" s="2" t="str">
        <f t="shared" si="8"/>
        <v/>
      </c>
      <c r="Y542" s="4" t="str">
        <f>'QBO Transactions'!$Q544</f>
        <v/>
      </c>
      <c r="Z542" s="2"/>
      <c r="AA542" s="2"/>
      <c r="AB542" s="2"/>
      <c r="AC542" s="2"/>
      <c r="AD542" s="2"/>
      <c r="AE542" s="2"/>
    </row>
    <row r="543" spans="1:31" ht="12.75" customHeight="1" x14ac:dyDescent="0.25">
      <c r="A543" s="2"/>
      <c r="B543" s="2" t="str">
        <f>'QBO Transactions'!$U545</f>
        <v/>
      </c>
      <c r="C543" s="3" t="str">
        <f>'QBO Transactions'!$S545</f>
        <v/>
      </c>
      <c r="D543" s="2" t="str">
        <f>'QBO Transactions'!$R545</f>
        <v/>
      </c>
      <c r="E543" s="2"/>
      <c r="F543" s="3" t="str">
        <f>'QBO Transactions'!$X545</f>
        <v/>
      </c>
      <c r="G543" s="2"/>
      <c r="H543" s="2"/>
      <c r="I543" s="2"/>
      <c r="J543" s="2"/>
      <c r="K543" s="2"/>
      <c r="L543" s="2"/>
      <c r="M543" s="2"/>
      <c r="N543" s="2" t="str">
        <f>'QBO Transactions'!$Y545</f>
        <v/>
      </c>
      <c r="O543" s="2"/>
      <c r="P543" s="2"/>
      <c r="Q543" s="2" t="str">
        <f>'QBO Transactions'!$T545</f>
        <v/>
      </c>
      <c r="R543" s="2"/>
      <c r="S543" s="2"/>
      <c r="T543" s="2"/>
      <c r="U543" s="2"/>
      <c r="V543" s="2"/>
      <c r="W543" s="2"/>
      <c r="X543" s="2" t="str">
        <f t="shared" si="8"/>
        <v/>
      </c>
      <c r="Y543" s="4" t="str">
        <f>'QBO Transactions'!$Q545</f>
        <v/>
      </c>
      <c r="Z543" s="2"/>
      <c r="AA543" s="2"/>
      <c r="AB543" s="2"/>
      <c r="AC543" s="2"/>
      <c r="AD543" s="2"/>
      <c r="AE543" s="2"/>
    </row>
    <row r="544" spans="1:31" ht="12.75" customHeight="1" x14ac:dyDescent="0.25">
      <c r="A544" s="2"/>
      <c r="B544" s="2" t="str">
        <f>'QBO Transactions'!$U546</f>
        <v/>
      </c>
      <c r="C544" s="3" t="str">
        <f>'QBO Transactions'!$S546</f>
        <v/>
      </c>
      <c r="D544" s="2" t="str">
        <f>'QBO Transactions'!$R546</f>
        <v/>
      </c>
      <c r="E544" s="2"/>
      <c r="F544" s="3" t="str">
        <f>'QBO Transactions'!$X546</f>
        <v/>
      </c>
      <c r="G544" s="2"/>
      <c r="H544" s="2"/>
      <c r="I544" s="2"/>
      <c r="J544" s="2"/>
      <c r="K544" s="2"/>
      <c r="L544" s="2"/>
      <c r="M544" s="2"/>
      <c r="N544" s="2" t="str">
        <f>'QBO Transactions'!$Y546</f>
        <v/>
      </c>
      <c r="O544" s="2"/>
      <c r="P544" s="2"/>
      <c r="Q544" s="2" t="str">
        <f>'QBO Transactions'!$T546</f>
        <v/>
      </c>
      <c r="R544" s="2"/>
      <c r="S544" s="2"/>
      <c r="T544" s="2"/>
      <c r="U544" s="2"/>
      <c r="V544" s="2"/>
      <c r="W544" s="2"/>
      <c r="X544" s="2" t="str">
        <f t="shared" si="8"/>
        <v/>
      </c>
      <c r="Y544" s="4" t="str">
        <f>'QBO Transactions'!$Q546</f>
        <v/>
      </c>
      <c r="Z544" s="2"/>
      <c r="AA544" s="2"/>
      <c r="AB544" s="2"/>
      <c r="AC544" s="2"/>
      <c r="AD544" s="2"/>
      <c r="AE544" s="2"/>
    </row>
    <row r="545" spans="1:31" ht="12.75" customHeight="1" x14ac:dyDescent="0.25">
      <c r="A545" s="2"/>
      <c r="B545" s="2" t="str">
        <f>'QBO Transactions'!$U547</f>
        <v/>
      </c>
      <c r="C545" s="3" t="str">
        <f>'QBO Transactions'!$S547</f>
        <v/>
      </c>
      <c r="D545" s="2" t="str">
        <f>'QBO Transactions'!$R547</f>
        <v/>
      </c>
      <c r="E545" s="2"/>
      <c r="F545" s="3" t="str">
        <f>'QBO Transactions'!$X547</f>
        <v/>
      </c>
      <c r="G545" s="2"/>
      <c r="H545" s="2"/>
      <c r="I545" s="2"/>
      <c r="J545" s="2"/>
      <c r="K545" s="2"/>
      <c r="L545" s="2"/>
      <c r="M545" s="2"/>
      <c r="N545" s="2" t="str">
        <f>'QBO Transactions'!$Y547</f>
        <v/>
      </c>
      <c r="O545" s="2"/>
      <c r="P545" s="2"/>
      <c r="Q545" s="2" t="str">
        <f>'QBO Transactions'!$T547</f>
        <v/>
      </c>
      <c r="R545" s="2"/>
      <c r="S545" s="2"/>
      <c r="T545" s="2"/>
      <c r="U545" s="2"/>
      <c r="V545" s="2"/>
      <c r="W545" s="2"/>
      <c r="X545" s="2" t="str">
        <f t="shared" si="8"/>
        <v/>
      </c>
      <c r="Y545" s="4" t="str">
        <f>'QBO Transactions'!$Q547</f>
        <v/>
      </c>
      <c r="Z545" s="2"/>
      <c r="AA545" s="2"/>
      <c r="AB545" s="2"/>
      <c r="AC545" s="2"/>
      <c r="AD545" s="2"/>
      <c r="AE545" s="2"/>
    </row>
    <row r="546" spans="1:31" ht="12.75" customHeight="1" x14ac:dyDescent="0.25">
      <c r="A546" s="2"/>
      <c r="B546" s="2" t="str">
        <f>'QBO Transactions'!$U548</f>
        <v/>
      </c>
      <c r="C546" s="3" t="str">
        <f>'QBO Transactions'!$S548</f>
        <v/>
      </c>
      <c r="D546" s="2" t="str">
        <f>'QBO Transactions'!$R548</f>
        <v/>
      </c>
      <c r="E546" s="2"/>
      <c r="F546" s="3" t="str">
        <f>'QBO Transactions'!$X548</f>
        <v/>
      </c>
      <c r="G546" s="2"/>
      <c r="H546" s="2"/>
      <c r="I546" s="2"/>
      <c r="J546" s="2"/>
      <c r="K546" s="2"/>
      <c r="L546" s="2"/>
      <c r="M546" s="2"/>
      <c r="N546" s="2" t="str">
        <f>'QBO Transactions'!$Y548</f>
        <v/>
      </c>
      <c r="O546" s="2"/>
      <c r="P546" s="2"/>
      <c r="Q546" s="2" t="str">
        <f>'QBO Transactions'!$T548</f>
        <v/>
      </c>
      <c r="R546" s="2"/>
      <c r="S546" s="2"/>
      <c r="T546" s="2"/>
      <c r="U546" s="2"/>
      <c r="V546" s="2"/>
      <c r="W546" s="2"/>
      <c r="X546" s="2" t="str">
        <f t="shared" si="8"/>
        <v/>
      </c>
      <c r="Y546" s="4" t="str">
        <f>'QBO Transactions'!$Q548</f>
        <v/>
      </c>
      <c r="Z546" s="2"/>
      <c r="AA546" s="2"/>
      <c r="AB546" s="2"/>
      <c r="AC546" s="2"/>
      <c r="AD546" s="2"/>
      <c r="AE546" s="2"/>
    </row>
    <row r="547" spans="1:31" ht="12.75" customHeight="1" x14ac:dyDescent="0.25">
      <c r="A547" s="2"/>
      <c r="B547" s="2" t="str">
        <f>'QBO Transactions'!$U549</f>
        <v/>
      </c>
      <c r="C547" s="3" t="str">
        <f>'QBO Transactions'!$S549</f>
        <v/>
      </c>
      <c r="D547" s="2" t="str">
        <f>'QBO Transactions'!$R549</f>
        <v/>
      </c>
      <c r="E547" s="2"/>
      <c r="F547" s="3" t="str">
        <f>'QBO Transactions'!$X549</f>
        <v/>
      </c>
      <c r="G547" s="2"/>
      <c r="H547" s="2"/>
      <c r="I547" s="2"/>
      <c r="J547" s="2"/>
      <c r="K547" s="2"/>
      <c r="L547" s="2"/>
      <c r="M547" s="2"/>
      <c r="N547" s="2" t="str">
        <f>'QBO Transactions'!$Y549</f>
        <v/>
      </c>
      <c r="O547" s="2"/>
      <c r="P547" s="2"/>
      <c r="Q547" s="2" t="str">
        <f>'QBO Transactions'!$T549</f>
        <v/>
      </c>
      <c r="R547" s="2"/>
      <c r="S547" s="2"/>
      <c r="T547" s="2"/>
      <c r="U547" s="2"/>
      <c r="V547" s="2"/>
      <c r="W547" s="2"/>
      <c r="X547" s="2" t="str">
        <f t="shared" si="8"/>
        <v/>
      </c>
      <c r="Y547" s="4" t="str">
        <f>'QBO Transactions'!$Q549</f>
        <v/>
      </c>
      <c r="Z547" s="2"/>
      <c r="AA547" s="2"/>
      <c r="AB547" s="2"/>
      <c r="AC547" s="2"/>
      <c r="AD547" s="2"/>
      <c r="AE547" s="2"/>
    </row>
    <row r="548" spans="1:31" ht="12.75" customHeight="1" x14ac:dyDescent="0.25">
      <c r="A548" s="2"/>
      <c r="B548" s="2" t="str">
        <f>'QBO Transactions'!$U550</f>
        <v/>
      </c>
      <c r="C548" s="3" t="str">
        <f>'QBO Transactions'!$S550</f>
        <v/>
      </c>
      <c r="D548" s="2" t="str">
        <f>'QBO Transactions'!$R550</f>
        <v/>
      </c>
      <c r="E548" s="2"/>
      <c r="F548" s="3" t="str">
        <f>'QBO Transactions'!$X550</f>
        <v/>
      </c>
      <c r="G548" s="2"/>
      <c r="H548" s="2"/>
      <c r="I548" s="2"/>
      <c r="J548" s="2"/>
      <c r="K548" s="2"/>
      <c r="L548" s="2"/>
      <c r="M548" s="2"/>
      <c r="N548" s="2" t="str">
        <f>'QBO Transactions'!$Y550</f>
        <v/>
      </c>
      <c r="O548" s="2"/>
      <c r="P548" s="2"/>
      <c r="Q548" s="2" t="str">
        <f>'QBO Transactions'!$T550</f>
        <v/>
      </c>
      <c r="R548" s="2"/>
      <c r="S548" s="2"/>
      <c r="T548" s="2"/>
      <c r="U548" s="2"/>
      <c r="V548" s="2"/>
      <c r="W548" s="2"/>
      <c r="X548" s="2" t="str">
        <f t="shared" si="8"/>
        <v/>
      </c>
      <c r="Y548" s="4" t="str">
        <f>'QBO Transactions'!$Q550</f>
        <v/>
      </c>
      <c r="Z548" s="2"/>
      <c r="AA548" s="2"/>
      <c r="AB548" s="2"/>
      <c r="AC548" s="2"/>
      <c r="AD548" s="2"/>
      <c r="AE548" s="2"/>
    </row>
    <row r="549" spans="1:31" ht="12.75" customHeight="1" x14ac:dyDescent="0.25">
      <c r="A549" s="2"/>
      <c r="B549" s="2" t="str">
        <f>'QBO Transactions'!$U551</f>
        <v/>
      </c>
      <c r="C549" s="3" t="str">
        <f>'QBO Transactions'!$S551</f>
        <v/>
      </c>
      <c r="D549" s="2" t="str">
        <f>'QBO Transactions'!$R551</f>
        <v/>
      </c>
      <c r="E549" s="2"/>
      <c r="F549" s="3" t="str">
        <f>'QBO Transactions'!$X551</f>
        <v/>
      </c>
      <c r="G549" s="2"/>
      <c r="H549" s="2"/>
      <c r="I549" s="2"/>
      <c r="J549" s="2"/>
      <c r="K549" s="2"/>
      <c r="L549" s="2"/>
      <c r="M549" s="2"/>
      <c r="N549" s="2" t="str">
        <f>'QBO Transactions'!$Y551</f>
        <v/>
      </c>
      <c r="O549" s="2"/>
      <c r="P549" s="2"/>
      <c r="Q549" s="2" t="str">
        <f>'QBO Transactions'!$T551</f>
        <v/>
      </c>
      <c r="R549" s="2"/>
      <c r="S549" s="2"/>
      <c r="T549" s="2"/>
      <c r="U549" s="2"/>
      <c r="V549" s="2"/>
      <c r="W549" s="2"/>
      <c r="X549" s="2" t="str">
        <f t="shared" si="8"/>
        <v/>
      </c>
      <c r="Y549" s="4" t="str">
        <f>'QBO Transactions'!$Q551</f>
        <v/>
      </c>
      <c r="Z549" s="2"/>
      <c r="AA549" s="2"/>
      <c r="AB549" s="2"/>
      <c r="AC549" s="2"/>
      <c r="AD549" s="2"/>
      <c r="AE549" s="2"/>
    </row>
    <row r="550" spans="1:31" ht="12.75" customHeight="1" x14ac:dyDescent="0.25">
      <c r="A550" s="2"/>
      <c r="B550" s="2" t="str">
        <f>'QBO Transactions'!$U552</f>
        <v/>
      </c>
      <c r="C550" s="3" t="str">
        <f>'QBO Transactions'!$S552</f>
        <v/>
      </c>
      <c r="D550" s="2" t="str">
        <f>'QBO Transactions'!$R552</f>
        <v/>
      </c>
      <c r="E550" s="2"/>
      <c r="F550" s="3" t="str">
        <f>'QBO Transactions'!$X552</f>
        <v/>
      </c>
      <c r="G550" s="2"/>
      <c r="H550" s="2"/>
      <c r="I550" s="2"/>
      <c r="J550" s="2"/>
      <c r="K550" s="2"/>
      <c r="L550" s="2"/>
      <c r="M550" s="2"/>
      <c r="N550" s="2" t="str">
        <f>'QBO Transactions'!$Y552</f>
        <v/>
      </c>
      <c r="O550" s="2"/>
      <c r="P550" s="2"/>
      <c r="Q550" s="2" t="str">
        <f>'QBO Transactions'!$T552</f>
        <v/>
      </c>
      <c r="R550" s="2"/>
      <c r="S550" s="2"/>
      <c r="T550" s="2"/>
      <c r="U550" s="2"/>
      <c r="V550" s="2"/>
      <c r="W550" s="2"/>
      <c r="X550" s="2" t="str">
        <f t="shared" si="8"/>
        <v/>
      </c>
      <c r="Y550" s="4" t="str">
        <f>'QBO Transactions'!$Q552</f>
        <v/>
      </c>
      <c r="Z550" s="2"/>
      <c r="AA550" s="2"/>
      <c r="AB550" s="2"/>
      <c r="AC550" s="2"/>
      <c r="AD550" s="2"/>
      <c r="AE550" s="2"/>
    </row>
    <row r="551" spans="1:31" ht="12.75" customHeight="1" x14ac:dyDescent="0.25">
      <c r="A551" s="2"/>
      <c r="B551" s="2" t="str">
        <f>'QBO Transactions'!$U553</f>
        <v/>
      </c>
      <c r="C551" s="3" t="str">
        <f>'QBO Transactions'!$S553</f>
        <v/>
      </c>
      <c r="D551" s="2" t="str">
        <f>'QBO Transactions'!$R553</f>
        <v/>
      </c>
      <c r="E551" s="2"/>
      <c r="F551" s="3" t="str">
        <f>'QBO Transactions'!$X553</f>
        <v/>
      </c>
      <c r="G551" s="2"/>
      <c r="H551" s="2"/>
      <c r="I551" s="2"/>
      <c r="J551" s="2"/>
      <c r="K551" s="2"/>
      <c r="L551" s="2"/>
      <c r="M551" s="2"/>
      <c r="N551" s="2" t="str">
        <f>'QBO Transactions'!$Y553</f>
        <v/>
      </c>
      <c r="O551" s="2"/>
      <c r="P551" s="2"/>
      <c r="Q551" s="2" t="str">
        <f>'QBO Transactions'!$T553</f>
        <v/>
      </c>
      <c r="R551" s="2"/>
      <c r="S551" s="2"/>
      <c r="T551" s="2"/>
      <c r="U551" s="2"/>
      <c r="V551" s="2"/>
      <c r="W551" s="2"/>
      <c r="X551" s="2" t="str">
        <f t="shared" si="8"/>
        <v/>
      </c>
      <c r="Y551" s="4" t="str">
        <f>'QBO Transactions'!$Q553</f>
        <v/>
      </c>
      <c r="Z551" s="2"/>
      <c r="AA551" s="2"/>
      <c r="AB551" s="2"/>
      <c r="AC551" s="2"/>
      <c r="AD551" s="2"/>
      <c r="AE551" s="2"/>
    </row>
    <row r="552" spans="1:31" ht="12.75" customHeight="1" x14ac:dyDescent="0.25">
      <c r="A552" s="2"/>
      <c r="B552" s="2" t="str">
        <f>'QBO Transactions'!$U554</f>
        <v/>
      </c>
      <c r="C552" s="3" t="str">
        <f>'QBO Transactions'!$S554</f>
        <v/>
      </c>
      <c r="D552" s="2" t="str">
        <f>'QBO Transactions'!$R554</f>
        <v/>
      </c>
      <c r="E552" s="2"/>
      <c r="F552" s="3" t="str">
        <f>'QBO Transactions'!$X554</f>
        <v/>
      </c>
      <c r="G552" s="2"/>
      <c r="H552" s="2"/>
      <c r="I552" s="2"/>
      <c r="J552" s="2"/>
      <c r="K552" s="2"/>
      <c r="L552" s="2"/>
      <c r="M552" s="2"/>
      <c r="N552" s="2" t="str">
        <f>'QBO Transactions'!$Y554</f>
        <v/>
      </c>
      <c r="O552" s="2"/>
      <c r="P552" s="2"/>
      <c r="Q552" s="2" t="str">
        <f>'QBO Transactions'!$T554</f>
        <v/>
      </c>
      <c r="R552" s="2"/>
      <c r="S552" s="2"/>
      <c r="T552" s="2"/>
      <c r="U552" s="2"/>
      <c r="V552" s="2"/>
      <c r="W552" s="2"/>
      <c r="X552" s="2" t="str">
        <f t="shared" si="8"/>
        <v/>
      </c>
      <c r="Y552" s="4" t="str">
        <f>'QBO Transactions'!$Q554</f>
        <v/>
      </c>
      <c r="Z552" s="2"/>
      <c r="AA552" s="2"/>
      <c r="AB552" s="2"/>
      <c r="AC552" s="2"/>
      <c r="AD552" s="2"/>
      <c r="AE552" s="2"/>
    </row>
    <row r="553" spans="1:31" ht="12.75" customHeight="1" x14ac:dyDescent="0.25">
      <c r="A553" s="2"/>
      <c r="B553" s="2" t="str">
        <f>'QBO Transactions'!$U555</f>
        <v/>
      </c>
      <c r="C553" s="3" t="str">
        <f>'QBO Transactions'!$S555</f>
        <v/>
      </c>
      <c r="D553" s="2" t="str">
        <f>'QBO Transactions'!$R555</f>
        <v/>
      </c>
      <c r="E553" s="2"/>
      <c r="F553" s="3" t="str">
        <f>'QBO Transactions'!$X555</f>
        <v/>
      </c>
      <c r="G553" s="2"/>
      <c r="H553" s="2"/>
      <c r="I553" s="2"/>
      <c r="J553" s="2"/>
      <c r="K553" s="2"/>
      <c r="L553" s="2"/>
      <c r="M553" s="2"/>
      <c r="N553" s="2" t="str">
        <f>'QBO Transactions'!$Y555</f>
        <v/>
      </c>
      <c r="O553" s="2"/>
      <c r="P553" s="2"/>
      <c r="Q553" s="2" t="str">
        <f>'QBO Transactions'!$T555</f>
        <v/>
      </c>
      <c r="R553" s="2"/>
      <c r="S553" s="2"/>
      <c r="T553" s="2"/>
      <c r="U553" s="2"/>
      <c r="V553" s="2"/>
      <c r="W553" s="2"/>
      <c r="X553" s="2" t="str">
        <f t="shared" si="8"/>
        <v/>
      </c>
      <c r="Y553" s="4" t="str">
        <f>'QBO Transactions'!$Q555</f>
        <v/>
      </c>
      <c r="Z553" s="2"/>
      <c r="AA553" s="2"/>
      <c r="AB553" s="2"/>
      <c r="AC553" s="2"/>
      <c r="AD553" s="2"/>
      <c r="AE553" s="2"/>
    </row>
    <row r="554" spans="1:31" ht="12.75" customHeight="1" x14ac:dyDescent="0.25">
      <c r="A554" s="2"/>
      <c r="B554" s="2" t="str">
        <f>'QBO Transactions'!$U556</f>
        <v/>
      </c>
      <c r="C554" s="3" t="str">
        <f>'QBO Transactions'!$S556</f>
        <v/>
      </c>
      <c r="D554" s="2" t="str">
        <f>'QBO Transactions'!$R556</f>
        <v/>
      </c>
      <c r="E554" s="2"/>
      <c r="F554" s="3" t="str">
        <f>'QBO Transactions'!$X556</f>
        <v/>
      </c>
      <c r="G554" s="2"/>
      <c r="H554" s="2"/>
      <c r="I554" s="2"/>
      <c r="J554" s="2"/>
      <c r="K554" s="2"/>
      <c r="L554" s="2"/>
      <c r="M554" s="2"/>
      <c r="N554" s="2" t="str">
        <f>'QBO Transactions'!$Y556</f>
        <v/>
      </c>
      <c r="O554" s="2"/>
      <c r="P554" s="2"/>
      <c r="Q554" s="2" t="str">
        <f>'QBO Transactions'!$T556</f>
        <v/>
      </c>
      <c r="R554" s="2"/>
      <c r="S554" s="2"/>
      <c r="T554" s="2"/>
      <c r="U554" s="2"/>
      <c r="V554" s="2"/>
      <c r="W554" s="2"/>
      <c r="X554" s="2" t="str">
        <f t="shared" si="8"/>
        <v/>
      </c>
      <c r="Y554" s="4" t="str">
        <f>'QBO Transactions'!$Q556</f>
        <v/>
      </c>
      <c r="Z554" s="2"/>
      <c r="AA554" s="2"/>
      <c r="AB554" s="2"/>
      <c r="AC554" s="2"/>
      <c r="AD554" s="2"/>
      <c r="AE554" s="2"/>
    </row>
    <row r="555" spans="1:31" ht="12.75" customHeight="1" x14ac:dyDescent="0.25">
      <c r="A555" s="2"/>
      <c r="B555" s="2" t="str">
        <f>'QBO Transactions'!$U557</f>
        <v/>
      </c>
      <c r="C555" s="3" t="str">
        <f>'QBO Transactions'!$S557</f>
        <v/>
      </c>
      <c r="D555" s="2" t="str">
        <f>'QBO Transactions'!$R557</f>
        <v/>
      </c>
      <c r="E555" s="2"/>
      <c r="F555" s="3" t="str">
        <f>'QBO Transactions'!$X557</f>
        <v/>
      </c>
      <c r="G555" s="2"/>
      <c r="H555" s="2"/>
      <c r="I555" s="2"/>
      <c r="J555" s="2"/>
      <c r="K555" s="2"/>
      <c r="L555" s="2"/>
      <c r="M555" s="2"/>
      <c r="N555" s="2" t="str">
        <f>'QBO Transactions'!$Y557</f>
        <v/>
      </c>
      <c r="O555" s="2"/>
      <c r="P555" s="2"/>
      <c r="Q555" s="2" t="str">
        <f>'QBO Transactions'!$T557</f>
        <v/>
      </c>
      <c r="R555" s="2"/>
      <c r="S555" s="2"/>
      <c r="T555" s="2"/>
      <c r="U555" s="2"/>
      <c r="V555" s="2"/>
      <c r="W555" s="2"/>
      <c r="X555" s="2" t="str">
        <f t="shared" si="8"/>
        <v/>
      </c>
      <c r="Y555" s="4" t="str">
        <f>'QBO Transactions'!$Q557</f>
        <v/>
      </c>
      <c r="Z555" s="2"/>
      <c r="AA555" s="2"/>
      <c r="AB555" s="2"/>
      <c r="AC555" s="2"/>
      <c r="AD555" s="2"/>
      <c r="AE555" s="2"/>
    </row>
    <row r="556" spans="1:31" ht="12.75" customHeight="1" x14ac:dyDescent="0.25">
      <c r="A556" s="2"/>
      <c r="B556" s="2" t="str">
        <f>'QBO Transactions'!$U558</f>
        <v/>
      </c>
      <c r="C556" s="3" t="str">
        <f>'QBO Transactions'!$S558</f>
        <v/>
      </c>
      <c r="D556" s="2" t="str">
        <f>'QBO Transactions'!$R558</f>
        <v/>
      </c>
      <c r="E556" s="2"/>
      <c r="F556" s="3" t="str">
        <f>'QBO Transactions'!$X558</f>
        <v/>
      </c>
      <c r="G556" s="2"/>
      <c r="H556" s="2"/>
      <c r="I556" s="2"/>
      <c r="J556" s="2"/>
      <c r="K556" s="2"/>
      <c r="L556" s="2"/>
      <c r="M556" s="2"/>
      <c r="N556" s="2" t="str">
        <f>'QBO Transactions'!$Y558</f>
        <v/>
      </c>
      <c r="O556" s="2"/>
      <c r="P556" s="2"/>
      <c r="Q556" s="2" t="str">
        <f>'QBO Transactions'!$T558</f>
        <v/>
      </c>
      <c r="R556" s="2"/>
      <c r="S556" s="2"/>
      <c r="T556" s="2"/>
      <c r="U556" s="2"/>
      <c r="V556" s="2"/>
      <c r="W556" s="2"/>
      <c r="X556" s="2" t="str">
        <f t="shared" si="8"/>
        <v/>
      </c>
      <c r="Y556" s="4" t="str">
        <f>'QBO Transactions'!$Q558</f>
        <v/>
      </c>
      <c r="Z556" s="2"/>
      <c r="AA556" s="2"/>
      <c r="AB556" s="2"/>
      <c r="AC556" s="2"/>
      <c r="AD556" s="2"/>
      <c r="AE556" s="2"/>
    </row>
    <row r="557" spans="1:31" ht="12.75" customHeight="1" x14ac:dyDescent="0.25">
      <c r="A557" s="2"/>
      <c r="B557" s="2" t="str">
        <f>'QBO Transactions'!$U559</f>
        <v/>
      </c>
      <c r="C557" s="3" t="str">
        <f>'QBO Transactions'!$S559</f>
        <v/>
      </c>
      <c r="D557" s="2" t="str">
        <f>'QBO Transactions'!$R559</f>
        <v/>
      </c>
      <c r="E557" s="2"/>
      <c r="F557" s="3" t="str">
        <f>'QBO Transactions'!$X559</f>
        <v/>
      </c>
      <c r="G557" s="2"/>
      <c r="H557" s="2"/>
      <c r="I557" s="2"/>
      <c r="J557" s="2"/>
      <c r="K557" s="2"/>
      <c r="L557" s="2"/>
      <c r="M557" s="2"/>
      <c r="N557" s="2" t="str">
        <f>'QBO Transactions'!$Y559</f>
        <v/>
      </c>
      <c r="O557" s="2"/>
      <c r="P557" s="2"/>
      <c r="Q557" s="2" t="str">
        <f>'QBO Transactions'!$T559</f>
        <v/>
      </c>
      <c r="R557" s="2"/>
      <c r="S557" s="2"/>
      <c r="T557" s="2"/>
      <c r="U557" s="2"/>
      <c r="V557" s="2"/>
      <c r="W557" s="2"/>
      <c r="X557" s="2" t="str">
        <f t="shared" si="8"/>
        <v/>
      </c>
      <c r="Y557" s="4" t="str">
        <f>'QBO Transactions'!$Q559</f>
        <v/>
      </c>
      <c r="Z557" s="2"/>
      <c r="AA557" s="2"/>
      <c r="AB557" s="2"/>
      <c r="AC557" s="2"/>
      <c r="AD557" s="2"/>
      <c r="AE557" s="2"/>
    </row>
    <row r="558" spans="1:31" ht="12.75" customHeight="1" x14ac:dyDescent="0.25">
      <c r="A558" s="2"/>
      <c r="B558" s="2" t="str">
        <f>'QBO Transactions'!$U560</f>
        <v/>
      </c>
      <c r="C558" s="3" t="str">
        <f>'QBO Transactions'!$S560</f>
        <v/>
      </c>
      <c r="D558" s="2" t="str">
        <f>'QBO Transactions'!$R560</f>
        <v/>
      </c>
      <c r="E558" s="2"/>
      <c r="F558" s="3" t="str">
        <f>'QBO Transactions'!$X560</f>
        <v/>
      </c>
      <c r="G558" s="2"/>
      <c r="H558" s="2"/>
      <c r="I558" s="2"/>
      <c r="J558" s="2"/>
      <c r="K558" s="2"/>
      <c r="L558" s="2"/>
      <c r="M558" s="2"/>
      <c r="N558" s="2" t="str">
        <f>'QBO Transactions'!$Y560</f>
        <v/>
      </c>
      <c r="O558" s="2"/>
      <c r="P558" s="2"/>
      <c r="Q558" s="2" t="str">
        <f>'QBO Transactions'!$T560</f>
        <v/>
      </c>
      <c r="R558" s="2"/>
      <c r="S558" s="2"/>
      <c r="T558" s="2"/>
      <c r="U558" s="2"/>
      <c r="V558" s="2"/>
      <c r="W558" s="2"/>
      <c r="X558" s="2" t="str">
        <f t="shared" si="8"/>
        <v/>
      </c>
      <c r="Y558" s="4" t="str">
        <f>'QBO Transactions'!$Q560</f>
        <v/>
      </c>
      <c r="Z558" s="2"/>
      <c r="AA558" s="2"/>
      <c r="AB558" s="2"/>
      <c r="AC558" s="2"/>
      <c r="AD558" s="2"/>
      <c r="AE558" s="2"/>
    </row>
    <row r="559" spans="1:31" ht="12.75" customHeight="1" x14ac:dyDescent="0.25">
      <c r="A559" s="2"/>
      <c r="B559" s="2" t="str">
        <f>'QBO Transactions'!$U561</f>
        <v/>
      </c>
      <c r="C559" s="3" t="str">
        <f>'QBO Transactions'!$S561</f>
        <v/>
      </c>
      <c r="D559" s="2" t="str">
        <f>'QBO Transactions'!$R561</f>
        <v/>
      </c>
      <c r="E559" s="2"/>
      <c r="F559" s="3" t="str">
        <f>'QBO Transactions'!$X561</f>
        <v/>
      </c>
      <c r="G559" s="2"/>
      <c r="H559" s="2"/>
      <c r="I559" s="2"/>
      <c r="J559" s="2"/>
      <c r="K559" s="2"/>
      <c r="L559" s="2"/>
      <c r="M559" s="2"/>
      <c r="N559" s="2" t="str">
        <f>'QBO Transactions'!$Y561</f>
        <v/>
      </c>
      <c r="O559" s="2"/>
      <c r="P559" s="2"/>
      <c r="Q559" s="2" t="str">
        <f>'QBO Transactions'!$T561</f>
        <v/>
      </c>
      <c r="R559" s="2"/>
      <c r="S559" s="2"/>
      <c r="T559" s="2"/>
      <c r="U559" s="2"/>
      <c r="V559" s="2"/>
      <c r="W559" s="2"/>
      <c r="X559" s="2" t="str">
        <f t="shared" si="8"/>
        <v/>
      </c>
      <c r="Y559" s="4" t="str">
        <f>'QBO Transactions'!$Q561</f>
        <v/>
      </c>
      <c r="Z559" s="2"/>
      <c r="AA559" s="2"/>
      <c r="AB559" s="2"/>
      <c r="AC559" s="2"/>
      <c r="AD559" s="2"/>
      <c r="AE559" s="2"/>
    </row>
    <row r="560" spans="1:31" ht="12.75" customHeight="1" x14ac:dyDescent="0.25">
      <c r="A560" s="2"/>
      <c r="B560" s="2" t="str">
        <f>'QBO Transactions'!$U562</f>
        <v/>
      </c>
      <c r="C560" s="3" t="str">
        <f>'QBO Transactions'!$S562</f>
        <v/>
      </c>
      <c r="D560" s="2" t="str">
        <f>'QBO Transactions'!$R562</f>
        <v/>
      </c>
      <c r="E560" s="2"/>
      <c r="F560" s="3" t="str">
        <f>'QBO Transactions'!$X562</f>
        <v/>
      </c>
      <c r="G560" s="2"/>
      <c r="H560" s="2"/>
      <c r="I560" s="2"/>
      <c r="J560" s="2"/>
      <c r="K560" s="2"/>
      <c r="L560" s="2"/>
      <c r="M560" s="2"/>
      <c r="N560" s="2" t="str">
        <f>'QBO Transactions'!$Y562</f>
        <v/>
      </c>
      <c r="O560" s="2"/>
      <c r="P560" s="2"/>
      <c r="Q560" s="2" t="str">
        <f>'QBO Transactions'!$T562</f>
        <v/>
      </c>
      <c r="R560" s="2"/>
      <c r="S560" s="2"/>
      <c r="T560" s="2"/>
      <c r="U560" s="2"/>
      <c r="V560" s="2"/>
      <c r="W560" s="2"/>
      <c r="X560" s="2" t="str">
        <f t="shared" si="8"/>
        <v/>
      </c>
      <c r="Y560" s="4" t="str">
        <f>'QBO Transactions'!$Q562</f>
        <v/>
      </c>
      <c r="Z560" s="2"/>
      <c r="AA560" s="2"/>
      <c r="AB560" s="2"/>
      <c r="AC560" s="2"/>
      <c r="AD560" s="2"/>
      <c r="AE560" s="2"/>
    </row>
    <row r="561" spans="1:31" ht="12.75" customHeight="1" x14ac:dyDescent="0.25">
      <c r="A561" s="2"/>
      <c r="B561" s="2" t="str">
        <f>'QBO Transactions'!$U563</f>
        <v/>
      </c>
      <c r="C561" s="3" t="str">
        <f>'QBO Transactions'!$S563</f>
        <v/>
      </c>
      <c r="D561" s="2" t="str">
        <f>'QBO Transactions'!$R563</f>
        <v/>
      </c>
      <c r="E561" s="2"/>
      <c r="F561" s="3" t="str">
        <f>'QBO Transactions'!$X563</f>
        <v/>
      </c>
      <c r="G561" s="2"/>
      <c r="H561" s="2"/>
      <c r="I561" s="2"/>
      <c r="J561" s="2"/>
      <c r="K561" s="2"/>
      <c r="L561" s="2"/>
      <c r="M561" s="2"/>
      <c r="N561" s="2" t="str">
        <f>'QBO Transactions'!$Y563</f>
        <v/>
      </c>
      <c r="O561" s="2"/>
      <c r="P561" s="2"/>
      <c r="Q561" s="2" t="str">
        <f>'QBO Transactions'!$T563</f>
        <v/>
      </c>
      <c r="R561" s="2"/>
      <c r="S561" s="2"/>
      <c r="T561" s="2"/>
      <c r="U561" s="2"/>
      <c r="V561" s="2"/>
      <c r="W561" s="2"/>
      <c r="X561" s="2" t="str">
        <f t="shared" si="8"/>
        <v/>
      </c>
      <c r="Y561" s="4" t="str">
        <f>'QBO Transactions'!$Q563</f>
        <v/>
      </c>
      <c r="Z561" s="2"/>
      <c r="AA561" s="2"/>
      <c r="AB561" s="2"/>
      <c r="AC561" s="2"/>
      <c r="AD561" s="2"/>
      <c r="AE561" s="2"/>
    </row>
    <row r="562" spans="1:31" ht="12.75" customHeight="1" x14ac:dyDescent="0.25">
      <c r="A562" s="2"/>
      <c r="B562" s="2" t="str">
        <f>'QBO Transactions'!$U564</f>
        <v/>
      </c>
      <c r="C562" s="3" t="str">
        <f>'QBO Transactions'!$S564</f>
        <v/>
      </c>
      <c r="D562" s="2" t="str">
        <f>'QBO Transactions'!$R564</f>
        <v/>
      </c>
      <c r="E562" s="2"/>
      <c r="F562" s="3" t="str">
        <f>'QBO Transactions'!$X564</f>
        <v/>
      </c>
      <c r="G562" s="2"/>
      <c r="H562" s="2"/>
      <c r="I562" s="2"/>
      <c r="J562" s="2"/>
      <c r="K562" s="2"/>
      <c r="L562" s="2"/>
      <c r="M562" s="2"/>
      <c r="N562" s="2" t="str">
        <f>'QBO Transactions'!$Y564</f>
        <v/>
      </c>
      <c r="O562" s="2"/>
      <c r="P562" s="2"/>
      <c r="Q562" s="2" t="str">
        <f>'QBO Transactions'!$T564</f>
        <v/>
      </c>
      <c r="R562" s="2"/>
      <c r="S562" s="2"/>
      <c r="T562" s="2"/>
      <c r="U562" s="2"/>
      <c r="V562" s="2"/>
      <c r="W562" s="2"/>
      <c r="X562" s="2" t="str">
        <f t="shared" si="8"/>
        <v/>
      </c>
      <c r="Y562" s="4" t="str">
        <f>'QBO Transactions'!$Q564</f>
        <v/>
      </c>
      <c r="Z562" s="2"/>
      <c r="AA562" s="2"/>
      <c r="AB562" s="2"/>
      <c r="AC562" s="2"/>
      <c r="AD562" s="2"/>
      <c r="AE562" s="2"/>
    </row>
    <row r="563" spans="1:31" ht="12.75" customHeight="1" x14ac:dyDescent="0.25">
      <c r="A563" s="2"/>
      <c r="B563" s="2" t="str">
        <f>'QBO Transactions'!$U565</f>
        <v/>
      </c>
      <c r="C563" s="3" t="str">
        <f>'QBO Transactions'!$S565</f>
        <v/>
      </c>
      <c r="D563" s="2" t="str">
        <f>'QBO Transactions'!$R565</f>
        <v/>
      </c>
      <c r="E563" s="2"/>
      <c r="F563" s="3" t="str">
        <f>'QBO Transactions'!$X565</f>
        <v/>
      </c>
      <c r="G563" s="2"/>
      <c r="H563" s="2"/>
      <c r="I563" s="2"/>
      <c r="J563" s="2"/>
      <c r="K563" s="2"/>
      <c r="L563" s="2"/>
      <c r="M563" s="2"/>
      <c r="N563" s="2" t="str">
        <f>'QBO Transactions'!$Y565</f>
        <v/>
      </c>
      <c r="O563" s="2"/>
      <c r="P563" s="2"/>
      <c r="Q563" s="2" t="str">
        <f>'QBO Transactions'!$T565</f>
        <v/>
      </c>
      <c r="R563" s="2"/>
      <c r="S563" s="2"/>
      <c r="T563" s="2"/>
      <c r="U563" s="2"/>
      <c r="V563" s="2"/>
      <c r="W563" s="2"/>
      <c r="X563" s="2" t="str">
        <f t="shared" si="8"/>
        <v/>
      </c>
      <c r="Y563" s="4" t="str">
        <f>'QBO Transactions'!$Q565</f>
        <v/>
      </c>
      <c r="Z563" s="2"/>
      <c r="AA563" s="2"/>
      <c r="AB563" s="2"/>
      <c r="AC563" s="2"/>
      <c r="AD563" s="2"/>
      <c r="AE563" s="2"/>
    </row>
    <row r="564" spans="1:31" ht="12.75" customHeight="1" x14ac:dyDescent="0.25">
      <c r="A564" s="2"/>
      <c r="B564" s="2" t="str">
        <f>'QBO Transactions'!$U566</f>
        <v/>
      </c>
      <c r="C564" s="3" t="str">
        <f>'QBO Transactions'!$S566</f>
        <v/>
      </c>
      <c r="D564" s="2" t="str">
        <f>'QBO Transactions'!$R566</f>
        <v/>
      </c>
      <c r="E564" s="2"/>
      <c r="F564" s="3" t="str">
        <f>'QBO Transactions'!$X566</f>
        <v/>
      </c>
      <c r="G564" s="2"/>
      <c r="H564" s="2"/>
      <c r="I564" s="2"/>
      <c r="J564" s="2"/>
      <c r="K564" s="2"/>
      <c r="L564" s="2"/>
      <c r="M564" s="2"/>
      <c r="N564" s="2" t="str">
        <f>'QBO Transactions'!$Y566</f>
        <v/>
      </c>
      <c r="O564" s="2"/>
      <c r="P564" s="2"/>
      <c r="Q564" s="2" t="str">
        <f>'QBO Transactions'!$T566</f>
        <v/>
      </c>
      <c r="R564" s="2"/>
      <c r="S564" s="2"/>
      <c r="T564" s="2"/>
      <c r="U564" s="2"/>
      <c r="V564" s="2"/>
      <c r="W564" s="2"/>
      <c r="X564" s="2" t="str">
        <f t="shared" si="8"/>
        <v/>
      </c>
      <c r="Y564" s="4" t="str">
        <f>'QBO Transactions'!$Q566</f>
        <v/>
      </c>
      <c r="Z564" s="2"/>
      <c r="AA564" s="2"/>
      <c r="AB564" s="2"/>
      <c r="AC564" s="2"/>
      <c r="AD564" s="2"/>
      <c r="AE564" s="2"/>
    </row>
    <row r="565" spans="1:31" ht="12.75" customHeight="1" x14ac:dyDescent="0.25">
      <c r="A565" s="2"/>
      <c r="B565" s="2" t="str">
        <f>'QBO Transactions'!$U567</f>
        <v/>
      </c>
      <c r="C565" s="3" t="str">
        <f>'QBO Transactions'!$S567</f>
        <v/>
      </c>
      <c r="D565" s="2" t="str">
        <f>'QBO Transactions'!$R567</f>
        <v/>
      </c>
      <c r="E565" s="2"/>
      <c r="F565" s="3" t="str">
        <f>'QBO Transactions'!$X567</f>
        <v/>
      </c>
      <c r="G565" s="2"/>
      <c r="H565" s="2"/>
      <c r="I565" s="2"/>
      <c r="J565" s="2"/>
      <c r="K565" s="2"/>
      <c r="L565" s="2"/>
      <c r="M565" s="2"/>
      <c r="N565" s="2" t="str">
        <f>'QBO Transactions'!$Y567</f>
        <v/>
      </c>
      <c r="O565" s="2"/>
      <c r="P565" s="2"/>
      <c r="Q565" s="2" t="str">
        <f>'QBO Transactions'!$T567</f>
        <v/>
      </c>
      <c r="R565" s="2"/>
      <c r="S565" s="2"/>
      <c r="T565" s="2"/>
      <c r="U565" s="2"/>
      <c r="V565" s="2"/>
      <c r="W565" s="2"/>
      <c r="X565" s="2" t="str">
        <f t="shared" si="8"/>
        <v/>
      </c>
      <c r="Y565" s="4" t="str">
        <f>'QBO Transactions'!$Q567</f>
        <v/>
      </c>
      <c r="Z565" s="2"/>
      <c r="AA565" s="2"/>
      <c r="AB565" s="2"/>
      <c r="AC565" s="2"/>
      <c r="AD565" s="2"/>
      <c r="AE565" s="2"/>
    </row>
    <row r="566" spans="1:31" ht="12.75" customHeight="1" x14ac:dyDescent="0.25">
      <c r="A566" s="2"/>
      <c r="B566" s="2" t="str">
        <f>'QBO Transactions'!$U568</f>
        <v/>
      </c>
      <c r="C566" s="3" t="str">
        <f>'QBO Transactions'!$S568</f>
        <v/>
      </c>
      <c r="D566" s="2" t="str">
        <f>'QBO Transactions'!$R568</f>
        <v/>
      </c>
      <c r="E566" s="2"/>
      <c r="F566" s="3" t="str">
        <f>'QBO Transactions'!$X568</f>
        <v/>
      </c>
      <c r="G566" s="2"/>
      <c r="H566" s="2"/>
      <c r="I566" s="2"/>
      <c r="J566" s="2"/>
      <c r="K566" s="2"/>
      <c r="L566" s="2"/>
      <c r="M566" s="2"/>
      <c r="N566" s="2" t="str">
        <f>'QBO Transactions'!$Y568</f>
        <v/>
      </c>
      <c r="O566" s="2"/>
      <c r="P566" s="2"/>
      <c r="Q566" s="2" t="str">
        <f>'QBO Transactions'!$T568</f>
        <v/>
      </c>
      <c r="R566" s="2"/>
      <c r="S566" s="2"/>
      <c r="T566" s="2"/>
      <c r="U566" s="2"/>
      <c r="V566" s="2"/>
      <c r="W566" s="2"/>
      <c r="X566" s="2" t="str">
        <f t="shared" si="8"/>
        <v/>
      </c>
      <c r="Y566" s="4" t="str">
        <f>'QBO Transactions'!$Q568</f>
        <v/>
      </c>
      <c r="Z566" s="2"/>
      <c r="AA566" s="2"/>
      <c r="AB566" s="2"/>
      <c r="AC566" s="2"/>
      <c r="AD566" s="2"/>
      <c r="AE566" s="2"/>
    </row>
    <row r="567" spans="1:31" ht="12.75" customHeight="1" x14ac:dyDescent="0.25">
      <c r="A567" s="2"/>
      <c r="B567" s="2" t="str">
        <f>'QBO Transactions'!$U569</f>
        <v/>
      </c>
      <c r="C567" s="3" t="str">
        <f>'QBO Transactions'!$S569</f>
        <v/>
      </c>
      <c r="D567" s="2" t="str">
        <f>'QBO Transactions'!$R569</f>
        <v/>
      </c>
      <c r="E567" s="2"/>
      <c r="F567" s="3" t="str">
        <f>'QBO Transactions'!$X569</f>
        <v/>
      </c>
      <c r="G567" s="2"/>
      <c r="H567" s="2"/>
      <c r="I567" s="2"/>
      <c r="J567" s="2"/>
      <c r="K567" s="2"/>
      <c r="L567" s="2"/>
      <c r="M567" s="2"/>
      <c r="N567" s="2" t="str">
        <f>'QBO Transactions'!$Y569</f>
        <v/>
      </c>
      <c r="O567" s="2"/>
      <c r="P567" s="2"/>
      <c r="Q567" s="2" t="str">
        <f>'QBO Transactions'!$T569</f>
        <v/>
      </c>
      <c r="R567" s="2"/>
      <c r="S567" s="2"/>
      <c r="T567" s="2"/>
      <c r="U567" s="2"/>
      <c r="V567" s="2"/>
      <c r="W567" s="2"/>
      <c r="X567" s="2" t="str">
        <f t="shared" si="8"/>
        <v/>
      </c>
      <c r="Y567" s="4" t="str">
        <f>'QBO Transactions'!$Q569</f>
        <v/>
      </c>
      <c r="Z567" s="2"/>
      <c r="AA567" s="2"/>
      <c r="AB567" s="2"/>
      <c r="AC567" s="2"/>
      <c r="AD567" s="2"/>
      <c r="AE567" s="2"/>
    </row>
    <row r="568" spans="1:31" ht="12.75" customHeight="1" x14ac:dyDescent="0.25">
      <c r="A568" s="2"/>
      <c r="B568" s="2" t="str">
        <f>'QBO Transactions'!$U570</f>
        <v/>
      </c>
      <c r="C568" s="3" t="str">
        <f>'QBO Transactions'!$S570</f>
        <v/>
      </c>
      <c r="D568" s="2" t="str">
        <f>'QBO Transactions'!$R570</f>
        <v/>
      </c>
      <c r="E568" s="2"/>
      <c r="F568" s="3" t="str">
        <f>'QBO Transactions'!$X570</f>
        <v/>
      </c>
      <c r="G568" s="2"/>
      <c r="H568" s="2"/>
      <c r="I568" s="2"/>
      <c r="J568" s="2"/>
      <c r="K568" s="2"/>
      <c r="L568" s="2"/>
      <c r="M568" s="2"/>
      <c r="N568" s="2" t="str">
        <f>'QBO Transactions'!$Y570</f>
        <v/>
      </c>
      <c r="O568" s="2"/>
      <c r="P568" s="2"/>
      <c r="Q568" s="2" t="str">
        <f>'QBO Transactions'!$T570</f>
        <v/>
      </c>
      <c r="R568" s="2"/>
      <c r="S568" s="2"/>
      <c r="T568" s="2"/>
      <c r="U568" s="2"/>
      <c r="V568" s="2"/>
      <c r="W568" s="2"/>
      <c r="X568" s="2" t="str">
        <f t="shared" si="8"/>
        <v/>
      </c>
      <c r="Y568" s="4" t="str">
        <f>'QBO Transactions'!$Q570</f>
        <v/>
      </c>
      <c r="Z568" s="2"/>
      <c r="AA568" s="2"/>
      <c r="AB568" s="2"/>
      <c r="AC568" s="2"/>
      <c r="AD568" s="2"/>
      <c r="AE568" s="2"/>
    </row>
    <row r="569" spans="1:31" ht="12.75" customHeight="1" x14ac:dyDescent="0.25">
      <c r="A569" s="2"/>
      <c r="B569" s="2" t="str">
        <f>'QBO Transactions'!$U571</f>
        <v/>
      </c>
      <c r="C569" s="3" t="str">
        <f>'QBO Transactions'!$S571</f>
        <v/>
      </c>
      <c r="D569" s="2" t="str">
        <f>'QBO Transactions'!$R571</f>
        <v/>
      </c>
      <c r="E569" s="2"/>
      <c r="F569" s="3" t="str">
        <f>'QBO Transactions'!$X571</f>
        <v/>
      </c>
      <c r="G569" s="2"/>
      <c r="H569" s="2"/>
      <c r="I569" s="2"/>
      <c r="J569" s="2"/>
      <c r="K569" s="2"/>
      <c r="L569" s="2"/>
      <c r="M569" s="2"/>
      <c r="N569" s="2" t="str">
        <f>'QBO Transactions'!$Y571</f>
        <v/>
      </c>
      <c r="O569" s="2"/>
      <c r="P569" s="2"/>
      <c r="Q569" s="2" t="str">
        <f>'QBO Transactions'!$T571</f>
        <v/>
      </c>
      <c r="R569" s="2"/>
      <c r="S569" s="2"/>
      <c r="T569" s="2"/>
      <c r="U569" s="2"/>
      <c r="V569" s="2"/>
      <c r="W569" s="2"/>
      <c r="X569" s="2" t="str">
        <f t="shared" si="8"/>
        <v/>
      </c>
      <c r="Y569" s="4" t="str">
        <f>'QBO Transactions'!$Q571</f>
        <v/>
      </c>
      <c r="Z569" s="2"/>
      <c r="AA569" s="2"/>
      <c r="AB569" s="2"/>
      <c r="AC569" s="2"/>
      <c r="AD569" s="2"/>
      <c r="AE569" s="2"/>
    </row>
    <row r="570" spans="1:31" ht="12.75" customHeight="1" x14ac:dyDescent="0.25">
      <c r="A570" s="2"/>
      <c r="B570" s="2" t="str">
        <f>'QBO Transactions'!$U572</f>
        <v/>
      </c>
      <c r="C570" s="3" t="str">
        <f>'QBO Transactions'!$S572</f>
        <v/>
      </c>
      <c r="D570" s="2" t="str">
        <f>'QBO Transactions'!$R572</f>
        <v/>
      </c>
      <c r="E570" s="2"/>
      <c r="F570" s="3" t="str">
        <f>'QBO Transactions'!$X572</f>
        <v/>
      </c>
      <c r="G570" s="2"/>
      <c r="H570" s="2"/>
      <c r="I570" s="2"/>
      <c r="J570" s="2"/>
      <c r="K570" s="2"/>
      <c r="L570" s="2"/>
      <c r="M570" s="2"/>
      <c r="N570" s="2" t="str">
        <f>'QBO Transactions'!$Y572</f>
        <v/>
      </c>
      <c r="O570" s="2"/>
      <c r="P570" s="2"/>
      <c r="Q570" s="2" t="str">
        <f>'QBO Transactions'!$T572</f>
        <v/>
      </c>
      <c r="R570" s="2"/>
      <c r="S570" s="2"/>
      <c r="T570" s="2"/>
      <c r="U570" s="2"/>
      <c r="V570" s="2"/>
      <c r="W570" s="2"/>
      <c r="X570" s="2" t="str">
        <f t="shared" si="8"/>
        <v/>
      </c>
      <c r="Y570" s="4" t="str">
        <f>'QBO Transactions'!$Q572</f>
        <v/>
      </c>
      <c r="Z570" s="2"/>
      <c r="AA570" s="2"/>
      <c r="AB570" s="2"/>
      <c r="AC570" s="2"/>
      <c r="AD570" s="2"/>
      <c r="AE570" s="2"/>
    </row>
    <row r="571" spans="1:31" ht="12.75" customHeight="1" x14ac:dyDescent="0.25">
      <c r="A571" s="2"/>
      <c r="B571" s="2" t="str">
        <f>'QBO Transactions'!$U573</f>
        <v/>
      </c>
      <c r="C571" s="3" t="str">
        <f>'QBO Transactions'!$S573</f>
        <v/>
      </c>
      <c r="D571" s="2" t="str">
        <f>'QBO Transactions'!$R573</f>
        <v/>
      </c>
      <c r="E571" s="2"/>
      <c r="F571" s="3" t="str">
        <f>'QBO Transactions'!$X573</f>
        <v/>
      </c>
      <c r="G571" s="2"/>
      <c r="H571" s="2"/>
      <c r="I571" s="2"/>
      <c r="J571" s="2"/>
      <c r="K571" s="2"/>
      <c r="L571" s="2"/>
      <c r="M571" s="2"/>
      <c r="N571" s="2" t="str">
        <f>'QBO Transactions'!$Y573</f>
        <v/>
      </c>
      <c r="O571" s="2"/>
      <c r="P571" s="2"/>
      <c r="Q571" s="2" t="str">
        <f>'QBO Transactions'!$T573</f>
        <v/>
      </c>
      <c r="R571" s="2"/>
      <c r="S571" s="2"/>
      <c r="T571" s="2"/>
      <c r="U571" s="2"/>
      <c r="V571" s="2"/>
      <c r="W571" s="2"/>
      <c r="X571" s="2" t="str">
        <f t="shared" si="8"/>
        <v/>
      </c>
      <c r="Y571" s="4" t="str">
        <f>'QBO Transactions'!$Q573</f>
        <v/>
      </c>
      <c r="Z571" s="2"/>
      <c r="AA571" s="2"/>
      <c r="AB571" s="2"/>
      <c r="AC571" s="2"/>
      <c r="AD571" s="2"/>
      <c r="AE571" s="2"/>
    </row>
    <row r="572" spans="1:31" ht="12.75" customHeight="1" x14ac:dyDescent="0.25">
      <c r="A572" s="2"/>
      <c r="B572" s="2" t="str">
        <f>'QBO Transactions'!$U574</f>
        <v/>
      </c>
      <c r="C572" s="3" t="str">
        <f>'QBO Transactions'!$S574</f>
        <v/>
      </c>
      <c r="D572" s="2" t="str">
        <f>'QBO Transactions'!$R574</f>
        <v/>
      </c>
      <c r="E572" s="2"/>
      <c r="F572" s="3" t="str">
        <f>'QBO Transactions'!$X574</f>
        <v/>
      </c>
      <c r="G572" s="2"/>
      <c r="H572" s="2"/>
      <c r="I572" s="2"/>
      <c r="J572" s="2"/>
      <c r="K572" s="2"/>
      <c r="L572" s="2"/>
      <c r="M572" s="2"/>
      <c r="N572" s="2" t="str">
        <f>'QBO Transactions'!$Y574</f>
        <v/>
      </c>
      <c r="O572" s="2"/>
      <c r="P572" s="2"/>
      <c r="Q572" s="2" t="str">
        <f>'QBO Transactions'!$T574</f>
        <v/>
      </c>
      <c r="R572" s="2"/>
      <c r="S572" s="2"/>
      <c r="T572" s="2"/>
      <c r="U572" s="2"/>
      <c r="V572" s="2"/>
      <c r="W572" s="2"/>
      <c r="X572" s="2" t="str">
        <f t="shared" si="8"/>
        <v/>
      </c>
      <c r="Y572" s="4" t="str">
        <f>'QBO Transactions'!$Q574</f>
        <v/>
      </c>
      <c r="Z572" s="2"/>
      <c r="AA572" s="2"/>
      <c r="AB572" s="2"/>
      <c r="AC572" s="2"/>
      <c r="AD572" s="2"/>
      <c r="AE572" s="2"/>
    </row>
    <row r="573" spans="1:31" ht="12.75" customHeight="1" x14ac:dyDescent="0.25">
      <c r="A573" s="2"/>
      <c r="B573" s="2" t="str">
        <f>'QBO Transactions'!$U575</f>
        <v/>
      </c>
      <c r="C573" s="3" t="str">
        <f>'QBO Transactions'!$S575</f>
        <v/>
      </c>
      <c r="D573" s="2" t="str">
        <f>'QBO Transactions'!$R575</f>
        <v/>
      </c>
      <c r="E573" s="2"/>
      <c r="F573" s="3" t="str">
        <f>'QBO Transactions'!$X575</f>
        <v/>
      </c>
      <c r="G573" s="2"/>
      <c r="H573" s="2"/>
      <c r="I573" s="2"/>
      <c r="J573" s="2"/>
      <c r="K573" s="2"/>
      <c r="L573" s="2"/>
      <c r="M573" s="2"/>
      <c r="N573" s="2" t="str">
        <f>'QBO Transactions'!$Y575</f>
        <v/>
      </c>
      <c r="O573" s="2"/>
      <c r="P573" s="2"/>
      <c r="Q573" s="2" t="str">
        <f>'QBO Transactions'!$T575</f>
        <v/>
      </c>
      <c r="R573" s="2"/>
      <c r="S573" s="2"/>
      <c r="T573" s="2"/>
      <c r="U573" s="2"/>
      <c r="V573" s="2"/>
      <c r="W573" s="2"/>
      <c r="X573" s="2" t="str">
        <f t="shared" si="8"/>
        <v/>
      </c>
      <c r="Y573" s="4" t="str">
        <f>'QBO Transactions'!$Q575</f>
        <v/>
      </c>
      <c r="Z573" s="2"/>
      <c r="AA573" s="2"/>
      <c r="AB573" s="2"/>
      <c r="AC573" s="2"/>
      <c r="AD573" s="2"/>
      <c r="AE573" s="2"/>
    </row>
    <row r="574" spans="1:31" ht="12.75" customHeight="1" x14ac:dyDescent="0.25">
      <c r="A574" s="2"/>
      <c r="B574" s="2" t="str">
        <f>'QBO Transactions'!$U576</f>
        <v/>
      </c>
      <c r="C574" s="3" t="str">
        <f>'QBO Transactions'!$S576</f>
        <v/>
      </c>
      <c r="D574" s="2" t="str">
        <f>'QBO Transactions'!$R576</f>
        <v/>
      </c>
      <c r="E574" s="2"/>
      <c r="F574" s="3" t="str">
        <f>'QBO Transactions'!$X576</f>
        <v/>
      </c>
      <c r="G574" s="2"/>
      <c r="H574" s="2"/>
      <c r="I574" s="2"/>
      <c r="J574" s="2"/>
      <c r="K574" s="2"/>
      <c r="L574" s="2"/>
      <c r="M574" s="2"/>
      <c r="N574" s="2" t="str">
        <f>'QBO Transactions'!$Y576</f>
        <v/>
      </c>
      <c r="O574" s="2"/>
      <c r="P574" s="2"/>
      <c r="Q574" s="2" t="str">
        <f>'QBO Transactions'!$T576</f>
        <v/>
      </c>
      <c r="R574" s="2"/>
      <c r="S574" s="2"/>
      <c r="T574" s="2"/>
      <c r="U574" s="2"/>
      <c r="V574" s="2"/>
      <c r="W574" s="2"/>
      <c r="X574" s="2" t="str">
        <f t="shared" si="8"/>
        <v/>
      </c>
      <c r="Y574" s="4" t="str">
        <f>'QBO Transactions'!$Q576</f>
        <v/>
      </c>
      <c r="Z574" s="2"/>
      <c r="AA574" s="2"/>
      <c r="AB574" s="2"/>
      <c r="AC574" s="2"/>
      <c r="AD574" s="2"/>
      <c r="AE574" s="2"/>
    </row>
    <row r="575" spans="1:31" ht="12.75" customHeight="1" x14ac:dyDescent="0.25">
      <c r="A575" s="2"/>
      <c r="B575" s="2" t="str">
        <f>'QBO Transactions'!$U577</f>
        <v/>
      </c>
      <c r="C575" s="3" t="str">
        <f>'QBO Transactions'!$S577</f>
        <v/>
      </c>
      <c r="D575" s="2" t="str">
        <f>'QBO Transactions'!$R577</f>
        <v/>
      </c>
      <c r="E575" s="2"/>
      <c r="F575" s="3" t="str">
        <f>'QBO Transactions'!$X577</f>
        <v/>
      </c>
      <c r="G575" s="2"/>
      <c r="H575" s="2"/>
      <c r="I575" s="2"/>
      <c r="J575" s="2"/>
      <c r="K575" s="2"/>
      <c r="L575" s="2"/>
      <c r="M575" s="2"/>
      <c r="N575" s="2" t="str">
        <f>'QBO Transactions'!$Y577</f>
        <v/>
      </c>
      <c r="O575" s="2"/>
      <c r="P575" s="2"/>
      <c r="Q575" s="2" t="str">
        <f>'QBO Transactions'!$T577</f>
        <v/>
      </c>
      <c r="R575" s="2"/>
      <c r="S575" s="2"/>
      <c r="T575" s="2"/>
      <c r="U575" s="2"/>
      <c r="V575" s="2"/>
      <c r="W575" s="2"/>
      <c r="X575" s="2" t="str">
        <f t="shared" si="8"/>
        <v/>
      </c>
      <c r="Y575" s="4" t="str">
        <f>'QBO Transactions'!$Q577</f>
        <v/>
      </c>
      <c r="Z575" s="2"/>
      <c r="AA575" s="2"/>
      <c r="AB575" s="2"/>
      <c r="AC575" s="2"/>
      <c r="AD575" s="2"/>
      <c r="AE575" s="2"/>
    </row>
    <row r="576" spans="1:31" ht="12.75" customHeight="1" x14ac:dyDescent="0.25">
      <c r="A576" s="2"/>
      <c r="B576" s="2" t="str">
        <f>'QBO Transactions'!$U578</f>
        <v/>
      </c>
      <c r="C576" s="3" t="str">
        <f>'QBO Transactions'!$S578</f>
        <v/>
      </c>
      <c r="D576" s="2" t="str">
        <f>'QBO Transactions'!$R578</f>
        <v/>
      </c>
      <c r="E576" s="2"/>
      <c r="F576" s="3" t="str">
        <f>'QBO Transactions'!$X578</f>
        <v/>
      </c>
      <c r="G576" s="2"/>
      <c r="H576" s="2"/>
      <c r="I576" s="2"/>
      <c r="J576" s="2"/>
      <c r="K576" s="2"/>
      <c r="L576" s="2"/>
      <c r="M576" s="2"/>
      <c r="N576" s="2" t="str">
        <f>'QBO Transactions'!$Y578</f>
        <v/>
      </c>
      <c r="O576" s="2"/>
      <c r="P576" s="2"/>
      <c r="Q576" s="2" t="str">
        <f>'QBO Transactions'!$T578</f>
        <v/>
      </c>
      <c r="R576" s="2"/>
      <c r="S576" s="2"/>
      <c r="T576" s="2"/>
      <c r="U576" s="2"/>
      <c r="V576" s="2"/>
      <c r="W576" s="2"/>
      <c r="X576" s="2" t="str">
        <f t="shared" si="8"/>
        <v/>
      </c>
      <c r="Y576" s="4" t="str">
        <f>'QBO Transactions'!$Q578</f>
        <v/>
      </c>
      <c r="Z576" s="2"/>
      <c r="AA576" s="2"/>
      <c r="AB576" s="2"/>
      <c r="AC576" s="2"/>
      <c r="AD576" s="2"/>
      <c r="AE576" s="2"/>
    </row>
    <row r="577" spans="1:31" ht="12.75" customHeight="1" x14ac:dyDescent="0.25">
      <c r="A577" s="2"/>
      <c r="B577" s="2" t="str">
        <f>'QBO Transactions'!$U579</f>
        <v/>
      </c>
      <c r="C577" s="3" t="str">
        <f>'QBO Transactions'!$S579</f>
        <v/>
      </c>
      <c r="D577" s="2" t="str">
        <f>'QBO Transactions'!$R579</f>
        <v/>
      </c>
      <c r="E577" s="2"/>
      <c r="F577" s="3" t="str">
        <f>'QBO Transactions'!$X579</f>
        <v/>
      </c>
      <c r="G577" s="2"/>
      <c r="H577" s="2"/>
      <c r="I577" s="2"/>
      <c r="J577" s="2"/>
      <c r="K577" s="2"/>
      <c r="L577" s="2"/>
      <c r="M577" s="2"/>
      <c r="N577" s="2" t="str">
        <f>'QBO Transactions'!$Y579</f>
        <v/>
      </c>
      <c r="O577" s="2"/>
      <c r="P577" s="2"/>
      <c r="Q577" s="2" t="str">
        <f>'QBO Transactions'!$T579</f>
        <v/>
      </c>
      <c r="R577" s="2"/>
      <c r="S577" s="2"/>
      <c r="T577" s="2"/>
      <c r="U577" s="2"/>
      <c r="V577" s="2"/>
      <c r="W577" s="2"/>
      <c r="X577" s="2" t="str">
        <f t="shared" si="8"/>
        <v/>
      </c>
      <c r="Y577" s="4" t="str">
        <f>'QBO Transactions'!$Q579</f>
        <v/>
      </c>
      <c r="Z577" s="2"/>
      <c r="AA577" s="2"/>
      <c r="AB577" s="2"/>
      <c r="AC577" s="2"/>
      <c r="AD577" s="2"/>
      <c r="AE577" s="2"/>
    </row>
    <row r="578" spans="1:31" ht="12.75" customHeight="1" x14ac:dyDescent="0.25">
      <c r="A578" s="2"/>
      <c r="B578" s="2" t="str">
        <f>'QBO Transactions'!$U580</f>
        <v/>
      </c>
      <c r="C578" s="3" t="str">
        <f>'QBO Transactions'!$S580</f>
        <v/>
      </c>
      <c r="D578" s="2" t="str">
        <f>'QBO Transactions'!$R580</f>
        <v/>
      </c>
      <c r="E578" s="2"/>
      <c r="F578" s="3" t="str">
        <f>'QBO Transactions'!$X580</f>
        <v/>
      </c>
      <c r="G578" s="2"/>
      <c r="H578" s="2"/>
      <c r="I578" s="2"/>
      <c r="J578" s="2"/>
      <c r="K578" s="2"/>
      <c r="L578" s="2"/>
      <c r="M578" s="2"/>
      <c r="N578" s="2" t="str">
        <f>'QBO Transactions'!$Y580</f>
        <v/>
      </c>
      <c r="O578" s="2"/>
      <c r="P578" s="2"/>
      <c r="Q578" s="2" t="str">
        <f>'QBO Transactions'!$T580</f>
        <v/>
      </c>
      <c r="R578" s="2"/>
      <c r="S578" s="2"/>
      <c r="T578" s="2"/>
      <c r="U578" s="2"/>
      <c r="V578" s="2"/>
      <c r="W578" s="2"/>
      <c r="X578" s="2" t="str">
        <f t="shared" ref="X578:X641" si="9">Q578</f>
        <v/>
      </c>
      <c r="Y578" s="4" t="str">
        <f>'QBO Transactions'!$Q580</f>
        <v/>
      </c>
      <c r="Z578" s="2"/>
      <c r="AA578" s="2"/>
      <c r="AB578" s="2"/>
      <c r="AC578" s="2"/>
      <c r="AD578" s="2"/>
      <c r="AE578" s="2"/>
    </row>
    <row r="579" spans="1:31" ht="12.75" customHeight="1" x14ac:dyDescent="0.25">
      <c r="A579" s="2"/>
      <c r="B579" s="2" t="str">
        <f>'QBO Transactions'!$U581</f>
        <v/>
      </c>
      <c r="C579" s="3" t="str">
        <f>'QBO Transactions'!$S581</f>
        <v/>
      </c>
      <c r="D579" s="2" t="str">
        <f>'QBO Transactions'!$R581</f>
        <v/>
      </c>
      <c r="E579" s="2"/>
      <c r="F579" s="3" t="str">
        <f>'QBO Transactions'!$X581</f>
        <v/>
      </c>
      <c r="G579" s="2"/>
      <c r="H579" s="2"/>
      <c r="I579" s="2"/>
      <c r="J579" s="2"/>
      <c r="K579" s="2"/>
      <c r="L579" s="2"/>
      <c r="M579" s="2"/>
      <c r="N579" s="2" t="str">
        <f>'QBO Transactions'!$Y581</f>
        <v/>
      </c>
      <c r="O579" s="2"/>
      <c r="P579" s="2"/>
      <c r="Q579" s="2" t="str">
        <f>'QBO Transactions'!$T581</f>
        <v/>
      </c>
      <c r="R579" s="2"/>
      <c r="S579" s="2"/>
      <c r="T579" s="2"/>
      <c r="U579" s="2"/>
      <c r="V579" s="2"/>
      <c r="W579" s="2"/>
      <c r="X579" s="2" t="str">
        <f t="shared" si="9"/>
        <v/>
      </c>
      <c r="Y579" s="4" t="str">
        <f>'QBO Transactions'!$Q581</f>
        <v/>
      </c>
      <c r="Z579" s="2"/>
      <c r="AA579" s="2"/>
      <c r="AB579" s="2"/>
      <c r="AC579" s="2"/>
      <c r="AD579" s="2"/>
      <c r="AE579" s="2"/>
    </row>
    <row r="580" spans="1:31" ht="12.75" customHeight="1" x14ac:dyDescent="0.25">
      <c r="A580" s="2"/>
      <c r="B580" s="2" t="str">
        <f>'QBO Transactions'!$U582</f>
        <v/>
      </c>
      <c r="C580" s="3" t="str">
        <f>'QBO Transactions'!$S582</f>
        <v/>
      </c>
      <c r="D580" s="2" t="str">
        <f>'QBO Transactions'!$R582</f>
        <v/>
      </c>
      <c r="E580" s="2"/>
      <c r="F580" s="3" t="str">
        <f>'QBO Transactions'!$X582</f>
        <v/>
      </c>
      <c r="G580" s="2"/>
      <c r="H580" s="2"/>
      <c r="I580" s="2"/>
      <c r="J580" s="2"/>
      <c r="K580" s="2"/>
      <c r="L580" s="2"/>
      <c r="M580" s="2"/>
      <c r="N580" s="2" t="str">
        <f>'QBO Transactions'!$Y582</f>
        <v/>
      </c>
      <c r="O580" s="2"/>
      <c r="P580" s="2"/>
      <c r="Q580" s="2" t="str">
        <f>'QBO Transactions'!$T582</f>
        <v/>
      </c>
      <c r="R580" s="2"/>
      <c r="S580" s="2"/>
      <c r="T580" s="2"/>
      <c r="U580" s="2"/>
      <c r="V580" s="2"/>
      <c r="W580" s="2"/>
      <c r="X580" s="2" t="str">
        <f t="shared" si="9"/>
        <v/>
      </c>
      <c r="Y580" s="4" t="str">
        <f>'QBO Transactions'!$Q582</f>
        <v/>
      </c>
      <c r="Z580" s="2"/>
      <c r="AA580" s="2"/>
      <c r="AB580" s="2"/>
      <c r="AC580" s="2"/>
      <c r="AD580" s="2"/>
      <c r="AE580" s="2"/>
    </row>
    <row r="581" spans="1:31" ht="12.75" customHeight="1" x14ac:dyDescent="0.25">
      <c r="A581" s="2"/>
      <c r="B581" s="2" t="str">
        <f>'QBO Transactions'!$U583</f>
        <v/>
      </c>
      <c r="C581" s="3" t="str">
        <f>'QBO Transactions'!$S583</f>
        <v/>
      </c>
      <c r="D581" s="2" t="str">
        <f>'QBO Transactions'!$R583</f>
        <v/>
      </c>
      <c r="E581" s="2"/>
      <c r="F581" s="3" t="str">
        <f>'QBO Transactions'!$X583</f>
        <v/>
      </c>
      <c r="G581" s="2"/>
      <c r="H581" s="2"/>
      <c r="I581" s="2"/>
      <c r="J581" s="2"/>
      <c r="K581" s="2"/>
      <c r="L581" s="2"/>
      <c r="M581" s="2"/>
      <c r="N581" s="2" t="str">
        <f>'QBO Transactions'!$Y583</f>
        <v/>
      </c>
      <c r="O581" s="2"/>
      <c r="P581" s="2"/>
      <c r="Q581" s="2" t="str">
        <f>'QBO Transactions'!$T583</f>
        <v/>
      </c>
      <c r="R581" s="2"/>
      <c r="S581" s="2"/>
      <c r="T581" s="2"/>
      <c r="U581" s="2"/>
      <c r="V581" s="2"/>
      <c r="W581" s="2"/>
      <c r="X581" s="2" t="str">
        <f t="shared" si="9"/>
        <v/>
      </c>
      <c r="Y581" s="4" t="str">
        <f>'QBO Transactions'!$Q583</f>
        <v/>
      </c>
      <c r="Z581" s="2"/>
      <c r="AA581" s="2"/>
      <c r="AB581" s="2"/>
      <c r="AC581" s="2"/>
      <c r="AD581" s="2"/>
      <c r="AE581" s="2"/>
    </row>
    <row r="582" spans="1:31" ht="12.75" customHeight="1" x14ac:dyDescent="0.25">
      <c r="A582" s="2"/>
      <c r="B582" s="2" t="str">
        <f>'QBO Transactions'!$U584</f>
        <v/>
      </c>
      <c r="C582" s="3" t="str">
        <f>'QBO Transactions'!$S584</f>
        <v/>
      </c>
      <c r="D582" s="2" t="str">
        <f>'QBO Transactions'!$R584</f>
        <v/>
      </c>
      <c r="E582" s="2"/>
      <c r="F582" s="3" t="str">
        <f>'QBO Transactions'!$X584</f>
        <v/>
      </c>
      <c r="G582" s="2"/>
      <c r="H582" s="2"/>
      <c r="I582" s="2"/>
      <c r="J582" s="2"/>
      <c r="K582" s="2"/>
      <c r="L582" s="2"/>
      <c r="M582" s="2"/>
      <c r="N582" s="2" t="str">
        <f>'QBO Transactions'!$Y584</f>
        <v/>
      </c>
      <c r="O582" s="2"/>
      <c r="P582" s="2"/>
      <c r="Q582" s="2" t="str">
        <f>'QBO Transactions'!$T584</f>
        <v/>
      </c>
      <c r="R582" s="2"/>
      <c r="S582" s="2"/>
      <c r="T582" s="2"/>
      <c r="U582" s="2"/>
      <c r="V582" s="2"/>
      <c r="W582" s="2"/>
      <c r="X582" s="2" t="str">
        <f t="shared" si="9"/>
        <v/>
      </c>
      <c r="Y582" s="4" t="str">
        <f>'QBO Transactions'!$Q584</f>
        <v/>
      </c>
      <c r="Z582" s="2"/>
      <c r="AA582" s="2"/>
      <c r="AB582" s="2"/>
      <c r="AC582" s="2"/>
      <c r="AD582" s="2"/>
      <c r="AE582" s="2"/>
    </row>
    <row r="583" spans="1:31" ht="12.75" customHeight="1" x14ac:dyDescent="0.25">
      <c r="A583" s="2"/>
      <c r="B583" s="2" t="str">
        <f>'QBO Transactions'!$U585</f>
        <v/>
      </c>
      <c r="C583" s="3" t="str">
        <f>'QBO Transactions'!$S585</f>
        <v/>
      </c>
      <c r="D583" s="2" t="str">
        <f>'QBO Transactions'!$R585</f>
        <v/>
      </c>
      <c r="E583" s="2"/>
      <c r="F583" s="3" t="str">
        <f>'QBO Transactions'!$X585</f>
        <v/>
      </c>
      <c r="G583" s="2"/>
      <c r="H583" s="2"/>
      <c r="I583" s="2"/>
      <c r="J583" s="2"/>
      <c r="K583" s="2"/>
      <c r="L583" s="2"/>
      <c r="M583" s="2"/>
      <c r="N583" s="2" t="str">
        <f>'QBO Transactions'!$Y585</f>
        <v/>
      </c>
      <c r="O583" s="2"/>
      <c r="P583" s="2"/>
      <c r="Q583" s="2" t="str">
        <f>'QBO Transactions'!$T585</f>
        <v/>
      </c>
      <c r="R583" s="2"/>
      <c r="S583" s="2"/>
      <c r="T583" s="2"/>
      <c r="U583" s="2"/>
      <c r="V583" s="2"/>
      <c r="W583" s="2"/>
      <c r="X583" s="2" t="str">
        <f t="shared" si="9"/>
        <v/>
      </c>
      <c r="Y583" s="4" t="str">
        <f>'QBO Transactions'!$Q585</f>
        <v/>
      </c>
      <c r="Z583" s="2"/>
      <c r="AA583" s="2"/>
      <c r="AB583" s="2"/>
      <c r="AC583" s="2"/>
      <c r="AD583" s="2"/>
      <c r="AE583" s="2"/>
    </row>
    <row r="584" spans="1:31" ht="12.75" customHeight="1" x14ac:dyDescent="0.25">
      <c r="A584" s="2"/>
      <c r="B584" s="2" t="str">
        <f>'QBO Transactions'!$U586</f>
        <v/>
      </c>
      <c r="C584" s="3" t="str">
        <f>'QBO Transactions'!$S586</f>
        <v/>
      </c>
      <c r="D584" s="2" t="str">
        <f>'QBO Transactions'!$R586</f>
        <v/>
      </c>
      <c r="E584" s="2"/>
      <c r="F584" s="3" t="str">
        <f>'QBO Transactions'!$X586</f>
        <v/>
      </c>
      <c r="G584" s="2"/>
      <c r="H584" s="2"/>
      <c r="I584" s="2"/>
      <c r="J584" s="2"/>
      <c r="K584" s="2"/>
      <c r="L584" s="2"/>
      <c r="M584" s="2"/>
      <c r="N584" s="2" t="str">
        <f>'QBO Transactions'!$Y586</f>
        <v/>
      </c>
      <c r="O584" s="2"/>
      <c r="P584" s="2"/>
      <c r="Q584" s="2" t="str">
        <f>'QBO Transactions'!$T586</f>
        <v/>
      </c>
      <c r="R584" s="2"/>
      <c r="S584" s="2"/>
      <c r="T584" s="2"/>
      <c r="U584" s="2"/>
      <c r="V584" s="2"/>
      <c r="W584" s="2"/>
      <c r="X584" s="2" t="str">
        <f t="shared" si="9"/>
        <v/>
      </c>
      <c r="Y584" s="4" t="str">
        <f>'QBO Transactions'!$Q586</f>
        <v/>
      </c>
      <c r="Z584" s="2"/>
      <c r="AA584" s="2"/>
      <c r="AB584" s="2"/>
      <c r="AC584" s="2"/>
      <c r="AD584" s="2"/>
      <c r="AE584" s="2"/>
    </row>
    <row r="585" spans="1:31" ht="12.75" customHeight="1" x14ac:dyDescent="0.25">
      <c r="A585" s="2"/>
      <c r="B585" s="2" t="str">
        <f>'QBO Transactions'!$U587</f>
        <v/>
      </c>
      <c r="C585" s="3" t="str">
        <f>'QBO Transactions'!$S587</f>
        <v/>
      </c>
      <c r="D585" s="2" t="str">
        <f>'QBO Transactions'!$R587</f>
        <v/>
      </c>
      <c r="E585" s="2"/>
      <c r="F585" s="3" t="str">
        <f>'QBO Transactions'!$X587</f>
        <v/>
      </c>
      <c r="G585" s="2"/>
      <c r="H585" s="2"/>
      <c r="I585" s="2"/>
      <c r="J585" s="2"/>
      <c r="K585" s="2"/>
      <c r="L585" s="2"/>
      <c r="M585" s="2"/>
      <c r="N585" s="2" t="str">
        <f>'QBO Transactions'!$Y587</f>
        <v/>
      </c>
      <c r="O585" s="2"/>
      <c r="P585" s="2"/>
      <c r="Q585" s="2" t="str">
        <f>'QBO Transactions'!$T587</f>
        <v/>
      </c>
      <c r="R585" s="2"/>
      <c r="S585" s="2"/>
      <c r="T585" s="2"/>
      <c r="U585" s="2"/>
      <c r="V585" s="2"/>
      <c r="W585" s="2"/>
      <c r="X585" s="2" t="str">
        <f t="shared" si="9"/>
        <v/>
      </c>
      <c r="Y585" s="4" t="str">
        <f>'QBO Transactions'!$Q587</f>
        <v/>
      </c>
      <c r="Z585" s="2"/>
      <c r="AA585" s="2"/>
      <c r="AB585" s="2"/>
      <c r="AC585" s="2"/>
      <c r="AD585" s="2"/>
      <c r="AE585" s="2"/>
    </row>
    <row r="586" spans="1:31" ht="12.75" customHeight="1" x14ac:dyDescent="0.25">
      <c r="A586" s="2"/>
      <c r="B586" s="2" t="str">
        <f>'QBO Transactions'!$U588</f>
        <v/>
      </c>
      <c r="C586" s="3" t="str">
        <f>'QBO Transactions'!$S588</f>
        <v/>
      </c>
      <c r="D586" s="2" t="str">
        <f>'QBO Transactions'!$R588</f>
        <v/>
      </c>
      <c r="E586" s="2"/>
      <c r="F586" s="3" t="str">
        <f>'QBO Transactions'!$X588</f>
        <v/>
      </c>
      <c r="G586" s="2"/>
      <c r="H586" s="2"/>
      <c r="I586" s="2"/>
      <c r="J586" s="2"/>
      <c r="K586" s="2"/>
      <c r="L586" s="2"/>
      <c r="M586" s="2"/>
      <c r="N586" s="2" t="str">
        <f>'QBO Transactions'!$Y588</f>
        <v/>
      </c>
      <c r="O586" s="2"/>
      <c r="P586" s="2"/>
      <c r="Q586" s="2" t="str">
        <f>'QBO Transactions'!$T588</f>
        <v/>
      </c>
      <c r="R586" s="2"/>
      <c r="S586" s="2"/>
      <c r="T586" s="2"/>
      <c r="U586" s="2"/>
      <c r="V586" s="2"/>
      <c r="W586" s="2"/>
      <c r="X586" s="2" t="str">
        <f t="shared" si="9"/>
        <v/>
      </c>
      <c r="Y586" s="4" t="str">
        <f>'QBO Transactions'!$Q588</f>
        <v/>
      </c>
      <c r="Z586" s="2"/>
      <c r="AA586" s="2"/>
      <c r="AB586" s="2"/>
      <c r="AC586" s="2"/>
      <c r="AD586" s="2"/>
      <c r="AE586" s="2"/>
    </row>
    <row r="587" spans="1:31" ht="12.75" customHeight="1" x14ac:dyDescent="0.25">
      <c r="A587" s="2"/>
      <c r="B587" s="2" t="str">
        <f>'QBO Transactions'!$U589</f>
        <v/>
      </c>
      <c r="C587" s="3" t="str">
        <f>'QBO Transactions'!$S589</f>
        <v/>
      </c>
      <c r="D587" s="2" t="str">
        <f>'QBO Transactions'!$R589</f>
        <v/>
      </c>
      <c r="E587" s="2"/>
      <c r="F587" s="3" t="str">
        <f>'QBO Transactions'!$X589</f>
        <v/>
      </c>
      <c r="G587" s="2"/>
      <c r="H587" s="2"/>
      <c r="I587" s="2"/>
      <c r="J587" s="2"/>
      <c r="K587" s="2"/>
      <c r="L587" s="2"/>
      <c r="M587" s="2"/>
      <c r="N587" s="2" t="str">
        <f>'QBO Transactions'!$Y589</f>
        <v/>
      </c>
      <c r="O587" s="2"/>
      <c r="P587" s="2"/>
      <c r="Q587" s="2" t="str">
        <f>'QBO Transactions'!$T589</f>
        <v/>
      </c>
      <c r="R587" s="2"/>
      <c r="S587" s="2"/>
      <c r="T587" s="2"/>
      <c r="U587" s="2"/>
      <c r="V587" s="2"/>
      <c r="W587" s="2"/>
      <c r="X587" s="2" t="str">
        <f t="shared" si="9"/>
        <v/>
      </c>
      <c r="Y587" s="4" t="str">
        <f>'QBO Transactions'!$Q589</f>
        <v/>
      </c>
      <c r="Z587" s="2"/>
      <c r="AA587" s="2"/>
      <c r="AB587" s="2"/>
      <c r="AC587" s="2"/>
      <c r="AD587" s="2"/>
      <c r="AE587" s="2"/>
    </row>
    <row r="588" spans="1:31" ht="12.75" customHeight="1" x14ac:dyDescent="0.25">
      <c r="A588" s="2"/>
      <c r="B588" s="2" t="str">
        <f>'QBO Transactions'!$U590</f>
        <v/>
      </c>
      <c r="C588" s="3" t="str">
        <f>'QBO Transactions'!$S590</f>
        <v/>
      </c>
      <c r="D588" s="2" t="str">
        <f>'QBO Transactions'!$R590</f>
        <v/>
      </c>
      <c r="E588" s="2"/>
      <c r="F588" s="3" t="str">
        <f>'QBO Transactions'!$X590</f>
        <v/>
      </c>
      <c r="G588" s="2"/>
      <c r="H588" s="2"/>
      <c r="I588" s="2"/>
      <c r="J588" s="2"/>
      <c r="K588" s="2"/>
      <c r="L588" s="2"/>
      <c r="M588" s="2"/>
      <c r="N588" s="2" t="str">
        <f>'QBO Transactions'!$Y590</f>
        <v/>
      </c>
      <c r="O588" s="2"/>
      <c r="P588" s="2"/>
      <c r="Q588" s="2" t="str">
        <f>'QBO Transactions'!$T590</f>
        <v/>
      </c>
      <c r="R588" s="2"/>
      <c r="S588" s="2"/>
      <c r="T588" s="2"/>
      <c r="U588" s="2"/>
      <c r="V588" s="2"/>
      <c r="W588" s="2"/>
      <c r="X588" s="2" t="str">
        <f t="shared" si="9"/>
        <v/>
      </c>
      <c r="Y588" s="4" t="str">
        <f>'QBO Transactions'!$Q590</f>
        <v/>
      </c>
      <c r="Z588" s="2"/>
      <c r="AA588" s="2"/>
      <c r="AB588" s="2"/>
      <c r="AC588" s="2"/>
      <c r="AD588" s="2"/>
      <c r="AE588" s="2"/>
    </row>
    <row r="589" spans="1:31" ht="12.75" customHeight="1" x14ac:dyDescent="0.25">
      <c r="A589" s="2"/>
      <c r="B589" s="2" t="str">
        <f>'QBO Transactions'!$U591</f>
        <v/>
      </c>
      <c r="C589" s="3" t="str">
        <f>'QBO Transactions'!$S591</f>
        <v/>
      </c>
      <c r="D589" s="2" t="str">
        <f>'QBO Transactions'!$R591</f>
        <v/>
      </c>
      <c r="E589" s="2"/>
      <c r="F589" s="3" t="str">
        <f>'QBO Transactions'!$X591</f>
        <v/>
      </c>
      <c r="G589" s="2"/>
      <c r="H589" s="2"/>
      <c r="I589" s="2"/>
      <c r="J589" s="2"/>
      <c r="K589" s="2"/>
      <c r="L589" s="2"/>
      <c r="M589" s="2"/>
      <c r="N589" s="2" t="str">
        <f>'QBO Transactions'!$Y591</f>
        <v/>
      </c>
      <c r="O589" s="2"/>
      <c r="P589" s="2"/>
      <c r="Q589" s="2" t="str">
        <f>'QBO Transactions'!$T591</f>
        <v/>
      </c>
      <c r="R589" s="2"/>
      <c r="S589" s="2"/>
      <c r="T589" s="2"/>
      <c r="U589" s="2"/>
      <c r="V589" s="2"/>
      <c r="W589" s="2"/>
      <c r="X589" s="2" t="str">
        <f t="shared" si="9"/>
        <v/>
      </c>
      <c r="Y589" s="4" t="str">
        <f>'QBO Transactions'!$Q591</f>
        <v/>
      </c>
      <c r="Z589" s="2"/>
      <c r="AA589" s="2"/>
      <c r="AB589" s="2"/>
      <c r="AC589" s="2"/>
      <c r="AD589" s="2"/>
      <c r="AE589" s="2"/>
    </row>
    <row r="590" spans="1:31" ht="12.75" customHeight="1" x14ac:dyDescent="0.25">
      <c r="A590" s="2"/>
      <c r="B590" s="2" t="str">
        <f>'QBO Transactions'!$U592</f>
        <v/>
      </c>
      <c r="C590" s="3" t="str">
        <f>'QBO Transactions'!$S592</f>
        <v/>
      </c>
      <c r="D590" s="2" t="str">
        <f>'QBO Transactions'!$R592</f>
        <v/>
      </c>
      <c r="E590" s="2"/>
      <c r="F590" s="3" t="str">
        <f>'QBO Transactions'!$X592</f>
        <v/>
      </c>
      <c r="G590" s="2"/>
      <c r="H590" s="2"/>
      <c r="I590" s="2"/>
      <c r="J590" s="2"/>
      <c r="K590" s="2"/>
      <c r="L590" s="2"/>
      <c r="M590" s="2"/>
      <c r="N590" s="2" t="str">
        <f>'QBO Transactions'!$Y592</f>
        <v/>
      </c>
      <c r="O590" s="2"/>
      <c r="P590" s="2"/>
      <c r="Q590" s="2" t="str">
        <f>'QBO Transactions'!$T592</f>
        <v/>
      </c>
      <c r="R590" s="2"/>
      <c r="S590" s="2"/>
      <c r="T590" s="2"/>
      <c r="U590" s="2"/>
      <c r="V590" s="2"/>
      <c r="W590" s="2"/>
      <c r="X590" s="2" t="str">
        <f t="shared" si="9"/>
        <v/>
      </c>
      <c r="Y590" s="4" t="str">
        <f>'QBO Transactions'!$Q592</f>
        <v/>
      </c>
      <c r="Z590" s="2"/>
      <c r="AA590" s="2"/>
      <c r="AB590" s="2"/>
      <c r="AC590" s="2"/>
      <c r="AD590" s="2"/>
      <c r="AE590" s="2"/>
    </row>
    <row r="591" spans="1:31" ht="12.75" customHeight="1" x14ac:dyDescent="0.25">
      <c r="A591" s="2"/>
      <c r="B591" s="2" t="str">
        <f>'QBO Transactions'!$U593</f>
        <v/>
      </c>
      <c r="C591" s="3" t="str">
        <f>'QBO Transactions'!$S593</f>
        <v/>
      </c>
      <c r="D591" s="2" t="str">
        <f>'QBO Transactions'!$R593</f>
        <v/>
      </c>
      <c r="E591" s="2"/>
      <c r="F591" s="3" t="str">
        <f>'QBO Transactions'!$X593</f>
        <v/>
      </c>
      <c r="G591" s="2"/>
      <c r="H591" s="2"/>
      <c r="I591" s="2"/>
      <c r="J591" s="2"/>
      <c r="K591" s="2"/>
      <c r="L591" s="2"/>
      <c r="M591" s="2"/>
      <c r="N591" s="2" t="str">
        <f>'QBO Transactions'!$Y593</f>
        <v/>
      </c>
      <c r="O591" s="2"/>
      <c r="P591" s="2"/>
      <c r="Q591" s="2" t="str">
        <f>'QBO Transactions'!$T593</f>
        <v/>
      </c>
      <c r="R591" s="2"/>
      <c r="S591" s="2"/>
      <c r="T591" s="2"/>
      <c r="U591" s="2"/>
      <c r="V591" s="2"/>
      <c r="W591" s="2"/>
      <c r="X591" s="2" t="str">
        <f t="shared" si="9"/>
        <v/>
      </c>
      <c r="Y591" s="4" t="str">
        <f>'QBO Transactions'!$Q593</f>
        <v/>
      </c>
      <c r="Z591" s="2"/>
      <c r="AA591" s="2"/>
      <c r="AB591" s="2"/>
      <c r="AC591" s="2"/>
      <c r="AD591" s="2"/>
      <c r="AE591" s="2"/>
    </row>
    <row r="592" spans="1:31" ht="12.75" customHeight="1" x14ac:dyDescent="0.25">
      <c r="A592" s="2"/>
      <c r="B592" s="2" t="str">
        <f>'QBO Transactions'!$U594</f>
        <v/>
      </c>
      <c r="C592" s="3" t="str">
        <f>'QBO Transactions'!$S594</f>
        <v/>
      </c>
      <c r="D592" s="2" t="str">
        <f>'QBO Transactions'!$R594</f>
        <v/>
      </c>
      <c r="E592" s="2"/>
      <c r="F592" s="3" t="str">
        <f>'QBO Transactions'!$X594</f>
        <v/>
      </c>
      <c r="G592" s="2"/>
      <c r="H592" s="2"/>
      <c r="I592" s="2"/>
      <c r="J592" s="2"/>
      <c r="K592" s="2"/>
      <c r="L592" s="2"/>
      <c r="M592" s="2"/>
      <c r="N592" s="2" t="str">
        <f>'QBO Transactions'!$Y594</f>
        <v/>
      </c>
      <c r="O592" s="2"/>
      <c r="P592" s="2"/>
      <c r="Q592" s="2" t="str">
        <f>'QBO Transactions'!$T594</f>
        <v/>
      </c>
      <c r="R592" s="2"/>
      <c r="S592" s="2"/>
      <c r="T592" s="2"/>
      <c r="U592" s="2"/>
      <c r="V592" s="2"/>
      <c r="W592" s="2"/>
      <c r="X592" s="2" t="str">
        <f t="shared" si="9"/>
        <v/>
      </c>
      <c r="Y592" s="4" t="str">
        <f>'QBO Transactions'!$Q594</f>
        <v/>
      </c>
      <c r="Z592" s="2"/>
      <c r="AA592" s="2"/>
      <c r="AB592" s="2"/>
      <c r="AC592" s="2"/>
      <c r="AD592" s="2"/>
      <c r="AE592" s="2"/>
    </row>
    <row r="593" spans="1:31" ht="12.75" customHeight="1" x14ac:dyDescent="0.25">
      <c r="A593" s="2"/>
      <c r="B593" s="2" t="str">
        <f>'QBO Transactions'!$U595</f>
        <v/>
      </c>
      <c r="C593" s="3" t="str">
        <f>'QBO Transactions'!$S595</f>
        <v/>
      </c>
      <c r="D593" s="2" t="str">
        <f>'QBO Transactions'!$R595</f>
        <v/>
      </c>
      <c r="E593" s="2"/>
      <c r="F593" s="3" t="str">
        <f>'QBO Transactions'!$X595</f>
        <v/>
      </c>
      <c r="G593" s="2"/>
      <c r="H593" s="2"/>
      <c r="I593" s="2"/>
      <c r="J593" s="2"/>
      <c r="K593" s="2"/>
      <c r="L593" s="2"/>
      <c r="M593" s="2"/>
      <c r="N593" s="2" t="str">
        <f>'QBO Transactions'!$Y595</f>
        <v/>
      </c>
      <c r="O593" s="2"/>
      <c r="P593" s="2"/>
      <c r="Q593" s="2" t="str">
        <f>'QBO Transactions'!$T595</f>
        <v/>
      </c>
      <c r="R593" s="2"/>
      <c r="S593" s="2"/>
      <c r="T593" s="2"/>
      <c r="U593" s="2"/>
      <c r="V593" s="2"/>
      <c r="W593" s="2"/>
      <c r="X593" s="2" t="str">
        <f t="shared" si="9"/>
        <v/>
      </c>
      <c r="Y593" s="4" t="str">
        <f>'QBO Transactions'!$Q595</f>
        <v/>
      </c>
      <c r="Z593" s="2"/>
      <c r="AA593" s="2"/>
      <c r="AB593" s="2"/>
      <c r="AC593" s="2"/>
      <c r="AD593" s="2"/>
      <c r="AE593" s="2"/>
    </row>
    <row r="594" spans="1:31" ht="12.75" customHeight="1" x14ac:dyDescent="0.25">
      <c r="A594" s="2"/>
      <c r="B594" s="2" t="str">
        <f>'QBO Transactions'!$U596</f>
        <v/>
      </c>
      <c r="C594" s="3" t="str">
        <f>'QBO Transactions'!$S596</f>
        <v/>
      </c>
      <c r="D594" s="2" t="str">
        <f>'QBO Transactions'!$R596</f>
        <v/>
      </c>
      <c r="E594" s="2"/>
      <c r="F594" s="3" t="str">
        <f>'QBO Transactions'!$X596</f>
        <v/>
      </c>
      <c r="G594" s="2"/>
      <c r="H594" s="2"/>
      <c r="I594" s="2"/>
      <c r="J594" s="2"/>
      <c r="K594" s="2"/>
      <c r="L594" s="2"/>
      <c r="M594" s="2"/>
      <c r="N594" s="2" t="str">
        <f>'QBO Transactions'!$Y596</f>
        <v/>
      </c>
      <c r="O594" s="2"/>
      <c r="P594" s="2"/>
      <c r="Q594" s="2" t="str">
        <f>'QBO Transactions'!$T596</f>
        <v/>
      </c>
      <c r="R594" s="2"/>
      <c r="S594" s="2"/>
      <c r="T594" s="2"/>
      <c r="U594" s="2"/>
      <c r="V594" s="2"/>
      <c r="W594" s="2"/>
      <c r="X594" s="2" t="str">
        <f t="shared" si="9"/>
        <v/>
      </c>
      <c r="Y594" s="4" t="str">
        <f>'QBO Transactions'!$Q596</f>
        <v/>
      </c>
      <c r="Z594" s="2"/>
      <c r="AA594" s="2"/>
      <c r="AB594" s="2"/>
      <c r="AC594" s="2"/>
      <c r="AD594" s="2"/>
      <c r="AE594" s="2"/>
    </row>
    <row r="595" spans="1:31" ht="12.75" customHeight="1" x14ac:dyDescent="0.25">
      <c r="A595" s="2"/>
      <c r="B595" s="2" t="str">
        <f>'QBO Transactions'!$U597</f>
        <v/>
      </c>
      <c r="C595" s="3" t="str">
        <f>'QBO Transactions'!$S597</f>
        <v/>
      </c>
      <c r="D595" s="2" t="str">
        <f>'QBO Transactions'!$R597</f>
        <v/>
      </c>
      <c r="E595" s="2"/>
      <c r="F595" s="3" t="str">
        <f>'QBO Transactions'!$X597</f>
        <v/>
      </c>
      <c r="G595" s="2"/>
      <c r="H595" s="2"/>
      <c r="I595" s="2"/>
      <c r="J595" s="2"/>
      <c r="K595" s="2"/>
      <c r="L595" s="2"/>
      <c r="M595" s="2"/>
      <c r="N595" s="2" t="str">
        <f>'QBO Transactions'!$Y597</f>
        <v/>
      </c>
      <c r="O595" s="2"/>
      <c r="P595" s="2"/>
      <c r="Q595" s="2" t="str">
        <f>'QBO Transactions'!$T597</f>
        <v/>
      </c>
      <c r="R595" s="2"/>
      <c r="S595" s="2"/>
      <c r="T595" s="2"/>
      <c r="U595" s="2"/>
      <c r="V595" s="2"/>
      <c r="W595" s="2"/>
      <c r="X595" s="2" t="str">
        <f t="shared" si="9"/>
        <v/>
      </c>
      <c r="Y595" s="4" t="str">
        <f>'QBO Transactions'!$Q597</f>
        <v/>
      </c>
      <c r="Z595" s="2"/>
      <c r="AA595" s="2"/>
      <c r="AB595" s="2"/>
      <c r="AC595" s="2"/>
      <c r="AD595" s="2"/>
      <c r="AE595" s="2"/>
    </row>
    <row r="596" spans="1:31" ht="12.75" customHeight="1" x14ac:dyDescent="0.25">
      <c r="A596" s="2"/>
      <c r="B596" s="2" t="str">
        <f>'QBO Transactions'!$U598</f>
        <v/>
      </c>
      <c r="C596" s="3" t="str">
        <f>'QBO Transactions'!$S598</f>
        <v/>
      </c>
      <c r="D596" s="2" t="str">
        <f>'QBO Transactions'!$R598</f>
        <v/>
      </c>
      <c r="E596" s="2"/>
      <c r="F596" s="3" t="str">
        <f>'QBO Transactions'!$X598</f>
        <v/>
      </c>
      <c r="G596" s="2"/>
      <c r="H596" s="2"/>
      <c r="I596" s="2"/>
      <c r="J596" s="2"/>
      <c r="K596" s="2"/>
      <c r="L596" s="2"/>
      <c r="M596" s="2"/>
      <c r="N596" s="2" t="str">
        <f>'QBO Transactions'!$Y598</f>
        <v/>
      </c>
      <c r="O596" s="2"/>
      <c r="P596" s="2"/>
      <c r="Q596" s="2" t="str">
        <f>'QBO Transactions'!$T598</f>
        <v/>
      </c>
      <c r="R596" s="2"/>
      <c r="S596" s="2"/>
      <c r="T596" s="2"/>
      <c r="U596" s="2"/>
      <c r="V596" s="2"/>
      <c r="W596" s="2"/>
      <c r="X596" s="2" t="str">
        <f t="shared" si="9"/>
        <v/>
      </c>
      <c r="Y596" s="4" t="str">
        <f>'QBO Transactions'!$Q598</f>
        <v/>
      </c>
      <c r="Z596" s="2"/>
      <c r="AA596" s="2"/>
      <c r="AB596" s="2"/>
      <c r="AC596" s="2"/>
      <c r="AD596" s="2"/>
      <c r="AE596" s="2"/>
    </row>
    <row r="597" spans="1:31" ht="12.75" customHeight="1" x14ac:dyDescent="0.25">
      <c r="A597" s="2"/>
      <c r="B597" s="2" t="str">
        <f>'QBO Transactions'!$U599</f>
        <v/>
      </c>
      <c r="C597" s="3" t="str">
        <f>'QBO Transactions'!$S599</f>
        <v/>
      </c>
      <c r="D597" s="2" t="str">
        <f>'QBO Transactions'!$R599</f>
        <v/>
      </c>
      <c r="E597" s="2"/>
      <c r="F597" s="3" t="str">
        <f>'QBO Transactions'!$X599</f>
        <v/>
      </c>
      <c r="G597" s="2"/>
      <c r="H597" s="2"/>
      <c r="I597" s="2"/>
      <c r="J597" s="2"/>
      <c r="K597" s="2"/>
      <c r="L597" s="2"/>
      <c r="M597" s="2"/>
      <c r="N597" s="2" t="str">
        <f>'QBO Transactions'!$Y599</f>
        <v/>
      </c>
      <c r="O597" s="2"/>
      <c r="P597" s="2"/>
      <c r="Q597" s="2" t="str">
        <f>'QBO Transactions'!$T599</f>
        <v/>
      </c>
      <c r="R597" s="2"/>
      <c r="S597" s="2"/>
      <c r="T597" s="2"/>
      <c r="U597" s="2"/>
      <c r="V597" s="2"/>
      <c r="W597" s="2"/>
      <c r="X597" s="2" t="str">
        <f t="shared" si="9"/>
        <v/>
      </c>
      <c r="Y597" s="4" t="str">
        <f>'QBO Transactions'!$Q599</f>
        <v/>
      </c>
      <c r="Z597" s="2"/>
      <c r="AA597" s="2"/>
      <c r="AB597" s="2"/>
      <c r="AC597" s="2"/>
      <c r="AD597" s="2"/>
      <c r="AE597" s="2"/>
    </row>
    <row r="598" spans="1:31" ht="12.75" customHeight="1" x14ac:dyDescent="0.25">
      <c r="A598" s="2"/>
      <c r="B598" s="2" t="str">
        <f>'QBO Transactions'!$U600</f>
        <v/>
      </c>
      <c r="C598" s="3" t="str">
        <f>'QBO Transactions'!$S600</f>
        <v/>
      </c>
      <c r="D598" s="2" t="str">
        <f>'QBO Transactions'!$R600</f>
        <v/>
      </c>
      <c r="E598" s="2"/>
      <c r="F598" s="3" t="str">
        <f>'QBO Transactions'!$X600</f>
        <v/>
      </c>
      <c r="G598" s="2"/>
      <c r="H598" s="2"/>
      <c r="I598" s="2"/>
      <c r="J598" s="2"/>
      <c r="K598" s="2"/>
      <c r="L598" s="2"/>
      <c r="M598" s="2"/>
      <c r="N598" s="2" t="str">
        <f>'QBO Transactions'!$Y600</f>
        <v/>
      </c>
      <c r="O598" s="2"/>
      <c r="P598" s="2"/>
      <c r="Q598" s="2" t="str">
        <f>'QBO Transactions'!$T600</f>
        <v/>
      </c>
      <c r="R598" s="2"/>
      <c r="S598" s="2"/>
      <c r="T598" s="2"/>
      <c r="U598" s="2"/>
      <c r="V598" s="2"/>
      <c r="W598" s="2"/>
      <c r="X598" s="2" t="str">
        <f t="shared" si="9"/>
        <v/>
      </c>
      <c r="Y598" s="4" t="str">
        <f>'QBO Transactions'!$Q600</f>
        <v/>
      </c>
      <c r="Z598" s="2"/>
      <c r="AA598" s="2"/>
      <c r="AB598" s="2"/>
      <c r="AC598" s="2"/>
      <c r="AD598" s="2"/>
      <c r="AE598" s="2"/>
    </row>
    <row r="599" spans="1:31" ht="12.75" customHeight="1" x14ac:dyDescent="0.25">
      <c r="A599" s="2"/>
      <c r="B599" s="2" t="str">
        <f>'QBO Transactions'!$U601</f>
        <v/>
      </c>
      <c r="C599" s="3" t="str">
        <f>'QBO Transactions'!$S601</f>
        <v/>
      </c>
      <c r="D599" s="2" t="str">
        <f>'QBO Transactions'!$R601</f>
        <v/>
      </c>
      <c r="E599" s="2"/>
      <c r="F599" s="3" t="str">
        <f>'QBO Transactions'!$X601</f>
        <v/>
      </c>
      <c r="G599" s="2"/>
      <c r="H599" s="2"/>
      <c r="I599" s="2"/>
      <c r="J599" s="2"/>
      <c r="K599" s="2"/>
      <c r="L599" s="2"/>
      <c r="M599" s="2"/>
      <c r="N599" s="2" t="str">
        <f>'QBO Transactions'!$Y601</f>
        <v/>
      </c>
      <c r="O599" s="2"/>
      <c r="P599" s="2"/>
      <c r="Q599" s="2" t="str">
        <f>'QBO Transactions'!$T601</f>
        <v/>
      </c>
      <c r="R599" s="2"/>
      <c r="S599" s="2"/>
      <c r="T599" s="2"/>
      <c r="U599" s="2"/>
      <c r="V599" s="2"/>
      <c r="W599" s="2"/>
      <c r="X599" s="2" t="str">
        <f t="shared" si="9"/>
        <v/>
      </c>
      <c r="Y599" s="4" t="str">
        <f>'QBO Transactions'!$Q601</f>
        <v/>
      </c>
      <c r="Z599" s="2"/>
      <c r="AA599" s="2"/>
      <c r="AB599" s="2"/>
      <c r="AC599" s="2"/>
      <c r="AD599" s="2"/>
      <c r="AE599" s="2"/>
    </row>
    <row r="600" spans="1:31" ht="12.75" customHeight="1" x14ac:dyDescent="0.25">
      <c r="A600" s="2"/>
      <c r="B600" s="2" t="str">
        <f>'QBO Transactions'!$U602</f>
        <v/>
      </c>
      <c r="C600" s="3" t="str">
        <f>'QBO Transactions'!$S602</f>
        <v/>
      </c>
      <c r="D600" s="2" t="str">
        <f>'QBO Transactions'!$R602</f>
        <v/>
      </c>
      <c r="E600" s="2"/>
      <c r="F600" s="3" t="str">
        <f>'QBO Transactions'!$X602</f>
        <v/>
      </c>
      <c r="G600" s="2"/>
      <c r="H600" s="2"/>
      <c r="I600" s="2"/>
      <c r="J600" s="2"/>
      <c r="K600" s="2"/>
      <c r="L600" s="2"/>
      <c r="M600" s="2"/>
      <c r="N600" s="2" t="str">
        <f>'QBO Transactions'!$Y602</f>
        <v/>
      </c>
      <c r="O600" s="2"/>
      <c r="P600" s="2"/>
      <c r="Q600" s="2" t="str">
        <f>'QBO Transactions'!$T602</f>
        <v/>
      </c>
      <c r="R600" s="2"/>
      <c r="S600" s="2"/>
      <c r="T600" s="2"/>
      <c r="U600" s="2"/>
      <c r="V600" s="2"/>
      <c r="W600" s="2"/>
      <c r="X600" s="2" t="str">
        <f t="shared" si="9"/>
        <v/>
      </c>
      <c r="Y600" s="4" t="str">
        <f>'QBO Transactions'!$Q602</f>
        <v/>
      </c>
      <c r="Z600" s="2"/>
      <c r="AA600" s="2"/>
      <c r="AB600" s="2"/>
      <c r="AC600" s="2"/>
      <c r="AD600" s="2"/>
      <c r="AE600" s="2"/>
    </row>
    <row r="601" spans="1:31" ht="12.75" customHeight="1" x14ac:dyDescent="0.25">
      <c r="A601" s="2"/>
      <c r="B601" s="2" t="str">
        <f>'QBO Transactions'!$U603</f>
        <v/>
      </c>
      <c r="C601" s="3" t="str">
        <f>'QBO Transactions'!$S603</f>
        <v/>
      </c>
      <c r="D601" s="2" t="str">
        <f>'QBO Transactions'!$R603</f>
        <v/>
      </c>
      <c r="E601" s="2"/>
      <c r="F601" s="3" t="str">
        <f>'QBO Transactions'!$X603</f>
        <v/>
      </c>
      <c r="G601" s="2"/>
      <c r="H601" s="2"/>
      <c r="I601" s="2"/>
      <c r="J601" s="2"/>
      <c r="K601" s="2"/>
      <c r="L601" s="2"/>
      <c r="M601" s="2"/>
      <c r="N601" s="2" t="str">
        <f>'QBO Transactions'!$Y603</f>
        <v/>
      </c>
      <c r="O601" s="2"/>
      <c r="P601" s="2"/>
      <c r="Q601" s="2" t="str">
        <f>'QBO Transactions'!$T603</f>
        <v/>
      </c>
      <c r="R601" s="2"/>
      <c r="S601" s="2"/>
      <c r="T601" s="2"/>
      <c r="U601" s="2"/>
      <c r="V601" s="2"/>
      <c r="W601" s="2"/>
      <c r="X601" s="2" t="str">
        <f t="shared" si="9"/>
        <v/>
      </c>
      <c r="Y601" s="4" t="str">
        <f>'QBO Transactions'!$Q603</f>
        <v/>
      </c>
      <c r="Z601" s="2"/>
      <c r="AA601" s="2"/>
      <c r="AB601" s="2"/>
      <c r="AC601" s="2"/>
      <c r="AD601" s="2"/>
      <c r="AE601" s="2"/>
    </row>
    <row r="602" spans="1:31" ht="12.75" customHeight="1" x14ac:dyDescent="0.25">
      <c r="A602" s="2"/>
      <c r="B602" s="2" t="str">
        <f>'QBO Transactions'!$U604</f>
        <v/>
      </c>
      <c r="C602" s="3" t="str">
        <f>'QBO Transactions'!$S604</f>
        <v/>
      </c>
      <c r="D602" s="2" t="str">
        <f>'QBO Transactions'!$R604</f>
        <v/>
      </c>
      <c r="E602" s="2"/>
      <c r="F602" s="3" t="str">
        <f>'QBO Transactions'!$X604</f>
        <v/>
      </c>
      <c r="G602" s="2"/>
      <c r="H602" s="2"/>
      <c r="I602" s="2"/>
      <c r="J602" s="2"/>
      <c r="K602" s="2"/>
      <c r="L602" s="2"/>
      <c r="M602" s="2"/>
      <c r="N602" s="2" t="str">
        <f>'QBO Transactions'!$Y604</f>
        <v/>
      </c>
      <c r="O602" s="2"/>
      <c r="P602" s="2"/>
      <c r="Q602" s="2" t="str">
        <f>'QBO Transactions'!$T604</f>
        <v/>
      </c>
      <c r="R602" s="2"/>
      <c r="S602" s="2"/>
      <c r="T602" s="2"/>
      <c r="U602" s="2"/>
      <c r="V602" s="2"/>
      <c r="W602" s="2"/>
      <c r="X602" s="2" t="str">
        <f t="shared" si="9"/>
        <v/>
      </c>
      <c r="Y602" s="4" t="str">
        <f>'QBO Transactions'!$Q604</f>
        <v/>
      </c>
      <c r="Z602" s="2"/>
      <c r="AA602" s="2"/>
      <c r="AB602" s="2"/>
      <c r="AC602" s="2"/>
      <c r="AD602" s="2"/>
      <c r="AE602" s="2"/>
    </row>
    <row r="603" spans="1:31" ht="12.75" customHeight="1" x14ac:dyDescent="0.25">
      <c r="A603" s="2"/>
      <c r="B603" s="2" t="str">
        <f>'QBO Transactions'!$U605</f>
        <v/>
      </c>
      <c r="C603" s="3" t="str">
        <f>'QBO Transactions'!$S605</f>
        <v/>
      </c>
      <c r="D603" s="2" t="str">
        <f>'QBO Transactions'!$R605</f>
        <v/>
      </c>
      <c r="E603" s="2"/>
      <c r="F603" s="3" t="str">
        <f>'QBO Transactions'!$X605</f>
        <v/>
      </c>
      <c r="G603" s="2"/>
      <c r="H603" s="2"/>
      <c r="I603" s="2"/>
      <c r="J603" s="2"/>
      <c r="K603" s="2"/>
      <c r="L603" s="2"/>
      <c r="M603" s="2"/>
      <c r="N603" s="2" t="str">
        <f>'QBO Transactions'!$Y605</f>
        <v/>
      </c>
      <c r="O603" s="2"/>
      <c r="P603" s="2"/>
      <c r="Q603" s="2" t="str">
        <f>'QBO Transactions'!$T605</f>
        <v/>
      </c>
      <c r="R603" s="2"/>
      <c r="S603" s="2"/>
      <c r="T603" s="2"/>
      <c r="U603" s="2"/>
      <c r="V603" s="2"/>
      <c r="W603" s="2"/>
      <c r="X603" s="2" t="str">
        <f t="shared" si="9"/>
        <v/>
      </c>
      <c r="Y603" s="4" t="str">
        <f>'QBO Transactions'!$Q605</f>
        <v/>
      </c>
      <c r="Z603" s="2"/>
      <c r="AA603" s="2"/>
      <c r="AB603" s="2"/>
      <c r="AC603" s="2"/>
      <c r="AD603" s="2"/>
      <c r="AE603" s="2"/>
    </row>
    <row r="604" spans="1:31" ht="12.75" customHeight="1" x14ac:dyDescent="0.25">
      <c r="A604" s="2"/>
      <c r="B604" s="2" t="str">
        <f>'QBO Transactions'!$U606</f>
        <v/>
      </c>
      <c r="C604" s="3" t="str">
        <f>'QBO Transactions'!$S606</f>
        <v/>
      </c>
      <c r="D604" s="2" t="str">
        <f>'QBO Transactions'!$R606</f>
        <v/>
      </c>
      <c r="E604" s="2"/>
      <c r="F604" s="3" t="str">
        <f>'QBO Transactions'!$X606</f>
        <v/>
      </c>
      <c r="G604" s="2"/>
      <c r="H604" s="2"/>
      <c r="I604" s="2"/>
      <c r="J604" s="2"/>
      <c r="K604" s="2"/>
      <c r="L604" s="2"/>
      <c r="M604" s="2"/>
      <c r="N604" s="2" t="str">
        <f>'QBO Transactions'!$Y606</f>
        <v/>
      </c>
      <c r="O604" s="2"/>
      <c r="P604" s="2"/>
      <c r="Q604" s="2" t="str">
        <f>'QBO Transactions'!$T606</f>
        <v/>
      </c>
      <c r="R604" s="2"/>
      <c r="S604" s="2"/>
      <c r="T604" s="2"/>
      <c r="U604" s="2"/>
      <c r="V604" s="2"/>
      <c r="W604" s="2"/>
      <c r="X604" s="2" t="str">
        <f t="shared" si="9"/>
        <v/>
      </c>
      <c r="Y604" s="4" t="str">
        <f>'QBO Transactions'!$Q606</f>
        <v/>
      </c>
      <c r="Z604" s="2"/>
      <c r="AA604" s="2"/>
      <c r="AB604" s="2"/>
      <c r="AC604" s="2"/>
      <c r="AD604" s="2"/>
      <c r="AE604" s="2"/>
    </row>
    <row r="605" spans="1:31" ht="12.75" customHeight="1" x14ac:dyDescent="0.25">
      <c r="A605" s="2"/>
      <c r="B605" s="2" t="str">
        <f>'QBO Transactions'!$U607</f>
        <v/>
      </c>
      <c r="C605" s="3" t="str">
        <f>'QBO Transactions'!$S607</f>
        <v/>
      </c>
      <c r="D605" s="2" t="str">
        <f>'QBO Transactions'!$R607</f>
        <v/>
      </c>
      <c r="E605" s="2"/>
      <c r="F605" s="3" t="str">
        <f>'QBO Transactions'!$X607</f>
        <v/>
      </c>
      <c r="G605" s="2"/>
      <c r="H605" s="2"/>
      <c r="I605" s="2"/>
      <c r="J605" s="2"/>
      <c r="K605" s="2"/>
      <c r="L605" s="2"/>
      <c r="M605" s="2"/>
      <c r="N605" s="2" t="str">
        <f>'QBO Transactions'!$Y607</f>
        <v/>
      </c>
      <c r="O605" s="2"/>
      <c r="P605" s="2"/>
      <c r="Q605" s="2" t="str">
        <f>'QBO Transactions'!$T607</f>
        <v/>
      </c>
      <c r="R605" s="2"/>
      <c r="S605" s="2"/>
      <c r="T605" s="2"/>
      <c r="U605" s="2"/>
      <c r="V605" s="2"/>
      <c r="W605" s="2"/>
      <c r="X605" s="2" t="str">
        <f t="shared" si="9"/>
        <v/>
      </c>
      <c r="Y605" s="4" t="str">
        <f>'QBO Transactions'!$Q607</f>
        <v/>
      </c>
      <c r="Z605" s="2"/>
      <c r="AA605" s="2"/>
      <c r="AB605" s="2"/>
      <c r="AC605" s="2"/>
      <c r="AD605" s="2"/>
      <c r="AE605" s="2"/>
    </row>
    <row r="606" spans="1:31" ht="12.75" customHeight="1" x14ac:dyDescent="0.25">
      <c r="A606" s="2"/>
      <c r="B606" s="2" t="str">
        <f>'QBO Transactions'!$U608</f>
        <v/>
      </c>
      <c r="C606" s="3" t="str">
        <f>'QBO Transactions'!$S608</f>
        <v/>
      </c>
      <c r="D606" s="2" t="str">
        <f>'QBO Transactions'!$R608</f>
        <v/>
      </c>
      <c r="E606" s="2"/>
      <c r="F606" s="3" t="str">
        <f>'QBO Transactions'!$X608</f>
        <v/>
      </c>
      <c r="G606" s="2"/>
      <c r="H606" s="2"/>
      <c r="I606" s="2"/>
      <c r="J606" s="2"/>
      <c r="K606" s="2"/>
      <c r="L606" s="2"/>
      <c r="M606" s="2"/>
      <c r="N606" s="2" t="str">
        <f>'QBO Transactions'!$Y608</f>
        <v/>
      </c>
      <c r="O606" s="2"/>
      <c r="P606" s="2"/>
      <c r="Q606" s="2" t="str">
        <f>'QBO Transactions'!$T608</f>
        <v/>
      </c>
      <c r="R606" s="2"/>
      <c r="S606" s="2"/>
      <c r="T606" s="2"/>
      <c r="U606" s="2"/>
      <c r="V606" s="2"/>
      <c r="W606" s="2"/>
      <c r="X606" s="2" t="str">
        <f t="shared" si="9"/>
        <v/>
      </c>
      <c r="Y606" s="4" t="str">
        <f>'QBO Transactions'!$Q608</f>
        <v/>
      </c>
      <c r="Z606" s="2"/>
      <c r="AA606" s="2"/>
      <c r="AB606" s="2"/>
      <c r="AC606" s="2"/>
      <c r="AD606" s="2"/>
      <c r="AE606" s="2"/>
    </row>
    <row r="607" spans="1:31" ht="12.75" customHeight="1" x14ac:dyDescent="0.25">
      <c r="A607" s="2"/>
      <c r="B607" s="2" t="str">
        <f>'QBO Transactions'!$U609</f>
        <v/>
      </c>
      <c r="C607" s="3" t="str">
        <f>'QBO Transactions'!$S609</f>
        <v/>
      </c>
      <c r="D607" s="2" t="str">
        <f>'QBO Transactions'!$R609</f>
        <v/>
      </c>
      <c r="E607" s="2"/>
      <c r="F607" s="3" t="str">
        <f>'QBO Transactions'!$X609</f>
        <v/>
      </c>
      <c r="G607" s="2"/>
      <c r="H607" s="2"/>
      <c r="I607" s="2"/>
      <c r="J607" s="2"/>
      <c r="K607" s="2"/>
      <c r="L607" s="2"/>
      <c r="M607" s="2"/>
      <c r="N607" s="2" t="str">
        <f>'QBO Transactions'!$Y609</f>
        <v/>
      </c>
      <c r="O607" s="2"/>
      <c r="P607" s="2"/>
      <c r="Q607" s="2" t="str">
        <f>'QBO Transactions'!$T609</f>
        <v/>
      </c>
      <c r="R607" s="2"/>
      <c r="S607" s="2"/>
      <c r="T607" s="2"/>
      <c r="U607" s="2"/>
      <c r="V607" s="2"/>
      <c r="W607" s="2"/>
      <c r="X607" s="2" t="str">
        <f t="shared" si="9"/>
        <v/>
      </c>
      <c r="Y607" s="4" t="str">
        <f>'QBO Transactions'!$Q609</f>
        <v/>
      </c>
      <c r="Z607" s="2"/>
      <c r="AA607" s="2"/>
      <c r="AB607" s="2"/>
      <c r="AC607" s="2"/>
      <c r="AD607" s="2"/>
      <c r="AE607" s="2"/>
    </row>
    <row r="608" spans="1:31" ht="12.75" customHeight="1" x14ac:dyDescent="0.25">
      <c r="A608" s="2"/>
      <c r="B608" s="2" t="str">
        <f>'QBO Transactions'!$U610</f>
        <v/>
      </c>
      <c r="C608" s="3" t="str">
        <f>'QBO Transactions'!$S610</f>
        <v/>
      </c>
      <c r="D608" s="2" t="str">
        <f>'QBO Transactions'!$R610</f>
        <v/>
      </c>
      <c r="E608" s="2"/>
      <c r="F608" s="3" t="str">
        <f>'QBO Transactions'!$X610</f>
        <v/>
      </c>
      <c r="G608" s="2"/>
      <c r="H608" s="2"/>
      <c r="I608" s="2"/>
      <c r="J608" s="2"/>
      <c r="K608" s="2"/>
      <c r="L608" s="2"/>
      <c r="M608" s="2"/>
      <c r="N608" s="2" t="str">
        <f>'QBO Transactions'!$Y610</f>
        <v/>
      </c>
      <c r="O608" s="2"/>
      <c r="P608" s="2"/>
      <c r="Q608" s="2" t="str">
        <f>'QBO Transactions'!$T610</f>
        <v/>
      </c>
      <c r="R608" s="2"/>
      <c r="S608" s="2"/>
      <c r="T608" s="2"/>
      <c r="U608" s="2"/>
      <c r="V608" s="2"/>
      <c r="W608" s="2"/>
      <c r="X608" s="2" t="str">
        <f t="shared" si="9"/>
        <v/>
      </c>
      <c r="Y608" s="4" t="str">
        <f>'QBO Transactions'!$Q610</f>
        <v/>
      </c>
      <c r="Z608" s="2"/>
      <c r="AA608" s="2"/>
      <c r="AB608" s="2"/>
      <c r="AC608" s="2"/>
      <c r="AD608" s="2"/>
      <c r="AE608" s="2"/>
    </row>
    <row r="609" spans="1:31" ht="12.75" customHeight="1" x14ac:dyDescent="0.25">
      <c r="A609" s="2"/>
      <c r="B609" s="2" t="str">
        <f>'QBO Transactions'!$U611</f>
        <v/>
      </c>
      <c r="C609" s="3" t="str">
        <f>'QBO Transactions'!$S611</f>
        <v/>
      </c>
      <c r="D609" s="2" t="str">
        <f>'QBO Transactions'!$R611</f>
        <v/>
      </c>
      <c r="E609" s="2"/>
      <c r="F609" s="3" t="str">
        <f>'QBO Transactions'!$X611</f>
        <v/>
      </c>
      <c r="G609" s="2"/>
      <c r="H609" s="2"/>
      <c r="I609" s="2"/>
      <c r="J609" s="2"/>
      <c r="K609" s="2"/>
      <c r="L609" s="2"/>
      <c r="M609" s="2"/>
      <c r="N609" s="2" t="str">
        <f>'QBO Transactions'!$Y611</f>
        <v/>
      </c>
      <c r="O609" s="2"/>
      <c r="P609" s="2"/>
      <c r="Q609" s="2" t="str">
        <f>'QBO Transactions'!$T611</f>
        <v/>
      </c>
      <c r="R609" s="2"/>
      <c r="S609" s="2"/>
      <c r="T609" s="2"/>
      <c r="U609" s="2"/>
      <c r="V609" s="2"/>
      <c r="W609" s="2"/>
      <c r="X609" s="2" t="str">
        <f t="shared" si="9"/>
        <v/>
      </c>
      <c r="Y609" s="4" t="str">
        <f>'QBO Transactions'!$Q611</f>
        <v/>
      </c>
      <c r="Z609" s="2"/>
      <c r="AA609" s="2"/>
      <c r="AB609" s="2"/>
      <c r="AC609" s="2"/>
      <c r="AD609" s="2"/>
      <c r="AE609" s="2"/>
    </row>
    <row r="610" spans="1:31" ht="12.75" customHeight="1" x14ac:dyDescent="0.25">
      <c r="A610" s="2"/>
      <c r="B610" s="2" t="str">
        <f>'QBO Transactions'!$U612</f>
        <v/>
      </c>
      <c r="C610" s="3" t="str">
        <f>'QBO Transactions'!$S612</f>
        <v/>
      </c>
      <c r="D610" s="2" t="str">
        <f>'QBO Transactions'!$R612</f>
        <v/>
      </c>
      <c r="E610" s="2"/>
      <c r="F610" s="3" t="str">
        <f>'QBO Transactions'!$X612</f>
        <v/>
      </c>
      <c r="G610" s="2"/>
      <c r="H610" s="2"/>
      <c r="I610" s="2"/>
      <c r="J610" s="2"/>
      <c r="K610" s="2"/>
      <c r="L610" s="2"/>
      <c r="M610" s="2"/>
      <c r="N610" s="2" t="str">
        <f>'QBO Transactions'!$Y612</f>
        <v/>
      </c>
      <c r="O610" s="2"/>
      <c r="P610" s="2"/>
      <c r="Q610" s="2" t="str">
        <f>'QBO Transactions'!$T612</f>
        <v/>
      </c>
      <c r="R610" s="2"/>
      <c r="S610" s="2"/>
      <c r="T610" s="2"/>
      <c r="U610" s="2"/>
      <c r="V610" s="2"/>
      <c r="W610" s="2"/>
      <c r="X610" s="2" t="str">
        <f t="shared" si="9"/>
        <v/>
      </c>
      <c r="Y610" s="4" t="str">
        <f>'QBO Transactions'!$Q612</f>
        <v/>
      </c>
      <c r="Z610" s="2"/>
      <c r="AA610" s="2"/>
      <c r="AB610" s="2"/>
      <c r="AC610" s="2"/>
      <c r="AD610" s="2"/>
      <c r="AE610" s="2"/>
    </row>
    <row r="611" spans="1:31" ht="12.75" customHeight="1" x14ac:dyDescent="0.25">
      <c r="A611" s="2"/>
      <c r="B611" s="2" t="str">
        <f>'QBO Transactions'!$U613</f>
        <v/>
      </c>
      <c r="C611" s="3" t="str">
        <f>'QBO Transactions'!$S613</f>
        <v/>
      </c>
      <c r="D611" s="2" t="str">
        <f>'QBO Transactions'!$R613</f>
        <v/>
      </c>
      <c r="E611" s="2"/>
      <c r="F611" s="3" t="str">
        <f>'QBO Transactions'!$X613</f>
        <v/>
      </c>
      <c r="G611" s="2"/>
      <c r="H611" s="2"/>
      <c r="I611" s="2"/>
      <c r="J611" s="2"/>
      <c r="K611" s="2"/>
      <c r="L611" s="2"/>
      <c r="M611" s="2"/>
      <c r="N611" s="2" t="str">
        <f>'QBO Transactions'!$Y613</f>
        <v/>
      </c>
      <c r="O611" s="2"/>
      <c r="P611" s="2"/>
      <c r="Q611" s="2" t="str">
        <f>'QBO Transactions'!$T613</f>
        <v/>
      </c>
      <c r="R611" s="2"/>
      <c r="S611" s="2"/>
      <c r="T611" s="2"/>
      <c r="U611" s="2"/>
      <c r="V611" s="2"/>
      <c r="W611" s="2"/>
      <c r="X611" s="2" t="str">
        <f t="shared" si="9"/>
        <v/>
      </c>
      <c r="Y611" s="4" t="str">
        <f>'QBO Transactions'!$Q613</f>
        <v/>
      </c>
      <c r="Z611" s="2"/>
      <c r="AA611" s="2"/>
      <c r="AB611" s="2"/>
      <c r="AC611" s="2"/>
      <c r="AD611" s="2"/>
      <c r="AE611" s="2"/>
    </row>
    <row r="612" spans="1:31" ht="12.75" customHeight="1" x14ac:dyDescent="0.25">
      <c r="A612" s="2"/>
      <c r="B612" s="2" t="str">
        <f>'QBO Transactions'!$U614</f>
        <v/>
      </c>
      <c r="C612" s="3" t="str">
        <f>'QBO Transactions'!$S614</f>
        <v/>
      </c>
      <c r="D612" s="2" t="str">
        <f>'QBO Transactions'!$R614</f>
        <v/>
      </c>
      <c r="E612" s="2"/>
      <c r="F612" s="3" t="str">
        <f>'QBO Transactions'!$X614</f>
        <v/>
      </c>
      <c r="G612" s="2"/>
      <c r="H612" s="2"/>
      <c r="I612" s="2"/>
      <c r="J612" s="2"/>
      <c r="K612" s="2"/>
      <c r="L612" s="2"/>
      <c r="M612" s="2"/>
      <c r="N612" s="2" t="str">
        <f>'QBO Transactions'!$Y614</f>
        <v/>
      </c>
      <c r="O612" s="2"/>
      <c r="P612" s="2"/>
      <c r="Q612" s="2" t="str">
        <f>'QBO Transactions'!$T614</f>
        <v/>
      </c>
      <c r="R612" s="2"/>
      <c r="S612" s="2"/>
      <c r="T612" s="2"/>
      <c r="U612" s="2"/>
      <c r="V612" s="2"/>
      <c r="W612" s="2"/>
      <c r="X612" s="2" t="str">
        <f t="shared" si="9"/>
        <v/>
      </c>
      <c r="Y612" s="4" t="str">
        <f>'QBO Transactions'!$Q614</f>
        <v/>
      </c>
      <c r="Z612" s="2"/>
      <c r="AA612" s="2"/>
      <c r="AB612" s="2"/>
      <c r="AC612" s="2"/>
      <c r="AD612" s="2"/>
      <c r="AE612" s="2"/>
    </row>
    <row r="613" spans="1:31" ht="12.75" customHeight="1" x14ac:dyDescent="0.25">
      <c r="A613" s="2"/>
      <c r="B613" s="2" t="str">
        <f>'QBO Transactions'!$U615</f>
        <v/>
      </c>
      <c r="C613" s="3" t="str">
        <f>'QBO Transactions'!$S615</f>
        <v/>
      </c>
      <c r="D613" s="2" t="str">
        <f>'QBO Transactions'!$R615</f>
        <v/>
      </c>
      <c r="E613" s="2"/>
      <c r="F613" s="3" t="str">
        <f>'QBO Transactions'!$X615</f>
        <v/>
      </c>
      <c r="G613" s="2"/>
      <c r="H613" s="2"/>
      <c r="I613" s="2"/>
      <c r="J613" s="2"/>
      <c r="K613" s="2"/>
      <c r="L613" s="2"/>
      <c r="M613" s="2"/>
      <c r="N613" s="2" t="str">
        <f>'QBO Transactions'!$Y615</f>
        <v/>
      </c>
      <c r="O613" s="2"/>
      <c r="P613" s="2"/>
      <c r="Q613" s="2" t="str">
        <f>'QBO Transactions'!$T615</f>
        <v/>
      </c>
      <c r="R613" s="2"/>
      <c r="S613" s="2"/>
      <c r="T613" s="2"/>
      <c r="U613" s="2"/>
      <c r="V613" s="2"/>
      <c r="W613" s="2"/>
      <c r="X613" s="2" t="str">
        <f t="shared" si="9"/>
        <v/>
      </c>
      <c r="Y613" s="4" t="str">
        <f>'QBO Transactions'!$Q615</f>
        <v/>
      </c>
      <c r="Z613" s="2"/>
      <c r="AA613" s="2"/>
      <c r="AB613" s="2"/>
      <c r="AC613" s="2"/>
      <c r="AD613" s="2"/>
      <c r="AE613" s="2"/>
    </row>
    <row r="614" spans="1:31" ht="12.75" customHeight="1" x14ac:dyDescent="0.25">
      <c r="A614" s="2"/>
      <c r="B614" s="2" t="str">
        <f>'QBO Transactions'!$U616</f>
        <v/>
      </c>
      <c r="C614" s="3" t="str">
        <f>'QBO Transactions'!$S616</f>
        <v/>
      </c>
      <c r="D614" s="2" t="str">
        <f>'QBO Transactions'!$R616</f>
        <v/>
      </c>
      <c r="E614" s="2"/>
      <c r="F614" s="3" t="str">
        <f>'QBO Transactions'!$X616</f>
        <v/>
      </c>
      <c r="G614" s="2"/>
      <c r="H614" s="2"/>
      <c r="I614" s="2"/>
      <c r="J614" s="2"/>
      <c r="K614" s="2"/>
      <c r="L614" s="2"/>
      <c r="M614" s="2"/>
      <c r="N614" s="2" t="str">
        <f>'QBO Transactions'!$Y616</f>
        <v/>
      </c>
      <c r="O614" s="2"/>
      <c r="P614" s="2"/>
      <c r="Q614" s="2" t="str">
        <f>'QBO Transactions'!$T616</f>
        <v/>
      </c>
      <c r="R614" s="2"/>
      <c r="S614" s="2"/>
      <c r="T614" s="2"/>
      <c r="U614" s="2"/>
      <c r="V614" s="2"/>
      <c r="W614" s="2"/>
      <c r="X614" s="2" t="str">
        <f t="shared" si="9"/>
        <v/>
      </c>
      <c r="Y614" s="4" t="str">
        <f>'QBO Transactions'!$Q616</f>
        <v/>
      </c>
      <c r="Z614" s="2"/>
      <c r="AA614" s="2"/>
      <c r="AB614" s="2"/>
      <c r="AC614" s="2"/>
      <c r="AD614" s="2"/>
      <c r="AE614" s="2"/>
    </row>
    <row r="615" spans="1:31" ht="12.75" customHeight="1" x14ac:dyDescent="0.25">
      <c r="A615" s="2"/>
      <c r="B615" s="2" t="str">
        <f>'QBO Transactions'!$U617</f>
        <v/>
      </c>
      <c r="C615" s="3" t="str">
        <f>'QBO Transactions'!$S617</f>
        <v/>
      </c>
      <c r="D615" s="2" t="str">
        <f>'QBO Transactions'!$R617</f>
        <v/>
      </c>
      <c r="E615" s="2"/>
      <c r="F615" s="3" t="str">
        <f>'QBO Transactions'!$X617</f>
        <v/>
      </c>
      <c r="G615" s="2"/>
      <c r="H615" s="2"/>
      <c r="I615" s="2"/>
      <c r="J615" s="2"/>
      <c r="K615" s="2"/>
      <c r="L615" s="2"/>
      <c r="M615" s="2"/>
      <c r="N615" s="2" t="str">
        <f>'QBO Transactions'!$Y617</f>
        <v/>
      </c>
      <c r="O615" s="2"/>
      <c r="P615" s="2"/>
      <c r="Q615" s="2" t="str">
        <f>'QBO Transactions'!$T617</f>
        <v/>
      </c>
      <c r="R615" s="2"/>
      <c r="S615" s="2"/>
      <c r="T615" s="2"/>
      <c r="U615" s="2"/>
      <c r="V615" s="2"/>
      <c r="W615" s="2"/>
      <c r="X615" s="2" t="str">
        <f t="shared" si="9"/>
        <v/>
      </c>
      <c r="Y615" s="4" t="str">
        <f>'QBO Transactions'!$Q617</f>
        <v/>
      </c>
      <c r="Z615" s="2"/>
      <c r="AA615" s="2"/>
      <c r="AB615" s="2"/>
      <c r="AC615" s="2"/>
      <c r="AD615" s="2"/>
      <c r="AE615" s="2"/>
    </row>
    <row r="616" spans="1:31" ht="12.75" customHeight="1" x14ac:dyDescent="0.25">
      <c r="A616" s="2"/>
      <c r="B616" s="2" t="str">
        <f>'QBO Transactions'!$U618</f>
        <v/>
      </c>
      <c r="C616" s="3" t="str">
        <f>'QBO Transactions'!$S618</f>
        <v/>
      </c>
      <c r="D616" s="2" t="str">
        <f>'QBO Transactions'!$R618</f>
        <v/>
      </c>
      <c r="E616" s="2"/>
      <c r="F616" s="3" t="str">
        <f>'QBO Transactions'!$X618</f>
        <v/>
      </c>
      <c r="G616" s="2"/>
      <c r="H616" s="2"/>
      <c r="I616" s="2"/>
      <c r="J616" s="2"/>
      <c r="K616" s="2"/>
      <c r="L616" s="2"/>
      <c r="M616" s="2"/>
      <c r="N616" s="2" t="str">
        <f>'QBO Transactions'!$Y618</f>
        <v/>
      </c>
      <c r="O616" s="2"/>
      <c r="P616" s="2"/>
      <c r="Q616" s="2" t="str">
        <f>'QBO Transactions'!$T618</f>
        <v/>
      </c>
      <c r="R616" s="2"/>
      <c r="S616" s="2"/>
      <c r="T616" s="2"/>
      <c r="U616" s="2"/>
      <c r="V616" s="2"/>
      <c r="W616" s="2"/>
      <c r="X616" s="2" t="str">
        <f t="shared" si="9"/>
        <v/>
      </c>
      <c r="Y616" s="4" t="str">
        <f>'QBO Transactions'!$Q618</f>
        <v/>
      </c>
      <c r="Z616" s="2"/>
      <c r="AA616" s="2"/>
      <c r="AB616" s="2"/>
      <c r="AC616" s="2"/>
      <c r="AD616" s="2"/>
      <c r="AE616" s="2"/>
    </row>
    <row r="617" spans="1:31" ht="12.75" customHeight="1" x14ac:dyDescent="0.25">
      <c r="A617" s="2"/>
      <c r="B617" s="2" t="str">
        <f>'QBO Transactions'!$U619</f>
        <v/>
      </c>
      <c r="C617" s="3" t="str">
        <f>'QBO Transactions'!$S619</f>
        <v/>
      </c>
      <c r="D617" s="2" t="str">
        <f>'QBO Transactions'!$R619</f>
        <v/>
      </c>
      <c r="E617" s="2"/>
      <c r="F617" s="3" t="str">
        <f>'QBO Transactions'!$X619</f>
        <v/>
      </c>
      <c r="G617" s="2"/>
      <c r="H617" s="2"/>
      <c r="I617" s="2"/>
      <c r="J617" s="2"/>
      <c r="K617" s="2"/>
      <c r="L617" s="2"/>
      <c r="M617" s="2"/>
      <c r="N617" s="2" t="str">
        <f>'QBO Transactions'!$Y619</f>
        <v/>
      </c>
      <c r="O617" s="2"/>
      <c r="P617" s="2"/>
      <c r="Q617" s="2" t="str">
        <f>'QBO Transactions'!$T619</f>
        <v/>
      </c>
      <c r="R617" s="2"/>
      <c r="S617" s="2"/>
      <c r="T617" s="2"/>
      <c r="U617" s="2"/>
      <c r="V617" s="2"/>
      <c r="W617" s="2"/>
      <c r="X617" s="2" t="str">
        <f t="shared" si="9"/>
        <v/>
      </c>
      <c r="Y617" s="4" t="str">
        <f>'QBO Transactions'!$Q619</f>
        <v/>
      </c>
      <c r="Z617" s="2"/>
      <c r="AA617" s="2"/>
      <c r="AB617" s="2"/>
      <c r="AC617" s="2"/>
      <c r="AD617" s="2"/>
      <c r="AE617" s="2"/>
    </row>
    <row r="618" spans="1:31" ht="12.75" customHeight="1" x14ac:dyDescent="0.25">
      <c r="A618" s="2"/>
      <c r="B618" s="2" t="str">
        <f>'QBO Transactions'!$U620</f>
        <v/>
      </c>
      <c r="C618" s="3" t="str">
        <f>'QBO Transactions'!$S620</f>
        <v/>
      </c>
      <c r="D618" s="2" t="str">
        <f>'QBO Transactions'!$R620</f>
        <v/>
      </c>
      <c r="E618" s="2"/>
      <c r="F618" s="3" t="str">
        <f>'QBO Transactions'!$X620</f>
        <v/>
      </c>
      <c r="G618" s="2"/>
      <c r="H618" s="2"/>
      <c r="I618" s="2"/>
      <c r="J618" s="2"/>
      <c r="K618" s="2"/>
      <c r="L618" s="2"/>
      <c r="M618" s="2"/>
      <c r="N618" s="2" t="str">
        <f>'QBO Transactions'!$Y620</f>
        <v/>
      </c>
      <c r="O618" s="2"/>
      <c r="P618" s="2"/>
      <c r="Q618" s="2" t="str">
        <f>'QBO Transactions'!$T620</f>
        <v/>
      </c>
      <c r="R618" s="2"/>
      <c r="S618" s="2"/>
      <c r="T618" s="2"/>
      <c r="U618" s="2"/>
      <c r="V618" s="2"/>
      <c r="W618" s="2"/>
      <c r="X618" s="2" t="str">
        <f t="shared" si="9"/>
        <v/>
      </c>
      <c r="Y618" s="4" t="str">
        <f>'QBO Transactions'!$Q620</f>
        <v/>
      </c>
      <c r="Z618" s="2"/>
      <c r="AA618" s="2"/>
      <c r="AB618" s="2"/>
      <c r="AC618" s="2"/>
      <c r="AD618" s="2"/>
      <c r="AE618" s="2"/>
    </row>
    <row r="619" spans="1:31" ht="12.75" customHeight="1" x14ac:dyDescent="0.25">
      <c r="A619" s="2"/>
      <c r="B619" s="2" t="str">
        <f>'QBO Transactions'!$U621</f>
        <v/>
      </c>
      <c r="C619" s="3" t="str">
        <f>'QBO Transactions'!$S621</f>
        <v/>
      </c>
      <c r="D619" s="2" t="str">
        <f>'QBO Transactions'!$R621</f>
        <v/>
      </c>
      <c r="E619" s="2"/>
      <c r="F619" s="3" t="str">
        <f>'QBO Transactions'!$X621</f>
        <v/>
      </c>
      <c r="G619" s="2"/>
      <c r="H619" s="2"/>
      <c r="I619" s="2"/>
      <c r="J619" s="2"/>
      <c r="K619" s="2"/>
      <c r="L619" s="2"/>
      <c r="M619" s="2"/>
      <c r="N619" s="2" t="str">
        <f>'QBO Transactions'!$Y621</f>
        <v/>
      </c>
      <c r="O619" s="2"/>
      <c r="P619" s="2"/>
      <c r="Q619" s="2" t="str">
        <f>'QBO Transactions'!$T621</f>
        <v/>
      </c>
      <c r="R619" s="2"/>
      <c r="S619" s="2"/>
      <c r="T619" s="2"/>
      <c r="U619" s="2"/>
      <c r="V619" s="2"/>
      <c r="W619" s="2"/>
      <c r="X619" s="2" t="str">
        <f t="shared" si="9"/>
        <v/>
      </c>
      <c r="Y619" s="4" t="str">
        <f>'QBO Transactions'!$Q621</f>
        <v/>
      </c>
      <c r="Z619" s="2"/>
      <c r="AA619" s="2"/>
      <c r="AB619" s="2"/>
      <c r="AC619" s="2"/>
      <c r="AD619" s="2"/>
      <c r="AE619" s="2"/>
    </row>
    <row r="620" spans="1:31" ht="12.75" customHeight="1" x14ac:dyDescent="0.25">
      <c r="A620" s="2"/>
      <c r="B620" s="2" t="str">
        <f>'QBO Transactions'!$U622</f>
        <v/>
      </c>
      <c r="C620" s="3" t="str">
        <f>'QBO Transactions'!$S622</f>
        <v/>
      </c>
      <c r="D620" s="2" t="str">
        <f>'QBO Transactions'!$R622</f>
        <v/>
      </c>
      <c r="E620" s="2"/>
      <c r="F620" s="3" t="str">
        <f>'QBO Transactions'!$X622</f>
        <v/>
      </c>
      <c r="G620" s="2"/>
      <c r="H620" s="2"/>
      <c r="I620" s="2"/>
      <c r="J620" s="2"/>
      <c r="K620" s="2"/>
      <c r="L620" s="2"/>
      <c r="M620" s="2"/>
      <c r="N620" s="2" t="str">
        <f>'QBO Transactions'!$Y622</f>
        <v/>
      </c>
      <c r="O620" s="2"/>
      <c r="P620" s="2"/>
      <c r="Q620" s="2" t="str">
        <f>'QBO Transactions'!$T622</f>
        <v/>
      </c>
      <c r="R620" s="2"/>
      <c r="S620" s="2"/>
      <c r="T620" s="2"/>
      <c r="U620" s="2"/>
      <c r="V620" s="2"/>
      <c r="W620" s="2"/>
      <c r="X620" s="2" t="str">
        <f t="shared" si="9"/>
        <v/>
      </c>
      <c r="Y620" s="4" t="str">
        <f>'QBO Transactions'!$Q622</f>
        <v/>
      </c>
      <c r="Z620" s="2"/>
      <c r="AA620" s="2"/>
      <c r="AB620" s="2"/>
      <c r="AC620" s="2"/>
      <c r="AD620" s="2"/>
      <c r="AE620" s="2"/>
    </row>
    <row r="621" spans="1:31" ht="12.75" customHeight="1" x14ac:dyDescent="0.25">
      <c r="A621" s="2"/>
      <c r="B621" s="2" t="str">
        <f>'QBO Transactions'!$U623</f>
        <v/>
      </c>
      <c r="C621" s="3" t="str">
        <f>'QBO Transactions'!$S623</f>
        <v/>
      </c>
      <c r="D621" s="2" t="str">
        <f>'QBO Transactions'!$R623</f>
        <v/>
      </c>
      <c r="E621" s="2"/>
      <c r="F621" s="3" t="str">
        <f>'QBO Transactions'!$X623</f>
        <v/>
      </c>
      <c r="G621" s="2"/>
      <c r="H621" s="2"/>
      <c r="I621" s="2"/>
      <c r="J621" s="2"/>
      <c r="K621" s="2"/>
      <c r="L621" s="2"/>
      <c r="M621" s="2"/>
      <c r="N621" s="2" t="str">
        <f>'QBO Transactions'!$Y623</f>
        <v/>
      </c>
      <c r="O621" s="2"/>
      <c r="P621" s="2"/>
      <c r="Q621" s="2" t="str">
        <f>'QBO Transactions'!$T623</f>
        <v/>
      </c>
      <c r="R621" s="2"/>
      <c r="S621" s="2"/>
      <c r="T621" s="2"/>
      <c r="U621" s="2"/>
      <c r="V621" s="2"/>
      <c r="W621" s="2"/>
      <c r="X621" s="2" t="str">
        <f t="shared" si="9"/>
        <v/>
      </c>
      <c r="Y621" s="4" t="str">
        <f>'QBO Transactions'!$Q623</f>
        <v/>
      </c>
      <c r="Z621" s="2"/>
      <c r="AA621" s="2"/>
      <c r="AB621" s="2"/>
      <c r="AC621" s="2"/>
      <c r="AD621" s="2"/>
      <c r="AE621" s="2"/>
    </row>
    <row r="622" spans="1:31" ht="12.75" customHeight="1" x14ac:dyDescent="0.25">
      <c r="A622" s="2"/>
      <c r="B622" s="2" t="str">
        <f>'QBO Transactions'!$U624</f>
        <v/>
      </c>
      <c r="C622" s="3" t="str">
        <f>'QBO Transactions'!$S624</f>
        <v/>
      </c>
      <c r="D622" s="2" t="str">
        <f>'QBO Transactions'!$R624</f>
        <v/>
      </c>
      <c r="E622" s="2"/>
      <c r="F622" s="3" t="str">
        <f>'QBO Transactions'!$X624</f>
        <v/>
      </c>
      <c r="G622" s="2"/>
      <c r="H622" s="2"/>
      <c r="I622" s="2"/>
      <c r="J622" s="2"/>
      <c r="K622" s="2"/>
      <c r="L622" s="2"/>
      <c r="M622" s="2"/>
      <c r="N622" s="2" t="str">
        <f>'QBO Transactions'!$Y624</f>
        <v/>
      </c>
      <c r="O622" s="2"/>
      <c r="P622" s="2"/>
      <c r="Q622" s="2" t="str">
        <f>'QBO Transactions'!$T624</f>
        <v/>
      </c>
      <c r="R622" s="2"/>
      <c r="S622" s="2"/>
      <c r="T622" s="2"/>
      <c r="U622" s="2"/>
      <c r="V622" s="2"/>
      <c r="W622" s="2"/>
      <c r="X622" s="2" t="str">
        <f t="shared" si="9"/>
        <v/>
      </c>
      <c r="Y622" s="4" t="str">
        <f>'QBO Transactions'!$Q624</f>
        <v/>
      </c>
      <c r="Z622" s="2"/>
      <c r="AA622" s="2"/>
      <c r="AB622" s="2"/>
      <c r="AC622" s="2"/>
      <c r="AD622" s="2"/>
      <c r="AE622" s="2"/>
    </row>
    <row r="623" spans="1:31" ht="12.75" customHeight="1" x14ac:dyDescent="0.25">
      <c r="A623" s="2"/>
      <c r="B623" s="2" t="str">
        <f>'QBO Transactions'!$U625</f>
        <v/>
      </c>
      <c r="C623" s="3" t="str">
        <f>'QBO Transactions'!$S625</f>
        <v/>
      </c>
      <c r="D623" s="2" t="str">
        <f>'QBO Transactions'!$R625</f>
        <v/>
      </c>
      <c r="E623" s="2"/>
      <c r="F623" s="3" t="str">
        <f>'QBO Transactions'!$X625</f>
        <v/>
      </c>
      <c r="G623" s="2"/>
      <c r="H623" s="2"/>
      <c r="I623" s="2"/>
      <c r="J623" s="2"/>
      <c r="K623" s="2"/>
      <c r="L623" s="2"/>
      <c r="M623" s="2"/>
      <c r="N623" s="2" t="str">
        <f>'QBO Transactions'!$Y625</f>
        <v/>
      </c>
      <c r="O623" s="2"/>
      <c r="P623" s="2"/>
      <c r="Q623" s="2" t="str">
        <f>'QBO Transactions'!$T625</f>
        <v/>
      </c>
      <c r="R623" s="2"/>
      <c r="S623" s="2"/>
      <c r="T623" s="2"/>
      <c r="U623" s="2"/>
      <c r="V623" s="2"/>
      <c r="W623" s="2"/>
      <c r="X623" s="2" t="str">
        <f t="shared" si="9"/>
        <v/>
      </c>
      <c r="Y623" s="4" t="str">
        <f>'QBO Transactions'!$Q625</f>
        <v/>
      </c>
      <c r="Z623" s="2"/>
      <c r="AA623" s="2"/>
      <c r="AB623" s="2"/>
      <c r="AC623" s="2"/>
      <c r="AD623" s="2"/>
      <c r="AE623" s="2"/>
    </row>
    <row r="624" spans="1:31" ht="12.75" customHeight="1" x14ac:dyDescent="0.25">
      <c r="A624" s="2"/>
      <c r="B624" s="2" t="str">
        <f>'QBO Transactions'!$U626</f>
        <v/>
      </c>
      <c r="C624" s="3" t="str">
        <f>'QBO Transactions'!$S626</f>
        <v/>
      </c>
      <c r="D624" s="2" t="str">
        <f>'QBO Transactions'!$R626</f>
        <v/>
      </c>
      <c r="E624" s="2"/>
      <c r="F624" s="3" t="str">
        <f>'QBO Transactions'!$X626</f>
        <v/>
      </c>
      <c r="G624" s="2"/>
      <c r="H624" s="2"/>
      <c r="I624" s="2"/>
      <c r="J624" s="2"/>
      <c r="K624" s="2"/>
      <c r="L624" s="2"/>
      <c r="M624" s="2"/>
      <c r="N624" s="2" t="str">
        <f>'QBO Transactions'!$Y626</f>
        <v/>
      </c>
      <c r="O624" s="2"/>
      <c r="P624" s="2"/>
      <c r="Q624" s="2" t="str">
        <f>'QBO Transactions'!$T626</f>
        <v/>
      </c>
      <c r="R624" s="2"/>
      <c r="S624" s="2"/>
      <c r="T624" s="2"/>
      <c r="U624" s="2"/>
      <c r="V624" s="2"/>
      <c r="W624" s="2"/>
      <c r="X624" s="2" t="str">
        <f t="shared" si="9"/>
        <v/>
      </c>
      <c r="Y624" s="4" t="str">
        <f>'QBO Transactions'!$Q626</f>
        <v/>
      </c>
      <c r="Z624" s="2"/>
      <c r="AA624" s="2"/>
      <c r="AB624" s="2"/>
      <c r="AC624" s="2"/>
      <c r="AD624" s="2"/>
      <c r="AE624" s="2"/>
    </row>
    <row r="625" spans="1:31" ht="12.75" customHeight="1" x14ac:dyDescent="0.25">
      <c r="A625" s="2"/>
      <c r="B625" s="2" t="str">
        <f>'QBO Transactions'!$U627</f>
        <v/>
      </c>
      <c r="C625" s="3" t="str">
        <f>'QBO Transactions'!$S627</f>
        <v/>
      </c>
      <c r="D625" s="2" t="str">
        <f>'QBO Transactions'!$R627</f>
        <v/>
      </c>
      <c r="E625" s="2"/>
      <c r="F625" s="3" t="str">
        <f>'QBO Transactions'!$X627</f>
        <v/>
      </c>
      <c r="G625" s="2"/>
      <c r="H625" s="2"/>
      <c r="I625" s="2"/>
      <c r="J625" s="2"/>
      <c r="K625" s="2"/>
      <c r="L625" s="2"/>
      <c r="M625" s="2"/>
      <c r="N625" s="2" t="str">
        <f>'QBO Transactions'!$Y627</f>
        <v/>
      </c>
      <c r="O625" s="2"/>
      <c r="P625" s="2"/>
      <c r="Q625" s="2" t="str">
        <f>'QBO Transactions'!$T627</f>
        <v/>
      </c>
      <c r="R625" s="2"/>
      <c r="S625" s="2"/>
      <c r="T625" s="2"/>
      <c r="U625" s="2"/>
      <c r="V625" s="2"/>
      <c r="W625" s="2"/>
      <c r="X625" s="2" t="str">
        <f t="shared" si="9"/>
        <v/>
      </c>
      <c r="Y625" s="4" t="str">
        <f>'QBO Transactions'!$Q627</f>
        <v/>
      </c>
      <c r="Z625" s="2"/>
      <c r="AA625" s="2"/>
      <c r="AB625" s="2"/>
      <c r="AC625" s="2"/>
      <c r="AD625" s="2"/>
      <c r="AE625" s="2"/>
    </row>
    <row r="626" spans="1:31" ht="12.75" customHeight="1" x14ac:dyDescent="0.25">
      <c r="A626" s="2"/>
      <c r="B626" s="2" t="str">
        <f>'QBO Transactions'!$U628</f>
        <v/>
      </c>
      <c r="C626" s="3" t="str">
        <f>'QBO Transactions'!$S628</f>
        <v/>
      </c>
      <c r="D626" s="2" t="str">
        <f>'QBO Transactions'!$R628</f>
        <v/>
      </c>
      <c r="E626" s="2"/>
      <c r="F626" s="3" t="str">
        <f>'QBO Transactions'!$X628</f>
        <v/>
      </c>
      <c r="G626" s="2"/>
      <c r="H626" s="2"/>
      <c r="I626" s="2"/>
      <c r="J626" s="2"/>
      <c r="K626" s="2"/>
      <c r="L626" s="2"/>
      <c r="M626" s="2"/>
      <c r="N626" s="2" t="str">
        <f>'QBO Transactions'!$Y628</f>
        <v/>
      </c>
      <c r="O626" s="2"/>
      <c r="P626" s="2"/>
      <c r="Q626" s="2" t="str">
        <f>'QBO Transactions'!$T628</f>
        <v/>
      </c>
      <c r="R626" s="2"/>
      <c r="S626" s="2"/>
      <c r="T626" s="2"/>
      <c r="U626" s="2"/>
      <c r="V626" s="2"/>
      <c r="W626" s="2"/>
      <c r="X626" s="2" t="str">
        <f t="shared" si="9"/>
        <v/>
      </c>
      <c r="Y626" s="4" t="str">
        <f>'QBO Transactions'!$Q628</f>
        <v/>
      </c>
      <c r="Z626" s="2"/>
      <c r="AA626" s="2"/>
      <c r="AB626" s="2"/>
      <c r="AC626" s="2"/>
      <c r="AD626" s="2"/>
      <c r="AE626" s="2"/>
    </row>
    <row r="627" spans="1:31" ht="12.75" customHeight="1" x14ac:dyDescent="0.25">
      <c r="A627" s="2"/>
      <c r="B627" s="2" t="str">
        <f>'QBO Transactions'!$U629</f>
        <v/>
      </c>
      <c r="C627" s="3" t="str">
        <f>'QBO Transactions'!$S629</f>
        <v/>
      </c>
      <c r="D627" s="2" t="str">
        <f>'QBO Transactions'!$R629</f>
        <v/>
      </c>
      <c r="E627" s="2"/>
      <c r="F627" s="3" t="str">
        <f>'QBO Transactions'!$X629</f>
        <v/>
      </c>
      <c r="G627" s="2"/>
      <c r="H627" s="2"/>
      <c r="I627" s="2"/>
      <c r="J627" s="2"/>
      <c r="K627" s="2"/>
      <c r="L627" s="2"/>
      <c r="M627" s="2"/>
      <c r="N627" s="2" t="str">
        <f>'QBO Transactions'!$Y629</f>
        <v/>
      </c>
      <c r="O627" s="2"/>
      <c r="P627" s="2"/>
      <c r="Q627" s="2" t="str">
        <f>'QBO Transactions'!$T629</f>
        <v/>
      </c>
      <c r="R627" s="2"/>
      <c r="S627" s="2"/>
      <c r="T627" s="2"/>
      <c r="U627" s="2"/>
      <c r="V627" s="2"/>
      <c r="W627" s="2"/>
      <c r="X627" s="2" t="str">
        <f t="shared" si="9"/>
        <v/>
      </c>
      <c r="Y627" s="4" t="str">
        <f>'QBO Transactions'!$Q629</f>
        <v/>
      </c>
      <c r="Z627" s="2"/>
      <c r="AA627" s="2"/>
      <c r="AB627" s="2"/>
      <c r="AC627" s="2"/>
      <c r="AD627" s="2"/>
      <c r="AE627" s="2"/>
    </row>
    <row r="628" spans="1:31" ht="12.75" customHeight="1" x14ac:dyDescent="0.25">
      <c r="A628" s="2"/>
      <c r="B628" s="2" t="str">
        <f>'QBO Transactions'!$U630</f>
        <v/>
      </c>
      <c r="C628" s="3" t="str">
        <f>'QBO Transactions'!$S630</f>
        <v/>
      </c>
      <c r="D628" s="2" t="str">
        <f>'QBO Transactions'!$R630</f>
        <v/>
      </c>
      <c r="E628" s="2"/>
      <c r="F628" s="3" t="str">
        <f>'QBO Transactions'!$X630</f>
        <v/>
      </c>
      <c r="G628" s="2"/>
      <c r="H628" s="2"/>
      <c r="I628" s="2"/>
      <c r="J628" s="2"/>
      <c r="K628" s="2"/>
      <c r="L628" s="2"/>
      <c r="M628" s="2"/>
      <c r="N628" s="2" t="str">
        <f>'QBO Transactions'!$Y630</f>
        <v/>
      </c>
      <c r="O628" s="2"/>
      <c r="P628" s="2"/>
      <c r="Q628" s="2" t="str">
        <f>'QBO Transactions'!$T630</f>
        <v/>
      </c>
      <c r="R628" s="2"/>
      <c r="S628" s="2"/>
      <c r="T628" s="2"/>
      <c r="U628" s="2"/>
      <c r="V628" s="2"/>
      <c r="W628" s="2"/>
      <c r="X628" s="2" t="str">
        <f t="shared" si="9"/>
        <v/>
      </c>
      <c r="Y628" s="4" t="str">
        <f>'QBO Transactions'!$Q630</f>
        <v/>
      </c>
      <c r="Z628" s="2"/>
      <c r="AA628" s="2"/>
      <c r="AB628" s="2"/>
      <c r="AC628" s="2"/>
      <c r="AD628" s="2"/>
      <c r="AE628" s="2"/>
    </row>
    <row r="629" spans="1:31" ht="12.75" customHeight="1" x14ac:dyDescent="0.25">
      <c r="A629" s="2"/>
      <c r="B629" s="2" t="str">
        <f>'QBO Transactions'!$U631</f>
        <v/>
      </c>
      <c r="C629" s="3" t="str">
        <f>'QBO Transactions'!$S631</f>
        <v/>
      </c>
      <c r="D629" s="2" t="str">
        <f>'QBO Transactions'!$R631</f>
        <v/>
      </c>
      <c r="E629" s="2"/>
      <c r="F629" s="3" t="str">
        <f>'QBO Transactions'!$X631</f>
        <v/>
      </c>
      <c r="G629" s="2"/>
      <c r="H629" s="2"/>
      <c r="I629" s="2"/>
      <c r="J629" s="2"/>
      <c r="K629" s="2"/>
      <c r="L629" s="2"/>
      <c r="M629" s="2"/>
      <c r="N629" s="2" t="str">
        <f>'QBO Transactions'!$Y631</f>
        <v/>
      </c>
      <c r="O629" s="2"/>
      <c r="P629" s="2"/>
      <c r="Q629" s="2" t="str">
        <f>'QBO Transactions'!$T631</f>
        <v/>
      </c>
      <c r="R629" s="2"/>
      <c r="S629" s="2"/>
      <c r="T629" s="2"/>
      <c r="U629" s="2"/>
      <c r="V629" s="2"/>
      <c r="W629" s="2"/>
      <c r="X629" s="2" t="str">
        <f t="shared" si="9"/>
        <v/>
      </c>
      <c r="Y629" s="4" t="str">
        <f>'QBO Transactions'!$Q631</f>
        <v/>
      </c>
      <c r="Z629" s="2"/>
      <c r="AA629" s="2"/>
      <c r="AB629" s="2"/>
      <c r="AC629" s="2"/>
      <c r="AD629" s="2"/>
      <c r="AE629" s="2"/>
    </row>
    <row r="630" spans="1:31" ht="12.75" customHeight="1" x14ac:dyDescent="0.25">
      <c r="A630" s="2"/>
      <c r="B630" s="2" t="str">
        <f>'QBO Transactions'!$U632</f>
        <v/>
      </c>
      <c r="C630" s="3" t="str">
        <f>'QBO Transactions'!$S632</f>
        <v/>
      </c>
      <c r="D630" s="2" t="str">
        <f>'QBO Transactions'!$R632</f>
        <v/>
      </c>
      <c r="E630" s="2"/>
      <c r="F630" s="3" t="str">
        <f>'QBO Transactions'!$X632</f>
        <v/>
      </c>
      <c r="G630" s="2"/>
      <c r="H630" s="2"/>
      <c r="I630" s="2"/>
      <c r="J630" s="2"/>
      <c r="K630" s="2"/>
      <c r="L630" s="2"/>
      <c r="M630" s="2"/>
      <c r="N630" s="2" t="str">
        <f>'QBO Transactions'!$Y632</f>
        <v/>
      </c>
      <c r="O630" s="2"/>
      <c r="P630" s="2"/>
      <c r="Q630" s="2" t="str">
        <f>'QBO Transactions'!$T632</f>
        <v/>
      </c>
      <c r="R630" s="2"/>
      <c r="S630" s="2"/>
      <c r="T630" s="2"/>
      <c r="U630" s="2"/>
      <c r="V630" s="2"/>
      <c r="W630" s="2"/>
      <c r="X630" s="2" t="str">
        <f t="shared" si="9"/>
        <v/>
      </c>
      <c r="Y630" s="4" t="str">
        <f>'QBO Transactions'!$Q632</f>
        <v/>
      </c>
      <c r="Z630" s="2"/>
      <c r="AA630" s="2"/>
      <c r="AB630" s="2"/>
      <c r="AC630" s="2"/>
      <c r="AD630" s="2"/>
      <c r="AE630" s="2"/>
    </row>
    <row r="631" spans="1:31" ht="12.75" customHeight="1" x14ac:dyDescent="0.25">
      <c r="A631" s="2"/>
      <c r="B631" s="2" t="str">
        <f>'QBO Transactions'!$U633</f>
        <v/>
      </c>
      <c r="C631" s="3" t="str">
        <f>'QBO Transactions'!$S633</f>
        <v/>
      </c>
      <c r="D631" s="2" t="str">
        <f>'QBO Transactions'!$R633</f>
        <v/>
      </c>
      <c r="E631" s="2"/>
      <c r="F631" s="3" t="str">
        <f>'QBO Transactions'!$X633</f>
        <v/>
      </c>
      <c r="G631" s="2"/>
      <c r="H631" s="2"/>
      <c r="I631" s="2"/>
      <c r="J631" s="2"/>
      <c r="K631" s="2"/>
      <c r="L631" s="2"/>
      <c r="M631" s="2"/>
      <c r="N631" s="2" t="str">
        <f>'QBO Transactions'!$Y633</f>
        <v/>
      </c>
      <c r="O631" s="2"/>
      <c r="P631" s="2"/>
      <c r="Q631" s="2" t="str">
        <f>'QBO Transactions'!$T633</f>
        <v/>
      </c>
      <c r="R631" s="2"/>
      <c r="S631" s="2"/>
      <c r="T631" s="2"/>
      <c r="U631" s="2"/>
      <c r="V631" s="2"/>
      <c r="W631" s="2"/>
      <c r="X631" s="2" t="str">
        <f t="shared" si="9"/>
        <v/>
      </c>
      <c r="Y631" s="4" t="str">
        <f>'QBO Transactions'!$Q633</f>
        <v/>
      </c>
      <c r="Z631" s="2"/>
      <c r="AA631" s="2"/>
      <c r="AB631" s="2"/>
      <c r="AC631" s="2"/>
      <c r="AD631" s="2"/>
      <c r="AE631" s="2"/>
    </row>
    <row r="632" spans="1:31" ht="12.75" customHeight="1" x14ac:dyDescent="0.25">
      <c r="A632" s="2"/>
      <c r="B632" s="2" t="str">
        <f>'QBO Transactions'!$U634</f>
        <v/>
      </c>
      <c r="C632" s="3" t="str">
        <f>'QBO Transactions'!$S634</f>
        <v/>
      </c>
      <c r="D632" s="2" t="str">
        <f>'QBO Transactions'!$R634</f>
        <v/>
      </c>
      <c r="E632" s="2"/>
      <c r="F632" s="3" t="str">
        <f>'QBO Transactions'!$X634</f>
        <v/>
      </c>
      <c r="G632" s="2"/>
      <c r="H632" s="2"/>
      <c r="I632" s="2"/>
      <c r="J632" s="2"/>
      <c r="K632" s="2"/>
      <c r="L632" s="2"/>
      <c r="M632" s="2"/>
      <c r="N632" s="2" t="str">
        <f>'QBO Transactions'!$Y634</f>
        <v/>
      </c>
      <c r="O632" s="2"/>
      <c r="P632" s="2"/>
      <c r="Q632" s="2" t="str">
        <f>'QBO Transactions'!$T634</f>
        <v/>
      </c>
      <c r="R632" s="2"/>
      <c r="S632" s="2"/>
      <c r="T632" s="2"/>
      <c r="U632" s="2"/>
      <c r="V632" s="2"/>
      <c r="W632" s="2"/>
      <c r="X632" s="2" t="str">
        <f t="shared" si="9"/>
        <v/>
      </c>
      <c r="Y632" s="4" t="str">
        <f>'QBO Transactions'!$Q634</f>
        <v/>
      </c>
      <c r="Z632" s="2"/>
      <c r="AA632" s="2"/>
      <c r="AB632" s="2"/>
      <c r="AC632" s="2"/>
      <c r="AD632" s="2"/>
      <c r="AE632" s="2"/>
    </row>
    <row r="633" spans="1:31" ht="12.75" customHeight="1" x14ac:dyDescent="0.25">
      <c r="A633" s="2"/>
      <c r="B633" s="2" t="str">
        <f>'QBO Transactions'!$U635</f>
        <v/>
      </c>
      <c r="C633" s="3" t="str">
        <f>'QBO Transactions'!$S635</f>
        <v/>
      </c>
      <c r="D633" s="2" t="str">
        <f>'QBO Transactions'!$R635</f>
        <v/>
      </c>
      <c r="E633" s="2"/>
      <c r="F633" s="3" t="str">
        <f>'QBO Transactions'!$X635</f>
        <v/>
      </c>
      <c r="G633" s="2"/>
      <c r="H633" s="2"/>
      <c r="I633" s="2"/>
      <c r="J633" s="2"/>
      <c r="K633" s="2"/>
      <c r="L633" s="2"/>
      <c r="M633" s="2"/>
      <c r="N633" s="2" t="str">
        <f>'QBO Transactions'!$Y635</f>
        <v/>
      </c>
      <c r="O633" s="2"/>
      <c r="P633" s="2"/>
      <c r="Q633" s="2" t="str">
        <f>'QBO Transactions'!$T635</f>
        <v/>
      </c>
      <c r="R633" s="2"/>
      <c r="S633" s="2"/>
      <c r="T633" s="2"/>
      <c r="U633" s="2"/>
      <c r="V633" s="2"/>
      <c r="W633" s="2"/>
      <c r="X633" s="2" t="str">
        <f t="shared" si="9"/>
        <v/>
      </c>
      <c r="Y633" s="4" t="str">
        <f>'QBO Transactions'!$Q635</f>
        <v/>
      </c>
      <c r="Z633" s="2"/>
      <c r="AA633" s="2"/>
      <c r="AB633" s="2"/>
      <c r="AC633" s="2"/>
      <c r="AD633" s="2"/>
      <c r="AE633" s="2"/>
    </row>
    <row r="634" spans="1:31" ht="12.75" customHeight="1" x14ac:dyDescent="0.25">
      <c r="A634" s="2"/>
      <c r="B634" s="2" t="str">
        <f>'QBO Transactions'!$U636</f>
        <v/>
      </c>
      <c r="C634" s="3" t="str">
        <f>'QBO Transactions'!$S636</f>
        <v/>
      </c>
      <c r="D634" s="2" t="str">
        <f>'QBO Transactions'!$R636</f>
        <v/>
      </c>
      <c r="E634" s="2"/>
      <c r="F634" s="3" t="str">
        <f>'QBO Transactions'!$X636</f>
        <v/>
      </c>
      <c r="G634" s="2"/>
      <c r="H634" s="2"/>
      <c r="I634" s="2"/>
      <c r="J634" s="2"/>
      <c r="K634" s="2"/>
      <c r="L634" s="2"/>
      <c r="M634" s="2"/>
      <c r="N634" s="2" t="str">
        <f>'QBO Transactions'!$Y636</f>
        <v/>
      </c>
      <c r="O634" s="2"/>
      <c r="P634" s="2"/>
      <c r="Q634" s="2" t="str">
        <f>'QBO Transactions'!$T636</f>
        <v/>
      </c>
      <c r="R634" s="2"/>
      <c r="S634" s="2"/>
      <c r="T634" s="2"/>
      <c r="U634" s="2"/>
      <c r="V634" s="2"/>
      <c r="W634" s="2"/>
      <c r="X634" s="2" t="str">
        <f t="shared" si="9"/>
        <v/>
      </c>
      <c r="Y634" s="4" t="str">
        <f>'QBO Transactions'!$Q636</f>
        <v/>
      </c>
      <c r="Z634" s="2"/>
      <c r="AA634" s="2"/>
      <c r="AB634" s="2"/>
      <c r="AC634" s="2"/>
      <c r="AD634" s="2"/>
      <c r="AE634" s="2"/>
    </row>
    <row r="635" spans="1:31" ht="12.75" customHeight="1" x14ac:dyDescent="0.25">
      <c r="A635" s="2"/>
      <c r="B635" s="2" t="str">
        <f>'QBO Transactions'!$U637</f>
        <v/>
      </c>
      <c r="C635" s="3" t="str">
        <f>'QBO Transactions'!$S637</f>
        <v/>
      </c>
      <c r="D635" s="2" t="str">
        <f>'QBO Transactions'!$R637</f>
        <v/>
      </c>
      <c r="E635" s="2"/>
      <c r="F635" s="3" t="str">
        <f>'QBO Transactions'!$X637</f>
        <v/>
      </c>
      <c r="G635" s="2"/>
      <c r="H635" s="2"/>
      <c r="I635" s="2"/>
      <c r="J635" s="2"/>
      <c r="K635" s="2"/>
      <c r="L635" s="2"/>
      <c r="M635" s="2"/>
      <c r="N635" s="2" t="str">
        <f>'QBO Transactions'!$Y637</f>
        <v/>
      </c>
      <c r="O635" s="2"/>
      <c r="P635" s="2"/>
      <c r="Q635" s="2" t="str">
        <f>'QBO Transactions'!$T637</f>
        <v/>
      </c>
      <c r="R635" s="2"/>
      <c r="S635" s="2"/>
      <c r="T635" s="2"/>
      <c r="U635" s="2"/>
      <c r="V635" s="2"/>
      <c r="W635" s="2"/>
      <c r="X635" s="2" t="str">
        <f t="shared" si="9"/>
        <v/>
      </c>
      <c r="Y635" s="4" t="str">
        <f>'QBO Transactions'!$Q637</f>
        <v/>
      </c>
      <c r="Z635" s="2"/>
      <c r="AA635" s="2"/>
      <c r="AB635" s="2"/>
      <c r="AC635" s="2"/>
      <c r="AD635" s="2"/>
      <c r="AE635" s="2"/>
    </row>
    <row r="636" spans="1:31" ht="12.75" customHeight="1" x14ac:dyDescent="0.25">
      <c r="A636" s="2"/>
      <c r="B636" s="2" t="str">
        <f>'QBO Transactions'!$U638</f>
        <v/>
      </c>
      <c r="C636" s="3" t="str">
        <f>'QBO Transactions'!$S638</f>
        <v/>
      </c>
      <c r="D636" s="2" t="str">
        <f>'QBO Transactions'!$R638</f>
        <v/>
      </c>
      <c r="E636" s="2"/>
      <c r="F636" s="3" t="str">
        <f>'QBO Transactions'!$X638</f>
        <v/>
      </c>
      <c r="G636" s="2"/>
      <c r="H636" s="2"/>
      <c r="I636" s="2"/>
      <c r="J636" s="2"/>
      <c r="K636" s="2"/>
      <c r="L636" s="2"/>
      <c r="M636" s="2"/>
      <c r="N636" s="2" t="str">
        <f>'QBO Transactions'!$Y638</f>
        <v/>
      </c>
      <c r="O636" s="2"/>
      <c r="P636" s="2"/>
      <c r="Q636" s="2" t="str">
        <f>'QBO Transactions'!$T638</f>
        <v/>
      </c>
      <c r="R636" s="2"/>
      <c r="S636" s="2"/>
      <c r="T636" s="2"/>
      <c r="U636" s="2"/>
      <c r="V636" s="2"/>
      <c r="W636" s="2"/>
      <c r="X636" s="2" t="str">
        <f t="shared" si="9"/>
        <v/>
      </c>
      <c r="Y636" s="4" t="str">
        <f>'QBO Transactions'!$Q638</f>
        <v/>
      </c>
      <c r="Z636" s="2"/>
      <c r="AA636" s="2"/>
      <c r="AB636" s="2"/>
      <c r="AC636" s="2"/>
      <c r="AD636" s="2"/>
      <c r="AE636" s="2"/>
    </row>
    <row r="637" spans="1:31" ht="12.75" customHeight="1" x14ac:dyDescent="0.25">
      <c r="A637" s="2"/>
      <c r="B637" s="2" t="str">
        <f>'QBO Transactions'!$U639</f>
        <v/>
      </c>
      <c r="C637" s="3" t="str">
        <f>'QBO Transactions'!$S639</f>
        <v/>
      </c>
      <c r="D637" s="2" t="str">
        <f>'QBO Transactions'!$R639</f>
        <v/>
      </c>
      <c r="E637" s="2"/>
      <c r="F637" s="3" t="str">
        <f>'QBO Transactions'!$X639</f>
        <v/>
      </c>
      <c r="G637" s="2"/>
      <c r="H637" s="2"/>
      <c r="I637" s="2"/>
      <c r="J637" s="2"/>
      <c r="K637" s="2"/>
      <c r="L637" s="2"/>
      <c r="M637" s="2"/>
      <c r="N637" s="2" t="str">
        <f>'QBO Transactions'!$Y639</f>
        <v/>
      </c>
      <c r="O637" s="2"/>
      <c r="P637" s="2"/>
      <c r="Q637" s="2" t="str">
        <f>'QBO Transactions'!$T639</f>
        <v/>
      </c>
      <c r="R637" s="2"/>
      <c r="S637" s="2"/>
      <c r="T637" s="2"/>
      <c r="U637" s="2"/>
      <c r="V637" s="2"/>
      <c r="W637" s="2"/>
      <c r="X637" s="2" t="str">
        <f t="shared" si="9"/>
        <v/>
      </c>
      <c r="Y637" s="4" t="str">
        <f>'QBO Transactions'!$Q639</f>
        <v/>
      </c>
      <c r="Z637" s="2"/>
      <c r="AA637" s="2"/>
      <c r="AB637" s="2"/>
      <c r="AC637" s="2"/>
      <c r="AD637" s="2"/>
      <c r="AE637" s="2"/>
    </row>
    <row r="638" spans="1:31" ht="12.75" customHeight="1" x14ac:dyDescent="0.25">
      <c r="A638" s="2"/>
      <c r="B638" s="2" t="str">
        <f>'QBO Transactions'!$U640</f>
        <v/>
      </c>
      <c r="C638" s="3" t="str">
        <f>'QBO Transactions'!$S640</f>
        <v/>
      </c>
      <c r="D638" s="2" t="str">
        <f>'QBO Transactions'!$R640</f>
        <v/>
      </c>
      <c r="E638" s="2"/>
      <c r="F638" s="3" t="str">
        <f>'QBO Transactions'!$X640</f>
        <v/>
      </c>
      <c r="G638" s="2"/>
      <c r="H638" s="2"/>
      <c r="I638" s="2"/>
      <c r="J638" s="2"/>
      <c r="K638" s="2"/>
      <c r="L638" s="2"/>
      <c r="M638" s="2"/>
      <c r="N638" s="2" t="str">
        <f>'QBO Transactions'!$Y640</f>
        <v/>
      </c>
      <c r="O638" s="2"/>
      <c r="P638" s="2"/>
      <c r="Q638" s="2" t="str">
        <f>'QBO Transactions'!$T640</f>
        <v/>
      </c>
      <c r="R638" s="2"/>
      <c r="S638" s="2"/>
      <c r="T638" s="2"/>
      <c r="U638" s="2"/>
      <c r="V638" s="2"/>
      <c r="W638" s="2"/>
      <c r="X638" s="2" t="str">
        <f t="shared" si="9"/>
        <v/>
      </c>
      <c r="Y638" s="4" t="str">
        <f>'QBO Transactions'!$Q640</f>
        <v/>
      </c>
      <c r="Z638" s="2"/>
      <c r="AA638" s="2"/>
      <c r="AB638" s="2"/>
      <c r="AC638" s="2"/>
      <c r="AD638" s="2"/>
      <c r="AE638" s="2"/>
    </row>
    <row r="639" spans="1:31" ht="12.75" customHeight="1" x14ac:dyDescent="0.25">
      <c r="A639" s="2"/>
      <c r="B639" s="2" t="str">
        <f>'QBO Transactions'!$U641</f>
        <v/>
      </c>
      <c r="C639" s="3" t="str">
        <f>'QBO Transactions'!$S641</f>
        <v/>
      </c>
      <c r="D639" s="2" t="str">
        <f>'QBO Transactions'!$R641</f>
        <v/>
      </c>
      <c r="E639" s="2"/>
      <c r="F639" s="3" t="str">
        <f>'QBO Transactions'!$X641</f>
        <v/>
      </c>
      <c r="G639" s="2"/>
      <c r="H639" s="2"/>
      <c r="I639" s="2"/>
      <c r="J639" s="2"/>
      <c r="K639" s="2"/>
      <c r="L639" s="2"/>
      <c r="M639" s="2"/>
      <c r="N639" s="2" t="str">
        <f>'QBO Transactions'!$Y641</f>
        <v/>
      </c>
      <c r="O639" s="2"/>
      <c r="P639" s="2"/>
      <c r="Q639" s="2" t="str">
        <f>'QBO Transactions'!$T641</f>
        <v/>
      </c>
      <c r="R639" s="2"/>
      <c r="S639" s="2"/>
      <c r="T639" s="2"/>
      <c r="U639" s="2"/>
      <c r="V639" s="2"/>
      <c r="W639" s="2"/>
      <c r="X639" s="2" t="str">
        <f t="shared" si="9"/>
        <v/>
      </c>
      <c r="Y639" s="4" t="str">
        <f>'QBO Transactions'!$Q641</f>
        <v/>
      </c>
      <c r="Z639" s="2"/>
      <c r="AA639" s="2"/>
      <c r="AB639" s="2"/>
      <c r="AC639" s="2"/>
      <c r="AD639" s="2"/>
      <c r="AE639" s="2"/>
    </row>
    <row r="640" spans="1:31" ht="12.75" customHeight="1" x14ac:dyDescent="0.25">
      <c r="A640" s="2"/>
      <c r="B640" s="2" t="str">
        <f>'QBO Transactions'!$U642</f>
        <v/>
      </c>
      <c r="C640" s="3" t="str">
        <f>'QBO Transactions'!$S642</f>
        <v/>
      </c>
      <c r="D640" s="2" t="str">
        <f>'QBO Transactions'!$R642</f>
        <v/>
      </c>
      <c r="E640" s="2"/>
      <c r="F640" s="3" t="str">
        <f>'QBO Transactions'!$X642</f>
        <v/>
      </c>
      <c r="G640" s="2"/>
      <c r="H640" s="2"/>
      <c r="I640" s="2"/>
      <c r="J640" s="2"/>
      <c r="K640" s="2"/>
      <c r="L640" s="2"/>
      <c r="M640" s="2"/>
      <c r="N640" s="2" t="str">
        <f>'QBO Transactions'!$Y642</f>
        <v/>
      </c>
      <c r="O640" s="2"/>
      <c r="P640" s="2"/>
      <c r="Q640" s="2" t="str">
        <f>'QBO Transactions'!$T642</f>
        <v/>
      </c>
      <c r="R640" s="2"/>
      <c r="S640" s="2"/>
      <c r="T640" s="2"/>
      <c r="U640" s="2"/>
      <c r="V640" s="2"/>
      <c r="W640" s="2"/>
      <c r="X640" s="2" t="str">
        <f t="shared" si="9"/>
        <v/>
      </c>
      <c r="Y640" s="4" t="str">
        <f>'QBO Transactions'!$Q642</f>
        <v/>
      </c>
      <c r="Z640" s="2"/>
      <c r="AA640" s="2"/>
      <c r="AB640" s="2"/>
      <c r="AC640" s="2"/>
      <c r="AD640" s="2"/>
      <c r="AE640" s="2"/>
    </row>
    <row r="641" spans="1:31" ht="12.75" customHeight="1" x14ac:dyDescent="0.25">
      <c r="A641" s="2"/>
      <c r="B641" s="2" t="str">
        <f>'QBO Transactions'!$U643</f>
        <v/>
      </c>
      <c r="C641" s="3" t="str">
        <f>'QBO Transactions'!$S643</f>
        <v/>
      </c>
      <c r="D641" s="2" t="str">
        <f>'QBO Transactions'!$R643</f>
        <v/>
      </c>
      <c r="E641" s="2"/>
      <c r="F641" s="3" t="str">
        <f>'QBO Transactions'!$X643</f>
        <v/>
      </c>
      <c r="G641" s="2"/>
      <c r="H641" s="2"/>
      <c r="I641" s="2"/>
      <c r="J641" s="2"/>
      <c r="K641" s="2"/>
      <c r="L641" s="2"/>
      <c r="M641" s="2"/>
      <c r="N641" s="2" t="str">
        <f>'QBO Transactions'!$Y643</f>
        <v/>
      </c>
      <c r="O641" s="2"/>
      <c r="P641" s="2"/>
      <c r="Q641" s="2" t="str">
        <f>'QBO Transactions'!$T643</f>
        <v/>
      </c>
      <c r="R641" s="2"/>
      <c r="S641" s="2"/>
      <c r="T641" s="2"/>
      <c r="U641" s="2"/>
      <c r="V641" s="2"/>
      <c r="W641" s="2"/>
      <c r="X641" s="2" t="str">
        <f t="shared" si="9"/>
        <v/>
      </c>
      <c r="Y641" s="4" t="str">
        <f>'QBO Transactions'!$Q643</f>
        <v/>
      </c>
      <c r="Z641" s="2"/>
      <c r="AA641" s="2"/>
      <c r="AB641" s="2"/>
      <c r="AC641" s="2"/>
      <c r="AD641" s="2"/>
      <c r="AE641" s="2"/>
    </row>
    <row r="642" spans="1:31" ht="12.75" customHeight="1" x14ac:dyDescent="0.25">
      <c r="A642" s="2"/>
      <c r="B642" s="2" t="str">
        <f>'QBO Transactions'!$U644</f>
        <v/>
      </c>
      <c r="C642" s="3" t="str">
        <f>'QBO Transactions'!$S644</f>
        <v/>
      </c>
      <c r="D642" s="2" t="str">
        <f>'QBO Transactions'!$R644</f>
        <v/>
      </c>
      <c r="E642" s="2"/>
      <c r="F642" s="3" t="str">
        <f>'QBO Transactions'!$X644</f>
        <v/>
      </c>
      <c r="G642" s="2"/>
      <c r="H642" s="2"/>
      <c r="I642" s="2"/>
      <c r="J642" s="2"/>
      <c r="K642" s="2"/>
      <c r="L642" s="2"/>
      <c r="M642" s="2"/>
      <c r="N642" s="2" t="str">
        <f>'QBO Transactions'!$Y644</f>
        <v/>
      </c>
      <c r="O642" s="2"/>
      <c r="P642" s="2"/>
      <c r="Q642" s="2" t="str">
        <f>'QBO Transactions'!$T644</f>
        <v/>
      </c>
      <c r="R642" s="2"/>
      <c r="S642" s="2"/>
      <c r="T642" s="2"/>
      <c r="U642" s="2"/>
      <c r="V642" s="2"/>
      <c r="W642" s="2"/>
      <c r="X642" s="2" t="str">
        <f t="shared" ref="X642:X657" si="10">Q642</f>
        <v/>
      </c>
      <c r="Y642" s="4" t="str">
        <f>'QBO Transactions'!$Q644</f>
        <v/>
      </c>
      <c r="Z642" s="2"/>
      <c r="AA642" s="2"/>
      <c r="AB642" s="2"/>
      <c r="AC642" s="2"/>
      <c r="AD642" s="2"/>
      <c r="AE642" s="2"/>
    </row>
    <row r="643" spans="1:31" ht="12.75" customHeight="1" x14ac:dyDescent="0.25">
      <c r="A643" s="2"/>
      <c r="B643" s="2" t="str">
        <f>'QBO Transactions'!$U645</f>
        <v/>
      </c>
      <c r="C643" s="3" t="str">
        <f>'QBO Transactions'!$S645</f>
        <v/>
      </c>
      <c r="D643" s="2" t="str">
        <f>'QBO Transactions'!$R645</f>
        <v/>
      </c>
      <c r="E643" s="2"/>
      <c r="F643" s="3" t="str">
        <f>'QBO Transactions'!$X645</f>
        <v/>
      </c>
      <c r="G643" s="2"/>
      <c r="H643" s="2"/>
      <c r="I643" s="2"/>
      <c r="J643" s="2"/>
      <c r="K643" s="2"/>
      <c r="L643" s="2"/>
      <c r="M643" s="2"/>
      <c r="N643" s="2" t="str">
        <f>'QBO Transactions'!$Y645</f>
        <v/>
      </c>
      <c r="O643" s="2"/>
      <c r="P643" s="2"/>
      <c r="Q643" s="2" t="str">
        <f>'QBO Transactions'!$T645</f>
        <v/>
      </c>
      <c r="R643" s="2"/>
      <c r="S643" s="2"/>
      <c r="T643" s="2"/>
      <c r="U643" s="2"/>
      <c r="V643" s="2"/>
      <c r="W643" s="2"/>
      <c r="X643" s="2" t="str">
        <f t="shared" si="10"/>
        <v/>
      </c>
      <c r="Y643" s="4" t="str">
        <f>'QBO Transactions'!$Q645</f>
        <v/>
      </c>
      <c r="Z643" s="2"/>
      <c r="AA643" s="2"/>
      <c r="AB643" s="2"/>
      <c r="AC643" s="2"/>
      <c r="AD643" s="2"/>
      <c r="AE643" s="2"/>
    </row>
    <row r="644" spans="1:31" ht="12.75" customHeight="1" x14ac:dyDescent="0.25">
      <c r="A644" s="2"/>
      <c r="B644" s="2" t="str">
        <f>'QBO Transactions'!$U646</f>
        <v/>
      </c>
      <c r="C644" s="3" t="str">
        <f>'QBO Transactions'!$S646</f>
        <v/>
      </c>
      <c r="D644" s="2" t="str">
        <f>'QBO Transactions'!$R646</f>
        <v/>
      </c>
      <c r="E644" s="2"/>
      <c r="F644" s="3" t="str">
        <f>'QBO Transactions'!$X646</f>
        <v/>
      </c>
      <c r="G644" s="2"/>
      <c r="H644" s="2"/>
      <c r="I644" s="2"/>
      <c r="J644" s="2"/>
      <c r="K644" s="2"/>
      <c r="L644" s="2"/>
      <c r="M644" s="2"/>
      <c r="N644" s="2" t="str">
        <f>'QBO Transactions'!$Y646</f>
        <v/>
      </c>
      <c r="O644" s="2"/>
      <c r="P644" s="2"/>
      <c r="Q644" s="2" t="str">
        <f>'QBO Transactions'!$T646</f>
        <v/>
      </c>
      <c r="R644" s="2"/>
      <c r="S644" s="2"/>
      <c r="T644" s="2"/>
      <c r="U644" s="2"/>
      <c r="V644" s="2"/>
      <c r="W644" s="2"/>
      <c r="X644" s="2" t="str">
        <f t="shared" si="10"/>
        <v/>
      </c>
      <c r="Y644" s="4" t="str">
        <f>'QBO Transactions'!$Q646</f>
        <v/>
      </c>
      <c r="Z644" s="2"/>
      <c r="AA644" s="2"/>
      <c r="AB644" s="2"/>
      <c r="AC644" s="2"/>
      <c r="AD644" s="2"/>
      <c r="AE644" s="2"/>
    </row>
    <row r="645" spans="1:31" ht="12.75" customHeight="1" x14ac:dyDescent="0.25">
      <c r="A645" s="2"/>
      <c r="B645" s="2" t="str">
        <f>'QBO Transactions'!$U647</f>
        <v/>
      </c>
      <c r="C645" s="3" t="str">
        <f>'QBO Transactions'!$S647</f>
        <v/>
      </c>
      <c r="D645" s="2" t="str">
        <f>'QBO Transactions'!$R647</f>
        <v/>
      </c>
      <c r="E645" s="2"/>
      <c r="F645" s="3" t="str">
        <f>'QBO Transactions'!$X647</f>
        <v/>
      </c>
      <c r="G645" s="2"/>
      <c r="H645" s="2"/>
      <c r="I645" s="2"/>
      <c r="J645" s="2"/>
      <c r="K645" s="2"/>
      <c r="L645" s="2"/>
      <c r="M645" s="2"/>
      <c r="N645" s="2" t="str">
        <f>'QBO Transactions'!$Y647</f>
        <v/>
      </c>
      <c r="O645" s="2"/>
      <c r="P645" s="2"/>
      <c r="Q645" s="2" t="str">
        <f>'QBO Transactions'!$T647</f>
        <v/>
      </c>
      <c r="R645" s="2"/>
      <c r="S645" s="2"/>
      <c r="T645" s="2"/>
      <c r="U645" s="2"/>
      <c r="V645" s="2"/>
      <c r="W645" s="2"/>
      <c r="X645" s="2" t="str">
        <f t="shared" si="10"/>
        <v/>
      </c>
      <c r="Y645" s="4" t="str">
        <f>'QBO Transactions'!$Q647</f>
        <v/>
      </c>
      <c r="Z645" s="2"/>
      <c r="AA645" s="2"/>
      <c r="AB645" s="2"/>
      <c r="AC645" s="2"/>
      <c r="AD645" s="2"/>
      <c r="AE645" s="2"/>
    </row>
    <row r="646" spans="1:31" ht="12.75" customHeight="1" x14ac:dyDescent="0.25">
      <c r="A646" s="2"/>
      <c r="B646" s="2" t="str">
        <f>'QBO Transactions'!$U648</f>
        <v/>
      </c>
      <c r="C646" s="3" t="str">
        <f>'QBO Transactions'!$S648</f>
        <v/>
      </c>
      <c r="D646" s="2" t="str">
        <f>'QBO Transactions'!$R648</f>
        <v/>
      </c>
      <c r="E646" s="2"/>
      <c r="F646" s="3" t="str">
        <f>'QBO Transactions'!$X648</f>
        <v/>
      </c>
      <c r="G646" s="2"/>
      <c r="H646" s="2"/>
      <c r="I646" s="2"/>
      <c r="J646" s="2"/>
      <c r="K646" s="2"/>
      <c r="L646" s="2"/>
      <c r="M646" s="2"/>
      <c r="N646" s="2" t="str">
        <f>'QBO Transactions'!$Y648</f>
        <v/>
      </c>
      <c r="O646" s="2"/>
      <c r="P646" s="2"/>
      <c r="Q646" s="2" t="str">
        <f>'QBO Transactions'!$T648</f>
        <v/>
      </c>
      <c r="R646" s="2"/>
      <c r="S646" s="2"/>
      <c r="T646" s="2"/>
      <c r="U646" s="2"/>
      <c r="V646" s="2"/>
      <c r="W646" s="2"/>
      <c r="X646" s="2" t="str">
        <f t="shared" si="10"/>
        <v/>
      </c>
      <c r="Y646" s="4" t="str">
        <f>'QBO Transactions'!$Q648</f>
        <v/>
      </c>
      <c r="Z646" s="2"/>
      <c r="AA646" s="2"/>
      <c r="AB646" s="2"/>
      <c r="AC646" s="2"/>
      <c r="AD646" s="2"/>
      <c r="AE646" s="2"/>
    </row>
    <row r="647" spans="1:31" ht="12.75" customHeight="1" x14ac:dyDescent="0.25">
      <c r="A647" s="2"/>
      <c r="B647" s="2" t="str">
        <f>'QBO Transactions'!$U649</f>
        <v/>
      </c>
      <c r="C647" s="3" t="str">
        <f>'QBO Transactions'!$S649</f>
        <v/>
      </c>
      <c r="D647" s="2" t="str">
        <f>'QBO Transactions'!$R649</f>
        <v/>
      </c>
      <c r="E647" s="2"/>
      <c r="F647" s="3" t="str">
        <f>'QBO Transactions'!$X649</f>
        <v/>
      </c>
      <c r="G647" s="2"/>
      <c r="H647" s="2"/>
      <c r="I647" s="2"/>
      <c r="J647" s="2"/>
      <c r="K647" s="2"/>
      <c r="L647" s="2"/>
      <c r="M647" s="2"/>
      <c r="N647" s="2" t="str">
        <f>'QBO Transactions'!$Y649</f>
        <v/>
      </c>
      <c r="O647" s="2"/>
      <c r="P647" s="2"/>
      <c r="Q647" s="2" t="str">
        <f>'QBO Transactions'!$T649</f>
        <v/>
      </c>
      <c r="R647" s="2"/>
      <c r="S647" s="2"/>
      <c r="T647" s="2"/>
      <c r="U647" s="2"/>
      <c r="V647" s="2"/>
      <c r="W647" s="2"/>
      <c r="X647" s="2" t="str">
        <f t="shared" si="10"/>
        <v/>
      </c>
      <c r="Y647" s="4" t="str">
        <f>'QBO Transactions'!$Q649</f>
        <v/>
      </c>
      <c r="Z647" s="2"/>
      <c r="AA647" s="2"/>
      <c r="AB647" s="2"/>
      <c r="AC647" s="2"/>
      <c r="AD647" s="2"/>
      <c r="AE647" s="2"/>
    </row>
    <row r="648" spans="1:31" ht="12.75" customHeight="1" x14ac:dyDescent="0.25">
      <c r="A648" s="2"/>
      <c r="B648" s="2" t="str">
        <f>'QBO Transactions'!$U650</f>
        <v/>
      </c>
      <c r="C648" s="3" t="str">
        <f>'QBO Transactions'!$S650</f>
        <v/>
      </c>
      <c r="D648" s="2" t="str">
        <f>'QBO Transactions'!$R650</f>
        <v/>
      </c>
      <c r="E648" s="2"/>
      <c r="F648" s="3" t="str">
        <f>'QBO Transactions'!$X650</f>
        <v/>
      </c>
      <c r="G648" s="2"/>
      <c r="H648" s="2"/>
      <c r="I648" s="2"/>
      <c r="J648" s="2"/>
      <c r="K648" s="2"/>
      <c r="L648" s="2"/>
      <c r="M648" s="2"/>
      <c r="N648" s="2" t="str">
        <f>'QBO Transactions'!$Y650</f>
        <v/>
      </c>
      <c r="O648" s="2"/>
      <c r="P648" s="2"/>
      <c r="Q648" s="2" t="str">
        <f>'QBO Transactions'!$T650</f>
        <v/>
      </c>
      <c r="R648" s="2"/>
      <c r="S648" s="2"/>
      <c r="T648" s="2"/>
      <c r="U648" s="2"/>
      <c r="V648" s="2"/>
      <c r="W648" s="2"/>
      <c r="X648" s="2" t="str">
        <f t="shared" si="10"/>
        <v/>
      </c>
      <c r="Y648" s="4" t="str">
        <f>'QBO Transactions'!$Q650</f>
        <v/>
      </c>
      <c r="Z648" s="2"/>
      <c r="AA648" s="2"/>
      <c r="AB648" s="2"/>
      <c r="AC648" s="2"/>
      <c r="AD648" s="2"/>
      <c r="AE648" s="2"/>
    </row>
    <row r="649" spans="1:31" ht="12.75" customHeight="1" x14ac:dyDescent="0.25">
      <c r="A649" s="2"/>
      <c r="B649" s="2" t="str">
        <f>'QBO Transactions'!$U651</f>
        <v/>
      </c>
      <c r="C649" s="3" t="str">
        <f>'QBO Transactions'!$S651</f>
        <v/>
      </c>
      <c r="D649" s="2" t="str">
        <f>'QBO Transactions'!$R651</f>
        <v/>
      </c>
      <c r="E649" s="2"/>
      <c r="F649" s="3" t="str">
        <f>'QBO Transactions'!$X651</f>
        <v/>
      </c>
      <c r="G649" s="2"/>
      <c r="H649" s="2"/>
      <c r="I649" s="2"/>
      <c r="J649" s="2"/>
      <c r="K649" s="2"/>
      <c r="L649" s="2"/>
      <c r="M649" s="2"/>
      <c r="N649" s="2" t="str">
        <f>'QBO Transactions'!$Y651</f>
        <v/>
      </c>
      <c r="O649" s="2"/>
      <c r="P649" s="2"/>
      <c r="Q649" s="2" t="str">
        <f>'QBO Transactions'!$T651</f>
        <v/>
      </c>
      <c r="R649" s="2"/>
      <c r="S649" s="2"/>
      <c r="T649" s="2"/>
      <c r="U649" s="2"/>
      <c r="V649" s="2"/>
      <c r="W649" s="2"/>
      <c r="X649" s="2" t="str">
        <f t="shared" si="10"/>
        <v/>
      </c>
      <c r="Y649" s="4" t="str">
        <f>'QBO Transactions'!$Q651</f>
        <v/>
      </c>
      <c r="Z649" s="2"/>
      <c r="AA649" s="2"/>
      <c r="AB649" s="2"/>
      <c r="AC649" s="2"/>
      <c r="AD649" s="2"/>
      <c r="AE649" s="2"/>
    </row>
    <row r="650" spans="1:31" ht="12.75" customHeight="1" x14ac:dyDescent="0.25">
      <c r="A650" s="2"/>
      <c r="B650" s="2" t="str">
        <f>'QBO Transactions'!$U652</f>
        <v/>
      </c>
      <c r="C650" s="3" t="str">
        <f>'QBO Transactions'!$S652</f>
        <v/>
      </c>
      <c r="D650" s="2" t="str">
        <f>'QBO Transactions'!$R652</f>
        <v/>
      </c>
      <c r="E650" s="2"/>
      <c r="F650" s="3" t="str">
        <f>'QBO Transactions'!$X652</f>
        <v/>
      </c>
      <c r="G650" s="2"/>
      <c r="H650" s="2"/>
      <c r="I650" s="2"/>
      <c r="J650" s="2"/>
      <c r="K650" s="2"/>
      <c r="L650" s="2"/>
      <c r="M650" s="2"/>
      <c r="N650" s="2" t="str">
        <f>'QBO Transactions'!$Y652</f>
        <v/>
      </c>
      <c r="O650" s="2"/>
      <c r="P650" s="2"/>
      <c r="Q650" s="2" t="str">
        <f>'QBO Transactions'!$T652</f>
        <v/>
      </c>
      <c r="R650" s="2"/>
      <c r="S650" s="2"/>
      <c r="T650" s="2"/>
      <c r="U650" s="2"/>
      <c r="V650" s="2"/>
      <c r="W650" s="2"/>
      <c r="X650" s="2" t="str">
        <f t="shared" si="10"/>
        <v/>
      </c>
      <c r="Y650" s="4" t="str">
        <f>'QBO Transactions'!$Q652</f>
        <v/>
      </c>
      <c r="Z650" s="2"/>
      <c r="AA650" s="2"/>
      <c r="AB650" s="2"/>
      <c r="AC650" s="2"/>
      <c r="AD650" s="2"/>
      <c r="AE650" s="2"/>
    </row>
    <row r="651" spans="1:31" ht="12.75" customHeight="1" x14ac:dyDescent="0.25">
      <c r="A651" s="2"/>
      <c r="B651" s="2" t="str">
        <f>'QBO Transactions'!$U653</f>
        <v/>
      </c>
      <c r="C651" s="3" t="str">
        <f>'QBO Transactions'!$S653</f>
        <v/>
      </c>
      <c r="D651" s="2" t="str">
        <f>'QBO Transactions'!$R653</f>
        <v/>
      </c>
      <c r="E651" s="2"/>
      <c r="F651" s="3" t="str">
        <f>'QBO Transactions'!$X653</f>
        <v/>
      </c>
      <c r="G651" s="2"/>
      <c r="H651" s="2"/>
      <c r="I651" s="2"/>
      <c r="J651" s="2"/>
      <c r="K651" s="2"/>
      <c r="L651" s="2"/>
      <c r="M651" s="2"/>
      <c r="N651" s="2" t="str">
        <f>'QBO Transactions'!$Y653</f>
        <v/>
      </c>
      <c r="O651" s="2"/>
      <c r="P651" s="2"/>
      <c r="Q651" s="2" t="str">
        <f>'QBO Transactions'!$T653</f>
        <v/>
      </c>
      <c r="R651" s="2"/>
      <c r="S651" s="2"/>
      <c r="T651" s="2"/>
      <c r="U651" s="2"/>
      <c r="V651" s="2"/>
      <c r="W651" s="2"/>
      <c r="X651" s="2" t="str">
        <f t="shared" si="10"/>
        <v/>
      </c>
      <c r="Y651" s="4" t="str">
        <f>'QBO Transactions'!$Q653</f>
        <v/>
      </c>
      <c r="Z651" s="2"/>
      <c r="AA651" s="2"/>
      <c r="AB651" s="2"/>
      <c r="AC651" s="2"/>
      <c r="AD651" s="2"/>
      <c r="AE651" s="2"/>
    </row>
    <row r="652" spans="1:31" ht="12.75" customHeight="1" x14ac:dyDescent="0.25">
      <c r="A652" s="2"/>
      <c r="B652" s="2" t="str">
        <f>'QBO Transactions'!$U654</f>
        <v/>
      </c>
      <c r="C652" s="3" t="str">
        <f>'QBO Transactions'!$S654</f>
        <v/>
      </c>
      <c r="D652" s="2" t="str">
        <f>'QBO Transactions'!$R654</f>
        <v/>
      </c>
      <c r="E652" s="2"/>
      <c r="F652" s="3" t="str">
        <f>'QBO Transactions'!$X654</f>
        <v/>
      </c>
      <c r="G652" s="2"/>
      <c r="H652" s="2"/>
      <c r="I652" s="2"/>
      <c r="J652" s="2"/>
      <c r="K652" s="2"/>
      <c r="L652" s="2"/>
      <c r="M652" s="2"/>
      <c r="N652" s="2" t="str">
        <f>'QBO Transactions'!$Y654</f>
        <v/>
      </c>
      <c r="O652" s="2"/>
      <c r="P652" s="2"/>
      <c r="Q652" s="2" t="str">
        <f>'QBO Transactions'!$T654</f>
        <v/>
      </c>
      <c r="R652" s="2"/>
      <c r="S652" s="2"/>
      <c r="T652" s="2"/>
      <c r="U652" s="2"/>
      <c r="V652" s="2"/>
      <c r="W652" s="2"/>
      <c r="X652" s="2" t="str">
        <f t="shared" si="10"/>
        <v/>
      </c>
      <c r="Y652" s="4" t="str">
        <f>'QBO Transactions'!$Q654</f>
        <v/>
      </c>
      <c r="Z652" s="2"/>
      <c r="AA652" s="2"/>
      <c r="AB652" s="2"/>
      <c r="AC652" s="2"/>
      <c r="AD652" s="2"/>
      <c r="AE652" s="2"/>
    </row>
    <row r="653" spans="1:31" ht="12.75" customHeight="1" x14ac:dyDescent="0.25">
      <c r="A653" s="2"/>
      <c r="B653" s="2" t="str">
        <f>'QBO Transactions'!$U655</f>
        <v/>
      </c>
      <c r="C653" s="3" t="str">
        <f>'QBO Transactions'!$S655</f>
        <v/>
      </c>
      <c r="D653" s="2" t="str">
        <f>'QBO Transactions'!$R655</f>
        <v/>
      </c>
      <c r="E653" s="2"/>
      <c r="F653" s="3" t="str">
        <f>'QBO Transactions'!$X655</f>
        <v/>
      </c>
      <c r="G653" s="2"/>
      <c r="H653" s="2"/>
      <c r="I653" s="2"/>
      <c r="J653" s="2"/>
      <c r="K653" s="2"/>
      <c r="L653" s="2"/>
      <c r="M653" s="2"/>
      <c r="N653" s="2" t="str">
        <f>'QBO Transactions'!$Y655</f>
        <v/>
      </c>
      <c r="O653" s="2"/>
      <c r="P653" s="2"/>
      <c r="Q653" s="2" t="str">
        <f>'QBO Transactions'!$T655</f>
        <v/>
      </c>
      <c r="R653" s="2"/>
      <c r="S653" s="2"/>
      <c r="T653" s="2"/>
      <c r="U653" s="2"/>
      <c r="V653" s="2"/>
      <c r="W653" s="2"/>
      <c r="X653" s="2" t="str">
        <f t="shared" si="10"/>
        <v/>
      </c>
      <c r="Y653" s="4" t="str">
        <f>'QBO Transactions'!$Q655</f>
        <v/>
      </c>
      <c r="Z653" s="2"/>
      <c r="AA653" s="2"/>
      <c r="AB653" s="2"/>
      <c r="AC653" s="2"/>
      <c r="AD653" s="2"/>
      <c r="AE653" s="2"/>
    </row>
    <row r="654" spans="1:31" ht="12.75" customHeight="1" x14ac:dyDescent="0.25">
      <c r="A654" s="2"/>
      <c r="B654" s="2" t="str">
        <f>'QBO Transactions'!$U656</f>
        <v/>
      </c>
      <c r="C654" s="3" t="str">
        <f>'QBO Transactions'!$S656</f>
        <v/>
      </c>
      <c r="D654" s="2" t="str">
        <f>'QBO Transactions'!$R656</f>
        <v/>
      </c>
      <c r="E654" s="2"/>
      <c r="F654" s="3" t="str">
        <f>'QBO Transactions'!$X656</f>
        <v/>
      </c>
      <c r="G654" s="2"/>
      <c r="H654" s="2"/>
      <c r="I654" s="2"/>
      <c r="J654" s="2"/>
      <c r="K654" s="2"/>
      <c r="L654" s="2"/>
      <c r="M654" s="2"/>
      <c r="N654" s="2" t="str">
        <f>'QBO Transactions'!$Y656</f>
        <v/>
      </c>
      <c r="O654" s="2"/>
      <c r="P654" s="2"/>
      <c r="Q654" s="2" t="str">
        <f>'QBO Transactions'!$T656</f>
        <v/>
      </c>
      <c r="R654" s="2"/>
      <c r="S654" s="2"/>
      <c r="T654" s="2"/>
      <c r="U654" s="2"/>
      <c r="V654" s="2"/>
      <c r="W654" s="2"/>
      <c r="X654" s="2" t="str">
        <f t="shared" si="10"/>
        <v/>
      </c>
      <c r="Y654" s="4" t="str">
        <f>'QBO Transactions'!$Q656</f>
        <v/>
      </c>
      <c r="Z654" s="2"/>
      <c r="AA654" s="2"/>
      <c r="AB654" s="2"/>
      <c r="AC654" s="2"/>
      <c r="AD654" s="2"/>
      <c r="AE654" s="2"/>
    </row>
    <row r="655" spans="1:31" ht="12.75" customHeight="1" x14ac:dyDescent="0.25">
      <c r="A655" s="2"/>
      <c r="B655" s="2" t="str">
        <f>'QBO Transactions'!$U657</f>
        <v/>
      </c>
      <c r="C655" s="3" t="str">
        <f>'QBO Transactions'!$S657</f>
        <v/>
      </c>
      <c r="D655" s="2" t="str">
        <f>'QBO Transactions'!$R657</f>
        <v/>
      </c>
      <c r="E655" s="2"/>
      <c r="F655" s="3" t="str">
        <f>'QBO Transactions'!$X657</f>
        <v/>
      </c>
      <c r="G655" s="2"/>
      <c r="H655" s="2"/>
      <c r="I655" s="2"/>
      <c r="J655" s="2"/>
      <c r="K655" s="2"/>
      <c r="L655" s="2"/>
      <c r="M655" s="2"/>
      <c r="N655" s="2" t="str">
        <f>'QBO Transactions'!$Y657</f>
        <v/>
      </c>
      <c r="O655" s="2"/>
      <c r="P655" s="2"/>
      <c r="Q655" s="2" t="str">
        <f>'QBO Transactions'!$T657</f>
        <v/>
      </c>
      <c r="R655" s="2"/>
      <c r="S655" s="2"/>
      <c r="T655" s="2"/>
      <c r="U655" s="2"/>
      <c r="V655" s="2"/>
      <c r="W655" s="2"/>
      <c r="X655" s="2" t="str">
        <f t="shared" si="10"/>
        <v/>
      </c>
      <c r="Y655" s="4" t="str">
        <f>'QBO Transactions'!$Q657</f>
        <v/>
      </c>
      <c r="Z655" s="2"/>
      <c r="AA655" s="2"/>
      <c r="AB655" s="2"/>
      <c r="AC655" s="2"/>
      <c r="AD655" s="2"/>
      <c r="AE655" s="2"/>
    </row>
    <row r="656" spans="1:31" ht="12.75" customHeight="1" x14ac:dyDescent="0.25">
      <c r="A656" s="2"/>
      <c r="B656" s="2" t="str">
        <f>'QBO Transactions'!$U658</f>
        <v/>
      </c>
      <c r="C656" s="3" t="str">
        <f>'QBO Transactions'!$S658</f>
        <v/>
      </c>
      <c r="D656" s="2" t="str">
        <f>'QBO Transactions'!$R658</f>
        <v/>
      </c>
      <c r="E656" s="2"/>
      <c r="F656" s="3" t="str">
        <f>'QBO Transactions'!$X658</f>
        <v/>
      </c>
      <c r="G656" s="2"/>
      <c r="H656" s="2"/>
      <c r="I656" s="2"/>
      <c r="J656" s="2"/>
      <c r="K656" s="2"/>
      <c r="L656" s="2"/>
      <c r="M656" s="2"/>
      <c r="N656" s="2" t="str">
        <f>'QBO Transactions'!$Y658</f>
        <v/>
      </c>
      <c r="O656" s="2"/>
      <c r="P656" s="2"/>
      <c r="Q656" s="2" t="str">
        <f>'QBO Transactions'!$T658</f>
        <v/>
      </c>
      <c r="R656" s="2"/>
      <c r="S656" s="2"/>
      <c r="T656" s="2"/>
      <c r="U656" s="2"/>
      <c r="V656" s="2"/>
      <c r="W656" s="2"/>
      <c r="X656" s="2" t="str">
        <f t="shared" si="10"/>
        <v/>
      </c>
      <c r="Y656" s="4" t="str">
        <f>'QBO Transactions'!$Q658</f>
        <v/>
      </c>
      <c r="Z656" s="2"/>
      <c r="AA656" s="2"/>
      <c r="AB656" s="2"/>
      <c r="AC656" s="2"/>
      <c r="AD656" s="2"/>
      <c r="AE656" s="2"/>
    </row>
    <row r="657" spans="1:31" ht="12.75" customHeight="1" x14ac:dyDescent="0.25">
      <c r="A657" s="2"/>
      <c r="B657" s="2" t="str">
        <f>'QBO Transactions'!$U659</f>
        <v/>
      </c>
      <c r="C657" s="3" t="str">
        <f>'QBO Transactions'!$S659</f>
        <v/>
      </c>
      <c r="D657" s="2" t="str">
        <f>'QBO Transactions'!$R659</f>
        <v/>
      </c>
      <c r="E657" s="2"/>
      <c r="F657" s="3" t="str">
        <f>'QBO Transactions'!$X659</f>
        <v/>
      </c>
      <c r="G657" s="2"/>
      <c r="H657" s="2"/>
      <c r="I657" s="2"/>
      <c r="J657" s="2"/>
      <c r="K657" s="2"/>
      <c r="L657" s="2"/>
      <c r="M657" s="2"/>
      <c r="N657" s="2" t="str">
        <f>'QBO Transactions'!$Y659</f>
        <v/>
      </c>
      <c r="O657" s="2"/>
      <c r="P657" s="2"/>
      <c r="Q657" s="2" t="str">
        <f>'QBO Transactions'!$T659</f>
        <v/>
      </c>
      <c r="R657" s="2"/>
      <c r="S657" s="2"/>
      <c r="T657" s="2"/>
      <c r="U657" s="2"/>
      <c r="V657" s="2"/>
      <c r="W657" s="2"/>
      <c r="X657" s="2" t="str">
        <f t="shared" si="10"/>
        <v/>
      </c>
      <c r="Y657" s="4" t="str">
        <f>'QBO Transactions'!$Q659</f>
        <v/>
      </c>
      <c r="Z657" s="2"/>
      <c r="AA657" s="2"/>
      <c r="AB657" s="2"/>
      <c r="AC657" s="2"/>
      <c r="AD657" s="2"/>
      <c r="AE657" s="2"/>
    </row>
    <row r="658" spans="1:31" ht="12.75" customHeight="1" x14ac:dyDescent="0.25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4"/>
      <c r="Z658" s="2"/>
      <c r="AA658" s="2"/>
      <c r="AB658" s="2"/>
      <c r="AC658" s="2"/>
      <c r="AD658" s="2"/>
      <c r="AE658" s="2"/>
    </row>
    <row r="659" spans="1:31" ht="12.75" customHeight="1" x14ac:dyDescent="0.25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4"/>
      <c r="Z659" s="2"/>
      <c r="AA659" s="2"/>
      <c r="AB659" s="2"/>
      <c r="AC659" s="2"/>
      <c r="AD659" s="2"/>
      <c r="AE659" s="2"/>
    </row>
    <row r="660" spans="1:31" ht="12.75" customHeight="1" x14ac:dyDescent="0.25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4"/>
      <c r="Z660" s="2"/>
      <c r="AA660" s="2"/>
      <c r="AB660" s="2"/>
      <c r="AC660" s="2"/>
      <c r="AD660" s="2"/>
      <c r="AE660" s="2"/>
    </row>
    <row r="661" spans="1:31" ht="12.75" customHeight="1" x14ac:dyDescent="0.25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4"/>
      <c r="Z661" s="2"/>
      <c r="AA661" s="2"/>
      <c r="AB661" s="2"/>
      <c r="AC661" s="2"/>
      <c r="AD661" s="2"/>
      <c r="AE661" s="2"/>
    </row>
    <row r="662" spans="1:31" ht="12.75" customHeight="1" x14ac:dyDescent="0.25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4"/>
      <c r="Z662" s="2"/>
      <c r="AA662" s="2"/>
      <c r="AB662" s="2"/>
      <c r="AC662" s="2"/>
      <c r="AD662" s="2"/>
      <c r="AE662" s="2"/>
    </row>
    <row r="663" spans="1:31" ht="12.75" customHeight="1" x14ac:dyDescent="0.25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4"/>
      <c r="Z663" s="2"/>
      <c r="AA663" s="2"/>
      <c r="AB663" s="2"/>
      <c r="AC663" s="2"/>
      <c r="AD663" s="2"/>
      <c r="AE663" s="2"/>
    </row>
    <row r="664" spans="1:31" ht="12.75" customHeight="1" x14ac:dyDescent="0.25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4"/>
      <c r="Z664" s="2"/>
      <c r="AA664" s="2"/>
      <c r="AB664" s="2"/>
      <c r="AC664" s="2"/>
      <c r="AD664" s="2"/>
      <c r="AE664" s="2"/>
    </row>
    <row r="665" spans="1:31" ht="12.75" customHeight="1" x14ac:dyDescent="0.25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4"/>
      <c r="Z665" s="2"/>
      <c r="AA665" s="2"/>
      <c r="AB665" s="2"/>
      <c r="AC665" s="2"/>
      <c r="AD665" s="2"/>
      <c r="AE665" s="2"/>
    </row>
    <row r="666" spans="1:31" ht="12.75" customHeight="1" x14ac:dyDescent="0.25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4"/>
      <c r="Z666" s="2"/>
      <c r="AA666" s="2"/>
      <c r="AB666" s="2"/>
      <c r="AC666" s="2"/>
      <c r="AD666" s="2"/>
      <c r="AE666" s="2"/>
    </row>
    <row r="667" spans="1:31" ht="12.75" customHeight="1" x14ac:dyDescent="0.25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4"/>
      <c r="Z667" s="2"/>
      <c r="AA667" s="2"/>
      <c r="AB667" s="2"/>
      <c r="AC667" s="2"/>
      <c r="AD667" s="2"/>
      <c r="AE667" s="2"/>
    </row>
    <row r="668" spans="1:31" ht="12.75" customHeight="1" x14ac:dyDescent="0.25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4"/>
      <c r="Z668" s="2"/>
      <c r="AA668" s="2"/>
      <c r="AB668" s="2"/>
      <c r="AC668" s="2"/>
      <c r="AD668" s="2"/>
      <c r="AE668" s="2"/>
    </row>
    <row r="669" spans="1:31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D1000"/>
  <sheetViews>
    <sheetView tabSelected="1" zoomScale="64" workbookViewId="0">
      <pane ySplit="3" topLeftCell="A4" activePane="bottomLeft" state="frozen"/>
      <selection pane="bottomLeft" activeCell="J22" sqref="J22"/>
    </sheetView>
  </sheetViews>
  <sheetFormatPr defaultColWidth="14.42578125" defaultRowHeight="15" customHeight="1" outlineLevelCol="1" x14ac:dyDescent="0.25"/>
  <cols>
    <col min="1" max="1" width="1.42578125" customWidth="1"/>
    <col min="2" max="2" width="14.42578125" customWidth="1"/>
    <col min="3" max="3" width="24.140625" customWidth="1"/>
    <col min="4" max="4" width="18.140625" customWidth="1"/>
    <col min="5" max="5" width="54" customWidth="1"/>
    <col min="6" max="6" width="11.28515625" customWidth="1"/>
    <col min="7" max="7" width="8.7109375" customWidth="1"/>
    <col min="8" max="8" width="1.42578125" customWidth="1"/>
    <col min="9" max="9" width="13.42578125" customWidth="1"/>
    <col min="10" max="10" width="11.28515625" customWidth="1"/>
    <col min="11" max="13" width="20.140625" customWidth="1"/>
    <col min="14" max="14" width="8.42578125" customWidth="1"/>
    <col min="15" max="15" width="18.42578125" customWidth="1"/>
    <col min="16" max="16" width="8.5703125" customWidth="1"/>
    <col min="17" max="17" width="13" customWidth="1"/>
    <col min="18" max="18" width="13.140625" customWidth="1"/>
    <col min="19" max="19" width="11.42578125" customWidth="1"/>
    <col min="20" max="20" width="49.85546875" customWidth="1"/>
    <col min="21" max="21" width="18.140625" customWidth="1" outlineLevel="1"/>
    <col min="22" max="23" width="23.5703125" customWidth="1" outlineLevel="1"/>
    <col min="24" max="24" width="66.42578125" customWidth="1"/>
    <col min="25" max="25" width="25.5703125" customWidth="1"/>
    <col min="26" max="30" width="8.7109375" customWidth="1"/>
  </cols>
  <sheetData>
    <row r="1" spans="2:30" x14ac:dyDescent="0.25">
      <c r="B1" s="6"/>
      <c r="C1" s="7" t="s">
        <v>31</v>
      </c>
      <c r="D1" s="8" t="s">
        <v>32</v>
      </c>
      <c r="E1" s="7"/>
      <c r="F1" s="6"/>
      <c r="G1" s="6"/>
      <c r="H1" s="6"/>
      <c r="I1" s="9" t="s">
        <v>33</v>
      </c>
      <c r="J1" s="9"/>
      <c r="K1" s="9" t="s">
        <v>34</v>
      </c>
      <c r="L1" s="9"/>
      <c r="M1" s="9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1"/>
      <c r="AA1" s="11"/>
      <c r="AB1" s="11"/>
      <c r="AC1" s="11"/>
      <c r="AD1" s="11"/>
    </row>
    <row r="2" spans="2:30" x14ac:dyDescent="0.25">
      <c r="B2" s="49" t="s">
        <v>35</v>
      </c>
      <c r="C2" s="50"/>
      <c r="D2" s="50"/>
      <c r="E2" s="50"/>
      <c r="F2" s="50"/>
      <c r="G2" s="51"/>
      <c r="H2" s="10"/>
      <c r="I2" s="9" t="s">
        <v>36</v>
      </c>
      <c r="J2" s="9"/>
      <c r="K2" s="9" t="s">
        <v>37</v>
      </c>
      <c r="L2" s="9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1"/>
      <c r="AA2" s="11"/>
      <c r="AB2" s="11"/>
      <c r="AC2" s="11"/>
      <c r="AD2" s="11"/>
    </row>
    <row r="3" spans="2:30" x14ac:dyDescent="0.25">
      <c r="B3" s="6" t="s">
        <v>38</v>
      </c>
      <c r="C3" s="6" t="s">
        <v>39</v>
      </c>
      <c r="D3" s="6" t="s">
        <v>40</v>
      </c>
      <c r="E3" s="7" t="s">
        <v>41</v>
      </c>
      <c r="F3" s="6" t="s">
        <v>42</v>
      </c>
      <c r="G3" s="6" t="s">
        <v>43</v>
      </c>
      <c r="H3" s="6" t="s">
        <v>44</v>
      </c>
      <c r="I3" s="6" t="s">
        <v>45</v>
      </c>
      <c r="J3" s="6" t="s">
        <v>46</v>
      </c>
      <c r="K3" s="6" t="s">
        <v>47</v>
      </c>
      <c r="L3" s="6" t="s">
        <v>48</v>
      </c>
      <c r="M3" s="6" t="s">
        <v>49</v>
      </c>
      <c r="N3" s="6" t="s">
        <v>50</v>
      </c>
      <c r="O3" s="6" t="s">
        <v>51</v>
      </c>
      <c r="P3" s="6" t="s">
        <v>52</v>
      </c>
      <c r="Q3" s="6" t="s">
        <v>53</v>
      </c>
      <c r="R3" s="6" t="s">
        <v>54</v>
      </c>
      <c r="S3" s="6" t="s">
        <v>55</v>
      </c>
      <c r="T3" s="6" t="s">
        <v>56</v>
      </c>
      <c r="U3" s="6" t="s">
        <v>57</v>
      </c>
      <c r="V3" s="6" t="s">
        <v>58</v>
      </c>
      <c r="W3" s="6" t="s">
        <v>59</v>
      </c>
      <c r="X3" s="6" t="s">
        <v>60</v>
      </c>
      <c r="Y3" s="12" t="s">
        <v>61</v>
      </c>
      <c r="Z3" s="13" t="s">
        <v>62</v>
      </c>
      <c r="AA3" s="11"/>
      <c r="AB3" s="11"/>
      <c r="AC3" s="11"/>
      <c r="AD3" s="11"/>
    </row>
    <row r="4" spans="2:30" ht="15.75" customHeight="1" x14ac:dyDescent="0.25">
      <c r="B4" s="14">
        <v>46233</v>
      </c>
      <c r="C4" s="15" t="s">
        <v>63</v>
      </c>
      <c r="E4" s="15" t="s">
        <v>64</v>
      </c>
      <c r="F4" s="16">
        <v>53</v>
      </c>
      <c r="H4" s="10"/>
      <c r="I4" s="9" t="s">
        <v>65</v>
      </c>
      <c r="J4" s="9"/>
      <c r="K4" s="9"/>
      <c r="L4" s="9" t="s">
        <v>66</v>
      </c>
      <c r="M4" s="9"/>
      <c r="N4" s="17"/>
      <c r="O4" s="17" t="str">
        <f t="shared" ref="O4:O67" si="0">IF(C4="", "", TRIM(RIGHT(C4, LEN(C4) - FIND("@@", SUBSTITUTE(C4, "-", "@@", LEN(C4) - LEN(SUBSTITUTE(C4, "-", "")))))))</f>
        <v>Logan Rohloff</v>
      </c>
      <c r="P4" s="17">
        <f>IFERROR(_xlfn.XLOOKUP(O4,'Department Listing'!$O$1:$O$395,'Department Listing'!$A$1:$A$395),IFERROR(_xlfn.XLOOKUP(O4,'Name Aliases'!$A$2:$A$1000,'Name Aliases'!$B$2:$B$1000),""))</f>
        <v>8</v>
      </c>
      <c r="Q4" s="18">
        <f t="shared" ref="Q4:Q67" si="1">IF(ISBLANK($C4),"",$B4)</f>
        <v>46233</v>
      </c>
      <c r="R4" s="17" t="str">
        <f t="shared" ref="R4:R67" si="2">IF(ISBLANK($C4),"",IF(ISBLANK($I4),$D4,$I4))</f>
        <v>SpotHero</v>
      </c>
      <c r="S4" s="19">
        <f t="shared" ref="S4:S67" si="3">IF(ISBLANK($C4),"",$F4 - $G4)</f>
        <v>53</v>
      </c>
      <c r="T4" s="17" t="str">
        <f t="shared" ref="T4:T67" si="4">IF(ISBLANK($C4),"",C4)</f>
        <v>SPOTHERO 844-356-8054 MASTERCARD-XXXXXXPJG2AN-Logan Rohloff</v>
      </c>
      <c r="U4" s="17" t="str">
        <f t="shared" ref="U4:U67" si="5">IF(ISBLANK($C4),"",$D$1)</f>
        <v>Brex Credit Card</v>
      </c>
      <c r="V4" s="19" t="str">
        <f>IF(ISBLANK($B4),"",IF(ISBLANK($K4),IF(_xlfn.XLOOKUP($W4,'Category Mapping'!$C:$C,'Category Mapping'!$B:$B)="Travel",_xlfn.XLOOKUP($P4,'Department Listing'!$A:$A,'Department Listing'!$M:$M),_xlfn.XLOOKUP($W4,'Category Mapping'!$C:$C,'Category Mapping'!$D:$D)),$K4))</f>
        <v>Cost of Goods Sold:COGS- Travel Expenses:</v>
      </c>
      <c r="W4" s="19" t="str">
        <f t="shared" ref="W4:W67" si="6">IF(ISBLANK($B4),"",IF(ISBLANK($L4),RIGHT($E4,LEN($E4) - FIND("^",SUBSTITUTE($E4,":","^",LEN($E4) - LEN(SUBSTITUTE($E4,":",""))))),$L4))</f>
        <v>Ground Transportation</v>
      </c>
      <c r="X4" s="19" t="str">
        <f>IF(ISBLANK($J4),$V4&amp;$W4,$J4)</f>
        <v>Cost of Goods Sold:COGS- Travel Expenses:Ground Transportation</v>
      </c>
      <c r="Y4" s="20" t="str">
        <f>IF(ISBLANK($M4),IFERROR(_xlfn.XLOOKUP($P4,'Department Listing'!$A:$A,'Department Listing'!$L:$L),""),$M4)</f>
        <v>200- Datadog:220- Engineering</v>
      </c>
      <c r="Z4" s="11">
        <f>IF(ISBLANK($B4),"",MATCH($X4,COA!$B:$B,0))</f>
        <v>124</v>
      </c>
      <c r="AA4" s="11"/>
      <c r="AB4" s="11"/>
      <c r="AC4" s="11"/>
      <c r="AD4" s="11"/>
    </row>
    <row r="5" spans="2:30" ht="15.75" customHeight="1" x14ac:dyDescent="0.25">
      <c r="B5" s="14">
        <v>46233</v>
      </c>
      <c r="C5" s="15" t="s">
        <v>68</v>
      </c>
      <c r="E5" s="15" t="s">
        <v>69</v>
      </c>
      <c r="F5" s="16">
        <v>5207.2299999999996</v>
      </c>
      <c r="H5" s="10"/>
      <c r="I5" s="9" t="s">
        <v>70</v>
      </c>
      <c r="J5" s="9"/>
      <c r="K5" s="9"/>
      <c r="L5" s="9" t="s">
        <v>71</v>
      </c>
      <c r="M5" s="9"/>
      <c r="N5" s="17"/>
      <c r="O5" s="17" t="str">
        <f t="shared" si="0"/>
        <v>Eric Rabkin</v>
      </c>
      <c r="P5" s="17">
        <f>IFERROR(_xlfn.XLOOKUP(O5,'Department Listing'!$O$1:$O$395,'Department Listing'!$A$1:$A$395),IFERROR(_xlfn.XLOOKUP(O5,'Name Aliases'!$A$2:$A$1000,'Name Aliases'!$B$2:$B$1000),""))</f>
        <v>246</v>
      </c>
      <c r="Q5" s="18">
        <f t="shared" si="1"/>
        <v>46233</v>
      </c>
      <c r="R5" s="17" t="str">
        <f t="shared" si="2"/>
        <v>Anthropic</v>
      </c>
      <c r="S5" s="19">
        <f t="shared" si="3"/>
        <v>5207.2299999999996</v>
      </c>
      <c r="T5" s="17" t="str">
        <f t="shared" si="4"/>
        <v>ANTHROPIC MASTERCARD-XXXXXXQYD6Y9-Eric Rabkin</v>
      </c>
      <c r="U5" s="17" t="str">
        <f t="shared" si="5"/>
        <v>Brex Credit Card</v>
      </c>
      <c r="V5" s="19" t="str">
        <f>IF(ISBLANK($B5),"",IF(ISBLANK($K5),IF(_xlfn.XLOOKUP($W5,'Category Mapping'!$C:$C,'Category Mapping'!$B:$B)="Travel",_xlfn.XLOOKUP($P5,'Department Listing'!$A:$A,'Department Listing'!$M:$M),_xlfn.XLOOKUP($W5,'Category Mapping'!$C:$C,'Category Mapping'!$D:$D)),$K5))</f>
        <v>General &amp; Administrative:</v>
      </c>
      <c r="W5" s="19" t="str">
        <f t="shared" si="6"/>
        <v>Software Licenses</v>
      </c>
      <c r="X5" s="19" t="str">
        <f t="shared" ref="X4:X67" si="7">IF(ISBLANK($J5),$V5&amp;$W5,$J5)</f>
        <v>General &amp; Administrative:Software Licenses</v>
      </c>
      <c r="Y5" s="20" t="str">
        <f>IF(ISBLANK($M5),IFERROR(_xlfn.XLOOKUP($P5,'Department Listing'!$A:$A,'Department Listing'!$L:$L),""),$M5)</f>
        <v>100- Operations:110- G&amp;A</v>
      </c>
      <c r="Z5" s="11">
        <f>IF(ISBLANK($B5),"",MATCH($X5,COA!$B:$B,0))</f>
        <v>170</v>
      </c>
      <c r="AA5" s="11"/>
      <c r="AB5" s="11"/>
      <c r="AC5" s="11"/>
      <c r="AD5" s="11"/>
    </row>
    <row r="6" spans="2:30" ht="15.75" customHeight="1" x14ac:dyDescent="0.25">
      <c r="B6" s="14">
        <v>46233</v>
      </c>
      <c r="C6" s="15" t="s">
        <v>73</v>
      </c>
      <c r="E6" s="15" t="s">
        <v>64</v>
      </c>
      <c r="F6" s="16">
        <v>78.95</v>
      </c>
      <c r="H6" s="10"/>
      <c r="I6" s="9" t="s">
        <v>74</v>
      </c>
      <c r="J6" s="9"/>
      <c r="K6" s="9"/>
      <c r="L6" s="9" t="s">
        <v>66</v>
      </c>
      <c r="M6" s="9"/>
      <c r="N6" s="17"/>
      <c r="O6" s="17" t="str">
        <f t="shared" si="0"/>
        <v>Daniel Blauvelt</v>
      </c>
      <c r="P6" s="17">
        <f>IFERROR(_xlfn.XLOOKUP(O6,'Department Listing'!$O$1:$O$395,'Department Listing'!$A$1:$A$395),IFERROR(_xlfn.XLOOKUP(O6,'Name Aliases'!$A$2:$A$1000,'Name Aliases'!$B$2:$B$1000),""))</f>
        <v>207</v>
      </c>
      <c r="Q6" s="18">
        <f t="shared" si="1"/>
        <v>46233</v>
      </c>
      <c r="R6" s="17" t="str">
        <f t="shared" si="2"/>
        <v>Uber</v>
      </c>
      <c r="S6" s="19">
        <f t="shared" si="3"/>
        <v>78.95</v>
      </c>
      <c r="T6" s="17" t="str">
        <f t="shared" si="4"/>
        <v>UBER   *TRIP MASTERCARD-XXXXXX9HTP2T-Daniel Blauvelt</v>
      </c>
      <c r="U6" s="17" t="str">
        <f t="shared" si="5"/>
        <v>Brex Credit Card</v>
      </c>
      <c r="V6" s="19" t="str">
        <f>IF(ISBLANK($B6),"",IF(ISBLANK($K6),IF(_xlfn.XLOOKUP($W6,'Category Mapping'!$C:$C,'Category Mapping'!$B:$B)="Travel",_xlfn.XLOOKUP($P6,'Department Listing'!$A:$A,'Department Listing'!$M:$M),_xlfn.XLOOKUP($W6,'Category Mapping'!$C:$C,'Category Mapping'!$D:$D)),$K6))</f>
        <v>General &amp; Administrative:G&amp;A- Travel Expenses:</v>
      </c>
      <c r="W6" s="19" t="str">
        <f t="shared" si="6"/>
        <v>Ground Transportation</v>
      </c>
      <c r="X6" s="19" t="str">
        <f t="shared" si="7"/>
        <v>General &amp; Administrative:G&amp;A- Travel Expenses:Ground Transportation</v>
      </c>
      <c r="Y6" s="20" t="str">
        <f>IF(ISBLANK($M6),IFERROR(_xlfn.XLOOKUP($P6,'Department Listing'!$A:$A,'Department Listing'!$L:$L),""),$M6)</f>
        <v>300- ServiceNow:320- Engineering</v>
      </c>
      <c r="Z6" s="11">
        <f>IF(ISBLANK($B6),"",MATCH($X6,COA!$B:$B,0))</f>
        <v>149</v>
      </c>
      <c r="AA6" s="11"/>
      <c r="AB6" s="11"/>
      <c r="AC6" s="11"/>
      <c r="AD6" s="11"/>
    </row>
    <row r="7" spans="2:30" ht="15.75" customHeight="1" x14ac:dyDescent="0.25">
      <c r="B7" s="14">
        <v>46233</v>
      </c>
      <c r="C7" s="15" t="s">
        <v>75</v>
      </c>
      <c r="D7" s="15"/>
      <c r="E7" s="15" t="s">
        <v>76</v>
      </c>
      <c r="F7" s="16">
        <v>37.03</v>
      </c>
      <c r="H7" s="10"/>
      <c r="I7" s="9" t="s">
        <v>77</v>
      </c>
      <c r="J7" s="9"/>
      <c r="K7" s="9"/>
      <c r="L7" s="9" t="s">
        <v>78</v>
      </c>
      <c r="M7" s="9"/>
      <c r="N7" s="17"/>
      <c r="O7" s="17" t="str">
        <f t="shared" si="0"/>
        <v>Ryan Hale</v>
      </c>
      <c r="P7" s="17">
        <f>IFERROR(_xlfn.XLOOKUP(O7,'Department Listing'!$O$1:$O$395,'Department Listing'!$A$1:$A$395),IFERROR(_xlfn.XLOOKUP(O7,'Name Aliases'!$A$2:$A$1000,'Name Aliases'!$B$2:$B$1000),""))</f>
        <v>222</v>
      </c>
      <c r="Q7" s="18">
        <f t="shared" si="1"/>
        <v>46233</v>
      </c>
      <c r="R7" s="17" t="str">
        <f t="shared" si="2"/>
        <v>Sweeney's</v>
      </c>
      <c r="S7" s="19">
        <f t="shared" si="3"/>
        <v>37.03</v>
      </c>
      <c r="T7" s="17" t="str">
        <f t="shared" si="4"/>
        <v>TST*SWEENEYS MASTERCARD-XXXXXXNQXBCA-Ryan Hale</v>
      </c>
      <c r="U7" s="17" t="str">
        <f t="shared" si="5"/>
        <v>Brex Credit Card</v>
      </c>
      <c r="V7" s="19" t="str">
        <f>IF(ISBLANK($B7),"",IF(ISBLANK($K7),IF(_xlfn.XLOOKUP($W7,'Category Mapping'!$C:$C,'Category Mapping'!$B:$B)="Travel",_xlfn.XLOOKUP($P7,'Department Listing'!$A:$A,'Department Listing'!$M:$M),_xlfn.XLOOKUP($W7,'Category Mapping'!$C:$C,'Category Mapping'!$D:$D)),$K7))</f>
        <v>Sales &amp; Marketing:Sales &amp; Marketing- Travel Expenses:</v>
      </c>
      <c r="W7" s="19" t="str">
        <f t="shared" si="6"/>
        <v>Meals &amp; Entertainment</v>
      </c>
      <c r="X7" s="19" t="str">
        <f t="shared" si="7"/>
        <v>Sales &amp; Marketing:Sales &amp; Marketing- Travel Expenses:Meals &amp; Entertainment</v>
      </c>
      <c r="Y7" s="20" t="str">
        <f>IF(ISBLANK($M7),IFERROR(_xlfn.XLOOKUP($P7,'Department Listing'!$A:$A,'Department Listing'!$L:$L),""),$M7)</f>
        <v>300- ServiceNow:330- Sales</v>
      </c>
      <c r="Z7" s="11">
        <f>IF(ISBLANK($B7),"",MATCH($X7,COA!$B:$B,0))</f>
        <v>202</v>
      </c>
      <c r="AA7" s="11"/>
      <c r="AB7" s="11"/>
      <c r="AC7" s="11"/>
      <c r="AD7" s="11"/>
    </row>
    <row r="8" spans="2:30" ht="15.75" customHeight="1" x14ac:dyDescent="0.25">
      <c r="B8" s="14">
        <v>46233</v>
      </c>
      <c r="C8" s="15" t="s">
        <v>79</v>
      </c>
      <c r="D8" s="15"/>
      <c r="E8" s="15" t="s">
        <v>64</v>
      </c>
      <c r="F8" s="16">
        <v>41.38</v>
      </c>
      <c r="H8" s="10"/>
      <c r="I8" s="9" t="s">
        <v>74</v>
      </c>
      <c r="J8" s="9"/>
      <c r="K8" s="9"/>
      <c r="L8" s="9" t="s">
        <v>66</v>
      </c>
      <c r="M8" s="9"/>
      <c r="N8" s="17"/>
      <c r="O8" s="17" t="str">
        <f t="shared" si="0"/>
        <v>Jackson Donahoe</v>
      </c>
      <c r="P8" s="17">
        <f>IFERROR(_xlfn.XLOOKUP(O8,'Department Listing'!$O$1:$O$395,'Department Listing'!$A$1:$A$395),IFERROR(_xlfn.XLOOKUP(O8,'Name Aliases'!$A$2:$A$1000,'Name Aliases'!$B$2:$B$1000),""))</f>
        <v>143</v>
      </c>
      <c r="Q8" s="18">
        <f t="shared" si="1"/>
        <v>46233</v>
      </c>
      <c r="R8" s="17" t="str">
        <f t="shared" si="2"/>
        <v>Uber</v>
      </c>
      <c r="S8" s="19">
        <f t="shared" si="3"/>
        <v>41.38</v>
      </c>
      <c r="T8" s="17" t="str">
        <f t="shared" si="4"/>
        <v>UBER *EATS HELP.UBER.C MASTERCARD-XXXXXXFXJBXL-Jackson Donahoe</v>
      </c>
      <c r="U8" s="17" t="str">
        <f t="shared" si="5"/>
        <v>Brex Credit Card</v>
      </c>
      <c r="V8" s="19" t="str">
        <f>IF(ISBLANK($B8),"",IF(ISBLANK($K8),IF(_xlfn.XLOOKUP($W8,'Category Mapping'!$C:$C,'Category Mapping'!$B:$B)="Travel",_xlfn.XLOOKUP($P8,'Department Listing'!$A:$A,'Department Listing'!$M:$M),_xlfn.XLOOKUP($W8,'Category Mapping'!$C:$C,'Category Mapping'!$D:$D)),$K8))</f>
        <v>Sales &amp; Marketing:Sales &amp; Marketing- Travel Expenses:</v>
      </c>
      <c r="W8" s="19" t="str">
        <f t="shared" si="6"/>
        <v>Ground Transportation</v>
      </c>
      <c r="X8" s="19" t="str">
        <f t="shared" si="7"/>
        <v>Sales &amp; Marketing:Sales &amp; Marketing- Travel Expenses:Ground Transportation</v>
      </c>
      <c r="Y8" s="20" t="str">
        <f>IF(ISBLANK($M8),IFERROR(_xlfn.XLOOKUP($P8,'Department Listing'!$A:$A,'Department Listing'!$L:$L),""),$M8)</f>
        <v>200- Datadog:230- Sales</v>
      </c>
      <c r="Z8" s="11">
        <f>IF(ISBLANK($B8),"",MATCH($X8,COA!$B:$B,0))</f>
        <v>200</v>
      </c>
      <c r="AA8" s="11"/>
      <c r="AB8" s="11"/>
      <c r="AC8" s="11"/>
      <c r="AD8" s="11"/>
    </row>
    <row r="9" spans="2:30" ht="15.75" customHeight="1" x14ac:dyDescent="0.25">
      <c r="B9" s="14">
        <v>46233</v>
      </c>
      <c r="C9" s="15" t="s">
        <v>81</v>
      </c>
      <c r="E9" s="15" t="s">
        <v>64</v>
      </c>
      <c r="F9" s="16">
        <v>20.99</v>
      </c>
      <c r="H9" s="10"/>
      <c r="I9" s="9" t="s">
        <v>74</v>
      </c>
      <c r="J9" s="9"/>
      <c r="K9" s="9"/>
      <c r="L9" s="9" t="s">
        <v>66</v>
      </c>
      <c r="M9" s="9"/>
      <c r="N9" s="17"/>
      <c r="O9" s="17" t="str">
        <f t="shared" si="0"/>
        <v>Michael Button</v>
      </c>
      <c r="P9" s="17">
        <f>IFERROR(_xlfn.XLOOKUP(O9,'Department Listing'!$O$1:$O$395,'Department Listing'!$A$1:$A$395),IFERROR(_xlfn.XLOOKUP(O9,'Name Aliases'!$A$2:$A$1000,'Name Aliases'!$B$2:$B$1000),""))</f>
        <v>273</v>
      </c>
      <c r="Q9" s="18">
        <f t="shared" si="1"/>
        <v>46233</v>
      </c>
      <c r="R9" s="21" t="str">
        <f t="shared" si="2"/>
        <v>Uber</v>
      </c>
      <c r="S9" s="19">
        <f t="shared" si="3"/>
        <v>20.99</v>
      </c>
      <c r="T9" s="17" t="str">
        <f t="shared" si="4"/>
        <v>UBER   *TRIP MASTERCARD-XXXXXX113XV3-Michael Button</v>
      </c>
      <c r="U9" s="17" t="str">
        <f t="shared" si="5"/>
        <v>Brex Credit Card</v>
      </c>
      <c r="V9" s="19" t="str">
        <f>IF(ISBLANK($B9),"",IF(ISBLANK($K9),IF(_xlfn.XLOOKUP($W9,'Category Mapping'!$C:$C,'Category Mapping'!$B:$B)="Travel",_xlfn.XLOOKUP($P9,'Department Listing'!$A:$A,'Department Listing'!$M:$M),_xlfn.XLOOKUP($W9,'Category Mapping'!$C:$C,'Category Mapping'!$D:$D)),$K9))</f>
        <v>General &amp; Administrative:G&amp;A- Travel Expenses:</v>
      </c>
      <c r="W9" s="19" t="str">
        <f t="shared" si="6"/>
        <v>Ground Transportation</v>
      </c>
      <c r="X9" s="19" t="str">
        <f t="shared" si="7"/>
        <v>General &amp; Administrative:G&amp;A- Travel Expenses:Ground Transportation</v>
      </c>
      <c r="Y9" s="20" t="str">
        <f>IF(ISBLANK($M9),IFERROR(_xlfn.XLOOKUP($P9,'Department Listing'!$A:$A,'Department Listing'!$L:$L),""),$M9)</f>
        <v>100- Operations:110- G&amp;A</v>
      </c>
      <c r="Z9" s="11">
        <f>IF(ISBLANK($B9),"",MATCH($X9,COA!$B:$B,0))</f>
        <v>149</v>
      </c>
      <c r="AA9" s="11"/>
      <c r="AB9" s="11"/>
      <c r="AC9" s="11"/>
      <c r="AD9" s="11"/>
    </row>
    <row r="10" spans="2:30" ht="15.75" customHeight="1" x14ac:dyDescent="0.25">
      <c r="B10" s="14">
        <v>46233</v>
      </c>
      <c r="C10" s="15" t="s">
        <v>82</v>
      </c>
      <c r="D10" s="15"/>
      <c r="E10" s="15" t="s">
        <v>64</v>
      </c>
      <c r="F10" s="16">
        <v>8</v>
      </c>
      <c r="H10" s="10"/>
      <c r="I10" s="9" t="s">
        <v>74</v>
      </c>
      <c r="J10" s="9"/>
      <c r="K10" s="9"/>
      <c r="L10" s="9" t="s">
        <v>66</v>
      </c>
      <c r="M10" s="9"/>
      <c r="N10" s="17"/>
      <c r="O10" s="17" t="str">
        <f t="shared" si="0"/>
        <v>Leslee Brady</v>
      </c>
      <c r="P10" s="17">
        <f>IFERROR(_xlfn.XLOOKUP(O10,'Department Listing'!$O$1:$O$395,'Department Listing'!$A$1:$A$395),IFERROR(_xlfn.XLOOKUP(O10,'Name Aliases'!$A$2:$A$1000,'Name Aliases'!$B$2:$B$1000),""))</f>
        <v>103</v>
      </c>
      <c r="Q10" s="18">
        <f t="shared" si="1"/>
        <v>46233</v>
      </c>
      <c r="R10" s="21" t="str">
        <f t="shared" si="2"/>
        <v>Uber</v>
      </c>
      <c r="S10" s="19">
        <f t="shared" si="3"/>
        <v>8</v>
      </c>
      <c r="T10" s="17" t="str">
        <f t="shared" si="4"/>
        <v>UBER   *TRIP MASTERCARD-XXXXXXPLNGVU-Leslee Brady</v>
      </c>
      <c r="U10" s="17" t="str">
        <f t="shared" si="5"/>
        <v>Brex Credit Card</v>
      </c>
      <c r="V10" s="19" t="str">
        <f>IF(ISBLANK($B10),"",IF(ISBLANK($K10),IF(_xlfn.XLOOKUP($W10,'Category Mapping'!$C:$C,'Category Mapping'!$B:$B)="Travel",_xlfn.XLOOKUP($P10,'Department Listing'!$A:$A,'Department Listing'!$M:$M),_xlfn.XLOOKUP($W10,'Category Mapping'!$C:$C,'Category Mapping'!$D:$D)),$K10))</f>
        <v>Sales &amp; Marketing:Sales &amp; Marketing- Travel Expenses:</v>
      </c>
      <c r="W10" s="19" t="str">
        <f t="shared" si="6"/>
        <v>Ground Transportation</v>
      </c>
      <c r="X10" s="19" t="str">
        <f t="shared" si="7"/>
        <v>Sales &amp; Marketing:Sales &amp; Marketing- Travel Expenses:Ground Transportation</v>
      </c>
      <c r="Y10" s="20" t="str">
        <f>IF(ISBLANK($M10),IFERROR(_xlfn.XLOOKUP($P10,'Department Listing'!$A:$A,'Department Listing'!$L:$L),""),$M10)</f>
        <v>100- Operations:120- Marketing</v>
      </c>
      <c r="Z10" s="11">
        <f>IF(ISBLANK($B10),"",MATCH($X10,COA!$B:$B,0))</f>
        <v>200</v>
      </c>
      <c r="AA10" s="11"/>
      <c r="AB10" s="11"/>
      <c r="AC10" s="11"/>
      <c r="AD10" s="11"/>
    </row>
    <row r="11" spans="2:30" ht="15.75" customHeight="1" x14ac:dyDescent="0.25">
      <c r="B11" s="14">
        <v>46233</v>
      </c>
      <c r="C11" s="15" t="s">
        <v>84</v>
      </c>
      <c r="D11" s="15"/>
      <c r="E11" s="15" t="s">
        <v>64</v>
      </c>
      <c r="F11" s="16">
        <v>35.979999999999997</v>
      </c>
      <c r="H11" s="10"/>
      <c r="I11" s="9" t="s">
        <v>74</v>
      </c>
      <c r="J11" s="9"/>
      <c r="K11" s="9"/>
      <c r="L11" s="9" t="s">
        <v>66</v>
      </c>
      <c r="M11" s="9"/>
      <c r="N11" s="17"/>
      <c r="O11" s="17" t="str">
        <f t="shared" si="0"/>
        <v>William Watson</v>
      </c>
      <c r="P11" s="17">
        <f>IFERROR(_xlfn.XLOOKUP(O11,'Department Listing'!$O$1:$O$395,'Department Listing'!$A$1:$A$395),IFERROR(_xlfn.XLOOKUP(O11,'Name Aliases'!$A$2:$A$1000,'Name Aliases'!$B$2:$B$1000),""))</f>
        <v>116</v>
      </c>
      <c r="Q11" s="18">
        <f t="shared" si="1"/>
        <v>46233</v>
      </c>
      <c r="R11" s="21" t="str">
        <f t="shared" si="2"/>
        <v>Uber</v>
      </c>
      <c r="S11" s="19">
        <f t="shared" si="3"/>
        <v>35.979999999999997</v>
      </c>
      <c r="T11" s="17" t="str">
        <f t="shared" si="4"/>
        <v>UBER   *TRIP MASTERCARD-XXXXXXDU86DC-William Watson</v>
      </c>
      <c r="U11" s="17" t="str">
        <f t="shared" si="5"/>
        <v>Brex Credit Card</v>
      </c>
      <c r="V11" s="19" t="str">
        <f>IF(ISBLANK($B11),"",IF(ISBLANK($K11),IF(_xlfn.XLOOKUP($W11,'Category Mapping'!$C:$C,'Category Mapping'!$B:$B)="Travel",_xlfn.XLOOKUP($P11,'Department Listing'!$A:$A,'Department Listing'!$M:$M),_xlfn.XLOOKUP($W11,'Category Mapping'!$C:$C,'Category Mapping'!$D:$D)),$K11))</f>
        <v>Cost of Goods Sold:COGS- Travel Expenses:</v>
      </c>
      <c r="W11" s="19" t="str">
        <f t="shared" si="6"/>
        <v>Ground Transportation</v>
      </c>
      <c r="X11" s="19" t="str">
        <f t="shared" si="7"/>
        <v>Cost of Goods Sold:COGS- Travel Expenses:Ground Transportation</v>
      </c>
      <c r="Y11" s="20" t="str">
        <f>IF(ISBLANK($M11),IFERROR(_xlfn.XLOOKUP($P11,'Department Listing'!$A:$A,'Department Listing'!$L:$L),""),$M11)</f>
        <v>300- ServiceNow:320- Engineering</v>
      </c>
      <c r="Z11" s="11">
        <f>IF(ISBLANK($B11),"",MATCH($X11,COA!$B:$B,0))</f>
        <v>124</v>
      </c>
      <c r="AA11" s="11"/>
      <c r="AB11" s="11"/>
      <c r="AC11" s="11"/>
      <c r="AD11" s="11"/>
    </row>
    <row r="12" spans="2:30" ht="15.75" customHeight="1" x14ac:dyDescent="0.25">
      <c r="B12" s="14">
        <v>46233</v>
      </c>
      <c r="C12" s="15" t="s">
        <v>85</v>
      </c>
      <c r="D12" s="15"/>
      <c r="E12" s="15" t="s">
        <v>64</v>
      </c>
      <c r="F12" s="16">
        <v>5</v>
      </c>
      <c r="H12" s="10"/>
      <c r="I12" s="9" t="s">
        <v>74</v>
      </c>
      <c r="J12" s="9"/>
      <c r="K12" s="9"/>
      <c r="L12" s="9" t="s">
        <v>66</v>
      </c>
      <c r="M12" s="9"/>
      <c r="N12" s="17"/>
      <c r="O12" s="17" t="str">
        <f t="shared" si="0"/>
        <v>Jonathan Stricklin</v>
      </c>
      <c r="P12" s="17">
        <f>IFERROR(_xlfn.XLOOKUP(O12,'Department Listing'!$O$1:$O$395,'Department Listing'!$A$1:$A$395),IFERROR(_xlfn.XLOOKUP(O12,'Name Aliases'!$A$2:$A$1000,'Name Aliases'!$B$2:$B$1000),""))</f>
        <v>167</v>
      </c>
      <c r="Q12" s="18">
        <f t="shared" si="1"/>
        <v>46233</v>
      </c>
      <c r="R12" s="21" t="str">
        <f t="shared" si="2"/>
        <v>Uber</v>
      </c>
      <c r="S12" s="19">
        <f t="shared" si="3"/>
        <v>5</v>
      </c>
      <c r="T12" s="17" t="str">
        <f t="shared" si="4"/>
        <v>UBER   *TRIP MASTERCARD-XXXXXXRH0ON1-Jonathan Stricklin</v>
      </c>
      <c r="U12" s="17" t="str">
        <f t="shared" si="5"/>
        <v>Brex Credit Card</v>
      </c>
      <c r="V12" s="19" t="str">
        <f>IF(ISBLANK($B12),"",IF(ISBLANK($K12),IF(_xlfn.XLOOKUP($W12,'Category Mapping'!$C:$C,'Category Mapping'!$B:$B)="Travel",_xlfn.XLOOKUP($P12,'Department Listing'!$A:$A,'Department Listing'!$M:$M),_xlfn.XLOOKUP($W12,'Category Mapping'!$C:$C,'Category Mapping'!$D:$D)),$K12))</f>
        <v>Cost of Goods Sold:COGS- Travel Expenses:</v>
      </c>
      <c r="W12" s="19" t="str">
        <f t="shared" si="6"/>
        <v>Ground Transportation</v>
      </c>
      <c r="X12" s="19" t="str">
        <f t="shared" si="7"/>
        <v>Cost of Goods Sold:COGS- Travel Expenses:Ground Transportation</v>
      </c>
      <c r="Y12" s="20" t="str">
        <f>IF(ISBLANK($M12),IFERROR(_xlfn.XLOOKUP($P12,'Department Listing'!$A:$A,'Department Listing'!$L:$L),""),$M12)</f>
        <v>300- ServiceNow:320- Engineering</v>
      </c>
      <c r="Z12" s="11">
        <f>IF(ISBLANK($B12),"",MATCH($X12,COA!$B:$B,0))</f>
        <v>124</v>
      </c>
      <c r="AA12" s="11"/>
      <c r="AB12" s="11"/>
      <c r="AC12" s="11"/>
      <c r="AD12" s="11"/>
    </row>
    <row r="13" spans="2:30" ht="15.75" customHeight="1" x14ac:dyDescent="0.25">
      <c r="B13" s="14">
        <v>46233</v>
      </c>
      <c r="C13" s="15" t="s">
        <v>87</v>
      </c>
      <c r="D13" s="15"/>
      <c r="E13" s="15" t="s">
        <v>64</v>
      </c>
      <c r="F13" s="16">
        <v>47.1</v>
      </c>
      <c r="H13" s="10"/>
      <c r="I13" s="9" t="s">
        <v>74</v>
      </c>
      <c r="J13" s="9"/>
      <c r="K13" s="22"/>
      <c r="L13" s="9" t="s">
        <v>66</v>
      </c>
      <c r="M13" s="22"/>
      <c r="N13" s="17"/>
      <c r="O13" s="17" t="str">
        <f t="shared" si="0"/>
        <v>Frederick Simpson</v>
      </c>
      <c r="P13" s="17">
        <f>IFERROR(_xlfn.XLOOKUP(O13,'Department Listing'!$O$1:$O$395,'Department Listing'!$A$1:$A$395),IFERROR(_xlfn.XLOOKUP(O13,'Name Aliases'!$A$2:$A$1000,'Name Aliases'!$B$2:$B$1000),""))</f>
        <v>177</v>
      </c>
      <c r="Q13" s="18">
        <f t="shared" si="1"/>
        <v>46233</v>
      </c>
      <c r="R13" s="21" t="str">
        <f t="shared" si="2"/>
        <v>Uber</v>
      </c>
      <c r="S13" s="19">
        <f t="shared" si="3"/>
        <v>47.1</v>
      </c>
      <c r="T13" s="17" t="str">
        <f t="shared" si="4"/>
        <v>UBER   *TRIP MASTERCARD-XXXXXXBVS4W8-Frederick Simpson</v>
      </c>
      <c r="U13" s="17" t="str">
        <f t="shared" si="5"/>
        <v>Brex Credit Card</v>
      </c>
      <c r="V13" s="19" t="str">
        <f>IF(ISBLANK($B13),"",IF(ISBLANK($K13),IF(_xlfn.XLOOKUP($W13,'Category Mapping'!$C:$C,'Category Mapping'!$B:$B)="Travel",_xlfn.XLOOKUP($P13,'Department Listing'!$A:$A,'Department Listing'!$M:$M),_xlfn.XLOOKUP($W13,'Category Mapping'!$C:$C,'Category Mapping'!$D:$D)),$K13))</f>
        <v>General &amp; Administrative:G&amp;A- Travel Expenses:</v>
      </c>
      <c r="W13" s="19" t="str">
        <f t="shared" si="6"/>
        <v>Ground Transportation</v>
      </c>
      <c r="X13" s="19" t="str">
        <f t="shared" si="7"/>
        <v>General &amp; Administrative:G&amp;A- Travel Expenses:Ground Transportation</v>
      </c>
      <c r="Y13" s="20" t="str">
        <f>IF(ISBLANK($M13),IFERROR(_xlfn.XLOOKUP($P13,'Department Listing'!$A:$A,'Department Listing'!$L:$L),""),$M13)</f>
        <v>100- Operations:110- G&amp;A</v>
      </c>
      <c r="Z13" s="11">
        <f>IF(ISBLANK($B13),"",MATCH($X13,COA!$B:$B,0))</f>
        <v>149</v>
      </c>
      <c r="AA13" s="11"/>
      <c r="AB13" s="11"/>
      <c r="AC13" s="11"/>
      <c r="AD13" s="11"/>
    </row>
    <row r="14" spans="2:30" ht="15.75" customHeight="1" x14ac:dyDescent="0.25">
      <c r="B14" s="14">
        <v>46233</v>
      </c>
      <c r="C14" s="15" t="s">
        <v>88</v>
      </c>
      <c r="D14" s="15"/>
      <c r="E14" s="15" t="s">
        <v>64</v>
      </c>
      <c r="F14" s="16">
        <v>83.96</v>
      </c>
      <c r="H14" s="10"/>
      <c r="I14" s="9" t="s">
        <v>74</v>
      </c>
      <c r="J14" s="9"/>
      <c r="K14" s="22"/>
      <c r="L14" s="9" t="s">
        <v>66</v>
      </c>
      <c r="M14" s="9"/>
      <c r="N14" s="17"/>
      <c r="O14" s="17" t="str">
        <f t="shared" si="0"/>
        <v>Michael Button</v>
      </c>
      <c r="P14" s="17">
        <f>IFERROR(_xlfn.XLOOKUP(O14,'Department Listing'!$O$1:$O$395,'Department Listing'!$A$1:$A$395),IFERROR(_xlfn.XLOOKUP(O14,'Name Aliases'!$A$2:$A$1000,'Name Aliases'!$B$2:$B$1000),""))</f>
        <v>273</v>
      </c>
      <c r="Q14" s="18">
        <f t="shared" si="1"/>
        <v>46233</v>
      </c>
      <c r="R14" s="21" t="str">
        <f t="shared" si="2"/>
        <v>Uber</v>
      </c>
      <c r="S14" s="19">
        <f t="shared" si="3"/>
        <v>83.96</v>
      </c>
      <c r="T14" s="17" t="str">
        <f t="shared" si="4"/>
        <v>UBER   *TRIP MASTERCARD-XXXXXXF6IXA9-Michael Button</v>
      </c>
      <c r="U14" s="17" t="str">
        <f t="shared" si="5"/>
        <v>Brex Credit Card</v>
      </c>
      <c r="V14" s="19" t="str">
        <f>IF(ISBLANK($B14),"",IF(ISBLANK($K14),IF(_xlfn.XLOOKUP($W14,'Category Mapping'!$C:$C,'Category Mapping'!$B:$B)="Travel",_xlfn.XLOOKUP($P14,'Department Listing'!$A:$A,'Department Listing'!$M:$M),_xlfn.XLOOKUP($W14,'Category Mapping'!$C:$C,'Category Mapping'!$D:$D)),$K14))</f>
        <v>General &amp; Administrative:G&amp;A- Travel Expenses:</v>
      </c>
      <c r="W14" s="19" t="str">
        <f t="shared" si="6"/>
        <v>Ground Transportation</v>
      </c>
      <c r="X14" s="19" t="str">
        <f t="shared" si="7"/>
        <v>General &amp; Administrative:G&amp;A- Travel Expenses:Ground Transportation</v>
      </c>
      <c r="Y14" s="20" t="str">
        <f>IF(ISBLANK($M14),IFERROR(_xlfn.XLOOKUP($P14,'Department Listing'!$A:$A,'Department Listing'!$L:$L),""),$M14)</f>
        <v>100- Operations:110- G&amp;A</v>
      </c>
      <c r="Z14" s="11">
        <f>IF(ISBLANK($B14),"",MATCH($X14,COA!$B:$B,0))</f>
        <v>149</v>
      </c>
      <c r="AA14" s="11"/>
      <c r="AB14" s="11"/>
      <c r="AC14" s="11"/>
      <c r="AD14" s="11"/>
    </row>
    <row r="15" spans="2:30" ht="15.75" customHeight="1" x14ac:dyDescent="0.25">
      <c r="B15" s="14">
        <v>46233</v>
      </c>
      <c r="C15" s="15" t="s">
        <v>89</v>
      </c>
      <c r="E15" s="15" t="s">
        <v>64</v>
      </c>
      <c r="F15" s="16">
        <v>20.27</v>
      </c>
      <c r="H15" s="10"/>
      <c r="I15" s="9" t="s">
        <v>74</v>
      </c>
      <c r="J15" s="9"/>
      <c r="K15" s="9"/>
      <c r="L15" s="9" t="s">
        <v>66</v>
      </c>
      <c r="M15" s="9"/>
      <c r="N15" s="17"/>
      <c r="O15" s="17" t="str">
        <f t="shared" si="0"/>
        <v>Tokuya Takahashi</v>
      </c>
      <c r="P15" s="17">
        <f>IFERROR(_xlfn.XLOOKUP(O15,'Department Listing'!$O$1:$O$395,'Department Listing'!$A$1:$A$395),IFERROR(_xlfn.XLOOKUP(O15,'Name Aliases'!$A$2:$A$1000,'Name Aliases'!$B$2:$B$1000),""))</f>
        <v>214</v>
      </c>
      <c r="Q15" s="18">
        <f t="shared" si="1"/>
        <v>46233</v>
      </c>
      <c r="R15" s="17" t="str">
        <f t="shared" si="2"/>
        <v>Uber</v>
      </c>
      <c r="S15" s="19">
        <f t="shared" si="3"/>
        <v>20.27</v>
      </c>
      <c r="T15" s="17" t="str">
        <f t="shared" si="4"/>
        <v>UBER   *TRIP MASTERCARD-XXXXXXO1EQ9C-Tokuya Takahashi</v>
      </c>
      <c r="U15" s="17" t="str">
        <f t="shared" si="5"/>
        <v>Brex Credit Card</v>
      </c>
      <c r="V15" s="19" t="str">
        <f>IF(ISBLANK($B15),"",IF(ISBLANK($K15),IF(_xlfn.XLOOKUP($W15,'Category Mapping'!$C:$C,'Category Mapping'!$B:$B)="Travel",_xlfn.XLOOKUP($P15,'Department Listing'!$A:$A,'Department Listing'!$M:$M),_xlfn.XLOOKUP($W15,'Category Mapping'!$C:$C,'Category Mapping'!$D:$D)),$K15))</f>
        <v>Cost of Goods Sold:COGS- Travel Expenses:</v>
      </c>
      <c r="W15" s="19" t="str">
        <f t="shared" si="6"/>
        <v>Ground Transportation</v>
      </c>
      <c r="X15" s="19" t="str">
        <f t="shared" si="7"/>
        <v>Cost of Goods Sold:COGS- Travel Expenses:Ground Transportation</v>
      </c>
      <c r="Y15" s="20" t="str">
        <f>IF(ISBLANK($M15),IFERROR(_xlfn.XLOOKUP($P15,'Department Listing'!$A:$A,'Department Listing'!$L:$L),""),$M15)</f>
        <v>300- ServiceNow:320- Engineering</v>
      </c>
      <c r="Z15" s="11">
        <f>IF(ISBLANK($B15),"",MATCH($X15,COA!$B:$B,0))</f>
        <v>124</v>
      </c>
      <c r="AA15" s="11"/>
      <c r="AB15" s="11"/>
      <c r="AC15" s="11"/>
      <c r="AD15" s="11"/>
    </row>
    <row r="16" spans="2:30" ht="15.75" customHeight="1" x14ac:dyDescent="0.25">
      <c r="B16" s="14">
        <v>46233</v>
      </c>
      <c r="C16" s="15" t="s">
        <v>90</v>
      </c>
      <c r="D16" s="15"/>
      <c r="E16" s="15" t="s">
        <v>76</v>
      </c>
      <c r="F16" s="16">
        <v>66.64</v>
      </c>
      <c r="H16" s="10"/>
      <c r="I16" s="9" t="s">
        <v>77</v>
      </c>
      <c r="J16" s="9"/>
      <c r="K16" s="9"/>
      <c r="L16" s="9" t="s">
        <v>78</v>
      </c>
      <c r="M16" s="9"/>
      <c r="N16" s="17"/>
      <c r="O16" s="17" t="str">
        <f t="shared" si="0"/>
        <v>Anamaria Gramada</v>
      </c>
      <c r="P16" s="17">
        <f>IFERROR(_xlfn.XLOOKUP(O16,'Department Listing'!$O$1:$O$395,'Department Listing'!$A$1:$A$395),IFERROR(_xlfn.XLOOKUP(O16,'Name Aliases'!$A$2:$A$1000,'Name Aliases'!$B$2:$B$1000),""))</f>
        <v>110</v>
      </c>
      <c r="Q16" s="18">
        <f t="shared" si="1"/>
        <v>46233</v>
      </c>
      <c r="R16" s="21" t="str">
        <f t="shared" si="2"/>
        <v>Sweeney's</v>
      </c>
      <c r="S16" s="19">
        <f t="shared" si="3"/>
        <v>66.64</v>
      </c>
      <c r="T16" s="17" t="str">
        <f t="shared" si="4"/>
        <v>TST*SWEENEYS MASTERCARD-XXXXXX0UACG1-Anamaria Gramada</v>
      </c>
      <c r="U16" s="17" t="str">
        <f t="shared" si="5"/>
        <v>Brex Credit Card</v>
      </c>
      <c r="V16" s="19" t="str">
        <f>IF(ISBLANK($B16),"",IF(ISBLANK($K16),IF(_xlfn.XLOOKUP($W16,'Category Mapping'!$C:$C,'Category Mapping'!$B:$B)="Travel",_xlfn.XLOOKUP($P16,'Department Listing'!$A:$A,'Department Listing'!$M:$M),_xlfn.XLOOKUP($W16,'Category Mapping'!$C:$C,'Category Mapping'!$D:$D)),$K16))</f>
        <v>Cost of Goods Sold:COGS- Travel Expenses:</v>
      </c>
      <c r="W16" s="19" t="str">
        <f t="shared" si="6"/>
        <v>Meals &amp; Entertainment</v>
      </c>
      <c r="X16" s="19" t="str">
        <f t="shared" si="7"/>
        <v>Cost of Goods Sold:COGS- Travel Expenses:Meals &amp; Entertainment</v>
      </c>
      <c r="Y16" s="20" t="str">
        <f>IF(ISBLANK($M16),IFERROR(_xlfn.XLOOKUP($P16,'Department Listing'!$A:$A,'Department Listing'!$L:$L),""),$M16)</f>
        <v>300- ServiceNow:310- Delivery</v>
      </c>
      <c r="Z16" s="11">
        <f>IF(ISBLANK($B16),"",MATCH($X16,COA!$B:$B,0))</f>
        <v>126</v>
      </c>
      <c r="AA16" s="11"/>
      <c r="AB16" s="11"/>
      <c r="AC16" s="11"/>
      <c r="AD16" s="11"/>
    </row>
    <row r="17" spans="2:30" ht="15.75" customHeight="1" x14ac:dyDescent="0.25">
      <c r="B17" s="14">
        <v>46233</v>
      </c>
      <c r="C17" s="15" t="s">
        <v>91</v>
      </c>
      <c r="D17" s="15"/>
      <c r="E17" s="15" t="s">
        <v>64</v>
      </c>
      <c r="F17" s="16">
        <v>17.940000000000001</v>
      </c>
      <c r="H17" s="10"/>
      <c r="I17" s="9" t="s">
        <v>92</v>
      </c>
      <c r="J17" s="9"/>
      <c r="K17" s="22"/>
      <c r="L17" s="22" t="s">
        <v>66</v>
      </c>
      <c r="M17" s="22"/>
      <c r="N17" s="17"/>
      <c r="O17" s="17" t="str">
        <f t="shared" si="0"/>
        <v>Darshilkumar Shah</v>
      </c>
      <c r="P17" s="17">
        <f>IFERROR(_xlfn.XLOOKUP(O17,'Department Listing'!$O$1:$O$395,'Department Listing'!$A$1:$A$395),IFERROR(_xlfn.XLOOKUP(O17,'Name Aliases'!$A$2:$A$1000,'Name Aliases'!$B$2:$B$1000),""))</f>
        <v>225</v>
      </c>
      <c r="Q17" s="18">
        <f t="shared" si="1"/>
        <v>46233</v>
      </c>
      <c r="R17" s="21" t="str">
        <f t="shared" si="2"/>
        <v>Lyft</v>
      </c>
      <c r="S17" s="19">
        <f t="shared" si="3"/>
        <v>17.940000000000001</v>
      </c>
      <c r="T17" s="17" t="str">
        <f t="shared" si="4"/>
        <v>LYFT   *STANDARD 07-29 MASTERCARD-XXXXXXQ5WVA4-Darshilkumar Shah</v>
      </c>
      <c r="U17" s="17" t="str">
        <f t="shared" si="5"/>
        <v>Brex Credit Card</v>
      </c>
      <c r="V17" s="19" t="str">
        <f>IF(ISBLANK($B17),"",IF(ISBLANK($K17),IF(_xlfn.XLOOKUP($W17,'Category Mapping'!$C:$C,'Category Mapping'!$B:$B)="Travel",_xlfn.XLOOKUP($P17,'Department Listing'!$A:$A,'Department Listing'!$M:$M),_xlfn.XLOOKUP($W17,'Category Mapping'!$C:$C,'Category Mapping'!$D:$D)),$K17))</f>
        <v>General &amp; Administrative:G&amp;A- Travel Expenses:</v>
      </c>
      <c r="W17" s="19" t="str">
        <f t="shared" si="6"/>
        <v>Ground Transportation</v>
      </c>
      <c r="X17" s="19" t="str">
        <f t="shared" si="7"/>
        <v>General &amp; Administrative:G&amp;A- Travel Expenses:Ground Transportation</v>
      </c>
      <c r="Y17" s="20" t="str">
        <f>IF(ISBLANK($M17),IFERROR(_xlfn.XLOOKUP($P17,'Department Listing'!$A:$A,'Department Listing'!$L:$L),""),$M17)</f>
        <v>300- ServiceNow:320- Engineering</v>
      </c>
      <c r="Z17" s="11">
        <f>IF(ISBLANK($B17),"",MATCH($X17,COA!$B:$B,0))</f>
        <v>149</v>
      </c>
      <c r="AA17" s="11"/>
      <c r="AB17" s="11"/>
      <c r="AC17" s="11"/>
      <c r="AD17" s="11"/>
    </row>
    <row r="18" spans="2:30" ht="15.75" customHeight="1" x14ac:dyDescent="0.25">
      <c r="B18" s="14">
        <v>46233</v>
      </c>
      <c r="C18" s="15" t="s">
        <v>93</v>
      </c>
      <c r="D18" s="15"/>
      <c r="E18" s="15"/>
      <c r="F18" s="16">
        <v>16.03</v>
      </c>
      <c r="H18" s="10"/>
      <c r="I18" s="9" t="s">
        <v>37</v>
      </c>
      <c r="J18" s="9"/>
      <c r="K18" s="9"/>
      <c r="L18" s="9" t="s">
        <v>94</v>
      </c>
      <c r="M18" s="9"/>
      <c r="N18" s="17"/>
      <c r="O18" s="17" t="str">
        <f t="shared" si="0"/>
        <v>Matt Hyman</v>
      </c>
      <c r="P18" s="17">
        <f>IFERROR(_xlfn.XLOOKUP(O18,'Department Listing'!$O$1:$O$395,'Department Listing'!$A$1:$A$395),IFERROR(_xlfn.XLOOKUP(O18,'Name Aliases'!$A$2:$A$1000,'Name Aliases'!$B$2:$B$1000),""))</f>
        <v>24</v>
      </c>
      <c r="Q18" s="18">
        <f t="shared" si="1"/>
        <v>46233</v>
      </c>
      <c r="R18" s="21" t="str">
        <f t="shared" si="2"/>
        <v>Office Vendor</v>
      </c>
      <c r="S18" s="19">
        <f t="shared" si="3"/>
        <v>16.03</v>
      </c>
      <c r="T18" s="17" t="str">
        <f t="shared" si="4"/>
        <v>Audible*M65CI3K63 MASTERCARD-XXXXXX0V96UI-Matt Hyman</v>
      </c>
      <c r="U18" s="17" t="str">
        <f t="shared" si="5"/>
        <v>Brex Credit Card</v>
      </c>
      <c r="V18" s="19" t="str">
        <f>IF(ISBLANK($B18),"",IF(ISBLANK($K18),IF(_xlfn.XLOOKUP($W18,'Category Mapping'!$C:$C,'Category Mapping'!$B:$B)="Travel",_xlfn.XLOOKUP($P18,'Department Listing'!$A:$A,'Department Listing'!$M:$M),_xlfn.XLOOKUP($W18,'Category Mapping'!$C:$C,'Category Mapping'!$D:$D)),$K18))</f>
        <v>General &amp; Administrative:Office Expenses:</v>
      </c>
      <c r="W18" s="19" t="str">
        <f t="shared" si="6"/>
        <v>Dues &amp; Subscriptions</v>
      </c>
      <c r="X18" s="19" t="str">
        <f t="shared" si="7"/>
        <v>General &amp; Administrative:Office Expenses:Dues &amp; Subscriptions</v>
      </c>
      <c r="Y18" s="20" t="str">
        <f>IF(ISBLANK($M18),IFERROR(_xlfn.XLOOKUP($P18,'Department Listing'!$A:$A,'Department Listing'!$L:$L),""),$M18)</f>
        <v>300- ServiceNow:330- Sales</v>
      </c>
      <c r="Z18" s="11">
        <f>IF(ISBLANK($B18),"",MATCH($X18,COA!$B:$B,0))</f>
        <v>159</v>
      </c>
      <c r="AA18" s="11"/>
      <c r="AB18" s="11"/>
      <c r="AC18" s="11"/>
      <c r="AD18" s="11"/>
    </row>
    <row r="19" spans="2:30" ht="15.75" customHeight="1" x14ac:dyDescent="0.25">
      <c r="B19" s="14">
        <v>46233</v>
      </c>
      <c r="C19" s="15" t="s">
        <v>96</v>
      </c>
      <c r="D19" s="15"/>
      <c r="E19" s="15" t="s">
        <v>64</v>
      </c>
      <c r="F19" s="16">
        <v>16.98</v>
      </c>
      <c r="H19" s="10"/>
      <c r="I19" s="9" t="s">
        <v>74</v>
      </c>
      <c r="J19" s="9"/>
      <c r="K19" s="9"/>
      <c r="L19" s="9" t="s">
        <v>66</v>
      </c>
      <c r="M19" s="9"/>
      <c r="N19" s="17"/>
      <c r="O19" s="17" t="str">
        <f t="shared" si="0"/>
        <v>Jonathan Stricklin</v>
      </c>
      <c r="P19" s="17">
        <f>IFERROR(_xlfn.XLOOKUP(O19,'Department Listing'!$O$1:$O$395,'Department Listing'!$A$1:$A$395),IFERROR(_xlfn.XLOOKUP(O19,'Name Aliases'!$A$2:$A$1000,'Name Aliases'!$B$2:$B$1000),""))</f>
        <v>167</v>
      </c>
      <c r="Q19" s="18">
        <f t="shared" si="1"/>
        <v>46233</v>
      </c>
      <c r="R19" s="21" t="str">
        <f t="shared" si="2"/>
        <v>Uber</v>
      </c>
      <c r="S19" s="19">
        <f t="shared" si="3"/>
        <v>16.98</v>
      </c>
      <c r="T19" s="17" t="str">
        <f t="shared" si="4"/>
        <v>UBER   *TRIP MASTERCARD-XXXXXXUI2GZ4-Jonathan Stricklin</v>
      </c>
      <c r="U19" s="17" t="str">
        <f t="shared" si="5"/>
        <v>Brex Credit Card</v>
      </c>
      <c r="V19" s="19" t="str">
        <f>IF(ISBLANK($B19),"",IF(ISBLANK($K19),IF(_xlfn.XLOOKUP($W19,'Category Mapping'!$C:$C,'Category Mapping'!$B:$B)="Travel",_xlfn.XLOOKUP($P19,'Department Listing'!$A:$A,'Department Listing'!$M:$M),_xlfn.XLOOKUP($W19,'Category Mapping'!$C:$C,'Category Mapping'!$D:$D)),$K19))</f>
        <v>Cost of Goods Sold:COGS- Travel Expenses:</v>
      </c>
      <c r="W19" s="19" t="str">
        <f t="shared" si="6"/>
        <v>Ground Transportation</v>
      </c>
      <c r="X19" s="19" t="str">
        <f t="shared" si="7"/>
        <v>Cost of Goods Sold:COGS- Travel Expenses:Ground Transportation</v>
      </c>
      <c r="Y19" s="20" t="str">
        <f>IF(ISBLANK($M19),IFERROR(_xlfn.XLOOKUP($P19,'Department Listing'!$A:$A,'Department Listing'!$L:$L),""),$M19)</f>
        <v>300- ServiceNow:320- Engineering</v>
      </c>
      <c r="Z19" s="11">
        <f>IF(ISBLANK($B19),"",MATCH($X19,COA!$B:$B,0))</f>
        <v>124</v>
      </c>
      <c r="AA19" s="11"/>
      <c r="AB19" s="11"/>
      <c r="AC19" s="11"/>
      <c r="AD19" s="11"/>
    </row>
    <row r="20" spans="2:30" ht="15.75" customHeight="1" x14ac:dyDescent="0.25">
      <c r="B20" s="14">
        <v>46233</v>
      </c>
      <c r="C20" s="15" t="s">
        <v>97</v>
      </c>
      <c r="D20" s="15"/>
      <c r="E20" s="15" t="s">
        <v>76</v>
      </c>
      <c r="F20" s="16">
        <v>8049.24</v>
      </c>
      <c r="H20" s="10"/>
      <c r="I20" s="9" t="s">
        <v>36</v>
      </c>
      <c r="J20" s="9"/>
      <c r="K20" s="9"/>
      <c r="L20" s="9" t="s">
        <v>78</v>
      </c>
      <c r="M20" s="9"/>
      <c r="N20" s="17"/>
      <c r="O20" s="17" t="str">
        <f t="shared" si="0"/>
        <v>Mickenzi Krpec</v>
      </c>
      <c r="P20" s="17">
        <f>IFERROR(_xlfn.XLOOKUP(O20,'Department Listing'!$O$1:$O$395,'Department Listing'!$A$1:$A$395),IFERROR(_xlfn.XLOOKUP(O20,'Name Aliases'!$A$2:$A$1000,'Name Aliases'!$B$2:$B$1000),""))</f>
        <v>170</v>
      </c>
      <c r="Q20" s="18">
        <f t="shared" si="1"/>
        <v>46233</v>
      </c>
      <c r="R20" s="21" t="str">
        <f t="shared" si="2"/>
        <v>Food Vendor</v>
      </c>
      <c r="S20" s="19">
        <f t="shared" si="3"/>
        <v>8049.24</v>
      </c>
      <c r="T20" s="17" t="str">
        <f t="shared" si="4"/>
        <v>TST*SRV - BOSTON MASTERCARD-XXXXXXNLBUC5-Mickenzi Krpec</v>
      </c>
      <c r="U20" s="17" t="str">
        <f t="shared" si="5"/>
        <v>Brex Credit Card</v>
      </c>
      <c r="V20" s="19" t="str">
        <f>IF(ISBLANK($B20),"",IF(ISBLANK($K20),IF(_xlfn.XLOOKUP($W20,'Category Mapping'!$C:$C,'Category Mapping'!$B:$B)="Travel",_xlfn.XLOOKUP($P20,'Department Listing'!$A:$A,'Department Listing'!$M:$M),_xlfn.XLOOKUP($W20,'Category Mapping'!$C:$C,'Category Mapping'!$D:$D)),$K20))</f>
        <v>General &amp; Administrative:G&amp;A- Travel Expenses:</v>
      </c>
      <c r="W20" s="19" t="str">
        <f t="shared" si="6"/>
        <v>Meals &amp; Entertainment</v>
      </c>
      <c r="X20" s="19" t="str">
        <f t="shared" si="7"/>
        <v>General &amp; Administrative:G&amp;A- Travel Expenses:Meals &amp; Entertainment</v>
      </c>
      <c r="Y20" s="20" t="str">
        <f>IF(ISBLANK($M20),IFERROR(_xlfn.XLOOKUP($P20,'Department Listing'!$A:$A,'Department Listing'!$L:$L),""),$M20)</f>
        <v>100- Operations:110- G&amp;A</v>
      </c>
      <c r="Z20" s="11">
        <f>IF(ISBLANK($B20),"",MATCH($X20,COA!$B:$B,0))</f>
        <v>151</v>
      </c>
      <c r="AA20" s="11"/>
      <c r="AB20" s="11"/>
      <c r="AC20" s="11"/>
      <c r="AD20" s="11"/>
    </row>
    <row r="21" spans="2:30" ht="15.75" customHeight="1" x14ac:dyDescent="0.25">
      <c r="B21" s="14">
        <v>46233</v>
      </c>
      <c r="C21" s="15" t="s">
        <v>99</v>
      </c>
      <c r="D21" s="15"/>
      <c r="E21" s="15" t="s">
        <v>76</v>
      </c>
      <c r="F21" s="16">
        <v>37.82</v>
      </c>
      <c r="H21" s="10"/>
      <c r="I21" s="9" t="s">
        <v>77</v>
      </c>
      <c r="J21" s="9"/>
      <c r="K21" s="9"/>
      <c r="L21" s="9" t="s">
        <v>78</v>
      </c>
      <c r="M21" s="9"/>
      <c r="N21" s="17"/>
      <c r="O21" s="17" t="str">
        <f t="shared" si="0"/>
        <v>Matt Hyman</v>
      </c>
      <c r="P21" s="17">
        <f>IFERROR(_xlfn.XLOOKUP(O21,'Department Listing'!$O$1:$O$395,'Department Listing'!$A$1:$A$395),IFERROR(_xlfn.XLOOKUP(O21,'Name Aliases'!$A$2:$A$1000,'Name Aliases'!$B$2:$B$1000),""))</f>
        <v>24</v>
      </c>
      <c r="Q21" s="18">
        <f t="shared" si="1"/>
        <v>46233</v>
      </c>
      <c r="R21" s="21" t="str">
        <f t="shared" si="2"/>
        <v>Sweeney's</v>
      </c>
      <c r="S21" s="19">
        <f t="shared" si="3"/>
        <v>37.82</v>
      </c>
      <c r="T21" s="17" t="str">
        <f t="shared" si="4"/>
        <v>TST*SWEENEYS MASTERCARD-XXXXXX282FVU-Matt Hyman</v>
      </c>
      <c r="U21" s="17" t="str">
        <f t="shared" si="5"/>
        <v>Brex Credit Card</v>
      </c>
      <c r="V21" s="19" t="str">
        <f>IF(ISBLANK($B21),"",IF(ISBLANK($K21),IF(_xlfn.XLOOKUP($W21,'Category Mapping'!$C:$C,'Category Mapping'!$B:$B)="Travel",_xlfn.XLOOKUP($P21,'Department Listing'!$A:$A,'Department Listing'!$M:$M),_xlfn.XLOOKUP($W21,'Category Mapping'!$C:$C,'Category Mapping'!$D:$D)),$K21))</f>
        <v>Sales &amp; Marketing:Sales &amp; Marketing- Travel Expenses:</v>
      </c>
      <c r="W21" s="19" t="str">
        <f t="shared" si="6"/>
        <v>Meals &amp; Entertainment</v>
      </c>
      <c r="X21" s="19" t="str">
        <f t="shared" si="7"/>
        <v>Sales &amp; Marketing:Sales &amp; Marketing- Travel Expenses:Meals &amp; Entertainment</v>
      </c>
      <c r="Y21" s="20" t="str">
        <f>IF(ISBLANK($M21),IFERROR(_xlfn.XLOOKUP($P21,'Department Listing'!$A:$A,'Department Listing'!$L:$L),""),$M21)</f>
        <v>300- ServiceNow:330- Sales</v>
      </c>
      <c r="Z21" s="11">
        <f>IF(ISBLANK($B21),"",MATCH($X21,COA!$B:$B,0))</f>
        <v>202</v>
      </c>
      <c r="AA21" s="11"/>
      <c r="AB21" s="11"/>
      <c r="AC21" s="11"/>
      <c r="AD21" s="11"/>
    </row>
    <row r="22" spans="2:30" ht="15.75" customHeight="1" x14ac:dyDescent="0.25">
      <c r="B22" s="14">
        <v>46233</v>
      </c>
      <c r="C22" s="15" t="s">
        <v>100</v>
      </c>
      <c r="D22" s="15"/>
      <c r="E22" s="15" t="s">
        <v>64</v>
      </c>
      <c r="F22" s="16">
        <v>35.96</v>
      </c>
      <c r="H22" s="10"/>
      <c r="I22" s="9" t="s">
        <v>74</v>
      </c>
      <c r="J22" s="9"/>
      <c r="K22" s="9"/>
      <c r="L22" s="9" t="s">
        <v>66</v>
      </c>
      <c r="M22" s="22"/>
      <c r="N22" s="17"/>
      <c r="O22" s="17" t="str">
        <f t="shared" si="0"/>
        <v>Saurabh Premraj</v>
      </c>
      <c r="P22" s="17">
        <f>IFERROR(_xlfn.XLOOKUP(O22,'Department Listing'!$O$1:$O$395,'Department Listing'!$A$1:$A$395),IFERROR(_xlfn.XLOOKUP(O22,'Name Aliases'!$A$2:$A$1000,'Name Aliases'!$B$2:$B$1000),""))</f>
        <v>199</v>
      </c>
      <c r="Q22" s="18">
        <f t="shared" si="1"/>
        <v>46233</v>
      </c>
      <c r="R22" s="21" t="str">
        <f t="shared" si="2"/>
        <v>Uber</v>
      </c>
      <c r="S22" s="19">
        <f t="shared" si="3"/>
        <v>35.96</v>
      </c>
      <c r="T22" s="17" t="str">
        <f t="shared" si="4"/>
        <v>UBER   *TRIP MASTERCARD-XXXXXX7O5SL0-Saurabh Premraj</v>
      </c>
      <c r="U22" s="17" t="str">
        <f t="shared" si="5"/>
        <v>Brex Credit Card</v>
      </c>
      <c r="V22" s="19" t="str">
        <f>IF(ISBLANK($B22),"",IF(ISBLANK($K22),IF(_xlfn.XLOOKUP($W22,'Category Mapping'!$C:$C,'Category Mapping'!$B:$B)="Travel",_xlfn.XLOOKUP($P22,'Department Listing'!$A:$A,'Department Listing'!$M:$M),_xlfn.XLOOKUP($W22,'Category Mapping'!$C:$C,'Category Mapping'!$D:$D)),$K22))</f>
        <v>Cost of Goods Sold:COGS- Travel Expenses:</v>
      </c>
      <c r="W22" s="19" t="str">
        <f t="shared" si="6"/>
        <v>Ground Transportation</v>
      </c>
      <c r="X22" s="19" t="str">
        <f t="shared" si="7"/>
        <v>Cost of Goods Sold:COGS- Travel Expenses:Ground Transportation</v>
      </c>
      <c r="Y22" s="20" t="str">
        <f>IF(ISBLANK($M22),IFERROR(_xlfn.XLOOKUP($P22,'Department Listing'!$A:$A,'Department Listing'!$L:$L),""),$M22)</f>
        <v>200- Datadog:220- Engineering</v>
      </c>
      <c r="Z22" s="11">
        <f>IF(ISBLANK($B22),"",MATCH($X22,COA!$B:$B,0))</f>
        <v>124</v>
      </c>
      <c r="AA22" s="11"/>
      <c r="AB22" s="11"/>
      <c r="AC22" s="11"/>
      <c r="AD22" s="11"/>
    </row>
    <row r="23" spans="2:30" ht="15.75" customHeight="1" x14ac:dyDescent="0.25">
      <c r="B23" s="14">
        <v>46233</v>
      </c>
      <c r="C23" s="15" t="s">
        <v>101</v>
      </c>
      <c r="D23" s="15"/>
      <c r="E23" s="15" t="s">
        <v>64</v>
      </c>
      <c r="F23" s="16">
        <v>28.99</v>
      </c>
      <c r="H23" s="10"/>
      <c r="I23" s="9" t="s">
        <v>74</v>
      </c>
      <c r="J23" s="9"/>
      <c r="K23" s="9"/>
      <c r="L23" s="9" t="s">
        <v>66</v>
      </c>
      <c r="M23" s="9"/>
      <c r="N23" s="17"/>
      <c r="O23" s="17" t="str">
        <f t="shared" si="0"/>
        <v>Zayn Moselhy</v>
      </c>
      <c r="P23" s="17">
        <f>IFERROR(_xlfn.XLOOKUP(O23,'Department Listing'!$O$1:$O$395,'Department Listing'!$A$1:$A$395),IFERROR(_xlfn.XLOOKUP(O23,'Name Aliases'!$A$2:$A$1000,'Name Aliases'!$B$2:$B$1000),""))</f>
        <v>184</v>
      </c>
      <c r="Q23" s="18">
        <f t="shared" si="1"/>
        <v>46233</v>
      </c>
      <c r="R23" s="21" t="str">
        <f t="shared" si="2"/>
        <v>Uber</v>
      </c>
      <c r="S23" s="19">
        <f t="shared" si="3"/>
        <v>28.99</v>
      </c>
      <c r="T23" s="17" t="str">
        <f t="shared" si="4"/>
        <v>UBER   *TRIP MASTERCARD-XXXXXXQ0RO6W-Zayn Moselhy</v>
      </c>
      <c r="U23" s="17" t="str">
        <f t="shared" si="5"/>
        <v>Brex Credit Card</v>
      </c>
      <c r="V23" s="19" t="str">
        <f>IF(ISBLANK($B23),"",IF(ISBLANK($K23),IF(_xlfn.XLOOKUP($W23,'Category Mapping'!$C:$C,'Category Mapping'!$B:$B)="Travel",_xlfn.XLOOKUP($P23,'Department Listing'!$A:$A,'Department Listing'!$M:$M),_xlfn.XLOOKUP($W23,'Category Mapping'!$C:$C,'Category Mapping'!$D:$D)),$K23))</f>
        <v>General &amp; Administrative:G&amp;A- Travel Expenses:</v>
      </c>
      <c r="W23" s="19" t="str">
        <f t="shared" si="6"/>
        <v>Ground Transportation</v>
      </c>
      <c r="X23" s="19" t="str">
        <f t="shared" si="7"/>
        <v>General &amp; Administrative:G&amp;A- Travel Expenses:Ground Transportation</v>
      </c>
      <c r="Y23" s="20" t="str">
        <f>IF(ISBLANK($M23),IFERROR(_xlfn.XLOOKUP($P23,'Department Listing'!$A:$A,'Department Listing'!$L:$L),""),$M23)</f>
        <v>100- Operations:110- G&amp;A</v>
      </c>
      <c r="Z23" s="11">
        <f>IF(ISBLANK($B23),"",MATCH($X23,COA!$B:$B,0))</f>
        <v>149</v>
      </c>
      <c r="AA23" s="11"/>
      <c r="AB23" s="11"/>
      <c r="AC23" s="11"/>
      <c r="AD23" s="11"/>
    </row>
    <row r="24" spans="2:30" ht="15.75" customHeight="1" x14ac:dyDescent="0.25">
      <c r="B24" s="14">
        <v>46233</v>
      </c>
      <c r="C24" s="15" t="s">
        <v>102</v>
      </c>
      <c r="D24" s="15"/>
      <c r="E24" s="15" t="s">
        <v>64</v>
      </c>
      <c r="F24" s="16">
        <v>55.91</v>
      </c>
      <c r="H24" s="10"/>
      <c r="I24" s="9" t="s">
        <v>92</v>
      </c>
      <c r="J24" s="9"/>
      <c r="K24" s="9"/>
      <c r="L24" s="9" t="s">
        <v>66</v>
      </c>
      <c r="M24" s="9"/>
      <c r="N24" s="17"/>
      <c r="O24" s="17" t="str">
        <f t="shared" si="0"/>
        <v>Patrick Donovan</v>
      </c>
      <c r="P24" s="17">
        <f>IFERROR(_xlfn.XLOOKUP(O24,'Department Listing'!$O$1:$O$395,'Department Listing'!$A$1:$A$395),IFERROR(_xlfn.XLOOKUP(O24,'Name Aliases'!$A$2:$A$1000,'Name Aliases'!$B$2:$B$1000),""))</f>
        <v>137</v>
      </c>
      <c r="Q24" s="18">
        <f t="shared" si="1"/>
        <v>46233</v>
      </c>
      <c r="R24" s="21" t="str">
        <f t="shared" si="2"/>
        <v>Lyft</v>
      </c>
      <c r="S24" s="19">
        <f t="shared" si="3"/>
        <v>55.91</v>
      </c>
      <c r="T24" s="17" t="str">
        <f t="shared" si="4"/>
        <v>LYFT   *SCHD STD 07-29 MASTERCARD-XXXXXX1Y2IYE-Patrick Donovan</v>
      </c>
      <c r="U24" s="17" t="str">
        <f t="shared" si="5"/>
        <v>Brex Credit Card</v>
      </c>
      <c r="V24" s="19" t="str">
        <f>IF(ISBLANK($B24),"",IF(ISBLANK($K24),IF(_xlfn.XLOOKUP($W24,'Category Mapping'!$C:$C,'Category Mapping'!$B:$B)="Travel",_xlfn.XLOOKUP($P24,'Department Listing'!$A:$A,'Department Listing'!$M:$M),_xlfn.XLOOKUP($W24,'Category Mapping'!$C:$C,'Category Mapping'!$D:$D)),$K24))</f>
        <v>Cost of Goods Sold:COGS- Travel Expenses:</v>
      </c>
      <c r="W24" s="19" t="str">
        <f t="shared" si="6"/>
        <v>Ground Transportation</v>
      </c>
      <c r="X24" s="19" t="str">
        <f t="shared" si="7"/>
        <v>Cost of Goods Sold:COGS- Travel Expenses:Ground Transportation</v>
      </c>
      <c r="Y24" s="20" t="str">
        <f>IF(ISBLANK($M24),IFERROR(_xlfn.XLOOKUP($P24,'Department Listing'!$A:$A,'Department Listing'!$L:$L),""),$M24)</f>
        <v>200- Datadog:210- Delivery</v>
      </c>
      <c r="Z24" s="11">
        <f>IF(ISBLANK($B24),"",MATCH($X24,COA!$B:$B,0))</f>
        <v>124</v>
      </c>
      <c r="AA24" s="11"/>
      <c r="AB24" s="11"/>
      <c r="AC24" s="11"/>
      <c r="AD24" s="11"/>
    </row>
    <row r="25" spans="2:30" ht="15.75" customHeight="1" x14ac:dyDescent="0.25">
      <c r="B25" s="14">
        <v>46233</v>
      </c>
      <c r="C25" s="15" t="s">
        <v>104</v>
      </c>
      <c r="D25" s="15"/>
      <c r="E25" s="15" t="s">
        <v>64</v>
      </c>
      <c r="F25" s="16">
        <v>25.81</v>
      </c>
      <c r="H25" s="10"/>
      <c r="I25" s="9" t="s">
        <v>74</v>
      </c>
      <c r="J25" s="9"/>
      <c r="K25" s="22"/>
      <c r="L25" s="22" t="s">
        <v>66</v>
      </c>
      <c r="M25" s="22"/>
      <c r="N25" s="17"/>
      <c r="O25" s="17" t="str">
        <f t="shared" si="0"/>
        <v>Frederick Simpson</v>
      </c>
      <c r="P25" s="17">
        <f>IFERROR(_xlfn.XLOOKUP(O25,'Department Listing'!$O$1:$O$395,'Department Listing'!$A$1:$A$395),IFERROR(_xlfn.XLOOKUP(O25,'Name Aliases'!$A$2:$A$1000,'Name Aliases'!$B$2:$B$1000),""))</f>
        <v>177</v>
      </c>
      <c r="Q25" s="18">
        <f t="shared" si="1"/>
        <v>46233</v>
      </c>
      <c r="R25" s="21" t="str">
        <f t="shared" si="2"/>
        <v>Uber</v>
      </c>
      <c r="S25" s="19">
        <f t="shared" si="3"/>
        <v>25.81</v>
      </c>
      <c r="T25" s="17" t="str">
        <f t="shared" si="4"/>
        <v>UBER   *TRIP MASTERCARD-XXXXXXG5H8YM-Frederick Simpson</v>
      </c>
      <c r="U25" s="17" t="str">
        <f t="shared" si="5"/>
        <v>Brex Credit Card</v>
      </c>
      <c r="V25" s="19" t="str">
        <f>IF(ISBLANK($B25),"",IF(ISBLANK($K25),IF(_xlfn.XLOOKUP($W25,'Category Mapping'!$C:$C,'Category Mapping'!$B:$B)="Travel",_xlfn.XLOOKUP($P25,'Department Listing'!$A:$A,'Department Listing'!$M:$M),_xlfn.XLOOKUP($W25,'Category Mapping'!$C:$C,'Category Mapping'!$D:$D)),$K25))</f>
        <v>General &amp; Administrative:G&amp;A- Travel Expenses:</v>
      </c>
      <c r="W25" s="19" t="str">
        <f t="shared" si="6"/>
        <v>Ground Transportation</v>
      </c>
      <c r="X25" s="19" t="str">
        <f t="shared" si="7"/>
        <v>General &amp; Administrative:G&amp;A- Travel Expenses:Ground Transportation</v>
      </c>
      <c r="Y25" s="20" t="str">
        <f>IF(ISBLANK($M25),IFERROR(_xlfn.XLOOKUP($P25,'Department Listing'!$A:$A,'Department Listing'!$L:$L),""),$M25)</f>
        <v>100- Operations:110- G&amp;A</v>
      </c>
      <c r="Z25" s="11">
        <f>IF(ISBLANK($B25),"",MATCH($X25,COA!$B:$B,0))</f>
        <v>149</v>
      </c>
      <c r="AB25" s="11"/>
    </row>
    <row r="26" spans="2:30" ht="15.75" customHeight="1" x14ac:dyDescent="0.25">
      <c r="B26" s="14">
        <v>46233</v>
      </c>
      <c r="C26" s="15" t="s">
        <v>105</v>
      </c>
      <c r="D26" s="15"/>
      <c r="E26" s="15" t="s">
        <v>64</v>
      </c>
      <c r="F26" s="16">
        <v>31.99</v>
      </c>
      <c r="H26" s="10"/>
      <c r="I26" s="9" t="s">
        <v>74</v>
      </c>
      <c r="J26" s="9"/>
      <c r="K26" s="9"/>
      <c r="L26" s="9" t="s">
        <v>66</v>
      </c>
      <c r="M26" s="9"/>
      <c r="N26" s="17"/>
      <c r="O26" s="17" t="str">
        <f t="shared" si="0"/>
        <v>Tyler Grimshaw</v>
      </c>
      <c r="P26" s="17">
        <f>IFERROR(_xlfn.XLOOKUP(O26,'Department Listing'!$O$1:$O$395,'Department Listing'!$A$1:$A$395),IFERROR(_xlfn.XLOOKUP(O26,'Name Aliases'!$A$2:$A$1000,'Name Aliases'!$B$2:$B$1000),""))</f>
        <v>264</v>
      </c>
      <c r="Q26" s="18">
        <f t="shared" si="1"/>
        <v>46233</v>
      </c>
      <c r="R26" s="21" t="str">
        <f t="shared" si="2"/>
        <v>Uber</v>
      </c>
      <c r="S26" s="19">
        <f t="shared" si="3"/>
        <v>31.99</v>
      </c>
      <c r="T26" s="17" t="str">
        <f t="shared" si="4"/>
        <v>UBER   *TRIP MASTERCARD-XXXXXXEGMHWC-Tyler Grimshaw</v>
      </c>
      <c r="U26" s="17" t="str">
        <f t="shared" si="5"/>
        <v>Brex Credit Card</v>
      </c>
      <c r="V26" s="19" t="str">
        <f>IF(ISBLANK($B26),"",IF(ISBLANK($K26),IF(_xlfn.XLOOKUP($W26,'Category Mapping'!$C:$C,'Category Mapping'!$B:$B)="Travel",_xlfn.XLOOKUP($P26,'Department Listing'!$A:$A,'Department Listing'!$M:$M),_xlfn.XLOOKUP($W26,'Category Mapping'!$C:$C,'Category Mapping'!$D:$D)),$K26))</f>
        <v>Sales &amp; Marketing:Sales &amp; Marketing- Travel Expenses:</v>
      </c>
      <c r="W26" s="19" t="str">
        <f t="shared" si="6"/>
        <v>Ground Transportation</v>
      </c>
      <c r="X26" s="19" t="str">
        <f t="shared" si="7"/>
        <v>Sales &amp; Marketing:Sales &amp; Marketing- Travel Expenses:Ground Transportation</v>
      </c>
      <c r="Y26" s="20" t="str">
        <f>IF(ISBLANK($M26),IFERROR(_xlfn.XLOOKUP($P26,'Department Listing'!$A:$A,'Department Listing'!$L:$L),""),$M26)</f>
        <v>200- Datadog:230- Sales</v>
      </c>
      <c r="Z26" s="11">
        <f>IF(ISBLANK($B26),"",MATCH($X26,COA!$B:$B,0))</f>
        <v>200</v>
      </c>
      <c r="AB26" s="11"/>
    </row>
    <row r="27" spans="2:30" ht="15.75" customHeight="1" x14ac:dyDescent="0.25">
      <c r="B27" s="14">
        <v>46233</v>
      </c>
      <c r="C27" s="15" t="s">
        <v>106</v>
      </c>
      <c r="D27" s="15"/>
      <c r="E27" s="15" t="s">
        <v>64</v>
      </c>
      <c r="F27" s="16">
        <v>3</v>
      </c>
      <c r="H27" s="10"/>
      <c r="I27" s="9" t="s">
        <v>74</v>
      </c>
      <c r="J27" s="9"/>
      <c r="K27" s="9"/>
      <c r="L27" s="9" t="s">
        <v>66</v>
      </c>
      <c r="M27" s="22"/>
      <c r="N27" s="17"/>
      <c r="O27" s="17" t="str">
        <f t="shared" si="0"/>
        <v>Toni Manning</v>
      </c>
      <c r="P27" s="17">
        <f>IFERROR(_xlfn.XLOOKUP(O27,'Department Listing'!$O$1:$O$395,'Department Listing'!$A$1:$A$395),IFERROR(_xlfn.XLOOKUP(O27,'Name Aliases'!$A$2:$A$1000,'Name Aliases'!$B$2:$B$1000),""))</f>
        <v>121</v>
      </c>
      <c r="Q27" s="18">
        <f t="shared" si="1"/>
        <v>46233</v>
      </c>
      <c r="R27" s="21" t="str">
        <f t="shared" si="2"/>
        <v>Uber</v>
      </c>
      <c r="S27" s="19">
        <f t="shared" si="3"/>
        <v>3</v>
      </c>
      <c r="T27" s="17" t="str">
        <f t="shared" si="4"/>
        <v>UBER   *TRIP MASTERCARD-XXXXXXR1SOS6-Toni Manning</v>
      </c>
      <c r="U27" s="17" t="str">
        <f t="shared" si="5"/>
        <v>Brex Credit Card</v>
      </c>
      <c r="V27" s="19" t="str">
        <f>IF(ISBLANK($B27),"",IF(ISBLANK($K27),IF(_xlfn.XLOOKUP($W27,'Category Mapping'!$C:$C,'Category Mapping'!$B:$B)="Travel",_xlfn.XLOOKUP($P27,'Department Listing'!$A:$A,'Department Listing'!$M:$M),_xlfn.XLOOKUP($W27,'Category Mapping'!$C:$C,'Category Mapping'!$D:$D)),$K27))</f>
        <v>Sales &amp; Marketing:Sales &amp; Marketing- Travel Expenses:</v>
      </c>
      <c r="W27" s="19" t="str">
        <f t="shared" si="6"/>
        <v>Ground Transportation</v>
      </c>
      <c r="X27" s="19" t="str">
        <f t="shared" si="7"/>
        <v>Sales &amp; Marketing:Sales &amp; Marketing- Travel Expenses:Ground Transportation</v>
      </c>
      <c r="Y27" s="20" t="str">
        <f>IF(ISBLANK($M27),IFERROR(_xlfn.XLOOKUP($P27,'Department Listing'!$A:$A,'Department Listing'!$L:$L),""),$M27)</f>
        <v>100- Operations:120- Marketing</v>
      </c>
      <c r="Z27" s="11">
        <f>IF(ISBLANK($B27),"",MATCH($X27,COA!$B:$B,0))</f>
        <v>200</v>
      </c>
      <c r="AB27" s="11"/>
    </row>
    <row r="28" spans="2:30" ht="15.75" customHeight="1" x14ac:dyDescent="0.25">
      <c r="B28" s="14">
        <v>46233</v>
      </c>
      <c r="C28" s="15" t="s">
        <v>108</v>
      </c>
      <c r="D28" s="15"/>
      <c r="E28" s="15" t="s">
        <v>64</v>
      </c>
      <c r="F28" s="16">
        <v>12.99</v>
      </c>
      <c r="H28" s="10"/>
      <c r="I28" s="9" t="s">
        <v>74</v>
      </c>
      <c r="J28" s="9"/>
      <c r="K28" s="9"/>
      <c r="L28" s="9" t="s">
        <v>66</v>
      </c>
      <c r="M28" s="9"/>
      <c r="N28" s="17"/>
      <c r="O28" s="17" t="str">
        <f t="shared" si="0"/>
        <v>Jackson Donahoe</v>
      </c>
      <c r="P28" s="17">
        <f>IFERROR(_xlfn.XLOOKUP(O28,'Department Listing'!$O$1:$O$395,'Department Listing'!$A$1:$A$395),IFERROR(_xlfn.XLOOKUP(O28,'Name Aliases'!$A$2:$A$1000,'Name Aliases'!$B$2:$B$1000),""))</f>
        <v>143</v>
      </c>
      <c r="Q28" s="18">
        <f t="shared" si="1"/>
        <v>46233</v>
      </c>
      <c r="R28" s="21" t="str">
        <f t="shared" si="2"/>
        <v>Uber</v>
      </c>
      <c r="S28" s="19">
        <f t="shared" si="3"/>
        <v>12.99</v>
      </c>
      <c r="T28" s="17" t="str">
        <f t="shared" si="4"/>
        <v>UBER   *TRIP MASTERCARD-XXXXXXXR4LXN-Jackson Donahoe</v>
      </c>
      <c r="U28" s="17" t="str">
        <f t="shared" si="5"/>
        <v>Brex Credit Card</v>
      </c>
      <c r="V28" s="19" t="str">
        <f>IF(ISBLANK($B28),"",IF(ISBLANK($K28),IF(_xlfn.XLOOKUP($W28,'Category Mapping'!$C:$C,'Category Mapping'!$B:$B)="Travel",_xlfn.XLOOKUP($P28,'Department Listing'!$A:$A,'Department Listing'!$M:$M),_xlfn.XLOOKUP($W28,'Category Mapping'!$C:$C,'Category Mapping'!$D:$D)),$K28))</f>
        <v>Sales &amp; Marketing:Sales &amp; Marketing- Travel Expenses:</v>
      </c>
      <c r="W28" s="19" t="str">
        <f t="shared" si="6"/>
        <v>Ground Transportation</v>
      </c>
      <c r="X28" s="19" t="str">
        <f t="shared" si="7"/>
        <v>Sales &amp; Marketing:Sales &amp; Marketing- Travel Expenses:Ground Transportation</v>
      </c>
      <c r="Y28" s="20" t="str">
        <f>IF(ISBLANK($M28),IFERROR(_xlfn.XLOOKUP($P28,'Department Listing'!$A:$A,'Department Listing'!$L:$L),""),$M28)</f>
        <v>200- Datadog:230- Sales</v>
      </c>
      <c r="Z28" s="11">
        <f>IF(ISBLANK($B28),"",MATCH($X28,COA!$B:$B,0))</f>
        <v>200</v>
      </c>
      <c r="AB28" s="11"/>
    </row>
    <row r="29" spans="2:30" ht="15.75" customHeight="1" x14ac:dyDescent="0.25">
      <c r="B29" s="14">
        <v>46233</v>
      </c>
      <c r="C29" s="15" t="s">
        <v>109</v>
      </c>
      <c r="D29" s="15"/>
      <c r="E29" s="15" t="s">
        <v>64</v>
      </c>
      <c r="F29" s="16">
        <v>24.97</v>
      </c>
      <c r="H29" s="10"/>
      <c r="I29" s="9" t="s">
        <v>74</v>
      </c>
      <c r="J29" s="9"/>
      <c r="K29" s="9"/>
      <c r="L29" s="9" t="s">
        <v>66</v>
      </c>
      <c r="M29" s="9"/>
      <c r="N29" s="17"/>
      <c r="O29" s="17" t="str">
        <f t="shared" si="0"/>
        <v>Robert Kolosky</v>
      </c>
      <c r="P29" s="17">
        <f>IFERROR(_xlfn.XLOOKUP(O29,'Department Listing'!$O$1:$O$395,'Department Listing'!$A$1:$A$395),IFERROR(_xlfn.XLOOKUP(O29,'Name Aliases'!$A$2:$A$1000,'Name Aliases'!$B$2:$B$1000),""))</f>
        <v>91</v>
      </c>
      <c r="Q29" s="18">
        <f t="shared" si="1"/>
        <v>46233</v>
      </c>
      <c r="R29" s="21" t="str">
        <f t="shared" si="2"/>
        <v>Uber</v>
      </c>
      <c r="S29" s="19">
        <f t="shared" si="3"/>
        <v>24.97</v>
      </c>
      <c r="T29" s="17" t="str">
        <f t="shared" si="4"/>
        <v>UBER   *TRIP MASTERCARD-XXXXXXWBKXK9-Robert Kolosky</v>
      </c>
      <c r="U29" s="17" t="str">
        <f t="shared" si="5"/>
        <v>Brex Credit Card</v>
      </c>
      <c r="V29" s="19" t="str">
        <f>IF(ISBLANK($B29),"",IF(ISBLANK($K29),IF(_xlfn.XLOOKUP($W29,'Category Mapping'!$C:$C,'Category Mapping'!$B:$B)="Travel",_xlfn.XLOOKUP($P29,'Department Listing'!$A:$A,'Department Listing'!$M:$M),_xlfn.XLOOKUP($W29,'Category Mapping'!$C:$C,'Category Mapping'!$D:$D)),$K29))</f>
        <v>Cost of Goods Sold:COGS- Travel Expenses:</v>
      </c>
      <c r="W29" s="19" t="str">
        <f t="shared" si="6"/>
        <v>Ground Transportation</v>
      </c>
      <c r="X29" s="19" t="str">
        <f t="shared" si="7"/>
        <v>Cost of Goods Sold:COGS- Travel Expenses:Ground Transportation</v>
      </c>
      <c r="Y29" s="20" t="str">
        <f>IF(ISBLANK($M29),IFERROR(_xlfn.XLOOKUP($P29,'Department Listing'!$A:$A,'Department Listing'!$L:$L),""),$M29)</f>
        <v>300- ServiceNow:320- Engineering</v>
      </c>
      <c r="Z29" s="11">
        <f>IF(ISBLANK($B29),"",MATCH($X29,COA!$B:$B,0))</f>
        <v>124</v>
      </c>
      <c r="AB29" s="11"/>
    </row>
    <row r="30" spans="2:30" ht="15.75" customHeight="1" x14ac:dyDescent="0.25">
      <c r="B30" s="14">
        <v>46233</v>
      </c>
      <c r="C30" s="15" t="s">
        <v>110</v>
      </c>
      <c r="D30" s="15"/>
      <c r="E30" s="15" t="s">
        <v>64</v>
      </c>
      <c r="F30" s="16">
        <v>28.98</v>
      </c>
      <c r="H30" s="10"/>
      <c r="I30" s="9" t="s">
        <v>74</v>
      </c>
      <c r="J30" s="9"/>
      <c r="K30" s="9"/>
      <c r="L30" s="9" t="s">
        <v>66</v>
      </c>
      <c r="M30" s="9"/>
      <c r="N30" s="17"/>
      <c r="O30" s="17" t="str">
        <f t="shared" si="0"/>
        <v>Jonathan Stricklin</v>
      </c>
      <c r="P30" s="17">
        <f>IFERROR(_xlfn.XLOOKUP(O30,'Department Listing'!$O$1:$O$395,'Department Listing'!$A$1:$A$395),IFERROR(_xlfn.XLOOKUP(O30,'Name Aliases'!$A$2:$A$1000,'Name Aliases'!$B$2:$B$1000),""))</f>
        <v>167</v>
      </c>
      <c r="Q30" s="18">
        <f t="shared" si="1"/>
        <v>46233</v>
      </c>
      <c r="R30" s="21" t="str">
        <f t="shared" si="2"/>
        <v>Uber</v>
      </c>
      <c r="S30" s="19">
        <f t="shared" si="3"/>
        <v>28.98</v>
      </c>
      <c r="T30" s="17" t="str">
        <f t="shared" si="4"/>
        <v>UBER   *TRIP MASTERCARD-XXXXXXLK316L-Jonathan Stricklin</v>
      </c>
      <c r="U30" s="17" t="str">
        <f t="shared" si="5"/>
        <v>Brex Credit Card</v>
      </c>
      <c r="V30" s="19" t="str">
        <f>IF(ISBLANK($B30),"",IF(ISBLANK($K30),IF(_xlfn.XLOOKUP($W30,'Category Mapping'!$C:$C,'Category Mapping'!$B:$B)="Travel",_xlfn.XLOOKUP($P30,'Department Listing'!$A:$A,'Department Listing'!$M:$M),_xlfn.XLOOKUP($W30,'Category Mapping'!$C:$C,'Category Mapping'!$D:$D)),$K30))</f>
        <v>Cost of Goods Sold:COGS- Travel Expenses:</v>
      </c>
      <c r="W30" s="19" t="str">
        <f t="shared" si="6"/>
        <v>Ground Transportation</v>
      </c>
      <c r="X30" s="19" t="str">
        <f t="shared" si="7"/>
        <v>Cost of Goods Sold:COGS- Travel Expenses:Ground Transportation</v>
      </c>
      <c r="Y30" s="20" t="str">
        <f>IF(ISBLANK($M30),IFERROR(_xlfn.XLOOKUP($P30,'Department Listing'!$A:$A,'Department Listing'!$L:$L),""),$M30)</f>
        <v>300- ServiceNow:320- Engineering</v>
      </c>
      <c r="Z30" s="11">
        <f>IF(ISBLANK($B30),"",MATCH($X30,COA!$B:$B,0))</f>
        <v>124</v>
      </c>
      <c r="AB30" s="11"/>
    </row>
    <row r="31" spans="2:30" ht="15.75" customHeight="1" x14ac:dyDescent="0.25">
      <c r="B31" s="14">
        <v>46233</v>
      </c>
      <c r="C31" s="15" t="s">
        <v>111</v>
      </c>
      <c r="D31" s="15"/>
      <c r="E31" s="15" t="s">
        <v>64</v>
      </c>
      <c r="F31" s="16">
        <v>12.38</v>
      </c>
      <c r="H31" s="10"/>
      <c r="I31" s="9" t="s">
        <v>74</v>
      </c>
      <c r="J31" s="9"/>
      <c r="K31" s="22"/>
      <c r="L31" s="9" t="s">
        <v>66</v>
      </c>
      <c r="M31" s="22"/>
      <c r="N31" s="17"/>
      <c r="O31" s="17" t="str">
        <f t="shared" si="0"/>
        <v>Tokuya Takahashi</v>
      </c>
      <c r="P31" s="17">
        <f>IFERROR(_xlfn.XLOOKUP(O31,'Department Listing'!$O$1:$O$395,'Department Listing'!$A$1:$A$395),IFERROR(_xlfn.XLOOKUP(O31,'Name Aliases'!$A$2:$A$1000,'Name Aliases'!$B$2:$B$1000),""))</f>
        <v>214</v>
      </c>
      <c r="Q31" s="18">
        <f t="shared" si="1"/>
        <v>46233</v>
      </c>
      <c r="R31" s="21" t="str">
        <f t="shared" si="2"/>
        <v>Uber</v>
      </c>
      <c r="S31" s="19">
        <f t="shared" si="3"/>
        <v>12.38</v>
      </c>
      <c r="T31" s="17" t="str">
        <f t="shared" si="4"/>
        <v>UBER   *TRIP MASTERCARD-XXXXXX0YLSJ6-Tokuya Takahashi</v>
      </c>
      <c r="U31" s="17" t="str">
        <f t="shared" si="5"/>
        <v>Brex Credit Card</v>
      </c>
      <c r="V31" s="19" t="str">
        <f>IF(ISBLANK($B31),"",IF(ISBLANK($K31),IF(_xlfn.XLOOKUP($W31,'Category Mapping'!$C:$C,'Category Mapping'!$B:$B)="Travel",_xlfn.XLOOKUP($P31,'Department Listing'!$A:$A,'Department Listing'!$M:$M),_xlfn.XLOOKUP($W31,'Category Mapping'!$C:$C,'Category Mapping'!$D:$D)),$K31))</f>
        <v>Cost of Goods Sold:COGS- Travel Expenses:</v>
      </c>
      <c r="W31" s="19" t="str">
        <f t="shared" si="6"/>
        <v>Ground Transportation</v>
      </c>
      <c r="X31" s="19" t="str">
        <f t="shared" si="7"/>
        <v>Cost of Goods Sold:COGS- Travel Expenses:Ground Transportation</v>
      </c>
      <c r="Y31" s="20" t="str">
        <f>IF(ISBLANK($M31),IFERROR(_xlfn.XLOOKUP($P31,'Department Listing'!$A:$A,'Department Listing'!$L:$L),""),$M31)</f>
        <v>300- ServiceNow:320- Engineering</v>
      </c>
      <c r="Z31" s="11">
        <f>IF(ISBLANK($B31),"",MATCH($X31,COA!$B:$B,0))</f>
        <v>124</v>
      </c>
      <c r="AB31" s="11"/>
    </row>
    <row r="32" spans="2:30" ht="15.75" customHeight="1" x14ac:dyDescent="0.25">
      <c r="B32" s="14">
        <v>46233</v>
      </c>
      <c r="C32" s="15" t="s">
        <v>112</v>
      </c>
      <c r="D32" s="15"/>
      <c r="E32" s="15" t="s">
        <v>64</v>
      </c>
      <c r="F32" s="16">
        <v>26.22</v>
      </c>
      <c r="H32" s="10"/>
      <c r="I32" s="9" t="s">
        <v>74</v>
      </c>
      <c r="J32" s="9"/>
      <c r="K32" s="9"/>
      <c r="L32" s="9" t="s">
        <v>66</v>
      </c>
      <c r="M32" s="9"/>
      <c r="N32" s="17"/>
      <c r="O32" s="17" t="str">
        <f t="shared" si="0"/>
        <v>Frederick Simpson</v>
      </c>
      <c r="P32" s="17">
        <f>IFERROR(_xlfn.XLOOKUP(O32,'Department Listing'!$O$1:$O$395,'Department Listing'!$A$1:$A$395),IFERROR(_xlfn.XLOOKUP(O32,'Name Aliases'!$A$2:$A$1000,'Name Aliases'!$B$2:$B$1000),""))</f>
        <v>177</v>
      </c>
      <c r="Q32" s="18">
        <f t="shared" si="1"/>
        <v>46233</v>
      </c>
      <c r="R32" s="21" t="str">
        <f t="shared" si="2"/>
        <v>Uber</v>
      </c>
      <c r="S32" s="19">
        <f t="shared" si="3"/>
        <v>26.22</v>
      </c>
      <c r="T32" s="17" t="str">
        <f t="shared" si="4"/>
        <v>UBER   *TRIP MASTERCARD-XXXXXX9HZBAE-Frederick Simpson</v>
      </c>
      <c r="U32" s="17" t="str">
        <f t="shared" si="5"/>
        <v>Brex Credit Card</v>
      </c>
      <c r="V32" s="19" t="str">
        <f>IF(ISBLANK($B32),"",IF(ISBLANK($K32),IF(_xlfn.XLOOKUP($W32,'Category Mapping'!$C:$C,'Category Mapping'!$B:$B)="Travel",_xlfn.XLOOKUP($P32,'Department Listing'!$A:$A,'Department Listing'!$M:$M),_xlfn.XLOOKUP($W32,'Category Mapping'!$C:$C,'Category Mapping'!$D:$D)),$K32))</f>
        <v>General &amp; Administrative:G&amp;A- Travel Expenses:</v>
      </c>
      <c r="W32" s="19" t="str">
        <f t="shared" si="6"/>
        <v>Ground Transportation</v>
      </c>
      <c r="X32" s="19" t="str">
        <f t="shared" si="7"/>
        <v>General &amp; Administrative:G&amp;A- Travel Expenses:Ground Transportation</v>
      </c>
      <c r="Y32" s="20" t="str">
        <f>IF(ISBLANK($M32),IFERROR(_xlfn.XLOOKUP($P32,'Department Listing'!$A:$A,'Department Listing'!$L:$L),""),$M32)</f>
        <v>100- Operations:110- G&amp;A</v>
      </c>
      <c r="Z32" s="11">
        <f>IF(ISBLANK($B32),"",MATCH($X32,COA!$B:$B,0))</f>
        <v>149</v>
      </c>
      <c r="AB32" s="11"/>
    </row>
    <row r="33" spans="2:28" ht="15.75" customHeight="1" x14ac:dyDescent="0.25">
      <c r="B33" s="14">
        <v>46233</v>
      </c>
      <c r="C33" s="15" t="s">
        <v>113</v>
      </c>
      <c r="D33" s="15"/>
      <c r="E33" s="15" t="s">
        <v>76</v>
      </c>
      <c r="F33" s="16">
        <v>62.43</v>
      </c>
      <c r="H33" s="10"/>
      <c r="I33" s="9" t="s">
        <v>36</v>
      </c>
      <c r="J33" s="9"/>
      <c r="K33" s="9"/>
      <c r="L33" s="9" t="s">
        <v>78</v>
      </c>
      <c r="M33" s="9"/>
      <c r="N33" s="17"/>
      <c r="O33" s="17" t="str">
        <f t="shared" si="0"/>
        <v>Mitchell Nethercott</v>
      </c>
      <c r="P33" s="17">
        <f>IFERROR(_xlfn.XLOOKUP(O33,'Department Listing'!$O$1:$O$395,'Department Listing'!$A$1:$A$395),IFERROR(_xlfn.XLOOKUP(O33,'Name Aliases'!$A$2:$A$1000,'Name Aliases'!$B$2:$B$1000),""))</f>
        <v>25</v>
      </c>
      <c r="Q33" s="18">
        <f t="shared" si="1"/>
        <v>46233</v>
      </c>
      <c r="R33" s="21" t="str">
        <f t="shared" si="2"/>
        <v>Food Vendor</v>
      </c>
      <c r="S33" s="19">
        <f t="shared" si="3"/>
        <v>62.43</v>
      </c>
      <c r="T33" s="17" t="str">
        <f t="shared" si="4"/>
        <v>TST* YELLOW DOOR TAQUE MASTERCARD-XXXXXXO4D629-Mitchell Nethercott</v>
      </c>
      <c r="U33" s="17" t="str">
        <f t="shared" si="5"/>
        <v>Brex Credit Card</v>
      </c>
      <c r="V33" s="19" t="str">
        <f>IF(ISBLANK($B33),"",IF(ISBLANK($K33),IF(_xlfn.XLOOKUP($W33,'Category Mapping'!$C:$C,'Category Mapping'!$B:$B)="Travel",_xlfn.XLOOKUP($P33,'Department Listing'!$A:$A,'Department Listing'!$M:$M),_xlfn.XLOOKUP($W33,'Category Mapping'!$C:$C,'Category Mapping'!$D:$D)),$K33))</f>
        <v>Cost of Goods Sold:COGS- Travel Expenses:</v>
      </c>
      <c r="W33" s="19" t="str">
        <f t="shared" si="6"/>
        <v>Meals &amp; Entertainment</v>
      </c>
      <c r="X33" s="19" t="str">
        <f t="shared" si="7"/>
        <v>Cost of Goods Sold:COGS- Travel Expenses:Meals &amp; Entertainment</v>
      </c>
      <c r="Y33" s="20" t="str">
        <f>IF(ISBLANK($M33),IFERROR(_xlfn.XLOOKUP($P33,'Department Listing'!$A:$A,'Department Listing'!$L:$L),""),$M33)</f>
        <v>200- Datadog:220- Engineering</v>
      </c>
      <c r="Z33" s="11">
        <f>IF(ISBLANK($B33),"",MATCH($X33,COA!$B:$B,0))</f>
        <v>126</v>
      </c>
      <c r="AB33" s="11"/>
    </row>
    <row r="34" spans="2:28" ht="15.75" customHeight="1" x14ac:dyDescent="0.25">
      <c r="B34" s="14">
        <v>46233</v>
      </c>
      <c r="C34" s="15" t="s">
        <v>114</v>
      </c>
      <c r="D34" s="15"/>
      <c r="E34" s="15" t="s">
        <v>64</v>
      </c>
      <c r="F34" s="16">
        <v>74.989999999999995</v>
      </c>
      <c r="H34" s="10"/>
      <c r="I34" s="9" t="s">
        <v>74</v>
      </c>
      <c r="J34" s="9"/>
      <c r="K34" s="9"/>
      <c r="L34" s="9" t="s">
        <v>66</v>
      </c>
      <c r="M34" s="9"/>
      <c r="N34" s="17"/>
      <c r="O34" s="17" t="str">
        <f t="shared" si="0"/>
        <v>Alexander Glenn</v>
      </c>
      <c r="P34" s="17">
        <f>IFERROR(_xlfn.XLOOKUP(O34,'Department Listing'!$O$1:$O$395,'Department Listing'!$A$1:$A$395),IFERROR(_xlfn.XLOOKUP(O34,'Name Aliases'!$A$2:$A$1000,'Name Aliases'!$B$2:$B$1000),""))</f>
        <v>34</v>
      </c>
      <c r="Q34" s="18">
        <f t="shared" si="1"/>
        <v>46233</v>
      </c>
      <c r="R34" s="21" t="str">
        <f t="shared" si="2"/>
        <v>Uber</v>
      </c>
      <c r="S34" s="19">
        <f t="shared" si="3"/>
        <v>74.989999999999995</v>
      </c>
      <c r="T34" s="17" t="str">
        <f t="shared" si="4"/>
        <v>UBER   *TRIP MASTERCARD-XXXXXXDRZKHY-Alexander Glenn</v>
      </c>
      <c r="U34" s="17" t="str">
        <f t="shared" si="5"/>
        <v>Brex Credit Card</v>
      </c>
      <c r="V34" s="19" t="str">
        <f>IF(ISBLANK($B34),"",IF(ISBLANK($K34),IF(_xlfn.XLOOKUP($W34,'Category Mapping'!$C:$C,'Category Mapping'!$B:$B)="Travel",_xlfn.XLOOKUP($P34,'Department Listing'!$A:$A,'Department Listing'!$M:$M),_xlfn.XLOOKUP($W34,'Category Mapping'!$C:$C,'Category Mapping'!$D:$D)),$K34))</f>
        <v>Cost of Goods Sold:COGS- Travel Expenses:</v>
      </c>
      <c r="W34" s="19" t="str">
        <f t="shared" si="6"/>
        <v>Ground Transportation</v>
      </c>
      <c r="X34" s="19" t="str">
        <f t="shared" si="7"/>
        <v>Cost of Goods Sold:COGS- Travel Expenses:Ground Transportation</v>
      </c>
      <c r="Y34" s="20" t="str">
        <f>IF(ISBLANK($M34),IFERROR(_xlfn.XLOOKUP($P34,'Department Listing'!$A:$A,'Department Listing'!$L:$L),""),$M34)</f>
        <v>200- Datadog:220- Engineering</v>
      </c>
      <c r="Z34" s="11">
        <f>IF(ISBLANK($B34),"",MATCH($X34,COA!$B:$B,0))</f>
        <v>124</v>
      </c>
      <c r="AB34" s="11"/>
    </row>
    <row r="35" spans="2:28" ht="15.75" customHeight="1" x14ac:dyDescent="0.25">
      <c r="B35" s="14">
        <v>46233</v>
      </c>
      <c r="C35" s="15" t="s">
        <v>115</v>
      </c>
      <c r="D35" s="15"/>
      <c r="E35" s="15" t="s">
        <v>64</v>
      </c>
      <c r="F35" s="16">
        <v>12.94</v>
      </c>
      <c r="H35" s="10"/>
      <c r="I35" s="9" t="s">
        <v>74</v>
      </c>
      <c r="J35" s="9"/>
      <c r="K35" s="9"/>
      <c r="L35" s="9" t="s">
        <v>66</v>
      </c>
      <c r="M35" s="9"/>
      <c r="N35" s="17"/>
      <c r="O35" s="17" t="str">
        <f t="shared" si="0"/>
        <v>Israel Baral</v>
      </c>
      <c r="P35" s="17">
        <f>IFERROR(_xlfn.XLOOKUP(O35,'Department Listing'!$O$1:$O$395,'Department Listing'!$A$1:$A$395),IFERROR(_xlfn.XLOOKUP(O35,'Name Aliases'!$A$2:$A$1000,'Name Aliases'!$B$2:$B$1000),""))</f>
        <v>215</v>
      </c>
      <c r="Q35" s="18">
        <f t="shared" si="1"/>
        <v>46233</v>
      </c>
      <c r="R35" s="21" t="str">
        <f t="shared" si="2"/>
        <v>Uber</v>
      </c>
      <c r="S35" s="19">
        <f t="shared" si="3"/>
        <v>12.94</v>
      </c>
      <c r="T35" s="17" t="str">
        <f t="shared" si="4"/>
        <v>UBER   *TRIP MASTERCARD-XXXXXXPOW1YO-Israel Baral</v>
      </c>
      <c r="U35" s="17" t="str">
        <f t="shared" si="5"/>
        <v>Brex Credit Card</v>
      </c>
      <c r="V35" s="19" t="str">
        <f>IF(ISBLANK($B35),"",IF(ISBLANK($K35),IF(_xlfn.XLOOKUP($W35,'Category Mapping'!$C:$C,'Category Mapping'!$B:$B)="Travel",_xlfn.XLOOKUP($P35,'Department Listing'!$A:$A,'Department Listing'!$M:$M),_xlfn.XLOOKUP($W35,'Category Mapping'!$C:$C,'Category Mapping'!$D:$D)),$K35))</f>
        <v>Cost of Goods Sold:COGS- Travel Expenses:</v>
      </c>
      <c r="W35" s="19" t="str">
        <f t="shared" si="6"/>
        <v>Ground Transportation</v>
      </c>
      <c r="X35" s="19" t="str">
        <f t="shared" si="7"/>
        <v>Cost of Goods Sold:COGS- Travel Expenses:Ground Transportation</v>
      </c>
      <c r="Y35" s="20" t="str">
        <f>IF(ISBLANK($M35),IFERROR(_xlfn.XLOOKUP($P35,'Department Listing'!$A:$A,'Department Listing'!$L:$L),""),$M35)</f>
        <v>300- ServiceNow:320- Engineering</v>
      </c>
      <c r="Z35" s="11">
        <f>IF(ISBLANK($B35),"",MATCH($X35,COA!$B:$B,0))</f>
        <v>124</v>
      </c>
      <c r="AB35" s="11"/>
    </row>
    <row r="36" spans="2:28" ht="15.75" customHeight="1" x14ac:dyDescent="0.25">
      <c r="B36" s="14">
        <v>46233</v>
      </c>
      <c r="C36" s="15" t="s">
        <v>116</v>
      </c>
      <c r="D36" s="15"/>
      <c r="E36" s="15"/>
      <c r="F36" s="16">
        <v>45</v>
      </c>
      <c r="H36" s="10"/>
      <c r="I36" s="9" t="s">
        <v>117</v>
      </c>
      <c r="J36" s="9"/>
      <c r="K36" s="9"/>
      <c r="L36" s="9" t="s">
        <v>66</v>
      </c>
      <c r="M36" s="9"/>
      <c r="N36" s="17"/>
      <c r="O36" s="17" t="str">
        <f t="shared" si="0"/>
        <v>Kevin Ebert</v>
      </c>
      <c r="P36" s="17">
        <f>IFERROR(_xlfn.XLOOKUP(O36,'Department Listing'!$O$1:$O$395,'Department Listing'!$A$1:$A$395),IFERROR(_xlfn.XLOOKUP(O36,'Name Aliases'!$A$2:$A$1000,'Name Aliases'!$B$2:$B$1000),""))</f>
        <v>187</v>
      </c>
      <c r="Q36" s="18">
        <f t="shared" si="1"/>
        <v>46233</v>
      </c>
      <c r="R36" s="21" t="str">
        <f t="shared" si="2"/>
        <v>Back Bay Garage</v>
      </c>
      <c r="S36" s="19">
        <f t="shared" si="3"/>
        <v>45</v>
      </c>
      <c r="T36" s="17" t="str">
        <f t="shared" si="4"/>
        <v>VPNE BackBayGarage MASTERCARD-XXXXXXYNKQQQ-Kevin Ebert</v>
      </c>
      <c r="U36" s="17" t="str">
        <f t="shared" si="5"/>
        <v>Brex Credit Card</v>
      </c>
      <c r="V36" s="19" t="str">
        <f>IF(ISBLANK($B36),"",IF(ISBLANK($K36),IF(_xlfn.XLOOKUP($W36,'Category Mapping'!$C:$C,'Category Mapping'!$B:$B)="Travel",_xlfn.XLOOKUP($P36,'Department Listing'!$A:$A,'Department Listing'!$M:$M),_xlfn.XLOOKUP($W36,'Category Mapping'!$C:$C,'Category Mapping'!$D:$D)),$K36))</f>
        <v>General &amp; Administrative:G&amp;A- Travel Expenses:</v>
      </c>
      <c r="W36" s="19" t="str">
        <f t="shared" si="6"/>
        <v>Ground Transportation</v>
      </c>
      <c r="X36" s="19" t="str">
        <f t="shared" si="7"/>
        <v>General &amp; Administrative:G&amp;A- Travel Expenses:Ground Transportation</v>
      </c>
      <c r="Y36" s="20" t="str">
        <f>IF(ISBLANK($M36),IFERROR(_xlfn.XLOOKUP($P36,'Department Listing'!$A:$A,'Department Listing'!$L:$L),""),$M36)</f>
        <v>100- Operations:110- G&amp;A</v>
      </c>
      <c r="Z36" s="11">
        <f>IF(ISBLANK($B36),"",MATCH($X36,COA!$B:$B,0))</f>
        <v>149</v>
      </c>
      <c r="AB36" s="11"/>
    </row>
    <row r="37" spans="2:28" ht="15.75" customHeight="1" x14ac:dyDescent="0.25">
      <c r="B37" s="14">
        <v>46233</v>
      </c>
      <c r="C37" s="15" t="s">
        <v>118</v>
      </c>
      <c r="D37" s="15"/>
      <c r="E37" s="15" t="s">
        <v>64</v>
      </c>
      <c r="F37" s="16">
        <v>50.48</v>
      </c>
      <c r="H37" s="10"/>
      <c r="I37" s="9" t="s">
        <v>74</v>
      </c>
      <c r="J37" s="9"/>
      <c r="K37" s="9"/>
      <c r="L37" s="9" t="s">
        <v>66</v>
      </c>
      <c r="M37" s="9"/>
      <c r="N37" s="17"/>
      <c r="O37" s="17" t="str">
        <f t="shared" si="0"/>
        <v>Dor Vaknin</v>
      </c>
      <c r="P37" s="17">
        <f>IFERROR(_xlfn.XLOOKUP(O37,'Department Listing'!$O$1:$O$395,'Department Listing'!$A$1:$A$395),IFERROR(_xlfn.XLOOKUP(O37,'Name Aliases'!$A$2:$A$1000,'Name Aliases'!$B$2:$B$1000),""))</f>
        <v>28</v>
      </c>
      <c r="Q37" s="18">
        <f t="shared" si="1"/>
        <v>46233</v>
      </c>
      <c r="R37" s="21" t="str">
        <f t="shared" si="2"/>
        <v>Uber</v>
      </c>
      <c r="S37" s="19">
        <f t="shared" si="3"/>
        <v>50.48</v>
      </c>
      <c r="T37" s="17" t="str">
        <f t="shared" si="4"/>
        <v>UBER   *TRIP MASTERCARD-XXXXXXJ2BIB9-Dor Vaknin</v>
      </c>
      <c r="U37" s="17" t="str">
        <f t="shared" si="5"/>
        <v>Brex Credit Card</v>
      </c>
      <c r="V37" s="19" t="str">
        <f>IF(ISBLANK($B37),"",IF(ISBLANK($K37),IF(_xlfn.XLOOKUP($W37,'Category Mapping'!$C:$C,'Category Mapping'!$B:$B)="Travel",_xlfn.XLOOKUP($P37,'Department Listing'!$A:$A,'Department Listing'!$M:$M),_xlfn.XLOOKUP($W37,'Category Mapping'!$C:$C,'Category Mapping'!$D:$D)),$K37))</f>
        <v>Cost of Goods Sold:COGS- Travel Expenses:</v>
      </c>
      <c r="W37" s="19" t="str">
        <f t="shared" si="6"/>
        <v>Ground Transportation</v>
      </c>
      <c r="X37" s="19" t="str">
        <f t="shared" si="7"/>
        <v>Cost of Goods Sold:COGS- Travel Expenses:Ground Transportation</v>
      </c>
      <c r="Y37" s="20" t="str">
        <f>IF(ISBLANK($M37),IFERROR(_xlfn.XLOOKUP($P37,'Department Listing'!$A:$A,'Department Listing'!$L:$L),""),$M37)</f>
        <v>300- ServiceNow:320- Engineering</v>
      </c>
      <c r="Z37" s="11">
        <f>IF(ISBLANK($B37),"",MATCH($X37,COA!$B:$B,0))</f>
        <v>124</v>
      </c>
      <c r="AB37" s="11"/>
    </row>
    <row r="38" spans="2:28" ht="15.75" customHeight="1" x14ac:dyDescent="0.25">
      <c r="B38" s="14">
        <v>46233</v>
      </c>
      <c r="C38" s="15" t="s">
        <v>120</v>
      </c>
      <c r="D38" s="15"/>
      <c r="E38" s="15" t="s">
        <v>64</v>
      </c>
      <c r="F38" s="16">
        <v>47.98</v>
      </c>
      <c r="H38" s="10"/>
      <c r="I38" s="9" t="s">
        <v>74</v>
      </c>
      <c r="J38" s="9"/>
      <c r="K38" s="9"/>
      <c r="L38" s="9" t="s">
        <v>66</v>
      </c>
      <c r="M38" s="9"/>
      <c r="N38" s="17"/>
      <c r="O38" s="17" t="str">
        <f t="shared" si="0"/>
        <v>Ryan Henrich</v>
      </c>
      <c r="P38" s="17">
        <f>IFERROR(_xlfn.XLOOKUP(O38,'Department Listing'!$O$1:$O$395,'Department Listing'!$A$1:$A$395),IFERROR(_xlfn.XLOOKUP(O38,'Name Aliases'!$A$2:$A$1000,'Name Aliases'!$B$2:$B$1000),""))</f>
        <v>154</v>
      </c>
      <c r="Q38" s="18">
        <f t="shared" si="1"/>
        <v>46233</v>
      </c>
      <c r="R38" s="21" t="str">
        <f t="shared" si="2"/>
        <v>Uber</v>
      </c>
      <c r="S38" s="19">
        <f t="shared" si="3"/>
        <v>47.98</v>
      </c>
      <c r="T38" s="17" t="str">
        <f t="shared" si="4"/>
        <v>UBER   *TRIP MASTERCARD-XXXXXXFKYF9Q-Ryan Henrich</v>
      </c>
      <c r="U38" s="17" t="str">
        <f t="shared" si="5"/>
        <v>Brex Credit Card</v>
      </c>
      <c r="V38" s="19" t="str">
        <f>IF(ISBLANK($B38),"",IF(ISBLANK($K38),IF(_xlfn.XLOOKUP($W38,'Category Mapping'!$C:$C,'Category Mapping'!$B:$B)="Travel",_xlfn.XLOOKUP($P38,'Department Listing'!$A:$A,'Department Listing'!$M:$M),_xlfn.XLOOKUP($W38,'Category Mapping'!$C:$C,'Category Mapping'!$D:$D)),$K38))</f>
        <v>Sales &amp; Marketing:Sales &amp; Marketing- Travel Expenses:</v>
      </c>
      <c r="W38" s="19" t="str">
        <f t="shared" si="6"/>
        <v>Ground Transportation</v>
      </c>
      <c r="X38" s="19" t="str">
        <f t="shared" si="7"/>
        <v>Sales &amp; Marketing:Sales &amp; Marketing- Travel Expenses:Ground Transportation</v>
      </c>
      <c r="Y38" s="20" t="str">
        <f>IF(ISBLANK($M38),IFERROR(_xlfn.XLOOKUP($P38,'Department Listing'!$A:$A,'Department Listing'!$L:$L),""),$M38)</f>
        <v>200- Datadog:230- Sales</v>
      </c>
      <c r="Z38" s="11">
        <f>IF(ISBLANK($B38),"",MATCH($X38,COA!$B:$B,0))</f>
        <v>200</v>
      </c>
      <c r="AB38" s="11"/>
    </row>
    <row r="39" spans="2:28" ht="15.75" customHeight="1" x14ac:dyDescent="0.25">
      <c r="B39" s="14">
        <v>46233</v>
      </c>
      <c r="C39" s="15" t="s">
        <v>122</v>
      </c>
      <c r="D39" s="15"/>
      <c r="E39" s="15" t="s">
        <v>76</v>
      </c>
      <c r="F39" s="16">
        <v>3500</v>
      </c>
      <c r="H39" s="10"/>
      <c r="I39" s="9" t="s">
        <v>36</v>
      </c>
      <c r="J39" s="9"/>
      <c r="K39" s="9"/>
      <c r="L39" s="9" t="s">
        <v>78</v>
      </c>
      <c r="M39" s="9"/>
      <c r="N39" s="17"/>
      <c r="O39" s="17" t="str">
        <f t="shared" si="0"/>
        <v>Mickenzi Krpec</v>
      </c>
      <c r="P39" s="17">
        <f>IFERROR(_xlfn.XLOOKUP(O39,'Department Listing'!$O$1:$O$395,'Department Listing'!$A$1:$A$395),IFERROR(_xlfn.XLOOKUP(O39,'Name Aliases'!$A$2:$A$1000,'Name Aliases'!$B$2:$B$1000),""))</f>
        <v>170</v>
      </c>
      <c r="Q39" s="18">
        <f t="shared" si="1"/>
        <v>46233</v>
      </c>
      <c r="R39" s="21" t="str">
        <f t="shared" si="2"/>
        <v>Food Vendor</v>
      </c>
      <c r="S39" s="19">
        <f t="shared" si="3"/>
        <v>3500</v>
      </c>
      <c r="T39" s="17" t="str">
        <f t="shared" si="4"/>
        <v>TST* YELLOW DOOR TAQUE MASTERCARD-XXXXXXN730G8-Mickenzi Krpec</v>
      </c>
      <c r="U39" s="17" t="str">
        <f t="shared" si="5"/>
        <v>Brex Credit Card</v>
      </c>
      <c r="V39" s="19" t="str">
        <f>IF(ISBLANK($B39),"",IF(ISBLANK($K39),IF(_xlfn.XLOOKUP($W39,'Category Mapping'!$C:$C,'Category Mapping'!$B:$B)="Travel",_xlfn.XLOOKUP($P39,'Department Listing'!$A:$A,'Department Listing'!$M:$M),_xlfn.XLOOKUP($W39,'Category Mapping'!$C:$C,'Category Mapping'!$D:$D)),$K39))</f>
        <v>General &amp; Administrative:G&amp;A- Travel Expenses:</v>
      </c>
      <c r="W39" s="19" t="str">
        <f t="shared" si="6"/>
        <v>Meals &amp; Entertainment</v>
      </c>
      <c r="X39" s="19" t="str">
        <f t="shared" si="7"/>
        <v>General &amp; Administrative:G&amp;A- Travel Expenses:Meals &amp; Entertainment</v>
      </c>
      <c r="Y39" s="20" t="str">
        <f>IF(ISBLANK($M39),IFERROR(_xlfn.XLOOKUP($P39,'Department Listing'!$A:$A,'Department Listing'!$L:$L),""),$M39)</f>
        <v>100- Operations:110- G&amp;A</v>
      </c>
      <c r="Z39" s="11">
        <f>IF(ISBLANK($B39),"",MATCH($X39,COA!$B:$B,0))</f>
        <v>151</v>
      </c>
      <c r="AB39" s="11"/>
    </row>
    <row r="40" spans="2:28" ht="15.75" customHeight="1" x14ac:dyDescent="0.25">
      <c r="B40" s="14">
        <v>46233</v>
      </c>
      <c r="C40" s="15" t="s">
        <v>123</v>
      </c>
      <c r="E40" s="15"/>
      <c r="F40" s="16">
        <v>53.77</v>
      </c>
      <c r="H40" s="10"/>
      <c r="I40" s="9" t="s">
        <v>124</v>
      </c>
      <c r="J40" s="9"/>
      <c r="K40" s="9"/>
      <c r="L40" s="9" t="s">
        <v>78</v>
      </c>
      <c r="M40" s="9"/>
      <c r="N40" s="17"/>
      <c r="O40" s="17" t="str">
        <f t="shared" si="0"/>
        <v>Mickenzi Krpec</v>
      </c>
      <c r="P40" s="17">
        <f>IFERROR(_xlfn.XLOOKUP(O40,'Department Listing'!$O$1:$O$395,'Department Listing'!$A$1:$A$395),IFERROR(_xlfn.XLOOKUP(O40,'Name Aliases'!$A$2:$A$1000,'Name Aliases'!$B$2:$B$1000),""))</f>
        <v>170</v>
      </c>
      <c r="Q40" s="18">
        <f t="shared" si="1"/>
        <v>46233</v>
      </c>
      <c r="R40" s="21" t="str">
        <f t="shared" si="2"/>
        <v>Stop &amp; Shop</v>
      </c>
      <c r="S40" s="19">
        <f t="shared" si="3"/>
        <v>53.77</v>
      </c>
      <c r="T40" s="17" t="str">
        <f t="shared" si="4"/>
        <v>STOP &amp; SHOP 0498 MASTERCARD-XXXXXXGEDZOR-Mickenzi Krpec</v>
      </c>
      <c r="U40" s="17" t="str">
        <f t="shared" si="5"/>
        <v>Brex Credit Card</v>
      </c>
      <c r="V40" s="19" t="str">
        <f>IF(ISBLANK($B40),"",IF(ISBLANK($K40),IF(_xlfn.XLOOKUP($W40,'Category Mapping'!$C:$C,'Category Mapping'!$B:$B)="Travel",_xlfn.XLOOKUP($P40,'Department Listing'!$A:$A,'Department Listing'!$M:$M),_xlfn.XLOOKUP($W40,'Category Mapping'!$C:$C,'Category Mapping'!$D:$D)),$K40))</f>
        <v>General &amp; Administrative:G&amp;A- Travel Expenses:</v>
      </c>
      <c r="W40" s="19" t="str">
        <f t="shared" si="6"/>
        <v>Meals &amp; Entertainment</v>
      </c>
      <c r="X40" s="19" t="str">
        <f t="shared" si="7"/>
        <v>General &amp; Administrative:G&amp;A- Travel Expenses:Meals &amp; Entertainment</v>
      </c>
      <c r="Y40" s="20" t="str">
        <f>IF(ISBLANK($M40),IFERROR(_xlfn.XLOOKUP($P40,'Department Listing'!$A:$A,'Department Listing'!$L:$L),""),$M40)</f>
        <v>100- Operations:110- G&amp;A</v>
      </c>
      <c r="Z40" s="11">
        <f>IF(ISBLANK($B40),"",MATCH($X40,COA!$B:$B,0))</f>
        <v>151</v>
      </c>
      <c r="AB40" s="11"/>
    </row>
    <row r="41" spans="2:28" ht="15.75" customHeight="1" x14ac:dyDescent="0.25">
      <c r="B41" s="14">
        <v>46233</v>
      </c>
      <c r="C41" s="15" t="s">
        <v>125</v>
      </c>
      <c r="D41" s="15"/>
      <c r="E41" s="15" t="s">
        <v>64</v>
      </c>
      <c r="F41" s="16">
        <v>4</v>
      </c>
      <c r="H41" s="10"/>
      <c r="I41" s="9" t="s">
        <v>74</v>
      </c>
      <c r="J41" s="9"/>
      <c r="K41" s="9"/>
      <c r="L41" s="9" t="s">
        <v>66</v>
      </c>
      <c r="M41" s="9"/>
      <c r="N41" s="17"/>
      <c r="O41" s="17" t="str">
        <f t="shared" si="0"/>
        <v>Robert Kolosky</v>
      </c>
      <c r="P41" s="17">
        <f>IFERROR(_xlfn.XLOOKUP(O41,'Department Listing'!$O$1:$O$395,'Department Listing'!$A$1:$A$395),IFERROR(_xlfn.XLOOKUP(O41,'Name Aliases'!$A$2:$A$1000,'Name Aliases'!$B$2:$B$1000),""))</f>
        <v>91</v>
      </c>
      <c r="Q41" s="18">
        <f t="shared" si="1"/>
        <v>46233</v>
      </c>
      <c r="R41" s="17" t="str">
        <f t="shared" si="2"/>
        <v>Uber</v>
      </c>
      <c r="S41" s="19">
        <f t="shared" si="3"/>
        <v>4</v>
      </c>
      <c r="T41" s="17" t="str">
        <f t="shared" si="4"/>
        <v>UBER   *TRIP MASTERCARD-XXXXXXVJL17O-Robert Kolosky</v>
      </c>
      <c r="U41" s="17" t="str">
        <f t="shared" si="5"/>
        <v>Brex Credit Card</v>
      </c>
      <c r="V41" s="19" t="str">
        <f>IF(ISBLANK($B41),"",IF(ISBLANK($K41),IF(_xlfn.XLOOKUP($W41,'Category Mapping'!$C:$C,'Category Mapping'!$B:$B)="Travel",_xlfn.XLOOKUP($P41,'Department Listing'!$A:$A,'Department Listing'!$M:$M),_xlfn.XLOOKUP($W41,'Category Mapping'!$C:$C,'Category Mapping'!$D:$D)),$K41))</f>
        <v>Cost of Goods Sold:COGS- Travel Expenses:</v>
      </c>
      <c r="W41" s="19" t="str">
        <f t="shared" si="6"/>
        <v>Ground Transportation</v>
      </c>
      <c r="X41" s="19" t="str">
        <f t="shared" si="7"/>
        <v>Cost of Goods Sold:COGS- Travel Expenses:Ground Transportation</v>
      </c>
      <c r="Y41" s="20" t="str">
        <f>IF(ISBLANK($M41),IFERROR(_xlfn.XLOOKUP($P41,'Department Listing'!$A:$A,'Department Listing'!$L:$L),""),$M41)</f>
        <v>300- ServiceNow:320- Engineering</v>
      </c>
      <c r="Z41" s="11">
        <f>IF(ISBLANK($B41),"",MATCH($X41,COA!$B:$B,0))</f>
        <v>124</v>
      </c>
      <c r="AB41" s="11"/>
    </row>
    <row r="42" spans="2:28" ht="15.75" customHeight="1" x14ac:dyDescent="0.25">
      <c r="B42" s="14">
        <v>46233</v>
      </c>
      <c r="C42" s="15" t="s">
        <v>126</v>
      </c>
      <c r="E42" s="15"/>
      <c r="F42" s="16">
        <v>668.04</v>
      </c>
      <c r="H42" s="10"/>
      <c r="I42" s="9" t="s">
        <v>37</v>
      </c>
      <c r="J42" s="9"/>
      <c r="K42" s="9"/>
      <c r="L42" s="9" t="s">
        <v>127</v>
      </c>
      <c r="M42" s="9"/>
      <c r="N42" s="17"/>
      <c r="O42" s="17" t="str">
        <f t="shared" si="0"/>
        <v>Mickenzi Krpec</v>
      </c>
      <c r="P42" s="17">
        <f>IFERROR(_xlfn.XLOOKUP(O42,'Department Listing'!$O$1:$O$395,'Department Listing'!$A$1:$A$395),IFERROR(_xlfn.XLOOKUP(O42,'Name Aliases'!$A$2:$A$1000,'Name Aliases'!$B$2:$B$1000),""))</f>
        <v>170</v>
      </c>
      <c r="Q42" s="18">
        <f t="shared" si="1"/>
        <v>46233</v>
      </c>
      <c r="R42" s="17" t="str">
        <f t="shared" si="2"/>
        <v>Office Vendor</v>
      </c>
      <c r="S42" s="19">
        <f t="shared" si="3"/>
        <v>668.04</v>
      </c>
      <c r="T42" s="17" t="str">
        <f t="shared" si="4"/>
        <v>TOTAL WINE AND MORE MASTERCARD-XXXXXXCLM50K-Mickenzi Krpec</v>
      </c>
      <c r="U42" s="17" t="str">
        <f t="shared" si="5"/>
        <v>Brex Credit Card</v>
      </c>
      <c r="V42" s="19" t="str">
        <f>IF(ISBLANK($B42),"",IF(ISBLANK($K42),IF(_xlfn.XLOOKUP($W42,'Category Mapping'!$C:$C,'Category Mapping'!$B:$B)="Travel",_xlfn.XLOOKUP($P42,'Department Listing'!$A:$A,'Department Listing'!$M:$M),_xlfn.XLOOKUP($W42,'Category Mapping'!$C:$C,'Category Mapping'!$D:$D)),$K42))</f>
        <v>General &amp; Administrative:Office Expenses:</v>
      </c>
      <c r="W42" s="19" t="str">
        <f t="shared" si="6"/>
        <v>Office Supplies</v>
      </c>
      <c r="X42" s="19" t="str">
        <f t="shared" si="7"/>
        <v>General &amp; Administrative:Office Expenses:Office Supplies</v>
      </c>
      <c r="Y42" s="20" t="str">
        <f>IF(ISBLANK($M42),IFERROR(_xlfn.XLOOKUP($P42,'Department Listing'!$A:$A,'Department Listing'!$L:$L),""),$M42)</f>
        <v>100- Operations:110- G&amp;A</v>
      </c>
      <c r="Z42" s="11">
        <f>IF(ISBLANK($B42),"",MATCH($X42,COA!$B:$B,0))</f>
        <v>161</v>
      </c>
      <c r="AB42" s="11"/>
    </row>
    <row r="43" spans="2:28" ht="15.75" customHeight="1" x14ac:dyDescent="0.25">
      <c r="B43" s="14">
        <v>46233</v>
      </c>
      <c r="C43" s="15" t="s">
        <v>128</v>
      </c>
      <c r="E43" s="15" t="s">
        <v>64</v>
      </c>
      <c r="F43" s="16">
        <v>49.68</v>
      </c>
      <c r="H43" s="10"/>
      <c r="I43" s="9" t="s">
        <v>74</v>
      </c>
      <c r="J43" s="9"/>
      <c r="K43" s="9"/>
      <c r="L43" s="9" t="s">
        <v>66</v>
      </c>
      <c r="M43" s="9"/>
      <c r="N43" s="17"/>
      <c r="O43" s="17" t="str">
        <f t="shared" si="0"/>
        <v>Jeff Mu</v>
      </c>
      <c r="P43" s="17">
        <f>IFERROR(_xlfn.XLOOKUP(O43,'Department Listing'!$O$1:$O$395,'Department Listing'!$A$1:$A$395),IFERROR(_xlfn.XLOOKUP(O43,'Name Aliases'!$A$2:$A$1000,'Name Aliases'!$B$2:$B$1000),""))</f>
        <v>4</v>
      </c>
      <c r="Q43" s="18">
        <f t="shared" si="1"/>
        <v>46233</v>
      </c>
      <c r="R43" s="17" t="str">
        <f t="shared" si="2"/>
        <v>Uber</v>
      </c>
      <c r="S43" s="19">
        <f t="shared" si="3"/>
        <v>49.68</v>
      </c>
      <c r="T43" s="17" t="str">
        <f t="shared" si="4"/>
        <v>UBER *EATS HELP.UBER.C MASTERCARD-XXXXXXRUTEXJ-Jeff Mu</v>
      </c>
      <c r="U43" s="17" t="str">
        <f t="shared" si="5"/>
        <v>Brex Credit Card</v>
      </c>
      <c r="V43" s="19" t="str">
        <f>IF(ISBLANK($B43),"",IF(ISBLANK($K43),IF(_xlfn.XLOOKUP($W43,'Category Mapping'!$C:$C,'Category Mapping'!$B:$B)="Travel",_xlfn.XLOOKUP($P43,'Department Listing'!$A:$A,'Department Listing'!$M:$M),_xlfn.XLOOKUP($W43,'Category Mapping'!$C:$C,'Category Mapping'!$D:$D)),$K43))</f>
        <v>Cost of Goods Sold:COGS- Travel Expenses:</v>
      </c>
      <c r="W43" s="19" t="str">
        <f t="shared" si="6"/>
        <v>Ground Transportation</v>
      </c>
      <c r="X43" s="19" t="str">
        <f t="shared" si="7"/>
        <v>Cost of Goods Sold:COGS- Travel Expenses:Ground Transportation</v>
      </c>
      <c r="Y43" s="20" t="str">
        <f>IF(ISBLANK($M43),IFERROR(_xlfn.XLOOKUP($P43,'Department Listing'!$A:$A,'Department Listing'!$L:$L),""),$M43)</f>
        <v>300- ServiceNow:320- Engineering</v>
      </c>
      <c r="Z43" s="11">
        <f>IF(ISBLANK($B43),"",MATCH($X43,COA!$B:$B,0))</f>
        <v>124</v>
      </c>
      <c r="AB43" s="11"/>
    </row>
    <row r="44" spans="2:28" ht="15.75" customHeight="1" x14ac:dyDescent="0.25">
      <c r="B44" s="14">
        <v>46233</v>
      </c>
      <c r="C44" s="15" t="s">
        <v>130</v>
      </c>
      <c r="D44" s="15"/>
      <c r="E44" s="15" t="s">
        <v>69</v>
      </c>
      <c r="F44" s="16">
        <v>200.81</v>
      </c>
      <c r="H44" s="10"/>
      <c r="I44" s="9" t="s">
        <v>131</v>
      </c>
      <c r="J44" s="9"/>
      <c r="K44" s="9"/>
      <c r="L44" s="9" t="s">
        <v>71</v>
      </c>
      <c r="M44" s="9"/>
      <c r="N44" s="17"/>
      <c r="O44" s="17" t="str">
        <f t="shared" si="0"/>
        <v>Toni Manning</v>
      </c>
      <c r="P44" s="17">
        <f>IFERROR(_xlfn.XLOOKUP(O44,'Department Listing'!$O$1:$O$395,'Department Listing'!$A$1:$A$395),IFERROR(_xlfn.XLOOKUP(O44,'Name Aliases'!$A$2:$A$1000,'Name Aliases'!$B$2:$B$1000),""))</f>
        <v>121</v>
      </c>
      <c r="Q44" s="18">
        <f t="shared" si="1"/>
        <v>46233</v>
      </c>
      <c r="R44" s="17" t="str">
        <f t="shared" si="2"/>
        <v>webflow.com</v>
      </c>
      <c r="S44" s="19">
        <f t="shared" si="3"/>
        <v>200.81</v>
      </c>
      <c r="T44" s="17" t="str">
        <f t="shared" si="4"/>
        <v>WEBFLOW.COM MASTERCARD-XXXXXXAHZL3M-Toni Manning</v>
      </c>
      <c r="U44" s="17" t="str">
        <f t="shared" si="5"/>
        <v>Brex Credit Card</v>
      </c>
      <c r="V44" s="19" t="str">
        <f>IF(ISBLANK($B44),"",IF(ISBLANK($K44),IF(_xlfn.XLOOKUP($W44,'Category Mapping'!$C:$C,'Category Mapping'!$B:$B)="Travel",_xlfn.XLOOKUP($P44,'Department Listing'!$A:$A,'Department Listing'!$M:$M),_xlfn.XLOOKUP($W44,'Category Mapping'!$C:$C,'Category Mapping'!$D:$D)),$K44))</f>
        <v>General &amp; Administrative:</v>
      </c>
      <c r="W44" s="19" t="str">
        <f t="shared" si="6"/>
        <v>Software Licenses</v>
      </c>
      <c r="X44" s="19" t="str">
        <f t="shared" si="7"/>
        <v>General &amp; Administrative:Software Licenses</v>
      </c>
      <c r="Y44" s="20" t="str">
        <f>IF(ISBLANK($M44),IFERROR(_xlfn.XLOOKUP($P44,'Department Listing'!$A:$A,'Department Listing'!$L:$L),""),$M44)</f>
        <v>100- Operations:120- Marketing</v>
      </c>
      <c r="Z44" s="11">
        <f>IF(ISBLANK($B44),"",MATCH($X44,COA!$B:$B,0))</f>
        <v>170</v>
      </c>
      <c r="AB44" s="11"/>
    </row>
    <row r="45" spans="2:28" ht="15.75" customHeight="1" x14ac:dyDescent="0.25">
      <c r="B45" s="14">
        <v>46233</v>
      </c>
      <c r="C45" s="15" t="s">
        <v>132</v>
      </c>
      <c r="D45" s="15"/>
      <c r="E45" s="15" t="s">
        <v>64</v>
      </c>
      <c r="F45" s="16">
        <v>9.9600000000000009</v>
      </c>
      <c r="H45" s="10"/>
      <c r="I45" s="9" t="s">
        <v>74</v>
      </c>
      <c r="J45" s="9"/>
      <c r="K45" s="9"/>
      <c r="L45" s="9" t="s">
        <v>66</v>
      </c>
      <c r="M45" s="9"/>
      <c r="N45" s="17"/>
      <c r="O45" s="17" t="str">
        <f t="shared" si="0"/>
        <v>Robert Kolosky</v>
      </c>
      <c r="P45" s="17">
        <f>IFERROR(_xlfn.XLOOKUP(O45,'Department Listing'!$O$1:$O$395,'Department Listing'!$A$1:$A$395),IFERROR(_xlfn.XLOOKUP(O45,'Name Aliases'!$A$2:$A$1000,'Name Aliases'!$B$2:$B$1000),""))</f>
        <v>91</v>
      </c>
      <c r="Q45" s="18">
        <f t="shared" si="1"/>
        <v>46233</v>
      </c>
      <c r="R45" s="17" t="str">
        <f t="shared" si="2"/>
        <v>Uber</v>
      </c>
      <c r="S45" s="19">
        <f t="shared" si="3"/>
        <v>9.9600000000000009</v>
      </c>
      <c r="T45" s="17" t="str">
        <f t="shared" si="4"/>
        <v>UBER   *TRIP MASTERCARD-XXXXXXFWJPAP-Robert Kolosky</v>
      </c>
      <c r="U45" s="17" t="str">
        <f t="shared" si="5"/>
        <v>Brex Credit Card</v>
      </c>
      <c r="V45" s="19" t="str">
        <f>IF(ISBLANK($B45),"",IF(ISBLANK($K45),IF(_xlfn.XLOOKUP($W45,'Category Mapping'!$C:$C,'Category Mapping'!$B:$B)="Travel",_xlfn.XLOOKUP($P45,'Department Listing'!$A:$A,'Department Listing'!$M:$M),_xlfn.XLOOKUP($W45,'Category Mapping'!$C:$C,'Category Mapping'!$D:$D)),$K45))</f>
        <v>Cost of Goods Sold:COGS- Travel Expenses:</v>
      </c>
      <c r="W45" s="19" t="str">
        <f t="shared" si="6"/>
        <v>Ground Transportation</v>
      </c>
      <c r="X45" s="19" t="str">
        <f t="shared" si="7"/>
        <v>Cost of Goods Sold:COGS- Travel Expenses:Ground Transportation</v>
      </c>
      <c r="Y45" s="20" t="str">
        <f>IF(ISBLANK($M45),IFERROR(_xlfn.XLOOKUP($P45,'Department Listing'!$A:$A,'Department Listing'!$L:$L),""),$M45)</f>
        <v>300- ServiceNow:320- Engineering</v>
      </c>
      <c r="Z45" s="11">
        <f>IF(ISBLANK($B45),"",MATCH($X45,COA!$B:$B,0))</f>
        <v>124</v>
      </c>
      <c r="AB45" s="11"/>
    </row>
    <row r="46" spans="2:28" ht="15.75" customHeight="1" x14ac:dyDescent="0.25">
      <c r="B46" s="14">
        <v>46233</v>
      </c>
      <c r="C46" s="15" t="s">
        <v>133</v>
      </c>
      <c r="D46" s="15"/>
      <c r="E46" s="15" t="s">
        <v>64</v>
      </c>
      <c r="F46" s="16">
        <v>28.09</v>
      </c>
      <c r="H46" s="10"/>
      <c r="I46" s="9" t="s">
        <v>74</v>
      </c>
      <c r="J46" s="9"/>
      <c r="K46" s="9"/>
      <c r="L46" s="9" t="s">
        <v>66</v>
      </c>
      <c r="M46" s="9"/>
      <c r="N46" s="17"/>
      <c r="O46" s="17" t="str">
        <f t="shared" si="0"/>
        <v>Karalyn Sims</v>
      </c>
      <c r="P46" s="17">
        <f>IFERROR(_xlfn.XLOOKUP(O46,'Department Listing'!$O$1:$O$395,'Department Listing'!$A$1:$A$395),IFERROR(_xlfn.XLOOKUP(O46,'Name Aliases'!$A$2:$A$1000,'Name Aliases'!$B$2:$B$1000),""))</f>
        <v>144</v>
      </c>
      <c r="Q46" s="18">
        <f t="shared" si="1"/>
        <v>46233</v>
      </c>
      <c r="R46" s="17" t="str">
        <f t="shared" si="2"/>
        <v>Uber</v>
      </c>
      <c r="S46" s="19">
        <f t="shared" si="3"/>
        <v>28.09</v>
      </c>
      <c r="T46" s="17" t="str">
        <f t="shared" si="4"/>
        <v>UBER   *TRIP MASTERCARD-XXXXXXW4V34Y-Karalyn Sims</v>
      </c>
      <c r="U46" s="17" t="str">
        <f t="shared" si="5"/>
        <v>Brex Credit Card</v>
      </c>
      <c r="V46" s="19" t="str">
        <f>IF(ISBLANK($B46),"",IF(ISBLANK($K46),IF(_xlfn.XLOOKUP($W46,'Category Mapping'!$C:$C,'Category Mapping'!$B:$B)="Travel",_xlfn.XLOOKUP($P46,'Department Listing'!$A:$A,'Department Listing'!$M:$M),_xlfn.XLOOKUP($W46,'Category Mapping'!$C:$C,'Category Mapping'!$D:$D)),$K46))</f>
        <v>Sales &amp; Marketing:Sales &amp; Marketing- Travel Expenses:</v>
      </c>
      <c r="W46" s="19" t="str">
        <f t="shared" si="6"/>
        <v>Ground Transportation</v>
      </c>
      <c r="X46" s="19" t="str">
        <f t="shared" si="7"/>
        <v>Sales &amp; Marketing:Sales &amp; Marketing- Travel Expenses:Ground Transportation</v>
      </c>
      <c r="Y46" s="20" t="str">
        <f>IF(ISBLANK($M46),IFERROR(_xlfn.XLOOKUP($P46,'Department Listing'!$A:$A,'Department Listing'!$L:$L),""),$M46)</f>
        <v>100- Operations:120- Marketing</v>
      </c>
      <c r="Z46" s="11">
        <f>IF(ISBLANK($B46),"",MATCH($X46,COA!$B:$B,0))</f>
        <v>200</v>
      </c>
      <c r="AB46" s="11"/>
    </row>
    <row r="47" spans="2:28" ht="15.75" customHeight="1" x14ac:dyDescent="0.25">
      <c r="B47" s="14">
        <v>46233</v>
      </c>
      <c r="C47" s="15" t="s">
        <v>134</v>
      </c>
      <c r="D47" s="15"/>
      <c r="E47" s="15" t="s">
        <v>64</v>
      </c>
      <c r="F47" s="16">
        <v>41.93</v>
      </c>
      <c r="H47" s="10"/>
      <c r="I47" s="9" t="s">
        <v>74</v>
      </c>
      <c r="J47" s="9"/>
      <c r="K47" s="22"/>
      <c r="L47" s="22" t="s">
        <v>66</v>
      </c>
      <c r="M47" s="22"/>
      <c r="N47" s="17"/>
      <c r="O47" s="17" t="str">
        <f t="shared" si="0"/>
        <v>Jacob Woolf</v>
      </c>
      <c r="P47" s="17">
        <f>IFERROR(_xlfn.XLOOKUP(O47,'Department Listing'!$O$1:$O$395,'Department Listing'!$A$1:$A$395),IFERROR(_xlfn.XLOOKUP(O47,'Name Aliases'!$A$2:$A$1000,'Name Aliases'!$B$2:$B$1000),""))</f>
        <v>194</v>
      </c>
      <c r="Q47" s="18">
        <f t="shared" si="1"/>
        <v>46233</v>
      </c>
      <c r="R47" s="17" t="str">
        <f t="shared" si="2"/>
        <v>Uber</v>
      </c>
      <c r="S47" s="19">
        <f t="shared" si="3"/>
        <v>41.93</v>
      </c>
      <c r="T47" s="17" t="str">
        <f t="shared" si="4"/>
        <v>UBER   *TRIP MASTERCARD-XXXXXXMQI5KD-Jacob Woolf</v>
      </c>
      <c r="U47" s="17" t="str">
        <f t="shared" si="5"/>
        <v>Brex Credit Card</v>
      </c>
      <c r="V47" s="19" t="str">
        <f>IF(ISBLANK($B47),"",IF(ISBLANK($K47),IF(_xlfn.XLOOKUP($W47,'Category Mapping'!$C:$C,'Category Mapping'!$B:$B)="Travel",_xlfn.XLOOKUP($P47,'Department Listing'!$A:$A,'Department Listing'!$M:$M),_xlfn.XLOOKUP($W47,'Category Mapping'!$C:$C,'Category Mapping'!$D:$D)),$K47))</f>
        <v>Cost of Goods Sold:COGS- Travel Expenses:</v>
      </c>
      <c r="W47" s="19" t="str">
        <f t="shared" si="6"/>
        <v>Ground Transportation</v>
      </c>
      <c r="X47" s="19" t="str">
        <f t="shared" si="7"/>
        <v>Cost of Goods Sold:COGS- Travel Expenses:Ground Transportation</v>
      </c>
      <c r="Y47" s="20" t="str">
        <f>IF(ISBLANK($M47),IFERROR(_xlfn.XLOOKUP($P47,'Department Listing'!$A:$A,'Department Listing'!$L:$L),""),$M47)</f>
        <v>300- ServiceNow:320- Engineering</v>
      </c>
      <c r="Z47" s="11">
        <f>IF(ISBLANK($B47),"",MATCH($X47,COA!$B:$B,0))</f>
        <v>124</v>
      </c>
      <c r="AB47" s="11"/>
    </row>
    <row r="48" spans="2:28" ht="15.75" customHeight="1" x14ac:dyDescent="0.25">
      <c r="B48" s="14">
        <v>46233</v>
      </c>
      <c r="C48" s="15" t="s">
        <v>136</v>
      </c>
      <c r="E48" s="15" t="s">
        <v>64</v>
      </c>
      <c r="F48" s="16">
        <v>17.79</v>
      </c>
      <c r="H48" s="10"/>
      <c r="I48" s="9" t="s">
        <v>74</v>
      </c>
      <c r="J48" s="9"/>
      <c r="K48" s="9"/>
      <c r="L48" s="9" t="s">
        <v>66</v>
      </c>
      <c r="M48" s="9"/>
      <c r="N48" s="17"/>
      <c r="O48" s="17" t="str">
        <f t="shared" si="0"/>
        <v>Dean DeMonte</v>
      </c>
      <c r="P48" s="17">
        <f>IFERROR(_xlfn.XLOOKUP(O48,'Department Listing'!$O$1:$O$395,'Department Listing'!$A$1:$A$395),IFERROR(_xlfn.XLOOKUP(O48,'Name Aliases'!$A$2:$A$1000,'Name Aliases'!$B$2:$B$1000),""))</f>
        <v>216</v>
      </c>
      <c r="Q48" s="18">
        <f t="shared" si="1"/>
        <v>46233</v>
      </c>
      <c r="R48" s="17" t="str">
        <f t="shared" si="2"/>
        <v>Uber</v>
      </c>
      <c r="S48" s="19">
        <f t="shared" si="3"/>
        <v>17.79</v>
      </c>
      <c r="T48" s="17" t="str">
        <f t="shared" si="4"/>
        <v>UBER   *TRIP MASTERCARD-XXXXXXBSMK5F-Dean DeMonte</v>
      </c>
      <c r="U48" s="17" t="str">
        <f t="shared" si="5"/>
        <v>Brex Credit Card</v>
      </c>
      <c r="V48" s="19" t="str">
        <f>IF(ISBLANK($B48),"",IF(ISBLANK($K48),IF(_xlfn.XLOOKUP($W48,'Category Mapping'!$C:$C,'Category Mapping'!$B:$B)="Travel",_xlfn.XLOOKUP($P48,'Department Listing'!$A:$A,'Department Listing'!$M:$M),_xlfn.XLOOKUP($W48,'Category Mapping'!$C:$C,'Category Mapping'!$D:$D)),$K48))</f>
        <v>Sales &amp; Marketing:Sales &amp; Marketing- Travel Expenses:</v>
      </c>
      <c r="W48" s="19" t="str">
        <f t="shared" si="6"/>
        <v>Ground Transportation</v>
      </c>
      <c r="X48" s="19" t="str">
        <f t="shared" si="7"/>
        <v>Sales &amp; Marketing:Sales &amp; Marketing- Travel Expenses:Ground Transportation</v>
      </c>
      <c r="Y48" s="20" t="str">
        <f>IF(ISBLANK($M48),IFERROR(_xlfn.XLOOKUP($P48,'Department Listing'!$A:$A,'Department Listing'!$L:$L),""),$M48)</f>
        <v>200- Datadog:230- Sales</v>
      </c>
      <c r="Z48" s="11">
        <f>IF(ISBLANK($B48),"",MATCH($X48,COA!$B:$B,0))</f>
        <v>200</v>
      </c>
      <c r="AB48" s="11"/>
    </row>
    <row r="49" spans="2:28" ht="15.75" customHeight="1" x14ac:dyDescent="0.25">
      <c r="B49" s="14">
        <v>46233</v>
      </c>
      <c r="C49" s="15" t="s">
        <v>137</v>
      </c>
      <c r="E49" s="15" t="s">
        <v>64</v>
      </c>
      <c r="F49" s="16">
        <v>18.97</v>
      </c>
      <c r="H49" s="10"/>
      <c r="I49" s="9" t="s">
        <v>74</v>
      </c>
      <c r="J49" s="9"/>
      <c r="K49" s="22"/>
      <c r="L49" s="22" t="s">
        <v>66</v>
      </c>
      <c r="M49" s="9"/>
      <c r="N49" s="17"/>
      <c r="O49" s="17" t="str">
        <f t="shared" si="0"/>
        <v>Jacy Hennawy</v>
      </c>
      <c r="P49" s="17">
        <f>IFERROR(_xlfn.XLOOKUP(O49,'Department Listing'!$O$1:$O$395,'Department Listing'!$A$1:$A$395),IFERROR(_xlfn.XLOOKUP(O49,'Name Aliases'!$A$2:$A$1000,'Name Aliases'!$B$2:$B$1000),""))</f>
        <v>268</v>
      </c>
      <c r="Q49" s="18">
        <f t="shared" si="1"/>
        <v>46233</v>
      </c>
      <c r="R49" s="17" t="str">
        <f t="shared" si="2"/>
        <v>Uber</v>
      </c>
      <c r="S49" s="19">
        <f t="shared" si="3"/>
        <v>18.97</v>
      </c>
      <c r="T49" s="17" t="str">
        <f t="shared" si="4"/>
        <v>UBER   *TRIP MASTERCARD-XXXXXXNRJ4KK-Jacy Hennawy</v>
      </c>
      <c r="U49" s="17" t="str">
        <f t="shared" si="5"/>
        <v>Brex Credit Card</v>
      </c>
      <c r="V49" s="19" t="str">
        <f>IF(ISBLANK($B49),"",IF(ISBLANK($K49),IF(_xlfn.XLOOKUP($W49,'Category Mapping'!$C:$C,'Category Mapping'!$B:$B)="Travel",_xlfn.XLOOKUP($P49,'Department Listing'!$A:$A,'Department Listing'!$M:$M),_xlfn.XLOOKUP($W49,'Category Mapping'!$C:$C,'Category Mapping'!$D:$D)),$K49))</f>
        <v>General &amp; Administrative:G&amp;A- Travel Expenses:</v>
      </c>
      <c r="W49" s="19" t="str">
        <f t="shared" si="6"/>
        <v>Ground Transportation</v>
      </c>
      <c r="X49" s="19" t="str">
        <f t="shared" si="7"/>
        <v>General &amp; Administrative:G&amp;A- Travel Expenses:Ground Transportation</v>
      </c>
      <c r="Y49" s="20" t="str">
        <f>IF(ISBLANK($M49),IFERROR(_xlfn.XLOOKUP($P49,'Department Listing'!$A:$A,'Department Listing'!$L:$L),""),$M49)</f>
        <v>100- Operations:110- G&amp;A</v>
      </c>
      <c r="Z49" s="11">
        <f>IF(ISBLANK($B49),"",MATCH($X49,COA!$B:$B,0))</f>
        <v>149</v>
      </c>
      <c r="AB49" s="11"/>
    </row>
    <row r="50" spans="2:28" ht="15.75" customHeight="1" x14ac:dyDescent="0.25">
      <c r="B50" s="14">
        <v>46233</v>
      </c>
      <c r="C50" s="15" t="s">
        <v>138</v>
      </c>
      <c r="D50" s="15"/>
      <c r="E50" s="15" t="s">
        <v>76</v>
      </c>
      <c r="F50" s="16">
        <v>80</v>
      </c>
      <c r="H50" s="10"/>
      <c r="I50" s="9" t="s">
        <v>139</v>
      </c>
      <c r="J50" s="9"/>
      <c r="K50" s="9"/>
      <c r="L50" s="9" t="s">
        <v>78</v>
      </c>
      <c r="M50" s="9"/>
      <c r="N50" s="17"/>
      <c r="O50" s="17" t="str">
        <f t="shared" si="0"/>
        <v>Aaron Rhodes</v>
      </c>
      <c r="P50" s="17">
        <f>IFERROR(_xlfn.XLOOKUP(O50,'Department Listing'!$O$1:$O$395,'Department Listing'!$A$1:$A$395),IFERROR(_xlfn.XLOOKUP(O50,'Name Aliases'!$A$2:$A$1000,'Name Aliases'!$B$2:$B$1000),""))</f>
        <v>109</v>
      </c>
      <c r="Q50" s="18">
        <f t="shared" si="1"/>
        <v>46233</v>
      </c>
      <c r="R50" s="17" t="str">
        <f t="shared" si="2"/>
        <v>PKL Boston</v>
      </c>
      <c r="S50" s="19">
        <f t="shared" si="3"/>
        <v>80</v>
      </c>
      <c r="T50" s="17" t="str">
        <f t="shared" si="4"/>
        <v>WWW.PLAYPKL.COM MASTERCARD-XXXXXXIMHJE1-Aaron Rhodes</v>
      </c>
      <c r="U50" s="17" t="str">
        <f t="shared" si="5"/>
        <v>Brex Credit Card</v>
      </c>
      <c r="V50" s="19" t="str">
        <f>IF(ISBLANK($B50),"",IF(ISBLANK($K50),IF(_xlfn.XLOOKUP($W50,'Category Mapping'!$C:$C,'Category Mapping'!$B:$B)="Travel",_xlfn.XLOOKUP($P50,'Department Listing'!$A:$A,'Department Listing'!$M:$M),_xlfn.XLOOKUP($W50,'Category Mapping'!$C:$C,'Category Mapping'!$D:$D)),$K50))</f>
        <v>Cost of Goods Sold:COGS- Travel Expenses:</v>
      </c>
      <c r="W50" s="19" t="str">
        <f t="shared" si="6"/>
        <v>Meals &amp; Entertainment</v>
      </c>
      <c r="X50" s="19" t="str">
        <f t="shared" si="7"/>
        <v>Cost of Goods Sold:COGS- Travel Expenses:Meals &amp; Entertainment</v>
      </c>
      <c r="Y50" s="20" t="str">
        <f>IF(ISBLANK($M50),IFERROR(_xlfn.XLOOKUP($P50,'Department Listing'!$A:$A,'Department Listing'!$L:$L),""),$M50)</f>
        <v>200- Datadog:220- Engineering</v>
      </c>
      <c r="Z50" s="11">
        <f>IF(ISBLANK($B50),"",MATCH($X50,COA!$B:$B,0))</f>
        <v>126</v>
      </c>
      <c r="AB50" s="11"/>
    </row>
    <row r="51" spans="2:28" ht="15.75" customHeight="1" x14ac:dyDescent="0.25">
      <c r="B51" s="14">
        <v>46233</v>
      </c>
      <c r="C51" s="15" t="s">
        <v>141</v>
      </c>
      <c r="D51" s="15"/>
      <c r="E51" s="15" t="s">
        <v>64</v>
      </c>
      <c r="F51" s="16">
        <v>49.97</v>
      </c>
      <c r="H51" s="10"/>
      <c r="I51" s="9" t="s">
        <v>74</v>
      </c>
      <c r="J51" s="9"/>
      <c r="K51" s="9"/>
      <c r="L51" s="9" t="s">
        <v>66</v>
      </c>
      <c r="M51" s="9"/>
      <c r="N51" s="17"/>
      <c r="O51" s="17" t="str">
        <f t="shared" si="0"/>
        <v>Harry Tomczyk</v>
      </c>
      <c r="P51" s="17">
        <f>IFERROR(_xlfn.XLOOKUP(O51,'Department Listing'!$O$1:$O$395,'Department Listing'!$A$1:$A$395),IFERROR(_xlfn.XLOOKUP(O51,'Name Aliases'!$A$2:$A$1000,'Name Aliases'!$B$2:$B$1000),""))</f>
        <v>251</v>
      </c>
      <c r="Q51" s="18">
        <f t="shared" si="1"/>
        <v>46233</v>
      </c>
      <c r="R51" s="17" t="str">
        <f t="shared" si="2"/>
        <v>Uber</v>
      </c>
      <c r="S51" s="19">
        <f t="shared" si="3"/>
        <v>49.97</v>
      </c>
      <c r="T51" s="17" t="str">
        <f t="shared" si="4"/>
        <v>UBER   *TRIP MASTERCARD-XXXXXXVVWVUJ-Harry Tomczyk</v>
      </c>
      <c r="U51" s="17" t="str">
        <f t="shared" si="5"/>
        <v>Brex Credit Card</v>
      </c>
      <c r="V51" s="19" t="str">
        <f>IF(ISBLANK($B51),"",IF(ISBLANK($K51),IF(_xlfn.XLOOKUP($W51,'Category Mapping'!$C:$C,'Category Mapping'!$B:$B)="Travel",_xlfn.XLOOKUP($P51,'Department Listing'!$A:$A,'Department Listing'!$M:$M),_xlfn.XLOOKUP($W51,'Category Mapping'!$C:$C,'Category Mapping'!$D:$D)),$K51))</f>
        <v>Sales &amp; Marketing:Sales &amp; Marketing- Travel Expenses:</v>
      </c>
      <c r="W51" s="19" t="str">
        <f t="shared" si="6"/>
        <v>Ground Transportation</v>
      </c>
      <c r="X51" s="19" t="str">
        <f t="shared" si="7"/>
        <v>Sales &amp; Marketing:Sales &amp; Marketing- Travel Expenses:Ground Transportation</v>
      </c>
      <c r="Y51" s="20" t="str">
        <f>IF(ISBLANK($M51),IFERROR(_xlfn.XLOOKUP($P51,'Department Listing'!$A:$A,'Department Listing'!$L:$L),""),$M51)</f>
        <v>300- ServiceNow:330- Sales</v>
      </c>
      <c r="Z51" s="11">
        <f>IF(ISBLANK($B51),"",MATCH($X51,COA!$B:$B,0))</f>
        <v>200</v>
      </c>
      <c r="AB51" s="11"/>
    </row>
    <row r="52" spans="2:28" ht="15.75" customHeight="1" x14ac:dyDescent="0.25">
      <c r="B52" s="14">
        <v>46233</v>
      </c>
      <c r="C52" s="15" t="s">
        <v>142</v>
      </c>
      <c r="D52" s="15"/>
      <c r="E52" s="15"/>
      <c r="F52" s="16">
        <v>23.23</v>
      </c>
      <c r="H52" s="10"/>
      <c r="I52" s="9" t="s">
        <v>37</v>
      </c>
      <c r="J52" s="9"/>
      <c r="K52" s="22"/>
      <c r="L52" s="9" t="s">
        <v>127</v>
      </c>
      <c r="M52" s="9"/>
      <c r="N52" s="17"/>
      <c r="O52" s="17" t="str">
        <f t="shared" si="0"/>
        <v>Mickenzi Krpec</v>
      </c>
      <c r="P52" s="17">
        <f>IFERROR(_xlfn.XLOOKUP(O52,'Department Listing'!$O$1:$O$395,'Department Listing'!$A$1:$A$395),IFERROR(_xlfn.XLOOKUP(O52,'Name Aliases'!$A$2:$A$1000,'Name Aliases'!$B$2:$B$1000),""))</f>
        <v>170</v>
      </c>
      <c r="Q52" s="18">
        <f t="shared" si="1"/>
        <v>46233</v>
      </c>
      <c r="R52" s="17" t="str">
        <f t="shared" si="2"/>
        <v>Office Vendor</v>
      </c>
      <c r="S52" s="19">
        <f t="shared" si="3"/>
        <v>23.23</v>
      </c>
      <c r="T52" s="17" t="str">
        <f t="shared" si="4"/>
        <v>UK.BOOKSHOP.ORG MASTERCARD-XXXXXXE3IZSY-Mickenzi Krpec</v>
      </c>
      <c r="U52" s="17" t="str">
        <f t="shared" si="5"/>
        <v>Brex Credit Card</v>
      </c>
      <c r="V52" s="19" t="str">
        <f>IF(ISBLANK($B52),"",IF(ISBLANK($K52),IF(_xlfn.XLOOKUP($W52,'Category Mapping'!$C:$C,'Category Mapping'!$B:$B)="Travel",_xlfn.XLOOKUP($P52,'Department Listing'!$A:$A,'Department Listing'!$M:$M),_xlfn.XLOOKUP($W52,'Category Mapping'!$C:$C,'Category Mapping'!$D:$D)),$K52))</f>
        <v>General &amp; Administrative:Office Expenses:</v>
      </c>
      <c r="W52" s="19" t="str">
        <f t="shared" si="6"/>
        <v>Office Supplies</v>
      </c>
      <c r="X52" s="19" t="str">
        <f t="shared" si="7"/>
        <v>General &amp; Administrative:Office Expenses:Office Supplies</v>
      </c>
      <c r="Y52" s="20" t="str">
        <f>IF(ISBLANK($M52),IFERROR(_xlfn.XLOOKUP($P52,'Department Listing'!$A:$A,'Department Listing'!$L:$L),""),$M52)</f>
        <v>100- Operations:110- G&amp;A</v>
      </c>
      <c r="Z52" s="11">
        <f>IF(ISBLANK($B52),"",MATCH($X52,COA!$B:$B,0))</f>
        <v>161</v>
      </c>
      <c r="AB52" s="11"/>
    </row>
    <row r="53" spans="2:28" ht="15.75" customHeight="1" x14ac:dyDescent="0.25">
      <c r="B53" s="14">
        <v>46233</v>
      </c>
      <c r="C53" s="15" t="s">
        <v>143</v>
      </c>
      <c r="D53" s="15"/>
      <c r="E53" s="15" t="s">
        <v>76</v>
      </c>
      <c r="F53" s="16">
        <v>225.72</v>
      </c>
      <c r="H53" s="10"/>
      <c r="I53" s="9" t="s">
        <v>144</v>
      </c>
      <c r="J53" s="9"/>
      <c r="K53" s="9"/>
      <c r="L53" s="9" t="s">
        <v>78</v>
      </c>
      <c r="M53" s="9"/>
      <c r="N53" s="17"/>
      <c r="O53" s="17" t="str">
        <f t="shared" si="0"/>
        <v>Chloe Brant</v>
      </c>
      <c r="P53" s="17">
        <f>IFERROR(_xlfn.XLOOKUP(O53,'Department Listing'!$O$1:$O$395,'Department Listing'!$A$1:$A$395),IFERROR(_xlfn.XLOOKUP(O53,'Name Aliases'!$A$2:$A$1000,'Name Aliases'!$B$2:$B$1000),""))</f>
        <v>77</v>
      </c>
      <c r="Q53" s="18">
        <f t="shared" si="1"/>
        <v>46233</v>
      </c>
      <c r="R53" s="17" t="str">
        <f t="shared" si="2"/>
        <v>Tatte</v>
      </c>
      <c r="S53" s="19">
        <f t="shared" si="3"/>
        <v>225.72</v>
      </c>
      <c r="T53" s="17" t="str">
        <f t="shared" si="4"/>
        <v>TATTEBAKERY MASTERCARD-XXXXXXPWTP5I-Chloe Brant</v>
      </c>
      <c r="U53" s="17" t="str">
        <f t="shared" si="5"/>
        <v>Brex Credit Card</v>
      </c>
      <c r="V53" s="19" t="str">
        <f>IF(ISBLANK($B53),"",IF(ISBLANK($K53),IF(_xlfn.XLOOKUP($W53,'Category Mapping'!$C:$C,'Category Mapping'!$B:$B)="Travel",_xlfn.XLOOKUP($P53,'Department Listing'!$A:$A,'Department Listing'!$M:$M),_xlfn.XLOOKUP($W53,'Category Mapping'!$C:$C,'Category Mapping'!$D:$D)),$K53))</f>
        <v>Sales &amp; Marketing:Sales &amp; Marketing- Travel Expenses:</v>
      </c>
      <c r="W53" s="19" t="str">
        <f t="shared" si="6"/>
        <v>Meals &amp; Entertainment</v>
      </c>
      <c r="X53" s="19" t="str">
        <f t="shared" si="7"/>
        <v>Sales &amp; Marketing:Sales &amp; Marketing- Travel Expenses:Meals &amp; Entertainment</v>
      </c>
      <c r="Y53" s="20" t="str">
        <f>IF(ISBLANK($M53),IFERROR(_xlfn.XLOOKUP($P53,'Department Listing'!$A:$A,'Department Listing'!$L:$L),""),$M53)</f>
        <v>300- ServiceNow:330- Sales</v>
      </c>
      <c r="Z53" s="11">
        <f>IF(ISBLANK($B53),"",MATCH($X53,COA!$B:$B,0))</f>
        <v>202</v>
      </c>
      <c r="AB53" s="11"/>
    </row>
    <row r="54" spans="2:28" ht="15.75" customHeight="1" x14ac:dyDescent="0.25">
      <c r="B54" s="14">
        <v>46233</v>
      </c>
      <c r="C54" s="15" t="s">
        <v>146</v>
      </c>
      <c r="E54" s="15" t="s">
        <v>147</v>
      </c>
      <c r="F54" s="16">
        <v>5.0999999999999996</v>
      </c>
      <c r="H54" s="10"/>
      <c r="I54" s="9" t="s">
        <v>148</v>
      </c>
      <c r="J54" s="9"/>
      <c r="K54" s="22"/>
      <c r="L54" s="9" t="s">
        <v>149</v>
      </c>
      <c r="M54" s="22"/>
      <c r="N54" s="17"/>
      <c r="O54" s="17" t="str">
        <f t="shared" si="0"/>
        <v>Tanner Ylvisaker</v>
      </c>
      <c r="P54" s="17">
        <f>IFERROR(_xlfn.XLOOKUP(O54,'Department Listing'!$O$1:$O$395,'Department Listing'!$A$1:$A$395),IFERROR(_xlfn.XLOOKUP(O54,'Name Aliases'!$A$2:$A$1000,'Name Aliases'!$B$2:$B$1000),""))</f>
        <v>99</v>
      </c>
      <c r="Q54" s="18">
        <f t="shared" si="1"/>
        <v>46233</v>
      </c>
      <c r="R54" s="17" t="str">
        <f t="shared" si="2"/>
        <v>Newslink</v>
      </c>
      <c r="S54" s="19">
        <f t="shared" si="3"/>
        <v>5.0999999999999996</v>
      </c>
      <c r="T54" s="17" t="str">
        <f t="shared" si="4"/>
        <v>NEWSLINK 13 BOS MASTERCARD-XXXXXXC2BUXX-Tanner Ylvisaker</v>
      </c>
      <c r="U54" s="17" t="str">
        <f t="shared" si="5"/>
        <v>Brex Credit Card</v>
      </c>
      <c r="V54" s="19" t="str">
        <f>IF(ISBLANK($B54),"",IF(ISBLANK($K54),IF(_xlfn.XLOOKUP($W54,'Category Mapping'!$C:$C,'Category Mapping'!$B:$B)="Travel",_xlfn.XLOOKUP($P54,'Department Listing'!$A:$A,'Department Listing'!$M:$M),_xlfn.XLOOKUP($W54,'Category Mapping'!$C:$C,'Category Mapping'!$D:$D)),$K54))</f>
        <v>Cost of Goods Sold:COGS- Travel Expenses:</v>
      </c>
      <c r="W54" s="19" t="str">
        <f t="shared" si="6"/>
        <v>Other Travel Expenses</v>
      </c>
      <c r="X54" s="19" t="str">
        <f t="shared" si="7"/>
        <v>Cost of Goods Sold:COGS- Travel Expenses:Other Travel Expenses</v>
      </c>
      <c r="Y54" s="20" t="str">
        <f>IF(ISBLANK($M54),IFERROR(_xlfn.XLOOKUP($P54,'Department Listing'!$A:$A,'Department Listing'!$L:$L),""),$M54)</f>
        <v>300- ServiceNow:320- Engineering</v>
      </c>
      <c r="Z54" s="11">
        <f>IF(ISBLANK($B54),"",MATCH($X54,COA!$B:$B,0))</f>
        <v>127</v>
      </c>
      <c r="AB54" s="11"/>
    </row>
    <row r="55" spans="2:28" ht="15.75" customHeight="1" x14ac:dyDescent="0.25">
      <c r="B55" s="14">
        <v>46233</v>
      </c>
      <c r="C55" s="15" t="s">
        <v>151</v>
      </c>
      <c r="D55" s="15"/>
      <c r="E55" s="15" t="s">
        <v>64</v>
      </c>
      <c r="F55" s="16">
        <v>33.58</v>
      </c>
      <c r="H55" s="10"/>
      <c r="I55" s="9" t="s">
        <v>74</v>
      </c>
      <c r="J55" s="9"/>
      <c r="K55" s="9"/>
      <c r="L55" s="9" t="s">
        <v>66</v>
      </c>
      <c r="M55" s="9"/>
      <c r="N55" s="17"/>
      <c r="O55" s="17" t="str">
        <f t="shared" si="0"/>
        <v>Ryan Henrich</v>
      </c>
      <c r="P55" s="17">
        <f>IFERROR(_xlfn.XLOOKUP(O55,'Department Listing'!$O$1:$O$395,'Department Listing'!$A$1:$A$395),IFERROR(_xlfn.XLOOKUP(O55,'Name Aliases'!$A$2:$A$1000,'Name Aliases'!$B$2:$B$1000),""))</f>
        <v>154</v>
      </c>
      <c r="Q55" s="18">
        <f t="shared" si="1"/>
        <v>46233</v>
      </c>
      <c r="R55" s="17" t="str">
        <f t="shared" si="2"/>
        <v>Uber</v>
      </c>
      <c r="S55" s="19">
        <f t="shared" si="3"/>
        <v>33.58</v>
      </c>
      <c r="T55" s="17" t="str">
        <f t="shared" si="4"/>
        <v>UBER   *EATS MASTERCARD-XXXXXX6XYIJ8-Ryan Henrich</v>
      </c>
      <c r="U55" s="17" t="str">
        <f t="shared" si="5"/>
        <v>Brex Credit Card</v>
      </c>
      <c r="V55" s="19" t="str">
        <f>IF(ISBLANK($B55),"",IF(ISBLANK($K55),IF(_xlfn.XLOOKUP($W55,'Category Mapping'!$C:$C,'Category Mapping'!$B:$B)="Travel",_xlfn.XLOOKUP($P55,'Department Listing'!$A:$A,'Department Listing'!$M:$M),_xlfn.XLOOKUP($W55,'Category Mapping'!$C:$C,'Category Mapping'!$D:$D)),$K55))</f>
        <v>Sales &amp; Marketing:Sales &amp; Marketing- Travel Expenses:</v>
      </c>
      <c r="W55" s="19" t="str">
        <f t="shared" si="6"/>
        <v>Ground Transportation</v>
      </c>
      <c r="X55" s="19" t="str">
        <f t="shared" si="7"/>
        <v>Sales &amp; Marketing:Sales &amp; Marketing- Travel Expenses:Ground Transportation</v>
      </c>
      <c r="Y55" s="20" t="str">
        <f>IF(ISBLANK($M55),IFERROR(_xlfn.XLOOKUP($P55,'Department Listing'!$A:$A,'Department Listing'!$L:$L),""),$M55)</f>
        <v>200- Datadog:230- Sales</v>
      </c>
      <c r="Z55" s="11">
        <f>IF(ISBLANK($B55),"",MATCH($X55,COA!$B:$B,0))</f>
        <v>200</v>
      </c>
      <c r="AB55" s="11"/>
    </row>
    <row r="56" spans="2:28" ht="15.75" customHeight="1" x14ac:dyDescent="0.25">
      <c r="B56" s="14">
        <v>46233</v>
      </c>
      <c r="C56" s="15" t="s">
        <v>152</v>
      </c>
      <c r="D56" s="15"/>
      <c r="E56" s="15" t="s">
        <v>153</v>
      </c>
      <c r="F56" s="16">
        <v>127.72</v>
      </c>
      <c r="H56" s="10"/>
      <c r="I56" s="9" t="s">
        <v>154</v>
      </c>
      <c r="J56" s="9"/>
      <c r="K56" s="9"/>
      <c r="L56" s="9" t="s">
        <v>155</v>
      </c>
      <c r="M56" s="9"/>
      <c r="N56" s="17"/>
      <c r="O56" s="17" t="str">
        <f t="shared" si="0"/>
        <v>Elias Kapetanopoulos</v>
      </c>
      <c r="P56" s="17">
        <f>IFERROR(_xlfn.XLOOKUP(O56,'Department Listing'!$O$1:$O$395,'Department Listing'!$A$1:$A$395),IFERROR(_xlfn.XLOOKUP(O56,'Name Aliases'!$A$2:$A$1000,'Name Aliases'!$B$2:$B$1000),""))</f>
        <v>12</v>
      </c>
      <c r="Q56" s="18">
        <f t="shared" si="1"/>
        <v>46233</v>
      </c>
      <c r="R56" s="17" t="str">
        <f t="shared" si="2"/>
        <v>The Newbury Boston</v>
      </c>
      <c r="S56" s="19">
        <f t="shared" si="3"/>
        <v>127.72</v>
      </c>
      <c r="T56" s="17" t="str">
        <f t="shared" si="4"/>
        <v>THE NEWBURY BOSTON F A MASTERCARD-XXXXXX2WPYC6-Elias Kapetanopoulos</v>
      </c>
      <c r="U56" s="17" t="str">
        <f t="shared" si="5"/>
        <v>Brex Credit Card</v>
      </c>
      <c r="V56" s="19" t="str">
        <f>IF(ISBLANK($B56),"",IF(ISBLANK($K56),IF(_xlfn.XLOOKUP($W56,'Category Mapping'!$C:$C,'Category Mapping'!$B:$B)="Travel",_xlfn.XLOOKUP($P56,'Department Listing'!$A:$A,'Department Listing'!$M:$M),_xlfn.XLOOKUP($W56,'Category Mapping'!$C:$C,'Category Mapping'!$D:$D)),$K56))</f>
        <v>General &amp; Administrative:G&amp;A- Travel Expenses:</v>
      </c>
      <c r="W56" s="19" t="str">
        <f t="shared" si="6"/>
        <v>Lodging</v>
      </c>
      <c r="X56" s="19" t="str">
        <f t="shared" si="7"/>
        <v>General &amp; Administrative:G&amp;A- Travel Expenses:Lodging</v>
      </c>
      <c r="Y56" s="20" t="str">
        <f>IF(ISBLANK($M56),IFERROR(_xlfn.XLOOKUP($P56,'Department Listing'!$A:$A,'Department Listing'!$L:$L),""),$M56)</f>
        <v>300- ServiceNow:320- Engineering</v>
      </c>
      <c r="Z56" s="11">
        <f>IF(ISBLANK($B56),"",MATCH($X56,COA!$B:$B,0))</f>
        <v>150</v>
      </c>
      <c r="AB56" s="11"/>
    </row>
    <row r="57" spans="2:28" ht="15.75" customHeight="1" x14ac:dyDescent="0.25">
      <c r="B57" s="14">
        <v>46233</v>
      </c>
      <c r="C57" s="15" t="s">
        <v>156</v>
      </c>
      <c r="E57" s="15" t="s">
        <v>76</v>
      </c>
      <c r="F57" s="16">
        <v>15.41</v>
      </c>
      <c r="H57" s="10"/>
      <c r="I57" s="9" t="s">
        <v>157</v>
      </c>
      <c r="J57" s="9"/>
      <c r="K57" s="9"/>
      <c r="L57" s="9" t="s">
        <v>78</v>
      </c>
      <c r="M57" s="9"/>
      <c r="N57" s="17"/>
      <c r="O57" s="17" t="str">
        <f t="shared" si="0"/>
        <v>Tyler Grimshaw</v>
      </c>
      <c r="P57" s="17">
        <f>IFERROR(_xlfn.XLOOKUP(O57,'Department Listing'!$O$1:$O$395,'Department Listing'!$A$1:$A$395),IFERROR(_xlfn.XLOOKUP(O57,'Name Aliases'!$A$2:$A$1000,'Name Aliases'!$B$2:$B$1000),""))</f>
        <v>264</v>
      </c>
      <c r="Q57" s="18">
        <f t="shared" si="1"/>
        <v>46233</v>
      </c>
      <c r="R57" s="17" t="str">
        <f t="shared" si="2"/>
        <v>Dig Inn</v>
      </c>
      <c r="S57" s="19">
        <f t="shared" si="3"/>
        <v>15.41</v>
      </c>
      <c r="T57" s="17" t="str">
        <f t="shared" si="4"/>
        <v>TST* DIG INN - BACK BA MASTERCARD-XXXXXXWO4XN1-Tyler Grimshaw</v>
      </c>
      <c r="U57" s="17" t="str">
        <f t="shared" si="5"/>
        <v>Brex Credit Card</v>
      </c>
      <c r="V57" s="19" t="str">
        <f>IF(ISBLANK($B57),"",IF(ISBLANK($K57),IF(_xlfn.XLOOKUP($W57,'Category Mapping'!$C:$C,'Category Mapping'!$B:$B)="Travel",_xlfn.XLOOKUP($P57,'Department Listing'!$A:$A,'Department Listing'!$M:$M),_xlfn.XLOOKUP($W57,'Category Mapping'!$C:$C,'Category Mapping'!$D:$D)),$K57))</f>
        <v>Sales &amp; Marketing:Sales &amp; Marketing- Travel Expenses:</v>
      </c>
      <c r="W57" s="19" t="str">
        <f t="shared" si="6"/>
        <v>Meals &amp; Entertainment</v>
      </c>
      <c r="X57" s="19" t="str">
        <f t="shared" si="7"/>
        <v>Sales &amp; Marketing:Sales &amp; Marketing- Travel Expenses:Meals &amp; Entertainment</v>
      </c>
      <c r="Y57" s="20" t="str">
        <f>IF(ISBLANK($M57),IFERROR(_xlfn.XLOOKUP($P57,'Department Listing'!$A:$A,'Department Listing'!$L:$L),""),$M57)</f>
        <v>200- Datadog:230- Sales</v>
      </c>
      <c r="Z57" s="11">
        <f>IF(ISBLANK($B57),"",MATCH($X57,COA!$B:$B,0))</f>
        <v>202</v>
      </c>
      <c r="AB57" s="11"/>
    </row>
    <row r="58" spans="2:28" ht="15.75" customHeight="1" x14ac:dyDescent="0.25">
      <c r="B58" s="14">
        <v>46233</v>
      </c>
      <c r="C58" s="15" t="s">
        <v>158</v>
      </c>
      <c r="D58" s="15"/>
      <c r="E58" s="15" t="s">
        <v>64</v>
      </c>
      <c r="F58" s="16">
        <v>13.98</v>
      </c>
      <c r="H58" s="10"/>
      <c r="I58" s="9" t="s">
        <v>74</v>
      </c>
      <c r="J58" s="9"/>
      <c r="K58" s="9"/>
      <c r="L58" s="9" t="s">
        <v>66</v>
      </c>
      <c r="M58" s="9"/>
      <c r="N58" s="17"/>
      <c r="O58" s="17" t="str">
        <f t="shared" si="0"/>
        <v>Michael Button</v>
      </c>
      <c r="P58" s="17">
        <f>IFERROR(_xlfn.XLOOKUP(O58,'Department Listing'!$O$1:$O$395,'Department Listing'!$A$1:$A$395),IFERROR(_xlfn.XLOOKUP(O58,'Name Aliases'!$A$2:$A$1000,'Name Aliases'!$B$2:$B$1000),""))</f>
        <v>273</v>
      </c>
      <c r="Q58" s="18">
        <f t="shared" si="1"/>
        <v>46233</v>
      </c>
      <c r="R58" s="21" t="str">
        <f t="shared" si="2"/>
        <v>Uber</v>
      </c>
      <c r="S58" s="19">
        <f t="shared" si="3"/>
        <v>13.98</v>
      </c>
      <c r="T58" s="17" t="str">
        <f t="shared" si="4"/>
        <v>UBER   *TRIP MASTERCARD-XXXXXXZBBRRB-Michael Button</v>
      </c>
      <c r="U58" s="17" t="str">
        <f t="shared" si="5"/>
        <v>Brex Credit Card</v>
      </c>
      <c r="V58" s="19" t="str">
        <f>IF(ISBLANK($B58),"",IF(ISBLANK($K58),IF(_xlfn.XLOOKUP($W58,'Category Mapping'!$C:$C,'Category Mapping'!$B:$B)="Travel",_xlfn.XLOOKUP($P58,'Department Listing'!$A:$A,'Department Listing'!$M:$M),_xlfn.XLOOKUP($W58,'Category Mapping'!$C:$C,'Category Mapping'!$D:$D)),$K58))</f>
        <v>General &amp; Administrative:G&amp;A- Travel Expenses:</v>
      </c>
      <c r="W58" s="19" t="str">
        <f t="shared" si="6"/>
        <v>Ground Transportation</v>
      </c>
      <c r="X58" s="19" t="str">
        <f t="shared" si="7"/>
        <v>General &amp; Administrative:G&amp;A- Travel Expenses:Ground Transportation</v>
      </c>
      <c r="Y58" s="20" t="str">
        <f>IF(ISBLANK($M58),IFERROR(_xlfn.XLOOKUP($P58,'Department Listing'!$A:$A,'Department Listing'!$L:$L),""),$M58)</f>
        <v>100- Operations:110- G&amp;A</v>
      </c>
      <c r="Z58" s="11">
        <f>IF(ISBLANK($B58),"",MATCH($X58,COA!$B:$B,0))</f>
        <v>149</v>
      </c>
      <c r="AB58" s="11"/>
    </row>
    <row r="59" spans="2:28" ht="15.75" customHeight="1" x14ac:dyDescent="0.25">
      <c r="B59" s="14">
        <v>46233</v>
      </c>
      <c r="C59" s="15" t="s">
        <v>159</v>
      </c>
      <c r="D59" s="15"/>
      <c r="E59" s="15"/>
      <c r="F59" s="16">
        <v>10.48</v>
      </c>
      <c r="H59" s="10"/>
      <c r="I59" s="9" t="s">
        <v>36</v>
      </c>
      <c r="J59" s="9"/>
      <c r="K59" s="9"/>
      <c r="L59" s="9" t="s">
        <v>78</v>
      </c>
      <c r="M59" s="9"/>
      <c r="N59" s="17"/>
      <c r="O59" s="17" t="str">
        <f t="shared" si="0"/>
        <v>Tanner Ylvisaker</v>
      </c>
      <c r="P59" s="17">
        <f>IFERROR(_xlfn.XLOOKUP(O59,'Department Listing'!$O$1:$O$395,'Department Listing'!$A$1:$A$395),IFERROR(_xlfn.XLOOKUP(O59,'Name Aliases'!$A$2:$A$1000,'Name Aliases'!$B$2:$B$1000),""))</f>
        <v>99</v>
      </c>
      <c r="Q59" s="18">
        <f t="shared" si="1"/>
        <v>46233</v>
      </c>
      <c r="R59" s="17" t="str">
        <f t="shared" si="2"/>
        <v>Food Vendor</v>
      </c>
      <c r="S59" s="19">
        <f t="shared" si="3"/>
        <v>10.48</v>
      </c>
      <c r="T59" s="17" t="str">
        <f t="shared" si="4"/>
        <v>JIMMY JOHNS - 4455 MASTERCARD-XXXXXXKEL7Y8-Tanner Ylvisaker</v>
      </c>
      <c r="U59" s="17" t="str">
        <f t="shared" si="5"/>
        <v>Brex Credit Card</v>
      </c>
      <c r="V59" s="19" t="str">
        <f>IF(ISBLANK($B59),"",IF(ISBLANK($K59),IF(_xlfn.XLOOKUP($W59,'Category Mapping'!$C:$C,'Category Mapping'!$B:$B)="Travel",_xlfn.XLOOKUP($P59,'Department Listing'!$A:$A,'Department Listing'!$M:$M),_xlfn.XLOOKUP($W59,'Category Mapping'!$C:$C,'Category Mapping'!$D:$D)),$K59))</f>
        <v>Cost of Goods Sold:COGS- Travel Expenses:</v>
      </c>
      <c r="W59" s="19" t="str">
        <f t="shared" si="6"/>
        <v>Meals &amp; Entertainment</v>
      </c>
      <c r="X59" s="19" t="str">
        <f t="shared" si="7"/>
        <v>Cost of Goods Sold:COGS- Travel Expenses:Meals &amp; Entertainment</v>
      </c>
      <c r="Y59" s="20" t="str">
        <f>IF(ISBLANK($M59),IFERROR(_xlfn.XLOOKUP($P59,'Department Listing'!$A:$A,'Department Listing'!$L:$L),""),$M59)</f>
        <v>300- ServiceNow:320- Engineering</v>
      </c>
      <c r="Z59" s="11">
        <f>IF(ISBLANK($B59),"",MATCH($X59,COA!$B:$B,0))</f>
        <v>126</v>
      </c>
      <c r="AB59" s="11"/>
    </row>
    <row r="60" spans="2:28" ht="15.75" customHeight="1" x14ac:dyDescent="0.25">
      <c r="B60" s="14">
        <v>46233</v>
      </c>
      <c r="C60" s="15" t="s">
        <v>160</v>
      </c>
      <c r="D60" s="15"/>
      <c r="E60" s="15" t="s">
        <v>64</v>
      </c>
      <c r="F60" s="16">
        <v>5</v>
      </c>
      <c r="H60" s="10"/>
      <c r="I60" s="9" t="s">
        <v>74</v>
      </c>
      <c r="J60" s="9"/>
      <c r="K60" s="9"/>
      <c r="L60" s="9" t="s">
        <v>66</v>
      </c>
      <c r="M60" s="9"/>
      <c r="N60" s="17"/>
      <c r="O60" s="17" t="str">
        <f t="shared" si="0"/>
        <v>Michael Button</v>
      </c>
      <c r="P60" s="17">
        <f>IFERROR(_xlfn.XLOOKUP(O60,'Department Listing'!$O$1:$O$395,'Department Listing'!$A$1:$A$395),IFERROR(_xlfn.XLOOKUP(O60,'Name Aliases'!$A$2:$A$1000,'Name Aliases'!$B$2:$B$1000),""))</f>
        <v>273</v>
      </c>
      <c r="Q60" s="18">
        <f t="shared" si="1"/>
        <v>46233</v>
      </c>
      <c r="R60" s="17" t="str">
        <f t="shared" si="2"/>
        <v>Uber</v>
      </c>
      <c r="S60" s="19">
        <f t="shared" si="3"/>
        <v>5</v>
      </c>
      <c r="T60" s="17" t="str">
        <f t="shared" si="4"/>
        <v>UBER   *TRIP MASTERCARD-XXXXXXTG6329-Michael Button</v>
      </c>
      <c r="U60" s="17" t="str">
        <f t="shared" si="5"/>
        <v>Brex Credit Card</v>
      </c>
      <c r="V60" s="19" t="str">
        <f>IF(ISBLANK($B60),"",IF(ISBLANK($K60),IF(_xlfn.XLOOKUP($W60,'Category Mapping'!$C:$C,'Category Mapping'!$B:$B)="Travel",_xlfn.XLOOKUP($P60,'Department Listing'!$A:$A,'Department Listing'!$M:$M),_xlfn.XLOOKUP($W60,'Category Mapping'!$C:$C,'Category Mapping'!$D:$D)),$K60))</f>
        <v>General &amp; Administrative:G&amp;A- Travel Expenses:</v>
      </c>
      <c r="W60" s="19" t="str">
        <f t="shared" si="6"/>
        <v>Ground Transportation</v>
      </c>
      <c r="X60" s="19" t="str">
        <f t="shared" si="7"/>
        <v>General &amp; Administrative:G&amp;A- Travel Expenses:Ground Transportation</v>
      </c>
      <c r="Y60" s="20" t="str">
        <f>IF(ISBLANK($M60),IFERROR(_xlfn.XLOOKUP($P60,'Department Listing'!$A:$A,'Department Listing'!$L:$L),""),$M60)</f>
        <v>100- Operations:110- G&amp;A</v>
      </c>
      <c r="Z60" s="11">
        <f>IF(ISBLANK($B60),"",MATCH($X60,COA!$B:$B,0))</f>
        <v>149</v>
      </c>
      <c r="AB60" s="11"/>
    </row>
    <row r="61" spans="2:28" ht="15.75" customHeight="1" x14ac:dyDescent="0.25">
      <c r="B61" s="14">
        <v>46233</v>
      </c>
      <c r="C61" s="15" t="s">
        <v>161</v>
      </c>
      <c r="D61" s="15"/>
      <c r="E61" s="15" t="s">
        <v>147</v>
      </c>
      <c r="F61" s="16">
        <v>54.44</v>
      </c>
      <c r="H61" s="10"/>
      <c r="I61" s="9" t="s">
        <v>162</v>
      </c>
      <c r="J61" s="9"/>
      <c r="K61" s="9"/>
      <c r="L61" s="9" t="s">
        <v>149</v>
      </c>
      <c r="M61" s="9"/>
      <c r="N61" s="17"/>
      <c r="O61" s="17" t="str">
        <f t="shared" si="0"/>
        <v>Karalyn Sims</v>
      </c>
      <c r="P61" s="17">
        <f>IFERROR(_xlfn.XLOOKUP(O61,'Department Listing'!$O$1:$O$395,'Department Listing'!$A$1:$A$395),IFERROR(_xlfn.XLOOKUP(O61,'Name Aliases'!$A$2:$A$1000,'Name Aliases'!$B$2:$B$1000),""))</f>
        <v>144</v>
      </c>
      <c r="Q61" s="18">
        <f t="shared" si="1"/>
        <v>46233</v>
      </c>
      <c r="R61" s="21" t="str">
        <f t="shared" si="2"/>
        <v>Allianz</v>
      </c>
      <c r="S61" s="19">
        <f t="shared" si="3"/>
        <v>54.44</v>
      </c>
      <c r="T61" s="17" t="str">
        <f t="shared" si="4"/>
        <v>ALLIANZ TRAVEL INS MASTERCARD-XXXXXXCDHONB-Karalyn Sims</v>
      </c>
      <c r="U61" s="17" t="str">
        <f t="shared" si="5"/>
        <v>Brex Credit Card</v>
      </c>
      <c r="V61" s="19" t="str">
        <f>IF(ISBLANK($B61),"",IF(ISBLANK($K61),IF(_xlfn.XLOOKUP($W61,'Category Mapping'!$C:$C,'Category Mapping'!$B:$B)="Travel",_xlfn.XLOOKUP($P61,'Department Listing'!$A:$A,'Department Listing'!$M:$M),_xlfn.XLOOKUP($W61,'Category Mapping'!$C:$C,'Category Mapping'!$D:$D)),$K61))</f>
        <v>Sales &amp; Marketing:Sales &amp; Marketing- Travel Expenses:</v>
      </c>
      <c r="W61" s="19" t="str">
        <f t="shared" si="6"/>
        <v>Other Travel Expenses</v>
      </c>
      <c r="X61" s="19" t="str">
        <f t="shared" si="7"/>
        <v>Sales &amp; Marketing:Sales &amp; Marketing- Travel Expenses:Other Travel Expenses</v>
      </c>
      <c r="Y61" s="20" t="str">
        <f>IF(ISBLANK($M61),IFERROR(_xlfn.XLOOKUP($P61,'Department Listing'!$A:$A,'Department Listing'!$L:$L),""),$M61)</f>
        <v>100- Operations:120- Marketing</v>
      </c>
      <c r="Z61" s="11">
        <f>IF(ISBLANK($B61),"",MATCH($X61,COA!$B:$B,0))</f>
        <v>203</v>
      </c>
      <c r="AB61" s="11"/>
    </row>
    <row r="62" spans="2:28" ht="15.75" customHeight="1" x14ac:dyDescent="0.25">
      <c r="B62" s="14">
        <v>46233</v>
      </c>
      <c r="C62" s="15" t="s">
        <v>163</v>
      </c>
      <c r="D62" s="15"/>
      <c r="E62" s="15"/>
      <c r="F62" s="16">
        <v>19.989999999999998</v>
      </c>
      <c r="H62" s="10"/>
      <c r="I62" s="9" t="s">
        <v>164</v>
      </c>
      <c r="J62" s="9"/>
      <c r="K62" s="22"/>
      <c r="L62" s="9" t="s">
        <v>165</v>
      </c>
      <c r="M62" s="22"/>
      <c r="N62" s="17"/>
      <c r="O62" s="17" t="str">
        <f t="shared" si="0"/>
        <v>Karalyn Sims</v>
      </c>
      <c r="P62" s="17">
        <f>IFERROR(_xlfn.XLOOKUP(O62,'Department Listing'!$O$1:$O$395,'Department Listing'!$A$1:$A$395),IFERROR(_xlfn.XLOOKUP(O62,'Name Aliases'!$A$2:$A$1000,'Name Aliases'!$B$2:$B$1000),""))</f>
        <v>144</v>
      </c>
      <c r="Q62" s="18">
        <f t="shared" si="1"/>
        <v>46233</v>
      </c>
      <c r="R62" s="17" t="str">
        <f t="shared" si="2"/>
        <v>Delta</v>
      </c>
      <c r="S62" s="19">
        <f t="shared" si="3"/>
        <v>19.989999999999998</v>
      </c>
      <c r="T62" s="17" t="str">
        <f t="shared" si="4"/>
        <v>DELTA MASTERCARD-XXXXXXY5DIEO-Karalyn Sims</v>
      </c>
      <c r="U62" s="17" t="str">
        <f t="shared" si="5"/>
        <v>Brex Credit Card</v>
      </c>
      <c r="V62" s="19" t="str">
        <f>IF(ISBLANK($B62),"",IF(ISBLANK($K62),IF(_xlfn.XLOOKUP($W62,'Category Mapping'!$C:$C,'Category Mapping'!$B:$B)="Travel",_xlfn.XLOOKUP($P62,'Department Listing'!$A:$A,'Department Listing'!$M:$M),_xlfn.XLOOKUP($W62,'Category Mapping'!$C:$C,'Category Mapping'!$D:$D)),$K62))</f>
        <v>Sales &amp; Marketing:Sales &amp; Marketing- Travel Expenses:</v>
      </c>
      <c r="W62" s="19" t="str">
        <f t="shared" si="6"/>
        <v>Airfare</v>
      </c>
      <c r="X62" s="19" t="str">
        <f t="shared" si="7"/>
        <v>Sales &amp; Marketing:Sales &amp; Marketing- Travel Expenses:Airfare</v>
      </c>
      <c r="Y62" s="20" t="str">
        <f>IF(ISBLANK($M62),IFERROR(_xlfn.XLOOKUP($P62,'Department Listing'!$A:$A,'Department Listing'!$L:$L),""),$M62)</f>
        <v>100- Operations:120- Marketing</v>
      </c>
      <c r="Z62" s="11">
        <f>IF(ISBLANK($B62),"",MATCH($X62,COA!$B:$B,0))</f>
        <v>199</v>
      </c>
      <c r="AB62" s="11"/>
    </row>
    <row r="63" spans="2:28" ht="15.75" customHeight="1" x14ac:dyDescent="0.25">
      <c r="B63" s="14">
        <v>46233</v>
      </c>
      <c r="C63" s="15" t="s">
        <v>166</v>
      </c>
      <c r="D63" s="15"/>
      <c r="E63" s="15"/>
      <c r="F63" s="16">
        <v>54.99</v>
      </c>
      <c r="H63" s="10"/>
      <c r="I63" s="9" t="s">
        <v>164</v>
      </c>
      <c r="J63" s="9"/>
      <c r="K63" s="9"/>
      <c r="L63" s="9" t="s">
        <v>165</v>
      </c>
      <c r="M63" s="9"/>
      <c r="N63" s="17"/>
      <c r="O63" s="17" t="str">
        <f t="shared" si="0"/>
        <v>Karalyn Sims</v>
      </c>
      <c r="P63" s="17">
        <f>IFERROR(_xlfn.XLOOKUP(O63,'Department Listing'!$O$1:$O$395,'Department Listing'!$A$1:$A$395),IFERROR(_xlfn.XLOOKUP(O63,'Name Aliases'!$A$2:$A$1000,'Name Aliases'!$B$2:$B$1000),""))</f>
        <v>144</v>
      </c>
      <c r="Q63" s="18">
        <f t="shared" si="1"/>
        <v>46233</v>
      </c>
      <c r="R63" s="17" t="str">
        <f t="shared" si="2"/>
        <v>Delta</v>
      </c>
      <c r="S63" s="19">
        <f t="shared" si="3"/>
        <v>54.99</v>
      </c>
      <c r="T63" s="17" t="str">
        <f t="shared" si="4"/>
        <v>DELTA MASTERCARD-XXXXXX7FENXD-Karalyn Sims</v>
      </c>
      <c r="U63" s="17" t="str">
        <f t="shared" si="5"/>
        <v>Brex Credit Card</v>
      </c>
      <c r="V63" s="19" t="str">
        <f>IF(ISBLANK($B63),"",IF(ISBLANK($K63),IF(_xlfn.XLOOKUP($W63,'Category Mapping'!$C:$C,'Category Mapping'!$B:$B)="Travel",_xlfn.XLOOKUP($P63,'Department Listing'!$A:$A,'Department Listing'!$M:$M),_xlfn.XLOOKUP($W63,'Category Mapping'!$C:$C,'Category Mapping'!$D:$D)),$K63))</f>
        <v>Sales &amp; Marketing:Sales &amp; Marketing- Travel Expenses:</v>
      </c>
      <c r="W63" s="19" t="str">
        <f t="shared" si="6"/>
        <v>Airfare</v>
      </c>
      <c r="X63" s="19" t="str">
        <f t="shared" si="7"/>
        <v>Sales &amp; Marketing:Sales &amp; Marketing- Travel Expenses:Airfare</v>
      </c>
      <c r="Y63" s="20" t="str">
        <f>IF(ISBLANK($M63),IFERROR(_xlfn.XLOOKUP($P63,'Department Listing'!$A:$A,'Department Listing'!$L:$L),""),$M63)</f>
        <v>100- Operations:120- Marketing</v>
      </c>
      <c r="Z63" s="11">
        <f>IF(ISBLANK($B63),"",MATCH($X63,COA!$B:$B,0))</f>
        <v>199</v>
      </c>
      <c r="AB63" s="11"/>
    </row>
    <row r="64" spans="2:28" ht="15.75" customHeight="1" x14ac:dyDescent="0.25">
      <c r="B64" s="14">
        <v>46233</v>
      </c>
      <c r="C64" s="15" t="s">
        <v>167</v>
      </c>
      <c r="D64" s="15"/>
      <c r="E64" s="15"/>
      <c r="F64" s="16">
        <v>39.99</v>
      </c>
      <c r="H64" s="10"/>
      <c r="I64" s="9" t="s">
        <v>164</v>
      </c>
      <c r="J64" s="9"/>
      <c r="K64" s="9"/>
      <c r="L64" s="9" t="s">
        <v>165</v>
      </c>
      <c r="M64" s="9"/>
      <c r="N64" s="17"/>
      <c r="O64" s="17" t="str">
        <f t="shared" si="0"/>
        <v>Karalyn Sims</v>
      </c>
      <c r="P64" s="17">
        <f>IFERROR(_xlfn.XLOOKUP(O64,'Department Listing'!$O$1:$O$395,'Department Listing'!$A$1:$A$395),IFERROR(_xlfn.XLOOKUP(O64,'Name Aliases'!$A$2:$A$1000,'Name Aliases'!$B$2:$B$1000),""))</f>
        <v>144</v>
      </c>
      <c r="Q64" s="18">
        <f t="shared" si="1"/>
        <v>46233</v>
      </c>
      <c r="R64" s="17" t="str">
        <f t="shared" si="2"/>
        <v>Delta</v>
      </c>
      <c r="S64" s="19">
        <f t="shared" si="3"/>
        <v>39.99</v>
      </c>
      <c r="T64" s="17" t="str">
        <f t="shared" si="4"/>
        <v>DELTA MASTERCARD-XXXXXX22AKKS-Karalyn Sims</v>
      </c>
      <c r="U64" s="17" t="str">
        <f t="shared" si="5"/>
        <v>Brex Credit Card</v>
      </c>
      <c r="V64" s="19" t="str">
        <f>IF(ISBLANK($B64),"",IF(ISBLANK($K64),IF(_xlfn.XLOOKUP($W64,'Category Mapping'!$C:$C,'Category Mapping'!$B:$B)="Travel",_xlfn.XLOOKUP($P64,'Department Listing'!$A:$A,'Department Listing'!$M:$M),_xlfn.XLOOKUP($W64,'Category Mapping'!$C:$C,'Category Mapping'!$D:$D)),$K64))</f>
        <v>Sales &amp; Marketing:Sales &amp; Marketing- Travel Expenses:</v>
      </c>
      <c r="W64" s="19" t="str">
        <f t="shared" si="6"/>
        <v>Airfare</v>
      </c>
      <c r="X64" s="19" t="str">
        <f t="shared" si="7"/>
        <v>Sales &amp; Marketing:Sales &amp; Marketing- Travel Expenses:Airfare</v>
      </c>
      <c r="Y64" s="20" t="str">
        <f>IF(ISBLANK($M64),IFERROR(_xlfn.XLOOKUP($P64,'Department Listing'!$A:$A,'Department Listing'!$L:$L),""),$M64)</f>
        <v>100- Operations:120- Marketing</v>
      </c>
      <c r="Z64" s="11">
        <f>IF(ISBLANK($B64),"",MATCH($X64,COA!$B:$B,0))</f>
        <v>199</v>
      </c>
      <c r="AB64" s="11"/>
    </row>
    <row r="65" spans="2:28" ht="15.75" customHeight="1" x14ac:dyDescent="0.25">
      <c r="B65" s="14">
        <v>46233</v>
      </c>
      <c r="C65" s="15" t="s">
        <v>168</v>
      </c>
      <c r="D65" s="15"/>
      <c r="E65" s="15"/>
      <c r="F65" s="16">
        <v>691.6</v>
      </c>
      <c r="H65" s="10"/>
      <c r="I65" s="9" t="s">
        <v>164</v>
      </c>
      <c r="J65" s="9"/>
      <c r="K65" s="9"/>
      <c r="L65" s="9" t="s">
        <v>165</v>
      </c>
      <c r="M65" s="9"/>
      <c r="N65" s="17"/>
      <c r="O65" s="17" t="str">
        <f t="shared" si="0"/>
        <v>Karalyn Sims</v>
      </c>
      <c r="P65" s="17">
        <f>IFERROR(_xlfn.XLOOKUP(O65,'Department Listing'!$O$1:$O$395,'Department Listing'!$A$1:$A$395),IFERROR(_xlfn.XLOOKUP(O65,'Name Aliases'!$A$2:$A$1000,'Name Aliases'!$B$2:$B$1000),""))</f>
        <v>144</v>
      </c>
      <c r="Q65" s="18">
        <f t="shared" si="1"/>
        <v>46233</v>
      </c>
      <c r="R65" s="17" t="str">
        <f t="shared" si="2"/>
        <v>Delta</v>
      </c>
      <c r="S65" s="19">
        <f t="shared" si="3"/>
        <v>691.6</v>
      </c>
      <c r="T65" s="17" t="str">
        <f t="shared" si="4"/>
        <v>DELTA MASTERCARD-XXXXXXO1FWMP-Karalyn Sims</v>
      </c>
      <c r="U65" s="17" t="str">
        <f t="shared" si="5"/>
        <v>Brex Credit Card</v>
      </c>
      <c r="V65" s="19" t="str">
        <f>IF(ISBLANK($B65),"",IF(ISBLANK($K65),IF(_xlfn.XLOOKUP($W65,'Category Mapping'!$C:$C,'Category Mapping'!$B:$B)="Travel",_xlfn.XLOOKUP($P65,'Department Listing'!$A:$A,'Department Listing'!$M:$M),_xlfn.XLOOKUP($W65,'Category Mapping'!$C:$C,'Category Mapping'!$D:$D)),$K65))</f>
        <v>Sales &amp; Marketing:Sales &amp; Marketing- Travel Expenses:</v>
      </c>
      <c r="W65" s="19" t="str">
        <f t="shared" si="6"/>
        <v>Airfare</v>
      </c>
      <c r="X65" s="19" t="str">
        <f t="shared" si="7"/>
        <v>Sales &amp; Marketing:Sales &amp; Marketing- Travel Expenses:Airfare</v>
      </c>
      <c r="Y65" s="20" t="str">
        <f>IF(ISBLANK($M65),IFERROR(_xlfn.XLOOKUP($P65,'Department Listing'!$A:$A,'Department Listing'!$L:$L),""),$M65)</f>
        <v>100- Operations:120- Marketing</v>
      </c>
      <c r="Z65" s="11">
        <f>IF(ISBLANK($B65),"",MATCH($X65,COA!$B:$B,0))</f>
        <v>199</v>
      </c>
      <c r="AB65" s="11"/>
    </row>
    <row r="66" spans="2:28" ht="15.75" customHeight="1" x14ac:dyDescent="0.25">
      <c r="B66" s="14">
        <v>46233</v>
      </c>
      <c r="C66" s="15" t="s">
        <v>169</v>
      </c>
      <c r="D66" s="15"/>
      <c r="E66" s="15" t="s">
        <v>64</v>
      </c>
      <c r="F66" s="16">
        <v>13.95</v>
      </c>
      <c r="H66" s="10"/>
      <c r="I66" s="9" t="s">
        <v>74</v>
      </c>
      <c r="J66" s="9"/>
      <c r="K66" s="9"/>
      <c r="L66" s="9" t="s">
        <v>66</v>
      </c>
      <c r="M66" s="9"/>
      <c r="N66" s="17"/>
      <c r="O66" s="17" t="str">
        <f t="shared" si="0"/>
        <v>Michael Button</v>
      </c>
      <c r="P66" s="17">
        <f>IFERROR(_xlfn.XLOOKUP(O66,'Department Listing'!$O$1:$O$395,'Department Listing'!$A$1:$A$395),IFERROR(_xlfn.XLOOKUP(O66,'Name Aliases'!$A$2:$A$1000,'Name Aliases'!$B$2:$B$1000),""))</f>
        <v>273</v>
      </c>
      <c r="Q66" s="18">
        <f t="shared" si="1"/>
        <v>46233</v>
      </c>
      <c r="R66" s="17" t="str">
        <f t="shared" si="2"/>
        <v>Uber</v>
      </c>
      <c r="S66" s="19">
        <f t="shared" si="3"/>
        <v>13.95</v>
      </c>
      <c r="T66" s="17" t="str">
        <f t="shared" si="4"/>
        <v>UBER   *TRIP MASTERCARD-XXXXXXI1L1UK-Michael Button</v>
      </c>
      <c r="U66" s="17" t="str">
        <f t="shared" si="5"/>
        <v>Brex Credit Card</v>
      </c>
      <c r="V66" s="19" t="str">
        <f>IF(ISBLANK($B66),"",IF(ISBLANK($K66),IF(_xlfn.XLOOKUP($W66,'Category Mapping'!$C:$C,'Category Mapping'!$B:$B)="Travel",_xlfn.XLOOKUP($P66,'Department Listing'!$A:$A,'Department Listing'!$M:$M),_xlfn.XLOOKUP($W66,'Category Mapping'!$C:$C,'Category Mapping'!$D:$D)),$K66))</f>
        <v>General &amp; Administrative:G&amp;A- Travel Expenses:</v>
      </c>
      <c r="W66" s="19" t="str">
        <f t="shared" si="6"/>
        <v>Ground Transportation</v>
      </c>
      <c r="X66" s="19" t="str">
        <f t="shared" si="7"/>
        <v>General &amp; Administrative:G&amp;A- Travel Expenses:Ground Transportation</v>
      </c>
      <c r="Y66" s="20" t="str">
        <f>IF(ISBLANK($M66),IFERROR(_xlfn.XLOOKUP($P66,'Department Listing'!$A:$A,'Department Listing'!$L:$L),""),$M66)</f>
        <v>100- Operations:110- G&amp;A</v>
      </c>
      <c r="Z66" s="11">
        <f>IF(ISBLANK($B66),"",MATCH($X66,COA!$B:$B,0))</f>
        <v>149</v>
      </c>
      <c r="AB66" s="11"/>
    </row>
    <row r="67" spans="2:28" ht="15.75" customHeight="1" x14ac:dyDescent="0.25">
      <c r="B67" s="14">
        <v>46233</v>
      </c>
      <c r="C67" s="15" t="s">
        <v>170</v>
      </c>
      <c r="D67" s="15"/>
      <c r="E67" s="15" t="s">
        <v>64</v>
      </c>
      <c r="F67" s="16">
        <v>41.95</v>
      </c>
      <c r="H67" s="10"/>
      <c r="I67" s="9" t="s">
        <v>74</v>
      </c>
      <c r="J67" s="9"/>
      <c r="K67" s="9"/>
      <c r="L67" s="9" t="s">
        <v>66</v>
      </c>
      <c r="M67" s="9"/>
      <c r="N67" s="17"/>
      <c r="O67" s="17" t="str">
        <f t="shared" si="0"/>
        <v>Tanner Ylvisaker</v>
      </c>
      <c r="P67" s="17">
        <f>IFERROR(_xlfn.XLOOKUP(O67,'Department Listing'!$O$1:$O$395,'Department Listing'!$A$1:$A$395),IFERROR(_xlfn.XLOOKUP(O67,'Name Aliases'!$A$2:$A$1000,'Name Aliases'!$B$2:$B$1000),""))</f>
        <v>99</v>
      </c>
      <c r="Q67" s="18">
        <f t="shared" si="1"/>
        <v>46233</v>
      </c>
      <c r="R67" s="17" t="str">
        <f t="shared" si="2"/>
        <v>Uber</v>
      </c>
      <c r="S67" s="19">
        <f t="shared" si="3"/>
        <v>41.95</v>
      </c>
      <c r="T67" s="17" t="str">
        <f t="shared" si="4"/>
        <v>UBER   *TRIP MASTERCARD-XXXXXXCK940K-Tanner Ylvisaker</v>
      </c>
      <c r="U67" s="17" t="str">
        <f t="shared" si="5"/>
        <v>Brex Credit Card</v>
      </c>
      <c r="V67" s="19" t="str">
        <f>IF(ISBLANK($B67),"",IF(ISBLANK($K67),IF(_xlfn.XLOOKUP($W67,'Category Mapping'!$C:$C,'Category Mapping'!$B:$B)="Travel",_xlfn.XLOOKUP($P67,'Department Listing'!$A:$A,'Department Listing'!$M:$M),_xlfn.XLOOKUP($W67,'Category Mapping'!$C:$C,'Category Mapping'!$D:$D)),$K67))</f>
        <v>Cost of Goods Sold:COGS- Travel Expenses:</v>
      </c>
      <c r="W67" s="19" t="str">
        <f t="shared" si="6"/>
        <v>Ground Transportation</v>
      </c>
      <c r="X67" s="19" t="str">
        <f t="shared" si="7"/>
        <v>Cost of Goods Sold:COGS- Travel Expenses:Ground Transportation</v>
      </c>
      <c r="Y67" s="20" t="str">
        <f>IF(ISBLANK($M67),IFERROR(_xlfn.XLOOKUP($P67,'Department Listing'!$A:$A,'Department Listing'!$L:$L),""),$M67)</f>
        <v>300- ServiceNow:320- Engineering</v>
      </c>
      <c r="Z67" s="11">
        <f>IF(ISBLANK($B67),"",MATCH($X67,COA!$B:$B,0))</f>
        <v>124</v>
      </c>
      <c r="AB67" s="11"/>
    </row>
    <row r="68" spans="2:28" ht="15.75" customHeight="1" x14ac:dyDescent="0.25">
      <c r="B68" s="14">
        <v>46233</v>
      </c>
      <c r="C68" s="15" t="s">
        <v>171</v>
      </c>
      <c r="D68" s="15"/>
      <c r="E68" s="15" t="s">
        <v>76</v>
      </c>
      <c r="F68" s="16">
        <v>15.25</v>
      </c>
      <c r="H68" s="10"/>
      <c r="I68" s="9" t="s">
        <v>144</v>
      </c>
      <c r="J68" s="9"/>
      <c r="K68" s="9"/>
      <c r="L68" s="9" t="s">
        <v>78</v>
      </c>
      <c r="M68" s="9"/>
      <c r="N68" s="17"/>
      <c r="O68" s="17" t="str">
        <f t="shared" ref="O68:O131" si="8">IF(C68="", "", TRIM(RIGHT(C68, LEN(C68) - FIND("@@", SUBSTITUTE(C68, "-", "@@", LEN(C68) - LEN(SUBSTITUTE(C68, "-", "")))))))</f>
        <v>Michael Joyce</v>
      </c>
      <c r="P68" s="17">
        <f>IFERROR(_xlfn.XLOOKUP(O68,'Department Listing'!$O$1:$O$395,'Department Listing'!$A$1:$A$395),IFERROR(_xlfn.XLOOKUP(O68,'Name Aliases'!$A$2:$A$1000,'Name Aliases'!$B$2:$B$1000),""))</f>
        <v>290</v>
      </c>
      <c r="Q68" s="18">
        <f t="shared" ref="Q68:Q131" si="9">IF(ISBLANK($C68),"",$B68)</f>
        <v>46233</v>
      </c>
      <c r="R68" s="17" t="str">
        <f t="shared" ref="R68:R131" si="10">IF(ISBLANK($C68),"",IF(ISBLANK($I68),$D68,$I68))</f>
        <v>Tatte</v>
      </c>
      <c r="S68" s="19">
        <f t="shared" ref="S68:S131" si="11">IF(ISBLANK($C68),"",$F68 - $G68)</f>
        <v>15.25</v>
      </c>
      <c r="T68" s="17" t="str">
        <f t="shared" ref="T68:T131" si="12">IF(ISBLANK($C68),"",C68)</f>
        <v>TST* TATTE BAKERY BACK MASTERCARD-XXXXXX9QFEIY-Michael Joyce</v>
      </c>
      <c r="U68" s="17" t="str">
        <f t="shared" ref="U68:U131" si="13">IF(ISBLANK($C68),"",$D$1)</f>
        <v>Brex Credit Card</v>
      </c>
      <c r="V68" s="19" t="str">
        <f>IF(ISBLANK($B68),"",IF(ISBLANK($K68),IF(_xlfn.XLOOKUP($W68,'Category Mapping'!$C:$C,'Category Mapping'!$B:$B)="Travel",_xlfn.XLOOKUP($P68,'Department Listing'!$A:$A,'Department Listing'!$M:$M),_xlfn.XLOOKUP($W68,'Category Mapping'!$C:$C,'Category Mapping'!$D:$D)),$K68))</f>
        <v>Cost of Goods Sold:COGS- Travel Expenses:</v>
      </c>
      <c r="W68" s="19" t="str">
        <f t="shared" ref="W68:W131" si="14">IF(ISBLANK($B68),"",IF(ISBLANK($L68),RIGHT($E68,LEN($E68) - FIND("^",SUBSTITUTE($E68,":","^",LEN($E68) - LEN(SUBSTITUTE($E68,":",""))))),$L68))</f>
        <v>Meals &amp; Entertainment</v>
      </c>
      <c r="X68" s="19" t="str">
        <f t="shared" ref="X68:X131" si="15">IF(ISBLANK($J68),$V68&amp;$W68,$J68)</f>
        <v>Cost of Goods Sold:COGS- Travel Expenses:Meals &amp; Entertainment</v>
      </c>
      <c r="Y68" s="20" t="str">
        <f>IF(ISBLANK($M68),IFERROR(_xlfn.XLOOKUP($P68,'Department Listing'!$A:$A,'Department Listing'!$L:$L),""),$M68)</f>
        <v>300- ServiceNow:310- Delivery</v>
      </c>
      <c r="Z68" s="11">
        <f>IF(ISBLANK($B68),"",MATCH($X68,COA!$B:$B,0))</f>
        <v>126</v>
      </c>
      <c r="AB68" s="11"/>
    </row>
    <row r="69" spans="2:28" ht="15.75" customHeight="1" x14ac:dyDescent="0.25">
      <c r="B69" s="14">
        <v>46233</v>
      </c>
      <c r="C69" s="15" t="s">
        <v>172</v>
      </c>
      <c r="E69" s="15" t="s">
        <v>76</v>
      </c>
      <c r="F69" s="16">
        <v>16.59</v>
      </c>
      <c r="H69" s="10"/>
      <c r="I69" s="9" t="s">
        <v>144</v>
      </c>
      <c r="J69" s="9"/>
      <c r="K69" s="9"/>
      <c r="L69" s="9" t="s">
        <v>78</v>
      </c>
      <c r="M69" s="9"/>
      <c r="N69" s="17"/>
      <c r="O69" s="17" t="str">
        <f t="shared" si="8"/>
        <v>Mickenzi Krpec</v>
      </c>
      <c r="P69" s="17">
        <f>IFERROR(_xlfn.XLOOKUP(O69,'Department Listing'!$O$1:$O$395,'Department Listing'!$A$1:$A$395),IFERROR(_xlfn.XLOOKUP(O69,'Name Aliases'!$A$2:$A$1000,'Name Aliases'!$B$2:$B$1000),""))</f>
        <v>170</v>
      </c>
      <c r="Q69" s="18">
        <f t="shared" si="9"/>
        <v>46233</v>
      </c>
      <c r="R69" s="17" t="str">
        <f t="shared" si="10"/>
        <v>Tatte</v>
      </c>
      <c r="S69" s="19">
        <f t="shared" si="11"/>
        <v>16.59</v>
      </c>
      <c r="T69" s="17" t="str">
        <f t="shared" si="12"/>
        <v>TATTEBAKERY MASTERCARD-XXXXXXZZBWEZ-Mickenzi Krpec</v>
      </c>
      <c r="U69" s="17" t="str">
        <f t="shared" si="13"/>
        <v>Brex Credit Card</v>
      </c>
      <c r="V69" s="19" t="str">
        <f>IF(ISBLANK($B69),"",IF(ISBLANK($K69),IF(_xlfn.XLOOKUP($W69,'Category Mapping'!$C:$C,'Category Mapping'!$B:$B)="Travel",_xlfn.XLOOKUP($P69,'Department Listing'!$A:$A,'Department Listing'!$M:$M),_xlfn.XLOOKUP($W69,'Category Mapping'!$C:$C,'Category Mapping'!$D:$D)),$K69))</f>
        <v>General &amp; Administrative:G&amp;A- Travel Expenses:</v>
      </c>
      <c r="W69" s="19" t="str">
        <f t="shared" si="14"/>
        <v>Meals &amp; Entertainment</v>
      </c>
      <c r="X69" s="19" t="str">
        <f t="shared" si="15"/>
        <v>General &amp; Administrative:G&amp;A- Travel Expenses:Meals &amp; Entertainment</v>
      </c>
      <c r="Y69" s="20" t="str">
        <f>IF(ISBLANK($M69),IFERROR(_xlfn.XLOOKUP($P69,'Department Listing'!$A:$A,'Department Listing'!$L:$L),""),$M69)</f>
        <v>100- Operations:110- G&amp;A</v>
      </c>
      <c r="Z69" s="11">
        <f>IF(ISBLANK($B69),"",MATCH($X69,COA!$B:$B,0))</f>
        <v>151</v>
      </c>
      <c r="AB69" s="11"/>
    </row>
    <row r="70" spans="2:28" ht="15.75" customHeight="1" x14ac:dyDescent="0.25">
      <c r="B70" s="14">
        <v>46233</v>
      </c>
      <c r="C70" s="15" t="s">
        <v>173</v>
      </c>
      <c r="D70" s="15"/>
      <c r="E70" s="15" t="s">
        <v>64</v>
      </c>
      <c r="F70" s="16">
        <v>5</v>
      </c>
      <c r="H70" s="10"/>
      <c r="I70" s="9" t="s">
        <v>74</v>
      </c>
      <c r="J70" s="9"/>
      <c r="K70" s="9"/>
      <c r="L70" s="9" t="s">
        <v>66</v>
      </c>
      <c r="M70" s="9"/>
      <c r="N70" s="17"/>
      <c r="O70" s="17" t="str">
        <f t="shared" si="8"/>
        <v>Michael Button</v>
      </c>
      <c r="P70" s="17">
        <f>IFERROR(_xlfn.XLOOKUP(O70,'Department Listing'!$O$1:$O$395,'Department Listing'!$A$1:$A$395),IFERROR(_xlfn.XLOOKUP(O70,'Name Aliases'!$A$2:$A$1000,'Name Aliases'!$B$2:$B$1000),""))</f>
        <v>273</v>
      </c>
      <c r="Q70" s="18">
        <f t="shared" si="9"/>
        <v>46233</v>
      </c>
      <c r="R70" s="17" t="str">
        <f t="shared" si="10"/>
        <v>Uber</v>
      </c>
      <c r="S70" s="19">
        <f t="shared" si="11"/>
        <v>5</v>
      </c>
      <c r="T70" s="17" t="str">
        <f t="shared" si="12"/>
        <v>UBER   *TRIP MASTERCARD-XXXXXXJA4V8M-Michael Button</v>
      </c>
      <c r="U70" s="17" t="str">
        <f t="shared" si="13"/>
        <v>Brex Credit Card</v>
      </c>
      <c r="V70" s="19" t="str">
        <f>IF(ISBLANK($B70),"",IF(ISBLANK($K70),IF(_xlfn.XLOOKUP($W70,'Category Mapping'!$C:$C,'Category Mapping'!$B:$B)="Travel",_xlfn.XLOOKUP($P70,'Department Listing'!$A:$A,'Department Listing'!$M:$M),_xlfn.XLOOKUP($W70,'Category Mapping'!$C:$C,'Category Mapping'!$D:$D)),$K70))</f>
        <v>General &amp; Administrative:G&amp;A- Travel Expenses:</v>
      </c>
      <c r="W70" s="19" t="str">
        <f t="shared" si="14"/>
        <v>Ground Transportation</v>
      </c>
      <c r="X70" s="19" t="str">
        <f t="shared" si="15"/>
        <v>General &amp; Administrative:G&amp;A- Travel Expenses:Ground Transportation</v>
      </c>
      <c r="Y70" s="20" t="str">
        <f>IF(ISBLANK($M70),IFERROR(_xlfn.XLOOKUP($P70,'Department Listing'!$A:$A,'Department Listing'!$L:$L),""),$M70)</f>
        <v>100- Operations:110- G&amp;A</v>
      </c>
      <c r="Z70" s="11">
        <f>IF(ISBLANK($B70),"",MATCH($X70,COA!$B:$B,0))</f>
        <v>149</v>
      </c>
      <c r="AB70" s="11"/>
    </row>
    <row r="71" spans="2:28" ht="15.75" customHeight="1" x14ac:dyDescent="0.25">
      <c r="B71" s="14">
        <v>46233</v>
      </c>
      <c r="C71" s="15" t="s">
        <v>174</v>
      </c>
      <c r="E71" s="15" t="s">
        <v>64</v>
      </c>
      <c r="F71" s="16">
        <v>12.98</v>
      </c>
      <c r="H71" s="10"/>
      <c r="I71" s="9" t="s">
        <v>74</v>
      </c>
      <c r="J71" s="9"/>
      <c r="K71" s="9"/>
      <c r="L71" s="9" t="s">
        <v>66</v>
      </c>
      <c r="M71" s="9"/>
      <c r="N71" s="17"/>
      <c r="O71" s="17" t="str">
        <f t="shared" si="8"/>
        <v>Michael Button</v>
      </c>
      <c r="P71" s="17">
        <f>IFERROR(_xlfn.XLOOKUP(O71,'Department Listing'!$O$1:$O$395,'Department Listing'!$A$1:$A$395),IFERROR(_xlfn.XLOOKUP(O71,'Name Aliases'!$A$2:$A$1000,'Name Aliases'!$B$2:$B$1000),""))</f>
        <v>273</v>
      </c>
      <c r="Q71" s="18">
        <f t="shared" si="9"/>
        <v>46233</v>
      </c>
      <c r="R71" s="17" t="str">
        <f t="shared" si="10"/>
        <v>Uber</v>
      </c>
      <c r="S71" s="19">
        <f t="shared" si="11"/>
        <v>12.98</v>
      </c>
      <c r="T71" s="17" t="str">
        <f t="shared" si="12"/>
        <v>UBER   *TRIP MASTERCARD-XXXXXXV1AKMB-Michael Button</v>
      </c>
      <c r="U71" s="17" t="str">
        <f t="shared" si="13"/>
        <v>Brex Credit Card</v>
      </c>
      <c r="V71" s="19" t="str">
        <f>IF(ISBLANK($B71),"",IF(ISBLANK($K71),IF(_xlfn.XLOOKUP($W71,'Category Mapping'!$C:$C,'Category Mapping'!$B:$B)="Travel",_xlfn.XLOOKUP($P71,'Department Listing'!$A:$A,'Department Listing'!$M:$M),_xlfn.XLOOKUP($W71,'Category Mapping'!$C:$C,'Category Mapping'!$D:$D)),$K71))</f>
        <v>General &amp; Administrative:G&amp;A- Travel Expenses:</v>
      </c>
      <c r="W71" s="19" t="str">
        <f t="shared" si="14"/>
        <v>Ground Transportation</v>
      </c>
      <c r="X71" s="19" t="str">
        <f t="shared" si="15"/>
        <v>General &amp; Administrative:G&amp;A- Travel Expenses:Ground Transportation</v>
      </c>
      <c r="Y71" s="20" t="str">
        <f>IF(ISBLANK($M71),IFERROR(_xlfn.XLOOKUP($P71,'Department Listing'!$A:$A,'Department Listing'!$L:$L),""),$M71)</f>
        <v>100- Operations:110- G&amp;A</v>
      </c>
      <c r="Z71" s="11">
        <f>IF(ISBLANK($B71),"",MATCH($X71,COA!$B:$B,0))</f>
        <v>149</v>
      </c>
      <c r="AB71" s="11"/>
    </row>
    <row r="72" spans="2:28" ht="15.75" customHeight="1" x14ac:dyDescent="0.25">
      <c r="B72" s="14">
        <v>46233</v>
      </c>
      <c r="C72" s="15" t="s">
        <v>175</v>
      </c>
      <c r="D72" s="15"/>
      <c r="E72" s="15" t="s">
        <v>76</v>
      </c>
      <c r="F72" s="16">
        <v>35.86</v>
      </c>
      <c r="H72" s="10"/>
      <c r="I72" s="9" t="s">
        <v>36</v>
      </c>
      <c r="J72" s="9"/>
      <c r="K72" s="9"/>
      <c r="L72" s="9" t="s">
        <v>78</v>
      </c>
      <c r="M72" s="9"/>
      <c r="N72" s="17"/>
      <c r="O72" s="17" t="str">
        <f t="shared" si="8"/>
        <v>Chloe Brant</v>
      </c>
      <c r="P72" s="17">
        <f>IFERROR(_xlfn.XLOOKUP(O72,'Department Listing'!$O$1:$O$395,'Department Listing'!$A$1:$A$395),IFERROR(_xlfn.XLOOKUP(O72,'Name Aliases'!$A$2:$A$1000,'Name Aliases'!$B$2:$B$1000),""))</f>
        <v>77</v>
      </c>
      <c r="Q72" s="18">
        <f t="shared" si="9"/>
        <v>46233</v>
      </c>
      <c r="R72" s="17" t="str">
        <f t="shared" si="10"/>
        <v>Food Vendor</v>
      </c>
      <c r="S72" s="19">
        <f t="shared" si="11"/>
        <v>35.86</v>
      </c>
      <c r="T72" s="17" t="str">
        <f t="shared" si="12"/>
        <v>TST* NAYA - 500 BOYLST MASTERCARD-XXXXXXSUJMT5-Chloe Brant</v>
      </c>
      <c r="U72" s="17" t="str">
        <f t="shared" si="13"/>
        <v>Brex Credit Card</v>
      </c>
      <c r="V72" s="19" t="str">
        <f>IF(ISBLANK($B72),"",IF(ISBLANK($K72),IF(_xlfn.XLOOKUP($W72,'Category Mapping'!$C:$C,'Category Mapping'!$B:$B)="Travel",_xlfn.XLOOKUP($P72,'Department Listing'!$A:$A,'Department Listing'!$M:$M),_xlfn.XLOOKUP($W72,'Category Mapping'!$C:$C,'Category Mapping'!$D:$D)),$K72))</f>
        <v>Sales &amp; Marketing:Sales &amp; Marketing- Travel Expenses:</v>
      </c>
      <c r="W72" s="19" t="str">
        <f t="shared" si="14"/>
        <v>Meals &amp; Entertainment</v>
      </c>
      <c r="X72" s="19" t="str">
        <f t="shared" si="15"/>
        <v>Sales &amp; Marketing:Sales &amp; Marketing- Travel Expenses:Meals &amp; Entertainment</v>
      </c>
      <c r="Y72" s="20" t="str">
        <f>IF(ISBLANK($M72),IFERROR(_xlfn.XLOOKUP($P72,'Department Listing'!$A:$A,'Department Listing'!$L:$L),""),$M72)</f>
        <v>300- ServiceNow:330- Sales</v>
      </c>
      <c r="Z72" s="11">
        <f>IF(ISBLANK($B72),"",MATCH($X72,COA!$B:$B,0))</f>
        <v>202</v>
      </c>
      <c r="AB72" s="11"/>
    </row>
    <row r="73" spans="2:28" ht="15.75" customHeight="1" x14ac:dyDescent="0.25">
      <c r="B73" s="14">
        <v>46233</v>
      </c>
      <c r="C73" s="15" t="s">
        <v>176</v>
      </c>
      <c r="E73" s="15" t="s">
        <v>76</v>
      </c>
      <c r="F73" s="16">
        <v>17.93</v>
      </c>
      <c r="H73" s="10"/>
      <c r="I73" s="9" t="s">
        <v>36</v>
      </c>
      <c r="J73" s="9"/>
      <c r="K73" s="9"/>
      <c r="L73" s="9" t="s">
        <v>78</v>
      </c>
      <c r="M73" s="9"/>
      <c r="N73" s="17"/>
      <c r="O73" s="17" t="str">
        <f t="shared" si="8"/>
        <v>Vincent Planz</v>
      </c>
      <c r="P73" s="17">
        <f>IFERROR(_xlfn.XLOOKUP(O73,'Department Listing'!$O$1:$O$395,'Department Listing'!$A$1:$A$395),IFERROR(_xlfn.XLOOKUP(O73,'Name Aliases'!$A$2:$A$1000,'Name Aliases'!$B$2:$B$1000),""))</f>
        <v>107</v>
      </c>
      <c r="Q73" s="18">
        <f t="shared" si="9"/>
        <v>46233</v>
      </c>
      <c r="R73" s="17" t="str">
        <f t="shared" si="10"/>
        <v>Food Vendor</v>
      </c>
      <c r="S73" s="19">
        <f t="shared" si="11"/>
        <v>17.93</v>
      </c>
      <c r="T73" s="17" t="str">
        <f t="shared" si="12"/>
        <v>TST* NAYA - 500 BOYLST MASTERCARD-XXXXXX6CWSC6-Vincent Planz</v>
      </c>
      <c r="U73" s="17" t="str">
        <f t="shared" si="13"/>
        <v>Brex Credit Card</v>
      </c>
      <c r="V73" s="19" t="str">
        <f>IF(ISBLANK($B73),"",IF(ISBLANK($K73),IF(_xlfn.XLOOKUP($W73,'Category Mapping'!$C:$C,'Category Mapping'!$B:$B)="Travel",_xlfn.XLOOKUP($P73,'Department Listing'!$A:$A,'Department Listing'!$M:$M),_xlfn.XLOOKUP($W73,'Category Mapping'!$C:$C,'Category Mapping'!$D:$D)),$K73))</f>
        <v>General &amp; Administrative:G&amp;A- Travel Expenses:</v>
      </c>
      <c r="W73" s="19" t="str">
        <f t="shared" si="14"/>
        <v>Meals &amp; Entertainment</v>
      </c>
      <c r="X73" s="19" t="str">
        <f t="shared" si="15"/>
        <v>General &amp; Administrative:G&amp;A- Travel Expenses:Meals &amp; Entertainment</v>
      </c>
      <c r="Y73" s="20" t="str">
        <f>IF(ISBLANK($M73),IFERROR(_xlfn.XLOOKUP($P73,'Department Listing'!$A:$A,'Department Listing'!$L:$L),""),$M73)</f>
        <v>100- Operations:110- G&amp;A</v>
      </c>
      <c r="Z73" s="11">
        <f>IF(ISBLANK($B73),"",MATCH($X73,COA!$B:$B,0))</f>
        <v>151</v>
      </c>
      <c r="AB73" s="11"/>
    </row>
    <row r="74" spans="2:28" ht="15.75" customHeight="1" x14ac:dyDescent="0.25">
      <c r="B74" s="14">
        <v>46233</v>
      </c>
      <c r="C74" s="15" t="s">
        <v>178</v>
      </c>
      <c r="D74" s="15"/>
      <c r="E74" s="15"/>
      <c r="F74" s="16">
        <v>50</v>
      </c>
      <c r="H74" s="10"/>
      <c r="I74" s="9" t="s">
        <v>37</v>
      </c>
      <c r="J74" s="9"/>
      <c r="K74" s="9"/>
      <c r="L74" s="9" t="s">
        <v>127</v>
      </c>
      <c r="M74" s="9"/>
      <c r="N74" s="17"/>
      <c r="O74" s="17" t="str">
        <f t="shared" si="8"/>
        <v>Matthew Morris</v>
      </c>
      <c r="P74" s="17">
        <f>IFERROR(_xlfn.XLOOKUP(O74,'Department Listing'!$O$1:$O$395,'Department Listing'!$A$1:$A$395),IFERROR(_xlfn.XLOOKUP(O74,'Name Aliases'!$A$2:$A$1000,'Name Aliases'!$B$2:$B$1000),""))</f>
        <v>67</v>
      </c>
      <c r="Q74" s="18">
        <f t="shared" si="9"/>
        <v>46233</v>
      </c>
      <c r="R74" s="17" t="str">
        <f t="shared" si="10"/>
        <v>Office Vendor</v>
      </c>
      <c r="S74" s="19">
        <f t="shared" si="11"/>
        <v>50</v>
      </c>
      <c r="T74" s="17" t="str">
        <f t="shared" si="12"/>
        <v>JINA.AI MASTERCARD-XXXXXX6XWJU0-Matthew Morris</v>
      </c>
      <c r="U74" s="17" t="str">
        <f t="shared" si="13"/>
        <v>Brex Credit Card</v>
      </c>
      <c r="V74" s="19" t="str">
        <f>IF(ISBLANK($B74),"",IF(ISBLANK($K74),IF(_xlfn.XLOOKUP($W74,'Category Mapping'!$C:$C,'Category Mapping'!$B:$B)="Travel",_xlfn.XLOOKUP($P74,'Department Listing'!$A:$A,'Department Listing'!$M:$M),_xlfn.XLOOKUP($W74,'Category Mapping'!$C:$C,'Category Mapping'!$D:$D)),$K74))</f>
        <v>General &amp; Administrative:Office Expenses:</v>
      </c>
      <c r="W74" s="19" t="str">
        <f t="shared" si="14"/>
        <v>Office Supplies</v>
      </c>
      <c r="X74" s="19" t="str">
        <f t="shared" si="15"/>
        <v>General &amp; Administrative:Office Expenses:Office Supplies</v>
      </c>
      <c r="Y74" s="20" t="str">
        <f>IF(ISBLANK($M74),IFERROR(_xlfn.XLOOKUP($P74,'Department Listing'!$A:$A,'Department Listing'!$L:$L),""),$M74)</f>
        <v>300- ServiceNow:330- Sales</v>
      </c>
      <c r="Z74" s="11">
        <f>IF(ISBLANK($B74),"",MATCH($X74,COA!$B:$B,0))</f>
        <v>161</v>
      </c>
      <c r="AB74" s="11"/>
    </row>
    <row r="75" spans="2:28" ht="15.75" customHeight="1" x14ac:dyDescent="0.25">
      <c r="B75" s="14">
        <v>46233</v>
      </c>
      <c r="C75" s="15" t="s">
        <v>179</v>
      </c>
      <c r="D75" s="15"/>
      <c r="E75" s="15"/>
      <c r="F75" s="16">
        <v>28.59</v>
      </c>
      <c r="H75" s="10"/>
      <c r="I75" s="9" t="s">
        <v>180</v>
      </c>
      <c r="J75" s="9"/>
      <c r="K75" s="9"/>
      <c r="L75" s="9" t="s">
        <v>149</v>
      </c>
      <c r="M75" s="9"/>
      <c r="N75" s="17"/>
      <c r="O75" s="17" t="str">
        <f t="shared" si="8"/>
        <v>Ryan McStravick</v>
      </c>
      <c r="P75" s="17">
        <f>IFERROR(_xlfn.XLOOKUP(O75,'Department Listing'!$O$1:$O$395,'Department Listing'!$A$1:$A$395),IFERROR(_xlfn.XLOOKUP(O75,'Name Aliases'!$A$2:$A$1000,'Name Aliases'!$B$2:$B$1000),""))</f>
        <v>146</v>
      </c>
      <c r="Q75" s="18">
        <f t="shared" si="9"/>
        <v>46233</v>
      </c>
      <c r="R75" s="17" t="str">
        <f t="shared" si="10"/>
        <v>Exxon</v>
      </c>
      <c r="S75" s="19">
        <f t="shared" si="11"/>
        <v>28.59</v>
      </c>
      <c r="T75" s="17" t="str">
        <f t="shared" si="12"/>
        <v>EXXON MERRITT PKWY GRE MASTERCARD-XXXXXX1AO3VQ-Ryan McStravick</v>
      </c>
      <c r="U75" s="17" t="str">
        <f t="shared" si="13"/>
        <v>Brex Credit Card</v>
      </c>
      <c r="V75" s="19" t="str">
        <f>IF(ISBLANK($B75),"",IF(ISBLANK($K75),IF(_xlfn.XLOOKUP($W75,'Category Mapping'!$C:$C,'Category Mapping'!$B:$B)="Travel",_xlfn.XLOOKUP($P75,'Department Listing'!$A:$A,'Department Listing'!$M:$M),_xlfn.XLOOKUP($W75,'Category Mapping'!$C:$C,'Category Mapping'!$D:$D)),$K75))</f>
        <v>Cost of Goods Sold:COGS- Travel Expenses:</v>
      </c>
      <c r="W75" s="19" t="str">
        <f t="shared" si="14"/>
        <v>Other Travel Expenses</v>
      </c>
      <c r="X75" s="19" t="str">
        <f t="shared" si="15"/>
        <v>Cost of Goods Sold:COGS- Travel Expenses:Other Travel Expenses</v>
      </c>
      <c r="Y75" s="20" t="str">
        <f>IF(ISBLANK($M75),IFERROR(_xlfn.XLOOKUP($P75,'Department Listing'!$A:$A,'Department Listing'!$L:$L),""),$M75)</f>
        <v>300- ServiceNow:320- Engineering</v>
      </c>
      <c r="Z75" s="11">
        <f>IF(ISBLANK($B75),"",MATCH($X75,COA!$B:$B,0))</f>
        <v>127</v>
      </c>
      <c r="AB75" s="11"/>
    </row>
    <row r="76" spans="2:28" ht="15.75" customHeight="1" x14ac:dyDescent="0.25">
      <c r="B76" s="14">
        <v>46233</v>
      </c>
      <c r="C76" s="15" t="s">
        <v>182</v>
      </c>
      <c r="D76" s="15"/>
      <c r="E76" s="15" t="s">
        <v>64</v>
      </c>
      <c r="F76" s="16">
        <v>30.94</v>
      </c>
      <c r="H76" s="10"/>
      <c r="I76" s="9" t="s">
        <v>74</v>
      </c>
      <c r="J76" s="9"/>
      <c r="K76" s="9"/>
      <c r="L76" s="9" t="s">
        <v>66</v>
      </c>
      <c r="M76" s="9"/>
      <c r="N76" s="17"/>
      <c r="O76" s="17" t="str">
        <f t="shared" si="8"/>
        <v>Matthew Morris</v>
      </c>
      <c r="P76" s="17">
        <f>IFERROR(_xlfn.XLOOKUP(O76,'Department Listing'!$O$1:$O$395,'Department Listing'!$A$1:$A$395),IFERROR(_xlfn.XLOOKUP(O76,'Name Aliases'!$A$2:$A$1000,'Name Aliases'!$B$2:$B$1000),""))</f>
        <v>67</v>
      </c>
      <c r="Q76" s="18">
        <f t="shared" si="9"/>
        <v>46233</v>
      </c>
      <c r="R76" s="17" t="str">
        <f t="shared" si="10"/>
        <v>Uber</v>
      </c>
      <c r="S76" s="19">
        <f t="shared" si="11"/>
        <v>30.94</v>
      </c>
      <c r="T76" s="17" t="str">
        <f t="shared" si="12"/>
        <v>UBER   *TRIP MASTERCARD-XXXXXXEUJGUH-Matthew Morris</v>
      </c>
      <c r="U76" s="17" t="str">
        <f t="shared" si="13"/>
        <v>Brex Credit Card</v>
      </c>
      <c r="V76" s="19" t="str">
        <f>IF(ISBLANK($B76),"",IF(ISBLANK($K76),IF(_xlfn.XLOOKUP($W76,'Category Mapping'!$C:$C,'Category Mapping'!$B:$B)="Travel",_xlfn.XLOOKUP($P76,'Department Listing'!$A:$A,'Department Listing'!$M:$M),_xlfn.XLOOKUP($W76,'Category Mapping'!$C:$C,'Category Mapping'!$D:$D)),$K76))</f>
        <v>Sales &amp; Marketing:Sales &amp; Marketing- Travel Expenses:</v>
      </c>
      <c r="W76" s="19" t="str">
        <f t="shared" si="14"/>
        <v>Ground Transportation</v>
      </c>
      <c r="X76" s="19" t="str">
        <f t="shared" si="15"/>
        <v>Sales &amp; Marketing:Sales &amp; Marketing- Travel Expenses:Ground Transportation</v>
      </c>
      <c r="Y76" s="20" t="str">
        <f>IF(ISBLANK($M76),IFERROR(_xlfn.XLOOKUP($P76,'Department Listing'!$A:$A,'Department Listing'!$L:$L),""),$M76)</f>
        <v>300- ServiceNow:330- Sales</v>
      </c>
      <c r="Z76" s="11">
        <f>IF(ISBLANK($B76),"",MATCH($X76,COA!$B:$B,0))</f>
        <v>200</v>
      </c>
      <c r="AB76" s="11"/>
    </row>
    <row r="77" spans="2:28" ht="15.75" customHeight="1" x14ac:dyDescent="0.25">
      <c r="B77" s="14">
        <v>46233</v>
      </c>
      <c r="C77" s="15" t="s">
        <v>183</v>
      </c>
      <c r="D77" s="15"/>
      <c r="E77" s="15" t="s">
        <v>64</v>
      </c>
      <c r="F77" s="16">
        <v>25.9</v>
      </c>
      <c r="H77" s="10"/>
      <c r="I77" s="9" t="s">
        <v>74</v>
      </c>
      <c r="J77" s="9"/>
      <c r="K77" s="9"/>
      <c r="L77" s="9" t="s">
        <v>66</v>
      </c>
      <c r="M77" s="9"/>
      <c r="N77" s="17"/>
      <c r="O77" s="17" t="str">
        <f t="shared" si="8"/>
        <v>Ryan Henrich</v>
      </c>
      <c r="P77" s="17">
        <f>IFERROR(_xlfn.XLOOKUP(O77,'Department Listing'!$O$1:$O$395,'Department Listing'!$A$1:$A$395),IFERROR(_xlfn.XLOOKUP(O77,'Name Aliases'!$A$2:$A$1000,'Name Aliases'!$B$2:$B$1000),""))</f>
        <v>154</v>
      </c>
      <c r="Q77" s="18">
        <f t="shared" si="9"/>
        <v>46233</v>
      </c>
      <c r="R77" s="17" t="str">
        <f t="shared" si="10"/>
        <v>Uber</v>
      </c>
      <c r="S77" s="19">
        <f t="shared" si="11"/>
        <v>25.9</v>
      </c>
      <c r="T77" s="17" t="str">
        <f t="shared" si="12"/>
        <v>UBER   *TRIP MASTERCARD-XXXXXX6M94Y6-Ryan Henrich</v>
      </c>
      <c r="U77" s="17" t="str">
        <f t="shared" si="13"/>
        <v>Brex Credit Card</v>
      </c>
      <c r="V77" s="19" t="str">
        <f>IF(ISBLANK($B77),"",IF(ISBLANK($K77),IF(_xlfn.XLOOKUP($W77,'Category Mapping'!$C:$C,'Category Mapping'!$B:$B)="Travel",_xlfn.XLOOKUP($P77,'Department Listing'!$A:$A,'Department Listing'!$M:$M),_xlfn.XLOOKUP($W77,'Category Mapping'!$C:$C,'Category Mapping'!$D:$D)),$K77))</f>
        <v>Sales &amp; Marketing:Sales &amp; Marketing- Travel Expenses:</v>
      </c>
      <c r="W77" s="19" t="str">
        <f t="shared" si="14"/>
        <v>Ground Transportation</v>
      </c>
      <c r="X77" s="19" t="str">
        <f t="shared" si="15"/>
        <v>Sales &amp; Marketing:Sales &amp; Marketing- Travel Expenses:Ground Transportation</v>
      </c>
      <c r="Y77" s="20" t="str">
        <f>IF(ISBLANK($M77),IFERROR(_xlfn.XLOOKUP($P77,'Department Listing'!$A:$A,'Department Listing'!$L:$L),""),$M77)</f>
        <v>200- Datadog:230- Sales</v>
      </c>
      <c r="Z77" s="11">
        <f>IF(ISBLANK($B77),"",MATCH($X77,COA!$B:$B,0))</f>
        <v>200</v>
      </c>
      <c r="AB77" s="11"/>
    </row>
    <row r="78" spans="2:28" ht="15.75" customHeight="1" x14ac:dyDescent="0.25">
      <c r="B78" s="14">
        <v>46233</v>
      </c>
      <c r="C78" s="15" t="s">
        <v>184</v>
      </c>
      <c r="D78" s="15"/>
      <c r="E78" s="15" t="s">
        <v>76</v>
      </c>
      <c r="F78" s="16">
        <v>11.03</v>
      </c>
      <c r="H78" s="10"/>
      <c r="I78" s="9" t="s">
        <v>185</v>
      </c>
      <c r="J78" s="9"/>
      <c r="K78" s="9"/>
      <c r="L78" s="9" t="s">
        <v>78</v>
      </c>
      <c r="M78" s="9"/>
      <c r="N78" s="17"/>
      <c r="O78" s="17" t="str">
        <f t="shared" si="8"/>
        <v>Jacob Woolf</v>
      </c>
      <c r="P78" s="17">
        <f>IFERROR(_xlfn.XLOOKUP(O78,'Department Listing'!$O$1:$O$395,'Department Listing'!$A$1:$A$395),IFERROR(_xlfn.XLOOKUP(O78,'Name Aliases'!$A$2:$A$1000,'Name Aliases'!$B$2:$B$1000),""))</f>
        <v>194</v>
      </c>
      <c r="Q78" s="18">
        <f t="shared" si="9"/>
        <v>46233</v>
      </c>
      <c r="R78" s="17" t="str">
        <f t="shared" si="10"/>
        <v>McDonald's</v>
      </c>
      <c r="S78" s="19">
        <f t="shared" si="11"/>
        <v>11.03</v>
      </c>
      <c r="T78" s="17" t="str">
        <f t="shared" si="12"/>
        <v>MCDONALD'S F20727 MASTERCARD-XXXXXXTQ251D-Jacob Woolf</v>
      </c>
      <c r="U78" s="17" t="str">
        <f t="shared" si="13"/>
        <v>Brex Credit Card</v>
      </c>
      <c r="V78" s="19" t="str">
        <f>IF(ISBLANK($B78),"",IF(ISBLANK($K78),IF(_xlfn.XLOOKUP($W78,'Category Mapping'!$C:$C,'Category Mapping'!$B:$B)="Travel",_xlfn.XLOOKUP($P78,'Department Listing'!$A:$A,'Department Listing'!$M:$M),_xlfn.XLOOKUP($W78,'Category Mapping'!$C:$C,'Category Mapping'!$D:$D)),$K78))</f>
        <v>Cost of Goods Sold:COGS- Travel Expenses:</v>
      </c>
      <c r="W78" s="19" t="str">
        <f t="shared" si="14"/>
        <v>Meals &amp; Entertainment</v>
      </c>
      <c r="X78" s="19" t="str">
        <f t="shared" si="15"/>
        <v>Cost of Goods Sold:COGS- Travel Expenses:Meals &amp; Entertainment</v>
      </c>
      <c r="Y78" s="20" t="str">
        <f>IF(ISBLANK($M78),IFERROR(_xlfn.XLOOKUP($P78,'Department Listing'!$A:$A,'Department Listing'!$L:$L),""),$M78)</f>
        <v>300- ServiceNow:320- Engineering</v>
      </c>
      <c r="Z78" s="11">
        <f>IF(ISBLANK($B78),"",MATCH($X78,COA!$B:$B,0))</f>
        <v>126</v>
      </c>
      <c r="AB78" s="11"/>
    </row>
    <row r="79" spans="2:28" ht="15.75" customHeight="1" x14ac:dyDescent="0.25">
      <c r="B79" s="14">
        <v>46233</v>
      </c>
      <c r="C79" s="15" t="s">
        <v>186</v>
      </c>
      <c r="D79" s="15"/>
      <c r="E79" s="15"/>
      <c r="F79" s="16">
        <v>14.65</v>
      </c>
      <c r="H79" s="10"/>
      <c r="I79" s="9" t="s">
        <v>37</v>
      </c>
      <c r="J79" s="9"/>
      <c r="K79" s="9"/>
      <c r="L79" s="9" t="s">
        <v>127</v>
      </c>
      <c r="M79" s="9"/>
      <c r="N79" s="17"/>
      <c r="O79" s="17" t="str">
        <f t="shared" si="8"/>
        <v>Jacob Woolf</v>
      </c>
      <c r="P79" s="17">
        <f>IFERROR(_xlfn.XLOOKUP(O79,'Department Listing'!$O$1:$O$395,'Department Listing'!$A$1:$A$395),IFERROR(_xlfn.XLOOKUP(O79,'Name Aliases'!$A$2:$A$1000,'Name Aliases'!$B$2:$B$1000),""))</f>
        <v>194</v>
      </c>
      <c r="Q79" s="18">
        <f t="shared" si="9"/>
        <v>46233</v>
      </c>
      <c r="R79" s="17" t="str">
        <f t="shared" si="10"/>
        <v>Office Vendor</v>
      </c>
      <c r="S79" s="19">
        <f t="shared" si="11"/>
        <v>14.65</v>
      </c>
      <c r="T79" s="17" t="str">
        <f t="shared" si="12"/>
        <v>AIR ESSENTIALS 122 DFW MASTERCARD-XXXXXX0QTA9M-Jacob Woolf</v>
      </c>
      <c r="U79" s="17" t="str">
        <f t="shared" si="13"/>
        <v>Brex Credit Card</v>
      </c>
      <c r="V79" s="19" t="str">
        <f>IF(ISBLANK($B79),"",IF(ISBLANK($K79),IF(_xlfn.XLOOKUP($W79,'Category Mapping'!$C:$C,'Category Mapping'!$B:$B)="Travel",_xlfn.XLOOKUP($P79,'Department Listing'!$A:$A,'Department Listing'!$M:$M),_xlfn.XLOOKUP($W79,'Category Mapping'!$C:$C,'Category Mapping'!$D:$D)),$K79))</f>
        <v>General &amp; Administrative:Office Expenses:</v>
      </c>
      <c r="W79" s="19" t="str">
        <f t="shared" si="14"/>
        <v>Office Supplies</v>
      </c>
      <c r="X79" s="19" t="str">
        <f t="shared" si="15"/>
        <v>General &amp; Administrative:Office Expenses:Office Supplies</v>
      </c>
      <c r="Y79" s="20" t="str">
        <f>IF(ISBLANK($M79),IFERROR(_xlfn.XLOOKUP($P79,'Department Listing'!$A:$A,'Department Listing'!$L:$L),""),$M79)</f>
        <v>300- ServiceNow:320- Engineering</v>
      </c>
      <c r="Z79" s="11">
        <f>IF(ISBLANK($B79),"",MATCH($X79,COA!$B:$B,0))</f>
        <v>161</v>
      </c>
      <c r="AB79" s="11"/>
    </row>
    <row r="80" spans="2:28" ht="15.75" customHeight="1" x14ac:dyDescent="0.25">
      <c r="B80" s="14">
        <v>46233</v>
      </c>
      <c r="C80" s="15" t="s">
        <v>187</v>
      </c>
      <c r="E80" s="15" t="s">
        <v>76</v>
      </c>
      <c r="F80" s="16">
        <v>38.369999999999997</v>
      </c>
      <c r="H80" s="10"/>
      <c r="I80" s="9" t="s">
        <v>36</v>
      </c>
      <c r="J80" s="9"/>
      <c r="K80" s="9"/>
      <c r="L80" s="9" t="s">
        <v>78</v>
      </c>
      <c r="M80" s="9"/>
      <c r="N80" s="17"/>
      <c r="O80" s="17" t="str">
        <f t="shared" si="8"/>
        <v>Meghan Murray</v>
      </c>
      <c r="P80" s="17">
        <f>IFERROR(_xlfn.XLOOKUP(O80,'Department Listing'!$O$1:$O$395,'Department Listing'!$A$1:$A$395),IFERROR(_xlfn.XLOOKUP(O80,'Name Aliases'!$A$2:$A$1000,'Name Aliases'!$B$2:$B$1000),""))</f>
        <v>175</v>
      </c>
      <c r="Q80" s="18">
        <f t="shared" si="9"/>
        <v>46233</v>
      </c>
      <c r="R80" s="17" t="str">
        <f t="shared" si="10"/>
        <v>Food Vendor</v>
      </c>
      <c r="S80" s="19">
        <f t="shared" si="11"/>
        <v>38.369999999999997</v>
      </c>
      <c r="T80" s="17" t="str">
        <f t="shared" si="12"/>
        <v>TST* RAMIS MASTERCARD-XXXXXX9NHJTH-Meghan Murray</v>
      </c>
      <c r="U80" s="17" t="str">
        <f t="shared" si="13"/>
        <v>Brex Credit Card</v>
      </c>
      <c r="V80" s="19" t="str">
        <f>IF(ISBLANK($B80),"",IF(ISBLANK($K80),IF(_xlfn.XLOOKUP($W80,'Category Mapping'!$C:$C,'Category Mapping'!$B:$B)="Travel",_xlfn.XLOOKUP($P80,'Department Listing'!$A:$A,'Department Listing'!$M:$M),_xlfn.XLOOKUP($W80,'Category Mapping'!$C:$C,'Category Mapping'!$D:$D)),$K80))</f>
        <v>Cost of Goods Sold:COGS- Travel Expenses:</v>
      </c>
      <c r="W80" s="19" t="str">
        <f t="shared" si="14"/>
        <v>Meals &amp; Entertainment</v>
      </c>
      <c r="X80" s="19" t="str">
        <f t="shared" si="15"/>
        <v>Cost of Goods Sold:COGS- Travel Expenses:Meals &amp; Entertainment</v>
      </c>
      <c r="Y80" s="20" t="str">
        <f>IF(ISBLANK($M80),IFERROR(_xlfn.XLOOKUP($P80,'Department Listing'!$A:$A,'Department Listing'!$L:$L),""),$M80)</f>
        <v>300- ServiceNow:310- Delivery</v>
      </c>
      <c r="Z80" s="11">
        <f>IF(ISBLANK($B80),"",MATCH($X80,COA!$B:$B,0))</f>
        <v>126</v>
      </c>
      <c r="AB80" s="11"/>
    </row>
    <row r="81" spans="2:28" ht="15.75" customHeight="1" x14ac:dyDescent="0.25">
      <c r="B81" s="14">
        <v>46233</v>
      </c>
      <c r="C81" s="15" t="s">
        <v>189</v>
      </c>
      <c r="E81" s="15" t="s">
        <v>76</v>
      </c>
      <c r="F81" s="16">
        <v>12.08</v>
      </c>
      <c r="H81" s="10"/>
      <c r="I81" s="9" t="s">
        <v>190</v>
      </c>
      <c r="J81" s="9"/>
      <c r="K81" s="9"/>
      <c r="L81" s="9" t="s">
        <v>78</v>
      </c>
      <c r="M81" s="9"/>
      <c r="N81" s="17"/>
      <c r="O81" s="17" t="str">
        <f t="shared" si="8"/>
        <v>Nestor Abad Rodriguez</v>
      </c>
      <c r="P81" s="17">
        <f>IFERROR(_xlfn.XLOOKUP(O81,'Department Listing'!$O$1:$O$395,'Department Listing'!$A$1:$A$395),IFERROR(_xlfn.XLOOKUP(O81,'Name Aliases'!$A$2:$A$1000,'Name Aliases'!$B$2:$B$1000),""))</f>
        <v>190</v>
      </c>
      <c r="Q81" s="18">
        <f t="shared" si="9"/>
        <v>46233</v>
      </c>
      <c r="R81" s="17" t="str">
        <f t="shared" si="10"/>
        <v>Cafe Nero</v>
      </c>
      <c r="S81" s="19">
        <f t="shared" si="11"/>
        <v>12.08</v>
      </c>
      <c r="T81" s="17" t="str">
        <f t="shared" si="12"/>
        <v>1042 CAFFE NERO COFFEE MASTERCARD-XXXXXX32OZSH-Nestor Abad Rodriguez</v>
      </c>
      <c r="U81" s="17" t="str">
        <f t="shared" si="13"/>
        <v>Brex Credit Card</v>
      </c>
      <c r="V81" s="19" t="str">
        <f>IF(ISBLANK($B81),"",IF(ISBLANK($K81),IF(_xlfn.XLOOKUP($W81,'Category Mapping'!$C:$C,'Category Mapping'!$B:$B)="Travel",_xlfn.XLOOKUP($P81,'Department Listing'!$A:$A,'Department Listing'!$M:$M),_xlfn.XLOOKUP($W81,'Category Mapping'!$C:$C,'Category Mapping'!$D:$D)),$K81))</f>
        <v>Sales &amp; Marketing:Sales &amp; Marketing- Travel Expenses:</v>
      </c>
      <c r="W81" s="19" t="str">
        <f t="shared" si="14"/>
        <v>Meals &amp; Entertainment</v>
      </c>
      <c r="X81" s="19" t="str">
        <f t="shared" si="15"/>
        <v>Sales &amp; Marketing:Sales &amp; Marketing- Travel Expenses:Meals &amp; Entertainment</v>
      </c>
      <c r="Y81" s="20" t="str">
        <f>IF(ISBLANK($M81),IFERROR(_xlfn.XLOOKUP($P81,'Department Listing'!$A:$A,'Department Listing'!$L:$L),""),$M81)</f>
        <v>300- ServiceNow:330- Sales</v>
      </c>
      <c r="Z81" s="11">
        <f>IF(ISBLANK($B81),"",MATCH($X81,COA!$B:$B,0))</f>
        <v>202</v>
      </c>
      <c r="AB81" s="11"/>
    </row>
    <row r="82" spans="2:28" ht="15.75" customHeight="1" x14ac:dyDescent="0.25">
      <c r="B82" s="14">
        <v>46233</v>
      </c>
      <c r="C82" s="15" t="s">
        <v>191</v>
      </c>
      <c r="D82" s="15"/>
      <c r="E82" s="15" t="s">
        <v>64</v>
      </c>
      <c r="F82" s="16">
        <v>39.99</v>
      </c>
      <c r="H82" s="10"/>
      <c r="I82" s="9" t="s">
        <v>74</v>
      </c>
      <c r="J82" s="9"/>
      <c r="K82" s="9"/>
      <c r="L82" s="9" t="s">
        <v>66</v>
      </c>
      <c r="M82" s="9"/>
      <c r="N82" s="17"/>
      <c r="O82" s="17" t="str">
        <f t="shared" si="8"/>
        <v>Chloe Brant</v>
      </c>
      <c r="P82" s="17">
        <f>IFERROR(_xlfn.XLOOKUP(O82,'Department Listing'!$O$1:$O$395,'Department Listing'!$A$1:$A$395),IFERROR(_xlfn.XLOOKUP(O82,'Name Aliases'!$A$2:$A$1000,'Name Aliases'!$B$2:$B$1000),""))</f>
        <v>77</v>
      </c>
      <c r="Q82" s="18">
        <f t="shared" si="9"/>
        <v>46233</v>
      </c>
      <c r="R82" s="17" t="str">
        <f t="shared" si="10"/>
        <v>Uber</v>
      </c>
      <c r="S82" s="19">
        <f t="shared" si="11"/>
        <v>39.99</v>
      </c>
      <c r="T82" s="17" t="str">
        <f t="shared" si="12"/>
        <v>UBER   *TRIP MASTERCARD-XXXXXX9PUU2R-Chloe Brant</v>
      </c>
      <c r="U82" s="17" t="str">
        <f t="shared" si="13"/>
        <v>Brex Credit Card</v>
      </c>
      <c r="V82" s="19" t="str">
        <f>IF(ISBLANK($B82),"",IF(ISBLANK($K82),IF(_xlfn.XLOOKUP($W82,'Category Mapping'!$C:$C,'Category Mapping'!$B:$B)="Travel",_xlfn.XLOOKUP($P82,'Department Listing'!$A:$A,'Department Listing'!$M:$M),_xlfn.XLOOKUP($W82,'Category Mapping'!$C:$C,'Category Mapping'!$D:$D)),$K82))</f>
        <v>Sales &amp; Marketing:Sales &amp; Marketing- Travel Expenses:</v>
      </c>
      <c r="W82" s="19" t="str">
        <f t="shared" si="14"/>
        <v>Ground Transportation</v>
      </c>
      <c r="X82" s="19" t="str">
        <f t="shared" si="15"/>
        <v>Sales &amp; Marketing:Sales &amp; Marketing- Travel Expenses:Ground Transportation</v>
      </c>
      <c r="Y82" s="20" t="str">
        <f>IF(ISBLANK($M82),IFERROR(_xlfn.XLOOKUP($P82,'Department Listing'!$A:$A,'Department Listing'!$L:$L),""),$M82)</f>
        <v>300- ServiceNow:330- Sales</v>
      </c>
      <c r="Z82" s="11">
        <f>IF(ISBLANK($B82),"",MATCH($X82,COA!$B:$B,0))</f>
        <v>200</v>
      </c>
      <c r="AB82" s="11"/>
    </row>
    <row r="83" spans="2:28" ht="15.75" customHeight="1" x14ac:dyDescent="0.25">
      <c r="B83" s="14">
        <v>46233</v>
      </c>
      <c r="C83" s="15" t="s">
        <v>192</v>
      </c>
      <c r="D83" s="15"/>
      <c r="E83" s="15"/>
      <c r="F83" s="16">
        <v>9.6</v>
      </c>
      <c r="H83" s="10"/>
      <c r="I83" s="9" t="s">
        <v>36</v>
      </c>
      <c r="J83" s="9"/>
      <c r="K83" s="22"/>
      <c r="L83" s="22" t="s">
        <v>78</v>
      </c>
      <c r="M83" s="9"/>
      <c r="N83" s="17"/>
      <c r="O83" s="17" t="str">
        <f t="shared" si="8"/>
        <v>Brian McGonigal</v>
      </c>
      <c r="P83" s="17">
        <f>IFERROR(_xlfn.XLOOKUP(O83,'Department Listing'!$O$1:$O$395,'Department Listing'!$A$1:$A$395),IFERROR(_xlfn.XLOOKUP(O83,'Name Aliases'!$A$2:$A$1000,'Name Aliases'!$B$2:$B$1000),""))</f>
        <v>269</v>
      </c>
      <c r="Q83" s="18">
        <f t="shared" si="9"/>
        <v>46233</v>
      </c>
      <c r="R83" s="17" t="str">
        <f t="shared" si="10"/>
        <v>Food Vendor</v>
      </c>
      <c r="S83" s="19">
        <f t="shared" si="11"/>
        <v>9.6</v>
      </c>
      <c r="T83" s="17" t="str">
        <f t="shared" si="12"/>
        <v>SQ *CAFE #65224 BACK B MASTERCARD-XXXXXXRPL2E3-Brian McGonigal</v>
      </c>
      <c r="U83" s="17" t="str">
        <f t="shared" si="13"/>
        <v>Brex Credit Card</v>
      </c>
      <c r="V83" s="19" t="str">
        <f>IF(ISBLANK($B83),"",IF(ISBLANK($K83),IF(_xlfn.XLOOKUP($W83,'Category Mapping'!$C:$C,'Category Mapping'!$B:$B)="Travel",_xlfn.XLOOKUP($P83,'Department Listing'!$A:$A,'Department Listing'!$M:$M),_xlfn.XLOOKUP($W83,'Category Mapping'!$C:$C,'Category Mapping'!$D:$D)),$K83))</f>
        <v>Sales &amp; Marketing:Sales &amp; Marketing- Travel Expenses:</v>
      </c>
      <c r="W83" s="19" t="str">
        <f t="shared" si="14"/>
        <v>Meals &amp; Entertainment</v>
      </c>
      <c r="X83" s="19" t="str">
        <f t="shared" si="15"/>
        <v>Sales &amp; Marketing:Sales &amp; Marketing- Travel Expenses:Meals &amp; Entertainment</v>
      </c>
      <c r="Y83" s="20" t="str">
        <f>IF(ISBLANK($M83),IFERROR(_xlfn.XLOOKUP($P83,'Department Listing'!$A:$A,'Department Listing'!$L:$L),""),$M83)</f>
        <v>300- ServiceNow:330- Sales</v>
      </c>
      <c r="Z83" s="11">
        <f>IF(ISBLANK($B83),"",MATCH($X83,COA!$B:$B,0))</f>
        <v>202</v>
      </c>
      <c r="AB83" s="11"/>
    </row>
    <row r="84" spans="2:28" ht="15.75" customHeight="1" x14ac:dyDescent="0.25">
      <c r="B84" s="14">
        <v>46233</v>
      </c>
      <c r="C84" s="15" t="s">
        <v>193</v>
      </c>
      <c r="D84" s="15"/>
      <c r="E84" s="15" t="s">
        <v>76</v>
      </c>
      <c r="F84" s="16">
        <v>7.15</v>
      </c>
      <c r="H84" s="10"/>
      <c r="I84" s="9" t="s">
        <v>194</v>
      </c>
      <c r="J84" s="9"/>
      <c r="K84" s="9"/>
      <c r="L84" s="9" t="s">
        <v>78</v>
      </c>
      <c r="M84" s="9"/>
      <c r="N84" s="17"/>
      <c r="O84" s="17" t="str">
        <f t="shared" si="8"/>
        <v>Jared Kennedy</v>
      </c>
      <c r="P84" s="17">
        <f>IFERROR(_xlfn.XLOOKUP(O84,'Department Listing'!$O$1:$O$395,'Department Listing'!$A$1:$A$395),IFERROR(_xlfn.XLOOKUP(O84,'Name Aliases'!$A$2:$A$1000,'Name Aliases'!$B$2:$B$1000),""))</f>
        <v>289</v>
      </c>
      <c r="Q84" s="18">
        <f t="shared" si="9"/>
        <v>46233</v>
      </c>
      <c r="R84" s="17" t="str">
        <f t="shared" si="10"/>
        <v>Thinking Cup</v>
      </c>
      <c r="S84" s="19">
        <f t="shared" si="11"/>
        <v>7.15</v>
      </c>
      <c r="T84" s="17" t="str">
        <f t="shared" si="12"/>
        <v>SQ *THINKING CUP NEWBU MASTERCARD-XXXXXX0G91RL-Jared Kennedy</v>
      </c>
      <c r="U84" s="17" t="str">
        <f t="shared" si="13"/>
        <v>Brex Credit Card</v>
      </c>
      <c r="V84" s="19" t="str">
        <f>IF(ISBLANK($B84),"",IF(ISBLANK($K84),IF(_xlfn.XLOOKUP($W84,'Category Mapping'!$C:$C,'Category Mapping'!$B:$B)="Travel",_xlfn.XLOOKUP($P84,'Department Listing'!$A:$A,'Department Listing'!$M:$M),_xlfn.XLOOKUP($W84,'Category Mapping'!$C:$C,'Category Mapping'!$D:$D)),$K84))</f>
        <v>Sales &amp; Marketing:Sales &amp; Marketing- Travel Expenses:</v>
      </c>
      <c r="W84" s="19" t="str">
        <f t="shared" si="14"/>
        <v>Meals &amp; Entertainment</v>
      </c>
      <c r="X84" s="19" t="str">
        <f t="shared" si="15"/>
        <v>Sales &amp; Marketing:Sales &amp; Marketing- Travel Expenses:Meals &amp; Entertainment</v>
      </c>
      <c r="Y84" s="20" t="str">
        <f>IF(ISBLANK($M84),IFERROR(_xlfn.XLOOKUP($P84,'Department Listing'!$A:$A,'Department Listing'!$L:$L),""),$M84)</f>
        <v>200- Datadog:230- Sales</v>
      </c>
      <c r="Z84" s="11">
        <f>IF(ISBLANK($B84),"",MATCH($X84,COA!$B:$B,0))</f>
        <v>202</v>
      </c>
      <c r="AB84" s="11"/>
    </row>
    <row r="85" spans="2:28" ht="15.75" customHeight="1" x14ac:dyDescent="0.25">
      <c r="B85" s="14">
        <v>46233</v>
      </c>
      <c r="C85" s="15" t="s">
        <v>195</v>
      </c>
      <c r="D85" s="15"/>
      <c r="E85" s="15" t="s">
        <v>196</v>
      </c>
      <c r="F85" s="16">
        <v>171.86</v>
      </c>
      <c r="H85" s="10"/>
      <c r="I85" s="9" t="s">
        <v>197</v>
      </c>
      <c r="J85" s="9"/>
      <c r="K85" s="9"/>
      <c r="L85" s="9" t="s">
        <v>94</v>
      </c>
      <c r="M85" s="9"/>
      <c r="N85" s="17"/>
      <c r="O85" s="17" t="str">
        <f t="shared" si="8"/>
        <v>Karalyn Sims</v>
      </c>
      <c r="P85" s="17">
        <f>IFERROR(_xlfn.XLOOKUP(O85,'Department Listing'!$O$1:$O$395,'Department Listing'!$A$1:$A$395),IFERROR(_xlfn.XLOOKUP(O85,'Name Aliases'!$A$2:$A$1000,'Name Aliases'!$B$2:$B$1000),""))</f>
        <v>144</v>
      </c>
      <c r="Q85" s="18">
        <f t="shared" si="9"/>
        <v>46233</v>
      </c>
      <c r="R85" s="17" t="str">
        <f t="shared" si="10"/>
        <v>LinkedIn Corporation</v>
      </c>
      <c r="S85" s="19">
        <f t="shared" si="11"/>
        <v>171.86</v>
      </c>
      <c r="T85" s="17" t="str">
        <f t="shared" si="12"/>
        <v>LinkedIn P3061358805 MASTERCARD-XXXXXXP8M8F9-Karalyn Sims</v>
      </c>
      <c r="U85" s="17" t="str">
        <f t="shared" si="13"/>
        <v>Brex Credit Card</v>
      </c>
      <c r="V85" s="19" t="str">
        <f>IF(ISBLANK($B85),"",IF(ISBLANK($K85),IF(_xlfn.XLOOKUP($W85,'Category Mapping'!$C:$C,'Category Mapping'!$B:$B)="Travel",_xlfn.XLOOKUP($P85,'Department Listing'!$A:$A,'Department Listing'!$M:$M),_xlfn.XLOOKUP($W85,'Category Mapping'!$C:$C,'Category Mapping'!$D:$D)),$K85))</f>
        <v>General &amp; Administrative:Office Expenses:</v>
      </c>
      <c r="W85" s="19" t="str">
        <f t="shared" si="14"/>
        <v>Dues &amp; Subscriptions</v>
      </c>
      <c r="X85" s="19" t="str">
        <f t="shared" si="15"/>
        <v>General &amp; Administrative:Office Expenses:Dues &amp; Subscriptions</v>
      </c>
      <c r="Y85" s="20" t="str">
        <f>IF(ISBLANK($M85),IFERROR(_xlfn.XLOOKUP($P85,'Department Listing'!$A:$A,'Department Listing'!$L:$L),""),$M85)</f>
        <v>100- Operations:120- Marketing</v>
      </c>
      <c r="Z85" s="11">
        <f>IF(ISBLANK($B85),"",MATCH($X85,COA!$B:$B,0))</f>
        <v>159</v>
      </c>
      <c r="AB85" s="11"/>
    </row>
    <row r="86" spans="2:28" ht="15.75" customHeight="1" x14ac:dyDescent="0.25">
      <c r="B86" s="14">
        <v>46233</v>
      </c>
      <c r="C86" s="15" t="s">
        <v>198</v>
      </c>
      <c r="D86" s="15"/>
      <c r="E86" s="15" t="s">
        <v>76</v>
      </c>
      <c r="F86" s="16">
        <v>27.54</v>
      </c>
      <c r="H86" s="10"/>
      <c r="I86" s="9" t="s">
        <v>144</v>
      </c>
      <c r="J86" s="9"/>
      <c r="K86" s="9"/>
      <c r="L86" s="9" t="s">
        <v>78</v>
      </c>
      <c r="M86" s="9"/>
      <c r="N86" s="17"/>
      <c r="O86" s="17" t="str">
        <f t="shared" si="8"/>
        <v>Ben Savage</v>
      </c>
      <c r="P86" s="17">
        <f>IFERROR(_xlfn.XLOOKUP(O86,'Department Listing'!$O$1:$O$395,'Department Listing'!$A$1:$A$395),IFERROR(_xlfn.XLOOKUP(O86,'Name Aliases'!$A$2:$A$1000,'Name Aliases'!$B$2:$B$1000),""))</f>
        <v>71</v>
      </c>
      <c r="Q86" s="18">
        <f t="shared" si="9"/>
        <v>46233</v>
      </c>
      <c r="R86" s="17" t="str">
        <f t="shared" si="10"/>
        <v>Tatte</v>
      </c>
      <c r="S86" s="19">
        <f t="shared" si="11"/>
        <v>27.54</v>
      </c>
      <c r="T86" s="17" t="str">
        <f t="shared" si="12"/>
        <v>TST* TATTE BAKERY - CO MASTERCARD-XXXXXX75F0H0-Ben Savage</v>
      </c>
      <c r="U86" s="17" t="str">
        <f t="shared" si="13"/>
        <v>Brex Credit Card</v>
      </c>
      <c r="V86" s="19" t="str">
        <f>IF(ISBLANK($B86),"",IF(ISBLANK($K86),IF(_xlfn.XLOOKUP($W86,'Category Mapping'!$C:$C,'Category Mapping'!$B:$B)="Travel",_xlfn.XLOOKUP($P86,'Department Listing'!$A:$A,'Department Listing'!$M:$M),_xlfn.XLOOKUP($W86,'Category Mapping'!$C:$C,'Category Mapping'!$D:$D)),$K86))</f>
        <v>Cost of Goods Sold:COGS- Travel Expenses:</v>
      </c>
      <c r="W86" s="19" t="str">
        <f t="shared" si="14"/>
        <v>Meals &amp; Entertainment</v>
      </c>
      <c r="X86" s="19" t="str">
        <f t="shared" si="15"/>
        <v>Cost of Goods Sold:COGS- Travel Expenses:Meals &amp; Entertainment</v>
      </c>
      <c r="Y86" s="20" t="str">
        <f>IF(ISBLANK($M86),IFERROR(_xlfn.XLOOKUP($P86,'Department Listing'!$A:$A,'Department Listing'!$L:$L),""),$M86)</f>
        <v>300- ServiceNow:320- Engineering</v>
      </c>
      <c r="Z86" s="11">
        <f>IF(ISBLANK($B86),"",MATCH($X86,COA!$B:$B,0))</f>
        <v>126</v>
      </c>
      <c r="AB86" s="11"/>
    </row>
    <row r="87" spans="2:28" ht="15.75" customHeight="1" x14ac:dyDescent="0.25">
      <c r="B87" s="14">
        <v>46233</v>
      </c>
      <c r="C87" s="15" t="s">
        <v>200</v>
      </c>
      <c r="D87" s="15"/>
      <c r="E87" s="15" t="s">
        <v>201</v>
      </c>
      <c r="F87" s="16">
        <v>5</v>
      </c>
      <c r="H87" s="10"/>
      <c r="I87" s="9" t="s">
        <v>202</v>
      </c>
      <c r="J87" s="9"/>
      <c r="K87" s="22"/>
      <c r="L87" s="22" t="s">
        <v>127</v>
      </c>
      <c r="M87" s="22"/>
      <c r="N87" s="17"/>
      <c r="O87" s="17" t="str">
        <f t="shared" si="8"/>
        <v>Gary Passaglia</v>
      </c>
      <c r="P87" s="17">
        <f>IFERROR(_xlfn.XLOOKUP(O87,'Department Listing'!$O$1:$O$395,'Department Listing'!$A$1:$A$395),IFERROR(_xlfn.XLOOKUP(O87,'Name Aliases'!$A$2:$A$1000,'Name Aliases'!$B$2:$B$1000),""))</f>
        <v>148</v>
      </c>
      <c r="Q87" s="18">
        <f t="shared" si="9"/>
        <v>46233</v>
      </c>
      <c r="R87" s="17" t="str">
        <f t="shared" si="10"/>
        <v>CVS</v>
      </c>
      <c r="S87" s="19">
        <f t="shared" si="11"/>
        <v>5</v>
      </c>
      <c r="T87" s="17" t="str">
        <f t="shared" si="12"/>
        <v>CVS/PHARMACY #01217 MASTERCARD-XXXXXXWSMXI6-Gary Passaglia</v>
      </c>
      <c r="U87" s="17" t="str">
        <f t="shared" si="13"/>
        <v>Brex Credit Card</v>
      </c>
      <c r="V87" s="19" t="str">
        <f>IF(ISBLANK($B87),"",IF(ISBLANK($K87),IF(_xlfn.XLOOKUP($W87,'Category Mapping'!$C:$C,'Category Mapping'!$B:$B)="Travel",_xlfn.XLOOKUP($P87,'Department Listing'!$A:$A,'Department Listing'!$M:$M),_xlfn.XLOOKUP($W87,'Category Mapping'!$C:$C,'Category Mapping'!$D:$D)),$K87))</f>
        <v>General &amp; Administrative:Office Expenses:</v>
      </c>
      <c r="W87" s="19" t="str">
        <f t="shared" si="14"/>
        <v>Office Supplies</v>
      </c>
      <c r="X87" s="19" t="str">
        <f t="shared" si="15"/>
        <v>General &amp; Administrative:Office Expenses:Office Supplies</v>
      </c>
      <c r="Y87" s="20" t="str">
        <f>IF(ISBLANK($M87),IFERROR(_xlfn.XLOOKUP($P87,'Department Listing'!$A:$A,'Department Listing'!$L:$L),""),$M87)</f>
        <v>300- ServiceNow:330- Sales</v>
      </c>
      <c r="Z87" s="11">
        <f>IF(ISBLANK($B87),"",MATCH($X87,COA!$B:$B,0))</f>
        <v>161</v>
      </c>
    </row>
    <row r="88" spans="2:28" ht="15.75" customHeight="1" x14ac:dyDescent="0.25">
      <c r="B88" s="14">
        <v>46233</v>
      </c>
      <c r="C88" s="15" t="s">
        <v>204</v>
      </c>
      <c r="D88" s="15"/>
      <c r="E88" s="15" t="s">
        <v>205</v>
      </c>
      <c r="F88" s="16">
        <v>1.7</v>
      </c>
      <c r="H88" s="10"/>
      <c r="I88" s="9" t="s">
        <v>206</v>
      </c>
      <c r="J88" s="9"/>
      <c r="K88" s="9"/>
      <c r="L88" s="9" t="s">
        <v>66</v>
      </c>
      <c r="M88" s="9"/>
      <c r="N88" s="17"/>
      <c r="O88" s="17" t="str">
        <f t="shared" si="8"/>
        <v>Karalyn Sims</v>
      </c>
      <c r="P88" s="17">
        <f>IFERROR(_xlfn.XLOOKUP(O88,'Department Listing'!$O$1:$O$395,'Department Listing'!$A$1:$A$395),IFERROR(_xlfn.XLOOKUP(O88,'Name Aliases'!$A$2:$A$1000,'Name Aliases'!$B$2:$B$1000),""))</f>
        <v>144</v>
      </c>
      <c r="Q88" s="18">
        <f t="shared" si="9"/>
        <v>46233</v>
      </c>
      <c r="R88" s="17" t="str">
        <f t="shared" si="10"/>
        <v>Mbta</v>
      </c>
      <c r="S88" s="19">
        <f t="shared" si="11"/>
        <v>1.7</v>
      </c>
      <c r="T88" s="17" t="str">
        <f t="shared" si="12"/>
        <v>MBTA-550048231694 MASTERCARD-XXXXXXWMGEU8-Karalyn Sims</v>
      </c>
      <c r="U88" s="17" t="str">
        <f t="shared" si="13"/>
        <v>Brex Credit Card</v>
      </c>
      <c r="V88" s="19" t="str">
        <f>IF(ISBLANK($B88),"",IF(ISBLANK($K88),IF(_xlfn.XLOOKUP($W88,'Category Mapping'!$C:$C,'Category Mapping'!$B:$B)="Travel",_xlfn.XLOOKUP($P88,'Department Listing'!$A:$A,'Department Listing'!$M:$M),_xlfn.XLOOKUP($W88,'Category Mapping'!$C:$C,'Category Mapping'!$D:$D)),$K88))</f>
        <v>Sales &amp; Marketing:Sales &amp; Marketing- Travel Expenses:</v>
      </c>
      <c r="W88" s="19" t="str">
        <f t="shared" si="14"/>
        <v>Ground Transportation</v>
      </c>
      <c r="X88" s="19" t="str">
        <f t="shared" si="15"/>
        <v>Sales &amp; Marketing:Sales &amp; Marketing- Travel Expenses:Ground Transportation</v>
      </c>
      <c r="Y88" s="20" t="str">
        <f>IF(ISBLANK($M88),IFERROR(_xlfn.XLOOKUP($P88,'Department Listing'!$A:$A,'Department Listing'!$L:$L),""),$M88)</f>
        <v>100- Operations:120- Marketing</v>
      </c>
      <c r="Z88" s="11">
        <f>IF(ISBLANK($B88),"",MATCH($X88,COA!$B:$B,0))</f>
        <v>200</v>
      </c>
    </row>
    <row r="89" spans="2:28" ht="15.75" customHeight="1" x14ac:dyDescent="0.25">
      <c r="B89" s="14">
        <v>46233</v>
      </c>
      <c r="C89" s="15" t="s">
        <v>207</v>
      </c>
      <c r="D89" s="15"/>
      <c r="E89" s="15" t="s">
        <v>76</v>
      </c>
      <c r="F89" s="16">
        <v>4.91</v>
      </c>
      <c r="H89" s="10"/>
      <c r="I89" s="9" t="s">
        <v>208</v>
      </c>
      <c r="J89" s="9"/>
      <c r="K89" s="9"/>
      <c r="L89" s="9" t="s">
        <v>78</v>
      </c>
      <c r="M89" s="9"/>
      <c r="N89" s="17"/>
      <c r="O89" s="17" t="str">
        <f t="shared" si="8"/>
        <v>Gary Passaglia</v>
      </c>
      <c r="P89" s="17">
        <f>IFERROR(_xlfn.XLOOKUP(O89,'Department Listing'!$O$1:$O$395,'Department Listing'!$A$1:$A$395),IFERROR(_xlfn.XLOOKUP(O89,'Name Aliases'!$A$2:$A$1000,'Name Aliases'!$B$2:$B$1000),""))</f>
        <v>148</v>
      </c>
      <c r="Q89" s="18">
        <f t="shared" si="9"/>
        <v>46233</v>
      </c>
      <c r="R89" s="17" t="str">
        <f t="shared" si="10"/>
        <v>Dunkin Donuts</v>
      </c>
      <c r="S89" s="19">
        <f t="shared" si="11"/>
        <v>4.91</v>
      </c>
      <c r="T89" s="17" t="str">
        <f t="shared" si="12"/>
        <v>DUNKIN #300417 Q35 MASTERCARD-XXXXXX8FRDT2-Gary Passaglia</v>
      </c>
      <c r="U89" s="17" t="str">
        <f t="shared" si="13"/>
        <v>Brex Credit Card</v>
      </c>
      <c r="V89" s="19" t="str">
        <f>IF(ISBLANK($B89),"",IF(ISBLANK($K89),IF(_xlfn.XLOOKUP($W89,'Category Mapping'!$C:$C,'Category Mapping'!$B:$B)="Travel",_xlfn.XLOOKUP($P89,'Department Listing'!$A:$A,'Department Listing'!$M:$M),_xlfn.XLOOKUP($W89,'Category Mapping'!$C:$C,'Category Mapping'!$D:$D)),$K89))</f>
        <v>Sales &amp; Marketing:Sales &amp; Marketing- Travel Expenses:</v>
      </c>
      <c r="W89" s="19" t="str">
        <f t="shared" si="14"/>
        <v>Meals &amp; Entertainment</v>
      </c>
      <c r="X89" s="19" t="str">
        <f t="shared" si="15"/>
        <v>Sales &amp; Marketing:Sales &amp; Marketing- Travel Expenses:Meals &amp; Entertainment</v>
      </c>
      <c r="Y89" s="20" t="str">
        <f>IF(ISBLANK($M89),IFERROR(_xlfn.XLOOKUP($P89,'Department Listing'!$A:$A,'Department Listing'!$L:$L),""),$M89)</f>
        <v>300- ServiceNow:330- Sales</v>
      </c>
      <c r="Z89" s="11">
        <f>IF(ISBLANK($B89),"",MATCH($X89,COA!$B:$B,0))</f>
        <v>202</v>
      </c>
    </row>
    <row r="90" spans="2:28" ht="15.75" customHeight="1" x14ac:dyDescent="0.25">
      <c r="B90" s="14">
        <v>46233</v>
      </c>
      <c r="C90" s="15" t="s">
        <v>209</v>
      </c>
      <c r="E90" s="15" t="s">
        <v>64</v>
      </c>
      <c r="F90" s="16">
        <v>76.849999999999994</v>
      </c>
      <c r="H90" s="10"/>
      <c r="I90" s="9" t="s">
        <v>74</v>
      </c>
      <c r="J90" s="9"/>
      <c r="K90" s="9"/>
      <c r="L90" s="9" t="s">
        <v>66</v>
      </c>
      <c r="M90" s="9"/>
      <c r="N90" s="17"/>
      <c r="O90" s="17" t="str">
        <f t="shared" si="8"/>
        <v>Gaby Catalano</v>
      </c>
      <c r="P90" s="17">
        <f>IFERROR(_xlfn.XLOOKUP(O90,'Department Listing'!$O$1:$O$395,'Department Listing'!$A$1:$A$395),IFERROR(_xlfn.XLOOKUP(O90,'Name Aliases'!$A$2:$A$1000,'Name Aliases'!$B$2:$B$1000),""))</f>
        <v>256</v>
      </c>
      <c r="Q90" s="18">
        <f t="shared" si="9"/>
        <v>46233</v>
      </c>
      <c r="R90" s="17" t="str">
        <f t="shared" si="10"/>
        <v>Uber</v>
      </c>
      <c r="S90" s="19">
        <f t="shared" si="11"/>
        <v>76.849999999999994</v>
      </c>
      <c r="T90" s="17" t="str">
        <f t="shared" si="12"/>
        <v>UBER   *TRIP MASTERCARD-XXXXXX16E23A-Gaby Catalano</v>
      </c>
      <c r="U90" s="17" t="str">
        <f t="shared" si="13"/>
        <v>Brex Credit Card</v>
      </c>
      <c r="V90" s="19" t="str">
        <f>IF(ISBLANK($B90),"",IF(ISBLANK($K90),IF(_xlfn.XLOOKUP($W90,'Category Mapping'!$C:$C,'Category Mapping'!$B:$B)="Travel",_xlfn.XLOOKUP($P90,'Department Listing'!$A:$A,'Department Listing'!$M:$M),_xlfn.XLOOKUP($W90,'Category Mapping'!$C:$C,'Category Mapping'!$D:$D)),$K90))</f>
        <v>Cost of Goods Sold:COGS- Travel Expenses:</v>
      </c>
      <c r="W90" s="19" t="str">
        <f t="shared" si="14"/>
        <v>Ground Transportation</v>
      </c>
      <c r="X90" s="19" t="str">
        <f t="shared" si="15"/>
        <v>Cost of Goods Sold:COGS- Travel Expenses:Ground Transportation</v>
      </c>
      <c r="Y90" s="20" t="str">
        <f>IF(ISBLANK($M90),IFERROR(_xlfn.XLOOKUP($P90,'Department Listing'!$A:$A,'Department Listing'!$L:$L),""),$M90)</f>
        <v>300- ServiceNow:310- Delivery</v>
      </c>
      <c r="Z90" s="11">
        <f>IF(ISBLANK($B90),"",MATCH($X90,COA!$B:$B,0))</f>
        <v>124</v>
      </c>
    </row>
    <row r="91" spans="2:28" ht="15.75" customHeight="1" x14ac:dyDescent="0.25">
      <c r="B91" s="14">
        <v>46233</v>
      </c>
      <c r="C91" s="15" t="s">
        <v>210</v>
      </c>
      <c r="E91" s="15" t="s">
        <v>76</v>
      </c>
      <c r="F91" s="16">
        <v>17.12</v>
      </c>
      <c r="H91" s="10"/>
      <c r="I91" s="9" t="s">
        <v>36</v>
      </c>
      <c r="J91" s="9"/>
      <c r="K91" s="9" t="s">
        <v>76</v>
      </c>
      <c r="L91" s="9" t="s">
        <v>78</v>
      </c>
      <c r="M91" s="9"/>
      <c r="N91" s="17"/>
      <c r="O91" s="17" t="str">
        <f t="shared" si="8"/>
        <v>Michael Joyce</v>
      </c>
      <c r="P91" s="17">
        <f>IFERROR(_xlfn.XLOOKUP(O91,'Department Listing'!$O$1:$O$395,'Department Listing'!$A$1:$A$395),IFERROR(_xlfn.XLOOKUP(O91,'Name Aliases'!$A$2:$A$1000,'Name Aliases'!$B$2:$B$1000),""))</f>
        <v>290</v>
      </c>
      <c r="Q91" s="18">
        <f t="shared" si="9"/>
        <v>46233</v>
      </c>
      <c r="R91" s="17" t="str">
        <f t="shared" si="10"/>
        <v>Food Vendor</v>
      </c>
      <c r="S91" s="19">
        <f t="shared" si="11"/>
        <v>17.12</v>
      </c>
      <c r="T91" s="17" t="str">
        <f t="shared" si="12"/>
        <v>OLO*Pressed Cafe MASTERCARD-XXXXXXPWVICO-Michael Joyce</v>
      </c>
      <c r="U91" s="17" t="str">
        <f t="shared" si="13"/>
        <v>Brex Credit Card</v>
      </c>
      <c r="V91" s="19" t="str">
        <f>IF(ISBLANK($B91),"",IF(ISBLANK($K91),IF(_xlfn.XLOOKUP($W91,'Category Mapping'!$C:$C,'Category Mapping'!$B:$B)="Travel",_xlfn.XLOOKUP($P91,'Department Listing'!$A:$A,'Department Listing'!$M:$M),_xlfn.XLOOKUP($W91,'Category Mapping'!$C:$C,'Category Mapping'!$D:$D)),$K91))</f>
        <v>Sales &amp; Marketing:Sales &amp; Marketing- Travel Expenses:Meals &amp; Entertainment</v>
      </c>
      <c r="W91" s="19" t="str">
        <f t="shared" si="14"/>
        <v>Meals &amp; Entertainment</v>
      </c>
      <c r="X91" s="19" t="str">
        <f t="shared" si="15"/>
        <v>Sales &amp; Marketing:Sales &amp; Marketing- Travel Expenses:Meals &amp; EntertainmentMeals &amp; Entertainment</v>
      </c>
      <c r="Y91" s="20" t="str">
        <f>IF(ISBLANK($M91),IFERROR(_xlfn.XLOOKUP($P91,'Department Listing'!$A:$A,'Department Listing'!$L:$L),""),$M91)</f>
        <v>300- ServiceNow:310- Delivery</v>
      </c>
      <c r="Z91" s="11">
        <v>202</v>
      </c>
    </row>
    <row r="92" spans="2:28" ht="15.75" customHeight="1" x14ac:dyDescent="0.25">
      <c r="B92" s="14">
        <v>46233</v>
      </c>
      <c r="C92" s="15" t="s">
        <v>211</v>
      </c>
      <c r="D92" s="15"/>
      <c r="E92" s="15" t="s">
        <v>76</v>
      </c>
      <c r="F92" s="16">
        <v>10.35</v>
      </c>
      <c r="H92" s="10"/>
      <c r="I92" s="9" t="s">
        <v>144</v>
      </c>
      <c r="J92" s="9"/>
      <c r="K92" s="22"/>
      <c r="L92" s="22" t="s">
        <v>78</v>
      </c>
      <c r="M92" s="9"/>
      <c r="N92" s="17"/>
      <c r="O92" s="17" t="str">
        <f t="shared" si="8"/>
        <v>Maile Call</v>
      </c>
      <c r="P92" s="17">
        <f>IFERROR(_xlfn.XLOOKUP(O92,'Department Listing'!$O$1:$O$395,'Department Listing'!$A$1:$A$395),IFERROR(_xlfn.XLOOKUP(O92,'Name Aliases'!$A$2:$A$1000,'Name Aliases'!$B$2:$B$1000),""))</f>
        <v>241</v>
      </c>
      <c r="Q92" s="18">
        <f t="shared" si="9"/>
        <v>46233</v>
      </c>
      <c r="R92" s="17" t="str">
        <f t="shared" si="10"/>
        <v>Tatte</v>
      </c>
      <c r="S92" s="19">
        <f t="shared" si="11"/>
        <v>10.35</v>
      </c>
      <c r="T92" s="17" t="str">
        <f t="shared" si="12"/>
        <v>TST* TATTE BAKERY - CO MASTERCARD-XXXXXXFVGVVS-Maile Call</v>
      </c>
      <c r="U92" s="17" t="str">
        <f t="shared" si="13"/>
        <v>Brex Credit Card</v>
      </c>
      <c r="V92" s="19" t="str">
        <f>IF(ISBLANK($B92),"",IF(ISBLANK($K92),IF(_xlfn.XLOOKUP($W92,'Category Mapping'!$C:$C,'Category Mapping'!$B:$B)="Travel",_xlfn.XLOOKUP($P92,'Department Listing'!$A:$A,'Department Listing'!$M:$M),_xlfn.XLOOKUP($W92,'Category Mapping'!$C:$C,'Category Mapping'!$D:$D)),$K92))</f>
        <v>Sales &amp; Marketing:Sales &amp; Marketing- Travel Expenses:</v>
      </c>
      <c r="W92" s="19" t="str">
        <f t="shared" si="14"/>
        <v>Meals &amp; Entertainment</v>
      </c>
      <c r="X92" s="19" t="str">
        <f t="shared" si="15"/>
        <v>Sales &amp; Marketing:Sales &amp; Marketing- Travel Expenses:Meals &amp; Entertainment</v>
      </c>
      <c r="Y92" s="20" t="str">
        <f>IF(ISBLANK($M92),IFERROR(_xlfn.XLOOKUP($P92,'Department Listing'!$A:$A,'Department Listing'!$L:$L),""),$M92)</f>
        <v>300- ServiceNow:330- Sales</v>
      </c>
      <c r="Z92" s="11">
        <f>IF(ISBLANK($B92),"",MATCH($X92,COA!$B:$B,0))</f>
        <v>202</v>
      </c>
    </row>
    <row r="93" spans="2:28" ht="15.75" customHeight="1" x14ac:dyDescent="0.25">
      <c r="B93" s="14">
        <v>46233</v>
      </c>
      <c r="C93" s="15" t="s">
        <v>212</v>
      </c>
      <c r="D93" s="15"/>
      <c r="E93" s="15"/>
      <c r="F93" s="16">
        <v>1492.34</v>
      </c>
      <c r="H93" s="10"/>
      <c r="I93" s="9" t="s">
        <v>36</v>
      </c>
      <c r="J93" s="9"/>
      <c r="K93" s="9"/>
      <c r="L93" s="9" t="s">
        <v>78</v>
      </c>
      <c r="M93" s="9"/>
      <c r="N93" s="17"/>
      <c r="O93" s="17" t="str">
        <f t="shared" si="8"/>
        <v>Mickenzi Krpec</v>
      </c>
      <c r="P93" s="17">
        <f>IFERROR(_xlfn.XLOOKUP(O93,'Department Listing'!$O$1:$O$395,'Department Listing'!$A$1:$A$395),IFERROR(_xlfn.XLOOKUP(O93,'Name Aliases'!$A$2:$A$1000,'Name Aliases'!$B$2:$B$1000),""))</f>
        <v>170</v>
      </c>
      <c r="Q93" s="18">
        <f t="shared" si="9"/>
        <v>46233</v>
      </c>
      <c r="R93" s="17" t="str">
        <f t="shared" si="10"/>
        <v>Food Vendor</v>
      </c>
      <c r="S93" s="19">
        <f t="shared" si="11"/>
        <v>1492.34</v>
      </c>
      <c r="T93" s="17" t="str">
        <f t="shared" si="12"/>
        <v>PRESSED CAFE PRUDENTI MASTERCARD-XXXXXXA52LG3-Mickenzi Krpec</v>
      </c>
      <c r="U93" s="17" t="str">
        <f t="shared" si="13"/>
        <v>Brex Credit Card</v>
      </c>
      <c r="V93" s="19" t="str">
        <f>IF(ISBLANK($B93),"",IF(ISBLANK($K93),IF(_xlfn.XLOOKUP($W93,'Category Mapping'!$C:$C,'Category Mapping'!$B:$B)="Travel",_xlfn.XLOOKUP($P93,'Department Listing'!$A:$A,'Department Listing'!$M:$M),_xlfn.XLOOKUP($W93,'Category Mapping'!$C:$C,'Category Mapping'!$D:$D)),$K93))</f>
        <v>General &amp; Administrative:G&amp;A- Travel Expenses:</v>
      </c>
      <c r="W93" s="19" t="str">
        <f t="shared" si="14"/>
        <v>Meals &amp; Entertainment</v>
      </c>
      <c r="X93" s="19" t="str">
        <f t="shared" si="15"/>
        <v>General &amp; Administrative:G&amp;A- Travel Expenses:Meals &amp; Entertainment</v>
      </c>
      <c r="Y93" s="20" t="str">
        <f>IF(ISBLANK($M93),IFERROR(_xlfn.XLOOKUP($P93,'Department Listing'!$A:$A,'Department Listing'!$L:$L),""),$M93)</f>
        <v>100- Operations:110- G&amp;A</v>
      </c>
      <c r="Z93" s="11">
        <f>IF(ISBLANK($B93),"",MATCH($X93,COA!$B:$B,0))</f>
        <v>151</v>
      </c>
    </row>
    <row r="94" spans="2:28" ht="15.75" customHeight="1" x14ac:dyDescent="0.25">
      <c r="B94" s="14">
        <v>46232</v>
      </c>
      <c r="C94" s="15" t="s">
        <v>213</v>
      </c>
      <c r="D94" s="15"/>
      <c r="E94" s="15" t="s">
        <v>76</v>
      </c>
      <c r="F94" s="16">
        <v>40.17</v>
      </c>
      <c r="H94" s="10"/>
      <c r="I94" s="9" t="s">
        <v>77</v>
      </c>
      <c r="J94" s="9"/>
      <c r="K94" s="9"/>
      <c r="L94" s="9" t="s">
        <v>78</v>
      </c>
      <c r="M94" s="9"/>
      <c r="N94" s="17"/>
      <c r="O94" s="17" t="str">
        <f t="shared" si="8"/>
        <v>Tyler Grimshaw</v>
      </c>
      <c r="P94" s="17">
        <f>IFERROR(_xlfn.XLOOKUP(O94,'Department Listing'!$O$1:$O$395,'Department Listing'!$A$1:$A$395),IFERROR(_xlfn.XLOOKUP(O94,'Name Aliases'!$A$2:$A$1000,'Name Aliases'!$B$2:$B$1000),""))</f>
        <v>264</v>
      </c>
      <c r="Q94" s="18">
        <f t="shared" si="9"/>
        <v>46232</v>
      </c>
      <c r="R94" s="17" t="str">
        <f t="shared" si="10"/>
        <v>Sweeney's</v>
      </c>
      <c r="S94" s="19">
        <f t="shared" si="11"/>
        <v>40.17</v>
      </c>
      <c r="T94" s="17" t="str">
        <f t="shared" si="12"/>
        <v>TST*SWEENEYS MASTERCARD-XXXXXXLP8CJO-Tyler Grimshaw</v>
      </c>
      <c r="U94" s="17" t="str">
        <f t="shared" si="13"/>
        <v>Brex Credit Card</v>
      </c>
      <c r="V94" s="19" t="str">
        <f>IF(ISBLANK($B94),"",IF(ISBLANK($K94),IF(_xlfn.XLOOKUP($W94,'Category Mapping'!$C:$C,'Category Mapping'!$B:$B)="Travel",_xlfn.XLOOKUP($P94,'Department Listing'!$A:$A,'Department Listing'!$M:$M),_xlfn.XLOOKUP($W94,'Category Mapping'!$C:$C,'Category Mapping'!$D:$D)),$K94))</f>
        <v>Sales &amp; Marketing:Sales &amp; Marketing- Travel Expenses:</v>
      </c>
      <c r="W94" s="19" t="str">
        <f t="shared" si="14"/>
        <v>Meals &amp; Entertainment</v>
      </c>
      <c r="X94" s="19" t="str">
        <f t="shared" si="15"/>
        <v>Sales &amp; Marketing:Sales &amp; Marketing- Travel Expenses:Meals &amp; Entertainment</v>
      </c>
      <c r="Y94" s="20" t="str">
        <f>IF(ISBLANK($M94),IFERROR(_xlfn.XLOOKUP($P94,'Department Listing'!$A:$A,'Department Listing'!$L:$L),""),$M94)</f>
        <v>200- Datadog:230- Sales</v>
      </c>
      <c r="Z94" s="11">
        <f>IF(ISBLANK($B94),"",MATCH($X94,COA!$B:$B,0))</f>
        <v>202</v>
      </c>
    </row>
    <row r="95" spans="2:28" ht="15.75" customHeight="1" x14ac:dyDescent="0.25">
      <c r="B95" s="14">
        <v>46232</v>
      </c>
      <c r="C95" s="15" t="s">
        <v>214</v>
      </c>
      <c r="D95" s="15"/>
      <c r="E95" s="15" t="s">
        <v>64</v>
      </c>
      <c r="F95" s="16">
        <v>20.98</v>
      </c>
      <c r="H95" s="10"/>
      <c r="I95" s="9" t="s">
        <v>74</v>
      </c>
      <c r="J95" s="9"/>
      <c r="K95" s="22"/>
      <c r="L95" s="9" t="s">
        <v>66</v>
      </c>
      <c r="M95" s="22"/>
      <c r="N95" s="17"/>
      <c r="O95" s="17" t="str">
        <f t="shared" si="8"/>
        <v>Matt Hyman</v>
      </c>
      <c r="P95" s="17">
        <f>IFERROR(_xlfn.XLOOKUP(O95,'Department Listing'!$O$1:$O$395,'Department Listing'!$A$1:$A$395),IFERROR(_xlfn.XLOOKUP(O95,'Name Aliases'!$A$2:$A$1000,'Name Aliases'!$B$2:$B$1000),""))</f>
        <v>24</v>
      </c>
      <c r="Q95" s="18">
        <f t="shared" si="9"/>
        <v>46232</v>
      </c>
      <c r="R95" s="17" t="str">
        <f t="shared" si="10"/>
        <v>Uber</v>
      </c>
      <c r="S95" s="19">
        <f t="shared" si="11"/>
        <v>20.98</v>
      </c>
      <c r="T95" s="17" t="str">
        <f t="shared" si="12"/>
        <v>UBER   *TRIP MASTERCARD-XXXXXXUTPOIB-Matt Hyman</v>
      </c>
      <c r="U95" s="17" t="str">
        <f t="shared" si="13"/>
        <v>Brex Credit Card</v>
      </c>
      <c r="V95" s="19" t="str">
        <f>IF(ISBLANK($B95),"",IF(ISBLANK($K95),IF(_xlfn.XLOOKUP($W95,'Category Mapping'!$C:$C,'Category Mapping'!$B:$B)="Travel",_xlfn.XLOOKUP($P95,'Department Listing'!$A:$A,'Department Listing'!$M:$M),_xlfn.XLOOKUP($W95,'Category Mapping'!$C:$C,'Category Mapping'!$D:$D)),$K95))</f>
        <v>Sales &amp; Marketing:Sales &amp; Marketing- Travel Expenses:</v>
      </c>
      <c r="W95" s="19" t="str">
        <f t="shared" si="14"/>
        <v>Ground Transportation</v>
      </c>
      <c r="X95" s="19" t="str">
        <f t="shared" si="15"/>
        <v>Sales &amp; Marketing:Sales &amp; Marketing- Travel Expenses:Ground Transportation</v>
      </c>
      <c r="Y95" s="20" t="str">
        <f>IF(ISBLANK($M95),IFERROR(_xlfn.XLOOKUP($P95,'Department Listing'!$A:$A,'Department Listing'!$L:$L),""),$M95)</f>
        <v>300- ServiceNow:330- Sales</v>
      </c>
      <c r="Z95" s="11">
        <f>IF(ISBLANK($B95),"",MATCH($X95,COA!$B:$B,0))</f>
        <v>200</v>
      </c>
    </row>
    <row r="96" spans="2:28" ht="15.75" customHeight="1" x14ac:dyDescent="0.25">
      <c r="B96" s="14">
        <v>46232</v>
      </c>
      <c r="C96" s="15" t="s">
        <v>215</v>
      </c>
      <c r="D96" s="15"/>
      <c r="E96" s="15" t="s">
        <v>64</v>
      </c>
      <c r="F96" s="16">
        <v>17.93</v>
      </c>
      <c r="H96" s="10"/>
      <c r="I96" s="9" t="s">
        <v>74</v>
      </c>
      <c r="J96" s="9"/>
      <c r="K96" s="9"/>
      <c r="L96" s="9" t="s">
        <v>66</v>
      </c>
      <c r="M96" s="9"/>
      <c r="N96" s="17"/>
      <c r="O96" s="17" t="str">
        <f t="shared" si="8"/>
        <v>Ryan Henrich</v>
      </c>
      <c r="P96" s="17">
        <f>IFERROR(_xlfn.XLOOKUP(O96,'Department Listing'!$O$1:$O$395,'Department Listing'!$A$1:$A$395),IFERROR(_xlfn.XLOOKUP(O96,'Name Aliases'!$A$2:$A$1000,'Name Aliases'!$B$2:$B$1000),""))</f>
        <v>154</v>
      </c>
      <c r="Q96" s="18">
        <f t="shared" si="9"/>
        <v>46232</v>
      </c>
      <c r="R96" s="17" t="str">
        <f t="shared" si="10"/>
        <v>Uber</v>
      </c>
      <c r="S96" s="19">
        <f t="shared" si="11"/>
        <v>17.93</v>
      </c>
      <c r="T96" s="17" t="str">
        <f t="shared" si="12"/>
        <v>UBER   *TRIP MASTERCARD-XXXXXXYKW01G-Ryan Henrich</v>
      </c>
      <c r="U96" s="17" t="str">
        <f t="shared" si="13"/>
        <v>Brex Credit Card</v>
      </c>
      <c r="V96" s="19" t="str">
        <f>IF(ISBLANK($B96),"",IF(ISBLANK($K96),IF(_xlfn.XLOOKUP($W96,'Category Mapping'!$C:$C,'Category Mapping'!$B:$B)="Travel",_xlfn.XLOOKUP($P96,'Department Listing'!$A:$A,'Department Listing'!$M:$M),_xlfn.XLOOKUP($W96,'Category Mapping'!$C:$C,'Category Mapping'!$D:$D)),$K96))</f>
        <v>Sales &amp; Marketing:Sales &amp; Marketing- Travel Expenses:</v>
      </c>
      <c r="W96" s="19" t="str">
        <f t="shared" si="14"/>
        <v>Ground Transportation</v>
      </c>
      <c r="X96" s="19" t="str">
        <f t="shared" si="15"/>
        <v>Sales &amp; Marketing:Sales &amp; Marketing- Travel Expenses:Ground Transportation</v>
      </c>
      <c r="Y96" s="20" t="str">
        <f>IF(ISBLANK($M96),IFERROR(_xlfn.XLOOKUP($P96,'Department Listing'!$A:$A,'Department Listing'!$L:$L),""),$M96)</f>
        <v>200- Datadog:230- Sales</v>
      </c>
      <c r="Z96" s="11">
        <f>IF(ISBLANK($B96),"",MATCH($X96,COA!$B:$B,0))</f>
        <v>200</v>
      </c>
    </row>
    <row r="97" spans="2:26" ht="15.75" customHeight="1" x14ac:dyDescent="0.25">
      <c r="B97" s="14">
        <v>46232</v>
      </c>
      <c r="C97" s="15" t="s">
        <v>216</v>
      </c>
      <c r="E97" s="15"/>
      <c r="F97" s="16">
        <v>38</v>
      </c>
      <c r="H97" s="10"/>
      <c r="I97" s="9" t="s">
        <v>33</v>
      </c>
      <c r="J97" s="9"/>
      <c r="K97" s="9"/>
      <c r="L97" s="9" t="s">
        <v>149</v>
      </c>
      <c r="M97" s="9"/>
      <c r="N97" s="17"/>
      <c r="O97" s="17" t="str">
        <f t="shared" si="8"/>
        <v>Elyse Neumeier</v>
      </c>
      <c r="P97" s="17">
        <f>IFERROR(_xlfn.XLOOKUP(O97,'Department Listing'!$O$1:$O$395,'Department Listing'!$A$1:$A$395),IFERROR(_xlfn.XLOOKUP(O97,'Name Aliases'!$A$2:$A$1000,'Name Aliases'!$B$2:$B$1000),""))</f>
        <v>98</v>
      </c>
      <c r="Q97" s="18">
        <f t="shared" si="9"/>
        <v>46232</v>
      </c>
      <c r="R97" s="17" t="str">
        <f t="shared" si="10"/>
        <v>Travel Vendor</v>
      </c>
      <c r="S97" s="19">
        <f t="shared" si="11"/>
        <v>38</v>
      </c>
      <c r="T97" s="17" t="str">
        <f t="shared" si="12"/>
        <v>PPL - FAN PIER MASTERCARD-XXXXXX9PARU8-Elyse Neumeier</v>
      </c>
      <c r="U97" s="17" t="str">
        <f t="shared" si="13"/>
        <v>Brex Credit Card</v>
      </c>
      <c r="V97" s="19" t="str">
        <f>IF(ISBLANK($B97),"",IF(ISBLANK($K97),IF(_xlfn.XLOOKUP($W97,'Category Mapping'!$C:$C,'Category Mapping'!$B:$B)="Travel",_xlfn.XLOOKUP($P97,'Department Listing'!$A:$A,'Department Listing'!$M:$M),_xlfn.XLOOKUP($W97,'Category Mapping'!$C:$C,'Category Mapping'!$D:$D)),$K97))</f>
        <v>General &amp; Administrative:G&amp;A- Travel Expenses:</v>
      </c>
      <c r="W97" s="19" t="str">
        <f t="shared" si="14"/>
        <v>Other Travel Expenses</v>
      </c>
      <c r="X97" s="19" t="str">
        <f t="shared" si="15"/>
        <v>General &amp; Administrative:G&amp;A- Travel Expenses:Other Travel Expenses</v>
      </c>
      <c r="Y97" s="20" t="str">
        <f>IF(ISBLANK($M97),IFERROR(_xlfn.XLOOKUP($P97,'Department Listing'!$A:$A,'Department Listing'!$L:$L),""),$M97)</f>
        <v>100- Operations:110- G&amp;A</v>
      </c>
      <c r="Z97" s="11">
        <f>IF(ISBLANK($B97),"",MATCH($X97,COA!$B:$B,0))</f>
        <v>152</v>
      </c>
    </row>
    <row r="98" spans="2:26" ht="15.75" customHeight="1" x14ac:dyDescent="0.25">
      <c r="B98" s="14">
        <v>46232</v>
      </c>
      <c r="C98" s="15" t="s">
        <v>218</v>
      </c>
      <c r="D98" s="15"/>
      <c r="E98" s="15" t="s">
        <v>76</v>
      </c>
      <c r="F98" s="16">
        <v>16.91</v>
      </c>
      <c r="H98" s="10"/>
      <c r="I98" s="9" t="s">
        <v>77</v>
      </c>
      <c r="J98" s="9"/>
      <c r="K98" s="9"/>
      <c r="L98" s="9" t="s">
        <v>78</v>
      </c>
      <c r="M98" s="9"/>
      <c r="N98" s="17"/>
      <c r="O98" s="17" t="str">
        <f t="shared" si="8"/>
        <v>Ben Savage</v>
      </c>
      <c r="P98" s="17">
        <f>IFERROR(_xlfn.XLOOKUP(O98,'Department Listing'!$O$1:$O$395,'Department Listing'!$A$1:$A$395),IFERROR(_xlfn.XLOOKUP(O98,'Name Aliases'!$A$2:$A$1000,'Name Aliases'!$B$2:$B$1000),""))</f>
        <v>71</v>
      </c>
      <c r="Q98" s="18">
        <f t="shared" si="9"/>
        <v>46232</v>
      </c>
      <c r="R98" s="17" t="str">
        <f t="shared" si="10"/>
        <v>Sweeney's</v>
      </c>
      <c r="S98" s="19">
        <f t="shared" si="11"/>
        <v>16.91</v>
      </c>
      <c r="T98" s="17" t="str">
        <f t="shared" si="12"/>
        <v>TST*SWEENEYS MASTERCARD-XXXXXXXY71GE-Ben Savage</v>
      </c>
      <c r="U98" s="17" t="str">
        <f t="shared" si="13"/>
        <v>Brex Credit Card</v>
      </c>
      <c r="V98" s="19" t="str">
        <f>IF(ISBLANK($B98),"",IF(ISBLANK($K98),IF(_xlfn.XLOOKUP($W98,'Category Mapping'!$C:$C,'Category Mapping'!$B:$B)="Travel",_xlfn.XLOOKUP($P98,'Department Listing'!$A:$A,'Department Listing'!$M:$M),_xlfn.XLOOKUP($W98,'Category Mapping'!$C:$C,'Category Mapping'!$D:$D)),$K98))</f>
        <v>Cost of Goods Sold:COGS- Travel Expenses:</v>
      </c>
      <c r="W98" s="19" t="str">
        <f t="shared" si="14"/>
        <v>Meals &amp; Entertainment</v>
      </c>
      <c r="X98" s="19" t="str">
        <f t="shared" si="15"/>
        <v>Cost of Goods Sold:COGS- Travel Expenses:Meals &amp; Entertainment</v>
      </c>
      <c r="Y98" s="20" t="str">
        <f>IF(ISBLANK($M98),IFERROR(_xlfn.XLOOKUP($P98,'Department Listing'!$A:$A,'Department Listing'!$L:$L),""),$M98)</f>
        <v>300- ServiceNow:320- Engineering</v>
      </c>
      <c r="Z98" s="11">
        <f>IF(ISBLANK($B98),"",MATCH($X98,COA!$B:$B,0))</f>
        <v>126</v>
      </c>
    </row>
    <row r="99" spans="2:26" ht="15.75" customHeight="1" x14ac:dyDescent="0.25">
      <c r="B99" s="14">
        <v>46232</v>
      </c>
      <c r="C99" s="15" t="s">
        <v>219</v>
      </c>
      <c r="D99" s="15"/>
      <c r="E99" s="15"/>
      <c r="F99" s="16">
        <v>627.51</v>
      </c>
      <c r="H99" s="10"/>
      <c r="I99" s="9" t="s">
        <v>36</v>
      </c>
      <c r="J99" s="9"/>
      <c r="K99" s="9"/>
      <c r="L99" s="9" t="s">
        <v>78</v>
      </c>
      <c r="M99" s="9"/>
      <c r="N99" s="17"/>
      <c r="O99" s="17" t="str">
        <f t="shared" si="8"/>
        <v>Ryan Henrich</v>
      </c>
      <c r="P99" s="17">
        <f>IFERROR(_xlfn.XLOOKUP(O99,'Department Listing'!$O$1:$O$395,'Department Listing'!$A$1:$A$395),IFERROR(_xlfn.XLOOKUP(O99,'Name Aliases'!$A$2:$A$1000,'Name Aliases'!$B$2:$B$1000),""))</f>
        <v>154</v>
      </c>
      <c r="Q99" s="18">
        <f t="shared" si="9"/>
        <v>46232</v>
      </c>
      <c r="R99" s="17" t="str">
        <f t="shared" si="10"/>
        <v>Food Vendor</v>
      </c>
      <c r="S99" s="19">
        <f t="shared" si="11"/>
        <v>627.51</v>
      </c>
      <c r="T99" s="17" t="str">
        <f t="shared" si="12"/>
        <v>Grill 23  Bar MASTERCARD-XXXXXXQEBO44-Ryan Henrich</v>
      </c>
      <c r="U99" s="17" t="str">
        <f t="shared" si="13"/>
        <v>Brex Credit Card</v>
      </c>
      <c r="V99" s="19" t="str">
        <f>IF(ISBLANK($B99),"",IF(ISBLANK($K99),IF(_xlfn.XLOOKUP($W99,'Category Mapping'!$C:$C,'Category Mapping'!$B:$B)="Travel",_xlfn.XLOOKUP($P99,'Department Listing'!$A:$A,'Department Listing'!$M:$M),_xlfn.XLOOKUP($W99,'Category Mapping'!$C:$C,'Category Mapping'!$D:$D)),$K99))</f>
        <v>Sales &amp; Marketing:Sales &amp; Marketing- Travel Expenses:</v>
      </c>
      <c r="W99" s="19" t="str">
        <f t="shared" si="14"/>
        <v>Meals &amp; Entertainment</v>
      </c>
      <c r="X99" s="19" t="str">
        <f t="shared" si="15"/>
        <v>Sales &amp; Marketing:Sales &amp; Marketing- Travel Expenses:Meals &amp; Entertainment</v>
      </c>
      <c r="Y99" s="20" t="str">
        <f>IF(ISBLANK($M99),IFERROR(_xlfn.XLOOKUP($P99,'Department Listing'!$A:$A,'Department Listing'!$L:$L),""),$M99)</f>
        <v>200- Datadog:230- Sales</v>
      </c>
      <c r="Z99" s="11">
        <f>IF(ISBLANK($B99),"",MATCH($X99,COA!$B:$B,0))</f>
        <v>202</v>
      </c>
    </row>
    <row r="100" spans="2:26" ht="15.75" customHeight="1" x14ac:dyDescent="0.25">
      <c r="B100" s="14">
        <v>46233</v>
      </c>
      <c r="C100" s="15" t="s">
        <v>220</v>
      </c>
      <c r="D100" s="15"/>
      <c r="E100" s="15" t="s">
        <v>221</v>
      </c>
      <c r="F100" s="16">
        <v>27</v>
      </c>
      <c r="H100" s="10"/>
      <c r="I100" s="9" t="s">
        <v>222</v>
      </c>
      <c r="J100" s="9"/>
      <c r="K100" s="9"/>
      <c r="L100" s="9" t="s">
        <v>66</v>
      </c>
      <c r="M100" s="9"/>
      <c r="N100" s="17"/>
      <c r="O100" s="17" t="str">
        <f t="shared" si="8"/>
        <v>Ashley Karpel</v>
      </c>
      <c r="P100" s="17">
        <f>IFERROR(_xlfn.XLOOKUP(O100,'Department Listing'!$O$1:$O$395,'Department Listing'!$A$1:$A$395),IFERROR(_xlfn.XLOOKUP(O100,'Name Aliases'!$A$2:$A$1000,'Name Aliases'!$B$2:$B$1000),""))</f>
        <v>42</v>
      </c>
      <c r="Q100" s="18">
        <f t="shared" si="9"/>
        <v>46233</v>
      </c>
      <c r="R100" s="17" t="str">
        <f t="shared" si="10"/>
        <v>Pier 4</v>
      </c>
      <c r="S100" s="19">
        <f t="shared" si="11"/>
        <v>27</v>
      </c>
      <c r="T100" s="17" t="str">
        <f t="shared" si="12"/>
        <v>PIER 4 GARAGE MASTERCARD-XXXXXX7MPX0L-Ashley Karpel</v>
      </c>
      <c r="U100" s="17" t="str">
        <f t="shared" si="13"/>
        <v>Brex Credit Card</v>
      </c>
      <c r="V100" s="19" t="str">
        <f>IF(ISBLANK($B100),"",IF(ISBLANK($K100),IF(_xlfn.XLOOKUP($W100,'Category Mapping'!$C:$C,'Category Mapping'!$B:$B)="Travel",_xlfn.XLOOKUP($P100,'Department Listing'!$A:$A,'Department Listing'!$M:$M),_xlfn.XLOOKUP($W100,'Category Mapping'!$C:$C,'Category Mapping'!$D:$D)),$K100))</f>
        <v>Sales &amp; Marketing:Sales &amp; Marketing- Travel Expenses:</v>
      </c>
      <c r="W100" s="19" t="str">
        <f t="shared" si="14"/>
        <v>Ground Transportation</v>
      </c>
      <c r="X100" s="19" t="str">
        <f t="shared" si="15"/>
        <v>Sales &amp; Marketing:Sales &amp; Marketing- Travel Expenses:Ground Transportation</v>
      </c>
      <c r="Y100" s="20" t="str">
        <f>IF(ISBLANK($M100),IFERROR(_xlfn.XLOOKUP($P100,'Department Listing'!$A:$A,'Department Listing'!$L:$L),""),$M100)</f>
        <v>300- ServiceNow:330- Sales</v>
      </c>
      <c r="Z100" s="11">
        <f>IF(ISBLANK($B100),"",MATCH($X100,COA!$B:$B,0))</f>
        <v>200</v>
      </c>
    </row>
    <row r="101" spans="2:26" ht="15.75" customHeight="1" x14ac:dyDescent="0.25">
      <c r="B101" s="14">
        <v>46232</v>
      </c>
      <c r="C101" s="15" t="s">
        <v>224</v>
      </c>
      <c r="D101" s="15"/>
      <c r="E101" s="15" t="s">
        <v>64</v>
      </c>
      <c r="F101" s="16">
        <v>29.97</v>
      </c>
      <c r="H101" s="10"/>
      <c r="I101" s="9" t="s">
        <v>74</v>
      </c>
      <c r="J101" s="9"/>
      <c r="K101" s="22"/>
      <c r="L101" s="22" t="s">
        <v>66</v>
      </c>
      <c r="M101" s="22"/>
      <c r="N101" s="17"/>
      <c r="O101" s="17" t="str">
        <f t="shared" si="8"/>
        <v>Robert Kolosky</v>
      </c>
      <c r="P101" s="17">
        <f>IFERROR(_xlfn.XLOOKUP(O101,'Department Listing'!$O$1:$O$395,'Department Listing'!$A$1:$A$395),IFERROR(_xlfn.XLOOKUP(O101,'Name Aliases'!$A$2:$A$1000,'Name Aliases'!$B$2:$B$1000),""))</f>
        <v>91</v>
      </c>
      <c r="Q101" s="18">
        <f t="shared" si="9"/>
        <v>46232</v>
      </c>
      <c r="R101" s="17" t="str">
        <f t="shared" si="10"/>
        <v>Uber</v>
      </c>
      <c r="S101" s="19">
        <f t="shared" si="11"/>
        <v>29.97</v>
      </c>
      <c r="T101" s="17" t="str">
        <f t="shared" si="12"/>
        <v>UBER   *TRIP MASTERCARD-XXXXXXO5XP55-Robert Kolosky</v>
      </c>
      <c r="U101" s="17" t="str">
        <f t="shared" si="13"/>
        <v>Brex Credit Card</v>
      </c>
      <c r="V101" s="19" t="str">
        <f>IF(ISBLANK($B101),"",IF(ISBLANK($K101),IF(_xlfn.XLOOKUP($W101,'Category Mapping'!$C:$C,'Category Mapping'!$B:$B)="Travel",_xlfn.XLOOKUP($P101,'Department Listing'!$A:$A,'Department Listing'!$M:$M),_xlfn.XLOOKUP($W101,'Category Mapping'!$C:$C,'Category Mapping'!$D:$D)),$K101))</f>
        <v>Cost of Goods Sold:COGS- Travel Expenses:</v>
      </c>
      <c r="W101" s="19" t="str">
        <f t="shared" si="14"/>
        <v>Ground Transportation</v>
      </c>
      <c r="X101" s="19" t="str">
        <f t="shared" si="15"/>
        <v>Cost of Goods Sold:COGS- Travel Expenses:Ground Transportation</v>
      </c>
      <c r="Y101" s="20" t="str">
        <f>IF(ISBLANK($M101),IFERROR(_xlfn.XLOOKUP($P101,'Department Listing'!$A:$A,'Department Listing'!$L:$L),""),$M101)</f>
        <v>300- ServiceNow:320- Engineering</v>
      </c>
      <c r="Z101" s="11">
        <f>IF(ISBLANK($B101),"",MATCH($X101,COA!$B:$B,0))</f>
        <v>124</v>
      </c>
    </row>
    <row r="102" spans="2:26" ht="15.75" customHeight="1" x14ac:dyDescent="0.25">
      <c r="B102" s="14">
        <v>46232</v>
      </c>
      <c r="C102" s="15" t="s">
        <v>225</v>
      </c>
      <c r="D102" s="15"/>
      <c r="E102" s="15"/>
      <c r="F102" s="16">
        <v>36.9</v>
      </c>
      <c r="H102" s="10"/>
      <c r="I102" s="9" t="s">
        <v>36</v>
      </c>
      <c r="J102" s="9"/>
      <c r="K102" s="9"/>
      <c r="L102" s="9" t="s">
        <v>78</v>
      </c>
      <c r="M102" s="9"/>
      <c r="N102" s="17"/>
      <c r="O102" s="17" t="str">
        <f t="shared" si="8"/>
        <v>Robert Kolosky</v>
      </c>
      <c r="P102" s="17">
        <f>IFERROR(_xlfn.XLOOKUP(O102,'Department Listing'!$O$1:$O$395,'Department Listing'!$A$1:$A$395),IFERROR(_xlfn.XLOOKUP(O102,'Name Aliases'!$A$2:$A$1000,'Name Aliases'!$B$2:$B$1000),""))</f>
        <v>91</v>
      </c>
      <c r="Q102" s="18">
        <f t="shared" si="9"/>
        <v>46232</v>
      </c>
      <c r="R102" s="17" t="str">
        <f t="shared" si="10"/>
        <v>Food Vendor</v>
      </c>
      <c r="S102" s="19">
        <f t="shared" si="11"/>
        <v>36.9</v>
      </c>
      <c r="T102" s="17" t="str">
        <f t="shared" si="12"/>
        <v>THE WILDDUCK MARKET PL MASTERCARD-XXXXXXGGM8ZB-Robert Kolosky</v>
      </c>
      <c r="U102" s="17" t="str">
        <f t="shared" si="13"/>
        <v>Brex Credit Card</v>
      </c>
      <c r="V102" s="19" t="str">
        <f>IF(ISBLANK($B102),"",IF(ISBLANK($K102),IF(_xlfn.XLOOKUP($W102,'Category Mapping'!$C:$C,'Category Mapping'!$B:$B)="Travel",_xlfn.XLOOKUP($P102,'Department Listing'!$A:$A,'Department Listing'!$M:$M),_xlfn.XLOOKUP($W102,'Category Mapping'!$C:$C,'Category Mapping'!$D:$D)),$K102))</f>
        <v>Cost of Goods Sold:COGS- Travel Expenses:</v>
      </c>
      <c r="W102" s="19" t="str">
        <f t="shared" si="14"/>
        <v>Meals &amp; Entertainment</v>
      </c>
      <c r="X102" s="19" t="str">
        <f t="shared" si="15"/>
        <v>Cost of Goods Sold:COGS- Travel Expenses:Meals &amp; Entertainment</v>
      </c>
      <c r="Y102" s="20" t="str">
        <f>IF(ISBLANK($M102),IFERROR(_xlfn.XLOOKUP($P102,'Department Listing'!$A:$A,'Department Listing'!$L:$L),""),$M102)</f>
        <v>300- ServiceNow:320- Engineering</v>
      </c>
      <c r="Z102" s="11">
        <f>IF(ISBLANK($B102),"",MATCH($X102,COA!$B:$B,0))</f>
        <v>126</v>
      </c>
    </row>
    <row r="103" spans="2:26" ht="15.75" customHeight="1" x14ac:dyDescent="0.25">
      <c r="B103" s="14">
        <v>46232</v>
      </c>
      <c r="C103" s="15" t="s">
        <v>226</v>
      </c>
      <c r="D103" s="15"/>
      <c r="E103" s="15"/>
      <c r="F103" s="16">
        <v>44</v>
      </c>
      <c r="H103" s="10"/>
      <c r="I103" s="9" t="s">
        <v>33</v>
      </c>
      <c r="J103" s="9"/>
      <c r="K103" s="9"/>
      <c r="L103" s="9" t="s">
        <v>149</v>
      </c>
      <c r="M103" s="22"/>
      <c r="N103" s="17"/>
      <c r="O103" s="17" t="str">
        <f t="shared" si="8"/>
        <v>Kevin Ebert</v>
      </c>
      <c r="P103" s="17">
        <f>IFERROR(_xlfn.XLOOKUP(O103,'Department Listing'!$O$1:$O$395,'Department Listing'!$A$1:$A$395),IFERROR(_xlfn.XLOOKUP(O103,'Name Aliases'!$A$2:$A$1000,'Name Aliases'!$B$2:$B$1000),""))</f>
        <v>187</v>
      </c>
      <c r="Q103" s="18">
        <f t="shared" si="9"/>
        <v>46232</v>
      </c>
      <c r="R103" s="17" t="str">
        <f t="shared" si="10"/>
        <v>Travel Vendor</v>
      </c>
      <c r="S103" s="19">
        <f t="shared" si="11"/>
        <v>44</v>
      </c>
      <c r="T103" s="17" t="str">
        <f t="shared" si="12"/>
        <v>One Seaport Garage MASTERCARD-XXXXXXH1JO6G-Kevin Ebert</v>
      </c>
      <c r="U103" s="17" t="str">
        <f t="shared" si="13"/>
        <v>Brex Credit Card</v>
      </c>
      <c r="V103" s="19" t="str">
        <f>IF(ISBLANK($B103),"",IF(ISBLANK($K103),IF(_xlfn.XLOOKUP($W103,'Category Mapping'!$C:$C,'Category Mapping'!$B:$B)="Travel",_xlfn.XLOOKUP($P103,'Department Listing'!$A:$A,'Department Listing'!$M:$M),_xlfn.XLOOKUP($W103,'Category Mapping'!$C:$C,'Category Mapping'!$D:$D)),$K103))</f>
        <v>General &amp; Administrative:G&amp;A- Travel Expenses:</v>
      </c>
      <c r="W103" s="19" t="str">
        <f t="shared" si="14"/>
        <v>Other Travel Expenses</v>
      </c>
      <c r="X103" s="19" t="str">
        <f t="shared" si="15"/>
        <v>General &amp; Administrative:G&amp;A- Travel Expenses:Other Travel Expenses</v>
      </c>
      <c r="Y103" s="20" t="str">
        <f>IF(ISBLANK($M103),IFERROR(_xlfn.XLOOKUP($P103,'Department Listing'!$A:$A,'Department Listing'!$L:$L),""),$M103)</f>
        <v>100- Operations:110- G&amp;A</v>
      </c>
      <c r="Z103" s="11">
        <f>IF(ISBLANK($B103),"",MATCH($X103,COA!$B:$B,0))</f>
        <v>152</v>
      </c>
    </row>
    <row r="104" spans="2:26" ht="15.75" customHeight="1" x14ac:dyDescent="0.25">
      <c r="B104" s="14">
        <v>46232</v>
      </c>
      <c r="C104" s="15" t="s">
        <v>227</v>
      </c>
      <c r="D104" s="15"/>
      <c r="E104" s="15"/>
      <c r="F104" s="16">
        <v>19.95</v>
      </c>
      <c r="H104" s="10"/>
      <c r="I104" s="9" t="s">
        <v>36</v>
      </c>
      <c r="J104" s="9"/>
      <c r="K104" s="9"/>
      <c r="L104" s="22" t="s">
        <v>78</v>
      </c>
      <c r="M104" s="9"/>
      <c r="N104" s="17"/>
      <c r="O104" s="17" t="str">
        <f t="shared" si="8"/>
        <v>Jon Giara</v>
      </c>
      <c r="P104" s="17">
        <f>IFERROR(_xlfn.XLOOKUP(O104,'Department Listing'!$O$1:$O$395,'Department Listing'!$A$1:$A$395),IFERROR(_xlfn.XLOOKUP(O104,'Name Aliases'!$A$2:$A$1000,'Name Aliases'!$B$2:$B$1000),""))</f>
        <v>2</v>
      </c>
      <c r="Q104" s="18">
        <f t="shared" si="9"/>
        <v>46232</v>
      </c>
      <c r="R104" s="17" t="str">
        <f t="shared" si="10"/>
        <v>Food Vendor</v>
      </c>
      <c r="S104" s="19">
        <f t="shared" si="11"/>
        <v>19.95</v>
      </c>
      <c r="T104" s="17" t="str">
        <f t="shared" si="12"/>
        <v>THE WILDDUCK MARKET PL MASTERCARD-XXXXXX1E5E3G-Jon Giara</v>
      </c>
      <c r="U104" s="17" t="str">
        <f t="shared" si="13"/>
        <v>Brex Credit Card</v>
      </c>
      <c r="V104" s="19" t="str">
        <f>IF(ISBLANK($B104),"",IF(ISBLANK($K104),IF(_xlfn.XLOOKUP($W104,'Category Mapping'!$C:$C,'Category Mapping'!$B:$B)="Travel",_xlfn.XLOOKUP($P104,'Department Listing'!$A:$A,'Department Listing'!$M:$M),_xlfn.XLOOKUP($W104,'Category Mapping'!$C:$C,'Category Mapping'!$D:$D)),$K104))</f>
        <v>Cost of Goods Sold:COGS- Travel Expenses:</v>
      </c>
      <c r="W104" s="19" t="str">
        <f t="shared" si="14"/>
        <v>Meals &amp; Entertainment</v>
      </c>
      <c r="X104" s="19" t="str">
        <f t="shared" si="15"/>
        <v>Cost of Goods Sold:COGS- Travel Expenses:Meals &amp; Entertainment</v>
      </c>
      <c r="Y104" s="20" t="str">
        <f>IF(ISBLANK($M104),IFERROR(_xlfn.XLOOKUP($P104,'Department Listing'!$A:$A,'Department Listing'!$L:$L),""),$M104)</f>
        <v>300- ServiceNow:320- Engineering</v>
      </c>
      <c r="Z104" s="11">
        <f>IF(ISBLANK($B104),"",MATCH($X104,COA!$B:$B,0))</f>
        <v>126</v>
      </c>
    </row>
    <row r="105" spans="2:26" ht="15.75" customHeight="1" x14ac:dyDescent="0.25">
      <c r="B105" s="14">
        <v>46232</v>
      </c>
      <c r="C105" s="15" t="s">
        <v>229</v>
      </c>
      <c r="E105" s="15" t="s">
        <v>64</v>
      </c>
      <c r="F105" s="16">
        <v>28.96</v>
      </c>
      <c r="H105" s="10"/>
      <c r="I105" s="9" t="s">
        <v>74</v>
      </c>
      <c r="J105" s="9"/>
      <c r="K105" s="22"/>
      <c r="L105" s="22" t="s">
        <v>66</v>
      </c>
      <c r="M105" s="9"/>
      <c r="N105" s="17"/>
      <c r="O105" s="17" t="str">
        <f t="shared" si="8"/>
        <v>Robert Kolosky</v>
      </c>
      <c r="P105" s="17">
        <f>IFERROR(_xlfn.XLOOKUP(O105,'Department Listing'!$O$1:$O$395,'Department Listing'!$A$1:$A$395),IFERROR(_xlfn.XLOOKUP(O105,'Name Aliases'!$A$2:$A$1000,'Name Aliases'!$B$2:$B$1000),""))</f>
        <v>91</v>
      </c>
      <c r="Q105" s="18">
        <f t="shared" si="9"/>
        <v>46232</v>
      </c>
      <c r="R105" s="17" t="str">
        <f t="shared" si="10"/>
        <v>Uber</v>
      </c>
      <c r="S105" s="19">
        <f t="shared" si="11"/>
        <v>28.96</v>
      </c>
      <c r="T105" s="17" t="str">
        <f t="shared" si="12"/>
        <v>UBER   *TRIP MASTERCARD-XXXXXXRGUIDP-Robert Kolosky</v>
      </c>
      <c r="U105" s="17" t="str">
        <f t="shared" si="13"/>
        <v>Brex Credit Card</v>
      </c>
      <c r="V105" s="19" t="str">
        <f>IF(ISBLANK($B105),"",IF(ISBLANK($K105),IF(_xlfn.XLOOKUP($W105,'Category Mapping'!$C:$C,'Category Mapping'!$B:$B)="Travel",_xlfn.XLOOKUP($P105,'Department Listing'!$A:$A,'Department Listing'!$M:$M),_xlfn.XLOOKUP($W105,'Category Mapping'!$C:$C,'Category Mapping'!$D:$D)),$K105))</f>
        <v>Cost of Goods Sold:COGS- Travel Expenses:</v>
      </c>
      <c r="W105" s="19" t="str">
        <f t="shared" si="14"/>
        <v>Ground Transportation</v>
      </c>
      <c r="X105" s="19" t="str">
        <f t="shared" si="15"/>
        <v>Cost of Goods Sold:COGS- Travel Expenses:Ground Transportation</v>
      </c>
      <c r="Y105" s="20" t="str">
        <f>IF(ISBLANK($M105),IFERROR(_xlfn.XLOOKUP($P105,'Department Listing'!$A:$A,'Department Listing'!$L:$L),""),$M105)</f>
        <v>300- ServiceNow:320- Engineering</v>
      </c>
      <c r="Z105" s="11">
        <f>IF(ISBLANK($B105),"",MATCH($X105,COA!$B:$B,0))</f>
        <v>124</v>
      </c>
    </row>
    <row r="106" spans="2:26" ht="15.75" customHeight="1" x14ac:dyDescent="0.25">
      <c r="B106" s="14">
        <v>46233</v>
      </c>
      <c r="C106" s="15" t="s">
        <v>230</v>
      </c>
      <c r="D106" s="15"/>
      <c r="E106" s="15" t="s">
        <v>64</v>
      </c>
      <c r="F106" s="16">
        <v>23.98</v>
      </c>
      <c r="H106" s="10"/>
      <c r="I106" s="9" t="s">
        <v>74</v>
      </c>
      <c r="J106" s="9"/>
      <c r="K106" s="22"/>
      <c r="L106" s="22" t="s">
        <v>66</v>
      </c>
      <c r="M106" s="9"/>
      <c r="N106" s="17"/>
      <c r="O106" s="17" t="str">
        <f t="shared" si="8"/>
        <v>Ben Savage</v>
      </c>
      <c r="P106" s="17">
        <f>IFERROR(_xlfn.XLOOKUP(O106,'Department Listing'!$O$1:$O$395,'Department Listing'!$A$1:$A$395),IFERROR(_xlfn.XLOOKUP(O106,'Name Aliases'!$A$2:$A$1000,'Name Aliases'!$B$2:$B$1000),""))</f>
        <v>71</v>
      </c>
      <c r="Q106" s="18">
        <f t="shared" si="9"/>
        <v>46233</v>
      </c>
      <c r="R106" s="17" t="str">
        <f t="shared" si="10"/>
        <v>Uber</v>
      </c>
      <c r="S106" s="19">
        <f t="shared" si="11"/>
        <v>23.98</v>
      </c>
      <c r="T106" s="17" t="str">
        <f t="shared" si="12"/>
        <v>UBER   *TRIP MASTERCARD-XXXXXXUIUXP7-Ben Savage</v>
      </c>
      <c r="U106" s="17" t="str">
        <f t="shared" si="13"/>
        <v>Brex Credit Card</v>
      </c>
      <c r="V106" s="19" t="str">
        <f>IF(ISBLANK($B106),"",IF(ISBLANK($K106),IF(_xlfn.XLOOKUP($W106,'Category Mapping'!$C:$C,'Category Mapping'!$B:$B)="Travel",_xlfn.XLOOKUP($P106,'Department Listing'!$A:$A,'Department Listing'!$M:$M),_xlfn.XLOOKUP($W106,'Category Mapping'!$C:$C,'Category Mapping'!$D:$D)),$K106))</f>
        <v>Cost of Goods Sold:COGS- Travel Expenses:</v>
      </c>
      <c r="W106" s="19" t="str">
        <f t="shared" si="14"/>
        <v>Ground Transportation</v>
      </c>
      <c r="X106" s="19" t="str">
        <f t="shared" si="15"/>
        <v>Cost of Goods Sold:COGS- Travel Expenses:Ground Transportation</v>
      </c>
      <c r="Y106" s="20" t="str">
        <f>IF(ISBLANK($M106),IFERROR(_xlfn.XLOOKUP($P106,'Department Listing'!$A:$A,'Department Listing'!$L:$L),""),$M106)</f>
        <v>300- ServiceNow:320- Engineering</v>
      </c>
      <c r="Z106" s="11">
        <f>IF(ISBLANK($B106),"",MATCH($X106,COA!$B:$B,0))</f>
        <v>124</v>
      </c>
    </row>
    <row r="107" spans="2:26" ht="15.75" customHeight="1" x14ac:dyDescent="0.25">
      <c r="B107" s="14">
        <v>46232</v>
      </c>
      <c r="C107" s="15" t="s">
        <v>231</v>
      </c>
      <c r="E107" s="15" t="s">
        <v>76</v>
      </c>
      <c r="F107" s="16">
        <v>387.42</v>
      </c>
      <c r="H107" s="10"/>
      <c r="I107" s="9" t="s">
        <v>36</v>
      </c>
      <c r="J107" s="9"/>
      <c r="K107" s="9"/>
      <c r="L107" s="9" t="s">
        <v>78</v>
      </c>
      <c r="M107" s="9"/>
      <c r="N107" s="17"/>
      <c r="O107" s="17" t="str">
        <f t="shared" si="8"/>
        <v>Matt Hyman</v>
      </c>
      <c r="P107" s="17">
        <f>IFERROR(_xlfn.XLOOKUP(O107,'Department Listing'!$O$1:$O$395,'Department Listing'!$A$1:$A$395),IFERROR(_xlfn.XLOOKUP(O107,'Name Aliases'!$A$2:$A$1000,'Name Aliases'!$B$2:$B$1000),""))</f>
        <v>24</v>
      </c>
      <c r="Q107" s="18">
        <f t="shared" si="9"/>
        <v>46232</v>
      </c>
      <c r="R107" s="17" t="str">
        <f t="shared" si="10"/>
        <v>Food Vendor</v>
      </c>
      <c r="S107" s="19">
        <f t="shared" si="11"/>
        <v>387.42</v>
      </c>
      <c r="T107" s="17" t="str">
        <f t="shared" si="12"/>
        <v>TST* LIMANI SEAPORT PO MASTERCARD-XXXXXX2G9W23-Matt Hyman</v>
      </c>
      <c r="U107" s="17" t="str">
        <f t="shared" si="13"/>
        <v>Brex Credit Card</v>
      </c>
      <c r="V107" s="19" t="str">
        <f>IF(ISBLANK($B107),"",IF(ISBLANK($K107),IF(_xlfn.XLOOKUP($W107,'Category Mapping'!$C:$C,'Category Mapping'!$B:$B)="Travel",_xlfn.XLOOKUP($P107,'Department Listing'!$A:$A,'Department Listing'!$M:$M),_xlfn.XLOOKUP($W107,'Category Mapping'!$C:$C,'Category Mapping'!$D:$D)),$K107))</f>
        <v>Sales &amp; Marketing:Sales &amp; Marketing- Travel Expenses:</v>
      </c>
      <c r="W107" s="19" t="str">
        <f t="shared" si="14"/>
        <v>Meals &amp; Entertainment</v>
      </c>
      <c r="X107" s="19" t="str">
        <f t="shared" si="15"/>
        <v>Sales &amp; Marketing:Sales &amp; Marketing- Travel Expenses:Meals &amp; Entertainment</v>
      </c>
      <c r="Y107" s="20" t="str">
        <f>IF(ISBLANK($M107),IFERROR(_xlfn.XLOOKUP($P107,'Department Listing'!$A:$A,'Department Listing'!$L:$L),""),$M107)</f>
        <v>300- ServiceNow:330- Sales</v>
      </c>
      <c r="Z107" s="11">
        <f>IF(ISBLANK($B107),"",MATCH($X107,COA!$B:$B,0))</f>
        <v>202</v>
      </c>
    </row>
    <row r="108" spans="2:26" ht="15.75" customHeight="1" x14ac:dyDescent="0.25">
      <c r="B108" s="14">
        <v>46232</v>
      </c>
      <c r="C108" s="15" t="s">
        <v>232</v>
      </c>
      <c r="D108" s="15"/>
      <c r="E108" s="15" t="s">
        <v>64</v>
      </c>
      <c r="F108" s="16">
        <v>58</v>
      </c>
      <c r="H108" s="10"/>
      <c r="I108" s="9" t="s">
        <v>74</v>
      </c>
      <c r="J108" s="9"/>
      <c r="K108" s="9"/>
      <c r="L108" s="9" t="s">
        <v>66</v>
      </c>
      <c r="M108" s="9"/>
      <c r="N108" s="17"/>
      <c r="O108" s="17" t="str">
        <f t="shared" si="8"/>
        <v>Daniel Blauvelt</v>
      </c>
      <c r="P108" s="17">
        <f>IFERROR(_xlfn.XLOOKUP(O108,'Department Listing'!$O$1:$O$395,'Department Listing'!$A$1:$A$395),IFERROR(_xlfn.XLOOKUP(O108,'Name Aliases'!$A$2:$A$1000,'Name Aliases'!$B$2:$B$1000),""))</f>
        <v>207</v>
      </c>
      <c r="Q108" s="18">
        <f t="shared" si="9"/>
        <v>46232</v>
      </c>
      <c r="R108" s="17" t="str">
        <f t="shared" si="10"/>
        <v>Uber</v>
      </c>
      <c r="S108" s="19">
        <f t="shared" si="11"/>
        <v>58</v>
      </c>
      <c r="T108" s="17" t="str">
        <f t="shared" si="12"/>
        <v>UBER *TRIP HELP.UBER.C MASTERCARD-XXXXXXXY7DME-Daniel Blauvelt</v>
      </c>
      <c r="U108" s="17" t="str">
        <f t="shared" si="13"/>
        <v>Brex Credit Card</v>
      </c>
      <c r="V108" s="19" t="str">
        <f>IF(ISBLANK($B108),"",IF(ISBLANK($K108),IF(_xlfn.XLOOKUP($W108,'Category Mapping'!$C:$C,'Category Mapping'!$B:$B)="Travel",_xlfn.XLOOKUP($P108,'Department Listing'!$A:$A,'Department Listing'!$M:$M),_xlfn.XLOOKUP($W108,'Category Mapping'!$C:$C,'Category Mapping'!$D:$D)),$K108))</f>
        <v>General &amp; Administrative:G&amp;A- Travel Expenses:</v>
      </c>
      <c r="W108" s="19" t="str">
        <f t="shared" si="14"/>
        <v>Ground Transportation</v>
      </c>
      <c r="X108" s="19" t="str">
        <f t="shared" si="15"/>
        <v>General &amp; Administrative:G&amp;A- Travel Expenses:Ground Transportation</v>
      </c>
      <c r="Y108" s="20" t="str">
        <f>IF(ISBLANK($M108),IFERROR(_xlfn.XLOOKUP($P108,'Department Listing'!$A:$A,'Department Listing'!$L:$L),""),$M108)</f>
        <v>300- ServiceNow:320- Engineering</v>
      </c>
      <c r="Z108" s="11">
        <f>IF(ISBLANK($B108),"",MATCH($X108,COA!$B:$B,0))</f>
        <v>149</v>
      </c>
    </row>
    <row r="109" spans="2:26" ht="15.75" customHeight="1" x14ac:dyDescent="0.25">
      <c r="B109" s="14">
        <v>46232</v>
      </c>
      <c r="C109" s="15" t="s">
        <v>233</v>
      </c>
      <c r="D109" s="15"/>
      <c r="E109" s="15"/>
      <c r="F109" s="16">
        <v>20.54</v>
      </c>
      <c r="H109" s="10"/>
      <c r="I109" s="9" t="s">
        <v>36</v>
      </c>
      <c r="J109" s="9"/>
      <c r="K109" s="9"/>
      <c r="L109" s="9" t="s">
        <v>78</v>
      </c>
      <c r="M109" s="9"/>
      <c r="N109" s="17"/>
      <c r="O109" s="17" t="str">
        <f t="shared" si="8"/>
        <v>Tyler Grimshaw</v>
      </c>
      <c r="P109" s="17">
        <f>IFERROR(_xlfn.XLOOKUP(O109,'Department Listing'!$O$1:$O$395,'Department Listing'!$A$1:$A$395),IFERROR(_xlfn.XLOOKUP(O109,'Name Aliases'!$A$2:$A$1000,'Name Aliases'!$B$2:$B$1000),""))</f>
        <v>264</v>
      </c>
      <c r="Q109" s="18">
        <f t="shared" si="9"/>
        <v>46232</v>
      </c>
      <c r="R109" s="17" t="str">
        <f t="shared" si="10"/>
        <v>Food Vendor</v>
      </c>
      <c r="S109" s="19">
        <f t="shared" si="11"/>
        <v>20.54</v>
      </c>
      <c r="T109" s="17" t="str">
        <f t="shared" si="12"/>
        <v>SQ *CISCO BREWERS, INC MASTERCARD-XXXXXXOQO3Z0-Tyler Grimshaw</v>
      </c>
      <c r="U109" s="17" t="str">
        <f t="shared" si="13"/>
        <v>Brex Credit Card</v>
      </c>
      <c r="V109" s="19" t="str">
        <f>IF(ISBLANK($B109),"",IF(ISBLANK($K109),IF(_xlfn.XLOOKUP($W109,'Category Mapping'!$C:$C,'Category Mapping'!$B:$B)="Travel",_xlfn.XLOOKUP($P109,'Department Listing'!$A:$A,'Department Listing'!$M:$M),_xlfn.XLOOKUP($W109,'Category Mapping'!$C:$C,'Category Mapping'!$D:$D)),$K109))</f>
        <v>Sales &amp; Marketing:Sales &amp; Marketing- Travel Expenses:</v>
      </c>
      <c r="W109" s="19" t="str">
        <f t="shared" si="14"/>
        <v>Meals &amp; Entertainment</v>
      </c>
      <c r="X109" s="19" t="str">
        <f t="shared" si="15"/>
        <v>Sales &amp; Marketing:Sales &amp; Marketing- Travel Expenses:Meals &amp; Entertainment</v>
      </c>
      <c r="Y109" s="20" t="str">
        <f>IF(ISBLANK($M109),IFERROR(_xlfn.XLOOKUP($P109,'Department Listing'!$A:$A,'Department Listing'!$L:$L),""),$M109)</f>
        <v>200- Datadog:230- Sales</v>
      </c>
      <c r="Z109" s="11">
        <f>IF(ISBLANK($B109),"",MATCH($X109,COA!$B:$B,0))</f>
        <v>202</v>
      </c>
    </row>
    <row r="110" spans="2:26" ht="15.75" customHeight="1" x14ac:dyDescent="0.25">
      <c r="B110" s="14">
        <v>46233</v>
      </c>
      <c r="C110" s="15" t="s">
        <v>234</v>
      </c>
      <c r="D110" s="15"/>
      <c r="E110" s="15" t="s">
        <v>64</v>
      </c>
      <c r="F110" s="16">
        <v>33.56</v>
      </c>
      <c r="H110" s="10"/>
      <c r="I110" s="9" t="s">
        <v>92</v>
      </c>
      <c r="J110" s="9"/>
      <c r="K110" s="9"/>
      <c r="L110" s="9" t="s">
        <v>66</v>
      </c>
      <c r="M110" s="9"/>
      <c r="N110" s="17"/>
      <c r="O110" s="17" t="str">
        <f t="shared" si="8"/>
        <v>Tyler Grimshaw</v>
      </c>
      <c r="P110" s="17">
        <f>IFERROR(_xlfn.XLOOKUP(O110,'Department Listing'!$O$1:$O$395,'Department Listing'!$A$1:$A$395),IFERROR(_xlfn.XLOOKUP(O110,'Name Aliases'!$A$2:$A$1000,'Name Aliases'!$B$2:$B$1000),""))</f>
        <v>264</v>
      </c>
      <c r="Q110" s="18">
        <f t="shared" si="9"/>
        <v>46233</v>
      </c>
      <c r="R110" s="17" t="str">
        <f t="shared" si="10"/>
        <v>Lyft</v>
      </c>
      <c r="S110" s="19">
        <f t="shared" si="11"/>
        <v>33.56</v>
      </c>
      <c r="T110" s="17" t="str">
        <f t="shared" si="12"/>
        <v>LYFT   *BLK RIDE 07-28 MASTERCARD-XXXXXX36GOEB-Tyler Grimshaw</v>
      </c>
      <c r="U110" s="17" t="str">
        <f t="shared" si="13"/>
        <v>Brex Credit Card</v>
      </c>
      <c r="V110" s="19" t="str">
        <f>IF(ISBLANK($B110),"",IF(ISBLANK($K110),IF(_xlfn.XLOOKUP($W110,'Category Mapping'!$C:$C,'Category Mapping'!$B:$B)="Travel",_xlfn.XLOOKUP($P110,'Department Listing'!$A:$A,'Department Listing'!$M:$M),_xlfn.XLOOKUP($W110,'Category Mapping'!$C:$C,'Category Mapping'!$D:$D)),$K110))</f>
        <v>Sales &amp; Marketing:Sales &amp; Marketing- Travel Expenses:</v>
      </c>
      <c r="W110" s="19" t="str">
        <f t="shared" si="14"/>
        <v>Ground Transportation</v>
      </c>
      <c r="X110" s="19" t="str">
        <f t="shared" si="15"/>
        <v>Sales &amp; Marketing:Sales &amp; Marketing- Travel Expenses:Ground Transportation</v>
      </c>
      <c r="Y110" s="20" t="str">
        <f>IF(ISBLANK($M110),IFERROR(_xlfn.XLOOKUP($P110,'Department Listing'!$A:$A,'Department Listing'!$L:$L),""),$M110)</f>
        <v>200- Datadog:230- Sales</v>
      </c>
      <c r="Z110" s="11">
        <f>IF(ISBLANK($B110),"",MATCH($X110,COA!$B:$B,0))</f>
        <v>200</v>
      </c>
    </row>
    <row r="111" spans="2:26" ht="15.75" customHeight="1" x14ac:dyDescent="0.25">
      <c r="B111" s="14">
        <v>46232</v>
      </c>
      <c r="C111" s="15" t="s">
        <v>235</v>
      </c>
      <c r="E111" s="15" t="s">
        <v>64</v>
      </c>
      <c r="F111" s="16">
        <v>28.83</v>
      </c>
      <c r="H111" s="10"/>
      <c r="I111" s="9" t="s">
        <v>74</v>
      </c>
      <c r="J111" s="9"/>
      <c r="K111" s="9"/>
      <c r="L111" s="9" t="s">
        <v>66</v>
      </c>
      <c r="M111" s="9"/>
      <c r="N111" s="17"/>
      <c r="O111" s="17" t="str">
        <f t="shared" si="8"/>
        <v>Paulina Mateo</v>
      </c>
      <c r="P111" s="17">
        <f>IFERROR(_xlfn.XLOOKUP(O111,'Department Listing'!$O$1:$O$395,'Department Listing'!$A$1:$A$395),IFERROR(_xlfn.XLOOKUP(O111,'Name Aliases'!$A$2:$A$1000,'Name Aliases'!$B$2:$B$1000),""))</f>
        <v>286</v>
      </c>
      <c r="Q111" s="18">
        <f t="shared" si="9"/>
        <v>46232</v>
      </c>
      <c r="R111" s="17" t="str">
        <f t="shared" si="10"/>
        <v>Uber</v>
      </c>
      <c r="S111" s="19">
        <f t="shared" si="11"/>
        <v>28.83</v>
      </c>
      <c r="T111" s="17" t="str">
        <f t="shared" si="12"/>
        <v>UBER   *TRIP MASTERCARD-XXXXXXL48426-Paulina Mateo</v>
      </c>
      <c r="U111" s="17" t="str">
        <f t="shared" si="13"/>
        <v>Brex Credit Card</v>
      </c>
      <c r="V111" s="19" t="str">
        <f>IF(ISBLANK($B111),"",IF(ISBLANK($K111),IF(_xlfn.XLOOKUP($W111,'Category Mapping'!$C:$C,'Category Mapping'!$B:$B)="Travel",_xlfn.XLOOKUP($P111,'Department Listing'!$A:$A,'Department Listing'!$M:$M),_xlfn.XLOOKUP($W111,'Category Mapping'!$C:$C,'Category Mapping'!$D:$D)),$K111))</f>
        <v>Cost of Goods Sold:COGS- Travel Expenses:</v>
      </c>
      <c r="W111" s="19" t="str">
        <f t="shared" si="14"/>
        <v>Ground Transportation</v>
      </c>
      <c r="X111" s="19" t="str">
        <f t="shared" si="15"/>
        <v>Cost of Goods Sold:COGS- Travel Expenses:Ground Transportation</v>
      </c>
      <c r="Y111" s="20" t="str">
        <f>IF(ISBLANK($M111),IFERROR(_xlfn.XLOOKUP($P111,'Department Listing'!$A:$A,'Department Listing'!$L:$L),""),$M111)</f>
        <v>300- ServiceNow:310- Delivery</v>
      </c>
      <c r="Z111" s="11">
        <f>IF(ISBLANK($B111),"",MATCH($X111,COA!$B:$B,0))</f>
        <v>124</v>
      </c>
    </row>
    <row r="112" spans="2:26" ht="15" customHeight="1" x14ac:dyDescent="0.25">
      <c r="B112" s="14">
        <v>46232</v>
      </c>
      <c r="C112" s="15" t="s">
        <v>236</v>
      </c>
      <c r="D112" s="15"/>
      <c r="E112" s="15"/>
      <c r="F112" s="16">
        <v>5254.13</v>
      </c>
      <c r="H112" s="10"/>
      <c r="I112" s="9" t="s">
        <v>36</v>
      </c>
      <c r="J112" s="9"/>
      <c r="K112" s="9"/>
      <c r="L112" s="9" t="s">
        <v>78</v>
      </c>
      <c r="M112" s="9"/>
      <c r="N112" s="17"/>
      <c r="O112" s="17" t="str">
        <f t="shared" si="8"/>
        <v>Mickenzi Krpec</v>
      </c>
      <c r="P112" s="17">
        <f>IFERROR(_xlfn.XLOOKUP(O112,'Department Listing'!$O$1:$O$395,'Department Listing'!$A$1:$A$395),IFERROR(_xlfn.XLOOKUP(O112,'Name Aliases'!$A$2:$A$1000,'Name Aliases'!$B$2:$B$1000),""))</f>
        <v>170</v>
      </c>
      <c r="Q112" s="18">
        <f t="shared" si="9"/>
        <v>46232</v>
      </c>
      <c r="R112" s="17" t="str">
        <f t="shared" si="10"/>
        <v>Food Vendor</v>
      </c>
      <c r="S112" s="19">
        <f t="shared" si="11"/>
        <v>5254.13</v>
      </c>
      <c r="T112" s="17" t="str">
        <f t="shared" si="12"/>
        <v>SQ *CISCO BREWERS, INC MASTERCARD-XXXXXXHT0QCW-Mickenzi Krpec</v>
      </c>
      <c r="U112" s="17" t="str">
        <f t="shared" si="13"/>
        <v>Brex Credit Card</v>
      </c>
      <c r="V112" s="19" t="str">
        <f>IF(ISBLANK($B112),"",IF(ISBLANK($K112),IF(_xlfn.XLOOKUP($W112,'Category Mapping'!$C:$C,'Category Mapping'!$B:$B)="Travel",_xlfn.XLOOKUP($P112,'Department Listing'!$A:$A,'Department Listing'!$M:$M),_xlfn.XLOOKUP($W112,'Category Mapping'!$C:$C,'Category Mapping'!$D:$D)),$K112))</f>
        <v>General &amp; Administrative:G&amp;A- Travel Expenses:</v>
      </c>
      <c r="W112" s="19" t="str">
        <f t="shared" si="14"/>
        <v>Meals &amp; Entertainment</v>
      </c>
      <c r="X112" s="19" t="str">
        <f t="shared" si="15"/>
        <v>General &amp; Administrative:G&amp;A- Travel Expenses:Meals &amp; Entertainment</v>
      </c>
      <c r="Y112" s="20" t="str">
        <f>IF(ISBLANK($M112),IFERROR(_xlfn.XLOOKUP($P112,'Department Listing'!$A:$A,'Department Listing'!$L:$L),""),$M112)</f>
        <v>100- Operations:110- G&amp;A</v>
      </c>
      <c r="Z112" s="11">
        <f>IF(ISBLANK($B112),"",MATCH($X112,COA!$B:$B,0))</f>
        <v>151</v>
      </c>
    </row>
    <row r="113" spans="2:26" ht="15.75" customHeight="1" x14ac:dyDescent="0.25">
      <c r="B113" s="14">
        <v>46233</v>
      </c>
      <c r="C113" s="15" t="s">
        <v>237</v>
      </c>
      <c r="D113" s="15"/>
      <c r="E113" s="15" t="s">
        <v>64</v>
      </c>
      <c r="F113" s="16">
        <v>14.36</v>
      </c>
      <c r="H113" s="10"/>
      <c r="I113" s="9" t="s">
        <v>92</v>
      </c>
      <c r="J113" s="9"/>
      <c r="K113" s="9"/>
      <c r="L113" s="22" t="s">
        <v>66</v>
      </c>
      <c r="M113" s="22"/>
      <c r="N113" s="17"/>
      <c r="O113" s="17" t="str">
        <f t="shared" si="8"/>
        <v>Darshilkumar Shah</v>
      </c>
      <c r="P113" s="17">
        <f>IFERROR(_xlfn.XLOOKUP(O113,'Department Listing'!$O$1:$O$395,'Department Listing'!$A$1:$A$395),IFERROR(_xlfn.XLOOKUP(O113,'Name Aliases'!$A$2:$A$1000,'Name Aliases'!$B$2:$B$1000),""))</f>
        <v>225</v>
      </c>
      <c r="Q113" s="18">
        <f t="shared" si="9"/>
        <v>46233</v>
      </c>
      <c r="R113" s="17" t="str">
        <f t="shared" si="10"/>
        <v>Lyft</v>
      </c>
      <c r="S113" s="19">
        <f t="shared" si="11"/>
        <v>14.36</v>
      </c>
      <c r="T113" s="17" t="str">
        <f t="shared" si="12"/>
        <v>LYFT   *STANDARD 07-28 MASTERCARD-XXXXXXI7T7HG-Darshilkumar Shah</v>
      </c>
      <c r="U113" s="17" t="str">
        <f t="shared" si="13"/>
        <v>Brex Credit Card</v>
      </c>
      <c r="V113" s="19" t="str">
        <f>IF(ISBLANK($B113),"",IF(ISBLANK($K113),IF(_xlfn.XLOOKUP($W113,'Category Mapping'!$C:$C,'Category Mapping'!$B:$B)="Travel",_xlfn.XLOOKUP($P113,'Department Listing'!$A:$A,'Department Listing'!$M:$M),_xlfn.XLOOKUP($W113,'Category Mapping'!$C:$C,'Category Mapping'!$D:$D)),$K113))</f>
        <v>General &amp; Administrative:G&amp;A- Travel Expenses:</v>
      </c>
      <c r="W113" s="19" t="str">
        <f t="shared" si="14"/>
        <v>Ground Transportation</v>
      </c>
      <c r="X113" s="19" t="str">
        <f t="shared" si="15"/>
        <v>General &amp; Administrative:G&amp;A- Travel Expenses:Ground Transportation</v>
      </c>
      <c r="Y113" s="20" t="str">
        <f>IF(ISBLANK($M113),IFERROR(_xlfn.XLOOKUP($P113,'Department Listing'!$A:$A,'Department Listing'!$L:$L),""),$M113)</f>
        <v>300- ServiceNow:320- Engineering</v>
      </c>
      <c r="Z113" s="11">
        <f>IF(ISBLANK($B113),"",MATCH($X113,COA!$B:$B,0))</f>
        <v>149</v>
      </c>
    </row>
    <row r="114" spans="2:26" ht="15.75" customHeight="1" x14ac:dyDescent="0.25">
      <c r="B114" s="14">
        <v>46232</v>
      </c>
      <c r="C114" s="15" t="s">
        <v>238</v>
      </c>
      <c r="E114" s="15"/>
      <c r="F114" s="16">
        <v>1000</v>
      </c>
      <c r="H114" s="10"/>
      <c r="I114" s="9" t="s">
        <v>33</v>
      </c>
      <c r="J114" s="9"/>
      <c r="K114" s="9"/>
      <c r="L114" s="9" t="s">
        <v>78</v>
      </c>
      <c r="M114" s="9"/>
      <c r="N114" s="17"/>
      <c r="O114" s="17" t="str">
        <f t="shared" si="8"/>
        <v>Daniel Hamilton</v>
      </c>
      <c r="P114" s="17">
        <f>IFERROR(_xlfn.XLOOKUP(O114,'Department Listing'!$O$1:$O$395,'Department Listing'!$A$1:$A$395),IFERROR(_xlfn.XLOOKUP(O114,'Name Aliases'!$A$2:$A$1000,'Name Aliases'!$B$2:$B$1000),""))</f>
        <v>70</v>
      </c>
      <c r="Q114" s="18">
        <f t="shared" si="9"/>
        <v>46232</v>
      </c>
      <c r="R114" s="17" t="str">
        <f t="shared" si="10"/>
        <v>Travel Vendor</v>
      </c>
      <c r="S114" s="19">
        <f t="shared" si="11"/>
        <v>1000</v>
      </c>
      <c r="T114" s="17" t="str">
        <f t="shared" si="12"/>
        <v>WWW.VIVAKARAOKE.COM MASTERCARD-XXXXXXVJVT6A-Daniel Hamilton</v>
      </c>
      <c r="U114" s="17" t="str">
        <f t="shared" si="13"/>
        <v>Brex Credit Card</v>
      </c>
      <c r="V114" s="19" t="str">
        <f>IF(ISBLANK($B114),"",IF(ISBLANK($K114),IF(_xlfn.XLOOKUP($W114,'Category Mapping'!$C:$C,'Category Mapping'!$B:$B)="Travel",_xlfn.XLOOKUP($P114,'Department Listing'!$A:$A,'Department Listing'!$M:$M),_xlfn.XLOOKUP($W114,'Category Mapping'!$C:$C,'Category Mapping'!$D:$D)),$K114))</f>
        <v>Cost of Goods Sold:COGS- Travel Expenses:</v>
      </c>
      <c r="W114" s="19" t="str">
        <f t="shared" si="14"/>
        <v>Meals &amp; Entertainment</v>
      </c>
      <c r="X114" s="19" t="str">
        <f t="shared" si="15"/>
        <v>Cost of Goods Sold:COGS- Travel Expenses:Meals &amp; Entertainment</v>
      </c>
      <c r="Y114" s="20" t="str">
        <f>IF(ISBLANK($M114),IFERROR(_xlfn.XLOOKUP($P114,'Department Listing'!$A:$A,'Department Listing'!$L:$L),""),$M114)</f>
        <v>200- Datadog:210- Delivery</v>
      </c>
      <c r="Z114" s="11">
        <f>IF(ISBLANK($B114),"",MATCH($X114,COA!$B:$B,0))</f>
        <v>126</v>
      </c>
    </row>
    <row r="115" spans="2:26" ht="15.75" customHeight="1" x14ac:dyDescent="0.25">
      <c r="B115" s="14">
        <v>46233</v>
      </c>
      <c r="C115" s="15" t="s">
        <v>239</v>
      </c>
      <c r="D115" s="15"/>
      <c r="E115" s="15" t="s">
        <v>64</v>
      </c>
      <c r="F115" s="16">
        <v>30.38</v>
      </c>
      <c r="H115" s="10"/>
      <c r="I115" s="9" t="s">
        <v>74</v>
      </c>
      <c r="J115" s="9"/>
      <c r="K115" s="22"/>
      <c r="L115" s="22" t="s">
        <v>66</v>
      </c>
      <c r="M115" s="9"/>
      <c r="N115" s="17"/>
      <c r="O115" s="17" t="str">
        <f t="shared" si="8"/>
        <v>Dean DeMonte</v>
      </c>
      <c r="P115" s="17">
        <f>IFERROR(_xlfn.XLOOKUP(O115,'Department Listing'!$O$1:$O$395,'Department Listing'!$A$1:$A$395),IFERROR(_xlfn.XLOOKUP(O115,'Name Aliases'!$A$2:$A$1000,'Name Aliases'!$B$2:$B$1000),""))</f>
        <v>216</v>
      </c>
      <c r="Q115" s="18">
        <f t="shared" si="9"/>
        <v>46233</v>
      </c>
      <c r="R115" s="17" t="str">
        <f t="shared" si="10"/>
        <v>Uber</v>
      </c>
      <c r="S115" s="19">
        <f t="shared" si="11"/>
        <v>30.38</v>
      </c>
      <c r="T115" s="17" t="str">
        <f t="shared" si="12"/>
        <v>UBER   *TRIP MASTERCARD-XXXXXXZV7YI5-Dean DeMonte</v>
      </c>
      <c r="U115" s="17" t="str">
        <f t="shared" si="13"/>
        <v>Brex Credit Card</v>
      </c>
      <c r="V115" s="19" t="str">
        <f>IF(ISBLANK($B115),"",IF(ISBLANK($K115),IF(_xlfn.XLOOKUP($W115,'Category Mapping'!$C:$C,'Category Mapping'!$B:$B)="Travel",_xlfn.XLOOKUP($P115,'Department Listing'!$A:$A,'Department Listing'!$M:$M),_xlfn.XLOOKUP($W115,'Category Mapping'!$C:$C,'Category Mapping'!$D:$D)),$K115))</f>
        <v>Sales &amp; Marketing:Sales &amp; Marketing- Travel Expenses:</v>
      </c>
      <c r="W115" s="19" t="str">
        <f t="shared" si="14"/>
        <v>Ground Transportation</v>
      </c>
      <c r="X115" s="19" t="str">
        <f t="shared" si="15"/>
        <v>Sales &amp; Marketing:Sales &amp; Marketing- Travel Expenses:Ground Transportation</v>
      </c>
      <c r="Y115" s="20" t="str">
        <f>IF(ISBLANK($M115),IFERROR(_xlfn.XLOOKUP($P115,'Department Listing'!$A:$A,'Department Listing'!$L:$L),""),$M115)</f>
        <v>200- Datadog:230- Sales</v>
      </c>
      <c r="Z115" s="11">
        <f>IF(ISBLANK($B115),"",MATCH($X115,COA!$B:$B,0))</f>
        <v>200</v>
      </c>
    </row>
    <row r="116" spans="2:26" ht="15.75" customHeight="1" x14ac:dyDescent="0.25">
      <c r="B116" s="14">
        <v>46232</v>
      </c>
      <c r="C116" s="15" t="s">
        <v>240</v>
      </c>
      <c r="D116" s="15"/>
      <c r="E116" s="15"/>
      <c r="F116" s="16">
        <v>36</v>
      </c>
      <c r="H116" s="10"/>
      <c r="I116" s="9" t="s">
        <v>33</v>
      </c>
      <c r="J116" s="9"/>
      <c r="K116" s="22"/>
      <c r="L116" s="9" t="s">
        <v>149</v>
      </c>
      <c r="M116" s="9"/>
      <c r="N116" s="17"/>
      <c r="O116" s="17" t="str">
        <f t="shared" si="8"/>
        <v>Daniel Roy</v>
      </c>
      <c r="P116" s="17">
        <f>IFERROR(_xlfn.XLOOKUP(O116,'Department Listing'!$O$1:$O$395,'Department Listing'!$A$1:$A$395),IFERROR(_xlfn.XLOOKUP(O116,'Name Aliases'!$A$2:$A$1000,'Name Aliases'!$B$2:$B$1000),""))</f>
        <v>101</v>
      </c>
      <c r="Q116" s="18">
        <f t="shared" si="9"/>
        <v>46232</v>
      </c>
      <c r="R116" s="17" t="str">
        <f t="shared" si="10"/>
        <v>Travel Vendor</v>
      </c>
      <c r="S116" s="19">
        <f t="shared" si="11"/>
        <v>36</v>
      </c>
      <c r="T116" s="17" t="str">
        <f t="shared" si="12"/>
        <v>PPL - 100 NORTHERN AVE MASTERCARD-XXXXXXKLTL3V-Daniel Roy</v>
      </c>
      <c r="U116" s="17" t="str">
        <f t="shared" si="13"/>
        <v>Brex Credit Card</v>
      </c>
      <c r="V116" s="19" t="str">
        <f>IF(ISBLANK($B116),"",IF(ISBLANK($K116),IF(_xlfn.XLOOKUP($W116,'Category Mapping'!$C:$C,'Category Mapping'!$B:$B)="Travel",_xlfn.XLOOKUP($P116,'Department Listing'!$A:$A,'Department Listing'!$M:$M),_xlfn.XLOOKUP($W116,'Category Mapping'!$C:$C,'Category Mapping'!$D:$D)),$K116))</f>
        <v>Cost of Goods Sold:COGS- Travel Expenses:</v>
      </c>
      <c r="W116" s="19" t="str">
        <f t="shared" si="14"/>
        <v>Other Travel Expenses</v>
      </c>
      <c r="X116" s="19" t="str">
        <f t="shared" si="15"/>
        <v>Cost of Goods Sold:COGS- Travel Expenses:Other Travel Expenses</v>
      </c>
      <c r="Y116" s="20" t="str">
        <f>IF(ISBLANK($M116),IFERROR(_xlfn.XLOOKUP($P116,'Department Listing'!$A:$A,'Department Listing'!$L:$L),""),$M116)</f>
        <v>200- Datadog:220- Engineering</v>
      </c>
      <c r="Z116" s="11">
        <f>IF(ISBLANK($B116),"",MATCH($X116,COA!$B:$B,0))</f>
        <v>127</v>
      </c>
    </row>
    <row r="117" spans="2:26" ht="15.75" customHeight="1" x14ac:dyDescent="0.25">
      <c r="B117" s="14">
        <v>46232</v>
      </c>
      <c r="C117" s="15" t="s">
        <v>242</v>
      </c>
      <c r="D117" s="15"/>
      <c r="E117" s="15" t="s">
        <v>64</v>
      </c>
      <c r="F117" s="16">
        <v>9.82</v>
      </c>
      <c r="H117" s="10"/>
      <c r="I117" s="9" t="s">
        <v>74</v>
      </c>
      <c r="J117" s="9"/>
      <c r="K117" s="22"/>
      <c r="L117" s="22" t="s">
        <v>66</v>
      </c>
      <c r="M117" s="22"/>
      <c r="N117" s="17"/>
      <c r="O117" s="17" t="str">
        <f t="shared" si="8"/>
        <v>Zayn Moselhy</v>
      </c>
      <c r="P117" s="17">
        <f>IFERROR(_xlfn.XLOOKUP(O117,'Department Listing'!$O$1:$O$395,'Department Listing'!$A$1:$A$395),IFERROR(_xlfn.XLOOKUP(O117,'Name Aliases'!$A$2:$A$1000,'Name Aliases'!$B$2:$B$1000),""))</f>
        <v>184</v>
      </c>
      <c r="Q117" s="18">
        <f t="shared" si="9"/>
        <v>46232</v>
      </c>
      <c r="R117" s="17" t="str">
        <f t="shared" si="10"/>
        <v>Uber</v>
      </c>
      <c r="S117" s="19">
        <f t="shared" si="11"/>
        <v>9.82</v>
      </c>
      <c r="T117" s="17" t="str">
        <f t="shared" si="12"/>
        <v>UBER   *TRIP MASTERCARD-XXXXXXGAM2K0-Zayn Moselhy</v>
      </c>
      <c r="U117" s="17" t="str">
        <f t="shared" si="13"/>
        <v>Brex Credit Card</v>
      </c>
      <c r="V117" s="19" t="str">
        <f>IF(ISBLANK($B117),"",IF(ISBLANK($K117),IF(_xlfn.XLOOKUP($W117,'Category Mapping'!$C:$C,'Category Mapping'!$B:$B)="Travel",_xlfn.XLOOKUP($P117,'Department Listing'!$A:$A,'Department Listing'!$M:$M),_xlfn.XLOOKUP($W117,'Category Mapping'!$C:$C,'Category Mapping'!$D:$D)),$K117))</f>
        <v>General &amp; Administrative:G&amp;A- Travel Expenses:</v>
      </c>
      <c r="W117" s="19" t="str">
        <f t="shared" si="14"/>
        <v>Ground Transportation</v>
      </c>
      <c r="X117" s="19" t="str">
        <f t="shared" si="15"/>
        <v>General &amp; Administrative:G&amp;A- Travel Expenses:Ground Transportation</v>
      </c>
      <c r="Y117" s="20" t="str">
        <f>IF(ISBLANK($M117),IFERROR(_xlfn.XLOOKUP($P117,'Department Listing'!$A:$A,'Department Listing'!$L:$L),""),$M117)</f>
        <v>100- Operations:110- G&amp;A</v>
      </c>
      <c r="Z117" s="11">
        <f>IF(ISBLANK($B117),"",MATCH($X117,COA!$B:$B,0))</f>
        <v>149</v>
      </c>
    </row>
    <row r="118" spans="2:26" ht="15.75" customHeight="1" x14ac:dyDescent="0.25">
      <c r="B118" s="14">
        <v>46233</v>
      </c>
      <c r="C118" s="15" t="s">
        <v>243</v>
      </c>
      <c r="D118" s="15"/>
      <c r="E118" s="15" t="s">
        <v>64</v>
      </c>
      <c r="F118" s="16">
        <v>34.17</v>
      </c>
      <c r="H118" s="10"/>
      <c r="I118" s="9" t="s">
        <v>74</v>
      </c>
      <c r="J118" s="9"/>
      <c r="K118" s="22"/>
      <c r="L118" s="22" t="s">
        <v>66</v>
      </c>
      <c r="M118" s="9"/>
      <c r="N118" s="17"/>
      <c r="O118" s="17" t="str">
        <f t="shared" si="8"/>
        <v>Ryan Henrich</v>
      </c>
      <c r="P118" s="17">
        <f>IFERROR(_xlfn.XLOOKUP(O118,'Department Listing'!$O$1:$O$395,'Department Listing'!$A$1:$A$395),IFERROR(_xlfn.XLOOKUP(O118,'Name Aliases'!$A$2:$A$1000,'Name Aliases'!$B$2:$B$1000),""))</f>
        <v>154</v>
      </c>
      <c r="Q118" s="18">
        <f t="shared" si="9"/>
        <v>46233</v>
      </c>
      <c r="R118" s="17" t="str">
        <f t="shared" si="10"/>
        <v>Uber</v>
      </c>
      <c r="S118" s="19">
        <f t="shared" si="11"/>
        <v>34.17</v>
      </c>
      <c r="T118" s="17" t="str">
        <f t="shared" si="12"/>
        <v>UBER   *TRIP MASTERCARD-XXXXXXQZ6DY8-Ryan Henrich</v>
      </c>
      <c r="U118" s="17" t="str">
        <f t="shared" si="13"/>
        <v>Brex Credit Card</v>
      </c>
      <c r="V118" s="19" t="str">
        <f>IF(ISBLANK($B118),"",IF(ISBLANK($K118),IF(_xlfn.XLOOKUP($W118,'Category Mapping'!$C:$C,'Category Mapping'!$B:$B)="Travel",_xlfn.XLOOKUP($P118,'Department Listing'!$A:$A,'Department Listing'!$M:$M),_xlfn.XLOOKUP($W118,'Category Mapping'!$C:$C,'Category Mapping'!$D:$D)),$K118))</f>
        <v>Sales &amp; Marketing:Sales &amp; Marketing- Travel Expenses:</v>
      </c>
      <c r="W118" s="19" t="str">
        <f t="shared" si="14"/>
        <v>Ground Transportation</v>
      </c>
      <c r="X118" s="19" t="str">
        <f t="shared" si="15"/>
        <v>Sales &amp; Marketing:Sales &amp; Marketing- Travel Expenses:Ground Transportation</v>
      </c>
      <c r="Y118" s="20" t="str">
        <f>IF(ISBLANK($M118),IFERROR(_xlfn.XLOOKUP($P118,'Department Listing'!$A:$A,'Department Listing'!$L:$L),""),$M118)</f>
        <v>200- Datadog:230- Sales</v>
      </c>
      <c r="Z118" s="11">
        <f>IF(ISBLANK($B118),"",MATCH($X118,COA!$B:$B,0))</f>
        <v>200</v>
      </c>
    </row>
    <row r="119" spans="2:26" ht="15.75" customHeight="1" x14ac:dyDescent="0.25">
      <c r="B119" s="14">
        <v>46233</v>
      </c>
      <c r="C119" s="15" t="s">
        <v>244</v>
      </c>
      <c r="E119" s="15"/>
      <c r="F119" s="16">
        <v>22</v>
      </c>
      <c r="H119" s="10"/>
      <c r="I119" s="9" t="s">
        <v>33</v>
      </c>
      <c r="J119" s="9"/>
      <c r="K119" s="22"/>
      <c r="L119" s="22" t="s">
        <v>149</v>
      </c>
      <c r="M119" s="22"/>
      <c r="N119" s="17"/>
      <c r="O119" s="17" t="str">
        <f t="shared" si="8"/>
        <v>Elias Kapetanopoulos</v>
      </c>
      <c r="P119" s="17">
        <f>IFERROR(_xlfn.XLOOKUP(O119,'Department Listing'!$O$1:$O$395,'Department Listing'!$A$1:$A$395),IFERROR(_xlfn.XLOOKUP(O119,'Name Aliases'!$A$2:$A$1000,'Name Aliases'!$B$2:$B$1000),""))</f>
        <v>12</v>
      </c>
      <c r="Q119" s="18">
        <f t="shared" si="9"/>
        <v>46233</v>
      </c>
      <c r="R119" s="17" t="str">
        <f t="shared" si="10"/>
        <v>Travel Vendor</v>
      </c>
      <c r="S119" s="19">
        <f t="shared" si="11"/>
        <v>22</v>
      </c>
      <c r="T119" s="17" t="str">
        <f t="shared" si="12"/>
        <v>ALYX SOUTH GARAGE MASTERCARD-XXXXXXSW87IH-Elias Kapetanopoulos</v>
      </c>
      <c r="U119" s="17" t="str">
        <f t="shared" si="13"/>
        <v>Brex Credit Card</v>
      </c>
      <c r="V119" s="19" t="str">
        <f>IF(ISBLANK($B119),"",IF(ISBLANK($K119),IF(_xlfn.XLOOKUP($W119,'Category Mapping'!$C:$C,'Category Mapping'!$B:$B)="Travel",_xlfn.XLOOKUP($P119,'Department Listing'!$A:$A,'Department Listing'!$M:$M),_xlfn.XLOOKUP($W119,'Category Mapping'!$C:$C,'Category Mapping'!$D:$D)),$K119))</f>
        <v>General &amp; Administrative:G&amp;A- Travel Expenses:</v>
      </c>
      <c r="W119" s="19" t="str">
        <f t="shared" si="14"/>
        <v>Other Travel Expenses</v>
      </c>
      <c r="X119" s="19" t="str">
        <f t="shared" si="15"/>
        <v>General &amp; Administrative:G&amp;A- Travel Expenses:Other Travel Expenses</v>
      </c>
      <c r="Y119" s="20" t="str">
        <f>IF(ISBLANK($M119),IFERROR(_xlfn.XLOOKUP($P119,'Department Listing'!$A:$A,'Department Listing'!$L:$L),""),$M119)</f>
        <v>300- ServiceNow:320- Engineering</v>
      </c>
      <c r="Z119" s="11">
        <f>IF(ISBLANK($B119),"",MATCH($X119,COA!$B:$B,0))</f>
        <v>152</v>
      </c>
    </row>
    <row r="120" spans="2:26" ht="15.75" customHeight="1" x14ac:dyDescent="0.25">
      <c r="B120" s="14">
        <v>46233</v>
      </c>
      <c r="C120" s="15" t="s">
        <v>245</v>
      </c>
      <c r="D120" s="15"/>
      <c r="E120" s="15" t="s">
        <v>76</v>
      </c>
      <c r="F120" s="16">
        <v>53.58</v>
      </c>
      <c r="H120" s="10"/>
      <c r="I120" s="9" t="s">
        <v>246</v>
      </c>
      <c r="J120" s="9"/>
      <c r="K120" s="9"/>
      <c r="L120" s="9" t="s">
        <v>78</v>
      </c>
      <c r="M120" s="9"/>
      <c r="N120" s="17"/>
      <c r="O120" s="17" t="str">
        <f t="shared" si="8"/>
        <v>Israel Baral</v>
      </c>
      <c r="P120" s="17">
        <f>IFERROR(_xlfn.XLOOKUP(O120,'Department Listing'!$O$1:$O$395,'Department Listing'!$A$1:$A$395),IFERROR(_xlfn.XLOOKUP(O120,'Name Aliases'!$A$2:$A$1000,'Name Aliases'!$B$2:$B$1000),""))</f>
        <v>215</v>
      </c>
      <c r="Q120" s="18">
        <f t="shared" si="9"/>
        <v>46233</v>
      </c>
      <c r="R120" s="17" t="str">
        <f t="shared" si="10"/>
        <v>Door Dash</v>
      </c>
      <c r="S120" s="19">
        <f t="shared" si="11"/>
        <v>53.58</v>
      </c>
      <c r="T120" s="17" t="str">
        <f t="shared" si="12"/>
        <v>DD *DOORDASH THEKOSHER MASTERCARD-XXXXXXPRK522-Israel Baral</v>
      </c>
      <c r="U120" s="17" t="str">
        <f t="shared" si="13"/>
        <v>Brex Credit Card</v>
      </c>
      <c r="V120" s="19" t="str">
        <f>IF(ISBLANK($B120),"",IF(ISBLANK($K120),IF(_xlfn.XLOOKUP($W120,'Category Mapping'!$C:$C,'Category Mapping'!$B:$B)="Travel",_xlfn.XLOOKUP($P120,'Department Listing'!$A:$A,'Department Listing'!$M:$M),_xlfn.XLOOKUP($W120,'Category Mapping'!$C:$C,'Category Mapping'!$D:$D)),$K120))</f>
        <v>Cost of Goods Sold:COGS- Travel Expenses:</v>
      </c>
      <c r="W120" s="19" t="str">
        <f t="shared" si="14"/>
        <v>Meals &amp; Entertainment</v>
      </c>
      <c r="X120" s="19" t="str">
        <f t="shared" si="15"/>
        <v>Cost of Goods Sold:COGS- Travel Expenses:Meals &amp; Entertainment</v>
      </c>
      <c r="Y120" s="20" t="str">
        <f>IF(ISBLANK($M120),IFERROR(_xlfn.XLOOKUP($P120,'Department Listing'!$A:$A,'Department Listing'!$L:$L),""),$M120)</f>
        <v>300- ServiceNow:320- Engineering</v>
      </c>
      <c r="Z120" s="11">
        <f>IF(ISBLANK($B120),"",MATCH($X120,COA!$B:$B,0))</f>
        <v>126</v>
      </c>
    </row>
    <row r="121" spans="2:26" ht="15.75" customHeight="1" x14ac:dyDescent="0.25">
      <c r="B121" s="14">
        <v>46233</v>
      </c>
      <c r="C121" s="15" t="s">
        <v>247</v>
      </c>
      <c r="D121" s="15"/>
      <c r="E121" s="15" t="s">
        <v>64</v>
      </c>
      <c r="F121" s="16">
        <v>15.25</v>
      </c>
      <c r="H121" s="10"/>
      <c r="I121" s="9" t="s">
        <v>92</v>
      </c>
      <c r="J121" s="9"/>
      <c r="K121" s="9"/>
      <c r="L121" s="9" t="s">
        <v>66</v>
      </c>
      <c r="M121" s="9"/>
      <c r="N121" s="17"/>
      <c r="O121" s="17" t="str">
        <f t="shared" si="8"/>
        <v>Sakshi Sasalate</v>
      </c>
      <c r="P121" s="17">
        <f>IFERROR(_xlfn.XLOOKUP(O121,'Department Listing'!$O$1:$O$395,'Department Listing'!$A$1:$A$395),IFERROR(_xlfn.XLOOKUP(O121,'Name Aliases'!$A$2:$A$1000,'Name Aliases'!$B$2:$B$1000),""))</f>
        <v>209</v>
      </c>
      <c r="Q121" s="18">
        <f t="shared" si="9"/>
        <v>46233</v>
      </c>
      <c r="R121" s="17" t="str">
        <f t="shared" si="10"/>
        <v>Lyft</v>
      </c>
      <c r="S121" s="19">
        <f t="shared" si="11"/>
        <v>15.25</v>
      </c>
      <c r="T121" s="17" t="str">
        <f t="shared" si="12"/>
        <v>LYFT   *1 RIDE 07-28 MASTERCARD-XXXXXXF8PRVN-Sakshi Sasalate</v>
      </c>
      <c r="U121" s="17" t="str">
        <f t="shared" si="13"/>
        <v>Brex Credit Card</v>
      </c>
      <c r="V121" s="19" t="str">
        <f>IF(ISBLANK($B121),"",IF(ISBLANK($K121),IF(_xlfn.XLOOKUP($W121,'Category Mapping'!$C:$C,'Category Mapping'!$B:$B)="Travel",_xlfn.XLOOKUP($P121,'Department Listing'!$A:$A,'Department Listing'!$M:$M),_xlfn.XLOOKUP($W121,'Category Mapping'!$C:$C,'Category Mapping'!$D:$D)),$K121))</f>
        <v>General &amp; Administrative:G&amp;A- Travel Expenses:</v>
      </c>
      <c r="W121" s="19" t="str">
        <f t="shared" si="14"/>
        <v>Ground Transportation</v>
      </c>
      <c r="X121" s="19" t="str">
        <f t="shared" si="15"/>
        <v>General &amp; Administrative:G&amp;A- Travel Expenses:Ground Transportation</v>
      </c>
      <c r="Y121" s="20" t="str">
        <f>IF(ISBLANK($M121),IFERROR(_xlfn.XLOOKUP($P121,'Department Listing'!$A:$A,'Department Listing'!$L:$L),""),$M121)</f>
        <v>300- ServiceNow:320- Engineering</v>
      </c>
      <c r="Z121" s="11">
        <f>IF(ISBLANK($B121),"",MATCH($X121,COA!$B:$B,0))</f>
        <v>149</v>
      </c>
    </row>
    <row r="122" spans="2:26" ht="15.75" customHeight="1" x14ac:dyDescent="0.25">
      <c r="B122" s="14">
        <v>46232</v>
      </c>
      <c r="C122" s="15" t="s">
        <v>249</v>
      </c>
      <c r="E122" s="15" t="s">
        <v>76</v>
      </c>
      <c r="F122" s="16">
        <v>15.84</v>
      </c>
      <c r="H122" s="10"/>
      <c r="I122" s="9" t="s">
        <v>250</v>
      </c>
      <c r="J122" s="9"/>
      <c r="K122" s="9"/>
      <c r="L122" s="9" t="s">
        <v>78</v>
      </c>
      <c r="M122" s="9"/>
      <c r="N122" s="17"/>
      <c r="O122" s="17" t="str">
        <f t="shared" si="8"/>
        <v>Tanner Ylvisaker</v>
      </c>
      <c r="P122" s="17">
        <f>IFERROR(_xlfn.XLOOKUP(O122,'Department Listing'!$O$1:$O$395,'Department Listing'!$A$1:$A$395),IFERROR(_xlfn.XLOOKUP(O122,'Name Aliases'!$A$2:$A$1000,'Name Aliases'!$B$2:$B$1000),""))</f>
        <v>99</v>
      </c>
      <c r="Q122" s="18">
        <f t="shared" si="9"/>
        <v>46232</v>
      </c>
      <c r="R122" s="17" t="str">
        <f t="shared" si="10"/>
        <v>Chipotle</v>
      </c>
      <c r="S122" s="19">
        <f t="shared" si="11"/>
        <v>15.84</v>
      </c>
      <c r="T122" s="17" t="str">
        <f t="shared" si="12"/>
        <v>CHIPOTLE 2341 MASTERCARD-XXXXXXNVGH1J-Tanner Ylvisaker</v>
      </c>
      <c r="U122" s="17" t="str">
        <f t="shared" si="13"/>
        <v>Brex Credit Card</v>
      </c>
      <c r="V122" s="19" t="str">
        <f>IF(ISBLANK($B122),"",IF(ISBLANK($K122),IF(_xlfn.XLOOKUP($W122,'Category Mapping'!$C:$C,'Category Mapping'!$B:$B)="Travel",_xlfn.XLOOKUP($P122,'Department Listing'!$A:$A,'Department Listing'!$M:$M),_xlfn.XLOOKUP($W122,'Category Mapping'!$C:$C,'Category Mapping'!$D:$D)),$K122))</f>
        <v>Cost of Goods Sold:COGS- Travel Expenses:</v>
      </c>
      <c r="W122" s="19" t="str">
        <f t="shared" si="14"/>
        <v>Meals &amp; Entertainment</v>
      </c>
      <c r="X122" s="19" t="str">
        <f t="shared" si="15"/>
        <v>Cost of Goods Sold:COGS- Travel Expenses:Meals &amp; Entertainment</v>
      </c>
      <c r="Y122" s="20" t="str">
        <f>IF(ISBLANK($M122),IFERROR(_xlfn.XLOOKUP($P122,'Department Listing'!$A:$A,'Department Listing'!$L:$L),""),$M122)</f>
        <v>300- ServiceNow:320- Engineering</v>
      </c>
      <c r="Z122" s="11">
        <f>IF(ISBLANK($B122),"",MATCH($X122,COA!$B:$B,0))</f>
        <v>126</v>
      </c>
    </row>
    <row r="123" spans="2:26" ht="15.75" customHeight="1" x14ac:dyDescent="0.25">
      <c r="B123" s="14">
        <v>46232</v>
      </c>
      <c r="C123" s="15" t="s">
        <v>251</v>
      </c>
      <c r="D123" s="15"/>
      <c r="E123" s="15" t="s">
        <v>147</v>
      </c>
      <c r="F123" s="16">
        <v>36.26</v>
      </c>
      <c r="H123" s="10"/>
      <c r="I123" s="9" t="s">
        <v>162</v>
      </c>
      <c r="J123" s="9"/>
      <c r="K123" s="22"/>
      <c r="L123" s="9" t="s">
        <v>149</v>
      </c>
      <c r="M123" s="22"/>
      <c r="N123" s="17"/>
      <c r="O123" s="17" t="str">
        <f t="shared" si="8"/>
        <v>Harry Tomczyk</v>
      </c>
      <c r="P123" s="17">
        <f>IFERROR(_xlfn.XLOOKUP(O123,'Department Listing'!$O$1:$O$395,'Department Listing'!$A$1:$A$395),IFERROR(_xlfn.XLOOKUP(O123,'Name Aliases'!$A$2:$A$1000,'Name Aliases'!$B$2:$B$1000),""))</f>
        <v>251</v>
      </c>
      <c r="Q123" s="18">
        <f t="shared" si="9"/>
        <v>46232</v>
      </c>
      <c r="R123" s="17" t="str">
        <f t="shared" si="10"/>
        <v>Allianz</v>
      </c>
      <c r="S123" s="19">
        <f t="shared" si="11"/>
        <v>36.26</v>
      </c>
      <c r="T123" s="17" t="str">
        <f t="shared" si="12"/>
        <v>ALLIANZ TRAVEL INS MASTERCARD-XXXXXX3TZEJM-Harry Tomczyk</v>
      </c>
      <c r="U123" s="17" t="str">
        <f t="shared" si="13"/>
        <v>Brex Credit Card</v>
      </c>
      <c r="V123" s="19" t="str">
        <f>IF(ISBLANK($B123),"",IF(ISBLANK($K123),IF(_xlfn.XLOOKUP($W123,'Category Mapping'!$C:$C,'Category Mapping'!$B:$B)="Travel",_xlfn.XLOOKUP($P123,'Department Listing'!$A:$A,'Department Listing'!$M:$M),_xlfn.XLOOKUP($W123,'Category Mapping'!$C:$C,'Category Mapping'!$D:$D)),$K123))</f>
        <v>Sales &amp; Marketing:Sales &amp; Marketing- Travel Expenses:</v>
      </c>
      <c r="W123" s="19" t="str">
        <f t="shared" si="14"/>
        <v>Other Travel Expenses</v>
      </c>
      <c r="X123" s="19" t="str">
        <f t="shared" si="15"/>
        <v>Sales &amp; Marketing:Sales &amp; Marketing- Travel Expenses:Other Travel Expenses</v>
      </c>
      <c r="Y123" s="20" t="str">
        <f>IF(ISBLANK($M123),IFERROR(_xlfn.XLOOKUP($P123,'Department Listing'!$A:$A,'Department Listing'!$L:$L),""),$M123)</f>
        <v>300- ServiceNow:330- Sales</v>
      </c>
      <c r="Z123" s="11">
        <f>IF(ISBLANK($B123),"",MATCH($X123,COA!$B:$B,0))</f>
        <v>203</v>
      </c>
    </row>
    <row r="124" spans="2:26" ht="15.75" customHeight="1" x14ac:dyDescent="0.25">
      <c r="B124" s="14">
        <v>46233</v>
      </c>
      <c r="C124" s="15" t="s">
        <v>252</v>
      </c>
      <c r="D124" s="15"/>
      <c r="E124" s="15"/>
      <c r="F124" s="16">
        <v>74</v>
      </c>
      <c r="H124" s="10"/>
      <c r="I124" s="9" t="s">
        <v>253</v>
      </c>
      <c r="J124" s="9"/>
      <c r="K124" s="9"/>
      <c r="L124" s="9" t="s">
        <v>165</v>
      </c>
      <c r="M124" s="9"/>
      <c r="N124" s="17"/>
      <c r="O124" s="17" t="str">
        <f t="shared" si="8"/>
        <v>Harry Tomczyk</v>
      </c>
      <c r="P124" s="17">
        <f>IFERROR(_xlfn.XLOOKUP(O124,'Department Listing'!$O$1:$O$395,'Department Listing'!$A$1:$A$395),IFERROR(_xlfn.XLOOKUP(O124,'Name Aliases'!$A$2:$A$1000,'Name Aliases'!$B$2:$B$1000),""))</f>
        <v>251</v>
      </c>
      <c r="Q124" s="18">
        <f t="shared" si="9"/>
        <v>46233</v>
      </c>
      <c r="R124" s="17" t="str">
        <f t="shared" si="10"/>
        <v>Alaska Air</v>
      </c>
      <c r="S124" s="19">
        <f t="shared" si="11"/>
        <v>74</v>
      </c>
      <c r="T124" s="17" t="str">
        <f t="shared" si="12"/>
        <v>ALASKA A MASTERCARD-XXXXXXSISMGD-Harry Tomczyk</v>
      </c>
      <c r="U124" s="17" t="str">
        <f t="shared" si="13"/>
        <v>Brex Credit Card</v>
      </c>
      <c r="V124" s="19" t="str">
        <f>IF(ISBLANK($B124),"",IF(ISBLANK($K124),IF(_xlfn.XLOOKUP($W124,'Category Mapping'!$C:$C,'Category Mapping'!$B:$B)="Travel",_xlfn.XLOOKUP($P124,'Department Listing'!$A:$A,'Department Listing'!$M:$M),_xlfn.XLOOKUP($W124,'Category Mapping'!$C:$C,'Category Mapping'!$D:$D)),$K124))</f>
        <v>Sales &amp; Marketing:Sales &amp; Marketing- Travel Expenses:</v>
      </c>
      <c r="W124" s="19" t="str">
        <f t="shared" si="14"/>
        <v>Airfare</v>
      </c>
      <c r="X124" s="19" t="str">
        <f t="shared" si="15"/>
        <v>Sales &amp; Marketing:Sales &amp; Marketing- Travel Expenses:Airfare</v>
      </c>
      <c r="Y124" s="20" t="str">
        <f>IF(ISBLANK($M124),IFERROR(_xlfn.XLOOKUP($P124,'Department Listing'!$A:$A,'Department Listing'!$L:$L),""),$M124)</f>
        <v>300- ServiceNow:330- Sales</v>
      </c>
      <c r="Z124" s="11">
        <f>IF(ISBLANK($B124),"",MATCH($X124,COA!$B:$B,0))</f>
        <v>199</v>
      </c>
    </row>
    <row r="125" spans="2:26" ht="15.75" customHeight="1" x14ac:dyDescent="0.25">
      <c r="B125" s="14">
        <v>46233</v>
      </c>
      <c r="C125" s="15" t="s">
        <v>254</v>
      </c>
      <c r="D125" s="15"/>
      <c r="E125" s="15"/>
      <c r="F125" s="16">
        <v>455.4</v>
      </c>
      <c r="H125" s="10"/>
      <c r="I125" s="9" t="s">
        <v>253</v>
      </c>
      <c r="J125" s="9"/>
      <c r="K125" s="9"/>
      <c r="L125" s="9" t="s">
        <v>165</v>
      </c>
      <c r="M125" s="9"/>
      <c r="N125" s="17"/>
      <c r="O125" s="17" t="str">
        <f t="shared" si="8"/>
        <v>Harry Tomczyk</v>
      </c>
      <c r="P125" s="17">
        <f>IFERROR(_xlfn.XLOOKUP(O125,'Department Listing'!$O$1:$O$395,'Department Listing'!$A$1:$A$395),IFERROR(_xlfn.XLOOKUP(O125,'Name Aliases'!$A$2:$A$1000,'Name Aliases'!$B$2:$B$1000),""))</f>
        <v>251</v>
      </c>
      <c r="Q125" s="18">
        <f t="shared" si="9"/>
        <v>46233</v>
      </c>
      <c r="R125" s="17" t="str">
        <f t="shared" si="10"/>
        <v>Alaska Air</v>
      </c>
      <c r="S125" s="19">
        <f t="shared" si="11"/>
        <v>455.4</v>
      </c>
      <c r="T125" s="17" t="str">
        <f t="shared" si="12"/>
        <v>ALASKA A MASTERCARD-XXXXXX236PXL-Harry Tomczyk</v>
      </c>
      <c r="U125" s="17" t="str">
        <f t="shared" si="13"/>
        <v>Brex Credit Card</v>
      </c>
      <c r="V125" s="19" t="str">
        <f>IF(ISBLANK($B125),"",IF(ISBLANK($K125),IF(_xlfn.XLOOKUP($W125,'Category Mapping'!$C:$C,'Category Mapping'!$B:$B)="Travel",_xlfn.XLOOKUP($P125,'Department Listing'!$A:$A,'Department Listing'!$M:$M),_xlfn.XLOOKUP($W125,'Category Mapping'!$C:$C,'Category Mapping'!$D:$D)),$K125))</f>
        <v>Sales &amp; Marketing:Sales &amp; Marketing- Travel Expenses:</v>
      </c>
      <c r="W125" s="19" t="str">
        <f t="shared" si="14"/>
        <v>Airfare</v>
      </c>
      <c r="X125" s="19" t="str">
        <f t="shared" si="15"/>
        <v>Sales &amp; Marketing:Sales &amp; Marketing- Travel Expenses:Airfare</v>
      </c>
      <c r="Y125" s="20" t="str">
        <f>IF(ISBLANK($M125),IFERROR(_xlfn.XLOOKUP($P125,'Department Listing'!$A:$A,'Department Listing'!$L:$L),""),$M125)</f>
        <v>300- ServiceNow:330- Sales</v>
      </c>
      <c r="Z125" s="11">
        <f>IF(ISBLANK($B125),"",MATCH($X125,COA!$B:$B,0))</f>
        <v>199</v>
      </c>
    </row>
    <row r="126" spans="2:26" ht="15.75" customHeight="1" x14ac:dyDescent="0.25">
      <c r="B126" s="14">
        <v>46232</v>
      </c>
      <c r="C126" s="15" t="s">
        <v>255</v>
      </c>
      <c r="E126" s="15" t="s">
        <v>64</v>
      </c>
      <c r="F126" s="16">
        <v>39.96</v>
      </c>
      <c r="H126" s="10"/>
      <c r="I126" s="9" t="s">
        <v>74</v>
      </c>
      <c r="J126" s="9"/>
      <c r="K126" s="9"/>
      <c r="L126" s="9" t="s">
        <v>66</v>
      </c>
      <c r="M126" s="9"/>
      <c r="N126" s="17"/>
      <c r="O126" s="17" t="str">
        <f t="shared" si="8"/>
        <v>Frederick Simpson</v>
      </c>
      <c r="P126" s="17">
        <f>IFERROR(_xlfn.XLOOKUP(O126,'Department Listing'!$O$1:$O$395,'Department Listing'!$A$1:$A$395),IFERROR(_xlfn.XLOOKUP(O126,'Name Aliases'!$A$2:$A$1000,'Name Aliases'!$B$2:$B$1000),""))</f>
        <v>177</v>
      </c>
      <c r="Q126" s="18">
        <f t="shared" si="9"/>
        <v>46232</v>
      </c>
      <c r="R126" s="17" t="str">
        <f t="shared" si="10"/>
        <v>Uber</v>
      </c>
      <c r="S126" s="19">
        <f t="shared" si="11"/>
        <v>39.96</v>
      </c>
      <c r="T126" s="17" t="str">
        <f t="shared" si="12"/>
        <v>UBER   *TRIP MASTERCARD-XXXXXXCDP8BP-Frederick Simpson</v>
      </c>
      <c r="U126" s="17" t="str">
        <f t="shared" si="13"/>
        <v>Brex Credit Card</v>
      </c>
      <c r="V126" s="19" t="str">
        <f>IF(ISBLANK($B126),"",IF(ISBLANK($K126),IF(_xlfn.XLOOKUP($W126,'Category Mapping'!$C:$C,'Category Mapping'!$B:$B)="Travel",_xlfn.XLOOKUP($P126,'Department Listing'!$A:$A,'Department Listing'!$M:$M),_xlfn.XLOOKUP($W126,'Category Mapping'!$C:$C,'Category Mapping'!$D:$D)),$K126))</f>
        <v>General &amp; Administrative:G&amp;A- Travel Expenses:</v>
      </c>
      <c r="W126" s="19" t="str">
        <f t="shared" si="14"/>
        <v>Ground Transportation</v>
      </c>
      <c r="X126" s="19" t="str">
        <f t="shared" si="15"/>
        <v>General &amp; Administrative:G&amp;A- Travel Expenses:Ground Transportation</v>
      </c>
      <c r="Y126" s="20" t="str">
        <f>IF(ISBLANK($M126),IFERROR(_xlfn.XLOOKUP($P126,'Department Listing'!$A:$A,'Department Listing'!$L:$L),""),$M126)</f>
        <v>100- Operations:110- G&amp;A</v>
      </c>
      <c r="Z126" s="11">
        <f>IF(ISBLANK($B126),"",MATCH($X126,COA!$B:$B,0))</f>
        <v>149</v>
      </c>
    </row>
    <row r="127" spans="2:26" ht="15.75" customHeight="1" x14ac:dyDescent="0.25">
      <c r="B127" s="14">
        <v>46233</v>
      </c>
      <c r="C127" s="15" t="s">
        <v>256</v>
      </c>
      <c r="E127" s="15"/>
      <c r="F127" s="16">
        <v>39</v>
      </c>
      <c r="H127" s="10"/>
      <c r="I127" s="9" t="s">
        <v>257</v>
      </c>
      <c r="J127" s="9"/>
      <c r="K127" s="9"/>
      <c r="L127" s="9" t="s">
        <v>165</v>
      </c>
      <c r="M127" s="9"/>
      <c r="N127" s="17"/>
      <c r="O127" s="17" t="str">
        <f t="shared" si="8"/>
        <v>Harry Tomczyk</v>
      </c>
      <c r="P127" s="17">
        <f>IFERROR(_xlfn.XLOOKUP(O127,'Department Listing'!$O$1:$O$395,'Department Listing'!$A$1:$A$395),IFERROR(_xlfn.XLOOKUP(O127,'Name Aliases'!$A$2:$A$1000,'Name Aliases'!$B$2:$B$1000),""))</f>
        <v>251</v>
      </c>
      <c r="Q127" s="18">
        <f t="shared" si="9"/>
        <v>46233</v>
      </c>
      <c r="R127" s="17" t="str">
        <f t="shared" si="10"/>
        <v>Southwest Air</v>
      </c>
      <c r="S127" s="19">
        <f t="shared" si="11"/>
        <v>39</v>
      </c>
      <c r="T127" s="17" t="str">
        <f t="shared" si="12"/>
        <v>SOUTHWES MASTERCARD-XXXXXXG4R3BH-Harry Tomczyk</v>
      </c>
      <c r="U127" s="17" t="str">
        <f t="shared" si="13"/>
        <v>Brex Credit Card</v>
      </c>
      <c r="V127" s="19" t="str">
        <f>IF(ISBLANK($B127),"",IF(ISBLANK($K127),IF(_xlfn.XLOOKUP($W127,'Category Mapping'!$C:$C,'Category Mapping'!$B:$B)="Travel",_xlfn.XLOOKUP($P127,'Department Listing'!$A:$A,'Department Listing'!$M:$M),_xlfn.XLOOKUP($W127,'Category Mapping'!$C:$C,'Category Mapping'!$D:$D)),$K127))</f>
        <v>Sales &amp; Marketing:Sales &amp; Marketing- Travel Expenses:</v>
      </c>
      <c r="W127" s="19" t="str">
        <f t="shared" si="14"/>
        <v>Airfare</v>
      </c>
      <c r="X127" s="19" t="str">
        <f t="shared" si="15"/>
        <v>Sales &amp; Marketing:Sales &amp; Marketing- Travel Expenses:Airfare</v>
      </c>
      <c r="Y127" s="20" t="str">
        <f>IF(ISBLANK($M127),IFERROR(_xlfn.XLOOKUP($P127,'Department Listing'!$A:$A,'Department Listing'!$L:$L),""),$M127)</f>
        <v>300- ServiceNow:330- Sales</v>
      </c>
      <c r="Z127" s="11">
        <f>IF(ISBLANK($B127),"",MATCH($X127,COA!$B:$B,0))</f>
        <v>199</v>
      </c>
    </row>
    <row r="128" spans="2:26" ht="15.75" customHeight="1" x14ac:dyDescent="0.25">
      <c r="B128" s="14">
        <v>46233</v>
      </c>
      <c r="C128" s="15" t="s">
        <v>258</v>
      </c>
      <c r="D128" s="15"/>
      <c r="E128" s="15"/>
      <c r="F128" s="16">
        <v>390.4</v>
      </c>
      <c r="H128" s="10"/>
      <c r="I128" s="9" t="s">
        <v>257</v>
      </c>
      <c r="J128" s="9"/>
      <c r="K128" s="22"/>
      <c r="L128" s="22" t="s">
        <v>165</v>
      </c>
      <c r="M128" s="9"/>
      <c r="N128" s="17"/>
      <c r="O128" s="17" t="str">
        <f t="shared" si="8"/>
        <v>Harry Tomczyk</v>
      </c>
      <c r="P128" s="17">
        <f>IFERROR(_xlfn.XLOOKUP(O128,'Department Listing'!$O$1:$O$395,'Department Listing'!$A$1:$A$395),IFERROR(_xlfn.XLOOKUP(O128,'Name Aliases'!$A$2:$A$1000,'Name Aliases'!$B$2:$B$1000),""))</f>
        <v>251</v>
      </c>
      <c r="Q128" s="18">
        <f t="shared" si="9"/>
        <v>46233</v>
      </c>
      <c r="R128" s="17" t="str">
        <f t="shared" si="10"/>
        <v>Southwest Air</v>
      </c>
      <c r="S128" s="19">
        <f t="shared" si="11"/>
        <v>390.4</v>
      </c>
      <c r="T128" s="17" t="str">
        <f t="shared" si="12"/>
        <v>SOUTHWES MASTERCARD-XXXXXXBM8897-Harry Tomczyk</v>
      </c>
      <c r="U128" s="17" t="str">
        <f t="shared" si="13"/>
        <v>Brex Credit Card</v>
      </c>
      <c r="V128" s="19" t="str">
        <f>IF(ISBLANK($B128),"",IF(ISBLANK($K128),IF(_xlfn.XLOOKUP($W128,'Category Mapping'!$C:$C,'Category Mapping'!$B:$B)="Travel",_xlfn.XLOOKUP($P128,'Department Listing'!$A:$A,'Department Listing'!$M:$M),_xlfn.XLOOKUP($W128,'Category Mapping'!$C:$C,'Category Mapping'!$D:$D)),$K128))</f>
        <v>Sales &amp; Marketing:Sales &amp; Marketing- Travel Expenses:</v>
      </c>
      <c r="W128" s="19" t="str">
        <f t="shared" si="14"/>
        <v>Airfare</v>
      </c>
      <c r="X128" s="19" t="str">
        <f t="shared" si="15"/>
        <v>Sales &amp; Marketing:Sales &amp; Marketing- Travel Expenses:Airfare</v>
      </c>
      <c r="Y128" s="20" t="str">
        <f>IF(ISBLANK($M128),IFERROR(_xlfn.XLOOKUP($P128,'Department Listing'!$A:$A,'Department Listing'!$L:$L),""),$M128)</f>
        <v>300- ServiceNow:330- Sales</v>
      </c>
      <c r="Z128" s="11">
        <f>IF(ISBLANK($B128),"",MATCH($X128,COA!$B:$B,0))</f>
        <v>199</v>
      </c>
    </row>
    <row r="129" spans="2:26" ht="15.75" customHeight="1" x14ac:dyDescent="0.25">
      <c r="B129" s="14">
        <v>46232</v>
      </c>
      <c r="C129" s="15" t="s">
        <v>259</v>
      </c>
      <c r="D129" s="15"/>
      <c r="E129" s="15" t="s">
        <v>76</v>
      </c>
      <c r="F129" s="16">
        <v>6726.06</v>
      </c>
      <c r="H129" s="10"/>
      <c r="I129" s="9" t="s">
        <v>36</v>
      </c>
      <c r="J129" s="9"/>
      <c r="K129" s="9"/>
      <c r="L129" s="9" t="s">
        <v>78</v>
      </c>
      <c r="M129" s="9"/>
      <c r="N129" s="17"/>
      <c r="O129" s="17" t="str">
        <f t="shared" si="8"/>
        <v>Mickenzi Krpec</v>
      </c>
      <c r="P129" s="17">
        <f>IFERROR(_xlfn.XLOOKUP(O129,'Department Listing'!$O$1:$O$395,'Department Listing'!$A$1:$A$395),IFERROR(_xlfn.XLOOKUP(O129,'Name Aliases'!$A$2:$A$1000,'Name Aliases'!$B$2:$B$1000),""))</f>
        <v>170</v>
      </c>
      <c r="Q129" s="18">
        <f t="shared" si="9"/>
        <v>46232</v>
      </c>
      <c r="R129" s="17" t="str">
        <f t="shared" si="10"/>
        <v>Food Vendor</v>
      </c>
      <c r="S129" s="19">
        <f t="shared" si="11"/>
        <v>6726.06</v>
      </c>
      <c r="T129" s="17" t="str">
        <f t="shared" si="12"/>
        <v>TST*CISCO SEAPORT MASTERCARD-XXXXXXG1OBBY-Mickenzi Krpec</v>
      </c>
      <c r="U129" s="17" t="str">
        <f t="shared" si="13"/>
        <v>Brex Credit Card</v>
      </c>
      <c r="V129" s="19" t="str">
        <f>IF(ISBLANK($B129),"",IF(ISBLANK($K129),IF(_xlfn.XLOOKUP($W129,'Category Mapping'!$C:$C,'Category Mapping'!$B:$B)="Travel",_xlfn.XLOOKUP($P129,'Department Listing'!$A:$A,'Department Listing'!$M:$M),_xlfn.XLOOKUP($W129,'Category Mapping'!$C:$C,'Category Mapping'!$D:$D)),$K129))</f>
        <v>General &amp; Administrative:G&amp;A- Travel Expenses:</v>
      </c>
      <c r="W129" s="19" t="str">
        <f t="shared" si="14"/>
        <v>Meals &amp; Entertainment</v>
      </c>
      <c r="X129" s="19" t="str">
        <f t="shared" si="15"/>
        <v>General &amp; Administrative:G&amp;A- Travel Expenses:Meals &amp; Entertainment</v>
      </c>
      <c r="Y129" s="20" t="str">
        <f>IF(ISBLANK($M129),IFERROR(_xlfn.XLOOKUP($P129,'Department Listing'!$A:$A,'Department Listing'!$L:$L),""),$M129)</f>
        <v>100- Operations:110- G&amp;A</v>
      </c>
      <c r="Z129" s="11">
        <f>IF(ISBLANK($B129),"",MATCH($X129,COA!$B:$B,0))</f>
        <v>151</v>
      </c>
    </row>
    <row r="130" spans="2:26" ht="15.75" customHeight="1" x14ac:dyDescent="0.25">
      <c r="B130" s="14">
        <v>46233</v>
      </c>
      <c r="C130" s="15" t="s">
        <v>260</v>
      </c>
      <c r="E130" s="15" t="s">
        <v>64</v>
      </c>
      <c r="F130" s="16">
        <v>27.98</v>
      </c>
      <c r="H130" s="10"/>
      <c r="I130" s="9" t="s">
        <v>74</v>
      </c>
      <c r="J130" s="9"/>
      <c r="K130" s="9"/>
      <c r="L130" s="9" t="s">
        <v>66</v>
      </c>
      <c r="M130" s="9"/>
      <c r="N130" s="17"/>
      <c r="O130" s="17" t="str">
        <f t="shared" si="8"/>
        <v>Maile Call</v>
      </c>
      <c r="P130" s="17">
        <f>IFERROR(_xlfn.XLOOKUP(O130,'Department Listing'!$O$1:$O$395,'Department Listing'!$A$1:$A$395),IFERROR(_xlfn.XLOOKUP(O130,'Name Aliases'!$A$2:$A$1000,'Name Aliases'!$B$2:$B$1000),""))</f>
        <v>241</v>
      </c>
      <c r="Q130" s="18">
        <f t="shared" si="9"/>
        <v>46233</v>
      </c>
      <c r="R130" s="17" t="str">
        <f t="shared" si="10"/>
        <v>Uber</v>
      </c>
      <c r="S130" s="19">
        <f t="shared" si="11"/>
        <v>27.98</v>
      </c>
      <c r="T130" s="17" t="str">
        <f t="shared" si="12"/>
        <v>UBER   *TRIP MASTERCARD-XXXXXXFRBTMS-Maile Call</v>
      </c>
      <c r="U130" s="17" t="str">
        <f t="shared" si="13"/>
        <v>Brex Credit Card</v>
      </c>
      <c r="V130" s="19" t="str">
        <f>IF(ISBLANK($B130),"",IF(ISBLANK($K130),IF(_xlfn.XLOOKUP($W130,'Category Mapping'!$C:$C,'Category Mapping'!$B:$B)="Travel",_xlfn.XLOOKUP($P130,'Department Listing'!$A:$A,'Department Listing'!$M:$M),_xlfn.XLOOKUP($W130,'Category Mapping'!$C:$C,'Category Mapping'!$D:$D)),$K130))</f>
        <v>Sales &amp; Marketing:Sales &amp; Marketing- Travel Expenses:</v>
      </c>
      <c r="W130" s="19" t="str">
        <f t="shared" si="14"/>
        <v>Ground Transportation</v>
      </c>
      <c r="X130" s="19" t="str">
        <f t="shared" si="15"/>
        <v>Sales &amp; Marketing:Sales &amp; Marketing- Travel Expenses:Ground Transportation</v>
      </c>
      <c r="Y130" s="20" t="str">
        <f>IF(ISBLANK($M130),IFERROR(_xlfn.XLOOKUP($P130,'Department Listing'!$A:$A,'Department Listing'!$L:$L),""),$M130)</f>
        <v>300- ServiceNow:330- Sales</v>
      </c>
      <c r="Z130" s="11">
        <f>IF(ISBLANK($B130),"",MATCH($X130,COA!$B:$B,0))</f>
        <v>200</v>
      </c>
    </row>
    <row r="131" spans="2:26" ht="15.75" customHeight="1" x14ac:dyDescent="0.25">
      <c r="B131" s="14">
        <v>46232</v>
      </c>
      <c r="C131" s="15" t="s">
        <v>261</v>
      </c>
      <c r="E131" s="15" t="s">
        <v>64</v>
      </c>
      <c r="F131" s="16">
        <v>72.13</v>
      </c>
      <c r="H131" s="10"/>
      <c r="I131" s="9" t="s">
        <v>74</v>
      </c>
      <c r="J131" s="9"/>
      <c r="K131" s="9"/>
      <c r="L131" s="9" t="s">
        <v>66</v>
      </c>
      <c r="M131" s="9"/>
      <c r="N131" s="17"/>
      <c r="O131" s="17" t="str">
        <f t="shared" si="8"/>
        <v>Zayn Moselhy</v>
      </c>
      <c r="P131" s="17">
        <f>IFERROR(_xlfn.XLOOKUP(O131,'Department Listing'!$O$1:$O$395,'Department Listing'!$A$1:$A$395),IFERROR(_xlfn.XLOOKUP(O131,'Name Aliases'!$A$2:$A$1000,'Name Aliases'!$B$2:$B$1000),""))</f>
        <v>184</v>
      </c>
      <c r="Q131" s="18">
        <f t="shared" si="9"/>
        <v>46232</v>
      </c>
      <c r="R131" s="17" t="str">
        <f t="shared" si="10"/>
        <v>Uber</v>
      </c>
      <c r="S131" s="19">
        <f t="shared" si="11"/>
        <v>72.13</v>
      </c>
      <c r="T131" s="17" t="str">
        <f t="shared" si="12"/>
        <v>UBER   *TRIP MASTERCARD-XXXXXXCZTIM8-Zayn Moselhy</v>
      </c>
      <c r="U131" s="17" t="str">
        <f t="shared" si="13"/>
        <v>Brex Credit Card</v>
      </c>
      <c r="V131" s="19" t="str">
        <f>IF(ISBLANK($B131),"",IF(ISBLANK($K131),IF(_xlfn.XLOOKUP($W131,'Category Mapping'!$C:$C,'Category Mapping'!$B:$B)="Travel",_xlfn.XLOOKUP($P131,'Department Listing'!$A:$A,'Department Listing'!$M:$M),_xlfn.XLOOKUP($W131,'Category Mapping'!$C:$C,'Category Mapping'!$D:$D)),$K131))</f>
        <v>General &amp; Administrative:G&amp;A- Travel Expenses:</v>
      </c>
      <c r="W131" s="19" t="str">
        <f t="shared" si="14"/>
        <v>Ground Transportation</v>
      </c>
      <c r="X131" s="19" t="str">
        <f t="shared" si="15"/>
        <v>General &amp; Administrative:G&amp;A- Travel Expenses:Ground Transportation</v>
      </c>
      <c r="Y131" s="20" t="str">
        <f>IF(ISBLANK($M131),IFERROR(_xlfn.XLOOKUP($P131,'Department Listing'!$A:$A,'Department Listing'!$L:$L),""),$M131)</f>
        <v>100- Operations:110- G&amp;A</v>
      </c>
      <c r="Z131" s="11">
        <f>IF(ISBLANK($B131),"",MATCH($X131,COA!$B:$B,0))</f>
        <v>149</v>
      </c>
    </row>
    <row r="132" spans="2:26" ht="15.75" customHeight="1" x14ac:dyDescent="0.25">
      <c r="B132" s="14">
        <v>46233</v>
      </c>
      <c r="C132" s="15" t="s">
        <v>262</v>
      </c>
      <c r="E132" s="15" t="s">
        <v>76</v>
      </c>
      <c r="F132" s="16">
        <v>14.43</v>
      </c>
      <c r="H132" s="10"/>
      <c r="I132" s="9" t="s">
        <v>263</v>
      </c>
      <c r="J132" s="9"/>
      <c r="K132" s="9"/>
      <c r="L132" s="9" t="s">
        <v>78</v>
      </c>
      <c r="M132" s="9"/>
      <c r="N132" s="17"/>
      <c r="O132" s="17" t="str">
        <f t="shared" ref="O132:O195" si="16">IF(C132="", "", TRIM(RIGHT(C132, LEN(C132) - FIND("@@", SUBSTITUTE(C132, "-", "@@", LEN(C132) - LEN(SUBSTITUTE(C132, "-", "")))))))</f>
        <v>Tokuya Takahashi</v>
      </c>
      <c r="P132" s="17">
        <f>IFERROR(_xlfn.XLOOKUP(O132,'Department Listing'!$O$1:$O$395,'Department Listing'!$A$1:$A$395),IFERROR(_xlfn.XLOOKUP(O132,'Name Aliases'!$A$2:$A$1000,'Name Aliases'!$B$2:$B$1000),""))</f>
        <v>214</v>
      </c>
      <c r="Q132" s="18">
        <f t="shared" ref="Q132:Q195" si="17">IF(ISBLANK($C132),"",$B132)</f>
        <v>46233</v>
      </c>
      <c r="R132" s="17" t="str">
        <f t="shared" ref="R132:R195" si="18">IF(ISBLANK($C132),"",IF(ISBLANK($I132),$D132,$I132))</f>
        <v>Raising Canes</v>
      </c>
      <c r="S132" s="19">
        <f t="shared" ref="S132:S195" si="19">IF(ISBLANK($C132),"",$F132 - $G132)</f>
        <v>14.43</v>
      </c>
      <c r="T132" s="17" t="str">
        <f t="shared" ref="T132:T195" si="20">IF(ISBLANK($C132),"",C132)</f>
        <v>RAISING CANES 0676 MASTERCARD-XXXXXXFC3HXX-Tokuya Takahashi</v>
      </c>
      <c r="U132" s="17" t="str">
        <f t="shared" ref="U132:U195" si="21">IF(ISBLANK($C132),"",$D$1)</f>
        <v>Brex Credit Card</v>
      </c>
      <c r="V132" s="19" t="str">
        <f>IF(ISBLANK($B132),"",IF(ISBLANK($K132),IF(_xlfn.XLOOKUP($W132,'Category Mapping'!$C:$C,'Category Mapping'!$B:$B)="Travel",_xlfn.XLOOKUP($P132,'Department Listing'!$A:$A,'Department Listing'!$M:$M),_xlfn.XLOOKUP($W132,'Category Mapping'!$C:$C,'Category Mapping'!$D:$D)),$K132))</f>
        <v>Cost of Goods Sold:COGS- Travel Expenses:</v>
      </c>
      <c r="W132" s="19" t="str">
        <f t="shared" ref="W132:W195" si="22">IF(ISBLANK($B132),"",IF(ISBLANK($L132),RIGHT($E132,LEN($E132) - FIND("^",SUBSTITUTE($E132,":","^",LEN($E132) - LEN(SUBSTITUTE($E132,":",""))))),$L132))</f>
        <v>Meals &amp; Entertainment</v>
      </c>
      <c r="X132" s="19" t="str">
        <f t="shared" ref="X132:X195" si="23">IF(ISBLANK($J132),$V132&amp;$W132,$J132)</f>
        <v>Cost of Goods Sold:COGS- Travel Expenses:Meals &amp; Entertainment</v>
      </c>
      <c r="Y132" s="20" t="str">
        <f>IF(ISBLANK($M132),IFERROR(_xlfn.XLOOKUP($P132,'Department Listing'!$A:$A,'Department Listing'!$L:$L),""),$M132)</f>
        <v>300- ServiceNow:320- Engineering</v>
      </c>
      <c r="Z132" s="11">
        <f>IF(ISBLANK($B132),"",MATCH($X132,COA!$B:$B,0))</f>
        <v>126</v>
      </c>
    </row>
    <row r="133" spans="2:26" ht="15.75" customHeight="1" x14ac:dyDescent="0.25">
      <c r="B133" s="14">
        <v>46232</v>
      </c>
      <c r="C133" s="15" t="s">
        <v>264</v>
      </c>
      <c r="D133" s="15"/>
      <c r="E133" s="15" t="s">
        <v>64</v>
      </c>
      <c r="F133" s="16">
        <v>27.98</v>
      </c>
      <c r="H133" s="10"/>
      <c r="I133" s="9" t="s">
        <v>74</v>
      </c>
      <c r="J133" s="9"/>
      <c r="K133" s="9"/>
      <c r="L133" s="9" t="s">
        <v>66</v>
      </c>
      <c r="M133" s="9"/>
      <c r="N133" s="17"/>
      <c r="O133" s="17" t="str">
        <f t="shared" si="16"/>
        <v>Bryan Kuhlman</v>
      </c>
      <c r="P133" s="17">
        <f>IFERROR(_xlfn.XLOOKUP(O133,'Department Listing'!$O$1:$O$395,'Department Listing'!$A$1:$A$395),IFERROR(_xlfn.XLOOKUP(O133,'Name Aliases'!$A$2:$A$1000,'Name Aliases'!$B$2:$B$1000),""))</f>
        <v>204</v>
      </c>
      <c r="Q133" s="18">
        <f t="shared" si="17"/>
        <v>46232</v>
      </c>
      <c r="R133" s="17" t="str">
        <f t="shared" si="18"/>
        <v>Uber</v>
      </c>
      <c r="S133" s="19">
        <f t="shared" si="19"/>
        <v>27.98</v>
      </c>
      <c r="T133" s="17" t="str">
        <f t="shared" si="20"/>
        <v>UBER   *TRIP MASTERCARD-XXXXXX2L35PS-Bryan Kuhlman</v>
      </c>
      <c r="U133" s="17" t="str">
        <f t="shared" si="21"/>
        <v>Brex Credit Card</v>
      </c>
      <c r="V133" s="19" t="str">
        <f>IF(ISBLANK($B133),"",IF(ISBLANK($K133),IF(_xlfn.XLOOKUP($W133,'Category Mapping'!$C:$C,'Category Mapping'!$B:$B)="Travel",_xlfn.XLOOKUP($P133,'Department Listing'!$A:$A,'Department Listing'!$M:$M),_xlfn.XLOOKUP($W133,'Category Mapping'!$C:$C,'Category Mapping'!$D:$D)),$K133))</f>
        <v>Cost of Goods Sold:COGS- Travel Expenses:</v>
      </c>
      <c r="W133" s="19" t="str">
        <f t="shared" si="22"/>
        <v>Ground Transportation</v>
      </c>
      <c r="X133" s="19" t="str">
        <f t="shared" si="23"/>
        <v>Cost of Goods Sold:COGS- Travel Expenses:Ground Transportation</v>
      </c>
      <c r="Y133" s="20" t="str">
        <f>IF(ISBLANK($M133),IFERROR(_xlfn.XLOOKUP($P133,'Department Listing'!$A:$A,'Department Listing'!$L:$L),""),$M133)</f>
        <v>300- ServiceNow:310- Delivery</v>
      </c>
      <c r="Z133" s="11">
        <f>IF(ISBLANK($B133),"",MATCH($X133,COA!$B:$B,0))</f>
        <v>124</v>
      </c>
    </row>
    <row r="134" spans="2:26" ht="15.75" customHeight="1" x14ac:dyDescent="0.25">
      <c r="B134" s="14">
        <v>46232</v>
      </c>
      <c r="C134" s="15" t="s">
        <v>265</v>
      </c>
      <c r="E134" s="15" t="s">
        <v>64</v>
      </c>
      <c r="F134" s="16">
        <v>63.42</v>
      </c>
      <c r="H134" s="10"/>
      <c r="I134" s="9" t="s">
        <v>74</v>
      </c>
      <c r="J134" s="9"/>
      <c r="K134" s="9"/>
      <c r="L134" s="9" t="s">
        <v>66</v>
      </c>
      <c r="M134" s="9"/>
      <c r="N134" s="17"/>
      <c r="O134" s="17" t="str">
        <f t="shared" si="16"/>
        <v>Ryan Henrich</v>
      </c>
      <c r="P134" s="17">
        <f>IFERROR(_xlfn.XLOOKUP(O134,'Department Listing'!$O$1:$O$395,'Department Listing'!$A$1:$A$395),IFERROR(_xlfn.XLOOKUP(O134,'Name Aliases'!$A$2:$A$1000,'Name Aliases'!$B$2:$B$1000),""))</f>
        <v>154</v>
      </c>
      <c r="Q134" s="18">
        <f t="shared" si="17"/>
        <v>46232</v>
      </c>
      <c r="R134" s="17" t="str">
        <f t="shared" si="18"/>
        <v>Uber</v>
      </c>
      <c r="S134" s="19">
        <f t="shared" si="19"/>
        <v>63.42</v>
      </c>
      <c r="T134" s="17" t="str">
        <f t="shared" si="20"/>
        <v>UBER   *TRIP MASTERCARD-XXXXXXKC3T7U-Ryan Henrich</v>
      </c>
      <c r="U134" s="17" t="str">
        <f t="shared" si="21"/>
        <v>Brex Credit Card</v>
      </c>
      <c r="V134" s="19" t="str">
        <f>IF(ISBLANK($B134),"",IF(ISBLANK($K134),IF(_xlfn.XLOOKUP($W134,'Category Mapping'!$C:$C,'Category Mapping'!$B:$B)="Travel",_xlfn.XLOOKUP($P134,'Department Listing'!$A:$A,'Department Listing'!$M:$M),_xlfn.XLOOKUP($W134,'Category Mapping'!$C:$C,'Category Mapping'!$D:$D)),$K134))</f>
        <v>Sales &amp; Marketing:Sales &amp; Marketing- Travel Expenses:</v>
      </c>
      <c r="W134" s="19" t="str">
        <f t="shared" si="22"/>
        <v>Ground Transportation</v>
      </c>
      <c r="X134" s="19" t="str">
        <f t="shared" si="23"/>
        <v>Sales &amp; Marketing:Sales &amp; Marketing- Travel Expenses:Ground Transportation</v>
      </c>
      <c r="Y134" s="20" t="str">
        <f>IF(ISBLANK($M134),IFERROR(_xlfn.XLOOKUP($P134,'Department Listing'!$A:$A,'Department Listing'!$L:$L),""),$M134)</f>
        <v>200- Datadog:230- Sales</v>
      </c>
      <c r="Z134" s="11">
        <f>IF(ISBLANK($B134),"",MATCH($X134,COA!$B:$B,0))</f>
        <v>200</v>
      </c>
    </row>
    <row r="135" spans="2:26" ht="15.75" customHeight="1" x14ac:dyDescent="0.25">
      <c r="B135" s="14">
        <v>46232</v>
      </c>
      <c r="C135" s="15" t="s">
        <v>266</v>
      </c>
      <c r="D135" s="15"/>
      <c r="E135" s="15"/>
      <c r="F135" s="16">
        <v>35</v>
      </c>
      <c r="H135" s="10"/>
      <c r="I135" s="9" t="s">
        <v>33</v>
      </c>
      <c r="J135" s="9"/>
      <c r="K135" s="9"/>
      <c r="L135" s="9" t="s">
        <v>149</v>
      </c>
      <c r="M135" s="9"/>
      <c r="N135" s="17"/>
      <c r="O135" s="17" t="str">
        <f t="shared" si="16"/>
        <v>Dor Vaknin</v>
      </c>
      <c r="P135" s="17">
        <f>IFERROR(_xlfn.XLOOKUP(O135,'Department Listing'!$O$1:$O$395,'Department Listing'!$A$1:$A$395),IFERROR(_xlfn.XLOOKUP(O135,'Name Aliases'!$A$2:$A$1000,'Name Aliases'!$B$2:$B$1000),""))</f>
        <v>28</v>
      </c>
      <c r="Q135" s="18">
        <f t="shared" si="17"/>
        <v>46232</v>
      </c>
      <c r="R135" s="17" t="str">
        <f t="shared" si="18"/>
        <v>Travel Vendor</v>
      </c>
      <c r="S135" s="19">
        <f t="shared" si="19"/>
        <v>35</v>
      </c>
      <c r="T135" s="17" t="str">
        <f t="shared" si="20"/>
        <v>PPL - 100 NORTHERN AVE MASTERCARD-XXXXXXVIH402-Dor Vaknin</v>
      </c>
      <c r="U135" s="17" t="str">
        <f t="shared" si="21"/>
        <v>Brex Credit Card</v>
      </c>
      <c r="V135" s="19" t="str">
        <f>IF(ISBLANK($B135),"",IF(ISBLANK($K135),IF(_xlfn.XLOOKUP($W135,'Category Mapping'!$C:$C,'Category Mapping'!$B:$B)="Travel",_xlfn.XLOOKUP($P135,'Department Listing'!$A:$A,'Department Listing'!$M:$M),_xlfn.XLOOKUP($W135,'Category Mapping'!$C:$C,'Category Mapping'!$D:$D)),$K135))</f>
        <v>Cost of Goods Sold:COGS- Travel Expenses:</v>
      </c>
      <c r="W135" s="19" t="str">
        <f t="shared" si="22"/>
        <v>Other Travel Expenses</v>
      </c>
      <c r="X135" s="19" t="str">
        <f t="shared" si="23"/>
        <v>Cost of Goods Sold:COGS- Travel Expenses:Other Travel Expenses</v>
      </c>
      <c r="Y135" s="20" t="str">
        <f>IF(ISBLANK($M135),IFERROR(_xlfn.XLOOKUP($P135,'Department Listing'!$A:$A,'Department Listing'!$L:$L),""),$M135)</f>
        <v>300- ServiceNow:320- Engineering</v>
      </c>
      <c r="Z135" s="11">
        <f>IF(ISBLANK($B135),"",MATCH($X135,COA!$B:$B,0))</f>
        <v>127</v>
      </c>
    </row>
    <row r="136" spans="2:26" ht="15.75" customHeight="1" x14ac:dyDescent="0.25">
      <c r="B136" s="14">
        <v>46232</v>
      </c>
      <c r="C136" s="15" t="s">
        <v>267</v>
      </c>
      <c r="D136" s="15"/>
      <c r="E136" s="15" t="s">
        <v>64</v>
      </c>
      <c r="F136" s="16">
        <v>42.18</v>
      </c>
      <c r="H136" s="10"/>
      <c r="I136" s="9" t="s">
        <v>268</v>
      </c>
      <c r="J136" s="9"/>
      <c r="K136" s="9"/>
      <c r="L136" s="9" t="s">
        <v>66</v>
      </c>
      <c r="M136" s="9"/>
      <c r="N136" s="17"/>
      <c r="O136" s="17" t="str">
        <f t="shared" si="16"/>
        <v>Robert Lankford</v>
      </c>
      <c r="P136" s="17">
        <f>IFERROR(_xlfn.XLOOKUP(O136,'Department Listing'!$O$1:$O$395,'Department Listing'!$A$1:$A$395),IFERROR(_xlfn.XLOOKUP(O136,'Name Aliases'!$A$2:$A$1000,'Name Aliases'!$B$2:$B$1000),""))</f>
        <v>155</v>
      </c>
      <c r="Q136" s="18">
        <f t="shared" si="17"/>
        <v>46232</v>
      </c>
      <c r="R136" s="17" t="str">
        <f t="shared" si="18"/>
        <v>Curb</v>
      </c>
      <c r="S136" s="19">
        <f t="shared" si="19"/>
        <v>42.18</v>
      </c>
      <c r="T136" s="17" t="str">
        <f t="shared" si="20"/>
        <v>CURB SVC - TAXI APP MASTERCARD-XXXXXXDBQDOC-Robert Lankford</v>
      </c>
      <c r="U136" s="17" t="str">
        <f t="shared" si="21"/>
        <v>Brex Credit Card</v>
      </c>
      <c r="V136" s="19" t="str">
        <f>IF(ISBLANK($B136),"",IF(ISBLANK($K136),IF(_xlfn.XLOOKUP($W136,'Category Mapping'!$C:$C,'Category Mapping'!$B:$B)="Travel",_xlfn.XLOOKUP($P136,'Department Listing'!$A:$A,'Department Listing'!$M:$M),_xlfn.XLOOKUP($W136,'Category Mapping'!$C:$C,'Category Mapping'!$D:$D)),$K136))</f>
        <v>Cost of Goods Sold:COGS- Travel Expenses:</v>
      </c>
      <c r="W136" s="19" t="str">
        <f t="shared" si="22"/>
        <v>Ground Transportation</v>
      </c>
      <c r="X136" s="19" t="str">
        <f t="shared" si="23"/>
        <v>Cost of Goods Sold:COGS- Travel Expenses:Ground Transportation</v>
      </c>
      <c r="Y136" s="20" t="str">
        <f>IF(ISBLANK($M136),IFERROR(_xlfn.XLOOKUP($P136,'Department Listing'!$A:$A,'Department Listing'!$L:$L),""),$M136)</f>
        <v>300- ServiceNow:320- Engineering</v>
      </c>
      <c r="Z136" s="11">
        <f>IF(ISBLANK($B136),"",MATCH($X136,COA!$B:$B,0))</f>
        <v>124</v>
      </c>
    </row>
    <row r="137" spans="2:26" ht="15.75" customHeight="1" x14ac:dyDescent="0.25">
      <c r="B137" s="14">
        <v>46233</v>
      </c>
      <c r="C137" s="15" t="s">
        <v>270</v>
      </c>
      <c r="D137" s="15"/>
      <c r="E137" s="15" t="s">
        <v>64</v>
      </c>
      <c r="F137" s="16">
        <v>24.08</v>
      </c>
      <c r="H137" s="10"/>
      <c r="I137" s="9" t="s">
        <v>74</v>
      </c>
      <c r="J137" s="9"/>
      <c r="K137" s="9"/>
      <c r="L137" s="9" t="s">
        <v>66</v>
      </c>
      <c r="M137" s="9"/>
      <c r="N137" s="17"/>
      <c r="O137" s="17" t="str">
        <f t="shared" si="16"/>
        <v>Erik Williams</v>
      </c>
      <c r="P137" s="17">
        <f>IFERROR(_xlfn.XLOOKUP(O137,'Department Listing'!$O$1:$O$395,'Department Listing'!$A$1:$A$395),IFERROR(_xlfn.XLOOKUP(O137,'Name Aliases'!$A$2:$A$1000,'Name Aliases'!$B$2:$B$1000),""))</f>
        <v>7</v>
      </c>
      <c r="Q137" s="18">
        <f t="shared" si="17"/>
        <v>46233</v>
      </c>
      <c r="R137" s="17" t="str">
        <f t="shared" si="18"/>
        <v>Uber</v>
      </c>
      <c r="S137" s="19">
        <f t="shared" si="19"/>
        <v>24.08</v>
      </c>
      <c r="T137" s="17" t="str">
        <f t="shared" si="20"/>
        <v>UBER   *TRIP MASTERCARD-XXXXXX1RQ031-Erik Williams</v>
      </c>
      <c r="U137" s="17" t="str">
        <f t="shared" si="21"/>
        <v>Brex Credit Card</v>
      </c>
      <c r="V137" s="19" t="str">
        <f>IF(ISBLANK($B137),"",IF(ISBLANK($K137),IF(_xlfn.XLOOKUP($W137,'Category Mapping'!$C:$C,'Category Mapping'!$B:$B)="Travel",_xlfn.XLOOKUP($P137,'Department Listing'!$A:$A,'Department Listing'!$M:$M),_xlfn.XLOOKUP($W137,'Category Mapping'!$C:$C,'Category Mapping'!$D:$D)),$K137))</f>
        <v>Cost of Goods Sold:COGS- Travel Expenses:</v>
      </c>
      <c r="W137" s="19" t="str">
        <f t="shared" si="22"/>
        <v>Ground Transportation</v>
      </c>
      <c r="X137" s="19" t="str">
        <f t="shared" si="23"/>
        <v>Cost of Goods Sold:COGS- Travel Expenses:Ground Transportation</v>
      </c>
      <c r="Y137" s="20" t="str">
        <f>IF(ISBLANK($M137),IFERROR(_xlfn.XLOOKUP($P137,'Department Listing'!$A:$A,'Department Listing'!$L:$L),""),$M137)</f>
        <v>400- Synechron:410- Digital platforms G&amp;A</v>
      </c>
      <c r="Z137" s="11">
        <f>IF(ISBLANK($B137),"",MATCH($X137,COA!$B:$B,0))</f>
        <v>124</v>
      </c>
    </row>
    <row r="138" spans="2:26" ht="15.75" customHeight="1" x14ac:dyDescent="0.25">
      <c r="B138" s="14">
        <v>46233</v>
      </c>
      <c r="C138" s="15" t="s">
        <v>272</v>
      </c>
      <c r="E138" s="15" t="s">
        <v>64</v>
      </c>
      <c r="F138" s="16">
        <v>49.87</v>
      </c>
      <c r="H138" s="10"/>
      <c r="I138" s="9" t="s">
        <v>74</v>
      </c>
      <c r="J138" s="9"/>
      <c r="K138" s="9"/>
      <c r="L138" s="9" t="s">
        <v>66</v>
      </c>
      <c r="M138" s="9"/>
      <c r="N138" s="17"/>
      <c r="O138" s="17" t="str">
        <f t="shared" si="16"/>
        <v>Jeff Mu</v>
      </c>
      <c r="P138" s="17">
        <f>IFERROR(_xlfn.XLOOKUP(O138,'Department Listing'!$O$1:$O$395,'Department Listing'!$A$1:$A$395),IFERROR(_xlfn.XLOOKUP(O138,'Name Aliases'!$A$2:$A$1000,'Name Aliases'!$B$2:$B$1000),""))</f>
        <v>4</v>
      </c>
      <c r="Q138" s="18">
        <f t="shared" si="17"/>
        <v>46233</v>
      </c>
      <c r="R138" s="17" t="str">
        <f t="shared" si="18"/>
        <v>Uber</v>
      </c>
      <c r="S138" s="19">
        <f t="shared" si="19"/>
        <v>49.87</v>
      </c>
      <c r="T138" s="17" t="str">
        <f t="shared" si="20"/>
        <v>UBER   *EATS MASTERCARD-XXXXXXSYA9QV-Jeff Mu</v>
      </c>
      <c r="U138" s="17" t="str">
        <f t="shared" si="21"/>
        <v>Brex Credit Card</v>
      </c>
      <c r="V138" s="19" t="str">
        <f>IF(ISBLANK($B138),"",IF(ISBLANK($K138),IF(_xlfn.XLOOKUP($W138,'Category Mapping'!$C:$C,'Category Mapping'!$B:$B)="Travel",_xlfn.XLOOKUP($P138,'Department Listing'!$A:$A,'Department Listing'!$M:$M),_xlfn.XLOOKUP($W138,'Category Mapping'!$C:$C,'Category Mapping'!$D:$D)),$K138))</f>
        <v>Cost of Goods Sold:COGS- Travel Expenses:</v>
      </c>
      <c r="W138" s="19" t="str">
        <f t="shared" si="22"/>
        <v>Ground Transportation</v>
      </c>
      <c r="X138" s="19" t="str">
        <f t="shared" si="23"/>
        <v>Cost of Goods Sold:COGS- Travel Expenses:Ground Transportation</v>
      </c>
      <c r="Y138" s="20" t="str">
        <f>IF(ISBLANK($M138),IFERROR(_xlfn.XLOOKUP($P138,'Department Listing'!$A:$A,'Department Listing'!$L:$L),""),$M138)</f>
        <v>300- ServiceNow:320- Engineering</v>
      </c>
      <c r="Z138" s="11">
        <f>IF(ISBLANK($B138),"",MATCH($X138,COA!$B:$B,0))</f>
        <v>124</v>
      </c>
    </row>
    <row r="139" spans="2:26" ht="15.75" customHeight="1" x14ac:dyDescent="0.25">
      <c r="B139" s="14">
        <v>46233</v>
      </c>
      <c r="C139" s="15" t="s">
        <v>273</v>
      </c>
      <c r="E139" s="15" t="s">
        <v>64</v>
      </c>
      <c r="F139" s="16">
        <v>26.24</v>
      </c>
      <c r="H139" s="10"/>
      <c r="I139" s="9" t="s">
        <v>74</v>
      </c>
      <c r="J139" s="9"/>
      <c r="K139" s="22"/>
      <c r="L139" s="9" t="s">
        <v>66</v>
      </c>
      <c r="M139" s="22"/>
      <c r="N139" s="17"/>
      <c r="O139" s="17" t="str">
        <f t="shared" si="16"/>
        <v>Ryan Henrich</v>
      </c>
      <c r="P139" s="17">
        <f>IFERROR(_xlfn.XLOOKUP(O139,'Department Listing'!$O$1:$O$395,'Department Listing'!$A$1:$A$395),IFERROR(_xlfn.XLOOKUP(O139,'Name Aliases'!$A$2:$A$1000,'Name Aliases'!$B$2:$B$1000),""))</f>
        <v>154</v>
      </c>
      <c r="Q139" s="18">
        <f t="shared" si="17"/>
        <v>46233</v>
      </c>
      <c r="R139" s="17" t="str">
        <f t="shared" si="18"/>
        <v>Uber</v>
      </c>
      <c r="S139" s="19">
        <f t="shared" si="19"/>
        <v>26.24</v>
      </c>
      <c r="T139" s="17" t="str">
        <f t="shared" si="20"/>
        <v>UBER   *TRIP MASTERCARD-XXXXXXD3F8T7-Ryan Henrich</v>
      </c>
      <c r="U139" s="17" t="str">
        <f t="shared" si="21"/>
        <v>Brex Credit Card</v>
      </c>
      <c r="V139" s="19" t="str">
        <f>IF(ISBLANK($B139),"",IF(ISBLANK($K139),IF(_xlfn.XLOOKUP($W139,'Category Mapping'!$C:$C,'Category Mapping'!$B:$B)="Travel",_xlfn.XLOOKUP($P139,'Department Listing'!$A:$A,'Department Listing'!$M:$M),_xlfn.XLOOKUP($W139,'Category Mapping'!$C:$C,'Category Mapping'!$D:$D)),$K139))</f>
        <v>Sales &amp; Marketing:Sales &amp; Marketing- Travel Expenses:</v>
      </c>
      <c r="W139" s="19" t="str">
        <f t="shared" si="22"/>
        <v>Ground Transportation</v>
      </c>
      <c r="X139" s="19" t="str">
        <f t="shared" si="23"/>
        <v>Sales &amp; Marketing:Sales &amp; Marketing- Travel Expenses:Ground Transportation</v>
      </c>
      <c r="Y139" s="20" t="str">
        <f>IF(ISBLANK($M139),IFERROR(_xlfn.XLOOKUP($P139,'Department Listing'!$A:$A,'Department Listing'!$L:$L),""),$M139)</f>
        <v>200- Datadog:230- Sales</v>
      </c>
      <c r="Z139" s="11">
        <f>IF(ISBLANK($B139),"",MATCH($X139,COA!$B:$B,0))</f>
        <v>200</v>
      </c>
    </row>
    <row r="140" spans="2:26" ht="15.75" customHeight="1" x14ac:dyDescent="0.25">
      <c r="B140" s="14">
        <v>46233</v>
      </c>
      <c r="C140" s="15" t="s">
        <v>274</v>
      </c>
      <c r="E140" s="15" t="s">
        <v>64</v>
      </c>
      <c r="F140" s="16">
        <v>36.979999999999997</v>
      </c>
      <c r="H140" s="10"/>
      <c r="I140" s="9" t="s">
        <v>74</v>
      </c>
      <c r="J140" s="9"/>
      <c r="K140" s="22"/>
      <c r="L140" s="22" t="s">
        <v>66</v>
      </c>
      <c r="M140" s="9"/>
      <c r="N140" s="17"/>
      <c r="O140" s="17" t="str">
        <f t="shared" si="16"/>
        <v>Toni Manning</v>
      </c>
      <c r="P140" s="17">
        <f>IFERROR(_xlfn.XLOOKUP(O140,'Department Listing'!$O$1:$O$395,'Department Listing'!$A$1:$A$395),IFERROR(_xlfn.XLOOKUP(O140,'Name Aliases'!$A$2:$A$1000,'Name Aliases'!$B$2:$B$1000),""))</f>
        <v>121</v>
      </c>
      <c r="Q140" s="18">
        <f t="shared" si="17"/>
        <v>46233</v>
      </c>
      <c r="R140" s="17" t="str">
        <f t="shared" si="18"/>
        <v>Uber</v>
      </c>
      <c r="S140" s="19">
        <f t="shared" si="19"/>
        <v>36.979999999999997</v>
      </c>
      <c r="T140" s="17" t="str">
        <f t="shared" si="20"/>
        <v>UBER   *TRIP MASTERCARD-XXXXXX1HN8EX-Toni Manning</v>
      </c>
      <c r="U140" s="17" t="str">
        <f t="shared" si="21"/>
        <v>Brex Credit Card</v>
      </c>
      <c r="V140" s="19" t="str">
        <f>IF(ISBLANK($B140),"",IF(ISBLANK($K140),IF(_xlfn.XLOOKUP($W140,'Category Mapping'!$C:$C,'Category Mapping'!$B:$B)="Travel",_xlfn.XLOOKUP($P140,'Department Listing'!$A:$A,'Department Listing'!$M:$M),_xlfn.XLOOKUP($W140,'Category Mapping'!$C:$C,'Category Mapping'!$D:$D)),$K140))</f>
        <v>Sales &amp; Marketing:Sales &amp; Marketing- Travel Expenses:</v>
      </c>
      <c r="W140" s="19" t="str">
        <f t="shared" si="22"/>
        <v>Ground Transportation</v>
      </c>
      <c r="X140" s="19" t="str">
        <f t="shared" si="23"/>
        <v>Sales &amp; Marketing:Sales &amp; Marketing- Travel Expenses:Ground Transportation</v>
      </c>
      <c r="Y140" s="20" t="str">
        <f>IF(ISBLANK($M140),IFERROR(_xlfn.XLOOKUP($P140,'Department Listing'!$A:$A,'Department Listing'!$L:$L),""),$M140)</f>
        <v>100- Operations:120- Marketing</v>
      </c>
      <c r="Z140" s="11">
        <f>IF(ISBLANK($B140),"",MATCH($X140,COA!$B:$B,0))</f>
        <v>200</v>
      </c>
    </row>
    <row r="141" spans="2:26" ht="15.75" customHeight="1" x14ac:dyDescent="0.25">
      <c r="B141" s="14">
        <v>46232</v>
      </c>
      <c r="C141" s="15" t="s">
        <v>275</v>
      </c>
      <c r="E141" s="15" t="s">
        <v>64</v>
      </c>
      <c r="F141" s="16">
        <v>6.08</v>
      </c>
      <c r="H141" s="10"/>
      <c r="I141" s="9" t="s">
        <v>74</v>
      </c>
      <c r="J141" s="9"/>
      <c r="K141" s="9"/>
      <c r="L141" s="9" t="s">
        <v>66</v>
      </c>
      <c r="M141" s="9"/>
      <c r="N141" s="17"/>
      <c r="O141" s="17" t="str">
        <f t="shared" si="16"/>
        <v>Anamaria Gramada</v>
      </c>
      <c r="P141" s="17">
        <f>IFERROR(_xlfn.XLOOKUP(O141,'Department Listing'!$O$1:$O$395,'Department Listing'!$A$1:$A$395),IFERROR(_xlfn.XLOOKUP(O141,'Name Aliases'!$A$2:$A$1000,'Name Aliases'!$B$2:$B$1000),""))</f>
        <v>110</v>
      </c>
      <c r="Q141" s="18">
        <f t="shared" si="17"/>
        <v>46232</v>
      </c>
      <c r="R141" s="17" t="str">
        <f t="shared" si="18"/>
        <v>Uber</v>
      </c>
      <c r="S141" s="19">
        <f t="shared" si="19"/>
        <v>6.08</v>
      </c>
      <c r="T141" s="17" t="str">
        <f t="shared" si="20"/>
        <v>UBER   *TRIP MASTERCARD-XXXXXX4F6GRT-Anamaria Gramada</v>
      </c>
      <c r="U141" s="17" t="str">
        <f t="shared" si="21"/>
        <v>Brex Credit Card</v>
      </c>
      <c r="V141" s="19" t="str">
        <f>IF(ISBLANK($B141),"",IF(ISBLANK($K141),IF(_xlfn.XLOOKUP($W141,'Category Mapping'!$C:$C,'Category Mapping'!$B:$B)="Travel",_xlfn.XLOOKUP($P141,'Department Listing'!$A:$A,'Department Listing'!$M:$M),_xlfn.XLOOKUP($W141,'Category Mapping'!$C:$C,'Category Mapping'!$D:$D)),$K141))</f>
        <v>Cost of Goods Sold:COGS- Travel Expenses:</v>
      </c>
      <c r="W141" s="19" t="str">
        <f t="shared" si="22"/>
        <v>Ground Transportation</v>
      </c>
      <c r="X141" s="19" t="str">
        <f t="shared" si="23"/>
        <v>Cost of Goods Sold:COGS- Travel Expenses:Ground Transportation</v>
      </c>
      <c r="Y141" s="20" t="str">
        <f>IF(ISBLANK($M141),IFERROR(_xlfn.XLOOKUP($P141,'Department Listing'!$A:$A,'Department Listing'!$L:$L),""),$M141)</f>
        <v>300- ServiceNow:310- Delivery</v>
      </c>
      <c r="Z141" s="11">
        <f>IF(ISBLANK($B141),"",MATCH($X141,COA!$B:$B,0))</f>
        <v>124</v>
      </c>
    </row>
    <row r="142" spans="2:26" ht="15.75" customHeight="1" x14ac:dyDescent="0.25">
      <c r="B142" s="14">
        <v>46232</v>
      </c>
      <c r="C142" s="15" t="s">
        <v>276</v>
      </c>
      <c r="D142" s="15"/>
      <c r="E142" s="15"/>
      <c r="F142" s="16">
        <v>45</v>
      </c>
      <c r="H142" s="10"/>
      <c r="I142" s="9" t="s">
        <v>117</v>
      </c>
      <c r="J142" s="9"/>
      <c r="K142" s="22"/>
      <c r="L142" s="9" t="s">
        <v>66</v>
      </c>
      <c r="M142" s="22"/>
      <c r="N142" s="17"/>
      <c r="O142" s="17" t="str">
        <f t="shared" si="16"/>
        <v>Kevin Ebert</v>
      </c>
      <c r="P142" s="17">
        <f>IFERROR(_xlfn.XLOOKUP(O142,'Department Listing'!$O$1:$O$395,'Department Listing'!$A$1:$A$395),IFERROR(_xlfn.XLOOKUP(O142,'Name Aliases'!$A$2:$A$1000,'Name Aliases'!$B$2:$B$1000),""))</f>
        <v>187</v>
      </c>
      <c r="Q142" s="18">
        <f t="shared" si="17"/>
        <v>46232</v>
      </c>
      <c r="R142" s="17" t="str">
        <f t="shared" si="18"/>
        <v>Back Bay Garage</v>
      </c>
      <c r="S142" s="19">
        <f t="shared" si="19"/>
        <v>45</v>
      </c>
      <c r="T142" s="17" t="str">
        <f t="shared" si="20"/>
        <v>VPNE BackBayGarage MASTERCARD-XXXXXXA7LHRJ-Kevin Ebert</v>
      </c>
      <c r="U142" s="17" t="str">
        <f t="shared" si="21"/>
        <v>Brex Credit Card</v>
      </c>
      <c r="V142" s="19" t="str">
        <f>IF(ISBLANK($B142),"",IF(ISBLANK($K142),IF(_xlfn.XLOOKUP($W142,'Category Mapping'!$C:$C,'Category Mapping'!$B:$B)="Travel",_xlfn.XLOOKUP($P142,'Department Listing'!$A:$A,'Department Listing'!$M:$M),_xlfn.XLOOKUP($W142,'Category Mapping'!$C:$C,'Category Mapping'!$D:$D)),$K142))</f>
        <v>General &amp; Administrative:G&amp;A- Travel Expenses:</v>
      </c>
      <c r="W142" s="19" t="str">
        <f t="shared" si="22"/>
        <v>Ground Transportation</v>
      </c>
      <c r="X142" s="19" t="str">
        <f t="shared" si="23"/>
        <v>General &amp; Administrative:G&amp;A- Travel Expenses:Ground Transportation</v>
      </c>
      <c r="Y142" s="20" t="str">
        <f>IF(ISBLANK($M142),IFERROR(_xlfn.XLOOKUP($P142,'Department Listing'!$A:$A,'Department Listing'!$L:$L),""),$M142)</f>
        <v>100- Operations:110- G&amp;A</v>
      </c>
      <c r="Z142" s="11">
        <f>IF(ISBLANK($B142),"",MATCH($X142,COA!$B:$B,0))</f>
        <v>149</v>
      </c>
    </row>
    <row r="143" spans="2:26" ht="15.75" customHeight="1" x14ac:dyDescent="0.25">
      <c r="B143" s="14">
        <v>46233</v>
      </c>
      <c r="C143" s="15" t="s">
        <v>277</v>
      </c>
      <c r="D143" s="15"/>
      <c r="E143" s="15" t="s">
        <v>64</v>
      </c>
      <c r="F143" s="16">
        <v>41.97</v>
      </c>
      <c r="H143" s="10"/>
      <c r="I143" s="9" t="s">
        <v>74</v>
      </c>
      <c r="J143" s="9"/>
      <c r="K143" s="9"/>
      <c r="L143" s="9" t="s">
        <v>66</v>
      </c>
      <c r="M143" s="9"/>
      <c r="N143" s="17"/>
      <c r="O143" s="17" t="str">
        <f t="shared" si="16"/>
        <v>Ben Savage</v>
      </c>
      <c r="P143" s="17">
        <f>IFERROR(_xlfn.XLOOKUP(O143,'Department Listing'!$O$1:$O$395,'Department Listing'!$A$1:$A$395),IFERROR(_xlfn.XLOOKUP(O143,'Name Aliases'!$A$2:$A$1000,'Name Aliases'!$B$2:$B$1000),""))</f>
        <v>71</v>
      </c>
      <c r="Q143" s="18">
        <f t="shared" si="17"/>
        <v>46233</v>
      </c>
      <c r="R143" s="17" t="str">
        <f t="shared" si="18"/>
        <v>Uber</v>
      </c>
      <c r="S143" s="19">
        <f t="shared" si="19"/>
        <v>41.97</v>
      </c>
      <c r="T143" s="17" t="str">
        <f t="shared" si="20"/>
        <v>UBER   *TRIP MASTERCARD-XXXXXXA9TW4V-Ben Savage</v>
      </c>
      <c r="U143" s="17" t="str">
        <f t="shared" si="21"/>
        <v>Brex Credit Card</v>
      </c>
      <c r="V143" s="19" t="str">
        <f>IF(ISBLANK($B143),"",IF(ISBLANK($K143),IF(_xlfn.XLOOKUP($W143,'Category Mapping'!$C:$C,'Category Mapping'!$B:$B)="Travel",_xlfn.XLOOKUP($P143,'Department Listing'!$A:$A,'Department Listing'!$M:$M),_xlfn.XLOOKUP($W143,'Category Mapping'!$C:$C,'Category Mapping'!$D:$D)),$K143))</f>
        <v>Cost of Goods Sold:COGS- Travel Expenses:</v>
      </c>
      <c r="W143" s="19" t="str">
        <f t="shared" si="22"/>
        <v>Ground Transportation</v>
      </c>
      <c r="X143" s="19" t="str">
        <f t="shared" si="23"/>
        <v>Cost of Goods Sold:COGS- Travel Expenses:Ground Transportation</v>
      </c>
      <c r="Y143" s="20" t="str">
        <f>IF(ISBLANK($M143),IFERROR(_xlfn.XLOOKUP($P143,'Department Listing'!$A:$A,'Department Listing'!$L:$L),""),$M143)</f>
        <v>300- ServiceNow:320- Engineering</v>
      </c>
      <c r="Z143" s="11">
        <f>IF(ISBLANK($B143),"",MATCH($X143,COA!$B:$B,0))</f>
        <v>124</v>
      </c>
    </row>
    <row r="144" spans="2:26" ht="15.75" customHeight="1" x14ac:dyDescent="0.25">
      <c r="B144" s="14">
        <v>46232</v>
      </c>
      <c r="C144" s="15" t="s">
        <v>278</v>
      </c>
      <c r="D144" s="15"/>
      <c r="E144" s="15" t="s">
        <v>205</v>
      </c>
      <c r="F144" s="16">
        <v>1.7</v>
      </c>
      <c r="H144" s="10"/>
      <c r="I144" s="9" t="s">
        <v>206</v>
      </c>
      <c r="J144" s="9"/>
      <c r="K144" s="9"/>
      <c r="L144" s="9" t="s">
        <v>66</v>
      </c>
      <c r="M144" s="9"/>
      <c r="N144" s="17"/>
      <c r="O144" s="17" t="str">
        <f t="shared" si="16"/>
        <v>Karalyn Sims</v>
      </c>
      <c r="P144" s="17">
        <f>IFERROR(_xlfn.XLOOKUP(O144,'Department Listing'!$O$1:$O$395,'Department Listing'!$A$1:$A$395),IFERROR(_xlfn.XLOOKUP(O144,'Name Aliases'!$A$2:$A$1000,'Name Aliases'!$B$2:$B$1000),""))</f>
        <v>144</v>
      </c>
      <c r="Q144" s="18">
        <f t="shared" si="17"/>
        <v>46232</v>
      </c>
      <c r="R144" s="17" t="str">
        <f t="shared" si="18"/>
        <v>Mbta</v>
      </c>
      <c r="S144" s="19">
        <f t="shared" si="19"/>
        <v>1.7</v>
      </c>
      <c r="T144" s="17" t="str">
        <f t="shared" si="20"/>
        <v>MBTA-550048231694 MASTERCARD-XXXXXXKXHEW0-Karalyn Sims</v>
      </c>
      <c r="U144" s="17" t="str">
        <f t="shared" si="21"/>
        <v>Brex Credit Card</v>
      </c>
      <c r="V144" s="19" t="str">
        <f>IF(ISBLANK($B144),"",IF(ISBLANK($K144),IF(_xlfn.XLOOKUP($W144,'Category Mapping'!$C:$C,'Category Mapping'!$B:$B)="Travel",_xlfn.XLOOKUP($P144,'Department Listing'!$A:$A,'Department Listing'!$M:$M),_xlfn.XLOOKUP($W144,'Category Mapping'!$C:$C,'Category Mapping'!$D:$D)),$K144))</f>
        <v>Sales &amp; Marketing:Sales &amp; Marketing- Travel Expenses:</v>
      </c>
      <c r="W144" s="19" t="str">
        <f t="shared" si="22"/>
        <v>Ground Transportation</v>
      </c>
      <c r="X144" s="19" t="str">
        <f t="shared" si="23"/>
        <v>Sales &amp; Marketing:Sales &amp; Marketing- Travel Expenses:Ground Transportation</v>
      </c>
      <c r="Y144" s="20" t="str">
        <f>IF(ISBLANK($M144),IFERROR(_xlfn.XLOOKUP($P144,'Department Listing'!$A:$A,'Department Listing'!$L:$L),""),$M144)</f>
        <v>100- Operations:120- Marketing</v>
      </c>
      <c r="Z144" s="11">
        <f>IF(ISBLANK($B144),"",MATCH($X144,COA!$B:$B,0))</f>
        <v>200</v>
      </c>
    </row>
    <row r="145" spans="2:26" ht="15.75" customHeight="1" x14ac:dyDescent="0.25">
      <c r="B145" s="14">
        <v>46232</v>
      </c>
      <c r="C145" s="15" t="s">
        <v>279</v>
      </c>
      <c r="D145" s="15"/>
      <c r="E145" s="15" t="s">
        <v>64</v>
      </c>
      <c r="F145" s="16">
        <v>43.15</v>
      </c>
      <c r="H145" s="10"/>
      <c r="I145" s="9" t="s">
        <v>92</v>
      </c>
      <c r="J145" s="9"/>
      <c r="K145" s="9"/>
      <c r="L145" s="9" t="s">
        <v>66</v>
      </c>
      <c r="M145" s="9"/>
      <c r="N145" s="17"/>
      <c r="O145" s="17" t="str">
        <f t="shared" si="16"/>
        <v>Tyler Grimshaw</v>
      </c>
      <c r="P145" s="17">
        <f>IFERROR(_xlfn.XLOOKUP(O145,'Department Listing'!$O$1:$O$395,'Department Listing'!$A$1:$A$395),IFERROR(_xlfn.XLOOKUP(O145,'Name Aliases'!$A$2:$A$1000,'Name Aliases'!$B$2:$B$1000),""))</f>
        <v>264</v>
      </c>
      <c r="Q145" s="18">
        <f t="shared" si="17"/>
        <v>46232</v>
      </c>
      <c r="R145" s="17" t="str">
        <f t="shared" si="18"/>
        <v>Lyft</v>
      </c>
      <c r="S145" s="19">
        <f t="shared" si="19"/>
        <v>43.15</v>
      </c>
      <c r="T145" s="17" t="str">
        <f t="shared" si="20"/>
        <v>LYFT   *AIRPORT 07-27 MASTERCARD-XXXXXXG6L5IQ-Tyler Grimshaw</v>
      </c>
      <c r="U145" s="17" t="str">
        <f t="shared" si="21"/>
        <v>Brex Credit Card</v>
      </c>
      <c r="V145" s="19" t="str">
        <f>IF(ISBLANK($B145),"",IF(ISBLANK($K145),IF(_xlfn.XLOOKUP($W145,'Category Mapping'!$C:$C,'Category Mapping'!$B:$B)="Travel",_xlfn.XLOOKUP($P145,'Department Listing'!$A:$A,'Department Listing'!$M:$M),_xlfn.XLOOKUP($W145,'Category Mapping'!$C:$C,'Category Mapping'!$D:$D)),$K145))</f>
        <v>Sales &amp; Marketing:Sales &amp; Marketing- Travel Expenses:</v>
      </c>
      <c r="W145" s="19" t="str">
        <f t="shared" si="22"/>
        <v>Ground Transportation</v>
      </c>
      <c r="X145" s="19" t="str">
        <f t="shared" si="23"/>
        <v>Sales &amp; Marketing:Sales &amp; Marketing- Travel Expenses:Ground Transportation</v>
      </c>
      <c r="Y145" s="20" t="str">
        <f>IF(ISBLANK($M145),IFERROR(_xlfn.XLOOKUP($P145,'Department Listing'!$A:$A,'Department Listing'!$L:$L),""),$M145)</f>
        <v>200- Datadog:230- Sales</v>
      </c>
      <c r="Z145" s="11">
        <f>IF(ISBLANK($B145),"",MATCH($X145,COA!$B:$B,0))</f>
        <v>200</v>
      </c>
    </row>
    <row r="146" spans="2:26" ht="15.75" customHeight="1" x14ac:dyDescent="0.25">
      <c r="B146" s="14">
        <v>46232</v>
      </c>
      <c r="C146" s="15" t="s">
        <v>280</v>
      </c>
      <c r="D146" s="15"/>
      <c r="E146" s="15" t="s">
        <v>64</v>
      </c>
      <c r="F146" s="16">
        <v>18.95</v>
      </c>
      <c r="H146" s="10"/>
      <c r="I146" s="9" t="s">
        <v>74</v>
      </c>
      <c r="J146" s="9"/>
      <c r="K146" s="9"/>
      <c r="L146" s="9" t="s">
        <v>66</v>
      </c>
      <c r="M146" s="9"/>
      <c r="N146" s="17"/>
      <c r="O146" s="17" t="str">
        <f t="shared" si="16"/>
        <v>Maile Call</v>
      </c>
      <c r="P146" s="17">
        <f>IFERROR(_xlfn.XLOOKUP(O146,'Department Listing'!$O$1:$O$395,'Department Listing'!$A$1:$A$395),IFERROR(_xlfn.XLOOKUP(O146,'Name Aliases'!$A$2:$A$1000,'Name Aliases'!$B$2:$B$1000),""))</f>
        <v>241</v>
      </c>
      <c r="Q146" s="18">
        <f t="shared" si="17"/>
        <v>46232</v>
      </c>
      <c r="R146" s="17" t="str">
        <f t="shared" si="18"/>
        <v>Uber</v>
      </c>
      <c r="S146" s="19">
        <f t="shared" si="19"/>
        <v>18.95</v>
      </c>
      <c r="T146" s="17" t="str">
        <f t="shared" si="20"/>
        <v>UBER   *TRIP MASTERCARD-XXXXXX3GGACS-Maile Call</v>
      </c>
      <c r="U146" s="17" t="str">
        <f t="shared" si="21"/>
        <v>Brex Credit Card</v>
      </c>
      <c r="V146" s="19" t="str">
        <f>IF(ISBLANK($B146),"",IF(ISBLANK($K146),IF(_xlfn.XLOOKUP($W146,'Category Mapping'!$C:$C,'Category Mapping'!$B:$B)="Travel",_xlfn.XLOOKUP($P146,'Department Listing'!$A:$A,'Department Listing'!$M:$M),_xlfn.XLOOKUP($W146,'Category Mapping'!$C:$C,'Category Mapping'!$D:$D)),$K146))</f>
        <v>Sales &amp; Marketing:Sales &amp; Marketing- Travel Expenses:</v>
      </c>
      <c r="W146" s="19" t="str">
        <f t="shared" si="22"/>
        <v>Ground Transportation</v>
      </c>
      <c r="X146" s="19" t="str">
        <f t="shared" si="23"/>
        <v>Sales &amp; Marketing:Sales &amp; Marketing- Travel Expenses:Ground Transportation</v>
      </c>
      <c r="Y146" s="20" t="str">
        <f>IF(ISBLANK($M146),IFERROR(_xlfn.XLOOKUP($P146,'Department Listing'!$A:$A,'Department Listing'!$L:$L),""),$M146)</f>
        <v>300- ServiceNow:330- Sales</v>
      </c>
      <c r="Z146" s="11">
        <f>IF(ISBLANK($B146),"",MATCH($X146,COA!$B:$B,0))</f>
        <v>200</v>
      </c>
    </row>
    <row r="147" spans="2:26" ht="15.75" customHeight="1" x14ac:dyDescent="0.25">
      <c r="B147" s="14">
        <v>46232</v>
      </c>
      <c r="C147" s="15" t="s">
        <v>281</v>
      </c>
      <c r="D147" s="15"/>
      <c r="E147" s="15" t="s">
        <v>64</v>
      </c>
      <c r="F147" s="16">
        <v>16.940000000000001</v>
      </c>
      <c r="H147" s="10"/>
      <c r="I147" s="9" t="s">
        <v>74</v>
      </c>
      <c r="J147" s="9"/>
      <c r="K147" s="9"/>
      <c r="L147" s="9" t="s">
        <v>66</v>
      </c>
      <c r="M147" s="9"/>
      <c r="N147" s="17"/>
      <c r="O147" s="17" t="str">
        <f t="shared" si="16"/>
        <v>Maile Call</v>
      </c>
      <c r="P147" s="17">
        <f>IFERROR(_xlfn.XLOOKUP(O147,'Department Listing'!$O$1:$O$395,'Department Listing'!$A$1:$A$395),IFERROR(_xlfn.XLOOKUP(O147,'Name Aliases'!$A$2:$A$1000,'Name Aliases'!$B$2:$B$1000),""))</f>
        <v>241</v>
      </c>
      <c r="Q147" s="18">
        <f t="shared" si="17"/>
        <v>46232</v>
      </c>
      <c r="R147" s="17" t="str">
        <f t="shared" si="18"/>
        <v>Uber</v>
      </c>
      <c r="S147" s="19">
        <f t="shared" si="19"/>
        <v>16.940000000000001</v>
      </c>
      <c r="T147" s="17" t="str">
        <f t="shared" si="20"/>
        <v>UBER   *TRIP MASTERCARD-XXXXXXX83MBC-Maile Call</v>
      </c>
      <c r="U147" s="17" t="str">
        <f t="shared" si="21"/>
        <v>Brex Credit Card</v>
      </c>
      <c r="V147" s="19" t="str">
        <f>IF(ISBLANK($B147),"",IF(ISBLANK($K147),IF(_xlfn.XLOOKUP($W147,'Category Mapping'!$C:$C,'Category Mapping'!$B:$B)="Travel",_xlfn.XLOOKUP($P147,'Department Listing'!$A:$A,'Department Listing'!$M:$M),_xlfn.XLOOKUP($W147,'Category Mapping'!$C:$C,'Category Mapping'!$D:$D)),$K147))</f>
        <v>Sales &amp; Marketing:Sales &amp; Marketing- Travel Expenses:</v>
      </c>
      <c r="W147" s="19" t="str">
        <f t="shared" si="22"/>
        <v>Ground Transportation</v>
      </c>
      <c r="X147" s="19" t="str">
        <f t="shared" si="23"/>
        <v>Sales &amp; Marketing:Sales &amp; Marketing- Travel Expenses:Ground Transportation</v>
      </c>
      <c r="Y147" s="20" t="str">
        <f>IF(ISBLANK($M147),IFERROR(_xlfn.XLOOKUP($P147,'Department Listing'!$A:$A,'Department Listing'!$L:$L),""),$M147)</f>
        <v>300- ServiceNow:330- Sales</v>
      </c>
      <c r="Z147" s="11">
        <f>IF(ISBLANK($B147),"",MATCH($X147,COA!$B:$B,0))</f>
        <v>200</v>
      </c>
    </row>
    <row r="148" spans="2:26" ht="15.75" customHeight="1" x14ac:dyDescent="0.25">
      <c r="B148" s="14">
        <v>46232</v>
      </c>
      <c r="C148" s="15" t="s">
        <v>282</v>
      </c>
      <c r="D148" s="15"/>
      <c r="E148" s="15" t="s">
        <v>64</v>
      </c>
      <c r="F148" s="16">
        <v>21.2</v>
      </c>
      <c r="H148" s="10"/>
      <c r="I148" s="9" t="s">
        <v>65</v>
      </c>
      <c r="J148" s="9"/>
      <c r="K148" s="9"/>
      <c r="L148" s="9" t="s">
        <v>66</v>
      </c>
      <c r="M148" s="22"/>
      <c r="N148" s="17"/>
      <c r="O148" s="17" t="str">
        <f t="shared" si="16"/>
        <v>Meghan Murray</v>
      </c>
      <c r="P148" s="17">
        <f>IFERROR(_xlfn.XLOOKUP(O148,'Department Listing'!$O$1:$O$395,'Department Listing'!$A$1:$A$395),IFERROR(_xlfn.XLOOKUP(O148,'Name Aliases'!$A$2:$A$1000,'Name Aliases'!$B$2:$B$1000),""))</f>
        <v>175</v>
      </c>
      <c r="Q148" s="18">
        <f t="shared" si="17"/>
        <v>46232</v>
      </c>
      <c r="R148" s="17" t="str">
        <f t="shared" si="18"/>
        <v>SpotHero</v>
      </c>
      <c r="S148" s="19">
        <f t="shared" si="19"/>
        <v>21.2</v>
      </c>
      <c r="T148" s="17" t="str">
        <f t="shared" si="20"/>
        <v>SPOTHERO 844-356-8054 MASTERCARD-XXXXXXAHR7ET-Meghan Murray</v>
      </c>
      <c r="U148" s="17" t="str">
        <f t="shared" si="21"/>
        <v>Brex Credit Card</v>
      </c>
      <c r="V148" s="19" t="str">
        <f>IF(ISBLANK($B148),"",IF(ISBLANK($K148),IF(_xlfn.XLOOKUP($W148,'Category Mapping'!$C:$C,'Category Mapping'!$B:$B)="Travel",_xlfn.XLOOKUP($P148,'Department Listing'!$A:$A,'Department Listing'!$M:$M),_xlfn.XLOOKUP($W148,'Category Mapping'!$C:$C,'Category Mapping'!$D:$D)),$K148))</f>
        <v>Cost of Goods Sold:COGS- Travel Expenses:</v>
      </c>
      <c r="W148" s="19" t="str">
        <f t="shared" si="22"/>
        <v>Ground Transportation</v>
      </c>
      <c r="X148" s="19" t="str">
        <f t="shared" si="23"/>
        <v>Cost of Goods Sold:COGS- Travel Expenses:Ground Transportation</v>
      </c>
      <c r="Y148" s="20" t="str">
        <f>IF(ISBLANK($M148),IFERROR(_xlfn.XLOOKUP($P148,'Department Listing'!$A:$A,'Department Listing'!$L:$L),""),$M148)</f>
        <v>300- ServiceNow:310- Delivery</v>
      </c>
      <c r="Z148" s="11">
        <f>IF(ISBLANK($B148),"",MATCH($X148,COA!$B:$B,0))</f>
        <v>124</v>
      </c>
    </row>
    <row r="149" spans="2:26" ht="15.75" customHeight="1" x14ac:dyDescent="0.25">
      <c r="B149" s="14">
        <v>46233</v>
      </c>
      <c r="C149" s="15" t="s">
        <v>283</v>
      </c>
      <c r="E149" s="15"/>
      <c r="F149" s="16">
        <v>377.2</v>
      </c>
      <c r="H149" s="10"/>
      <c r="I149" s="9" t="s">
        <v>284</v>
      </c>
      <c r="J149" s="9"/>
      <c r="K149" s="9"/>
      <c r="L149" s="9" t="s">
        <v>165</v>
      </c>
      <c r="M149" s="9"/>
      <c r="N149" s="17"/>
      <c r="O149" s="17" t="str">
        <f t="shared" si="16"/>
        <v>McKenna Skoczen</v>
      </c>
      <c r="P149" s="17">
        <f>IFERROR(_xlfn.XLOOKUP(O149,'Department Listing'!$O$1:$O$395,'Department Listing'!$A$1:$A$395),IFERROR(_xlfn.XLOOKUP(O149,'Name Aliases'!$A$2:$A$1000,'Name Aliases'!$B$2:$B$1000),""))</f>
        <v>232</v>
      </c>
      <c r="Q149" s="18">
        <f t="shared" si="17"/>
        <v>46233</v>
      </c>
      <c r="R149" s="17" t="str">
        <f t="shared" si="18"/>
        <v>United Airlines</v>
      </c>
      <c r="S149" s="19">
        <f t="shared" si="19"/>
        <v>377.2</v>
      </c>
      <c r="T149" s="17" t="str">
        <f t="shared" si="20"/>
        <v>UNITED MASTERCARD-XXXXXXNHBXMF-McKenna Skoczen</v>
      </c>
      <c r="U149" s="17" t="str">
        <f t="shared" si="21"/>
        <v>Brex Credit Card</v>
      </c>
      <c r="V149" s="19" t="str">
        <f>IF(ISBLANK($B149),"",IF(ISBLANK($K149),IF(_xlfn.XLOOKUP($W149,'Category Mapping'!$C:$C,'Category Mapping'!$B:$B)="Travel",_xlfn.XLOOKUP($P149,'Department Listing'!$A:$A,'Department Listing'!$M:$M),_xlfn.XLOOKUP($W149,'Category Mapping'!$C:$C,'Category Mapping'!$D:$D)),$K149))</f>
        <v>Cost of Goods Sold:COGS- Travel Expenses:</v>
      </c>
      <c r="W149" s="19" t="str">
        <f t="shared" si="22"/>
        <v>Airfare</v>
      </c>
      <c r="X149" s="19" t="str">
        <f t="shared" si="23"/>
        <v>Cost of Goods Sold:COGS- Travel Expenses:Airfare</v>
      </c>
      <c r="Y149" s="20" t="str">
        <f>IF(ISBLANK($M149),IFERROR(_xlfn.XLOOKUP($P149,'Department Listing'!$A:$A,'Department Listing'!$L:$L),""),$M149)</f>
        <v>200- Datadog:220- Engineering</v>
      </c>
      <c r="Z149" s="11">
        <f>IF(ISBLANK($B149),"",MATCH($X149,COA!$B:$B,0))</f>
        <v>123</v>
      </c>
    </row>
    <row r="150" spans="2:26" ht="15.75" customHeight="1" x14ac:dyDescent="0.25">
      <c r="B150" s="14">
        <v>46232</v>
      </c>
      <c r="C150" s="15" t="s">
        <v>285</v>
      </c>
      <c r="E150" s="15" t="s">
        <v>201</v>
      </c>
      <c r="F150" s="16">
        <v>27.43</v>
      </c>
      <c r="H150" s="10"/>
      <c r="I150" s="9" t="s">
        <v>202</v>
      </c>
      <c r="J150" s="9"/>
      <c r="K150" s="9"/>
      <c r="L150" s="9" t="s">
        <v>127</v>
      </c>
      <c r="M150" s="9"/>
      <c r="N150" s="17"/>
      <c r="O150" s="17" t="str">
        <f t="shared" si="16"/>
        <v>Samantha Purpura</v>
      </c>
      <c r="P150" s="17">
        <f>IFERROR(_xlfn.XLOOKUP(O150,'Department Listing'!$O$1:$O$395,'Department Listing'!$A$1:$A$395),IFERROR(_xlfn.XLOOKUP(O150,'Name Aliases'!$A$2:$A$1000,'Name Aliases'!$B$2:$B$1000),""))</f>
        <v>278</v>
      </c>
      <c r="Q150" s="18">
        <f t="shared" si="17"/>
        <v>46232</v>
      </c>
      <c r="R150" s="17" t="str">
        <f t="shared" si="18"/>
        <v>CVS</v>
      </c>
      <c r="S150" s="19">
        <f t="shared" si="19"/>
        <v>27.43</v>
      </c>
      <c r="T150" s="17" t="str">
        <f t="shared" si="20"/>
        <v>CVS/PHARMACY #01217 MASTERCARD-XXXXXXVNBYQY-Samantha Purpura</v>
      </c>
      <c r="U150" s="17" t="str">
        <f t="shared" si="21"/>
        <v>Brex Credit Card</v>
      </c>
      <c r="V150" s="19" t="str">
        <f>IF(ISBLANK($B150),"",IF(ISBLANK($K150),IF(_xlfn.XLOOKUP($W150,'Category Mapping'!$C:$C,'Category Mapping'!$B:$B)="Travel",_xlfn.XLOOKUP($P150,'Department Listing'!$A:$A,'Department Listing'!$M:$M),_xlfn.XLOOKUP($W150,'Category Mapping'!$C:$C,'Category Mapping'!$D:$D)),$K150))</f>
        <v>General &amp; Administrative:Office Expenses:</v>
      </c>
      <c r="W150" s="19" t="str">
        <f t="shared" si="22"/>
        <v>Office Supplies</v>
      </c>
      <c r="X150" s="19" t="str">
        <f t="shared" si="23"/>
        <v>General &amp; Administrative:Office Expenses:Office Supplies</v>
      </c>
      <c r="Y150" s="20" t="str">
        <f>IF(ISBLANK($M150),IFERROR(_xlfn.XLOOKUP($P150,'Department Listing'!$A:$A,'Department Listing'!$L:$L),""),$M150)</f>
        <v>100- Operations:110- G&amp;A</v>
      </c>
      <c r="Z150" s="11">
        <f>IF(ISBLANK($B150),"",MATCH($X150,COA!$B:$B,0))</f>
        <v>161</v>
      </c>
    </row>
    <row r="151" spans="2:26" ht="15.75" customHeight="1" x14ac:dyDescent="0.25">
      <c r="B151" s="14">
        <v>46233</v>
      </c>
      <c r="C151" s="15" t="s">
        <v>286</v>
      </c>
      <c r="D151" s="15"/>
      <c r="E151" s="15" t="s">
        <v>76</v>
      </c>
      <c r="F151" s="16">
        <v>5.76</v>
      </c>
      <c r="H151" s="10"/>
      <c r="I151" s="9" t="s">
        <v>287</v>
      </c>
      <c r="J151" s="9"/>
      <c r="K151" s="9"/>
      <c r="L151" s="9" t="s">
        <v>78</v>
      </c>
      <c r="M151" s="9"/>
      <c r="N151" s="17"/>
      <c r="O151" s="17" t="str">
        <f t="shared" si="16"/>
        <v>Toni Manning</v>
      </c>
      <c r="P151" s="17">
        <f>IFERROR(_xlfn.XLOOKUP(O151,'Department Listing'!$O$1:$O$395,'Department Listing'!$A$1:$A$395),IFERROR(_xlfn.XLOOKUP(O151,'Name Aliases'!$A$2:$A$1000,'Name Aliases'!$B$2:$B$1000),""))</f>
        <v>121</v>
      </c>
      <c r="Q151" s="18">
        <f t="shared" si="17"/>
        <v>46233</v>
      </c>
      <c r="R151" s="17" t="str">
        <f t="shared" si="18"/>
        <v>Starbucks</v>
      </c>
      <c r="S151" s="19">
        <f t="shared" si="19"/>
        <v>5.76</v>
      </c>
      <c r="T151" s="17" t="str">
        <f t="shared" si="20"/>
        <v>STARBUCKS STORE 80448 MASTERCARD-XXXXXXH8I7QF-Toni Manning</v>
      </c>
      <c r="U151" s="17" t="str">
        <f t="shared" si="21"/>
        <v>Brex Credit Card</v>
      </c>
      <c r="V151" s="19" t="str">
        <f>IF(ISBLANK($B151),"",IF(ISBLANK($K151),IF(_xlfn.XLOOKUP($W151,'Category Mapping'!$C:$C,'Category Mapping'!$B:$B)="Travel",_xlfn.XLOOKUP($P151,'Department Listing'!$A:$A,'Department Listing'!$M:$M),_xlfn.XLOOKUP($W151,'Category Mapping'!$C:$C,'Category Mapping'!$D:$D)),$K151))</f>
        <v>Sales &amp; Marketing:Sales &amp; Marketing- Travel Expenses:</v>
      </c>
      <c r="W151" s="19" t="str">
        <f t="shared" si="22"/>
        <v>Meals &amp; Entertainment</v>
      </c>
      <c r="X151" s="19" t="str">
        <f t="shared" si="23"/>
        <v>Sales &amp; Marketing:Sales &amp; Marketing- Travel Expenses:Meals &amp; Entertainment</v>
      </c>
      <c r="Y151" s="20" t="str">
        <f>IF(ISBLANK($M151),IFERROR(_xlfn.XLOOKUP($P151,'Department Listing'!$A:$A,'Department Listing'!$L:$L),""),$M151)</f>
        <v>100- Operations:120- Marketing</v>
      </c>
      <c r="Z151" s="11">
        <f>IF(ISBLANK($B151),"",MATCH($X151,COA!$B:$B,0))</f>
        <v>202</v>
      </c>
    </row>
    <row r="152" spans="2:26" ht="15.75" customHeight="1" x14ac:dyDescent="0.25">
      <c r="B152" s="14">
        <v>46233</v>
      </c>
      <c r="C152" s="15" t="s">
        <v>288</v>
      </c>
      <c r="E152" s="15"/>
      <c r="F152" s="16">
        <v>132.80000000000001</v>
      </c>
      <c r="H152" s="10"/>
      <c r="I152" s="9" t="s">
        <v>37</v>
      </c>
      <c r="J152" s="9"/>
      <c r="K152" s="9"/>
      <c r="L152" s="9" t="s">
        <v>289</v>
      </c>
      <c r="M152" s="9"/>
      <c r="N152" s="17"/>
      <c r="O152" s="17" t="str">
        <f t="shared" si="16"/>
        <v>Michael Button</v>
      </c>
      <c r="P152" s="17">
        <f>IFERROR(_xlfn.XLOOKUP(O152,'Department Listing'!$O$1:$O$395,'Department Listing'!$A$1:$A$395),IFERROR(_xlfn.XLOOKUP(O152,'Name Aliases'!$A$2:$A$1000,'Name Aliases'!$B$2:$B$1000),""))</f>
        <v>273</v>
      </c>
      <c r="Q152" s="18">
        <f t="shared" si="17"/>
        <v>46233</v>
      </c>
      <c r="R152" s="17" t="str">
        <f t="shared" si="18"/>
        <v>Office Vendor</v>
      </c>
      <c r="S152" s="19">
        <f t="shared" si="19"/>
        <v>132.80000000000001</v>
      </c>
      <c r="T152" s="17" t="str">
        <f t="shared" si="20"/>
        <v>MICRO CENTER #121 MASTERCARD-XXXXXXNSZZ0P-Michael Button</v>
      </c>
      <c r="U152" s="17" t="str">
        <f t="shared" si="21"/>
        <v>Brex Credit Card</v>
      </c>
      <c r="V152" s="19" t="str">
        <f>IF(ISBLANK($B152),"",IF(ISBLANK($K152),IF(_xlfn.XLOOKUP($W152,'Category Mapping'!$C:$C,'Category Mapping'!$B:$B)="Travel",_xlfn.XLOOKUP($P152,'Department Listing'!$A:$A,'Department Listing'!$M:$M),_xlfn.XLOOKUP($W152,'Category Mapping'!$C:$C,'Category Mapping'!$D:$D)),$K152))</f>
        <v>General &amp; Administrative:Office Expenses:</v>
      </c>
      <c r="W152" s="19" t="str">
        <f t="shared" si="22"/>
        <v>Hardware &amp; Peripherals</v>
      </c>
      <c r="X152" s="19" t="str">
        <f t="shared" si="23"/>
        <v>General &amp; Administrative:Office Expenses:Hardware &amp; Peripherals</v>
      </c>
      <c r="Y152" s="20" t="str">
        <f>IF(ISBLANK($M152),IFERROR(_xlfn.XLOOKUP($P152,'Department Listing'!$A:$A,'Department Listing'!$L:$L),""),$M152)</f>
        <v>100- Operations:110- G&amp;A</v>
      </c>
      <c r="Z152" s="11">
        <f>IF(ISBLANK($B152),"",MATCH($X152,COA!$B:$B,0))</f>
        <v>160</v>
      </c>
    </row>
    <row r="153" spans="2:26" ht="15" customHeight="1" x14ac:dyDescent="0.25">
      <c r="B153" s="14">
        <v>46233</v>
      </c>
      <c r="C153" s="15" t="s">
        <v>290</v>
      </c>
      <c r="D153" s="15"/>
      <c r="E153" s="15"/>
      <c r="F153" s="16">
        <v>144.79</v>
      </c>
      <c r="H153" s="10"/>
      <c r="I153" s="9" t="s">
        <v>257</v>
      </c>
      <c r="J153" s="9"/>
      <c r="K153" s="9"/>
      <c r="L153" s="9" t="s">
        <v>165</v>
      </c>
      <c r="M153" s="9"/>
      <c r="N153" s="17"/>
      <c r="O153" s="17" t="str">
        <f t="shared" si="16"/>
        <v>Jonathan Stricklin</v>
      </c>
      <c r="P153" s="17">
        <f>IFERROR(_xlfn.XLOOKUP(O153,'Department Listing'!$O$1:$O$395,'Department Listing'!$A$1:$A$395),IFERROR(_xlfn.XLOOKUP(O153,'Name Aliases'!$A$2:$A$1000,'Name Aliases'!$B$2:$B$1000),""))</f>
        <v>167</v>
      </c>
      <c r="Q153" s="18">
        <f t="shared" si="17"/>
        <v>46233</v>
      </c>
      <c r="R153" s="17" t="str">
        <f t="shared" si="18"/>
        <v>Southwest Air</v>
      </c>
      <c r="S153" s="19">
        <f t="shared" si="19"/>
        <v>144.79</v>
      </c>
      <c r="T153" s="17" t="str">
        <f t="shared" si="20"/>
        <v>SOUTHWES MASTERCARD-XXXXXXFY3NAH-Jonathan Stricklin</v>
      </c>
      <c r="U153" s="17" t="str">
        <f t="shared" si="21"/>
        <v>Brex Credit Card</v>
      </c>
      <c r="V153" s="19" t="str">
        <f>IF(ISBLANK($B153),"",IF(ISBLANK($K153),IF(_xlfn.XLOOKUP($W153,'Category Mapping'!$C:$C,'Category Mapping'!$B:$B)="Travel",_xlfn.XLOOKUP($P153,'Department Listing'!$A:$A,'Department Listing'!$M:$M),_xlfn.XLOOKUP($W153,'Category Mapping'!$C:$C,'Category Mapping'!$D:$D)),$K153))</f>
        <v>Cost of Goods Sold:COGS- Travel Expenses:</v>
      </c>
      <c r="W153" s="19" t="str">
        <f t="shared" si="22"/>
        <v>Airfare</v>
      </c>
      <c r="X153" s="19" t="str">
        <f t="shared" si="23"/>
        <v>Cost of Goods Sold:COGS- Travel Expenses:Airfare</v>
      </c>
      <c r="Y153" s="20" t="str">
        <f>IF(ISBLANK($M153),IFERROR(_xlfn.XLOOKUP($P153,'Department Listing'!$A:$A,'Department Listing'!$L:$L),""),$M153)</f>
        <v>300- ServiceNow:320- Engineering</v>
      </c>
      <c r="Z153" s="11">
        <f>IF(ISBLANK($B153),"",MATCH($X153,COA!$B:$B,0))</f>
        <v>123</v>
      </c>
    </row>
    <row r="154" spans="2:26" ht="15.75" customHeight="1" x14ac:dyDescent="0.25">
      <c r="B154" s="14">
        <v>46233</v>
      </c>
      <c r="C154" s="15" t="s">
        <v>291</v>
      </c>
      <c r="D154" s="15"/>
      <c r="E154" s="15"/>
      <c r="F154" s="16">
        <v>23.28</v>
      </c>
      <c r="H154" s="10"/>
      <c r="I154" s="9" t="s">
        <v>36</v>
      </c>
      <c r="J154" s="9"/>
      <c r="K154" s="9"/>
      <c r="L154" s="9" t="s">
        <v>78</v>
      </c>
      <c r="M154" s="9"/>
      <c r="N154" s="17"/>
      <c r="O154" s="17" t="str">
        <f t="shared" si="16"/>
        <v>Anthony Nguyen</v>
      </c>
      <c r="P154" s="17">
        <f>IFERROR(_xlfn.XLOOKUP(O154,'Department Listing'!$O$1:$O$395,'Department Listing'!$A$1:$A$395),IFERROR(_xlfn.XLOOKUP(O154,'Name Aliases'!$A$2:$A$1000,'Name Aliases'!$B$2:$B$1000),""))</f>
        <v>285</v>
      </c>
      <c r="Q154" s="18">
        <f t="shared" si="17"/>
        <v>46233</v>
      </c>
      <c r="R154" s="17" t="str">
        <f t="shared" si="18"/>
        <v>Food Vendor</v>
      </c>
      <c r="S154" s="19">
        <f t="shared" si="19"/>
        <v>23.28</v>
      </c>
      <c r="T154" s="17" t="str">
        <f t="shared" si="20"/>
        <v>THAI BASIL RESTAURANT MASTERCARD-XXXXXXTTQVEV-Anthony Nguyen</v>
      </c>
      <c r="U154" s="17" t="str">
        <f t="shared" si="21"/>
        <v>Brex Credit Card</v>
      </c>
      <c r="V154" s="19" t="str">
        <f>IF(ISBLANK($B154),"",IF(ISBLANK($K154),IF(_xlfn.XLOOKUP($W154,'Category Mapping'!$C:$C,'Category Mapping'!$B:$B)="Travel",_xlfn.XLOOKUP($P154,'Department Listing'!$A:$A,'Department Listing'!$M:$M),_xlfn.XLOOKUP($W154,'Category Mapping'!$C:$C,'Category Mapping'!$D:$D)),$K154))</f>
        <v>Cost of Goods Sold:COGS- Travel Expenses:</v>
      </c>
      <c r="W154" s="19" t="str">
        <f t="shared" si="22"/>
        <v>Meals &amp; Entertainment</v>
      </c>
      <c r="X154" s="19" t="str">
        <f t="shared" si="23"/>
        <v>Cost of Goods Sold:COGS- Travel Expenses:Meals &amp; Entertainment</v>
      </c>
      <c r="Y154" s="20" t="str">
        <f>IF(ISBLANK($M154),IFERROR(_xlfn.XLOOKUP($P154,'Department Listing'!$A:$A,'Department Listing'!$L:$L),""),$M154)</f>
        <v>200- Datadog:220- Engineering</v>
      </c>
      <c r="Z154" s="11">
        <f>IF(ISBLANK($B154),"",MATCH($X154,COA!$B:$B,0))</f>
        <v>126</v>
      </c>
    </row>
    <row r="155" spans="2:26" ht="15.75" customHeight="1" x14ac:dyDescent="0.25">
      <c r="B155" s="14">
        <v>46232</v>
      </c>
      <c r="C155" s="15" t="s">
        <v>292</v>
      </c>
      <c r="E155" s="15" t="s">
        <v>76</v>
      </c>
      <c r="F155" s="16">
        <v>327.24</v>
      </c>
      <c r="H155" s="10"/>
      <c r="I155" s="9" t="s">
        <v>36</v>
      </c>
      <c r="J155" s="9"/>
      <c r="K155" s="9"/>
      <c r="L155" s="9" t="s">
        <v>78</v>
      </c>
      <c r="M155" s="9"/>
      <c r="N155" s="17"/>
      <c r="O155" s="17" t="str">
        <f t="shared" si="16"/>
        <v>Toni Manning</v>
      </c>
      <c r="P155" s="17">
        <f>IFERROR(_xlfn.XLOOKUP(O155,'Department Listing'!$O$1:$O$395,'Department Listing'!$A$1:$A$395),IFERROR(_xlfn.XLOOKUP(O155,'Name Aliases'!$A$2:$A$1000,'Name Aliases'!$B$2:$B$1000),""))</f>
        <v>121</v>
      </c>
      <c r="Q155" s="18">
        <f t="shared" si="17"/>
        <v>46232</v>
      </c>
      <c r="R155" s="17" t="str">
        <f t="shared" si="18"/>
        <v>Food Vendor</v>
      </c>
      <c r="S155" s="19">
        <f t="shared" si="19"/>
        <v>327.24</v>
      </c>
      <c r="T155" s="17" t="str">
        <f t="shared" si="20"/>
        <v>TST* LOLITA BACK BAY MASTERCARD-XXXXXXCUBPYP-Toni Manning</v>
      </c>
      <c r="U155" s="17" t="str">
        <f t="shared" si="21"/>
        <v>Brex Credit Card</v>
      </c>
      <c r="V155" s="19" t="str">
        <f>IF(ISBLANK($B155),"",IF(ISBLANK($K155),IF(_xlfn.XLOOKUP($W155,'Category Mapping'!$C:$C,'Category Mapping'!$B:$B)="Travel",_xlfn.XLOOKUP($P155,'Department Listing'!$A:$A,'Department Listing'!$M:$M),_xlfn.XLOOKUP($W155,'Category Mapping'!$C:$C,'Category Mapping'!$D:$D)),$K155))</f>
        <v>Sales &amp; Marketing:Sales &amp; Marketing- Travel Expenses:</v>
      </c>
      <c r="W155" s="19" t="str">
        <f t="shared" si="22"/>
        <v>Meals &amp; Entertainment</v>
      </c>
      <c r="X155" s="19" t="str">
        <f t="shared" si="23"/>
        <v>Sales &amp; Marketing:Sales &amp; Marketing- Travel Expenses:Meals &amp; Entertainment</v>
      </c>
      <c r="Y155" s="20" t="str">
        <f>IF(ISBLANK($M155),IFERROR(_xlfn.XLOOKUP($P155,'Department Listing'!$A:$A,'Department Listing'!$L:$L),""),$M155)</f>
        <v>100- Operations:120- Marketing</v>
      </c>
      <c r="Z155" s="11">
        <f>IF(ISBLANK($B155),"",MATCH($X155,COA!$B:$B,0))</f>
        <v>202</v>
      </c>
    </row>
    <row r="156" spans="2:26" ht="15.75" customHeight="1" x14ac:dyDescent="0.25">
      <c r="B156" s="14">
        <v>46233</v>
      </c>
      <c r="C156" s="15" t="s">
        <v>293</v>
      </c>
      <c r="D156" s="15"/>
      <c r="E156" s="15" t="s">
        <v>76</v>
      </c>
      <c r="F156" s="16">
        <v>73.19</v>
      </c>
      <c r="H156" s="10"/>
      <c r="I156" s="9" t="s">
        <v>294</v>
      </c>
      <c r="J156" s="9"/>
      <c r="K156" s="22"/>
      <c r="L156" s="22" t="s">
        <v>78</v>
      </c>
      <c r="M156" s="22"/>
      <c r="N156" s="17"/>
      <c r="O156" s="17" t="str">
        <f t="shared" si="16"/>
        <v>Kevin Ebert</v>
      </c>
      <c r="P156" s="17">
        <f>IFERROR(_xlfn.XLOOKUP(O156,'Department Listing'!$O$1:$O$395,'Department Listing'!$A$1:$A$395),IFERROR(_xlfn.XLOOKUP(O156,'Name Aliases'!$A$2:$A$1000,'Name Aliases'!$B$2:$B$1000),""))</f>
        <v>187</v>
      </c>
      <c r="Q156" s="18">
        <f t="shared" si="17"/>
        <v>46233</v>
      </c>
      <c r="R156" s="17" t="str">
        <f t="shared" si="18"/>
        <v>Cactus Club</v>
      </c>
      <c r="S156" s="19">
        <f t="shared" si="19"/>
        <v>73.19</v>
      </c>
      <c r="T156" s="17" t="str">
        <f t="shared" si="20"/>
        <v>CACTUS CLUB BACK BAY MASTERCARD-XXXXXXRXD3QO-Kevin Ebert</v>
      </c>
      <c r="U156" s="17" t="str">
        <f t="shared" si="21"/>
        <v>Brex Credit Card</v>
      </c>
      <c r="V156" s="19" t="str">
        <f>IF(ISBLANK($B156),"",IF(ISBLANK($K156),IF(_xlfn.XLOOKUP($W156,'Category Mapping'!$C:$C,'Category Mapping'!$B:$B)="Travel",_xlfn.XLOOKUP($P156,'Department Listing'!$A:$A,'Department Listing'!$M:$M),_xlfn.XLOOKUP($W156,'Category Mapping'!$C:$C,'Category Mapping'!$D:$D)),$K156))</f>
        <v>General &amp; Administrative:G&amp;A- Travel Expenses:</v>
      </c>
      <c r="W156" s="19" t="str">
        <f t="shared" si="22"/>
        <v>Meals &amp; Entertainment</v>
      </c>
      <c r="X156" s="19" t="str">
        <f t="shared" si="23"/>
        <v>General &amp; Administrative:G&amp;A- Travel Expenses:Meals &amp; Entertainment</v>
      </c>
      <c r="Y156" s="20" t="str">
        <f>IF(ISBLANK($M156),IFERROR(_xlfn.XLOOKUP($P156,'Department Listing'!$A:$A,'Department Listing'!$L:$L),""),$M156)</f>
        <v>100- Operations:110- G&amp;A</v>
      </c>
      <c r="Z156" s="11">
        <f>IF(ISBLANK($B156),"",MATCH($X156,COA!$B:$B,0))</f>
        <v>151</v>
      </c>
    </row>
    <row r="157" spans="2:26" ht="15.75" customHeight="1" x14ac:dyDescent="0.25">
      <c r="B157" s="14">
        <v>46232</v>
      </c>
      <c r="C157" s="15" t="s">
        <v>295</v>
      </c>
      <c r="E157" s="15" t="s">
        <v>76</v>
      </c>
      <c r="F157" s="16">
        <v>325.3</v>
      </c>
      <c r="H157" s="10"/>
      <c r="I157" s="9" t="s">
        <v>296</v>
      </c>
      <c r="J157" s="9"/>
      <c r="K157" s="9"/>
      <c r="L157" s="9" t="s">
        <v>78</v>
      </c>
      <c r="M157" s="9"/>
      <c r="N157" s="17"/>
      <c r="O157" s="17" t="str">
        <f t="shared" si="16"/>
        <v>Colin Galanaugh</v>
      </c>
      <c r="P157" s="17">
        <f>IFERROR(_xlfn.XLOOKUP(O157,'Department Listing'!$O$1:$O$395,'Department Listing'!$A$1:$A$395),IFERROR(_xlfn.XLOOKUP(O157,'Name Aliases'!$A$2:$A$1000,'Name Aliases'!$B$2:$B$1000),""))</f>
        <v>19</v>
      </c>
      <c r="Q157" s="18">
        <f t="shared" si="17"/>
        <v>46232</v>
      </c>
      <c r="R157" s="17" t="str">
        <f t="shared" si="18"/>
        <v>Parish Cafe</v>
      </c>
      <c r="S157" s="19">
        <f t="shared" si="19"/>
        <v>325.3</v>
      </c>
      <c r="T157" s="17" t="str">
        <f t="shared" si="20"/>
        <v>TST*PARISH CAFE MASTERCARD-XXXXXXOP94CE-Colin Galanaugh</v>
      </c>
      <c r="U157" s="17" t="str">
        <f t="shared" si="21"/>
        <v>Brex Credit Card</v>
      </c>
      <c r="V157" s="19" t="str">
        <f>IF(ISBLANK($B157),"",IF(ISBLANK($K157),IF(_xlfn.XLOOKUP($W157,'Category Mapping'!$C:$C,'Category Mapping'!$B:$B)="Travel",_xlfn.XLOOKUP($P157,'Department Listing'!$A:$A,'Department Listing'!$M:$M),_xlfn.XLOOKUP($W157,'Category Mapping'!$C:$C,'Category Mapping'!$D:$D)),$K157))</f>
        <v>Sales &amp; Marketing:Sales &amp; Marketing- Travel Expenses:</v>
      </c>
      <c r="W157" s="19" t="str">
        <f t="shared" si="22"/>
        <v>Meals &amp; Entertainment</v>
      </c>
      <c r="X157" s="19" t="str">
        <f t="shared" si="23"/>
        <v>Sales &amp; Marketing:Sales &amp; Marketing- Travel Expenses:Meals &amp; Entertainment</v>
      </c>
      <c r="Y157" s="20" t="str">
        <f>IF(ISBLANK($M157),IFERROR(_xlfn.XLOOKUP($P157,'Department Listing'!$A:$A,'Department Listing'!$L:$L),""),$M157)</f>
        <v>200- Datadog:230- Sales</v>
      </c>
      <c r="Z157" s="11">
        <f>IF(ISBLANK($B157),"",MATCH($X157,COA!$B:$B,0))</f>
        <v>202</v>
      </c>
    </row>
    <row r="158" spans="2:26" ht="15.75" customHeight="1" x14ac:dyDescent="0.25">
      <c r="B158" s="14">
        <v>46232</v>
      </c>
      <c r="C158" s="15" t="s">
        <v>297</v>
      </c>
      <c r="D158" s="15"/>
      <c r="E158" s="15" t="s">
        <v>64</v>
      </c>
      <c r="F158" s="16">
        <v>6.99</v>
      </c>
      <c r="H158" s="10"/>
      <c r="I158" s="9" t="s">
        <v>74</v>
      </c>
      <c r="J158" s="9"/>
      <c r="K158" s="9"/>
      <c r="L158" s="9" t="s">
        <v>66</v>
      </c>
      <c r="M158" s="9"/>
      <c r="N158" s="17"/>
      <c r="O158" s="17" t="str">
        <f t="shared" si="16"/>
        <v>Maile Call</v>
      </c>
      <c r="P158" s="17">
        <f>IFERROR(_xlfn.XLOOKUP(O158,'Department Listing'!$O$1:$O$395,'Department Listing'!$A$1:$A$395),IFERROR(_xlfn.XLOOKUP(O158,'Name Aliases'!$A$2:$A$1000,'Name Aliases'!$B$2:$B$1000),""))</f>
        <v>241</v>
      </c>
      <c r="Q158" s="18">
        <f t="shared" si="17"/>
        <v>46232</v>
      </c>
      <c r="R158" s="17" t="str">
        <f t="shared" si="18"/>
        <v>Uber</v>
      </c>
      <c r="S158" s="19">
        <f t="shared" si="19"/>
        <v>6.99</v>
      </c>
      <c r="T158" s="17" t="str">
        <f t="shared" si="20"/>
        <v>UBER   *TRIP MASTERCARD-XXXXXX7Z44ZM-Maile Call</v>
      </c>
      <c r="U158" s="17" t="str">
        <f t="shared" si="21"/>
        <v>Brex Credit Card</v>
      </c>
      <c r="V158" s="19" t="str">
        <f>IF(ISBLANK($B158),"",IF(ISBLANK($K158),IF(_xlfn.XLOOKUP($W158,'Category Mapping'!$C:$C,'Category Mapping'!$B:$B)="Travel",_xlfn.XLOOKUP($P158,'Department Listing'!$A:$A,'Department Listing'!$M:$M),_xlfn.XLOOKUP($W158,'Category Mapping'!$C:$C,'Category Mapping'!$D:$D)),$K158))</f>
        <v>Sales &amp; Marketing:Sales &amp; Marketing- Travel Expenses:</v>
      </c>
      <c r="W158" s="19" t="str">
        <f t="shared" si="22"/>
        <v>Ground Transportation</v>
      </c>
      <c r="X158" s="19" t="str">
        <f t="shared" si="23"/>
        <v>Sales &amp; Marketing:Sales &amp; Marketing- Travel Expenses:Ground Transportation</v>
      </c>
      <c r="Y158" s="20" t="str">
        <f>IF(ISBLANK($M158),IFERROR(_xlfn.XLOOKUP($P158,'Department Listing'!$A:$A,'Department Listing'!$L:$L),""),$M158)</f>
        <v>300- ServiceNow:330- Sales</v>
      </c>
      <c r="Z158" s="11">
        <f>IF(ISBLANK($B158),"",MATCH($X158,COA!$B:$B,0))</f>
        <v>200</v>
      </c>
    </row>
    <row r="159" spans="2:26" ht="15.75" customHeight="1" x14ac:dyDescent="0.25">
      <c r="B159" s="14">
        <v>46232</v>
      </c>
      <c r="C159" s="15" t="s">
        <v>298</v>
      </c>
      <c r="D159" s="15"/>
      <c r="E159" s="15"/>
      <c r="F159" s="16">
        <v>16.87</v>
      </c>
      <c r="H159" s="10"/>
      <c r="I159" s="9" t="s">
        <v>36</v>
      </c>
      <c r="J159" s="9"/>
      <c r="K159" s="9"/>
      <c r="L159" s="22" t="s">
        <v>78</v>
      </c>
      <c r="M159" s="9"/>
      <c r="N159" s="17"/>
      <c r="O159" s="17" t="str">
        <f t="shared" si="16"/>
        <v>Matt Hyman</v>
      </c>
      <c r="P159" s="17">
        <f>IFERROR(_xlfn.XLOOKUP(O159,'Department Listing'!$O$1:$O$395,'Department Listing'!$A$1:$A$395),IFERROR(_xlfn.XLOOKUP(O159,'Name Aliases'!$A$2:$A$1000,'Name Aliases'!$B$2:$B$1000),""))</f>
        <v>24</v>
      </c>
      <c r="Q159" s="18">
        <f t="shared" si="17"/>
        <v>46232</v>
      </c>
      <c r="R159" s="17" t="str">
        <f t="shared" si="18"/>
        <v>Food Vendor</v>
      </c>
      <c r="S159" s="19">
        <f t="shared" si="19"/>
        <v>16.87</v>
      </c>
      <c r="T159" s="17" t="str">
        <f t="shared" si="20"/>
        <v>SPO*FINAGLEABAGEL MASTERCARD-XXXXXXSBBL7P-Matt Hyman</v>
      </c>
      <c r="U159" s="17" t="str">
        <f t="shared" si="21"/>
        <v>Brex Credit Card</v>
      </c>
      <c r="V159" s="19" t="str">
        <f>IF(ISBLANK($B159),"",IF(ISBLANK($K159),IF(_xlfn.XLOOKUP($W159,'Category Mapping'!$C:$C,'Category Mapping'!$B:$B)="Travel",_xlfn.XLOOKUP($P159,'Department Listing'!$A:$A,'Department Listing'!$M:$M),_xlfn.XLOOKUP($W159,'Category Mapping'!$C:$C,'Category Mapping'!$D:$D)),$K159))</f>
        <v>Sales &amp; Marketing:Sales &amp; Marketing- Travel Expenses:</v>
      </c>
      <c r="W159" s="19" t="str">
        <f t="shared" si="22"/>
        <v>Meals &amp; Entertainment</v>
      </c>
      <c r="X159" s="19" t="str">
        <f t="shared" si="23"/>
        <v>Sales &amp; Marketing:Sales &amp; Marketing- Travel Expenses:Meals &amp; Entertainment</v>
      </c>
      <c r="Y159" s="20" t="str">
        <f>IF(ISBLANK($M159),IFERROR(_xlfn.XLOOKUP($P159,'Department Listing'!$A:$A,'Department Listing'!$L:$L),""),$M159)</f>
        <v>300- ServiceNow:330- Sales</v>
      </c>
      <c r="Z159" s="11">
        <f>IF(ISBLANK($B159),"",MATCH($X159,COA!$B:$B,0))</f>
        <v>202</v>
      </c>
    </row>
    <row r="160" spans="2:26" ht="15.75" customHeight="1" x14ac:dyDescent="0.25">
      <c r="B160" s="14">
        <v>46232</v>
      </c>
      <c r="C160" s="15" t="s">
        <v>299</v>
      </c>
      <c r="D160" s="15"/>
      <c r="E160" s="15" t="s">
        <v>76</v>
      </c>
      <c r="F160" s="16">
        <v>31.68</v>
      </c>
      <c r="H160" s="10"/>
      <c r="I160" s="9" t="s">
        <v>157</v>
      </c>
      <c r="J160" s="9"/>
      <c r="K160" s="9"/>
      <c r="L160" s="9" t="s">
        <v>78</v>
      </c>
      <c r="M160" s="9"/>
      <c r="N160" s="17"/>
      <c r="O160" s="17" t="str">
        <f t="shared" si="16"/>
        <v>Brian McGonigal</v>
      </c>
      <c r="P160" s="17">
        <f>IFERROR(_xlfn.XLOOKUP(O160,'Department Listing'!$O$1:$O$395,'Department Listing'!$A$1:$A$395),IFERROR(_xlfn.XLOOKUP(O160,'Name Aliases'!$A$2:$A$1000,'Name Aliases'!$B$2:$B$1000),""))</f>
        <v>269</v>
      </c>
      <c r="Q160" s="18">
        <f t="shared" si="17"/>
        <v>46232</v>
      </c>
      <c r="R160" s="17" t="str">
        <f t="shared" si="18"/>
        <v>Dig Inn</v>
      </c>
      <c r="S160" s="19">
        <f t="shared" si="19"/>
        <v>31.68</v>
      </c>
      <c r="T160" s="17" t="str">
        <f t="shared" si="20"/>
        <v>TST* DIG INN - BACK BA MASTERCARD-XXXXXXM24VLJ-Brian McGonigal</v>
      </c>
      <c r="U160" s="17" t="str">
        <f t="shared" si="21"/>
        <v>Brex Credit Card</v>
      </c>
      <c r="V160" s="19" t="str">
        <f>IF(ISBLANK($B160),"",IF(ISBLANK($K160),IF(_xlfn.XLOOKUP($W160,'Category Mapping'!$C:$C,'Category Mapping'!$B:$B)="Travel",_xlfn.XLOOKUP($P160,'Department Listing'!$A:$A,'Department Listing'!$M:$M),_xlfn.XLOOKUP($W160,'Category Mapping'!$C:$C,'Category Mapping'!$D:$D)),$K160))</f>
        <v>Sales &amp; Marketing:Sales &amp; Marketing- Travel Expenses:</v>
      </c>
      <c r="W160" s="19" t="str">
        <f t="shared" si="22"/>
        <v>Meals &amp; Entertainment</v>
      </c>
      <c r="X160" s="19" t="str">
        <f t="shared" si="23"/>
        <v>Sales &amp; Marketing:Sales &amp; Marketing- Travel Expenses:Meals &amp; Entertainment</v>
      </c>
      <c r="Y160" s="20" t="str">
        <f>IF(ISBLANK($M160),IFERROR(_xlfn.XLOOKUP($P160,'Department Listing'!$A:$A,'Department Listing'!$L:$L),""),$M160)</f>
        <v>300- ServiceNow:330- Sales</v>
      </c>
      <c r="Z160" s="11">
        <f>IF(ISBLANK($B160),"",MATCH($X160,COA!$B:$B,0))</f>
        <v>202</v>
      </c>
    </row>
    <row r="161" spans="2:26" ht="15.75" customHeight="1" x14ac:dyDescent="0.25">
      <c r="B161" s="14">
        <v>46232</v>
      </c>
      <c r="C161" s="15" t="s">
        <v>300</v>
      </c>
      <c r="D161" s="15"/>
      <c r="E161" s="15" t="s">
        <v>76</v>
      </c>
      <c r="F161" s="16">
        <v>15.18</v>
      </c>
      <c r="H161" s="10"/>
      <c r="I161" s="9" t="s">
        <v>36</v>
      </c>
      <c r="J161" s="9"/>
      <c r="K161" s="22"/>
      <c r="L161" s="9" t="s">
        <v>78</v>
      </c>
      <c r="M161" s="22"/>
      <c r="N161" s="17"/>
      <c r="O161" s="17" t="str">
        <f t="shared" si="16"/>
        <v>Frederick Simpson</v>
      </c>
      <c r="P161" s="17">
        <f>IFERROR(_xlfn.XLOOKUP(O161,'Department Listing'!$O$1:$O$395,'Department Listing'!$A$1:$A$395),IFERROR(_xlfn.XLOOKUP(O161,'Name Aliases'!$A$2:$A$1000,'Name Aliases'!$B$2:$B$1000),""))</f>
        <v>177</v>
      </c>
      <c r="Q161" s="18">
        <f t="shared" si="17"/>
        <v>46232</v>
      </c>
      <c r="R161" s="17" t="str">
        <f t="shared" si="18"/>
        <v>Food Vendor</v>
      </c>
      <c r="S161" s="19">
        <f t="shared" si="19"/>
        <v>15.18</v>
      </c>
      <c r="T161" s="17" t="str">
        <f t="shared" si="20"/>
        <v>TST* NAYA - 500 BOYLST MASTERCARD-XXXXXXJ4L8NA-Frederick Simpson</v>
      </c>
      <c r="U161" s="17" t="str">
        <f t="shared" si="21"/>
        <v>Brex Credit Card</v>
      </c>
      <c r="V161" s="19" t="str">
        <f>IF(ISBLANK($B161),"",IF(ISBLANK($K161),IF(_xlfn.XLOOKUP($W161,'Category Mapping'!$C:$C,'Category Mapping'!$B:$B)="Travel",_xlfn.XLOOKUP($P161,'Department Listing'!$A:$A,'Department Listing'!$M:$M),_xlfn.XLOOKUP($W161,'Category Mapping'!$C:$C,'Category Mapping'!$D:$D)),$K161))</f>
        <v>General &amp; Administrative:G&amp;A- Travel Expenses:</v>
      </c>
      <c r="W161" s="19" t="str">
        <f t="shared" si="22"/>
        <v>Meals &amp; Entertainment</v>
      </c>
      <c r="X161" s="19" t="str">
        <f t="shared" si="23"/>
        <v>General &amp; Administrative:G&amp;A- Travel Expenses:Meals &amp; Entertainment</v>
      </c>
      <c r="Y161" s="20" t="str">
        <f>IF(ISBLANK($M161),IFERROR(_xlfn.XLOOKUP($P161,'Department Listing'!$A:$A,'Department Listing'!$L:$L),""),$M161)</f>
        <v>100- Operations:110- G&amp;A</v>
      </c>
      <c r="Z161" s="11">
        <f>IF(ISBLANK($B161),"",MATCH($X161,COA!$B:$B,0))</f>
        <v>151</v>
      </c>
    </row>
    <row r="162" spans="2:26" ht="15.75" customHeight="1" x14ac:dyDescent="0.25">
      <c r="B162" s="14">
        <v>46232</v>
      </c>
      <c r="C162" s="15" t="s">
        <v>301</v>
      </c>
      <c r="E162" s="15" t="s">
        <v>76</v>
      </c>
      <c r="F162" s="16">
        <v>27.13</v>
      </c>
      <c r="H162" s="10"/>
      <c r="I162" s="9" t="s">
        <v>194</v>
      </c>
      <c r="J162" s="9"/>
      <c r="K162" s="22"/>
      <c r="L162" s="9" t="s">
        <v>78</v>
      </c>
      <c r="M162" s="9"/>
      <c r="N162" s="17"/>
      <c r="O162" s="17" t="str">
        <f t="shared" si="16"/>
        <v>Ben Savage</v>
      </c>
      <c r="P162" s="17">
        <f>IFERROR(_xlfn.XLOOKUP(O162,'Department Listing'!$O$1:$O$395,'Department Listing'!$A$1:$A$395),IFERROR(_xlfn.XLOOKUP(O162,'Name Aliases'!$A$2:$A$1000,'Name Aliases'!$B$2:$B$1000),""))</f>
        <v>71</v>
      </c>
      <c r="Q162" s="18">
        <f t="shared" si="17"/>
        <v>46232</v>
      </c>
      <c r="R162" s="17" t="str">
        <f t="shared" si="18"/>
        <v>Thinking Cup</v>
      </c>
      <c r="S162" s="19">
        <f t="shared" si="19"/>
        <v>27.13</v>
      </c>
      <c r="T162" s="17" t="str">
        <f t="shared" si="20"/>
        <v>SQ *THINKING CUP NEWBU MASTERCARD-XXXXXXFHIOXK-Ben Savage</v>
      </c>
      <c r="U162" s="17" t="str">
        <f t="shared" si="21"/>
        <v>Brex Credit Card</v>
      </c>
      <c r="V162" s="19" t="str">
        <f>IF(ISBLANK($B162),"",IF(ISBLANK($K162),IF(_xlfn.XLOOKUP($W162,'Category Mapping'!$C:$C,'Category Mapping'!$B:$B)="Travel",_xlfn.XLOOKUP($P162,'Department Listing'!$A:$A,'Department Listing'!$M:$M),_xlfn.XLOOKUP($W162,'Category Mapping'!$C:$C,'Category Mapping'!$D:$D)),$K162))</f>
        <v>Cost of Goods Sold:COGS- Travel Expenses:</v>
      </c>
      <c r="W162" s="19" t="str">
        <f t="shared" si="22"/>
        <v>Meals &amp; Entertainment</v>
      </c>
      <c r="X162" s="19" t="str">
        <f t="shared" si="23"/>
        <v>Cost of Goods Sold:COGS- Travel Expenses:Meals &amp; Entertainment</v>
      </c>
      <c r="Y162" s="20" t="str">
        <f>IF(ISBLANK($M162),IFERROR(_xlfn.XLOOKUP($P162,'Department Listing'!$A:$A,'Department Listing'!$L:$L),""),$M162)</f>
        <v>300- ServiceNow:320- Engineering</v>
      </c>
      <c r="Z162" s="11">
        <f>IF(ISBLANK($B162),"",MATCH($X162,COA!$B:$B,0))</f>
        <v>126</v>
      </c>
    </row>
    <row r="163" spans="2:26" ht="15.75" customHeight="1" x14ac:dyDescent="0.25">
      <c r="B163" s="14">
        <v>46232</v>
      </c>
      <c r="C163" s="15" t="s">
        <v>302</v>
      </c>
      <c r="E163" s="15" t="s">
        <v>76</v>
      </c>
      <c r="F163" s="16">
        <v>14.93</v>
      </c>
      <c r="H163" s="10"/>
      <c r="I163" s="9" t="s">
        <v>303</v>
      </c>
      <c r="J163" s="9"/>
      <c r="K163" s="22"/>
      <c r="L163" s="9" t="s">
        <v>78</v>
      </c>
      <c r="M163" s="9"/>
      <c r="N163" s="17"/>
      <c r="O163" s="17" t="str">
        <f t="shared" si="16"/>
        <v>Vincent Planz</v>
      </c>
      <c r="P163" s="17">
        <f>IFERROR(_xlfn.XLOOKUP(O163,'Department Listing'!$O$1:$O$395,'Department Listing'!$A$1:$A$395),IFERROR(_xlfn.XLOOKUP(O163,'Name Aliases'!$A$2:$A$1000,'Name Aliases'!$B$2:$B$1000),""))</f>
        <v>107</v>
      </c>
      <c r="Q163" s="18">
        <f t="shared" si="17"/>
        <v>46232</v>
      </c>
      <c r="R163" s="17" t="str">
        <f t="shared" si="18"/>
        <v>Sweetgreen</v>
      </c>
      <c r="S163" s="19">
        <f t="shared" si="19"/>
        <v>14.93</v>
      </c>
      <c r="T163" s="17" t="str">
        <f t="shared" si="20"/>
        <v>WWW.SWEETGREEN.COM MASTERCARD-XXXXXXXPSP0V-Vincent Planz</v>
      </c>
      <c r="U163" s="17" t="str">
        <f t="shared" si="21"/>
        <v>Brex Credit Card</v>
      </c>
      <c r="V163" s="19" t="str">
        <f>IF(ISBLANK($B163),"",IF(ISBLANK($K163),IF(_xlfn.XLOOKUP($W163,'Category Mapping'!$C:$C,'Category Mapping'!$B:$B)="Travel",_xlfn.XLOOKUP($P163,'Department Listing'!$A:$A,'Department Listing'!$M:$M),_xlfn.XLOOKUP($W163,'Category Mapping'!$C:$C,'Category Mapping'!$D:$D)),$K163))</f>
        <v>General &amp; Administrative:G&amp;A- Travel Expenses:</v>
      </c>
      <c r="W163" s="19" t="str">
        <f t="shared" si="22"/>
        <v>Meals &amp; Entertainment</v>
      </c>
      <c r="X163" s="19" t="str">
        <f t="shared" si="23"/>
        <v>General &amp; Administrative:G&amp;A- Travel Expenses:Meals &amp; Entertainment</v>
      </c>
      <c r="Y163" s="20" t="str">
        <f>IF(ISBLANK($M163),IFERROR(_xlfn.XLOOKUP($P163,'Department Listing'!$A:$A,'Department Listing'!$L:$L),""),$M163)</f>
        <v>100- Operations:110- G&amp;A</v>
      </c>
      <c r="Z163" s="11">
        <f>IF(ISBLANK($B163),"",MATCH($X163,COA!$B:$B,0))</f>
        <v>151</v>
      </c>
    </row>
    <row r="164" spans="2:26" ht="15.75" customHeight="1" x14ac:dyDescent="0.25">
      <c r="B164" s="14">
        <v>46232</v>
      </c>
      <c r="C164" s="15" t="s">
        <v>304</v>
      </c>
      <c r="D164" s="15"/>
      <c r="E164" s="15" t="s">
        <v>69</v>
      </c>
      <c r="F164" s="16">
        <v>15.93</v>
      </c>
      <c r="H164" s="10"/>
      <c r="I164" s="9" t="s">
        <v>305</v>
      </c>
      <c r="J164" s="9"/>
      <c r="K164" s="22"/>
      <c r="L164" s="9" t="s">
        <v>71</v>
      </c>
      <c r="M164" s="9"/>
      <c r="N164" s="17"/>
      <c r="O164" s="17" t="str">
        <f t="shared" si="16"/>
        <v>Vincent Planz</v>
      </c>
      <c r="P164" s="17">
        <f>IFERROR(_xlfn.XLOOKUP(O164,'Department Listing'!$O$1:$O$395,'Department Listing'!$A$1:$A$395),IFERROR(_xlfn.XLOOKUP(O164,'Name Aliases'!$A$2:$A$1000,'Name Aliases'!$B$2:$B$1000),""))</f>
        <v>107</v>
      </c>
      <c r="Q164" s="18">
        <f t="shared" si="17"/>
        <v>46232</v>
      </c>
      <c r="R164" s="17" t="str">
        <f t="shared" si="18"/>
        <v>Adobe</v>
      </c>
      <c r="S164" s="19">
        <f t="shared" si="19"/>
        <v>15.93</v>
      </c>
      <c r="T164" s="17" t="str">
        <f t="shared" si="20"/>
        <v>Adobe MASTERCARD-XXXXXXXRB6TN-Vincent Planz</v>
      </c>
      <c r="U164" s="17" t="str">
        <f t="shared" si="21"/>
        <v>Brex Credit Card</v>
      </c>
      <c r="V164" s="19" t="str">
        <f>IF(ISBLANK($B164),"",IF(ISBLANK($K164),IF(_xlfn.XLOOKUP($W164,'Category Mapping'!$C:$C,'Category Mapping'!$B:$B)="Travel",_xlfn.XLOOKUP($P164,'Department Listing'!$A:$A,'Department Listing'!$M:$M),_xlfn.XLOOKUP($W164,'Category Mapping'!$C:$C,'Category Mapping'!$D:$D)),$K164))</f>
        <v>General &amp; Administrative:</v>
      </c>
      <c r="W164" s="19" t="str">
        <f t="shared" si="22"/>
        <v>Software Licenses</v>
      </c>
      <c r="X164" s="19" t="str">
        <f t="shared" si="23"/>
        <v>General &amp; Administrative:Software Licenses</v>
      </c>
      <c r="Y164" s="20" t="str">
        <f>IF(ISBLANK($M164),IFERROR(_xlfn.XLOOKUP($P164,'Department Listing'!$A:$A,'Department Listing'!$L:$L),""),$M164)</f>
        <v>100- Operations:110- G&amp;A</v>
      </c>
      <c r="Z164" s="11">
        <f>IF(ISBLANK($B164),"",MATCH($X164,COA!$B:$B,0))</f>
        <v>170</v>
      </c>
    </row>
    <row r="165" spans="2:26" ht="15.75" customHeight="1" x14ac:dyDescent="0.25">
      <c r="B165" s="14">
        <v>46232</v>
      </c>
      <c r="C165" s="15" t="s">
        <v>306</v>
      </c>
      <c r="D165" s="15"/>
      <c r="E165" s="15" t="s">
        <v>64</v>
      </c>
      <c r="F165" s="16">
        <v>35.96</v>
      </c>
      <c r="H165" s="10"/>
      <c r="I165" s="9" t="s">
        <v>74</v>
      </c>
      <c r="J165" s="9"/>
      <c r="K165" s="22"/>
      <c r="L165" s="9" t="s">
        <v>66</v>
      </c>
      <c r="M165" s="9"/>
      <c r="N165" s="17"/>
      <c r="O165" s="17" t="str">
        <f t="shared" si="16"/>
        <v>Lyndsey Cohen</v>
      </c>
      <c r="P165" s="17">
        <f>IFERROR(_xlfn.XLOOKUP(O165,'Department Listing'!$O$1:$O$395,'Department Listing'!$A$1:$A$395),IFERROR(_xlfn.XLOOKUP(O165,'Name Aliases'!$A$2:$A$1000,'Name Aliases'!$B$2:$B$1000),""))</f>
        <v>27</v>
      </c>
      <c r="Q165" s="18">
        <f t="shared" si="17"/>
        <v>46232</v>
      </c>
      <c r="R165" s="17" t="str">
        <f t="shared" si="18"/>
        <v>Uber</v>
      </c>
      <c r="S165" s="19">
        <f t="shared" si="19"/>
        <v>35.96</v>
      </c>
      <c r="T165" s="17" t="str">
        <f t="shared" si="20"/>
        <v>UBER   *TRIP MASTERCARD-XXXXXXSA8BTN-Lyndsey Cohen</v>
      </c>
      <c r="U165" s="17" t="str">
        <f t="shared" si="21"/>
        <v>Brex Credit Card</v>
      </c>
      <c r="V165" s="19" t="str">
        <f>IF(ISBLANK($B165),"",IF(ISBLANK($K165),IF(_xlfn.XLOOKUP($W165,'Category Mapping'!$C:$C,'Category Mapping'!$B:$B)="Travel",_xlfn.XLOOKUP($P165,'Department Listing'!$A:$A,'Department Listing'!$M:$M),_xlfn.XLOOKUP($W165,'Category Mapping'!$C:$C,'Category Mapping'!$D:$D)),$K165))</f>
        <v>Cost of Goods Sold:COGS- Travel Expenses:</v>
      </c>
      <c r="W165" s="19" t="str">
        <f t="shared" si="22"/>
        <v>Ground Transportation</v>
      </c>
      <c r="X165" s="19" t="str">
        <f t="shared" si="23"/>
        <v>Cost of Goods Sold:COGS- Travel Expenses:Ground Transportation</v>
      </c>
      <c r="Y165" s="20" t="str">
        <f>IF(ISBLANK($M165),IFERROR(_xlfn.XLOOKUP($P165,'Department Listing'!$A:$A,'Department Listing'!$L:$L),""),$M165)</f>
        <v>300- ServiceNow:320- Engineering</v>
      </c>
      <c r="Z165" s="11">
        <f>IF(ISBLANK($B165),"",MATCH($X165,COA!$B:$B,0))</f>
        <v>124</v>
      </c>
    </row>
    <row r="166" spans="2:26" ht="15.75" customHeight="1" x14ac:dyDescent="0.25">
      <c r="B166" s="14">
        <v>46232</v>
      </c>
      <c r="C166" s="15" t="s">
        <v>308</v>
      </c>
      <c r="E166" s="15" t="s">
        <v>76</v>
      </c>
      <c r="F166" s="16">
        <v>38.47</v>
      </c>
      <c r="H166" s="10"/>
      <c r="I166" s="9" t="s">
        <v>246</v>
      </c>
      <c r="J166" s="9"/>
      <c r="K166" s="9"/>
      <c r="L166" s="9" t="s">
        <v>78</v>
      </c>
      <c r="M166" s="9"/>
      <c r="N166" s="17"/>
      <c r="O166" s="17" t="str">
        <f t="shared" si="16"/>
        <v>Israel Baral</v>
      </c>
      <c r="P166" s="17">
        <f>IFERROR(_xlfn.XLOOKUP(O166,'Department Listing'!$O$1:$O$395,'Department Listing'!$A$1:$A$395),IFERROR(_xlfn.XLOOKUP(O166,'Name Aliases'!$A$2:$A$1000,'Name Aliases'!$B$2:$B$1000),""))</f>
        <v>215</v>
      </c>
      <c r="Q166" s="18">
        <f t="shared" si="17"/>
        <v>46232</v>
      </c>
      <c r="R166" s="17" t="str">
        <f t="shared" si="18"/>
        <v>Door Dash</v>
      </c>
      <c r="S166" s="19">
        <f t="shared" si="19"/>
        <v>38.47</v>
      </c>
      <c r="T166" s="17" t="str">
        <f t="shared" si="20"/>
        <v>DD *DOORDASH VEGGIECRU MASTERCARD-XXXXXXILBFDN-Israel Baral</v>
      </c>
      <c r="U166" s="17" t="str">
        <f t="shared" si="21"/>
        <v>Brex Credit Card</v>
      </c>
      <c r="V166" s="19" t="str">
        <f>IF(ISBLANK($B166),"",IF(ISBLANK($K166),IF(_xlfn.XLOOKUP($W166,'Category Mapping'!$C:$C,'Category Mapping'!$B:$B)="Travel",_xlfn.XLOOKUP($P166,'Department Listing'!$A:$A,'Department Listing'!$M:$M),_xlfn.XLOOKUP($W166,'Category Mapping'!$C:$C,'Category Mapping'!$D:$D)),$K166))</f>
        <v>Cost of Goods Sold:COGS- Travel Expenses:</v>
      </c>
      <c r="W166" s="19" t="str">
        <f t="shared" si="22"/>
        <v>Meals &amp; Entertainment</v>
      </c>
      <c r="X166" s="19" t="str">
        <f t="shared" si="23"/>
        <v>Cost of Goods Sold:COGS- Travel Expenses:Meals &amp; Entertainment</v>
      </c>
      <c r="Y166" s="20" t="str">
        <f>IF(ISBLANK($M166),IFERROR(_xlfn.XLOOKUP($P166,'Department Listing'!$A:$A,'Department Listing'!$L:$L),""),$M166)</f>
        <v>300- ServiceNow:320- Engineering</v>
      </c>
      <c r="Z166" s="11">
        <f>IF(ISBLANK($B166),"",MATCH($X166,COA!$B:$B,0))</f>
        <v>126</v>
      </c>
    </row>
    <row r="167" spans="2:26" ht="15.75" customHeight="1" x14ac:dyDescent="0.25">
      <c r="B167" s="14">
        <v>46232</v>
      </c>
      <c r="C167" s="15" t="s">
        <v>309</v>
      </c>
      <c r="D167" s="15"/>
      <c r="E167" s="15" t="s">
        <v>64</v>
      </c>
      <c r="F167" s="16">
        <v>28.99</v>
      </c>
      <c r="H167" s="10"/>
      <c r="I167" s="9" t="s">
        <v>74</v>
      </c>
      <c r="J167" s="9"/>
      <c r="K167" s="9"/>
      <c r="L167" s="9" t="s">
        <v>66</v>
      </c>
      <c r="M167" s="9"/>
      <c r="N167" s="17"/>
      <c r="O167" s="17" t="str">
        <f t="shared" si="16"/>
        <v>Ryan Henrich</v>
      </c>
      <c r="P167" s="17">
        <f>IFERROR(_xlfn.XLOOKUP(O167,'Department Listing'!$O$1:$O$395,'Department Listing'!$A$1:$A$395),IFERROR(_xlfn.XLOOKUP(O167,'Name Aliases'!$A$2:$A$1000,'Name Aliases'!$B$2:$B$1000),""))</f>
        <v>154</v>
      </c>
      <c r="Q167" s="18">
        <f t="shared" si="17"/>
        <v>46232</v>
      </c>
      <c r="R167" s="17" t="str">
        <f t="shared" si="18"/>
        <v>Uber</v>
      </c>
      <c r="S167" s="19">
        <f t="shared" si="19"/>
        <v>28.99</v>
      </c>
      <c r="T167" s="17" t="str">
        <f t="shared" si="20"/>
        <v>UBER   *TRIP MASTERCARD-XXXXXXYULQV5-Ryan Henrich</v>
      </c>
      <c r="U167" s="17" t="str">
        <f t="shared" si="21"/>
        <v>Brex Credit Card</v>
      </c>
      <c r="V167" s="19" t="str">
        <f>IF(ISBLANK($B167),"",IF(ISBLANK($K167),IF(_xlfn.XLOOKUP($W167,'Category Mapping'!$C:$C,'Category Mapping'!$B:$B)="Travel",_xlfn.XLOOKUP($P167,'Department Listing'!$A:$A,'Department Listing'!$M:$M),_xlfn.XLOOKUP($W167,'Category Mapping'!$C:$C,'Category Mapping'!$D:$D)),$K167))</f>
        <v>Sales &amp; Marketing:Sales &amp; Marketing- Travel Expenses:</v>
      </c>
      <c r="W167" s="19" t="str">
        <f t="shared" si="22"/>
        <v>Ground Transportation</v>
      </c>
      <c r="X167" s="19" t="str">
        <f t="shared" si="23"/>
        <v>Sales &amp; Marketing:Sales &amp; Marketing- Travel Expenses:Ground Transportation</v>
      </c>
      <c r="Y167" s="20" t="str">
        <f>IF(ISBLANK($M167),IFERROR(_xlfn.XLOOKUP($P167,'Department Listing'!$A:$A,'Department Listing'!$L:$L),""),$M167)</f>
        <v>200- Datadog:230- Sales</v>
      </c>
      <c r="Z167" s="11">
        <f>IF(ISBLANK($B167),"",MATCH($X167,COA!$B:$B,0))</f>
        <v>200</v>
      </c>
    </row>
    <row r="168" spans="2:26" ht="15.75" customHeight="1" x14ac:dyDescent="0.25">
      <c r="B168" s="14">
        <v>46233</v>
      </c>
      <c r="C168" s="15" t="s">
        <v>310</v>
      </c>
      <c r="D168" s="15"/>
      <c r="E168" s="15" t="s">
        <v>76</v>
      </c>
      <c r="F168" s="16">
        <v>6.83</v>
      </c>
      <c r="H168" s="10"/>
      <c r="I168" s="9" t="s">
        <v>287</v>
      </c>
      <c r="J168" s="9"/>
      <c r="K168" s="9"/>
      <c r="L168" s="9" t="s">
        <v>78</v>
      </c>
      <c r="M168" s="9"/>
      <c r="N168" s="17"/>
      <c r="O168" s="17" t="str">
        <f t="shared" si="16"/>
        <v>Jared Kennedy</v>
      </c>
      <c r="P168" s="17">
        <f>IFERROR(_xlfn.XLOOKUP(O168,'Department Listing'!$O$1:$O$395,'Department Listing'!$A$1:$A$395),IFERROR(_xlfn.XLOOKUP(O168,'Name Aliases'!$A$2:$A$1000,'Name Aliases'!$B$2:$B$1000),""))</f>
        <v>289</v>
      </c>
      <c r="Q168" s="18">
        <f t="shared" si="17"/>
        <v>46233</v>
      </c>
      <c r="R168" s="17" t="str">
        <f t="shared" si="18"/>
        <v>Starbucks</v>
      </c>
      <c r="S168" s="19">
        <f t="shared" si="19"/>
        <v>6.83</v>
      </c>
      <c r="T168" s="17" t="str">
        <f t="shared" si="20"/>
        <v>STARBUCKS STORE 80448 MASTERCARD-XXXXXXYHZ03J-Jared Kennedy</v>
      </c>
      <c r="U168" s="17" t="str">
        <f t="shared" si="21"/>
        <v>Brex Credit Card</v>
      </c>
      <c r="V168" s="19" t="str">
        <f>IF(ISBLANK($B168),"",IF(ISBLANK($K168),IF(_xlfn.XLOOKUP($W168,'Category Mapping'!$C:$C,'Category Mapping'!$B:$B)="Travel",_xlfn.XLOOKUP($P168,'Department Listing'!$A:$A,'Department Listing'!$M:$M),_xlfn.XLOOKUP($W168,'Category Mapping'!$C:$C,'Category Mapping'!$D:$D)),$K168))</f>
        <v>Sales &amp; Marketing:Sales &amp; Marketing- Travel Expenses:</v>
      </c>
      <c r="W168" s="19" t="str">
        <f t="shared" si="22"/>
        <v>Meals &amp; Entertainment</v>
      </c>
      <c r="X168" s="19" t="str">
        <f t="shared" si="23"/>
        <v>Sales &amp; Marketing:Sales &amp; Marketing- Travel Expenses:Meals &amp; Entertainment</v>
      </c>
      <c r="Y168" s="20" t="str">
        <f>IF(ISBLANK($M168),IFERROR(_xlfn.XLOOKUP($P168,'Department Listing'!$A:$A,'Department Listing'!$L:$L),""),$M168)</f>
        <v>200- Datadog:230- Sales</v>
      </c>
      <c r="Z168" s="11">
        <f>IF(ISBLANK($B168),"",MATCH($X168,COA!$B:$B,0))</f>
        <v>202</v>
      </c>
    </row>
    <row r="169" spans="2:26" ht="15.75" customHeight="1" x14ac:dyDescent="0.25">
      <c r="B169" s="14">
        <v>46232</v>
      </c>
      <c r="C169" t="s">
        <v>311</v>
      </c>
      <c r="E169" s="23" t="s">
        <v>201</v>
      </c>
      <c r="F169" s="16">
        <v>192</v>
      </c>
      <c r="H169" s="10"/>
      <c r="I169" s="9" t="s">
        <v>312</v>
      </c>
      <c r="J169" s="9"/>
      <c r="K169" s="22"/>
      <c r="L169" s="9" t="s">
        <v>127</v>
      </c>
      <c r="M169" s="22"/>
      <c r="N169" s="17"/>
      <c r="O169" s="17" t="str">
        <f t="shared" si="16"/>
        <v>Mickenzi Krpec</v>
      </c>
      <c r="P169" s="17">
        <f>IFERROR(_xlfn.XLOOKUP(O169,'Department Listing'!$O$1:$O$395,'Department Listing'!$A$1:$A$395),IFERROR(_xlfn.XLOOKUP(O169,'Name Aliases'!$A$2:$A$1000,'Name Aliases'!$B$2:$B$1000),""))</f>
        <v>170</v>
      </c>
      <c r="Q169" s="18">
        <f t="shared" si="17"/>
        <v>46232</v>
      </c>
      <c r="R169" s="17" t="str">
        <f t="shared" si="18"/>
        <v>Amazon</v>
      </c>
      <c r="S169" s="19">
        <f t="shared" si="19"/>
        <v>192</v>
      </c>
      <c r="T169" s="17" t="str">
        <f t="shared" si="20"/>
        <v>Amazon.com*Q50XE0ZM3 MASTERCARD-XXXXXX9E9R7Y-Mickenzi Krpec</v>
      </c>
      <c r="U169" s="17" t="str">
        <f t="shared" si="21"/>
        <v>Brex Credit Card</v>
      </c>
      <c r="V169" s="19" t="str">
        <f>IF(ISBLANK($B169),"",IF(ISBLANK($K169),IF(_xlfn.XLOOKUP($W169,'Category Mapping'!$C:$C,'Category Mapping'!$B:$B)="Travel",_xlfn.XLOOKUP($P169,'Department Listing'!$A:$A,'Department Listing'!$M:$M),_xlfn.XLOOKUP($W169,'Category Mapping'!$C:$C,'Category Mapping'!$D:$D)),$K169))</f>
        <v>General &amp; Administrative:Office Expenses:</v>
      </c>
      <c r="W169" s="19" t="str">
        <f t="shared" si="22"/>
        <v>Office Supplies</v>
      </c>
      <c r="X169" s="19" t="str">
        <f t="shared" si="23"/>
        <v>General &amp; Administrative:Office Expenses:Office Supplies</v>
      </c>
      <c r="Y169" s="20" t="str">
        <f>IF(ISBLANK($M169),IFERROR(_xlfn.XLOOKUP($P169,'Department Listing'!$A:$A,'Department Listing'!$L:$L),""),$M169)</f>
        <v>100- Operations:110- G&amp;A</v>
      </c>
      <c r="Z169" s="11">
        <f>IF(ISBLANK($B169),"",MATCH($X169,COA!$B:$B,0))</f>
        <v>161</v>
      </c>
    </row>
    <row r="170" spans="2:26" ht="15.75" customHeight="1" x14ac:dyDescent="0.25">
      <c r="B170" s="14">
        <v>46232</v>
      </c>
      <c r="C170" t="s">
        <v>313</v>
      </c>
      <c r="E170" s="23" t="s">
        <v>201</v>
      </c>
      <c r="F170" s="16">
        <v>10</v>
      </c>
      <c r="H170" s="10"/>
      <c r="I170" s="9" t="s">
        <v>202</v>
      </c>
      <c r="J170" s="9"/>
      <c r="K170" s="9"/>
      <c r="L170" s="9" t="s">
        <v>127</v>
      </c>
      <c r="M170" s="9"/>
      <c r="N170" s="17"/>
      <c r="O170" s="17" t="str">
        <f t="shared" si="16"/>
        <v>Tyler Grimshaw</v>
      </c>
      <c r="P170" s="17">
        <f>IFERROR(_xlfn.XLOOKUP(O170,'Department Listing'!$O$1:$O$395,'Department Listing'!$A$1:$A$395),IFERROR(_xlfn.XLOOKUP(O170,'Name Aliases'!$A$2:$A$1000,'Name Aliases'!$B$2:$B$1000),""))</f>
        <v>264</v>
      </c>
      <c r="Q170" s="18">
        <f t="shared" si="17"/>
        <v>46232</v>
      </c>
      <c r="R170" s="17" t="str">
        <f t="shared" si="18"/>
        <v>CVS</v>
      </c>
      <c r="S170" s="19">
        <f t="shared" si="19"/>
        <v>10</v>
      </c>
      <c r="T170" s="17" t="str">
        <f t="shared" si="20"/>
        <v>CVS/PHARMACY #01217 MASTERCARD-XXXXXXYC4CPA-Tyler Grimshaw</v>
      </c>
      <c r="U170" s="17" t="str">
        <f t="shared" si="21"/>
        <v>Brex Credit Card</v>
      </c>
      <c r="V170" s="19" t="str">
        <f>IF(ISBLANK($B170),"",IF(ISBLANK($K170),IF(_xlfn.XLOOKUP($W170,'Category Mapping'!$C:$C,'Category Mapping'!$B:$B)="Travel",_xlfn.XLOOKUP($P170,'Department Listing'!$A:$A,'Department Listing'!$M:$M),_xlfn.XLOOKUP($W170,'Category Mapping'!$C:$C,'Category Mapping'!$D:$D)),$K170))</f>
        <v>General &amp; Administrative:Office Expenses:</v>
      </c>
      <c r="W170" s="19" t="str">
        <f t="shared" si="22"/>
        <v>Office Supplies</v>
      </c>
      <c r="X170" s="19" t="str">
        <f t="shared" si="23"/>
        <v>General &amp; Administrative:Office Expenses:Office Supplies</v>
      </c>
      <c r="Y170" s="20" t="str">
        <f>IF(ISBLANK($M170),IFERROR(_xlfn.XLOOKUP($P170,'Department Listing'!$A:$A,'Department Listing'!$L:$L),""),$M170)</f>
        <v>200- Datadog:230- Sales</v>
      </c>
      <c r="Z170" s="11">
        <f>IF(ISBLANK($B170),"",MATCH($X170,COA!$B:$B,0))</f>
        <v>161</v>
      </c>
    </row>
    <row r="171" spans="2:26" ht="15.75" customHeight="1" x14ac:dyDescent="0.25">
      <c r="B171" s="14">
        <v>46233</v>
      </c>
      <c r="C171" t="s">
        <v>314</v>
      </c>
      <c r="E171" s="23" t="s">
        <v>76</v>
      </c>
      <c r="F171" s="16">
        <v>6.08</v>
      </c>
      <c r="H171" s="10"/>
      <c r="I171" s="9" t="s">
        <v>287</v>
      </c>
      <c r="J171" s="9"/>
      <c r="K171" s="9"/>
      <c r="L171" s="9" t="s">
        <v>78</v>
      </c>
      <c r="M171" s="9"/>
      <c r="N171" s="17"/>
      <c r="O171" s="17" t="str">
        <f t="shared" si="16"/>
        <v>Daniel Levin</v>
      </c>
      <c r="P171" s="17">
        <f>IFERROR(_xlfn.XLOOKUP(O171,'Department Listing'!$O$1:$O$395,'Department Listing'!$A$1:$A$395),IFERROR(_xlfn.XLOOKUP(O171,'Name Aliases'!$A$2:$A$1000,'Name Aliases'!$B$2:$B$1000),""))</f>
        <v>291</v>
      </c>
      <c r="Q171" s="18">
        <f t="shared" si="17"/>
        <v>46233</v>
      </c>
      <c r="R171" s="17" t="str">
        <f t="shared" si="18"/>
        <v>Starbucks</v>
      </c>
      <c r="S171" s="19">
        <f t="shared" si="19"/>
        <v>6.08</v>
      </c>
      <c r="T171" s="17" t="str">
        <f t="shared" si="20"/>
        <v>STARBUCKS STORE 80448 MASTERCARD-XXXXXX7Y60VT-Daniel Levin</v>
      </c>
      <c r="U171" s="17" t="str">
        <f t="shared" si="21"/>
        <v>Brex Credit Card</v>
      </c>
      <c r="V171" s="19" t="str">
        <f>IF(ISBLANK($B171),"",IF(ISBLANK($K171),IF(_xlfn.XLOOKUP($W171,'Category Mapping'!$C:$C,'Category Mapping'!$B:$B)="Travel",_xlfn.XLOOKUP($P171,'Department Listing'!$A:$A,'Department Listing'!$M:$M),_xlfn.XLOOKUP($W171,'Category Mapping'!$C:$C,'Category Mapping'!$D:$D)),$K171))</f>
        <v>General &amp; Administrative:G&amp;A- Travel Expenses:</v>
      </c>
      <c r="W171" s="19" t="str">
        <f t="shared" si="22"/>
        <v>Meals &amp; Entertainment</v>
      </c>
      <c r="X171" s="19" t="str">
        <f t="shared" si="23"/>
        <v>General &amp; Administrative:G&amp;A- Travel Expenses:Meals &amp; Entertainment</v>
      </c>
      <c r="Y171" s="20" t="str">
        <f>IF(ISBLANK($M171),IFERROR(_xlfn.XLOOKUP($P171,'Department Listing'!$A:$A,'Department Listing'!$L:$L),""),$M171)</f>
        <v>300- ServiceNow:320- Engineering</v>
      </c>
      <c r="Z171" s="11">
        <f>IF(ISBLANK($B171),"",MATCH($X171,COA!$B:$B,0))</f>
        <v>151</v>
      </c>
    </row>
    <row r="172" spans="2:26" ht="15.75" customHeight="1" x14ac:dyDescent="0.25">
      <c r="B172" s="14">
        <v>46232</v>
      </c>
      <c r="C172" t="s">
        <v>315</v>
      </c>
      <c r="E172" s="23" t="s">
        <v>201</v>
      </c>
      <c r="F172" s="16">
        <v>30.12</v>
      </c>
      <c r="H172" s="10"/>
      <c r="I172" s="9" t="s">
        <v>202</v>
      </c>
      <c r="J172" s="9"/>
      <c r="K172" s="9"/>
      <c r="L172" s="9" t="s">
        <v>127</v>
      </c>
      <c r="M172" s="9"/>
      <c r="N172" s="17"/>
      <c r="O172" s="17" t="str">
        <f t="shared" si="16"/>
        <v>Gary Passaglia</v>
      </c>
      <c r="P172" s="17">
        <f>IFERROR(_xlfn.XLOOKUP(O172,'Department Listing'!$O$1:$O$395,'Department Listing'!$A$1:$A$395),IFERROR(_xlfn.XLOOKUP(O172,'Name Aliases'!$A$2:$A$1000,'Name Aliases'!$B$2:$B$1000),""))</f>
        <v>148</v>
      </c>
      <c r="Q172" s="18">
        <f t="shared" si="17"/>
        <v>46232</v>
      </c>
      <c r="R172" s="17" t="str">
        <f t="shared" si="18"/>
        <v>CVS</v>
      </c>
      <c r="S172" s="19">
        <f t="shared" si="19"/>
        <v>30.12</v>
      </c>
      <c r="T172" s="17" t="str">
        <f t="shared" si="20"/>
        <v>CVS/PHARMACY #01217 MASTERCARD-XXXXXXNH98Q0-Gary Passaglia</v>
      </c>
      <c r="U172" s="17" t="str">
        <f t="shared" si="21"/>
        <v>Brex Credit Card</v>
      </c>
      <c r="V172" s="19" t="str">
        <f>IF(ISBLANK($B172),"",IF(ISBLANK($K172),IF(_xlfn.XLOOKUP($W172,'Category Mapping'!$C:$C,'Category Mapping'!$B:$B)="Travel",_xlfn.XLOOKUP($P172,'Department Listing'!$A:$A,'Department Listing'!$M:$M),_xlfn.XLOOKUP($W172,'Category Mapping'!$C:$C,'Category Mapping'!$D:$D)),$K172))</f>
        <v>General &amp; Administrative:Office Expenses:</v>
      </c>
      <c r="W172" s="19" t="str">
        <f t="shared" si="22"/>
        <v>Office Supplies</v>
      </c>
      <c r="X172" s="19" t="str">
        <f t="shared" si="23"/>
        <v>General &amp; Administrative:Office Expenses:Office Supplies</v>
      </c>
      <c r="Y172" s="20" t="str">
        <f>IF(ISBLANK($M172),IFERROR(_xlfn.XLOOKUP($P172,'Department Listing'!$A:$A,'Department Listing'!$L:$L),""),$M172)</f>
        <v>300- ServiceNow:330- Sales</v>
      </c>
      <c r="Z172" s="11">
        <f>IF(ISBLANK($B172),"",MATCH($X172,COA!$B:$B,0))</f>
        <v>161</v>
      </c>
    </row>
    <row r="173" spans="2:26" ht="15.75" customHeight="1" x14ac:dyDescent="0.25">
      <c r="B173" s="14">
        <v>46232</v>
      </c>
      <c r="C173" t="s">
        <v>316</v>
      </c>
      <c r="E173" s="23" t="s">
        <v>76</v>
      </c>
      <c r="F173" s="16">
        <v>5.76</v>
      </c>
      <c r="H173" s="10"/>
      <c r="I173" s="9" t="s">
        <v>287</v>
      </c>
      <c r="J173" s="9"/>
      <c r="K173" s="9"/>
      <c r="L173" s="9" t="s">
        <v>78</v>
      </c>
      <c r="M173" s="9"/>
      <c r="N173" s="17"/>
      <c r="O173" s="17" t="str">
        <f t="shared" si="16"/>
        <v>Toni Manning</v>
      </c>
      <c r="P173" s="17">
        <f>IFERROR(_xlfn.XLOOKUP(O173,'Department Listing'!$O$1:$O$395,'Department Listing'!$A$1:$A$395),IFERROR(_xlfn.XLOOKUP(O173,'Name Aliases'!$A$2:$A$1000,'Name Aliases'!$B$2:$B$1000),""))</f>
        <v>121</v>
      </c>
      <c r="Q173" s="18">
        <f t="shared" si="17"/>
        <v>46232</v>
      </c>
      <c r="R173" s="17" t="str">
        <f t="shared" si="18"/>
        <v>Starbucks</v>
      </c>
      <c r="S173" s="19">
        <f t="shared" si="19"/>
        <v>5.76</v>
      </c>
      <c r="T173" s="17" t="str">
        <f t="shared" si="20"/>
        <v>STARBUCKS 80448 MASTERCARD-XXXXXXGN8JAX-Toni Manning</v>
      </c>
      <c r="U173" s="17" t="str">
        <f t="shared" si="21"/>
        <v>Brex Credit Card</v>
      </c>
      <c r="V173" s="19" t="str">
        <f>IF(ISBLANK($B173),"",IF(ISBLANK($K173),IF(_xlfn.XLOOKUP($W173,'Category Mapping'!$C:$C,'Category Mapping'!$B:$B)="Travel",_xlfn.XLOOKUP($P173,'Department Listing'!$A:$A,'Department Listing'!$M:$M),_xlfn.XLOOKUP($W173,'Category Mapping'!$C:$C,'Category Mapping'!$D:$D)),$K173))</f>
        <v>Sales &amp; Marketing:Sales &amp; Marketing- Travel Expenses:</v>
      </c>
      <c r="W173" s="19" t="str">
        <f t="shared" si="22"/>
        <v>Meals &amp; Entertainment</v>
      </c>
      <c r="X173" s="19" t="str">
        <f t="shared" si="23"/>
        <v>Sales &amp; Marketing:Sales &amp; Marketing- Travel Expenses:Meals &amp; Entertainment</v>
      </c>
      <c r="Y173" s="20" t="str">
        <f>IF(ISBLANK($M173),IFERROR(_xlfn.XLOOKUP($P173,'Department Listing'!$A:$A,'Department Listing'!$L:$L),""),$M173)</f>
        <v>100- Operations:120- Marketing</v>
      </c>
      <c r="Z173" s="11">
        <f>IF(ISBLANK($B173),"",MATCH($X173,COA!$B:$B,0))</f>
        <v>202</v>
      </c>
    </row>
    <row r="174" spans="2:26" ht="15.75" customHeight="1" x14ac:dyDescent="0.25">
      <c r="B174" s="14">
        <v>46232</v>
      </c>
      <c r="C174" t="s">
        <v>317</v>
      </c>
      <c r="E174" s="23" t="s">
        <v>76</v>
      </c>
      <c r="F174" s="16">
        <v>4.91</v>
      </c>
      <c r="H174" s="10"/>
      <c r="I174" s="9" t="s">
        <v>208</v>
      </c>
      <c r="J174" s="9"/>
      <c r="K174" s="9"/>
      <c r="L174" s="9" t="s">
        <v>78</v>
      </c>
      <c r="M174" s="9"/>
      <c r="N174" s="17"/>
      <c r="O174" s="17" t="str">
        <f t="shared" si="16"/>
        <v>Gary Passaglia</v>
      </c>
      <c r="P174" s="17">
        <f>IFERROR(_xlfn.XLOOKUP(O174,'Department Listing'!$O$1:$O$395,'Department Listing'!$A$1:$A$395),IFERROR(_xlfn.XLOOKUP(O174,'Name Aliases'!$A$2:$A$1000,'Name Aliases'!$B$2:$B$1000),""))</f>
        <v>148</v>
      </c>
      <c r="Q174" s="18">
        <f t="shared" si="17"/>
        <v>46232</v>
      </c>
      <c r="R174" s="17" t="str">
        <f t="shared" si="18"/>
        <v>Dunkin Donuts</v>
      </c>
      <c r="S174" s="19">
        <f t="shared" si="19"/>
        <v>4.91</v>
      </c>
      <c r="T174" s="17" t="str">
        <f t="shared" si="20"/>
        <v>DUNKIN #300417 Q35 MASTERCARD-XXXXXXCBHOMR-Gary Passaglia</v>
      </c>
      <c r="U174" s="17" t="str">
        <f t="shared" si="21"/>
        <v>Brex Credit Card</v>
      </c>
      <c r="V174" s="19" t="str">
        <f>IF(ISBLANK($B174),"",IF(ISBLANK($K174),IF(_xlfn.XLOOKUP($W174,'Category Mapping'!$C:$C,'Category Mapping'!$B:$B)="Travel",_xlfn.XLOOKUP($P174,'Department Listing'!$A:$A,'Department Listing'!$M:$M),_xlfn.XLOOKUP($W174,'Category Mapping'!$C:$C,'Category Mapping'!$D:$D)),$K174))</f>
        <v>Sales &amp; Marketing:Sales &amp; Marketing- Travel Expenses:</v>
      </c>
      <c r="W174" s="19" t="str">
        <f t="shared" si="22"/>
        <v>Meals &amp; Entertainment</v>
      </c>
      <c r="X174" s="19" t="str">
        <f t="shared" si="23"/>
        <v>Sales &amp; Marketing:Sales &amp; Marketing- Travel Expenses:Meals &amp; Entertainment</v>
      </c>
      <c r="Y174" s="20" t="str">
        <f>IF(ISBLANK($M174),IFERROR(_xlfn.XLOOKUP($P174,'Department Listing'!$A:$A,'Department Listing'!$L:$L),""),$M174)</f>
        <v>300- ServiceNow:330- Sales</v>
      </c>
      <c r="Z174" s="11">
        <f>IF(ISBLANK($B174),"",MATCH($X174,COA!$B:$B,0))</f>
        <v>202</v>
      </c>
    </row>
    <row r="175" spans="2:26" ht="15.75" customHeight="1" x14ac:dyDescent="0.25">
      <c r="B175" s="14">
        <v>46232</v>
      </c>
      <c r="C175" t="s">
        <v>318</v>
      </c>
      <c r="E175" s="23" t="s">
        <v>205</v>
      </c>
      <c r="F175" s="16">
        <v>1.7</v>
      </c>
      <c r="H175" s="10"/>
      <c r="I175" s="9" t="s">
        <v>206</v>
      </c>
      <c r="J175" s="9"/>
      <c r="K175" s="9"/>
      <c r="L175" s="9" t="s">
        <v>66</v>
      </c>
      <c r="M175" s="9"/>
      <c r="N175" s="17"/>
      <c r="O175" s="17" t="str">
        <f t="shared" si="16"/>
        <v>Karalyn Sims</v>
      </c>
      <c r="P175" s="17">
        <f>IFERROR(_xlfn.XLOOKUP(O175,'Department Listing'!$O$1:$O$395,'Department Listing'!$A$1:$A$395),IFERROR(_xlfn.XLOOKUP(O175,'Name Aliases'!$A$2:$A$1000,'Name Aliases'!$B$2:$B$1000),""))</f>
        <v>144</v>
      </c>
      <c r="Q175" s="18">
        <f t="shared" si="17"/>
        <v>46232</v>
      </c>
      <c r="R175" s="17" t="str">
        <f t="shared" si="18"/>
        <v>Mbta</v>
      </c>
      <c r="S175" s="19">
        <f t="shared" si="19"/>
        <v>1.7</v>
      </c>
      <c r="T175" s="17" t="str">
        <f t="shared" si="20"/>
        <v>MBTA-550048231694 MASTERCARD-XXXXXXIJZJJL-Karalyn Sims</v>
      </c>
      <c r="U175" s="17" t="str">
        <f t="shared" si="21"/>
        <v>Brex Credit Card</v>
      </c>
      <c r="V175" s="19" t="str">
        <f>IF(ISBLANK($B175),"",IF(ISBLANK($K175),IF(_xlfn.XLOOKUP($W175,'Category Mapping'!$C:$C,'Category Mapping'!$B:$B)="Travel",_xlfn.XLOOKUP($P175,'Department Listing'!$A:$A,'Department Listing'!$M:$M),_xlfn.XLOOKUP($W175,'Category Mapping'!$C:$C,'Category Mapping'!$D:$D)),$K175))</f>
        <v>Sales &amp; Marketing:Sales &amp; Marketing- Travel Expenses:</v>
      </c>
      <c r="W175" s="19" t="str">
        <f t="shared" si="22"/>
        <v>Ground Transportation</v>
      </c>
      <c r="X175" s="19" t="str">
        <f t="shared" si="23"/>
        <v>Sales &amp; Marketing:Sales &amp; Marketing- Travel Expenses:Ground Transportation</v>
      </c>
      <c r="Y175" s="20" t="str">
        <f>IF(ISBLANK($M175),IFERROR(_xlfn.XLOOKUP($P175,'Department Listing'!$A:$A,'Department Listing'!$L:$L),""),$M175)</f>
        <v>100- Operations:120- Marketing</v>
      </c>
      <c r="Z175" s="11">
        <f>IF(ISBLANK($B175),"",MATCH($X175,COA!$B:$B,0))</f>
        <v>200</v>
      </c>
    </row>
    <row r="176" spans="2:26" ht="15.75" customHeight="1" x14ac:dyDescent="0.25">
      <c r="B176" s="14">
        <v>46232</v>
      </c>
      <c r="C176" t="s">
        <v>319</v>
      </c>
      <c r="E176" s="23" t="s">
        <v>64</v>
      </c>
      <c r="F176" s="16">
        <v>40.28</v>
      </c>
      <c r="H176" s="10"/>
      <c r="I176" s="9" t="s">
        <v>65</v>
      </c>
      <c r="J176" s="9"/>
      <c r="K176" s="9"/>
      <c r="L176" s="9" t="s">
        <v>66</v>
      </c>
      <c r="M176" s="9"/>
      <c r="N176" s="17"/>
      <c r="O176" s="17" t="str">
        <f t="shared" si="16"/>
        <v>Michele Cox</v>
      </c>
      <c r="P176" s="17">
        <f>IFERROR(_xlfn.XLOOKUP(O176,'Department Listing'!$O$1:$O$395,'Department Listing'!$A$1:$A$395),IFERROR(_xlfn.XLOOKUP(O176,'Name Aliases'!$A$2:$A$1000,'Name Aliases'!$B$2:$B$1000),""))</f>
        <v>130</v>
      </c>
      <c r="Q176" s="18">
        <f t="shared" si="17"/>
        <v>46232</v>
      </c>
      <c r="R176" s="17" t="str">
        <f t="shared" si="18"/>
        <v>SpotHero</v>
      </c>
      <c r="S176" s="19">
        <f t="shared" si="19"/>
        <v>40.28</v>
      </c>
      <c r="T176" s="17" t="str">
        <f t="shared" si="20"/>
        <v>SPOTHERO 844-356-8054 MASTERCARD-XXXXXXUBMTLL-Michele Cox</v>
      </c>
      <c r="U176" s="17" t="str">
        <f t="shared" si="21"/>
        <v>Brex Credit Card</v>
      </c>
      <c r="V176" s="19" t="str">
        <f>IF(ISBLANK($B176),"",IF(ISBLANK($K176),IF(_xlfn.XLOOKUP($W176,'Category Mapping'!$C:$C,'Category Mapping'!$B:$B)="Travel",_xlfn.XLOOKUP($P176,'Department Listing'!$A:$A,'Department Listing'!$M:$M),_xlfn.XLOOKUP($W176,'Category Mapping'!$C:$C,'Category Mapping'!$D:$D)),$K176))</f>
        <v>Cost of Goods Sold:COGS- Travel Expenses:</v>
      </c>
      <c r="W176" s="19" t="str">
        <f t="shared" si="22"/>
        <v>Ground Transportation</v>
      </c>
      <c r="X176" s="19" t="str">
        <f t="shared" si="23"/>
        <v>Cost of Goods Sold:COGS- Travel Expenses:Ground Transportation</v>
      </c>
      <c r="Y176" s="20" t="str">
        <f>IF(ISBLANK($M176),IFERROR(_xlfn.XLOOKUP($P176,'Department Listing'!$A:$A,'Department Listing'!$L:$L),""),$M176)</f>
        <v>300- ServiceNow:310- Delivery</v>
      </c>
      <c r="Z176" s="11">
        <f>IF(ISBLANK($B176),"",MATCH($X176,COA!$B:$B,0))</f>
        <v>124</v>
      </c>
    </row>
    <row r="177" spans="2:26" ht="15.75" customHeight="1" x14ac:dyDescent="0.25">
      <c r="B177" s="14">
        <v>46232</v>
      </c>
      <c r="C177" t="s">
        <v>321</v>
      </c>
      <c r="E177" s="23" t="s">
        <v>64</v>
      </c>
      <c r="F177" s="16">
        <v>14.41</v>
      </c>
      <c r="H177" s="10"/>
      <c r="I177" s="9" t="s">
        <v>74</v>
      </c>
      <c r="J177" s="9"/>
      <c r="K177" s="9"/>
      <c r="L177" s="9" t="s">
        <v>66</v>
      </c>
      <c r="M177" s="9"/>
      <c r="N177" s="17"/>
      <c r="O177" s="17" t="str">
        <f t="shared" si="16"/>
        <v>Erik Williams</v>
      </c>
      <c r="P177" s="17">
        <f>IFERROR(_xlfn.XLOOKUP(O177,'Department Listing'!$O$1:$O$395,'Department Listing'!$A$1:$A$395),IFERROR(_xlfn.XLOOKUP(O177,'Name Aliases'!$A$2:$A$1000,'Name Aliases'!$B$2:$B$1000),""))</f>
        <v>7</v>
      </c>
      <c r="Q177" s="18">
        <f t="shared" si="17"/>
        <v>46232</v>
      </c>
      <c r="R177" s="17" t="str">
        <f t="shared" si="18"/>
        <v>Uber</v>
      </c>
      <c r="S177" s="19">
        <f t="shared" si="19"/>
        <v>14.41</v>
      </c>
      <c r="T177" s="17" t="str">
        <f t="shared" si="20"/>
        <v>UBER   *TRIP MASTERCARD-XXXXXXVGPS5C-Erik Williams</v>
      </c>
      <c r="U177" s="17" t="str">
        <f t="shared" si="21"/>
        <v>Brex Credit Card</v>
      </c>
      <c r="V177" s="19" t="str">
        <f>IF(ISBLANK($B177),"",IF(ISBLANK($K177),IF(_xlfn.XLOOKUP($W177,'Category Mapping'!$C:$C,'Category Mapping'!$B:$B)="Travel",_xlfn.XLOOKUP($P177,'Department Listing'!$A:$A,'Department Listing'!$M:$M),_xlfn.XLOOKUP($W177,'Category Mapping'!$C:$C,'Category Mapping'!$D:$D)),$K177))</f>
        <v>Cost of Goods Sold:COGS- Travel Expenses:</v>
      </c>
      <c r="W177" s="19" t="str">
        <f t="shared" si="22"/>
        <v>Ground Transportation</v>
      </c>
      <c r="X177" s="19" t="str">
        <f t="shared" si="23"/>
        <v>Cost of Goods Sold:COGS- Travel Expenses:Ground Transportation</v>
      </c>
      <c r="Y177" s="20" t="str">
        <f>IF(ISBLANK($M177),IFERROR(_xlfn.XLOOKUP($P177,'Department Listing'!$A:$A,'Department Listing'!$L:$L),""),$M177)</f>
        <v>400- Synechron:410- Digital platforms G&amp;A</v>
      </c>
      <c r="Z177" s="11">
        <f>IF(ISBLANK($B177),"",MATCH($X177,COA!$B:$B,0))</f>
        <v>124</v>
      </c>
    </row>
    <row r="178" spans="2:26" ht="15.75" customHeight="1" x14ac:dyDescent="0.25">
      <c r="B178" s="14">
        <v>46232</v>
      </c>
      <c r="C178" t="s">
        <v>322</v>
      </c>
      <c r="E178" s="23" t="s">
        <v>76</v>
      </c>
      <c r="F178" s="16">
        <v>10</v>
      </c>
      <c r="H178" s="10"/>
      <c r="I178" s="9" t="s">
        <v>323</v>
      </c>
      <c r="J178" s="9"/>
      <c r="K178" s="9"/>
      <c r="L178" s="9" t="s">
        <v>78</v>
      </c>
      <c r="M178" s="9"/>
      <c r="N178" s="17"/>
      <c r="O178" s="17" t="str">
        <f t="shared" si="16"/>
        <v>Mickenzi Krpec</v>
      </c>
      <c r="P178" s="17">
        <f>IFERROR(_xlfn.XLOOKUP(O178,'Department Listing'!$O$1:$O$395,'Department Listing'!$A$1:$A$395),IFERROR(_xlfn.XLOOKUP(O178,'Name Aliases'!$A$2:$A$1000,'Name Aliases'!$B$2:$B$1000),""))</f>
        <v>170</v>
      </c>
      <c r="Q178" s="18">
        <f t="shared" si="17"/>
        <v>46232</v>
      </c>
      <c r="R178" s="17" t="str">
        <f t="shared" si="18"/>
        <v>Naya</v>
      </c>
      <c r="S178" s="19">
        <f t="shared" si="19"/>
        <v>10</v>
      </c>
      <c r="T178" s="17" t="str">
        <f t="shared" si="20"/>
        <v>501 BOYLSTON STREET MASTERCARD-XXXXXXIMY3RG-Mickenzi Krpec</v>
      </c>
      <c r="U178" s="17" t="str">
        <f t="shared" si="21"/>
        <v>Brex Credit Card</v>
      </c>
      <c r="V178" s="19" t="str">
        <f>IF(ISBLANK($B178),"",IF(ISBLANK($K178),IF(_xlfn.XLOOKUP($W178,'Category Mapping'!$C:$C,'Category Mapping'!$B:$B)="Travel",_xlfn.XLOOKUP($P178,'Department Listing'!$A:$A,'Department Listing'!$M:$M),_xlfn.XLOOKUP($W178,'Category Mapping'!$C:$C,'Category Mapping'!$D:$D)),$K178))</f>
        <v>General &amp; Administrative:G&amp;A- Travel Expenses:</v>
      </c>
      <c r="W178" s="19" t="str">
        <f t="shared" si="22"/>
        <v>Meals &amp; Entertainment</v>
      </c>
      <c r="X178" s="19" t="str">
        <f t="shared" si="23"/>
        <v>General &amp; Administrative:G&amp;A- Travel Expenses:Meals &amp; Entertainment</v>
      </c>
      <c r="Y178" s="20" t="str">
        <f>IF(ISBLANK($M178),IFERROR(_xlfn.XLOOKUP($P178,'Department Listing'!$A:$A,'Department Listing'!$L:$L),""),$M178)</f>
        <v>100- Operations:110- G&amp;A</v>
      </c>
      <c r="Z178" s="11">
        <f>IF(ISBLANK($B178),"",MATCH($X178,COA!$B:$B,0))</f>
        <v>151</v>
      </c>
    </row>
    <row r="179" spans="2:26" ht="15.75" customHeight="1" x14ac:dyDescent="0.25">
      <c r="B179" s="14">
        <v>46231</v>
      </c>
      <c r="C179" t="s">
        <v>324</v>
      </c>
      <c r="E179" s="23" t="s">
        <v>64</v>
      </c>
      <c r="F179" s="16">
        <v>26.5</v>
      </c>
      <c r="H179" s="10"/>
      <c r="I179" s="9" t="s">
        <v>65</v>
      </c>
      <c r="J179" s="9"/>
      <c r="K179" s="9"/>
      <c r="L179" s="9" t="s">
        <v>66</v>
      </c>
      <c r="M179" s="9"/>
      <c r="N179" s="17"/>
      <c r="O179" s="17" t="str">
        <f t="shared" si="16"/>
        <v>Jesse Eddy</v>
      </c>
      <c r="P179" s="17">
        <f>IFERROR(_xlfn.XLOOKUP(O179,'Department Listing'!$O$1:$O$395,'Department Listing'!$A$1:$A$395),IFERROR(_xlfn.XLOOKUP(O179,'Name Aliases'!$A$2:$A$1000,'Name Aliases'!$B$2:$B$1000),""))</f>
        <v>15</v>
      </c>
      <c r="Q179" s="18">
        <f t="shared" si="17"/>
        <v>46231</v>
      </c>
      <c r="R179" s="17" t="str">
        <f t="shared" si="18"/>
        <v>SpotHero</v>
      </c>
      <c r="S179" s="19">
        <f t="shared" si="19"/>
        <v>26.5</v>
      </c>
      <c r="T179" s="17" t="str">
        <f t="shared" si="20"/>
        <v>SPOTHERO 844-356-8054 MASTERCARD-XXXXXXQ0PFZW-Jesse Eddy</v>
      </c>
      <c r="U179" s="17" t="str">
        <f t="shared" si="21"/>
        <v>Brex Credit Card</v>
      </c>
      <c r="V179" s="19" t="str">
        <f>IF(ISBLANK($B179),"",IF(ISBLANK($K179),IF(_xlfn.XLOOKUP($W179,'Category Mapping'!$C:$C,'Category Mapping'!$B:$B)="Travel",_xlfn.XLOOKUP($P179,'Department Listing'!$A:$A,'Department Listing'!$M:$M),_xlfn.XLOOKUP($W179,'Category Mapping'!$C:$C,'Category Mapping'!$D:$D)),$K179))</f>
        <v>Sales &amp; Marketing:Sales &amp; Marketing- Travel Expenses:</v>
      </c>
      <c r="W179" s="19" t="str">
        <f t="shared" si="22"/>
        <v>Ground Transportation</v>
      </c>
      <c r="X179" s="19" t="str">
        <f t="shared" si="23"/>
        <v>Sales &amp; Marketing:Sales &amp; Marketing- Travel Expenses:Ground Transportation</v>
      </c>
      <c r="Y179" s="20" t="str">
        <f>IF(ISBLANK($M179),IFERROR(_xlfn.XLOOKUP($P179,'Department Listing'!$A:$A,'Department Listing'!$L:$L),""),$M179)</f>
        <v>200- Datadog:230- Sales</v>
      </c>
      <c r="Z179" s="11">
        <f>IF(ISBLANK($B179),"",MATCH($X179,COA!$B:$B,0))</f>
        <v>200</v>
      </c>
    </row>
    <row r="180" spans="2:26" ht="15.75" customHeight="1" x14ac:dyDescent="0.25">
      <c r="B180" s="14">
        <v>46232</v>
      </c>
      <c r="C180" t="s">
        <v>326</v>
      </c>
      <c r="E180" s="23" t="s">
        <v>76</v>
      </c>
      <c r="F180" s="16">
        <v>14.98</v>
      </c>
      <c r="H180" s="10"/>
      <c r="I180" s="9" t="s">
        <v>327</v>
      </c>
      <c r="J180" s="9"/>
      <c r="K180" s="9"/>
      <c r="L180" s="9" t="s">
        <v>78</v>
      </c>
      <c r="M180" s="9"/>
      <c r="N180" s="17"/>
      <c r="O180" s="17" t="str">
        <f t="shared" si="16"/>
        <v>Jonathan Stricklin</v>
      </c>
      <c r="P180" s="17">
        <f>IFERROR(_xlfn.XLOOKUP(O180,'Department Listing'!$O$1:$O$395,'Department Listing'!$A$1:$A$395),IFERROR(_xlfn.XLOOKUP(O180,'Name Aliases'!$A$2:$A$1000,'Name Aliases'!$B$2:$B$1000),""))</f>
        <v>167</v>
      </c>
      <c r="Q180" s="18">
        <f t="shared" si="17"/>
        <v>46232</v>
      </c>
      <c r="R180" s="17" t="str">
        <f t="shared" si="18"/>
        <v>Blue Bottle</v>
      </c>
      <c r="S180" s="19">
        <f t="shared" si="19"/>
        <v>14.98</v>
      </c>
      <c r="T180" s="17" t="str">
        <f t="shared" si="20"/>
        <v>SQ *BLUE BOTTLE COFFEE MASTERCARD-XXXXXXX3JGQO-Jonathan Stricklin</v>
      </c>
      <c r="U180" s="17" t="str">
        <f t="shared" si="21"/>
        <v>Brex Credit Card</v>
      </c>
      <c r="V180" s="19" t="str">
        <f>IF(ISBLANK($B180),"",IF(ISBLANK($K180),IF(_xlfn.XLOOKUP($W180,'Category Mapping'!$C:$C,'Category Mapping'!$B:$B)="Travel",_xlfn.XLOOKUP($P180,'Department Listing'!$A:$A,'Department Listing'!$M:$M),_xlfn.XLOOKUP($W180,'Category Mapping'!$C:$C,'Category Mapping'!$D:$D)),$K180))</f>
        <v>Cost of Goods Sold:COGS- Travel Expenses:</v>
      </c>
      <c r="W180" s="19" t="str">
        <f t="shared" si="22"/>
        <v>Meals &amp; Entertainment</v>
      </c>
      <c r="X180" s="19" t="str">
        <f t="shared" si="23"/>
        <v>Cost of Goods Sold:COGS- Travel Expenses:Meals &amp; Entertainment</v>
      </c>
      <c r="Y180" s="20" t="str">
        <f>IF(ISBLANK($M180),IFERROR(_xlfn.XLOOKUP($P180,'Department Listing'!$A:$A,'Department Listing'!$L:$L),""),$M180)</f>
        <v>300- ServiceNow:320- Engineering</v>
      </c>
      <c r="Z180" s="11">
        <f>IF(ISBLANK($B180),"",MATCH($X180,COA!$B:$B,0))</f>
        <v>126</v>
      </c>
    </row>
    <row r="181" spans="2:26" ht="15.75" customHeight="1" x14ac:dyDescent="0.25">
      <c r="B181" s="14">
        <v>46232</v>
      </c>
      <c r="C181" t="s">
        <v>328</v>
      </c>
      <c r="E181" s="23"/>
      <c r="F181" s="16">
        <v>2.29</v>
      </c>
      <c r="H181" s="10"/>
      <c r="I181" s="9" t="s">
        <v>36</v>
      </c>
      <c r="J181" s="9"/>
      <c r="K181" s="9"/>
      <c r="L181" s="9" t="s">
        <v>78</v>
      </c>
      <c r="M181" s="9"/>
      <c r="N181" s="17"/>
      <c r="O181" s="17" t="str">
        <f t="shared" si="16"/>
        <v>John Taylor</v>
      </c>
      <c r="P181" s="17">
        <f>IFERROR(_xlfn.XLOOKUP(O181,'Department Listing'!$O$1:$O$395,'Department Listing'!$A$1:$A$395),IFERROR(_xlfn.XLOOKUP(O181,'Name Aliases'!$A$2:$A$1000,'Name Aliases'!$B$2:$B$1000),""))</f>
        <v>118</v>
      </c>
      <c r="Q181" s="18">
        <f t="shared" si="17"/>
        <v>46232</v>
      </c>
      <c r="R181" s="17" t="str">
        <f t="shared" si="18"/>
        <v>Food Vendor</v>
      </c>
      <c r="S181" s="19">
        <f t="shared" si="19"/>
        <v>2.29</v>
      </c>
      <c r="T181" s="17" t="str">
        <f t="shared" si="20"/>
        <v>THE WILDDUCK MARKET PL MASTERCARD-XXXXXXQO8CCT-John Taylor</v>
      </c>
      <c r="U181" s="17" t="str">
        <f t="shared" si="21"/>
        <v>Brex Credit Card</v>
      </c>
      <c r="V181" s="19" t="str">
        <f>IF(ISBLANK($B181),"",IF(ISBLANK($K181),IF(_xlfn.XLOOKUP($W181,'Category Mapping'!$C:$C,'Category Mapping'!$B:$B)="Travel",_xlfn.XLOOKUP($P181,'Department Listing'!$A:$A,'Department Listing'!$M:$M),_xlfn.XLOOKUP($W181,'Category Mapping'!$C:$C,'Category Mapping'!$D:$D)),$K181))</f>
        <v>Sales &amp; Marketing:Sales &amp; Marketing- Travel Expenses:</v>
      </c>
      <c r="W181" s="19" t="str">
        <f t="shared" si="22"/>
        <v>Meals &amp; Entertainment</v>
      </c>
      <c r="X181" s="19" t="str">
        <f t="shared" si="23"/>
        <v>Sales &amp; Marketing:Sales &amp; Marketing- Travel Expenses:Meals &amp; Entertainment</v>
      </c>
      <c r="Y181" s="20" t="str">
        <f>IF(ISBLANK($M181),IFERROR(_xlfn.XLOOKUP($P181,'Department Listing'!$A:$A,'Department Listing'!$L:$L),""),$M181)</f>
        <v>300- ServiceNow:330- Sales</v>
      </c>
      <c r="Z181" s="11">
        <f>IF(ISBLANK($B181),"",MATCH($X181,COA!$B:$B,0))</f>
        <v>202</v>
      </c>
    </row>
    <row r="182" spans="2:26" ht="15.75" customHeight="1" x14ac:dyDescent="0.25">
      <c r="B182" s="14">
        <v>46232</v>
      </c>
      <c r="C182" t="s">
        <v>330</v>
      </c>
      <c r="E182" s="23" t="s">
        <v>64</v>
      </c>
      <c r="F182" s="16">
        <v>34.950000000000003</v>
      </c>
      <c r="H182" s="10"/>
      <c r="I182" s="9" t="s">
        <v>74</v>
      </c>
      <c r="J182" s="9"/>
      <c r="K182" s="9"/>
      <c r="L182" s="9" t="s">
        <v>66</v>
      </c>
      <c r="M182" s="9"/>
      <c r="N182" s="17"/>
      <c r="O182" s="17" t="str">
        <f t="shared" si="16"/>
        <v>Maile Call</v>
      </c>
      <c r="P182" s="17">
        <f>IFERROR(_xlfn.XLOOKUP(O182,'Department Listing'!$O$1:$O$395,'Department Listing'!$A$1:$A$395),IFERROR(_xlfn.XLOOKUP(O182,'Name Aliases'!$A$2:$A$1000,'Name Aliases'!$B$2:$B$1000),""))</f>
        <v>241</v>
      </c>
      <c r="Q182" s="18">
        <f t="shared" si="17"/>
        <v>46232</v>
      </c>
      <c r="R182" s="17" t="str">
        <f t="shared" si="18"/>
        <v>Uber</v>
      </c>
      <c r="S182" s="19">
        <f t="shared" si="19"/>
        <v>34.950000000000003</v>
      </c>
      <c r="T182" s="17" t="str">
        <f t="shared" si="20"/>
        <v>UBER   *TRIP MASTERCARD-XXXXXXABV6N7-Maile Call</v>
      </c>
      <c r="U182" s="17" t="str">
        <f t="shared" si="21"/>
        <v>Brex Credit Card</v>
      </c>
      <c r="V182" s="19" t="str">
        <f>IF(ISBLANK($B182),"",IF(ISBLANK($K182),IF(_xlfn.XLOOKUP($W182,'Category Mapping'!$C:$C,'Category Mapping'!$B:$B)="Travel",_xlfn.XLOOKUP($P182,'Department Listing'!$A:$A,'Department Listing'!$M:$M),_xlfn.XLOOKUP($W182,'Category Mapping'!$C:$C,'Category Mapping'!$D:$D)),$K182))</f>
        <v>Sales &amp; Marketing:Sales &amp; Marketing- Travel Expenses:</v>
      </c>
      <c r="W182" s="19" t="str">
        <f t="shared" si="22"/>
        <v>Ground Transportation</v>
      </c>
      <c r="X182" s="19" t="str">
        <f t="shared" si="23"/>
        <v>Sales &amp; Marketing:Sales &amp; Marketing- Travel Expenses:Ground Transportation</v>
      </c>
      <c r="Y182" s="20" t="str">
        <f>IF(ISBLANK($M182),IFERROR(_xlfn.XLOOKUP($P182,'Department Listing'!$A:$A,'Department Listing'!$L:$L),""),$M182)</f>
        <v>300- ServiceNow:330- Sales</v>
      </c>
      <c r="Z182" s="11">
        <f>IF(ISBLANK($B182),"",MATCH($X182,COA!$B:$B,0))</f>
        <v>200</v>
      </c>
    </row>
    <row r="183" spans="2:26" ht="15.75" customHeight="1" x14ac:dyDescent="0.25">
      <c r="B183" s="14">
        <v>46231</v>
      </c>
      <c r="C183" t="s">
        <v>331</v>
      </c>
      <c r="E183" s="23" t="s">
        <v>64</v>
      </c>
      <c r="F183" s="16">
        <v>28.13</v>
      </c>
      <c r="H183" s="10"/>
      <c r="I183" s="9" t="s">
        <v>74</v>
      </c>
      <c r="J183" s="9"/>
      <c r="K183" s="9"/>
      <c r="L183" s="9" t="s">
        <v>66</v>
      </c>
      <c r="M183" s="9"/>
      <c r="N183" s="17"/>
      <c r="O183" s="17" t="str">
        <f t="shared" si="16"/>
        <v>Ben Savage</v>
      </c>
      <c r="P183" s="17">
        <f>IFERROR(_xlfn.XLOOKUP(O183,'Department Listing'!$O$1:$O$395,'Department Listing'!$A$1:$A$395),IFERROR(_xlfn.XLOOKUP(O183,'Name Aliases'!$A$2:$A$1000,'Name Aliases'!$B$2:$B$1000),""))</f>
        <v>71</v>
      </c>
      <c r="Q183" s="18">
        <f t="shared" si="17"/>
        <v>46231</v>
      </c>
      <c r="R183" s="17" t="str">
        <f t="shared" si="18"/>
        <v>Uber</v>
      </c>
      <c r="S183" s="19">
        <f t="shared" si="19"/>
        <v>28.13</v>
      </c>
      <c r="T183" s="17" t="str">
        <f t="shared" si="20"/>
        <v>UBER   *TRIP MASTERCARD-XXXXXXP6WVWF-Ben Savage</v>
      </c>
      <c r="U183" s="17" t="str">
        <f t="shared" si="21"/>
        <v>Brex Credit Card</v>
      </c>
      <c r="V183" s="19" t="str">
        <f>IF(ISBLANK($B183),"",IF(ISBLANK($K183),IF(_xlfn.XLOOKUP($W183,'Category Mapping'!$C:$C,'Category Mapping'!$B:$B)="Travel",_xlfn.XLOOKUP($P183,'Department Listing'!$A:$A,'Department Listing'!$M:$M),_xlfn.XLOOKUP($W183,'Category Mapping'!$C:$C,'Category Mapping'!$D:$D)),$K183))</f>
        <v>Cost of Goods Sold:COGS- Travel Expenses:</v>
      </c>
      <c r="W183" s="19" t="str">
        <f t="shared" si="22"/>
        <v>Ground Transportation</v>
      </c>
      <c r="X183" s="19" t="str">
        <f t="shared" si="23"/>
        <v>Cost of Goods Sold:COGS- Travel Expenses:Ground Transportation</v>
      </c>
      <c r="Y183" s="20" t="str">
        <f>IF(ISBLANK($M183),IFERROR(_xlfn.XLOOKUP($P183,'Department Listing'!$A:$A,'Department Listing'!$L:$L),""),$M183)</f>
        <v>300- ServiceNow:320- Engineering</v>
      </c>
      <c r="Z183" s="11">
        <f>IF(ISBLANK($B183),"",MATCH($X183,COA!$B:$B,0))</f>
        <v>124</v>
      </c>
    </row>
    <row r="184" spans="2:26" ht="15.75" customHeight="1" x14ac:dyDescent="0.25">
      <c r="B184" s="14">
        <v>46231</v>
      </c>
      <c r="C184" t="s">
        <v>332</v>
      </c>
      <c r="E184" s="23" t="s">
        <v>76</v>
      </c>
      <c r="F184" s="16">
        <v>35.89</v>
      </c>
      <c r="H184" s="10"/>
      <c r="I184" s="9" t="s">
        <v>77</v>
      </c>
      <c r="J184" s="9"/>
      <c r="K184" s="9"/>
      <c r="L184" s="9" t="s">
        <v>78</v>
      </c>
      <c r="M184" s="9"/>
      <c r="N184" s="17"/>
      <c r="O184" s="17" t="str">
        <f t="shared" si="16"/>
        <v>Tyler Grimshaw</v>
      </c>
      <c r="P184" s="17">
        <f>IFERROR(_xlfn.XLOOKUP(O184,'Department Listing'!$O$1:$O$395,'Department Listing'!$A$1:$A$395),IFERROR(_xlfn.XLOOKUP(O184,'Name Aliases'!$A$2:$A$1000,'Name Aliases'!$B$2:$B$1000),""))</f>
        <v>264</v>
      </c>
      <c r="Q184" s="18">
        <f t="shared" si="17"/>
        <v>46231</v>
      </c>
      <c r="R184" s="17" t="str">
        <f t="shared" si="18"/>
        <v>Sweeney's</v>
      </c>
      <c r="S184" s="19">
        <f t="shared" si="19"/>
        <v>35.89</v>
      </c>
      <c r="T184" s="17" t="str">
        <f t="shared" si="20"/>
        <v>TST*SWEENEYS MASTERCARD-XXXXXXCL7SYR-Tyler Grimshaw</v>
      </c>
      <c r="U184" s="17" t="str">
        <f t="shared" si="21"/>
        <v>Brex Credit Card</v>
      </c>
      <c r="V184" s="19" t="str">
        <f>IF(ISBLANK($B184),"",IF(ISBLANK($K184),IF(_xlfn.XLOOKUP($W184,'Category Mapping'!$C:$C,'Category Mapping'!$B:$B)="Travel",_xlfn.XLOOKUP($P184,'Department Listing'!$A:$A,'Department Listing'!$M:$M),_xlfn.XLOOKUP($W184,'Category Mapping'!$C:$C,'Category Mapping'!$D:$D)),$K184))</f>
        <v>Sales &amp; Marketing:Sales &amp; Marketing- Travel Expenses:</v>
      </c>
      <c r="W184" s="19" t="str">
        <f t="shared" si="22"/>
        <v>Meals &amp; Entertainment</v>
      </c>
      <c r="X184" s="19" t="str">
        <f t="shared" si="23"/>
        <v>Sales &amp; Marketing:Sales &amp; Marketing- Travel Expenses:Meals &amp; Entertainment</v>
      </c>
      <c r="Y184" s="20" t="str">
        <f>IF(ISBLANK($M184),IFERROR(_xlfn.XLOOKUP($P184,'Department Listing'!$A:$A,'Department Listing'!$L:$L),""),$M184)</f>
        <v>200- Datadog:230- Sales</v>
      </c>
      <c r="Z184" s="11">
        <f>IF(ISBLANK($B184),"",MATCH($X184,COA!$B:$B,0))</f>
        <v>202</v>
      </c>
    </row>
    <row r="185" spans="2:26" ht="15.75" customHeight="1" x14ac:dyDescent="0.25">
      <c r="B185" s="14">
        <v>46231</v>
      </c>
      <c r="C185" t="s">
        <v>333</v>
      </c>
      <c r="E185" s="23" t="s">
        <v>76</v>
      </c>
      <c r="F185" s="16">
        <v>400.04</v>
      </c>
      <c r="H185" s="10"/>
      <c r="I185" s="9" t="s">
        <v>77</v>
      </c>
      <c r="J185" s="9"/>
      <c r="K185" s="9"/>
      <c r="L185" s="9" t="s">
        <v>78</v>
      </c>
      <c r="M185" s="9"/>
      <c r="N185" s="17"/>
      <c r="O185" s="17" t="str">
        <f t="shared" si="16"/>
        <v>Jared Kennedy</v>
      </c>
      <c r="P185" s="17">
        <f>IFERROR(_xlfn.XLOOKUP(O185,'Department Listing'!$O$1:$O$395,'Department Listing'!$A$1:$A$395),IFERROR(_xlfn.XLOOKUP(O185,'Name Aliases'!$A$2:$A$1000,'Name Aliases'!$B$2:$B$1000),""))</f>
        <v>289</v>
      </c>
      <c r="Q185" s="18">
        <f t="shared" si="17"/>
        <v>46231</v>
      </c>
      <c r="R185" s="17" t="str">
        <f t="shared" si="18"/>
        <v>Sweeney's</v>
      </c>
      <c r="S185" s="19">
        <f t="shared" si="19"/>
        <v>400.04</v>
      </c>
      <c r="T185" s="17" t="str">
        <f t="shared" si="20"/>
        <v>TST*SWEENEYS MASTERCARD-XXXXXXTL0LLM-Jared Kennedy</v>
      </c>
      <c r="U185" s="17" t="str">
        <f t="shared" si="21"/>
        <v>Brex Credit Card</v>
      </c>
      <c r="V185" s="19" t="str">
        <f>IF(ISBLANK($B185),"",IF(ISBLANK($K185),IF(_xlfn.XLOOKUP($W185,'Category Mapping'!$C:$C,'Category Mapping'!$B:$B)="Travel",_xlfn.XLOOKUP($P185,'Department Listing'!$A:$A,'Department Listing'!$M:$M),_xlfn.XLOOKUP($W185,'Category Mapping'!$C:$C,'Category Mapping'!$D:$D)),$K185))</f>
        <v>Sales &amp; Marketing:Sales &amp; Marketing- Travel Expenses:</v>
      </c>
      <c r="W185" s="19" t="str">
        <f t="shared" si="22"/>
        <v>Meals &amp; Entertainment</v>
      </c>
      <c r="X185" s="19" t="str">
        <f t="shared" si="23"/>
        <v>Sales &amp; Marketing:Sales &amp; Marketing- Travel Expenses:Meals &amp; Entertainment</v>
      </c>
      <c r="Y185" s="20" t="str">
        <f>IF(ISBLANK($M185),IFERROR(_xlfn.XLOOKUP($P185,'Department Listing'!$A:$A,'Department Listing'!$L:$L),""),$M185)</f>
        <v>200- Datadog:230- Sales</v>
      </c>
      <c r="Z185" s="11">
        <f>IF(ISBLANK($B185),"",MATCH($X185,COA!$B:$B,0))</f>
        <v>202</v>
      </c>
    </row>
    <row r="186" spans="2:26" ht="15.75" customHeight="1" x14ac:dyDescent="0.25">
      <c r="B186" s="14">
        <v>46231</v>
      </c>
      <c r="C186" t="s">
        <v>334</v>
      </c>
      <c r="E186" s="23" t="s">
        <v>76</v>
      </c>
      <c r="F186" s="16">
        <v>32.83</v>
      </c>
      <c r="H186" s="10"/>
      <c r="I186" s="9" t="s">
        <v>77</v>
      </c>
      <c r="J186" s="9"/>
      <c r="K186" s="9"/>
      <c r="L186" s="9" t="s">
        <v>78</v>
      </c>
      <c r="M186" s="9"/>
      <c r="N186" s="17"/>
      <c r="O186" s="17" t="str">
        <f t="shared" si="16"/>
        <v>Jared Kennedy</v>
      </c>
      <c r="P186" s="17">
        <f>IFERROR(_xlfn.XLOOKUP(O186,'Department Listing'!$O$1:$O$395,'Department Listing'!$A$1:$A$395),IFERROR(_xlfn.XLOOKUP(O186,'Name Aliases'!$A$2:$A$1000,'Name Aliases'!$B$2:$B$1000),""))</f>
        <v>289</v>
      </c>
      <c r="Q186" s="18">
        <f t="shared" si="17"/>
        <v>46231</v>
      </c>
      <c r="R186" s="17" t="str">
        <f t="shared" si="18"/>
        <v>Sweeney's</v>
      </c>
      <c r="S186" s="19">
        <f t="shared" si="19"/>
        <v>32.83</v>
      </c>
      <c r="T186" s="17" t="str">
        <f t="shared" si="20"/>
        <v>TST*SWEENEYS MASTERCARD-XXXXXX7IRDAR-Jared Kennedy</v>
      </c>
      <c r="U186" s="17" t="str">
        <f t="shared" si="21"/>
        <v>Brex Credit Card</v>
      </c>
      <c r="V186" s="19" t="str">
        <f>IF(ISBLANK($B186),"",IF(ISBLANK($K186),IF(_xlfn.XLOOKUP($W186,'Category Mapping'!$C:$C,'Category Mapping'!$B:$B)="Travel",_xlfn.XLOOKUP($P186,'Department Listing'!$A:$A,'Department Listing'!$M:$M),_xlfn.XLOOKUP($W186,'Category Mapping'!$C:$C,'Category Mapping'!$D:$D)),$K186))</f>
        <v>Sales &amp; Marketing:Sales &amp; Marketing- Travel Expenses:</v>
      </c>
      <c r="W186" s="19" t="str">
        <f t="shared" si="22"/>
        <v>Meals &amp; Entertainment</v>
      </c>
      <c r="X186" s="19" t="str">
        <f t="shared" si="23"/>
        <v>Sales &amp; Marketing:Sales &amp; Marketing- Travel Expenses:Meals &amp; Entertainment</v>
      </c>
      <c r="Y186" s="20" t="str">
        <f>IF(ISBLANK($M186),IFERROR(_xlfn.XLOOKUP($P186,'Department Listing'!$A:$A,'Department Listing'!$L:$L),""),$M186)</f>
        <v>200- Datadog:230- Sales</v>
      </c>
      <c r="Z186" s="11">
        <f>IF(ISBLANK($B186),"",MATCH($X186,COA!$B:$B,0))</f>
        <v>202</v>
      </c>
    </row>
    <row r="187" spans="2:26" ht="15.75" customHeight="1" x14ac:dyDescent="0.25">
      <c r="B187" s="14">
        <v>46231</v>
      </c>
      <c r="C187" t="s">
        <v>335</v>
      </c>
      <c r="E187" s="23" t="s">
        <v>201</v>
      </c>
      <c r="F187" s="16">
        <v>6.36</v>
      </c>
      <c r="H187" s="10"/>
      <c r="I187" s="9" t="s">
        <v>202</v>
      </c>
      <c r="J187" s="9"/>
      <c r="K187" s="9"/>
      <c r="L187" s="9" t="s">
        <v>127</v>
      </c>
      <c r="M187" s="9"/>
      <c r="N187" s="17"/>
      <c r="O187" s="17" t="str">
        <f t="shared" si="16"/>
        <v>Jason Speet</v>
      </c>
      <c r="P187" s="17">
        <f>IFERROR(_xlfn.XLOOKUP(O187,'Department Listing'!$O$1:$O$395,'Department Listing'!$A$1:$A$395),IFERROR(_xlfn.XLOOKUP(O187,'Name Aliases'!$A$2:$A$1000,'Name Aliases'!$B$2:$B$1000),""))</f>
        <v>169</v>
      </c>
      <c r="Q187" s="18">
        <f t="shared" si="17"/>
        <v>46231</v>
      </c>
      <c r="R187" s="17" t="str">
        <f t="shared" si="18"/>
        <v>CVS</v>
      </c>
      <c r="S187" s="19">
        <f t="shared" si="19"/>
        <v>6.36</v>
      </c>
      <c r="T187" s="17" t="str">
        <f t="shared" si="20"/>
        <v>CVS/PHARMACY #01217 MASTERCARD-XXXXXXV40M1Y-Jason Speet</v>
      </c>
      <c r="U187" s="17" t="str">
        <f t="shared" si="21"/>
        <v>Brex Credit Card</v>
      </c>
      <c r="V187" s="19" t="str">
        <f>IF(ISBLANK($B187),"",IF(ISBLANK($K187),IF(_xlfn.XLOOKUP($W187,'Category Mapping'!$C:$C,'Category Mapping'!$B:$B)="Travel",_xlfn.XLOOKUP($P187,'Department Listing'!$A:$A,'Department Listing'!$M:$M),_xlfn.XLOOKUP($W187,'Category Mapping'!$C:$C,'Category Mapping'!$D:$D)),$K187))</f>
        <v>General &amp; Administrative:Office Expenses:</v>
      </c>
      <c r="W187" s="19" t="str">
        <f t="shared" si="22"/>
        <v>Office Supplies</v>
      </c>
      <c r="X187" s="19" t="str">
        <f t="shared" si="23"/>
        <v>General &amp; Administrative:Office Expenses:Office Supplies</v>
      </c>
      <c r="Y187" s="20" t="str">
        <f>IF(ISBLANK($M187),IFERROR(_xlfn.XLOOKUP($P187,'Department Listing'!$A:$A,'Department Listing'!$L:$L),""),$M187)</f>
        <v>300- ServiceNow:320- Engineering</v>
      </c>
      <c r="Z187" s="11">
        <f>IF(ISBLANK($B187),"",MATCH($X187,COA!$B:$B,0))</f>
        <v>161</v>
      </c>
    </row>
    <row r="188" spans="2:26" ht="15.75" customHeight="1" x14ac:dyDescent="0.25">
      <c r="B188" s="14">
        <v>46231</v>
      </c>
      <c r="C188" t="s">
        <v>337</v>
      </c>
      <c r="E188" s="23" t="s">
        <v>64</v>
      </c>
      <c r="F188" s="16">
        <v>46.97</v>
      </c>
      <c r="H188" s="10"/>
      <c r="I188" s="9" t="s">
        <v>74</v>
      </c>
      <c r="J188" s="9"/>
      <c r="K188" s="9"/>
      <c r="L188" s="9" t="s">
        <v>66</v>
      </c>
      <c r="M188" s="9"/>
      <c r="N188" s="17"/>
      <c r="O188" s="17" t="str">
        <f t="shared" si="16"/>
        <v>Gary Passaglia</v>
      </c>
      <c r="P188" s="17">
        <f>IFERROR(_xlfn.XLOOKUP(O188,'Department Listing'!$O$1:$O$395,'Department Listing'!$A$1:$A$395),IFERROR(_xlfn.XLOOKUP(O188,'Name Aliases'!$A$2:$A$1000,'Name Aliases'!$B$2:$B$1000),""))</f>
        <v>148</v>
      </c>
      <c r="Q188" s="18">
        <f t="shared" si="17"/>
        <v>46231</v>
      </c>
      <c r="R188" s="17" t="str">
        <f t="shared" si="18"/>
        <v>Uber</v>
      </c>
      <c r="S188" s="19">
        <f t="shared" si="19"/>
        <v>46.97</v>
      </c>
      <c r="T188" s="17" t="str">
        <f t="shared" si="20"/>
        <v>UBER   *TRIP MASTERCARD-XXXXXXD4G0SS-Gary Passaglia</v>
      </c>
      <c r="U188" s="17" t="str">
        <f t="shared" si="21"/>
        <v>Brex Credit Card</v>
      </c>
      <c r="V188" s="19" t="str">
        <f>IF(ISBLANK($B188),"",IF(ISBLANK($K188),IF(_xlfn.XLOOKUP($W188,'Category Mapping'!$C:$C,'Category Mapping'!$B:$B)="Travel",_xlfn.XLOOKUP($P188,'Department Listing'!$A:$A,'Department Listing'!$M:$M),_xlfn.XLOOKUP($W188,'Category Mapping'!$C:$C,'Category Mapping'!$D:$D)),$K188))</f>
        <v>Sales &amp; Marketing:Sales &amp; Marketing- Travel Expenses:</v>
      </c>
      <c r="W188" s="19" t="str">
        <f t="shared" si="22"/>
        <v>Ground Transportation</v>
      </c>
      <c r="X188" s="19" t="str">
        <f t="shared" si="23"/>
        <v>Sales &amp; Marketing:Sales &amp; Marketing- Travel Expenses:Ground Transportation</v>
      </c>
      <c r="Y188" s="20" t="str">
        <f>IF(ISBLANK($M188),IFERROR(_xlfn.XLOOKUP($P188,'Department Listing'!$A:$A,'Department Listing'!$L:$L),""),$M188)</f>
        <v>300- ServiceNow:330- Sales</v>
      </c>
      <c r="Z188" s="11">
        <f>IF(ISBLANK($B188),"",MATCH($X188,COA!$B:$B,0))</f>
        <v>200</v>
      </c>
    </row>
    <row r="189" spans="2:26" ht="15.75" customHeight="1" x14ac:dyDescent="0.25">
      <c r="B189" s="14">
        <v>46232</v>
      </c>
      <c r="C189" t="s">
        <v>338</v>
      </c>
      <c r="E189" s="23" t="s">
        <v>64</v>
      </c>
      <c r="F189" s="16">
        <v>15.94</v>
      </c>
      <c r="H189" s="10"/>
      <c r="I189" s="9" t="s">
        <v>74</v>
      </c>
      <c r="J189" s="9"/>
      <c r="K189" s="9"/>
      <c r="L189" s="9" t="s">
        <v>66</v>
      </c>
      <c r="M189" s="9"/>
      <c r="N189" s="17"/>
      <c r="O189" s="17" t="str">
        <f t="shared" si="16"/>
        <v>William Watson</v>
      </c>
      <c r="P189" s="17">
        <f>IFERROR(_xlfn.XLOOKUP(O189,'Department Listing'!$O$1:$O$395,'Department Listing'!$A$1:$A$395),IFERROR(_xlfn.XLOOKUP(O189,'Name Aliases'!$A$2:$A$1000,'Name Aliases'!$B$2:$B$1000),""))</f>
        <v>116</v>
      </c>
      <c r="Q189" s="18">
        <f t="shared" si="17"/>
        <v>46232</v>
      </c>
      <c r="R189" s="17" t="str">
        <f t="shared" si="18"/>
        <v>Uber</v>
      </c>
      <c r="S189" s="19">
        <f t="shared" si="19"/>
        <v>15.94</v>
      </c>
      <c r="T189" s="17" t="str">
        <f t="shared" si="20"/>
        <v>UBER   *TRIP MASTERCARD-XXXXXXF2JXDE-William Watson</v>
      </c>
      <c r="U189" s="17" t="str">
        <f t="shared" si="21"/>
        <v>Brex Credit Card</v>
      </c>
      <c r="V189" s="19" t="str">
        <f>IF(ISBLANK($B189),"",IF(ISBLANK($K189),IF(_xlfn.XLOOKUP($W189,'Category Mapping'!$C:$C,'Category Mapping'!$B:$B)="Travel",_xlfn.XLOOKUP($P189,'Department Listing'!$A:$A,'Department Listing'!$M:$M),_xlfn.XLOOKUP($W189,'Category Mapping'!$C:$C,'Category Mapping'!$D:$D)),$K189))</f>
        <v>Cost of Goods Sold:COGS- Travel Expenses:</v>
      </c>
      <c r="W189" s="19" t="str">
        <f t="shared" si="22"/>
        <v>Ground Transportation</v>
      </c>
      <c r="X189" s="19" t="str">
        <f t="shared" si="23"/>
        <v>Cost of Goods Sold:COGS- Travel Expenses:Ground Transportation</v>
      </c>
      <c r="Y189" s="20" t="str">
        <f>IF(ISBLANK($M189),IFERROR(_xlfn.XLOOKUP($P189,'Department Listing'!$A:$A,'Department Listing'!$L:$L),""),$M189)</f>
        <v>300- ServiceNow:320- Engineering</v>
      </c>
      <c r="Z189" s="11">
        <f>IF(ISBLANK($B189),"",MATCH($X189,COA!$B:$B,0))</f>
        <v>124</v>
      </c>
    </row>
    <row r="190" spans="2:26" ht="15.75" customHeight="1" x14ac:dyDescent="0.25">
      <c r="B190" s="14">
        <v>46231</v>
      </c>
      <c r="C190" t="s">
        <v>339</v>
      </c>
      <c r="E190" s="23" t="s">
        <v>64</v>
      </c>
      <c r="F190" s="16">
        <v>56.94</v>
      </c>
      <c r="H190" s="10"/>
      <c r="I190" s="9" t="s">
        <v>74</v>
      </c>
      <c r="J190" s="9"/>
      <c r="K190" s="9"/>
      <c r="L190" s="9" t="s">
        <v>66</v>
      </c>
      <c r="M190" s="9"/>
      <c r="N190" s="17"/>
      <c r="O190" s="17" t="str">
        <f t="shared" si="16"/>
        <v>Daniel Blauvelt</v>
      </c>
      <c r="P190" s="17">
        <f>IFERROR(_xlfn.XLOOKUP(O190,'Department Listing'!$O$1:$O$395,'Department Listing'!$A$1:$A$395),IFERROR(_xlfn.XLOOKUP(O190,'Name Aliases'!$A$2:$A$1000,'Name Aliases'!$B$2:$B$1000),""))</f>
        <v>207</v>
      </c>
      <c r="Q190" s="18">
        <f t="shared" si="17"/>
        <v>46231</v>
      </c>
      <c r="R190" s="17" t="str">
        <f t="shared" si="18"/>
        <v>Uber</v>
      </c>
      <c r="S190" s="19">
        <f t="shared" si="19"/>
        <v>56.94</v>
      </c>
      <c r="T190" s="17" t="str">
        <f t="shared" si="20"/>
        <v>UBER   *TRIP MASTERCARD-XXXXXX9SS2VC-Daniel Blauvelt</v>
      </c>
      <c r="U190" s="17" t="str">
        <f t="shared" si="21"/>
        <v>Brex Credit Card</v>
      </c>
      <c r="V190" s="19" t="str">
        <f>IF(ISBLANK($B190),"",IF(ISBLANK($K190),IF(_xlfn.XLOOKUP($W190,'Category Mapping'!$C:$C,'Category Mapping'!$B:$B)="Travel",_xlfn.XLOOKUP($P190,'Department Listing'!$A:$A,'Department Listing'!$M:$M),_xlfn.XLOOKUP($W190,'Category Mapping'!$C:$C,'Category Mapping'!$D:$D)),$K190))</f>
        <v>General &amp; Administrative:G&amp;A- Travel Expenses:</v>
      </c>
      <c r="W190" s="19" t="str">
        <f t="shared" si="22"/>
        <v>Ground Transportation</v>
      </c>
      <c r="X190" s="19" t="str">
        <f t="shared" si="23"/>
        <v>General &amp; Administrative:G&amp;A- Travel Expenses:Ground Transportation</v>
      </c>
      <c r="Y190" s="20" t="str">
        <f>IF(ISBLANK($M190),IFERROR(_xlfn.XLOOKUP($P190,'Department Listing'!$A:$A,'Department Listing'!$L:$L),""),$M190)</f>
        <v>300- ServiceNow:320- Engineering</v>
      </c>
      <c r="Z190" s="11">
        <f>IF(ISBLANK($B190),"",MATCH($X190,COA!$B:$B,0))</f>
        <v>149</v>
      </c>
    </row>
    <row r="191" spans="2:26" ht="15.75" customHeight="1" x14ac:dyDescent="0.25">
      <c r="B191" s="14">
        <v>46231</v>
      </c>
      <c r="C191" t="s">
        <v>340</v>
      </c>
      <c r="E191" s="23" t="s">
        <v>76</v>
      </c>
      <c r="F191" s="16">
        <v>41.24</v>
      </c>
      <c r="H191" s="10"/>
      <c r="I191" s="9" t="s">
        <v>77</v>
      </c>
      <c r="J191" s="9"/>
      <c r="K191" s="9"/>
      <c r="L191" s="9" t="s">
        <v>78</v>
      </c>
      <c r="M191" s="9"/>
      <c r="N191" s="17"/>
      <c r="O191" s="17" t="str">
        <f t="shared" si="16"/>
        <v>Michael Christinsen</v>
      </c>
      <c r="P191" s="17">
        <f>IFERROR(_xlfn.XLOOKUP(O191,'Department Listing'!$O$1:$O$395,'Department Listing'!$A$1:$A$395),IFERROR(_xlfn.XLOOKUP(O191,'Name Aliases'!$A$2:$A$1000,'Name Aliases'!$B$2:$B$1000),""))</f>
        <v>58</v>
      </c>
      <c r="Q191" s="18">
        <f t="shared" si="17"/>
        <v>46231</v>
      </c>
      <c r="R191" s="17" t="str">
        <f t="shared" si="18"/>
        <v>Sweeney's</v>
      </c>
      <c r="S191" s="19">
        <f t="shared" si="19"/>
        <v>41.24</v>
      </c>
      <c r="T191" s="17" t="str">
        <f t="shared" si="20"/>
        <v>TST*SWEENEYS MASTERCARD-XXXXXXOR817M-Michael Christinsen</v>
      </c>
      <c r="U191" s="17" t="str">
        <f t="shared" si="21"/>
        <v>Brex Credit Card</v>
      </c>
      <c r="V191" s="19" t="str">
        <f>IF(ISBLANK($B191),"",IF(ISBLANK($K191),IF(_xlfn.XLOOKUP($W191,'Category Mapping'!$C:$C,'Category Mapping'!$B:$B)="Travel",_xlfn.XLOOKUP($P191,'Department Listing'!$A:$A,'Department Listing'!$M:$M),_xlfn.XLOOKUP($W191,'Category Mapping'!$C:$C,'Category Mapping'!$D:$D)),$K191))</f>
        <v>Cost of Goods Sold:COGS- Travel Expenses:</v>
      </c>
      <c r="W191" s="19" t="str">
        <f t="shared" si="22"/>
        <v>Meals &amp; Entertainment</v>
      </c>
      <c r="X191" s="19" t="str">
        <f t="shared" si="23"/>
        <v>Cost of Goods Sold:COGS- Travel Expenses:Meals &amp; Entertainment</v>
      </c>
      <c r="Y191" s="20" t="str">
        <f>IF(ISBLANK($M191),IFERROR(_xlfn.XLOOKUP($P191,'Department Listing'!$A:$A,'Department Listing'!$L:$L),""),$M191)</f>
        <v>200- Datadog:220- Engineering</v>
      </c>
      <c r="Z191" s="11">
        <f>IF(ISBLANK($B191),"",MATCH($X191,COA!$B:$B,0))</f>
        <v>126</v>
      </c>
    </row>
    <row r="192" spans="2:26" ht="15.75" customHeight="1" x14ac:dyDescent="0.25">
      <c r="B192" s="14">
        <v>46232</v>
      </c>
      <c r="C192" t="s">
        <v>341</v>
      </c>
      <c r="E192" s="23"/>
      <c r="F192" s="16">
        <v>47.08</v>
      </c>
      <c r="H192" s="10"/>
      <c r="I192" s="9" t="s">
        <v>36</v>
      </c>
      <c r="J192" s="9"/>
      <c r="K192" s="9"/>
      <c r="L192" s="9" t="s">
        <v>78</v>
      </c>
      <c r="M192" s="9"/>
      <c r="N192" s="17"/>
      <c r="O192" s="17" t="str">
        <f t="shared" si="16"/>
        <v>Yadwinder Singh</v>
      </c>
      <c r="P192" s="17">
        <f>IFERROR(_xlfn.XLOOKUP(O192,'Department Listing'!$O$1:$O$395,'Department Listing'!$A$1:$A$395),IFERROR(_xlfn.XLOOKUP(O192,'Name Aliases'!$A$2:$A$1000,'Name Aliases'!$B$2:$B$1000),""))</f>
        <v>237</v>
      </c>
      <c r="Q192" s="18">
        <f t="shared" si="17"/>
        <v>46232</v>
      </c>
      <c r="R192" s="17" t="str">
        <f t="shared" si="18"/>
        <v>Food Vendor</v>
      </c>
      <c r="S192" s="19">
        <f t="shared" si="19"/>
        <v>47.08</v>
      </c>
      <c r="T192" s="17" t="str">
        <f t="shared" si="20"/>
        <v>ATLANTIC FISH MASTERCARD-XXXXXXNSRD9V-Yadwinder Singh</v>
      </c>
      <c r="U192" s="17" t="str">
        <f t="shared" si="21"/>
        <v>Brex Credit Card</v>
      </c>
      <c r="V192" s="19" t="str">
        <f>IF(ISBLANK($B192),"",IF(ISBLANK($K192),IF(_xlfn.XLOOKUP($W192,'Category Mapping'!$C:$C,'Category Mapping'!$B:$B)="Travel",_xlfn.XLOOKUP($P192,'Department Listing'!$A:$A,'Department Listing'!$M:$M),_xlfn.XLOOKUP($W192,'Category Mapping'!$C:$C,'Category Mapping'!$D:$D)),$K192))</f>
        <v>Cost of Goods Sold:COGS- Travel Expenses:</v>
      </c>
      <c r="W192" s="19" t="str">
        <f t="shared" si="22"/>
        <v>Meals &amp; Entertainment</v>
      </c>
      <c r="X192" s="19" t="str">
        <f t="shared" si="23"/>
        <v>Cost of Goods Sold:COGS- Travel Expenses:Meals &amp; Entertainment</v>
      </c>
      <c r="Y192" s="20" t="str">
        <f>IF(ISBLANK($M192),IFERROR(_xlfn.XLOOKUP($P192,'Department Listing'!$A:$A,'Department Listing'!$L:$L),""),$M192)</f>
        <v>200- Datadog:220- Engineering</v>
      </c>
      <c r="Z192" s="11">
        <f>IF(ISBLANK($B192),"",MATCH($X192,COA!$B:$B,0))</f>
        <v>126</v>
      </c>
    </row>
    <row r="193" spans="2:26" ht="15.75" customHeight="1" x14ac:dyDescent="0.25">
      <c r="B193" s="14">
        <v>46231</v>
      </c>
      <c r="C193" t="s">
        <v>342</v>
      </c>
      <c r="E193" s="23" t="s">
        <v>64</v>
      </c>
      <c r="F193" s="16">
        <v>39.81</v>
      </c>
      <c r="H193" s="10"/>
      <c r="I193" s="9" t="s">
        <v>74</v>
      </c>
      <c r="J193" s="9"/>
      <c r="K193" s="22"/>
      <c r="L193" s="9" t="s">
        <v>66</v>
      </c>
      <c r="M193" s="22"/>
      <c r="N193" s="17"/>
      <c r="O193" s="17" t="str">
        <f t="shared" si="16"/>
        <v>Anamaria Gramada</v>
      </c>
      <c r="P193" s="17">
        <f>IFERROR(_xlfn.XLOOKUP(O193,'Department Listing'!$O$1:$O$395,'Department Listing'!$A$1:$A$395),IFERROR(_xlfn.XLOOKUP(O193,'Name Aliases'!$A$2:$A$1000,'Name Aliases'!$B$2:$B$1000),""))</f>
        <v>110</v>
      </c>
      <c r="Q193" s="18">
        <f t="shared" si="17"/>
        <v>46231</v>
      </c>
      <c r="R193" s="17" t="str">
        <f t="shared" si="18"/>
        <v>Uber</v>
      </c>
      <c r="S193" s="19">
        <f t="shared" si="19"/>
        <v>39.81</v>
      </c>
      <c r="T193" s="17" t="str">
        <f t="shared" si="20"/>
        <v>UBER   *EATS MASTERCARD-XXXXXXXMLZDG-Anamaria Gramada</v>
      </c>
      <c r="U193" s="17" t="str">
        <f t="shared" si="21"/>
        <v>Brex Credit Card</v>
      </c>
      <c r="V193" s="19" t="str">
        <f>IF(ISBLANK($B193),"",IF(ISBLANK($K193),IF(_xlfn.XLOOKUP($W193,'Category Mapping'!$C:$C,'Category Mapping'!$B:$B)="Travel",_xlfn.XLOOKUP($P193,'Department Listing'!$A:$A,'Department Listing'!$M:$M),_xlfn.XLOOKUP($W193,'Category Mapping'!$C:$C,'Category Mapping'!$D:$D)),$K193))</f>
        <v>Cost of Goods Sold:COGS- Travel Expenses:</v>
      </c>
      <c r="W193" s="19" t="str">
        <f t="shared" si="22"/>
        <v>Ground Transportation</v>
      </c>
      <c r="X193" s="19" t="str">
        <f t="shared" si="23"/>
        <v>Cost of Goods Sold:COGS- Travel Expenses:Ground Transportation</v>
      </c>
      <c r="Y193" s="20" t="str">
        <f>IF(ISBLANK($M193),IFERROR(_xlfn.XLOOKUP($P193,'Department Listing'!$A:$A,'Department Listing'!$L:$L),""),$M193)</f>
        <v>300- ServiceNow:310- Delivery</v>
      </c>
      <c r="Z193" s="11">
        <f>IF(ISBLANK($B193),"",MATCH($X193,COA!$B:$B,0))</f>
        <v>124</v>
      </c>
    </row>
    <row r="194" spans="2:26" ht="15.75" customHeight="1" x14ac:dyDescent="0.25">
      <c r="B194" s="14">
        <v>46231</v>
      </c>
      <c r="C194" t="s">
        <v>343</v>
      </c>
      <c r="E194" s="23" t="s">
        <v>76</v>
      </c>
      <c r="F194" s="16">
        <v>50.01</v>
      </c>
      <c r="H194" s="10"/>
      <c r="I194" s="9" t="s">
        <v>77</v>
      </c>
      <c r="J194" s="9"/>
      <c r="K194" s="9"/>
      <c r="L194" s="22" t="s">
        <v>78</v>
      </c>
      <c r="M194" s="22"/>
      <c r="N194" s="17"/>
      <c r="O194" s="17" t="str">
        <f t="shared" si="16"/>
        <v>Jared Kennedy</v>
      </c>
      <c r="P194" s="17">
        <f>IFERROR(_xlfn.XLOOKUP(O194,'Department Listing'!$O$1:$O$395,'Department Listing'!$A$1:$A$395),IFERROR(_xlfn.XLOOKUP(O194,'Name Aliases'!$A$2:$A$1000,'Name Aliases'!$B$2:$B$1000),""))</f>
        <v>289</v>
      </c>
      <c r="Q194" s="18">
        <f t="shared" si="17"/>
        <v>46231</v>
      </c>
      <c r="R194" s="17" t="str">
        <f t="shared" si="18"/>
        <v>Sweeney's</v>
      </c>
      <c r="S194" s="19">
        <f t="shared" si="19"/>
        <v>50.01</v>
      </c>
      <c r="T194" s="17" t="str">
        <f t="shared" si="20"/>
        <v>TST*SWEENEYS MASTERCARD-XXXXXXA29F03-Jared Kennedy</v>
      </c>
      <c r="U194" s="17" t="str">
        <f t="shared" si="21"/>
        <v>Brex Credit Card</v>
      </c>
      <c r="V194" s="19" t="str">
        <f>IF(ISBLANK($B194),"",IF(ISBLANK($K194),IF(_xlfn.XLOOKUP($W194,'Category Mapping'!$C:$C,'Category Mapping'!$B:$B)="Travel",_xlfn.XLOOKUP($P194,'Department Listing'!$A:$A,'Department Listing'!$M:$M),_xlfn.XLOOKUP($W194,'Category Mapping'!$C:$C,'Category Mapping'!$D:$D)),$K194))</f>
        <v>Sales &amp; Marketing:Sales &amp; Marketing- Travel Expenses:</v>
      </c>
      <c r="W194" s="19" t="str">
        <f t="shared" si="22"/>
        <v>Meals &amp; Entertainment</v>
      </c>
      <c r="X194" s="19" t="str">
        <f t="shared" si="23"/>
        <v>Sales &amp; Marketing:Sales &amp; Marketing- Travel Expenses:Meals &amp; Entertainment</v>
      </c>
      <c r="Y194" s="20" t="str">
        <f>IF(ISBLANK($M194),IFERROR(_xlfn.XLOOKUP($P194,'Department Listing'!$A:$A,'Department Listing'!$L:$L),""),$M194)</f>
        <v>200- Datadog:230- Sales</v>
      </c>
      <c r="Z194" s="11">
        <f>IF(ISBLANK($B194),"",MATCH($X194,COA!$B:$B,0))</f>
        <v>202</v>
      </c>
    </row>
    <row r="195" spans="2:26" ht="15.75" customHeight="1" x14ac:dyDescent="0.25">
      <c r="B195" s="14">
        <v>46231</v>
      </c>
      <c r="C195" t="s">
        <v>344</v>
      </c>
      <c r="E195" s="23" t="s">
        <v>76</v>
      </c>
      <c r="F195" s="16">
        <v>32.82</v>
      </c>
      <c r="H195" s="10"/>
      <c r="I195" s="9" t="s">
        <v>77</v>
      </c>
      <c r="J195" s="9"/>
      <c r="K195" s="9"/>
      <c r="L195" s="9" t="s">
        <v>78</v>
      </c>
      <c r="M195" s="9"/>
      <c r="N195" s="17"/>
      <c r="O195" s="17" t="str">
        <f t="shared" si="16"/>
        <v>James Dean</v>
      </c>
      <c r="P195" s="17">
        <f>IFERROR(_xlfn.XLOOKUP(O195,'Department Listing'!$O$1:$O$395,'Department Listing'!$A$1:$A$395),IFERROR(_xlfn.XLOOKUP(O195,'Name Aliases'!$A$2:$A$1000,'Name Aliases'!$B$2:$B$1000),""))</f>
        <v>270</v>
      </c>
      <c r="Q195" s="18">
        <f t="shared" si="17"/>
        <v>46231</v>
      </c>
      <c r="R195" s="17" t="str">
        <f t="shared" si="18"/>
        <v>Sweeney's</v>
      </c>
      <c r="S195" s="19">
        <f t="shared" si="19"/>
        <v>32.82</v>
      </c>
      <c r="T195" s="17" t="str">
        <f t="shared" si="20"/>
        <v>TST*SWEENEYS MASTERCARD-XXXXXXVJNK8B-James Dean</v>
      </c>
      <c r="U195" s="17" t="str">
        <f t="shared" si="21"/>
        <v>Brex Credit Card</v>
      </c>
      <c r="V195" s="19" t="str">
        <f>IF(ISBLANK($B195),"",IF(ISBLANK($K195),IF(_xlfn.XLOOKUP($W195,'Category Mapping'!$C:$C,'Category Mapping'!$B:$B)="Travel",_xlfn.XLOOKUP($P195,'Department Listing'!$A:$A,'Department Listing'!$M:$M),_xlfn.XLOOKUP($W195,'Category Mapping'!$C:$C,'Category Mapping'!$D:$D)),$K195))</f>
        <v>Sales &amp; Marketing:Sales &amp; Marketing- Travel Expenses:</v>
      </c>
      <c r="W195" s="19" t="str">
        <f t="shared" si="22"/>
        <v>Meals &amp; Entertainment</v>
      </c>
      <c r="X195" s="19" t="str">
        <f t="shared" si="23"/>
        <v>Sales &amp; Marketing:Sales &amp; Marketing- Travel Expenses:Meals &amp; Entertainment</v>
      </c>
      <c r="Y195" s="20" t="str">
        <f>IF(ISBLANK($M195),IFERROR(_xlfn.XLOOKUP($P195,'Department Listing'!$A:$A,'Department Listing'!$L:$L),""),$M195)</f>
        <v>200- Datadog:230- Sales</v>
      </c>
      <c r="Z195" s="11">
        <f>IF(ISBLANK($B195),"",MATCH($X195,COA!$B:$B,0))</f>
        <v>202</v>
      </c>
    </row>
    <row r="196" spans="2:26" ht="15.75" customHeight="1" x14ac:dyDescent="0.25">
      <c r="B196" s="14">
        <v>46232</v>
      </c>
      <c r="C196" t="s">
        <v>345</v>
      </c>
      <c r="E196" s="23" t="s">
        <v>64</v>
      </c>
      <c r="F196" s="16">
        <v>48.11</v>
      </c>
      <c r="H196" s="10"/>
      <c r="I196" s="9" t="s">
        <v>74</v>
      </c>
      <c r="J196" s="9"/>
      <c r="K196" s="9"/>
      <c r="L196" s="9" t="s">
        <v>66</v>
      </c>
      <c r="M196" s="9"/>
      <c r="N196" s="17"/>
      <c r="O196" s="17" t="str">
        <f t="shared" ref="O196:O259" si="24">IF(C196="", "", TRIM(RIGHT(C196, LEN(C196) - FIND("@@", SUBSTITUTE(C196, "-", "@@", LEN(C196) - LEN(SUBSTITUTE(C196, "-", "")))))))</f>
        <v>Jeff Mu</v>
      </c>
      <c r="P196" s="17">
        <f>IFERROR(_xlfn.XLOOKUP(O196,'Department Listing'!$O$1:$O$395,'Department Listing'!$A$1:$A$395),IFERROR(_xlfn.XLOOKUP(O196,'Name Aliases'!$A$2:$A$1000,'Name Aliases'!$B$2:$B$1000),""))</f>
        <v>4</v>
      </c>
      <c r="Q196" s="18">
        <f t="shared" ref="Q196:Q259" si="25">IF(ISBLANK($C196),"",$B196)</f>
        <v>46232</v>
      </c>
      <c r="R196" s="17" t="str">
        <f t="shared" ref="R196:R259" si="26">IF(ISBLANK($C196),"",IF(ISBLANK($I196),$D196,$I196))</f>
        <v>Uber</v>
      </c>
      <c r="S196" s="19">
        <f t="shared" ref="S196:S259" si="27">IF(ISBLANK($C196),"",$F196 - $G196)</f>
        <v>48.11</v>
      </c>
      <c r="T196" s="17" t="str">
        <f t="shared" ref="T196:T259" si="28">IF(ISBLANK($C196),"",C196)</f>
        <v>UBER   *EATS MASTERCARD-XXXXXXYBQWP8-Jeff Mu</v>
      </c>
      <c r="U196" s="17" t="str">
        <f t="shared" ref="U196:U259" si="29">IF(ISBLANK($C196),"",$D$1)</f>
        <v>Brex Credit Card</v>
      </c>
      <c r="V196" s="19" t="str">
        <f>IF(ISBLANK($B196),"",IF(ISBLANK($K196),IF(_xlfn.XLOOKUP($W196,'Category Mapping'!$C:$C,'Category Mapping'!$B:$B)="Travel",_xlfn.XLOOKUP($P196,'Department Listing'!$A:$A,'Department Listing'!$M:$M),_xlfn.XLOOKUP($W196,'Category Mapping'!$C:$C,'Category Mapping'!$D:$D)),$K196))</f>
        <v>Cost of Goods Sold:COGS- Travel Expenses:</v>
      </c>
      <c r="W196" s="19" t="str">
        <f t="shared" ref="W196:W259" si="30">IF(ISBLANK($B196),"",IF(ISBLANK($L196),RIGHT($E196,LEN($E196) - FIND("^",SUBSTITUTE($E196,":","^",LEN($E196) - LEN(SUBSTITUTE($E196,":",""))))),$L196))</f>
        <v>Ground Transportation</v>
      </c>
      <c r="X196" s="19" t="str">
        <f t="shared" ref="X196:X259" si="31">IF(ISBLANK($J196),$V196&amp;$W196,$J196)</f>
        <v>Cost of Goods Sold:COGS- Travel Expenses:Ground Transportation</v>
      </c>
      <c r="Y196" s="20" t="str">
        <f>IF(ISBLANK($M196),IFERROR(_xlfn.XLOOKUP($P196,'Department Listing'!$A:$A,'Department Listing'!$L:$L),""),$M196)</f>
        <v>300- ServiceNow:320- Engineering</v>
      </c>
      <c r="Z196" s="11">
        <f>IF(ISBLANK($B196),"",MATCH($X196,COA!$B:$B,0))</f>
        <v>124</v>
      </c>
    </row>
    <row r="197" spans="2:26" ht="15.75" customHeight="1" x14ac:dyDescent="0.25">
      <c r="B197" s="14">
        <v>46232</v>
      </c>
      <c r="C197" t="s">
        <v>346</v>
      </c>
      <c r="E197" s="23" t="s">
        <v>64</v>
      </c>
      <c r="F197" s="16">
        <v>25.92</v>
      </c>
      <c r="H197" s="10"/>
      <c r="I197" s="9" t="s">
        <v>92</v>
      </c>
      <c r="J197" s="9"/>
      <c r="K197" s="9"/>
      <c r="L197" s="9" t="s">
        <v>66</v>
      </c>
      <c r="M197" s="9"/>
      <c r="N197" s="17"/>
      <c r="O197" s="17" t="str">
        <f t="shared" si="24"/>
        <v>Karalyn Sims</v>
      </c>
      <c r="P197" s="17">
        <f>IFERROR(_xlfn.XLOOKUP(O197,'Department Listing'!$O$1:$O$395,'Department Listing'!$A$1:$A$395),IFERROR(_xlfn.XLOOKUP(O197,'Name Aliases'!$A$2:$A$1000,'Name Aliases'!$B$2:$B$1000),""))</f>
        <v>144</v>
      </c>
      <c r="Q197" s="18">
        <f t="shared" si="25"/>
        <v>46232</v>
      </c>
      <c r="R197" s="17" t="str">
        <f t="shared" si="26"/>
        <v>Lyft</v>
      </c>
      <c r="S197" s="19">
        <f t="shared" si="27"/>
        <v>25.92</v>
      </c>
      <c r="T197" s="17" t="str">
        <f t="shared" si="28"/>
        <v>LYFT   *1 RIDE 07-27 MASTERCARD-XXXXXXMWIBZ1-Karalyn Sims</v>
      </c>
      <c r="U197" s="17" t="str">
        <f t="shared" si="29"/>
        <v>Brex Credit Card</v>
      </c>
      <c r="V197" s="19" t="str">
        <f>IF(ISBLANK($B197),"",IF(ISBLANK($K197),IF(_xlfn.XLOOKUP($W197,'Category Mapping'!$C:$C,'Category Mapping'!$B:$B)="Travel",_xlfn.XLOOKUP($P197,'Department Listing'!$A:$A,'Department Listing'!$M:$M),_xlfn.XLOOKUP($W197,'Category Mapping'!$C:$C,'Category Mapping'!$D:$D)),$K197))</f>
        <v>Sales &amp; Marketing:Sales &amp; Marketing- Travel Expenses:</v>
      </c>
      <c r="W197" s="19" t="str">
        <f t="shared" si="30"/>
        <v>Ground Transportation</v>
      </c>
      <c r="X197" s="19" t="str">
        <f t="shared" si="31"/>
        <v>Sales &amp; Marketing:Sales &amp; Marketing- Travel Expenses:Ground Transportation</v>
      </c>
      <c r="Y197" s="20" t="str">
        <f>IF(ISBLANK($M197),IFERROR(_xlfn.XLOOKUP($P197,'Department Listing'!$A:$A,'Department Listing'!$L:$L),""),$M197)</f>
        <v>100- Operations:120- Marketing</v>
      </c>
      <c r="Z197" s="11">
        <f>IF(ISBLANK($B197),"",MATCH($X197,COA!$B:$B,0))</f>
        <v>200</v>
      </c>
    </row>
    <row r="198" spans="2:26" ht="15.75" customHeight="1" x14ac:dyDescent="0.25">
      <c r="B198" s="14">
        <v>46231</v>
      </c>
      <c r="C198" t="s">
        <v>347</v>
      </c>
      <c r="E198" s="23"/>
      <c r="F198" s="16">
        <v>11.46</v>
      </c>
      <c r="H198" s="10"/>
      <c r="I198" s="9" t="s">
        <v>36</v>
      </c>
      <c r="J198" s="9"/>
      <c r="K198" s="9"/>
      <c r="L198" s="9" t="s">
        <v>78</v>
      </c>
      <c r="M198" s="9"/>
      <c r="N198" s="17"/>
      <c r="O198" s="17" t="str">
        <f t="shared" si="24"/>
        <v>Robert Kolosky</v>
      </c>
      <c r="P198" s="17">
        <f>IFERROR(_xlfn.XLOOKUP(O198,'Department Listing'!$O$1:$O$395,'Department Listing'!$A$1:$A$395),IFERROR(_xlfn.XLOOKUP(O198,'Name Aliases'!$A$2:$A$1000,'Name Aliases'!$B$2:$B$1000),""))</f>
        <v>91</v>
      </c>
      <c r="Q198" s="18">
        <f t="shared" si="25"/>
        <v>46231</v>
      </c>
      <c r="R198" s="17" t="str">
        <f t="shared" si="26"/>
        <v>Food Vendor</v>
      </c>
      <c r="S198" s="19">
        <f t="shared" si="27"/>
        <v>11.46</v>
      </c>
      <c r="T198" s="17" t="str">
        <f t="shared" si="28"/>
        <v>THE WILDDUCK MARKET PL MASTERCARD-XXXXXXR8ARDU-Robert Kolosky</v>
      </c>
      <c r="U198" s="17" t="str">
        <f t="shared" si="29"/>
        <v>Brex Credit Card</v>
      </c>
      <c r="V198" s="19" t="str">
        <f>IF(ISBLANK($B198),"",IF(ISBLANK($K198),IF(_xlfn.XLOOKUP($W198,'Category Mapping'!$C:$C,'Category Mapping'!$B:$B)="Travel",_xlfn.XLOOKUP($P198,'Department Listing'!$A:$A,'Department Listing'!$M:$M),_xlfn.XLOOKUP($W198,'Category Mapping'!$C:$C,'Category Mapping'!$D:$D)),$K198))</f>
        <v>Cost of Goods Sold:COGS- Travel Expenses:</v>
      </c>
      <c r="W198" s="19" t="str">
        <f t="shared" si="30"/>
        <v>Meals &amp; Entertainment</v>
      </c>
      <c r="X198" s="19" t="str">
        <f t="shared" si="31"/>
        <v>Cost of Goods Sold:COGS- Travel Expenses:Meals &amp; Entertainment</v>
      </c>
      <c r="Y198" s="20" t="str">
        <f>IF(ISBLANK($M198),IFERROR(_xlfn.XLOOKUP($P198,'Department Listing'!$A:$A,'Department Listing'!$L:$L),""),$M198)</f>
        <v>300- ServiceNow:320- Engineering</v>
      </c>
      <c r="Z198" s="11">
        <f>IF(ISBLANK($B198),"",MATCH($X198,COA!$B:$B,0))</f>
        <v>126</v>
      </c>
    </row>
    <row r="199" spans="2:26" ht="15.75" customHeight="1" x14ac:dyDescent="0.25">
      <c r="B199" s="14">
        <v>46232</v>
      </c>
      <c r="C199" t="s">
        <v>348</v>
      </c>
      <c r="E199" s="23"/>
      <c r="F199" s="16">
        <v>754.88</v>
      </c>
      <c r="H199" s="10"/>
      <c r="I199" s="9" t="s">
        <v>36</v>
      </c>
      <c r="J199" s="9"/>
      <c r="K199" s="9"/>
      <c r="L199" s="9" t="s">
        <v>78</v>
      </c>
      <c r="M199" s="9"/>
      <c r="N199" s="17"/>
      <c r="O199" s="17" t="str">
        <f t="shared" si="24"/>
        <v>Toni Manning</v>
      </c>
      <c r="P199" s="17">
        <f>IFERROR(_xlfn.XLOOKUP(O199,'Department Listing'!$O$1:$O$395,'Department Listing'!$A$1:$A$395),IFERROR(_xlfn.XLOOKUP(O199,'Name Aliases'!$A$2:$A$1000,'Name Aliases'!$B$2:$B$1000),""))</f>
        <v>121</v>
      </c>
      <c r="Q199" s="18">
        <f t="shared" si="25"/>
        <v>46232</v>
      </c>
      <c r="R199" s="17" t="str">
        <f t="shared" si="26"/>
        <v>Food Vendor</v>
      </c>
      <c r="S199" s="19">
        <f t="shared" si="27"/>
        <v>754.88</v>
      </c>
      <c r="T199" s="17" t="str">
        <f t="shared" si="28"/>
        <v>RAFFLES BOSTON F&amp;B MASTERCARD-XXXXXXY5J5SE-Toni Manning</v>
      </c>
      <c r="U199" s="17" t="str">
        <f t="shared" si="29"/>
        <v>Brex Credit Card</v>
      </c>
      <c r="V199" s="19" t="str">
        <f>IF(ISBLANK($B199),"",IF(ISBLANK($K199),IF(_xlfn.XLOOKUP($W199,'Category Mapping'!$C:$C,'Category Mapping'!$B:$B)="Travel",_xlfn.XLOOKUP($P199,'Department Listing'!$A:$A,'Department Listing'!$M:$M),_xlfn.XLOOKUP($W199,'Category Mapping'!$C:$C,'Category Mapping'!$D:$D)),$K199))</f>
        <v>Sales &amp; Marketing:Sales &amp; Marketing- Travel Expenses:</v>
      </c>
      <c r="W199" s="19" t="str">
        <f t="shared" si="30"/>
        <v>Meals &amp; Entertainment</v>
      </c>
      <c r="X199" s="19" t="str">
        <f t="shared" si="31"/>
        <v>Sales &amp; Marketing:Sales &amp; Marketing- Travel Expenses:Meals &amp; Entertainment</v>
      </c>
      <c r="Y199" s="20" t="str">
        <f>IF(ISBLANK($M199),IFERROR(_xlfn.XLOOKUP($P199,'Department Listing'!$A:$A,'Department Listing'!$L:$L),""),$M199)</f>
        <v>100- Operations:120- Marketing</v>
      </c>
      <c r="Z199" s="11">
        <f>IF(ISBLANK($B199),"",MATCH($X199,COA!$B:$B,0))</f>
        <v>202</v>
      </c>
    </row>
    <row r="200" spans="2:26" ht="15.75" customHeight="1" x14ac:dyDescent="0.25">
      <c r="B200" s="14">
        <v>46232</v>
      </c>
      <c r="C200" t="s">
        <v>349</v>
      </c>
      <c r="E200" s="23" t="s">
        <v>64</v>
      </c>
      <c r="F200" s="16">
        <v>16.579999999999998</v>
      </c>
      <c r="G200" s="10"/>
      <c r="H200" s="10"/>
      <c r="I200" s="9" t="s">
        <v>74</v>
      </c>
      <c r="J200" s="9"/>
      <c r="K200" s="9"/>
      <c r="L200" s="9" t="s">
        <v>66</v>
      </c>
      <c r="M200" s="9"/>
      <c r="N200" s="17"/>
      <c r="O200" s="17" t="str">
        <f t="shared" si="24"/>
        <v>Jackson Donahoe</v>
      </c>
      <c r="P200" s="17">
        <f>IFERROR(_xlfn.XLOOKUP(O200,'Department Listing'!$O$1:$O$395,'Department Listing'!$A$1:$A$395),IFERROR(_xlfn.XLOOKUP(O200,'Name Aliases'!$A$2:$A$1000,'Name Aliases'!$B$2:$B$1000),""))</f>
        <v>143</v>
      </c>
      <c r="Q200" s="18">
        <f t="shared" si="25"/>
        <v>46232</v>
      </c>
      <c r="R200" s="17" t="str">
        <f t="shared" si="26"/>
        <v>Uber</v>
      </c>
      <c r="S200" s="19">
        <f t="shared" si="27"/>
        <v>16.579999999999998</v>
      </c>
      <c r="T200" s="17" t="str">
        <f t="shared" si="28"/>
        <v>UBER   *TRIP MASTERCARD-XXXXXXC83NBT-Jackson Donahoe</v>
      </c>
      <c r="U200" s="17" t="str">
        <f t="shared" si="29"/>
        <v>Brex Credit Card</v>
      </c>
      <c r="V200" s="19" t="str">
        <f>IF(ISBLANK($B200),"",IF(ISBLANK($K200),IF(_xlfn.XLOOKUP($W200,'Category Mapping'!$C:$C,'Category Mapping'!$B:$B)="Travel",_xlfn.XLOOKUP($P200,'Department Listing'!$A:$A,'Department Listing'!$M:$M),_xlfn.XLOOKUP($W200,'Category Mapping'!$C:$C,'Category Mapping'!$D:$D)),$K200))</f>
        <v>Sales &amp; Marketing:Sales &amp; Marketing- Travel Expenses:</v>
      </c>
      <c r="W200" s="19" t="str">
        <f t="shared" si="30"/>
        <v>Ground Transportation</v>
      </c>
      <c r="X200" s="19" t="str">
        <f t="shared" si="31"/>
        <v>Sales &amp; Marketing:Sales &amp; Marketing- Travel Expenses:Ground Transportation</v>
      </c>
      <c r="Y200" s="20" t="str">
        <f>IF(ISBLANK($M200),IFERROR(_xlfn.XLOOKUP($P200,'Department Listing'!$A:$A,'Department Listing'!$L:$L),""),$M200)</f>
        <v>200- Datadog:230- Sales</v>
      </c>
      <c r="Z200" s="11">
        <f>IF(ISBLANK($B200),"",MATCH($X200,COA!$B:$B,0))</f>
        <v>200</v>
      </c>
    </row>
    <row r="201" spans="2:26" ht="15.75" customHeight="1" x14ac:dyDescent="0.25">
      <c r="B201" s="14">
        <v>46231</v>
      </c>
      <c r="C201" t="s">
        <v>350</v>
      </c>
      <c r="E201" s="23" t="s">
        <v>64</v>
      </c>
      <c r="F201" s="16">
        <v>61.13</v>
      </c>
      <c r="G201" s="10"/>
      <c r="H201" s="10"/>
      <c r="I201" s="9" t="s">
        <v>74</v>
      </c>
      <c r="J201" s="9"/>
      <c r="K201" s="9"/>
      <c r="L201" s="9" t="s">
        <v>66</v>
      </c>
      <c r="M201" s="9"/>
      <c r="N201" s="17"/>
      <c r="O201" s="17" t="str">
        <f t="shared" si="24"/>
        <v>Maile Call</v>
      </c>
      <c r="P201" s="17">
        <f>IFERROR(_xlfn.XLOOKUP(O201,'Department Listing'!$O$1:$O$395,'Department Listing'!$A$1:$A$395),IFERROR(_xlfn.XLOOKUP(O201,'Name Aliases'!$A$2:$A$1000,'Name Aliases'!$B$2:$B$1000),""))</f>
        <v>241</v>
      </c>
      <c r="Q201" s="18">
        <f t="shared" si="25"/>
        <v>46231</v>
      </c>
      <c r="R201" s="17" t="str">
        <f t="shared" si="26"/>
        <v>Uber</v>
      </c>
      <c r="S201" s="19">
        <f t="shared" si="27"/>
        <v>61.13</v>
      </c>
      <c r="T201" s="17" t="str">
        <f t="shared" si="28"/>
        <v>UBER   *TRIP MASTERCARD-XXXXXXF4ZM7I-Maile Call</v>
      </c>
      <c r="U201" s="17" t="str">
        <f t="shared" si="29"/>
        <v>Brex Credit Card</v>
      </c>
      <c r="V201" s="19" t="str">
        <f>IF(ISBLANK($B201),"",IF(ISBLANK($K201),IF(_xlfn.XLOOKUP($W201,'Category Mapping'!$C:$C,'Category Mapping'!$B:$B)="Travel",_xlfn.XLOOKUP($P201,'Department Listing'!$A:$A,'Department Listing'!$M:$M),_xlfn.XLOOKUP($W201,'Category Mapping'!$C:$C,'Category Mapping'!$D:$D)),$K201))</f>
        <v>Sales &amp; Marketing:Sales &amp; Marketing- Travel Expenses:</v>
      </c>
      <c r="W201" s="19" t="str">
        <f t="shared" si="30"/>
        <v>Ground Transportation</v>
      </c>
      <c r="X201" s="19" t="str">
        <f t="shared" si="31"/>
        <v>Sales &amp; Marketing:Sales &amp; Marketing- Travel Expenses:Ground Transportation</v>
      </c>
      <c r="Y201" s="20" t="str">
        <f>IF(ISBLANK($M201),IFERROR(_xlfn.XLOOKUP($P201,'Department Listing'!$A:$A,'Department Listing'!$L:$L),""),$M201)</f>
        <v>300- ServiceNow:330- Sales</v>
      </c>
      <c r="Z201" s="11">
        <f>IF(ISBLANK($B201),"",MATCH($X201,COA!$B:$B,0))</f>
        <v>200</v>
      </c>
    </row>
    <row r="202" spans="2:26" ht="15.75" customHeight="1" x14ac:dyDescent="0.25">
      <c r="B202" s="14">
        <v>46232</v>
      </c>
      <c r="C202" t="s">
        <v>351</v>
      </c>
      <c r="E202" s="23" t="s">
        <v>76</v>
      </c>
      <c r="F202" s="16">
        <v>167.5</v>
      </c>
      <c r="G202" s="10"/>
      <c r="H202" s="10"/>
      <c r="I202" s="9" t="s">
        <v>352</v>
      </c>
      <c r="J202" s="9"/>
      <c r="K202" s="9"/>
      <c r="L202" s="9" t="s">
        <v>78</v>
      </c>
      <c r="M202" s="9"/>
      <c r="N202" s="17"/>
      <c r="O202" s="17" t="str">
        <f t="shared" si="24"/>
        <v>Matt Hyman</v>
      </c>
      <c r="P202" s="17">
        <f>IFERROR(_xlfn.XLOOKUP(O202,'Department Listing'!$O$1:$O$395,'Department Listing'!$A$1:$A$395),IFERROR(_xlfn.XLOOKUP(O202,'Name Aliases'!$A$2:$A$1000,'Name Aliases'!$B$2:$B$1000),""))</f>
        <v>24</v>
      </c>
      <c r="Q202" s="18">
        <f t="shared" si="25"/>
        <v>46232</v>
      </c>
      <c r="R202" s="17" t="str">
        <f t="shared" si="26"/>
        <v>Capital Burger</v>
      </c>
      <c r="S202" s="19">
        <f t="shared" si="27"/>
        <v>167.5</v>
      </c>
      <c r="T202" s="17" t="str">
        <f t="shared" si="28"/>
        <v>CAPITAL BURGER 0213402 MASTERCARD-XXXXXXUZL52L-Matt Hyman</v>
      </c>
      <c r="U202" s="17" t="str">
        <f t="shared" si="29"/>
        <v>Brex Credit Card</v>
      </c>
      <c r="V202" s="19" t="str">
        <f>IF(ISBLANK($B202),"",IF(ISBLANK($K202),IF(_xlfn.XLOOKUP($W202,'Category Mapping'!$C:$C,'Category Mapping'!$B:$B)="Travel",_xlfn.XLOOKUP($P202,'Department Listing'!$A:$A,'Department Listing'!$M:$M),_xlfn.XLOOKUP($W202,'Category Mapping'!$C:$C,'Category Mapping'!$D:$D)),$K202))</f>
        <v>Sales &amp; Marketing:Sales &amp; Marketing- Travel Expenses:</v>
      </c>
      <c r="W202" s="19" t="str">
        <f t="shared" si="30"/>
        <v>Meals &amp; Entertainment</v>
      </c>
      <c r="X202" s="19" t="str">
        <f t="shared" si="31"/>
        <v>Sales &amp; Marketing:Sales &amp; Marketing- Travel Expenses:Meals &amp; Entertainment</v>
      </c>
      <c r="Y202" s="20" t="str">
        <f>IF(ISBLANK($M202),IFERROR(_xlfn.XLOOKUP($P202,'Department Listing'!$A:$A,'Department Listing'!$L:$L),""),$M202)</f>
        <v>300- ServiceNow:330- Sales</v>
      </c>
      <c r="Z202" s="11">
        <f>IF(ISBLANK($B202),"",MATCH($X202,COA!$B:$B,0))</f>
        <v>202</v>
      </c>
    </row>
    <row r="203" spans="2:26" ht="15.75" customHeight="1" x14ac:dyDescent="0.25">
      <c r="B203" s="14">
        <v>46231</v>
      </c>
      <c r="C203" t="s">
        <v>353</v>
      </c>
      <c r="E203" s="23" t="s">
        <v>76</v>
      </c>
      <c r="F203" s="16">
        <v>17.39</v>
      </c>
      <c r="G203" s="10"/>
      <c r="H203" s="10"/>
      <c r="I203" s="9" t="s">
        <v>36</v>
      </c>
      <c r="J203" s="9"/>
      <c r="K203" s="9"/>
      <c r="L203" s="9" t="s">
        <v>78</v>
      </c>
      <c r="M203" s="9"/>
      <c r="N203" s="17"/>
      <c r="O203" s="17" t="str">
        <f t="shared" si="24"/>
        <v>Jonathan Stricklin</v>
      </c>
      <c r="P203" s="17">
        <f>IFERROR(_xlfn.XLOOKUP(O203,'Department Listing'!$O$1:$O$395,'Department Listing'!$A$1:$A$395),IFERROR(_xlfn.XLOOKUP(O203,'Name Aliases'!$A$2:$A$1000,'Name Aliases'!$B$2:$B$1000),""))</f>
        <v>167</v>
      </c>
      <c r="Q203" s="18">
        <f t="shared" si="25"/>
        <v>46231</v>
      </c>
      <c r="R203" s="17" t="str">
        <f t="shared" si="26"/>
        <v>Food Vendor</v>
      </c>
      <c r="S203" s="19">
        <f t="shared" si="27"/>
        <v>17.39</v>
      </c>
      <c r="T203" s="17" t="str">
        <f t="shared" si="28"/>
        <v>TST*LEVAIN NEWBURY BOS MASTERCARD-XXXXXXCJOTOY-Jonathan Stricklin</v>
      </c>
      <c r="U203" s="17" t="str">
        <f t="shared" si="29"/>
        <v>Brex Credit Card</v>
      </c>
      <c r="V203" s="19" t="str">
        <f>IF(ISBLANK($B203),"",IF(ISBLANK($K203),IF(_xlfn.XLOOKUP($W203,'Category Mapping'!$C:$C,'Category Mapping'!$B:$B)="Travel",_xlfn.XLOOKUP($P203,'Department Listing'!$A:$A,'Department Listing'!$M:$M),_xlfn.XLOOKUP($W203,'Category Mapping'!$C:$C,'Category Mapping'!$D:$D)),$K203))</f>
        <v>Cost of Goods Sold:COGS- Travel Expenses:</v>
      </c>
      <c r="W203" s="19" t="str">
        <f t="shared" si="30"/>
        <v>Meals &amp; Entertainment</v>
      </c>
      <c r="X203" s="19" t="str">
        <f t="shared" si="31"/>
        <v>Cost of Goods Sold:COGS- Travel Expenses:Meals &amp; Entertainment</v>
      </c>
      <c r="Y203" s="20" t="str">
        <f>IF(ISBLANK($M203),IFERROR(_xlfn.XLOOKUP($P203,'Department Listing'!$A:$A,'Department Listing'!$L:$L),""),$M203)</f>
        <v>300- ServiceNow:320- Engineering</v>
      </c>
      <c r="Z203" s="11">
        <f>IF(ISBLANK($B203),"",MATCH($X203,COA!$B:$B,0))</f>
        <v>126</v>
      </c>
    </row>
    <row r="204" spans="2:26" ht="15.75" customHeight="1" x14ac:dyDescent="0.25">
      <c r="B204" s="14">
        <v>46231</v>
      </c>
      <c r="C204" t="s">
        <v>354</v>
      </c>
      <c r="E204" s="23" t="s">
        <v>64</v>
      </c>
      <c r="F204" s="16">
        <v>5.75</v>
      </c>
      <c r="G204" s="10"/>
      <c r="H204" s="10"/>
      <c r="I204" s="9" t="s">
        <v>74</v>
      </c>
      <c r="J204" s="9"/>
      <c r="K204" s="9"/>
      <c r="L204" s="9" t="s">
        <v>66</v>
      </c>
      <c r="M204" s="9"/>
      <c r="N204" s="17"/>
      <c r="O204" s="17" t="str">
        <f t="shared" si="24"/>
        <v>Jackson Donahoe</v>
      </c>
      <c r="P204" s="17">
        <f>IFERROR(_xlfn.XLOOKUP(O204,'Department Listing'!$O$1:$O$395,'Department Listing'!$A$1:$A$395),IFERROR(_xlfn.XLOOKUP(O204,'Name Aliases'!$A$2:$A$1000,'Name Aliases'!$B$2:$B$1000),""))</f>
        <v>143</v>
      </c>
      <c r="Q204" s="18">
        <f t="shared" si="25"/>
        <v>46231</v>
      </c>
      <c r="R204" s="17" t="str">
        <f t="shared" si="26"/>
        <v>Uber</v>
      </c>
      <c r="S204" s="19">
        <f t="shared" si="27"/>
        <v>5.75</v>
      </c>
      <c r="T204" s="17" t="str">
        <f t="shared" si="28"/>
        <v>UBER   *TRIP MASTERCARD-XXXXXXX7XU0P-Jackson Donahoe</v>
      </c>
      <c r="U204" s="17" t="str">
        <f t="shared" si="29"/>
        <v>Brex Credit Card</v>
      </c>
      <c r="V204" s="19" t="str">
        <f>IF(ISBLANK($B204),"",IF(ISBLANK($K204),IF(_xlfn.XLOOKUP($W204,'Category Mapping'!$C:$C,'Category Mapping'!$B:$B)="Travel",_xlfn.XLOOKUP($P204,'Department Listing'!$A:$A,'Department Listing'!$M:$M),_xlfn.XLOOKUP($W204,'Category Mapping'!$C:$C,'Category Mapping'!$D:$D)),$K204))</f>
        <v>Sales &amp; Marketing:Sales &amp; Marketing- Travel Expenses:</v>
      </c>
      <c r="W204" s="19" t="str">
        <f t="shared" si="30"/>
        <v>Ground Transportation</v>
      </c>
      <c r="X204" s="19" t="str">
        <f t="shared" si="31"/>
        <v>Sales &amp; Marketing:Sales &amp; Marketing- Travel Expenses:Ground Transportation</v>
      </c>
      <c r="Y204" s="20" t="str">
        <f>IF(ISBLANK($M204),IFERROR(_xlfn.XLOOKUP($P204,'Department Listing'!$A:$A,'Department Listing'!$L:$L),""),$M204)</f>
        <v>200- Datadog:230- Sales</v>
      </c>
      <c r="Z204" s="11">
        <f>IF(ISBLANK($B204),"",MATCH($X204,COA!$B:$B,0))</f>
        <v>200</v>
      </c>
    </row>
    <row r="205" spans="2:26" ht="15.75" customHeight="1" x14ac:dyDescent="0.25">
      <c r="B205" s="14">
        <v>46232</v>
      </c>
      <c r="C205" t="s">
        <v>355</v>
      </c>
      <c r="E205" s="23" t="s">
        <v>76</v>
      </c>
      <c r="F205" s="16">
        <v>12.19</v>
      </c>
      <c r="G205" s="10"/>
      <c r="H205" s="10"/>
      <c r="I205" s="9" t="s">
        <v>263</v>
      </c>
      <c r="J205" s="9"/>
      <c r="K205" s="9"/>
      <c r="L205" s="9" t="s">
        <v>78</v>
      </c>
      <c r="M205" s="9"/>
      <c r="N205" s="17"/>
      <c r="O205" s="17" t="str">
        <f t="shared" si="24"/>
        <v>Tanner Ylvisaker</v>
      </c>
      <c r="P205" s="17">
        <f>IFERROR(_xlfn.XLOOKUP(O205,'Department Listing'!$O$1:$O$395,'Department Listing'!$A$1:$A$395),IFERROR(_xlfn.XLOOKUP(O205,'Name Aliases'!$A$2:$A$1000,'Name Aliases'!$B$2:$B$1000),""))</f>
        <v>99</v>
      </c>
      <c r="Q205" s="18">
        <f t="shared" si="25"/>
        <v>46232</v>
      </c>
      <c r="R205" s="17" t="str">
        <f t="shared" si="26"/>
        <v>Raising Canes</v>
      </c>
      <c r="S205" s="19">
        <f t="shared" si="27"/>
        <v>12.19</v>
      </c>
      <c r="T205" s="17" t="str">
        <f t="shared" si="28"/>
        <v>RAISING CANES 0676 MASTERCARD-XXXXXXYRVP6K-Tanner Ylvisaker</v>
      </c>
      <c r="U205" s="17" t="str">
        <f t="shared" si="29"/>
        <v>Brex Credit Card</v>
      </c>
      <c r="V205" s="19" t="str">
        <f>IF(ISBLANK($B205),"",IF(ISBLANK($K205),IF(_xlfn.XLOOKUP($W205,'Category Mapping'!$C:$C,'Category Mapping'!$B:$B)="Travel",_xlfn.XLOOKUP($P205,'Department Listing'!$A:$A,'Department Listing'!$M:$M),_xlfn.XLOOKUP($W205,'Category Mapping'!$C:$C,'Category Mapping'!$D:$D)),$K205))</f>
        <v>Cost of Goods Sold:COGS- Travel Expenses:</v>
      </c>
      <c r="W205" s="19" t="str">
        <f t="shared" si="30"/>
        <v>Meals &amp; Entertainment</v>
      </c>
      <c r="X205" s="19" t="str">
        <f t="shared" si="31"/>
        <v>Cost of Goods Sold:COGS- Travel Expenses:Meals &amp; Entertainment</v>
      </c>
      <c r="Y205" s="20" t="str">
        <f>IF(ISBLANK($M205),IFERROR(_xlfn.XLOOKUP($P205,'Department Listing'!$A:$A,'Department Listing'!$L:$L),""),$M205)</f>
        <v>300- ServiceNow:320- Engineering</v>
      </c>
      <c r="Z205" s="11">
        <f>IF(ISBLANK($B205),"",MATCH($X205,COA!$B:$B,0))</f>
        <v>126</v>
      </c>
    </row>
    <row r="206" spans="2:26" ht="15.75" customHeight="1" x14ac:dyDescent="0.25">
      <c r="B206" s="14">
        <v>46231</v>
      </c>
      <c r="C206" t="s">
        <v>356</v>
      </c>
      <c r="E206" s="23" t="s">
        <v>64</v>
      </c>
      <c r="F206" s="16">
        <v>8</v>
      </c>
      <c r="G206" s="10"/>
      <c r="H206" s="10"/>
      <c r="I206" s="9" t="s">
        <v>74</v>
      </c>
      <c r="J206" s="9"/>
      <c r="K206" s="9"/>
      <c r="L206" s="9" t="s">
        <v>66</v>
      </c>
      <c r="M206" s="9"/>
      <c r="N206" s="17"/>
      <c r="O206" s="17" t="str">
        <f t="shared" si="24"/>
        <v>Gary Baker</v>
      </c>
      <c r="P206" s="17">
        <f>IFERROR(_xlfn.XLOOKUP(O206,'Department Listing'!$O$1:$O$395,'Department Listing'!$A$1:$A$395),IFERROR(_xlfn.XLOOKUP(O206,'Name Aliases'!$A$2:$A$1000,'Name Aliases'!$B$2:$B$1000),""))</f>
        <v>235</v>
      </c>
      <c r="Q206" s="18">
        <f t="shared" si="25"/>
        <v>46231</v>
      </c>
      <c r="R206" s="17" t="str">
        <f t="shared" si="26"/>
        <v>Uber</v>
      </c>
      <c r="S206" s="19">
        <f t="shared" si="27"/>
        <v>8</v>
      </c>
      <c r="T206" s="17" t="str">
        <f t="shared" si="28"/>
        <v>UBER   *TRIP MASTERCARD-XXXXXXSFKFIR-Gary Baker</v>
      </c>
      <c r="U206" s="17" t="str">
        <f t="shared" si="29"/>
        <v>Brex Credit Card</v>
      </c>
      <c r="V206" s="19" t="str">
        <f>IF(ISBLANK($B206),"",IF(ISBLANK($K206),IF(_xlfn.XLOOKUP($W206,'Category Mapping'!$C:$C,'Category Mapping'!$B:$B)="Travel",_xlfn.XLOOKUP($P206,'Department Listing'!$A:$A,'Department Listing'!$M:$M),_xlfn.XLOOKUP($W206,'Category Mapping'!$C:$C,'Category Mapping'!$D:$D)),$K206))</f>
        <v>Cost of Goods Sold:COGS- Travel Expenses:</v>
      </c>
      <c r="W206" s="19" t="str">
        <f t="shared" si="30"/>
        <v>Ground Transportation</v>
      </c>
      <c r="X206" s="19" t="str">
        <f t="shared" si="31"/>
        <v>Cost of Goods Sold:COGS- Travel Expenses:Ground Transportation</v>
      </c>
      <c r="Y206" s="20" t="str">
        <f>IF(ISBLANK($M206),IFERROR(_xlfn.XLOOKUP($P206,'Department Listing'!$A:$A,'Department Listing'!$L:$L),""),$M206)</f>
        <v>300- ServiceNow:320- Engineering</v>
      </c>
      <c r="Z206" s="11">
        <f>IF(ISBLANK($B206),"",MATCH($X206,COA!$B:$B,0))</f>
        <v>124</v>
      </c>
    </row>
    <row r="207" spans="2:26" ht="15.75" customHeight="1" x14ac:dyDescent="0.25">
      <c r="B207" s="14">
        <v>46232</v>
      </c>
      <c r="C207" t="s">
        <v>357</v>
      </c>
      <c r="E207" s="23" t="s">
        <v>76</v>
      </c>
      <c r="F207" s="16">
        <v>13.47</v>
      </c>
      <c r="G207" s="10"/>
      <c r="H207" s="10"/>
      <c r="I207" s="9" t="s">
        <v>358</v>
      </c>
      <c r="J207" s="9"/>
      <c r="K207" s="9"/>
      <c r="L207" s="9" t="s">
        <v>78</v>
      </c>
      <c r="M207" s="9"/>
      <c r="N207" s="17"/>
      <c r="O207" s="17" t="str">
        <f t="shared" si="24"/>
        <v>Ben Savage</v>
      </c>
      <c r="P207" s="17">
        <f>IFERROR(_xlfn.XLOOKUP(O207,'Department Listing'!$O$1:$O$395,'Department Listing'!$A$1:$A$395),IFERROR(_xlfn.XLOOKUP(O207,'Name Aliases'!$A$2:$A$1000,'Name Aliases'!$B$2:$B$1000),""))</f>
        <v>71</v>
      </c>
      <c r="Q207" s="18">
        <f t="shared" si="25"/>
        <v>46232</v>
      </c>
      <c r="R207" s="17" t="str">
        <f t="shared" si="26"/>
        <v>Chick-Fil-A</v>
      </c>
      <c r="S207" s="19">
        <f t="shared" si="27"/>
        <v>13.47</v>
      </c>
      <c r="T207" s="17" t="str">
        <f t="shared" si="28"/>
        <v>CHICK-FIL-A #04205 MASTERCARD-XXXXXXO44W49-Ben Savage</v>
      </c>
      <c r="U207" s="17" t="str">
        <f t="shared" si="29"/>
        <v>Brex Credit Card</v>
      </c>
      <c r="V207" s="19" t="str">
        <f>IF(ISBLANK($B207),"",IF(ISBLANK($K207),IF(_xlfn.XLOOKUP($W207,'Category Mapping'!$C:$C,'Category Mapping'!$B:$B)="Travel",_xlfn.XLOOKUP($P207,'Department Listing'!$A:$A,'Department Listing'!$M:$M),_xlfn.XLOOKUP($W207,'Category Mapping'!$C:$C,'Category Mapping'!$D:$D)),$K207))</f>
        <v>Cost of Goods Sold:COGS- Travel Expenses:</v>
      </c>
      <c r="W207" s="19" t="str">
        <f t="shared" si="30"/>
        <v>Meals &amp; Entertainment</v>
      </c>
      <c r="X207" s="19" t="str">
        <f t="shared" si="31"/>
        <v>Cost of Goods Sold:COGS- Travel Expenses:Meals &amp; Entertainment</v>
      </c>
      <c r="Y207" s="20" t="str">
        <f>IF(ISBLANK($M207),IFERROR(_xlfn.XLOOKUP($P207,'Department Listing'!$A:$A,'Department Listing'!$L:$L),""),$M207)</f>
        <v>300- ServiceNow:320- Engineering</v>
      </c>
      <c r="Z207" s="11">
        <f>IF(ISBLANK($B207),"",MATCH($X207,COA!$B:$B,0))</f>
        <v>126</v>
      </c>
    </row>
    <row r="208" spans="2:26" ht="15.75" customHeight="1" x14ac:dyDescent="0.25">
      <c r="B208" s="14">
        <v>46231</v>
      </c>
      <c r="C208" t="s">
        <v>359</v>
      </c>
      <c r="E208" s="23" t="s">
        <v>64</v>
      </c>
      <c r="F208" s="16">
        <v>25.54</v>
      </c>
      <c r="G208" s="10"/>
      <c r="H208" s="10"/>
      <c r="I208" s="9" t="s">
        <v>74</v>
      </c>
      <c r="J208" s="9"/>
      <c r="K208" s="9"/>
      <c r="L208" s="9" t="s">
        <v>66</v>
      </c>
      <c r="M208" s="9"/>
      <c r="N208" s="17"/>
      <c r="O208" s="17" t="str">
        <f t="shared" si="24"/>
        <v>Saurabh Premraj</v>
      </c>
      <c r="P208" s="17">
        <f>IFERROR(_xlfn.XLOOKUP(O208,'Department Listing'!$O$1:$O$395,'Department Listing'!$A$1:$A$395),IFERROR(_xlfn.XLOOKUP(O208,'Name Aliases'!$A$2:$A$1000,'Name Aliases'!$B$2:$B$1000),""))</f>
        <v>199</v>
      </c>
      <c r="Q208" s="18">
        <f t="shared" si="25"/>
        <v>46231</v>
      </c>
      <c r="R208" s="17" t="str">
        <f t="shared" si="26"/>
        <v>Uber</v>
      </c>
      <c r="S208" s="19">
        <f t="shared" si="27"/>
        <v>25.54</v>
      </c>
      <c r="T208" s="17" t="str">
        <f t="shared" si="28"/>
        <v>UBER   *TRIP MASTERCARD-XXXXXX2T12SS-Saurabh Premraj</v>
      </c>
      <c r="U208" s="17" t="str">
        <f t="shared" si="29"/>
        <v>Brex Credit Card</v>
      </c>
      <c r="V208" s="19" t="str">
        <f>IF(ISBLANK($B208),"",IF(ISBLANK($K208),IF(_xlfn.XLOOKUP($W208,'Category Mapping'!$C:$C,'Category Mapping'!$B:$B)="Travel",_xlfn.XLOOKUP($P208,'Department Listing'!$A:$A,'Department Listing'!$M:$M),_xlfn.XLOOKUP($W208,'Category Mapping'!$C:$C,'Category Mapping'!$D:$D)),$K208))</f>
        <v>Cost of Goods Sold:COGS- Travel Expenses:</v>
      </c>
      <c r="W208" s="19" t="str">
        <f t="shared" si="30"/>
        <v>Ground Transportation</v>
      </c>
      <c r="X208" s="19" t="str">
        <f t="shared" si="31"/>
        <v>Cost of Goods Sold:COGS- Travel Expenses:Ground Transportation</v>
      </c>
      <c r="Y208" s="20" t="str">
        <f>IF(ISBLANK($M208),IFERROR(_xlfn.XLOOKUP($P208,'Department Listing'!$A:$A,'Department Listing'!$L:$L),""),$M208)</f>
        <v>200- Datadog:220- Engineering</v>
      </c>
      <c r="Z208" s="11">
        <f>IF(ISBLANK($B208),"",MATCH($X208,COA!$B:$B,0))</f>
        <v>124</v>
      </c>
    </row>
    <row r="209" spans="2:26" ht="15.75" customHeight="1" x14ac:dyDescent="0.25">
      <c r="B209" s="14">
        <v>46232</v>
      </c>
      <c r="C209" t="s">
        <v>360</v>
      </c>
      <c r="E209" s="23" t="s">
        <v>76</v>
      </c>
      <c r="F209" s="16">
        <v>24.42</v>
      </c>
      <c r="G209" s="10"/>
      <c r="H209" s="10"/>
      <c r="I209" s="9" t="s">
        <v>361</v>
      </c>
      <c r="J209" s="9"/>
      <c r="K209" s="9"/>
      <c r="L209" s="9" t="s">
        <v>78</v>
      </c>
      <c r="M209" s="9"/>
      <c r="N209" s="17"/>
      <c r="O209" s="17" t="str">
        <f t="shared" si="24"/>
        <v>Cody Sandford</v>
      </c>
      <c r="P209" s="17">
        <f>IFERROR(_xlfn.XLOOKUP(O209,'Department Listing'!$O$1:$O$395,'Department Listing'!$A$1:$A$395),IFERROR(_xlfn.XLOOKUP(O209,'Name Aliases'!$A$2:$A$1000,'Name Aliases'!$B$2:$B$1000),""))</f>
        <v>245</v>
      </c>
      <c r="Q209" s="18">
        <f t="shared" si="25"/>
        <v>46232</v>
      </c>
      <c r="R209" s="17" t="str">
        <f t="shared" si="26"/>
        <v>Star Market</v>
      </c>
      <c r="S209" s="19">
        <f t="shared" si="27"/>
        <v>24.42</v>
      </c>
      <c r="T209" s="17" t="str">
        <f t="shared" si="28"/>
        <v>STAR MARKET 0602 MASTERCARD-XXXXXX9KL42L-Cody Sandford</v>
      </c>
      <c r="U209" s="17" t="str">
        <f t="shared" si="29"/>
        <v>Brex Credit Card</v>
      </c>
      <c r="V209" s="19" t="str">
        <f>IF(ISBLANK($B209),"",IF(ISBLANK($K209),IF(_xlfn.XLOOKUP($W209,'Category Mapping'!$C:$C,'Category Mapping'!$B:$B)="Travel",_xlfn.XLOOKUP($P209,'Department Listing'!$A:$A,'Department Listing'!$M:$M),_xlfn.XLOOKUP($W209,'Category Mapping'!$C:$C,'Category Mapping'!$D:$D)),$K209))</f>
        <v>Cost of Goods Sold:COGS- Travel Expenses:</v>
      </c>
      <c r="W209" s="19" t="str">
        <f t="shared" si="30"/>
        <v>Meals &amp; Entertainment</v>
      </c>
      <c r="X209" s="19" t="str">
        <f t="shared" si="31"/>
        <v>Cost of Goods Sold:COGS- Travel Expenses:Meals &amp; Entertainment</v>
      </c>
      <c r="Y209" s="20" t="str">
        <f>IF(ISBLANK($M209),IFERROR(_xlfn.XLOOKUP($P209,'Department Listing'!$A:$A,'Department Listing'!$L:$L),""),$M209)</f>
        <v>300- ServiceNow:320- Engineering</v>
      </c>
      <c r="Z209" s="11">
        <f>IF(ISBLANK($B209),"",MATCH($X209,COA!$B:$B,0))</f>
        <v>126</v>
      </c>
    </row>
    <row r="210" spans="2:26" ht="15.75" customHeight="1" x14ac:dyDescent="0.25">
      <c r="B210" s="14">
        <v>46232</v>
      </c>
      <c r="C210" t="s">
        <v>362</v>
      </c>
      <c r="E210" s="23" t="s">
        <v>64</v>
      </c>
      <c r="F210" s="16">
        <v>33.97</v>
      </c>
      <c r="G210" s="10"/>
      <c r="H210" s="10"/>
      <c r="I210" s="9" t="s">
        <v>74</v>
      </c>
      <c r="J210" s="9"/>
      <c r="K210" s="9"/>
      <c r="L210" s="9" t="s">
        <v>66</v>
      </c>
      <c r="M210" s="9"/>
      <c r="N210" s="17"/>
      <c r="O210" s="17" t="str">
        <f t="shared" si="24"/>
        <v>Matt Hyman</v>
      </c>
      <c r="P210" s="17">
        <f>IFERROR(_xlfn.XLOOKUP(O210,'Department Listing'!$O$1:$O$395,'Department Listing'!$A$1:$A$395),IFERROR(_xlfn.XLOOKUP(O210,'Name Aliases'!$A$2:$A$1000,'Name Aliases'!$B$2:$B$1000),""))</f>
        <v>24</v>
      </c>
      <c r="Q210" s="18">
        <f t="shared" si="25"/>
        <v>46232</v>
      </c>
      <c r="R210" s="17" t="str">
        <f t="shared" si="26"/>
        <v>Uber</v>
      </c>
      <c r="S210" s="19">
        <f t="shared" si="27"/>
        <v>33.97</v>
      </c>
      <c r="T210" s="17" t="str">
        <f t="shared" si="28"/>
        <v>UBER   *TRIP MASTERCARD-XXXXXXGG2SM5-Matt Hyman</v>
      </c>
      <c r="U210" s="17" t="str">
        <f t="shared" si="29"/>
        <v>Brex Credit Card</v>
      </c>
      <c r="V210" s="19" t="str">
        <f>IF(ISBLANK($B210),"",IF(ISBLANK($K210),IF(_xlfn.XLOOKUP($W210,'Category Mapping'!$C:$C,'Category Mapping'!$B:$B)="Travel",_xlfn.XLOOKUP($P210,'Department Listing'!$A:$A,'Department Listing'!$M:$M),_xlfn.XLOOKUP($W210,'Category Mapping'!$C:$C,'Category Mapping'!$D:$D)),$K210))</f>
        <v>Sales &amp; Marketing:Sales &amp; Marketing- Travel Expenses:</v>
      </c>
      <c r="W210" s="19" t="str">
        <f t="shared" si="30"/>
        <v>Ground Transportation</v>
      </c>
      <c r="X210" s="19" t="str">
        <f t="shared" si="31"/>
        <v>Sales &amp; Marketing:Sales &amp; Marketing- Travel Expenses:Ground Transportation</v>
      </c>
      <c r="Y210" s="20" t="str">
        <f>IF(ISBLANK($M210),IFERROR(_xlfn.XLOOKUP($P210,'Department Listing'!$A:$A,'Department Listing'!$L:$L),""),$M210)</f>
        <v>300- ServiceNow:330- Sales</v>
      </c>
      <c r="Z210" s="11">
        <f>IF(ISBLANK($B210),"",MATCH($X210,COA!$B:$B,0))</f>
        <v>200</v>
      </c>
    </row>
    <row r="211" spans="2:26" ht="15.75" customHeight="1" x14ac:dyDescent="0.25">
      <c r="B211" s="14">
        <v>46231</v>
      </c>
      <c r="C211" t="s">
        <v>363</v>
      </c>
      <c r="E211" s="23" t="s">
        <v>76</v>
      </c>
      <c r="F211" s="16">
        <v>39.22</v>
      </c>
      <c r="G211" s="10"/>
      <c r="H211" s="10"/>
      <c r="I211" s="9" t="s">
        <v>246</v>
      </c>
      <c r="J211" s="9"/>
      <c r="K211" s="9"/>
      <c r="L211" s="9" t="s">
        <v>78</v>
      </c>
      <c r="M211" s="9"/>
      <c r="N211" s="17"/>
      <c r="O211" s="17" t="str">
        <f t="shared" si="24"/>
        <v>Israel Baral</v>
      </c>
      <c r="P211" s="17">
        <f>IFERROR(_xlfn.XLOOKUP(O211,'Department Listing'!$O$1:$O$395,'Department Listing'!$A$1:$A$395),IFERROR(_xlfn.XLOOKUP(O211,'Name Aliases'!$A$2:$A$1000,'Name Aliases'!$B$2:$B$1000),""))</f>
        <v>215</v>
      </c>
      <c r="Q211" s="18">
        <f t="shared" si="25"/>
        <v>46231</v>
      </c>
      <c r="R211" s="17" t="str">
        <f t="shared" si="26"/>
        <v>Door Dash</v>
      </c>
      <c r="S211" s="19">
        <f t="shared" si="27"/>
        <v>39.22</v>
      </c>
      <c r="T211" s="17" t="str">
        <f t="shared" si="28"/>
        <v>DD *DOORDASH THEKOSHER MASTERCARD-XXXXXXR4YS5L-Israel Baral</v>
      </c>
      <c r="U211" s="17" t="str">
        <f t="shared" si="29"/>
        <v>Brex Credit Card</v>
      </c>
      <c r="V211" s="19" t="str">
        <f>IF(ISBLANK($B211),"",IF(ISBLANK($K211),IF(_xlfn.XLOOKUP($W211,'Category Mapping'!$C:$C,'Category Mapping'!$B:$B)="Travel",_xlfn.XLOOKUP($P211,'Department Listing'!$A:$A,'Department Listing'!$M:$M),_xlfn.XLOOKUP($W211,'Category Mapping'!$C:$C,'Category Mapping'!$D:$D)),$K211))</f>
        <v>Cost of Goods Sold:COGS- Travel Expenses:</v>
      </c>
      <c r="W211" s="19" t="str">
        <f t="shared" si="30"/>
        <v>Meals &amp; Entertainment</v>
      </c>
      <c r="X211" s="19" t="str">
        <f t="shared" si="31"/>
        <v>Cost of Goods Sold:COGS- Travel Expenses:Meals &amp; Entertainment</v>
      </c>
      <c r="Y211" s="20" t="str">
        <f>IF(ISBLANK($M211),IFERROR(_xlfn.XLOOKUP($P211,'Department Listing'!$A:$A,'Department Listing'!$L:$L),""),$M211)</f>
        <v>300- ServiceNow:320- Engineering</v>
      </c>
      <c r="Z211" s="11">
        <f>IF(ISBLANK($B211),"",MATCH($X211,COA!$B:$B,0))</f>
        <v>126</v>
      </c>
    </row>
    <row r="212" spans="2:26" ht="15.75" customHeight="1" x14ac:dyDescent="0.25">
      <c r="B212" s="14">
        <v>46231</v>
      </c>
      <c r="C212" t="s">
        <v>364</v>
      </c>
      <c r="E212" s="23" t="s">
        <v>64</v>
      </c>
      <c r="F212" s="16">
        <v>36.14</v>
      </c>
      <c r="G212" s="10"/>
      <c r="H212" s="10"/>
      <c r="I212" s="9" t="s">
        <v>74</v>
      </c>
      <c r="J212" s="9"/>
      <c r="K212" s="9"/>
      <c r="L212" s="9" t="s">
        <v>66</v>
      </c>
      <c r="M212" s="9"/>
      <c r="N212" s="17"/>
      <c r="O212" s="17" t="str">
        <f t="shared" si="24"/>
        <v>Mitchell Deaner</v>
      </c>
      <c r="P212" s="17">
        <f>IFERROR(_xlfn.XLOOKUP(O212,'Department Listing'!$O$1:$O$395,'Department Listing'!$A$1:$A$395),IFERROR(_xlfn.XLOOKUP(O212,'Name Aliases'!$A$2:$A$1000,'Name Aliases'!$B$2:$B$1000),""))</f>
        <v>26</v>
      </c>
      <c r="Q212" s="18">
        <f t="shared" si="25"/>
        <v>46231</v>
      </c>
      <c r="R212" s="17" t="str">
        <f t="shared" si="26"/>
        <v>Uber</v>
      </c>
      <c r="S212" s="19">
        <f t="shared" si="27"/>
        <v>36.14</v>
      </c>
      <c r="T212" s="17" t="str">
        <f t="shared" si="28"/>
        <v>UBER   *EATS MASTERCARD-XXXXXXPUPSDG-Mitchell Deaner</v>
      </c>
      <c r="U212" s="17" t="str">
        <f t="shared" si="29"/>
        <v>Brex Credit Card</v>
      </c>
      <c r="V212" s="19" t="str">
        <f>IF(ISBLANK($B212),"",IF(ISBLANK($K212),IF(_xlfn.XLOOKUP($W212,'Category Mapping'!$C:$C,'Category Mapping'!$B:$B)="Travel",_xlfn.XLOOKUP($P212,'Department Listing'!$A:$A,'Department Listing'!$M:$M),_xlfn.XLOOKUP($W212,'Category Mapping'!$C:$C,'Category Mapping'!$D:$D)),$K212))</f>
        <v>Cost of Goods Sold:COGS- Travel Expenses:</v>
      </c>
      <c r="W212" s="19" t="str">
        <f t="shared" si="30"/>
        <v>Ground Transportation</v>
      </c>
      <c r="X212" s="19" t="str">
        <f t="shared" si="31"/>
        <v>Cost of Goods Sold:COGS- Travel Expenses:Ground Transportation</v>
      </c>
      <c r="Y212" s="20" t="str">
        <f>IF(ISBLANK($M212),IFERROR(_xlfn.XLOOKUP($P212,'Department Listing'!$A:$A,'Department Listing'!$L:$L),""),$M212)</f>
        <v>300- ServiceNow:320- Engineering</v>
      </c>
      <c r="Z212" s="11">
        <f>IF(ISBLANK($B212),"",MATCH($X212,COA!$B:$B,0))</f>
        <v>124</v>
      </c>
    </row>
    <row r="213" spans="2:26" ht="15.75" customHeight="1" x14ac:dyDescent="0.25">
      <c r="B213" s="14">
        <v>46231</v>
      </c>
      <c r="C213" t="s">
        <v>365</v>
      </c>
      <c r="E213" s="23"/>
      <c r="F213" s="16">
        <v>45</v>
      </c>
      <c r="G213" s="10"/>
      <c r="H213" s="10"/>
      <c r="I213" s="9" t="s">
        <v>117</v>
      </c>
      <c r="J213" s="9"/>
      <c r="K213" s="9"/>
      <c r="L213" s="9" t="s">
        <v>66</v>
      </c>
      <c r="M213" s="9"/>
      <c r="N213" s="17"/>
      <c r="O213" s="17" t="str">
        <f t="shared" si="24"/>
        <v>Kevin Ebert</v>
      </c>
      <c r="P213" s="17">
        <f>IFERROR(_xlfn.XLOOKUP(O213,'Department Listing'!$O$1:$O$395,'Department Listing'!$A$1:$A$395),IFERROR(_xlfn.XLOOKUP(O213,'Name Aliases'!$A$2:$A$1000,'Name Aliases'!$B$2:$B$1000),""))</f>
        <v>187</v>
      </c>
      <c r="Q213" s="18">
        <f t="shared" si="25"/>
        <v>46231</v>
      </c>
      <c r="R213" s="17" t="str">
        <f t="shared" si="26"/>
        <v>Back Bay Garage</v>
      </c>
      <c r="S213" s="19">
        <f t="shared" si="27"/>
        <v>45</v>
      </c>
      <c r="T213" s="17" t="str">
        <f t="shared" si="28"/>
        <v>VPNE BackBayGarage MASTERCARD-XXXXXXXGXL1T-Kevin Ebert</v>
      </c>
      <c r="U213" s="17" t="str">
        <f t="shared" si="29"/>
        <v>Brex Credit Card</v>
      </c>
      <c r="V213" s="19" t="str">
        <f>IF(ISBLANK($B213),"",IF(ISBLANK($K213),IF(_xlfn.XLOOKUP($W213,'Category Mapping'!$C:$C,'Category Mapping'!$B:$B)="Travel",_xlfn.XLOOKUP($P213,'Department Listing'!$A:$A,'Department Listing'!$M:$M),_xlfn.XLOOKUP($W213,'Category Mapping'!$C:$C,'Category Mapping'!$D:$D)),$K213))</f>
        <v>General &amp; Administrative:G&amp;A- Travel Expenses:</v>
      </c>
      <c r="W213" s="19" t="str">
        <f t="shared" si="30"/>
        <v>Ground Transportation</v>
      </c>
      <c r="X213" s="19" t="str">
        <f t="shared" si="31"/>
        <v>General &amp; Administrative:G&amp;A- Travel Expenses:Ground Transportation</v>
      </c>
      <c r="Y213" s="20" t="str">
        <f>IF(ISBLANK($M213),IFERROR(_xlfn.XLOOKUP($P213,'Department Listing'!$A:$A,'Department Listing'!$L:$L),""),$M213)</f>
        <v>100- Operations:110- G&amp;A</v>
      </c>
      <c r="Z213" s="11">
        <f>IF(ISBLANK($B213),"",MATCH($X213,COA!$B:$B,0))</f>
        <v>149</v>
      </c>
    </row>
    <row r="214" spans="2:26" ht="15.75" customHeight="1" x14ac:dyDescent="0.25">
      <c r="B214" s="14">
        <v>46231</v>
      </c>
      <c r="C214" t="s">
        <v>366</v>
      </c>
      <c r="E214" s="23"/>
      <c r="F214" s="16">
        <v>35</v>
      </c>
      <c r="G214" s="10"/>
      <c r="H214" s="10"/>
      <c r="I214" s="9" t="s">
        <v>117</v>
      </c>
      <c r="J214" s="9"/>
      <c r="K214" s="9"/>
      <c r="L214" s="9" t="s">
        <v>66</v>
      </c>
      <c r="M214" s="9"/>
      <c r="N214" s="17"/>
      <c r="O214" s="17" t="str">
        <f t="shared" si="24"/>
        <v>Tomas Cespedes</v>
      </c>
      <c r="P214" s="17">
        <f>IFERROR(_xlfn.XLOOKUP(O214,'Department Listing'!$O$1:$O$395,'Department Listing'!$A$1:$A$395),IFERROR(_xlfn.XLOOKUP(O214,'Name Aliases'!$A$2:$A$1000,'Name Aliases'!$B$2:$B$1000),""))</f>
        <v>18</v>
      </c>
      <c r="Q214" s="18">
        <f t="shared" si="25"/>
        <v>46231</v>
      </c>
      <c r="R214" s="17" t="str">
        <f t="shared" si="26"/>
        <v>Back Bay Garage</v>
      </c>
      <c r="S214" s="19">
        <f t="shared" si="27"/>
        <v>35</v>
      </c>
      <c r="T214" s="17" t="str">
        <f t="shared" si="28"/>
        <v>VPNE BackBayGarage MASTERCARD-XXXXXXZYJ7J6-Tomas Cespedes</v>
      </c>
      <c r="U214" s="17" t="str">
        <f t="shared" si="29"/>
        <v>Brex Credit Card</v>
      </c>
      <c r="V214" s="19" t="str">
        <f>IF(ISBLANK($B214),"",IF(ISBLANK($K214),IF(_xlfn.XLOOKUP($W214,'Category Mapping'!$C:$C,'Category Mapping'!$B:$B)="Travel",_xlfn.XLOOKUP($P214,'Department Listing'!$A:$A,'Department Listing'!$M:$M),_xlfn.XLOOKUP($W214,'Category Mapping'!$C:$C,'Category Mapping'!$D:$D)),$K214))</f>
        <v>Sales &amp; Marketing:Sales &amp; Marketing- Travel Expenses:</v>
      </c>
      <c r="W214" s="19" t="str">
        <f t="shared" si="30"/>
        <v>Ground Transportation</v>
      </c>
      <c r="X214" s="19" t="str">
        <f t="shared" si="31"/>
        <v>Sales &amp; Marketing:Sales &amp; Marketing- Travel Expenses:Ground Transportation</v>
      </c>
      <c r="Y214" s="20" t="str">
        <f>IF(ISBLANK($M214),IFERROR(_xlfn.XLOOKUP($P214,'Department Listing'!$A:$A,'Department Listing'!$L:$L),""),$M214)</f>
        <v>200- Datadog:230- Sales</v>
      </c>
      <c r="Z214" s="11">
        <f>IF(ISBLANK($B214),"",MATCH($X214,COA!$B:$B,0))</f>
        <v>200</v>
      </c>
    </row>
    <row r="215" spans="2:26" ht="15.75" customHeight="1" x14ac:dyDescent="0.25">
      <c r="B215" s="14">
        <v>46232</v>
      </c>
      <c r="C215" t="s">
        <v>368</v>
      </c>
      <c r="E215" s="23" t="s">
        <v>76</v>
      </c>
      <c r="F215" s="16">
        <v>10.99</v>
      </c>
      <c r="G215" s="10"/>
      <c r="H215" s="10"/>
      <c r="I215" s="9" t="s">
        <v>287</v>
      </c>
      <c r="J215" s="9"/>
      <c r="K215" s="9"/>
      <c r="L215" s="9" t="s">
        <v>78</v>
      </c>
      <c r="M215" s="9"/>
      <c r="N215" s="17"/>
      <c r="O215" s="17" t="str">
        <f t="shared" si="24"/>
        <v>Toni Manning</v>
      </c>
      <c r="P215" s="17">
        <f>IFERROR(_xlfn.XLOOKUP(O215,'Department Listing'!$O$1:$O$395,'Department Listing'!$A$1:$A$395),IFERROR(_xlfn.XLOOKUP(O215,'Name Aliases'!$A$2:$A$1000,'Name Aliases'!$B$2:$B$1000),""))</f>
        <v>121</v>
      </c>
      <c r="Q215" s="18">
        <f t="shared" si="25"/>
        <v>46232</v>
      </c>
      <c r="R215" s="17" t="str">
        <f t="shared" si="26"/>
        <v>Starbucks</v>
      </c>
      <c r="S215" s="19">
        <f t="shared" si="27"/>
        <v>10.99</v>
      </c>
      <c r="T215" s="17" t="str">
        <f t="shared" si="28"/>
        <v>STARBUCKS STORE 80448 MASTERCARD-XXXXXXSXHAHD-Toni Manning</v>
      </c>
      <c r="U215" s="17" t="str">
        <f t="shared" si="29"/>
        <v>Brex Credit Card</v>
      </c>
      <c r="V215" s="19" t="str">
        <f>IF(ISBLANK($B215),"",IF(ISBLANK($K215),IF(_xlfn.XLOOKUP($W215,'Category Mapping'!$C:$C,'Category Mapping'!$B:$B)="Travel",_xlfn.XLOOKUP($P215,'Department Listing'!$A:$A,'Department Listing'!$M:$M),_xlfn.XLOOKUP($W215,'Category Mapping'!$C:$C,'Category Mapping'!$D:$D)),$K215))</f>
        <v>Sales &amp; Marketing:Sales &amp; Marketing- Travel Expenses:</v>
      </c>
      <c r="W215" s="19" t="str">
        <f t="shared" si="30"/>
        <v>Meals &amp; Entertainment</v>
      </c>
      <c r="X215" s="19" t="str">
        <f t="shared" si="31"/>
        <v>Sales &amp; Marketing:Sales &amp; Marketing- Travel Expenses:Meals &amp; Entertainment</v>
      </c>
      <c r="Y215" s="20" t="str">
        <f>IF(ISBLANK($M215),IFERROR(_xlfn.XLOOKUP($P215,'Department Listing'!$A:$A,'Department Listing'!$L:$L),""),$M215)</f>
        <v>100- Operations:120- Marketing</v>
      </c>
      <c r="Z215" s="11">
        <f>IF(ISBLANK($B215),"",MATCH($X215,COA!$B:$B,0))</f>
        <v>202</v>
      </c>
    </row>
    <row r="216" spans="2:26" ht="15.75" customHeight="1" x14ac:dyDescent="0.25">
      <c r="B216" s="14">
        <v>46231</v>
      </c>
      <c r="C216" t="s">
        <v>369</v>
      </c>
      <c r="E216" s="23" t="s">
        <v>64</v>
      </c>
      <c r="F216" s="16">
        <v>2.75</v>
      </c>
      <c r="G216" s="10"/>
      <c r="H216" s="10"/>
      <c r="I216" s="9" t="s">
        <v>74</v>
      </c>
      <c r="J216" s="9"/>
      <c r="K216" s="9"/>
      <c r="L216" s="9" t="s">
        <v>66</v>
      </c>
      <c r="M216" s="9"/>
      <c r="N216" s="17"/>
      <c r="O216" s="17" t="str">
        <f t="shared" si="24"/>
        <v>Toni Manning</v>
      </c>
      <c r="P216" s="17">
        <f>IFERROR(_xlfn.XLOOKUP(O216,'Department Listing'!$O$1:$O$395,'Department Listing'!$A$1:$A$395),IFERROR(_xlfn.XLOOKUP(O216,'Name Aliases'!$A$2:$A$1000,'Name Aliases'!$B$2:$B$1000),""))</f>
        <v>121</v>
      </c>
      <c r="Q216" s="18">
        <f t="shared" si="25"/>
        <v>46231</v>
      </c>
      <c r="R216" s="17" t="str">
        <f t="shared" si="26"/>
        <v>Uber</v>
      </c>
      <c r="S216" s="19">
        <f t="shared" si="27"/>
        <v>2.75</v>
      </c>
      <c r="T216" s="17" t="str">
        <f t="shared" si="28"/>
        <v>UBER   *TRIP MASTERCARD-XXXXXXU0BO4Q-Toni Manning</v>
      </c>
      <c r="U216" s="17" t="str">
        <f t="shared" si="29"/>
        <v>Brex Credit Card</v>
      </c>
      <c r="V216" s="19" t="str">
        <f>IF(ISBLANK($B216),"",IF(ISBLANK($K216),IF(_xlfn.XLOOKUP($W216,'Category Mapping'!$C:$C,'Category Mapping'!$B:$B)="Travel",_xlfn.XLOOKUP($P216,'Department Listing'!$A:$A,'Department Listing'!$M:$M),_xlfn.XLOOKUP($W216,'Category Mapping'!$C:$C,'Category Mapping'!$D:$D)),$K216))</f>
        <v>Sales &amp; Marketing:Sales &amp; Marketing- Travel Expenses:</v>
      </c>
      <c r="W216" s="19" t="str">
        <f t="shared" si="30"/>
        <v>Ground Transportation</v>
      </c>
      <c r="X216" s="19" t="str">
        <f t="shared" si="31"/>
        <v>Sales &amp; Marketing:Sales &amp; Marketing- Travel Expenses:Ground Transportation</v>
      </c>
      <c r="Y216" s="20" t="str">
        <f>IF(ISBLANK($M216),IFERROR(_xlfn.XLOOKUP($P216,'Department Listing'!$A:$A,'Department Listing'!$L:$L),""),$M216)</f>
        <v>100- Operations:120- Marketing</v>
      </c>
      <c r="Z216" s="11">
        <f>IF(ISBLANK($B216),"",MATCH($X216,COA!$B:$B,0))</f>
        <v>200</v>
      </c>
    </row>
    <row r="217" spans="2:26" ht="15.75" customHeight="1" x14ac:dyDescent="0.25">
      <c r="B217" s="14">
        <v>46231</v>
      </c>
      <c r="C217" t="s">
        <v>370</v>
      </c>
      <c r="E217" s="23" t="s">
        <v>64</v>
      </c>
      <c r="F217" s="16">
        <v>29.03</v>
      </c>
      <c r="G217" s="10"/>
      <c r="H217" s="10"/>
      <c r="I217" s="9" t="s">
        <v>74</v>
      </c>
      <c r="J217" s="9"/>
      <c r="K217" s="9"/>
      <c r="L217" s="9" t="s">
        <v>66</v>
      </c>
      <c r="M217" s="9"/>
      <c r="N217" s="17"/>
      <c r="O217" s="17" t="str">
        <f t="shared" si="24"/>
        <v>Tyler Grimshaw</v>
      </c>
      <c r="P217" s="17">
        <f>IFERROR(_xlfn.XLOOKUP(O217,'Department Listing'!$O$1:$O$395,'Department Listing'!$A$1:$A$395),IFERROR(_xlfn.XLOOKUP(O217,'Name Aliases'!$A$2:$A$1000,'Name Aliases'!$B$2:$B$1000),""))</f>
        <v>264</v>
      </c>
      <c r="Q217" s="18">
        <f t="shared" si="25"/>
        <v>46231</v>
      </c>
      <c r="R217" s="17" t="str">
        <f t="shared" si="26"/>
        <v>Uber</v>
      </c>
      <c r="S217" s="19">
        <f t="shared" si="27"/>
        <v>29.03</v>
      </c>
      <c r="T217" s="17" t="str">
        <f t="shared" si="28"/>
        <v>UBER   *EATS MASTERCARD-XXXXXX51PIWG-Tyler Grimshaw</v>
      </c>
      <c r="U217" s="17" t="str">
        <f t="shared" si="29"/>
        <v>Brex Credit Card</v>
      </c>
      <c r="V217" s="19" t="str">
        <f>IF(ISBLANK($B217),"",IF(ISBLANK($K217),IF(_xlfn.XLOOKUP($W217,'Category Mapping'!$C:$C,'Category Mapping'!$B:$B)="Travel",_xlfn.XLOOKUP($P217,'Department Listing'!$A:$A,'Department Listing'!$M:$M),_xlfn.XLOOKUP($W217,'Category Mapping'!$C:$C,'Category Mapping'!$D:$D)),$K217))</f>
        <v>Sales &amp; Marketing:Sales &amp; Marketing- Travel Expenses:</v>
      </c>
      <c r="W217" s="19" t="str">
        <f t="shared" si="30"/>
        <v>Ground Transportation</v>
      </c>
      <c r="X217" s="19" t="str">
        <f t="shared" si="31"/>
        <v>Sales &amp; Marketing:Sales &amp; Marketing- Travel Expenses:Ground Transportation</v>
      </c>
      <c r="Y217" s="20" t="str">
        <f>IF(ISBLANK($M217),IFERROR(_xlfn.XLOOKUP($P217,'Department Listing'!$A:$A,'Department Listing'!$L:$L),""),$M217)</f>
        <v>200- Datadog:230- Sales</v>
      </c>
      <c r="Z217" s="11">
        <f>IF(ISBLANK($B217),"",MATCH($X217,COA!$B:$B,0))</f>
        <v>200</v>
      </c>
    </row>
    <row r="218" spans="2:26" ht="15.75" customHeight="1" x14ac:dyDescent="0.25">
      <c r="B218" s="14">
        <v>46231</v>
      </c>
      <c r="C218" t="s">
        <v>371</v>
      </c>
      <c r="E218" s="23" t="s">
        <v>76</v>
      </c>
      <c r="F218" s="16">
        <v>25</v>
      </c>
      <c r="G218" s="10"/>
      <c r="H218" s="10"/>
      <c r="I218" s="9" t="s">
        <v>287</v>
      </c>
      <c r="J218" s="9"/>
      <c r="K218" s="9"/>
      <c r="L218" s="9" t="s">
        <v>78</v>
      </c>
      <c r="M218" s="9"/>
      <c r="N218" s="17"/>
      <c r="O218" s="17" t="str">
        <f t="shared" si="24"/>
        <v>Mickenzi Krpec</v>
      </c>
      <c r="P218" s="17">
        <f>IFERROR(_xlfn.XLOOKUP(O218,'Department Listing'!$O$1:$O$395,'Department Listing'!$A$1:$A$395),IFERROR(_xlfn.XLOOKUP(O218,'Name Aliases'!$A$2:$A$1000,'Name Aliases'!$B$2:$B$1000),""))</f>
        <v>170</v>
      </c>
      <c r="Q218" s="18">
        <f t="shared" si="25"/>
        <v>46231</v>
      </c>
      <c r="R218" s="17" t="str">
        <f t="shared" si="26"/>
        <v>Starbucks</v>
      </c>
      <c r="S218" s="19">
        <f t="shared" si="27"/>
        <v>25</v>
      </c>
      <c r="T218" s="17" t="str">
        <f t="shared" si="28"/>
        <v>STARBUCKS 8007827282 MASTERCARD-XXXXXXT32D5A-Mickenzi Krpec</v>
      </c>
      <c r="U218" s="17" t="str">
        <f t="shared" si="29"/>
        <v>Brex Credit Card</v>
      </c>
      <c r="V218" s="19" t="str">
        <f>IF(ISBLANK($B218),"",IF(ISBLANK($K218),IF(_xlfn.XLOOKUP($W218,'Category Mapping'!$C:$C,'Category Mapping'!$B:$B)="Travel",_xlfn.XLOOKUP($P218,'Department Listing'!$A:$A,'Department Listing'!$M:$M),_xlfn.XLOOKUP($W218,'Category Mapping'!$C:$C,'Category Mapping'!$D:$D)),$K218))</f>
        <v>General &amp; Administrative:G&amp;A- Travel Expenses:</v>
      </c>
      <c r="W218" s="19" t="str">
        <f t="shared" si="30"/>
        <v>Meals &amp; Entertainment</v>
      </c>
      <c r="X218" s="19" t="str">
        <f t="shared" si="31"/>
        <v>General &amp; Administrative:G&amp;A- Travel Expenses:Meals &amp; Entertainment</v>
      </c>
      <c r="Y218" s="20" t="str">
        <f>IF(ISBLANK($M218),IFERROR(_xlfn.XLOOKUP($P218,'Department Listing'!$A:$A,'Department Listing'!$L:$L),""),$M218)</f>
        <v>100- Operations:110- G&amp;A</v>
      </c>
      <c r="Z218" s="11">
        <f>IF(ISBLANK($B218),"",MATCH($X218,COA!$B:$B,0))</f>
        <v>151</v>
      </c>
    </row>
    <row r="219" spans="2:26" ht="15.75" customHeight="1" x14ac:dyDescent="0.25">
      <c r="B219" s="14">
        <v>46231</v>
      </c>
      <c r="C219" t="s">
        <v>372</v>
      </c>
      <c r="E219" s="23"/>
      <c r="F219" s="16">
        <v>25.06</v>
      </c>
      <c r="G219" s="10"/>
      <c r="H219" s="10"/>
      <c r="I219" s="9" t="s">
        <v>33</v>
      </c>
      <c r="J219" s="9"/>
      <c r="K219" s="9"/>
      <c r="L219" s="9" t="s">
        <v>165</v>
      </c>
      <c r="M219" s="9"/>
      <c r="N219" s="17"/>
      <c r="O219" s="17" t="str">
        <f t="shared" si="24"/>
        <v>Gary Passaglia</v>
      </c>
      <c r="P219" s="17">
        <f>IFERROR(_xlfn.XLOOKUP(O219,'Department Listing'!$O$1:$O$395,'Department Listing'!$A$1:$A$395),IFERROR(_xlfn.XLOOKUP(O219,'Name Aliases'!$A$2:$A$1000,'Name Aliases'!$B$2:$B$1000),""))</f>
        <v>148</v>
      </c>
      <c r="Q219" s="18">
        <f t="shared" si="25"/>
        <v>46231</v>
      </c>
      <c r="R219" s="17" t="str">
        <f t="shared" si="26"/>
        <v>Travel Vendor</v>
      </c>
      <c r="S219" s="19">
        <f t="shared" si="27"/>
        <v>25.06</v>
      </c>
      <c r="T219" s="17" t="str">
        <f t="shared" si="28"/>
        <v>PHX 12 News Shop MASTERCARD-XXXXXXPK05Q9-Gary Passaglia</v>
      </c>
      <c r="U219" s="17" t="str">
        <f t="shared" si="29"/>
        <v>Brex Credit Card</v>
      </c>
      <c r="V219" s="19" t="str">
        <f>IF(ISBLANK($B219),"",IF(ISBLANK($K219),IF(_xlfn.XLOOKUP($W219,'Category Mapping'!$C:$C,'Category Mapping'!$B:$B)="Travel",_xlfn.XLOOKUP($P219,'Department Listing'!$A:$A,'Department Listing'!$M:$M),_xlfn.XLOOKUP($W219,'Category Mapping'!$C:$C,'Category Mapping'!$D:$D)),$K219))</f>
        <v>Sales &amp; Marketing:Sales &amp; Marketing- Travel Expenses:</v>
      </c>
      <c r="W219" s="19" t="str">
        <f t="shared" si="30"/>
        <v>Airfare</v>
      </c>
      <c r="X219" s="19" t="str">
        <f t="shared" si="31"/>
        <v>Sales &amp; Marketing:Sales &amp; Marketing- Travel Expenses:Airfare</v>
      </c>
      <c r="Y219" s="20" t="str">
        <f>IF(ISBLANK($M219),IFERROR(_xlfn.XLOOKUP($P219,'Department Listing'!$A:$A,'Department Listing'!$L:$L),""),$M219)</f>
        <v>300- ServiceNow:330- Sales</v>
      </c>
      <c r="Z219" s="11">
        <f>IF(ISBLANK($B219),"",MATCH($X219,COA!$B:$B,0))</f>
        <v>199</v>
      </c>
    </row>
    <row r="220" spans="2:26" ht="15.75" customHeight="1" x14ac:dyDescent="0.25">
      <c r="B220" s="14">
        <v>46231</v>
      </c>
      <c r="C220" t="s">
        <v>373</v>
      </c>
      <c r="E220" s="23"/>
      <c r="F220" s="16">
        <v>13.8</v>
      </c>
      <c r="G220" s="10"/>
      <c r="H220" s="10"/>
      <c r="I220" s="9" t="s">
        <v>37</v>
      </c>
      <c r="J220" s="9"/>
      <c r="K220" s="9"/>
      <c r="L220" s="9" t="s">
        <v>94</v>
      </c>
      <c r="M220" s="9"/>
      <c r="N220" s="17"/>
      <c r="O220" s="17" t="str">
        <f t="shared" si="24"/>
        <v>Matt Hyman</v>
      </c>
      <c r="P220" s="17">
        <f>IFERROR(_xlfn.XLOOKUP(O220,'Department Listing'!$O$1:$O$395,'Department Listing'!$A$1:$A$395),IFERROR(_xlfn.XLOOKUP(O220,'Name Aliases'!$A$2:$A$1000,'Name Aliases'!$B$2:$B$1000),""))</f>
        <v>24</v>
      </c>
      <c r="Q220" s="18">
        <f t="shared" si="25"/>
        <v>46231</v>
      </c>
      <c r="R220" s="17" t="str">
        <f t="shared" si="26"/>
        <v>Office Vendor</v>
      </c>
      <c r="S220" s="19">
        <f t="shared" si="27"/>
        <v>13.8</v>
      </c>
      <c r="T220" s="17" t="str">
        <f t="shared" si="28"/>
        <v>HUDSONST1738 MASTERCARD-XXXXXX94L39J-Matt Hyman</v>
      </c>
      <c r="U220" s="17" t="str">
        <f t="shared" si="29"/>
        <v>Brex Credit Card</v>
      </c>
      <c r="V220" s="19" t="str">
        <f>IF(ISBLANK($B220),"",IF(ISBLANK($K220),IF(_xlfn.XLOOKUP($W220,'Category Mapping'!$C:$C,'Category Mapping'!$B:$B)="Travel",_xlfn.XLOOKUP($P220,'Department Listing'!$A:$A,'Department Listing'!$M:$M),_xlfn.XLOOKUP($W220,'Category Mapping'!$C:$C,'Category Mapping'!$D:$D)),$K220))</f>
        <v>General &amp; Administrative:Office Expenses:</v>
      </c>
      <c r="W220" s="19" t="str">
        <f t="shared" si="30"/>
        <v>Dues &amp; Subscriptions</v>
      </c>
      <c r="X220" s="19" t="str">
        <f t="shared" si="31"/>
        <v>General &amp; Administrative:Office Expenses:Dues &amp; Subscriptions</v>
      </c>
      <c r="Y220" s="20" t="str">
        <f>IF(ISBLANK($M220),IFERROR(_xlfn.XLOOKUP($P220,'Department Listing'!$A:$A,'Department Listing'!$L:$L),""),$M220)</f>
        <v>300- ServiceNow:330- Sales</v>
      </c>
      <c r="Z220" s="11">
        <f>IF(ISBLANK($B220),"",MATCH($X220,COA!$B:$B,0))</f>
        <v>159</v>
      </c>
    </row>
    <row r="221" spans="2:26" ht="15.75" customHeight="1" x14ac:dyDescent="0.25">
      <c r="B221" s="14">
        <v>46231</v>
      </c>
      <c r="C221" t="s">
        <v>374</v>
      </c>
      <c r="E221" s="23" t="s">
        <v>76</v>
      </c>
      <c r="F221" s="16">
        <v>16.91</v>
      </c>
      <c r="G221" s="10"/>
      <c r="H221" s="10"/>
      <c r="I221" s="9" t="s">
        <v>77</v>
      </c>
      <c r="J221" s="9"/>
      <c r="K221" s="9"/>
      <c r="L221" s="9" t="s">
        <v>78</v>
      </c>
      <c r="M221" s="9"/>
      <c r="N221" s="17"/>
      <c r="O221" s="17" t="str">
        <f t="shared" si="24"/>
        <v>Ben Savage</v>
      </c>
      <c r="P221" s="17">
        <f>IFERROR(_xlfn.XLOOKUP(O221,'Department Listing'!$O$1:$O$395,'Department Listing'!$A$1:$A$395),IFERROR(_xlfn.XLOOKUP(O221,'Name Aliases'!$A$2:$A$1000,'Name Aliases'!$B$2:$B$1000),""))</f>
        <v>71</v>
      </c>
      <c r="Q221" s="18">
        <f t="shared" si="25"/>
        <v>46231</v>
      </c>
      <c r="R221" s="17" t="str">
        <f t="shared" si="26"/>
        <v>Sweeney's</v>
      </c>
      <c r="S221" s="19">
        <f t="shared" si="27"/>
        <v>16.91</v>
      </c>
      <c r="T221" s="17" t="str">
        <f t="shared" si="28"/>
        <v>TST*SWEENEYS MASTERCARD-XXXXXX2CS49P-Ben Savage</v>
      </c>
      <c r="U221" s="17" t="str">
        <f t="shared" si="29"/>
        <v>Brex Credit Card</v>
      </c>
      <c r="V221" s="19" t="str">
        <f>IF(ISBLANK($B221),"",IF(ISBLANK($K221),IF(_xlfn.XLOOKUP($W221,'Category Mapping'!$C:$C,'Category Mapping'!$B:$B)="Travel",_xlfn.XLOOKUP($P221,'Department Listing'!$A:$A,'Department Listing'!$M:$M),_xlfn.XLOOKUP($W221,'Category Mapping'!$C:$C,'Category Mapping'!$D:$D)),$K221))</f>
        <v>Cost of Goods Sold:COGS- Travel Expenses:</v>
      </c>
      <c r="W221" s="19" t="str">
        <f t="shared" si="30"/>
        <v>Meals &amp; Entertainment</v>
      </c>
      <c r="X221" s="19" t="str">
        <f t="shared" si="31"/>
        <v>Cost of Goods Sold:COGS- Travel Expenses:Meals &amp; Entertainment</v>
      </c>
      <c r="Y221" s="20" t="str">
        <f>IF(ISBLANK($M221),IFERROR(_xlfn.XLOOKUP($P221,'Department Listing'!$A:$A,'Department Listing'!$L:$L),""),$M221)</f>
        <v>300- ServiceNow:320- Engineering</v>
      </c>
      <c r="Z221" s="11">
        <f>IF(ISBLANK($B221),"",MATCH($X221,COA!$B:$B,0))</f>
        <v>126</v>
      </c>
    </row>
    <row r="222" spans="2:26" ht="15.75" customHeight="1" x14ac:dyDescent="0.25">
      <c r="B222" s="14">
        <v>46231</v>
      </c>
      <c r="C222" t="s">
        <v>375</v>
      </c>
      <c r="E222" s="23"/>
      <c r="F222" s="16">
        <v>48.74</v>
      </c>
      <c r="G222" s="10"/>
      <c r="H222" s="10"/>
      <c r="I222" s="9" t="s">
        <v>36</v>
      </c>
      <c r="J222" s="9"/>
      <c r="K222" s="9"/>
      <c r="L222" s="9" t="s">
        <v>78</v>
      </c>
      <c r="M222" s="9"/>
      <c r="N222" s="17"/>
      <c r="O222" s="17" t="str">
        <f t="shared" si="24"/>
        <v>Gary Passaglia</v>
      </c>
      <c r="P222" s="17">
        <f>IFERROR(_xlfn.XLOOKUP(O222,'Department Listing'!$O$1:$O$395,'Department Listing'!$A$1:$A$395),IFERROR(_xlfn.XLOOKUP(O222,'Name Aliases'!$A$2:$A$1000,'Name Aliases'!$B$2:$B$1000),""))</f>
        <v>148</v>
      </c>
      <c r="Q222" s="18">
        <f t="shared" si="25"/>
        <v>46231</v>
      </c>
      <c r="R222" s="17" t="str">
        <f t="shared" si="26"/>
        <v>Food Vendor</v>
      </c>
      <c r="S222" s="19">
        <f t="shared" si="27"/>
        <v>48.74</v>
      </c>
      <c r="T222" s="17" t="str">
        <f t="shared" si="28"/>
        <v>PHX HUMBLE PIE S3 6301 MASTERCARD-XXXXXXB7OGA3-Gary Passaglia</v>
      </c>
      <c r="U222" s="17" t="str">
        <f t="shared" si="29"/>
        <v>Brex Credit Card</v>
      </c>
      <c r="V222" s="19" t="str">
        <f>IF(ISBLANK($B222),"",IF(ISBLANK($K222),IF(_xlfn.XLOOKUP($W222,'Category Mapping'!$C:$C,'Category Mapping'!$B:$B)="Travel",_xlfn.XLOOKUP($P222,'Department Listing'!$A:$A,'Department Listing'!$M:$M),_xlfn.XLOOKUP($W222,'Category Mapping'!$C:$C,'Category Mapping'!$D:$D)),$K222))</f>
        <v>Sales &amp; Marketing:Sales &amp; Marketing- Travel Expenses:</v>
      </c>
      <c r="W222" s="19" t="str">
        <f t="shared" si="30"/>
        <v>Meals &amp; Entertainment</v>
      </c>
      <c r="X222" s="19" t="str">
        <f t="shared" si="31"/>
        <v>Sales &amp; Marketing:Sales &amp; Marketing- Travel Expenses:Meals &amp; Entertainment</v>
      </c>
      <c r="Y222" s="20" t="str">
        <f>IF(ISBLANK($M222),IFERROR(_xlfn.XLOOKUP($P222,'Department Listing'!$A:$A,'Department Listing'!$L:$L),""),$M222)</f>
        <v>300- ServiceNow:330- Sales</v>
      </c>
      <c r="Z222" s="11">
        <f>IF(ISBLANK($B222),"",MATCH($X222,COA!$B:$B,0))</f>
        <v>202</v>
      </c>
    </row>
    <row r="223" spans="2:26" ht="15.75" customHeight="1" x14ac:dyDescent="0.25">
      <c r="B223" s="14">
        <v>46231</v>
      </c>
      <c r="C223" t="s">
        <v>376</v>
      </c>
      <c r="E223" s="23"/>
      <c r="F223" s="16">
        <v>15</v>
      </c>
      <c r="G223" s="10"/>
      <c r="H223" s="10"/>
      <c r="I223" s="9" t="s">
        <v>37</v>
      </c>
      <c r="J223" s="9"/>
      <c r="K223" s="9"/>
      <c r="L223" s="9" t="s">
        <v>377</v>
      </c>
      <c r="M223" s="9"/>
      <c r="N223" s="17"/>
      <c r="O223" s="17" t="str">
        <f t="shared" si="24"/>
        <v>Angel Angelov</v>
      </c>
      <c r="P223" s="17">
        <f>IFERROR(_xlfn.XLOOKUP(O223,'Department Listing'!$O$1:$O$395,'Department Listing'!$A$1:$A$395),IFERROR(_xlfn.XLOOKUP(O223,'Name Aliases'!$A$2:$A$1000,'Name Aliases'!$B$2:$B$1000),""))</f>
        <v>248</v>
      </c>
      <c r="Q223" s="18">
        <f t="shared" si="25"/>
        <v>46231</v>
      </c>
      <c r="R223" s="17" t="str">
        <f t="shared" si="26"/>
        <v>Office Vendor</v>
      </c>
      <c r="S223" s="19">
        <f t="shared" si="27"/>
        <v>15</v>
      </c>
      <c r="T223" s="17" t="str">
        <f t="shared" si="28"/>
        <v>esimplus.me MASTERCARD-XXXXXXWT88J5-Angel Angelov</v>
      </c>
      <c r="U223" s="17" t="str">
        <f t="shared" si="29"/>
        <v>Brex Credit Card</v>
      </c>
      <c r="V223" s="19" t="str">
        <f>IF(ISBLANK($B223),"",IF(ISBLANK($K223),IF(_xlfn.XLOOKUP($W223,'Category Mapping'!$C:$C,'Category Mapping'!$B:$B)="Travel",_xlfn.XLOOKUP($P223,'Department Listing'!$A:$A,'Department Listing'!$M:$M),_xlfn.XLOOKUP($W223,'Category Mapping'!$C:$C,'Category Mapping'!$D:$D)),$K223))</f>
        <v>General &amp; Administrative:Office Expenses:</v>
      </c>
      <c r="W223" s="19" t="str">
        <f t="shared" si="30"/>
        <v>Utilities</v>
      </c>
      <c r="X223" s="19" t="str">
        <f t="shared" si="31"/>
        <v>General &amp; Administrative:Office Expenses:Utilities</v>
      </c>
      <c r="Y223" s="20" t="str">
        <f>IF(ISBLANK($M223),IFERROR(_xlfn.XLOOKUP($P223,'Department Listing'!$A:$A,'Department Listing'!$L:$L),""),$M223)</f>
        <v>300- ServiceNow:320- Engineering</v>
      </c>
      <c r="Z223" s="11">
        <f>IF(ISBLANK($B223),"",MATCH($X223,COA!$B:$B,0))</f>
        <v>164</v>
      </c>
    </row>
    <row r="224" spans="2:26" ht="15.75" customHeight="1" x14ac:dyDescent="0.25">
      <c r="B224" s="14">
        <v>46231</v>
      </c>
      <c r="C224" t="s">
        <v>378</v>
      </c>
      <c r="E224" s="23" t="s">
        <v>64</v>
      </c>
      <c r="F224" s="16">
        <v>37.479999999999997</v>
      </c>
      <c r="G224" s="10"/>
      <c r="H224" s="10"/>
      <c r="I224" s="9" t="s">
        <v>74</v>
      </c>
      <c r="J224" s="9"/>
      <c r="K224" s="9"/>
      <c r="L224" s="9" t="s">
        <v>66</v>
      </c>
      <c r="M224" s="9"/>
      <c r="N224" s="17"/>
      <c r="O224" s="17" t="str">
        <f t="shared" si="24"/>
        <v>John Taylor</v>
      </c>
      <c r="P224" s="17">
        <f>IFERROR(_xlfn.XLOOKUP(O224,'Department Listing'!$O$1:$O$395,'Department Listing'!$A$1:$A$395),IFERROR(_xlfn.XLOOKUP(O224,'Name Aliases'!$A$2:$A$1000,'Name Aliases'!$B$2:$B$1000),""))</f>
        <v>118</v>
      </c>
      <c r="Q224" s="18">
        <f t="shared" si="25"/>
        <v>46231</v>
      </c>
      <c r="R224" s="17" t="str">
        <f t="shared" si="26"/>
        <v>Uber</v>
      </c>
      <c r="S224" s="19">
        <f t="shared" si="27"/>
        <v>37.479999999999997</v>
      </c>
      <c r="T224" s="17" t="str">
        <f t="shared" si="28"/>
        <v>UBER   *TRIP MASTERCARD-XXXXXXUSNTEW-John Taylor</v>
      </c>
      <c r="U224" s="17" t="str">
        <f t="shared" si="29"/>
        <v>Brex Credit Card</v>
      </c>
      <c r="V224" s="19" t="str">
        <f>IF(ISBLANK($B224),"",IF(ISBLANK($K224),IF(_xlfn.XLOOKUP($W224,'Category Mapping'!$C:$C,'Category Mapping'!$B:$B)="Travel",_xlfn.XLOOKUP($P224,'Department Listing'!$A:$A,'Department Listing'!$M:$M),_xlfn.XLOOKUP($W224,'Category Mapping'!$C:$C,'Category Mapping'!$D:$D)),$K224))</f>
        <v>Sales &amp; Marketing:Sales &amp; Marketing- Travel Expenses:</v>
      </c>
      <c r="W224" s="19" t="str">
        <f t="shared" si="30"/>
        <v>Ground Transportation</v>
      </c>
      <c r="X224" s="19" t="str">
        <f t="shared" si="31"/>
        <v>Sales &amp; Marketing:Sales &amp; Marketing- Travel Expenses:Ground Transportation</v>
      </c>
      <c r="Y224" s="20" t="str">
        <f>IF(ISBLANK($M224),IFERROR(_xlfn.XLOOKUP($P224,'Department Listing'!$A:$A,'Department Listing'!$L:$L),""),$M224)</f>
        <v>300- ServiceNow:330- Sales</v>
      </c>
      <c r="Z224" s="11">
        <f>IF(ISBLANK($B224),"",MATCH($X224,COA!$B:$B,0))</f>
        <v>200</v>
      </c>
    </row>
    <row r="225" spans="2:26" ht="15.75" customHeight="1" x14ac:dyDescent="0.25">
      <c r="B225" s="14">
        <v>46231</v>
      </c>
      <c r="C225" t="s">
        <v>379</v>
      </c>
      <c r="E225" s="23" t="s">
        <v>76</v>
      </c>
      <c r="F225" s="16">
        <v>34.909999999999997</v>
      </c>
      <c r="G225" s="10"/>
      <c r="H225" s="10"/>
      <c r="I225" s="9" t="s">
        <v>246</v>
      </c>
      <c r="J225" s="9"/>
      <c r="K225" s="9"/>
      <c r="L225" s="9" t="s">
        <v>78</v>
      </c>
      <c r="M225" s="9"/>
      <c r="N225" s="17"/>
      <c r="O225" s="17" t="str">
        <f t="shared" si="24"/>
        <v>Israel Baral</v>
      </c>
      <c r="P225" s="17">
        <f>IFERROR(_xlfn.XLOOKUP(O225,'Department Listing'!$O$1:$O$395,'Department Listing'!$A$1:$A$395),IFERROR(_xlfn.XLOOKUP(O225,'Name Aliases'!$A$2:$A$1000,'Name Aliases'!$B$2:$B$1000),""))</f>
        <v>215</v>
      </c>
      <c r="Q225" s="18">
        <f t="shared" si="25"/>
        <v>46231</v>
      </c>
      <c r="R225" s="17" t="str">
        <f t="shared" si="26"/>
        <v>Door Dash</v>
      </c>
      <c r="S225" s="19">
        <f t="shared" si="27"/>
        <v>34.909999999999997</v>
      </c>
      <c r="T225" s="17" t="str">
        <f t="shared" si="28"/>
        <v>DD *DOORDASH VEGGIECRU MASTERCARD-XXXXXX1ABYLG-Israel Baral</v>
      </c>
      <c r="U225" s="17" t="str">
        <f t="shared" si="29"/>
        <v>Brex Credit Card</v>
      </c>
      <c r="V225" s="19" t="str">
        <f>IF(ISBLANK($B225),"",IF(ISBLANK($K225),IF(_xlfn.XLOOKUP($W225,'Category Mapping'!$C:$C,'Category Mapping'!$B:$B)="Travel",_xlfn.XLOOKUP($P225,'Department Listing'!$A:$A,'Department Listing'!$M:$M),_xlfn.XLOOKUP($W225,'Category Mapping'!$C:$C,'Category Mapping'!$D:$D)),$K225))</f>
        <v>Cost of Goods Sold:COGS- Travel Expenses:</v>
      </c>
      <c r="W225" s="19" t="str">
        <f t="shared" si="30"/>
        <v>Meals &amp; Entertainment</v>
      </c>
      <c r="X225" s="19" t="str">
        <f t="shared" si="31"/>
        <v>Cost of Goods Sold:COGS- Travel Expenses:Meals &amp; Entertainment</v>
      </c>
      <c r="Y225" s="20" t="str">
        <f>IF(ISBLANK($M225),IFERROR(_xlfn.XLOOKUP($P225,'Department Listing'!$A:$A,'Department Listing'!$L:$L),""),$M225)</f>
        <v>300- ServiceNow:320- Engineering</v>
      </c>
      <c r="Z225" s="11">
        <f>IF(ISBLANK($B225),"",MATCH($X225,COA!$B:$B,0))</f>
        <v>126</v>
      </c>
    </row>
    <row r="226" spans="2:26" ht="15.75" customHeight="1" x14ac:dyDescent="0.25">
      <c r="B226" s="14">
        <v>46231</v>
      </c>
      <c r="C226" t="s">
        <v>380</v>
      </c>
      <c r="E226" s="23"/>
      <c r="F226" s="16">
        <v>195</v>
      </c>
      <c r="G226" s="10"/>
      <c r="H226" s="10"/>
      <c r="I226" s="9" t="s">
        <v>164</v>
      </c>
      <c r="J226" s="9"/>
      <c r="K226" s="9"/>
      <c r="L226" s="9" t="s">
        <v>165</v>
      </c>
      <c r="M226" s="9"/>
      <c r="N226" s="17"/>
      <c r="O226" s="17" t="str">
        <f t="shared" si="24"/>
        <v>Matt Hyman</v>
      </c>
      <c r="P226" s="17">
        <f>IFERROR(_xlfn.XLOOKUP(O226,'Department Listing'!$O$1:$O$395,'Department Listing'!$A$1:$A$395),IFERROR(_xlfn.XLOOKUP(O226,'Name Aliases'!$A$2:$A$1000,'Name Aliases'!$B$2:$B$1000),""))</f>
        <v>24</v>
      </c>
      <c r="Q226" s="18">
        <f t="shared" si="25"/>
        <v>46231</v>
      </c>
      <c r="R226" s="17" t="str">
        <f t="shared" si="26"/>
        <v>Delta</v>
      </c>
      <c r="S226" s="19">
        <f t="shared" si="27"/>
        <v>195</v>
      </c>
      <c r="T226" s="17" t="str">
        <f t="shared" si="28"/>
        <v>DELTA MASTERCARD-XXXXXXVPB6MU-Matt Hyman</v>
      </c>
      <c r="U226" s="17" t="str">
        <f t="shared" si="29"/>
        <v>Brex Credit Card</v>
      </c>
      <c r="V226" s="19" t="str">
        <f>IF(ISBLANK($B226),"",IF(ISBLANK($K226),IF(_xlfn.XLOOKUP($W226,'Category Mapping'!$C:$C,'Category Mapping'!$B:$B)="Travel",_xlfn.XLOOKUP($P226,'Department Listing'!$A:$A,'Department Listing'!$M:$M),_xlfn.XLOOKUP($W226,'Category Mapping'!$C:$C,'Category Mapping'!$D:$D)),$K226))</f>
        <v>Sales &amp; Marketing:Sales &amp; Marketing- Travel Expenses:</v>
      </c>
      <c r="W226" s="19" t="str">
        <f t="shared" si="30"/>
        <v>Airfare</v>
      </c>
      <c r="X226" s="19" t="str">
        <f t="shared" si="31"/>
        <v>Sales &amp; Marketing:Sales &amp; Marketing- Travel Expenses:Airfare</v>
      </c>
      <c r="Y226" s="20" t="str">
        <f>IF(ISBLANK($M226),IFERROR(_xlfn.XLOOKUP($P226,'Department Listing'!$A:$A,'Department Listing'!$L:$L),""),$M226)</f>
        <v>300- ServiceNow:330- Sales</v>
      </c>
      <c r="Z226" s="11">
        <f>IF(ISBLANK($B226),"",MATCH($X226,COA!$B:$B,0))</f>
        <v>199</v>
      </c>
    </row>
    <row r="227" spans="2:26" ht="15.75" customHeight="1" x14ac:dyDescent="0.25">
      <c r="B227" s="14">
        <v>46231</v>
      </c>
      <c r="C227" t="s">
        <v>381</v>
      </c>
      <c r="E227" s="23"/>
      <c r="F227" s="16">
        <v>765.9</v>
      </c>
      <c r="G227" s="10"/>
      <c r="H227" s="10"/>
      <c r="I227" s="9" t="s">
        <v>284</v>
      </c>
      <c r="J227" s="9"/>
      <c r="K227" s="9"/>
      <c r="L227" s="9" t="s">
        <v>165</v>
      </c>
      <c r="M227" s="9"/>
      <c r="N227" s="17"/>
      <c r="O227" s="17" t="str">
        <f t="shared" si="24"/>
        <v>Mickenzi Krpec</v>
      </c>
      <c r="P227" s="17">
        <f>IFERROR(_xlfn.XLOOKUP(O227,'Department Listing'!$O$1:$O$395,'Department Listing'!$A$1:$A$395),IFERROR(_xlfn.XLOOKUP(O227,'Name Aliases'!$A$2:$A$1000,'Name Aliases'!$B$2:$B$1000),""))</f>
        <v>170</v>
      </c>
      <c r="Q227" s="18">
        <f t="shared" si="25"/>
        <v>46231</v>
      </c>
      <c r="R227" s="17" t="str">
        <f t="shared" si="26"/>
        <v>United Airlines</v>
      </c>
      <c r="S227" s="19">
        <f t="shared" si="27"/>
        <v>765.9</v>
      </c>
      <c r="T227" s="17" t="str">
        <f t="shared" si="28"/>
        <v>FIRST UNITED MARKET 2 MASTERCARD-XXXXXXYGQS1C-Mickenzi Krpec</v>
      </c>
      <c r="U227" s="17" t="str">
        <f t="shared" si="29"/>
        <v>Brex Credit Card</v>
      </c>
      <c r="V227" s="19" t="str">
        <f>IF(ISBLANK($B227),"",IF(ISBLANK($K227),IF(_xlfn.XLOOKUP($W227,'Category Mapping'!$C:$C,'Category Mapping'!$B:$B)="Travel",_xlfn.XLOOKUP($P227,'Department Listing'!$A:$A,'Department Listing'!$M:$M),_xlfn.XLOOKUP($W227,'Category Mapping'!$C:$C,'Category Mapping'!$D:$D)),$K227))</f>
        <v>General &amp; Administrative:G&amp;A- Travel Expenses:</v>
      </c>
      <c r="W227" s="19" t="str">
        <f t="shared" si="30"/>
        <v>Airfare</v>
      </c>
      <c r="X227" s="19" t="str">
        <f t="shared" si="31"/>
        <v>General &amp; Administrative:G&amp;A- Travel Expenses:Airfare</v>
      </c>
      <c r="Y227" s="20" t="str">
        <f>IF(ISBLANK($M227),IFERROR(_xlfn.XLOOKUP($P227,'Department Listing'!$A:$A,'Department Listing'!$L:$L),""),$M227)</f>
        <v>100- Operations:110- G&amp;A</v>
      </c>
      <c r="Z227" s="11">
        <f>IF(ISBLANK($B227),"",MATCH($X227,COA!$B:$B,0))</f>
        <v>148</v>
      </c>
    </row>
    <row r="228" spans="2:26" ht="15.75" customHeight="1" x14ac:dyDescent="0.25">
      <c r="B228" s="14">
        <v>46231</v>
      </c>
      <c r="C228" t="s">
        <v>382</v>
      </c>
      <c r="E228" s="23" t="s">
        <v>76</v>
      </c>
      <c r="F228" s="16">
        <v>14.34</v>
      </c>
      <c r="G228" s="10"/>
      <c r="H228" s="10"/>
      <c r="I228" s="9" t="s">
        <v>157</v>
      </c>
      <c r="J228" s="9"/>
      <c r="K228" s="9"/>
      <c r="L228" s="9" t="s">
        <v>78</v>
      </c>
      <c r="M228" s="9"/>
      <c r="N228" s="17"/>
      <c r="O228" s="17" t="str">
        <f t="shared" si="24"/>
        <v>Brendan Nolan</v>
      </c>
      <c r="P228" s="17">
        <f>IFERROR(_xlfn.XLOOKUP(O228,'Department Listing'!$O$1:$O$395,'Department Listing'!$A$1:$A$395),IFERROR(_xlfn.XLOOKUP(O228,'Name Aliases'!$A$2:$A$1000,'Name Aliases'!$B$2:$B$1000),""))</f>
        <v>259</v>
      </c>
      <c r="Q228" s="18">
        <f t="shared" si="25"/>
        <v>46231</v>
      </c>
      <c r="R228" s="17" t="str">
        <f t="shared" si="26"/>
        <v>Dig Inn</v>
      </c>
      <c r="S228" s="19">
        <f t="shared" si="27"/>
        <v>14.34</v>
      </c>
      <c r="T228" s="17" t="str">
        <f t="shared" si="28"/>
        <v>TST* DIG INN - BACK BA MASTERCARD-XXXXXXXPE834-Brendan Nolan</v>
      </c>
      <c r="U228" s="17" t="str">
        <f t="shared" si="29"/>
        <v>Brex Credit Card</v>
      </c>
      <c r="V228" s="19" t="str">
        <f>IF(ISBLANK($B228),"",IF(ISBLANK($K228),IF(_xlfn.XLOOKUP($W228,'Category Mapping'!$C:$C,'Category Mapping'!$B:$B)="Travel",_xlfn.XLOOKUP($P228,'Department Listing'!$A:$A,'Department Listing'!$M:$M),_xlfn.XLOOKUP($W228,'Category Mapping'!$C:$C,'Category Mapping'!$D:$D)),$K228))</f>
        <v>Cost of Goods Sold:COGS- Travel Expenses:</v>
      </c>
      <c r="W228" s="19" t="str">
        <f t="shared" si="30"/>
        <v>Meals &amp; Entertainment</v>
      </c>
      <c r="X228" s="19" t="str">
        <f t="shared" si="31"/>
        <v>Cost of Goods Sold:COGS- Travel Expenses:Meals &amp; Entertainment</v>
      </c>
      <c r="Y228" s="20" t="str">
        <f>IF(ISBLANK($M228),IFERROR(_xlfn.XLOOKUP($P228,'Department Listing'!$A:$A,'Department Listing'!$L:$L),""),$M228)</f>
        <v>300- ServiceNow:320- Engineering</v>
      </c>
      <c r="Z228" s="11">
        <f>IF(ISBLANK($B228),"",MATCH($X228,COA!$B:$B,0))</f>
        <v>126</v>
      </c>
    </row>
    <row r="229" spans="2:26" ht="15.75" customHeight="1" x14ac:dyDescent="0.25">
      <c r="B229" s="14">
        <v>46231</v>
      </c>
      <c r="C229" t="s">
        <v>383</v>
      </c>
      <c r="E229" s="23" t="s">
        <v>64</v>
      </c>
      <c r="F229" s="16">
        <v>25.55</v>
      </c>
      <c r="G229" s="10"/>
      <c r="H229" s="10"/>
      <c r="I229" s="9" t="s">
        <v>268</v>
      </c>
      <c r="J229" s="9"/>
      <c r="K229" s="9"/>
      <c r="L229" s="9" t="s">
        <v>66</v>
      </c>
      <c r="M229" s="9"/>
      <c r="N229" s="17"/>
      <c r="O229" s="17" t="str">
        <f t="shared" si="24"/>
        <v>Dean DeMonte</v>
      </c>
      <c r="P229" s="17">
        <f>IFERROR(_xlfn.XLOOKUP(O229,'Department Listing'!$O$1:$O$395,'Department Listing'!$A$1:$A$395),IFERROR(_xlfn.XLOOKUP(O229,'Name Aliases'!$A$2:$A$1000,'Name Aliases'!$B$2:$B$1000),""))</f>
        <v>216</v>
      </c>
      <c r="Q229" s="18">
        <f t="shared" si="25"/>
        <v>46231</v>
      </c>
      <c r="R229" s="17" t="str">
        <f t="shared" si="26"/>
        <v>Curb</v>
      </c>
      <c r="S229" s="19">
        <f t="shared" si="27"/>
        <v>25.55</v>
      </c>
      <c r="T229" s="17" t="str">
        <f t="shared" si="28"/>
        <v>CURB BOS TAXI MASTERCARD-XXXXXX4DGFH3-Dean DeMonte</v>
      </c>
      <c r="U229" s="17" t="str">
        <f t="shared" si="29"/>
        <v>Brex Credit Card</v>
      </c>
      <c r="V229" s="19" t="str">
        <f>IF(ISBLANK($B229),"",IF(ISBLANK($K229),IF(_xlfn.XLOOKUP($W229,'Category Mapping'!$C:$C,'Category Mapping'!$B:$B)="Travel",_xlfn.XLOOKUP($P229,'Department Listing'!$A:$A,'Department Listing'!$M:$M),_xlfn.XLOOKUP($W229,'Category Mapping'!$C:$C,'Category Mapping'!$D:$D)),$K229))</f>
        <v>Sales &amp; Marketing:Sales &amp; Marketing- Travel Expenses:</v>
      </c>
      <c r="W229" s="19" t="str">
        <f t="shared" si="30"/>
        <v>Ground Transportation</v>
      </c>
      <c r="X229" s="19" t="str">
        <f t="shared" si="31"/>
        <v>Sales &amp; Marketing:Sales &amp; Marketing- Travel Expenses:Ground Transportation</v>
      </c>
      <c r="Y229" s="20" t="str">
        <f>IF(ISBLANK($M229),IFERROR(_xlfn.XLOOKUP($P229,'Department Listing'!$A:$A,'Department Listing'!$L:$L),""),$M229)</f>
        <v>200- Datadog:230- Sales</v>
      </c>
      <c r="Z229" s="11">
        <f>IF(ISBLANK($B229),"",MATCH($X229,COA!$B:$B,0))</f>
        <v>200</v>
      </c>
    </row>
    <row r="230" spans="2:26" ht="15.75" customHeight="1" x14ac:dyDescent="0.25">
      <c r="B230" s="14">
        <v>46231</v>
      </c>
      <c r="C230" t="s">
        <v>384</v>
      </c>
      <c r="E230" s="23"/>
      <c r="F230" s="16">
        <v>7.98</v>
      </c>
      <c r="G230" s="10"/>
      <c r="H230" s="10"/>
      <c r="I230" s="9" t="s">
        <v>36</v>
      </c>
      <c r="J230" s="9"/>
      <c r="K230" s="9"/>
      <c r="L230" s="9" t="s">
        <v>78</v>
      </c>
      <c r="M230" s="9"/>
      <c r="N230" s="17"/>
      <c r="O230" s="17" t="str">
        <f t="shared" si="24"/>
        <v>Anthony Nguyen</v>
      </c>
      <c r="P230" s="17">
        <f>IFERROR(_xlfn.XLOOKUP(O230,'Department Listing'!$O$1:$O$395,'Department Listing'!$A$1:$A$395),IFERROR(_xlfn.XLOOKUP(O230,'Name Aliases'!$A$2:$A$1000,'Name Aliases'!$B$2:$B$1000),""))</f>
        <v>285</v>
      </c>
      <c r="Q230" s="18">
        <f t="shared" si="25"/>
        <v>46231</v>
      </c>
      <c r="R230" s="17" t="str">
        <f t="shared" si="26"/>
        <v>Food Vendor</v>
      </c>
      <c r="S230" s="19">
        <f t="shared" si="27"/>
        <v>7.98</v>
      </c>
      <c r="T230" s="17" t="str">
        <f t="shared" si="28"/>
        <v>TRADER JOE S #500 MASTERCARD-XXXXXXJAIN8T-Anthony Nguyen</v>
      </c>
      <c r="U230" s="17" t="str">
        <f t="shared" si="29"/>
        <v>Brex Credit Card</v>
      </c>
      <c r="V230" s="19" t="str">
        <f>IF(ISBLANK($B230),"",IF(ISBLANK($K230),IF(_xlfn.XLOOKUP($W230,'Category Mapping'!$C:$C,'Category Mapping'!$B:$B)="Travel",_xlfn.XLOOKUP($P230,'Department Listing'!$A:$A,'Department Listing'!$M:$M),_xlfn.XLOOKUP($W230,'Category Mapping'!$C:$C,'Category Mapping'!$D:$D)),$K230))</f>
        <v>Cost of Goods Sold:COGS- Travel Expenses:</v>
      </c>
      <c r="W230" s="19" t="str">
        <f t="shared" si="30"/>
        <v>Meals &amp; Entertainment</v>
      </c>
      <c r="X230" s="19" t="str">
        <f t="shared" si="31"/>
        <v>Cost of Goods Sold:COGS- Travel Expenses:Meals &amp; Entertainment</v>
      </c>
      <c r="Y230" s="20" t="str">
        <f>IF(ISBLANK($M230),IFERROR(_xlfn.XLOOKUP($P230,'Department Listing'!$A:$A,'Department Listing'!$L:$L),""),$M230)</f>
        <v>200- Datadog:220- Engineering</v>
      </c>
      <c r="Z230" s="11">
        <f>IF(ISBLANK($B230),"",MATCH($X230,COA!$B:$B,0))</f>
        <v>126</v>
      </c>
    </row>
    <row r="231" spans="2:26" ht="15.75" customHeight="1" x14ac:dyDescent="0.25">
      <c r="B231" s="14">
        <v>46231</v>
      </c>
      <c r="C231" t="s">
        <v>385</v>
      </c>
      <c r="E231" s="23" t="s">
        <v>64</v>
      </c>
      <c r="F231" s="16">
        <v>42.98</v>
      </c>
      <c r="G231" s="10"/>
      <c r="H231" s="10"/>
      <c r="I231" s="9" t="s">
        <v>74</v>
      </c>
      <c r="J231" s="9"/>
      <c r="K231" s="9"/>
      <c r="L231" s="9" t="s">
        <v>66</v>
      </c>
      <c r="M231" s="9"/>
      <c r="N231" s="17"/>
      <c r="O231" s="17" t="str">
        <f t="shared" si="24"/>
        <v>Brian McGonigal</v>
      </c>
      <c r="P231" s="17">
        <f>IFERROR(_xlfn.XLOOKUP(O231,'Department Listing'!$O$1:$O$395,'Department Listing'!$A$1:$A$395),IFERROR(_xlfn.XLOOKUP(O231,'Name Aliases'!$A$2:$A$1000,'Name Aliases'!$B$2:$B$1000),""))</f>
        <v>269</v>
      </c>
      <c r="Q231" s="18">
        <f t="shared" si="25"/>
        <v>46231</v>
      </c>
      <c r="R231" s="17" t="str">
        <f t="shared" si="26"/>
        <v>Uber</v>
      </c>
      <c r="S231" s="19">
        <f t="shared" si="27"/>
        <v>42.98</v>
      </c>
      <c r="T231" s="17" t="str">
        <f t="shared" si="28"/>
        <v>UBER   *TRIP MASTERCARD-XXXXXXPD1OUF-Brian McGonigal</v>
      </c>
      <c r="U231" s="17" t="str">
        <f t="shared" si="29"/>
        <v>Brex Credit Card</v>
      </c>
      <c r="V231" s="19" t="str">
        <f>IF(ISBLANK($B231),"",IF(ISBLANK($K231),IF(_xlfn.XLOOKUP($W231,'Category Mapping'!$C:$C,'Category Mapping'!$B:$B)="Travel",_xlfn.XLOOKUP($P231,'Department Listing'!$A:$A,'Department Listing'!$M:$M),_xlfn.XLOOKUP($W231,'Category Mapping'!$C:$C,'Category Mapping'!$D:$D)),$K231))</f>
        <v>Sales &amp; Marketing:Sales &amp; Marketing- Travel Expenses:</v>
      </c>
      <c r="W231" s="19" t="str">
        <f t="shared" si="30"/>
        <v>Ground Transportation</v>
      </c>
      <c r="X231" s="19" t="str">
        <f t="shared" si="31"/>
        <v>Sales &amp; Marketing:Sales &amp; Marketing- Travel Expenses:Ground Transportation</v>
      </c>
      <c r="Y231" s="20" t="str">
        <f>IF(ISBLANK($M231),IFERROR(_xlfn.XLOOKUP($P231,'Department Listing'!$A:$A,'Department Listing'!$L:$L),""),$M231)</f>
        <v>300- ServiceNow:330- Sales</v>
      </c>
      <c r="Z231" s="11">
        <f>IF(ISBLANK($B231),"",MATCH($X231,COA!$B:$B,0))</f>
        <v>200</v>
      </c>
    </row>
    <row r="232" spans="2:26" ht="15.75" customHeight="1" x14ac:dyDescent="0.25">
      <c r="B232" s="14">
        <v>46231</v>
      </c>
      <c r="C232" t="s">
        <v>386</v>
      </c>
      <c r="E232" s="23" t="s">
        <v>76</v>
      </c>
      <c r="F232" s="16">
        <v>17.23</v>
      </c>
      <c r="G232" s="10"/>
      <c r="H232" s="10"/>
      <c r="I232" s="9" t="s">
        <v>250</v>
      </c>
      <c r="J232" s="9"/>
      <c r="K232" s="9"/>
      <c r="L232" s="9" t="s">
        <v>78</v>
      </c>
      <c r="M232" s="9"/>
      <c r="N232" s="17"/>
      <c r="O232" s="17" t="str">
        <f t="shared" si="24"/>
        <v>Kyle Brueckner</v>
      </c>
      <c r="P232" s="17">
        <f>IFERROR(_xlfn.XLOOKUP(O232,'Department Listing'!$O$1:$O$395,'Department Listing'!$A$1:$A$395),IFERROR(_xlfn.XLOOKUP(O232,'Name Aliases'!$A$2:$A$1000,'Name Aliases'!$B$2:$B$1000),""))</f>
        <v>39</v>
      </c>
      <c r="Q232" s="18">
        <f t="shared" si="25"/>
        <v>46231</v>
      </c>
      <c r="R232" s="17" t="str">
        <f t="shared" si="26"/>
        <v>Chipotle</v>
      </c>
      <c r="S232" s="19">
        <f t="shared" si="27"/>
        <v>17.23</v>
      </c>
      <c r="T232" s="17" t="str">
        <f t="shared" si="28"/>
        <v>CHIPOTLE 2341 MASTERCARD-XXXXXXMA9XAR-Kyle Brueckner</v>
      </c>
      <c r="U232" s="17" t="str">
        <f t="shared" si="29"/>
        <v>Brex Credit Card</v>
      </c>
      <c r="V232" s="19" t="str">
        <f>IF(ISBLANK($B232),"",IF(ISBLANK($K232),IF(_xlfn.XLOOKUP($W232,'Category Mapping'!$C:$C,'Category Mapping'!$B:$B)="Travel",_xlfn.XLOOKUP($P232,'Department Listing'!$A:$A,'Department Listing'!$M:$M),_xlfn.XLOOKUP($W232,'Category Mapping'!$C:$C,'Category Mapping'!$D:$D)),$K232))</f>
        <v>Cost of Goods Sold:COGS- Travel Expenses:</v>
      </c>
      <c r="W232" s="19" t="str">
        <f t="shared" si="30"/>
        <v>Meals &amp; Entertainment</v>
      </c>
      <c r="X232" s="19" t="str">
        <f t="shared" si="31"/>
        <v>Cost of Goods Sold:COGS- Travel Expenses:Meals &amp; Entertainment</v>
      </c>
      <c r="Y232" s="20" t="str">
        <f>IF(ISBLANK($M232),IFERROR(_xlfn.XLOOKUP($P232,'Department Listing'!$A:$A,'Department Listing'!$L:$L),""),$M232)</f>
        <v>300- ServiceNow:320- Engineering</v>
      </c>
      <c r="Z232" s="11">
        <f>IF(ISBLANK($B232),"",MATCH($X232,COA!$B:$B,0))</f>
        <v>126</v>
      </c>
    </row>
    <row r="233" spans="2:26" ht="15.75" customHeight="1" x14ac:dyDescent="0.25">
      <c r="B233" s="14">
        <v>46231</v>
      </c>
      <c r="C233" t="s">
        <v>388</v>
      </c>
      <c r="E233" s="23" t="s">
        <v>76</v>
      </c>
      <c r="F233" s="16">
        <v>300</v>
      </c>
      <c r="G233" s="10"/>
      <c r="H233" s="10"/>
      <c r="I233" s="9" t="s">
        <v>36</v>
      </c>
      <c r="J233" s="9"/>
      <c r="K233" s="9"/>
      <c r="L233" s="9" t="s">
        <v>78</v>
      </c>
      <c r="M233" s="9"/>
      <c r="N233" s="17"/>
      <c r="O233" s="17" t="str">
        <f t="shared" si="24"/>
        <v>Tomas Cespedes</v>
      </c>
      <c r="P233" s="17">
        <f>IFERROR(_xlfn.XLOOKUP(O233,'Department Listing'!$O$1:$O$395,'Department Listing'!$A$1:$A$395),IFERROR(_xlfn.XLOOKUP(O233,'Name Aliases'!$A$2:$A$1000,'Name Aliases'!$B$2:$B$1000),""))</f>
        <v>18</v>
      </c>
      <c r="Q233" s="18">
        <f t="shared" si="25"/>
        <v>46231</v>
      </c>
      <c r="R233" s="17" t="str">
        <f t="shared" si="26"/>
        <v>Food Vendor</v>
      </c>
      <c r="S233" s="19">
        <f t="shared" si="27"/>
        <v>300</v>
      </c>
      <c r="T233" s="17" t="str">
        <f t="shared" si="28"/>
        <v>TST* LOLITA BACK BAY MASTERCARD-XXXXXXJ1O63Z-Tomas Cespedes</v>
      </c>
      <c r="U233" s="17" t="str">
        <f t="shared" si="29"/>
        <v>Brex Credit Card</v>
      </c>
      <c r="V233" s="19" t="str">
        <f>IF(ISBLANK($B233),"",IF(ISBLANK($K233),IF(_xlfn.XLOOKUP($W233,'Category Mapping'!$C:$C,'Category Mapping'!$B:$B)="Travel",_xlfn.XLOOKUP($P233,'Department Listing'!$A:$A,'Department Listing'!$M:$M),_xlfn.XLOOKUP($W233,'Category Mapping'!$C:$C,'Category Mapping'!$D:$D)),$K233))</f>
        <v>Sales &amp; Marketing:Sales &amp; Marketing- Travel Expenses:</v>
      </c>
      <c r="W233" s="19" t="str">
        <f t="shared" si="30"/>
        <v>Meals &amp; Entertainment</v>
      </c>
      <c r="X233" s="19" t="str">
        <f t="shared" si="31"/>
        <v>Sales &amp; Marketing:Sales &amp; Marketing- Travel Expenses:Meals &amp; Entertainment</v>
      </c>
      <c r="Y233" s="20" t="str">
        <f>IF(ISBLANK($M233),IFERROR(_xlfn.XLOOKUP($P233,'Department Listing'!$A:$A,'Department Listing'!$L:$L),""),$M233)</f>
        <v>200- Datadog:230- Sales</v>
      </c>
      <c r="Z233" s="11">
        <f>IF(ISBLANK($B233),"",MATCH($X233,COA!$B:$B,0))</f>
        <v>202</v>
      </c>
    </row>
    <row r="234" spans="2:26" ht="15.75" customHeight="1" x14ac:dyDescent="0.25">
      <c r="B234" s="14">
        <v>46231</v>
      </c>
      <c r="C234" t="s">
        <v>389</v>
      </c>
      <c r="E234" s="23" t="s">
        <v>76</v>
      </c>
      <c r="F234" s="16">
        <v>32.58</v>
      </c>
      <c r="G234" s="10"/>
      <c r="H234" s="10"/>
      <c r="I234" s="9" t="s">
        <v>144</v>
      </c>
      <c r="J234" s="9"/>
      <c r="K234" s="9"/>
      <c r="L234" s="9" t="s">
        <v>78</v>
      </c>
      <c r="M234" s="9"/>
      <c r="N234" s="17"/>
      <c r="O234" s="17" t="str">
        <f t="shared" si="24"/>
        <v>Anamaria Gramada</v>
      </c>
      <c r="P234" s="17">
        <f>IFERROR(_xlfn.XLOOKUP(O234,'Department Listing'!$O$1:$O$395,'Department Listing'!$A$1:$A$395),IFERROR(_xlfn.XLOOKUP(O234,'Name Aliases'!$A$2:$A$1000,'Name Aliases'!$B$2:$B$1000),""))</f>
        <v>110</v>
      </c>
      <c r="Q234" s="18">
        <f t="shared" si="25"/>
        <v>46231</v>
      </c>
      <c r="R234" s="17" t="str">
        <f t="shared" si="26"/>
        <v>Tatte</v>
      </c>
      <c r="S234" s="19">
        <f t="shared" si="27"/>
        <v>32.58</v>
      </c>
      <c r="T234" s="17" t="str">
        <f t="shared" si="28"/>
        <v>TST* TATTE BAKERY BACK MASTERCARD-XXXXXX28BFPW-Anamaria Gramada</v>
      </c>
      <c r="U234" s="17" t="str">
        <f t="shared" si="29"/>
        <v>Brex Credit Card</v>
      </c>
      <c r="V234" s="19" t="str">
        <f>IF(ISBLANK($B234),"",IF(ISBLANK($K234),IF(_xlfn.XLOOKUP($W234,'Category Mapping'!$C:$C,'Category Mapping'!$B:$B)="Travel",_xlfn.XLOOKUP($P234,'Department Listing'!$A:$A,'Department Listing'!$M:$M),_xlfn.XLOOKUP($W234,'Category Mapping'!$C:$C,'Category Mapping'!$D:$D)),$K234))</f>
        <v>Cost of Goods Sold:COGS- Travel Expenses:</v>
      </c>
      <c r="W234" s="19" t="str">
        <f t="shared" si="30"/>
        <v>Meals &amp; Entertainment</v>
      </c>
      <c r="X234" s="19" t="str">
        <f t="shared" si="31"/>
        <v>Cost of Goods Sold:COGS- Travel Expenses:Meals &amp; Entertainment</v>
      </c>
      <c r="Y234" s="20" t="str">
        <f>IF(ISBLANK($M234),IFERROR(_xlfn.XLOOKUP($P234,'Department Listing'!$A:$A,'Department Listing'!$L:$L),""),$M234)</f>
        <v>300- ServiceNow:310- Delivery</v>
      </c>
      <c r="Z234" s="11">
        <f>IF(ISBLANK($B234),"",MATCH($X234,COA!$B:$B,0))</f>
        <v>126</v>
      </c>
    </row>
    <row r="235" spans="2:26" ht="15.75" customHeight="1" x14ac:dyDescent="0.25">
      <c r="B235" s="14">
        <v>46231</v>
      </c>
      <c r="C235" t="s">
        <v>390</v>
      </c>
      <c r="E235" s="23" t="s">
        <v>147</v>
      </c>
      <c r="F235" s="16">
        <v>8</v>
      </c>
      <c r="G235" s="10"/>
      <c r="H235" s="10"/>
      <c r="I235" s="9" t="s">
        <v>391</v>
      </c>
      <c r="J235" s="9"/>
      <c r="K235" s="9"/>
      <c r="L235" s="9" t="s">
        <v>149</v>
      </c>
      <c r="M235" s="9"/>
      <c r="N235" s="17"/>
      <c r="O235" s="17" t="str">
        <f t="shared" si="24"/>
        <v>Gary Baker</v>
      </c>
      <c r="P235" s="17">
        <f>IFERROR(_xlfn.XLOOKUP(O235,'Department Listing'!$O$1:$O$395,'Department Listing'!$A$1:$A$395),IFERROR(_xlfn.XLOOKUP(O235,'Name Aliases'!$A$2:$A$1000,'Name Aliases'!$B$2:$B$1000),""))</f>
        <v>235</v>
      </c>
      <c r="Q235" s="18">
        <f t="shared" si="25"/>
        <v>46231</v>
      </c>
      <c r="R235" s="17" t="str">
        <f t="shared" si="26"/>
        <v>Wifi Onboard</v>
      </c>
      <c r="S235" s="19">
        <f t="shared" si="27"/>
        <v>8</v>
      </c>
      <c r="T235" s="17" t="str">
        <f t="shared" si="28"/>
        <v>WIFIONBOARD ALASKA MASTERCARD-XXXXXXP3HC2R-Gary Baker</v>
      </c>
      <c r="U235" s="17" t="str">
        <f t="shared" si="29"/>
        <v>Brex Credit Card</v>
      </c>
      <c r="V235" s="19" t="str">
        <f>IF(ISBLANK($B235),"",IF(ISBLANK($K235),IF(_xlfn.XLOOKUP($W235,'Category Mapping'!$C:$C,'Category Mapping'!$B:$B)="Travel",_xlfn.XLOOKUP($P235,'Department Listing'!$A:$A,'Department Listing'!$M:$M),_xlfn.XLOOKUP($W235,'Category Mapping'!$C:$C,'Category Mapping'!$D:$D)),$K235))</f>
        <v>Cost of Goods Sold:COGS- Travel Expenses:</v>
      </c>
      <c r="W235" s="19" t="str">
        <f t="shared" si="30"/>
        <v>Other Travel Expenses</v>
      </c>
      <c r="X235" s="19" t="str">
        <f t="shared" si="31"/>
        <v>Cost of Goods Sold:COGS- Travel Expenses:Other Travel Expenses</v>
      </c>
      <c r="Y235" s="20" t="str">
        <f>IF(ISBLANK($M235),IFERROR(_xlfn.XLOOKUP($P235,'Department Listing'!$A:$A,'Department Listing'!$L:$L),""),$M235)</f>
        <v>300- ServiceNow:320- Engineering</v>
      </c>
      <c r="Z235" s="11">
        <f>IF(ISBLANK($B235),"",MATCH($X235,COA!$B:$B,0))</f>
        <v>127</v>
      </c>
    </row>
    <row r="236" spans="2:26" ht="15.75" customHeight="1" x14ac:dyDescent="0.25">
      <c r="B236" s="14">
        <v>46232</v>
      </c>
      <c r="C236" t="s">
        <v>392</v>
      </c>
      <c r="E236" s="23" t="s">
        <v>76</v>
      </c>
      <c r="F236" s="16">
        <v>5.33</v>
      </c>
      <c r="G236" s="10"/>
      <c r="H236" s="10"/>
      <c r="I236" s="9" t="s">
        <v>36</v>
      </c>
      <c r="J236" s="9"/>
      <c r="K236" s="9"/>
      <c r="L236" s="9" t="s">
        <v>78</v>
      </c>
      <c r="M236" s="9"/>
      <c r="N236" s="17"/>
      <c r="O236" s="17" t="str">
        <f t="shared" si="24"/>
        <v>Gary Passaglia</v>
      </c>
      <c r="P236" s="17">
        <f>IFERROR(_xlfn.XLOOKUP(O236,'Department Listing'!$O$1:$O$395,'Department Listing'!$A$1:$A$395),IFERROR(_xlfn.XLOOKUP(O236,'Name Aliases'!$A$2:$A$1000,'Name Aliases'!$B$2:$B$1000),""))</f>
        <v>148</v>
      </c>
      <c r="Q236" s="18">
        <f t="shared" si="25"/>
        <v>46232</v>
      </c>
      <c r="R236" s="17" t="str">
        <f t="shared" si="26"/>
        <v>Food Vendor</v>
      </c>
      <c r="S236" s="19">
        <f t="shared" si="27"/>
        <v>5.33</v>
      </c>
      <c r="T236" s="17" t="str">
        <f t="shared" si="28"/>
        <v>TST* GREENLEAF - JOHN MASTERCARD-XXXXXXXZLM9K-Gary Passaglia</v>
      </c>
      <c r="U236" s="17" t="str">
        <f t="shared" si="29"/>
        <v>Brex Credit Card</v>
      </c>
      <c r="V236" s="19" t="str">
        <f>IF(ISBLANK($B236),"",IF(ISBLANK($K236),IF(_xlfn.XLOOKUP($W236,'Category Mapping'!$C:$C,'Category Mapping'!$B:$B)="Travel",_xlfn.XLOOKUP($P236,'Department Listing'!$A:$A,'Department Listing'!$M:$M),_xlfn.XLOOKUP($W236,'Category Mapping'!$C:$C,'Category Mapping'!$D:$D)),$K236))</f>
        <v>Sales &amp; Marketing:Sales &amp; Marketing- Travel Expenses:</v>
      </c>
      <c r="W236" s="19" t="str">
        <f t="shared" si="30"/>
        <v>Meals &amp; Entertainment</v>
      </c>
      <c r="X236" s="19" t="str">
        <f t="shared" si="31"/>
        <v>Sales &amp; Marketing:Sales &amp; Marketing- Travel Expenses:Meals &amp; Entertainment</v>
      </c>
      <c r="Y236" s="20" t="str">
        <f>IF(ISBLANK($M236),IFERROR(_xlfn.XLOOKUP($P236,'Department Listing'!$A:$A,'Department Listing'!$L:$L),""),$M236)</f>
        <v>300- ServiceNow:330- Sales</v>
      </c>
      <c r="Z236" s="11">
        <f>IF(ISBLANK($B236),"",MATCH($X236,COA!$B:$B,0))</f>
        <v>202</v>
      </c>
    </row>
    <row r="237" spans="2:26" ht="15.75" customHeight="1" x14ac:dyDescent="0.25">
      <c r="B237" s="14">
        <v>46232</v>
      </c>
      <c r="C237" t="s">
        <v>393</v>
      </c>
      <c r="E237" s="23"/>
      <c r="F237" s="16">
        <v>8</v>
      </c>
      <c r="G237" s="10"/>
      <c r="H237" s="10"/>
      <c r="I237" s="9" t="s">
        <v>284</v>
      </c>
      <c r="J237" s="9"/>
      <c r="K237" s="9"/>
      <c r="L237" s="9" t="s">
        <v>165</v>
      </c>
      <c r="M237" s="9"/>
      <c r="N237" s="17"/>
      <c r="O237" s="17" t="str">
        <f t="shared" si="24"/>
        <v>Tyler Grimshaw</v>
      </c>
      <c r="P237" s="17">
        <f>IFERROR(_xlfn.XLOOKUP(O237,'Department Listing'!$O$1:$O$395,'Department Listing'!$A$1:$A$395),IFERROR(_xlfn.XLOOKUP(O237,'Name Aliases'!$A$2:$A$1000,'Name Aliases'!$B$2:$B$1000),""))</f>
        <v>264</v>
      </c>
      <c r="Q237" s="18">
        <f t="shared" si="25"/>
        <v>46232</v>
      </c>
      <c r="R237" s="17" t="str">
        <f t="shared" si="26"/>
        <v>United Airlines</v>
      </c>
      <c r="S237" s="19">
        <f t="shared" si="27"/>
        <v>8</v>
      </c>
      <c r="T237" s="17" t="str">
        <f t="shared" si="28"/>
        <v>UA INFLT MASTERCARD-XXXXXX3HGMWX-Tyler Grimshaw</v>
      </c>
      <c r="U237" s="17" t="str">
        <f t="shared" si="29"/>
        <v>Brex Credit Card</v>
      </c>
      <c r="V237" s="19" t="str">
        <f>IF(ISBLANK($B237),"",IF(ISBLANK($K237),IF(_xlfn.XLOOKUP($W237,'Category Mapping'!$C:$C,'Category Mapping'!$B:$B)="Travel",_xlfn.XLOOKUP($P237,'Department Listing'!$A:$A,'Department Listing'!$M:$M),_xlfn.XLOOKUP($W237,'Category Mapping'!$C:$C,'Category Mapping'!$D:$D)),$K237))</f>
        <v>Sales &amp; Marketing:Sales &amp; Marketing- Travel Expenses:</v>
      </c>
      <c r="W237" s="19" t="str">
        <f t="shared" si="30"/>
        <v>Airfare</v>
      </c>
      <c r="X237" s="19" t="str">
        <f t="shared" si="31"/>
        <v>Sales &amp; Marketing:Sales &amp; Marketing- Travel Expenses:Airfare</v>
      </c>
      <c r="Y237" s="20" t="str">
        <f>IF(ISBLANK($M237),IFERROR(_xlfn.XLOOKUP($P237,'Department Listing'!$A:$A,'Department Listing'!$L:$L),""),$M237)</f>
        <v>200- Datadog:230- Sales</v>
      </c>
      <c r="Z237" s="11">
        <f>IF(ISBLANK($B237),"",MATCH($X237,COA!$B:$B,0))</f>
        <v>199</v>
      </c>
    </row>
    <row r="238" spans="2:26" ht="15.75" customHeight="1" x14ac:dyDescent="0.25">
      <c r="B238" s="14">
        <v>46231</v>
      </c>
      <c r="C238" t="s">
        <v>394</v>
      </c>
      <c r="E238" s="23"/>
      <c r="F238" s="16">
        <v>14.43</v>
      </c>
      <c r="G238" s="10"/>
      <c r="H238" s="10"/>
      <c r="I238" s="9" t="s">
        <v>37</v>
      </c>
      <c r="J238" s="9"/>
      <c r="K238" s="9"/>
      <c r="L238" s="9" t="s">
        <v>94</v>
      </c>
      <c r="M238" s="9"/>
      <c r="N238" s="17"/>
      <c r="O238" s="17" t="str">
        <f t="shared" si="24"/>
        <v>Gary Passaglia</v>
      </c>
      <c r="P238" s="17">
        <f>IFERROR(_xlfn.XLOOKUP(O238,'Department Listing'!$O$1:$O$395,'Department Listing'!$A$1:$A$395),IFERROR(_xlfn.XLOOKUP(O238,'Name Aliases'!$A$2:$A$1000,'Name Aliases'!$B$2:$B$1000),""))</f>
        <v>148</v>
      </c>
      <c r="Q238" s="18">
        <f t="shared" si="25"/>
        <v>46231</v>
      </c>
      <c r="R238" s="17" t="str">
        <f t="shared" si="26"/>
        <v>Office Vendor</v>
      </c>
      <c r="S238" s="19">
        <f t="shared" si="27"/>
        <v>14.43</v>
      </c>
      <c r="T238" s="17" t="str">
        <f t="shared" si="28"/>
        <v>MARKET ST1409 MASTERCARD-XXXXXXCMHSYY-Gary Passaglia</v>
      </c>
      <c r="U238" s="17" t="str">
        <f t="shared" si="29"/>
        <v>Brex Credit Card</v>
      </c>
      <c r="V238" s="19" t="str">
        <f>IF(ISBLANK($B238),"",IF(ISBLANK($K238),IF(_xlfn.XLOOKUP($W238,'Category Mapping'!$C:$C,'Category Mapping'!$B:$B)="Travel",_xlfn.XLOOKUP($P238,'Department Listing'!$A:$A,'Department Listing'!$M:$M),_xlfn.XLOOKUP($W238,'Category Mapping'!$C:$C,'Category Mapping'!$D:$D)),$K238))</f>
        <v>General &amp; Administrative:Office Expenses:</v>
      </c>
      <c r="W238" s="19" t="str">
        <f t="shared" si="30"/>
        <v>Dues &amp; Subscriptions</v>
      </c>
      <c r="X238" s="19" t="str">
        <f t="shared" si="31"/>
        <v>General &amp; Administrative:Office Expenses:Dues &amp; Subscriptions</v>
      </c>
      <c r="Y238" s="20" t="str">
        <f>IF(ISBLANK($M238),IFERROR(_xlfn.XLOOKUP($P238,'Department Listing'!$A:$A,'Department Listing'!$L:$L),""),$M238)</f>
        <v>300- ServiceNow:330- Sales</v>
      </c>
      <c r="Z238" s="11">
        <f>IF(ISBLANK($B238),"",MATCH($X238,COA!$B:$B,0))</f>
        <v>159</v>
      </c>
    </row>
    <row r="239" spans="2:26" ht="15.75" customHeight="1" x14ac:dyDescent="0.25">
      <c r="B239" s="14">
        <v>46231</v>
      </c>
      <c r="C239" t="s">
        <v>395</v>
      </c>
      <c r="E239" s="23" t="s">
        <v>76</v>
      </c>
      <c r="F239" s="16">
        <v>17.7</v>
      </c>
      <c r="G239" s="10"/>
      <c r="H239" s="10"/>
      <c r="I239" s="9" t="s">
        <v>396</v>
      </c>
      <c r="J239" s="9"/>
      <c r="K239" s="9"/>
      <c r="L239" s="9" t="s">
        <v>78</v>
      </c>
      <c r="M239" s="9"/>
      <c r="N239" s="17"/>
      <c r="O239" s="17" t="str">
        <f t="shared" si="24"/>
        <v>Karalyn Sims</v>
      </c>
      <c r="P239" s="17">
        <f>IFERROR(_xlfn.XLOOKUP(O239,'Department Listing'!$O$1:$O$395,'Department Listing'!$A$1:$A$395),IFERROR(_xlfn.XLOOKUP(O239,'Name Aliases'!$A$2:$A$1000,'Name Aliases'!$B$2:$B$1000),""))</f>
        <v>144</v>
      </c>
      <c r="Q239" s="18">
        <f t="shared" si="25"/>
        <v>46231</v>
      </c>
      <c r="R239" s="17" t="str">
        <f t="shared" si="26"/>
        <v>Life Alive</v>
      </c>
      <c r="S239" s="19">
        <f t="shared" si="27"/>
        <v>17.7</v>
      </c>
      <c r="T239" s="17" t="str">
        <f t="shared" si="28"/>
        <v>PAR*LIFE ALIVE CAFE - MASTERCARD-XXXXXXJE4PYU-Karalyn Sims</v>
      </c>
      <c r="U239" s="17" t="str">
        <f t="shared" si="29"/>
        <v>Brex Credit Card</v>
      </c>
      <c r="V239" s="19" t="str">
        <f>IF(ISBLANK($B239),"",IF(ISBLANK($K239),IF(_xlfn.XLOOKUP($W239,'Category Mapping'!$C:$C,'Category Mapping'!$B:$B)="Travel",_xlfn.XLOOKUP($P239,'Department Listing'!$A:$A,'Department Listing'!$M:$M),_xlfn.XLOOKUP($W239,'Category Mapping'!$C:$C,'Category Mapping'!$D:$D)),$K239))</f>
        <v>Sales &amp; Marketing:Sales &amp; Marketing- Travel Expenses:</v>
      </c>
      <c r="W239" s="19" t="str">
        <f t="shared" si="30"/>
        <v>Meals &amp; Entertainment</v>
      </c>
      <c r="X239" s="19" t="str">
        <f t="shared" si="31"/>
        <v>Sales &amp; Marketing:Sales &amp; Marketing- Travel Expenses:Meals &amp; Entertainment</v>
      </c>
      <c r="Y239" s="20" t="str">
        <f>IF(ISBLANK($M239),IFERROR(_xlfn.XLOOKUP($P239,'Department Listing'!$A:$A,'Department Listing'!$L:$L),""),$M239)</f>
        <v>100- Operations:120- Marketing</v>
      </c>
      <c r="Z239" s="11">
        <f>IF(ISBLANK($B239),"",MATCH($X239,COA!$B:$B,0))</f>
        <v>202</v>
      </c>
    </row>
    <row r="240" spans="2:26" ht="15.75" customHeight="1" x14ac:dyDescent="0.25">
      <c r="B240" s="14">
        <v>46232</v>
      </c>
      <c r="C240" t="s">
        <v>397</v>
      </c>
      <c r="E240" s="23" t="s">
        <v>76</v>
      </c>
      <c r="F240" s="16">
        <v>6.79</v>
      </c>
      <c r="G240" s="10"/>
      <c r="H240" s="10"/>
      <c r="I240" s="9" t="s">
        <v>287</v>
      </c>
      <c r="J240" s="9"/>
      <c r="K240" s="9"/>
      <c r="L240" s="9" t="s">
        <v>78</v>
      </c>
      <c r="M240" s="9"/>
      <c r="N240" s="17"/>
      <c r="O240" s="17" t="str">
        <f t="shared" si="24"/>
        <v>Tanner Ylvisaker</v>
      </c>
      <c r="P240" s="17">
        <f>IFERROR(_xlfn.XLOOKUP(O240,'Department Listing'!$O$1:$O$395,'Department Listing'!$A$1:$A$395),IFERROR(_xlfn.XLOOKUP(O240,'Name Aliases'!$A$2:$A$1000,'Name Aliases'!$B$2:$B$1000),""))</f>
        <v>99</v>
      </c>
      <c r="Q240" s="18">
        <f t="shared" si="25"/>
        <v>46232</v>
      </c>
      <c r="R240" s="17" t="str">
        <f t="shared" si="26"/>
        <v>Starbucks</v>
      </c>
      <c r="S240" s="19">
        <f t="shared" si="27"/>
        <v>6.79</v>
      </c>
      <c r="T240" s="17" t="str">
        <f t="shared" si="28"/>
        <v>STARBUCKS STORE 80448 MASTERCARD-XXXXXXBKDZ65-Tanner Ylvisaker</v>
      </c>
      <c r="U240" s="17" t="str">
        <f t="shared" si="29"/>
        <v>Brex Credit Card</v>
      </c>
      <c r="V240" s="19" t="str">
        <f>IF(ISBLANK($B240),"",IF(ISBLANK($K240),IF(_xlfn.XLOOKUP($W240,'Category Mapping'!$C:$C,'Category Mapping'!$B:$B)="Travel",_xlfn.XLOOKUP($P240,'Department Listing'!$A:$A,'Department Listing'!$M:$M),_xlfn.XLOOKUP($W240,'Category Mapping'!$C:$C,'Category Mapping'!$D:$D)),$K240))</f>
        <v>Cost of Goods Sold:COGS- Travel Expenses:</v>
      </c>
      <c r="W240" s="19" t="str">
        <f t="shared" si="30"/>
        <v>Meals &amp; Entertainment</v>
      </c>
      <c r="X240" s="19" t="str">
        <f t="shared" si="31"/>
        <v>Cost of Goods Sold:COGS- Travel Expenses:Meals &amp; Entertainment</v>
      </c>
      <c r="Y240" s="20" t="str">
        <f>IF(ISBLANK($M240),IFERROR(_xlfn.XLOOKUP($P240,'Department Listing'!$A:$A,'Department Listing'!$L:$L),""),$M240)</f>
        <v>300- ServiceNow:320- Engineering</v>
      </c>
      <c r="Z240" s="11">
        <f>IF(ISBLANK($B240),"",MATCH($X240,COA!$B:$B,0))</f>
        <v>126</v>
      </c>
    </row>
    <row r="241" spans="2:26" ht="15.75" customHeight="1" x14ac:dyDescent="0.25">
      <c r="B241" s="14">
        <v>46231</v>
      </c>
      <c r="C241" t="s">
        <v>398</v>
      </c>
      <c r="E241" s="23" t="s">
        <v>64</v>
      </c>
      <c r="F241" s="16">
        <v>36.979999999999997</v>
      </c>
      <c r="G241" s="10"/>
      <c r="H241" s="10"/>
      <c r="I241" s="9" t="s">
        <v>74</v>
      </c>
      <c r="J241" s="9"/>
      <c r="K241" s="9"/>
      <c r="L241" s="9" t="s">
        <v>66</v>
      </c>
      <c r="M241" s="9"/>
      <c r="N241" s="17"/>
      <c r="O241" s="17" t="str">
        <f t="shared" si="24"/>
        <v>Ryan Hale</v>
      </c>
      <c r="P241" s="17">
        <f>IFERROR(_xlfn.XLOOKUP(O241,'Department Listing'!$O$1:$O$395,'Department Listing'!$A$1:$A$395),IFERROR(_xlfn.XLOOKUP(O241,'Name Aliases'!$A$2:$A$1000,'Name Aliases'!$B$2:$B$1000),""))</f>
        <v>222</v>
      </c>
      <c r="Q241" s="18">
        <f t="shared" si="25"/>
        <v>46231</v>
      </c>
      <c r="R241" s="17" t="str">
        <f t="shared" si="26"/>
        <v>Uber</v>
      </c>
      <c r="S241" s="19">
        <f t="shared" si="27"/>
        <v>36.979999999999997</v>
      </c>
      <c r="T241" s="17" t="str">
        <f t="shared" si="28"/>
        <v>UBER   *TRIP MASTERCARD-XXXXXXE9FNCO-Ryan Hale</v>
      </c>
      <c r="U241" s="17" t="str">
        <f t="shared" si="29"/>
        <v>Brex Credit Card</v>
      </c>
      <c r="V241" s="19" t="str">
        <f>IF(ISBLANK($B241),"",IF(ISBLANK($K241),IF(_xlfn.XLOOKUP($W241,'Category Mapping'!$C:$C,'Category Mapping'!$B:$B)="Travel",_xlfn.XLOOKUP($P241,'Department Listing'!$A:$A,'Department Listing'!$M:$M),_xlfn.XLOOKUP($W241,'Category Mapping'!$C:$C,'Category Mapping'!$D:$D)),$K241))</f>
        <v>Sales &amp; Marketing:Sales &amp; Marketing- Travel Expenses:</v>
      </c>
      <c r="W241" s="19" t="str">
        <f t="shared" si="30"/>
        <v>Ground Transportation</v>
      </c>
      <c r="X241" s="19" t="str">
        <f t="shared" si="31"/>
        <v>Sales &amp; Marketing:Sales &amp; Marketing- Travel Expenses:Ground Transportation</v>
      </c>
      <c r="Y241" s="20" t="str">
        <f>IF(ISBLANK($M241),IFERROR(_xlfn.XLOOKUP($P241,'Department Listing'!$A:$A,'Department Listing'!$L:$L),""),$M241)</f>
        <v>300- ServiceNow:330- Sales</v>
      </c>
      <c r="Z241" s="11">
        <f>IF(ISBLANK($B241),"",MATCH($X241,COA!$B:$B,0))</f>
        <v>200</v>
      </c>
    </row>
    <row r="242" spans="2:26" ht="15.75" customHeight="1" x14ac:dyDescent="0.25">
      <c r="B242" s="14">
        <v>46231</v>
      </c>
      <c r="C242" t="s">
        <v>399</v>
      </c>
      <c r="E242" s="23" t="s">
        <v>64</v>
      </c>
      <c r="F242" s="16">
        <v>31.97</v>
      </c>
      <c r="G242" s="10"/>
      <c r="H242" s="10"/>
      <c r="I242" s="9" t="s">
        <v>74</v>
      </c>
      <c r="J242" s="9"/>
      <c r="K242" s="9"/>
      <c r="L242" s="9" t="s">
        <v>66</v>
      </c>
      <c r="M242" s="9"/>
      <c r="N242" s="17"/>
      <c r="O242" s="17" t="str">
        <f t="shared" si="24"/>
        <v>Cody Sandford</v>
      </c>
      <c r="P242" s="17">
        <f>IFERROR(_xlfn.XLOOKUP(O242,'Department Listing'!$O$1:$O$395,'Department Listing'!$A$1:$A$395),IFERROR(_xlfn.XLOOKUP(O242,'Name Aliases'!$A$2:$A$1000,'Name Aliases'!$B$2:$B$1000),""))</f>
        <v>245</v>
      </c>
      <c r="Q242" s="18">
        <f t="shared" si="25"/>
        <v>46231</v>
      </c>
      <c r="R242" s="17" t="str">
        <f t="shared" si="26"/>
        <v>Uber</v>
      </c>
      <c r="S242" s="19">
        <f t="shared" si="27"/>
        <v>31.97</v>
      </c>
      <c r="T242" s="17" t="str">
        <f t="shared" si="28"/>
        <v>UBER   *TRIP MASTERCARD-XXXXXXUVGSPA-Cody Sandford</v>
      </c>
      <c r="U242" s="17" t="str">
        <f t="shared" si="29"/>
        <v>Brex Credit Card</v>
      </c>
      <c r="V242" s="19" t="str">
        <f>IF(ISBLANK($B242),"",IF(ISBLANK($K242),IF(_xlfn.XLOOKUP($W242,'Category Mapping'!$C:$C,'Category Mapping'!$B:$B)="Travel",_xlfn.XLOOKUP($P242,'Department Listing'!$A:$A,'Department Listing'!$M:$M),_xlfn.XLOOKUP($W242,'Category Mapping'!$C:$C,'Category Mapping'!$D:$D)),$K242))</f>
        <v>Cost of Goods Sold:COGS- Travel Expenses:</v>
      </c>
      <c r="W242" s="19" t="str">
        <f t="shared" si="30"/>
        <v>Ground Transportation</v>
      </c>
      <c r="X242" s="19" t="str">
        <f t="shared" si="31"/>
        <v>Cost of Goods Sold:COGS- Travel Expenses:Ground Transportation</v>
      </c>
      <c r="Y242" s="20" t="str">
        <f>IF(ISBLANK($M242),IFERROR(_xlfn.XLOOKUP($P242,'Department Listing'!$A:$A,'Department Listing'!$L:$L),""),$M242)</f>
        <v>300- ServiceNow:320- Engineering</v>
      </c>
      <c r="Z242" s="11">
        <f>IF(ISBLANK($B242),"",MATCH($X242,COA!$B:$B,0))</f>
        <v>124</v>
      </c>
    </row>
    <row r="243" spans="2:26" ht="15.75" customHeight="1" x14ac:dyDescent="0.25">
      <c r="B243" s="14">
        <v>46231</v>
      </c>
      <c r="C243" t="s">
        <v>400</v>
      </c>
      <c r="E243" s="23" t="s">
        <v>76</v>
      </c>
      <c r="F243" s="16">
        <v>12.93</v>
      </c>
      <c r="G243" s="10"/>
      <c r="H243" s="10"/>
      <c r="I243" s="9" t="s">
        <v>327</v>
      </c>
      <c r="J243" s="9"/>
      <c r="K243" s="9"/>
      <c r="L243" s="9" t="s">
        <v>78</v>
      </c>
      <c r="M243" s="9"/>
      <c r="N243" s="17"/>
      <c r="O243" s="17" t="str">
        <f t="shared" si="24"/>
        <v>Elias Kapetanopoulos</v>
      </c>
      <c r="P243" s="17">
        <f>IFERROR(_xlfn.XLOOKUP(O243,'Department Listing'!$O$1:$O$395,'Department Listing'!$A$1:$A$395),IFERROR(_xlfn.XLOOKUP(O243,'Name Aliases'!$A$2:$A$1000,'Name Aliases'!$B$2:$B$1000),""))</f>
        <v>12</v>
      </c>
      <c r="Q243" s="18">
        <f t="shared" si="25"/>
        <v>46231</v>
      </c>
      <c r="R243" s="17" t="str">
        <f t="shared" si="26"/>
        <v>Blue Bottle</v>
      </c>
      <c r="S243" s="19">
        <f t="shared" si="27"/>
        <v>12.93</v>
      </c>
      <c r="T243" s="17" t="str">
        <f t="shared" si="28"/>
        <v>SQ *BLUE BOTTLE COFFEE MASTERCARD-XXXXXX26IUJX-Elias Kapetanopoulos</v>
      </c>
      <c r="U243" s="17" t="str">
        <f t="shared" si="29"/>
        <v>Brex Credit Card</v>
      </c>
      <c r="V243" s="19" t="str">
        <f>IF(ISBLANK($B243),"",IF(ISBLANK($K243),IF(_xlfn.XLOOKUP($W243,'Category Mapping'!$C:$C,'Category Mapping'!$B:$B)="Travel",_xlfn.XLOOKUP($P243,'Department Listing'!$A:$A,'Department Listing'!$M:$M),_xlfn.XLOOKUP($W243,'Category Mapping'!$C:$C,'Category Mapping'!$D:$D)),$K243))</f>
        <v>General &amp; Administrative:G&amp;A- Travel Expenses:</v>
      </c>
      <c r="W243" s="19" t="str">
        <f t="shared" si="30"/>
        <v>Meals &amp; Entertainment</v>
      </c>
      <c r="X243" s="19" t="str">
        <f t="shared" si="31"/>
        <v>General &amp; Administrative:G&amp;A- Travel Expenses:Meals &amp; Entertainment</v>
      </c>
      <c r="Y243" s="20" t="str">
        <f>IF(ISBLANK($M243),IFERROR(_xlfn.XLOOKUP($P243,'Department Listing'!$A:$A,'Department Listing'!$L:$L),""),$M243)</f>
        <v>300- ServiceNow:320- Engineering</v>
      </c>
      <c r="Z243" s="11">
        <f>IF(ISBLANK($B243),"",MATCH($X243,COA!$B:$B,0))</f>
        <v>151</v>
      </c>
    </row>
    <row r="244" spans="2:26" ht="15.75" customHeight="1" x14ac:dyDescent="0.25">
      <c r="B244" s="14">
        <v>46231</v>
      </c>
      <c r="C244" t="s">
        <v>401</v>
      </c>
      <c r="E244" s="23" t="s">
        <v>64</v>
      </c>
      <c r="F244" s="16">
        <v>53</v>
      </c>
      <c r="G244" s="10"/>
      <c r="H244" s="10"/>
      <c r="I244" s="9" t="s">
        <v>65</v>
      </c>
      <c r="J244" s="9"/>
      <c r="K244" s="9"/>
      <c r="L244" s="9" t="s">
        <v>66</v>
      </c>
      <c r="M244" s="9"/>
      <c r="N244" s="17"/>
      <c r="O244" s="17" t="str">
        <f t="shared" si="24"/>
        <v>Logan Rohloff</v>
      </c>
      <c r="P244" s="17">
        <f>IFERROR(_xlfn.XLOOKUP(O244,'Department Listing'!$O$1:$O$395,'Department Listing'!$A$1:$A$395),IFERROR(_xlfn.XLOOKUP(O244,'Name Aliases'!$A$2:$A$1000,'Name Aliases'!$B$2:$B$1000),""))</f>
        <v>8</v>
      </c>
      <c r="Q244" s="18">
        <f t="shared" si="25"/>
        <v>46231</v>
      </c>
      <c r="R244" s="17" t="str">
        <f t="shared" si="26"/>
        <v>SpotHero</v>
      </c>
      <c r="S244" s="19">
        <f t="shared" si="27"/>
        <v>53</v>
      </c>
      <c r="T244" s="17" t="str">
        <f t="shared" si="28"/>
        <v>SPOTHERO 844-356-8054 MASTERCARD-XXXXXX2I7BHI-Logan Rohloff</v>
      </c>
      <c r="U244" s="17" t="str">
        <f t="shared" si="29"/>
        <v>Brex Credit Card</v>
      </c>
      <c r="V244" s="19" t="str">
        <f>IF(ISBLANK($B244),"",IF(ISBLANK($K244),IF(_xlfn.XLOOKUP($W244,'Category Mapping'!$C:$C,'Category Mapping'!$B:$B)="Travel",_xlfn.XLOOKUP($P244,'Department Listing'!$A:$A,'Department Listing'!$M:$M),_xlfn.XLOOKUP($W244,'Category Mapping'!$C:$C,'Category Mapping'!$D:$D)),$K244))</f>
        <v>Cost of Goods Sold:COGS- Travel Expenses:</v>
      </c>
      <c r="W244" s="19" t="str">
        <f t="shared" si="30"/>
        <v>Ground Transportation</v>
      </c>
      <c r="X244" s="19" t="str">
        <f t="shared" si="31"/>
        <v>Cost of Goods Sold:COGS- Travel Expenses:Ground Transportation</v>
      </c>
      <c r="Y244" s="20" t="str">
        <f>IF(ISBLANK($M244),IFERROR(_xlfn.XLOOKUP($P244,'Department Listing'!$A:$A,'Department Listing'!$L:$L),""),$M244)</f>
        <v>200- Datadog:220- Engineering</v>
      </c>
      <c r="Z244" s="11">
        <f>IF(ISBLANK($B244),"",MATCH($X244,COA!$B:$B,0))</f>
        <v>124</v>
      </c>
    </row>
    <row r="245" spans="2:26" ht="15.75" customHeight="1" x14ac:dyDescent="0.25">
      <c r="B245" s="14">
        <v>46231</v>
      </c>
      <c r="C245" t="s">
        <v>402</v>
      </c>
      <c r="E245" s="23"/>
      <c r="F245" s="16">
        <v>2986.17</v>
      </c>
      <c r="G245" s="10"/>
      <c r="H245" s="10"/>
      <c r="I245" s="9" t="s">
        <v>36</v>
      </c>
      <c r="J245" s="9"/>
      <c r="K245" s="9"/>
      <c r="L245" s="9" t="s">
        <v>78</v>
      </c>
      <c r="M245" s="9"/>
      <c r="N245" s="17"/>
      <c r="O245" s="17" t="str">
        <f t="shared" si="24"/>
        <v>Victoria Molins</v>
      </c>
      <c r="P245" s="17">
        <f>IFERROR(_xlfn.XLOOKUP(O245,'Department Listing'!$O$1:$O$395,'Department Listing'!$A$1:$A$395),IFERROR(_xlfn.XLOOKUP(O245,'Name Aliases'!$A$2:$A$1000,'Name Aliases'!$B$2:$B$1000),""))</f>
        <v>292</v>
      </c>
      <c r="Q245" s="18">
        <f t="shared" si="25"/>
        <v>46231</v>
      </c>
      <c r="R245" s="17" t="str">
        <f t="shared" si="26"/>
        <v>Food Vendor</v>
      </c>
      <c r="S245" s="19">
        <f t="shared" si="27"/>
        <v>2986.17</v>
      </c>
      <c r="T245" s="17" t="str">
        <f t="shared" si="28"/>
        <v>Ande* Bar Primi Penn MASTERCARD-XXXXXX5G16Q8-Victoria Molins</v>
      </c>
      <c r="U245" s="17" t="str">
        <f t="shared" si="29"/>
        <v>Brex Credit Card</v>
      </c>
      <c r="V245" s="19" t="str">
        <f>IF(ISBLANK($B245),"",IF(ISBLANK($K245),IF(_xlfn.XLOOKUP($W245,'Category Mapping'!$C:$C,'Category Mapping'!$B:$B)="Travel",_xlfn.XLOOKUP($P245,'Department Listing'!$A:$A,'Department Listing'!$M:$M),_xlfn.XLOOKUP($W245,'Category Mapping'!$C:$C,'Category Mapping'!$D:$D)),$K245))</f>
        <v>Sales &amp; Marketing:Sales &amp; Marketing- Travel Expenses:</v>
      </c>
      <c r="W245" s="19" t="str">
        <f t="shared" si="30"/>
        <v>Meals &amp; Entertainment</v>
      </c>
      <c r="X245" s="19" t="str">
        <f t="shared" si="31"/>
        <v>Sales &amp; Marketing:Sales &amp; Marketing- Travel Expenses:Meals &amp; Entertainment</v>
      </c>
      <c r="Y245" s="20" t="str">
        <f>IF(ISBLANK($M245),IFERROR(_xlfn.XLOOKUP($P245,'Department Listing'!$A:$A,'Department Listing'!$L:$L),""),$M245)</f>
        <v>100- Operations:120- Marketing</v>
      </c>
      <c r="Z245" s="11">
        <f>IF(ISBLANK($B245),"",MATCH($X245,COA!$B:$B,0))</f>
        <v>202</v>
      </c>
    </row>
    <row r="246" spans="2:26" ht="15.75" customHeight="1" x14ac:dyDescent="0.25">
      <c r="B246" s="14">
        <v>46231</v>
      </c>
      <c r="C246" t="s">
        <v>403</v>
      </c>
      <c r="E246" s="23"/>
      <c r="F246" s="16">
        <v>366.19</v>
      </c>
      <c r="G246" s="10"/>
      <c r="H246" s="10"/>
      <c r="I246" s="9" t="s">
        <v>36</v>
      </c>
      <c r="J246" s="9"/>
      <c r="K246" s="9"/>
      <c r="L246" s="9" t="s">
        <v>78</v>
      </c>
      <c r="M246" s="9"/>
      <c r="N246" s="17"/>
      <c r="O246" s="17" t="str">
        <f t="shared" si="24"/>
        <v>Victoria Molins</v>
      </c>
      <c r="P246" s="17">
        <f>IFERROR(_xlfn.XLOOKUP(O246,'Department Listing'!$O$1:$O$395,'Department Listing'!$A$1:$A$395),IFERROR(_xlfn.XLOOKUP(O246,'Name Aliases'!$A$2:$A$1000,'Name Aliases'!$B$2:$B$1000),""))</f>
        <v>292</v>
      </c>
      <c r="Q246" s="18">
        <f t="shared" si="25"/>
        <v>46231</v>
      </c>
      <c r="R246" s="17" t="str">
        <f t="shared" si="26"/>
        <v>Food Vendor</v>
      </c>
      <c r="S246" s="19">
        <f t="shared" si="27"/>
        <v>366.19</v>
      </c>
      <c r="T246" s="17" t="str">
        <f t="shared" si="28"/>
        <v>ORETTA DOWNTOWN MASTERCARD-XXXXXXXTNC59-Victoria Molins</v>
      </c>
      <c r="U246" s="17" t="str">
        <f t="shared" si="29"/>
        <v>Brex Credit Card</v>
      </c>
      <c r="V246" s="19" t="str">
        <f>IF(ISBLANK($B246),"",IF(ISBLANK($K246),IF(_xlfn.XLOOKUP($W246,'Category Mapping'!$C:$C,'Category Mapping'!$B:$B)="Travel",_xlfn.XLOOKUP($P246,'Department Listing'!$A:$A,'Department Listing'!$M:$M),_xlfn.XLOOKUP($W246,'Category Mapping'!$C:$C,'Category Mapping'!$D:$D)),$K246))</f>
        <v>Sales &amp; Marketing:Sales &amp; Marketing- Travel Expenses:</v>
      </c>
      <c r="W246" s="19" t="str">
        <f t="shared" si="30"/>
        <v>Meals &amp; Entertainment</v>
      </c>
      <c r="X246" s="19" t="str">
        <f t="shared" si="31"/>
        <v>Sales &amp; Marketing:Sales &amp; Marketing- Travel Expenses:Meals &amp; Entertainment</v>
      </c>
      <c r="Y246" s="20" t="str">
        <f>IF(ISBLANK($M246),IFERROR(_xlfn.XLOOKUP($P246,'Department Listing'!$A:$A,'Department Listing'!$L:$L),""),$M246)</f>
        <v>100- Operations:120- Marketing</v>
      </c>
      <c r="Z246" s="11">
        <f>IF(ISBLANK($B246),"",MATCH($X246,COA!$B:$B,0))</f>
        <v>202</v>
      </c>
    </row>
    <row r="247" spans="2:26" ht="15.75" customHeight="1" x14ac:dyDescent="0.25">
      <c r="B247" s="14">
        <v>46231</v>
      </c>
      <c r="C247" t="s">
        <v>404</v>
      </c>
      <c r="E247" s="23" t="s">
        <v>69</v>
      </c>
      <c r="F247" s="16">
        <v>69</v>
      </c>
      <c r="G247" s="10"/>
      <c r="H247" s="10"/>
      <c r="I247" s="9" t="s">
        <v>405</v>
      </c>
      <c r="J247" s="9"/>
      <c r="K247" s="9"/>
      <c r="L247" s="9" t="s">
        <v>71</v>
      </c>
      <c r="M247" s="9"/>
      <c r="N247" s="17"/>
      <c r="O247" s="17" t="str">
        <f t="shared" si="24"/>
        <v>Eric Rabkin</v>
      </c>
      <c r="P247" s="17">
        <f>IFERROR(_xlfn.XLOOKUP(O247,'Department Listing'!$O$1:$O$395,'Department Listing'!$A$1:$A$395),IFERROR(_xlfn.XLOOKUP(O247,'Name Aliases'!$A$2:$A$1000,'Name Aliases'!$B$2:$B$1000),""))</f>
        <v>246</v>
      </c>
      <c r="Q247" s="18">
        <f t="shared" si="25"/>
        <v>46231</v>
      </c>
      <c r="R247" s="17" t="str">
        <f t="shared" si="26"/>
        <v>Shodan API</v>
      </c>
      <c r="S247" s="19">
        <f t="shared" si="27"/>
        <v>69</v>
      </c>
      <c r="T247" s="17" t="str">
        <f t="shared" si="28"/>
        <v>SHODAN BASIC API MASTERCARD-XXXXXXPTJKGU-Eric Rabkin</v>
      </c>
      <c r="U247" s="17" t="str">
        <f t="shared" si="29"/>
        <v>Brex Credit Card</v>
      </c>
      <c r="V247" s="19" t="str">
        <f>IF(ISBLANK($B247),"",IF(ISBLANK($K247),IF(_xlfn.XLOOKUP($W247,'Category Mapping'!$C:$C,'Category Mapping'!$B:$B)="Travel",_xlfn.XLOOKUP($P247,'Department Listing'!$A:$A,'Department Listing'!$M:$M),_xlfn.XLOOKUP($W247,'Category Mapping'!$C:$C,'Category Mapping'!$D:$D)),$K247))</f>
        <v>General &amp; Administrative:</v>
      </c>
      <c r="W247" s="19" t="str">
        <f t="shared" si="30"/>
        <v>Software Licenses</v>
      </c>
      <c r="X247" s="19" t="str">
        <f t="shared" si="31"/>
        <v>General &amp; Administrative:Software Licenses</v>
      </c>
      <c r="Y247" s="20" t="str">
        <f>IF(ISBLANK($M247),IFERROR(_xlfn.XLOOKUP($P247,'Department Listing'!$A:$A,'Department Listing'!$L:$L),""),$M247)</f>
        <v>100- Operations:110- G&amp;A</v>
      </c>
      <c r="Z247" s="11">
        <f>IF(ISBLANK($B247),"",MATCH($X247,COA!$B:$B,0))</f>
        <v>170</v>
      </c>
    </row>
    <row r="248" spans="2:26" ht="15.75" customHeight="1" x14ac:dyDescent="0.25">
      <c r="B248" s="14">
        <v>46231</v>
      </c>
      <c r="C248" t="s">
        <v>406</v>
      </c>
      <c r="E248" s="23" t="s">
        <v>64</v>
      </c>
      <c r="F248" s="16">
        <v>10</v>
      </c>
      <c r="G248" s="10"/>
      <c r="H248" s="10"/>
      <c r="I248" s="9" t="s">
        <v>74</v>
      </c>
      <c r="J248" s="9"/>
      <c r="K248" s="9"/>
      <c r="L248" s="9" t="s">
        <v>66</v>
      </c>
      <c r="M248" s="9"/>
      <c r="N248" s="17"/>
      <c r="O248" s="17" t="str">
        <f t="shared" si="24"/>
        <v>Gary Baker</v>
      </c>
      <c r="P248" s="17">
        <f>IFERROR(_xlfn.XLOOKUP(O248,'Department Listing'!$O$1:$O$395,'Department Listing'!$A$1:$A$395),IFERROR(_xlfn.XLOOKUP(O248,'Name Aliases'!$A$2:$A$1000,'Name Aliases'!$B$2:$B$1000),""))</f>
        <v>235</v>
      </c>
      <c r="Q248" s="18">
        <f t="shared" si="25"/>
        <v>46231</v>
      </c>
      <c r="R248" s="17" t="str">
        <f t="shared" si="26"/>
        <v>Uber</v>
      </c>
      <c r="S248" s="19">
        <f t="shared" si="27"/>
        <v>10</v>
      </c>
      <c r="T248" s="17" t="str">
        <f t="shared" si="28"/>
        <v>UBER   *TRIP MASTERCARD-XXXXXXTYJKQ6-Gary Baker</v>
      </c>
      <c r="U248" s="17" t="str">
        <f t="shared" si="29"/>
        <v>Brex Credit Card</v>
      </c>
      <c r="V248" s="19" t="str">
        <f>IF(ISBLANK($B248),"",IF(ISBLANK($K248),IF(_xlfn.XLOOKUP($W248,'Category Mapping'!$C:$C,'Category Mapping'!$B:$B)="Travel",_xlfn.XLOOKUP($P248,'Department Listing'!$A:$A,'Department Listing'!$M:$M),_xlfn.XLOOKUP($W248,'Category Mapping'!$C:$C,'Category Mapping'!$D:$D)),$K248))</f>
        <v>Cost of Goods Sold:COGS- Travel Expenses:</v>
      </c>
      <c r="W248" s="19" t="str">
        <f t="shared" si="30"/>
        <v>Ground Transportation</v>
      </c>
      <c r="X248" s="19" t="str">
        <f t="shared" si="31"/>
        <v>Cost of Goods Sold:COGS- Travel Expenses:Ground Transportation</v>
      </c>
      <c r="Y248" s="20" t="str">
        <f>IF(ISBLANK($M248),IFERROR(_xlfn.XLOOKUP($P248,'Department Listing'!$A:$A,'Department Listing'!$L:$L),""),$M248)</f>
        <v>300- ServiceNow:320- Engineering</v>
      </c>
      <c r="Z248" s="11">
        <f>IF(ISBLANK($B248),"",MATCH($X248,COA!$B:$B,0))</f>
        <v>124</v>
      </c>
    </row>
    <row r="249" spans="2:26" ht="15.75" customHeight="1" x14ac:dyDescent="0.25">
      <c r="B249" s="14">
        <v>46231</v>
      </c>
      <c r="C249" t="s">
        <v>407</v>
      </c>
      <c r="E249" s="23" t="s">
        <v>408</v>
      </c>
      <c r="F249" s="16">
        <v>3595.46</v>
      </c>
      <c r="G249" s="10"/>
      <c r="H249" s="10"/>
      <c r="I249" s="9" t="s">
        <v>409</v>
      </c>
      <c r="J249" s="9"/>
      <c r="K249" s="9"/>
      <c r="L249" s="9" t="s">
        <v>410</v>
      </c>
      <c r="M249" s="9"/>
      <c r="N249" s="17"/>
      <c r="O249" s="17" t="str">
        <f t="shared" si="24"/>
        <v>Karalyn Sims</v>
      </c>
      <c r="P249" s="17">
        <f>IFERROR(_xlfn.XLOOKUP(O249,'Department Listing'!$O$1:$O$395,'Department Listing'!$A$1:$A$395),IFERROR(_xlfn.XLOOKUP(O249,'Name Aliases'!$A$2:$A$1000,'Name Aliases'!$B$2:$B$1000),""))</f>
        <v>144</v>
      </c>
      <c r="Q249" s="18">
        <f t="shared" si="25"/>
        <v>46231</v>
      </c>
      <c r="R249" s="17" t="str">
        <f t="shared" si="26"/>
        <v>Cision US Inc.</v>
      </c>
      <c r="S249" s="19">
        <f t="shared" si="27"/>
        <v>3595.46</v>
      </c>
      <c r="T249" s="17" t="str">
        <f t="shared" si="28"/>
        <v>CISION US INC. MASTERCARD-XXXXXX0X3WEQ-Karalyn Sims</v>
      </c>
      <c r="U249" s="17" t="str">
        <f t="shared" si="29"/>
        <v>Brex Credit Card</v>
      </c>
      <c r="V249" s="19" t="str">
        <f>IF(ISBLANK($B249),"",IF(ISBLANK($K249),IF(_xlfn.XLOOKUP($W249,'Category Mapping'!$C:$C,'Category Mapping'!$B:$B)="Travel",_xlfn.XLOOKUP($P249,'Department Listing'!$A:$A,'Department Listing'!$M:$M),_xlfn.XLOOKUP($W249,'Category Mapping'!$C:$C,'Category Mapping'!$D:$D)),$K249))</f>
        <v>Sales &amp; Marketing:Marketing Expenses:</v>
      </c>
      <c r="W249" s="19" t="str">
        <f t="shared" si="30"/>
        <v>Other Marketing Expenses</v>
      </c>
      <c r="X249" s="19" t="str">
        <f t="shared" si="31"/>
        <v>Sales &amp; Marketing:Marketing Expenses:Other Marketing Expenses</v>
      </c>
      <c r="Y249" s="20" t="str">
        <f>IF(ISBLANK($M249),IFERROR(_xlfn.XLOOKUP($P249,'Department Listing'!$A:$A,'Department Listing'!$L:$L),""),$M249)</f>
        <v>100- Operations:120- Marketing</v>
      </c>
      <c r="Z249" s="11">
        <f>IF(ISBLANK($B249),"",MATCH($X249,COA!$B:$B,0))</f>
        <v>187</v>
      </c>
    </row>
    <row r="250" spans="2:26" ht="15.75" customHeight="1" x14ac:dyDescent="0.25">
      <c r="B250" s="14">
        <v>46231</v>
      </c>
      <c r="C250" t="s">
        <v>411</v>
      </c>
      <c r="E250" s="23" t="s">
        <v>76</v>
      </c>
      <c r="F250" s="16">
        <v>15.92</v>
      </c>
      <c r="G250" s="10"/>
      <c r="H250" s="10"/>
      <c r="I250" s="9" t="s">
        <v>36</v>
      </c>
      <c r="J250" s="9"/>
      <c r="K250" s="9"/>
      <c r="L250" s="9" t="s">
        <v>78</v>
      </c>
      <c r="M250" s="9"/>
      <c r="N250" s="17"/>
      <c r="O250" s="17" t="str">
        <f t="shared" si="24"/>
        <v>John Taylor</v>
      </c>
      <c r="P250" s="17">
        <f>IFERROR(_xlfn.XLOOKUP(O250,'Department Listing'!$O$1:$O$395,'Department Listing'!$A$1:$A$395),IFERROR(_xlfn.XLOOKUP(O250,'Name Aliases'!$A$2:$A$1000,'Name Aliases'!$B$2:$B$1000),""))</f>
        <v>118</v>
      </c>
      <c r="Q250" s="18">
        <f t="shared" si="25"/>
        <v>46231</v>
      </c>
      <c r="R250" s="17" t="str">
        <f t="shared" si="26"/>
        <v>Food Vendor</v>
      </c>
      <c r="S250" s="19">
        <f t="shared" si="27"/>
        <v>15.92</v>
      </c>
      <c r="T250" s="17" t="str">
        <f t="shared" si="28"/>
        <v>TST*BILLY GOAT TAVERN MASTERCARD-XXXXXXIKUROC-John Taylor</v>
      </c>
      <c r="U250" s="17" t="str">
        <f t="shared" si="29"/>
        <v>Brex Credit Card</v>
      </c>
      <c r="V250" s="19" t="str">
        <f>IF(ISBLANK($B250),"",IF(ISBLANK($K250),IF(_xlfn.XLOOKUP($W250,'Category Mapping'!$C:$C,'Category Mapping'!$B:$B)="Travel",_xlfn.XLOOKUP($P250,'Department Listing'!$A:$A,'Department Listing'!$M:$M),_xlfn.XLOOKUP($W250,'Category Mapping'!$C:$C,'Category Mapping'!$D:$D)),$K250))</f>
        <v>Sales &amp; Marketing:Sales &amp; Marketing- Travel Expenses:</v>
      </c>
      <c r="W250" s="19" t="str">
        <f t="shared" si="30"/>
        <v>Meals &amp; Entertainment</v>
      </c>
      <c r="X250" s="19" t="str">
        <f t="shared" si="31"/>
        <v>Sales &amp; Marketing:Sales &amp; Marketing- Travel Expenses:Meals &amp; Entertainment</v>
      </c>
      <c r="Y250" s="20" t="str">
        <f>IF(ISBLANK($M250),IFERROR(_xlfn.XLOOKUP($P250,'Department Listing'!$A:$A,'Department Listing'!$L:$L),""),$M250)</f>
        <v>300- ServiceNow:330- Sales</v>
      </c>
      <c r="Z250" s="11">
        <f>IF(ISBLANK($B250),"",MATCH($X250,COA!$B:$B,0))</f>
        <v>202</v>
      </c>
    </row>
    <row r="251" spans="2:26" ht="15.75" customHeight="1" x14ac:dyDescent="0.25">
      <c r="B251" s="14">
        <v>46231</v>
      </c>
      <c r="C251" t="s">
        <v>412</v>
      </c>
      <c r="E251" s="23" t="s">
        <v>76</v>
      </c>
      <c r="F251" s="16">
        <v>24.79</v>
      </c>
      <c r="G251" s="10"/>
      <c r="H251" s="10"/>
      <c r="I251" s="9" t="s">
        <v>194</v>
      </c>
      <c r="J251" s="9"/>
      <c r="K251" s="9"/>
      <c r="L251" s="9" t="s">
        <v>78</v>
      </c>
      <c r="M251" s="9"/>
      <c r="N251" s="17"/>
      <c r="O251" s="17" t="str">
        <f t="shared" si="24"/>
        <v>Jared Kennedy</v>
      </c>
      <c r="P251" s="17">
        <f>IFERROR(_xlfn.XLOOKUP(O251,'Department Listing'!$O$1:$O$395,'Department Listing'!$A$1:$A$395),IFERROR(_xlfn.XLOOKUP(O251,'Name Aliases'!$A$2:$A$1000,'Name Aliases'!$B$2:$B$1000),""))</f>
        <v>289</v>
      </c>
      <c r="Q251" s="18">
        <f t="shared" si="25"/>
        <v>46231</v>
      </c>
      <c r="R251" s="17" t="str">
        <f t="shared" si="26"/>
        <v>Thinking Cup</v>
      </c>
      <c r="S251" s="19">
        <f t="shared" si="27"/>
        <v>24.79</v>
      </c>
      <c r="T251" s="17" t="str">
        <f t="shared" si="28"/>
        <v>SQ *THINKING CUP NEWBU MASTERCARD-XXXXXXN3WXZX-Jared Kennedy</v>
      </c>
      <c r="U251" s="17" t="str">
        <f t="shared" si="29"/>
        <v>Brex Credit Card</v>
      </c>
      <c r="V251" s="19" t="str">
        <f>IF(ISBLANK($B251),"",IF(ISBLANK($K251),IF(_xlfn.XLOOKUP($W251,'Category Mapping'!$C:$C,'Category Mapping'!$B:$B)="Travel",_xlfn.XLOOKUP($P251,'Department Listing'!$A:$A,'Department Listing'!$M:$M),_xlfn.XLOOKUP($W251,'Category Mapping'!$C:$C,'Category Mapping'!$D:$D)),$K251))</f>
        <v>Sales &amp; Marketing:Sales &amp; Marketing- Travel Expenses:</v>
      </c>
      <c r="W251" s="19" t="str">
        <f t="shared" si="30"/>
        <v>Meals &amp; Entertainment</v>
      </c>
      <c r="X251" s="19" t="str">
        <f t="shared" si="31"/>
        <v>Sales &amp; Marketing:Sales &amp; Marketing- Travel Expenses:Meals &amp; Entertainment</v>
      </c>
      <c r="Y251" s="20" t="str">
        <f>IF(ISBLANK($M251),IFERROR(_xlfn.XLOOKUP($P251,'Department Listing'!$A:$A,'Department Listing'!$L:$L),""),$M251)</f>
        <v>200- Datadog:230- Sales</v>
      </c>
      <c r="Z251" s="11">
        <f>IF(ISBLANK($B251),"",MATCH($X251,COA!$B:$B,0))</f>
        <v>202</v>
      </c>
    </row>
    <row r="252" spans="2:26" ht="15.75" customHeight="1" x14ac:dyDescent="0.25">
      <c r="B252" s="14">
        <v>46231</v>
      </c>
      <c r="C252" t="s">
        <v>413</v>
      </c>
      <c r="E252" s="23"/>
      <c r="F252" s="16">
        <v>3.19</v>
      </c>
      <c r="G252" s="10"/>
      <c r="H252" s="10"/>
      <c r="I252" s="9" t="s">
        <v>33</v>
      </c>
      <c r="J252" s="9"/>
      <c r="K252" s="9"/>
      <c r="L252" s="9" t="s">
        <v>66</v>
      </c>
      <c r="M252" s="9"/>
      <c r="N252" s="17"/>
      <c r="O252" s="17" t="str">
        <f t="shared" si="24"/>
        <v>Gary Baker</v>
      </c>
      <c r="P252" s="17">
        <f>IFERROR(_xlfn.XLOOKUP(O252,'Department Listing'!$O$1:$O$395,'Department Listing'!$A$1:$A$395),IFERROR(_xlfn.XLOOKUP(O252,'Name Aliases'!$A$2:$A$1000,'Name Aliases'!$B$2:$B$1000),""))</f>
        <v>235</v>
      </c>
      <c r="Q252" s="18">
        <f t="shared" si="25"/>
        <v>46231</v>
      </c>
      <c r="R252" s="17" t="str">
        <f t="shared" si="26"/>
        <v>Travel Vendor</v>
      </c>
      <c r="S252" s="19">
        <f t="shared" si="27"/>
        <v>3.19</v>
      </c>
      <c r="T252" s="17" t="str">
        <f t="shared" si="28"/>
        <v>PDX Market 503 MASTERCARD-XXXXXX13JRLX-Gary Baker</v>
      </c>
      <c r="U252" s="17" t="str">
        <f t="shared" si="29"/>
        <v>Brex Credit Card</v>
      </c>
      <c r="V252" s="19" t="str">
        <f>IF(ISBLANK($B252),"",IF(ISBLANK($K252),IF(_xlfn.XLOOKUP($W252,'Category Mapping'!$C:$C,'Category Mapping'!$B:$B)="Travel",_xlfn.XLOOKUP($P252,'Department Listing'!$A:$A,'Department Listing'!$M:$M),_xlfn.XLOOKUP($W252,'Category Mapping'!$C:$C,'Category Mapping'!$D:$D)),$K252))</f>
        <v>Cost of Goods Sold:COGS- Travel Expenses:</v>
      </c>
      <c r="W252" s="19" t="str">
        <f t="shared" si="30"/>
        <v>Ground Transportation</v>
      </c>
      <c r="X252" s="19" t="str">
        <f t="shared" si="31"/>
        <v>Cost of Goods Sold:COGS- Travel Expenses:Ground Transportation</v>
      </c>
      <c r="Y252" s="20" t="str">
        <f>IF(ISBLANK($M252),IFERROR(_xlfn.XLOOKUP($P252,'Department Listing'!$A:$A,'Department Listing'!$L:$L),""),$M252)</f>
        <v>300- ServiceNow:320- Engineering</v>
      </c>
      <c r="Z252" s="11">
        <f>IF(ISBLANK($B252),"",MATCH($X252,COA!$B:$B,0))</f>
        <v>124</v>
      </c>
    </row>
    <row r="253" spans="2:26" ht="15.75" customHeight="1" x14ac:dyDescent="0.25">
      <c r="B253" s="14">
        <v>46232</v>
      </c>
      <c r="C253" t="s">
        <v>414</v>
      </c>
      <c r="E253" s="23"/>
      <c r="F253" s="16">
        <v>7.5</v>
      </c>
      <c r="G253" s="10"/>
      <c r="H253" s="10"/>
      <c r="I253" s="9" t="s">
        <v>36</v>
      </c>
      <c r="J253" s="9"/>
      <c r="K253" s="9"/>
      <c r="L253" s="9" t="s">
        <v>78</v>
      </c>
      <c r="M253" s="9"/>
      <c r="N253" s="17"/>
      <c r="O253" s="17" t="str">
        <f t="shared" si="24"/>
        <v>Gary Baker</v>
      </c>
      <c r="P253" s="17">
        <f>IFERROR(_xlfn.XLOOKUP(O253,'Department Listing'!$O$1:$O$395,'Department Listing'!$A$1:$A$395),IFERROR(_xlfn.XLOOKUP(O253,'Name Aliases'!$A$2:$A$1000,'Name Aliases'!$B$2:$B$1000),""))</f>
        <v>235</v>
      </c>
      <c r="Q253" s="18">
        <f t="shared" si="25"/>
        <v>46232</v>
      </c>
      <c r="R253" s="17" t="str">
        <f t="shared" si="26"/>
        <v>Food Vendor</v>
      </c>
      <c r="S253" s="19">
        <f t="shared" si="27"/>
        <v>7.5</v>
      </c>
      <c r="T253" s="17" t="str">
        <f t="shared" si="28"/>
        <v>McDonalds 36186 MASTERCARD-XXXXXXRIW9NN-Gary Baker</v>
      </c>
      <c r="U253" s="17" t="str">
        <f t="shared" si="29"/>
        <v>Brex Credit Card</v>
      </c>
      <c r="V253" s="19" t="str">
        <f>IF(ISBLANK($B253),"",IF(ISBLANK($K253),IF(_xlfn.XLOOKUP($W253,'Category Mapping'!$C:$C,'Category Mapping'!$B:$B)="Travel",_xlfn.XLOOKUP($P253,'Department Listing'!$A:$A,'Department Listing'!$M:$M),_xlfn.XLOOKUP($W253,'Category Mapping'!$C:$C,'Category Mapping'!$D:$D)),$K253))</f>
        <v>Cost of Goods Sold:COGS- Travel Expenses:</v>
      </c>
      <c r="W253" s="19" t="str">
        <f t="shared" si="30"/>
        <v>Meals &amp; Entertainment</v>
      </c>
      <c r="X253" s="19" t="str">
        <f t="shared" si="31"/>
        <v>Cost of Goods Sold:COGS- Travel Expenses:Meals &amp; Entertainment</v>
      </c>
      <c r="Y253" s="20" t="str">
        <f>IF(ISBLANK($M253),IFERROR(_xlfn.XLOOKUP($P253,'Department Listing'!$A:$A,'Department Listing'!$L:$L),""),$M253)</f>
        <v>300- ServiceNow:320- Engineering</v>
      </c>
      <c r="Z253" s="11">
        <f>IF(ISBLANK($B253),"",MATCH($X253,COA!$B:$B,0))</f>
        <v>126</v>
      </c>
    </row>
    <row r="254" spans="2:26" ht="15.75" customHeight="1" x14ac:dyDescent="0.25">
      <c r="B254" s="14">
        <v>46231</v>
      </c>
      <c r="C254" t="s">
        <v>415</v>
      </c>
      <c r="E254" s="23" t="s">
        <v>64</v>
      </c>
      <c r="F254" s="16">
        <v>15</v>
      </c>
      <c r="G254" s="10"/>
      <c r="H254" s="10"/>
      <c r="I254" s="9" t="s">
        <v>74</v>
      </c>
      <c r="J254" s="9"/>
      <c r="K254" s="9"/>
      <c r="L254" s="9" t="s">
        <v>66</v>
      </c>
      <c r="M254" s="9"/>
      <c r="N254" s="17"/>
      <c r="O254" s="17" t="str">
        <f t="shared" si="24"/>
        <v>John Taylor</v>
      </c>
      <c r="P254" s="17">
        <f>IFERROR(_xlfn.XLOOKUP(O254,'Department Listing'!$O$1:$O$395,'Department Listing'!$A$1:$A$395),IFERROR(_xlfn.XLOOKUP(O254,'Name Aliases'!$A$2:$A$1000,'Name Aliases'!$B$2:$B$1000),""))</f>
        <v>118</v>
      </c>
      <c r="Q254" s="18">
        <f t="shared" si="25"/>
        <v>46231</v>
      </c>
      <c r="R254" s="17" t="str">
        <f t="shared" si="26"/>
        <v>Uber</v>
      </c>
      <c r="S254" s="19">
        <f t="shared" si="27"/>
        <v>15</v>
      </c>
      <c r="T254" s="17" t="str">
        <f t="shared" si="28"/>
        <v>UBER   *TRIP MASTERCARD-XXXXXXOCPTCM-John Taylor</v>
      </c>
      <c r="U254" s="17" t="str">
        <f t="shared" si="29"/>
        <v>Brex Credit Card</v>
      </c>
      <c r="V254" s="19" t="str">
        <f>IF(ISBLANK($B254),"",IF(ISBLANK($K254),IF(_xlfn.XLOOKUP($W254,'Category Mapping'!$C:$C,'Category Mapping'!$B:$B)="Travel",_xlfn.XLOOKUP($P254,'Department Listing'!$A:$A,'Department Listing'!$M:$M),_xlfn.XLOOKUP($W254,'Category Mapping'!$C:$C,'Category Mapping'!$D:$D)),$K254))</f>
        <v>Sales &amp; Marketing:Sales &amp; Marketing- Travel Expenses:</v>
      </c>
      <c r="W254" s="19" t="str">
        <f t="shared" si="30"/>
        <v>Ground Transportation</v>
      </c>
      <c r="X254" s="19" t="str">
        <f t="shared" si="31"/>
        <v>Sales &amp; Marketing:Sales &amp; Marketing- Travel Expenses:Ground Transportation</v>
      </c>
      <c r="Y254" s="20" t="str">
        <f>IF(ISBLANK($M254),IFERROR(_xlfn.XLOOKUP($P254,'Department Listing'!$A:$A,'Department Listing'!$L:$L),""),$M254)</f>
        <v>300- ServiceNow:330- Sales</v>
      </c>
      <c r="Z254" s="11">
        <f>IF(ISBLANK($B254),"",MATCH($X254,COA!$B:$B,0))</f>
        <v>200</v>
      </c>
    </row>
    <row r="255" spans="2:26" ht="15.75" customHeight="1" x14ac:dyDescent="0.25">
      <c r="B255" s="14">
        <v>46232</v>
      </c>
      <c r="C255" t="s">
        <v>416</v>
      </c>
      <c r="E255" s="23" t="s">
        <v>76</v>
      </c>
      <c r="F255" s="16">
        <v>5.76</v>
      </c>
      <c r="G255" s="10"/>
      <c r="H255" s="10"/>
      <c r="I255" s="9" t="s">
        <v>287</v>
      </c>
      <c r="J255" s="9"/>
      <c r="K255" s="9"/>
      <c r="L255" s="9" t="s">
        <v>78</v>
      </c>
      <c r="M255" s="9"/>
      <c r="N255" s="17"/>
      <c r="O255" s="17" t="str">
        <f t="shared" si="24"/>
        <v>Toni Manning</v>
      </c>
      <c r="P255" s="17">
        <f>IFERROR(_xlfn.XLOOKUP(O255,'Department Listing'!$O$1:$O$395,'Department Listing'!$A$1:$A$395),IFERROR(_xlfn.XLOOKUP(O255,'Name Aliases'!$A$2:$A$1000,'Name Aliases'!$B$2:$B$1000),""))</f>
        <v>121</v>
      </c>
      <c r="Q255" s="18">
        <f t="shared" si="25"/>
        <v>46232</v>
      </c>
      <c r="R255" s="17" t="str">
        <f t="shared" si="26"/>
        <v>Starbucks</v>
      </c>
      <c r="S255" s="19">
        <f t="shared" si="27"/>
        <v>5.76</v>
      </c>
      <c r="T255" s="17" t="str">
        <f t="shared" si="28"/>
        <v>STARBUCKS STORE 80448 MASTERCARD-XXXXXXG5VMSN-Toni Manning</v>
      </c>
      <c r="U255" s="17" t="str">
        <f t="shared" si="29"/>
        <v>Brex Credit Card</v>
      </c>
      <c r="V255" s="19" t="str">
        <f>IF(ISBLANK($B255),"",IF(ISBLANK($K255),IF(_xlfn.XLOOKUP($W255,'Category Mapping'!$C:$C,'Category Mapping'!$B:$B)="Travel",_xlfn.XLOOKUP($P255,'Department Listing'!$A:$A,'Department Listing'!$M:$M),_xlfn.XLOOKUP($W255,'Category Mapping'!$C:$C,'Category Mapping'!$D:$D)),$K255))</f>
        <v>Sales &amp; Marketing:Sales &amp; Marketing- Travel Expenses:</v>
      </c>
      <c r="W255" s="19" t="str">
        <f t="shared" si="30"/>
        <v>Meals &amp; Entertainment</v>
      </c>
      <c r="X255" s="19" t="str">
        <f t="shared" si="31"/>
        <v>Sales &amp; Marketing:Sales &amp; Marketing- Travel Expenses:Meals &amp; Entertainment</v>
      </c>
      <c r="Y255" s="20" t="str">
        <f>IF(ISBLANK($M255),IFERROR(_xlfn.XLOOKUP($P255,'Department Listing'!$A:$A,'Department Listing'!$L:$L),""),$M255)</f>
        <v>100- Operations:120- Marketing</v>
      </c>
      <c r="Z255" s="11">
        <f>IF(ISBLANK($B255),"",MATCH($X255,COA!$B:$B,0))</f>
        <v>202</v>
      </c>
    </row>
    <row r="256" spans="2:26" ht="15.75" customHeight="1" x14ac:dyDescent="0.25">
      <c r="B256" s="14">
        <v>46232</v>
      </c>
      <c r="C256" t="s">
        <v>417</v>
      </c>
      <c r="E256" s="23" t="s">
        <v>76</v>
      </c>
      <c r="F256" s="16">
        <v>11.7</v>
      </c>
      <c r="G256" s="10"/>
      <c r="H256" s="10"/>
      <c r="I256" s="9" t="s">
        <v>287</v>
      </c>
      <c r="J256" s="9"/>
      <c r="K256" s="9"/>
      <c r="L256" s="9" t="s">
        <v>78</v>
      </c>
      <c r="M256" s="9"/>
      <c r="N256" s="17"/>
      <c r="O256" s="17" t="str">
        <f t="shared" si="24"/>
        <v>Daniel Levin</v>
      </c>
      <c r="P256" s="17">
        <f>IFERROR(_xlfn.XLOOKUP(O256,'Department Listing'!$O$1:$O$395,'Department Listing'!$A$1:$A$395),IFERROR(_xlfn.XLOOKUP(O256,'Name Aliases'!$A$2:$A$1000,'Name Aliases'!$B$2:$B$1000),""))</f>
        <v>291</v>
      </c>
      <c r="Q256" s="18">
        <f t="shared" si="25"/>
        <v>46232</v>
      </c>
      <c r="R256" s="17" t="str">
        <f t="shared" si="26"/>
        <v>Starbucks</v>
      </c>
      <c r="S256" s="19">
        <f t="shared" si="27"/>
        <v>11.7</v>
      </c>
      <c r="T256" s="17" t="str">
        <f t="shared" si="28"/>
        <v>STARBUCKS STORE 80448 MASTERCARD-XXXXXX8UADGB-Daniel Levin</v>
      </c>
      <c r="U256" s="17" t="str">
        <f t="shared" si="29"/>
        <v>Brex Credit Card</v>
      </c>
      <c r="V256" s="19" t="str">
        <f>IF(ISBLANK($B256),"",IF(ISBLANK($K256),IF(_xlfn.XLOOKUP($W256,'Category Mapping'!$C:$C,'Category Mapping'!$B:$B)="Travel",_xlfn.XLOOKUP($P256,'Department Listing'!$A:$A,'Department Listing'!$M:$M),_xlfn.XLOOKUP($W256,'Category Mapping'!$C:$C,'Category Mapping'!$D:$D)),$K256))</f>
        <v>General &amp; Administrative:G&amp;A- Travel Expenses:</v>
      </c>
      <c r="W256" s="19" t="str">
        <f t="shared" si="30"/>
        <v>Meals &amp; Entertainment</v>
      </c>
      <c r="X256" s="19" t="str">
        <f t="shared" si="31"/>
        <v>General &amp; Administrative:G&amp;A- Travel Expenses:Meals &amp; Entertainment</v>
      </c>
      <c r="Y256" s="20" t="str">
        <f>IF(ISBLANK($M256),IFERROR(_xlfn.XLOOKUP($P256,'Department Listing'!$A:$A,'Department Listing'!$L:$L),""),$M256)</f>
        <v>300- ServiceNow:320- Engineering</v>
      </c>
      <c r="Z256" s="11">
        <f>IF(ISBLANK($B256),"",MATCH($X256,COA!$B:$B,0))</f>
        <v>151</v>
      </c>
    </row>
    <row r="257" spans="2:26" ht="15.75" customHeight="1" x14ac:dyDescent="0.25">
      <c r="B257" s="14">
        <v>46232</v>
      </c>
      <c r="C257" t="s">
        <v>418</v>
      </c>
      <c r="E257" s="23" t="s">
        <v>205</v>
      </c>
      <c r="F257" s="16">
        <v>22.5</v>
      </c>
      <c r="G257" s="10"/>
      <c r="H257" s="10"/>
      <c r="I257" s="9" t="s">
        <v>206</v>
      </c>
      <c r="J257" s="9"/>
      <c r="K257" s="9"/>
      <c r="L257" s="9" t="s">
        <v>66</v>
      </c>
      <c r="M257" s="9"/>
      <c r="N257" s="17"/>
      <c r="O257" s="17" t="str">
        <f t="shared" si="24"/>
        <v>Sal Costa</v>
      </c>
      <c r="P257" s="17">
        <f>IFERROR(_xlfn.XLOOKUP(O257,'Department Listing'!$O$1:$O$395,'Department Listing'!$A$1:$A$395),IFERROR(_xlfn.XLOOKUP(O257,'Name Aliases'!$A$2:$A$1000,'Name Aliases'!$B$2:$B$1000),""))</f>
        <v>257</v>
      </c>
      <c r="Q257" s="18">
        <f t="shared" si="25"/>
        <v>46232</v>
      </c>
      <c r="R257" s="17" t="str">
        <f t="shared" si="26"/>
        <v>Mbta</v>
      </c>
      <c r="S257" s="19">
        <f t="shared" si="27"/>
        <v>22.5</v>
      </c>
      <c r="T257" s="17" t="str">
        <f t="shared" si="28"/>
        <v>MBTA WELLINGTON MASTERCARD-XXXXXXXSPWA2-Sal Costa</v>
      </c>
      <c r="U257" s="17" t="str">
        <f t="shared" si="29"/>
        <v>Brex Credit Card</v>
      </c>
      <c r="V257" s="19" t="str">
        <f>IF(ISBLANK($B257),"",IF(ISBLANK($K257),IF(_xlfn.XLOOKUP($W257,'Category Mapping'!$C:$C,'Category Mapping'!$B:$B)="Travel",_xlfn.XLOOKUP($P257,'Department Listing'!$A:$A,'Department Listing'!$M:$M),_xlfn.XLOOKUP($W257,'Category Mapping'!$C:$C,'Category Mapping'!$D:$D)),$K257))</f>
        <v>Sales &amp; Marketing:Sales &amp; Marketing- Travel Expenses:</v>
      </c>
      <c r="W257" s="19" t="str">
        <f t="shared" si="30"/>
        <v>Ground Transportation</v>
      </c>
      <c r="X257" s="19" t="str">
        <f t="shared" si="31"/>
        <v>Sales &amp; Marketing:Sales &amp; Marketing- Travel Expenses:Ground Transportation</v>
      </c>
      <c r="Y257" s="20" t="str">
        <f>IF(ISBLANK($M257),IFERROR(_xlfn.XLOOKUP($P257,'Department Listing'!$A:$A,'Department Listing'!$L:$L),""),$M257)</f>
        <v>300- ServiceNow:330- Sales</v>
      </c>
      <c r="Z257" s="11">
        <f>IF(ISBLANK($B257),"",MATCH($X257,COA!$B:$B,0))</f>
        <v>200</v>
      </c>
    </row>
    <row r="258" spans="2:26" ht="15.75" customHeight="1" x14ac:dyDescent="0.25">
      <c r="B258" s="14">
        <v>46231</v>
      </c>
      <c r="C258" t="s">
        <v>419</v>
      </c>
      <c r="E258" s="23" t="s">
        <v>205</v>
      </c>
      <c r="F258" s="16">
        <v>1.7</v>
      </c>
      <c r="G258" s="10"/>
      <c r="H258" s="10"/>
      <c r="I258" s="9" t="s">
        <v>206</v>
      </c>
      <c r="J258" s="9"/>
      <c r="K258" s="9"/>
      <c r="L258" s="9" t="s">
        <v>66</v>
      </c>
      <c r="M258" s="9"/>
      <c r="N258" s="17"/>
      <c r="O258" s="17" t="str">
        <f t="shared" si="24"/>
        <v>Karalyn Sims</v>
      </c>
      <c r="P258" s="17">
        <f>IFERROR(_xlfn.XLOOKUP(O258,'Department Listing'!$O$1:$O$395,'Department Listing'!$A$1:$A$395),IFERROR(_xlfn.XLOOKUP(O258,'Name Aliases'!$A$2:$A$1000,'Name Aliases'!$B$2:$B$1000),""))</f>
        <v>144</v>
      </c>
      <c r="Q258" s="18">
        <f t="shared" si="25"/>
        <v>46231</v>
      </c>
      <c r="R258" s="17" t="str">
        <f t="shared" si="26"/>
        <v>Mbta</v>
      </c>
      <c r="S258" s="19">
        <f t="shared" si="27"/>
        <v>1.7</v>
      </c>
      <c r="T258" s="17" t="str">
        <f t="shared" si="28"/>
        <v>MBTA-550048231694 MASTERCARD-XXXXXXPG67FV-Karalyn Sims</v>
      </c>
      <c r="U258" s="17" t="str">
        <f t="shared" si="29"/>
        <v>Brex Credit Card</v>
      </c>
      <c r="V258" s="19" t="str">
        <f>IF(ISBLANK($B258),"",IF(ISBLANK($K258),IF(_xlfn.XLOOKUP($W258,'Category Mapping'!$C:$C,'Category Mapping'!$B:$B)="Travel",_xlfn.XLOOKUP($P258,'Department Listing'!$A:$A,'Department Listing'!$M:$M),_xlfn.XLOOKUP($W258,'Category Mapping'!$C:$C,'Category Mapping'!$D:$D)),$K258))</f>
        <v>Sales &amp; Marketing:Sales &amp; Marketing- Travel Expenses:</v>
      </c>
      <c r="W258" s="19" t="str">
        <f t="shared" si="30"/>
        <v>Ground Transportation</v>
      </c>
      <c r="X258" s="19" t="str">
        <f t="shared" si="31"/>
        <v>Sales &amp; Marketing:Sales &amp; Marketing- Travel Expenses:Ground Transportation</v>
      </c>
      <c r="Y258" s="20" t="str">
        <f>IF(ISBLANK($M258),IFERROR(_xlfn.XLOOKUP($P258,'Department Listing'!$A:$A,'Department Listing'!$L:$L),""),$M258)</f>
        <v>100- Operations:120- Marketing</v>
      </c>
      <c r="Z258" s="11">
        <f>IF(ISBLANK($B258),"",MATCH($X258,COA!$B:$B,0))</f>
        <v>200</v>
      </c>
    </row>
    <row r="259" spans="2:26" ht="15.75" customHeight="1" x14ac:dyDescent="0.25">
      <c r="B259" s="14">
        <v>46231</v>
      </c>
      <c r="C259" t="s">
        <v>420</v>
      </c>
      <c r="E259" s="23" t="s">
        <v>64</v>
      </c>
      <c r="F259" s="16">
        <v>53.97</v>
      </c>
      <c r="G259" s="10"/>
      <c r="H259" s="10"/>
      <c r="I259" s="9" t="s">
        <v>74</v>
      </c>
      <c r="J259" s="9"/>
      <c r="K259" s="9"/>
      <c r="L259" s="9" t="s">
        <v>66</v>
      </c>
      <c r="M259" s="9"/>
      <c r="N259" s="17"/>
      <c r="O259" s="17" t="str">
        <f t="shared" si="24"/>
        <v>Chloe Brant</v>
      </c>
      <c r="P259" s="17">
        <f>IFERROR(_xlfn.XLOOKUP(O259,'Department Listing'!$O$1:$O$395,'Department Listing'!$A$1:$A$395),IFERROR(_xlfn.XLOOKUP(O259,'Name Aliases'!$A$2:$A$1000,'Name Aliases'!$B$2:$B$1000),""))</f>
        <v>77</v>
      </c>
      <c r="Q259" s="18">
        <f t="shared" si="25"/>
        <v>46231</v>
      </c>
      <c r="R259" s="17" t="str">
        <f t="shared" si="26"/>
        <v>Uber</v>
      </c>
      <c r="S259" s="19">
        <f t="shared" si="27"/>
        <v>53.97</v>
      </c>
      <c r="T259" s="17" t="str">
        <f t="shared" si="28"/>
        <v>UBER   *TRIP MASTERCARD-XXXXXXS8YWRU-Chloe Brant</v>
      </c>
      <c r="U259" s="17" t="str">
        <f t="shared" si="29"/>
        <v>Brex Credit Card</v>
      </c>
      <c r="V259" s="19" t="str">
        <f>IF(ISBLANK($B259),"",IF(ISBLANK($K259),IF(_xlfn.XLOOKUP($W259,'Category Mapping'!$C:$C,'Category Mapping'!$B:$B)="Travel",_xlfn.XLOOKUP($P259,'Department Listing'!$A:$A,'Department Listing'!$M:$M),_xlfn.XLOOKUP($W259,'Category Mapping'!$C:$C,'Category Mapping'!$D:$D)),$K259))</f>
        <v>Sales &amp; Marketing:Sales &amp; Marketing- Travel Expenses:</v>
      </c>
      <c r="W259" s="19" t="str">
        <f t="shared" si="30"/>
        <v>Ground Transportation</v>
      </c>
      <c r="X259" s="19" t="str">
        <f t="shared" si="31"/>
        <v>Sales &amp; Marketing:Sales &amp; Marketing- Travel Expenses:Ground Transportation</v>
      </c>
      <c r="Y259" s="20" t="str">
        <f>IF(ISBLANK($M259),IFERROR(_xlfn.XLOOKUP($P259,'Department Listing'!$A:$A,'Department Listing'!$L:$L),""),$M259)</f>
        <v>300- ServiceNow:330- Sales</v>
      </c>
      <c r="Z259" s="11">
        <f>IF(ISBLANK($B259),"",MATCH($X259,COA!$B:$B,0))</f>
        <v>200</v>
      </c>
    </row>
    <row r="260" spans="2:26" ht="15.75" customHeight="1" x14ac:dyDescent="0.25">
      <c r="B260" s="14">
        <v>46231</v>
      </c>
      <c r="C260" t="s">
        <v>421</v>
      </c>
      <c r="E260" s="23"/>
      <c r="F260" s="16">
        <v>7.85</v>
      </c>
      <c r="G260" s="10"/>
      <c r="H260" s="10"/>
      <c r="I260" s="9" t="s">
        <v>422</v>
      </c>
      <c r="J260" s="9"/>
      <c r="K260" s="9"/>
      <c r="L260" s="9" t="s">
        <v>78</v>
      </c>
      <c r="M260" s="9"/>
      <c r="N260" s="17"/>
      <c r="O260" s="17" t="str">
        <f t="shared" ref="O260:O323" si="32">IF(C260="", "", TRIM(RIGHT(C260, LEN(C260) - FIND("@@", SUBSTITUTE(C260, "-", "@@", LEN(C260) - LEN(SUBSTITUTE(C260, "-", "")))))))</f>
        <v>Talon Walz</v>
      </c>
      <c r="P260" s="17">
        <f>IFERROR(_xlfn.XLOOKUP(O260,'Department Listing'!$O$1:$O$395,'Department Listing'!$A$1:$A$395),IFERROR(_xlfn.XLOOKUP(O260,'Name Aliases'!$A$2:$A$1000,'Name Aliases'!$B$2:$B$1000),""))</f>
        <v>260</v>
      </c>
      <c r="Q260" s="18">
        <f t="shared" ref="Q260:Q323" si="33">IF(ISBLANK($C260),"",$B260)</f>
        <v>46231</v>
      </c>
      <c r="R260" s="17" t="str">
        <f t="shared" ref="R260:R323" si="34">IF(ISBLANK($C260),"",IF(ISBLANK($I260),$D260,$I260))</f>
        <v>Blank Street</v>
      </c>
      <c r="S260" s="19">
        <f t="shared" ref="S260:S323" si="35">IF(ISBLANK($C260),"",$F260 - $G260)</f>
        <v>7.85</v>
      </c>
      <c r="T260" s="17" t="str">
        <f t="shared" ref="T260:T323" si="36">IF(ISBLANK($C260),"",C260)</f>
        <v>SQ *BLANK STREET COFFE MASTERCARD-XXXXXXNLCFXI-Talon Walz</v>
      </c>
      <c r="U260" s="17" t="str">
        <f t="shared" ref="U260:U323" si="37">IF(ISBLANK($C260),"",$D$1)</f>
        <v>Brex Credit Card</v>
      </c>
      <c r="V260" s="19" t="str">
        <f>IF(ISBLANK($B260),"",IF(ISBLANK($K260),IF(_xlfn.XLOOKUP($W260,'Category Mapping'!$C:$C,'Category Mapping'!$B:$B)="Travel",_xlfn.XLOOKUP($P260,'Department Listing'!$A:$A,'Department Listing'!$M:$M),_xlfn.XLOOKUP($W260,'Category Mapping'!$C:$C,'Category Mapping'!$D:$D)),$K260))</f>
        <v>Cost of Goods Sold:COGS- Travel Expenses:</v>
      </c>
      <c r="W260" s="19" t="str">
        <f t="shared" ref="W260:W323" si="38">IF(ISBLANK($B260),"",IF(ISBLANK($L260),RIGHT($E260,LEN($E260) - FIND("^",SUBSTITUTE($E260,":","^",LEN($E260) - LEN(SUBSTITUTE($E260,":",""))))),$L260))</f>
        <v>Meals &amp; Entertainment</v>
      </c>
      <c r="X260" s="19" t="str">
        <f t="shared" ref="X260:X323" si="39">IF(ISBLANK($J260),$V260&amp;$W260,$J260)</f>
        <v>Cost of Goods Sold:COGS- Travel Expenses:Meals &amp; Entertainment</v>
      </c>
      <c r="Y260" s="20" t="str">
        <f>IF(ISBLANK($M260),IFERROR(_xlfn.XLOOKUP($P260,'Department Listing'!$A:$A,'Department Listing'!$L:$L),""),$M260)</f>
        <v>300- ServiceNow:320- Engineering</v>
      </c>
      <c r="Z260" s="11">
        <f>IF(ISBLANK($B260),"",MATCH($X260,COA!$B:$B,0))</f>
        <v>126</v>
      </c>
    </row>
    <row r="261" spans="2:26" ht="15.75" customHeight="1" x14ac:dyDescent="0.25">
      <c r="B261" s="14">
        <v>46231</v>
      </c>
      <c r="C261" t="s">
        <v>423</v>
      </c>
      <c r="E261" s="23"/>
      <c r="F261" s="16">
        <v>11.98</v>
      </c>
      <c r="G261" s="10"/>
      <c r="H261" s="10"/>
      <c r="I261" s="9" t="s">
        <v>33</v>
      </c>
      <c r="J261" s="9"/>
      <c r="K261" s="9"/>
      <c r="L261" s="9" t="s">
        <v>149</v>
      </c>
      <c r="M261" s="9"/>
      <c r="N261" s="17"/>
      <c r="O261" s="17" t="str">
        <f t="shared" si="32"/>
        <v>Ryan Hale</v>
      </c>
      <c r="P261" s="17">
        <f>IFERROR(_xlfn.XLOOKUP(O261,'Department Listing'!$O$1:$O$395,'Department Listing'!$A$1:$A$395),IFERROR(_xlfn.XLOOKUP(O261,'Name Aliases'!$A$2:$A$1000,'Name Aliases'!$B$2:$B$1000),""))</f>
        <v>222</v>
      </c>
      <c r="Q261" s="18">
        <f t="shared" si="33"/>
        <v>46231</v>
      </c>
      <c r="R261" s="17" t="str">
        <f t="shared" si="34"/>
        <v>Travel Vendor</v>
      </c>
      <c r="S261" s="19">
        <f t="shared" si="35"/>
        <v>11.98</v>
      </c>
      <c r="T261" s="17" t="str">
        <f t="shared" si="36"/>
        <v>MSN Trip Advisor Shop MASTERCARD-XXXXXXG5PB6Q-Ryan Hale</v>
      </c>
      <c r="U261" s="17" t="str">
        <f t="shared" si="37"/>
        <v>Brex Credit Card</v>
      </c>
      <c r="V261" s="19" t="str">
        <f>IF(ISBLANK($B261),"",IF(ISBLANK($K261),IF(_xlfn.XLOOKUP($W261,'Category Mapping'!$C:$C,'Category Mapping'!$B:$B)="Travel",_xlfn.XLOOKUP($P261,'Department Listing'!$A:$A,'Department Listing'!$M:$M),_xlfn.XLOOKUP($W261,'Category Mapping'!$C:$C,'Category Mapping'!$D:$D)),$K261))</f>
        <v>Sales &amp; Marketing:Sales &amp; Marketing- Travel Expenses:</v>
      </c>
      <c r="W261" s="19" t="str">
        <f t="shared" si="38"/>
        <v>Other Travel Expenses</v>
      </c>
      <c r="X261" s="19" t="str">
        <f t="shared" si="39"/>
        <v>Sales &amp; Marketing:Sales &amp; Marketing- Travel Expenses:Other Travel Expenses</v>
      </c>
      <c r="Y261" s="20" t="str">
        <f>IF(ISBLANK($M261),IFERROR(_xlfn.XLOOKUP($P261,'Department Listing'!$A:$A,'Department Listing'!$L:$L),""),$M261)</f>
        <v>300- ServiceNow:330- Sales</v>
      </c>
      <c r="Z261" s="11">
        <f>IF(ISBLANK($B261),"",MATCH($X261,COA!$B:$B,0))</f>
        <v>203</v>
      </c>
    </row>
    <row r="262" spans="2:26" ht="15.75" customHeight="1" x14ac:dyDescent="0.25">
      <c r="B262" s="14">
        <v>46230</v>
      </c>
      <c r="C262" t="s">
        <v>424</v>
      </c>
      <c r="E262" s="23" t="s">
        <v>64</v>
      </c>
      <c r="F262" s="16">
        <v>26.5</v>
      </c>
      <c r="G262" s="10"/>
      <c r="H262" s="10"/>
      <c r="I262" s="9" t="s">
        <v>65</v>
      </c>
      <c r="J262" s="9"/>
      <c r="K262" s="9"/>
      <c r="L262" s="9" t="s">
        <v>66</v>
      </c>
      <c r="M262" s="9"/>
      <c r="N262" s="17"/>
      <c r="O262" s="17" t="str">
        <f t="shared" si="32"/>
        <v>Jesse Eddy</v>
      </c>
      <c r="P262" s="17">
        <f>IFERROR(_xlfn.XLOOKUP(O262,'Department Listing'!$O$1:$O$395,'Department Listing'!$A$1:$A$395),IFERROR(_xlfn.XLOOKUP(O262,'Name Aliases'!$A$2:$A$1000,'Name Aliases'!$B$2:$B$1000),""))</f>
        <v>15</v>
      </c>
      <c r="Q262" s="18">
        <f t="shared" si="33"/>
        <v>46230</v>
      </c>
      <c r="R262" s="17" t="str">
        <f t="shared" si="34"/>
        <v>SpotHero</v>
      </c>
      <c r="S262" s="19">
        <f t="shared" si="35"/>
        <v>26.5</v>
      </c>
      <c r="T262" s="17" t="str">
        <f t="shared" si="36"/>
        <v>SPOTHERO 844-356-8054 MASTERCARD-XXXXXXT33PDR-Jesse Eddy</v>
      </c>
      <c r="U262" s="17" t="str">
        <f t="shared" si="37"/>
        <v>Brex Credit Card</v>
      </c>
      <c r="V262" s="19" t="str">
        <f>IF(ISBLANK($B262),"",IF(ISBLANK($K262),IF(_xlfn.XLOOKUP($W262,'Category Mapping'!$C:$C,'Category Mapping'!$B:$B)="Travel",_xlfn.XLOOKUP($P262,'Department Listing'!$A:$A,'Department Listing'!$M:$M),_xlfn.XLOOKUP($W262,'Category Mapping'!$C:$C,'Category Mapping'!$D:$D)),$K262))</f>
        <v>Sales &amp; Marketing:Sales &amp; Marketing- Travel Expenses:</v>
      </c>
      <c r="W262" s="19" t="str">
        <f t="shared" si="38"/>
        <v>Ground Transportation</v>
      </c>
      <c r="X262" s="19" t="str">
        <f t="shared" si="39"/>
        <v>Sales &amp; Marketing:Sales &amp; Marketing- Travel Expenses:Ground Transportation</v>
      </c>
      <c r="Y262" s="20" t="str">
        <f>IF(ISBLANK($M262),IFERROR(_xlfn.XLOOKUP($P262,'Department Listing'!$A:$A,'Department Listing'!$L:$L),""),$M262)</f>
        <v>200- Datadog:230- Sales</v>
      </c>
      <c r="Z262" s="11">
        <f>IF(ISBLANK($B262),"",MATCH($X262,COA!$B:$B,0))</f>
        <v>200</v>
      </c>
    </row>
    <row r="263" spans="2:26" ht="15.75" customHeight="1" x14ac:dyDescent="0.25">
      <c r="B263" s="14">
        <v>46231</v>
      </c>
      <c r="C263" t="s">
        <v>425</v>
      </c>
      <c r="E263" s="23" t="s">
        <v>196</v>
      </c>
      <c r="F263" s="16">
        <v>50.77</v>
      </c>
      <c r="G263" s="10"/>
      <c r="H263" s="10"/>
      <c r="I263" s="9" t="s">
        <v>197</v>
      </c>
      <c r="J263" s="9"/>
      <c r="K263" s="9"/>
      <c r="L263" s="9" t="s">
        <v>94</v>
      </c>
      <c r="M263" s="9"/>
      <c r="N263" s="17"/>
      <c r="O263" s="17" t="str">
        <f t="shared" si="32"/>
        <v>Karalyn Sims</v>
      </c>
      <c r="P263" s="17">
        <f>IFERROR(_xlfn.XLOOKUP(O263,'Department Listing'!$O$1:$O$395,'Department Listing'!$A$1:$A$395),IFERROR(_xlfn.XLOOKUP(O263,'Name Aliases'!$A$2:$A$1000,'Name Aliases'!$B$2:$B$1000),""))</f>
        <v>144</v>
      </c>
      <c r="Q263" s="18">
        <f t="shared" si="33"/>
        <v>46231</v>
      </c>
      <c r="R263" s="17" t="str">
        <f t="shared" si="34"/>
        <v>LinkedIn Corporation</v>
      </c>
      <c r="S263" s="19">
        <f t="shared" si="35"/>
        <v>50.77</v>
      </c>
      <c r="T263" s="17" t="str">
        <f t="shared" si="36"/>
        <v>LinkedIn P3060452828 MASTERCARD-XXXXXXVX4IDU-Karalyn Sims</v>
      </c>
      <c r="U263" s="17" t="str">
        <f t="shared" si="37"/>
        <v>Brex Credit Card</v>
      </c>
      <c r="V263" s="19" t="str">
        <f>IF(ISBLANK($B263),"",IF(ISBLANK($K263),IF(_xlfn.XLOOKUP($W263,'Category Mapping'!$C:$C,'Category Mapping'!$B:$B)="Travel",_xlfn.XLOOKUP($P263,'Department Listing'!$A:$A,'Department Listing'!$M:$M),_xlfn.XLOOKUP($W263,'Category Mapping'!$C:$C,'Category Mapping'!$D:$D)),$K263))</f>
        <v>General &amp; Administrative:Office Expenses:</v>
      </c>
      <c r="W263" s="19" t="str">
        <f t="shared" si="38"/>
        <v>Dues &amp; Subscriptions</v>
      </c>
      <c r="X263" s="19" t="str">
        <f t="shared" si="39"/>
        <v>General &amp; Administrative:Office Expenses:Dues &amp; Subscriptions</v>
      </c>
      <c r="Y263" s="20" t="str">
        <f>IF(ISBLANK($M263),IFERROR(_xlfn.XLOOKUP($P263,'Department Listing'!$A:$A,'Department Listing'!$L:$L),""),$M263)</f>
        <v>100- Operations:120- Marketing</v>
      </c>
      <c r="Z263" s="11">
        <f>IF(ISBLANK($B263),"",MATCH($X263,COA!$B:$B,0))</f>
        <v>159</v>
      </c>
    </row>
    <row r="264" spans="2:26" ht="15.75" customHeight="1" x14ac:dyDescent="0.25">
      <c r="B264" s="14">
        <v>46231</v>
      </c>
      <c r="C264" t="s">
        <v>426</v>
      </c>
      <c r="E264" s="23" t="s">
        <v>64</v>
      </c>
      <c r="F264" s="16">
        <v>67.14</v>
      </c>
      <c r="G264" s="10"/>
      <c r="H264" s="10"/>
      <c r="I264" s="9" t="s">
        <v>74</v>
      </c>
      <c r="J264" s="9"/>
      <c r="K264" s="9"/>
      <c r="L264" s="9" t="s">
        <v>66</v>
      </c>
      <c r="M264" s="9"/>
      <c r="N264" s="17"/>
      <c r="O264" s="17" t="str">
        <f t="shared" si="32"/>
        <v>Patrick Dennis</v>
      </c>
      <c r="P264" s="17">
        <f>IFERROR(_xlfn.XLOOKUP(O264,'Department Listing'!$O$1:$O$395,'Department Listing'!$A$1:$A$395),IFERROR(_xlfn.XLOOKUP(O264,'Name Aliases'!$A$2:$A$1000,'Name Aliases'!$B$2:$B$1000),""))</f>
        <v>65</v>
      </c>
      <c r="Q264" s="18">
        <f t="shared" si="33"/>
        <v>46231</v>
      </c>
      <c r="R264" s="17" t="str">
        <f t="shared" si="34"/>
        <v>Uber</v>
      </c>
      <c r="S264" s="19">
        <f t="shared" si="35"/>
        <v>67.14</v>
      </c>
      <c r="T264" s="17" t="str">
        <f t="shared" si="36"/>
        <v>UBER   *TRIP MASTERCARD-XXXXXXXMDQ5N-Patrick Dennis</v>
      </c>
      <c r="U264" s="17" t="str">
        <f t="shared" si="37"/>
        <v>Brex Credit Card</v>
      </c>
      <c r="V264" s="19" t="str">
        <f>IF(ISBLANK($B264),"",IF(ISBLANK($K264),IF(_xlfn.XLOOKUP($W264,'Category Mapping'!$C:$C,'Category Mapping'!$B:$B)="Travel",_xlfn.XLOOKUP($P264,'Department Listing'!$A:$A,'Department Listing'!$M:$M),_xlfn.XLOOKUP($W264,'Category Mapping'!$C:$C,'Category Mapping'!$D:$D)),$K264))</f>
        <v>Cost of Goods Sold:COGS- Travel Expenses:</v>
      </c>
      <c r="W264" s="19" t="str">
        <f t="shared" si="38"/>
        <v>Ground Transportation</v>
      </c>
      <c r="X264" s="19" t="str">
        <f t="shared" si="39"/>
        <v>Cost of Goods Sold:COGS- Travel Expenses:Ground Transportation</v>
      </c>
      <c r="Y264" s="20" t="str">
        <f>IF(ISBLANK($M264),IFERROR(_xlfn.XLOOKUP($P264,'Department Listing'!$A:$A,'Department Listing'!$L:$L),""),$M264)</f>
        <v>300- ServiceNow:310- Delivery</v>
      </c>
      <c r="Z264" s="11">
        <f>IF(ISBLANK($B264),"",MATCH($X264,COA!$B:$B,0))</f>
        <v>124</v>
      </c>
    </row>
    <row r="265" spans="2:26" ht="15.75" customHeight="1" x14ac:dyDescent="0.25">
      <c r="B265" s="14">
        <v>46231</v>
      </c>
      <c r="C265" t="s">
        <v>428</v>
      </c>
      <c r="E265" s="23" t="s">
        <v>64</v>
      </c>
      <c r="F265" s="16">
        <v>21.94</v>
      </c>
      <c r="G265" s="10"/>
      <c r="H265" s="10"/>
      <c r="I265" s="9" t="s">
        <v>74</v>
      </c>
      <c r="J265" s="9"/>
      <c r="K265" s="9"/>
      <c r="L265" s="9" t="s">
        <v>66</v>
      </c>
      <c r="M265" s="9"/>
      <c r="N265" s="17"/>
      <c r="O265" s="17" t="str">
        <f t="shared" si="32"/>
        <v>Patrick Dennis</v>
      </c>
      <c r="P265" s="17">
        <f>IFERROR(_xlfn.XLOOKUP(O265,'Department Listing'!$O$1:$O$395,'Department Listing'!$A$1:$A$395),IFERROR(_xlfn.XLOOKUP(O265,'Name Aliases'!$A$2:$A$1000,'Name Aliases'!$B$2:$B$1000),""))</f>
        <v>65</v>
      </c>
      <c r="Q265" s="18">
        <f t="shared" si="33"/>
        <v>46231</v>
      </c>
      <c r="R265" s="17" t="str">
        <f t="shared" si="34"/>
        <v>Uber</v>
      </c>
      <c r="S265" s="19">
        <f t="shared" si="35"/>
        <v>21.94</v>
      </c>
      <c r="T265" s="17" t="str">
        <f t="shared" si="36"/>
        <v>UBER   *TRIP MASTERCARD-XXXXXXHW6KR9-Patrick Dennis</v>
      </c>
      <c r="U265" s="17" t="str">
        <f t="shared" si="37"/>
        <v>Brex Credit Card</v>
      </c>
      <c r="V265" s="19" t="str">
        <f>IF(ISBLANK($B265),"",IF(ISBLANK($K265),IF(_xlfn.XLOOKUP($W265,'Category Mapping'!$C:$C,'Category Mapping'!$B:$B)="Travel",_xlfn.XLOOKUP($P265,'Department Listing'!$A:$A,'Department Listing'!$M:$M),_xlfn.XLOOKUP($W265,'Category Mapping'!$C:$C,'Category Mapping'!$D:$D)),$K265))</f>
        <v>Cost of Goods Sold:COGS- Travel Expenses:</v>
      </c>
      <c r="W265" s="19" t="str">
        <f t="shared" si="38"/>
        <v>Ground Transportation</v>
      </c>
      <c r="X265" s="19" t="str">
        <f t="shared" si="39"/>
        <v>Cost of Goods Sold:COGS- Travel Expenses:Ground Transportation</v>
      </c>
      <c r="Y265" s="20" t="str">
        <f>IF(ISBLANK($M265),IFERROR(_xlfn.XLOOKUP($P265,'Department Listing'!$A:$A,'Department Listing'!$L:$L),""),$M265)</f>
        <v>300- ServiceNow:310- Delivery</v>
      </c>
      <c r="Z265" s="11">
        <f>IF(ISBLANK($B265),"",MATCH($X265,COA!$B:$B,0))</f>
        <v>124</v>
      </c>
    </row>
    <row r="266" spans="2:26" ht="15.75" customHeight="1" x14ac:dyDescent="0.25">
      <c r="B266" s="14">
        <v>46231</v>
      </c>
      <c r="C266" t="s">
        <v>429</v>
      </c>
      <c r="E266" s="23" t="s">
        <v>64</v>
      </c>
      <c r="F266" s="16">
        <v>26.96</v>
      </c>
      <c r="G266" s="10"/>
      <c r="H266" s="10"/>
      <c r="I266" s="9" t="s">
        <v>74</v>
      </c>
      <c r="J266" s="9"/>
      <c r="K266" s="9"/>
      <c r="L266" s="9" t="s">
        <v>66</v>
      </c>
      <c r="M266" s="9"/>
      <c r="N266" s="17"/>
      <c r="O266" s="17" t="str">
        <f t="shared" si="32"/>
        <v>Talon Walz</v>
      </c>
      <c r="P266" s="17">
        <f>IFERROR(_xlfn.XLOOKUP(O266,'Department Listing'!$O$1:$O$395,'Department Listing'!$A$1:$A$395),IFERROR(_xlfn.XLOOKUP(O266,'Name Aliases'!$A$2:$A$1000,'Name Aliases'!$B$2:$B$1000),""))</f>
        <v>260</v>
      </c>
      <c r="Q266" s="18">
        <f t="shared" si="33"/>
        <v>46231</v>
      </c>
      <c r="R266" s="17" t="str">
        <f t="shared" si="34"/>
        <v>Uber</v>
      </c>
      <c r="S266" s="19">
        <f t="shared" si="35"/>
        <v>26.96</v>
      </c>
      <c r="T266" s="17" t="str">
        <f t="shared" si="36"/>
        <v>UBER   *TRIP MASTERCARD-XXXXXXLT5509-Talon Walz</v>
      </c>
      <c r="U266" s="17" t="str">
        <f t="shared" si="37"/>
        <v>Brex Credit Card</v>
      </c>
      <c r="V266" s="19" t="str">
        <f>IF(ISBLANK($B266),"",IF(ISBLANK($K266),IF(_xlfn.XLOOKUP($W266,'Category Mapping'!$C:$C,'Category Mapping'!$B:$B)="Travel",_xlfn.XLOOKUP($P266,'Department Listing'!$A:$A,'Department Listing'!$M:$M),_xlfn.XLOOKUP($W266,'Category Mapping'!$C:$C,'Category Mapping'!$D:$D)),$K266))</f>
        <v>Cost of Goods Sold:COGS- Travel Expenses:</v>
      </c>
      <c r="W266" s="19" t="str">
        <f t="shared" si="38"/>
        <v>Ground Transportation</v>
      </c>
      <c r="X266" s="19" t="str">
        <f t="shared" si="39"/>
        <v>Cost of Goods Sold:COGS- Travel Expenses:Ground Transportation</v>
      </c>
      <c r="Y266" s="20" t="str">
        <f>IF(ISBLANK($M266),IFERROR(_xlfn.XLOOKUP($P266,'Department Listing'!$A:$A,'Department Listing'!$L:$L),""),$M266)</f>
        <v>300- ServiceNow:320- Engineering</v>
      </c>
      <c r="Z266" s="11">
        <f>IF(ISBLANK($B266),"",MATCH($X266,COA!$B:$B,0))</f>
        <v>124</v>
      </c>
    </row>
    <row r="267" spans="2:26" ht="15.75" customHeight="1" x14ac:dyDescent="0.25">
      <c r="B267" s="14">
        <v>46231</v>
      </c>
      <c r="C267" t="s">
        <v>430</v>
      </c>
      <c r="E267" s="23"/>
      <c r="F267" s="16">
        <v>8</v>
      </c>
      <c r="G267" s="10"/>
      <c r="H267" s="10"/>
      <c r="I267" s="9" t="s">
        <v>36</v>
      </c>
      <c r="J267" s="9"/>
      <c r="K267" s="9"/>
      <c r="L267" s="9" t="s">
        <v>78</v>
      </c>
      <c r="M267" s="9"/>
      <c r="N267" s="17"/>
      <c r="O267" s="17" t="str">
        <f t="shared" si="32"/>
        <v>Jonathan Stricklin</v>
      </c>
      <c r="P267" s="17">
        <f>IFERROR(_xlfn.XLOOKUP(O267,'Department Listing'!$O$1:$O$395,'Department Listing'!$A$1:$A$395),IFERROR(_xlfn.XLOOKUP(O267,'Name Aliases'!$A$2:$A$1000,'Name Aliases'!$B$2:$B$1000),""))</f>
        <v>167</v>
      </c>
      <c r="Q267" s="18">
        <f t="shared" si="33"/>
        <v>46231</v>
      </c>
      <c r="R267" s="17" t="str">
        <f t="shared" si="34"/>
        <v>Food Vendor</v>
      </c>
      <c r="S267" s="19">
        <f t="shared" si="35"/>
        <v>8</v>
      </c>
      <c r="T267" s="17" t="str">
        <f t="shared" si="36"/>
        <v>SPO*FINAGLEABAGEL MASTERCARD-XXXXXXV0MQPY-Jonathan Stricklin</v>
      </c>
      <c r="U267" s="17" t="str">
        <f t="shared" si="37"/>
        <v>Brex Credit Card</v>
      </c>
      <c r="V267" s="19" t="str">
        <f>IF(ISBLANK($B267),"",IF(ISBLANK($K267),IF(_xlfn.XLOOKUP($W267,'Category Mapping'!$C:$C,'Category Mapping'!$B:$B)="Travel",_xlfn.XLOOKUP($P267,'Department Listing'!$A:$A,'Department Listing'!$M:$M),_xlfn.XLOOKUP($W267,'Category Mapping'!$C:$C,'Category Mapping'!$D:$D)),$K267))</f>
        <v>Cost of Goods Sold:COGS- Travel Expenses:</v>
      </c>
      <c r="W267" s="19" t="str">
        <f t="shared" si="38"/>
        <v>Meals &amp; Entertainment</v>
      </c>
      <c r="X267" s="19" t="str">
        <f t="shared" si="39"/>
        <v>Cost of Goods Sold:COGS- Travel Expenses:Meals &amp; Entertainment</v>
      </c>
      <c r="Y267" s="20" t="str">
        <f>IF(ISBLANK($M267),IFERROR(_xlfn.XLOOKUP($P267,'Department Listing'!$A:$A,'Department Listing'!$L:$L),""),$M267)</f>
        <v>300- ServiceNow:320- Engineering</v>
      </c>
      <c r="Z267" s="11">
        <f>IF(ISBLANK($B267),"",MATCH($X267,COA!$B:$B,0))</f>
        <v>126</v>
      </c>
    </row>
    <row r="268" spans="2:26" ht="15.75" customHeight="1" x14ac:dyDescent="0.25">
      <c r="B268" s="14">
        <v>46231</v>
      </c>
      <c r="C268" t="s">
        <v>431</v>
      </c>
      <c r="E268" s="23" t="s">
        <v>64</v>
      </c>
      <c r="F268" s="16">
        <v>49.27</v>
      </c>
      <c r="G268" s="10"/>
      <c r="H268" s="10"/>
      <c r="I268" s="9" t="s">
        <v>74</v>
      </c>
      <c r="J268" s="9"/>
      <c r="K268" s="9"/>
      <c r="L268" s="9" t="s">
        <v>66</v>
      </c>
      <c r="M268" s="9"/>
      <c r="N268" s="17"/>
      <c r="O268" s="17" t="str">
        <f t="shared" si="32"/>
        <v>Israel Baral</v>
      </c>
      <c r="P268" s="17">
        <f>IFERROR(_xlfn.XLOOKUP(O268,'Department Listing'!$O$1:$O$395,'Department Listing'!$A$1:$A$395),IFERROR(_xlfn.XLOOKUP(O268,'Name Aliases'!$A$2:$A$1000,'Name Aliases'!$B$2:$B$1000),""))</f>
        <v>215</v>
      </c>
      <c r="Q268" s="18">
        <f t="shared" si="33"/>
        <v>46231</v>
      </c>
      <c r="R268" s="17" t="str">
        <f t="shared" si="34"/>
        <v>Uber</v>
      </c>
      <c r="S268" s="19">
        <f t="shared" si="35"/>
        <v>49.27</v>
      </c>
      <c r="T268" s="17" t="str">
        <f t="shared" si="36"/>
        <v>UBER   *TRIP MASTERCARD-XXXXXXWDEDM4-Israel Baral</v>
      </c>
      <c r="U268" s="17" t="str">
        <f t="shared" si="37"/>
        <v>Brex Credit Card</v>
      </c>
      <c r="V268" s="19" t="str">
        <f>IF(ISBLANK($B268),"",IF(ISBLANK($K268),IF(_xlfn.XLOOKUP($W268,'Category Mapping'!$C:$C,'Category Mapping'!$B:$B)="Travel",_xlfn.XLOOKUP($P268,'Department Listing'!$A:$A,'Department Listing'!$M:$M),_xlfn.XLOOKUP($W268,'Category Mapping'!$C:$C,'Category Mapping'!$D:$D)),$K268))</f>
        <v>Cost of Goods Sold:COGS- Travel Expenses:</v>
      </c>
      <c r="W268" s="19" t="str">
        <f t="shared" si="38"/>
        <v>Ground Transportation</v>
      </c>
      <c r="X268" s="19" t="str">
        <f t="shared" si="39"/>
        <v>Cost of Goods Sold:COGS- Travel Expenses:Ground Transportation</v>
      </c>
      <c r="Y268" s="20" t="str">
        <f>IF(ISBLANK($M268),IFERROR(_xlfn.XLOOKUP($P268,'Department Listing'!$A:$A,'Department Listing'!$L:$L),""),$M268)</f>
        <v>300- ServiceNow:320- Engineering</v>
      </c>
      <c r="Z268" s="11">
        <f>IF(ISBLANK($B268),"",MATCH($X268,COA!$B:$B,0))</f>
        <v>124</v>
      </c>
    </row>
    <row r="269" spans="2:26" ht="15.75" customHeight="1" x14ac:dyDescent="0.25">
      <c r="B269" s="14">
        <v>46231</v>
      </c>
      <c r="C269" t="s">
        <v>432</v>
      </c>
      <c r="E269" s="23"/>
      <c r="F269" s="16">
        <v>5.29</v>
      </c>
      <c r="G269" s="10"/>
      <c r="H269" s="10"/>
      <c r="I269" s="9" t="s">
        <v>37</v>
      </c>
      <c r="J269" s="9"/>
      <c r="K269" s="9"/>
      <c r="L269" s="9" t="s">
        <v>94</v>
      </c>
      <c r="M269" s="9"/>
      <c r="N269" s="17"/>
      <c r="O269" s="17" t="str">
        <f t="shared" si="32"/>
        <v>Cody Sandford</v>
      </c>
      <c r="P269" s="17">
        <f>IFERROR(_xlfn.XLOOKUP(O269,'Department Listing'!$O$1:$O$395,'Department Listing'!$A$1:$A$395),IFERROR(_xlfn.XLOOKUP(O269,'Name Aliases'!$A$2:$A$1000,'Name Aliases'!$B$2:$B$1000),""))</f>
        <v>245</v>
      </c>
      <c r="Q269" s="18">
        <f t="shared" si="33"/>
        <v>46231</v>
      </c>
      <c r="R269" s="17" t="str">
        <f t="shared" si="34"/>
        <v>Office Vendor</v>
      </c>
      <c r="S269" s="19">
        <f t="shared" si="35"/>
        <v>5.29</v>
      </c>
      <c r="T269" s="17" t="str">
        <f t="shared" si="36"/>
        <v>STLR BA/RJ SURF ST2895 MASTERCARD-XXXXXXIRLM5N-Cody Sandford</v>
      </c>
      <c r="U269" s="17" t="str">
        <f t="shared" si="37"/>
        <v>Brex Credit Card</v>
      </c>
      <c r="V269" s="19" t="str">
        <f>IF(ISBLANK($B269),"",IF(ISBLANK($K269),IF(_xlfn.XLOOKUP($W269,'Category Mapping'!$C:$C,'Category Mapping'!$B:$B)="Travel",_xlfn.XLOOKUP($P269,'Department Listing'!$A:$A,'Department Listing'!$M:$M),_xlfn.XLOOKUP($W269,'Category Mapping'!$C:$C,'Category Mapping'!$D:$D)),$K269))</f>
        <v>General &amp; Administrative:Office Expenses:</v>
      </c>
      <c r="W269" s="19" t="str">
        <f t="shared" si="38"/>
        <v>Dues &amp; Subscriptions</v>
      </c>
      <c r="X269" s="19" t="str">
        <f t="shared" si="39"/>
        <v>General &amp; Administrative:Office Expenses:Dues &amp; Subscriptions</v>
      </c>
      <c r="Y269" s="20" t="str">
        <f>IF(ISBLANK($M269),IFERROR(_xlfn.XLOOKUP($P269,'Department Listing'!$A:$A,'Department Listing'!$L:$L),""),$M269)</f>
        <v>300- ServiceNow:320- Engineering</v>
      </c>
      <c r="Z269" s="11">
        <f>IF(ISBLANK($B269),"",MATCH($X269,COA!$B:$B,0))</f>
        <v>159</v>
      </c>
    </row>
    <row r="270" spans="2:26" ht="15.75" customHeight="1" x14ac:dyDescent="0.25">
      <c r="B270" s="14">
        <v>46230</v>
      </c>
      <c r="C270" t="s">
        <v>433</v>
      </c>
      <c r="E270" s="23" t="s">
        <v>76</v>
      </c>
      <c r="F270" s="16">
        <v>14.48</v>
      </c>
      <c r="G270" s="10"/>
      <c r="H270" s="10"/>
      <c r="I270" s="9" t="s">
        <v>358</v>
      </c>
      <c r="J270" s="9"/>
      <c r="K270" s="9"/>
      <c r="L270" s="9" t="s">
        <v>78</v>
      </c>
      <c r="M270" s="9"/>
      <c r="N270" s="17"/>
      <c r="O270" s="17" t="str">
        <f t="shared" si="32"/>
        <v>Cody Sandford</v>
      </c>
      <c r="P270" s="17">
        <f>IFERROR(_xlfn.XLOOKUP(O270,'Department Listing'!$O$1:$O$395,'Department Listing'!$A$1:$A$395),IFERROR(_xlfn.XLOOKUP(O270,'Name Aliases'!$A$2:$A$1000,'Name Aliases'!$B$2:$B$1000),""))</f>
        <v>245</v>
      </c>
      <c r="Q270" s="18">
        <f t="shared" si="33"/>
        <v>46230</v>
      </c>
      <c r="R270" s="17" t="str">
        <f t="shared" si="34"/>
        <v>Chick-Fil-A</v>
      </c>
      <c r="S270" s="19">
        <f t="shared" si="35"/>
        <v>14.48</v>
      </c>
      <c r="T270" s="17" t="str">
        <f t="shared" si="36"/>
        <v>TPA_6126_Chick-fil-A MASTERCARD-XXXXXXF1T4IK-Cody Sandford</v>
      </c>
      <c r="U270" s="17" t="str">
        <f t="shared" si="37"/>
        <v>Brex Credit Card</v>
      </c>
      <c r="V270" s="19" t="str">
        <f>IF(ISBLANK($B270),"",IF(ISBLANK($K270),IF(_xlfn.XLOOKUP($W270,'Category Mapping'!$C:$C,'Category Mapping'!$B:$B)="Travel",_xlfn.XLOOKUP($P270,'Department Listing'!$A:$A,'Department Listing'!$M:$M),_xlfn.XLOOKUP($W270,'Category Mapping'!$C:$C,'Category Mapping'!$D:$D)),$K270))</f>
        <v>Cost of Goods Sold:COGS- Travel Expenses:</v>
      </c>
      <c r="W270" s="19" t="str">
        <f t="shared" si="38"/>
        <v>Meals &amp; Entertainment</v>
      </c>
      <c r="X270" s="19" t="str">
        <f t="shared" si="39"/>
        <v>Cost of Goods Sold:COGS- Travel Expenses:Meals &amp; Entertainment</v>
      </c>
      <c r="Y270" s="20" t="str">
        <f>IF(ISBLANK($M270),IFERROR(_xlfn.XLOOKUP($P270,'Department Listing'!$A:$A,'Department Listing'!$L:$L),""),$M270)</f>
        <v>300- ServiceNow:320- Engineering</v>
      </c>
      <c r="Z270" s="11">
        <f>IF(ISBLANK($B270),"",MATCH($X270,COA!$B:$B,0))</f>
        <v>126</v>
      </c>
    </row>
    <row r="271" spans="2:26" ht="15.75" customHeight="1" x14ac:dyDescent="0.25">
      <c r="B271" s="14">
        <v>46231</v>
      </c>
      <c r="C271" t="s">
        <v>434</v>
      </c>
      <c r="E271" s="23"/>
      <c r="F271" s="16">
        <v>23.49</v>
      </c>
      <c r="G271" s="10"/>
      <c r="H271" s="10"/>
      <c r="I271" s="9" t="s">
        <v>36</v>
      </c>
      <c r="J271" s="9"/>
      <c r="K271" s="9"/>
      <c r="L271" s="9" t="s">
        <v>78</v>
      </c>
      <c r="M271" s="9"/>
      <c r="N271" s="17"/>
      <c r="O271" s="17" t="str">
        <f t="shared" si="32"/>
        <v>Ben Savage</v>
      </c>
      <c r="P271" s="17">
        <f>IFERROR(_xlfn.XLOOKUP(O271,'Department Listing'!$O$1:$O$395,'Department Listing'!$A$1:$A$395),IFERROR(_xlfn.XLOOKUP(O271,'Name Aliases'!$A$2:$A$1000,'Name Aliases'!$B$2:$B$1000),""))</f>
        <v>71</v>
      </c>
      <c r="Q271" s="18">
        <f t="shared" si="33"/>
        <v>46231</v>
      </c>
      <c r="R271" s="17" t="str">
        <f t="shared" si="34"/>
        <v>Food Vendor</v>
      </c>
      <c r="S271" s="19">
        <f t="shared" si="35"/>
        <v>23.49</v>
      </c>
      <c r="T271" s="17" t="str">
        <f t="shared" si="36"/>
        <v>BREWDOG MASTERCARD-XXXXXX1NHL0V-Ben Savage</v>
      </c>
      <c r="U271" s="17" t="str">
        <f t="shared" si="37"/>
        <v>Brex Credit Card</v>
      </c>
      <c r="V271" s="19" t="str">
        <f>IF(ISBLANK($B271),"",IF(ISBLANK($K271),IF(_xlfn.XLOOKUP($W271,'Category Mapping'!$C:$C,'Category Mapping'!$B:$B)="Travel",_xlfn.XLOOKUP($P271,'Department Listing'!$A:$A,'Department Listing'!$M:$M),_xlfn.XLOOKUP($W271,'Category Mapping'!$C:$C,'Category Mapping'!$D:$D)),$K271))</f>
        <v>Cost of Goods Sold:COGS- Travel Expenses:</v>
      </c>
      <c r="W271" s="19" t="str">
        <f t="shared" si="38"/>
        <v>Meals &amp; Entertainment</v>
      </c>
      <c r="X271" s="19" t="str">
        <f t="shared" si="39"/>
        <v>Cost of Goods Sold:COGS- Travel Expenses:Meals &amp; Entertainment</v>
      </c>
      <c r="Y271" s="20" t="str">
        <f>IF(ISBLANK($M271),IFERROR(_xlfn.XLOOKUP($P271,'Department Listing'!$A:$A,'Department Listing'!$L:$L),""),$M271)</f>
        <v>300- ServiceNow:320- Engineering</v>
      </c>
      <c r="Z271" s="11">
        <f>IF(ISBLANK($B271),"",MATCH($X271,COA!$B:$B,0))</f>
        <v>126</v>
      </c>
    </row>
    <row r="272" spans="2:26" ht="15.75" customHeight="1" x14ac:dyDescent="0.25">
      <c r="B272" s="14">
        <v>46231</v>
      </c>
      <c r="C272" t="s">
        <v>435</v>
      </c>
      <c r="E272" s="23" t="s">
        <v>64</v>
      </c>
      <c r="F272" s="16">
        <v>49.28</v>
      </c>
      <c r="G272" s="10"/>
      <c r="H272" s="10"/>
      <c r="I272" s="9" t="s">
        <v>74</v>
      </c>
      <c r="J272" s="9"/>
      <c r="K272" s="9"/>
      <c r="L272" s="9" t="s">
        <v>66</v>
      </c>
      <c r="M272" s="9"/>
      <c r="N272" s="17"/>
      <c r="O272" s="17" t="str">
        <f t="shared" si="32"/>
        <v>Kevin Montes de Oca</v>
      </c>
      <c r="P272" s="17">
        <f>IFERROR(_xlfn.XLOOKUP(O272,'Department Listing'!$O$1:$O$395,'Department Listing'!$A$1:$A$395),IFERROR(_xlfn.XLOOKUP(O272,'Name Aliases'!$A$2:$A$1000,'Name Aliases'!$B$2:$B$1000),""))</f>
        <v>165</v>
      </c>
      <c r="Q272" s="18">
        <f t="shared" si="33"/>
        <v>46231</v>
      </c>
      <c r="R272" s="17" t="str">
        <f t="shared" si="34"/>
        <v>Uber</v>
      </c>
      <c r="S272" s="19">
        <f t="shared" si="35"/>
        <v>49.28</v>
      </c>
      <c r="T272" s="17" t="str">
        <f t="shared" si="36"/>
        <v>UBER   *TRIP MASTERCARD-XXXXXXTGF9PQ-Kevin Montes de Oca</v>
      </c>
      <c r="U272" s="17" t="str">
        <f t="shared" si="37"/>
        <v>Brex Credit Card</v>
      </c>
      <c r="V272" s="19" t="str">
        <f>IF(ISBLANK($B272),"",IF(ISBLANK($K272),IF(_xlfn.XLOOKUP($W272,'Category Mapping'!$C:$C,'Category Mapping'!$B:$B)="Travel",_xlfn.XLOOKUP($P272,'Department Listing'!$A:$A,'Department Listing'!$M:$M),_xlfn.XLOOKUP($W272,'Category Mapping'!$C:$C,'Category Mapping'!$D:$D)),$K272))</f>
        <v>Cost of Goods Sold:COGS- Travel Expenses:</v>
      </c>
      <c r="W272" s="19" t="str">
        <f t="shared" si="38"/>
        <v>Ground Transportation</v>
      </c>
      <c r="X272" s="19" t="str">
        <f t="shared" si="39"/>
        <v>Cost of Goods Sold:COGS- Travel Expenses:Ground Transportation</v>
      </c>
      <c r="Y272" s="20" t="str">
        <f>IF(ISBLANK($M272),IFERROR(_xlfn.XLOOKUP($P272,'Department Listing'!$A:$A,'Department Listing'!$L:$L),""),$M272)</f>
        <v>300- ServiceNow:320- Engineering</v>
      </c>
      <c r="Z272" s="11">
        <f>IF(ISBLANK($B272),"",MATCH($X272,COA!$B:$B,0))</f>
        <v>124</v>
      </c>
    </row>
    <row r="273" spans="2:26" ht="15.75" customHeight="1" x14ac:dyDescent="0.25">
      <c r="B273" s="14">
        <v>46231</v>
      </c>
      <c r="C273" t="s">
        <v>437</v>
      </c>
      <c r="E273" s="23" t="s">
        <v>76</v>
      </c>
      <c r="F273" s="16">
        <v>21.54</v>
      </c>
      <c r="G273" s="10"/>
      <c r="H273" s="10"/>
      <c r="I273" s="9" t="s">
        <v>438</v>
      </c>
      <c r="J273" s="9"/>
      <c r="K273" s="9"/>
      <c r="L273" s="9" t="s">
        <v>78</v>
      </c>
      <c r="M273" s="9"/>
      <c r="N273" s="17"/>
      <c r="O273" s="17" t="str">
        <f t="shared" si="32"/>
        <v>Ben Savage</v>
      </c>
      <c r="P273" s="17">
        <f>IFERROR(_xlfn.XLOOKUP(O273,'Department Listing'!$O$1:$O$395,'Department Listing'!$A$1:$A$395),IFERROR(_xlfn.XLOOKUP(O273,'Name Aliases'!$A$2:$A$1000,'Name Aliases'!$B$2:$B$1000),""))</f>
        <v>71</v>
      </c>
      <c r="Q273" s="18">
        <f t="shared" si="33"/>
        <v>46231</v>
      </c>
      <c r="R273" s="17" t="str">
        <f t="shared" si="34"/>
        <v>WHSmith</v>
      </c>
      <c r="S273" s="19">
        <f t="shared" si="35"/>
        <v>21.54</v>
      </c>
      <c r="T273" s="17" t="str">
        <f t="shared" si="36"/>
        <v>WH Smith Edinburgh Air MASTERCARD-XXXXXXNV1021-Ben Savage</v>
      </c>
      <c r="U273" s="17" t="str">
        <f t="shared" si="37"/>
        <v>Brex Credit Card</v>
      </c>
      <c r="V273" s="19" t="str">
        <f>IF(ISBLANK($B273),"",IF(ISBLANK($K273),IF(_xlfn.XLOOKUP($W273,'Category Mapping'!$C:$C,'Category Mapping'!$B:$B)="Travel",_xlfn.XLOOKUP($P273,'Department Listing'!$A:$A,'Department Listing'!$M:$M),_xlfn.XLOOKUP($W273,'Category Mapping'!$C:$C,'Category Mapping'!$D:$D)),$K273))</f>
        <v>Cost of Goods Sold:COGS- Travel Expenses:</v>
      </c>
      <c r="W273" s="19" t="str">
        <f t="shared" si="38"/>
        <v>Meals &amp; Entertainment</v>
      </c>
      <c r="X273" s="19" t="str">
        <f t="shared" si="39"/>
        <v>Cost of Goods Sold:COGS- Travel Expenses:Meals &amp; Entertainment</v>
      </c>
      <c r="Y273" s="20" t="str">
        <f>IF(ISBLANK($M273),IFERROR(_xlfn.XLOOKUP($P273,'Department Listing'!$A:$A,'Department Listing'!$L:$L),""),$M273)</f>
        <v>300- ServiceNow:320- Engineering</v>
      </c>
      <c r="Z273" s="11">
        <f>IF(ISBLANK($B273),"",MATCH($X273,COA!$B:$B,0))</f>
        <v>126</v>
      </c>
    </row>
    <row r="274" spans="2:26" ht="15.75" customHeight="1" x14ac:dyDescent="0.25">
      <c r="B274" s="14">
        <v>46231</v>
      </c>
      <c r="C274" t="s">
        <v>439</v>
      </c>
      <c r="E274" s="23" t="s">
        <v>76</v>
      </c>
      <c r="F274" s="16">
        <v>3.03</v>
      </c>
      <c r="G274" s="10"/>
      <c r="H274" s="10"/>
      <c r="I274" s="9" t="s">
        <v>440</v>
      </c>
      <c r="J274" s="9"/>
      <c r="K274" s="9"/>
      <c r="L274" s="9" t="s">
        <v>78</v>
      </c>
      <c r="M274" s="9"/>
      <c r="N274" s="17"/>
      <c r="O274" s="17" t="str">
        <f t="shared" si="32"/>
        <v>Dean DeMonte</v>
      </c>
      <c r="P274" s="17">
        <f>IFERROR(_xlfn.XLOOKUP(O274,'Department Listing'!$O$1:$O$395,'Department Listing'!$A$1:$A$395),IFERROR(_xlfn.XLOOKUP(O274,'Name Aliases'!$A$2:$A$1000,'Name Aliases'!$B$2:$B$1000),""))</f>
        <v>216</v>
      </c>
      <c r="Q274" s="18">
        <f t="shared" si="33"/>
        <v>46231</v>
      </c>
      <c r="R274" s="17" t="str">
        <f t="shared" si="34"/>
        <v>Pret a Manger</v>
      </c>
      <c r="S274" s="19">
        <f t="shared" si="35"/>
        <v>3.03</v>
      </c>
      <c r="T274" s="17" t="str">
        <f t="shared" si="36"/>
        <v>PRET A MANGER MASTERCARD-XXXXXX6D84FQ-Dean DeMonte</v>
      </c>
      <c r="U274" s="17" t="str">
        <f t="shared" si="37"/>
        <v>Brex Credit Card</v>
      </c>
      <c r="V274" s="19" t="str">
        <f>IF(ISBLANK($B274),"",IF(ISBLANK($K274),IF(_xlfn.XLOOKUP($W274,'Category Mapping'!$C:$C,'Category Mapping'!$B:$B)="Travel",_xlfn.XLOOKUP($P274,'Department Listing'!$A:$A,'Department Listing'!$M:$M),_xlfn.XLOOKUP($W274,'Category Mapping'!$C:$C,'Category Mapping'!$D:$D)),$K274))</f>
        <v>Sales &amp; Marketing:Sales &amp; Marketing- Travel Expenses:</v>
      </c>
      <c r="W274" s="19" t="str">
        <f t="shared" si="38"/>
        <v>Meals &amp; Entertainment</v>
      </c>
      <c r="X274" s="19" t="str">
        <f t="shared" si="39"/>
        <v>Sales &amp; Marketing:Sales &amp; Marketing- Travel Expenses:Meals &amp; Entertainment</v>
      </c>
      <c r="Y274" s="20" t="str">
        <f>IF(ISBLANK($M274),IFERROR(_xlfn.XLOOKUP($P274,'Department Listing'!$A:$A,'Department Listing'!$L:$L),""),$M274)</f>
        <v>200- Datadog:230- Sales</v>
      </c>
      <c r="Z274" s="11">
        <f>IF(ISBLANK($B274),"",MATCH($X274,COA!$B:$B,0))</f>
        <v>202</v>
      </c>
    </row>
    <row r="275" spans="2:26" ht="15.75" customHeight="1" x14ac:dyDescent="0.25">
      <c r="B275" s="14">
        <v>46231</v>
      </c>
      <c r="C275" t="s">
        <v>441</v>
      </c>
      <c r="E275" s="23" t="s">
        <v>64</v>
      </c>
      <c r="F275" s="16">
        <v>65.97</v>
      </c>
      <c r="G275" s="10"/>
      <c r="H275" s="10"/>
      <c r="I275" s="9" t="s">
        <v>74</v>
      </c>
      <c r="J275" s="9"/>
      <c r="K275" s="9"/>
      <c r="L275" s="9" t="s">
        <v>66</v>
      </c>
      <c r="M275" s="9"/>
      <c r="N275" s="17"/>
      <c r="O275" s="17" t="str">
        <f t="shared" si="32"/>
        <v>Ben Savage</v>
      </c>
      <c r="P275" s="17">
        <f>IFERROR(_xlfn.XLOOKUP(O275,'Department Listing'!$O$1:$O$395,'Department Listing'!$A$1:$A$395),IFERROR(_xlfn.XLOOKUP(O275,'Name Aliases'!$A$2:$A$1000,'Name Aliases'!$B$2:$B$1000),""))</f>
        <v>71</v>
      </c>
      <c r="Q275" s="18">
        <f t="shared" si="33"/>
        <v>46231</v>
      </c>
      <c r="R275" s="17" t="str">
        <f t="shared" si="34"/>
        <v>Uber</v>
      </c>
      <c r="S275" s="19">
        <f t="shared" si="35"/>
        <v>65.97</v>
      </c>
      <c r="T275" s="17" t="str">
        <f t="shared" si="36"/>
        <v>UBER   *TRIP MASTERCARD-XXXXXXU8ZSWF-Ben Savage</v>
      </c>
      <c r="U275" s="17" t="str">
        <f t="shared" si="37"/>
        <v>Brex Credit Card</v>
      </c>
      <c r="V275" s="19" t="str">
        <f>IF(ISBLANK($B275),"",IF(ISBLANK($K275),IF(_xlfn.XLOOKUP($W275,'Category Mapping'!$C:$C,'Category Mapping'!$B:$B)="Travel",_xlfn.XLOOKUP($P275,'Department Listing'!$A:$A,'Department Listing'!$M:$M),_xlfn.XLOOKUP($W275,'Category Mapping'!$C:$C,'Category Mapping'!$D:$D)),$K275))</f>
        <v>Cost of Goods Sold:COGS- Travel Expenses:</v>
      </c>
      <c r="W275" s="19" t="str">
        <f t="shared" si="38"/>
        <v>Ground Transportation</v>
      </c>
      <c r="X275" s="19" t="str">
        <f t="shared" si="39"/>
        <v>Cost of Goods Sold:COGS- Travel Expenses:Ground Transportation</v>
      </c>
      <c r="Y275" s="20" t="str">
        <f>IF(ISBLANK($M275),IFERROR(_xlfn.XLOOKUP($P275,'Department Listing'!$A:$A,'Department Listing'!$L:$L),""),$M275)</f>
        <v>300- ServiceNow:320- Engineering</v>
      </c>
      <c r="Z275" s="11">
        <f>IF(ISBLANK($B275),"",MATCH($X275,COA!$B:$B,0))</f>
        <v>124</v>
      </c>
    </row>
    <row r="276" spans="2:26" ht="15.75" customHeight="1" x14ac:dyDescent="0.25">
      <c r="B276" s="14">
        <v>46231</v>
      </c>
      <c r="C276" t="s">
        <v>442</v>
      </c>
      <c r="E276" s="23" t="s">
        <v>76</v>
      </c>
      <c r="F276" s="16">
        <v>92.14</v>
      </c>
      <c r="G276" s="10"/>
      <c r="H276" s="10"/>
      <c r="I276" s="9" t="s">
        <v>443</v>
      </c>
      <c r="J276" s="9"/>
      <c r="K276" s="9"/>
      <c r="L276" s="9" t="s">
        <v>78</v>
      </c>
      <c r="M276" s="9"/>
      <c r="N276" s="17"/>
      <c r="O276" s="17" t="str">
        <f t="shared" si="32"/>
        <v>Dean DeMonte</v>
      </c>
      <c r="P276" s="17">
        <f>IFERROR(_xlfn.XLOOKUP(O276,'Department Listing'!$O$1:$O$395,'Department Listing'!$A$1:$A$395),IFERROR(_xlfn.XLOOKUP(O276,'Name Aliases'!$A$2:$A$1000,'Name Aliases'!$B$2:$B$1000),""))</f>
        <v>216</v>
      </c>
      <c r="Q276" s="18">
        <f t="shared" si="33"/>
        <v>46231</v>
      </c>
      <c r="R276" s="17" t="str">
        <f t="shared" si="34"/>
        <v>Zettle</v>
      </c>
      <c r="S276" s="19">
        <f t="shared" si="35"/>
        <v>92.14</v>
      </c>
      <c r="T276" s="17" t="str">
        <f t="shared" si="36"/>
        <v>Zettle_*wellington car MASTERCARD-XXXXXX03LHA5-Dean DeMonte</v>
      </c>
      <c r="U276" s="17" t="str">
        <f t="shared" si="37"/>
        <v>Brex Credit Card</v>
      </c>
      <c r="V276" s="19" t="str">
        <f>IF(ISBLANK($B276),"",IF(ISBLANK($K276),IF(_xlfn.XLOOKUP($W276,'Category Mapping'!$C:$C,'Category Mapping'!$B:$B)="Travel",_xlfn.XLOOKUP($P276,'Department Listing'!$A:$A,'Department Listing'!$M:$M),_xlfn.XLOOKUP($W276,'Category Mapping'!$C:$C,'Category Mapping'!$D:$D)),$K276))</f>
        <v>Sales &amp; Marketing:Sales &amp; Marketing- Travel Expenses:</v>
      </c>
      <c r="W276" s="19" t="str">
        <f t="shared" si="38"/>
        <v>Meals &amp; Entertainment</v>
      </c>
      <c r="X276" s="19" t="str">
        <f t="shared" si="39"/>
        <v>Sales &amp; Marketing:Sales &amp; Marketing- Travel Expenses:Meals &amp; Entertainment</v>
      </c>
      <c r="Y276" s="20" t="str">
        <f>IF(ISBLANK($M276),IFERROR(_xlfn.XLOOKUP($P276,'Department Listing'!$A:$A,'Department Listing'!$L:$L),""),$M276)</f>
        <v>200- Datadog:230- Sales</v>
      </c>
      <c r="Z276" s="11">
        <f>IF(ISBLANK($B276),"",MATCH($X276,COA!$B:$B,0))</f>
        <v>202</v>
      </c>
    </row>
    <row r="277" spans="2:26" ht="15.75" customHeight="1" x14ac:dyDescent="0.25">
      <c r="B277" s="14">
        <v>46230</v>
      </c>
      <c r="C277" t="s">
        <v>444</v>
      </c>
      <c r="E277" s="23" t="s">
        <v>64</v>
      </c>
      <c r="F277" s="16">
        <v>32.869999999999997</v>
      </c>
      <c r="G277" s="10"/>
      <c r="H277" s="10"/>
      <c r="I277" s="9" t="s">
        <v>74</v>
      </c>
      <c r="J277" s="9"/>
      <c r="K277" s="9"/>
      <c r="L277" s="9" t="s">
        <v>66</v>
      </c>
      <c r="M277" s="9"/>
      <c r="N277" s="17"/>
      <c r="O277" s="17" t="str">
        <f t="shared" si="32"/>
        <v>Jon Giara</v>
      </c>
      <c r="P277" s="17">
        <f>IFERROR(_xlfn.XLOOKUP(O277,'Department Listing'!$O$1:$O$395,'Department Listing'!$A$1:$A$395),IFERROR(_xlfn.XLOOKUP(O277,'Name Aliases'!$A$2:$A$1000,'Name Aliases'!$B$2:$B$1000),""))</f>
        <v>2</v>
      </c>
      <c r="Q277" s="18">
        <f t="shared" si="33"/>
        <v>46230</v>
      </c>
      <c r="R277" s="17" t="str">
        <f t="shared" si="34"/>
        <v>Uber</v>
      </c>
      <c r="S277" s="19">
        <f t="shared" si="35"/>
        <v>32.869999999999997</v>
      </c>
      <c r="T277" s="17" t="str">
        <f t="shared" si="36"/>
        <v>UBER   *TRIP MASTERCARD-XXXXXXUN09FU-Jon Giara</v>
      </c>
      <c r="U277" s="17" t="str">
        <f t="shared" si="37"/>
        <v>Brex Credit Card</v>
      </c>
      <c r="V277" s="19" t="str">
        <f>IF(ISBLANK($B277),"",IF(ISBLANK($K277),IF(_xlfn.XLOOKUP($W277,'Category Mapping'!$C:$C,'Category Mapping'!$B:$B)="Travel",_xlfn.XLOOKUP($P277,'Department Listing'!$A:$A,'Department Listing'!$M:$M),_xlfn.XLOOKUP($W277,'Category Mapping'!$C:$C,'Category Mapping'!$D:$D)),$K277))</f>
        <v>Cost of Goods Sold:COGS- Travel Expenses:</v>
      </c>
      <c r="W277" s="19" t="str">
        <f t="shared" si="38"/>
        <v>Ground Transportation</v>
      </c>
      <c r="X277" s="19" t="str">
        <f t="shared" si="39"/>
        <v>Cost of Goods Sold:COGS- Travel Expenses:Ground Transportation</v>
      </c>
      <c r="Y277" s="20" t="str">
        <f>IF(ISBLANK($M277),IFERROR(_xlfn.XLOOKUP($P277,'Department Listing'!$A:$A,'Department Listing'!$L:$L),""),$M277)</f>
        <v>300- ServiceNow:320- Engineering</v>
      </c>
      <c r="Z277" s="11">
        <f>IF(ISBLANK($B277),"",MATCH($X277,COA!$B:$B,0))</f>
        <v>124</v>
      </c>
    </row>
    <row r="278" spans="2:26" ht="15.75" customHeight="1" x14ac:dyDescent="0.25">
      <c r="B278" s="14">
        <v>46230</v>
      </c>
      <c r="C278" t="s">
        <v>445</v>
      </c>
      <c r="E278" s="23"/>
      <c r="F278" s="16">
        <v>13.77</v>
      </c>
      <c r="G278" s="10"/>
      <c r="H278" s="10"/>
      <c r="I278" s="9" t="s">
        <v>33</v>
      </c>
      <c r="J278" s="9"/>
      <c r="K278" s="9"/>
      <c r="L278" s="9" t="s">
        <v>149</v>
      </c>
      <c r="M278" s="9"/>
      <c r="N278" s="17"/>
      <c r="O278" s="17" t="str">
        <f t="shared" si="32"/>
        <v>Talon Walz</v>
      </c>
      <c r="P278" s="17">
        <f>IFERROR(_xlfn.XLOOKUP(O278,'Department Listing'!$O$1:$O$395,'Department Listing'!$A$1:$A$395),IFERROR(_xlfn.XLOOKUP(O278,'Name Aliases'!$A$2:$A$1000,'Name Aliases'!$B$2:$B$1000),""))</f>
        <v>260</v>
      </c>
      <c r="Q278" s="18">
        <f t="shared" si="33"/>
        <v>46230</v>
      </c>
      <c r="R278" s="17" t="str">
        <f t="shared" si="34"/>
        <v>Travel Vendor</v>
      </c>
      <c r="S278" s="19">
        <f t="shared" si="35"/>
        <v>13.77</v>
      </c>
      <c r="T278" s="17" t="str">
        <f t="shared" si="36"/>
        <v>TRAVEL RIGHT @SLC 519 MASTERCARD-XXXXXXOVHQ92-Talon Walz</v>
      </c>
      <c r="U278" s="17" t="str">
        <f t="shared" si="37"/>
        <v>Brex Credit Card</v>
      </c>
      <c r="V278" s="19" t="str">
        <f>IF(ISBLANK($B278),"",IF(ISBLANK($K278),IF(_xlfn.XLOOKUP($W278,'Category Mapping'!$C:$C,'Category Mapping'!$B:$B)="Travel",_xlfn.XLOOKUP($P278,'Department Listing'!$A:$A,'Department Listing'!$M:$M),_xlfn.XLOOKUP($W278,'Category Mapping'!$C:$C,'Category Mapping'!$D:$D)),$K278))</f>
        <v>Cost of Goods Sold:COGS- Travel Expenses:</v>
      </c>
      <c r="W278" s="19" t="str">
        <f t="shared" si="38"/>
        <v>Other Travel Expenses</v>
      </c>
      <c r="X278" s="19" t="str">
        <f t="shared" si="39"/>
        <v>Cost of Goods Sold:COGS- Travel Expenses:Other Travel Expenses</v>
      </c>
      <c r="Y278" s="20" t="str">
        <f>IF(ISBLANK($M278),IFERROR(_xlfn.XLOOKUP($P278,'Department Listing'!$A:$A,'Department Listing'!$L:$L),""),$M278)</f>
        <v>300- ServiceNow:320- Engineering</v>
      </c>
      <c r="Z278" s="11">
        <f>IF(ISBLANK($B278),"",MATCH($X278,COA!$B:$B,0))</f>
        <v>127</v>
      </c>
    </row>
    <row r="279" spans="2:26" ht="15.75" customHeight="1" x14ac:dyDescent="0.25">
      <c r="B279" s="14">
        <v>46231</v>
      </c>
      <c r="C279" t="s">
        <v>446</v>
      </c>
      <c r="E279" s="23" t="s">
        <v>64</v>
      </c>
      <c r="F279" s="16">
        <v>37.72</v>
      </c>
      <c r="G279" s="10"/>
      <c r="H279" s="10"/>
      <c r="I279" s="9" t="s">
        <v>92</v>
      </c>
      <c r="J279" s="9"/>
      <c r="K279" s="9"/>
      <c r="L279" s="9" t="s">
        <v>66</v>
      </c>
      <c r="M279" s="9"/>
      <c r="N279" s="17"/>
      <c r="O279" s="17" t="str">
        <f t="shared" si="32"/>
        <v>Kyle Bense</v>
      </c>
      <c r="P279" s="17">
        <f>IFERROR(_xlfn.XLOOKUP(O279,'Department Listing'!$O$1:$O$395,'Department Listing'!$A$1:$A$395),IFERROR(_xlfn.XLOOKUP(O279,'Name Aliases'!$A$2:$A$1000,'Name Aliases'!$B$2:$B$1000),""))</f>
        <v>252</v>
      </c>
      <c r="Q279" s="18">
        <f t="shared" si="33"/>
        <v>46231</v>
      </c>
      <c r="R279" s="17" t="str">
        <f t="shared" si="34"/>
        <v>Lyft</v>
      </c>
      <c r="S279" s="19">
        <f t="shared" si="35"/>
        <v>37.72</v>
      </c>
      <c r="T279" s="17" t="str">
        <f t="shared" si="36"/>
        <v>LYFT   *1 RIDE 07-27 MASTERCARD-XXXXXXG8XGY4-Kyle Bense</v>
      </c>
      <c r="U279" s="17" t="str">
        <f t="shared" si="37"/>
        <v>Brex Credit Card</v>
      </c>
      <c r="V279" s="19" t="str">
        <f>IF(ISBLANK($B279),"",IF(ISBLANK($K279),IF(_xlfn.XLOOKUP($W279,'Category Mapping'!$C:$C,'Category Mapping'!$B:$B)="Travel",_xlfn.XLOOKUP($P279,'Department Listing'!$A:$A,'Department Listing'!$M:$M),_xlfn.XLOOKUP($W279,'Category Mapping'!$C:$C,'Category Mapping'!$D:$D)),$K279))</f>
        <v>Cost of Goods Sold:COGS- Travel Expenses:</v>
      </c>
      <c r="W279" s="19" t="str">
        <f t="shared" si="38"/>
        <v>Ground Transportation</v>
      </c>
      <c r="X279" s="19" t="str">
        <f t="shared" si="39"/>
        <v>Cost of Goods Sold:COGS- Travel Expenses:Ground Transportation</v>
      </c>
      <c r="Y279" s="20" t="str">
        <f>IF(ISBLANK($M279),IFERROR(_xlfn.XLOOKUP($P279,'Department Listing'!$A:$A,'Department Listing'!$L:$L),""),$M279)</f>
        <v>300- ServiceNow:320- Engineering</v>
      </c>
      <c r="Z279" s="11">
        <f>IF(ISBLANK($B279),"",MATCH($X279,COA!$B:$B,0))</f>
        <v>124</v>
      </c>
    </row>
    <row r="280" spans="2:26" ht="15.75" customHeight="1" x14ac:dyDescent="0.25">
      <c r="B280" s="14">
        <v>46230</v>
      </c>
      <c r="C280" t="s">
        <v>447</v>
      </c>
      <c r="E280" s="23" t="s">
        <v>64</v>
      </c>
      <c r="F280" s="16">
        <v>45.93</v>
      </c>
      <c r="G280" s="10"/>
      <c r="H280" s="10"/>
      <c r="I280" s="9" t="s">
        <v>74</v>
      </c>
      <c r="J280" s="9"/>
      <c r="K280" s="9"/>
      <c r="L280" s="9" t="s">
        <v>66</v>
      </c>
      <c r="M280" s="9"/>
      <c r="N280" s="17"/>
      <c r="O280" s="17" t="str">
        <f t="shared" si="32"/>
        <v>Daniel Throckmorton</v>
      </c>
      <c r="P280" s="17">
        <f>IFERROR(_xlfn.XLOOKUP(O280,'Department Listing'!$O$1:$O$395,'Department Listing'!$A$1:$A$395),IFERROR(_xlfn.XLOOKUP(O280,'Name Aliases'!$A$2:$A$1000,'Name Aliases'!$B$2:$B$1000),""))</f>
        <v>157</v>
      </c>
      <c r="Q280" s="18">
        <f t="shared" si="33"/>
        <v>46230</v>
      </c>
      <c r="R280" s="17" t="str">
        <f t="shared" si="34"/>
        <v>Uber</v>
      </c>
      <c r="S280" s="19">
        <f t="shared" si="35"/>
        <v>45.93</v>
      </c>
      <c r="T280" s="17" t="str">
        <f t="shared" si="36"/>
        <v>UBER   *TRIP MASTERCARD-XXXXXX12KILV-Daniel Throckmorton</v>
      </c>
      <c r="U280" s="17" t="str">
        <f t="shared" si="37"/>
        <v>Brex Credit Card</v>
      </c>
      <c r="V280" s="19" t="str">
        <f>IF(ISBLANK($B280),"",IF(ISBLANK($K280),IF(_xlfn.XLOOKUP($W280,'Category Mapping'!$C:$C,'Category Mapping'!$B:$B)="Travel",_xlfn.XLOOKUP($P280,'Department Listing'!$A:$A,'Department Listing'!$M:$M),_xlfn.XLOOKUP($W280,'Category Mapping'!$C:$C,'Category Mapping'!$D:$D)),$K280))</f>
        <v>Cost of Goods Sold:COGS- Travel Expenses:</v>
      </c>
      <c r="W280" s="19" t="str">
        <f t="shared" si="38"/>
        <v>Ground Transportation</v>
      </c>
      <c r="X280" s="19" t="str">
        <f t="shared" si="39"/>
        <v>Cost of Goods Sold:COGS- Travel Expenses:Ground Transportation</v>
      </c>
      <c r="Y280" s="20" t="str">
        <f>IF(ISBLANK($M280),IFERROR(_xlfn.XLOOKUP($P280,'Department Listing'!$A:$A,'Department Listing'!$L:$L),""),$M280)</f>
        <v>300- ServiceNow:320- Engineering</v>
      </c>
      <c r="Z280" s="11">
        <f>IF(ISBLANK($B280),"",MATCH($X280,COA!$B:$B,0))</f>
        <v>124</v>
      </c>
    </row>
    <row r="281" spans="2:26" ht="15.75" customHeight="1" x14ac:dyDescent="0.25">
      <c r="B281" s="14">
        <v>46230</v>
      </c>
      <c r="C281" t="s">
        <v>449</v>
      </c>
      <c r="E281" s="23" t="s">
        <v>64</v>
      </c>
      <c r="F281" s="16">
        <v>42.86</v>
      </c>
      <c r="G281" s="10"/>
      <c r="H281" s="10"/>
      <c r="I281" s="9" t="s">
        <v>74</v>
      </c>
      <c r="J281" s="9"/>
      <c r="K281" s="9"/>
      <c r="L281" s="9" t="s">
        <v>66</v>
      </c>
      <c r="M281" s="9"/>
      <c r="N281" s="17"/>
      <c r="O281" s="17" t="str">
        <f t="shared" si="32"/>
        <v>Ryan Henrich</v>
      </c>
      <c r="P281" s="17">
        <f>IFERROR(_xlfn.XLOOKUP(O281,'Department Listing'!$O$1:$O$395,'Department Listing'!$A$1:$A$395),IFERROR(_xlfn.XLOOKUP(O281,'Name Aliases'!$A$2:$A$1000,'Name Aliases'!$B$2:$B$1000),""))</f>
        <v>154</v>
      </c>
      <c r="Q281" s="18">
        <f t="shared" si="33"/>
        <v>46230</v>
      </c>
      <c r="R281" s="17" t="str">
        <f t="shared" si="34"/>
        <v>Uber</v>
      </c>
      <c r="S281" s="19">
        <f t="shared" si="35"/>
        <v>42.86</v>
      </c>
      <c r="T281" s="17" t="str">
        <f t="shared" si="36"/>
        <v>UBER   *EATS MASTERCARD-XXXXXXMUIGCM-Ryan Henrich</v>
      </c>
      <c r="U281" s="17" t="str">
        <f t="shared" si="37"/>
        <v>Brex Credit Card</v>
      </c>
      <c r="V281" s="19" t="str">
        <f>IF(ISBLANK($B281),"",IF(ISBLANK($K281),IF(_xlfn.XLOOKUP($W281,'Category Mapping'!$C:$C,'Category Mapping'!$B:$B)="Travel",_xlfn.XLOOKUP($P281,'Department Listing'!$A:$A,'Department Listing'!$M:$M),_xlfn.XLOOKUP($W281,'Category Mapping'!$C:$C,'Category Mapping'!$D:$D)),$K281))</f>
        <v>Sales &amp; Marketing:Sales &amp; Marketing- Travel Expenses:</v>
      </c>
      <c r="W281" s="19" t="str">
        <f t="shared" si="38"/>
        <v>Ground Transportation</v>
      </c>
      <c r="X281" s="19" t="str">
        <f t="shared" si="39"/>
        <v>Sales &amp; Marketing:Sales &amp; Marketing- Travel Expenses:Ground Transportation</v>
      </c>
      <c r="Y281" s="20" t="str">
        <f>IF(ISBLANK($M281),IFERROR(_xlfn.XLOOKUP($P281,'Department Listing'!$A:$A,'Department Listing'!$L:$L),""),$M281)</f>
        <v>200- Datadog:230- Sales</v>
      </c>
      <c r="Z281" s="11">
        <f>IF(ISBLANK($B281),"",MATCH($X281,COA!$B:$B,0))</f>
        <v>200</v>
      </c>
    </row>
    <row r="282" spans="2:26" ht="15.75" customHeight="1" x14ac:dyDescent="0.25">
      <c r="B282" s="14">
        <v>46231</v>
      </c>
      <c r="C282" t="s">
        <v>450</v>
      </c>
      <c r="E282" s="23"/>
      <c r="F282" s="16">
        <v>36.4</v>
      </c>
      <c r="G282" s="10"/>
      <c r="H282" s="10"/>
      <c r="I282" s="9" t="s">
        <v>34</v>
      </c>
      <c r="J282" s="9"/>
      <c r="K282" s="9"/>
      <c r="L282" s="9" t="s">
        <v>66</v>
      </c>
      <c r="M282" s="9"/>
      <c r="N282" s="17"/>
      <c r="O282" s="17" t="str">
        <f t="shared" si="32"/>
        <v>Daniel Mooney</v>
      </c>
      <c r="P282" s="17">
        <f>IFERROR(_xlfn.XLOOKUP(O282,'Department Listing'!$O$1:$O$395,'Department Listing'!$A$1:$A$395),IFERROR(_xlfn.XLOOKUP(O282,'Name Aliases'!$A$2:$A$1000,'Name Aliases'!$B$2:$B$1000),""))</f>
        <v>141</v>
      </c>
      <c r="Q282" s="18">
        <f t="shared" si="33"/>
        <v>46231</v>
      </c>
      <c r="R282" s="17" t="str">
        <f t="shared" si="34"/>
        <v>Taxi Vendor</v>
      </c>
      <c r="S282" s="19">
        <f t="shared" si="35"/>
        <v>36.4</v>
      </c>
      <c r="T282" s="17" t="str">
        <f t="shared" si="36"/>
        <v>CMT BOSTON MASTERCARD-XXXXXXGLYANB-Daniel Mooney</v>
      </c>
      <c r="U282" s="17" t="str">
        <f t="shared" si="37"/>
        <v>Brex Credit Card</v>
      </c>
      <c r="V282" s="19" t="str">
        <f>IF(ISBLANK($B282),"",IF(ISBLANK($K282),IF(_xlfn.XLOOKUP($W282,'Category Mapping'!$C:$C,'Category Mapping'!$B:$B)="Travel",_xlfn.XLOOKUP($P282,'Department Listing'!$A:$A,'Department Listing'!$M:$M),_xlfn.XLOOKUP($W282,'Category Mapping'!$C:$C,'Category Mapping'!$D:$D)),$K282))</f>
        <v>Sales &amp; Marketing:Sales &amp; Marketing- Travel Expenses:</v>
      </c>
      <c r="W282" s="19" t="str">
        <f t="shared" si="38"/>
        <v>Ground Transportation</v>
      </c>
      <c r="X282" s="19" t="str">
        <f t="shared" si="39"/>
        <v>Sales &amp; Marketing:Sales &amp; Marketing- Travel Expenses:Ground Transportation</v>
      </c>
      <c r="Y282" s="20" t="str">
        <f>IF(ISBLANK($M282),IFERROR(_xlfn.XLOOKUP($P282,'Department Listing'!$A:$A,'Department Listing'!$L:$L),""),$M282)</f>
        <v>300- ServiceNow:330- Sales</v>
      </c>
      <c r="Z282" s="11">
        <f>IF(ISBLANK($B282),"",MATCH($X282,COA!$B:$B,0))</f>
        <v>200</v>
      </c>
    </row>
    <row r="283" spans="2:26" ht="15.75" customHeight="1" x14ac:dyDescent="0.25">
      <c r="B283" s="14">
        <v>46231</v>
      </c>
      <c r="C283" t="s">
        <v>452</v>
      </c>
      <c r="E283" s="23" t="s">
        <v>64</v>
      </c>
      <c r="F283" s="16">
        <v>29.38</v>
      </c>
      <c r="G283" s="10"/>
      <c r="H283" s="10"/>
      <c r="I283" s="9" t="s">
        <v>92</v>
      </c>
      <c r="J283" s="9"/>
      <c r="K283" s="9"/>
      <c r="L283" s="9" t="s">
        <v>66</v>
      </c>
      <c r="M283" s="9"/>
      <c r="N283" s="17"/>
      <c r="O283" s="17" t="str">
        <f t="shared" si="32"/>
        <v>Nicholas Stauffer</v>
      </c>
      <c r="P283" s="17">
        <f>IFERROR(_xlfn.XLOOKUP(O283,'Department Listing'!$O$1:$O$395,'Department Listing'!$A$1:$A$395),IFERROR(_xlfn.XLOOKUP(O283,'Name Aliases'!$A$2:$A$1000,'Name Aliases'!$B$2:$B$1000),""))</f>
        <v>243</v>
      </c>
      <c r="Q283" s="18">
        <f t="shared" si="33"/>
        <v>46231</v>
      </c>
      <c r="R283" s="17" t="str">
        <f t="shared" si="34"/>
        <v>Lyft</v>
      </c>
      <c r="S283" s="19">
        <f t="shared" si="35"/>
        <v>29.38</v>
      </c>
      <c r="T283" s="17" t="str">
        <f t="shared" si="36"/>
        <v>LYFT   *1 RIDE 07-26 MASTERCARD-XXXXXXUQWC4E-Nicholas Stauffer</v>
      </c>
      <c r="U283" s="17" t="str">
        <f t="shared" si="37"/>
        <v>Brex Credit Card</v>
      </c>
      <c r="V283" s="19" t="str">
        <f>IF(ISBLANK($B283),"",IF(ISBLANK($K283),IF(_xlfn.XLOOKUP($W283,'Category Mapping'!$C:$C,'Category Mapping'!$B:$B)="Travel",_xlfn.XLOOKUP($P283,'Department Listing'!$A:$A,'Department Listing'!$M:$M),_xlfn.XLOOKUP($W283,'Category Mapping'!$C:$C,'Category Mapping'!$D:$D)),$K283))</f>
        <v>Cost of Goods Sold:COGS- Travel Expenses:</v>
      </c>
      <c r="W283" s="19" t="str">
        <f t="shared" si="38"/>
        <v>Ground Transportation</v>
      </c>
      <c r="X283" s="19" t="str">
        <f t="shared" si="39"/>
        <v>Cost of Goods Sold:COGS- Travel Expenses:Ground Transportation</v>
      </c>
      <c r="Y283" s="20" t="str">
        <f>IF(ISBLANK($M283),IFERROR(_xlfn.XLOOKUP($P283,'Department Listing'!$A:$A,'Department Listing'!$L:$L),""),$M283)</f>
        <v>300- ServiceNow:320- Engineering</v>
      </c>
      <c r="Z283" s="11">
        <f>IF(ISBLANK($B283),"",MATCH($X283,COA!$B:$B,0))</f>
        <v>124</v>
      </c>
    </row>
    <row r="284" spans="2:26" ht="15.75" customHeight="1" x14ac:dyDescent="0.25">
      <c r="B284" s="14">
        <v>46231</v>
      </c>
      <c r="C284" t="s">
        <v>453</v>
      </c>
      <c r="E284" s="23" t="s">
        <v>64</v>
      </c>
      <c r="F284" s="16">
        <v>40.93</v>
      </c>
      <c r="G284" s="10"/>
      <c r="H284" s="10"/>
      <c r="I284" s="9" t="s">
        <v>74</v>
      </c>
      <c r="J284" s="9"/>
      <c r="K284" s="9"/>
      <c r="L284" s="9" t="s">
        <v>66</v>
      </c>
      <c r="M284" s="9"/>
      <c r="N284" s="17"/>
      <c r="O284" s="17" t="str">
        <f t="shared" si="32"/>
        <v>Gary Baker</v>
      </c>
      <c r="P284" s="17">
        <f>IFERROR(_xlfn.XLOOKUP(O284,'Department Listing'!$O$1:$O$395,'Department Listing'!$A$1:$A$395),IFERROR(_xlfn.XLOOKUP(O284,'Name Aliases'!$A$2:$A$1000,'Name Aliases'!$B$2:$B$1000),""))</f>
        <v>235</v>
      </c>
      <c r="Q284" s="18">
        <f t="shared" si="33"/>
        <v>46231</v>
      </c>
      <c r="R284" s="17" t="str">
        <f t="shared" si="34"/>
        <v>Uber</v>
      </c>
      <c r="S284" s="19">
        <f t="shared" si="35"/>
        <v>40.93</v>
      </c>
      <c r="T284" s="17" t="str">
        <f t="shared" si="36"/>
        <v>UBER   *TRIP MASTERCARD-XXXXXX9FQ9TL-Gary Baker</v>
      </c>
      <c r="U284" s="17" t="str">
        <f t="shared" si="37"/>
        <v>Brex Credit Card</v>
      </c>
      <c r="V284" s="19" t="str">
        <f>IF(ISBLANK($B284),"",IF(ISBLANK($K284),IF(_xlfn.XLOOKUP($W284,'Category Mapping'!$C:$C,'Category Mapping'!$B:$B)="Travel",_xlfn.XLOOKUP($P284,'Department Listing'!$A:$A,'Department Listing'!$M:$M),_xlfn.XLOOKUP($W284,'Category Mapping'!$C:$C,'Category Mapping'!$D:$D)),$K284))</f>
        <v>Cost of Goods Sold:COGS- Travel Expenses:</v>
      </c>
      <c r="W284" s="19" t="str">
        <f t="shared" si="38"/>
        <v>Ground Transportation</v>
      </c>
      <c r="X284" s="19" t="str">
        <f t="shared" si="39"/>
        <v>Cost of Goods Sold:COGS- Travel Expenses:Ground Transportation</v>
      </c>
      <c r="Y284" s="20" t="str">
        <f>IF(ISBLANK($M284),IFERROR(_xlfn.XLOOKUP($P284,'Department Listing'!$A:$A,'Department Listing'!$L:$L),""),$M284)</f>
        <v>300- ServiceNow:320- Engineering</v>
      </c>
      <c r="Z284" s="11">
        <f>IF(ISBLANK($B284),"",MATCH($X284,COA!$B:$B,0))</f>
        <v>124</v>
      </c>
    </row>
    <row r="285" spans="2:26" ht="15.75" customHeight="1" x14ac:dyDescent="0.25">
      <c r="B285" s="14">
        <v>46231</v>
      </c>
      <c r="C285" t="s">
        <v>454</v>
      </c>
      <c r="E285" s="23" t="s">
        <v>76</v>
      </c>
      <c r="F285" s="16">
        <v>14.43</v>
      </c>
      <c r="G285" s="10"/>
      <c r="H285" s="10"/>
      <c r="I285" s="9" t="s">
        <v>263</v>
      </c>
      <c r="J285" s="9"/>
      <c r="K285" s="9"/>
      <c r="L285" s="9" t="s">
        <v>78</v>
      </c>
      <c r="M285" s="9"/>
      <c r="N285" s="17"/>
      <c r="O285" s="17" t="str">
        <f t="shared" si="32"/>
        <v>Anthony Tambash</v>
      </c>
      <c r="P285" s="17">
        <f>IFERROR(_xlfn.XLOOKUP(O285,'Department Listing'!$O$1:$O$395,'Department Listing'!$A$1:$A$395),IFERROR(_xlfn.XLOOKUP(O285,'Name Aliases'!$A$2:$A$1000,'Name Aliases'!$B$2:$B$1000),""))</f>
        <v>152</v>
      </c>
      <c r="Q285" s="18">
        <f t="shared" si="33"/>
        <v>46231</v>
      </c>
      <c r="R285" s="17" t="str">
        <f t="shared" si="34"/>
        <v>Raising Canes</v>
      </c>
      <c r="S285" s="19">
        <f t="shared" si="35"/>
        <v>14.43</v>
      </c>
      <c r="T285" s="17" t="str">
        <f t="shared" si="36"/>
        <v>RAISING CANES 0676 MASTERCARD-XXXXXXUE805P-Anthony Tambash</v>
      </c>
      <c r="U285" s="17" t="str">
        <f t="shared" si="37"/>
        <v>Brex Credit Card</v>
      </c>
      <c r="V285" s="19" t="str">
        <f>IF(ISBLANK($B285),"",IF(ISBLANK($K285),IF(_xlfn.XLOOKUP($W285,'Category Mapping'!$C:$C,'Category Mapping'!$B:$B)="Travel",_xlfn.XLOOKUP($P285,'Department Listing'!$A:$A,'Department Listing'!$M:$M),_xlfn.XLOOKUP($W285,'Category Mapping'!$C:$C,'Category Mapping'!$D:$D)),$K285))</f>
        <v>Cost of Goods Sold:COGS- Travel Expenses:</v>
      </c>
      <c r="W285" s="19" t="str">
        <f t="shared" si="38"/>
        <v>Meals &amp; Entertainment</v>
      </c>
      <c r="X285" s="19" t="str">
        <f t="shared" si="39"/>
        <v>Cost of Goods Sold:COGS- Travel Expenses:Meals &amp; Entertainment</v>
      </c>
      <c r="Y285" s="20" t="str">
        <f>IF(ISBLANK($M285),IFERROR(_xlfn.XLOOKUP($P285,'Department Listing'!$A:$A,'Department Listing'!$L:$L),""),$M285)</f>
        <v>300- ServiceNow:320- Engineering</v>
      </c>
      <c r="Z285" s="11">
        <f>IF(ISBLANK($B285),"",MATCH($X285,COA!$B:$B,0))</f>
        <v>126</v>
      </c>
    </row>
    <row r="286" spans="2:26" ht="15.75" customHeight="1" x14ac:dyDescent="0.25">
      <c r="B286" s="14">
        <v>46230</v>
      </c>
      <c r="C286" t="s">
        <v>456</v>
      </c>
      <c r="E286" s="23" t="s">
        <v>64</v>
      </c>
      <c r="F286" s="16">
        <v>39.299999999999997</v>
      </c>
      <c r="G286" s="10"/>
      <c r="H286" s="10"/>
      <c r="I286" s="9" t="s">
        <v>268</v>
      </c>
      <c r="J286" s="9"/>
      <c r="K286" s="9"/>
      <c r="L286" s="9" t="s">
        <v>66</v>
      </c>
      <c r="M286" s="9"/>
      <c r="N286" s="17"/>
      <c r="O286" s="17" t="str">
        <f t="shared" si="32"/>
        <v>Kyle Brueckner</v>
      </c>
      <c r="P286" s="17">
        <f>IFERROR(_xlfn.XLOOKUP(O286,'Department Listing'!$O$1:$O$395,'Department Listing'!$A$1:$A$395),IFERROR(_xlfn.XLOOKUP(O286,'Name Aliases'!$A$2:$A$1000,'Name Aliases'!$B$2:$B$1000),""))</f>
        <v>39</v>
      </c>
      <c r="Q286" s="18">
        <f t="shared" si="33"/>
        <v>46230</v>
      </c>
      <c r="R286" s="17" t="str">
        <f t="shared" si="34"/>
        <v>Curb</v>
      </c>
      <c r="S286" s="19">
        <f t="shared" si="35"/>
        <v>39.299999999999997</v>
      </c>
      <c r="T286" s="17" t="str">
        <f t="shared" si="36"/>
        <v>CURB BOS TAXI MASTERCARD-XXXXXXAQSKK5-Kyle Brueckner</v>
      </c>
      <c r="U286" s="17" t="str">
        <f t="shared" si="37"/>
        <v>Brex Credit Card</v>
      </c>
      <c r="V286" s="19" t="str">
        <f>IF(ISBLANK($B286),"",IF(ISBLANK($K286),IF(_xlfn.XLOOKUP($W286,'Category Mapping'!$C:$C,'Category Mapping'!$B:$B)="Travel",_xlfn.XLOOKUP($P286,'Department Listing'!$A:$A,'Department Listing'!$M:$M),_xlfn.XLOOKUP($W286,'Category Mapping'!$C:$C,'Category Mapping'!$D:$D)),$K286))</f>
        <v>Cost of Goods Sold:COGS- Travel Expenses:</v>
      </c>
      <c r="W286" s="19" t="str">
        <f t="shared" si="38"/>
        <v>Ground Transportation</v>
      </c>
      <c r="X286" s="19" t="str">
        <f t="shared" si="39"/>
        <v>Cost of Goods Sold:COGS- Travel Expenses:Ground Transportation</v>
      </c>
      <c r="Y286" s="20" t="str">
        <f>IF(ISBLANK($M286),IFERROR(_xlfn.XLOOKUP($P286,'Department Listing'!$A:$A,'Department Listing'!$L:$L),""),$M286)</f>
        <v>300- ServiceNow:320- Engineering</v>
      </c>
      <c r="Z286" s="11">
        <f>IF(ISBLANK($B286),"",MATCH($X286,COA!$B:$B,0))</f>
        <v>124</v>
      </c>
    </row>
    <row r="287" spans="2:26" ht="15.75" customHeight="1" x14ac:dyDescent="0.25">
      <c r="B287" s="14">
        <v>46231</v>
      </c>
      <c r="C287" t="s">
        <v>457</v>
      </c>
      <c r="E287" s="23" t="s">
        <v>64</v>
      </c>
      <c r="F287" s="16">
        <v>33.549999999999997</v>
      </c>
      <c r="G287" s="10"/>
      <c r="H287" s="10"/>
      <c r="I287" s="9" t="s">
        <v>34</v>
      </c>
      <c r="J287" s="9"/>
      <c r="K287" s="9"/>
      <c r="L287" s="9" t="s">
        <v>66</v>
      </c>
      <c r="M287" s="9"/>
      <c r="N287" s="17"/>
      <c r="O287" s="17" t="str">
        <f t="shared" si="32"/>
        <v>Jacob McKenna</v>
      </c>
      <c r="P287" s="17">
        <f>IFERROR(_xlfn.XLOOKUP(O287,'Department Listing'!$O$1:$O$395,'Department Listing'!$A$1:$A$395),IFERROR(_xlfn.XLOOKUP(O287,'Name Aliases'!$A$2:$A$1000,'Name Aliases'!$B$2:$B$1000),""))</f>
        <v>120</v>
      </c>
      <c r="Q287" s="18">
        <f t="shared" si="33"/>
        <v>46231</v>
      </c>
      <c r="R287" s="17" t="str">
        <f t="shared" si="34"/>
        <v>Taxi Vendor</v>
      </c>
      <c r="S287" s="19">
        <f t="shared" si="35"/>
        <v>33.549999999999997</v>
      </c>
      <c r="T287" s="17" t="str">
        <f t="shared" si="36"/>
        <v>NYC TAXI 1246 12460010 MASTERCARD-XXXXXX5E5ZYF-Jacob McKenna</v>
      </c>
      <c r="U287" s="17" t="str">
        <f t="shared" si="37"/>
        <v>Brex Credit Card</v>
      </c>
      <c r="V287" s="19" t="str">
        <f>IF(ISBLANK($B287),"",IF(ISBLANK($K287),IF(_xlfn.XLOOKUP($W287,'Category Mapping'!$C:$C,'Category Mapping'!$B:$B)="Travel",_xlfn.XLOOKUP($P287,'Department Listing'!$A:$A,'Department Listing'!$M:$M),_xlfn.XLOOKUP($W287,'Category Mapping'!$C:$C,'Category Mapping'!$D:$D)),$K287))</f>
        <v>Cost of Goods Sold:COGS- Travel Expenses:</v>
      </c>
      <c r="W287" s="19" t="str">
        <f t="shared" si="38"/>
        <v>Ground Transportation</v>
      </c>
      <c r="X287" s="19" t="str">
        <f t="shared" si="39"/>
        <v>Cost of Goods Sold:COGS- Travel Expenses:Ground Transportation</v>
      </c>
      <c r="Y287" s="20" t="str">
        <f>IF(ISBLANK($M287),IFERROR(_xlfn.XLOOKUP($P287,'Department Listing'!$A:$A,'Department Listing'!$L:$L),""),$M287)</f>
        <v>300- ServiceNow:320- Engineering</v>
      </c>
      <c r="Z287" s="11">
        <f>IF(ISBLANK($B287),"",MATCH($X287,COA!$B:$B,0))</f>
        <v>124</v>
      </c>
    </row>
    <row r="288" spans="2:26" ht="15.75" customHeight="1" x14ac:dyDescent="0.25">
      <c r="B288" s="14">
        <v>46230</v>
      </c>
      <c r="C288" t="s">
        <v>459</v>
      </c>
      <c r="E288" s="23" t="s">
        <v>76</v>
      </c>
      <c r="F288" s="16">
        <v>16.690000000000001</v>
      </c>
      <c r="G288" s="10"/>
      <c r="H288" s="10"/>
      <c r="I288" s="9" t="s">
        <v>460</v>
      </c>
      <c r="J288" s="9"/>
      <c r="K288" s="9"/>
      <c r="L288" s="9" t="s">
        <v>78</v>
      </c>
      <c r="M288" s="9"/>
      <c r="N288" s="17"/>
      <c r="O288" s="17" t="str">
        <f t="shared" si="32"/>
        <v>Brendan Nolan</v>
      </c>
      <c r="P288" s="17">
        <f>IFERROR(_xlfn.XLOOKUP(O288,'Department Listing'!$O$1:$O$395,'Department Listing'!$A$1:$A$395),IFERROR(_xlfn.XLOOKUP(O288,'Name Aliases'!$A$2:$A$1000,'Name Aliases'!$B$2:$B$1000),""))</f>
        <v>259</v>
      </c>
      <c r="Q288" s="18">
        <f t="shared" si="33"/>
        <v>46230</v>
      </c>
      <c r="R288" s="17" t="str">
        <f t="shared" si="34"/>
        <v>Cava</v>
      </c>
      <c r="S288" s="19">
        <f t="shared" si="35"/>
        <v>16.690000000000001</v>
      </c>
      <c r="T288" s="17" t="str">
        <f t="shared" si="36"/>
        <v>10061 CAVA BACK BAY MASTERCARD-XXXXXXFSBFXP-Brendan Nolan</v>
      </c>
      <c r="U288" s="17" t="str">
        <f t="shared" si="37"/>
        <v>Brex Credit Card</v>
      </c>
      <c r="V288" s="19" t="str">
        <f>IF(ISBLANK($B288),"",IF(ISBLANK($K288),IF(_xlfn.XLOOKUP($W288,'Category Mapping'!$C:$C,'Category Mapping'!$B:$B)="Travel",_xlfn.XLOOKUP($P288,'Department Listing'!$A:$A,'Department Listing'!$M:$M),_xlfn.XLOOKUP($W288,'Category Mapping'!$C:$C,'Category Mapping'!$D:$D)),$K288))</f>
        <v>Cost of Goods Sold:COGS- Travel Expenses:</v>
      </c>
      <c r="W288" s="19" t="str">
        <f t="shared" si="38"/>
        <v>Meals &amp; Entertainment</v>
      </c>
      <c r="X288" s="19" t="str">
        <f t="shared" si="39"/>
        <v>Cost of Goods Sold:COGS- Travel Expenses:Meals &amp; Entertainment</v>
      </c>
      <c r="Y288" s="20" t="str">
        <f>IF(ISBLANK($M288),IFERROR(_xlfn.XLOOKUP($P288,'Department Listing'!$A:$A,'Department Listing'!$L:$L),""),$M288)</f>
        <v>300- ServiceNow:320- Engineering</v>
      </c>
      <c r="Z288" s="11">
        <f>IF(ISBLANK($B288),"",MATCH($X288,COA!$B:$B,0))</f>
        <v>126</v>
      </c>
    </row>
    <row r="289" spans="2:26" ht="15.75" customHeight="1" x14ac:dyDescent="0.25">
      <c r="B289" s="14">
        <v>46230</v>
      </c>
      <c r="C289" t="s">
        <v>461</v>
      </c>
      <c r="E289" s="23"/>
      <c r="F289" s="16">
        <v>49.59</v>
      </c>
      <c r="G289" s="10"/>
      <c r="H289" s="10"/>
      <c r="I289" s="9" t="s">
        <v>36</v>
      </c>
      <c r="J289" s="9"/>
      <c r="K289" s="9"/>
      <c r="L289" s="9" t="s">
        <v>78</v>
      </c>
      <c r="M289" s="9"/>
      <c r="N289" s="17"/>
      <c r="O289" s="17" t="str">
        <f t="shared" si="32"/>
        <v>Luis Gallego Cardona</v>
      </c>
      <c r="P289" s="17">
        <f>IFERROR(_xlfn.XLOOKUP(O289,'Department Listing'!$O$1:$O$395,'Department Listing'!$A$1:$A$395),IFERROR(_xlfn.XLOOKUP(O289,'Name Aliases'!$A$2:$A$1000,'Name Aliases'!$B$2:$B$1000),""))</f>
        <v>89</v>
      </c>
      <c r="Q289" s="18">
        <f t="shared" si="33"/>
        <v>46230</v>
      </c>
      <c r="R289" s="17" t="str">
        <f t="shared" si="34"/>
        <v>Food Vendor</v>
      </c>
      <c r="S289" s="19">
        <f t="shared" si="35"/>
        <v>49.59</v>
      </c>
      <c r="T289" s="17" t="str">
        <f t="shared" si="36"/>
        <v>SPO*A.T.O'KEEFE'S MASTERCARD-XXXXXXY8M1RL-Luis Gallego Cardona</v>
      </c>
      <c r="U289" s="17" t="str">
        <f t="shared" si="37"/>
        <v>Brex Credit Card</v>
      </c>
      <c r="V289" s="19" t="str">
        <f>IF(ISBLANK($B289),"",IF(ISBLANK($K289),IF(_xlfn.XLOOKUP($W289,'Category Mapping'!$C:$C,'Category Mapping'!$B:$B)="Travel",_xlfn.XLOOKUP($P289,'Department Listing'!$A:$A,'Department Listing'!$M:$M),_xlfn.XLOOKUP($W289,'Category Mapping'!$C:$C,'Category Mapping'!$D:$D)),$K289))</f>
        <v>Cost of Goods Sold:COGS- Travel Expenses:</v>
      </c>
      <c r="W289" s="19" t="str">
        <f t="shared" si="38"/>
        <v>Meals &amp; Entertainment</v>
      </c>
      <c r="X289" s="19" t="str">
        <f t="shared" si="39"/>
        <v>Cost of Goods Sold:COGS- Travel Expenses:Meals &amp; Entertainment</v>
      </c>
      <c r="Y289" s="20" t="str">
        <f>IF(ISBLANK($M289),IFERROR(_xlfn.XLOOKUP($P289,'Department Listing'!$A:$A,'Department Listing'!$L:$L),""),$M289)</f>
        <v>200- Datadog:220- Engineering</v>
      </c>
      <c r="Z289" s="11">
        <f>IF(ISBLANK($B289),"",MATCH($X289,COA!$B:$B,0))</f>
        <v>126</v>
      </c>
    </row>
    <row r="290" spans="2:26" ht="15.75" customHeight="1" x14ac:dyDescent="0.25">
      <c r="B290" s="14">
        <v>46230</v>
      </c>
      <c r="C290" t="s">
        <v>462</v>
      </c>
      <c r="E290" s="23" t="s">
        <v>76</v>
      </c>
      <c r="F290" s="16">
        <v>450.68</v>
      </c>
      <c r="G290" s="10"/>
      <c r="H290" s="10"/>
      <c r="I290" s="9" t="s">
        <v>77</v>
      </c>
      <c r="J290" s="9"/>
      <c r="K290" s="9"/>
      <c r="L290" s="9" t="s">
        <v>78</v>
      </c>
      <c r="M290" s="9"/>
      <c r="N290" s="17"/>
      <c r="O290" s="17" t="str">
        <f t="shared" si="32"/>
        <v>Aaron Rhodes</v>
      </c>
      <c r="P290" s="17">
        <f>IFERROR(_xlfn.XLOOKUP(O290,'Department Listing'!$O$1:$O$395,'Department Listing'!$A$1:$A$395),IFERROR(_xlfn.XLOOKUP(O290,'Name Aliases'!$A$2:$A$1000,'Name Aliases'!$B$2:$B$1000),""))</f>
        <v>109</v>
      </c>
      <c r="Q290" s="18">
        <f t="shared" si="33"/>
        <v>46230</v>
      </c>
      <c r="R290" s="17" t="str">
        <f t="shared" si="34"/>
        <v>Sweeney's</v>
      </c>
      <c r="S290" s="19">
        <f t="shared" si="35"/>
        <v>450.68</v>
      </c>
      <c r="T290" s="17" t="str">
        <f t="shared" si="36"/>
        <v>TST*SWEENEYS MASTERCARD-XXXXXXPHJNP3-Aaron Rhodes</v>
      </c>
      <c r="U290" s="17" t="str">
        <f t="shared" si="37"/>
        <v>Brex Credit Card</v>
      </c>
      <c r="V290" s="19" t="str">
        <f>IF(ISBLANK($B290),"",IF(ISBLANK($K290),IF(_xlfn.XLOOKUP($W290,'Category Mapping'!$C:$C,'Category Mapping'!$B:$B)="Travel",_xlfn.XLOOKUP($P290,'Department Listing'!$A:$A,'Department Listing'!$M:$M),_xlfn.XLOOKUP($W290,'Category Mapping'!$C:$C,'Category Mapping'!$D:$D)),$K290))</f>
        <v>Cost of Goods Sold:COGS- Travel Expenses:</v>
      </c>
      <c r="W290" s="19" t="str">
        <f t="shared" si="38"/>
        <v>Meals &amp; Entertainment</v>
      </c>
      <c r="X290" s="19" t="str">
        <f t="shared" si="39"/>
        <v>Cost of Goods Sold:COGS- Travel Expenses:Meals &amp; Entertainment</v>
      </c>
      <c r="Y290" s="20" t="str">
        <f>IF(ISBLANK($M290),IFERROR(_xlfn.XLOOKUP($P290,'Department Listing'!$A:$A,'Department Listing'!$L:$L),""),$M290)</f>
        <v>200- Datadog:220- Engineering</v>
      </c>
      <c r="Z290" s="11">
        <f>IF(ISBLANK($B290),"",MATCH($X290,COA!$B:$B,0))</f>
        <v>126</v>
      </c>
    </row>
    <row r="291" spans="2:26" ht="15.75" customHeight="1" x14ac:dyDescent="0.25">
      <c r="B291" s="14">
        <v>46230</v>
      </c>
      <c r="C291" t="s">
        <v>463</v>
      </c>
      <c r="E291" s="23" t="s">
        <v>76</v>
      </c>
      <c r="F291" s="16">
        <v>31.03</v>
      </c>
      <c r="G291" s="10"/>
      <c r="H291" s="10"/>
      <c r="I291" s="9" t="s">
        <v>77</v>
      </c>
      <c r="J291" s="9"/>
      <c r="K291" s="9"/>
      <c r="L291" s="9" t="s">
        <v>78</v>
      </c>
      <c r="M291" s="9"/>
      <c r="N291" s="17"/>
      <c r="O291" s="17" t="str">
        <f t="shared" si="32"/>
        <v>Oliver McCaffrey</v>
      </c>
      <c r="P291" s="17">
        <f>IFERROR(_xlfn.XLOOKUP(O291,'Department Listing'!$O$1:$O$395,'Department Listing'!$A$1:$A$395),IFERROR(_xlfn.XLOOKUP(O291,'Name Aliases'!$A$2:$A$1000,'Name Aliases'!$B$2:$B$1000),""))</f>
        <v>181</v>
      </c>
      <c r="Q291" s="18">
        <f t="shared" si="33"/>
        <v>46230</v>
      </c>
      <c r="R291" s="17" t="str">
        <f t="shared" si="34"/>
        <v>Sweeney's</v>
      </c>
      <c r="S291" s="19">
        <f t="shared" si="35"/>
        <v>31.03</v>
      </c>
      <c r="T291" s="17" t="str">
        <f t="shared" si="36"/>
        <v>TST*SWEENEYS MASTERCARD-XXXXXX3GQHNG-Oliver McCaffrey</v>
      </c>
      <c r="U291" s="17" t="str">
        <f t="shared" si="37"/>
        <v>Brex Credit Card</v>
      </c>
      <c r="V291" s="19" t="str">
        <f>IF(ISBLANK($B291),"",IF(ISBLANK($K291),IF(_xlfn.XLOOKUP($W291,'Category Mapping'!$C:$C,'Category Mapping'!$B:$B)="Travel",_xlfn.XLOOKUP($P291,'Department Listing'!$A:$A,'Department Listing'!$M:$M),_xlfn.XLOOKUP($W291,'Category Mapping'!$C:$C,'Category Mapping'!$D:$D)),$K291))</f>
        <v>Cost of Goods Sold:COGS- Travel Expenses:</v>
      </c>
      <c r="W291" s="19" t="str">
        <f t="shared" si="38"/>
        <v>Meals &amp; Entertainment</v>
      </c>
      <c r="X291" s="19" t="str">
        <f t="shared" si="39"/>
        <v>Cost of Goods Sold:COGS- Travel Expenses:Meals &amp; Entertainment</v>
      </c>
      <c r="Y291" s="20" t="str">
        <f>IF(ISBLANK($M291),IFERROR(_xlfn.XLOOKUP($P291,'Department Listing'!$A:$A,'Department Listing'!$L:$L),""),$M291)</f>
        <v>300- ServiceNow:310- Delivery</v>
      </c>
      <c r="Z291" s="11">
        <f>IF(ISBLANK($B291),"",MATCH($X291,COA!$B:$B,0))</f>
        <v>126</v>
      </c>
    </row>
    <row r="292" spans="2:26" ht="15.75" customHeight="1" x14ac:dyDescent="0.25">
      <c r="B292" s="14">
        <v>46230</v>
      </c>
      <c r="C292" t="s">
        <v>464</v>
      </c>
      <c r="E292" s="23" t="s">
        <v>76</v>
      </c>
      <c r="F292" s="16">
        <v>107.21</v>
      </c>
      <c r="G292" s="10"/>
      <c r="H292" s="10"/>
      <c r="I292" s="9" t="s">
        <v>77</v>
      </c>
      <c r="J292" s="9"/>
      <c r="K292" s="9"/>
      <c r="L292" s="9" t="s">
        <v>78</v>
      </c>
      <c r="M292" s="9"/>
      <c r="N292" s="17"/>
      <c r="O292" s="17" t="str">
        <f t="shared" si="32"/>
        <v>Robert Kolosky</v>
      </c>
      <c r="P292" s="17">
        <f>IFERROR(_xlfn.XLOOKUP(O292,'Department Listing'!$O$1:$O$395,'Department Listing'!$A$1:$A$395),IFERROR(_xlfn.XLOOKUP(O292,'Name Aliases'!$A$2:$A$1000,'Name Aliases'!$B$2:$B$1000),""))</f>
        <v>91</v>
      </c>
      <c r="Q292" s="18">
        <f t="shared" si="33"/>
        <v>46230</v>
      </c>
      <c r="R292" s="17" t="str">
        <f t="shared" si="34"/>
        <v>Sweeney's</v>
      </c>
      <c r="S292" s="19">
        <f t="shared" si="35"/>
        <v>107.21</v>
      </c>
      <c r="T292" s="17" t="str">
        <f t="shared" si="36"/>
        <v>TST*SWEENEYS MASTERCARD-XXXXXXKNZPSJ-Robert Kolosky</v>
      </c>
      <c r="U292" s="17" t="str">
        <f t="shared" si="37"/>
        <v>Brex Credit Card</v>
      </c>
      <c r="V292" s="19" t="str">
        <f>IF(ISBLANK($B292),"",IF(ISBLANK($K292),IF(_xlfn.XLOOKUP($W292,'Category Mapping'!$C:$C,'Category Mapping'!$B:$B)="Travel",_xlfn.XLOOKUP($P292,'Department Listing'!$A:$A,'Department Listing'!$M:$M),_xlfn.XLOOKUP($W292,'Category Mapping'!$C:$C,'Category Mapping'!$D:$D)),$K292))</f>
        <v>Cost of Goods Sold:COGS- Travel Expenses:</v>
      </c>
      <c r="W292" s="19" t="str">
        <f t="shared" si="38"/>
        <v>Meals &amp; Entertainment</v>
      </c>
      <c r="X292" s="19" t="str">
        <f t="shared" si="39"/>
        <v>Cost of Goods Sold:COGS- Travel Expenses:Meals &amp; Entertainment</v>
      </c>
      <c r="Y292" s="20" t="str">
        <f>IF(ISBLANK($M292),IFERROR(_xlfn.XLOOKUP($P292,'Department Listing'!$A:$A,'Department Listing'!$L:$L),""),$M292)</f>
        <v>300- ServiceNow:320- Engineering</v>
      </c>
      <c r="Z292" s="11">
        <f>IF(ISBLANK($B292),"",MATCH($X292,COA!$B:$B,0))</f>
        <v>126</v>
      </c>
    </row>
    <row r="293" spans="2:26" ht="15.75" customHeight="1" x14ac:dyDescent="0.25">
      <c r="B293" s="14">
        <v>46231</v>
      </c>
      <c r="C293" t="s">
        <v>465</v>
      </c>
      <c r="E293" s="23" t="s">
        <v>64</v>
      </c>
      <c r="F293" s="16">
        <v>45.91</v>
      </c>
      <c r="G293" s="10"/>
      <c r="H293" s="10"/>
      <c r="I293" s="9" t="s">
        <v>92</v>
      </c>
      <c r="J293" s="9"/>
      <c r="K293" s="9"/>
      <c r="L293" s="9" t="s">
        <v>66</v>
      </c>
      <c r="M293" s="9"/>
      <c r="N293" s="17"/>
      <c r="O293" s="17" t="str">
        <f t="shared" si="32"/>
        <v>Robert Witty</v>
      </c>
      <c r="P293" s="17">
        <f>IFERROR(_xlfn.XLOOKUP(O293,'Department Listing'!$O$1:$O$395,'Department Listing'!$A$1:$A$395),IFERROR(_xlfn.XLOOKUP(O293,'Name Aliases'!$A$2:$A$1000,'Name Aliases'!$B$2:$B$1000),""))</f>
        <v>74</v>
      </c>
      <c r="Q293" s="18">
        <f t="shared" si="33"/>
        <v>46231</v>
      </c>
      <c r="R293" s="17" t="str">
        <f t="shared" si="34"/>
        <v>Lyft</v>
      </c>
      <c r="S293" s="19">
        <f t="shared" si="35"/>
        <v>45.91</v>
      </c>
      <c r="T293" s="17" t="str">
        <f t="shared" si="36"/>
        <v>LYFT   *1 RIDE 07-26 MASTERCARD-XXXXXXFXU3PX-Robert Witty</v>
      </c>
      <c r="U293" s="17" t="str">
        <f t="shared" si="37"/>
        <v>Brex Credit Card</v>
      </c>
      <c r="V293" s="19" t="str">
        <f>IF(ISBLANK($B293),"",IF(ISBLANK($K293),IF(_xlfn.XLOOKUP($W293,'Category Mapping'!$C:$C,'Category Mapping'!$B:$B)="Travel",_xlfn.XLOOKUP($P293,'Department Listing'!$A:$A,'Department Listing'!$M:$M),_xlfn.XLOOKUP($W293,'Category Mapping'!$C:$C,'Category Mapping'!$D:$D)),$K293))</f>
        <v>Cost of Goods Sold:COGS- Travel Expenses:</v>
      </c>
      <c r="W293" s="19" t="str">
        <f t="shared" si="38"/>
        <v>Ground Transportation</v>
      </c>
      <c r="X293" s="19" t="str">
        <f t="shared" si="39"/>
        <v>Cost of Goods Sold:COGS- Travel Expenses:Ground Transportation</v>
      </c>
      <c r="Y293" s="20" t="str">
        <f>IF(ISBLANK($M293),IFERROR(_xlfn.XLOOKUP($P293,'Department Listing'!$A:$A,'Department Listing'!$L:$L),""),$M293)</f>
        <v>300- ServiceNow:320- Engineering</v>
      </c>
      <c r="Z293" s="11">
        <f>IF(ISBLANK($B293),"",MATCH($X293,COA!$B:$B,0))</f>
        <v>124</v>
      </c>
    </row>
    <row r="294" spans="2:26" ht="15.75" customHeight="1" x14ac:dyDescent="0.25">
      <c r="B294" s="14">
        <v>46230</v>
      </c>
      <c r="C294" t="s">
        <v>467</v>
      </c>
      <c r="E294" s="23" t="s">
        <v>76</v>
      </c>
      <c r="F294" s="16">
        <v>45.48</v>
      </c>
      <c r="G294" s="10"/>
      <c r="H294" s="10"/>
      <c r="I294" s="9" t="s">
        <v>77</v>
      </c>
      <c r="J294" s="9"/>
      <c r="K294" s="9"/>
      <c r="L294" s="9" t="s">
        <v>78</v>
      </c>
      <c r="M294" s="9"/>
      <c r="N294" s="17"/>
      <c r="O294" s="17" t="str">
        <f t="shared" si="32"/>
        <v>Zachary Kenyon</v>
      </c>
      <c r="P294" s="17">
        <f>IFERROR(_xlfn.XLOOKUP(O294,'Department Listing'!$O$1:$O$395,'Department Listing'!$A$1:$A$395),IFERROR(_xlfn.XLOOKUP(O294,'Name Aliases'!$A$2:$A$1000,'Name Aliases'!$B$2:$B$1000),""))</f>
        <v>83</v>
      </c>
      <c r="Q294" s="18">
        <f t="shared" si="33"/>
        <v>46230</v>
      </c>
      <c r="R294" s="17" t="str">
        <f t="shared" si="34"/>
        <v>Sweeney's</v>
      </c>
      <c r="S294" s="19">
        <f t="shared" si="35"/>
        <v>45.48</v>
      </c>
      <c r="T294" s="17" t="str">
        <f t="shared" si="36"/>
        <v>TST*SWEENEYS MASTERCARD-XXXXXXMHA1RS-Zachary Kenyon</v>
      </c>
      <c r="U294" s="17" t="str">
        <f t="shared" si="37"/>
        <v>Brex Credit Card</v>
      </c>
      <c r="V294" s="19" t="str">
        <f>IF(ISBLANK($B294),"",IF(ISBLANK($K294),IF(_xlfn.XLOOKUP($W294,'Category Mapping'!$C:$C,'Category Mapping'!$B:$B)="Travel",_xlfn.XLOOKUP($P294,'Department Listing'!$A:$A,'Department Listing'!$M:$M),_xlfn.XLOOKUP($W294,'Category Mapping'!$C:$C,'Category Mapping'!$D:$D)),$K294))</f>
        <v>Cost of Goods Sold:COGS- Travel Expenses:</v>
      </c>
      <c r="W294" s="19" t="str">
        <f t="shared" si="38"/>
        <v>Meals &amp; Entertainment</v>
      </c>
      <c r="X294" s="19" t="str">
        <f t="shared" si="39"/>
        <v>Cost of Goods Sold:COGS- Travel Expenses:Meals &amp; Entertainment</v>
      </c>
      <c r="Y294" s="20" t="str">
        <f>IF(ISBLANK($M294),IFERROR(_xlfn.XLOOKUP($P294,'Department Listing'!$A:$A,'Department Listing'!$L:$L),""),$M294)</f>
        <v>300- ServiceNow:320- Engineering</v>
      </c>
      <c r="Z294" s="11">
        <f>IF(ISBLANK($B294),"",MATCH($X294,COA!$B:$B,0))</f>
        <v>126</v>
      </c>
    </row>
    <row r="295" spans="2:26" ht="15.75" customHeight="1" x14ac:dyDescent="0.25">
      <c r="B295" s="14">
        <v>46231</v>
      </c>
      <c r="C295" t="s">
        <v>469</v>
      </c>
      <c r="E295" s="23" t="s">
        <v>64</v>
      </c>
      <c r="F295" s="16">
        <v>47.95</v>
      </c>
      <c r="G295" s="10"/>
      <c r="H295" s="10"/>
      <c r="I295" s="9" t="s">
        <v>74</v>
      </c>
      <c r="J295" s="9"/>
      <c r="K295" s="9"/>
      <c r="L295" s="9" t="s">
        <v>66</v>
      </c>
      <c r="M295" s="9"/>
      <c r="N295" s="17"/>
      <c r="O295" s="17" t="str">
        <f t="shared" si="32"/>
        <v>Gary Baker</v>
      </c>
      <c r="P295" s="17">
        <f>IFERROR(_xlfn.XLOOKUP(O295,'Department Listing'!$O$1:$O$395,'Department Listing'!$A$1:$A$395),IFERROR(_xlfn.XLOOKUP(O295,'Name Aliases'!$A$2:$A$1000,'Name Aliases'!$B$2:$B$1000),""))</f>
        <v>235</v>
      </c>
      <c r="Q295" s="18">
        <f t="shared" si="33"/>
        <v>46231</v>
      </c>
      <c r="R295" s="17" t="str">
        <f t="shared" si="34"/>
        <v>Uber</v>
      </c>
      <c r="S295" s="19">
        <f t="shared" si="35"/>
        <v>47.95</v>
      </c>
      <c r="T295" s="17" t="str">
        <f t="shared" si="36"/>
        <v>UBER   *TRIP MASTERCARD-XXXXXXOW91HO-Gary Baker</v>
      </c>
      <c r="U295" s="17" t="str">
        <f t="shared" si="37"/>
        <v>Brex Credit Card</v>
      </c>
      <c r="V295" s="19" t="str">
        <f>IF(ISBLANK($B295),"",IF(ISBLANK($K295),IF(_xlfn.XLOOKUP($W295,'Category Mapping'!$C:$C,'Category Mapping'!$B:$B)="Travel",_xlfn.XLOOKUP($P295,'Department Listing'!$A:$A,'Department Listing'!$M:$M),_xlfn.XLOOKUP($W295,'Category Mapping'!$C:$C,'Category Mapping'!$D:$D)),$K295))</f>
        <v>Cost of Goods Sold:COGS- Travel Expenses:</v>
      </c>
      <c r="W295" s="19" t="str">
        <f t="shared" si="38"/>
        <v>Ground Transportation</v>
      </c>
      <c r="X295" s="19" t="str">
        <f t="shared" si="39"/>
        <v>Cost of Goods Sold:COGS- Travel Expenses:Ground Transportation</v>
      </c>
      <c r="Y295" s="20" t="str">
        <f>IF(ISBLANK($M295),IFERROR(_xlfn.XLOOKUP($P295,'Department Listing'!$A:$A,'Department Listing'!$L:$L),""),$M295)</f>
        <v>300- ServiceNow:320- Engineering</v>
      </c>
      <c r="Z295" s="11">
        <f>IF(ISBLANK($B295),"",MATCH($X295,COA!$B:$B,0))</f>
        <v>124</v>
      </c>
    </row>
    <row r="296" spans="2:26" ht="15.75" customHeight="1" x14ac:dyDescent="0.25">
      <c r="B296" s="14">
        <v>46231</v>
      </c>
      <c r="C296" t="s">
        <v>470</v>
      </c>
      <c r="E296" s="23" t="s">
        <v>64</v>
      </c>
      <c r="F296" s="16">
        <v>30.38</v>
      </c>
      <c r="G296" s="10"/>
      <c r="H296" s="10"/>
      <c r="I296" s="9" t="s">
        <v>74</v>
      </c>
      <c r="J296" s="9"/>
      <c r="K296" s="9"/>
      <c r="L296" s="9" t="s">
        <v>66</v>
      </c>
      <c r="M296" s="9"/>
      <c r="N296" s="17"/>
      <c r="O296" s="17" t="str">
        <f t="shared" si="32"/>
        <v>Anamaria Gramada</v>
      </c>
      <c r="P296" s="17">
        <f>IFERROR(_xlfn.XLOOKUP(O296,'Department Listing'!$O$1:$O$395,'Department Listing'!$A$1:$A$395),IFERROR(_xlfn.XLOOKUP(O296,'Name Aliases'!$A$2:$A$1000,'Name Aliases'!$B$2:$B$1000),""))</f>
        <v>110</v>
      </c>
      <c r="Q296" s="18">
        <f t="shared" si="33"/>
        <v>46231</v>
      </c>
      <c r="R296" s="17" t="str">
        <f t="shared" si="34"/>
        <v>Uber</v>
      </c>
      <c r="S296" s="19">
        <f t="shared" si="35"/>
        <v>30.38</v>
      </c>
      <c r="T296" s="17" t="str">
        <f t="shared" si="36"/>
        <v>UBER   *TRIP MASTERCARD-XXXXXXVOAD15-Anamaria Gramada</v>
      </c>
      <c r="U296" s="17" t="str">
        <f t="shared" si="37"/>
        <v>Brex Credit Card</v>
      </c>
      <c r="V296" s="19" t="str">
        <f>IF(ISBLANK($B296),"",IF(ISBLANK($K296),IF(_xlfn.XLOOKUP($W296,'Category Mapping'!$C:$C,'Category Mapping'!$B:$B)="Travel",_xlfn.XLOOKUP($P296,'Department Listing'!$A:$A,'Department Listing'!$M:$M),_xlfn.XLOOKUP($W296,'Category Mapping'!$C:$C,'Category Mapping'!$D:$D)),$K296))</f>
        <v>Cost of Goods Sold:COGS- Travel Expenses:</v>
      </c>
      <c r="W296" s="19" t="str">
        <f t="shared" si="38"/>
        <v>Ground Transportation</v>
      </c>
      <c r="X296" s="19" t="str">
        <f t="shared" si="39"/>
        <v>Cost of Goods Sold:COGS- Travel Expenses:Ground Transportation</v>
      </c>
      <c r="Y296" s="20" t="str">
        <f>IF(ISBLANK($M296),IFERROR(_xlfn.XLOOKUP($P296,'Department Listing'!$A:$A,'Department Listing'!$L:$L),""),$M296)</f>
        <v>300- ServiceNow:310- Delivery</v>
      </c>
      <c r="Z296" s="11">
        <f>IF(ISBLANK($B296),"",MATCH($X296,COA!$B:$B,0))</f>
        <v>124</v>
      </c>
    </row>
    <row r="297" spans="2:26" ht="15.75" customHeight="1" x14ac:dyDescent="0.25">
      <c r="B297" s="14">
        <v>46230</v>
      </c>
      <c r="C297" t="s">
        <v>471</v>
      </c>
      <c r="E297" s="23" t="s">
        <v>76</v>
      </c>
      <c r="F297" s="16">
        <v>48.15</v>
      </c>
      <c r="G297" s="10"/>
      <c r="H297" s="10"/>
      <c r="I297" s="9" t="s">
        <v>77</v>
      </c>
      <c r="J297" s="9"/>
      <c r="K297" s="9"/>
      <c r="L297" s="9" t="s">
        <v>78</v>
      </c>
      <c r="M297" s="9"/>
      <c r="N297" s="17"/>
      <c r="O297" s="17" t="str">
        <f t="shared" si="32"/>
        <v>Michael Christinsen</v>
      </c>
      <c r="P297" s="17">
        <f>IFERROR(_xlfn.XLOOKUP(O297,'Department Listing'!$O$1:$O$395,'Department Listing'!$A$1:$A$395),IFERROR(_xlfn.XLOOKUP(O297,'Name Aliases'!$A$2:$A$1000,'Name Aliases'!$B$2:$B$1000),""))</f>
        <v>58</v>
      </c>
      <c r="Q297" s="18">
        <f t="shared" si="33"/>
        <v>46230</v>
      </c>
      <c r="R297" s="17" t="str">
        <f t="shared" si="34"/>
        <v>Sweeney's</v>
      </c>
      <c r="S297" s="19">
        <f t="shared" si="35"/>
        <v>48.15</v>
      </c>
      <c r="T297" s="17" t="str">
        <f t="shared" si="36"/>
        <v>TST*SWEENEYS MASTERCARD-XXXXXX859CP1-Michael Christinsen</v>
      </c>
      <c r="U297" s="17" t="str">
        <f t="shared" si="37"/>
        <v>Brex Credit Card</v>
      </c>
      <c r="V297" s="19" t="str">
        <f>IF(ISBLANK($B297),"",IF(ISBLANK($K297),IF(_xlfn.XLOOKUP($W297,'Category Mapping'!$C:$C,'Category Mapping'!$B:$B)="Travel",_xlfn.XLOOKUP($P297,'Department Listing'!$A:$A,'Department Listing'!$M:$M),_xlfn.XLOOKUP($W297,'Category Mapping'!$C:$C,'Category Mapping'!$D:$D)),$K297))</f>
        <v>Cost of Goods Sold:COGS- Travel Expenses:</v>
      </c>
      <c r="W297" s="19" t="str">
        <f t="shared" si="38"/>
        <v>Meals &amp; Entertainment</v>
      </c>
      <c r="X297" s="19" t="str">
        <f t="shared" si="39"/>
        <v>Cost of Goods Sold:COGS- Travel Expenses:Meals &amp; Entertainment</v>
      </c>
      <c r="Y297" s="20" t="str">
        <f>IF(ISBLANK($M297),IFERROR(_xlfn.XLOOKUP($P297,'Department Listing'!$A:$A,'Department Listing'!$L:$L),""),$M297)</f>
        <v>200- Datadog:220- Engineering</v>
      </c>
      <c r="Z297" s="11">
        <f>IF(ISBLANK($B297),"",MATCH($X297,COA!$B:$B,0))</f>
        <v>126</v>
      </c>
    </row>
    <row r="298" spans="2:26" ht="15.75" customHeight="1" x14ac:dyDescent="0.25">
      <c r="B298" s="14">
        <v>46230</v>
      </c>
      <c r="C298" t="s">
        <v>472</v>
      </c>
      <c r="E298" s="23" t="s">
        <v>76</v>
      </c>
      <c r="F298" s="16">
        <v>45.45</v>
      </c>
      <c r="G298" s="10"/>
      <c r="H298" s="10"/>
      <c r="I298" s="9" t="s">
        <v>77</v>
      </c>
      <c r="J298" s="9"/>
      <c r="K298" s="9"/>
      <c r="L298" s="9" t="s">
        <v>78</v>
      </c>
      <c r="M298" s="9"/>
      <c r="N298" s="17"/>
      <c r="O298" s="17" t="str">
        <f t="shared" si="32"/>
        <v>Luis Gallego Cardona</v>
      </c>
      <c r="P298" s="17">
        <f>IFERROR(_xlfn.XLOOKUP(O298,'Department Listing'!$O$1:$O$395,'Department Listing'!$A$1:$A$395),IFERROR(_xlfn.XLOOKUP(O298,'Name Aliases'!$A$2:$A$1000,'Name Aliases'!$B$2:$B$1000),""))</f>
        <v>89</v>
      </c>
      <c r="Q298" s="18">
        <f t="shared" si="33"/>
        <v>46230</v>
      </c>
      <c r="R298" s="17" t="str">
        <f t="shared" si="34"/>
        <v>Sweeney's</v>
      </c>
      <c r="S298" s="19">
        <f t="shared" si="35"/>
        <v>45.45</v>
      </c>
      <c r="T298" s="17" t="str">
        <f t="shared" si="36"/>
        <v>TST*SWEENEYS MASTERCARD-XXXXXXGSS4CH-Luis Gallego Cardona</v>
      </c>
      <c r="U298" s="17" t="str">
        <f t="shared" si="37"/>
        <v>Brex Credit Card</v>
      </c>
      <c r="V298" s="19" t="str">
        <f>IF(ISBLANK($B298),"",IF(ISBLANK($K298),IF(_xlfn.XLOOKUP($W298,'Category Mapping'!$C:$C,'Category Mapping'!$B:$B)="Travel",_xlfn.XLOOKUP($P298,'Department Listing'!$A:$A,'Department Listing'!$M:$M),_xlfn.XLOOKUP($W298,'Category Mapping'!$C:$C,'Category Mapping'!$D:$D)),$K298))</f>
        <v>Cost of Goods Sold:COGS- Travel Expenses:</v>
      </c>
      <c r="W298" s="19" t="str">
        <f t="shared" si="38"/>
        <v>Meals &amp; Entertainment</v>
      </c>
      <c r="X298" s="19" t="str">
        <f t="shared" si="39"/>
        <v>Cost of Goods Sold:COGS- Travel Expenses:Meals &amp; Entertainment</v>
      </c>
      <c r="Y298" s="20" t="str">
        <f>IF(ISBLANK($M298),IFERROR(_xlfn.XLOOKUP($P298,'Department Listing'!$A:$A,'Department Listing'!$L:$L),""),$M298)</f>
        <v>200- Datadog:220- Engineering</v>
      </c>
      <c r="Z298" s="11">
        <f>IF(ISBLANK($B298),"",MATCH($X298,COA!$B:$B,0))</f>
        <v>126</v>
      </c>
    </row>
    <row r="299" spans="2:26" ht="15.75" customHeight="1" x14ac:dyDescent="0.25">
      <c r="B299" s="14">
        <v>46230</v>
      </c>
      <c r="C299" t="s">
        <v>473</v>
      </c>
      <c r="E299" s="23" t="s">
        <v>76</v>
      </c>
      <c r="F299" s="16">
        <v>46.22</v>
      </c>
      <c r="G299" s="10"/>
      <c r="H299" s="10"/>
      <c r="I299" s="9" t="s">
        <v>77</v>
      </c>
      <c r="J299" s="9"/>
      <c r="K299" s="9"/>
      <c r="L299" s="9" t="s">
        <v>78</v>
      </c>
      <c r="M299" s="9"/>
      <c r="N299" s="17"/>
      <c r="O299" s="17" t="str">
        <f t="shared" si="32"/>
        <v>Favian Velasco</v>
      </c>
      <c r="P299" s="17">
        <f>IFERROR(_xlfn.XLOOKUP(O299,'Department Listing'!$O$1:$O$395,'Department Listing'!$A$1:$A$395),IFERROR(_xlfn.XLOOKUP(O299,'Name Aliases'!$A$2:$A$1000,'Name Aliases'!$B$2:$B$1000),""))</f>
        <v>250</v>
      </c>
      <c r="Q299" s="18">
        <f t="shared" si="33"/>
        <v>46230</v>
      </c>
      <c r="R299" s="17" t="str">
        <f t="shared" si="34"/>
        <v>Sweeney's</v>
      </c>
      <c r="S299" s="19">
        <f t="shared" si="35"/>
        <v>46.22</v>
      </c>
      <c r="T299" s="17" t="str">
        <f t="shared" si="36"/>
        <v>TST*SWEENEYS MASTERCARD-XXXXXX4X9H15-Favian Velasco</v>
      </c>
      <c r="U299" s="17" t="str">
        <f t="shared" si="37"/>
        <v>Brex Credit Card</v>
      </c>
      <c r="V299" s="19" t="str">
        <f>IF(ISBLANK($B299),"",IF(ISBLANK($K299),IF(_xlfn.XLOOKUP($W299,'Category Mapping'!$C:$C,'Category Mapping'!$B:$B)="Travel",_xlfn.XLOOKUP($P299,'Department Listing'!$A:$A,'Department Listing'!$M:$M),_xlfn.XLOOKUP($W299,'Category Mapping'!$C:$C,'Category Mapping'!$D:$D)),$K299))</f>
        <v>Cost of Goods Sold:COGS- Travel Expenses:</v>
      </c>
      <c r="W299" s="19" t="str">
        <f t="shared" si="38"/>
        <v>Meals &amp; Entertainment</v>
      </c>
      <c r="X299" s="19" t="str">
        <f t="shared" si="39"/>
        <v>Cost of Goods Sold:COGS- Travel Expenses:Meals &amp; Entertainment</v>
      </c>
      <c r="Y299" s="20" t="str">
        <f>IF(ISBLANK($M299),IFERROR(_xlfn.XLOOKUP($P299,'Department Listing'!$A:$A,'Department Listing'!$L:$L),""),$M299)</f>
        <v>300- ServiceNow:320- Engineering</v>
      </c>
      <c r="Z299" s="11">
        <f>IF(ISBLANK($B299),"",MATCH($X299,COA!$B:$B,0))</f>
        <v>126</v>
      </c>
    </row>
    <row r="300" spans="2:26" ht="15.75" customHeight="1" x14ac:dyDescent="0.25">
      <c r="B300" s="14">
        <v>46230</v>
      </c>
      <c r="C300" t="s">
        <v>474</v>
      </c>
      <c r="E300" s="23" t="s">
        <v>64</v>
      </c>
      <c r="F300" s="16">
        <v>36.950000000000003</v>
      </c>
      <c r="G300" s="10"/>
      <c r="H300" s="10"/>
      <c r="I300" s="9" t="s">
        <v>74</v>
      </c>
      <c r="J300" s="9"/>
      <c r="K300" s="9"/>
      <c r="L300" s="9" t="s">
        <v>66</v>
      </c>
      <c r="M300" s="9"/>
      <c r="N300" s="17"/>
      <c r="O300" s="17" t="str">
        <f t="shared" si="32"/>
        <v>James Whitehead</v>
      </c>
      <c r="P300" s="17">
        <f>IFERROR(_xlfn.XLOOKUP(O300,'Department Listing'!$O$1:$O$395,'Department Listing'!$A$1:$A$395),IFERROR(_xlfn.XLOOKUP(O300,'Name Aliases'!$A$2:$A$1000,'Name Aliases'!$B$2:$B$1000),""))</f>
        <v>193</v>
      </c>
      <c r="Q300" s="18">
        <f t="shared" si="33"/>
        <v>46230</v>
      </c>
      <c r="R300" s="17" t="str">
        <f t="shared" si="34"/>
        <v>Uber</v>
      </c>
      <c r="S300" s="19">
        <f t="shared" si="35"/>
        <v>36.950000000000003</v>
      </c>
      <c r="T300" s="17" t="str">
        <f t="shared" si="36"/>
        <v>UBER   *TRIP MASTERCARD-XXXXXXKI49KH-James Whitehead</v>
      </c>
      <c r="U300" s="17" t="str">
        <f t="shared" si="37"/>
        <v>Brex Credit Card</v>
      </c>
      <c r="V300" s="19" t="str">
        <f>IF(ISBLANK($B300),"",IF(ISBLANK($K300),IF(_xlfn.XLOOKUP($W300,'Category Mapping'!$C:$C,'Category Mapping'!$B:$B)="Travel",_xlfn.XLOOKUP($P300,'Department Listing'!$A:$A,'Department Listing'!$M:$M),_xlfn.XLOOKUP($W300,'Category Mapping'!$C:$C,'Category Mapping'!$D:$D)),$K300))</f>
        <v>Cost of Goods Sold:COGS- Travel Expenses:</v>
      </c>
      <c r="W300" s="19" t="str">
        <f t="shared" si="38"/>
        <v>Ground Transportation</v>
      </c>
      <c r="X300" s="19" t="str">
        <f t="shared" si="39"/>
        <v>Cost of Goods Sold:COGS- Travel Expenses:Ground Transportation</v>
      </c>
      <c r="Y300" s="20" t="str">
        <f>IF(ISBLANK($M300),IFERROR(_xlfn.XLOOKUP($P300,'Department Listing'!$A:$A,'Department Listing'!$L:$L),""),$M300)</f>
        <v>200- Datadog:220- Engineering</v>
      </c>
      <c r="Z300" s="11">
        <f>IF(ISBLANK($B300),"",MATCH($X300,COA!$B:$B,0))</f>
        <v>124</v>
      </c>
    </row>
    <row r="301" spans="2:26" ht="15.75" customHeight="1" x14ac:dyDescent="0.25">
      <c r="B301" s="14">
        <v>46231</v>
      </c>
      <c r="C301" t="s">
        <v>475</v>
      </c>
      <c r="E301" s="23" t="s">
        <v>76</v>
      </c>
      <c r="F301" s="16">
        <v>14.43</v>
      </c>
      <c r="G301" s="10"/>
      <c r="H301" s="10"/>
      <c r="I301" s="9" t="s">
        <v>263</v>
      </c>
      <c r="J301" s="9"/>
      <c r="K301" s="9"/>
      <c r="L301" s="9" t="s">
        <v>78</v>
      </c>
      <c r="M301" s="9"/>
      <c r="N301" s="17"/>
      <c r="O301" s="17" t="str">
        <f t="shared" si="32"/>
        <v>Tanner Ylvisaker</v>
      </c>
      <c r="P301" s="17">
        <f>IFERROR(_xlfn.XLOOKUP(O301,'Department Listing'!$O$1:$O$395,'Department Listing'!$A$1:$A$395),IFERROR(_xlfn.XLOOKUP(O301,'Name Aliases'!$A$2:$A$1000,'Name Aliases'!$B$2:$B$1000),""))</f>
        <v>99</v>
      </c>
      <c r="Q301" s="18">
        <f t="shared" si="33"/>
        <v>46231</v>
      </c>
      <c r="R301" s="17" t="str">
        <f t="shared" si="34"/>
        <v>Raising Canes</v>
      </c>
      <c r="S301" s="19">
        <f t="shared" si="35"/>
        <v>14.43</v>
      </c>
      <c r="T301" s="17" t="str">
        <f t="shared" si="36"/>
        <v>RAISING CANES 0676 MASTERCARD-XXXXXXGHGZBY-Tanner Ylvisaker</v>
      </c>
      <c r="U301" s="17" t="str">
        <f t="shared" si="37"/>
        <v>Brex Credit Card</v>
      </c>
      <c r="V301" s="19" t="str">
        <f>IF(ISBLANK($B301),"",IF(ISBLANK($K301),IF(_xlfn.XLOOKUP($W301,'Category Mapping'!$C:$C,'Category Mapping'!$B:$B)="Travel",_xlfn.XLOOKUP($P301,'Department Listing'!$A:$A,'Department Listing'!$M:$M),_xlfn.XLOOKUP($W301,'Category Mapping'!$C:$C,'Category Mapping'!$D:$D)),$K301))</f>
        <v>Cost of Goods Sold:COGS- Travel Expenses:</v>
      </c>
      <c r="W301" s="19" t="str">
        <f t="shared" si="38"/>
        <v>Meals &amp; Entertainment</v>
      </c>
      <c r="X301" s="19" t="str">
        <f t="shared" si="39"/>
        <v>Cost of Goods Sold:COGS- Travel Expenses:Meals &amp; Entertainment</v>
      </c>
      <c r="Y301" s="20" t="str">
        <f>IF(ISBLANK($M301),IFERROR(_xlfn.XLOOKUP($P301,'Department Listing'!$A:$A,'Department Listing'!$L:$L),""),$M301)</f>
        <v>300- ServiceNow:320- Engineering</v>
      </c>
      <c r="Z301" s="11">
        <f>IF(ISBLANK($B301),"",MATCH($X301,COA!$B:$B,0))</f>
        <v>126</v>
      </c>
    </row>
    <row r="302" spans="2:26" ht="15.75" customHeight="1" x14ac:dyDescent="0.25">
      <c r="B302" s="14">
        <v>46230</v>
      </c>
      <c r="C302" t="s">
        <v>476</v>
      </c>
      <c r="E302" s="23" t="s">
        <v>64</v>
      </c>
      <c r="F302" s="16">
        <v>42.94</v>
      </c>
      <c r="G302" s="10"/>
      <c r="H302" s="10"/>
      <c r="I302" s="9" t="s">
        <v>74</v>
      </c>
      <c r="J302" s="9"/>
      <c r="K302" s="9"/>
      <c r="L302" s="9" t="s">
        <v>66</v>
      </c>
      <c r="M302" s="9"/>
      <c r="N302" s="17"/>
      <c r="O302" s="17" t="str">
        <f t="shared" si="32"/>
        <v>Tanner Ylvisaker</v>
      </c>
      <c r="P302" s="17">
        <f>IFERROR(_xlfn.XLOOKUP(O302,'Department Listing'!$O$1:$O$395,'Department Listing'!$A$1:$A$395),IFERROR(_xlfn.XLOOKUP(O302,'Name Aliases'!$A$2:$A$1000,'Name Aliases'!$B$2:$B$1000),""))</f>
        <v>99</v>
      </c>
      <c r="Q302" s="18">
        <f t="shared" si="33"/>
        <v>46230</v>
      </c>
      <c r="R302" s="17" t="str">
        <f t="shared" si="34"/>
        <v>Uber</v>
      </c>
      <c r="S302" s="19">
        <f t="shared" si="35"/>
        <v>42.94</v>
      </c>
      <c r="T302" s="17" t="str">
        <f t="shared" si="36"/>
        <v>UBER   *TRIP MASTERCARD-XXXXXX3G0HE8-Tanner Ylvisaker</v>
      </c>
      <c r="U302" s="17" t="str">
        <f t="shared" si="37"/>
        <v>Brex Credit Card</v>
      </c>
      <c r="V302" s="19" t="str">
        <f>IF(ISBLANK($B302),"",IF(ISBLANK($K302),IF(_xlfn.XLOOKUP($W302,'Category Mapping'!$C:$C,'Category Mapping'!$B:$B)="Travel",_xlfn.XLOOKUP($P302,'Department Listing'!$A:$A,'Department Listing'!$M:$M),_xlfn.XLOOKUP($W302,'Category Mapping'!$C:$C,'Category Mapping'!$D:$D)),$K302))</f>
        <v>Cost of Goods Sold:COGS- Travel Expenses:</v>
      </c>
      <c r="W302" s="19" t="str">
        <f t="shared" si="38"/>
        <v>Ground Transportation</v>
      </c>
      <c r="X302" s="19" t="str">
        <f t="shared" si="39"/>
        <v>Cost of Goods Sold:COGS- Travel Expenses:Ground Transportation</v>
      </c>
      <c r="Y302" s="20" t="str">
        <f>IF(ISBLANK($M302),IFERROR(_xlfn.XLOOKUP($P302,'Department Listing'!$A:$A,'Department Listing'!$L:$L),""),$M302)</f>
        <v>300- ServiceNow:320- Engineering</v>
      </c>
      <c r="Z302" s="11">
        <f>IF(ISBLANK($B302),"",MATCH($X302,COA!$B:$B,0))</f>
        <v>124</v>
      </c>
    </row>
    <row r="303" spans="2:26" ht="15.75" customHeight="1" x14ac:dyDescent="0.25">
      <c r="B303" s="14">
        <v>46230</v>
      </c>
      <c r="C303" t="s">
        <v>477</v>
      </c>
      <c r="E303" s="23" t="s">
        <v>76</v>
      </c>
      <c r="F303" s="16">
        <v>18.239999999999998</v>
      </c>
      <c r="G303" s="10"/>
      <c r="H303" s="10"/>
      <c r="I303" s="9" t="s">
        <v>460</v>
      </c>
      <c r="J303" s="9"/>
      <c r="K303" s="9"/>
      <c r="L303" s="9" t="s">
        <v>78</v>
      </c>
      <c r="M303" s="9"/>
      <c r="N303" s="17"/>
      <c r="O303" s="17" t="str">
        <f t="shared" si="32"/>
        <v>Tokuya Takahashi</v>
      </c>
      <c r="P303" s="17">
        <f>IFERROR(_xlfn.XLOOKUP(O303,'Department Listing'!$O$1:$O$395,'Department Listing'!$A$1:$A$395),IFERROR(_xlfn.XLOOKUP(O303,'Name Aliases'!$A$2:$A$1000,'Name Aliases'!$B$2:$B$1000),""))</f>
        <v>214</v>
      </c>
      <c r="Q303" s="18">
        <f t="shared" si="33"/>
        <v>46230</v>
      </c>
      <c r="R303" s="17" t="str">
        <f t="shared" si="34"/>
        <v>Cava</v>
      </c>
      <c r="S303" s="19">
        <f t="shared" si="35"/>
        <v>18.239999999999998</v>
      </c>
      <c r="T303" s="17" t="str">
        <f t="shared" si="36"/>
        <v>10061 CAVA BACK BAY MASTERCARD-XXXXXXXP3JVW-Tokuya Takahashi</v>
      </c>
      <c r="U303" s="17" t="str">
        <f t="shared" si="37"/>
        <v>Brex Credit Card</v>
      </c>
      <c r="V303" s="19" t="str">
        <f>IF(ISBLANK($B303),"",IF(ISBLANK($K303),IF(_xlfn.XLOOKUP($W303,'Category Mapping'!$C:$C,'Category Mapping'!$B:$B)="Travel",_xlfn.XLOOKUP($P303,'Department Listing'!$A:$A,'Department Listing'!$M:$M),_xlfn.XLOOKUP($W303,'Category Mapping'!$C:$C,'Category Mapping'!$D:$D)),$K303))</f>
        <v>Cost of Goods Sold:COGS- Travel Expenses:</v>
      </c>
      <c r="W303" s="19" t="str">
        <f t="shared" si="38"/>
        <v>Meals &amp; Entertainment</v>
      </c>
      <c r="X303" s="19" t="str">
        <f t="shared" si="39"/>
        <v>Cost of Goods Sold:COGS- Travel Expenses:Meals &amp; Entertainment</v>
      </c>
      <c r="Y303" s="20" t="str">
        <f>IF(ISBLANK($M303),IFERROR(_xlfn.XLOOKUP($P303,'Department Listing'!$A:$A,'Department Listing'!$L:$L),""),$M303)</f>
        <v>300- ServiceNow:320- Engineering</v>
      </c>
      <c r="Z303" s="11">
        <f>IF(ISBLANK($B303),"",MATCH($X303,COA!$B:$B,0))</f>
        <v>126</v>
      </c>
    </row>
    <row r="304" spans="2:26" ht="15.75" customHeight="1" x14ac:dyDescent="0.25">
      <c r="B304" s="14">
        <v>46231</v>
      </c>
      <c r="C304" t="s">
        <v>478</v>
      </c>
      <c r="E304" s="23" t="s">
        <v>76</v>
      </c>
      <c r="F304" s="16">
        <v>89.88</v>
      </c>
      <c r="G304" s="10"/>
      <c r="H304" s="10"/>
      <c r="I304" s="9" t="s">
        <v>352</v>
      </c>
      <c r="J304" s="9"/>
      <c r="K304" s="9"/>
      <c r="L304" s="9" t="s">
        <v>78</v>
      </c>
      <c r="M304" s="9"/>
      <c r="N304" s="17"/>
      <c r="O304" s="17" t="str">
        <f t="shared" si="32"/>
        <v>James Dean</v>
      </c>
      <c r="P304" s="17">
        <f>IFERROR(_xlfn.XLOOKUP(O304,'Department Listing'!$O$1:$O$395,'Department Listing'!$A$1:$A$395),IFERROR(_xlfn.XLOOKUP(O304,'Name Aliases'!$A$2:$A$1000,'Name Aliases'!$B$2:$B$1000),""))</f>
        <v>270</v>
      </c>
      <c r="Q304" s="18">
        <f t="shared" si="33"/>
        <v>46231</v>
      </c>
      <c r="R304" s="17" t="str">
        <f t="shared" si="34"/>
        <v>Capital Burger</v>
      </c>
      <c r="S304" s="19">
        <f t="shared" si="35"/>
        <v>89.88</v>
      </c>
      <c r="T304" s="17" t="str">
        <f t="shared" si="36"/>
        <v>CAPITAL BURGER 0213402 MASTERCARD-XXXXXXUELBD7-James Dean</v>
      </c>
      <c r="U304" s="17" t="str">
        <f t="shared" si="37"/>
        <v>Brex Credit Card</v>
      </c>
      <c r="V304" s="19" t="str">
        <f>IF(ISBLANK($B304),"",IF(ISBLANK($K304),IF(_xlfn.XLOOKUP($W304,'Category Mapping'!$C:$C,'Category Mapping'!$B:$B)="Travel",_xlfn.XLOOKUP($P304,'Department Listing'!$A:$A,'Department Listing'!$M:$M),_xlfn.XLOOKUP($W304,'Category Mapping'!$C:$C,'Category Mapping'!$D:$D)),$K304))</f>
        <v>Sales &amp; Marketing:Sales &amp; Marketing- Travel Expenses:</v>
      </c>
      <c r="W304" s="19" t="str">
        <f t="shared" si="38"/>
        <v>Meals &amp; Entertainment</v>
      </c>
      <c r="X304" s="19" t="str">
        <f t="shared" si="39"/>
        <v>Sales &amp; Marketing:Sales &amp; Marketing- Travel Expenses:Meals &amp; Entertainment</v>
      </c>
      <c r="Y304" s="20" t="str">
        <f>IF(ISBLANK($M304),IFERROR(_xlfn.XLOOKUP($P304,'Department Listing'!$A:$A,'Department Listing'!$L:$L),""),$M304)</f>
        <v>200- Datadog:230- Sales</v>
      </c>
      <c r="Z304" s="11">
        <f>IF(ISBLANK($B304),"",MATCH($X304,COA!$B:$B,0))</f>
        <v>202</v>
      </c>
    </row>
    <row r="305" spans="2:26" ht="15.75" customHeight="1" x14ac:dyDescent="0.25">
      <c r="B305" s="14">
        <v>46230</v>
      </c>
      <c r="C305" t="s">
        <v>479</v>
      </c>
      <c r="E305" s="23" t="s">
        <v>64</v>
      </c>
      <c r="F305" s="16">
        <v>48.93</v>
      </c>
      <c r="G305" s="10"/>
      <c r="H305" s="10"/>
      <c r="I305" s="9" t="s">
        <v>74</v>
      </c>
      <c r="J305" s="9"/>
      <c r="K305" s="9"/>
      <c r="L305" s="9" t="s">
        <v>66</v>
      </c>
      <c r="M305" s="9"/>
      <c r="N305" s="17"/>
      <c r="O305" s="17" t="str">
        <f t="shared" si="32"/>
        <v>Yadwinder Singh</v>
      </c>
      <c r="P305" s="17">
        <f>IFERROR(_xlfn.XLOOKUP(O305,'Department Listing'!$O$1:$O$395,'Department Listing'!$A$1:$A$395),IFERROR(_xlfn.XLOOKUP(O305,'Name Aliases'!$A$2:$A$1000,'Name Aliases'!$B$2:$B$1000),""))</f>
        <v>237</v>
      </c>
      <c r="Q305" s="18">
        <f t="shared" si="33"/>
        <v>46230</v>
      </c>
      <c r="R305" s="17" t="str">
        <f t="shared" si="34"/>
        <v>Uber</v>
      </c>
      <c r="S305" s="19">
        <f t="shared" si="35"/>
        <v>48.93</v>
      </c>
      <c r="T305" s="17" t="str">
        <f t="shared" si="36"/>
        <v>UBER   *TRIP MASTERCARD-XXXXXXI5GUIE-Yadwinder Singh</v>
      </c>
      <c r="U305" s="17" t="str">
        <f t="shared" si="37"/>
        <v>Brex Credit Card</v>
      </c>
      <c r="V305" s="19" t="str">
        <f>IF(ISBLANK($B305),"",IF(ISBLANK($K305),IF(_xlfn.XLOOKUP($W305,'Category Mapping'!$C:$C,'Category Mapping'!$B:$B)="Travel",_xlfn.XLOOKUP($P305,'Department Listing'!$A:$A,'Department Listing'!$M:$M),_xlfn.XLOOKUP($W305,'Category Mapping'!$C:$C,'Category Mapping'!$D:$D)),$K305))</f>
        <v>Cost of Goods Sold:COGS- Travel Expenses:</v>
      </c>
      <c r="W305" s="19" t="str">
        <f t="shared" si="38"/>
        <v>Ground Transportation</v>
      </c>
      <c r="X305" s="19" t="str">
        <f t="shared" si="39"/>
        <v>Cost of Goods Sold:COGS- Travel Expenses:Ground Transportation</v>
      </c>
      <c r="Y305" s="20" t="str">
        <f>IF(ISBLANK($M305),IFERROR(_xlfn.XLOOKUP($P305,'Department Listing'!$A:$A,'Department Listing'!$L:$L),""),$M305)</f>
        <v>200- Datadog:220- Engineering</v>
      </c>
      <c r="Z305" s="11">
        <f>IF(ISBLANK($B305),"",MATCH($X305,COA!$B:$B,0))</f>
        <v>124</v>
      </c>
    </row>
    <row r="306" spans="2:26" ht="15.75" customHeight="1" x14ac:dyDescent="0.25">
      <c r="B306" s="14">
        <v>46230</v>
      </c>
      <c r="C306" t="s">
        <v>480</v>
      </c>
      <c r="E306" s="23" t="s">
        <v>76</v>
      </c>
      <c r="F306" s="16">
        <v>50</v>
      </c>
      <c r="G306" s="10"/>
      <c r="H306" s="10"/>
      <c r="I306" s="9" t="s">
        <v>36</v>
      </c>
      <c r="J306" s="9"/>
      <c r="K306" s="9"/>
      <c r="L306" s="9" t="s">
        <v>78</v>
      </c>
      <c r="M306" s="9"/>
      <c r="N306" s="17"/>
      <c r="O306" s="17" t="str">
        <f t="shared" si="32"/>
        <v>Yadwinder Singh</v>
      </c>
      <c r="P306" s="17">
        <f>IFERROR(_xlfn.XLOOKUP(O306,'Department Listing'!$O$1:$O$395,'Department Listing'!$A$1:$A$395),IFERROR(_xlfn.XLOOKUP(O306,'Name Aliases'!$A$2:$A$1000,'Name Aliases'!$B$2:$B$1000),""))</f>
        <v>237</v>
      </c>
      <c r="Q306" s="18">
        <f t="shared" si="33"/>
        <v>46230</v>
      </c>
      <c r="R306" s="17" t="str">
        <f t="shared" si="34"/>
        <v>Food Vendor</v>
      </c>
      <c r="S306" s="19">
        <f t="shared" si="35"/>
        <v>50</v>
      </c>
      <c r="T306" s="17" t="str">
        <f t="shared" si="36"/>
        <v>TST*PIATTINI MASTERCARD-XXXXXX2KT0Z9-Yadwinder Singh</v>
      </c>
      <c r="U306" s="17" t="str">
        <f t="shared" si="37"/>
        <v>Brex Credit Card</v>
      </c>
      <c r="V306" s="19" t="str">
        <f>IF(ISBLANK($B306),"",IF(ISBLANK($K306),IF(_xlfn.XLOOKUP($W306,'Category Mapping'!$C:$C,'Category Mapping'!$B:$B)="Travel",_xlfn.XLOOKUP($P306,'Department Listing'!$A:$A,'Department Listing'!$M:$M),_xlfn.XLOOKUP($W306,'Category Mapping'!$C:$C,'Category Mapping'!$D:$D)),$K306))</f>
        <v>Cost of Goods Sold:COGS- Travel Expenses:</v>
      </c>
      <c r="W306" s="19" t="str">
        <f t="shared" si="38"/>
        <v>Meals &amp; Entertainment</v>
      </c>
      <c r="X306" s="19" t="str">
        <f t="shared" si="39"/>
        <v>Cost of Goods Sold:COGS- Travel Expenses:Meals &amp; Entertainment</v>
      </c>
      <c r="Y306" s="20" t="str">
        <f>IF(ISBLANK($M306),IFERROR(_xlfn.XLOOKUP($P306,'Department Listing'!$A:$A,'Department Listing'!$L:$L),""),$M306)</f>
        <v>200- Datadog:220- Engineering</v>
      </c>
      <c r="Z306" s="11">
        <f>IF(ISBLANK($B306),"",MATCH($X306,COA!$B:$B,0))</f>
        <v>126</v>
      </c>
    </row>
    <row r="307" spans="2:26" ht="15.75" customHeight="1" x14ac:dyDescent="0.25">
      <c r="B307" s="14">
        <v>46230</v>
      </c>
      <c r="C307" t="s">
        <v>481</v>
      </c>
      <c r="E307" s="23"/>
      <c r="F307" s="16">
        <v>3</v>
      </c>
      <c r="G307" s="10"/>
      <c r="H307" s="10"/>
      <c r="I307" s="9" t="s">
        <v>33</v>
      </c>
      <c r="J307" s="9"/>
      <c r="K307" s="9"/>
      <c r="L307" s="9" t="s">
        <v>149</v>
      </c>
      <c r="M307" s="9"/>
      <c r="N307" s="17"/>
      <c r="O307" s="17" t="str">
        <f t="shared" si="32"/>
        <v>Oliver McCaffrey</v>
      </c>
      <c r="P307" s="17">
        <f>IFERROR(_xlfn.XLOOKUP(O307,'Department Listing'!$O$1:$O$395,'Department Listing'!$A$1:$A$395),IFERROR(_xlfn.XLOOKUP(O307,'Name Aliases'!$A$2:$A$1000,'Name Aliases'!$B$2:$B$1000),""))</f>
        <v>181</v>
      </c>
      <c r="Q307" s="18">
        <f t="shared" si="33"/>
        <v>46230</v>
      </c>
      <c r="R307" s="17" t="str">
        <f t="shared" si="34"/>
        <v>Travel Vendor</v>
      </c>
      <c r="S307" s="19">
        <f t="shared" si="35"/>
        <v>3</v>
      </c>
      <c r="T307" s="17" t="str">
        <f t="shared" si="36"/>
        <v>MASSACHUSETTS PORT AUT MASTERCARD-XXXXXX1YMFVE-Oliver McCaffrey</v>
      </c>
      <c r="U307" s="17" t="str">
        <f t="shared" si="37"/>
        <v>Brex Credit Card</v>
      </c>
      <c r="V307" s="19" t="str">
        <f>IF(ISBLANK($B307),"",IF(ISBLANK($K307),IF(_xlfn.XLOOKUP($W307,'Category Mapping'!$C:$C,'Category Mapping'!$B:$B)="Travel",_xlfn.XLOOKUP($P307,'Department Listing'!$A:$A,'Department Listing'!$M:$M),_xlfn.XLOOKUP($W307,'Category Mapping'!$C:$C,'Category Mapping'!$D:$D)),$K307))</f>
        <v>Cost of Goods Sold:COGS- Travel Expenses:</v>
      </c>
      <c r="W307" s="19" t="str">
        <f t="shared" si="38"/>
        <v>Other Travel Expenses</v>
      </c>
      <c r="X307" s="19" t="str">
        <f t="shared" si="39"/>
        <v>Cost of Goods Sold:COGS- Travel Expenses:Other Travel Expenses</v>
      </c>
      <c r="Y307" s="20" t="str">
        <f>IF(ISBLANK($M307),IFERROR(_xlfn.XLOOKUP($P307,'Department Listing'!$A:$A,'Department Listing'!$L:$L),""),$M307)</f>
        <v>300- ServiceNow:310- Delivery</v>
      </c>
      <c r="Z307" s="11">
        <f>IF(ISBLANK($B307),"",MATCH($X307,COA!$B:$B,0))</f>
        <v>127</v>
      </c>
    </row>
    <row r="308" spans="2:26" ht="15.75" customHeight="1" x14ac:dyDescent="0.25">
      <c r="B308" s="14">
        <v>46231</v>
      </c>
      <c r="C308" t="s">
        <v>482</v>
      </c>
      <c r="E308" s="23" t="s">
        <v>64</v>
      </c>
      <c r="F308" s="16">
        <v>35.94</v>
      </c>
      <c r="G308" s="10"/>
      <c r="H308" s="10"/>
      <c r="I308" s="9" t="s">
        <v>74</v>
      </c>
      <c r="J308" s="9"/>
      <c r="K308" s="9"/>
      <c r="L308" s="9" t="s">
        <v>66</v>
      </c>
      <c r="M308" s="9"/>
      <c r="N308" s="17"/>
      <c r="O308" s="17" t="str">
        <f t="shared" si="32"/>
        <v>Nestor Abad Rodriguez</v>
      </c>
      <c r="P308" s="17">
        <f>IFERROR(_xlfn.XLOOKUP(O308,'Department Listing'!$O$1:$O$395,'Department Listing'!$A$1:$A$395),IFERROR(_xlfn.XLOOKUP(O308,'Name Aliases'!$A$2:$A$1000,'Name Aliases'!$B$2:$B$1000),""))</f>
        <v>190</v>
      </c>
      <c r="Q308" s="18">
        <f t="shared" si="33"/>
        <v>46231</v>
      </c>
      <c r="R308" s="17" t="str">
        <f t="shared" si="34"/>
        <v>Uber</v>
      </c>
      <c r="S308" s="19">
        <f t="shared" si="35"/>
        <v>35.94</v>
      </c>
      <c r="T308" s="17" t="str">
        <f t="shared" si="36"/>
        <v>UBER   *TRIP MASTERCARD-XXXXXXUXBJEF-Nestor Abad Rodriguez</v>
      </c>
      <c r="U308" s="17" t="str">
        <f t="shared" si="37"/>
        <v>Brex Credit Card</v>
      </c>
      <c r="V308" s="19" t="str">
        <f>IF(ISBLANK($B308),"",IF(ISBLANK($K308),IF(_xlfn.XLOOKUP($W308,'Category Mapping'!$C:$C,'Category Mapping'!$B:$B)="Travel",_xlfn.XLOOKUP($P308,'Department Listing'!$A:$A,'Department Listing'!$M:$M),_xlfn.XLOOKUP($W308,'Category Mapping'!$C:$C,'Category Mapping'!$D:$D)),$K308))</f>
        <v>Sales &amp; Marketing:Sales &amp; Marketing- Travel Expenses:</v>
      </c>
      <c r="W308" s="19" t="str">
        <f t="shared" si="38"/>
        <v>Ground Transportation</v>
      </c>
      <c r="X308" s="19" t="str">
        <f t="shared" si="39"/>
        <v>Sales &amp; Marketing:Sales &amp; Marketing- Travel Expenses:Ground Transportation</v>
      </c>
      <c r="Y308" s="20" t="str">
        <f>IF(ISBLANK($M308),IFERROR(_xlfn.XLOOKUP($P308,'Department Listing'!$A:$A,'Department Listing'!$L:$L),""),$M308)</f>
        <v>300- ServiceNow:330- Sales</v>
      </c>
      <c r="Z308" s="11">
        <f>IF(ISBLANK($B308),"",MATCH($X308,COA!$B:$B,0))</f>
        <v>200</v>
      </c>
    </row>
    <row r="309" spans="2:26" ht="15.75" customHeight="1" x14ac:dyDescent="0.25">
      <c r="B309" s="14">
        <v>46230</v>
      </c>
      <c r="C309" t="s">
        <v>483</v>
      </c>
      <c r="E309" s="23" t="s">
        <v>76</v>
      </c>
      <c r="F309" s="16">
        <v>14.61</v>
      </c>
      <c r="G309" s="10"/>
      <c r="H309" s="10"/>
      <c r="I309" s="9" t="s">
        <v>250</v>
      </c>
      <c r="J309" s="9"/>
      <c r="K309" s="9"/>
      <c r="L309" s="9" t="s">
        <v>78</v>
      </c>
      <c r="M309" s="9"/>
      <c r="N309" s="17"/>
      <c r="O309" s="17" t="str">
        <f t="shared" si="32"/>
        <v>Noah Zahrt</v>
      </c>
      <c r="P309" s="17">
        <f>IFERROR(_xlfn.XLOOKUP(O309,'Department Listing'!$O$1:$O$395,'Department Listing'!$A$1:$A$395),IFERROR(_xlfn.XLOOKUP(O309,'Name Aliases'!$A$2:$A$1000,'Name Aliases'!$B$2:$B$1000),""))</f>
        <v>228</v>
      </c>
      <c r="Q309" s="18">
        <f t="shared" si="33"/>
        <v>46230</v>
      </c>
      <c r="R309" s="17" t="str">
        <f t="shared" si="34"/>
        <v>Chipotle</v>
      </c>
      <c r="S309" s="19">
        <f t="shared" si="35"/>
        <v>14.61</v>
      </c>
      <c r="T309" s="17" t="str">
        <f t="shared" si="36"/>
        <v>CHIPOTLE MEX GR ONLINE MASTERCARD-XXXXXX1UTLSG-Noah Zahrt</v>
      </c>
      <c r="U309" s="17" t="str">
        <f t="shared" si="37"/>
        <v>Brex Credit Card</v>
      </c>
      <c r="V309" s="19" t="str">
        <f>IF(ISBLANK($B309),"",IF(ISBLANK($K309),IF(_xlfn.XLOOKUP($W309,'Category Mapping'!$C:$C,'Category Mapping'!$B:$B)="Travel",_xlfn.XLOOKUP($P309,'Department Listing'!$A:$A,'Department Listing'!$M:$M),_xlfn.XLOOKUP($W309,'Category Mapping'!$C:$C,'Category Mapping'!$D:$D)),$K309))</f>
        <v>Cost of Goods Sold:COGS- Travel Expenses:</v>
      </c>
      <c r="W309" s="19" t="str">
        <f t="shared" si="38"/>
        <v>Meals &amp; Entertainment</v>
      </c>
      <c r="X309" s="19" t="str">
        <f t="shared" si="39"/>
        <v>Cost of Goods Sold:COGS- Travel Expenses:Meals &amp; Entertainment</v>
      </c>
      <c r="Y309" s="20" t="str">
        <f>IF(ISBLANK($M309),IFERROR(_xlfn.XLOOKUP($P309,'Department Listing'!$A:$A,'Department Listing'!$L:$L),""),$M309)</f>
        <v>300- ServiceNow:320- Engineering</v>
      </c>
      <c r="Z309" s="11">
        <f>IF(ISBLANK($B309),"",MATCH($X309,COA!$B:$B,0))</f>
        <v>126</v>
      </c>
    </row>
    <row r="310" spans="2:26" ht="15.75" customHeight="1" x14ac:dyDescent="0.25">
      <c r="B310" s="14">
        <v>46230</v>
      </c>
      <c r="C310" t="s">
        <v>484</v>
      </c>
      <c r="E310" s="23" t="s">
        <v>76</v>
      </c>
      <c r="F310" s="16">
        <v>59.22</v>
      </c>
      <c r="G310" s="10"/>
      <c r="H310" s="10"/>
      <c r="I310" s="9" t="s">
        <v>77</v>
      </c>
      <c r="J310" s="9"/>
      <c r="K310" s="9"/>
      <c r="L310" s="9" t="s">
        <v>78</v>
      </c>
      <c r="M310" s="9"/>
      <c r="N310" s="17"/>
      <c r="O310" s="17" t="str">
        <f t="shared" si="32"/>
        <v>Nestor Abad Rodriguez</v>
      </c>
      <c r="P310" s="17">
        <f>IFERROR(_xlfn.XLOOKUP(O310,'Department Listing'!$O$1:$O$395,'Department Listing'!$A$1:$A$395),IFERROR(_xlfn.XLOOKUP(O310,'Name Aliases'!$A$2:$A$1000,'Name Aliases'!$B$2:$B$1000),""))</f>
        <v>190</v>
      </c>
      <c r="Q310" s="18">
        <f t="shared" si="33"/>
        <v>46230</v>
      </c>
      <c r="R310" s="17" t="str">
        <f t="shared" si="34"/>
        <v>Sweeney's</v>
      </c>
      <c r="S310" s="19">
        <f t="shared" si="35"/>
        <v>59.22</v>
      </c>
      <c r="T310" s="17" t="str">
        <f t="shared" si="36"/>
        <v>TST*SWEENEYS MASTERCARD-XXXXXXEWSAOO-Nestor Abad Rodriguez</v>
      </c>
      <c r="U310" s="17" t="str">
        <f t="shared" si="37"/>
        <v>Brex Credit Card</v>
      </c>
      <c r="V310" s="19" t="str">
        <f>IF(ISBLANK($B310),"",IF(ISBLANK($K310),IF(_xlfn.XLOOKUP($W310,'Category Mapping'!$C:$C,'Category Mapping'!$B:$B)="Travel",_xlfn.XLOOKUP($P310,'Department Listing'!$A:$A,'Department Listing'!$M:$M),_xlfn.XLOOKUP($W310,'Category Mapping'!$C:$C,'Category Mapping'!$D:$D)),$K310))</f>
        <v>Sales &amp; Marketing:Sales &amp; Marketing- Travel Expenses:</v>
      </c>
      <c r="W310" s="19" t="str">
        <f t="shared" si="38"/>
        <v>Meals &amp; Entertainment</v>
      </c>
      <c r="X310" s="19" t="str">
        <f t="shared" si="39"/>
        <v>Sales &amp; Marketing:Sales &amp; Marketing- Travel Expenses:Meals &amp; Entertainment</v>
      </c>
      <c r="Y310" s="20" t="str">
        <f>IF(ISBLANK($M310),IFERROR(_xlfn.XLOOKUP($P310,'Department Listing'!$A:$A,'Department Listing'!$L:$L),""),$M310)</f>
        <v>300- ServiceNow:330- Sales</v>
      </c>
      <c r="Z310" s="11">
        <f>IF(ISBLANK($B310),"",MATCH($X310,COA!$B:$B,0))</f>
        <v>202</v>
      </c>
    </row>
    <row r="311" spans="2:26" ht="15.75" customHeight="1" x14ac:dyDescent="0.25">
      <c r="B311" s="14">
        <v>46230</v>
      </c>
      <c r="C311" t="s">
        <v>485</v>
      </c>
      <c r="E311" s="23"/>
      <c r="F311" s="16">
        <v>50</v>
      </c>
      <c r="G311" s="10"/>
      <c r="H311" s="10"/>
      <c r="I311" s="9" t="s">
        <v>36</v>
      </c>
      <c r="J311" s="9"/>
      <c r="K311" s="9"/>
      <c r="L311" s="9" t="s">
        <v>78</v>
      </c>
      <c r="M311" s="9"/>
      <c r="N311" s="17"/>
      <c r="O311" s="17" t="str">
        <f t="shared" si="32"/>
        <v>Jeff Mu</v>
      </c>
      <c r="P311" s="17">
        <f>IFERROR(_xlfn.XLOOKUP(O311,'Department Listing'!$O$1:$O$395,'Department Listing'!$A$1:$A$395),IFERROR(_xlfn.XLOOKUP(O311,'Name Aliases'!$A$2:$A$1000,'Name Aliases'!$B$2:$B$1000),""))</f>
        <v>4</v>
      </c>
      <c r="Q311" s="18">
        <f t="shared" si="33"/>
        <v>46230</v>
      </c>
      <c r="R311" s="17" t="str">
        <f t="shared" si="34"/>
        <v>Food Vendor</v>
      </c>
      <c r="S311" s="19">
        <f t="shared" si="35"/>
        <v>50</v>
      </c>
      <c r="T311" s="17" t="str">
        <f t="shared" si="36"/>
        <v>Grill 23  Bar MASTERCARD-XXXXXX8ZZ2FR-Jeff Mu</v>
      </c>
      <c r="U311" s="17" t="str">
        <f t="shared" si="37"/>
        <v>Brex Credit Card</v>
      </c>
      <c r="V311" s="19" t="str">
        <f>IF(ISBLANK($B311),"",IF(ISBLANK($K311),IF(_xlfn.XLOOKUP($W311,'Category Mapping'!$C:$C,'Category Mapping'!$B:$B)="Travel",_xlfn.XLOOKUP($P311,'Department Listing'!$A:$A,'Department Listing'!$M:$M),_xlfn.XLOOKUP($W311,'Category Mapping'!$C:$C,'Category Mapping'!$D:$D)),$K311))</f>
        <v>Cost of Goods Sold:COGS- Travel Expenses:</v>
      </c>
      <c r="W311" s="19" t="str">
        <f t="shared" si="38"/>
        <v>Meals &amp; Entertainment</v>
      </c>
      <c r="X311" s="19" t="str">
        <f t="shared" si="39"/>
        <v>Cost of Goods Sold:COGS- Travel Expenses:Meals &amp; Entertainment</v>
      </c>
      <c r="Y311" s="20" t="str">
        <f>IF(ISBLANK($M311),IFERROR(_xlfn.XLOOKUP($P311,'Department Listing'!$A:$A,'Department Listing'!$L:$L),""),$M311)</f>
        <v>300- ServiceNow:320- Engineering</v>
      </c>
      <c r="Z311" s="11">
        <f>IF(ISBLANK($B311),"",MATCH($X311,COA!$B:$B,0))</f>
        <v>126</v>
      </c>
    </row>
    <row r="312" spans="2:26" ht="15.75" customHeight="1" x14ac:dyDescent="0.25">
      <c r="B312" s="14">
        <v>46231</v>
      </c>
      <c r="C312" t="s">
        <v>486</v>
      </c>
      <c r="E312" s="23" t="s">
        <v>64</v>
      </c>
      <c r="F312" s="16">
        <v>47.95</v>
      </c>
      <c r="G312" s="10"/>
      <c r="H312" s="10"/>
      <c r="I312" s="9" t="s">
        <v>74</v>
      </c>
      <c r="J312" s="9"/>
      <c r="K312" s="9"/>
      <c r="L312" s="9" t="s">
        <v>66</v>
      </c>
      <c r="M312" s="9"/>
      <c r="N312" s="17"/>
      <c r="O312" s="17" t="str">
        <f t="shared" si="32"/>
        <v>Gary Passaglia</v>
      </c>
      <c r="P312" s="17">
        <f>IFERROR(_xlfn.XLOOKUP(O312,'Department Listing'!$O$1:$O$395,'Department Listing'!$A$1:$A$395),IFERROR(_xlfn.XLOOKUP(O312,'Name Aliases'!$A$2:$A$1000,'Name Aliases'!$B$2:$B$1000),""))</f>
        <v>148</v>
      </c>
      <c r="Q312" s="18">
        <f t="shared" si="33"/>
        <v>46231</v>
      </c>
      <c r="R312" s="17" t="str">
        <f t="shared" si="34"/>
        <v>Uber</v>
      </c>
      <c r="S312" s="19">
        <f t="shared" si="35"/>
        <v>47.95</v>
      </c>
      <c r="T312" s="17" t="str">
        <f t="shared" si="36"/>
        <v>UBER   *TRIP MASTERCARD-XXXXXX8QPW57-Gary Passaglia</v>
      </c>
      <c r="U312" s="17" t="str">
        <f t="shared" si="37"/>
        <v>Brex Credit Card</v>
      </c>
      <c r="V312" s="19" t="str">
        <f>IF(ISBLANK($B312),"",IF(ISBLANK($K312),IF(_xlfn.XLOOKUP($W312,'Category Mapping'!$C:$C,'Category Mapping'!$B:$B)="Travel",_xlfn.XLOOKUP($P312,'Department Listing'!$A:$A,'Department Listing'!$M:$M),_xlfn.XLOOKUP($W312,'Category Mapping'!$C:$C,'Category Mapping'!$D:$D)),$K312))</f>
        <v>Sales &amp; Marketing:Sales &amp; Marketing- Travel Expenses:</v>
      </c>
      <c r="W312" s="19" t="str">
        <f t="shared" si="38"/>
        <v>Ground Transportation</v>
      </c>
      <c r="X312" s="19" t="str">
        <f t="shared" si="39"/>
        <v>Sales &amp; Marketing:Sales &amp; Marketing- Travel Expenses:Ground Transportation</v>
      </c>
      <c r="Y312" s="20" t="str">
        <f>IF(ISBLANK($M312),IFERROR(_xlfn.XLOOKUP($P312,'Department Listing'!$A:$A,'Department Listing'!$L:$L),""),$M312)</f>
        <v>300- ServiceNow:330- Sales</v>
      </c>
      <c r="Z312" s="11">
        <f>IF(ISBLANK($B312),"",MATCH($X312,COA!$B:$B,0))</f>
        <v>200</v>
      </c>
    </row>
    <row r="313" spans="2:26" ht="15.75" customHeight="1" x14ac:dyDescent="0.25">
      <c r="B313" s="14">
        <v>46231</v>
      </c>
      <c r="C313" t="s">
        <v>487</v>
      </c>
      <c r="E313" s="23" t="s">
        <v>64</v>
      </c>
      <c r="F313" s="16">
        <v>31.3</v>
      </c>
      <c r="G313" s="10"/>
      <c r="H313" s="10"/>
      <c r="I313" s="9" t="s">
        <v>74</v>
      </c>
      <c r="J313" s="9"/>
      <c r="K313" s="9"/>
      <c r="L313" s="9" t="s">
        <v>66</v>
      </c>
      <c r="M313" s="9"/>
      <c r="N313" s="17"/>
      <c r="O313" s="17" t="str">
        <f t="shared" si="32"/>
        <v>Lauren Lechleitner</v>
      </c>
      <c r="P313" s="17">
        <f>IFERROR(_xlfn.XLOOKUP(O313,'Department Listing'!$O$1:$O$395,'Department Listing'!$A$1:$A$395),IFERROR(_xlfn.XLOOKUP(O313,'Name Aliases'!$A$2:$A$1000,'Name Aliases'!$B$2:$B$1000),""))</f>
        <v>160</v>
      </c>
      <c r="Q313" s="18">
        <f t="shared" si="33"/>
        <v>46231</v>
      </c>
      <c r="R313" s="17" t="str">
        <f t="shared" si="34"/>
        <v>Uber</v>
      </c>
      <c r="S313" s="19">
        <f t="shared" si="35"/>
        <v>31.3</v>
      </c>
      <c r="T313" s="17" t="str">
        <f t="shared" si="36"/>
        <v>UBER   *TRIP MASTERCARD-XXXXXXYR5HRZ-Lauren Lechleitner</v>
      </c>
      <c r="U313" s="17" t="str">
        <f t="shared" si="37"/>
        <v>Brex Credit Card</v>
      </c>
      <c r="V313" s="19" t="str">
        <f>IF(ISBLANK($B313),"",IF(ISBLANK($K313),IF(_xlfn.XLOOKUP($W313,'Category Mapping'!$C:$C,'Category Mapping'!$B:$B)="Travel",_xlfn.XLOOKUP($P313,'Department Listing'!$A:$A,'Department Listing'!$M:$M),_xlfn.XLOOKUP($W313,'Category Mapping'!$C:$C,'Category Mapping'!$D:$D)),$K313))</f>
        <v>General &amp; Administrative:G&amp;A- Travel Expenses:</v>
      </c>
      <c r="W313" s="19" t="str">
        <f t="shared" si="38"/>
        <v>Ground Transportation</v>
      </c>
      <c r="X313" s="19" t="str">
        <f t="shared" si="39"/>
        <v>General &amp; Administrative:G&amp;A- Travel Expenses:Ground Transportation</v>
      </c>
      <c r="Y313" s="20" t="str">
        <f>IF(ISBLANK($M313),IFERROR(_xlfn.XLOOKUP($P313,'Department Listing'!$A:$A,'Department Listing'!$L:$L),""),$M313)</f>
        <v>100- Operations:110- G&amp;A</v>
      </c>
      <c r="Z313" s="11">
        <f>IF(ISBLANK($B313),"",MATCH($X313,COA!$B:$B,0))</f>
        <v>149</v>
      </c>
    </row>
    <row r="314" spans="2:26" ht="15.75" customHeight="1" x14ac:dyDescent="0.25">
      <c r="B314" s="14">
        <v>46230</v>
      </c>
      <c r="C314" t="s">
        <v>489</v>
      </c>
      <c r="E314" s="23" t="s">
        <v>64</v>
      </c>
      <c r="F314" s="16">
        <v>38.119999999999997</v>
      </c>
      <c r="G314" s="10"/>
      <c r="H314" s="10"/>
      <c r="I314" s="9" t="s">
        <v>74</v>
      </c>
      <c r="J314" s="9"/>
      <c r="K314" s="9"/>
      <c r="L314" s="9" t="s">
        <v>66</v>
      </c>
      <c r="M314" s="9"/>
      <c r="N314" s="17"/>
      <c r="O314" s="17" t="str">
        <f t="shared" si="32"/>
        <v>Anthony Nguyen</v>
      </c>
      <c r="P314" s="17">
        <f>IFERROR(_xlfn.XLOOKUP(O314,'Department Listing'!$O$1:$O$395,'Department Listing'!$A$1:$A$395),IFERROR(_xlfn.XLOOKUP(O314,'Name Aliases'!$A$2:$A$1000,'Name Aliases'!$B$2:$B$1000),""))</f>
        <v>285</v>
      </c>
      <c r="Q314" s="18">
        <f t="shared" si="33"/>
        <v>46230</v>
      </c>
      <c r="R314" s="17" t="str">
        <f t="shared" si="34"/>
        <v>Uber</v>
      </c>
      <c r="S314" s="19">
        <f t="shared" si="35"/>
        <v>38.119999999999997</v>
      </c>
      <c r="T314" s="17" t="str">
        <f t="shared" si="36"/>
        <v>UBER   *EATS MASTERCARD-XXXXXXEOE7VA-Anthony Nguyen</v>
      </c>
      <c r="U314" s="17" t="str">
        <f t="shared" si="37"/>
        <v>Brex Credit Card</v>
      </c>
      <c r="V314" s="19" t="str">
        <f>IF(ISBLANK($B314),"",IF(ISBLANK($K314),IF(_xlfn.XLOOKUP($W314,'Category Mapping'!$C:$C,'Category Mapping'!$B:$B)="Travel",_xlfn.XLOOKUP($P314,'Department Listing'!$A:$A,'Department Listing'!$M:$M),_xlfn.XLOOKUP($W314,'Category Mapping'!$C:$C,'Category Mapping'!$D:$D)),$K314))</f>
        <v>Cost of Goods Sold:COGS- Travel Expenses:</v>
      </c>
      <c r="W314" s="19" t="str">
        <f t="shared" si="38"/>
        <v>Ground Transportation</v>
      </c>
      <c r="X314" s="19" t="str">
        <f t="shared" si="39"/>
        <v>Cost of Goods Sold:COGS- Travel Expenses:Ground Transportation</v>
      </c>
      <c r="Y314" s="20" t="str">
        <f>IF(ISBLANK($M314),IFERROR(_xlfn.XLOOKUP($P314,'Department Listing'!$A:$A,'Department Listing'!$L:$L),""),$M314)</f>
        <v>200- Datadog:220- Engineering</v>
      </c>
      <c r="Z314" s="11">
        <f>IF(ISBLANK($B314),"",MATCH($X314,COA!$B:$B,0))</f>
        <v>124</v>
      </c>
    </row>
    <row r="315" spans="2:26" ht="15.75" customHeight="1" x14ac:dyDescent="0.25">
      <c r="B315" s="14">
        <v>46231</v>
      </c>
      <c r="C315" t="s">
        <v>490</v>
      </c>
      <c r="E315" s="23" t="s">
        <v>64</v>
      </c>
      <c r="F315" s="16">
        <v>98.38</v>
      </c>
      <c r="G315" s="10"/>
      <c r="H315" s="10"/>
      <c r="I315" s="9" t="s">
        <v>92</v>
      </c>
      <c r="J315" s="9"/>
      <c r="K315" s="9"/>
      <c r="L315" s="9" t="s">
        <v>66</v>
      </c>
      <c r="M315" s="9"/>
      <c r="N315" s="17"/>
      <c r="O315" s="17" t="str">
        <f t="shared" si="32"/>
        <v>Tyler Grimshaw</v>
      </c>
      <c r="P315" s="17">
        <f>IFERROR(_xlfn.XLOOKUP(O315,'Department Listing'!$O$1:$O$395,'Department Listing'!$A$1:$A$395),IFERROR(_xlfn.XLOOKUP(O315,'Name Aliases'!$A$2:$A$1000,'Name Aliases'!$B$2:$B$1000),""))</f>
        <v>264</v>
      </c>
      <c r="Q315" s="18">
        <f t="shared" si="33"/>
        <v>46231</v>
      </c>
      <c r="R315" s="17" t="str">
        <f t="shared" si="34"/>
        <v>Lyft</v>
      </c>
      <c r="S315" s="19">
        <f t="shared" si="35"/>
        <v>98.38</v>
      </c>
      <c r="T315" s="17" t="str">
        <f t="shared" si="36"/>
        <v>LYFT   *SCHD AIR 07-27 MASTERCARD-XXXXXXQ756LD-Tyler Grimshaw</v>
      </c>
      <c r="U315" s="17" t="str">
        <f t="shared" si="37"/>
        <v>Brex Credit Card</v>
      </c>
      <c r="V315" s="19" t="str">
        <f>IF(ISBLANK($B315),"",IF(ISBLANK($K315),IF(_xlfn.XLOOKUP($W315,'Category Mapping'!$C:$C,'Category Mapping'!$B:$B)="Travel",_xlfn.XLOOKUP($P315,'Department Listing'!$A:$A,'Department Listing'!$M:$M),_xlfn.XLOOKUP($W315,'Category Mapping'!$C:$C,'Category Mapping'!$D:$D)),$K315))</f>
        <v>Sales &amp; Marketing:Sales &amp; Marketing- Travel Expenses:</v>
      </c>
      <c r="W315" s="19" t="str">
        <f t="shared" si="38"/>
        <v>Ground Transportation</v>
      </c>
      <c r="X315" s="19" t="str">
        <f t="shared" si="39"/>
        <v>Sales &amp; Marketing:Sales &amp; Marketing- Travel Expenses:Ground Transportation</v>
      </c>
      <c r="Y315" s="20" t="str">
        <f>IF(ISBLANK($M315),IFERROR(_xlfn.XLOOKUP($P315,'Department Listing'!$A:$A,'Department Listing'!$L:$L),""),$M315)</f>
        <v>200- Datadog:230- Sales</v>
      </c>
      <c r="Z315" s="11">
        <f>IF(ISBLANK($B315),"",MATCH($X315,COA!$B:$B,0))</f>
        <v>200</v>
      </c>
    </row>
    <row r="316" spans="2:26" ht="15.75" customHeight="1" x14ac:dyDescent="0.25">
      <c r="B316" s="14">
        <v>46231</v>
      </c>
      <c r="C316" t="s">
        <v>491</v>
      </c>
      <c r="E316" s="23" t="s">
        <v>76</v>
      </c>
      <c r="F316" s="16">
        <v>12.19</v>
      </c>
      <c r="G316" s="10"/>
      <c r="H316" s="10"/>
      <c r="I316" s="9" t="s">
        <v>263</v>
      </c>
      <c r="J316" s="9"/>
      <c r="K316" s="9"/>
      <c r="L316" s="9" t="s">
        <v>78</v>
      </c>
      <c r="M316" s="9"/>
      <c r="N316" s="17"/>
      <c r="O316" s="17" t="str">
        <f t="shared" si="32"/>
        <v>Daniel Levin</v>
      </c>
      <c r="P316" s="17">
        <f>IFERROR(_xlfn.XLOOKUP(O316,'Department Listing'!$O$1:$O$395,'Department Listing'!$A$1:$A$395),IFERROR(_xlfn.XLOOKUP(O316,'Name Aliases'!$A$2:$A$1000,'Name Aliases'!$B$2:$B$1000),""))</f>
        <v>291</v>
      </c>
      <c r="Q316" s="18">
        <f t="shared" si="33"/>
        <v>46231</v>
      </c>
      <c r="R316" s="17" t="str">
        <f t="shared" si="34"/>
        <v>Raising Canes</v>
      </c>
      <c r="S316" s="19">
        <f t="shared" si="35"/>
        <v>12.19</v>
      </c>
      <c r="T316" s="17" t="str">
        <f t="shared" si="36"/>
        <v>RAISING CANES 0676 MASTERCARD-XXXXXX118P8Y-Daniel Levin</v>
      </c>
      <c r="U316" s="17" t="str">
        <f t="shared" si="37"/>
        <v>Brex Credit Card</v>
      </c>
      <c r="V316" s="19" t="str">
        <f>IF(ISBLANK($B316),"",IF(ISBLANK($K316),IF(_xlfn.XLOOKUP($W316,'Category Mapping'!$C:$C,'Category Mapping'!$B:$B)="Travel",_xlfn.XLOOKUP($P316,'Department Listing'!$A:$A,'Department Listing'!$M:$M),_xlfn.XLOOKUP($W316,'Category Mapping'!$C:$C,'Category Mapping'!$D:$D)),$K316))</f>
        <v>General &amp; Administrative:G&amp;A- Travel Expenses:</v>
      </c>
      <c r="W316" s="19" t="str">
        <f t="shared" si="38"/>
        <v>Meals &amp; Entertainment</v>
      </c>
      <c r="X316" s="19" t="str">
        <f t="shared" si="39"/>
        <v>General &amp; Administrative:G&amp;A- Travel Expenses:Meals &amp; Entertainment</v>
      </c>
      <c r="Y316" s="20" t="str">
        <f>IF(ISBLANK($M316),IFERROR(_xlfn.XLOOKUP($P316,'Department Listing'!$A:$A,'Department Listing'!$L:$L),""),$M316)</f>
        <v>300- ServiceNow:320- Engineering</v>
      </c>
      <c r="Z316" s="11">
        <f>IF(ISBLANK($B316),"",MATCH($X316,COA!$B:$B,0))</f>
        <v>151</v>
      </c>
    </row>
    <row r="317" spans="2:26" ht="15.75" customHeight="1" x14ac:dyDescent="0.25">
      <c r="B317" s="14">
        <v>46230</v>
      </c>
      <c r="C317" t="s">
        <v>492</v>
      </c>
      <c r="E317" s="23"/>
      <c r="F317" s="16">
        <v>4.29</v>
      </c>
      <c r="G317" s="10"/>
      <c r="H317" s="10"/>
      <c r="I317" s="9" t="s">
        <v>493</v>
      </c>
      <c r="J317" s="9"/>
      <c r="K317" s="9"/>
      <c r="L317" s="9" t="s">
        <v>149</v>
      </c>
      <c r="M317" s="9"/>
      <c r="N317" s="17"/>
      <c r="O317" s="17" t="str">
        <f t="shared" si="32"/>
        <v>Toni Manning</v>
      </c>
      <c r="P317" s="17">
        <f>IFERROR(_xlfn.XLOOKUP(O317,'Department Listing'!$O$1:$O$395,'Department Listing'!$A$1:$A$395),IFERROR(_xlfn.XLOOKUP(O317,'Name Aliases'!$A$2:$A$1000,'Name Aliases'!$B$2:$B$1000),""))</f>
        <v>121</v>
      </c>
      <c r="Q317" s="18">
        <f t="shared" si="33"/>
        <v>46230</v>
      </c>
      <c r="R317" s="17" t="str">
        <f t="shared" si="34"/>
        <v>Walgreens</v>
      </c>
      <c r="S317" s="19">
        <f t="shared" si="35"/>
        <v>4.29</v>
      </c>
      <c r="T317" s="17" t="str">
        <f t="shared" si="36"/>
        <v>WALGREENS #2933 MASTERCARD-XXXXXX49FVIO-Toni Manning</v>
      </c>
      <c r="U317" s="17" t="str">
        <f t="shared" si="37"/>
        <v>Brex Credit Card</v>
      </c>
      <c r="V317" s="19" t="str">
        <f>IF(ISBLANK($B317),"",IF(ISBLANK($K317),IF(_xlfn.XLOOKUP($W317,'Category Mapping'!$C:$C,'Category Mapping'!$B:$B)="Travel",_xlfn.XLOOKUP($P317,'Department Listing'!$A:$A,'Department Listing'!$M:$M),_xlfn.XLOOKUP($W317,'Category Mapping'!$C:$C,'Category Mapping'!$D:$D)),$K317))</f>
        <v>Sales &amp; Marketing:Sales &amp; Marketing- Travel Expenses:</v>
      </c>
      <c r="W317" s="19" t="str">
        <f t="shared" si="38"/>
        <v>Other Travel Expenses</v>
      </c>
      <c r="X317" s="19" t="str">
        <f t="shared" si="39"/>
        <v>Sales &amp; Marketing:Sales &amp; Marketing- Travel Expenses:Other Travel Expenses</v>
      </c>
      <c r="Y317" s="20" t="str">
        <f>IF(ISBLANK($M317),IFERROR(_xlfn.XLOOKUP($P317,'Department Listing'!$A:$A,'Department Listing'!$L:$L),""),$M317)</f>
        <v>100- Operations:120- Marketing</v>
      </c>
      <c r="Z317" s="11">
        <f>IF(ISBLANK($B317),"",MATCH($X317,COA!$B:$B,0))</f>
        <v>203</v>
      </c>
    </row>
    <row r="318" spans="2:26" ht="15.75" customHeight="1" x14ac:dyDescent="0.25">
      <c r="B318" s="14">
        <v>46230</v>
      </c>
      <c r="C318" t="s">
        <v>494</v>
      </c>
      <c r="E318" s="23" t="s">
        <v>64</v>
      </c>
      <c r="F318" s="16">
        <v>34</v>
      </c>
      <c r="G318" s="10"/>
      <c r="H318" s="10"/>
      <c r="I318" s="9" t="s">
        <v>74</v>
      </c>
      <c r="J318" s="9"/>
      <c r="K318" s="9"/>
      <c r="L318" s="9" t="s">
        <v>66</v>
      </c>
      <c r="M318" s="9"/>
      <c r="N318" s="17"/>
      <c r="O318" s="17" t="str">
        <f t="shared" si="32"/>
        <v>Mitchell Deaner</v>
      </c>
      <c r="P318" s="17">
        <f>IFERROR(_xlfn.XLOOKUP(O318,'Department Listing'!$O$1:$O$395,'Department Listing'!$A$1:$A$395),IFERROR(_xlfn.XLOOKUP(O318,'Name Aliases'!$A$2:$A$1000,'Name Aliases'!$B$2:$B$1000),""))</f>
        <v>26</v>
      </c>
      <c r="Q318" s="18">
        <f t="shared" si="33"/>
        <v>46230</v>
      </c>
      <c r="R318" s="17" t="str">
        <f t="shared" si="34"/>
        <v>Uber</v>
      </c>
      <c r="S318" s="19">
        <f t="shared" si="35"/>
        <v>34</v>
      </c>
      <c r="T318" s="17" t="str">
        <f t="shared" si="36"/>
        <v>UBER   *EATS MASTERCARD-XXXXXXAJFANH-Mitchell Deaner</v>
      </c>
      <c r="U318" s="17" t="str">
        <f t="shared" si="37"/>
        <v>Brex Credit Card</v>
      </c>
      <c r="V318" s="19" t="str">
        <f>IF(ISBLANK($B318),"",IF(ISBLANK($K318),IF(_xlfn.XLOOKUP($W318,'Category Mapping'!$C:$C,'Category Mapping'!$B:$B)="Travel",_xlfn.XLOOKUP($P318,'Department Listing'!$A:$A,'Department Listing'!$M:$M),_xlfn.XLOOKUP($W318,'Category Mapping'!$C:$C,'Category Mapping'!$D:$D)),$K318))</f>
        <v>Cost of Goods Sold:COGS- Travel Expenses:</v>
      </c>
      <c r="W318" s="19" t="str">
        <f t="shared" si="38"/>
        <v>Ground Transportation</v>
      </c>
      <c r="X318" s="19" t="str">
        <f t="shared" si="39"/>
        <v>Cost of Goods Sold:COGS- Travel Expenses:Ground Transportation</v>
      </c>
      <c r="Y318" s="20" t="str">
        <f>IF(ISBLANK($M318),IFERROR(_xlfn.XLOOKUP($P318,'Department Listing'!$A:$A,'Department Listing'!$L:$L),""),$M318)</f>
        <v>300- ServiceNow:320- Engineering</v>
      </c>
      <c r="Z318" s="11">
        <f>IF(ISBLANK($B318),"",MATCH($X318,COA!$B:$B,0))</f>
        <v>124</v>
      </c>
    </row>
    <row r="319" spans="2:26" ht="15.75" customHeight="1" x14ac:dyDescent="0.25">
      <c r="B319" s="14">
        <v>46231</v>
      </c>
      <c r="C319" t="s">
        <v>495</v>
      </c>
      <c r="E319" s="23"/>
      <c r="F319" s="16">
        <v>24.96</v>
      </c>
      <c r="G319" s="10"/>
      <c r="H319" s="10"/>
      <c r="I319" s="9" t="s">
        <v>36</v>
      </c>
      <c r="J319" s="9"/>
      <c r="K319" s="9"/>
      <c r="L319" s="9" t="s">
        <v>78</v>
      </c>
      <c r="M319" s="9"/>
      <c r="N319" s="17"/>
      <c r="O319" s="17" t="str">
        <f t="shared" si="32"/>
        <v>Nicholas Stauffer</v>
      </c>
      <c r="P319" s="17">
        <f>IFERROR(_xlfn.XLOOKUP(O319,'Department Listing'!$O$1:$O$395,'Department Listing'!$A$1:$A$395),IFERROR(_xlfn.XLOOKUP(O319,'Name Aliases'!$A$2:$A$1000,'Name Aliases'!$B$2:$B$1000),""))</f>
        <v>243</v>
      </c>
      <c r="Q319" s="18">
        <f t="shared" si="33"/>
        <v>46231</v>
      </c>
      <c r="R319" s="17" t="str">
        <f t="shared" si="34"/>
        <v>Food Vendor</v>
      </c>
      <c r="S319" s="19">
        <f t="shared" si="35"/>
        <v>24.96</v>
      </c>
      <c r="T319" s="17" t="str">
        <f t="shared" si="36"/>
        <v>RED ROCK BREWING SLC C MASTERCARD-XXXXXX1GVB79-Nicholas Stauffer</v>
      </c>
      <c r="U319" s="17" t="str">
        <f t="shared" si="37"/>
        <v>Brex Credit Card</v>
      </c>
      <c r="V319" s="19" t="str">
        <f>IF(ISBLANK($B319),"",IF(ISBLANK($K319),IF(_xlfn.XLOOKUP($W319,'Category Mapping'!$C:$C,'Category Mapping'!$B:$B)="Travel",_xlfn.XLOOKUP($P319,'Department Listing'!$A:$A,'Department Listing'!$M:$M),_xlfn.XLOOKUP($W319,'Category Mapping'!$C:$C,'Category Mapping'!$D:$D)),$K319))</f>
        <v>Cost of Goods Sold:COGS- Travel Expenses:</v>
      </c>
      <c r="W319" s="19" t="str">
        <f t="shared" si="38"/>
        <v>Meals &amp; Entertainment</v>
      </c>
      <c r="X319" s="19" t="str">
        <f t="shared" si="39"/>
        <v>Cost of Goods Sold:COGS- Travel Expenses:Meals &amp; Entertainment</v>
      </c>
      <c r="Y319" s="20" t="str">
        <f>IF(ISBLANK($M319),IFERROR(_xlfn.XLOOKUP($P319,'Department Listing'!$A:$A,'Department Listing'!$L:$L),""),$M319)</f>
        <v>300- ServiceNow:320- Engineering</v>
      </c>
      <c r="Z319" s="11">
        <f>IF(ISBLANK($B319),"",MATCH($X319,COA!$B:$B,0))</f>
        <v>126</v>
      </c>
    </row>
    <row r="320" spans="2:26" ht="15.75" customHeight="1" x14ac:dyDescent="0.25">
      <c r="B320" s="14">
        <v>46230</v>
      </c>
      <c r="C320" t="s">
        <v>496</v>
      </c>
      <c r="E320" s="23" t="s">
        <v>64</v>
      </c>
      <c r="F320" s="16">
        <v>32.549999999999997</v>
      </c>
      <c r="G320" s="10"/>
      <c r="H320" s="10"/>
      <c r="I320" s="9" t="s">
        <v>268</v>
      </c>
      <c r="J320" s="9"/>
      <c r="K320" s="9"/>
      <c r="L320" s="9" t="s">
        <v>66</v>
      </c>
      <c r="M320" s="9"/>
      <c r="N320" s="17"/>
      <c r="O320" s="17" t="str">
        <f t="shared" si="32"/>
        <v>Toni Manning</v>
      </c>
      <c r="P320" s="17">
        <f>IFERROR(_xlfn.XLOOKUP(O320,'Department Listing'!$O$1:$O$395,'Department Listing'!$A$1:$A$395),IFERROR(_xlfn.XLOOKUP(O320,'Name Aliases'!$A$2:$A$1000,'Name Aliases'!$B$2:$B$1000),""))</f>
        <v>121</v>
      </c>
      <c r="Q320" s="18">
        <f t="shared" si="33"/>
        <v>46230</v>
      </c>
      <c r="R320" s="17" t="str">
        <f t="shared" si="34"/>
        <v>Curb</v>
      </c>
      <c r="S320" s="19">
        <f t="shared" si="35"/>
        <v>32.549999999999997</v>
      </c>
      <c r="T320" s="17" t="str">
        <f t="shared" si="36"/>
        <v>CURB BOS TAXI MASTERCARD-XXXXXXTAOT0W-Toni Manning</v>
      </c>
      <c r="U320" s="17" t="str">
        <f t="shared" si="37"/>
        <v>Brex Credit Card</v>
      </c>
      <c r="V320" s="19" t="str">
        <f>IF(ISBLANK($B320),"",IF(ISBLANK($K320),IF(_xlfn.XLOOKUP($W320,'Category Mapping'!$C:$C,'Category Mapping'!$B:$B)="Travel",_xlfn.XLOOKUP($P320,'Department Listing'!$A:$A,'Department Listing'!$M:$M),_xlfn.XLOOKUP($W320,'Category Mapping'!$C:$C,'Category Mapping'!$D:$D)),$K320))</f>
        <v>Sales &amp; Marketing:Sales &amp; Marketing- Travel Expenses:</v>
      </c>
      <c r="W320" s="19" t="str">
        <f t="shared" si="38"/>
        <v>Ground Transportation</v>
      </c>
      <c r="X320" s="19" t="str">
        <f t="shared" si="39"/>
        <v>Sales &amp; Marketing:Sales &amp; Marketing- Travel Expenses:Ground Transportation</v>
      </c>
      <c r="Y320" s="20" t="str">
        <f>IF(ISBLANK($M320),IFERROR(_xlfn.XLOOKUP($P320,'Department Listing'!$A:$A,'Department Listing'!$L:$L),""),$M320)</f>
        <v>100- Operations:120- Marketing</v>
      </c>
      <c r="Z320" s="11">
        <f>IF(ISBLANK($B320),"",MATCH($X320,COA!$B:$B,0))</f>
        <v>200</v>
      </c>
    </row>
    <row r="321" spans="2:26" ht="15.75" customHeight="1" x14ac:dyDescent="0.25">
      <c r="B321" s="14">
        <v>46230</v>
      </c>
      <c r="C321" t="s">
        <v>497</v>
      </c>
      <c r="E321" s="23"/>
      <c r="F321" s="16">
        <v>26.93</v>
      </c>
      <c r="G321" s="10"/>
      <c r="H321" s="10"/>
      <c r="I321" s="9" t="s">
        <v>498</v>
      </c>
      <c r="J321" s="9"/>
      <c r="K321" s="9"/>
      <c r="L321" s="9" t="s">
        <v>78</v>
      </c>
      <c r="M321" s="9"/>
      <c r="N321" s="17"/>
      <c r="O321" s="17" t="str">
        <f t="shared" si="32"/>
        <v>Jon Giara</v>
      </c>
      <c r="P321" s="17">
        <f>IFERROR(_xlfn.XLOOKUP(O321,'Department Listing'!$O$1:$O$395,'Department Listing'!$A$1:$A$395),IFERROR(_xlfn.XLOOKUP(O321,'Name Aliases'!$A$2:$A$1000,'Name Aliases'!$B$2:$B$1000),""))</f>
        <v>2</v>
      </c>
      <c r="Q321" s="18">
        <f t="shared" si="33"/>
        <v>46230</v>
      </c>
      <c r="R321" s="17" t="str">
        <f t="shared" si="34"/>
        <v>Greco</v>
      </c>
      <c r="S321" s="19">
        <f t="shared" si="35"/>
        <v>26.93</v>
      </c>
      <c r="T321" s="17" t="str">
        <f t="shared" si="36"/>
        <v>SQ *GRECO MASTERCARD-XXXXXX76PMD5-Jon Giara</v>
      </c>
      <c r="U321" s="17" t="str">
        <f t="shared" si="37"/>
        <v>Brex Credit Card</v>
      </c>
      <c r="V321" s="19" t="str">
        <f>IF(ISBLANK($B321),"",IF(ISBLANK($K321),IF(_xlfn.XLOOKUP($W321,'Category Mapping'!$C:$C,'Category Mapping'!$B:$B)="Travel",_xlfn.XLOOKUP($P321,'Department Listing'!$A:$A,'Department Listing'!$M:$M),_xlfn.XLOOKUP($W321,'Category Mapping'!$C:$C,'Category Mapping'!$D:$D)),$K321))</f>
        <v>Cost of Goods Sold:COGS- Travel Expenses:</v>
      </c>
      <c r="W321" s="19" t="str">
        <f t="shared" si="38"/>
        <v>Meals &amp; Entertainment</v>
      </c>
      <c r="X321" s="19" t="str">
        <f t="shared" si="39"/>
        <v>Cost of Goods Sold:COGS- Travel Expenses:Meals &amp; Entertainment</v>
      </c>
      <c r="Y321" s="20" t="str">
        <f>IF(ISBLANK($M321),IFERROR(_xlfn.XLOOKUP($P321,'Department Listing'!$A:$A,'Department Listing'!$L:$L),""),$M321)</f>
        <v>300- ServiceNow:320- Engineering</v>
      </c>
      <c r="Z321" s="11">
        <f>IF(ISBLANK($B321),"",MATCH($X321,COA!$B:$B,0))</f>
        <v>126</v>
      </c>
    </row>
    <row r="322" spans="2:26" ht="15.75" customHeight="1" x14ac:dyDescent="0.25">
      <c r="B322" s="14">
        <v>46230</v>
      </c>
      <c r="C322" t="s">
        <v>499</v>
      </c>
      <c r="E322" s="23"/>
      <c r="F322" s="16">
        <v>5.99</v>
      </c>
      <c r="G322" s="10"/>
      <c r="H322" s="10"/>
      <c r="I322" s="9" t="s">
        <v>33</v>
      </c>
      <c r="J322" s="9"/>
      <c r="K322" s="9"/>
      <c r="L322" s="9" t="s">
        <v>165</v>
      </c>
      <c r="M322" s="9"/>
      <c r="N322" s="17"/>
      <c r="O322" s="17" t="str">
        <f t="shared" si="32"/>
        <v>Kyle Bense</v>
      </c>
      <c r="P322" s="17">
        <f>IFERROR(_xlfn.XLOOKUP(O322,'Department Listing'!$O$1:$O$395,'Department Listing'!$A$1:$A$395),IFERROR(_xlfn.XLOOKUP(O322,'Name Aliases'!$A$2:$A$1000,'Name Aliases'!$B$2:$B$1000),""))</f>
        <v>252</v>
      </c>
      <c r="Q322" s="18">
        <f t="shared" si="33"/>
        <v>46230</v>
      </c>
      <c r="R322" s="17" t="str">
        <f t="shared" si="34"/>
        <v>Travel Vendor</v>
      </c>
      <c r="S322" s="19">
        <f t="shared" si="35"/>
        <v>5.99</v>
      </c>
      <c r="T322" s="17" t="str">
        <f t="shared" si="36"/>
        <v>PHX 12 News Shop MASTERCARD-XXXXXXHENV5L-Kyle Bense</v>
      </c>
      <c r="U322" s="17" t="str">
        <f t="shared" si="37"/>
        <v>Brex Credit Card</v>
      </c>
      <c r="V322" s="19" t="str">
        <f>IF(ISBLANK($B322),"",IF(ISBLANK($K322),IF(_xlfn.XLOOKUP($W322,'Category Mapping'!$C:$C,'Category Mapping'!$B:$B)="Travel",_xlfn.XLOOKUP($P322,'Department Listing'!$A:$A,'Department Listing'!$M:$M),_xlfn.XLOOKUP($W322,'Category Mapping'!$C:$C,'Category Mapping'!$D:$D)),$K322))</f>
        <v>Cost of Goods Sold:COGS- Travel Expenses:</v>
      </c>
      <c r="W322" s="19" t="str">
        <f t="shared" si="38"/>
        <v>Airfare</v>
      </c>
      <c r="X322" s="19" t="str">
        <f t="shared" si="39"/>
        <v>Cost of Goods Sold:COGS- Travel Expenses:Airfare</v>
      </c>
      <c r="Y322" s="20" t="str">
        <f>IF(ISBLANK($M322),IFERROR(_xlfn.XLOOKUP($P322,'Department Listing'!$A:$A,'Department Listing'!$L:$L),""),$M322)</f>
        <v>300- ServiceNow:320- Engineering</v>
      </c>
      <c r="Z322" s="11">
        <f>IF(ISBLANK($B322),"",MATCH($X322,COA!$B:$B,0))</f>
        <v>123</v>
      </c>
    </row>
    <row r="323" spans="2:26" ht="15.75" customHeight="1" x14ac:dyDescent="0.25">
      <c r="B323" s="14">
        <v>46230</v>
      </c>
      <c r="C323" t="s">
        <v>500</v>
      </c>
      <c r="E323" s="23" t="s">
        <v>64</v>
      </c>
      <c r="F323" s="16">
        <v>35.83</v>
      </c>
      <c r="G323" s="10"/>
      <c r="H323" s="10"/>
      <c r="I323" s="9" t="s">
        <v>74</v>
      </c>
      <c r="J323" s="9"/>
      <c r="K323" s="9"/>
      <c r="L323" s="9" t="s">
        <v>66</v>
      </c>
      <c r="M323" s="9"/>
      <c r="N323" s="17"/>
      <c r="O323" s="17" t="str">
        <f t="shared" si="32"/>
        <v>Mitchell Deaner</v>
      </c>
      <c r="P323" s="17">
        <f>IFERROR(_xlfn.XLOOKUP(O323,'Department Listing'!$O$1:$O$395,'Department Listing'!$A$1:$A$395),IFERROR(_xlfn.XLOOKUP(O323,'Name Aliases'!$A$2:$A$1000,'Name Aliases'!$B$2:$B$1000),""))</f>
        <v>26</v>
      </c>
      <c r="Q323" s="18">
        <f t="shared" si="33"/>
        <v>46230</v>
      </c>
      <c r="R323" s="17" t="str">
        <f t="shared" si="34"/>
        <v>Uber</v>
      </c>
      <c r="S323" s="19">
        <f t="shared" si="35"/>
        <v>35.83</v>
      </c>
      <c r="T323" s="17" t="str">
        <f t="shared" si="36"/>
        <v>UBER   *TRIP MASTERCARD-XXXXXXT1RZ7P-Mitchell Deaner</v>
      </c>
      <c r="U323" s="17" t="str">
        <f t="shared" si="37"/>
        <v>Brex Credit Card</v>
      </c>
      <c r="V323" s="19" t="str">
        <f>IF(ISBLANK($B323),"",IF(ISBLANK($K323),IF(_xlfn.XLOOKUP($W323,'Category Mapping'!$C:$C,'Category Mapping'!$B:$B)="Travel",_xlfn.XLOOKUP($P323,'Department Listing'!$A:$A,'Department Listing'!$M:$M),_xlfn.XLOOKUP($W323,'Category Mapping'!$C:$C,'Category Mapping'!$D:$D)),$K323))</f>
        <v>Cost of Goods Sold:COGS- Travel Expenses:</v>
      </c>
      <c r="W323" s="19" t="str">
        <f t="shared" si="38"/>
        <v>Ground Transportation</v>
      </c>
      <c r="X323" s="19" t="str">
        <f t="shared" si="39"/>
        <v>Cost of Goods Sold:COGS- Travel Expenses:Ground Transportation</v>
      </c>
      <c r="Y323" s="20" t="str">
        <f>IF(ISBLANK($M323),IFERROR(_xlfn.XLOOKUP($P323,'Department Listing'!$A:$A,'Department Listing'!$L:$L),""),$M323)</f>
        <v>300- ServiceNow:320- Engineering</v>
      </c>
      <c r="Z323" s="11">
        <f>IF(ISBLANK($B323),"",MATCH($X323,COA!$B:$B,0))</f>
        <v>124</v>
      </c>
    </row>
    <row r="324" spans="2:26" ht="15.75" customHeight="1" x14ac:dyDescent="0.25">
      <c r="B324" s="14">
        <v>46231</v>
      </c>
      <c r="C324" t="s">
        <v>501</v>
      </c>
      <c r="E324" s="23" t="s">
        <v>64</v>
      </c>
      <c r="F324" s="16">
        <v>33.090000000000003</v>
      </c>
      <c r="G324" s="10"/>
      <c r="H324" s="10"/>
      <c r="I324" s="9" t="s">
        <v>92</v>
      </c>
      <c r="J324" s="9"/>
      <c r="K324" s="9"/>
      <c r="L324" s="9" t="s">
        <v>66</v>
      </c>
      <c r="M324" s="9"/>
      <c r="N324" s="17"/>
      <c r="O324" s="17" t="str">
        <f t="shared" ref="O324:O387" si="40">IF(C324="", "", TRIM(RIGHT(C324, LEN(C324) - FIND("@@", SUBSTITUTE(C324, "-", "@@", LEN(C324) - LEN(SUBSTITUTE(C324, "-", "")))))))</f>
        <v>Nikita Ashok</v>
      </c>
      <c r="P324" s="17">
        <f>IFERROR(_xlfn.XLOOKUP(O324,'Department Listing'!$O$1:$O$395,'Department Listing'!$A$1:$A$395),IFERROR(_xlfn.XLOOKUP(O324,'Name Aliases'!$A$2:$A$1000,'Name Aliases'!$B$2:$B$1000),""))</f>
        <v>111</v>
      </c>
      <c r="Q324" s="18">
        <f t="shared" ref="Q324:Q387" si="41">IF(ISBLANK($C324),"",$B324)</f>
        <v>46231</v>
      </c>
      <c r="R324" s="17" t="str">
        <f t="shared" ref="R324:R387" si="42">IF(ISBLANK($C324),"",IF(ISBLANK($I324),$D324,$I324))</f>
        <v>Lyft</v>
      </c>
      <c r="S324" s="19">
        <f t="shared" ref="S324:S387" si="43">IF(ISBLANK($C324),"",$F324 - $G324)</f>
        <v>33.090000000000003</v>
      </c>
      <c r="T324" s="17" t="str">
        <f t="shared" ref="T324:T387" si="44">IF(ISBLANK($C324),"",C324)</f>
        <v>LYFT   *1 RIDE 07-26 MASTERCARD-XXXXXXOSJU4I-Nikita Ashok</v>
      </c>
      <c r="U324" s="17" t="str">
        <f t="shared" ref="U324:U387" si="45">IF(ISBLANK($C324),"",$D$1)</f>
        <v>Brex Credit Card</v>
      </c>
      <c r="V324" s="19" t="str">
        <f>IF(ISBLANK($B324),"",IF(ISBLANK($K324),IF(_xlfn.XLOOKUP($W324,'Category Mapping'!$C:$C,'Category Mapping'!$B:$B)="Travel",_xlfn.XLOOKUP($P324,'Department Listing'!$A:$A,'Department Listing'!$M:$M),_xlfn.XLOOKUP($W324,'Category Mapping'!$C:$C,'Category Mapping'!$D:$D)),$K324))</f>
        <v>Sales &amp; Marketing:Sales &amp; Marketing- Travel Expenses:</v>
      </c>
      <c r="W324" s="19" t="str">
        <f t="shared" ref="W324:W387" si="46">IF(ISBLANK($B324),"",IF(ISBLANK($L324),RIGHT($E324,LEN($E324) - FIND("^",SUBSTITUTE($E324,":","^",LEN($E324) - LEN(SUBSTITUTE($E324,":",""))))),$L324))</f>
        <v>Ground Transportation</v>
      </c>
      <c r="X324" s="19" t="str">
        <f t="shared" ref="X324:X387" si="47">IF(ISBLANK($J324),$V324&amp;$W324,$J324)</f>
        <v>Sales &amp; Marketing:Sales &amp; Marketing- Travel Expenses:Ground Transportation</v>
      </c>
      <c r="Y324" s="20" t="str">
        <f>IF(ISBLANK($M324),IFERROR(_xlfn.XLOOKUP($P324,'Department Listing'!$A:$A,'Department Listing'!$L:$L),""),$M324)</f>
        <v>100- Operations:120- Marketing</v>
      </c>
      <c r="Z324" s="11">
        <f>IF(ISBLANK($B324),"",MATCH($X324,COA!$B:$B,0))</f>
        <v>200</v>
      </c>
    </row>
    <row r="325" spans="2:26" ht="15.75" customHeight="1" x14ac:dyDescent="0.25">
      <c r="B325" s="14">
        <v>46230</v>
      </c>
      <c r="C325" t="s">
        <v>503</v>
      </c>
      <c r="E325" s="23" t="s">
        <v>69</v>
      </c>
      <c r="F325" s="16">
        <v>43</v>
      </c>
      <c r="G325" s="10"/>
      <c r="H325" s="10"/>
      <c r="I325" s="9" t="s">
        <v>504</v>
      </c>
      <c r="J325" s="9"/>
      <c r="K325" s="9"/>
      <c r="L325" s="9" t="s">
        <v>71</v>
      </c>
      <c r="M325" s="9"/>
      <c r="N325" s="17"/>
      <c r="O325" s="17" t="str">
        <f t="shared" si="40"/>
        <v>Vincent Planz</v>
      </c>
      <c r="P325" s="17">
        <f>IFERROR(_xlfn.XLOOKUP(O325,'Department Listing'!$O$1:$O$395,'Department Listing'!$A$1:$A$395),IFERROR(_xlfn.XLOOKUP(O325,'Name Aliases'!$A$2:$A$1000,'Name Aliases'!$B$2:$B$1000),""))</f>
        <v>107</v>
      </c>
      <c r="Q325" s="18">
        <f t="shared" si="41"/>
        <v>46230</v>
      </c>
      <c r="R325" s="17" t="str">
        <f t="shared" si="42"/>
        <v>Asana</v>
      </c>
      <c r="S325" s="19">
        <f t="shared" si="43"/>
        <v>43</v>
      </c>
      <c r="T325" s="17" t="str">
        <f t="shared" si="44"/>
        <v>ASANA.COM MASTERCARD-XXXXXXAEQVU3-Vincent Planz</v>
      </c>
      <c r="U325" s="17" t="str">
        <f t="shared" si="45"/>
        <v>Brex Credit Card</v>
      </c>
      <c r="V325" s="19" t="str">
        <f>IF(ISBLANK($B325),"",IF(ISBLANK($K325),IF(_xlfn.XLOOKUP($W325,'Category Mapping'!$C:$C,'Category Mapping'!$B:$B)="Travel",_xlfn.XLOOKUP($P325,'Department Listing'!$A:$A,'Department Listing'!$M:$M),_xlfn.XLOOKUP($W325,'Category Mapping'!$C:$C,'Category Mapping'!$D:$D)),$K325))</f>
        <v>General &amp; Administrative:</v>
      </c>
      <c r="W325" s="19" t="str">
        <f t="shared" si="46"/>
        <v>Software Licenses</v>
      </c>
      <c r="X325" s="19" t="str">
        <f t="shared" si="47"/>
        <v>General &amp; Administrative:Software Licenses</v>
      </c>
      <c r="Y325" s="20" t="str">
        <f>IF(ISBLANK($M325),IFERROR(_xlfn.XLOOKUP($P325,'Department Listing'!$A:$A,'Department Listing'!$L:$L),""),$M325)</f>
        <v>100- Operations:110- G&amp;A</v>
      </c>
      <c r="Z325" s="11">
        <f>IF(ISBLANK($B325),"",MATCH($X325,COA!$B:$B,0))</f>
        <v>170</v>
      </c>
    </row>
    <row r="326" spans="2:26" ht="15.75" customHeight="1" x14ac:dyDescent="0.25">
      <c r="B326" s="14">
        <v>46230</v>
      </c>
      <c r="C326" t="s">
        <v>505</v>
      </c>
      <c r="E326" s="23"/>
      <c r="F326" s="16">
        <v>64.86</v>
      </c>
      <c r="G326" s="10"/>
      <c r="H326" s="10"/>
      <c r="I326" s="9" t="s">
        <v>36</v>
      </c>
      <c r="J326" s="9"/>
      <c r="K326" s="9"/>
      <c r="L326" s="9" t="s">
        <v>78</v>
      </c>
      <c r="M326" s="9"/>
      <c r="N326" s="17"/>
      <c r="O326" s="17" t="str">
        <f t="shared" si="40"/>
        <v>Leslee Brady</v>
      </c>
      <c r="P326" s="17">
        <f>IFERROR(_xlfn.XLOOKUP(O326,'Department Listing'!$O$1:$O$395,'Department Listing'!$A$1:$A$395),IFERROR(_xlfn.XLOOKUP(O326,'Name Aliases'!$A$2:$A$1000,'Name Aliases'!$B$2:$B$1000),""))</f>
        <v>103</v>
      </c>
      <c r="Q326" s="18">
        <f t="shared" si="41"/>
        <v>46230</v>
      </c>
      <c r="R326" s="17" t="str">
        <f t="shared" si="42"/>
        <v>Food Vendor</v>
      </c>
      <c r="S326" s="19">
        <f t="shared" si="43"/>
        <v>64.86</v>
      </c>
      <c r="T326" s="17" t="str">
        <f t="shared" si="44"/>
        <v>THE WILDDUCK MARKET PL MASTERCARD-XXXXXXNCUZ4Y-Leslee Brady</v>
      </c>
      <c r="U326" s="17" t="str">
        <f t="shared" si="45"/>
        <v>Brex Credit Card</v>
      </c>
      <c r="V326" s="19" t="str">
        <f>IF(ISBLANK($B326),"",IF(ISBLANK($K326),IF(_xlfn.XLOOKUP($W326,'Category Mapping'!$C:$C,'Category Mapping'!$B:$B)="Travel",_xlfn.XLOOKUP($P326,'Department Listing'!$A:$A,'Department Listing'!$M:$M),_xlfn.XLOOKUP($W326,'Category Mapping'!$C:$C,'Category Mapping'!$D:$D)),$K326))</f>
        <v>Sales &amp; Marketing:Sales &amp; Marketing- Travel Expenses:</v>
      </c>
      <c r="W326" s="19" t="str">
        <f t="shared" si="46"/>
        <v>Meals &amp; Entertainment</v>
      </c>
      <c r="X326" s="19" t="str">
        <f t="shared" si="47"/>
        <v>Sales &amp; Marketing:Sales &amp; Marketing- Travel Expenses:Meals &amp; Entertainment</v>
      </c>
      <c r="Y326" s="20" t="str">
        <f>IF(ISBLANK($M326),IFERROR(_xlfn.XLOOKUP($P326,'Department Listing'!$A:$A,'Department Listing'!$L:$L),""),$M326)</f>
        <v>100- Operations:120- Marketing</v>
      </c>
      <c r="Z326" s="11">
        <f>IF(ISBLANK($B326),"",MATCH($X326,COA!$B:$B,0))</f>
        <v>202</v>
      </c>
    </row>
    <row r="327" spans="2:26" ht="15.75" customHeight="1" x14ac:dyDescent="0.25">
      <c r="B327" s="14">
        <v>46230</v>
      </c>
      <c r="C327" t="s">
        <v>506</v>
      </c>
      <c r="E327" s="23" t="s">
        <v>76</v>
      </c>
      <c r="F327" s="16">
        <v>19.7</v>
      </c>
      <c r="G327" s="10"/>
      <c r="H327" s="10"/>
      <c r="I327" s="9" t="s">
        <v>507</v>
      </c>
      <c r="J327" s="9"/>
      <c r="K327" s="9"/>
      <c r="L327" s="9" t="s">
        <v>78</v>
      </c>
      <c r="M327" s="9"/>
      <c r="N327" s="17"/>
      <c r="O327" s="17" t="str">
        <f t="shared" si="40"/>
        <v>Robert Witty</v>
      </c>
      <c r="P327" s="17">
        <f>IFERROR(_xlfn.XLOOKUP(O327,'Department Listing'!$O$1:$O$395,'Department Listing'!$A$1:$A$395),IFERROR(_xlfn.XLOOKUP(O327,'Name Aliases'!$A$2:$A$1000,'Name Aliases'!$B$2:$B$1000),""))</f>
        <v>74</v>
      </c>
      <c r="Q327" s="18">
        <f t="shared" si="41"/>
        <v>46230</v>
      </c>
      <c r="R327" s="17" t="str">
        <f t="shared" si="42"/>
        <v>Panera Bread</v>
      </c>
      <c r="S327" s="19">
        <f t="shared" si="43"/>
        <v>19.7</v>
      </c>
      <c r="T327" s="17" t="str">
        <f t="shared" si="44"/>
        <v>PANERA BREAD #202979 P MASTERCARD-XXXXXXTIMBNE-Robert Witty</v>
      </c>
      <c r="U327" s="17" t="str">
        <f t="shared" si="45"/>
        <v>Brex Credit Card</v>
      </c>
      <c r="V327" s="19" t="str">
        <f>IF(ISBLANK($B327),"",IF(ISBLANK($K327),IF(_xlfn.XLOOKUP($W327,'Category Mapping'!$C:$C,'Category Mapping'!$B:$B)="Travel",_xlfn.XLOOKUP($P327,'Department Listing'!$A:$A,'Department Listing'!$M:$M),_xlfn.XLOOKUP($W327,'Category Mapping'!$C:$C,'Category Mapping'!$D:$D)),$K327))</f>
        <v>Cost of Goods Sold:COGS- Travel Expenses:</v>
      </c>
      <c r="W327" s="19" t="str">
        <f t="shared" si="46"/>
        <v>Meals &amp; Entertainment</v>
      </c>
      <c r="X327" s="19" t="str">
        <f t="shared" si="47"/>
        <v>Cost of Goods Sold:COGS- Travel Expenses:Meals &amp; Entertainment</v>
      </c>
      <c r="Y327" s="20" t="str">
        <f>IF(ISBLANK($M327),IFERROR(_xlfn.XLOOKUP($P327,'Department Listing'!$A:$A,'Department Listing'!$L:$L),""),$M327)</f>
        <v>300- ServiceNow:320- Engineering</v>
      </c>
      <c r="Z327" s="11">
        <f>IF(ISBLANK($B327),"",MATCH($X327,COA!$B:$B,0))</f>
        <v>126</v>
      </c>
    </row>
    <row r="328" spans="2:26" ht="15.75" customHeight="1" x14ac:dyDescent="0.25">
      <c r="B328" s="14">
        <v>46231</v>
      </c>
      <c r="C328" t="s">
        <v>508</v>
      </c>
      <c r="E328" s="23" t="s">
        <v>64</v>
      </c>
      <c r="F328" s="16">
        <v>17.95</v>
      </c>
      <c r="G328" s="10"/>
      <c r="H328" s="10"/>
      <c r="I328" s="9" t="s">
        <v>74</v>
      </c>
      <c r="J328" s="9"/>
      <c r="K328" s="9"/>
      <c r="L328" s="9" t="s">
        <v>66</v>
      </c>
      <c r="M328" s="9"/>
      <c r="N328" s="17"/>
      <c r="O328" s="17" t="str">
        <f t="shared" si="40"/>
        <v>Anthony Nguyen</v>
      </c>
      <c r="P328" s="17">
        <f>IFERROR(_xlfn.XLOOKUP(O328,'Department Listing'!$O$1:$O$395,'Department Listing'!$A$1:$A$395),IFERROR(_xlfn.XLOOKUP(O328,'Name Aliases'!$A$2:$A$1000,'Name Aliases'!$B$2:$B$1000),""))</f>
        <v>285</v>
      </c>
      <c r="Q328" s="18">
        <f t="shared" si="41"/>
        <v>46231</v>
      </c>
      <c r="R328" s="17" t="str">
        <f t="shared" si="42"/>
        <v>Uber</v>
      </c>
      <c r="S328" s="19">
        <f t="shared" si="43"/>
        <v>17.95</v>
      </c>
      <c r="T328" s="17" t="str">
        <f t="shared" si="44"/>
        <v>UBER   *TRIP MASTERCARD-XXXXXX662USM-Anthony Nguyen</v>
      </c>
      <c r="U328" s="17" t="str">
        <f t="shared" si="45"/>
        <v>Brex Credit Card</v>
      </c>
      <c r="V328" s="19" t="str">
        <f>IF(ISBLANK($B328),"",IF(ISBLANK($K328),IF(_xlfn.XLOOKUP($W328,'Category Mapping'!$C:$C,'Category Mapping'!$B:$B)="Travel",_xlfn.XLOOKUP($P328,'Department Listing'!$A:$A,'Department Listing'!$M:$M),_xlfn.XLOOKUP($W328,'Category Mapping'!$C:$C,'Category Mapping'!$D:$D)),$K328))</f>
        <v>Cost of Goods Sold:COGS- Travel Expenses:</v>
      </c>
      <c r="W328" s="19" t="str">
        <f t="shared" si="46"/>
        <v>Ground Transportation</v>
      </c>
      <c r="X328" s="19" t="str">
        <f t="shared" si="47"/>
        <v>Cost of Goods Sold:COGS- Travel Expenses:Ground Transportation</v>
      </c>
      <c r="Y328" s="20" t="str">
        <f>IF(ISBLANK($M328),IFERROR(_xlfn.XLOOKUP($P328,'Department Listing'!$A:$A,'Department Listing'!$L:$L),""),$M328)</f>
        <v>200- Datadog:220- Engineering</v>
      </c>
      <c r="Z328" s="11">
        <f>IF(ISBLANK($B328),"",MATCH($X328,COA!$B:$B,0))</f>
        <v>124</v>
      </c>
    </row>
    <row r="329" spans="2:26" ht="15.75" customHeight="1" x14ac:dyDescent="0.25">
      <c r="B329" s="14">
        <v>46230</v>
      </c>
      <c r="C329" t="s">
        <v>509</v>
      </c>
      <c r="E329" s="23"/>
      <c r="F329" s="16">
        <v>15.9</v>
      </c>
      <c r="G329" s="10"/>
      <c r="H329" s="10"/>
      <c r="I329" s="9" t="s">
        <v>510</v>
      </c>
      <c r="J329" s="9"/>
      <c r="K329" s="9"/>
      <c r="L329" s="9" t="s">
        <v>78</v>
      </c>
      <c r="M329" s="9"/>
      <c r="N329" s="17"/>
      <c r="O329" s="17" t="str">
        <f t="shared" si="40"/>
        <v>Kyle Bense</v>
      </c>
      <c r="P329" s="17">
        <f>IFERROR(_xlfn.XLOOKUP(O329,'Department Listing'!$O$1:$O$395,'Department Listing'!$A$1:$A$395),IFERROR(_xlfn.XLOOKUP(O329,'Name Aliases'!$A$2:$A$1000,'Name Aliases'!$B$2:$B$1000),""))</f>
        <v>252</v>
      </c>
      <c r="Q329" s="18">
        <f t="shared" si="41"/>
        <v>46230</v>
      </c>
      <c r="R329" s="17" t="str">
        <f t="shared" si="42"/>
        <v>Panda Express</v>
      </c>
      <c r="S329" s="19">
        <f t="shared" si="43"/>
        <v>15.9</v>
      </c>
      <c r="T329" s="17" t="str">
        <f t="shared" si="44"/>
        <v>PANDA EXPRESS #2301 MASTERCARD-XXXXXXS5G548-Kyle Bense</v>
      </c>
      <c r="U329" s="17" t="str">
        <f t="shared" si="45"/>
        <v>Brex Credit Card</v>
      </c>
      <c r="V329" s="19" t="str">
        <f>IF(ISBLANK($B329),"",IF(ISBLANK($K329),IF(_xlfn.XLOOKUP($W329,'Category Mapping'!$C:$C,'Category Mapping'!$B:$B)="Travel",_xlfn.XLOOKUP($P329,'Department Listing'!$A:$A,'Department Listing'!$M:$M),_xlfn.XLOOKUP($W329,'Category Mapping'!$C:$C,'Category Mapping'!$D:$D)),$K329))</f>
        <v>Cost of Goods Sold:COGS- Travel Expenses:</v>
      </c>
      <c r="W329" s="19" t="str">
        <f t="shared" si="46"/>
        <v>Meals &amp; Entertainment</v>
      </c>
      <c r="X329" s="19" t="str">
        <f t="shared" si="47"/>
        <v>Cost of Goods Sold:COGS- Travel Expenses:Meals &amp; Entertainment</v>
      </c>
      <c r="Y329" s="20" t="str">
        <f>IF(ISBLANK($M329),IFERROR(_xlfn.XLOOKUP($P329,'Department Listing'!$A:$A,'Department Listing'!$L:$L),""),$M329)</f>
        <v>300- ServiceNow:320- Engineering</v>
      </c>
      <c r="Z329" s="11">
        <f>IF(ISBLANK($B329),"",MATCH($X329,COA!$B:$B,0))</f>
        <v>126</v>
      </c>
    </row>
    <row r="330" spans="2:26" ht="15.75" customHeight="1" x14ac:dyDescent="0.25">
      <c r="B330" s="14">
        <v>46231</v>
      </c>
      <c r="C330" t="s">
        <v>511</v>
      </c>
      <c r="E330" s="23" t="s">
        <v>64</v>
      </c>
      <c r="F330" s="16">
        <v>40.94</v>
      </c>
      <c r="G330" s="10"/>
      <c r="H330" s="10"/>
      <c r="I330" s="9" t="s">
        <v>74</v>
      </c>
      <c r="J330" s="9"/>
      <c r="K330" s="9"/>
      <c r="L330" s="9" t="s">
        <v>66</v>
      </c>
      <c r="M330" s="9"/>
      <c r="N330" s="17"/>
      <c r="O330" s="17" t="str">
        <f t="shared" si="40"/>
        <v>John Taylor</v>
      </c>
      <c r="P330" s="17">
        <f>IFERROR(_xlfn.XLOOKUP(O330,'Department Listing'!$O$1:$O$395,'Department Listing'!$A$1:$A$395),IFERROR(_xlfn.XLOOKUP(O330,'Name Aliases'!$A$2:$A$1000,'Name Aliases'!$B$2:$B$1000),""))</f>
        <v>118</v>
      </c>
      <c r="Q330" s="18">
        <f t="shared" si="41"/>
        <v>46231</v>
      </c>
      <c r="R330" s="17" t="str">
        <f t="shared" si="42"/>
        <v>Uber</v>
      </c>
      <c r="S330" s="19">
        <f t="shared" si="43"/>
        <v>40.94</v>
      </c>
      <c r="T330" s="17" t="str">
        <f t="shared" si="44"/>
        <v>UBER   *TRIP MASTERCARD-XXXXXX3WKYSZ-John Taylor</v>
      </c>
      <c r="U330" s="17" t="str">
        <f t="shared" si="45"/>
        <v>Brex Credit Card</v>
      </c>
      <c r="V330" s="19" t="str">
        <f>IF(ISBLANK($B330),"",IF(ISBLANK($K330),IF(_xlfn.XLOOKUP($W330,'Category Mapping'!$C:$C,'Category Mapping'!$B:$B)="Travel",_xlfn.XLOOKUP($P330,'Department Listing'!$A:$A,'Department Listing'!$M:$M),_xlfn.XLOOKUP($W330,'Category Mapping'!$C:$C,'Category Mapping'!$D:$D)),$K330))</f>
        <v>Sales &amp; Marketing:Sales &amp; Marketing- Travel Expenses:</v>
      </c>
      <c r="W330" s="19" t="str">
        <f t="shared" si="46"/>
        <v>Ground Transportation</v>
      </c>
      <c r="X330" s="19" t="str">
        <f t="shared" si="47"/>
        <v>Sales &amp; Marketing:Sales &amp; Marketing- Travel Expenses:Ground Transportation</v>
      </c>
      <c r="Y330" s="20" t="str">
        <f>IF(ISBLANK($M330),IFERROR(_xlfn.XLOOKUP($P330,'Department Listing'!$A:$A,'Department Listing'!$L:$L),""),$M330)</f>
        <v>300- ServiceNow:330- Sales</v>
      </c>
      <c r="Z330" s="11">
        <f>IF(ISBLANK($B330),"",MATCH($X330,COA!$B:$B,0))</f>
        <v>200</v>
      </c>
    </row>
    <row r="331" spans="2:26" ht="15.75" customHeight="1" x14ac:dyDescent="0.25">
      <c r="B331" s="14">
        <v>46231</v>
      </c>
      <c r="C331" t="s">
        <v>512</v>
      </c>
      <c r="E331" s="23" t="s">
        <v>64</v>
      </c>
      <c r="F331" s="16">
        <v>23.94</v>
      </c>
      <c r="G331" s="10"/>
      <c r="H331" s="10"/>
      <c r="I331" s="9" t="s">
        <v>92</v>
      </c>
      <c r="J331" s="9"/>
      <c r="K331" s="9"/>
      <c r="L331" s="9" t="s">
        <v>66</v>
      </c>
      <c r="M331" s="9"/>
      <c r="N331" s="17"/>
      <c r="O331" s="17" t="str">
        <f t="shared" si="40"/>
        <v>Yadwinder Singh</v>
      </c>
      <c r="P331" s="17">
        <f>IFERROR(_xlfn.XLOOKUP(O331,'Department Listing'!$O$1:$O$395,'Department Listing'!$A$1:$A$395),IFERROR(_xlfn.XLOOKUP(O331,'Name Aliases'!$A$2:$A$1000,'Name Aliases'!$B$2:$B$1000),""))</f>
        <v>237</v>
      </c>
      <c r="Q331" s="18">
        <f t="shared" si="41"/>
        <v>46231</v>
      </c>
      <c r="R331" s="17" t="str">
        <f t="shared" si="42"/>
        <v>Lyft</v>
      </c>
      <c r="S331" s="19">
        <f t="shared" si="43"/>
        <v>23.94</v>
      </c>
      <c r="T331" s="17" t="str">
        <f t="shared" si="44"/>
        <v>LYFT   *1 RIDE 07-26 MASTERCARD-XXXXXX1DT7P8-Yadwinder Singh</v>
      </c>
      <c r="U331" s="17" t="str">
        <f t="shared" si="45"/>
        <v>Brex Credit Card</v>
      </c>
      <c r="V331" s="19" t="str">
        <f>IF(ISBLANK($B331),"",IF(ISBLANK($K331),IF(_xlfn.XLOOKUP($W331,'Category Mapping'!$C:$C,'Category Mapping'!$B:$B)="Travel",_xlfn.XLOOKUP($P331,'Department Listing'!$A:$A,'Department Listing'!$M:$M),_xlfn.XLOOKUP($W331,'Category Mapping'!$C:$C,'Category Mapping'!$D:$D)),$K331))</f>
        <v>Cost of Goods Sold:COGS- Travel Expenses:</v>
      </c>
      <c r="W331" s="19" t="str">
        <f t="shared" si="46"/>
        <v>Ground Transportation</v>
      </c>
      <c r="X331" s="19" t="str">
        <f t="shared" si="47"/>
        <v>Cost of Goods Sold:COGS- Travel Expenses:Ground Transportation</v>
      </c>
      <c r="Y331" s="20" t="str">
        <f>IF(ISBLANK($M331),IFERROR(_xlfn.XLOOKUP($P331,'Department Listing'!$A:$A,'Department Listing'!$L:$L),""),$M331)</f>
        <v>200- Datadog:220- Engineering</v>
      </c>
      <c r="Z331" s="11">
        <f>IF(ISBLANK($B331),"",MATCH($X331,COA!$B:$B,0))</f>
        <v>124</v>
      </c>
    </row>
    <row r="332" spans="2:26" ht="15.75" customHeight="1" x14ac:dyDescent="0.25">
      <c r="B332" s="14">
        <v>46230</v>
      </c>
      <c r="C332" t="s">
        <v>513</v>
      </c>
      <c r="E332" s="23" t="s">
        <v>64</v>
      </c>
      <c r="F332" s="16">
        <v>30.04</v>
      </c>
      <c r="G332" s="10"/>
      <c r="H332" s="10"/>
      <c r="I332" s="9" t="s">
        <v>74</v>
      </c>
      <c r="J332" s="9"/>
      <c r="K332" s="9"/>
      <c r="L332" s="9" t="s">
        <v>66</v>
      </c>
      <c r="M332" s="9"/>
      <c r="N332" s="17"/>
      <c r="O332" s="17" t="str">
        <f t="shared" si="40"/>
        <v>Dan Hennessy</v>
      </c>
      <c r="P332" s="17">
        <f>IFERROR(_xlfn.XLOOKUP(O332,'Department Listing'!$O$1:$O$395,'Department Listing'!$A$1:$A$395),IFERROR(_xlfn.XLOOKUP(O332,'Name Aliases'!$A$2:$A$1000,'Name Aliases'!$B$2:$B$1000),""))</f>
        <v>261</v>
      </c>
      <c r="Q332" s="18">
        <f t="shared" si="41"/>
        <v>46230</v>
      </c>
      <c r="R332" s="17" t="str">
        <f t="shared" si="42"/>
        <v>Uber</v>
      </c>
      <c r="S332" s="19">
        <f t="shared" si="43"/>
        <v>30.04</v>
      </c>
      <c r="T332" s="17" t="str">
        <f t="shared" si="44"/>
        <v>UBER   *TRIP MASTERCARD-XXXXXXX0PN8E-Dan Hennessy</v>
      </c>
      <c r="U332" s="17" t="str">
        <f t="shared" si="45"/>
        <v>Brex Credit Card</v>
      </c>
      <c r="V332" s="19" t="str">
        <f>IF(ISBLANK($B332),"",IF(ISBLANK($K332),IF(_xlfn.XLOOKUP($W332,'Category Mapping'!$C:$C,'Category Mapping'!$B:$B)="Travel",_xlfn.XLOOKUP($P332,'Department Listing'!$A:$A,'Department Listing'!$M:$M),_xlfn.XLOOKUP($W332,'Category Mapping'!$C:$C,'Category Mapping'!$D:$D)),$K332))</f>
        <v>Cost of Goods Sold:COGS- Travel Expenses:</v>
      </c>
      <c r="W332" s="19" t="str">
        <f t="shared" si="46"/>
        <v>Ground Transportation</v>
      </c>
      <c r="X332" s="19" t="str">
        <f t="shared" si="47"/>
        <v>Cost of Goods Sold:COGS- Travel Expenses:Ground Transportation</v>
      </c>
      <c r="Y332" s="20" t="str">
        <f>IF(ISBLANK($M332),IFERROR(_xlfn.XLOOKUP($P332,'Department Listing'!$A:$A,'Department Listing'!$L:$L),""),$M332)</f>
        <v>200- Datadog:220- Engineering</v>
      </c>
      <c r="Z332" s="11">
        <f>IF(ISBLANK($B332),"",MATCH($X332,COA!$B:$B,0))</f>
        <v>124</v>
      </c>
    </row>
    <row r="333" spans="2:26" ht="15.75" customHeight="1" x14ac:dyDescent="0.25">
      <c r="B333" s="14">
        <v>46230</v>
      </c>
      <c r="C333" t="s">
        <v>514</v>
      </c>
      <c r="E333" s="23"/>
      <c r="F333" s="16">
        <v>5.01</v>
      </c>
      <c r="G333" s="10"/>
      <c r="H333" s="10"/>
      <c r="I333" s="9" t="s">
        <v>36</v>
      </c>
      <c r="J333" s="9"/>
      <c r="K333" s="9"/>
      <c r="L333" s="9" t="s">
        <v>78</v>
      </c>
      <c r="M333" s="9"/>
      <c r="N333" s="17"/>
      <c r="O333" s="17" t="str">
        <f t="shared" si="40"/>
        <v>Kyle Bense</v>
      </c>
      <c r="P333" s="17">
        <f>IFERROR(_xlfn.XLOOKUP(O333,'Department Listing'!$O$1:$O$395,'Department Listing'!$A$1:$A$395),IFERROR(_xlfn.XLOOKUP(O333,'Name Aliases'!$A$2:$A$1000,'Name Aliases'!$B$2:$B$1000),""))</f>
        <v>252</v>
      </c>
      <c r="Q333" s="18">
        <f t="shared" si="41"/>
        <v>46230</v>
      </c>
      <c r="R333" s="17" t="str">
        <f t="shared" si="42"/>
        <v>Food Vendor</v>
      </c>
      <c r="S333" s="19">
        <f t="shared" si="43"/>
        <v>5.01</v>
      </c>
      <c r="T333" s="17" t="str">
        <f t="shared" si="44"/>
        <v>DILLY'S DELI T4 PHX MASTERCARD-XXXXXXOORB4X-Kyle Bense</v>
      </c>
      <c r="U333" s="17" t="str">
        <f t="shared" si="45"/>
        <v>Brex Credit Card</v>
      </c>
      <c r="V333" s="19" t="str">
        <f>IF(ISBLANK($B333),"",IF(ISBLANK($K333),IF(_xlfn.XLOOKUP($W333,'Category Mapping'!$C:$C,'Category Mapping'!$B:$B)="Travel",_xlfn.XLOOKUP($P333,'Department Listing'!$A:$A,'Department Listing'!$M:$M),_xlfn.XLOOKUP($W333,'Category Mapping'!$C:$C,'Category Mapping'!$D:$D)),$K333))</f>
        <v>Cost of Goods Sold:COGS- Travel Expenses:</v>
      </c>
      <c r="W333" s="19" t="str">
        <f t="shared" si="46"/>
        <v>Meals &amp; Entertainment</v>
      </c>
      <c r="X333" s="19" t="str">
        <f t="shared" si="47"/>
        <v>Cost of Goods Sold:COGS- Travel Expenses:Meals &amp; Entertainment</v>
      </c>
      <c r="Y333" s="20" t="str">
        <f>IF(ISBLANK($M333),IFERROR(_xlfn.XLOOKUP($P333,'Department Listing'!$A:$A,'Department Listing'!$L:$L),""),$M333)</f>
        <v>300- ServiceNow:320- Engineering</v>
      </c>
      <c r="Z333" s="11">
        <f>IF(ISBLANK($B333),"",MATCH($X333,COA!$B:$B,0))</f>
        <v>126</v>
      </c>
    </row>
    <row r="334" spans="2:26" ht="15.75" customHeight="1" x14ac:dyDescent="0.25">
      <c r="B334" s="14">
        <v>46230</v>
      </c>
      <c r="C334" t="s">
        <v>515</v>
      </c>
      <c r="E334" s="23"/>
      <c r="F334" s="16">
        <v>55</v>
      </c>
      <c r="G334" s="10"/>
      <c r="H334" s="10"/>
      <c r="I334" s="9" t="s">
        <v>33</v>
      </c>
      <c r="J334" s="9"/>
      <c r="K334" s="9"/>
      <c r="L334" s="9" t="s">
        <v>165</v>
      </c>
      <c r="M334" s="9"/>
      <c r="N334" s="17"/>
      <c r="O334" s="17" t="str">
        <f t="shared" si="40"/>
        <v>Lauren Lechleitner</v>
      </c>
      <c r="P334" s="17">
        <f>IFERROR(_xlfn.XLOOKUP(O334,'Department Listing'!$O$1:$O$395,'Department Listing'!$A$1:$A$395),IFERROR(_xlfn.XLOOKUP(O334,'Name Aliases'!$A$2:$A$1000,'Name Aliases'!$B$2:$B$1000),""))</f>
        <v>160</v>
      </c>
      <c r="Q334" s="18">
        <f t="shared" si="41"/>
        <v>46230</v>
      </c>
      <c r="R334" s="17" t="str">
        <f t="shared" si="42"/>
        <v>Travel Vendor</v>
      </c>
      <c r="S334" s="19">
        <f t="shared" si="43"/>
        <v>55</v>
      </c>
      <c r="T334" s="17" t="str">
        <f t="shared" si="44"/>
        <v>AA Kiosk MASTERCARD-XXXXXXUPBB61-Lauren Lechleitner</v>
      </c>
      <c r="U334" s="17" t="str">
        <f t="shared" si="45"/>
        <v>Brex Credit Card</v>
      </c>
      <c r="V334" s="19" t="str">
        <f>IF(ISBLANK($B334),"",IF(ISBLANK($K334),IF(_xlfn.XLOOKUP($W334,'Category Mapping'!$C:$C,'Category Mapping'!$B:$B)="Travel",_xlfn.XLOOKUP($P334,'Department Listing'!$A:$A,'Department Listing'!$M:$M),_xlfn.XLOOKUP($W334,'Category Mapping'!$C:$C,'Category Mapping'!$D:$D)),$K334))</f>
        <v>General &amp; Administrative:G&amp;A- Travel Expenses:</v>
      </c>
      <c r="W334" s="19" t="str">
        <f t="shared" si="46"/>
        <v>Airfare</v>
      </c>
      <c r="X334" s="19" t="str">
        <f t="shared" si="47"/>
        <v>General &amp; Administrative:G&amp;A- Travel Expenses:Airfare</v>
      </c>
      <c r="Y334" s="20" t="str">
        <f>IF(ISBLANK($M334),IFERROR(_xlfn.XLOOKUP($P334,'Department Listing'!$A:$A,'Department Listing'!$L:$L),""),$M334)</f>
        <v>100- Operations:110- G&amp;A</v>
      </c>
      <c r="Z334" s="11">
        <f>IF(ISBLANK($B334),"",MATCH($X334,COA!$B:$B,0))</f>
        <v>148</v>
      </c>
    </row>
    <row r="335" spans="2:26" ht="15.75" customHeight="1" x14ac:dyDescent="0.25">
      <c r="B335" s="14">
        <v>46230</v>
      </c>
      <c r="C335" t="s">
        <v>516</v>
      </c>
      <c r="E335" s="23" t="s">
        <v>76</v>
      </c>
      <c r="F335" s="16">
        <v>5.74</v>
      </c>
      <c r="G335" s="10"/>
      <c r="H335" s="10"/>
      <c r="I335" s="9" t="s">
        <v>517</v>
      </c>
      <c r="J335" s="9"/>
      <c r="K335" s="9"/>
      <c r="L335" s="9" t="s">
        <v>78</v>
      </c>
      <c r="M335" s="9"/>
      <c r="N335" s="17"/>
      <c r="O335" s="17" t="str">
        <f t="shared" si="40"/>
        <v>Tanner Ylvisaker</v>
      </c>
      <c r="P335" s="17">
        <f>IFERROR(_xlfn.XLOOKUP(O335,'Department Listing'!$O$1:$O$395,'Department Listing'!$A$1:$A$395),IFERROR(_xlfn.XLOOKUP(O335,'Name Aliases'!$A$2:$A$1000,'Name Aliases'!$B$2:$B$1000),""))</f>
        <v>99</v>
      </c>
      <c r="Q335" s="18">
        <f t="shared" si="41"/>
        <v>46230</v>
      </c>
      <c r="R335" s="17" t="str">
        <f t="shared" si="42"/>
        <v>Hudson News</v>
      </c>
      <c r="S335" s="19">
        <f t="shared" si="43"/>
        <v>5.74</v>
      </c>
      <c r="T335" s="17" t="str">
        <f t="shared" si="44"/>
        <v>MSP HUDSON ST2295 MASTERCARD-XXXXXXBB5D6L-Tanner Ylvisaker</v>
      </c>
      <c r="U335" s="17" t="str">
        <f t="shared" si="45"/>
        <v>Brex Credit Card</v>
      </c>
      <c r="V335" s="19" t="str">
        <f>IF(ISBLANK($B335),"",IF(ISBLANK($K335),IF(_xlfn.XLOOKUP($W335,'Category Mapping'!$C:$C,'Category Mapping'!$B:$B)="Travel",_xlfn.XLOOKUP($P335,'Department Listing'!$A:$A,'Department Listing'!$M:$M),_xlfn.XLOOKUP($W335,'Category Mapping'!$C:$C,'Category Mapping'!$D:$D)),$K335))</f>
        <v>Cost of Goods Sold:COGS- Travel Expenses:</v>
      </c>
      <c r="W335" s="19" t="str">
        <f t="shared" si="46"/>
        <v>Meals &amp; Entertainment</v>
      </c>
      <c r="X335" s="19" t="str">
        <f t="shared" si="47"/>
        <v>Cost of Goods Sold:COGS- Travel Expenses:Meals &amp; Entertainment</v>
      </c>
      <c r="Y335" s="20" t="str">
        <f>IF(ISBLANK($M335),IFERROR(_xlfn.XLOOKUP($P335,'Department Listing'!$A:$A,'Department Listing'!$L:$L),""),$M335)</f>
        <v>300- ServiceNow:320- Engineering</v>
      </c>
      <c r="Z335" s="11">
        <f>IF(ISBLANK($B335),"",MATCH($X335,COA!$B:$B,0))</f>
        <v>126</v>
      </c>
    </row>
    <row r="336" spans="2:26" ht="15.75" customHeight="1" x14ac:dyDescent="0.25">
      <c r="B336" s="14">
        <v>46230</v>
      </c>
      <c r="C336" t="s">
        <v>518</v>
      </c>
      <c r="E336" s="23"/>
      <c r="F336" s="16">
        <v>26.47</v>
      </c>
      <c r="G336" s="10"/>
      <c r="H336" s="10"/>
      <c r="I336" s="9" t="s">
        <v>33</v>
      </c>
      <c r="J336" s="9"/>
      <c r="K336" s="9"/>
      <c r="L336" s="9" t="s">
        <v>149</v>
      </c>
      <c r="M336" s="9"/>
      <c r="N336" s="17"/>
      <c r="O336" s="17" t="str">
        <f t="shared" si="40"/>
        <v>Kyle Bense</v>
      </c>
      <c r="P336" s="17">
        <f>IFERROR(_xlfn.XLOOKUP(O336,'Department Listing'!$O$1:$O$395,'Department Listing'!$A$1:$A$395),IFERROR(_xlfn.XLOOKUP(O336,'Name Aliases'!$A$2:$A$1000,'Name Aliases'!$B$2:$B$1000),""))</f>
        <v>252</v>
      </c>
      <c r="Q336" s="18">
        <f t="shared" si="41"/>
        <v>46230</v>
      </c>
      <c r="R336" s="17" t="str">
        <f t="shared" si="42"/>
        <v>Travel Vendor</v>
      </c>
      <c r="S336" s="19">
        <f t="shared" si="43"/>
        <v>26.47</v>
      </c>
      <c r="T336" s="17" t="str">
        <f t="shared" si="44"/>
        <v>PHX TRIP ADVISOR Shop MASTERCARD-XXXXXXTH2XVA-Kyle Bense</v>
      </c>
      <c r="U336" s="17" t="str">
        <f t="shared" si="45"/>
        <v>Brex Credit Card</v>
      </c>
      <c r="V336" s="19" t="str">
        <f>IF(ISBLANK($B336),"",IF(ISBLANK($K336),IF(_xlfn.XLOOKUP($W336,'Category Mapping'!$C:$C,'Category Mapping'!$B:$B)="Travel",_xlfn.XLOOKUP($P336,'Department Listing'!$A:$A,'Department Listing'!$M:$M),_xlfn.XLOOKUP($W336,'Category Mapping'!$C:$C,'Category Mapping'!$D:$D)),$K336))</f>
        <v>Cost of Goods Sold:COGS- Travel Expenses:</v>
      </c>
      <c r="W336" s="19" t="str">
        <f t="shared" si="46"/>
        <v>Other Travel Expenses</v>
      </c>
      <c r="X336" s="19" t="str">
        <f t="shared" si="47"/>
        <v>Cost of Goods Sold:COGS- Travel Expenses:Other Travel Expenses</v>
      </c>
      <c r="Y336" s="20" t="str">
        <f>IF(ISBLANK($M336),IFERROR(_xlfn.XLOOKUP($P336,'Department Listing'!$A:$A,'Department Listing'!$L:$L),""),$M336)</f>
        <v>300- ServiceNow:320- Engineering</v>
      </c>
      <c r="Z336" s="11">
        <f>IF(ISBLANK($B336),"",MATCH($X336,COA!$B:$B,0))</f>
        <v>127</v>
      </c>
    </row>
    <row r="337" spans="2:26" ht="15.75" customHeight="1" x14ac:dyDescent="0.25">
      <c r="B337" s="14">
        <v>46231</v>
      </c>
      <c r="C337" t="s">
        <v>519</v>
      </c>
      <c r="E337" s="23"/>
      <c r="F337" s="16">
        <v>23</v>
      </c>
      <c r="G337" s="10"/>
      <c r="H337" s="10"/>
      <c r="I337" s="9" t="s">
        <v>36</v>
      </c>
      <c r="J337" s="9"/>
      <c r="K337" s="9"/>
      <c r="L337" s="9" t="s">
        <v>78</v>
      </c>
      <c r="M337" s="9"/>
      <c r="N337" s="17"/>
      <c r="O337" s="17" t="str">
        <f t="shared" si="40"/>
        <v>Anthony Nguyen</v>
      </c>
      <c r="P337" s="17">
        <f>IFERROR(_xlfn.XLOOKUP(O337,'Department Listing'!$O$1:$O$395,'Department Listing'!$A$1:$A$395),IFERROR(_xlfn.XLOOKUP(O337,'Name Aliases'!$A$2:$A$1000,'Name Aliases'!$B$2:$B$1000),""))</f>
        <v>285</v>
      </c>
      <c r="Q337" s="18">
        <f t="shared" si="41"/>
        <v>46231</v>
      </c>
      <c r="R337" s="17" t="str">
        <f t="shared" si="42"/>
        <v>Food Vendor</v>
      </c>
      <c r="S337" s="19">
        <f t="shared" si="43"/>
        <v>23</v>
      </c>
      <c r="T337" s="17" t="str">
        <f t="shared" si="44"/>
        <v>ARMK FENWAY CONCESSION MASTERCARD-XXXXXXWIKF5O-Anthony Nguyen</v>
      </c>
      <c r="U337" s="17" t="str">
        <f t="shared" si="45"/>
        <v>Brex Credit Card</v>
      </c>
      <c r="V337" s="19" t="str">
        <f>IF(ISBLANK($B337),"",IF(ISBLANK($K337),IF(_xlfn.XLOOKUP($W337,'Category Mapping'!$C:$C,'Category Mapping'!$B:$B)="Travel",_xlfn.XLOOKUP($P337,'Department Listing'!$A:$A,'Department Listing'!$M:$M),_xlfn.XLOOKUP($W337,'Category Mapping'!$C:$C,'Category Mapping'!$D:$D)),$K337))</f>
        <v>Cost of Goods Sold:COGS- Travel Expenses:</v>
      </c>
      <c r="W337" s="19" t="str">
        <f t="shared" si="46"/>
        <v>Meals &amp; Entertainment</v>
      </c>
      <c r="X337" s="19" t="str">
        <f t="shared" si="47"/>
        <v>Cost of Goods Sold:COGS- Travel Expenses:Meals &amp; Entertainment</v>
      </c>
      <c r="Y337" s="20" t="str">
        <f>IF(ISBLANK($M337),IFERROR(_xlfn.XLOOKUP($P337,'Department Listing'!$A:$A,'Department Listing'!$L:$L),""),$M337)</f>
        <v>200- Datadog:220- Engineering</v>
      </c>
      <c r="Z337" s="11">
        <f>IF(ISBLANK($B337),"",MATCH($X337,COA!$B:$B,0))</f>
        <v>126</v>
      </c>
    </row>
    <row r="338" spans="2:26" ht="15.75" customHeight="1" x14ac:dyDescent="0.25">
      <c r="B338" s="14">
        <v>46230</v>
      </c>
      <c r="C338" t="s">
        <v>520</v>
      </c>
      <c r="E338" s="23" t="s">
        <v>76</v>
      </c>
      <c r="F338" s="16">
        <v>22.78</v>
      </c>
      <c r="G338" s="10"/>
      <c r="H338" s="10"/>
      <c r="I338" s="9" t="s">
        <v>521</v>
      </c>
      <c r="J338" s="9"/>
      <c r="K338" s="9"/>
      <c r="L338" s="9" t="s">
        <v>78</v>
      </c>
      <c r="M338" s="9"/>
      <c r="N338" s="17"/>
      <c r="O338" s="17" t="str">
        <f t="shared" si="40"/>
        <v>Noah Zahrt</v>
      </c>
      <c r="P338" s="17">
        <f>IFERROR(_xlfn.XLOOKUP(O338,'Department Listing'!$O$1:$O$395,'Department Listing'!$A$1:$A$395),IFERROR(_xlfn.XLOOKUP(O338,'Name Aliases'!$A$2:$A$1000,'Name Aliases'!$B$2:$B$1000),""))</f>
        <v>228</v>
      </c>
      <c r="Q338" s="18">
        <f t="shared" si="41"/>
        <v>46230</v>
      </c>
      <c r="R338" s="17" t="str">
        <f t="shared" si="42"/>
        <v>Shake Shack</v>
      </c>
      <c r="S338" s="19">
        <f t="shared" si="43"/>
        <v>22.78</v>
      </c>
      <c r="T338" s="17" t="str">
        <f t="shared" si="44"/>
        <v>SQ *SHAKE SHACK MASTERCARD-XXXXXX3OPET8-Noah Zahrt</v>
      </c>
      <c r="U338" s="17" t="str">
        <f t="shared" si="45"/>
        <v>Brex Credit Card</v>
      </c>
      <c r="V338" s="19" t="str">
        <f>IF(ISBLANK($B338),"",IF(ISBLANK($K338),IF(_xlfn.XLOOKUP($W338,'Category Mapping'!$C:$C,'Category Mapping'!$B:$B)="Travel",_xlfn.XLOOKUP($P338,'Department Listing'!$A:$A,'Department Listing'!$M:$M),_xlfn.XLOOKUP($W338,'Category Mapping'!$C:$C,'Category Mapping'!$D:$D)),$K338))</f>
        <v>Cost of Goods Sold:COGS- Travel Expenses:</v>
      </c>
      <c r="W338" s="19" t="str">
        <f t="shared" si="46"/>
        <v>Meals &amp; Entertainment</v>
      </c>
      <c r="X338" s="19" t="str">
        <f t="shared" si="47"/>
        <v>Cost of Goods Sold:COGS- Travel Expenses:Meals &amp; Entertainment</v>
      </c>
      <c r="Y338" s="20" t="str">
        <f>IF(ISBLANK($M338),IFERROR(_xlfn.XLOOKUP($P338,'Department Listing'!$A:$A,'Department Listing'!$L:$L),""),$M338)</f>
        <v>300- ServiceNow:320- Engineering</v>
      </c>
      <c r="Z338" s="11">
        <f>IF(ISBLANK($B338),"",MATCH($X338,COA!$B:$B,0))</f>
        <v>126</v>
      </c>
    </row>
    <row r="339" spans="2:26" ht="15.75" customHeight="1" x14ac:dyDescent="0.25">
      <c r="B339" s="14">
        <v>46230</v>
      </c>
      <c r="C339" t="s">
        <v>522</v>
      </c>
      <c r="E339" s="23"/>
      <c r="F339" s="16">
        <v>47.96</v>
      </c>
      <c r="G339" s="10"/>
      <c r="H339" s="10"/>
      <c r="I339" s="9" t="s">
        <v>36</v>
      </c>
      <c r="J339" s="9"/>
      <c r="K339" s="9"/>
      <c r="L339" s="9" t="s">
        <v>78</v>
      </c>
      <c r="M339" s="9"/>
      <c r="N339" s="17"/>
      <c r="O339" s="17" t="str">
        <f t="shared" si="40"/>
        <v>Anthony Nguyen</v>
      </c>
      <c r="P339" s="17">
        <f>IFERROR(_xlfn.XLOOKUP(O339,'Department Listing'!$O$1:$O$395,'Department Listing'!$A$1:$A$395),IFERROR(_xlfn.XLOOKUP(O339,'Name Aliases'!$A$2:$A$1000,'Name Aliases'!$B$2:$B$1000),""))</f>
        <v>285</v>
      </c>
      <c r="Q339" s="18">
        <f t="shared" si="41"/>
        <v>46230</v>
      </c>
      <c r="R339" s="17" t="str">
        <f t="shared" si="42"/>
        <v>Food Vendor</v>
      </c>
      <c r="S339" s="19">
        <f t="shared" si="43"/>
        <v>47.96</v>
      </c>
      <c r="T339" s="17" t="str">
        <f t="shared" si="44"/>
        <v>AMK FENWAY PARK CONCES MASTERCARD-XXXXXXKVMT6N-Anthony Nguyen</v>
      </c>
      <c r="U339" s="17" t="str">
        <f t="shared" si="45"/>
        <v>Brex Credit Card</v>
      </c>
      <c r="V339" s="19" t="str">
        <f>IF(ISBLANK($B339),"",IF(ISBLANK($K339),IF(_xlfn.XLOOKUP($W339,'Category Mapping'!$C:$C,'Category Mapping'!$B:$B)="Travel",_xlfn.XLOOKUP($P339,'Department Listing'!$A:$A,'Department Listing'!$M:$M),_xlfn.XLOOKUP($W339,'Category Mapping'!$C:$C,'Category Mapping'!$D:$D)),$K339))</f>
        <v>Cost of Goods Sold:COGS- Travel Expenses:</v>
      </c>
      <c r="W339" s="19" t="str">
        <f t="shared" si="46"/>
        <v>Meals &amp; Entertainment</v>
      </c>
      <c r="X339" s="19" t="str">
        <f t="shared" si="47"/>
        <v>Cost of Goods Sold:COGS- Travel Expenses:Meals &amp; Entertainment</v>
      </c>
      <c r="Y339" s="20" t="str">
        <f>IF(ISBLANK($M339),IFERROR(_xlfn.XLOOKUP($P339,'Department Listing'!$A:$A,'Department Listing'!$L:$L),""),$M339)</f>
        <v>200- Datadog:220- Engineering</v>
      </c>
      <c r="Z339" s="11">
        <f>IF(ISBLANK($B339),"",MATCH($X339,COA!$B:$B,0))</f>
        <v>126</v>
      </c>
    </row>
    <row r="340" spans="2:26" ht="15.75" customHeight="1" x14ac:dyDescent="0.25">
      <c r="B340" s="14">
        <v>46230</v>
      </c>
      <c r="C340" t="s">
        <v>523</v>
      </c>
      <c r="E340" s="23" t="s">
        <v>76</v>
      </c>
      <c r="F340" s="16">
        <v>13.97</v>
      </c>
      <c r="G340" s="10"/>
      <c r="H340" s="10"/>
      <c r="I340" s="9" t="s">
        <v>36</v>
      </c>
      <c r="J340" s="9"/>
      <c r="K340" s="9"/>
      <c r="L340" s="9" t="s">
        <v>78</v>
      </c>
      <c r="M340" s="9"/>
      <c r="N340" s="17"/>
      <c r="O340" s="17" t="str">
        <f t="shared" si="40"/>
        <v>Daniel Levin</v>
      </c>
      <c r="P340" s="17">
        <f>IFERROR(_xlfn.XLOOKUP(O340,'Department Listing'!$O$1:$O$395,'Department Listing'!$A$1:$A$395),IFERROR(_xlfn.XLOOKUP(O340,'Name Aliases'!$A$2:$A$1000,'Name Aliases'!$B$2:$B$1000),""))</f>
        <v>291</v>
      </c>
      <c r="Q340" s="18">
        <f t="shared" si="41"/>
        <v>46230</v>
      </c>
      <c r="R340" s="17" t="str">
        <f t="shared" si="42"/>
        <v>Food Vendor</v>
      </c>
      <c r="S340" s="19">
        <f t="shared" si="43"/>
        <v>13.97</v>
      </c>
      <c r="T340" s="17" t="str">
        <f t="shared" si="44"/>
        <v>TST* GOGO YA MASTERCARD-XXXXXX82PJVI-Daniel Levin</v>
      </c>
      <c r="U340" s="17" t="str">
        <f t="shared" si="45"/>
        <v>Brex Credit Card</v>
      </c>
      <c r="V340" s="19" t="str">
        <f>IF(ISBLANK($B340),"",IF(ISBLANK($K340),IF(_xlfn.XLOOKUP($W340,'Category Mapping'!$C:$C,'Category Mapping'!$B:$B)="Travel",_xlfn.XLOOKUP($P340,'Department Listing'!$A:$A,'Department Listing'!$M:$M),_xlfn.XLOOKUP($W340,'Category Mapping'!$C:$C,'Category Mapping'!$D:$D)),$K340))</f>
        <v>General &amp; Administrative:G&amp;A- Travel Expenses:</v>
      </c>
      <c r="W340" s="19" t="str">
        <f t="shared" si="46"/>
        <v>Meals &amp; Entertainment</v>
      </c>
      <c r="X340" s="19" t="str">
        <f t="shared" si="47"/>
        <v>General &amp; Administrative:G&amp;A- Travel Expenses:Meals &amp; Entertainment</v>
      </c>
      <c r="Y340" s="20" t="str">
        <f>IF(ISBLANK($M340),IFERROR(_xlfn.XLOOKUP($P340,'Department Listing'!$A:$A,'Department Listing'!$L:$L),""),$M340)</f>
        <v>300- ServiceNow:320- Engineering</v>
      </c>
      <c r="Z340" s="11">
        <f>IF(ISBLANK($B340),"",MATCH($X340,COA!$B:$B,0))</f>
        <v>151</v>
      </c>
    </row>
    <row r="341" spans="2:26" ht="15.75" customHeight="1" x14ac:dyDescent="0.25">
      <c r="B341" s="14">
        <v>46231</v>
      </c>
      <c r="C341" t="s">
        <v>524</v>
      </c>
      <c r="E341" s="23" t="s">
        <v>76</v>
      </c>
      <c r="F341" s="16">
        <v>12.71</v>
      </c>
      <c r="G341" s="10"/>
      <c r="H341" s="10"/>
      <c r="I341" s="9" t="s">
        <v>263</v>
      </c>
      <c r="J341" s="9"/>
      <c r="K341" s="9"/>
      <c r="L341" s="9" t="s">
        <v>78</v>
      </c>
      <c r="M341" s="9"/>
      <c r="N341" s="17"/>
      <c r="O341" s="17" t="str">
        <f t="shared" si="40"/>
        <v>Austin Nadler</v>
      </c>
      <c r="P341" s="17">
        <f>IFERROR(_xlfn.XLOOKUP(O341,'Department Listing'!$O$1:$O$395,'Department Listing'!$A$1:$A$395),IFERROR(_xlfn.XLOOKUP(O341,'Name Aliases'!$A$2:$A$1000,'Name Aliases'!$B$2:$B$1000),""))</f>
        <v>176</v>
      </c>
      <c r="Q341" s="18">
        <f t="shared" si="41"/>
        <v>46231</v>
      </c>
      <c r="R341" s="17" t="str">
        <f t="shared" si="42"/>
        <v>Raising Canes</v>
      </c>
      <c r="S341" s="19">
        <f t="shared" si="43"/>
        <v>12.71</v>
      </c>
      <c r="T341" s="17" t="str">
        <f t="shared" si="44"/>
        <v>RAISING CANES 0676 MASTERCARD-XXXXXXQD76J5-Austin Nadler</v>
      </c>
      <c r="U341" s="17" t="str">
        <f t="shared" si="45"/>
        <v>Brex Credit Card</v>
      </c>
      <c r="V341" s="19" t="str">
        <f>IF(ISBLANK($B341),"",IF(ISBLANK($K341),IF(_xlfn.XLOOKUP($W341,'Category Mapping'!$C:$C,'Category Mapping'!$B:$B)="Travel",_xlfn.XLOOKUP($P341,'Department Listing'!$A:$A,'Department Listing'!$M:$M),_xlfn.XLOOKUP($W341,'Category Mapping'!$C:$C,'Category Mapping'!$D:$D)),$K341))</f>
        <v>Cost of Goods Sold:COGS- Travel Expenses:</v>
      </c>
      <c r="W341" s="19" t="str">
        <f t="shared" si="46"/>
        <v>Meals &amp; Entertainment</v>
      </c>
      <c r="X341" s="19" t="str">
        <f t="shared" si="47"/>
        <v>Cost of Goods Sold:COGS- Travel Expenses:Meals &amp; Entertainment</v>
      </c>
      <c r="Y341" s="20" t="str">
        <f>IF(ISBLANK($M341),IFERROR(_xlfn.XLOOKUP($P341,'Department Listing'!$A:$A,'Department Listing'!$L:$L),""),$M341)</f>
        <v>300- ServiceNow:320- Engineering</v>
      </c>
      <c r="Z341" s="11">
        <f>IF(ISBLANK($B341),"",MATCH($X341,COA!$B:$B,0))</f>
        <v>126</v>
      </c>
    </row>
    <row r="342" spans="2:26" ht="15.75" customHeight="1" x14ac:dyDescent="0.25">
      <c r="B342" s="14">
        <v>46230</v>
      </c>
      <c r="C342" t="s">
        <v>526</v>
      </c>
      <c r="E342" s="23"/>
      <c r="F342" s="16">
        <v>10.68</v>
      </c>
      <c r="G342" s="10"/>
      <c r="H342" s="10"/>
      <c r="I342" s="9" t="s">
        <v>36</v>
      </c>
      <c r="J342" s="9"/>
      <c r="K342" s="9"/>
      <c r="L342" s="9" t="s">
        <v>78</v>
      </c>
      <c r="M342" s="9"/>
      <c r="N342" s="17"/>
      <c r="O342" s="17" t="str">
        <f t="shared" si="40"/>
        <v>Jonathan Stricklin</v>
      </c>
      <c r="P342" s="17">
        <f>IFERROR(_xlfn.XLOOKUP(O342,'Department Listing'!$O$1:$O$395,'Department Listing'!$A$1:$A$395),IFERROR(_xlfn.XLOOKUP(O342,'Name Aliases'!$A$2:$A$1000,'Name Aliases'!$B$2:$B$1000),""))</f>
        <v>167</v>
      </c>
      <c r="Q342" s="18">
        <f t="shared" si="41"/>
        <v>46230</v>
      </c>
      <c r="R342" s="17" t="str">
        <f t="shared" si="42"/>
        <v>Food Vendor</v>
      </c>
      <c r="S342" s="19">
        <f t="shared" si="43"/>
        <v>10.68</v>
      </c>
      <c r="T342" s="17" t="str">
        <f t="shared" si="44"/>
        <v>SPO*FINAGLEABAGEL MASTERCARD-XXXXXXXFZE1R-Jonathan Stricklin</v>
      </c>
      <c r="U342" s="17" t="str">
        <f t="shared" si="45"/>
        <v>Brex Credit Card</v>
      </c>
      <c r="V342" s="19" t="str">
        <f>IF(ISBLANK($B342),"",IF(ISBLANK($K342),IF(_xlfn.XLOOKUP($W342,'Category Mapping'!$C:$C,'Category Mapping'!$B:$B)="Travel",_xlfn.XLOOKUP($P342,'Department Listing'!$A:$A,'Department Listing'!$M:$M),_xlfn.XLOOKUP($W342,'Category Mapping'!$C:$C,'Category Mapping'!$D:$D)),$K342))</f>
        <v>Cost of Goods Sold:COGS- Travel Expenses:</v>
      </c>
      <c r="W342" s="19" t="str">
        <f t="shared" si="46"/>
        <v>Meals &amp; Entertainment</v>
      </c>
      <c r="X342" s="19" t="str">
        <f t="shared" si="47"/>
        <v>Cost of Goods Sold:COGS- Travel Expenses:Meals &amp; Entertainment</v>
      </c>
      <c r="Y342" s="20" t="str">
        <f>IF(ISBLANK($M342),IFERROR(_xlfn.XLOOKUP($P342,'Department Listing'!$A:$A,'Department Listing'!$L:$L),""),$M342)</f>
        <v>300- ServiceNow:320- Engineering</v>
      </c>
      <c r="Z342" s="11">
        <f>IF(ISBLANK($B342),"",MATCH($X342,COA!$B:$B,0))</f>
        <v>126</v>
      </c>
    </row>
    <row r="343" spans="2:26" ht="15.75" customHeight="1" x14ac:dyDescent="0.25">
      <c r="B343" s="14">
        <v>46230</v>
      </c>
      <c r="C343" t="s">
        <v>527</v>
      </c>
      <c r="E343" s="23" t="s">
        <v>64</v>
      </c>
      <c r="F343" s="16">
        <v>34.950000000000003</v>
      </c>
      <c r="G343" s="10"/>
      <c r="H343" s="10"/>
      <c r="I343" s="9" t="s">
        <v>74</v>
      </c>
      <c r="J343" s="9"/>
      <c r="K343" s="9"/>
      <c r="L343" s="9" t="s">
        <v>66</v>
      </c>
      <c r="M343" s="9"/>
      <c r="N343" s="17"/>
      <c r="O343" s="17" t="str">
        <f t="shared" si="40"/>
        <v>Noah Zahrt</v>
      </c>
      <c r="P343" s="17">
        <f>IFERROR(_xlfn.XLOOKUP(O343,'Department Listing'!$O$1:$O$395,'Department Listing'!$A$1:$A$395),IFERROR(_xlfn.XLOOKUP(O343,'Name Aliases'!$A$2:$A$1000,'Name Aliases'!$B$2:$B$1000),""))</f>
        <v>228</v>
      </c>
      <c r="Q343" s="18">
        <f t="shared" si="41"/>
        <v>46230</v>
      </c>
      <c r="R343" s="17" t="str">
        <f t="shared" si="42"/>
        <v>Uber</v>
      </c>
      <c r="S343" s="19">
        <f t="shared" si="43"/>
        <v>34.950000000000003</v>
      </c>
      <c r="T343" s="17" t="str">
        <f t="shared" si="44"/>
        <v>UBER   *TRIP MASTERCARD-XXXXXX9Z923Z-Noah Zahrt</v>
      </c>
      <c r="U343" s="17" t="str">
        <f t="shared" si="45"/>
        <v>Brex Credit Card</v>
      </c>
      <c r="V343" s="19" t="str">
        <f>IF(ISBLANK($B343),"",IF(ISBLANK($K343),IF(_xlfn.XLOOKUP($W343,'Category Mapping'!$C:$C,'Category Mapping'!$B:$B)="Travel",_xlfn.XLOOKUP($P343,'Department Listing'!$A:$A,'Department Listing'!$M:$M),_xlfn.XLOOKUP($W343,'Category Mapping'!$C:$C,'Category Mapping'!$D:$D)),$K343))</f>
        <v>Cost of Goods Sold:COGS- Travel Expenses:</v>
      </c>
      <c r="W343" s="19" t="str">
        <f t="shared" si="46"/>
        <v>Ground Transportation</v>
      </c>
      <c r="X343" s="19" t="str">
        <f t="shared" si="47"/>
        <v>Cost of Goods Sold:COGS- Travel Expenses:Ground Transportation</v>
      </c>
      <c r="Y343" s="20" t="str">
        <f>IF(ISBLANK($M343),IFERROR(_xlfn.XLOOKUP($P343,'Department Listing'!$A:$A,'Department Listing'!$L:$L),""),$M343)</f>
        <v>300- ServiceNow:320- Engineering</v>
      </c>
      <c r="Z343" s="11">
        <f>IF(ISBLANK($B343),"",MATCH($X343,COA!$B:$B,0))</f>
        <v>124</v>
      </c>
    </row>
    <row r="344" spans="2:26" ht="15.75" customHeight="1" x14ac:dyDescent="0.25">
      <c r="B344" s="14">
        <v>46231</v>
      </c>
      <c r="C344" t="s">
        <v>528</v>
      </c>
      <c r="E344" s="23" t="s">
        <v>76</v>
      </c>
      <c r="F344" s="16">
        <v>21.12</v>
      </c>
      <c r="G344" s="10"/>
      <c r="H344" s="10"/>
      <c r="I344" s="9" t="s">
        <v>352</v>
      </c>
      <c r="J344" s="9"/>
      <c r="K344" s="9"/>
      <c r="L344" s="9" t="s">
        <v>78</v>
      </c>
      <c r="M344" s="9"/>
      <c r="N344" s="17"/>
      <c r="O344" s="17" t="str">
        <f t="shared" si="40"/>
        <v>Jonathan Stricklin</v>
      </c>
      <c r="P344" s="17">
        <f>IFERROR(_xlfn.XLOOKUP(O344,'Department Listing'!$O$1:$O$395,'Department Listing'!$A$1:$A$395),IFERROR(_xlfn.XLOOKUP(O344,'Name Aliases'!$A$2:$A$1000,'Name Aliases'!$B$2:$B$1000),""))</f>
        <v>167</v>
      </c>
      <c r="Q344" s="18">
        <f t="shared" si="41"/>
        <v>46231</v>
      </c>
      <c r="R344" s="17" t="str">
        <f t="shared" si="42"/>
        <v>Capital Burger</v>
      </c>
      <c r="S344" s="19">
        <f t="shared" si="43"/>
        <v>21.12</v>
      </c>
      <c r="T344" s="17" t="str">
        <f t="shared" si="44"/>
        <v>CAPITAL BURGER 0213402 MASTERCARD-XXXXXXIM7M96-Jonathan Stricklin</v>
      </c>
      <c r="U344" s="17" t="str">
        <f t="shared" si="45"/>
        <v>Brex Credit Card</v>
      </c>
      <c r="V344" s="19" t="str">
        <f>IF(ISBLANK($B344),"",IF(ISBLANK($K344),IF(_xlfn.XLOOKUP($W344,'Category Mapping'!$C:$C,'Category Mapping'!$B:$B)="Travel",_xlfn.XLOOKUP($P344,'Department Listing'!$A:$A,'Department Listing'!$M:$M),_xlfn.XLOOKUP($W344,'Category Mapping'!$C:$C,'Category Mapping'!$D:$D)),$K344))</f>
        <v>Cost of Goods Sold:COGS- Travel Expenses:</v>
      </c>
      <c r="W344" s="19" t="str">
        <f t="shared" si="46"/>
        <v>Meals &amp; Entertainment</v>
      </c>
      <c r="X344" s="19" t="str">
        <f t="shared" si="47"/>
        <v>Cost of Goods Sold:COGS- Travel Expenses:Meals &amp; Entertainment</v>
      </c>
      <c r="Y344" s="20" t="str">
        <f>IF(ISBLANK($M344),IFERROR(_xlfn.XLOOKUP($P344,'Department Listing'!$A:$A,'Department Listing'!$L:$L),""),$M344)</f>
        <v>300- ServiceNow:320- Engineering</v>
      </c>
      <c r="Z344" s="11">
        <f>IF(ISBLANK($B344),"",MATCH($X344,COA!$B:$B,0))</f>
        <v>126</v>
      </c>
    </row>
    <row r="345" spans="2:26" ht="15.75" customHeight="1" x14ac:dyDescent="0.25">
      <c r="B345" s="14">
        <v>46230</v>
      </c>
      <c r="C345" t="s">
        <v>529</v>
      </c>
      <c r="E345" s="23" t="s">
        <v>64</v>
      </c>
      <c r="F345" s="16">
        <v>30.95</v>
      </c>
      <c r="G345" s="10"/>
      <c r="H345" s="10"/>
      <c r="I345" s="9" t="s">
        <v>74</v>
      </c>
      <c r="J345" s="9"/>
      <c r="K345" s="9"/>
      <c r="L345" s="9" t="s">
        <v>66</v>
      </c>
      <c r="M345" s="9"/>
      <c r="N345" s="17"/>
      <c r="O345" s="17" t="str">
        <f t="shared" si="40"/>
        <v>Austin Nadler</v>
      </c>
      <c r="P345" s="17">
        <f>IFERROR(_xlfn.XLOOKUP(O345,'Department Listing'!$O$1:$O$395,'Department Listing'!$A$1:$A$395),IFERROR(_xlfn.XLOOKUP(O345,'Name Aliases'!$A$2:$A$1000,'Name Aliases'!$B$2:$B$1000),""))</f>
        <v>176</v>
      </c>
      <c r="Q345" s="18">
        <f t="shared" si="41"/>
        <v>46230</v>
      </c>
      <c r="R345" s="17" t="str">
        <f t="shared" si="42"/>
        <v>Uber</v>
      </c>
      <c r="S345" s="19">
        <f t="shared" si="43"/>
        <v>30.95</v>
      </c>
      <c r="T345" s="17" t="str">
        <f t="shared" si="44"/>
        <v>UBER   *TRIP MASTERCARD-XXXXXXUE09RY-Austin Nadler</v>
      </c>
      <c r="U345" s="17" t="str">
        <f t="shared" si="45"/>
        <v>Brex Credit Card</v>
      </c>
      <c r="V345" s="19" t="str">
        <f>IF(ISBLANK($B345),"",IF(ISBLANK($K345),IF(_xlfn.XLOOKUP($W345,'Category Mapping'!$C:$C,'Category Mapping'!$B:$B)="Travel",_xlfn.XLOOKUP($P345,'Department Listing'!$A:$A,'Department Listing'!$M:$M),_xlfn.XLOOKUP($W345,'Category Mapping'!$C:$C,'Category Mapping'!$D:$D)),$K345))</f>
        <v>Cost of Goods Sold:COGS- Travel Expenses:</v>
      </c>
      <c r="W345" s="19" t="str">
        <f t="shared" si="46"/>
        <v>Ground Transportation</v>
      </c>
      <c r="X345" s="19" t="str">
        <f t="shared" si="47"/>
        <v>Cost of Goods Sold:COGS- Travel Expenses:Ground Transportation</v>
      </c>
      <c r="Y345" s="20" t="str">
        <f>IF(ISBLANK($M345),IFERROR(_xlfn.XLOOKUP($P345,'Department Listing'!$A:$A,'Department Listing'!$L:$L),""),$M345)</f>
        <v>300- ServiceNow:320- Engineering</v>
      </c>
      <c r="Z345" s="11">
        <f>IF(ISBLANK($B345),"",MATCH($X345,COA!$B:$B,0))</f>
        <v>124</v>
      </c>
    </row>
    <row r="346" spans="2:26" ht="15.75" customHeight="1" x14ac:dyDescent="0.25">
      <c r="B346" s="14">
        <v>46230</v>
      </c>
      <c r="C346" t="s">
        <v>530</v>
      </c>
      <c r="E346" s="23"/>
      <c r="F346" s="16">
        <v>52.89</v>
      </c>
      <c r="G346" s="10"/>
      <c r="H346" s="10"/>
      <c r="I346" s="9" t="s">
        <v>36</v>
      </c>
      <c r="J346" s="9"/>
      <c r="K346" s="9"/>
      <c r="L346" s="9" t="s">
        <v>78</v>
      </c>
      <c r="M346" s="9"/>
      <c r="N346" s="17"/>
      <c r="O346" s="17" t="str">
        <f t="shared" si="40"/>
        <v>Anthony Nguyen</v>
      </c>
      <c r="P346" s="17">
        <f>IFERROR(_xlfn.XLOOKUP(O346,'Department Listing'!$O$1:$O$395,'Department Listing'!$A$1:$A$395),IFERROR(_xlfn.XLOOKUP(O346,'Name Aliases'!$A$2:$A$1000,'Name Aliases'!$B$2:$B$1000),""))</f>
        <v>285</v>
      </c>
      <c r="Q346" s="18">
        <f t="shared" si="41"/>
        <v>46230</v>
      </c>
      <c r="R346" s="17" t="str">
        <f t="shared" si="42"/>
        <v>Food Vendor</v>
      </c>
      <c r="S346" s="19">
        <f t="shared" si="43"/>
        <v>52.89</v>
      </c>
      <c r="T346" s="17" t="str">
        <f t="shared" si="44"/>
        <v>AMK FENWAY PARK CONCES MASTERCARD-XXXXXXW0SQXC-Anthony Nguyen</v>
      </c>
      <c r="U346" s="17" t="str">
        <f t="shared" si="45"/>
        <v>Brex Credit Card</v>
      </c>
      <c r="V346" s="19" t="str">
        <f>IF(ISBLANK($B346),"",IF(ISBLANK($K346),IF(_xlfn.XLOOKUP($W346,'Category Mapping'!$C:$C,'Category Mapping'!$B:$B)="Travel",_xlfn.XLOOKUP($P346,'Department Listing'!$A:$A,'Department Listing'!$M:$M),_xlfn.XLOOKUP($W346,'Category Mapping'!$C:$C,'Category Mapping'!$D:$D)),$K346))</f>
        <v>Cost of Goods Sold:COGS- Travel Expenses:</v>
      </c>
      <c r="W346" s="19" t="str">
        <f t="shared" si="46"/>
        <v>Meals &amp; Entertainment</v>
      </c>
      <c r="X346" s="19" t="str">
        <f t="shared" si="47"/>
        <v>Cost of Goods Sold:COGS- Travel Expenses:Meals &amp; Entertainment</v>
      </c>
      <c r="Y346" s="20" t="str">
        <f>IF(ISBLANK($M346),IFERROR(_xlfn.XLOOKUP($P346,'Department Listing'!$A:$A,'Department Listing'!$L:$L),""),$M346)</f>
        <v>200- Datadog:220- Engineering</v>
      </c>
      <c r="Z346" s="11">
        <f>IF(ISBLANK($B346),"",MATCH($X346,COA!$B:$B,0))</f>
        <v>126</v>
      </c>
    </row>
    <row r="347" spans="2:26" ht="15.75" customHeight="1" x14ac:dyDescent="0.25">
      <c r="B347" s="14">
        <v>46230</v>
      </c>
      <c r="C347" t="s">
        <v>531</v>
      </c>
      <c r="E347" s="23"/>
      <c r="F347" s="16">
        <v>8.2799999999999994</v>
      </c>
      <c r="G347" s="10"/>
      <c r="H347" s="10"/>
      <c r="I347" s="9" t="s">
        <v>36</v>
      </c>
      <c r="J347" s="9"/>
      <c r="K347" s="9"/>
      <c r="L347" s="9" t="s">
        <v>78</v>
      </c>
      <c r="M347" s="9"/>
      <c r="N347" s="17"/>
      <c r="O347" s="17" t="str">
        <f t="shared" si="40"/>
        <v>James Dean</v>
      </c>
      <c r="P347" s="17">
        <f>IFERROR(_xlfn.XLOOKUP(O347,'Department Listing'!$O$1:$O$395,'Department Listing'!$A$1:$A$395),IFERROR(_xlfn.XLOOKUP(O347,'Name Aliases'!$A$2:$A$1000,'Name Aliases'!$B$2:$B$1000),""))</f>
        <v>270</v>
      </c>
      <c r="Q347" s="18">
        <f t="shared" si="41"/>
        <v>46230</v>
      </c>
      <c r="R347" s="17" t="str">
        <f t="shared" si="42"/>
        <v>Food Vendor</v>
      </c>
      <c r="S347" s="19">
        <f t="shared" si="43"/>
        <v>8.2799999999999994</v>
      </c>
      <c r="T347" s="17" t="str">
        <f t="shared" si="44"/>
        <v>TRADER JOE S #566 MASTERCARD-XXXXXXP8BM7M-James Dean</v>
      </c>
      <c r="U347" s="17" t="str">
        <f t="shared" si="45"/>
        <v>Brex Credit Card</v>
      </c>
      <c r="V347" s="19" t="str">
        <f>IF(ISBLANK($B347),"",IF(ISBLANK($K347),IF(_xlfn.XLOOKUP($W347,'Category Mapping'!$C:$C,'Category Mapping'!$B:$B)="Travel",_xlfn.XLOOKUP($P347,'Department Listing'!$A:$A,'Department Listing'!$M:$M),_xlfn.XLOOKUP($W347,'Category Mapping'!$C:$C,'Category Mapping'!$D:$D)),$K347))</f>
        <v>Sales &amp; Marketing:Sales &amp; Marketing- Travel Expenses:</v>
      </c>
      <c r="W347" s="19" t="str">
        <f t="shared" si="46"/>
        <v>Meals &amp; Entertainment</v>
      </c>
      <c r="X347" s="19" t="str">
        <f t="shared" si="47"/>
        <v>Sales &amp; Marketing:Sales &amp; Marketing- Travel Expenses:Meals &amp; Entertainment</v>
      </c>
      <c r="Y347" s="20" t="str">
        <f>IF(ISBLANK($M347),IFERROR(_xlfn.XLOOKUP($P347,'Department Listing'!$A:$A,'Department Listing'!$L:$L),""),$M347)</f>
        <v>200- Datadog:230- Sales</v>
      </c>
      <c r="Z347" s="11">
        <f>IF(ISBLANK($B347),"",MATCH($X347,COA!$B:$B,0))</f>
        <v>202</v>
      </c>
    </row>
    <row r="348" spans="2:26" ht="15.75" customHeight="1" x14ac:dyDescent="0.25">
      <c r="B348" s="14">
        <v>46231</v>
      </c>
      <c r="C348" t="s">
        <v>532</v>
      </c>
      <c r="E348" s="23" t="s">
        <v>64</v>
      </c>
      <c r="F348" s="16">
        <v>28.98</v>
      </c>
      <c r="G348" s="10"/>
      <c r="H348" s="10"/>
      <c r="I348" s="9" t="s">
        <v>74</v>
      </c>
      <c r="J348" s="9"/>
      <c r="K348" s="9"/>
      <c r="L348" s="9" t="s">
        <v>66</v>
      </c>
      <c r="M348" s="9"/>
      <c r="N348" s="17"/>
      <c r="O348" s="17" t="str">
        <f t="shared" si="40"/>
        <v>Cody Sandford</v>
      </c>
      <c r="P348" s="17">
        <f>IFERROR(_xlfn.XLOOKUP(O348,'Department Listing'!$O$1:$O$395,'Department Listing'!$A$1:$A$395),IFERROR(_xlfn.XLOOKUP(O348,'Name Aliases'!$A$2:$A$1000,'Name Aliases'!$B$2:$B$1000),""))</f>
        <v>245</v>
      </c>
      <c r="Q348" s="18">
        <f t="shared" si="41"/>
        <v>46231</v>
      </c>
      <c r="R348" s="17" t="str">
        <f t="shared" si="42"/>
        <v>Uber</v>
      </c>
      <c r="S348" s="19">
        <f t="shared" si="43"/>
        <v>28.98</v>
      </c>
      <c r="T348" s="17" t="str">
        <f t="shared" si="44"/>
        <v>UBER   *TRIP MASTERCARD-XXXXXXSHQ9OE-Cody Sandford</v>
      </c>
      <c r="U348" s="17" t="str">
        <f t="shared" si="45"/>
        <v>Brex Credit Card</v>
      </c>
      <c r="V348" s="19" t="str">
        <f>IF(ISBLANK($B348),"",IF(ISBLANK($K348),IF(_xlfn.XLOOKUP($W348,'Category Mapping'!$C:$C,'Category Mapping'!$B:$B)="Travel",_xlfn.XLOOKUP($P348,'Department Listing'!$A:$A,'Department Listing'!$M:$M),_xlfn.XLOOKUP($W348,'Category Mapping'!$C:$C,'Category Mapping'!$D:$D)),$K348))</f>
        <v>Cost of Goods Sold:COGS- Travel Expenses:</v>
      </c>
      <c r="W348" s="19" t="str">
        <f t="shared" si="46"/>
        <v>Ground Transportation</v>
      </c>
      <c r="X348" s="19" t="str">
        <f t="shared" si="47"/>
        <v>Cost of Goods Sold:COGS- Travel Expenses:Ground Transportation</v>
      </c>
      <c r="Y348" s="20" t="str">
        <f>IF(ISBLANK($M348),IFERROR(_xlfn.XLOOKUP($P348,'Department Listing'!$A:$A,'Department Listing'!$L:$L),""),$M348)</f>
        <v>300- ServiceNow:320- Engineering</v>
      </c>
      <c r="Z348" s="11">
        <f>IF(ISBLANK($B348),"",MATCH($X348,COA!$B:$B,0))</f>
        <v>124</v>
      </c>
    </row>
    <row r="349" spans="2:26" ht="15.75" customHeight="1" x14ac:dyDescent="0.25">
      <c r="B349" s="14">
        <v>46230</v>
      </c>
      <c r="C349" t="s">
        <v>533</v>
      </c>
      <c r="E349" s="23" t="s">
        <v>64</v>
      </c>
      <c r="F349" s="16">
        <v>78.989999999999995</v>
      </c>
      <c r="G349" s="10"/>
      <c r="H349" s="10"/>
      <c r="I349" s="9" t="s">
        <v>74</v>
      </c>
      <c r="J349" s="9"/>
      <c r="K349" s="9"/>
      <c r="L349" s="9" t="s">
        <v>66</v>
      </c>
      <c r="M349" s="9"/>
      <c r="N349" s="17"/>
      <c r="O349" s="17" t="str">
        <f t="shared" si="40"/>
        <v>Leslee Brady</v>
      </c>
      <c r="P349" s="17">
        <f>IFERROR(_xlfn.XLOOKUP(O349,'Department Listing'!$O$1:$O$395,'Department Listing'!$A$1:$A$395),IFERROR(_xlfn.XLOOKUP(O349,'Name Aliases'!$A$2:$A$1000,'Name Aliases'!$B$2:$B$1000),""))</f>
        <v>103</v>
      </c>
      <c r="Q349" s="18">
        <f t="shared" si="41"/>
        <v>46230</v>
      </c>
      <c r="R349" s="17" t="str">
        <f t="shared" si="42"/>
        <v>Uber</v>
      </c>
      <c r="S349" s="19">
        <f t="shared" si="43"/>
        <v>78.989999999999995</v>
      </c>
      <c r="T349" s="17" t="str">
        <f t="shared" si="44"/>
        <v>UBER   *TRIP MASTERCARD-XXXXXXWAKSGS-Leslee Brady</v>
      </c>
      <c r="U349" s="17" t="str">
        <f t="shared" si="45"/>
        <v>Brex Credit Card</v>
      </c>
      <c r="V349" s="19" t="str">
        <f>IF(ISBLANK($B349),"",IF(ISBLANK($K349),IF(_xlfn.XLOOKUP($W349,'Category Mapping'!$C:$C,'Category Mapping'!$B:$B)="Travel",_xlfn.XLOOKUP($P349,'Department Listing'!$A:$A,'Department Listing'!$M:$M),_xlfn.XLOOKUP($W349,'Category Mapping'!$C:$C,'Category Mapping'!$D:$D)),$K349))</f>
        <v>Sales &amp; Marketing:Sales &amp; Marketing- Travel Expenses:</v>
      </c>
      <c r="W349" s="19" t="str">
        <f t="shared" si="46"/>
        <v>Ground Transportation</v>
      </c>
      <c r="X349" s="19" t="str">
        <f t="shared" si="47"/>
        <v>Sales &amp; Marketing:Sales &amp; Marketing- Travel Expenses:Ground Transportation</v>
      </c>
      <c r="Y349" s="20" t="str">
        <f>IF(ISBLANK($M349),IFERROR(_xlfn.XLOOKUP($P349,'Department Listing'!$A:$A,'Department Listing'!$L:$L),""),$M349)</f>
        <v>100- Operations:120- Marketing</v>
      </c>
      <c r="Z349" s="11">
        <f>IF(ISBLANK($B349),"",MATCH($X349,COA!$B:$B,0))</f>
        <v>200</v>
      </c>
    </row>
    <row r="350" spans="2:26" ht="15.75" customHeight="1" x14ac:dyDescent="0.25">
      <c r="B350" s="14">
        <v>46231</v>
      </c>
      <c r="C350" t="s">
        <v>534</v>
      </c>
      <c r="E350" s="23"/>
      <c r="F350" s="16">
        <v>70</v>
      </c>
      <c r="G350" s="10"/>
      <c r="H350" s="10"/>
      <c r="I350" s="9" t="s">
        <v>36</v>
      </c>
      <c r="J350" s="9"/>
      <c r="K350" s="9"/>
      <c r="L350" s="9" t="s">
        <v>78</v>
      </c>
      <c r="M350" s="9"/>
      <c r="N350" s="17"/>
      <c r="O350" s="17" t="str">
        <f t="shared" si="40"/>
        <v>Jared Kennedy</v>
      </c>
      <c r="P350" s="17">
        <f>IFERROR(_xlfn.XLOOKUP(O350,'Department Listing'!$O$1:$O$395,'Department Listing'!$A$1:$A$395),IFERROR(_xlfn.XLOOKUP(O350,'Name Aliases'!$A$2:$A$1000,'Name Aliases'!$B$2:$B$1000),""))</f>
        <v>289</v>
      </c>
      <c r="Q350" s="18">
        <f t="shared" si="41"/>
        <v>46231</v>
      </c>
      <c r="R350" s="17" t="str">
        <f t="shared" si="42"/>
        <v>Food Vendor</v>
      </c>
      <c r="S350" s="19">
        <f t="shared" si="43"/>
        <v>70</v>
      </c>
      <c r="T350" s="17" t="str">
        <f t="shared" si="44"/>
        <v>BLEACHER BAR MASTERCARD-XXXXXXLWS181-Jared Kennedy</v>
      </c>
      <c r="U350" s="17" t="str">
        <f t="shared" si="45"/>
        <v>Brex Credit Card</v>
      </c>
      <c r="V350" s="19" t="str">
        <f>IF(ISBLANK($B350),"",IF(ISBLANK($K350),IF(_xlfn.XLOOKUP($W350,'Category Mapping'!$C:$C,'Category Mapping'!$B:$B)="Travel",_xlfn.XLOOKUP($P350,'Department Listing'!$A:$A,'Department Listing'!$M:$M),_xlfn.XLOOKUP($W350,'Category Mapping'!$C:$C,'Category Mapping'!$D:$D)),$K350))</f>
        <v>Sales &amp; Marketing:Sales &amp; Marketing- Travel Expenses:</v>
      </c>
      <c r="W350" s="19" t="str">
        <f t="shared" si="46"/>
        <v>Meals &amp; Entertainment</v>
      </c>
      <c r="X350" s="19" t="str">
        <f t="shared" si="47"/>
        <v>Sales &amp; Marketing:Sales &amp; Marketing- Travel Expenses:Meals &amp; Entertainment</v>
      </c>
      <c r="Y350" s="20" t="str">
        <f>IF(ISBLANK($M350),IFERROR(_xlfn.XLOOKUP($P350,'Department Listing'!$A:$A,'Department Listing'!$L:$L),""),$M350)</f>
        <v>200- Datadog:230- Sales</v>
      </c>
      <c r="Z350" s="11">
        <f>IF(ISBLANK($B350),"",MATCH($X350,COA!$B:$B,0))</f>
        <v>202</v>
      </c>
    </row>
    <row r="351" spans="2:26" ht="15.75" customHeight="1" x14ac:dyDescent="0.25">
      <c r="B351" s="14">
        <v>46230</v>
      </c>
      <c r="C351" t="s">
        <v>535</v>
      </c>
      <c r="E351" s="23" t="s">
        <v>147</v>
      </c>
      <c r="F351" s="16">
        <v>16.61</v>
      </c>
      <c r="G351" s="10"/>
      <c r="H351" s="10"/>
      <c r="I351" s="9" t="s">
        <v>517</v>
      </c>
      <c r="J351" s="9"/>
      <c r="K351" s="9"/>
      <c r="L351" s="9" t="s">
        <v>149</v>
      </c>
      <c r="M351" s="9"/>
      <c r="N351" s="17"/>
      <c r="O351" s="17" t="str">
        <f t="shared" si="40"/>
        <v>Leslee Brady</v>
      </c>
      <c r="P351" s="17">
        <f>IFERROR(_xlfn.XLOOKUP(O351,'Department Listing'!$O$1:$O$395,'Department Listing'!$A$1:$A$395),IFERROR(_xlfn.XLOOKUP(O351,'Name Aliases'!$A$2:$A$1000,'Name Aliases'!$B$2:$B$1000),""))</f>
        <v>103</v>
      </c>
      <c r="Q351" s="18">
        <f t="shared" si="41"/>
        <v>46230</v>
      </c>
      <c r="R351" s="17" t="str">
        <f t="shared" si="42"/>
        <v>Hudson News</v>
      </c>
      <c r="S351" s="19">
        <f t="shared" si="43"/>
        <v>16.61</v>
      </c>
      <c r="T351" s="17" t="str">
        <f t="shared" si="44"/>
        <v>BOS HUDSON NEWS ST1939 MASTERCARD-XXXXXXD8K62A-Leslee Brady</v>
      </c>
      <c r="U351" s="17" t="str">
        <f t="shared" si="45"/>
        <v>Brex Credit Card</v>
      </c>
      <c r="V351" s="19" t="str">
        <f>IF(ISBLANK($B351),"",IF(ISBLANK($K351),IF(_xlfn.XLOOKUP($W351,'Category Mapping'!$C:$C,'Category Mapping'!$B:$B)="Travel",_xlfn.XLOOKUP($P351,'Department Listing'!$A:$A,'Department Listing'!$M:$M),_xlfn.XLOOKUP($W351,'Category Mapping'!$C:$C,'Category Mapping'!$D:$D)),$K351))</f>
        <v>Sales &amp; Marketing:Sales &amp; Marketing- Travel Expenses:</v>
      </c>
      <c r="W351" s="19" t="str">
        <f t="shared" si="46"/>
        <v>Other Travel Expenses</v>
      </c>
      <c r="X351" s="19" t="str">
        <f t="shared" si="47"/>
        <v>Sales &amp; Marketing:Sales &amp; Marketing- Travel Expenses:Other Travel Expenses</v>
      </c>
      <c r="Y351" s="20" t="str">
        <f>IF(ISBLANK($M351),IFERROR(_xlfn.XLOOKUP($P351,'Department Listing'!$A:$A,'Department Listing'!$L:$L),""),$M351)</f>
        <v>100- Operations:120- Marketing</v>
      </c>
      <c r="Z351" s="11">
        <f>IF(ISBLANK($B351),"",MATCH($X351,COA!$B:$B,0))</f>
        <v>203</v>
      </c>
    </row>
    <row r="352" spans="2:26" ht="15.75" customHeight="1" x14ac:dyDescent="0.25">
      <c r="B352" s="14">
        <v>46230</v>
      </c>
      <c r="C352" t="s">
        <v>536</v>
      </c>
      <c r="E352" s="23"/>
      <c r="F352" s="16">
        <v>45</v>
      </c>
      <c r="G352" s="10"/>
      <c r="H352" s="10"/>
      <c r="I352" s="9" t="s">
        <v>164</v>
      </c>
      <c r="J352" s="9"/>
      <c r="K352" s="9"/>
      <c r="L352" s="9" t="s">
        <v>165</v>
      </c>
      <c r="M352" s="9"/>
      <c r="N352" s="17"/>
      <c r="O352" s="17" t="str">
        <f t="shared" si="40"/>
        <v>Jason Staake</v>
      </c>
      <c r="P352" s="17">
        <f>IFERROR(_xlfn.XLOOKUP(O352,'Department Listing'!$O$1:$O$395,'Department Listing'!$A$1:$A$395),IFERROR(_xlfn.XLOOKUP(O352,'Name Aliases'!$A$2:$A$1000,'Name Aliases'!$B$2:$B$1000),""))</f>
        <v>242</v>
      </c>
      <c r="Q352" s="18">
        <f t="shared" si="41"/>
        <v>46230</v>
      </c>
      <c r="R352" s="17" t="str">
        <f t="shared" si="42"/>
        <v>Delta</v>
      </c>
      <c r="S352" s="19">
        <f t="shared" si="43"/>
        <v>45</v>
      </c>
      <c r="T352" s="17" t="str">
        <f t="shared" si="44"/>
        <v>DELTA MASTERCARD-XXXXXXY071FU-Jason Staake</v>
      </c>
      <c r="U352" s="17" t="str">
        <f t="shared" si="45"/>
        <v>Brex Credit Card</v>
      </c>
      <c r="V352" s="19" t="str">
        <f>IF(ISBLANK($B352),"",IF(ISBLANK($K352),IF(_xlfn.XLOOKUP($W352,'Category Mapping'!$C:$C,'Category Mapping'!$B:$B)="Travel",_xlfn.XLOOKUP($P352,'Department Listing'!$A:$A,'Department Listing'!$M:$M),_xlfn.XLOOKUP($W352,'Category Mapping'!$C:$C,'Category Mapping'!$D:$D)),$K352))</f>
        <v>Cost of Goods Sold:COGS- Travel Expenses:</v>
      </c>
      <c r="W352" s="19" t="str">
        <f t="shared" si="46"/>
        <v>Airfare</v>
      </c>
      <c r="X352" s="19" t="str">
        <f t="shared" si="47"/>
        <v>Cost of Goods Sold:COGS- Travel Expenses:Airfare</v>
      </c>
      <c r="Y352" s="20" t="str">
        <f>IF(ISBLANK($M352),IFERROR(_xlfn.XLOOKUP($P352,'Department Listing'!$A:$A,'Department Listing'!$L:$L),""),$M352)</f>
        <v>300- ServiceNow:320- Engineering</v>
      </c>
      <c r="Z352" s="11">
        <f>IF(ISBLANK($B352),"",MATCH($X352,COA!$B:$B,0))</f>
        <v>123</v>
      </c>
    </row>
    <row r="353" spans="2:26" ht="15.75" customHeight="1" x14ac:dyDescent="0.25">
      <c r="B353" s="14">
        <v>46230</v>
      </c>
      <c r="C353" t="s">
        <v>537</v>
      </c>
      <c r="E353" s="23" t="s">
        <v>64</v>
      </c>
      <c r="F353" s="16">
        <v>12.96</v>
      </c>
      <c r="G353" s="10"/>
      <c r="H353" s="10"/>
      <c r="I353" s="9" t="s">
        <v>74</v>
      </c>
      <c r="J353" s="9"/>
      <c r="K353" s="9"/>
      <c r="L353" s="9" t="s">
        <v>66</v>
      </c>
      <c r="M353" s="9"/>
      <c r="N353" s="17"/>
      <c r="O353" s="17" t="str">
        <f t="shared" si="40"/>
        <v>Anthony Nguyen</v>
      </c>
      <c r="P353" s="17">
        <f>IFERROR(_xlfn.XLOOKUP(O353,'Department Listing'!$O$1:$O$395,'Department Listing'!$A$1:$A$395),IFERROR(_xlfn.XLOOKUP(O353,'Name Aliases'!$A$2:$A$1000,'Name Aliases'!$B$2:$B$1000),""))</f>
        <v>285</v>
      </c>
      <c r="Q353" s="18">
        <f t="shared" si="41"/>
        <v>46230</v>
      </c>
      <c r="R353" s="17" t="str">
        <f t="shared" si="42"/>
        <v>Uber</v>
      </c>
      <c r="S353" s="19">
        <f t="shared" si="43"/>
        <v>12.96</v>
      </c>
      <c r="T353" s="17" t="str">
        <f t="shared" si="44"/>
        <v>UBER   *TRIP MASTERCARD-XXXXXXHGAH81-Anthony Nguyen</v>
      </c>
      <c r="U353" s="17" t="str">
        <f t="shared" si="45"/>
        <v>Brex Credit Card</v>
      </c>
      <c r="V353" s="19" t="str">
        <f>IF(ISBLANK($B353),"",IF(ISBLANK($K353),IF(_xlfn.XLOOKUP($W353,'Category Mapping'!$C:$C,'Category Mapping'!$B:$B)="Travel",_xlfn.XLOOKUP($P353,'Department Listing'!$A:$A,'Department Listing'!$M:$M),_xlfn.XLOOKUP($W353,'Category Mapping'!$C:$C,'Category Mapping'!$D:$D)),$K353))</f>
        <v>Cost of Goods Sold:COGS- Travel Expenses:</v>
      </c>
      <c r="W353" s="19" t="str">
        <f t="shared" si="46"/>
        <v>Ground Transportation</v>
      </c>
      <c r="X353" s="19" t="str">
        <f t="shared" si="47"/>
        <v>Cost of Goods Sold:COGS- Travel Expenses:Ground Transportation</v>
      </c>
      <c r="Y353" s="20" t="str">
        <f>IF(ISBLANK($M353),IFERROR(_xlfn.XLOOKUP($P353,'Department Listing'!$A:$A,'Department Listing'!$L:$L),""),$M353)</f>
        <v>200- Datadog:220- Engineering</v>
      </c>
      <c r="Z353" s="11">
        <f>IF(ISBLANK($B353),"",MATCH($X353,COA!$B:$B,0))</f>
        <v>124</v>
      </c>
    </row>
    <row r="354" spans="2:26" ht="15.75" customHeight="1" x14ac:dyDescent="0.25">
      <c r="B354" s="14">
        <v>46230</v>
      </c>
      <c r="C354" t="s">
        <v>538</v>
      </c>
      <c r="E354" s="23" t="s">
        <v>64</v>
      </c>
      <c r="F354" s="16">
        <v>31.44</v>
      </c>
      <c r="G354" s="10"/>
      <c r="H354" s="10"/>
      <c r="I354" s="9" t="s">
        <v>74</v>
      </c>
      <c r="J354" s="9"/>
      <c r="K354" s="9"/>
      <c r="L354" s="9" t="s">
        <v>66</v>
      </c>
      <c r="M354" s="9"/>
      <c r="N354" s="17"/>
      <c r="O354" s="17" t="str">
        <f t="shared" si="40"/>
        <v>Adam Hansen</v>
      </c>
      <c r="P354" s="17">
        <f>IFERROR(_xlfn.XLOOKUP(O354,'Department Listing'!$O$1:$O$395,'Department Listing'!$A$1:$A$395),IFERROR(_xlfn.XLOOKUP(O354,'Name Aliases'!$A$2:$A$1000,'Name Aliases'!$B$2:$B$1000),""))</f>
        <v>164</v>
      </c>
      <c r="Q354" s="18">
        <f t="shared" si="41"/>
        <v>46230</v>
      </c>
      <c r="R354" s="17" t="str">
        <f t="shared" si="42"/>
        <v>Uber</v>
      </c>
      <c r="S354" s="19">
        <f t="shared" si="43"/>
        <v>31.44</v>
      </c>
      <c r="T354" s="17" t="str">
        <f t="shared" si="44"/>
        <v>UBER   *TRIP MASTERCARD-XXXXXX5TZ52V-Adam Hansen</v>
      </c>
      <c r="U354" s="17" t="str">
        <f t="shared" si="45"/>
        <v>Brex Credit Card</v>
      </c>
      <c r="V354" s="19" t="str">
        <f>IF(ISBLANK($B354),"",IF(ISBLANK($K354),IF(_xlfn.XLOOKUP($W354,'Category Mapping'!$C:$C,'Category Mapping'!$B:$B)="Travel",_xlfn.XLOOKUP($P354,'Department Listing'!$A:$A,'Department Listing'!$M:$M),_xlfn.XLOOKUP($W354,'Category Mapping'!$C:$C,'Category Mapping'!$D:$D)),$K354))</f>
        <v>Cost of Goods Sold:COGS- Travel Expenses:</v>
      </c>
      <c r="W354" s="19" t="str">
        <f t="shared" si="46"/>
        <v>Ground Transportation</v>
      </c>
      <c r="X354" s="19" t="str">
        <f t="shared" si="47"/>
        <v>Cost of Goods Sold:COGS- Travel Expenses:Ground Transportation</v>
      </c>
      <c r="Y354" s="20" t="str">
        <f>IF(ISBLANK($M354),IFERROR(_xlfn.XLOOKUP($P354,'Department Listing'!$A:$A,'Department Listing'!$L:$L),""),$M354)</f>
        <v>300- ServiceNow:320- Engineering</v>
      </c>
      <c r="Z354" s="11">
        <f>IF(ISBLANK($B354),"",MATCH($X354,COA!$B:$B,0))</f>
        <v>124</v>
      </c>
    </row>
    <row r="355" spans="2:26" ht="15.75" customHeight="1" x14ac:dyDescent="0.25">
      <c r="B355" s="14">
        <v>46231</v>
      </c>
      <c r="C355" t="s">
        <v>540</v>
      </c>
      <c r="E355" s="23"/>
      <c r="F355" s="16">
        <v>69.78</v>
      </c>
      <c r="G355" s="10"/>
      <c r="H355" s="10"/>
      <c r="I355" s="9" t="s">
        <v>36</v>
      </c>
      <c r="J355" s="9"/>
      <c r="K355" s="9"/>
      <c r="L355" s="9" t="s">
        <v>78</v>
      </c>
      <c r="M355" s="9"/>
      <c r="N355" s="17"/>
      <c r="O355" s="17" t="str">
        <f t="shared" si="40"/>
        <v>Michael Christinsen</v>
      </c>
      <c r="P355" s="17">
        <f>IFERROR(_xlfn.XLOOKUP(O355,'Department Listing'!$O$1:$O$395,'Department Listing'!$A$1:$A$395),IFERROR(_xlfn.XLOOKUP(O355,'Name Aliases'!$A$2:$A$1000,'Name Aliases'!$B$2:$B$1000),""))</f>
        <v>58</v>
      </c>
      <c r="Q355" s="18">
        <f t="shared" si="41"/>
        <v>46231</v>
      </c>
      <c r="R355" s="17" t="str">
        <f t="shared" si="42"/>
        <v>Food Vendor</v>
      </c>
      <c r="S355" s="19">
        <f t="shared" si="43"/>
        <v>69.78</v>
      </c>
      <c r="T355" s="17" t="str">
        <f t="shared" si="44"/>
        <v>STEPHANIE S ON NEWBURY MASTERCARD-XXXXXXWJA9B5-Michael Christinsen</v>
      </c>
      <c r="U355" s="17" t="str">
        <f t="shared" si="45"/>
        <v>Brex Credit Card</v>
      </c>
      <c r="V355" s="19" t="str">
        <f>IF(ISBLANK($B355),"",IF(ISBLANK($K355),IF(_xlfn.XLOOKUP($W355,'Category Mapping'!$C:$C,'Category Mapping'!$B:$B)="Travel",_xlfn.XLOOKUP($P355,'Department Listing'!$A:$A,'Department Listing'!$M:$M),_xlfn.XLOOKUP($W355,'Category Mapping'!$C:$C,'Category Mapping'!$D:$D)),$K355))</f>
        <v>Cost of Goods Sold:COGS- Travel Expenses:</v>
      </c>
      <c r="W355" s="19" t="str">
        <f t="shared" si="46"/>
        <v>Meals &amp; Entertainment</v>
      </c>
      <c r="X355" s="19" t="str">
        <f t="shared" si="47"/>
        <v>Cost of Goods Sold:COGS- Travel Expenses:Meals &amp; Entertainment</v>
      </c>
      <c r="Y355" s="20" t="str">
        <f>IF(ISBLANK($M355),IFERROR(_xlfn.XLOOKUP($P355,'Department Listing'!$A:$A,'Department Listing'!$L:$L),""),$M355)</f>
        <v>200- Datadog:220- Engineering</v>
      </c>
      <c r="Z355" s="11">
        <f>IF(ISBLANK($B355),"",MATCH($X355,COA!$B:$B,0))</f>
        <v>126</v>
      </c>
    </row>
    <row r="356" spans="2:26" ht="15.75" customHeight="1" x14ac:dyDescent="0.25">
      <c r="B356" s="14">
        <v>46230</v>
      </c>
      <c r="C356" t="s">
        <v>541</v>
      </c>
      <c r="E356" s="23"/>
      <c r="F356" s="16">
        <v>5</v>
      </c>
      <c r="G356" s="10"/>
      <c r="H356" s="10"/>
      <c r="I356" s="9" t="s">
        <v>36</v>
      </c>
      <c r="J356" s="9"/>
      <c r="K356" s="9"/>
      <c r="L356" s="9" t="s">
        <v>78</v>
      </c>
      <c r="M356" s="9"/>
      <c r="N356" s="17"/>
      <c r="O356" s="17" t="str">
        <f t="shared" si="40"/>
        <v>Robert Witty</v>
      </c>
      <c r="P356" s="17">
        <f>IFERROR(_xlfn.XLOOKUP(O356,'Department Listing'!$O$1:$O$395,'Department Listing'!$A$1:$A$395),IFERROR(_xlfn.XLOOKUP(O356,'Name Aliases'!$A$2:$A$1000,'Name Aliases'!$B$2:$B$1000),""))</f>
        <v>74</v>
      </c>
      <c r="Q356" s="18">
        <f t="shared" si="41"/>
        <v>46230</v>
      </c>
      <c r="R356" s="17" t="str">
        <f t="shared" si="42"/>
        <v>Food Vendor</v>
      </c>
      <c r="S356" s="19">
        <f t="shared" si="43"/>
        <v>5</v>
      </c>
      <c r="T356" s="17" t="str">
        <f t="shared" si="44"/>
        <v>SPRINGFIELD BRANCH MASTERCARD-XXXXXXU3ADFL-Robert Witty</v>
      </c>
      <c r="U356" s="17" t="str">
        <f t="shared" si="45"/>
        <v>Brex Credit Card</v>
      </c>
      <c r="V356" s="19" t="str">
        <f>IF(ISBLANK($B356),"",IF(ISBLANK($K356),IF(_xlfn.XLOOKUP($W356,'Category Mapping'!$C:$C,'Category Mapping'!$B:$B)="Travel",_xlfn.XLOOKUP($P356,'Department Listing'!$A:$A,'Department Listing'!$M:$M),_xlfn.XLOOKUP($W356,'Category Mapping'!$C:$C,'Category Mapping'!$D:$D)),$K356))</f>
        <v>Cost of Goods Sold:COGS- Travel Expenses:</v>
      </c>
      <c r="W356" s="19" t="str">
        <f t="shared" si="46"/>
        <v>Meals &amp; Entertainment</v>
      </c>
      <c r="X356" s="19" t="str">
        <f t="shared" si="47"/>
        <v>Cost of Goods Sold:COGS- Travel Expenses:Meals &amp; Entertainment</v>
      </c>
      <c r="Y356" s="20" t="str">
        <f>IF(ISBLANK($M356),IFERROR(_xlfn.XLOOKUP($P356,'Department Listing'!$A:$A,'Department Listing'!$L:$L),""),$M356)</f>
        <v>300- ServiceNow:320- Engineering</v>
      </c>
      <c r="Z356" s="11">
        <f>IF(ISBLANK($B356),"",MATCH($X356,COA!$B:$B,0))</f>
        <v>126</v>
      </c>
    </row>
    <row r="357" spans="2:26" ht="15.75" customHeight="1" x14ac:dyDescent="0.25">
      <c r="B357" s="14">
        <v>46230</v>
      </c>
      <c r="C357" t="s">
        <v>542</v>
      </c>
      <c r="E357" s="23"/>
      <c r="F357" s="16">
        <v>30</v>
      </c>
      <c r="G357" s="10"/>
      <c r="H357" s="10"/>
      <c r="I357" s="9" t="s">
        <v>34</v>
      </c>
      <c r="J357" s="9"/>
      <c r="K357" s="9"/>
      <c r="L357" s="9" t="s">
        <v>66</v>
      </c>
      <c r="M357" s="9"/>
      <c r="N357" s="17"/>
      <c r="O357" s="17" t="str">
        <f t="shared" si="40"/>
        <v>Erik Williams</v>
      </c>
      <c r="P357" s="17">
        <f>IFERROR(_xlfn.XLOOKUP(O357,'Department Listing'!$O$1:$O$395,'Department Listing'!$A$1:$A$395),IFERROR(_xlfn.XLOOKUP(O357,'Name Aliases'!$A$2:$A$1000,'Name Aliases'!$B$2:$B$1000),""))</f>
        <v>7</v>
      </c>
      <c r="Q357" s="18">
        <f t="shared" si="41"/>
        <v>46230</v>
      </c>
      <c r="R357" s="17" t="str">
        <f t="shared" si="42"/>
        <v>Taxi Vendor</v>
      </c>
      <c r="S357" s="19">
        <f t="shared" si="43"/>
        <v>30</v>
      </c>
      <c r="T357" s="17" t="str">
        <f t="shared" si="44"/>
        <v>BOSTON EXPRESS WEBSTOR MASTERCARD-XXXXXXO4OD1B-Erik Williams</v>
      </c>
      <c r="U357" s="17" t="str">
        <f t="shared" si="45"/>
        <v>Brex Credit Card</v>
      </c>
      <c r="V357" s="19" t="str">
        <f>IF(ISBLANK($B357),"",IF(ISBLANK($K357),IF(_xlfn.XLOOKUP($W357,'Category Mapping'!$C:$C,'Category Mapping'!$B:$B)="Travel",_xlfn.XLOOKUP($P357,'Department Listing'!$A:$A,'Department Listing'!$M:$M),_xlfn.XLOOKUP($W357,'Category Mapping'!$C:$C,'Category Mapping'!$D:$D)),$K357))</f>
        <v>Cost of Goods Sold:COGS- Travel Expenses:</v>
      </c>
      <c r="W357" s="19" t="str">
        <f t="shared" si="46"/>
        <v>Ground Transportation</v>
      </c>
      <c r="X357" s="19" t="str">
        <f t="shared" si="47"/>
        <v>Cost of Goods Sold:COGS- Travel Expenses:Ground Transportation</v>
      </c>
      <c r="Y357" s="20" t="str">
        <f>IF(ISBLANK($M357),IFERROR(_xlfn.XLOOKUP($P357,'Department Listing'!$A:$A,'Department Listing'!$L:$L),""),$M357)</f>
        <v>400- Synechron:410- Digital platforms G&amp;A</v>
      </c>
      <c r="Z357" s="11">
        <f>IF(ISBLANK($B357),"",MATCH($X357,COA!$B:$B,0))</f>
        <v>124</v>
      </c>
    </row>
    <row r="358" spans="2:26" ht="15.75" customHeight="1" x14ac:dyDescent="0.25">
      <c r="B358" s="14">
        <v>46230</v>
      </c>
      <c r="C358" t="s">
        <v>543</v>
      </c>
      <c r="E358" s="23" t="s">
        <v>64</v>
      </c>
      <c r="F358" s="16">
        <v>35.979999999999997</v>
      </c>
      <c r="G358" s="10"/>
      <c r="H358" s="10"/>
      <c r="I358" s="9" t="s">
        <v>74</v>
      </c>
      <c r="J358" s="9"/>
      <c r="K358" s="9"/>
      <c r="L358" s="9" t="s">
        <v>66</v>
      </c>
      <c r="M358" s="9"/>
      <c r="N358" s="17"/>
      <c r="O358" s="17" t="str">
        <f t="shared" si="40"/>
        <v>William Sanderford</v>
      </c>
      <c r="P358" s="17">
        <f>IFERROR(_xlfn.XLOOKUP(O358,'Department Listing'!$O$1:$O$395,'Department Listing'!$A$1:$A$395),IFERROR(_xlfn.XLOOKUP(O358,'Name Aliases'!$A$2:$A$1000,'Name Aliases'!$B$2:$B$1000),""))</f>
        <v>87</v>
      </c>
      <c r="Q358" s="18">
        <f t="shared" si="41"/>
        <v>46230</v>
      </c>
      <c r="R358" s="17" t="str">
        <f t="shared" si="42"/>
        <v>Uber</v>
      </c>
      <c r="S358" s="19">
        <f t="shared" si="43"/>
        <v>35.979999999999997</v>
      </c>
      <c r="T358" s="17" t="str">
        <f t="shared" si="44"/>
        <v>UBER   *TRIP MASTERCARD-XXXXXXFU9ORL-William Sanderford</v>
      </c>
      <c r="U358" s="17" t="str">
        <f t="shared" si="45"/>
        <v>Brex Credit Card</v>
      </c>
      <c r="V358" s="19" t="str">
        <f>IF(ISBLANK($B358),"",IF(ISBLANK($K358),IF(_xlfn.XLOOKUP($W358,'Category Mapping'!$C:$C,'Category Mapping'!$B:$B)="Travel",_xlfn.XLOOKUP($P358,'Department Listing'!$A:$A,'Department Listing'!$M:$M),_xlfn.XLOOKUP($W358,'Category Mapping'!$C:$C,'Category Mapping'!$D:$D)),$K358))</f>
        <v>Cost of Goods Sold:COGS- Travel Expenses:</v>
      </c>
      <c r="W358" s="19" t="str">
        <f t="shared" si="46"/>
        <v>Ground Transportation</v>
      </c>
      <c r="X358" s="19" t="str">
        <f t="shared" si="47"/>
        <v>Cost of Goods Sold:COGS- Travel Expenses:Ground Transportation</v>
      </c>
      <c r="Y358" s="20" t="str">
        <f>IF(ISBLANK($M358),IFERROR(_xlfn.XLOOKUP($P358,'Department Listing'!$A:$A,'Department Listing'!$L:$L),""),$M358)</f>
        <v>300- ServiceNow:320- Engineering</v>
      </c>
      <c r="Z358" s="11">
        <f>IF(ISBLANK($B358),"",MATCH($X358,COA!$B:$B,0))</f>
        <v>124</v>
      </c>
    </row>
    <row r="359" spans="2:26" ht="15.75" customHeight="1" x14ac:dyDescent="0.25">
      <c r="B359" s="14">
        <v>46230</v>
      </c>
      <c r="C359" t="s">
        <v>544</v>
      </c>
      <c r="E359" s="23" t="s">
        <v>545</v>
      </c>
      <c r="F359" s="16">
        <v>20.61</v>
      </c>
      <c r="G359" s="10"/>
      <c r="H359" s="10"/>
      <c r="I359" s="9" t="s">
        <v>546</v>
      </c>
      <c r="J359" s="9"/>
      <c r="K359" s="9"/>
      <c r="L359" s="9" t="s">
        <v>165</v>
      </c>
      <c r="M359" s="9"/>
      <c r="N359" s="17"/>
      <c r="O359" s="17" t="str">
        <f t="shared" si="40"/>
        <v>Toni Manning</v>
      </c>
      <c r="P359" s="17">
        <f>IFERROR(_xlfn.XLOOKUP(O359,'Department Listing'!$O$1:$O$395,'Department Listing'!$A$1:$A$395),IFERROR(_xlfn.XLOOKUP(O359,'Name Aliases'!$A$2:$A$1000,'Name Aliases'!$B$2:$B$1000),""))</f>
        <v>121</v>
      </c>
      <c r="Q359" s="18">
        <f t="shared" si="41"/>
        <v>46230</v>
      </c>
      <c r="R359" s="17" t="str">
        <f t="shared" si="42"/>
        <v>British Airways</v>
      </c>
      <c r="S359" s="19">
        <f t="shared" si="43"/>
        <v>20.61</v>
      </c>
      <c r="T359" s="17" t="str">
        <f t="shared" si="44"/>
        <v>BA Inflight Sales MASTERCARD-XXXXXXV7V294-Toni Manning</v>
      </c>
      <c r="U359" s="17" t="str">
        <f t="shared" si="45"/>
        <v>Brex Credit Card</v>
      </c>
      <c r="V359" s="19" t="str">
        <f>IF(ISBLANK($B359),"",IF(ISBLANK($K359),IF(_xlfn.XLOOKUP($W359,'Category Mapping'!$C:$C,'Category Mapping'!$B:$B)="Travel",_xlfn.XLOOKUP($P359,'Department Listing'!$A:$A,'Department Listing'!$M:$M),_xlfn.XLOOKUP($W359,'Category Mapping'!$C:$C,'Category Mapping'!$D:$D)),$K359))</f>
        <v>Sales &amp; Marketing:Sales &amp; Marketing- Travel Expenses:</v>
      </c>
      <c r="W359" s="19" t="str">
        <f t="shared" si="46"/>
        <v>Airfare</v>
      </c>
      <c r="X359" s="19" t="str">
        <f t="shared" si="47"/>
        <v>Sales &amp; Marketing:Sales &amp; Marketing- Travel Expenses:Airfare</v>
      </c>
      <c r="Y359" s="20" t="str">
        <f>IF(ISBLANK($M359),IFERROR(_xlfn.XLOOKUP($P359,'Department Listing'!$A:$A,'Department Listing'!$L:$L),""),$M359)</f>
        <v>100- Operations:120- Marketing</v>
      </c>
      <c r="Z359" s="11">
        <f>IF(ISBLANK($B359),"",MATCH($X359,COA!$B:$B,0))</f>
        <v>199</v>
      </c>
    </row>
    <row r="360" spans="2:26" ht="15.75" customHeight="1" x14ac:dyDescent="0.25">
      <c r="B360" s="14">
        <v>46230</v>
      </c>
      <c r="C360" t="s">
        <v>547</v>
      </c>
      <c r="E360" s="23" t="s">
        <v>76</v>
      </c>
      <c r="F360" s="16">
        <v>16.239999999999998</v>
      </c>
      <c r="G360" s="10"/>
      <c r="H360" s="10"/>
      <c r="I360" s="9" t="s">
        <v>438</v>
      </c>
      <c r="J360" s="9"/>
      <c r="K360" s="9"/>
      <c r="L360" s="9" t="s">
        <v>78</v>
      </c>
      <c r="M360" s="9"/>
      <c r="N360" s="17"/>
      <c r="O360" s="17" t="str">
        <f t="shared" si="40"/>
        <v>Oliver McCaffrey</v>
      </c>
      <c r="P360" s="17">
        <f>IFERROR(_xlfn.XLOOKUP(O360,'Department Listing'!$O$1:$O$395,'Department Listing'!$A$1:$A$395),IFERROR(_xlfn.XLOOKUP(O360,'Name Aliases'!$A$2:$A$1000,'Name Aliases'!$B$2:$B$1000),""))</f>
        <v>181</v>
      </c>
      <c r="Q360" s="18">
        <f t="shared" si="41"/>
        <v>46230</v>
      </c>
      <c r="R360" s="17" t="str">
        <f t="shared" si="42"/>
        <v>WHSmith</v>
      </c>
      <c r="S360" s="19">
        <f t="shared" si="43"/>
        <v>16.239999999999998</v>
      </c>
      <c r="T360" s="17" t="str">
        <f t="shared" si="44"/>
        <v>WH Smith Dublin Airpor MASTERCARD-XXXXXXP58YUQ-Oliver McCaffrey</v>
      </c>
      <c r="U360" s="17" t="str">
        <f t="shared" si="45"/>
        <v>Brex Credit Card</v>
      </c>
      <c r="V360" s="19" t="str">
        <f>IF(ISBLANK($B360),"",IF(ISBLANK($K360),IF(_xlfn.XLOOKUP($W360,'Category Mapping'!$C:$C,'Category Mapping'!$B:$B)="Travel",_xlfn.XLOOKUP($P360,'Department Listing'!$A:$A,'Department Listing'!$M:$M),_xlfn.XLOOKUP($W360,'Category Mapping'!$C:$C,'Category Mapping'!$D:$D)),$K360))</f>
        <v>Cost of Goods Sold:COGS- Travel Expenses:</v>
      </c>
      <c r="W360" s="19" t="str">
        <f t="shared" si="46"/>
        <v>Meals &amp; Entertainment</v>
      </c>
      <c r="X360" s="19" t="str">
        <f t="shared" si="47"/>
        <v>Cost of Goods Sold:COGS- Travel Expenses:Meals &amp; Entertainment</v>
      </c>
      <c r="Y360" s="20" t="str">
        <f>IF(ISBLANK($M360),IFERROR(_xlfn.XLOOKUP($P360,'Department Listing'!$A:$A,'Department Listing'!$L:$L),""),$M360)</f>
        <v>300- ServiceNow:310- Delivery</v>
      </c>
      <c r="Z360" s="11">
        <f>IF(ISBLANK($B360),"",MATCH($X360,COA!$B:$B,0))</f>
        <v>126</v>
      </c>
    </row>
    <row r="361" spans="2:26" ht="15.75" customHeight="1" x14ac:dyDescent="0.25">
      <c r="B361" s="14">
        <v>46230</v>
      </c>
      <c r="C361" t="s">
        <v>548</v>
      </c>
      <c r="E361" s="23" t="s">
        <v>64</v>
      </c>
      <c r="F361" s="16">
        <v>25.49</v>
      </c>
      <c r="G361" s="10"/>
      <c r="H361" s="10"/>
      <c r="I361" s="9" t="s">
        <v>92</v>
      </c>
      <c r="J361" s="9"/>
      <c r="K361" s="9"/>
      <c r="L361" s="9" t="s">
        <v>66</v>
      </c>
      <c r="M361" s="9"/>
      <c r="N361" s="17"/>
      <c r="O361" s="17" t="str">
        <f t="shared" si="40"/>
        <v>Tokuya Takahashi</v>
      </c>
      <c r="P361" s="17">
        <f>IFERROR(_xlfn.XLOOKUP(O361,'Department Listing'!$O$1:$O$395,'Department Listing'!$A$1:$A$395),IFERROR(_xlfn.XLOOKUP(O361,'Name Aliases'!$A$2:$A$1000,'Name Aliases'!$B$2:$B$1000),""))</f>
        <v>214</v>
      </c>
      <c r="Q361" s="18">
        <f t="shared" si="41"/>
        <v>46230</v>
      </c>
      <c r="R361" s="17" t="str">
        <f t="shared" si="42"/>
        <v>Lyft</v>
      </c>
      <c r="S361" s="19">
        <f t="shared" si="43"/>
        <v>25.49</v>
      </c>
      <c r="T361" s="17" t="str">
        <f t="shared" si="44"/>
        <v>LYFT   *AIRPORT 07-26 MASTERCARD-XXXXXX41MEBZ-Tokuya Takahashi</v>
      </c>
      <c r="U361" s="17" t="str">
        <f t="shared" si="45"/>
        <v>Brex Credit Card</v>
      </c>
      <c r="V361" s="19" t="str">
        <f>IF(ISBLANK($B361),"",IF(ISBLANK($K361),IF(_xlfn.XLOOKUP($W361,'Category Mapping'!$C:$C,'Category Mapping'!$B:$B)="Travel",_xlfn.XLOOKUP($P361,'Department Listing'!$A:$A,'Department Listing'!$M:$M),_xlfn.XLOOKUP($W361,'Category Mapping'!$C:$C,'Category Mapping'!$D:$D)),$K361))</f>
        <v>Cost of Goods Sold:COGS- Travel Expenses:</v>
      </c>
      <c r="W361" s="19" t="str">
        <f t="shared" si="46"/>
        <v>Ground Transportation</v>
      </c>
      <c r="X361" s="19" t="str">
        <f t="shared" si="47"/>
        <v>Cost of Goods Sold:COGS- Travel Expenses:Ground Transportation</v>
      </c>
      <c r="Y361" s="20" t="str">
        <f>IF(ISBLANK($M361),IFERROR(_xlfn.XLOOKUP($P361,'Department Listing'!$A:$A,'Department Listing'!$L:$L),""),$M361)</f>
        <v>300- ServiceNow:320- Engineering</v>
      </c>
      <c r="Z361" s="11">
        <f>IF(ISBLANK($B361),"",MATCH($X361,COA!$B:$B,0))</f>
        <v>124</v>
      </c>
    </row>
    <row r="362" spans="2:26" ht="15.75" customHeight="1" x14ac:dyDescent="0.25">
      <c r="B362" s="14">
        <v>46231</v>
      </c>
      <c r="C362" t="s">
        <v>549</v>
      </c>
      <c r="E362" s="23" t="s">
        <v>64</v>
      </c>
      <c r="F362" s="16">
        <v>57.9</v>
      </c>
      <c r="G362" s="10"/>
      <c r="H362" s="10"/>
      <c r="I362" s="9" t="s">
        <v>92</v>
      </c>
      <c r="J362" s="9"/>
      <c r="K362" s="9"/>
      <c r="L362" s="9" t="s">
        <v>66</v>
      </c>
      <c r="M362" s="9"/>
      <c r="N362" s="17"/>
      <c r="O362" s="17" t="str">
        <f t="shared" si="40"/>
        <v>Jeff Mu</v>
      </c>
      <c r="P362" s="17">
        <f>IFERROR(_xlfn.XLOOKUP(O362,'Department Listing'!$O$1:$O$395,'Department Listing'!$A$1:$A$395),IFERROR(_xlfn.XLOOKUP(O362,'Name Aliases'!$A$2:$A$1000,'Name Aliases'!$B$2:$B$1000),""))</f>
        <v>4</v>
      </c>
      <c r="Q362" s="18">
        <f t="shared" si="41"/>
        <v>46231</v>
      </c>
      <c r="R362" s="17" t="str">
        <f t="shared" si="42"/>
        <v>Lyft</v>
      </c>
      <c r="S362" s="19">
        <f t="shared" si="43"/>
        <v>57.9</v>
      </c>
      <c r="T362" s="17" t="str">
        <f t="shared" si="44"/>
        <v>LYFT   *2 RIDES 07-26 MASTERCARD-XXXXXX0LTX7Y-Jeff Mu</v>
      </c>
      <c r="U362" s="17" t="str">
        <f t="shared" si="45"/>
        <v>Brex Credit Card</v>
      </c>
      <c r="V362" s="19" t="str">
        <f>IF(ISBLANK($B362),"",IF(ISBLANK($K362),IF(_xlfn.XLOOKUP($W362,'Category Mapping'!$C:$C,'Category Mapping'!$B:$B)="Travel",_xlfn.XLOOKUP($P362,'Department Listing'!$A:$A,'Department Listing'!$M:$M),_xlfn.XLOOKUP($W362,'Category Mapping'!$C:$C,'Category Mapping'!$D:$D)),$K362))</f>
        <v>Cost of Goods Sold:COGS- Travel Expenses:</v>
      </c>
      <c r="W362" s="19" t="str">
        <f t="shared" si="46"/>
        <v>Ground Transportation</v>
      </c>
      <c r="X362" s="19" t="str">
        <f t="shared" si="47"/>
        <v>Cost of Goods Sold:COGS- Travel Expenses:Ground Transportation</v>
      </c>
      <c r="Y362" s="20" t="str">
        <f>IF(ISBLANK($M362),IFERROR(_xlfn.XLOOKUP($P362,'Department Listing'!$A:$A,'Department Listing'!$L:$L),""),$M362)</f>
        <v>300- ServiceNow:320- Engineering</v>
      </c>
      <c r="Z362" s="11">
        <f>IF(ISBLANK($B362),"",MATCH($X362,COA!$B:$B,0))</f>
        <v>124</v>
      </c>
    </row>
    <row r="363" spans="2:26" ht="15.75" customHeight="1" x14ac:dyDescent="0.25">
      <c r="B363" s="14">
        <v>46230</v>
      </c>
      <c r="C363" t="s">
        <v>550</v>
      </c>
      <c r="E363" s="23" t="s">
        <v>76</v>
      </c>
      <c r="F363" s="16">
        <v>12.94</v>
      </c>
      <c r="G363" s="10"/>
      <c r="H363" s="10"/>
      <c r="I363" s="9" t="s">
        <v>517</v>
      </c>
      <c r="J363" s="9"/>
      <c r="K363" s="9"/>
      <c r="L363" s="9" t="s">
        <v>78</v>
      </c>
      <c r="M363" s="9"/>
      <c r="N363" s="17"/>
      <c r="O363" s="17" t="str">
        <f t="shared" si="40"/>
        <v>Jon Giara</v>
      </c>
      <c r="P363" s="17">
        <f>IFERROR(_xlfn.XLOOKUP(O363,'Department Listing'!$O$1:$O$395,'Department Listing'!$A$1:$A$395),IFERROR(_xlfn.XLOOKUP(O363,'Name Aliases'!$A$2:$A$1000,'Name Aliases'!$B$2:$B$1000),""))</f>
        <v>2</v>
      </c>
      <c r="Q363" s="18">
        <f t="shared" si="41"/>
        <v>46230</v>
      </c>
      <c r="R363" s="17" t="str">
        <f t="shared" si="42"/>
        <v>Hudson News</v>
      </c>
      <c r="S363" s="19">
        <f t="shared" si="43"/>
        <v>12.94</v>
      </c>
      <c r="T363" s="17" t="str">
        <f t="shared" si="44"/>
        <v>EVOLVE BY HUDSON ST236 MASTERCARD-XXXXXX0FPLZS-Jon Giara</v>
      </c>
      <c r="U363" s="17" t="str">
        <f t="shared" si="45"/>
        <v>Brex Credit Card</v>
      </c>
      <c r="V363" s="19" t="str">
        <f>IF(ISBLANK($B363),"",IF(ISBLANK($K363),IF(_xlfn.XLOOKUP($W363,'Category Mapping'!$C:$C,'Category Mapping'!$B:$B)="Travel",_xlfn.XLOOKUP($P363,'Department Listing'!$A:$A,'Department Listing'!$M:$M),_xlfn.XLOOKUP($W363,'Category Mapping'!$C:$C,'Category Mapping'!$D:$D)),$K363))</f>
        <v>Cost of Goods Sold:COGS- Travel Expenses:</v>
      </c>
      <c r="W363" s="19" t="str">
        <f t="shared" si="46"/>
        <v>Meals &amp; Entertainment</v>
      </c>
      <c r="X363" s="19" t="str">
        <f t="shared" si="47"/>
        <v>Cost of Goods Sold:COGS- Travel Expenses:Meals &amp; Entertainment</v>
      </c>
      <c r="Y363" s="20" t="str">
        <f>IF(ISBLANK($M363),IFERROR(_xlfn.XLOOKUP($P363,'Department Listing'!$A:$A,'Department Listing'!$L:$L),""),$M363)</f>
        <v>300- ServiceNow:320- Engineering</v>
      </c>
      <c r="Z363" s="11">
        <f>IF(ISBLANK($B363),"",MATCH($X363,COA!$B:$B,0))</f>
        <v>126</v>
      </c>
    </row>
    <row r="364" spans="2:26" ht="15.75" customHeight="1" x14ac:dyDescent="0.25">
      <c r="B364" s="14">
        <v>46230</v>
      </c>
      <c r="C364" t="s">
        <v>551</v>
      </c>
      <c r="E364" s="23" t="s">
        <v>76</v>
      </c>
      <c r="F364" s="16">
        <v>22.62</v>
      </c>
      <c r="G364" s="10"/>
      <c r="H364" s="10"/>
      <c r="I364" s="9" t="s">
        <v>440</v>
      </c>
      <c r="J364" s="9"/>
      <c r="K364" s="9"/>
      <c r="L364" s="9" t="s">
        <v>78</v>
      </c>
      <c r="M364" s="9"/>
      <c r="N364" s="17"/>
      <c r="O364" s="17" t="str">
        <f t="shared" si="40"/>
        <v>James Whitehead</v>
      </c>
      <c r="P364" s="17">
        <f>IFERROR(_xlfn.XLOOKUP(O364,'Department Listing'!$O$1:$O$395,'Department Listing'!$A$1:$A$395),IFERROR(_xlfn.XLOOKUP(O364,'Name Aliases'!$A$2:$A$1000,'Name Aliases'!$B$2:$B$1000),""))</f>
        <v>193</v>
      </c>
      <c r="Q364" s="18">
        <f t="shared" si="41"/>
        <v>46230</v>
      </c>
      <c r="R364" s="17" t="str">
        <f t="shared" si="42"/>
        <v>Pret a Manger</v>
      </c>
      <c r="S364" s="19">
        <f t="shared" si="43"/>
        <v>22.62</v>
      </c>
      <c r="T364" s="17" t="str">
        <f t="shared" si="44"/>
        <v>PRET A MANGER MASTERCARD-XXXXXX2XFI15-James Whitehead</v>
      </c>
      <c r="U364" s="17" t="str">
        <f t="shared" si="45"/>
        <v>Brex Credit Card</v>
      </c>
      <c r="V364" s="19" t="str">
        <f>IF(ISBLANK($B364),"",IF(ISBLANK($K364),IF(_xlfn.XLOOKUP($W364,'Category Mapping'!$C:$C,'Category Mapping'!$B:$B)="Travel",_xlfn.XLOOKUP($P364,'Department Listing'!$A:$A,'Department Listing'!$M:$M),_xlfn.XLOOKUP($W364,'Category Mapping'!$C:$C,'Category Mapping'!$D:$D)),$K364))</f>
        <v>Cost of Goods Sold:COGS- Travel Expenses:</v>
      </c>
      <c r="W364" s="19" t="str">
        <f t="shared" si="46"/>
        <v>Meals &amp; Entertainment</v>
      </c>
      <c r="X364" s="19" t="str">
        <f t="shared" si="47"/>
        <v>Cost of Goods Sold:COGS- Travel Expenses:Meals &amp; Entertainment</v>
      </c>
      <c r="Y364" s="20" t="str">
        <f>IF(ISBLANK($M364),IFERROR(_xlfn.XLOOKUP($P364,'Department Listing'!$A:$A,'Department Listing'!$L:$L),""),$M364)</f>
        <v>200- Datadog:220- Engineering</v>
      </c>
      <c r="Z364" s="11">
        <f>IF(ISBLANK($B364),"",MATCH($X364,COA!$B:$B,0))</f>
        <v>126</v>
      </c>
    </row>
    <row r="365" spans="2:26" ht="15.75" customHeight="1" x14ac:dyDescent="0.25">
      <c r="B365" s="14">
        <v>46230</v>
      </c>
      <c r="C365" t="s">
        <v>552</v>
      </c>
      <c r="E365" s="23" t="s">
        <v>76</v>
      </c>
      <c r="F365" s="16">
        <v>22.89</v>
      </c>
      <c r="G365" s="10"/>
      <c r="H365" s="10"/>
      <c r="I365" s="9" t="s">
        <v>208</v>
      </c>
      <c r="J365" s="9"/>
      <c r="K365" s="9"/>
      <c r="L365" s="9" t="s">
        <v>78</v>
      </c>
      <c r="M365" s="9"/>
      <c r="N365" s="17"/>
      <c r="O365" s="17" t="str">
        <f t="shared" si="40"/>
        <v>Leslee Brady</v>
      </c>
      <c r="P365" s="17">
        <f>IFERROR(_xlfn.XLOOKUP(O365,'Department Listing'!$O$1:$O$395,'Department Listing'!$A$1:$A$395),IFERROR(_xlfn.XLOOKUP(O365,'Name Aliases'!$A$2:$A$1000,'Name Aliases'!$B$2:$B$1000),""))</f>
        <v>103</v>
      </c>
      <c r="Q365" s="18">
        <f t="shared" si="41"/>
        <v>46230</v>
      </c>
      <c r="R365" s="17" t="str">
        <f t="shared" si="42"/>
        <v>Dunkin Donuts</v>
      </c>
      <c r="S365" s="19">
        <f t="shared" si="43"/>
        <v>22.89</v>
      </c>
      <c r="T365" s="17" t="str">
        <f t="shared" si="44"/>
        <v>HUDSON-DUNKIN ST1341 MASTERCARD-XXXXXXGUO3ZE-Leslee Brady</v>
      </c>
      <c r="U365" s="17" t="str">
        <f t="shared" si="45"/>
        <v>Brex Credit Card</v>
      </c>
      <c r="V365" s="19" t="str">
        <f>IF(ISBLANK($B365),"",IF(ISBLANK($K365),IF(_xlfn.XLOOKUP($W365,'Category Mapping'!$C:$C,'Category Mapping'!$B:$B)="Travel",_xlfn.XLOOKUP($P365,'Department Listing'!$A:$A,'Department Listing'!$M:$M),_xlfn.XLOOKUP($W365,'Category Mapping'!$C:$C,'Category Mapping'!$D:$D)),$K365))</f>
        <v>Sales &amp; Marketing:Sales &amp; Marketing- Travel Expenses:</v>
      </c>
      <c r="W365" s="19" t="str">
        <f t="shared" si="46"/>
        <v>Meals &amp; Entertainment</v>
      </c>
      <c r="X365" s="19" t="str">
        <f t="shared" si="47"/>
        <v>Sales &amp; Marketing:Sales &amp; Marketing- Travel Expenses:Meals &amp; Entertainment</v>
      </c>
      <c r="Y365" s="20" t="str">
        <f>IF(ISBLANK($M365),IFERROR(_xlfn.XLOOKUP($P365,'Department Listing'!$A:$A,'Department Listing'!$L:$L),""),$M365)</f>
        <v>100- Operations:120- Marketing</v>
      </c>
      <c r="Z365" s="11">
        <f>IF(ISBLANK($B365),"",MATCH($X365,COA!$B:$B,0))</f>
        <v>202</v>
      </c>
    </row>
    <row r="366" spans="2:26" ht="15.75" customHeight="1" x14ac:dyDescent="0.25">
      <c r="B366" s="14">
        <v>46230</v>
      </c>
      <c r="C366" t="s">
        <v>553</v>
      </c>
      <c r="E366" s="23"/>
      <c r="F366" s="16">
        <v>17.28</v>
      </c>
      <c r="G366" s="10"/>
      <c r="H366" s="10"/>
      <c r="I366" s="9" t="s">
        <v>37</v>
      </c>
      <c r="J366" s="9"/>
      <c r="K366" s="9"/>
      <c r="L366" s="9" t="s">
        <v>94</v>
      </c>
      <c r="M366" s="9"/>
      <c r="N366" s="17"/>
      <c r="O366" s="17" t="str">
        <f t="shared" si="40"/>
        <v>Zachary Kenyon</v>
      </c>
      <c r="P366" s="17">
        <f>IFERROR(_xlfn.XLOOKUP(O366,'Department Listing'!$O$1:$O$395,'Department Listing'!$A$1:$A$395),IFERROR(_xlfn.XLOOKUP(O366,'Name Aliases'!$A$2:$A$1000,'Name Aliases'!$B$2:$B$1000),""))</f>
        <v>83</v>
      </c>
      <c r="Q366" s="18">
        <f t="shared" si="41"/>
        <v>46230</v>
      </c>
      <c r="R366" s="17" t="str">
        <f t="shared" si="42"/>
        <v>Office Vendor</v>
      </c>
      <c r="S366" s="19">
        <f t="shared" si="43"/>
        <v>17.28</v>
      </c>
      <c r="T366" s="17" t="str">
        <f t="shared" si="44"/>
        <v>US NEWS AND WORLD REPO MASTERCARD-XXXXXX9V2NHQ-Zachary Kenyon</v>
      </c>
      <c r="U366" s="17" t="str">
        <f t="shared" si="45"/>
        <v>Brex Credit Card</v>
      </c>
      <c r="V366" s="19" t="str">
        <f>IF(ISBLANK($B366),"",IF(ISBLANK($K366),IF(_xlfn.XLOOKUP($W366,'Category Mapping'!$C:$C,'Category Mapping'!$B:$B)="Travel",_xlfn.XLOOKUP($P366,'Department Listing'!$A:$A,'Department Listing'!$M:$M),_xlfn.XLOOKUP($W366,'Category Mapping'!$C:$C,'Category Mapping'!$D:$D)),$K366))</f>
        <v>General &amp; Administrative:Office Expenses:</v>
      </c>
      <c r="W366" s="19" t="str">
        <f t="shared" si="46"/>
        <v>Dues &amp; Subscriptions</v>
      </c>
      <c r="X366" s="19" t="str">
        <f t="shared" si="47"/>
        <v>General &amp; Administrative:Office Expenses:Dues &amp; Subscriptions</v>
      </c>
      <c r="Y366" s="20" t="str">
        <f>IF(ISBLANK($M366),IFERROR(_xlfn.XLOOKUP($P366,'Department Listing'!$A:$A,'Department Listing'!$L:$L),""),$M366)</f>
        <v>300- ServiceNow:320- Engineering</v>
      </c>
      <c r="Z366" s="11">
        <f>IF(ISBLANK($B366),"",MATCH($X366,COA!$B:$B,0))</f>
        <v>159</v>
      </c>
    </row>
    <row r="367" spans="2:26" ht="15.75" customHeight="1" x14ac:dyDescent="0.25">
      <c r="B367" s="14">
        <v>46230</v>
      </c>
      <c r="C367" t="s">
        <v>554</v>
      </c>
      <c r="E367" s="23" t="s">
        <v>76</v>
      </c>
      <c r="F367" s="16">
        <v>20.21</v>
      </c>
      <c r="G367" s="10"/>
      <c r="H367" s="10"/>
      <c r="I367" s="9" t="s">
        <v>36</v>
      </c>
      <c r="J367" s="9"/>
      <c r="K367" s="9"/>
      <c r="L367" s="9" t="s">
        <v>78</v>
      </c>
      <c r="M367" s="9"/>
      <c r="N367" s="17"/>
      <c r="O367" s="17" t="str">
        <f t="shared" si="40"/>
        <v>Yadwinder Singh</v>
      </c>
      <c r="P367" s="17">
        <f>IFERROR(_xlfn.XLOOKUP(O367,'Department Listing'!$O$1:$O$395,'Department Listing'!$A$1:$A$395),IFERROR(_xlfn.XLOOKUP(O367,'Name Aliases'!$A$2:$A$1000,'Name Aliases'!$B$2:$B$1000),""))</f>
        <v>237</v>
      </c>
      <c r="Q367" s="18">
        <f t="shared" si="41"/>
        <v>46230</v>
      </c>
      <c r="R367" s="17" t="str">
        <f t="shared" si="42"/>
        <v>Food Vendor</v>
      </c>
      <c r="S367" s="19">
        <f t="shared" si="43"/>
        <v>20.21</v>
      </c>
      <c r="T367" s="17" t="str">
        <f t="shared" si="44"/>
        <v>TST* TASTES ON THE FLY MASTERCARD-XXXXXX4TS7DM-Yadwinder Singh</v>
      </c>
      <c r="U367" s="17" t="str">
        <f t="shared" si="45"/>
        <v>Brex Credit Card</v>
      </c>
      <c r="V367" s="19" t="str">
        <f>IF(ISBLANK($B367),"",IF(ISBLANK($K367),IF(_xlfn.XLOOKUP($W367,'Category Mapping'!$C:$C,'Category Mapping'!$B:$B)="Travel",_xlfn.XLOOKUP($P367,'Department Listing'!$A:$A,'Department Listing'!$M:$M),_xlfn.XLOOKUP($W367,'Category Mapping'!$C:$C,'Category Mapping'!$D:$D)),$K367))</f>
        <v>Cost of Goods Sold:COGS- Travel Expenses:</v>
      </c>
      <c r="W367" s="19" t="str">
        <f t="shared" si="46"/>
        <v>Meals &amp; Entertainment</v>
      </c>
      <c r="X367" s="19" t="str">
        <f t="shared" si="47"/>
        <v>Cost of Goods Sold:COGS- Travel Expenses:Meals &amp; Entertainment</v>
      </c>
      <c r="Y367" s="20" t="str">
        <f>IF(ISBLANK($M367),IFERROR(_xlfn.XLOOKUP($P367,'Department Listing'!$A:$A,'Department Listing'!$L:$L),""),$M367)</f>
        <v>200- Datadog:220- Engineering</v>
      </c>
      <c r="Z367" s="11">
        <f>IF(ISBLANK($B367),"",MATCH($X367,COA!$B:$B,0))</f>
        <v>126</v>
      </c>
    </row>
    <row r="368" spans="2:26" ht="15.75" customHeight="1" x14ac:dyDescent="0.25">
      <c r="B368" s="14">
        <v>46230</v>
      </c>
      <c r="C368" t="s">
        <v>555</v>
      </c>
      <c r="E368" s="23" t="s">
        <v>76</v>
      </c>
      <c r="F368" s="16">
        <v>7.08</v>
      </c>
      <c r="G368" s="10"/>
      <c r="H368" s="10"/>
      <c r="I368" s="9" t="s">
        <v>517</v>
      </c>
      <c r="J368" s="9"/>
      <c r="K368" s="9"/>
      <c r="L368" s="9" t="s">
        <v>78</v>
      </c>
      <c r="M368" s="9"/>
      <c r="N368" s="17"/>
      <c r="O368" s="17" t="str">
        <f t="shared" si="40"/>
        <v>Austin Nadler</v>
      </c>
      <c r="P368" s="17">
        <f>IFERROR(_xlfn.XLOOKUP(O368,'Department Listing'!$O$1:$O$395,'Department Listing'!$A$1:$A$395),IFERROR(_xlfn.XLOOKUP(O368,'Name Aliases'!$A$2:$A$1000,'Name Aliases'!$B$2:$B$1000),""))</f>
        <v>176</v>
      </c>
      <c r="Q368" s="18">
        <f t="shared" si="41"/>
        <v>46230</v>
      </c>
      <c r="R368" s="17" t="str">
        <f t="shared" si="42"/>
        <v>Hudson News</v>
      </c>
      <c r="S368" s="19">
        <f t="shared" si="43"/>
        <v>7.08</v>
      </c>
      <c r="T368" s="17" t="str">
        <f t="shared" si="44"/>
        <v>HUDSONNEWS  ST1205 MASTERCARD-XXXXXXDKKRZ8-Austin Nadler</v>
      </c>
      <c r="U368" s="17" t="str">
        <f t="shared" si="45"/>
        <v>Brex Credit Card</v>
      </c>
      <c r="V368" s="19" t="str">
        <f>IF(ISBLANK($B368),"",IF(ISBLANK($K368),IF(_xlfn.XLOOKUP($W368,'Category Mapping'!$C:$C,'Category Mapping'!$B:$B)="Travel",_xlfn.XLOOKUP($P368,'Department Listing'!$A:$A,'Department Listing'!$M:$M),_xlfn.XLOOKUP($W368,'Category Mapping'!$C:$C,'Category Mapping'!$D:$D)),$K368))</f>
        <v>Cost of Goods Sold:COGS- Travel Expenses:</v>
      </c>
      <c r="W368" s="19" t="str">
        <f t="shared" si="46"/>
        <v>Meals &amp; Entertainment</v>
      </c>
      <c r="X368" s="19" t="str">
        <f t="shared" si="47"/>
        <v>Cost of Goods Sold:COGS- Travel Expenses:Meals &amp; Entertainment</v>
      </c>
      <c r="Y368" s="20" t="str">
        <f>IF(ISBLANK($M368),IFERROR(_xlfn.XLOOKUP($P368,'Department Listing'!$A:$A,'Department Listing'!$L:$L),""),$M368)</f>
        <v>300- ServiceNow:320- Engineering</v>
      </c>
      <c r="Z368" s="11">
        <f>IF(ISBLANK($B368),"",MATCH($X368,COA!$B:$B,0))</f>
        <v>126</v>
      </c>
    </row>
    <row r="369" spans="2:26" ht="15.75" customHeight="1" x14ac:dyDescent="0.25">
      <c r="B369" s="14">
        <v>46230</v>
      </c>
      <c r="C369" t="s">
        <v>556</v>
      </c>
      <c r="E369" s="23" t="s">
        <v>76</v>
      </c>
      <c r="F369" s="16">
        <v>13.58</v>
      </c>
      <c r="G369" s="10"/>
      <c r="H369" s="10"/>
      <c r="I369" s="9" t="s">
        <v>208</v>
      </c>
      <c r="J369" s="9"/>
      <c r="K369" s="9"/>
      <c r="L369" s="9" t="s">
        <v>78</v>
      </c>
      <c r="M369" s="9"/>
      <c r="N369" s="17"/>
      <c r="O369" s="17" t="str">
        <f t="shared" si="40"/>
        <v>Leslee Brady</v>
      </c>
      <c r="P369" s="17">
        <f>IFERROR(_xlfn.XLOOKUP(O369,'Department Listing'!$O$1:$O$395,'Department Listing'!$A$1:$A$395),IFERROR(_xlfn.XLOOKUP(O369,'Name Aliases'!$A$2:$A$1000,'Name Aliases'!$B$2:$B$1000),""))</f>
        <v>103</v>
      </c>
      <c r="Q369" s="18">
        <f t="shared" si="41"/>
        <v>46230</v>
      </c>
      <c r="R369" s="17" t="str">
        <f t="shared" si="42"/>
        <v>Dunkin Donuts</v>
      </c>
      <c r="S369" s="19">
        <f t="shared" si="43"/>
        <v>13.58</v>
      </c>
      <c r="T369" s="17" t="str">
        <f t="shared" si="44"/>
        <v>HUDSON-DUNKIN ST1341 MASTERCARD-XXXXXXIXXNS9-Leslee Brady</v>
      </c>
      <c r="U369" s="17" t="str">
        <f t="shared" si="45"/>
        <v>Brex Credit Card</v>
      </c>
      <c r="V369" s="19" t="str">
        <f>IF(ISBLANK($B369),"",IF(ISBLANK($K369),IF(_xlfn.XLOOKUP($W369,'Category Mapping'!$C:$C,'Category Mapping'!$B:$B)="Travel",_xlfn.XLOOKUP($P369,'Department Listing'!$A:$A,'Department Listing'!$M:$M),_xlfn.XLOOKUP($W369,'Category Mapping'!$C:$C,'Category Mapping'!$D:$D)),$K369))</f>
        <v>Sales &amp; Marketing:Sales &amp; Marketing- Travel Expenses:</v>
      </c>
      <c r="W369" s="19" t="str">
        <f t="shared" si="46"/>
        <v>Meals &amp; Entertainment</v>
      </c>
      <c r="X369" s="19" t="str">
        <f t="shared" si="47"/>
        <v>Sales &amp; Marketing:Sales &amp; Marketing- Travel Expenses:Meals &amp; Entertainment</v>
      </c>
      <c r="Y369" s="20" t="str">
        <f>IF(ISBLANK($M369),IFERROR(_xlfn.XLOOKUP($P369,'Department Listing'!$A:$A,'Department Listing'!$L:$L),""),$M369)</f>
        <v>100- Operations:120- Marketing</v>
      </c>
      <c r="Z369" s="11">
        <f>IF(ISBLANK($B369),"",MATCH($X369,COA!$B:$B,0))</f>
        <v>202</v>
      </c>
    </row>
    <row r="370" spans="2:26" ht="15.75" customHeight="1" x14ac:dyDescent="0.25">
      <c r="B370" s="14">
        <v>46231</v>
      </c>
      <c r="C370" t="s">
        <v>557</v>
      </c>
      <c r="E370" s="23"/>
      <c r="F370" s="16">
        <v>9.69</v>
      </c>
      <c r="G370" s="10"/>
      <c r="H370" s="10"/>
      <c r="I370" s="9" t="s">
        <v>33</v>
      </c>
      <c r="J370" s="9"/>
      <c r="K370" s="9"/>
      <c r="L370" s="9" t="s">
        <v>165</v>
      </c>
      <c r="M370" s="9"/>
      <c r="N370" s="17"/>
      <c r="O370" s="17" t="str">
        <f t="shared" si="40"/>
        <v>Leslee Brady</v>
      </c>
      <c r="P370" s="17">
        <f>IFERROR(_xlfn.XLOOKUP(O370,'Department Listing'!$O$1:$O$395,'Department Listing'!$A$1:$A$395),IFERROR(_xlfn.XLOOKUP(O370,'Name Aliases'!$A$2:$A$1000,'Name Aliases'!$B$2:$B$1000),""))</f>
        <v>103</v>
      </c>
      <c r="Q370" s="18">
        <f t="shared" si="41"/>
        <v>46231</v>
      </c>
      <c r="R370" s="17" t="str">
        <f t="shared" si="42"/>
        <v>Travel Vendor</v>
      </c>
      <c r="S370" s="19">
        <f t="shared" si="43"/>
        <v>9.69</v>
      </c>
      <c r="T370" s="17" t="str">
        <f t="shared" si="44"/>
        <v>CHS AIRP FLIGHT READY MASTERCARD-XXXXXXVM2YIQ-Leslee Brady</v>
      </c>
      <c r="U370" s="17" t="str">
        <f t="shared" si="45"/>
        <v>Brex Credit Card</v>
      </c>
      <c r="V370" s="19" t="str">
        <f>IF(ISBLANK($B370),"",IF(ISBLANK($K370),IF(_xlfn.XLOOKUP($W370,'Category Mapping'!$C:$C,'Category Mapping'!$B:$B)="Travel",_xlfn.XLOOKUP($P370,'Department Listing'!$A:$A,'Department Listing'!$M:$M),_xlfn.XLOOKUP($W370,'Category Mapping'!$C:$C,'Category Mapping'!$D:$D)),$K370))</f>
        <v>Sales &amp; Marketing:Sales &amp; Marketing- Travel Expenses:</v>
      </c>
      <c r="W370" s="19" t="str">
        <f t="shared" si="46"/>
        <v>Airfare</v>
      </c>
      <c r="X370" s="19" t="str">
        <f t="shared" si="47"/>
        <v>Sales &amp; Marketing:Sales &amp; Marketing- Travel Expenses:Airfare</v>
      </c>
      <c r="Y370" s="20" t="str">
        <f>IF(ISBLANK($M370),IFERROR(_xlfn.XLOOKUP($P370,'Department Listing'!$A:$A,'Department Listing'!$L:$L),""),$M370)</f>
        <v>100- Operations:120- Marketing</v>
      </c>
      <c r="Z370" s="11">
        <f>IF(ISBLANK($B370),"",MATCH($X370,COA!$B:$B,0))</f>
        <v>199</v>
      </c>
    </row>
    <row r="371" spans="2:26" ht="15.75" customHeight="1" x14ac:dyDescent="0.25">
      <c r="B371" s="14">
        <v>46230</v>
      </c>
      <c r="C371" t="s">
        <v>558</v>
      </c>
      <c r="E371" s="23" t="s">
        <v>76</v>
      </c>
      <c r="F371" s="16">
        <v>7.43</v>
      </c>
      <c r="G371" s="10"/>
      <c r="H371" s="10"/>
      <c r="I371" s="9" t="s">
        <v>287</v>
      </c>
      <c r="J371" s="9"/>
      <c r="K371" s="9"/>
      <c r="L371" s="9" t="s">
        <v>78</v>
      </c>
      <c r="M371" s="9"/>
      <c r="N371" s="17"/>
      <c r="O371" s="17" t="str">
        <f t="shared" si="40"/>
        <v>Toni Manning</v>
      </c>
      <c r="P371" s="17">
        <f>IFERROR(_xlfn.XLOOKUP(O371,'Department Listing'!$O$1:$O$395,'Department Listing'!$A$1:$A$395),IFERROR(_xlfn.XLOOKUP(O371,'Name Aliases'!$A$2:$A$1000,'Name Aliases'!$B$2:$B$1000),""))</f>
        <v>121</v>
      </c>
      <c r="Q371" s="18">
        <f t="shared" si="41"/>
        <v>46230</v>
      </c>
      <c r="R371" s="17" t="str">
        <f t="shared" si="42"/>
        <v>Starbucks</v>
      </c>
      <c r="S371" s="19">
        <f t="shared" si="43"/>
        <v>7.43</v>
      </c>
      <c r="T371" s="17" t="str">
        <f t="shared" si="44"/>
        <v>STARBUCKS T5A MASTERCARD-XXXXXXF9RX1G-Toni Manning</v>
      </c>
      <c r="U371" s="17" t="str">
        <f t="shared" si="45"/>
        <v>Brex Credit Card</v>
      </c>
      <c r="V371" s="19" t="str">
        <f>IF(ISBLANK($B371),"",IF(ISBLANK($K371),IF(_xlfn.XLOOKUP($W371,'Category Mapping'!$C:$C,'Category Mapping'!$B:$B)="Travel",_xlfn.XLOOKUP($P371,'Department Listing'!$A:$A,'Department Listing'!$M:$M),_xlfn.XLOOKUP($W371,'Category Mapping'!$C:$C,'Category Mapping'!$D:$D)),$K371))</f>
        <v>Sales &amp; Marketing:Sales &amp; Marketing- Travel Expenses:</v>
      </c>
      <c r="W371" s="19" t="str">
        <f t="shared" si="46"/>
        <v>Meals &amp; Entertainment</v>
      </c>
      <c r="X371" s="19" t="str">
        <f t="shared" si="47"/>
        <v>Sales &amp; Marketing:Sales &amp; Marketing- Travel Expenses:Meals &amp; Entertainment</v>
      </c>
      <c r="Y371" s="20" t="str">
        <f>IF(ISBLANK($M371),IFERROR(_xlfn.XLOOKUP($P371,'Department Listing'!$A:$A,'Department Listing'!$L:$L),""),$M371)</f>
        <v>100- Operations:120- Marketing</v>
      </c>
      <c r="Z371" s="11">
        <f>IF(ISBLANK($B371),"",MATCH($X371,COA!$B:$B,0))</f>
        <v>202</v>
      </c>
    </row>
    <row r="372" spans="2:26" ht="15.75" customHeight="1" x14ac:dyDescent="0.25">
      <c r="B372" s="14">
        <v>46231</v>
      </c>
      <c r="C372" t="s">
        <v>559</v>
      </c>
      <c r="E372" s="23" t="s">
        <v>64</v>
      </c>
      <c r="F372" s="16">
        <v>122.47</v>
      </c>
      <c r="G372" s="10"/>
      <c r="H372" s="10"/>
      <c r="I372" s="9" t="s">
        <v>92</v>
      </c>
      <c r="J372" s="9"/>
      <c r="K372" s="9"/>
      <c r="L372" s="9" t="s">
        <v>66</v>
      </c>
      <c r="M372" s="9"/>
      <c r="N372" s="17"/>
      <c r="O372" s="17" t="str">
        <f t="shared" si="40"/>
        <v>Zachary Kenyon</v>
      </c>
      <c r="P372" s="17">
        <f>IFERROR(_xlfn.XLOOKUP(O372,'Department Listing'!$O$1:$O$395,'Department Listing'!$A$1:$A$395),IFERROR(_xlfn.XLOOKUP(O372,'Name Aliases'!$A$2:$A$1000,'Name Aliases'!$B$2:$B$1000),""))</f>
        <v>83</v>
      </c>
      <c r="Q372" s="18">
        <f t="shared" si="41"/>
        <v>46231</v>
      </c>
      <c r="R372" s="17" t="str">
        <f t="shared" si="42"/>
        <v>Lyft</v>
      </c>
      <c r="S372" s="19">
        <f t="shared" si="43"/>
        <v>122.47</v>
      </c>
      <c r="T372" s="17" t="str">
        <f t="shared" si="44"/>
        <v>LYFT   *2 RIDES 07-26 MASTERCARD-XXXXXXYVSM0T-Zachary Kenyon</v>
      </c>
      <c r="U372" s="17" t="str">
        <f t="shared" si="45"/>
        <v>Brex Credit Card</v>
      </c>
      <c r="V372" s="19" t="str">
        <f>IF(ISBLANK($B372),"",IF(ISBLANK($K372),IF(_xlfn.XLOOKUP($W372,'Category Mapping'!$C:$C,'Category Mapping'!$B:$B)="Travel",_xlfn.XLOOKUP($P372,'Department Listing'!$A:$A,'Department Listing'!$M:$M),_xlfn.XLOOKUP($W372,'Category Mapping'!$C:$C,'Category Mapping'!$D:$D)),$K372))</f>
        <v>Cost of Goods Sold:COGS- Travel Expenses:</v>
      </c>
      <c r="W372" s="19" t="str">
        <f t="shared" si="46"/>
        <v>Ground Transportation</v>
      </c>
      <c r="X372" s="19" t="str">
        <f t="shared" si="47"/>
        <v>Cost of Goods Sold:COGS- Travel Expenses:Ground Transportation</v>
      </c>
      <c r="Y372" s="20" t="str">
        <f>IF(ISBLANK($M372),IFERROR(_xlfn.XLOOKUP($P372,'Department Listing'!$A:$A,'Department Listing'!$L:$L),""),$M372)</f>
        <v>300- ServiceNow:320- Engineering</v>
      </c>
      <c r="Z372" s="11">
        <f>IF(ISBLANK($B372),"",MATCH($X372,COA!$B:$B,0))</f>
        <v>124</v>
      </c>
    </row>
    <row r="373" spans="2:26" ht="15.75" customHeight="1" x14ac:dyDescent="0.25">
      <c r="B373" s="14">
        <v>46230</v>
      </c>
      <c r="C373" t="s">
        <v>560</v>
      </c>
      <c r="E373" s="23"/>
      <c r="F373" s="16">
        <v>2.7</v>
      </c>
      <c r="G373" s="10"/>
      <c r="H373" s="10"/>
      <c r="I373" s="9" t="s">
        <v>33</v>
      </c>
      <c r="J373" s="9"/>
      <c r="K373" s="9"/>
      <c r="L373" s="9" t="s">
        <v>149</v>
      </c>
      <c r="M373" s="9"/>
      <c r="N373" s="17"/>
      <c r="O373" s="17" t="str">
        <f t="shared" si="40"/>
        <v>Oliver McCaffrey</v>
      </c>
      <c r="P373" s="17">
        <f>IFERROR(_xlfn.XLOOKUP(O373,'Department Listing'!$O$1:$O$395,'Department Listing'!$A$1:$A$395),IFERROR(_xlfn.XLOOKUP(O373,'Name Aliases'!$A$2:$A$1000,'Name Aliases'!$B$2:$B$1000),""))</f>
        <v>181</v>
      </c>
      <c r="Q373" s="18">
        <f t="shared" si="41"/>
        <v>46230</v>
      </c>
      <c r="R373" s="17" t="str">
        <f t="shared" si="42"/>
        <v>Travel Vendor</v>
      </c>
      <c r="S373" s="19">
        <f t="shared" si="43"/>
        <v>2.7</v>
      </c>
      <c r="T373" s="17" t="str">
        <f t="shared" si="44"/>
        <v>NORTHLINK M1 LIMITED MASTERCARD-XXXXXX0BQA0T-Oliver McCaffrey</v>
      </c>
      <c r="U373" s="17" t="str">
        <f t="shared" si="45"/>
        <v>Brex Credit Card</v>
      </c>
      <c r="V373" s="19" t="str">
        <f>IF(ISBLANK($B373),"",IF(ISBLANK($K373),IF(_xlfn.XLOOKUP($W373,'Category Mapping'!$C:$C,'Category Mapping'!$B:$B)="Travel",_xlfn.XLOOKUP($P373,'Department Listing'!$A:$A,'Department Listing'!$M:$M),_xlfn.XLOOKUP($W373,'Category Mapping'!$C:$C,'Category Mapping'!$D:$D)),$K373))</f>
        <v>Cost of Goods Sold:COGS- Travel Expenses:</v>
      </c>
      <c r="W373" s="19" t="str">
        <f t="shared" si="46"/>
        <v>Other Travel Expenses</v>
      </c>
      <c r="X373" s="19" t="str">
        <f t="shared" si="47"/>
        <v>Cost of Goods Sold:COGS- Travel Expenses:Other Travel Expenses</v>
      </c>
      <c r="Y373" s="20" t="str">
        <f>IF(ISBLANK($M373),IFERROR(_xlfn.XLOOKUP($P373,'Department Listing'!$A:$A,'Department Listing'!$L:$L),""),$M373)</f>
        <v>300- ServiceNow:310- Delivery</v>
      </c>
      <c r="Z373" s="11">
        <f>IF(ISBLANK($B373),"",MATCH($X373,COA!$B:$B,0))</f>
        <v>127</v>
      </c>
    </row>
    <row r="374" spans="2:26" ht="15.75" customHeight="1" x14ac:dyDescent="0.25">
      <c r="B374" s="14">
        <v>46230</v>
      </c>
      <c r="C374" t="s">
        <v>561</v>
      </c>
      <c r="E374" s="23" t="s">
        <v>76</v>
      </c>
      <c r="F374" s="16">
        <v>27.46</v>
      </c>
      <c r="G374" s="10"/>
      <c r="H374" s="10"/>
      <c r="I374" s="9" t="s">
        <v>438</v>
      </c>
      <c r="J374" s="9"/>
      <c r="K374" s="9"/>
      <c r="L374" s="9" t="s">
        <v>78</v>
      </c>
      <c r="M374" s="9"/>
      <c r="N374" s="17"/>
      <c r="O374" s="17" t="str">
        <f t="shared" si="40"/>
        <v>Toni Manning</v>
      </c>
      <c r="P374" s="17">
        <f>IFERROR(_xlfn.XLOOKUP(O374,'Department Listing'!$O$1:$O$395,'Department Listing'!$A$1:$A$395),IFERROR(_xlfn.XLOOKUP(O374,'Name Aliases'!$A$2:$A$1000,'Name Aliases'!$B$2:$B$1000),""))</f>
        <v>121</v>
      </c>
      <c r="Q374" s="18">
        <f t="shared" si="41"/>
        <v>46230</v>
      </c>
      <c r="R374" s="17" t="str">
        <f t="shared" si="42"/>
        <v>WHSmith</v>
      </c>
      <c r="S374" s="19">
        <f t="shared" si="43"/>
        <v>27.46</v>
      </c>
      <c r="T374" s="17" t="str">
        <f t="shared" si="44"/>
        <v>WH Smith Heathrow T5 MASTERCARD-XXXXXXH2I0S4-Toni Manning</v>
      </c>
      <c r="U374" s="17" t="str">
        <f t="shared" si="45"/>
        <v>Brex Credit Card</v>
      </c>
      <c r="V374" s="19" t="str">
        <f>IF(ISBLANK($B374),"",IF(ISBLANK($K374),IF(_xlfn.XLOOKUP($W374,'Category Mapping'!$C:$C,'Category Mapping'!$B:$B)="Travel",_xlfn.XLOOKUP($P374,'Department Listing'!$A:$A,'Department Listing'!$M:$M),_xlfn.XLOOKUP($W374,'Category Mapping'!$C:$C,'Category Mapping'!$D:$D)),$K374))</f>
        <v>Sales &amp; Marketing:Sales &amp; Marketing- Travel Expenses:</v>
      </c>
      <c r="W374" s="19" t="str">
        <f t="shared" si="46"/>
        <v>Meals &amp; Entertainment</v>
      </c>
      <c r="X374" s="19" t="str">
        <f t="shared" si="47"/>
        <v>Sales &amp; Marketing:Sales &amp; Marketing- Travel Expenses:Meals &amp; Entertainment</v>
      </c>
      <c r="Y374" s="20" t="str">
        <f>IF(ISBLANK($M374),IFERROR(_xlfn.XLOOKUP($P374,'Department Listing'!$A:$A,'Department Listing'!$L:$L),""),$M374)</f>
        <v>100- Operations:120- Marketing</v>
      </c>
      <c r="Z374" s="11">
        <f>IF(ISBLANK($B374),"",MATCH($X374,COA!$B:$B,0))</f>
        <v>202</v>
      </c>
    </row>
    <row r="375" spans="2:26" ht="15.75" customHeight="1" x14ac:dyDescent="0.25">
      <c r="B375" s="14">
        <v>46230</v>
      </c>
      <c r="C375" t="s">
        <v>562</v>
      </c>
      <c r="E375" s="23" t="s">
        <v>69</v>
      </c>
      <c r="F375" s="16">
        <v>1776.99</v>
      </c>
      <c r="G375" s="10"/>
      <c r="H375" s="10"/>
      <c r="I375" s="9" t="s">
        <v>563</v>
      </c>
      <c r="J375" s="9"/>
      <c r="K375" s="9"/>
      <c r="L375" s="9" t="s">
        <v>71</v>
      </c>
      <c r="M375" s="9"/>
      <c r="N375" s="17"/>
      <c r="O375" s="17" t="str">
        <f t="shared" si="40"/>
        <v>Eric Rabkin</v>
      </c>
      <c r="P375" s="17">
        <f>IFERROR(_xlfn.XLOOKUP(O375,'Department Listing'!$O$1:$O$395,'Department Listing'!$A$1:$A$395),IFERROR(_xlfn.XLOOKUP(O375,'Name Aliases'!$A$2:$A$1000,'Name Aliases'!$B$2:$B$1000),""))</f>
        <v>246</v>
      </c>
      <c r="Q375" s="18">
        <f t="shared" si="41"/>
        <v>46230</v>
      </c>
      <c r="R375" s="17" t="str">
        <f t="shared" si="42"/>
        <v>Bamboo HR</v>
      </c>
      <c r="S375" s="19">
        <f t="shared" si="43"/>
        <v>1776.99</v>
      </c>
      <c r="T375" s="17" t="str">
        <f t="shared" si="44"/>
        <v>BAMBOOHR HRIS MASTERCARD-XXXXXX2XMSHC-Eric Rabkin</v>
      </c>
      <c r="U375" s="17" t="str">
        <f t="shared" si="45"/>
        <v>Brex Credit Card</v>
      </c>
      <c r="V375" s="19" t="str">
        <f>IF(ISBLANK($B375),"",IF(ISBLANK($K375),IF(_xlfn.XLOOKUP($W375,'Category Mapping'!$C:$C,'Category Mapping'!$B:$B)="Travel",_xlfn.XLOOKUP($P375,'Department Listing'!$A:$A,'Department Listing'!$M:$M),_xlfn.XLOOKUP($W375,'Category Mapping'!$C:$C,'Category Mapping'!$D:$D)),$K375))</f>
        <v>General &amp; Administrative:</v>
      </c>
      <c r="W375" s="19" t="str">
        <f t="shared" si="46"/>
        <v>Software Licenses</v>
      </c>
      <c r="X375" s="19" t="str">
        <f t="shared" si="47"/>
        <v>General &amp; Administrative:Software Licenses</v>
      </c>
      <c r="Y375" s="20" t="str">
        <f>IF(ISBLANK($M375),IFERROR(_xlfn.XLOOKUP($P375,'Department Listing'!$A:$A,'Department Listing'!$L:$L),""),$M375)</f>
        <v>100- Operations:110- G&amp;A</v>
      </c>
      <c r="Z375" s="11">
        <f>IF(ISBLANK($B375),"",MATCH($X375,COA!$B:$B,0))</f>
        <v>170</v>
      </c>
    </row>
    <row r="376" spans="2:26" ht="15.75" customHeight="1" x14ac:dyDescent="0.25">
      <c r="B376" s="14">
        <v>46230</v>
      </c>
      <c r="C376" t="s">
        <v>564</v>
      </c>
      <c r="E376" s="23" t="s">
        <v>64</v>
      </c>
      <c r="F376" s="16">
        <v>81.099999999999994</v>
      </c>
      <c r="G376" s="10"/>
      <c r="H376" s="10"/>
      <c r="I376" s="9" t="s">
        <v>74</v>
      </c>
      <c r="J376" s="9"/>
      <c r="K376" s="9"/>
      <c r="L376" s="9" t="s">
        <v>66</v>
      </c>
      <c r="M376" s="9"/>
      <c r="N376" s="17"/>
      <c r="O376" s="17" t="str">
        <f t="shared" si="40"/>
        <v>Toni Manning</v>
      </c>
      <c r="P376" s="17">
        <f>IFERROR(_xlfn.XLOOKUP(O376,'Department Listing'!$O$1:$O$395,'Department Listing'!$A$1:$A$395),IFERROR(_xlfn.XLOOKUP(O376,'Name Aliases'!$A$2:$A$1000,'Name Aliases'!$B$2:$B$1000),""))</f>
        <v>121</v>
      </c>
      <c r="Q376" s="18">
        <f t="shared" si="41"/>
        <v>46230</v>
      </c>
      <c r="R376" s="17" t="str">
        <f t="shared" si="42"/>
        <v>Uber</v>
      </c>
      <c r="S376" s="19">
        <f t="shared" si="43"/>
        <v>81.099999999999994</v>
      </c>
      <c r="T376" s="17" t="str">
        <f t="shared" si="44"/>
        <v>UBR* PENDING.UBER.COM MASTERCARD-XXXXXXSWVR62-Toni Manning</v>
      </c>
      <c r="U376" s="17" t="str">
        <f t="shared" si="45"/>
        <v>Brex Credit Card</v>
      </c>
      <c r="V376" s="19" t="str">
        <f>IF(ISBLANK($B376),"",IF(ISBLANK($K376),IF(_xlfn.XLOOKUP($W376,'Category Mapping'!$C:$C,'Category Mapping'!$B:$B)="Travel",_xlfn.XLOOKUP($P376,'Department Listing'!$A:$A,'Department Listing'!$M:$M),_xlfn.XLOOKUP($W376,'Category Mapping'!$C:$C,'Category Mapping'!$D:$D)),$K376))</f>
        <v>Sales &amp; Marketing:Sales &amp; Marketing- Travel Expenses:</v>
      </c>
      <c r="W376" s="19" t="str">
        <f t="shared" si="46"/>
        <v>Ground Transportation</v>
      </c>
      <c r="X376" s="19" t="str">
        <f t="shared" si="47"/>
        <v>Sales &amp; Marketing:Sales &amp; Marketing- Travel Expenses:Ground Transportation</v>
      </c>
      <c r="Y376" s="20" t="str">
        <f>IF(ISBLANK($M376),IFERROR(_xlfn.XLOOKUP($P376,'Department Listing'!$A:$A,'Department Listing'!$L:$L),""),$M376)</f>
        <v>100- Operations:120- Marketing</v>
      </c>
      <c r="Z376" s="11">
        <f>IF(ISBLANK($B376),"",MATCH($X376,COA!$B:$B,0))</f>
        <v>200</v>
      </c>
    </row>
    <row r="377" spans="2:26" ht="15.75" customHeight="1" x14ac:dyDescent="0.25">
      <c r="B377" s="14">
        <v>46230</v>
      </c>
      <c r="C377" t="s">
        <v>565</v>
      </c>
      <c r="E377" s="23"/>
      <c r="F377" s="16">
        <v>17.86</v>
      </c>
      <c r="G377" s="10"/>
      <c r="H377" s="10"/>
      <c r="I377" s="9" t="s">
        <v>566</v>
      </c>
      <c r="J377" s="9"/>
      <c r="K377" s="9"/>
      <c r="L377" s="9" t="s">
        <v>78</v>
      </c>
      <c r="M377" s="9"/>
      <c r="N377" s="17"/>
      <c r="O377" s="17" t="str">
        <f t="shared" si="40"/>
        <v>Sal Costa</v>
      </c>
      <c r="P377" s="17">
        <f>IFERROR(_xlfn.XLOOKUP(O377,'Department Listing'!$O$1:$O$395,'Department Listing'!$A$1:$A$395),IFERROR(_xlfn.XLOOKUP(O377,'Name Aliases'!$A$2:$A$1000,'Name Aliases'!$B$2:$B$1000),""))</f>
        <v>257</v>
      </c>
      <c r="Q377" s="18">
        <f t="shared" si="41"/>
        <v>46230</v>
      </c>
      <c r="R377" s="17" t="str">
        <f t="shared" si="42"/>
        <v>Whataburger</v>
      </c>
      <c r="S377" s="19">
        <f t="shared" si="43"/>
        <v>17.86</v>
      </c>
      <c r="T377" s="17" t="str">
        <f t="shared" si="44"/>
        <v>SAT Whataburger MASTERCARD-XXXXXX9P3FN5-Sal Costa</v>
      </c>
      <c r="U377" s="17" t="str">
        <f t="shared" si="45"/>
        <v>Brex Credit Card</v>
      </c>
      <c r="V377" s="19" t="str">
        <f>IF(ISBLANK($B377),"",IF(ISBLANK($K377),IF(_xlfn.XLOOKUP($W377,'Category Mapping'!$C:$C,'Category Mapping'!$B:$B)="Travel",_xlfn.XLOOKUP($P377,'Department Listing'!$A:$A,'Department Listing'!$M:$M),_xlfn.XLOOKUP($W377,'Category Mapping'!$C:$C,'Category Mapping'!$D:$D)),$K377))</f>
        <v>Sales &amp; Marketing:Sales &amp; Marketing- Travel Expenses:</v>
      </c>
      <c r="W377" s="19" t="str">
        <f t="shared" si="46"/>
        <v>Meals &amp; Entertainment</v>
      </c>
      <c r="X377" s="19" t="str">
        <f t="shared" si="47"/>
        <v>Sales &amp; Marketing:Sales &amp; Marketing- Travel Expenses:Meals &amp; Entertainment</v>
      </c>
      <c r="Y377" s="20" t="str">
        <f>IF(ISBLANK($M377),IFERROR(_xlfn.XLOOKUP($P377,'Department Listing'!$A:$A,'Department Listing'!$L:$L),""),$M377)</f>
        <v>300- ServiceNow:330- Sales</v>
      </c>
      <c r="Z377" s="11">
        <f>IF(ISBLANK($B377),"",MATCH($X377,COA!$B:$B,0))</f>
        <v>202</v>
      </c>
    </row>
    <row r="378" spans="2:26" ht="15.75" customHeight="1" x14ac:dyDescent="0.25">
      <c r="B378" s="14">
        <v>46231</v>
      </c>
      <c r="C378" t="s">
        <v>567</v>
      </c>
      <c r="E378" s="23" t="s">
        <v>76</v>
      </c>
      <c r="F378" s="16">
        <v>18.59</v>
      </c>
      <c r="G378" s="10"/>
      <c r="H378" s="10"/>
      <c r="I378" s="9" t="s">
        <v>287</v>
      </c>
      <c r="J378" s="9"/>
      <c r="K378" s="9"/>
      <c r="L378" s="9" t="s">
        <v>78</v>
      </c>
      <c r="M378" s="9"/>
      <c r="N378" s="17"/>
      <c r="O378" s="17" t="str">
        <f t="shared" si="40"/>
        <v>Jonathan Stricklin</v>
      </c>
      <c r="P378" s="17">
        <f>IFERROR(_xlfn.XLOOKUP(O378,'Department Listing'!$O$1:$O$395,'Department Listing'!$A$1:$A$395),IFERROR(_xlfn.XLOOKUP(O378,'Name Aliases'!$A$2:$A$1000,'Name Aliases'!$B$2:$B$1000),""))</f>
        <v>167</v>
      </c>
      <c r="Q378" s="18">
        <f t="shared" si="41"/>
        <v>46231</v>
      </c>
      <c r="R378" s="17" t="str">
        <f t="shared" si="42"/>
        <v>Starbucks</v>
      </c>
      <c r="S378" s="19">
        <f t="shared" si="43"/>
        <v>18.59</v>
      </c>
      <c r="T378" s="17" t="str">
        <f t="shared" si="44"/>
        <v>STARBUCKS STORE 20135 MASTERCARD-XXXXXXKBLPPX-Jonathan Stricklin</v>
      </c>
      <c r="U378" s="17" t="str">
        <f t="shared" si="45"/>
        <v>Brex Credit Card</v>
      </c>
      <c r="V378" s="19" t="str">
        <f>IF(ISBLANK($B378),"",IF(ISBLANK($K378),IF(_xlfn.XLOOKUP($W378,'Category Mapping'!$C:$C,'Category Mapping'!$B:$B)="Travel",_xlfn.XLOOKUP($P378,'Department Listing'!$A:$A,'Department Listing'!$M:$M),_xlfn.XLOOKUP($W378,'Category Mapping'!$C:$C,'Category Mapping'!$D:$D)),$K378))</f>
        <v>Cost of Goods Sold:COGS- Travel Expenses:</v>
      </c>
      <c r="W378" s="19" t="str">
        <f t="shared" si="46"/>
        <v>Meals &amp; Entertainment</v>
      </c>
      <c r="X378" s="19" t="str">
        <f t="shared" si="47"/>
        <v>Cost of Goods Sold:COGS- Travel Expenses:Meals &amp; Entertainment</v>
      </c>
      <c r="Y378" s="20" t="str">
        <f>IF(ISBLANK($M378),IFERROR(_xlfn.XLOOKUP($P378,'Department Listing'!$A:$A,'Department Listing'!$L:$L),""),$M378)</f>
        <v>300- ServiceNow:320- Engineering</v>
      </c>
      <c r="Z378" s="11">
        <f>IF(ISBLANK($B378),"",MATCH($X378,COA!$B:$B,0))</f>
        <v>126</v>
      </c>
    </row>
    <row r="379" spans="2:26" ht="15.75" customHeight="1" x14ac:dyDescent="0.25">
      <c r="B379" s="14">
        <v>46230</v>
      </c>
      <c r="C379" t="s">
        <v>568</v>
      </c>
      <c r="E379" s="23"/>
      <c r="F379" s="16">
        <v>6.28</v>
      </c>
      <c r="G379" s="10"/>
      <c r="H379" s="10"/>
      <c r="I379" s="9" t="s">
        <v>37</v>
      </c>
      <c r="J379" s="9"/>
      <c r="K379" s="9"/>
      <c r="L379" s="9" t="s">
        <v>94</v>
      </c>
      <c r="M379" s="9"/>
      <c r="N379" s="17"/>
      <c r="O379" s="17" t="str">
        <f t="shared" si="40"/>
        <v>Jason Speet</v>
      </c>
      <c r="P379" s="17">
        <f>IFERROR(_xlfn.XLOOKUP(O379,'Department Listing'!$O$1:$O$395,'Department Listing'!$A$1:$A$395),IFERROR(_xlfn.XLOOKUP(O379,'Name Aliases'!$A$2:$A$1000,'Name Aliases'!$B$2:$B$1000),""))</f>
        <v>169</v>
      </c>
      <c r="Q379" s="18">
        <f t="shared" si="41"/>
        <v>46230</v>
      </c>
      <c r="R379" s="17" t="str">
        <f t="shared" si="42"/>
        <v>Office Vendor</v>
      </c>
      <c r="S379" s="19">
        <f t="shared" si="43"/>
        <v>6.28</v>
      </c>
      <c r="T379" s="17" t="str">
        <f t="shared" si="44"/>
        <v>HUDSONST1691 MASTERCARD-XXXXXX9F3QIS-Jason Speet</v>
      </c>
      <c r="U379" s="17" t="str">
        <f t="shared" si="45"/>
        <v>Brex Credit Card</v>
      </c>
      <c r="V379" s="19" t="str">
        <f>IF(ISBLANK($B379),"",IF(ISBLANK($K379),IF(_xlfn.XLOOKUP($W379,'Category Mapping'!$C:$C,'Category Mapping'!$B:$B)="Travel",_xlfn.XLOOKUP($P379,'Department Listing'!$A:$A,'Department Listing'!$M:$M),_xlfn.XLOOKUP($W379,'Category Mapping'!$C:$C,'Category Mapping'!$D:$D)),$K379))</f>
        <v>General &amp; Administrative:Office Expenses:</v>
      </c>
      <c r="W379" s="19" t="str">
        <f t="shared" si="46"/>
        <v>Dues &amp; Subscriptions</v>
      </c>
      <c r="X379" s="19" t="str">
        <f t="shared" si="47"/>
        <v>General &amp; Administrative:Office Expenses:Dues &amp; Subscriptions</v>
      </c>
      <c r="Y379" s="20" t="str">
        <f>IF(ISBLANK($M379),IFERROR(_xlfn.XLOOKUP($P379,'Department Listing'!$A:$A,'Department Listing'!$L:$L),""),$M379)</f>
        <v>300- ServiceNow:320- Engineering</v>
      </c>
      <c r="Z379" s="11">
        <f>IF(ISBLANK($B379),"",MATCH($X379,COA!$B:$B,0))</f>
        <v>159</v>
      </c>
    </row>
    <row r="380" spans="2:26" ht="15.75" customHeight="1" x14ac:dyDescent="0.25">
      <c r="B380" s="14">
        <v>46230</v>
      </c>
      <c r="C380" t="s">
        <v>569</v>
      </c>
      <c r="E380" s="23"/>
      <c r="F380" s="16">
        <v>18.09</v>
      </c>
      <c r="G380" s="10"/>
      <c r="H380" s="10"/>
      <c r="I380" s="9" t="s">
        <v>34</v>
      </c>
      <c r="J380" s="9"/>
      <c r="K380" s="9"/>
      <c r="L380" s="9" t="s">
        <v>66</v>
      </c>
      <c r="M380" s="9"/>
      <c r="N380" s="17"/>
      <c r="O380" s="17" t="str">
        <f t="shared" si="40"/>
        <v>Dan Hennessy</v>
      </c>
      <c r="P380" s="17">
        <f>IFERROR(_xlfn.XLOOKUP(O380,'Department Listing'!$O$1:$O$395,'Department Listing'!$A$1:$A$395),IFERROR(_xlfn.XLOOKUP(O380,'Name Aliases'!$A$2:$A$1000,'Name Aliases'!$B$2:$B$1000),""))</f>
        <v>261</v>
      </c>
      <c r="Q380" s="18">
        <f t="shared" si="41"/>
        <v>46230</v>
      </c>
      <c r="R380" s="17" t="str">
        <f t="shared" si="42"/>
        <v>Taxi Vendor</v>
      </c>
      <c r="S380" s="19">
        <f t="shared" si="43"/>
        <v>18.09</v>
      </c>
      <c r="T380" s="17" t="str">
        <f t="shared" si="44"/>
        <v>SumUp  *Stephen crowle MASTERCARD-XXXXXXBEYT06-Dan Hennessy</v>
      </c>
      <c r="U380" s="17" t="str">
        <f t="shared" si="45"/>
        <v>Brex Credit Card</v>
      </c>
      <c r="V380" s="19" t="str">
        <f>IF(ISBLANK($B380),"",IF(ISBLANK($K380),IF(_xlfn.XLOOKUP($W380,'Category Mapping'!$C:$C,'Category Mapping'!$B:$B)="Travel",_xlfn.XLOOKUP($P380,'Department Listing'!$A:$A,'Department Listing'!$M:$M),_xlfn.XLOOKUP($W380,'Category Mapping'!$C:$C,'Category Mapping'!$D:$D)),$K380))</f>
        <v>Cost of Goods Sold:COGS- Travel Expenses:</v>
      </c>
      <c r="W380" s="19" t="str">
        <f t="shared" si="46"/>
        <v>Ground Transportation</v>
      </c>
      <c r="X380" s="19" t="str">
        <f t="shared" si="47"/>
        <v>Cost of Goods Sold:COGS- Travel Expenses:Ground Transportation</v>
      </c>
      <c r="Y380" s="20" t="str">
        <f>IF(ISBLANK($M380),IFERROR(_xlfn.XLOOKUP($P380,'Department Listing'!$A:$A,'Department Listing'!$L:$L),""),$M380)</f>
        <v>200- Datadog:220- Engineering</v>
      </c>
      <c r="Z380" s="11">
        <f>IF(ISBLANK($B380),"",MATCH($X380,COA!$B:$B,0))</f>
        <v>124</v>
      </c>
    </row>
    <row r="381" spans="2:26" ht="15.75" customHeight="1" x14ac:dyDescent="0.25">
      <c r="B381" s="14">
        <v>46230</v>
      </c>
      <c r="C381" t="s">
        <v>570</v>
      </c>
      <c r="E381" s="23" t="s">
        <v>64</v>
      </c>
      <c r="F381" s="16">
        <v>2.35</v>
      </c>
      <c r="G381" s="10"/>
      <c r="H381" s="10"/>
      <c r="I381" s="9" t="s">
        <v>74</v>
      </c>
      <c r="J381" s="9"/>
      <c r="K381" s="9"/>
      <c r="L381" s="9" t="s">
        <v>66</v>
      </c>
      <c r="M381" s="9"/>
      <c r="N381" s="17"/>
      <c r="O381" s="17" t="str">
        <f t="shared" si="40"/>
        <v>Nestor Abad Rodriguez</v>
      </c>
      <c r="P381" s="17">
        <f>IFERROR(_xlfn.XLOOKUP(O381,'Department Listing'!$O$1:$O$395,'Department Listing'!$A$1:$A$395),IFERROR(_xlfn.XLOOKUP(O381,'Name Aliases'!$A$2:$A$1000,'Name Aliases'!$B$2:$B$1000),""))</f>
        <v>190</v>
      </c>
      <c r="Q381" s="18">
        <f t="shared" si="41"/>
        <v>46230</v>
      </c>
      <c r="R381" s="17" t="str">
        <f t="shared" si="42"/>
        <v>Uber</v>
      </c>
      <c r="S381" s="19">
        <f t="shared" si="43"/>
        <v>2.35</v>
      </c>
      <c r="T381" s="17" t="str">
        <f t="shared" si="44"/>
        <v>UBER   *TRIP MASTERCARD-XXXXXXVO1XF6-Nestor Abad Rodriguez</v>
      </c>
      <c r="U381" s="17" t="str">
        <f t="shared" si="45"/>
        <v>Brex Credit Card</v>
      </c>
      <c r="V381" s="19" t="str">
        <f>IF(ISBLANK($B381),"",IF(ISBLANK($K381),IF(_xlfn.XLOOKUP($W381,'Category Mapping'!$C:$C,'Category Mapping'!$B:$B)="Travel",_xlfn.XLOOKUP($P381,'Department Listing'!$A:$A,'Department Listing'!$M:$M),_xlfn.XLOOKUP($W381,'Category Mapping'!$C:$C,'Category Mapping'!$D:$D)),$K381))</f>
        <v>Sales &amp; Marketing:Sales &amp; Marketing- Travel Expenses:</v>
      </c>
      <c r="W381" s="19" t="str">
        <f t="shared" si="46"/>
        <v>Ground Transportation</v>
      </c>
      <c r="X381" s="19" t="str">
        <f t="shared" si="47"/>
        <v>Sales &amp; Marketing:Sales &amp; Marketing- Travel Expenses:Ground Transportation</v>
      </c>
      <c r="Y381" s="20" t="str">
        <f>IF(ISBLANK($M381),IFERROR(_xlfn.XLOOKUP($P381,'Department Listing'!$A:$A,'Department Listing'!$L:$L),""),$M381)</f>
        <v>300- ServiceNow:330- Sales</v>
      </c>
      <c r="Z381" s="11">
        <f>IF(ISBLANK($B381),"",MATCH($X381,COA!$B:$B,0))</f>
        <v>200</v>
      </c>
    </row>
    <row r="382" spans="2:26" ht="15.75" customHeight="1" x14ac:dyDescent="0.25">
      <c r="B382" s="14">
        <v>46229</v>
      </c>
      <c r="C382" t="s">
        <v>571</v>
      </c>
      <c r="E382" s="23"/>
      <c r="F382" s="16">
        <v>48.13</v>
      </c>
      <c r="G382" s="10"/>
      <c r="H382" s="10"/>
      <c r="I382" s="9" t="s">
        <v>36</v>
      </c>
      <c r="J382" s="9"/>
      <c r="K382" s="9"/>
      <c r="L382" s="9" t="s">
        <v>78</v>
      </c>
      <c r="M382" s="9"/>
      <c r="N382" s="17"/>
      <c r="O382" s="17" t="str">
        <f t="shared" si="40"/>
        <v>Patrick Donovan</v>
      </c>
      <c r="P382" s="17">
        <f>IFERROR(_xlfn.XLOOKUP(O382,'Department Listing'!$O$1:$O$395,'Department Listing'!$A$1:$A$395),IFERROR(_xlfn.XLOOKUP(O382,'Name Aliases'!$A$2:$A$1000,'Name Aliases'!$B$2:$B$1000),""))</f>
        <v>137</v>
      </c>
      <c r="Q382" s="18">
        <f t="shared" si="41"/>
        <v>46229</v>
      </c>
      <c r="R382" s="17" t="str">
        <f t="shared" si="42"/>
        <v>Food Vendor</v>
      </c>
      <c r="S382" s="19">
        <f t="shared" si="43"/>
        <v>48.13</v>
      </c>
      <c r="T382" s="17" t="str">
        <f t="shared" si="44"/>
        <v>Leo's MASTERCARD-XXXXXXA929QT-Patrick Donovan</v>
      </c>
      <c r="U382" s="17" t="str">
        <f t="shared" si="45"/>
        <v>Brex Credit Card</v>
      </c>
      <c r="V382" s="19" t="str">
        <f>IF(ISBLANK($B382),"",IF(ISBLANK($K382),IF(_xlfn.XLOOKUP($W382,'Category Mapping'!$C:$C,'Category Mapping'!$B:$B)="Travel",_xlfn.XLOOKUP($P382,'Department Listing'!$A:$A,'Department Listing'!$M:$M),_xlfn.XLOOKUP($W382,'Category Mapping'!$C:$C,'Category Mapping'!$D:$D)),$K382))</f>
        <v>Cost of Goods Sold:COGS- Travel Expenses:</v>
      </c>
      <c r="W382" s="19" t="str">
        <f t="shared" si="46"/>
        <v>Meals &amp; Entertainment</v>
      </c>
      <c r="X382" s="19" t="str">
        <f t="shared" si="47"/>
        <v>Cost of Goods Sold:COGS- Travel Expenses:Meals &amp; Entertainment</v>
      </c>
      <c r="Y382" s="20" t="str">
        <f>IF(ISBLANK($M382),IFERROR(_xlfn.XLOOKUP($P382,'Department Listing'!$A:$A,'Department Listing'!$L:$L),""),$M382)</f>
        <v>200- Datadog:210- Delivery</v>
      </c>
      <c r="Z382" s="11">
        <f>IF(ISBLANK($B382),"",MATCH($X382,COA!$B:$B,0))</f>
        <v>126</v>
      </c>
    </row>
    <row r="383" spans="2:26" ht="15.75" customHeight="1" x14ac:dyDescent="0.25">
      <c r="B383" s="14">
        <v>46229</v>
      </c>
      <c r="C383" t="s">
        <v>572</v>
      </c>
      <c r="E383" s="23"/>
      <c r="F383" s="16">
        <v>33.92</v>
      </c>
      <c r="G383" s="10"/>
      <c r="H383" s="10"/>
      <c r="I383" s="9" t="s">
        <v>36</v>
      </c>
      <c r="J383" s="9"/>
      <c r="K383" s="9"/>
      <c r="L383" s="9" t="s">
        <v>78</v>
      </c>
      <c r="M383" s="9"/>
      <c r="N383" s="17"/>
      <c r="O383" s="17" t="str">
        <f t="shared" si="40"/>
        <v>Robert Kolosky</v>
      </c>
      <c r="P383" s="17">
        <f>IFERROR(_xlfn.XLOOKUP(O383,'Department Listing'!$O$1:$O$395,'Department Listing'!$A$1:$A$395),IFERROR(_xlfn.XLOOKUP(O383,'Name Aliases'!$A$2:$A$1000,'Name Aliases'!$B$2:$B$1000),""))</f>
        <v>91</v>
      </c>
      <c r="Q383" s="18">
        <f t="shared" si="41"/>
        <v>46229</v>
      </c>
      <c r="R383" s="17" t="str">
        <f t="shared" si="42"/>
        <v>Food Vendor</v>
      </c>
      <c r="S383" s="19">
        <f t="shared" si="43"/>
        <v>33.92</v>
      </c>
      <c r="T383" s="17" t="str">
        <f t="shared" si="44"/>
        <v>THE WILDDUCK MARKET PL MASTERCARD-XXXXXX7AGXI2-Robert Kolosky</v>
      </c>
      <c r="U383" s="17" t="str">
        <f t="shared" si="45"/>
        <v>Brex Credit Card</v>
      </c>
      <c r="V383" s="19" t="str">
        <f>IF(ISBLANK($B383),"",IF(ISBLANK($K383),IF(_xlfn.XLOOKUP($W383,'Category Mapping'!$C:$C,'Category Mapping'!$B:$B)="Travel",_xlfn.XLOOKUP($P383,'Department Listing'!$A:$A,'Department Listing'!$M:$M),_xlfn.XLOOKUP($W383,'Category Mapping'!$C:$C,'Category Mapping'!$D:$D)),$K383))</f>
        <v>Cost of Goods Sold:COGS- Travel Expenses:</v>
      </c>
      <c r="W383" s="19" t="str">
        <f t="shared" si="46"/>
        <v>Meals &amp; Entertainment</v>
      </c>
      <c r="X383" s="19" t="str">
        <f t="shared" si="47"/>
        <v>Cost of Goods Sold:COGS- Travel Expenses:Meals &amp; Entertainment</v>
      </c>
      <c r="Y383" s="20" t="str">
        <f>IF(ISBLANK($M383),IFERROR(_xlfn.XLOOKUP($P383,'Department Listing'!$A:$A,'Department Listing'!$L:$L),""),$M383)</f>
        <v>300- ServiceNow:320- Engineering</v>
      </c>
      <c r="Z383" s="11">
        <f>IF(ISBLANK($B383),"",MATCH($X383,COA!$B:$B,0))</f>
        <v>126</v>
      </c>
    </row>
    <row r="384" spans="2:26" ht="15.75" customHeight="1" x14ac:dyDescent="0.25">
      <c r="B384" s="14">
        <v>46229</v>
      </c>
      <c r="C384" t="s">
        <v>573</v>
      </c>
      <c r="E384" s="23"/>
      <c r="F384" s="16">
        <v>48.13</v>
      </c>
      <c r="G384" s="10"/>
      <c r="H384" s="10"/>
      <c r="I384" s="9" t="s">
        <v>36</v>
      </c>
      <c r="J384" s="9"/>
      <c r="K384" s="9"/>
      <c r="L384" s="9" t="s">
        <v>78</v>
      </c>
      <c r="M384" s="9"/>
      <c r="N384" s="17"/>
      <c r="O384" s="17" t="str">
        <f t="shared" si="40"/>
        <v>Patrick Donovan</v>
      </c>
      <c r="P384" s="17">
        <f>IFERROR(_xlfn.XLOOKUP(O384,'Department Listing'!$O$1:$O$395,'Department Listing'!$A$1:$A$395),IFERROR(_xlfn.XLOOKUP(O384,'Name Aliases'!$A$2:$A$1000,'Name Aliases'!$B$2:$B$1000),""))</f>
        <v>137</v>
      </c>
      <c r="Q384" s="18">
        <f t="shared" si="41"/>
        <v>46229</v>
      </c>
      <c r="R384" s="17" t="str">
        <f t="shared" si="42"/>
        <v>Food Vendor</v>
      </c>
      <c r="S384" s="19">
        <f t="shared" si="43"/>
        <v>48.13</v>
      </c>
      <c r="T384" s="17" t="str">
        <f t="shared" si="44"/>
        <v>La Pollera Colora MASTERCARD-XXXXXX4U1XGE-Patrick Donovan</v>
      </c>
      <c r="U384" s="17" t="str">
        <f t="shared" si="45"/>
        <v>Brex Credit Card</v>
      </c>
      <c r="V384" s="19" t="str">
        <f>IF(ISBLANK($B384),"",IF(ISBLANK($K384),IF(_xlfn.XLOOKUP($W384,'Category Mapping'!$C:$C,'Category Mapping'!$B:$B)="Travel",_xlfn.XLOOKUP($P384,'Department Listing'!$A:$A,'Department Listing'!$M:$M),_xlfn.XLOOKUP($W384,'Category Mapping'!$C:$C,'Category Mapping'!$D:$D)),$K384))</f>
        <v>Cost of Goods Sold:COGS- Travel Expenses:</v>
      </c>
      <c r="W384" s="19" t="str">
        <f t="shared" si="46"/>
        <v>Meals &amp; Entertainment</v>
      </c>
      <c r="X384" s="19" t="str">
        <f t="shared" si="47"/>
        <v>Cost of Goods Sold:COGS- Travel Expenses:Meals &amp; Entertainment</v>
      </c>
      <c r="Y384" s="20" t="str">
        <f>IF(ISBLANK($M384),IFERROR(_xlfn.XLOOKUP($P384,'Department Listing'!$A:$A,'Department Listing'!$L:$L),""),$M384)</f>
        <v>200- Datadog:210- Delivery</v>
      </c>
      <c r="Z384" s="11">
        <f>IF(ISBLANK($B384),"",MATCH($X384,COA!$B:$B,0))</f>
        <v>126</v>
      </c>
    </row>
    <row r="385" spans="2:26" ht="15.75" customHeight="1" x14ac:dyDescent="0.25">
      <c r="B385" s="14">
        <v>46230</v>
      </c>
      <c r="C385" t="s">
        <v>574</v>
      </c>
      <c r="E385" s="23"/>
      <c r="F385" s="16">
        <v>28.88</v>
      </c>
      <c r="G385" s="10"/>
      <c r="H385" s="10"/>
      <c r="I385" s="9" t="s">
        <v>33</v>
      </c>
      <c r="J385" s="9"/>
      <c r="K385" s="9"/>
      <c r="L385" s="9" t="s">
        <v>78</v>
      </c>
      <c r="M385" s="9"/>
      <c r="N385" s="17"/>
      <c r="O385" s="17" t="str">
        <f t="shared" si="40"/>
        <v>Patrick Donovan</v>
      </c>
      <c r="P385" s="17">
        <f>IFERROR(_xlfn.XLOOKUP(O385,'Department Listing'!$O$1:$O$395,'Department Listing'!$A$1:$A$395),IFERROR(_xlfn.XLOOKUP(O385,'Name Aliases'!$A$2:$A$1000,'Name Aliases'!$B$2:$B$1000),""))</f>
        <v>137</v>
      </c>
      <c r="Q385" s="18">
        <f t="shared" si="41"/>
        <v>46230</v>
      </c>
      <c r="R385" s="17" t="str">
        <f t="shared" si="42"/>
        <v>Travel Vendor</v>
      </c>
      <c r="S385" s="19">
        <f t="shared" si="43"/>
        <v>28.88</v>
      </c>
      <c r="T385" s="17" t="str">
        <f t="shared" si="44"/>
        <v>SumUp  *la pollera col MASTERCARD-XXXXXXBXBOAL-Patrick Donovan</v>
      </c>
      <c r="U385" s="17" t="str">
        <f t="shared" si="45"/>
        <v>Brex Credit Card</v>
      </c>
      <c r="V385" s="19" t="str">
        <f>IF(ISBLANK($B385),"",IF(ISBLANK($K385),IF(_xlfn.XLOOKUP($W385,'Category Mapping'!$C:$C,'Category Mapping'!$B:$B)="Travel",_xlfn.XLOOKUP($P385,'Department Listing'!$A:$A,'Department Listing'!$M:$M),_xlfn.XLOOKUP($W385,'Category Mapping'!$C:$C,'Category Mapping'!$D:$D)),$K385))</f>
        <v>Cost of Goods Sold:COGS- Travel Expenses:</v>
      </c>
      <c r="W385" s="19" t="str">
        <f t="shared" si="46"/>
        <v>Meals &amp; Entertainment</v>
      </c>
      <c r="X385" s="19" t="str">
        <f t="shared" si="47"/>
        <v>Cost of Goods Sold:COGS- Travel Expenses:Meals &amp; Entertainment</v>
      </c>
      <c r="Y385" s="20" t="str">
        <f>IF(ISBLANK($M385),IFERROR(_xlfn.XLOOKUP($P385,'Department Listing'!$A:$A,'Department Listing'!$L:$L),""),$M385)</f>
        <v>200- Datadog:210- Delivery</v>
      </c>
      <c r="Z385" s="11">
        <f>IF(ISBLANK($B385),"",MATCH($X385,COA!$B:$B,0))</f>
        <v>126</v>
      </c>
    </row>
    <row r="386" spans="2:26" ht="15.75" customHeight="1" x14ac:dyDescent="0.25">
      <c r="B386" s="14">
        <v>46230</v>
      </c>
      <c r="C386" t="s">
        <v>575</v>
      </c>
      <c r="E386" s="23" t="s">
        <v>64</v>
      </c>
      <c r="F386" s="16">
        <v>26.03</v>
      </c>
      <c r="G386" s="10"/>
      <c r="H386" s="10"/>
      <c r="I386" s="9" t="s">
        <v>92</v>
      </c>
      <c r="J386" s="9"/>
      <c r="K386" s="9"/>
      <c r="L386" s="9" t="s">
        <v>66</v>
      </c>
      <c r="M386" s="9"/>
      <c r="N386" s="17"/>
      <c r="O386" s="17" t="str">
        <f t="shared" si="40"/>
        <v>Robert Witty</v>
      </c>
      <c r="P386" s="17">
        <f>IFERROR(_xlfn.XLOOKUP(O386,'Department Listing'!$O$1:$O$395,'Department Listing'!$A$1:$A$395),IFERROR(_xlfn.XLOOKUP(O386,'Name Aliases'!$A$2:$A$1000,'Name Aliases'!$B$2:$B$1000),""))</f>
        <v>74</v>
      </c>
      <c r="Q386" s="18">
        <f t="shared" si="41"/>
        <v>46230</v>
      </c>
      <c r="R386" s="17" t="str">
        <f t="shared" si="42"/>
        <v>Lyft</v>
      </c>
      <c r="S386" s="19">
        <f t="shared" si="43"/>
        <v>26.03</v>
      </c>
      <c r="T386" s="17" t="str">
        <f t="shared" si="44"/>
        <v>LYFT   *SCHD AIR 07-26 MASTERCARD-XXXXXXGAACO9-Robert Witty</v>
      </c>
      <c r="U386" s="17" t="str">
        <f t="shared" si="45"/>
        <v>Brex Credit Card</v>
      </c>
      <c r="V386" s="19" t="str">
        <f>IF(ISBLANK($B386),"",IF(ISBLANK($K386),IF(_xlfn.XLOOKUP($W386,'Category Mapping'!$C:$C,'Category Mapping'!$B:$B)="Travel",_xlfn.XLOOKUP($P386,'Department Listing'!$A:$A,'Department Listing'!$M:$M),_xlfn.XLOOKUP($W386,'Category Mapping'!$C:$C,'Category Mapping'!$D:$D)),$K386))</f>
        <v>Cost of Goods Sold:COGS- Travel Expenses:</v>
      </c>
      <c r="W386" s="19" t="str">
        <f t="shared" si="46"/>
        <v>Ground Transportation</v>
      </c>
      <c r="X386" s="19" t="str">
        <f t="shared" si="47"/>
        <v>Cost of Goods Sold:COGS- Travel Expenses:Ground Transportation</v>
      </c>
      <c r="Y386" s="20" t="str">
        <f>IF(ISBLANK($M386),IFERROR(_xlfn.XLOOKUP($P386,'Department Listing'!$A:$A,'Department Listing'!$L:$L),""),$M386)</f>
        <v>300- ServiceNow:320- Engineering</v>
      </c>
      <c r="Z386" s="11">
        <f>IF(ISBLANK($B386),"",MATCH($X386,COA!$B:$B,0))</f>
        <v>124</v>
      </c>
    </row>
    <row r="387" spans="2:26" ht="15.75" customHeight="1" x14ac:dyDescent="0.25">
      <c r="B387" s="14">
        <v>46229</v>
      </c>
      <c r="C387" t="s">
        <v>576</v>
      </c>
      <c r="E387" s="23"/>
      <c r="F387" s="16">
        <v>45</v>
      </c>
      <c r="G387" s="10"/>
      <c r="H387" s="10"/>
      <c r="I387" s="9" t="s">
        <v>164</v>
      </c>
      <c r="J387" s="9"/>
      <c r="K387" s="9"/>
      <c r="L387" s="9" t="s">
        <v>165</v>
      </c>
      <c r="M387" s="9"/>
      <c r="N387" s="17"/>
      <c r="O387" s="17" t="str">
        <f t="shared" si="40"/>
        <v>Nicholas Stauffer</v>
      </c>
      <c r="P387" s="17">
        <f>IFERROR(_xlfn.XLOOKUP(O387,'Department Listing'!$O$1:$O$395,'Department Listing'!$A$1:$A$395),IFERROR(_xlfn.XLOOKUP(O387,'Name Aliases'!$A$2:$A$1000,'Name Aliases'!$B$2:$B$1000),""))</f>
        <v>243</v>
      </c>
      <c r="Q387" s="18">
        <f t="shared" si="41"/>
        <v>46229</v>
      </c>
      <c r="R387" s="17" t="str">
        <f t="shared" si="42"/>
        <v>Delta</v>
      </c>
      <c r="S387" s="19">
        <f t="shared" si="43"/>
        <v>45</v>
      </c>
      <c r="T387" s="17" t="str">
        <f t="shared" si="44"/>
        <v>DELTA MASTERCARD-XXXXXXPIK06W-Nicholas Stauffer</v>
      </c>
      <c r="U387" s="17" t="str">
        <f t="shared" si="45"/>
        <v>Brex Credit Card</v>
      </c>
      <c r="V387" s="19" t="str">
        <f>IF(ISBLANK($B387),"",IF(ISBLANK($K387),IF(_xlfn.XLOOKUP($W387,'Category Mapping'!$C:$C,'Category Mapping'!$B:$B)="Travel",_xlfn.XLOOKUP($P387,'Department Listing'!$A:$A,'Department Listing'!$M:$M),_xlfn.XLOOKUP($W387,'Category Mapping'!$C:$C,'Category Mapping'!$D:$D)),$K387))</f>
        <v>Cost of Goods Sold:COGS- Travel Expenses:</v>
      </c>
      <c r="W387" s="19" t="str">
        <f t="shared" si="46"/>
        <v>Airfare</v>
      </c>
      <c r="X387" s="19" t="str">
        <f t="shared" si="47"/>
        <v>Cost of Goods Sold:COGS- Travel Expenses:Airfare</v>
      </c>
      <c r="Y387" s="20" t="str">
        <f>IF(ISBLANK($M387),IFERROR(_xlfn.XLOOKUP($P387,'Department Listing'!$A:$A,'Department Listing'!$L:$L),""),$M387)</f>
        <v>300- ServiceNow:320- Engineering</v>
      </c>
      <c r="Z387" s="11">
        <f>IF(ISBLANK($B387),"",MATCH($X387,COA!$B:$B,0))</f>
        <v>123</v>
      </c>
    </row>
    <row r="388" spans="2:26" ht="15.75" customHeight="1" x14ac:dyDescent="0.25">
      <c r="B388" s="14">
        <v>46232</v>
      </c>
      <c r="C388" t="s">
        <v>577</v>
      </c>
      <c r="E388" s="23" t="s">
        <v>201</v>
      </c>
      <c r="F388" s="16">
        <v>384.72</v>
      </c>
      <c r="G388" s="10"/>
      <c r="H388" s="10"/>
      <c r="I388" s="9" t="s">
        <v>312</v>
      </c>
      <c r="J388" s="9"/>
      <c r="K388" s="22"/>
      <c r="L388" s="22" t="s">
        <v>127</v>
      </c>
      <c r="M388" s="22"/>
      <c r="N388" s="17"/>
      <c r="O388" s="17" t="str">
        <f t="shared" ref="O388:O451" si="48">IF(C388="", "", TRIM(RIGHT(C388, LEN(C388) - FIND("@@", SUBSTITUTE(C388, "-", "@@", LEN(C388) - LEN(SUBSTITUTE(C388, "-", "")))))))</f>
        <v>Mickenzi Krpec</v>
      </c>
      <c r="P388" s="17">
        <f>IFERROR(_xlfn.XLOOKUP(O388,'Department Listing'!$O$1:$O$395,'Department Listing'!$A$1:$A$395),IFERROR(_xlfn.XLOOKUP(O388,'Name Aliases'!$A$2:$A$1000,'Name Aliases'!$B$2:$B$1000),""))</f>
        <v>170</v>
      </c>
      <c r="Q388" s="18">
        <f t="shared" ref="Q388:Q451" si="49">IF(ISBLANK($C388),"",$B388)</f>
        <v>46232</v>
      </c>
      <c r="R388" s="17" t="str">
        <f t="shared" ref="R388:R451" si="50">IF(ISBLANK($C388),"",IF(ISBLANK($I388),$D388,$I388))</f>
        <v>Amazon</v>
      </c>
      <c r="S388" s="19">
        <f t="shared" ref="S388:S451" si="51">IF(ISBLANK($C388),"",$F388 - $G388)</f>
        <v>384.72</v>
      </c>
      <c r="T388" s="17" t="str">
        <f t="shared" ref="T388:T451" si="52">IF(ISBLANK($C388),"",C388)</f>
        <v>AMAZON MKTPL*D293C8FB3 MASTERCARD-XXXXXX4T5CUK-Mickenzi Krpec</v>
      </c>
      <c r="U388" s="17" t="str">
        <f t="shared" ref="U388:U451" si="53">IF(ISBLANK($C388),"",$D$1)</f>
        <v>Brex Credit Card</v>
      </c>
      <c r="V388" s="19" t="str">
        <f>IF(ISBLANK($B388),"",IF(ISBLANK($K388),IF(_xlfn.XLOOKUP($W388,'Category Mapping'!$C:$C,'Category Mapping'!$B:$B)="Travel",_xlfn.XLOOKUP($P388,'Department Listing'!$A:$A,'Department Listing'!$M:$M),_xlfn.XLOOKUP($W388,'Category Mapping'!$C:$C,'Category Mapping'!$D:$D)),$K388))</f>
        <v>General &amp; Administrative:Office Expenses:</v>
      </c>
      <c r="W388" s="19" t="str">
        <f t="shared" ref="W388:W451" si="54">IF(ISBLANK($B388),"",IF(ISBLANK($L388),RIGHT($E388,LEN($E388) - FIND("^",SUBSTITUTE($E388,":","^",LEN($E388) - LEN(SUBSTITUTE($E388,":",""))))),$L388))</f>
        <v>Office Supplies</v>
      </c>
      <c r="X388" s="19" t="str">
        <f t="shared" ref="X388:X451" si="55">IF(ISBLANK($J388),$V388&amp;$W388,$J388)</f>
        <v>General &amp; Administrative:Office Expenses:Office Supplies</v>
      </c>
      <c r="Y388" s="20" t="str">
        <f>IF(ISBLANK($M388),IFERROR(_xlfn.XLOOKUP($P388,'Department Listing'!$A:$A,'Department Listing'!$L:$L),""),$M388)</f>
        <v>100- Operations:110- G&amp;A</v>
      </c>
      <c r="Z388" s="11">
        <f>IF(ISBLANK($B388),"",MATCH($X388,COA!$B:$B,0))</f>
        <v>161</v>
      </c>
    </row>
    <row r="389" spans="2:26" ht="15.75" customHeight="1" x14ac:dyDescent="0.25">
      <c r="B389" s="14">
        <v>46229</v>
      </c>
      <c r="C389" t="s">
        <v>578</v>
      </c>
      <c r="E389" s="23" t="s">
        <v>64</v>
      </c>
      <c r="F389" s="16">
        <v>41.7</v>
      </c>
      <c r="G389" s="10"/>
      <c r="H389" s="10"/>
      <c r="I389" s="9" t="s">
        <v>268</v>
      </c>
      <c r="J389" s="9"/>
      <c r="K389" s="9"/>
      <c r="L389" s="9" t="s">
        <v>66</v>
      </c>
      <c r="M389" s="9"/>
      <c r="N389" s="17"/>
      <c r="O389" s="17" t="str">
        <f t="shared" si="48"/>
        <v>Robert Kolosky</v>
      </c>
      <c r="P389" s="17">
        <f>IFERROR(_xlfn.XLOOKUP(O389,'Department Listing'!$O$1:$O$395,'Department Listing'!$A$1:$A$395),IFERROR(_xlfn.XLOOKUP(O389,'Name Aliases'!$A$2:$A$1000,'Name Aliases'!$B$2:$B$1000),""))</f>
        <v>91</v>
      </c>
      <c r="Q389" s="18">
        <f t="shared" si="49"/>
        <v>46229</v>
      </c>
      <c r="R389" s="17" t="str">
        <f t="shared" si="50"/>
        <v>Curb</v>
      </c>
      <c r="S389" s="19">
        <f t="shared" si="51"/>
        <v>41.7</v>
      </c>
      <c r="T389" s="17" t="str">
        <f t="shared" si="52"/>
        <v>CURB BOS TAXI MASTERCARD-XXXXXXJYAU54-Robert Kolosky</v>
      </c>
      <c r="U389" s="17" t="str">
        <f t="shared" si="53"/>
        <v>Brex Credit Card</v>
      </c>
      <c r="V389" s="19" t="str">
        <f>IF(ISBLANK($B389),"",IF(ISBLANK($K389),IF(_xlfn.XLOOKUP($W389,'Category Mapping'!$C:$C,'Category Mapping'!$B:$B)="Travel",_xlfn.XLOOKUP($P389,'Department Listing'!$A:$A,'Department Listing'!$M:$M),_xlfn.XLOOKUP($W389,'Category Mapping'!$C:$C,'Category Mapping'!$D:$D)),$K389))</f>
        <v>Cost of Goods Sold:COGS- Travel Expenses:</v>
      </c>
      <c r="W389" s="19" t="str">
        <f t="shared" si="54"/>
        <v>Ground Transportation</v>
      </c>
      <c r="X389" s="19" t="str">
        <f t="shared" si="55"/>
        <v>Cost of Goods Sold:COGS- Travel Expenses:Ground Transportation</v>
      </c>
      <c r="Y389" s="20" t="str">
        <f>IF(ISBLANK($M389),IFERROR(_xlfn.XLOOKUP($P389,'Department Listing'!$A:$A,'Department Listing'!$L:$L),""),$M389)</f>
        <v>300- ServiceNow:320- Engineering</v>
      </c>
      <c r="Z389" s="11">
        <f>IF(ISBLANK($B389),"",MATCH($X389,COA!$B:$B,0))</f>
        <v>124</v>
      </c>
    </row>
    <row r="390" spans="2:26" ht="15.75" customHeight="1" x14ac:dyDescent="0.25">
      <c r="B390" s="14">
        <v>46230</v>
      </c>
      <c r="C390" t="s">
        <v>579</v>
      </c>
      <c r="E390" s="23" t="s">
        <v>64</v>
      </c>
      <c r="F390" s="16">
        <v>31.65</v>
      </c>
      <c r="G390" s="10"/>
      <c r="H390" s="10"/>
      <c r="I390" s="9" t="s">
        <v>74</v>
      </c>
      <c r="J390" s="9"/>
      <c r="K390" s="9"/>
      <c r="L390" s="9" t="s">
        <v>66</v>
      </c>
      <c r="M390" s="9"/>
      <c r="N390" s="17"/>
      <c r="O390" s="17" t="str">
        <f t="shared" si="48"/>
        <v>Nestor Abad Rodriguez</v>
      </c>
      <c r="P390" s="17">
        <f>IFERROR(_xlfn.XLOOKUP(O390,'Department Listing'!$O$1:$O$395,'Department Listing'!$A$1:$A$395),IFERROR(_xlfn.XLOOKUP(O390,'Name Aliases'!$A$2:$A$1000,'Name Aliases'!$B$2:$B$1000),""))</f>
        <v>190</v>
      </c>
      <c r="Q390" s="18">
        <f t="shared" si="49"/>
        <v>46230</v>
      </c>
      <c r="R390" s="17" t="str">
        <f t="shared" si="50"/>
        <v>Uber</v>
      </c>
      <c r="S390" s="19">
        <f t="shared" si="51"/>
        <v>31.65</v>
      </c>
      <c r="T390" s="17" t="str">
        <f t="shared" si="52"/>
        <v>UBER   *TRIP MASTERCARD-XXXXXX3GH39T-Nestor Abad Rodriguez</v>
      </c>
      <c r="U390" s="17" t="str">
        <f t="shared" si="53"/>
        <v>Brex Credit Card</v>
      </c>
      <c r="V390" s="19" t="str">
        <f>IF(ISBLANK($B390),"",IF(ISBLANK($K390),IF(_xlfn.XLOOKUP($W390,'Category Mapping'!$C:$C,'Category Mapping'!$B:$B)="Travel",_xlfn.XLOOKUP($P390,'Department Listing'!$A:$A,'Department Listing'!$M:$M),_xlfn.XLOOKUP($W390,'Category Mapping'!$C:$C,'Category Mapping'!$D:$D)),$K390))</f>
        <v>Sales &amp; Marketing:Sales &amp; Marketing- Travel Expenses:</v>
      </c>
      <c r="W390" s="19" t="str">
        <f t="shared" si="54"/>
        <v>Ground Transportation</v>
      </c>
      <c r="X390" s="19" t="str">
        <f t="shared" si="55"/>
        <v>Sales &amp; Marketing:Sales &amp; Marketing- Travel Expenses:Ground Transportation</v>
      </c>
      <c r="Y390" s="20" t="str">
        <f>IF(ISBLANK($M390),IFERROR(_xlfn.XLOOKUP($P390,'Department Listing'!$A:$A,'Department Listing'!$L:$L),""),$M390)</f>
        <v>300- ServiceNow:330- Sales</v>
      </c>
      <c r="Z390" s="11">
        <f>IF(ISBLANK($B390),"",MATCH($X390,COA!$B:$B,0))</f>
        <v>200</v>
      </c>
    </row>
    <row r="391" spans="2:26" ht="15.75" customHeight="1" x14ac:dyDescent="0.25">
      <c r="B391" s="14">
        <v>46229</v>
      </c>
      <c r="C391" t="s">
        <v>580</v>
      </c>
      <c r="E391" s="23" t="s">
        <v>64</v>
      </c>
      <c r="F391" s="16">
        <v>35.69</v>
      </c>
      <c r="G391" s="10"/>
      <c r="H391" s="10"/>
      <c r="I391" s="9" t="s">
        <v>74</v>
      </c>
      <c r="J391" s="9"/>
      <c r="K391" s="9"/>
      <c r="L391" s="9" t="s">
        <v>66</v>
      </c>
      <c r="M391" s="9"/>
      <c r="N391" s="17"/>
      <c r="O391" s="17" t="str">
        <f t="shared" si="48"/>
        <v>Anthony Nguyen</v>
      </c>
      <c r="P391" s="17">
        <f>IFERROR(_xlfn.XLOOKUP(O391,'Department Listing'!$O$1:$O$395,'Department Listing'!$A$1:$A$395),IFERROR(_xlfn.XLOOKUP(O391,'Name Aliases'!$A$2:$A$1000,'Name Aliases'!$B$2:$B$1000),""))</f>
        <v>285</v>
      </c>
      <c r="Q391" s="18">
        <f t="shared" si="49"/>
        <v>46229</v>
      </c>
      <c r="R391" s="17" t="str">
        <f t="shared" si="50"/>
        <v>Uber</v>
      </c>
      <c r="S391" s="19">
        <f t="shared" si="51"/>
        <v>35.69</v>
      </c>
      <c r="T391" s="17" t="str">
        <f t="shared" si="52"/>
        <v>UBER   *EATS MASTERCARD-XXXXXXS6TK97-Anthony Nguyen</v>
      </c>
      <c r="U391" s="17" t="str">
        <f t="shared" si="53"/>
        <v>Brex Credit Card</v>
      </c>
      <c r="V391" s="19" t="str">
        <f>IF(ISBLANK($B391),"",IF(ISBLANK($K391),IF(_xlfn.XLOOKUP($W391,'Category Mapping'!$C:$C,'Category Mapping'!$B:$B)="Travel",_xlfn.XLOOKUP($P391,'Department Listing'!$A:$A,'Department Listing'!$M:$M),_xlfn.XLOOKUP($W391,'Category Mapping'!$C:$C,'Category Mapping'!$D:$D)),$K391))</f>
        <v>Cost of Goods Sold:COGS- Travel Expenses:</v>
      </c>
      <c r="W391" s="19" t="str">
        <f t="shared" si="54"/>
        <v>Ground Transportation</v>
      </c>
      <c r="X391" s="19" t="str">
        <f t="shared" si="55"/>
        <v>Cost of Goods Sold:COGS- Travel Expenses:Ground Transportation</v>
      </c>
      <c r="Y391" s="20" t="str">
        <f>IF(ISBLANK($M391),IFERROR(_xlfn.XLOOKUP($P391,'Department Listing'!$A:$A,'Department Listing'!$L:$L),""),$M391)</f>
        <v>200- Datadog:220- Engineering</v>
      </c>
      <c r="Z391" s="11">
        <f>IF(ISBLANK($B391),"",MATCH($X391,COA!$B:$B,0))</f>
        <v>124</v>
      </c>
    </row>
    <row r="392" spans="2:26" ht="15.75" customHeight="1" x14ac:dyDescent="0.25">
      <c r="B392" s="14">
        <v>46230</v>
      </c>
      <c r="C392" t="s">
        <v>581</v>
      </c>
      <c r="E392" s="23" t="s">
        <v>64</v>
      </c>
      <c r="F392" s="16">
        <v>54.94</v>
      </c>
      <c r="G392" s="10"/>
      <c r="H392" s="10"/>
      <c r="I392" s="9" t="s">
        <v>74</v>
      </c>
      <c r="J392" s="9"/>
      <c r="K392" s="9"/>
      <c r="L392" s="9" t="s">
        <v>66</v>
      </c>
      <c r="M392" s="9"/>
      <c r="N392" s="17"/>
      <c r="O392" s="17" t="str">
        <f t="shared" si="48"/>
        <v>Jon Giara</v>
      </c>
      <c r="P392" s="17">
        <f>IFERROR(_xlfn.XLOOKUP(O392,'Department Listing'!$O$1:$O$395,'Department Listing'!$A$1:$A$395),IFERROR(_xlfn.XLOOKUP(O392,'Name Aliases'!$A$2:$A$1000,'Name Aliases'!$B$2:$B$1000),""))</f>
        <v>2</v>
      </c>
      <c r="Q392" s="18">
        <f t="shared" si="49"/>
        <v>46230</v>
      </c>
      <c r="R392" s="17" t="str">
        <f t="shared" si="50"/>
        <v>Uber</v>
      </c>
      <c r="S392" s="19">
        <f t="shared" si="51"/>
        <v>54.94</v>
      </c>
      <c r="T392" s="17" t="str">
        <f t="shared" si="52"/>
        <v>UBER   *TRIP MASTERCARD-XXXXXXEI9IF9-Jon Giara</v>
      </c>
      <c r="U392" s="17" t="str">
        <f t="shared" si="53"/>
        <v>Brex Credit Card</v>
      </c>
      <c r="V392" s="19" t="str">
        <f>IF(ISBLANK($B392),"",IF(ISBLANK($K392),IF(_xlfn.XLOOKUP($W392,'Category Mapping'!$C:$C,'Category Mapping'!$B:$B)="Travel",_xlfn.XLOOKUP($P392,'Department Listing'!$A:$A,'Department Listing'!$M:$M),_xlfn.XLOOKUP($W392,'Category Mapping'!$C:$C,'Category Mapping'!$D:$D)),$K392))</f>
        <v>Cost of Goods Sold:COGS- Travel Expenses:</v>
      </c>
      <c r="W392" s="19" t="str">
        <f t="shared" si="54"/>
        <v>Ground Transportation</v>
      </c>
      <c r="X392" s="19" t="str">
        <f t="shared" si="55"/>
        <v>Cost of Goods Sold:COGS- Travel Expenses:Ground Transportation</v>
      </c>
      <c r="Y392" s="20" t="str">
        <f>IF(ISBLANK($M392),IFERROR(_xlfn.XLOOKUP($P392,'Department Listing'!$A:$A,'Department Listing'!$L:$L),""),$M392)</f>
        <v>300- ServiceNow:320- Engineering</v>
      </c>
      <c r="Z392" s="11">
        <f>IF(ISBLANK($B392),"",MATCH($X392,COA!$B:$B,0))</f>
        <v>124</v>
      </c>
    </row>
    <row r="393" spans="2:26" ht="15.75" customHeight="1" x14ac:dyDescent="0.25">
      <c r="B393" s="14">
        <v>46230</v>
      </c>
      <c r="C393" t="s">
        <v>582</v>
      </c>
      <c r="E393" s="23"/>
      <c r="F393" s="16">
        <v>50</v>
      </c>
      <c r="G393" s="10"/>
      <c r="H393" s="10"/>
      <c r="I393" s="9" t="s">
        <v>284</v>
      </c>
      <c r="J393" s="9"/>
      <c r="K393" s="9"/>
      <c r="L393" s="9" t="s">
        <v>165</v>
      </c>
      <c r="M393" s="9"/>
      <c r="N393" s="17"/>
      <c r="O393" s="17" t="str">
        <f t="shared" si="48"/>
        <v>Yadwinder Singh</v>
      </c>
      <c r="P393" s="17">
        <f>IFERROR(_xlfn.XLOOKUP(O393,'Department Listing'!$O$1:$O$395,'Department Listing'!$A$1:$A$395),IFERROR(_xlfn.XLOOKUP(O393,'Name Aliases'!$A$2:$A$1000,'Name Aliases'!$B$2:$B$1000),""))</f>
        <v>237</v>
      </c>
      <c r="Q393" s="18">
        <f t="shared" si="49"/>
        <v>46230</v>
      </c>
      <c r="R393" s="17" t="str">
        <f t="shared" si="50"/>
        <v>United Airlines</v>
      </c>
      <c r="S393" s="19">
        <f t="shared" si="51"/>
        <v>50</v>
      </c>
      <c r="T393" s="17" t="str">
        <f t="shared" si="52"/>
        <v>UNITED MASTERCARD-XXXXXXV1RRQ8-Yadwinder Singh</v>
      </c>
      <c r="U393" s="17" t="str">
        <f t="shared" si="53"/>
        <v>Brex Credit Card</v>
      </c>
      <c r="V393" s="19" t="str">
        <f>IF(ISBLANK($B393),"",IF(ISBLANK($K393),IF(_xlfn.XLOOKUP($W393,'Category Mapping'!$C:$C,'Category Mapping'!$B:$B)="Travel",_xlfn.XLOOKUP($P393,'Department Listing'!$A:$A,'Department Listing'!$M:$M),_xlfn.XLOOKUP($W393,'Category Mapping'!$C:$C,'Category Mapping'!$D:$D)),$K393))</f>
        <v>Cost of Goods Sold:COGS- Travel Expenses:</v>
      </c>
      <c r="W393" s="19" t="str">
        <f t="shared" si="54"/>
        <v>Airfare</v>
      </c>
      <c r="X393" s="19" t="str">
        <f t="shared" si="55"/>
        <v>Cost of Goods Sold:COGS- Travel Expenses:Airfare</v>
      </c>
      <c r="Y393" s="20" t="str">
        <f>IF(ISBLANK($M393),IFERROR(_xlfn.XLOOKUP($P393,'Department Listing'!$A:$A,'Department Listing'!$L:$L),""),$M393)</f>
        <v>200- Datadog:220- Engineering</v>
      </c>
      <c r="Z393" s="11">
        <f>IF(ISBLANK($B393),"",MATCH($X393,COA!$B:$B,0))</f>
        <v>123</v>
      </c>
    </row>
    <row r="394" spans="2:26" ht="15.75" customHeight="1" x14ac:dyDescent="0.25">
      <c r="B394" s="14">
        <v>46229</v>
      </c>
      <c r="C394" t="s">
        <v>583</v>
      </c>
      <c r="E394" s="23"/>
      <c r="F394" s="16">
        <v>68.69</v>
      </c>
      <c r="G394" s="10"/>
      <c r="H394" s="10"/>
      <c r="I394" s="9" t="s">
        <v>36</v>
      </c>
      <c r="J394" s="9"/>
      <c r="K394" s="9"/>
      <c r="L394" s="9" t="s">
        <v>78</v>
      </c>
      <c r="M394" s="9"/>
      <c r="N394" s="17"/>
      <c r="O394" s="17" t="str">
        <f t="shared" si="48"/>
        <v>Ona Kolosky</v>
      </c>
      <c r="P394" s="17">
        <f>IFERROR(_xlfn.XLOOKUP(O394,'Department Listing'!$O$1:$O$395,'Department Listing'!$A$1:$A$395),IFERROR(_xlfn.XLOOKUP(O394,'Name Aliases'!$A$2:$A$1000,'Name Aliases'!$B$2:$B$1000),""))</f>
        <v>198</v>
      </c>
      <c r="Q394" s="18">
        <f t="shared" si="49"/>
        <v>46229</v>
      </c>
      <c r="R394" s="17" t="str">
        <f t="shared" si="50"/>
        <v>Food Vendor</v>
      </c>
      <c r="S394" s="19">
        <f t="shared" si="51"/>
        <v>68.69</v>
      </c>
      <c r="T394" s="17" t="str">
        <f t="shared" si="52"/>
        <v>JFK BOULTON AND WATT 1 MASTERCARD-XXXXXXF35IT9-Ona Kolosky</v>
      </c>
      <c r="U394" s="17" t="str">
        <f t="shared" si="53"/>
        <v>Brex Credit Card</v>
      </c>
      <c r="V394" s="19" t="str">
        <f>IF(ISBLANK($B394),"",IF(ISBLANK($K394),IF(_xlfn.XLOOKUP($W394,'Category Mapping'!$C:$C,'Category Mapping'!$B:$B)="Travel",_xlfn.XLOOKUP($P394,'Department Listing'!$A:$A,'Department Listing'!$M:$M),_xlfn.XLOOKUP($W394,'Category Mapping'!$C:$C,'Category Mapping'!$D:$D)),$K394))</f>
        <v>Cost of Goods Sold:COGS- Travel Expenses:</v>
      </c>
      <c r="W394" s="19" t="str">
        <f t="shared" si="54"/>
        <v>Meals &amp; Entertainment</v>
      </c>
      <c r="X394" s="19" t="str">
        <f t="shared" si="55"/>
        <v>Cost of Goods Sold:COGS- Travel Expenses:Meals &amp; Entertainment</v>
      </c>
      <c r="Y394" s="20" t="str">
        <f>IF(ISBLANK($M394),IFERROR(_xlfn.XLOOKUP($P394,'Department Listing'!$A:$A,'Department Listing'!$L:$L),""),$M394)</f>
        <v>300- ServiceNow:320- Engineering</v>
      </c>
      <c r="Z394" s="11">
        <f>IF(ISBLANK($B394),"",MATCH($X394,COA!$B:$B,0))</f>
        <v>126</v>
      </c>
    </row>
    <row r="395" spans="2:26" ht="15.75" customHeight="1" x14ac:dyDescent="0.25">
      <c r="B395" s="14">
        <v>46230</v>
      </c>
      <c r="C395" t="s">
        <v>585</v>
      </c>
      <c r="E395" s="23"/>
      <c r="F395" s="16">
        <v>130.99</v>
      </c>
      <c r="G395" s="10"/>
      <c r="H395" s="10"/>
      <c r="I395" s="9" t="s">
        <v>33</v>
      </c>
      <c r="J395" s="9"/>
      <c r="K395" s="9"/>
      <c r="L395" s="9" t="s">
        <v>149</v>
      </c>
      <c r="M395" s="9"/>
      <c r="N395" s="17"/>
      <c r="O395" s="17" t="str">
        <f t="shared" si="48"/>
        <v>Sal Costa</v>
      </c>
      <c r="P395" s="17">
        <f>IFERROR(_xlfn.XLOOKUP(O395,'Department Listing'!$O$1:$O$395,'Department Listing'!$A$1:$A$395),IFERROR(_xlfn.XLOOKUP(O395,'Name Aliases'!$A$2:$A$1000,'Name Aliases'!$B$2:$B$1000),""))</f>
        <v>257</v>
      </c>
      <c r="Q395" s="18">
        <f t="shared" si="49"/>
        <v>46230</v>
      </c>
      <c r="R395" s="17" t="str">
        <f t="shared" si="50"/>
        <v>Travel Vendor</v>
      </c>
      <c r="S395" s="19">
        <f t="shared" si="51"/>
        <v>130.99</v>
      </c>
      <c r="T395" s="17" t="str">
        <f t="shared" si="52"/>
        <v>83530 - SAT ST GARAGE MASTERCARD-XXXXXXDAN11H-Sal Costa</v>
      </c>
      <c r="U395" s="17" t="str">
        <f t="shared" si="53"/>
        <v>Brex Credit Card</v>
      </c>
      <c r="V395" s="19" t="str">
        <f>IF(ISBLANK($B395),"",IF(ISBLANK($K395),IF(_xlfn.XLOOKUP($W395,'Category Mapping'!$C:$C,'Category Mapping'!$B:$B)="Travel",_xlfn.XLOOKUP($P395,'Department Listing'!$A:$A,'Department Listing'!$M:$M),_xlfn.XLOOKUP($W395,'Category Mapping'!$C:$C,'Category Mapping'!$D:$D)),$K395))</f>
        <v>Sales &amp; Marketing:Sales &amp; Marketing- Travel Expenses:</v>
      </c>
      <c r="W395" s="19" t="str">
        <f t="shared" si="54"/>
        <v>Other Travel Expenses</v>
      </c>
      <c r="X395" s="19" t="str">
        <f t="shared" si="55"/>
        <v>Sales &amp; Marketing:Sales &amp; Marketing- Travel Expenses:Other Travel Expenses</v>
      </c>
      <c r="Y395" s="20" t="str">
        <f>IF(ISBLANK($M395),IFERROR(_xlfn.XLOOKUP($P395,'Department Listing'!$A:$A,'Department Listing'!$L:$L),""),$M395)</f>
        <v>300- ServiceNow:330- Sales</v>
      </c>
      <c r="Z395" s="11">
        <f>IF(ISBLANK($B395),"",MATCH($X395,COA!$B:$B,0))</f>
        <v>203</v>
      </c>
    </row>
    <row r="396" spans="2:26" ht="15.75" customHeight="1" x14ac:dyDescent="0.25">
      <c r="B396" s="14">
        <v>46229</v>
      </c>
      <c r="C396" t="s">
        <v>586</v>
      </c>
      <c r="E396" s="23" t="s">
        <v>76</v>
      </c>
      <c r="F396" s="16">
        <v>7.89</v>
      </c>
      <c r="G396" s="10"/>
      <c r="H396" s="10"/>
      <c r="I396" s="9" t="s">
        <v>517</v>
      </c>
      <c r="J396" s="9"/>
      <c r="K396" s="9"/>
      <c r="L396" s="9" t="s">
        <v>78</v>
      </c>
      <c r="M396" s="9"/>
      <c r="N396" s="17"/>
      <c r="O396" s="17" t="str">
        <f t="shared" si="48"/>
        <v>Robert Kolosky</v>
      </c>
      <c r="P396" s="17">
        <f>IFERROR(_xlfn.XLOOKUP(O396,'Department Listing'!$O$1:$O$395,'Department Listing'!$A$1:$A$395),IFERROR(_xlfn.XLOOKUP(O396,'Name Aliases'!$A$2:$A$1000,'Name Aliases'!$B$2:$B$1000),""))</f>
        <v>91</v>
      </c>
      <c r="Q396" s="18">
        <f t="shared" si="49"/>
        <v>46229</v>
      </c>
      <c r="R396" s="17" t="str">
        <f t="shared" si="50"/>
        <v>Hudson News</v>
      </c>
      <c r="S396" s="19">
        <f t="shared" si="51"/>
        <v>7.89</v>
      </c>
      <c r="T396" s="17" t="str">
        <f t="shared" si="52"/>
        <v>HUDSONNEWS  ST1180 MASTERCARD-XXXXXX7WSTLW-Robert Kolosky</v>
      </c>
      <c r="U396" s="17" t="str">
        <f t="shared" si="53"/>
        <v>Brex Credit Card</v>
      </c>
      <c r="V396" s="19" t="str">
        <f>IF(ISBLANK($B396),"",IF(ISBLANK($K396),IF(_xlfn.XLOOKUP($W396,'Category Mapping'!$C:$C,'Category Mapping'!$B:$B)="Travel",_xlfn.XLOOKUP($P396,'Department Listing'!$A:$A,'Department Listing'!$M:$M),_xlfn.XLOOKUP($W396,'Category Mapping'!$C:$C,'Category Mapping'!$D:$D)),$K396))</f>
        <v>Cost of Goods Sold:COGS- Travel Expenses:</v>
      </c>
      <c r="W396" s="19" t="str">
        <f t="shared" si="54"/>
        <v>Meals &amp; Entertainment</v>
      </c>
      <c r="X396" s="19" t="str">
        <f t="shared" si="55"/>
        <v>Cost of Goods Sold:COGS- Travel Expenses:Meals &amp; Entertainment</v>
      </c>
      <c r="Y396" s="20" t="str">
        <f>IF(ISBLANK($M396),IFERROR(_xlfn.XLOOKUP($P396,'Department Listing'!$A:$A,'Department Listing'!$L:$L),""),$M396)</f>
        <v>300- ServiceNow:320- Engineering</v>
      </c>
      <c r="Z396" s="11">
        <f>IF(ISBLANK($B396),"",MATCH($X396,COA!$B:$B,0))</f>
        <v>126</v>
      </c>
    </row>
    <row r="397" spans="2:26" ht="15.75" customHeight="1" x14ac:dyDescent="0.25">
      <c r="B397" s="14">
        <v>46229</v>
      </c>
      <c r="C397" t="s">
        <v>587</v>
      </c>
      <c r="E397" s="23" t="s">
        <v>64</v>
      </c>
      <c r="F397" s="16">
        <v>8.94</v>
      </c>
      <c r="G397" s="10"/>
      <c r="H397" s="10"/>
      <c r="I397" s="9" t="s">
        <v>74</v>
      </c>
      <c r="J397" s="9"/>
      <c r="K397" s="9"/>
      <c r="L397" s="9" t="s">
        <v>66</v>
      </c>
      <c r="M397" s="9"/>
      <c r="N397" s="17"/>
      <c r="O397" s="17" t="str">
        <f t="shared" si="48"/>
        <v>Anthony Nguyen</v>
      </c>
      <c r="P397" s="17">
        <f>IFERROR(_xlfn.XLOOKUP(O397,'Department Listing'!$O$1:$O$395,'Department Listing'!$A$1:$A$395),IFERROR(_xlfn.XLOOKUP(O397,'Name Aliases'!$A$2:$A$1000,'Name Aliases'!$B$2:$B$1000),""))</f>
        <v>285</v>
      </c>
      <c r="Q397" s="18">
        <f t="shared" si="49"/>
        <v>46229</v>
      </c>
      <c r="R397" s="17" t="str">
        <f t="shared" si="50"/>
        <v>Uber</v>
      </c>
      <c r="S397" s="19">
        <f t="shared" si="51"/>
        <v>8.94</v>
      </c>
      <c r="T397" s="17" t="str">
        <f t="shared" si="52"/>
        <v>UBER   *TRIP MASTERCARD-XXXXXXIBU27M-Anthony Nguyen</v>
      </c>
      <c r="U397" s="17" t="str">
        <f t="shared" si="53"/>
        <v>Brex Credit Card</v>
      </c>
      <c r="V397" s="19" t="str">
        <f>IF(ISBLANK($B397),"",IF(ISBLANK($K397),IF(_xlfn.XLOOKUP($W397,'Category Mapping'!$C:$C,'Category Mapping'!$B:$B)="Travel",_xlfn.XLOOKUP($P397,'Department Listing'!$A:$A,'Department Listing'!$M:$M),_xlfn.XLOOKUP($W397,'Category Mapping'!$C:$C,'Category Mapping'!$D:$D)),$K397))</f>
        <v>Cost of Goods Sold:COGS- Travel Expenses:</v>
      </c>
      <c r="W397" s="19" t="str">
        <f t="shared" si="54"/>
        <v>Ground Transportation</v>
      </c>
      <c r="X397" s="19" t="str">
        <f t="shared" si="55"/>
        <v>Cost of Goods Sold:COGS- Travel Expenses:Ground Transportation</v>
      </c>
      <c r="Y397" s="20" t="str">
        <f>IF(ISBLANK($M397),IFERROR(_xlfn.XLOOKUP($P397,'Department Listing'!$A:$A,'Department Listing'!$L:$L),""),$M397)</f>
        <v>200- Datadog:220- Engineering</v>
      </c>
      <c r="Z397" s="11">
        <f>IF(ISBLANK($B397),"",MATCH($X397,COA!$B:$B,0))</f>
        <v>124</v>
      </c>
    </row>
    <row r="398" spans="2:26" ht="15.75" customHeight="1" x14ac:dyDescent="0.25">
      <c r="B398" s="14">
        <v>46229</v>
      </c>
      <c r="C398" t="s">
        <v>588</v>
      </c>
      <c r="E398" s="23"/>
      <c r="F398" s="16">
        <v>74.959999999999994</v>
      </c>
      <c r="G398" s="10"/>
      <c r="H398" s="10"/>
      <c r="I398" s="9" t="s">
        <v>33</v>
      </c>
      <c r="J398" s="9"/>
      <c r="K398" s="9"/>
      <c r="L398" s="9" t="s">
        <v>149</v>
      </c>
      <c r="M398" s="9"/>
      <c r="N398" s="17"/>
      <c r="O398" s="17" t="str">
        <f t="shared" si="48"/>
        <v>Daniel Throckmorton</v>
      </c>
      <c r="P398" s="17">
        <f>IFERROR(_xlfn.XLOOKUP(O398,'Department Listing'!$O$1:$O$395,'Department Listing'!$A$1:$A$395),IFERROR(_xlfn.XLOOKUP(O398,'Name Aliases'!$A$2:$A$1000,'Name Aliases'!$B$2:$B$1000),""))</f>
        <v>157</v>
      </c>
      <c r="Q398" s="18">
        <f t="shared" si="49"/>
        <v>46229</v>
      </c>
      <c r="R398" s="17" t="str">
        <f t="shared" si="50"/>
        <v>Travel Vendor</v>
      </c>
      <c r="S398" s="19">
        <f t="shared" si="51"/>
        <v>74.959999999999994</v>
      </c>
      <c r="T398" s="17" t="str">
        <f t="shared" si="52"/>
        <v>PARK N JET - LOT 2 MASTERCARD-XXXXXXA6EDNZ-Daniel Throckmorton</v>
      </c>
      <c r="U398" s="17" t="str">
        <f t="shared" si="53"/>
        <v>Brex Credit Card</v>
      </c>
      <c r="V398" s="19" t="str">
        <f>IF(ISBLANK($B398),"",IF(ISBLANK($K398),IF(_xlfn.XLOOKUP($W398,'Category Mapping'!$C:$C,'Category Mapping'!$B:$B)="Travel",_xlfn.XLOOKUP($P398,'Department Listing'!$A:$A,'Department Listing'!$M:$M),_xlfn.XLOOKUP($W398,'Category Mapping'!$C:$C,'Category Mapping'!$D:$D)),$K398))</f>
        <v>Cost of Goods Sold:COGS- Travel Expenses:</v>
      </c>
      <c r="W398" s="19" t="str">
        <f t="shared" si="54"/>
        <v>Other Travel Expenses</v>
      </c>
      <c r="X398" s="19" t="str">
        <f t="shared" si="55"/>
        <v>Cost of Goods Sold:COGS- Travel Expenses:Other Travel Expenses</v>
      </c>
      <c r="Y398" s="20" t="str">
        <f>IF(ISBLANK($M398),IFERROR(_xlfn.XLOOKUP($P398,'Department Listing'!$A:$A,'Department Listing'!$L:$L),""),$M398)</f>
        <v>300- ServiceNow:320- Engineering</v>
      </c>
      <c r="Z398" s="11">
        <f>IF(ISBLANK($B398),"",MATCH($X398,COA!$B:$B,0))</f>
        <v>127</v>
      </c>
    </row>
    <row r="399" spans="2:26" ht="15.75" customHeight="1" x14ac:dyDescent="0.25">
      <c r="B399" s="14">
        <v>46229</v>
      </c>
      <c r="C399" t="s">
        <v>589</v>
      </c>
      <c r="E399" s="23"/>
      <c r="F399" s="16">
        <v>620</v>
      </c>
      <c r="G399" s="10"/>
      <c r="H399" s="10"/>
      <c r="I399" s="9" t="s">
        <v>33</v>
      </c>
      <c r="J399" s="9"/>
      <c r="K399" s="9"/>
      <c r="L399" s="9" t="s">
        <v>78</v>
      </c>
      <c r="M399" s="9"/>
      <c r="N399" s="17"/>
      <c r="O399" s="17" t="str">
        <f t="shared" si="48"/>
        <v>Maci Villavicencio</v>
      </c>
      <c r="P399" s="17">
        <f>IFERROR(_xlfn.XLOOKUP(O399,'Department Listing'!$O$1:$O$395,'Department Listing'!$A$1:$A$395),IFERROR(_xlfn.XLOOKUP(O399,'Name Aliases'!$A$2:$A$1000,'Name Aliases'!$B$2:$B$1000),""))</f>
        <v>229</v>
      </c>
      <c r="Q399" s="18">
        <f t="shared" si="49"/>
        <v>46229</v>
      </c>
      <c r="R399" s="17" t="str">
        <f t="shared" si="50"/>
        <v>Travel Vendor</v>
      </c>
      <c r="S399" s="19">
        <f t="shared" si="51"/>
        <v>620</v>
      </c>
      <c r="T399" s="17" t="str">
        <f t="shared" si="52"/>
        <v>GAMETIME MASTERCARD-XXXXXXPZ30JW-Maci Villavicencio</v>
      </c>
      <c r="U399" s="17" t="str">
        <f t="shared" si="53"/>
        <v>Brex Credit Card</v>
      </c>
      <c r="V399" s="19" t="str">
        <f>IF(ISBLANK($B399),"",IF(ISBLANK($K399),IF(_xlfn.XLOOKUP($W399,'Category Mapping'!$C:$C,'Category Mapping'!$B:$B)="Travel",_xlfn.XLOOKUP($P399,'Department Listing'!$A:$A,'Department Listing'!$M:$M),_xlfn.XLOOKUP($W399,'Category Mapping'!$C:$C,'Category Mapping'!$D:$D)),$K399))</f>
        <v>Cost of Goods Sold:COGS- Travel Expenses:</v>
      </c>
      <c r="W399" s="19" t="str">
        <f t="shared" si="54"/>
        <v>Meals &amp; Entertainment</v>
      </c>
      <c r="X399" s="19" t="str">
        <f t="shared" si="55"/>
        <v>Cost of Goods Sold:COGS- Travel Expenses:Meals &amp; Entertainment</v>
      </c>
      <c r="Y399" s="20" t="str">
        <f>IF(ISBLANK($M399),IFERROR(_xlfn.XLOOKUP($P399,'Department Listing'!$A:$A,'Department Listing'!$L:$L),""),$M399)</f>
        <v>200- Datadog:210- Delivery</v>
      </c>
      <c r="Z399" s="11">
        <f>IF(ISBLANK($B399),"",MATCH($X399,COA!$B:$B,0))</f>
        <v>126</v>
      </c>
    </row>
    <row r="400" spans="2:26" ht="15.75" customHeight="1" x14ac:dyDescent="0.25">
      <c r="B400" s="14">
        <v>46229</v>
      </c>
      <c r="C400" t="s">
        <v>590</v>
      </c>
      <c r="E400" s="23" t="s">
        <v>76</v>
      </c>
      <c r="F400" s="16">
        <v>32.21</v>
      </c>
      <c r="G400" s="10"/>
      <c r="H400" s="10"/>
      <c r="I400" s="9" t="s">
        <v>36</v>
      </c>
      <c r="J400" s="9"/>
      <c r="K400" s="9"/>
      <c r="L400" s="9" t="s">
        <v>78</v>
      </c>
      <c r="M400" s="9"/>
      <c r="N400" s="17"/>
      <c r="O400" s="17" t="str">
        <f t="shared" si="48"/>
        <v>James Dean</v>
      </c>
      <c r="P400" s="17">
        <f>IFERROR(_xlfn.XLOOKUP(O400,'Department Listing'!$O$1:$O$395,'Department Listing'!$A$1:$A$395),IFERROR(_xlfn.XLOOKUP(O400,'Name Aliases'!$A$2:$A$1000,'Name Aliases'!$B$2:$B$1000),""))</f>
        <v>270</v>
      </c>
      <c r="Q400" s="18">
        <f t="shared" si="49"/>
        <v>46229</v>
      </c>
      <c r="R400" s="17" t="str">
        <f t="shared" si="50"/>
        <v>Food Vendor</v>
      </c>
      <c r="S400" s="19">
        <f t="shared" si="51"/>
        <v>32.21</v>
      </c>
      <c r="T400" s="17" t="str">
        <f t="shared" si="52"/>
        <v>TST* THE FRIENDLY TOAS MASTERCARD-XXXXXXE8FZ9Z-James Dean</v>
      </c>
      <c r="U400" s="17" t="str">
        <f t="shared" si="53"/>
        <v>Brex Credit Card</v>
      </c>
      <c r="V400" s="19" t="str">
        <f>IF(ISBLANK($B400),"",IF(ISBLANK($K400),IF(_xlfn.XLOOKUP($W400,'Category Mapping'!$C:$C,'Category Mapping'!$B:$B)="Travel",_xlfn.XLOOKUP($P400,'Department Listing'!$A:$A,'Department Listing'!$M:$M),_xlfn.XLOOKUP($W400,'Category Mapping'!$C:$C,'Category Mapping'!$D:$D)),$K400))</f>
        <v>Sales &amp; Marketing:Sales &amp; Marketing- Travel Expenses:</v>
      </c>
      <c r="W400" s="19" t="str">
        <f t="shared" si="54"/>
        <v>Meals &amp; Entertainment</v>
      </c>
      <c r="X400" s="19" t="str">
        <f t="shared" si="55"/>
        <v>Sales &amp; Marketing:Sales &amp; Marketing- Travel Expenses:Meals &amp; Entertainment</v>
      </c>
      <c r="Y400" s="20" t="str">
        <f>IF(ISBLANK($M400),IFERROR(_xlfn.XLOOKUP($P400,'Department Listing'!$A:$A,'Department Listing'!$L:$L),""),$M400)</f>
        <v>200- Datadog:230- Sales</v>
      </c>
      <c r="Z400" s="11">
        <f>IF(ISBLANK($B400),"",MATCH($X400,COA!$B:$B,0))</f>
        <v>202</v>
      </c>
    </row>
    <row r="401" spans="2:26" ht="15.75" customHeight="1" x14ac:dyDescent="0.25">
      <c r="B401" s="14">
        <v>46229</v>
      </c>
      <c r="C401" t="s">
        <v>591</v>
      </c>
      <c r="E401" s="23"/>
      <c r="F401" s="16">
        <v>17.78</v>
      </c>
      <c r="G401" s="10"/>
      <c r="H401" s="10"/>
      <c r="I401" s="9" t="s">
        <v>36</v>
      </c>
      <c r="J401" s="9"/>
      <c r="K401" s="9"/>
      <c r="L401" s="9" t="s">
        <v>78</v>
      </c>
      <c r="M401" s="9"/>
      <c r="N401" s="17"/>
      <c r="O401" s="17" t="str">
        <f t="shared" si="48"/>
        <v>Anthony Nguyen</v>
      </c>
      <c r="P401" s="17">
        <f>IFERROR(_xlfn.XLOOKUP(O401,'Department Listing'!$O$1:$O$395,'Department Listing'!$A$1:$A$395),IFERROR(_xlfn.XLOOKUP(O401,'Name Aliases'!$A$2:$A$1000,'Name Aliases'!$B$2:$B$1000),""))</f>
        <v>285</v>
      </c>
      <c r="Q401" s="18">
        <f t="shared" si="49"/>
        <v>46229</v>
      </c>
      <c r="R401" s="17" t="str">
        <f t="shared" si="50"/>
        <v>Food Vendor</v>
      </c>
      <c r="S401" s="19">
        <f t="shared" si="51"/>
        <v>17.78</v>
      </c>
      <c r="T401" s="17" t="str">
        <f t="shared" si="52"/>
        <v>QDOBA 3198 MASTERCARD-XXXXXXV8SUDH-Anthony Nguyen</v>
      </c>
      <c r="U401" s="17" t="str">
        <f t="shared" si="53"/>
        <v>Brex Credit Card</v>
      </c>
      <c r="V401" s="19" t="str">
        <f>IF(ISBLANK($B401),"",IF(ISBLANK($K401),IF(_xlfn.XLOOKUP($W401,'Category Mapping'!$C:$C,'Category Mapping'!$B:$B)="Travel",_xlfn.XLOOKUP($P401,'Department Listing'!$A:$A,'Department Listing'!$M:$M),_xlfn.XLOOKUP($W401,'Category Mapping'!$C:$C,'Category Mapping'!$D:$D)),$K401))</f>
        <v>Cost of Goods Sold:COGS- Travel Expenses:</v>
      </c>
      <c r="W401" s="19" t="str">
        <f t="shared" si="54"/>
        <v>Meals &amp; Entertainment</v>
      </c>
      <c r="X401" s="19" t="str">
        <f t="shared" si="55"/>
        <v>Cost of Goods Sold:COGS- Travel Expenses:Meals &amp; Entertainment</v>
      </c>
      <c r="Y401" s="20" t="str">
        <f>IF(ISBLANK($M401),IFERROR(_xlfn.XLOOKUP($P401,'Department Listing'!$A:$A,'Department Listing'!$L:$L),""),$M401)</f>
        <v>200- Datadog:220- Engineering</v>
      </c>
      <c r="Z401" s="11">
        <f>IF(ISBLANK($B401),"",MATCH($X401,COA!$B:$B,0))</f>
        <v>126</v>
      </c>
    </row>
    <row r="402" spans="2:26" ht="15.75" customHeight="1" x14ac:dyDescent="0.25">
      <c r="B402" s="14">
        <v>46229</v>
      </c>
      <c r="C402" t="s">
        <v>592</v>
      </c>
      <c r="E402" s="23"/>
      <c r="F402" s="16">
        <v>17.32</v>
      </c>
      <c r="G402" s="10"/>
      <c r="H402" s="10"/>
      <c r="I402" s="9" t="s">
        <v>36</v>
      </c>
      <c r="J402" s="9"/>
      <c r="K402" s="9"/>
      <c r="L402" s="9" t="s">
        <v>78</v>
      </c>
      <c r="M402" s="9"/>
      <c r="N402" s="17"/>
      <c r="O402" s="17" t="str">
        <f t="shared" si="48"/>
        <v>Jared Kennedy</v>
      </c>
      <c r="P402" s="17">
        <f>IFERROR(_xlfn.XLOOKUP(O402,'Department Listing'!$O$1:$O$395,'Department Listing'!$A$1:$A$395),IFERROR(_xlfn.XLOOKUP(O402,'Name Aliases'!$A$2:$A$1000,'Name Aliases'!$B$2:$B$1000),""))</f>
        <v>289</v>
      </c>
      <c r="Q402" s="18">
        <f t="shared" si="49"/>
        <v>46229</v>
      </c>
      <c r="R402" s="17" t="str">
        <f t="shared" si="50"/>
        <v>Food Vendor</v>
      </c>
      <c r="S402" s="19">
        <f t="shared" si="51"/>
        <v>17.32</v>
      </c>
      <c r="T402" s="17" t="str">
        <f t="shared" si="52"/>
        <v>QDOBA 3198 MASTERCARD-XXXXXXL3985L-Jared Kennedy</v>
      </c>
      <c r="U402" s="17" t="str">
        <f t="shared" si="53"/>
        <v>Brex Credit Card</v>
      </c>
      <c r="V402" s="19" t="str">
        <f>IF(ISBLANK($B402),"",IF(ISBLANK($K402),IF(_xlfn.XLOOKUP($W402,'Category Mapping'!$C:$C,'Category Mapping'!$B:$B)="Travel",_xlfn.XLOOKUP($P402,'Department Listing'!$A:$A,'Department Listing'!$M:$M),_xlfn.XLOOKUP($W402,'Category Mapping'!$C:$C,'Category Mapping'!$D:$D)),$K402))</f>
        <v>Sales &amp; Marketing:Sales &amp; Marketing- Travel Expenses:</v>
      </c>
      <c r="W402" s="19" t="str">
        <f t="shared" si="54"/>
        <v>Meals &amp; Entertainment</v>
      </c>
      <c r="X402" s="19" t="str">
        <f t="shared" si="55"/>
        <v>Sales &amp; Marketing:Sales &amp; Marketing- Travel Expenses:Meals &amp; Entertainment</v>
      </c>
      <c r="Y402" s="20" t="str">
        <f>IF(ISBLANK($M402),IFERROR(_xlfn.XLOOKUP($P402,'Department Listing'!$A:$A,'Department Listing'!$L:$L),""),$M402)</f>
        <v>200- Datadog:230- Sales</v>
      </c>
      <c r="Z402" s="11">
        <f>IF(ISBLANK($B402),"",MATCH($X402,COA!$B:$B,0))</f>
        <v>202</v>
      </c>
    </row>
    <row r="403" spans="2:26" ht="15.75" customHeight="1" x14ac:dyDescent="0.25">
      <c r="B403" s="14">
        <v>46229</v>
      </c>
      <c r="C403" t="s">
        <v>593</v>
      </c>
      <c r="E403" s="23"/>
      <c r="F403" s="16">
        <v>3.19</v>
      </c>
      <c r="G403" s="10"/>
      <c r="H403" s="10"/>
      <c r="I403" s="9" t="s">
        <v>34</v>
      </c>
      <c r="J403" s="9"/>
      <c r="K403" s="9"/>
      <c r="L403" s="9" t="s">
        <v>66</v>
      </c>
      <c r="M403" s="9"/>
      <c r="N403" s="17"/>
      <c r="O403" s="17" t="str">
        <f t="shared" si="48"/>
        <v>Jared Kennedy</v>
      </c>
      <c r="P403" s="17">
        <f>IFERROR(_xlfn.XLOOKUP(O403,'Department Listing'!$O$1:$O$395,'Department Listing'!$A$1:$A$395),IFERROR(_xlfn.XLOOKUP(O403,'Name Aliases'!$A$2:$A$1000,'Name Aliases'!$B$2:$B$1000),""))</f>
        <v>289</v>
      </c>
      <c r="Q403" s="18">
        <f t="shared" si="49"/>
        <v>46229</v>
      </c>
      <c r="R403" s="17" t="str">
        <f t="shared" si="50"/>
        <v>Taxi Vendor</v>
      </c>
      <c r="S403" s="19">
        <f t="shared" si="51"/>
        <v>3.19</v>
      </c>
      <c r="T403" s="17" t="str">
        <f t="shared" si="52"/>
        <v>BLUEBIK*RIDE MASTERCARD-XXXXXXCG3A0C-Jared Kennedy</v>
      </c>
      <c r="U403" s="17" t="str">
        <f t="shared" si="53"/>
        <v>Brex Credit Card</v>
      </c>
      <c r="V403" s="19" t="str">
        <f>IF(ISBLANK($B403),"",IF(ISBLANK($K403),IF(_xlfn.XLOOKUP($W403,'Category Mapping'!$C:$C,'Category Mapping'!$B:$B)="Travel",_xlfn.XLOOKUP($P403,'Department Listing'!$A:$A,'Department Listing'!$M:$M),_xlfn.XLOOKUP($W403,'Category Mapping'!$C:$C,'Category Mapping'!$D:$D)),$K403))</f>
        <v>Sales &amp; Marketing:Sales &amp; Marketing- Travel Expenses:</v>
      </c>
      <c r="W403" s="19" t="str">
        <f t="shared" si="54"/>
        <v>Ground Transportation</v>
      </c>
      <c r="X403" s="19" t="str">
        <f t="shared" si="55"/>
        <v>Sales &amp; Marketing:Sales &amp; Marketing- Travel Expenses:Ground Transportation</v>
      </c>
      <c r="Y403" s="20" t="str">
        <f>IF(ISBLANK($M403),IFERROR(_xlfn.XLOOKUP($P403,'Department Listing'!$A:$A,'Department Listing'!$L:$L),""),$M403)</f>
        <v>200- Datadog:230- Sales</v>
      </c>
      <c r="Z403" s="11">
        <f>IF(ISBLANK($B403),"",MATCH($X403,COA!$B:$B,0))</f>
        <v>200</v>
      </c>
    </row>
    <row r="404" spans="2:26" ht="15.75" customHeight="1" x14ac:dyDescent="0.25">
      <c r="B404" s="14">
        <v>46229</v>
      </c>
      <c r="C404" t="s">
        <v>594</v>
      </c>
      <c r="E404" s="23"/>
      <c r="F404" s="16">
        <v>3.19</v>
      </c>
      <c r="G404" s="10"/>
      <c r="H404" s="10"/>
      <c r="I404" s="9" t="s">
        <v>33</v>
      </c>
      <c r="J404" s="9"/>
      <c r="K404" s="9"/>
      <c r="L404" s="9" t="s">
        <v>149</v>
      </c>
      <c r="M404" s="9"/>
      <c r="N404" s="17"/>
      <c r="O404" s="17" t="str">
        <f t="shared" si="48"/>
        <v>Jared Kennedy</v>
      </c>
      <c r="P404" s="17">
        <f>IFERROR(_xlfn.XLOOKUP(O404,'Department Listing'!$O$1:$O$395,'Department Listing'!$A$1:$A$395),IFERROR(_xlfn.XLOOKUP(O404,'Name Aliases'!$A$2:$A$1000,'Name Aliases'!$B$2:$B$1000),""))</f>
        <v>289</v>
      </c>
      <c r="Q404" s="18">
        <f t="shared" si="49"/>
        <v>46229</v>
      </c>
      <c r="R404" s="17" t="str">
        <f t="shared" si="50"/>
        <v>Travel Vendor</v>
      </c>
      <c r="S404" s="19">
        <f t="shared" si="51"/>
        <v>3.19</v>
      </c>
      <c r="T404" s="17" t="str">
        <f t="shared" si="52"/>
        <v>BLUEBIK*RIDE MASTERCARD-XXXXXXA0VGVS-Jared Kennedy</v>
      </c>
      <c r="U404" s="17" t="str">
        <f t="shared" si="53"/>
        <v>Brex Credit Card</v>
      </c>
      <c r="V404" s="19" t="str">
        <f>IF(ISBLANK($B404),"",IF(ISBLANK($K404),IF(_xlfn.XLOOKUP($W404,'Category Mapping'!$C:$C,'Category Mapping'!$B:$B)="Travel",_xlfn.XLOOKUP($P404,'Department Listing'!$A:$A,'Department Listing'!$M:$M),_xlfn.XLOOKUP($W404,'Category Mapping'!$C:$C,'Category Mapping'!$D:$D)),$K404))</f>
        <v>Sales &amp; Marketing:Sales &amp; Marketing- Travel Expenses:</v>
      </c>
      <c r="W404" s="19" t="str">
        <f t="shared" si="54"/>
        <v>Other Travel Expenses</v>
      </c>
      <c r="X404" s="19" t="str">
        <f t="shared" si="55"/>
        <v>Sales &amp; Marketing:Sales &amp; Marketing- Travel Expenses:Other Travel Expenses</v>
      </c>
      <c r="Y404" s="20" t="str">
        <f>IF(ISBLANK($M404),IFERROR(_xlfn.XLOOKUP($P404,'Department Listing'!$A:$A,'Department Listing'!$L:$L),""),$M404)</f>
        <v>200- Datadog:230- Sales</v>
      </c>
      <c r="Z404" s="11">
        <f>IF(ISBLANK($B404),"",MATCH($X404,COA!$B:$B,0))</f>
        <v>203</v>
      </c>
    </row>
    <row r="405" spans="2:26" ht="15.75" customHeight="1" x14ac:dyDescent="0.25">
      <c r="B405" s="14">
        <v>46229</v>
      </c>
      <c r="C405" t="s">
        <v>595</v>
      </c>
      <c r="E405" s="23"/>
      <c r="F405" s="16">
        <v>79.989999999999995</v>
      </c>
      <c r="G405" s="10"/>
      <c r="H405" s="10"/>
      <c r="I405" s="9" t="s">
        <v>164</v>
      </c>
      <c r="J405" s="9"/>
      <c r="K405" s="9"/>
      <c r="L405" s="9" t="s">
        <v>165</v>
      </c>
      <c r="M405" s="9"/>
      <c r="N405" s="17"/>
      <c r="O405" s="17" t="str">
        <f t="shared" si="48"/>
        <v>Dean DeMonte</v>
      </c>
      <c r="P405" s="17">
        <f>IFERROR(_xlfn.XLOOKUP(O405,'Department Listing'!$O$1:$O$395,'Department Listing'!$A$1:$A$395),IFERROR(_xlfn.XLOOKUP(O405,'Name Aliases'!$A$2:$A$1000,'Name Aliases'!$B$2:$B$1000),""))</f>
        <v>216</v>
      </c>
      <c r="Q405" s="18">
        <f t="shared" si="49"/>
        <v>46229</v>
      </c>
      <c r="R405" s="17" t="str">
        <f t="shared" si="50"/>
        <v>Delta</v>
      </c>
      <c r="S405" s="19">
        <f t="shared" si="51"/>
        <v>79.989999999999995</v>
      </c>
      <c r="T405" s="17" t="str">
        <f t="shared" si="52"/>
        <v>DELTA MASTERCARD-XXXXXX7QJKX1-Dean DeMonte</v>
      </c>
      <c r="U405" s="17" t="str">
        <f t="shared" si="53"/>
        <v>Brex Credit Card</v>
      </c>
      <c r="V405" s="19" t="str">
        <f>IF(ISBLANK($B405),"",IF(ISBLANK($K405),IF(_xlfn.XLOOKUP($W405,'Category Mapping'!$C:$C,'Category Mapping'!$B:$B)="Travel",_xlfn.XLOOKUP($P405,'Department Listing'!$A:$A,'Department Listing'!$M:$M),_xlfn.XLOOKUP($W405,'Category Mapping'!$C:$C,'Category Mapping'!$D:$D)),$K405))</f>
        <v>Sales &amp; Marketing:Sales &amp; Marketing- Travel Expenses:</v>
      </c>
      <c r="W405" s="19" t="str">
        <f t="shared" si="54"/>
        <v>Airfare</v>
      </c>
      <c r="X405" s="19" t="str">
        <f t="shared" si="55"/>
        <v>Sales &amp; Marketing:Sales &amp; Marketing- Travel Expenses:Airfare</v>
      </c>
      <c r="Y405" s="20" t="str">
        <f>IF(ISBLANK($M405),IFERROR(_xlfn.XLOOKUP($P405,'Department Listing'!$A:$A,'Department Listing'!$L:$L),""),$M405)</f>
        <v>200- Datadog:230- Sales</v>
      </c>
      <c r="Z405" s="11">
        <f>IF(ISBLANK($B405),"",MATCH($X405,COA!$B:$B,0))</f>
        <v>199</v>
      </c>
    </row>
    <row r="406" spans="2:26" ht="15.75" customHeight="1" x14ac:dyDescent="0.25">
      <c r="B406" s="14">
        <v>46229</v>
      </c>
      <c r="C406" t="s">
        <v>596</v>
      </c>
      <c r="E406" s="23"/>
      <c r="F406" s="16">
        <v>4.59</v>
      </c>
      <c r="G406" s="10"/>
      <c r="H406" s="10"/>
      <c r="I406" s="9" t="s">
        <v>33</v>
      </c>
      <c r="J406" s="9"/>
      <c r="K406" s="9"/>
      <c r="L406" s="9" t="s">
        <v>149</v>
      </c>
      <c r="M406" s="9"/>
      <c r="N406" s="17"/>
      <c r="O406" s="17" t="str">
        <f t="shared" si="48"/>
        <v>Jared Kennedy</v>
      </c>
      <c r="P406" s="17">
        <f>IFERROR(_xlfn.XLOOKUP(O406,'Department Listing'!$O$1:$O$395,'Department Listing'!$A$1:$A$395),IFERROR(_xlfn.XLOOKUP(O406,'Name Aliases'!$A$2:$A$1000,'Name Aliases'!$B$2:$B$1000),""))</f>
        <v>289</v>
      </c>
      <c r="Q406" s="18">
        <f t="shared" si="49"/>
        <v>46229</v>
      </c>
      <c r="R406" s="17" t="str">
        <f t="shared" si="50"/>
        <v>Travel Vendor</v>
      </c>
      <c r="S406" s="19">
        <f t="shared" si="51"/>
        <v>4.59</v>
      </c>
      <c r="T406" s="17" t="str">
        <f t="shared" si="52"/>
        <v>BLUEBIK*RIDE MASTERCARD-XXXXXX9OAEBS-Jared Kennedy</v>
      </c>
      <c r="U406" s="17" t="str">
        <f t="shared" si="53"/>
        <v>Brex Credit Card</v>
      </c>
      <c r="V406" s="19" t="str">
        <f>IF(ISBLANK($B406),"",IF(ISBLANK($K406),IF(_xlfn.XLOOKUP($W406,'Category Mapping'!$C:$C,'Category Mapping'!$B:$B)="Travel",_xlfn.XLOOKUP($P406,'Department Listing'!$A:$A,'Department Listing'!$M:$M),_xlfn.XLOOKUP($W406,'Category Mapping'!$C:$C,'Category Mapping'!$D:$D)),$K406))</f>
        <v>Sales &amp; Marketing:Sales &amp; Marketing- Travel Expenses:</v>
      </c>
      <c r="W406" s="19" t="str">
        <f t="shared" si="54"/>
        <v>Other Travel Expenses</v>
      </c>
      <c r="X406" s="19" t="str">
        <f t="shared" si="55"/>
        <v>Sales &amp; Marketing:Sales &amp; Marketing- Travel Expenses:Other Travel Expenses</v>
      </c>
      <c r="Y406" s="20" t="str">
        <f>IF(ISBLANK($M406),IFERROR(_xlfn.XLOOKUP($P406,'Department Listing'!$A:$A,'Department Listing'!$L:$L),""),$M406)</f>
        <v>200- Datadog:230- Sales</v>
      </c>
      <c r="Z406" s="11">
        <f>IF(ISBLANK($B406),"",MATCH($X406,COA!$B:$B,0))</f>
        <v>203</v>
      </c>
    </row>
    <row r="407" spans="2:26" ht="15.75" customHeight="1" x14ac:dyDescent="0.25">
      <c r="B407" s="14">
        <v>46229</v>
      </c>
      <c r="C407" t="s">
        <v>597</v>
      </c>
      <c r="E407" s="23"/>
      <c r="F407" s="16">
        <v>5.64</v>
      </c>
      <c r="G407" s="10"/>
      <c r="H407" s="10"/>
      <c r="I407" s="9" t="s">
        <v>34</v>
      </c>
      <c r="J407" s="9"/>
      <c r="K407" s="9"/>
      <c r="L407" s="9" t="s">
        <v>66</v>
      </c>
      <c r="M407" s="9"/>
      <c r="N407" s="17"/>
      <c r="O407" s="17" t="str">
        <f t="shared" si="48"/>
        <v>Jared Kennedy</v>
      </c>
      <c r="P407" s="17">
        <f>IFERROR(_xlfn.XLOOKUP(O407,'Department Listing'!$O$1:$O$395,'Department Listing'!$A$1:$A$395),IFERROR(_xlfn.XLOOKUP(O407,'Name Aliases'!$A$2:$A$1000,'Name Aliases'!$B$2:$B$1000),""))</f>
        <v>289</v>
      </c>
      <c r="Q407" s="18">
        <f t="shared" si="49"/>
        <v>46229</v>
      </c>
      <c r="R407" s="17" t="str">
        <f t="shared" si="50"/>
        <v>Taxi Vendor</v>
      </c>
      <c r="S407" s="19">
        <f t="shared" si="51"/>
        <v>5.64</v>
      </c>
      <c r="T407" s="17" t="str">
        <f t="shared" si="52"/>
        <v>BLUEBIK*RIDE MASTERCARD-XXXXXX6VQLD3-Jared Kennedy</v>
      </c>
      <c r="U407" s="17" t="str">
        <f t="shared" si="53"/>
        <v>Brex Credit Card</v>
      </c>
      <c r="V407" s="19" t="str">
        <f>IF(ISBLANK($B407),"",IF(ISBLANK($K407),IF(_xlfn.XLOOKUP($W407,'Category Mapping'!$C:$C,'Category Mapping'!$B:$B)="Travel",_xlfn.XLOOKUP($P407,'Department Listing'!$A:$A,'Department Listing'!$M:$M),_xlfn.XLOOKUP($W407,'Category Mapping'!$C:$C,'Category Mapping'!$D:$D)),$K407))</f>
        <v>Sales &amp; Marketing:Sales &amp; Marketing- Travel Expenses:</v>
      </c>
      <c r="W407" s="19" t="str">
        <f t="shared" si="54"/>
        <v>Ground Transportation</v>
      </c>
      <c r="X407" s="19" t="str">
        <f t="shared" si="55"/>
        <v>Sales &amp; Marketing:Sales &amp; Marketing- Travel Expenses:Ground Transportation</v>
      </c>
      <c r="Y407" s="20" t="str">
        <f>IF(ISBLANK($M407),IFERROR(_xlfn.XLOOKUP($P407,'Department Listing'!$A:$A,'Department Listing'!$L:$L),""),$M407)</f>
        <v>200- Datadog:230- Sales</v>
      </c>
      <c r="Z407" s="11">
        <f>IF(ISBLANK($B407),"",MATCH($X407,COA!$B:$B,0))</f>
        <v>200</v>
      </c>
    </row>
    <row r="408" spans="2:26" ht="15.75" customHeight="1" x14ac:dyDescent="0.25">
      <c r="B408" s="14">
        <v>46229</v>
      </c>
      <c r="C408" t="s">
        <v>598</v>
      </c>
      <c r="E408" s="23" t="s">
        <v>64</v>
      </c>
      <c r="F408" s="16">
        <v>11.74</v>
      </c>
      <c r="G408" s="10"/>
      <c r="H408" s="10"/>
      <c r="I408" s="9" t="s">
        <v>34</v>
      </c>
      <c r="J408" s="9"/>
      <c r="K408" s="9"/>
      <c r="L408" s="9" t="s">
        <v>66</v>
      </c>
      <c r="M408" s="9"/>
      <c r="N408" s="17"/>
      <c r="O408" s="17" t="str">
        <f t="shared" si="48"/>
        <v>Dan Hennessy</v>
      </c>
      <c r="P408" s="17">
        <f>IFERROR(_xlfn.XLOOKUP(O408,'Department Listing'!$O$1:$O$395,'Department Listing'!$A$1:$A$395),IFERROR(_xlfn.XLOOKUP(O408,'Name Aliases'!$A$2:$A$1000,'Name Aliases'!$B$2:$B$1000),""))</f>
        <v>261</v>
      </c>
      <c r="Q408" s="18">
        <f t="shared" si="49"/>
        <v>46229</v>
      </c>
      <c r="R408" s="17" t="str">
        <f t="shared" si="50"/>
        <v>Taxi Vendor</v>
      </c>
      <c r="S408" s="19">
        <f t="shared" si="51"/>
        <v>11.74</v>
      </c>
      <c r="T408" s="17" t="str">
        <f t="shared" si="52"/>
        <v>SumUp  *Taxi Anthony M MASTERCARD-XXXXXXM10QOG-Dan Hennessy</v>
      </c>
      <c r="U408" s="17" t="str">
        <f t="shared" si="53"/>
        <v>Brex Credit Card</v>
      </c>
      <c r="V408" s="19" t="str">
        <f>IF(ISBLANK($B408),"",IF(ISBLANK($K408),IF(_xlfn.XLOOKUP($W408,'Category Mapping'!$C:$C,'Category Mapping'!$B:$B)="Travel",_xlfn.XLOOKUP($P408,'Department Listing'!$A:$A,'Department Listing'!$M:$M),_xlfn.XLOOKUP($W408,'Category Mapping'!$C:$C,'Category Mapping'!$D:$D)),$K408))</f>
        <v>Cost of Goods Sold:COGS- Travel Expenses:</v>
      </c>
      <c r="W408" s="19" t="str">
        <f t="shared" si="54"/>
        <v>Ground Transportation</v>
      </c>
      <c r="X408" s="19" t="str">
        <f t="shared" si="55"/>
        <v>Cost of Goods Sold:COGS- Travel Expenses:Ground Transportation</v>
      </c>
      <c r="Y408" s="20" t="str">
        <f>IF(ISBLANK($M408),IFERROR(_xlfn.XLOOKUP($P408,'Department Listing'!$A:$A,'Department Listing'!$L:$L),""),$M408)</f>
        <v>200- Datadog:220- Engineering</v>
      </c>
      <c r="Z408" s="11">
        <f>IF(ISBLANK($B408),"",MATCH($X408,COA!$B:$B,0))</f>
        <v>124</v>
      </c>
    </row>
    <row r="409" spans="2:26" ht="15.75" customHeight="1" x14ac:dyDescent="0.25">
      <c r="B409" s="14">
        <v>46229</v>
      </c>
      <c r="C409" t="s">
        <v>599</v>
      </c>
      <c r="E409" s="23" t="s">
        <v>201</v>
      </c>
      <c r="F409" s="16">
        <v>3.19</v>
      </c>
      <c r="G409" s="10"/>
      <c r="H409" s="10"/>
      <c r="I409" s="9" t="s">
        <v>202</v>
      </c>
      <c r="J409" s="9"/>
      <c r="K409" s="9"/>
      <c r="L409" s="9" t="s">
        <v>127</v>
      </c>
      <c r="M409" s="9"/>
      <c r="N409" s="17"/>
      <c r="O409" s="17" t="str">
        <f t="shared" si="48"/>
        <v>Jared Kennedy</v>
      </c>
      <c r="P409" s="17">
        <f>IFERROR(_xlfn.XLOOKUP(O409,'Department Listing'!$O$1:$O$395,'Department Listing'!$A$1:$A$395),IFERROR(_xlfn.XLOOKUP(O409,'Name Aliases'!$A$2:$A$1000,'Name Aliases'!$B$2:$B$1000),""))</f>
        <v>289</v>
      </c>
      <c r="Q409" s="18">
        <f t="shared" si="49"/>
        <v>46229</v>
      </c>
      <c r="R409" s="17" t="str">
        <f t="shared" si="50"/>
        <v>CVS</v>
      </c>
      <c r="S409" s="19">
        <f t="shared" si="51"/>
        <v>3.19</v>
      </c>
      <c r="T409" s="17" t="str">
        <f t="shared" si="52"/>
        <v>CVS/PHARMACY #01002 MASTERCARD-XXXXXXD3FCDQ-Jared Kennedy</v>
      </c>
      <c r="U409" s="17" t="str">
        <f t="shared" si="53"/>
        <v>Brex Credit Card</v>
      </c>
      <c r="V409" s="19" t="str">
        <f>IF(ISBLANK($B409),"",IF(ISBLANK($K409),IF(_xlfn.XLOOKUP($W409,'Category Mapping'!$C:$C,'Category Mapping'!$B:$B)="Travel",_xlfn.XLOOKUP($P409,'Department Listing'!$A:$A,'Department Listing'!$M:$M),_xlfn.XLOOKUP($W409,'Category Mapping'!$C:$C,'Category Mapping'!$D:$D)),$K409))</f>
        <v>General &amp; Administrative:Office Expenses:</v>
      </c>
      <c r="W409" s="19" t="str">
        <f t="shared" si="54"/>
        <v>Office Supplies</v>
      </c>
      <c r="X409" s="19" t="str">
        <f t="shared" si="55"/>
        <v>General &amp; Administrative:Office Expenses:Office Supplies</v>
      </c>
      <c r="Y409" s="20" t="str">
        <f>IF(ISBLANK($M409),IFERROR(_xlfn.XLOOKUP($P409,'Department Listing'!$A:$A,'Department Listing'!$L:$L),""),$M409)</f>
        <v>200- Datadog:230- Sales</v>
      </c>
      <c r="Z409" s="11">
        <f>IF(ISBLANK($B409),"",MATCH($X409,COA!$B:$B,0))</f>
        <v>161</v>
      </c>
    </row>
    <row r="410" spans="2:26" ht="15.75" customHeight="1" x14ac:dyDescent="0.25">
      <c r="B410" s="14">
        <v>46229</v>
      </c>
      <c r="C410" t="s">
        <v>600</v>
      </c>
      <c r="E410" s="23" t="s">
        <v>201</v>
      </c>
      <c r="F410" s="16">
        <v>3.19</v>
      </c>
      <c r="G410" s="10"/>
      <c r="H410" s="10"/>
      <c r="I410" s="9" t="s">
        <v>202</v>
      </c>
      <c r="J410" s="9"/>
      <c r="K410" s="9"/>
      <c r="L410" s="9" t="s">
        <v>127</v>
      </c>
      <c r="M410" s="9"/>
      <c r="N410" s="17"/>
      <c r="O410" s="17" t="str">
        <f t="shared" si="48"/>
        <v>Anthony Nguyen</v>
      </c>
      <c r="P410" s="17">
        <f>IFERROR(_xlfn.XLOOKUP(O410,'Department Listing'!$O$1:$O$395,'Department Listing'!$A$1:$A$395),IFERROR(_xlfn.XLOOKUP(O410,'Name Aliases'!$A$2:$A$1000,'Name Aliases'!$B$2:$B$1000),""))</f>
        <v>285</v>
      </c>
      <c r="Q410" s="18">
        <f t="shared" si="49"/>
        <v>46229</v>
      </c>
      <c r="R410" s="17" t="str">
        <f t="shared" si="50"/>
        <v>CVS</v>
      </c>
      <c r="S410" s="19">
        <f t="shared" si="51"/>
        <v>3.19</v>
      </c>
      <c r="T410" s="17" t="str">
        <f t="shared" si="52"/>
        <v>CVS/PHARMACY #01002 MASTERCARD-XXXXXX5QUMEG-Anthony Nguyen</v>
      </c>
      <c r="U410" s="17" t="str">
        <f t="shared" si="53"/>
        <v>Brex Credit Card</v>
      </c>
      <c r="V410" s="19" t="str">
        <f>IF(ISBLANK($B410),"",IF(ISBLANK($K410),IF(_xlfn.XLOOKUP($W410,'Category Mapping'!$C:$C,'Category Mapping'!$B:$B)="Travel",_xlfn.XLOOKUP($P410,'Department Listing'!$A:$A,'Department Listing'!$M:$M),_xlfn.XLOOKUP($W410,'Category Mapping'!$C:$C,'Category Mapping'!$D:$D)),$K410))</f>
        <v>General &amp; Administrative:Office Expenses:</v>
      </c>
      <c r="W410" s="19" t="str">
        <f t="shared" si="54"/>
        <v>Office Supplies</v>
      </c>
      <c r="X410" s="19" t="str">
        <f t="shared" si="55"/>
        <v>General &amp; Administrative:Office Expenses:Office Supplies</v>
      </c>
      <c r="Y410" s="20" t="str">
        <f>IF(ISBLANK($M410),IFERROR(_xlfn.XLOOKUP($P410,'Department Listing'!$A:$A,'Department Listing'!$L:$L),""),$M410)</f>
        <v>200- Datadog:220- Engineering</v>
      </c>
      <c r="Z410" s="11">
        <f>IF(ISBLANK($B410),"",MATCH($X410,COA!$B:$B,0))</f>
        <v>161</v>
      </c>
    </row>
    <row r="411" spans="2:26" ht="15.75" customHeight="1" x14ac:dyDescent="0.25">
      <c r="B411" s="14">
        <v>46230</v>
      </c>
      <c r="C411" t="s">
        <v>601</v>
      </c>
      <c r="E411" s="23"/>
      <c r="F411" s="16">
        <v>59</v>
      </c>
      <c r="G411" s="10"/>
      <c r="H411" s="10"/>
      <c r="I411" s="9" t="s">
        <v>602</v>
      </c>
      <c r="J411" s="9"/>
      <c r="K411" s="9"/>
      <c r="L411" s="9" t="s">
        <v>165</v>
      </c>
      <c r="M411" s="9"/>
      <c r="N411" s="17"/>
      <c r="O411" s="17" t="str">
        <f t="shared" si="48"/>
        <v>Noah Zahrt</v>
      </c>
      <c r="P411" s="17">
        <f>IFERROR(_xlfn.XLOOKUP(O411,'Department Listing'!$O$1:$O$395,'Department Listing'!$A$1:$A$395),IFERROR(_xlfn.XLOOKUP(O411,'Name Aliases'!$A$2:$A$1000,'Name Aliases'!$B$2:$B$1000),""))</f>
        <v>228</v>
      </c>
      <c r="Q411" s="18">
        <f t="shared" si="49"/>
        <v>46230</v>
      </c>
      <c r="R411" s="17" t="str">
        <f t="shared" si="50"/>
        <v>JetBlue</v>
      </c>
      <c r="S411" s="19">
        <f t="shared" si="51"/>
        <v>59</v>
      </c>
      <c r="T411" s="17" t="str">
        <f t="shared" si="52"/>
        <v>JETBLUE MASTERCARD-XXXXXXBG3S71-Noah Zahrt</v>
      </c>
      <c r="U411" s="17" t="str">
        <f t="shared" si="53"/>
        <v>Brex Credit Card</v>
      </c>
      <c r="V411" s="19" t="str">
        <f>IF(ISBLANK($B411),"",IF(ISBLANK($K411),IF(_xlfn.XLOOKUP($W411,'Category Mapping'!$C:$C,'Category Mapping'!$B:$B)="Travel",_xlfn.XLOOKUP($P411,'Department Listing'!$A:$A,'Department Listing'!$M:$M),_xlfn.XLOOKUP($W411,'Category Mapping'!$C:$C,'Category Mapping'!$D:$D)),$K411))</f>
        <v>Cost of Goods Sold:COGS- Travel Expenses:</v>
      </c>
      <c r="W411" s="19" t="str">
        <f t="shared" si="54"/>
        <v>Airfare</v>
      </c>
      <c r="X411" s="19" t="str">
        <f t="shared" si="55"/>
        <v>Cost of Goods Sold:COGS- Travel Expenses:Airfare</v>
      </c>
      <c r="Y411" s="20" t="str">
        <f>IF(ISBLANK($M411),IFERROR(_xlfn.XLOOKUP($P411,'Department Listing'!$A:$A,'Department Listing'!$L:$L),""),$M411)</f>
        <v>300- ServiceNow:320- Engineering</v>
      </c>
      <c r="Z411" s="11">
        <f>IF(ISBLANK($B411),"",MATCH($X411,COA!$B:$B,0))</f>
        <v>123</v>
      </c>
    </row>
    <row r="412" spans="2:26" ht="15.75" customHeight="1" x14ac:dyDescent="0.25">
      <c r="B412" s="14">
        <v>46229</v>
      </c>
      <c r="C412" t="s">
        <v>603</v>
      </c>
      <c r="E412" s="23"/>
      <c r="F412" s="16">
        <v>45</v>
      </c>
      <c r="G412" s="10"/>
      <c r="H412" s="10"/>
      <c r="I412" s="9" t="s">
        <v>164</v>
      </c>
      <c r="J412" s="9"/>
      <c r="K412" s="9"/>
      <c r="L412" s="9" t="s">
        <v>165</v>
      </c>
      <c r="M412" s="9"/>
      <c r="N412" s="17"/>
      <c r="O412" s="17" t="str">
        <f t="shared" si="48"/>
        <v>Daniel Levin</v>
      </c>
      <c r="P412" s="17">
        <f>IFERROR(_xlfn.XLOOKUP(O412,'Department Listing'!$O$1:$O$395,'Department Listing'!$A$1:$A$395),IFERROR(_xlfn.XLOOKUP(O412,'Name Aliases'!$A$2:$A$1000,'Name Aliases'!$B$2:$B$1000),""))</f>
        <v>291</v>
      </c>
      <c r="Q412" s="18">
        <f t="shared" si="49"/>
        <v>46229</v>
      </c>
      <c r="R412" s="17" t="str">
        <f t="shared" si="50"/>
        <v>Delta</v>
      </c>
      <c r="S412" s="19">
        <f t="shared" si="51"/>
        <v>45</v>
      </c>
      <c r="T412" s="17" t="str">
        <f t="shared" si="52"/>
        <v>DELTA MASTERCARD-XXXXXXACISJ2-Daniel Levin</v>
      </c>
      <c r="U412" s="17" t="str">
        <f t="shared" si="53"/>
        <v>Brex Credit Card</v>
      </c>
      <c r="V412" s="19" t="str">
        <f>IF(ISBLANK($B412),"",IF(ISBLANK($K412),IF(_xlfn.XLOOKUP($W412,'Category Mapping'!$C:$C,'Category Mapping'!$B:$B)="Travel",_xlfn.XLOOKUP($P412,'Department Listing'!$A:$A,'Department Listing'!$M:$M),_xlfn.XLOOKUP($W412,'Category Mapping'!$C:$C,'Category Mapping'!$D:$D)),$K412))</f>
        <v>General &amp; Administrative:G&amp;A- Travel Expenses:</v>
      </c>
      <c r="W412" s="19" t="str">
        <f t="shared" si="54"/>
        <v>Airfare</v>
      </c>
      <c r="X412" s="19" t="str">
        <f t="shared" si="55"/>
        <v>General &amp; Administrative:G&amp;A- Travel Expenses:Airfare</v>
      </c>
      <c r="Y412" s="20" t="str">
        <f>IF(ISBLANK($M412),IFERROR(_xlfn.XLOOKUP($P412,'Department Listing'!$A:$A,'Department Listing'!$L:$L),""),$M412)</f>
        <v>300- ServiceNow:320- Engineering</v>
      </c>
      <c r="Z412" s="11">
        <f>IF(ISBLANK($B412),"",MATCH($X412,COA!$B:$B,0))</f>
        <v>148</v>
      </c>
    </row>
    <row r="413" spans="2:26" ht="15.75" customHeight="1" x14ac:dyDescent="0.25">
      <c r="B413" s="14">
        <v>46229</v>
      </c>
      <c r="C413" t="s">
        <v>604</v>
      </c>
      <c r="E413" s="23"/>
      <c r="F413" s="16">
        <v>30.78</v>
      </c>
      <c r="G413" s="10"/>
      <c r="H413" s="10"/>
      <c r="I413" s="9" t="s">
        <v>37</v>
      </c>
      <c r="J413" s="9"/>
      <c r="K413" s="9"/>
      <c r="L413" s="9" t="s">
        <v>94</v>
      </c>
      <c r="M413" s="9"/>
      <c r="N413" s="17"/>
      <c r="O413" s="17" t="str">
        <f t="shared" si="48"/>
        <v>Robert Kolosky</v>
      </c>
      <c r="P413" s="17">
        <f>IFERROR(_xlfn.XLOOKUP(O413,'Department Listing'!$O$1:$O$395,'Department Listing'!$A$1:$A$395),IFERROR(_xlfn.XLOOKUP(O413,'Name Aliases'!$A$2:$A$1000,'Name Aliases'!$B$2:$B$1000),""))</f>
        <v>91</v>
      </c>
      <c r="Q413" s="18">
        <f t="shared" si="49"/>
        <v>46229</v>
      </c>
      <c r="R413" s="17" t="str">
        <f t="shared" si="50"/>
        <v>Office Vendor</v>
      </c>
      <c r="S413" s="19">
        <f t="shared" si="51"/>
        <v>30.78</v>
      </c>
      <c r="T413" s="17" t="str">
        <f t="shared" si="52"/>
        <v>HUDSON/TECH ST 1514 MASTERCARD-XXXXXX5K8V69-Robert Kolosky</v>
      </c>
      <c r="U413" s="17" t="str">
        <f t="shared" si="53"/>
        <v>Brex Credit Card</v>
      </c>
      <c r="V413" s="19" t="str">
        <f>IF(ISBLANK($B413),"",IF(ISBLANK($K413),IF(_xlfn.XLOOKUP($W413,'Category Mapping'!$C:$C,'Category Mapping'!$B:$B)="Travel",_xlfn.XLOOKUP($P413,'Department Listing'!$A:$A,'Department Listing'!$M:$M),_xlfn.XLOOKUP($W413,'Category Mapping'!$C:$C,'Category Mapping'!$D:$D)),$K413))</f>
        <v>General &amp; Administrative:Office Expenses:</v>
      </c>
      <c r="W413" s="19" t="str">
        <f t="shared" si="54"/>
        <v>Dues &amp; Subscriptions</v>
      </c>
      <c r="X413" s="19" t="str">
        <f t="shared" si="55"/>
        <v>General &amp; Administrative:Office Expenses:Dues &amp; Subscriptions</v>
      </c>
      <c r="Y413" s="20" t="str">
        <f>IF(ISBLANK($M413),IFERROR(_xlfn.XLOOKUP($P413,'Department Listing'!$A:$A,'Department Listing'!$L:$L),""),$M413)</f>
        <v>300- ServiceNow:320- Engineering</v>
      </c>
      <c r="Z413" s="11">
        <f>IF(ISBLANK($B413),"",MATCH($X413,COA!$B:$B,0))</f>
        <v>159</v>
      </c>
    </row>
    <row r="414" spans="2:26" ht="15.75" customHeight="1" x14ac:dyDescent="0.25">
      <c r="B414" s="14">
        <v>46229</v>
      </c>
      <c r="C414" t="s">
        <v>605</v>
      </c>
      <c r="E414" s="23" t="s">
        <v>69</v>
      </c>
      <c r="F414" s="16">
        <v>5207.76</v>
      </c>
      <c r="G414" s="10"/>
      <c r="H414" s="10"/>
      <c r="I414" s="9" t="s">
        <v>70</v>
      </c>
      <c r="J414" s="9"/>
      <c r="K414" s="9"/>
      <c r="L414" s="9" t="s">
        <v>71</v>
      </c>
      <c r="M414" s="9"/>
      <c r="N414" s="17"/>
      <c r="O414" s="17" t="str">
        <f t="shared" si="48"/>
        <v>Eric Rabkin</v>
      </c>
      <c r="P414" s="17">
        <f>IFERROR(_xlfn.XLOOKUP(O414,'Department Listing'!$O$1:$O$395,'Department Listing'!$A$1:$A$395),IFERROR(_xlfn.XLOOKUP(O414,'Name Aliases'!$A$2:$A$1000,'Name Aliases'!$B$2:$B$1000),""))</f>
        <v>246</v>
      </c>
      <c r="Q414" s="18">
        <f t="shared" si="49"/>
        <v>46229</v>
      </c>
      <c r="R414" s="17" t="str">
        <f t="shared" si="50"/>
        <v>Anthropic</v>
      </c>
      <c r="S414" s="19">
        <f t="shared" si="51"/>
        <v>5207.76</v>
      </c>
      <c r="T414" s="17" t="str">
        <f t="shared" si="52"/>
        <v>ANTHROPIC MASTERCARD-XXXXXXZ33KEK-Eric Rabkin</v>
      </c>
      <c r="U414" s="17" t="str">
        <f t="shared" si="53"/>
        <v>Brex Credit Card</v>
      </c>
      <c r="V414" s="19" t="str">
        <f>IF(ISBLANK($B414),"",IF(ISBLANK($K414),IF(_xlfn.XLOOKUP($W414,'Category Mapping'!$C:$C,'Category Mapping'!$B:$B)="Travel",_xlfn.XLOOKUP($P414,'Department Listing'!$A:$A,'Department Listing'!$M:$M),_xlfn.XLOOKUP($W414,'Category Mapping'!$C:$C,'Category Mapping'!$D:$D)),$K414))</f>
        <v>General &amp; Administrative:</v>
      </c>
      <c r="W414" s="19" t="str">
        <f t="shared" si="54"/>
        <v>Software Licenses</v>
      </c>
      <c r="X414" s="19" t="str">
        <f t="shared" si="55"/>
        <v>General &amp; Administrative:Software Licenses</v>
      </c>
      <c r="Y414" s="20" t="str">
        <f>IF(ISBLANK($M414),IFERROR(_xlfn.XLOOKUP($P414,'Department Listing'!$A:$A,'Department Listing'!$L:$L),""),$M414)</f>
        <v>100- Operations:110- G&amp;A</v>
      </c>
      <c r="Z414" s="11">
        <f>IF(ISBLANK($B414),"",MATCH($X414,COA!$B:$B,0))</f>
        <v>170</v>
      </c>
    </row>
    <row r="415" spans="2:26" ht="15.75" customHeight="1" x14ac:dyDescent="0.25">
      <c r="B415" s="14">
        <v>46228</v>
      </c>
      <c r="C415" t="s">
        <v>606</v>
      </c>
      <c r="E415" s="23"/>
      <c r="F415" s="16">
        <v>253.91</v>
      </c>
      <c r="G415" s="10"/>
      <c r="H415" s="10"/>
      <c r="I415" s="9" t="s">
        <v>607</v>
      </c>
      <c r="J415" s="9"/>
      <c r="K415" s="9"/>
      <c r="L415" s="9" t="s">
        <v>155</v>
      </c>
      <c r="M415" s="9"/>
      <c r="N415" s="17"/>
      <c r="O415" s="17" t="str">
        <f t="shared" si="48"/>
        <v>Kyle Bense</v>
      </c>
      <c r="P415" s="17">
        <f>IFERROR(_xlfn.XLOOKUP(O415,'Department Listing'!$O$1:$O$395,'Department Listing'!$A$1:$A$395),IFERROR(_xlfn.XLOOKUP(O415,'Name Aliases'!$A$2:$A$1000,'Name Aliases'!$B$2:$B$1000),""))</f>
        <v>252</v>
      </c>
      <c r="Q415" s="18">
        <f t="shared" si="49"/>
        <v>46228</v>
      </c>
      <c r="R415" s="17" t="str">
        <f t="shared" si="50"/>
        <v>Hotel Vendor</v>
      </c>
      <c r="S415" s="19">
        <f t="shared" si="51"/>
        <v>253.91</v>
      </c>
      <c r="T415" s="17" t="str">
        <f t="shared" si="52"/>
        <v>SPTHOTEL*9089175941394 MASTERCARD-XXXXXX9Y1NSS-Kyle Bense</v>
      </c>
      <c r="U415" s="17" t="str">
        <f t="shared" si="53"/>
        <v>Brex Credit Card</v>
      </c>
      <c r="V415" s="19" t="str">
        <f>IF(ISBLANK($B415),"",IF(ISBLANK($K415),IF(_xlfn.XLOOKUP($W415,'Category Mapping'!$C:$C,'Category Mapping'!$B:$B)="Travel",_xlfn.XLOOKUP($P415,'Department Listing'!$A:$A,'Department Listing'!$M:$M),_xlfn.XLOOKUP($W415,'Category Mapping'!$C:$C,'Category Mapping'!$D:$D)),$K415))</f>
        <v>Cost of Goods Sold:COGS- Travel Expenses:</v>
      </c>
      <c r="W415" s="19" t="str">
        <f t="shared" si="54"/>
        <v>Lodging</v>
      </c>
      <c r="X415" s="19" t="str">
        <f t="shared" si="55"/>
        <v>Cost of Goods Sold:COGS- Travel Expenses:Lodging</v>
      </c>
      <c r="Y415" s="20" t="str">
        <f>IF(ISBLANK($M415),IFERROR(_xlfn.XLOOKUP($P415,'Department Listing'!$A:$A,'Department Listing'!$L:$L),""),$M415)</f>
        <v>300- ServiceNow:320- Engineering</v>
      </c>
      <c r="Z415" s="11">
        <f>IF(ISBLANK($B415),"",MATCH($X415,COA!$B:$B,0))</f>
        <v>125</v>
      </c>
    </row>
    <row r="416" spans="2:26" ht="15.75" customHeight="1" x14ac:dyDescent="0.25">
      <c r="B416" s="14">
        <v>46228</v>
      </c>
      <c r="C416" t="s">
        <v>608</v>
      </c>
      <c r="E416" s="23" t="s">
        <v>69</v>
      </c>
      <c r="F416" s="16">
        <v>322</v>
      </c>
      <c r="G416" s="10"/>
      <c r="H416" s="10"/>
      <c r="I416" s="9" t="s">
        <v>609</v>
      </c>
      <c r="J416" s="9"/>
      <c r="K416" s="9"/>
      <c r="L416" s="9" t="s">
        <v>71</v>
      </c>
      <c r="M416" s="9"/>
      <c r="N416" s="17"/>
      <c r="O416" s="17" t="str">
        <f t="shared" si="48"/>
        <v>Eric Rabkin</v>
      </c>
      <c r="P416" s="17">
        <f>IFERROR(_xlfn.XLOOKUP(O416,'Department Listing'!$O$1:$O$395,'Department Listing'!$A$1:$A$395),IFERROR(_xlfn.XLOOKUP(O416,'Name Aliases'!$A$2:$A$1000,'Name Aliases'!$B$2:$B$1000),""))</f>
        <v>246</v>
      </c>
      <c r="Q416" s="18">
        <f t="shared" si="49"/>
        <v>46228</v>
      </c>
      <c r="R416" s="17" t="str">
        <f t="shared" si="50"/>
        <v>Microsoft</v>
      </c>
      <c r="S416" s="19">
        <f t="shared" si="51"/>
        <v>322</v>
      </c>
      <c r="T416" s="17" t="str">
        <f t="shared" si="52"/>
        <v>Microsoft-G173381905 MASTERCARD-XXXXXXYBRSB6-Eric Rabkin</v>
      </c>
      <c r="U416" s="17" t="str">
        <f t="shared" si="53"/>
        <v>Brex Credit Card</v>
      </c>
      <c r="V416" s="19" t="str">
        <f>IF(ISBLANK($B416),"",IF(ISBLANK($K416),IF(_xlfn.XLOOKUP($W416,'Category Mapping'!$C:$C,'Category Mapping'!$B:$B)="Travel",_xlfn.XLOOKUP($P416,'Department Listing'!$A:$A,'Department Listing'!$M:$M),_xlfn.XLOOKUP($W416,'Category Mapping'!$C:$C,'Category Mapping'!$D:$D)),$K416))</f>
        <v>General &amp; Administrative:</v>
      </c>
      <c r="W416" s="19" t="str">
        <f t="shared" si="54"/>
        <v>Software Licenses</v>
      </c>
      <c r="X416" s="19" t="str">
        <f t="shared" si="55"/>
        <v>General &amp; Administrative:Software Licenses</v>
      </c>
      <c r="Y416" s="20" t="str">
        <f>IF(ISBLANK($M416),IFERROR(_xlfn.XLOOKUP($P416,'Department Listing'!$A:$A,'Department Listing'!$L:$L),""),$M416)</f>
        <v>100- Operations:110- G&amp;A</v>
      </c>
      <c r="Z416" s="11">
        <f>IF(ISBLANK($B416),"",MATCH($X416,COA!$B:$B,0))</f>
        <v>170</v>
      </c>
    </row>
    <row r="417" spans="2:26" ht="15.75" customHeight="1" x14ac:dyDescent="0.25">
      <c r="B417" s="14">
        <v>46228</v>
      </c>
      <c r="C417" t="s">
        <v>610</v>
      </c>
      <c r="E417" s="23" t="s">
        <v>69</v>
      </c>
      <c r="F417" s="16">
        <v>12.75</v>
      </c>
      <c r="G417" s="10"/>
      <c r="H417" s="10"/>
      <c r="I417" s="9" t="s">
        <v>609</v>
      </c>
      <c r="J417" s="9"/>
      <c r="K417" s="9"/>
      <c r="L417" s="9" t="s">
        <v>71</v>
      </c>
      <c r="M417" s="9"/>
      <c r="N417" s="17"/>
      <c r="O417" s="17" t="str">
        <f t="shared" si="48"/>
        <v>Reuben Stump</v>
      </c>
      <c r="P417" s="17">
        <f>IFERROR(_xlfn.XLOOKUP(O417,'Department Listing'!$O$1:$O$395,'Department Listing'!$A$1:$A$395),IFERROR(_xlfn.XLOOKUP(O417,'Name Aliases'!$A$2:$A$1000,'Name Aliases'!$B$2:$B$1000),""))</f>
        <v>10</v>
      </c>
      <c r="Q417" s="18">
        <f t="shared" si="49"/>
        <v>46228</v>
      </c>
      <c r="R417" s="17" t="str">
        <f t="shared" si="50"/>
        <v>Microsoft</v>
      </c>
      <c r="S417" s="19">
        <f t="shared" si="51"/>
        <v>12.75</v>
      </c>
      <c r="T417" s="17" t="str">
        <f t="shared" si="52"/>
        <v>Microsoft-G173331428 MASTERCARD-XXXXXXOWPIAN-Reuben Stump</v>
      </c>
      <c r="U417" s="17" t="str">
        <f t="shared" si="53"/>
        <v>Brex Credit Card</v>
      </c>
      <c r="V417" s="19" t="str">
        <f>IF(ISBLANK($B417),"",IF(ISBLANK($K417),IF(_xlfn.XLOOKUP($W417,'Category Mapping'!$C:$C,'Category Mapping'!$B:$B)="Travel",_xlfn.XLOOKUP($P417,'Department Listing'!$A:$A,'Department Listing'!$M:$M),_xlfn.XLOOKUP($W417,'Category Mapping'!$C:$C,'Category Mapping'!$D:$D)),$K417))</f>
        <v>General &amp; Administrative:</v>
      </c>
      <c r="W417" s="19" t="str">
        <f t="shared" si="54"/>
        <v>Software Licenses</v>
      </c>
      <c r="X417" s="19" t="str">
        <f t="shared" si="55"/>
        <v>General &amp; Administrative:Software Licenses</v>
      </c>
      <c r="Y417" s="20" t="str">
        <f>IF(ISBLANK($M417),IFERROR(_xlfn.XLOOKUP($P417,'Department Listing'!$A:$A,'Department Listing'!$L:$L),""),$M417)</f>
        <v>200- Datadog:220- Engineering</v>
      </c>
      <c r="Z417" s="11">
        <f>IF(ISBLANK($B417),"",MATCH($X417,COA!$B:$B,0))</f>
        <v>170</v>
      </c>
    </row>
    <row r="418" spans="2:26" ht="15.75" customHeight="1" x14ac:dyDescent="0.25">
      <c r="B418" s="14">
        <v>46228</v>
      </c>
      <c r="C418" t="s">
        <v>612</v>
      </c>
      <c r="E418" s="23" t="s">
        <v>69</v>
      </c>
      <c r="F418" s="16">
        <v>70</v>
      </c>
      <c r="G418" s="10"/>
      <c r="H418" s="10"/>
      <c r="I418" s="9" t="s">
        <v>609</v>
      </c>
      <c r="J418" s="9"/>
      <c r="K418" s="9"/>
      <c r="L418" s="9" t="s">
        <v>71</v>
      </c>
      <c r="M418" s="9"/>
      <c r="N418" s="17"/>
      <c r="O418" s="17" t="str">
        <f t="shared" si="48"/>
        <v>Eric Rabkin</v>
      </c>
      <c r="P418" s="17">
        <f>IFERROR(_xlfn.XLOOKUP(O418,'Department Listing'!$O$1:$O$395,'Department Listing'!$A$1:$A$395),IFERROR(_xlfn.XLOOKUP(O418,'Name Aliases'!$A$2:$A$1000,'Name Aliases'!$B$2:$B$1000),""))</f>
        <v>246</v>
      </c>
      <c r="Q418" s="18">
        <f t="shared" si="49"/>
        <v>46228</v>
      </c>
      <c r="R418" s="17" t="str">
        <f t="shared" si="50"/>
        <v>Microsoft</v>
      </c>
      <c r="S418" s="19">
        <f t="shared" si="51"/>
        <v>70</v>
      </c>
      <c r="T418" s="17" t="str">
        <f t="shared" si="52"/>
        <v>Microsoft-G173320361 MASTERCARD-XXXXXXBAP52A-Eric Rabkin</v>
      </c>
      <c r="U418" s="17" t="str">
        <f t="shared" si="53"/>
        <v>Brex Credit Card</v>
      </c>
      <c r="V418" s="19" t="str">
        <f>IF(ISBLANK($B418),"",IF(ISBLANK($K418),IF(_xlfn.XLOOKUP($W418,'Category Mapping'!$C:$C,'Category Mapping'!$B:$B)="Travel",_xlfn.XLOOKUP($P418,'Department Listing'!$A:$A,'Department Listing'!$M:$M),_xlfn.XLOOKUP($W418,'Category Mapping'!$C:$C,'Category Mapping'!$D:$D)),$K418))</f>
        <v>General &amp; Administrative:</v>
      </c>
      <c r="W418" s="19" t="str">
        <f t="shared" si="54"/>
        <v>Software Licenses</v>
      </c>
      <c r="X418" s="19" t="str">
        <f t="shared" si="55"/>
        <v>General &amp; Administrative:Software Licenses</v>
      </c>
      <c r="Y418" s="20" t="str">
        <f>IF(ISBLANK($M418),IFERROR(_xlfn.XLOOKUP($P418,'Department Listing'!$A:$A,'Department Listing'!$L:$L),""),$M418)</f>
        <v>100- Operations:110- G&amp;A</v>
      </c>
      <c r="Z418" s="11">
        <f>IF(ISBLANK($B418),"",MATCH($X418,COA!$B:$B,0))</f>
        <v>170</v>
      </c>
    </row>
    <row r="419" spans="2:26" ht="15.75" customHeight="1" x14ac:dyDescent="0.25">
      <c r="B419" s="14">
        <v>46229</v>
      </c>
      <c r="C419" t="s">
        <v>613</v>
      </c>
      <c r="E419" s="23" t="s">
        <v>64</v>
      </c>
      <c r="F419" s="16">
        <v>11.95</v>
      </c>
      <c r="G419" s="10"/>
      <c r="H419" s="10"/>
      <c r="I419" s="9" t="s">
        <v>74</v>
      </c>
      <c r="J419" s="9"/>
      <c r="K419" s="9"/>
      <c r="L419" s="9" t="s">
        <v>66</v>
      </c>
      <c r="M419" s="9"/>
      <c r="N419" s="17"/>
      <c r="O419" s="17" t="str">
        <f t="shared" si="48"/>
        <v>Anthony Nguyen</v>
      </c>
      <c r="P419" s="17">
        <f>IFERROR(_xlfn.XLOOKUP(O419,'Department Listing'!$O$1:$O$395,'Department Listing'!$A$1:$A$395),IFERROR(_xlfn.XLOOKUP(O419,'Name Aliases'!$A$2:$A$1000,'Name Aliases'!$B$2:$B$1000),""))</f>
        <v>285</v>
      </c>
      <c r="Q419" s="18">
        <f t="shared" si="49"/>
        <v>46229</v>
      </c>
      <c r="R419" s="17" t="str">
        <f t="shared" si="50"/>
        <v>Uber</v>
      </c>
      <c r="S419" s="19">
        <f t="shared" si="51"/>
        <v>11.95</v>
      </c>
      <c r="T419" s="17" t="str">
        <f t="shared" si="52"/>
        <v>UBER   *TRIP MASTERCARD-XXXXXXUDI71M-Anthony Nguyen</v>
      </c>
      <c r="U419" s="17" t="str">
        <f t="shared" si="53"/>
        <v>Brex Credit Card</v>
      </c>
      <c r="V419" s="19" t="str">
        <f>IF(ISBLANK($B419),"",IF(ISBLANK($K419),IF(_xlfn.XLOOKUP($W419,'Category Mapping'!$C:$C,'Category Mapping'!$B:$B)="Travel",_xlfn.XLOOKUP($P419,'Department Listing'!$A:$A,'Department Listing'!$M:$M),_xlfn.XLOOKUP($W419,'Category Mapping'!$C:$C,'Category Mapping'!$D:$D)),$K419))</f>
        <v>Cost of Goods Sold:COGS- Travel Expenses:</v>
      </c>
      <c r="W419" s="19" t="str">
        <f t="shared" si="54"/>
        <v>Ground Transportation</v>
      </c>
      <c r="X419" s="19" t="str">
        <f t="shared" si="55"/>
        <v>Cost of Goods Sold:COGS- Travel Expenses:Ground Transportation</v>
      </c>
      <c r="Y419" s="20" t="str">
        <f>IF(ISBLANK($M419),IFERROR(_xlfn.XLOOKUP($P419,'Department Listing'!$A:$A,'Department Listing'!$L:$L),""),$M419)</f>
        <v>200- Datadog:220- Engineering</v>
      </c>
      <c r="Z419" s="11">
        <f>IF(ISBLANK($B419),"",MATCH($X419,COA!$B:$B,0))</f>
        <v>124</v>
      </c>
    </row>
    <row r="420" spans="2:26" ht="15.75" customHeight="1" x14ac:dyDescent="0.25">
      <c r="B420" s="14">
        <v>46229</v>
      </c>
      <c r="C420" t="s">
        <v>614</v>
      </c>
      <c r="E420" s="23" t="s">
        <v>76</v>
      </c>
      <c r="F420" s="16">
        <v>8.09</v>
      </c>
      <c r="G420" s="10"/>
      <c r="H420" s="10"/>
      <c r="I420" s="9" t="s">
        <v>361</v>
      </c>
      <c r="J420" s="9"/>
      <c r="K420" s="9"/>
      <c r="L420" s="9" t="s">
        <v>78</v>
      </c>
      <c r="M420" s="9"/>
      <c r="N420" s="17"/>
      <c r="O420" s="17" t="str">
        <f t="shared" si="48"/>
        <v>Anthony Nguyen</v>
      </c>
      <c r="P420" s="17">
        <f>IFERROR(_xlfn.XLOOKUP(O420,'Department Listing'!$O$1:$O$395,'Department Listing'!$A$1:$A$395),IFERROR(_xlfn.XLOOKUP(O420,'Name Aliases'!$A$2:$A$1000,'Name Aliases'!$B$2:$B$1000),""))</f>
        <v>285</v>
      </c>
      <c r="Q420" s="18">
        <f t="shared" si="49"/>
        <v>46229</v>
      </c>
      <c r="R420" s="17" t="str">
        <f t="shared" si="50"/>
        <v>Star Market</v>
      </c>
      <c r="S420" s="19">
        <f t="shared" si="51"/>
        <v>8.09</v>
      </c>
      <c r="T420" s="17" t="str">
        <f t="shared" si="52"/>
        <v>STAR MARKET 2576 MASTERCARD-XXXXXXFTF6RH-Anthony Nguyen</v>
      </c>
      <c r="U420" s="17" t="str">
        <f t="shared" si="53"/>
        <v>Brex Credit Card</v>
      </c>
      <c r="V420" s="19" t="str">
        <f>IF(ISBLANK($B420),"",IF(ISBLANK($K420),IF(_xlfn.XLOOKUP($W420,'Category Mapping'!$C:$C,'Category Mapping'!$B:$B)="Travel",_xlfn.XLOOKUP($P420,'Department Listing'!$A:$A,'Department Listing'!$M:$M),_xlfn.XLOOKUP($W420,'Category Mapping'!$C:$C,'Category Mapping'!$D:$D)),$K420))</f>
        <v>Cost of Goods Sold:COGS- Travel Expenses:</v>
      </c>
      <c r="W420" s="19" t="str">
        <f t="shared" si="54"/>
        <v>Meals &amp; Entertainment</v>
      </c>
      <c r="X420" s="19" t="str">
        <f t="shared" si="55"/>
        <v>Cost of Goods Sold:COGS- Travel Expenses:Meals &amp; Entertainment</v>
      </c>
      <c r="Y420" s="20" t="str">
        <f>IF(ISBLANK($M420),IFERROR(_xlfn.XLOOKUP($P420,'Department Listing'!$A:$A,'Department Listing'!$L:$L),""),$M420)</f>
        <v>200- Datadog:220- Engineering</v>
      </c>
      <c r="Z420" s="11">
        <f>IF(ISBLANK($B420),"",MATCH($X420,COA!$B:$B,0))</f>
        <v>126</v>
      </c>
    </row>
    <row r="421" spans="2:26" ht="15.75" customHeight="1" x14ac:dyDescent="0.25">
      <c r="B421" s="14">
        <v>46229</v>
      </c>
      <c r="C421" t="s">
        <v>615</v>
      </c>
      <c r="E421" s="23" t="s">
        <v>76</v>
      </c>
      <c r="F421" s="16">
        <v>19.97</v>
      </c>
      <c r="G421" s="10"/>
      <c r="H421" s="10"/>
      <c r="I421" s="9" t="s">
        <v>361</v>
      </c>
      <c r="J421" s="9"/>
      <c r="K421" s="9"/>
      <c r="L421" s="9" t="s">
        <v>78</v>
      </c>
      <c r="M421" s="9"/>
      <c r="N421" s="17"/>
      <c r="O421" s="17" t="str">
        <f t="shared" si="48"/>
        <v>Jared Kennedy</v>
      </c>
      <c r="P421" s="17">
        <f>IFERROR(_xlfn.XLOOKUP(O421,'Department Listing'!$O$1:$O$395,'Department Listing'!$A$1:$A$395),IFERROR(_xlfn.XLOOKUP(O421,'Name Aliases'!$A$2:$A$1000,'Name Aliases'!$B$2:$B$1000),""))</f>
        <v>289</v>
      </c>
      <c r="Q421" s="18">
        <f t="shared" si="49"/>
        <v>46229</v>
      </c>
      <c r="R421" s="17" t="str">
        <f t="shared" si="50"/>
        <v>Star Market</v>
      </c>
      <c r="S421" s="19">
        <f t="shared" si="51"/>
        <v>19.97</v>
      </c>
      <c r="T421" s="17" t="str">
        <f t="shared" si="52"/>
        <v>STAR MARKET 2576 MASTERCARD-XXXXXX9DX9CG-Jared Kennedy</v>
      </c>
      <c r="U421" s="17" t="str">
        <f t="shared" si="53"/>
        <v>Brex Credit Card</v>
      </c>
      <c r="V421" s="19" t="str">
        <f>IF(ISBLANK($B421),"",IF(ISBLANK($K421),IF(_xlfn.XLOOKUP($W421,'Category Mapping'!$C:$C,'Category Mapping'!$B:$B)="Travel",_xlfn.XLOOKUP($P421,'Department Listing'!$A:$A,'Department Listing'!$M:$M),_xlfn.XLOOKUP($W421,'Category Mapping'!$C:$C,'Category Mapping'!$D:$D)),$K421))</f>
        <v>Sales &amp; Marketing:Sales &amp; Marketing- Travel Expenses:</v>
      </c>
      <c r="W421" s="19" t="str">
        <f t="shared" si="54"/>
        <v>Meals &amp; Entertainment</v>
      </c>
      <c r="X421" s="19" t="str">
        <f t="shared" si="55"/>
        <v>Sales &amp; Marketing:Sales &amp; Marketing- Travel Expenses:Meals &amp; Entertainment</v>
      </c>
      <c r="Y421" s="20" t="str">
        <f>IF(ISBLANK($M421),IFERROR(_xlfn.XLOOKUP($P421,'Department Listing'!$A:$A,'Department Listing'!$L:$L),""),$M421)</f>
        <v>200- Datadog:230- Sales</v>
      </c>
      <c r="Z421" s="11">
        <f>IF(ISBLANK($B421),"",MATCH($X421,COA!$B:$B,0))</f>
        <v>202</v>
      </c>
    </row>
    <row r="422" spans="2:26" ht="15.75" customHeight="1" x14ac:dyDescent="0.25">
      <c r="B422" s="14">
        <v>46228</v>
      </c>
      <c r="C422" t="s">
        <v>616</v>
      </c>
      <c r="E422" s="23" t="s">
        <v>76</v>
      </c>
      <c r="F422" s="16">
        <v>254.53</v>
      </c>
      <c r="G422" s="10"/>
      <c r="H422" s="10"/>
      <c r="I422" s="9" t="s">
        <v>36</v>
      </c>
      <c r="J422" s="9"/>
      <c r="K422" s="9"/>
      <c r="L422" s="9" t="s">
        <v>78</v>
      </c>
      <c r="M422" s="9"/>
      <c r="N422" s="17"/>
      <c r="O422" s="17" t="str">
        <f t="shared" si="48"/>
        <v>James Dean</v>
      </c>
      <c r="P422" s="17">
        <f>IFERROR(_xlfn.XLOOKUP(O422,'Department Listing'!$O$1:$O$395,'Department Listing'!$A$1:$A$395),IFERROR(_xlfn.XLOOKUP(O422,'Name Aliases'!$A$2:$A$1000,'Name Aliases'!$B$2:$B$1000),""))</f>
        <v>270</v>
      </c>
      <c r="Q422" s="18">
        <f t="shared" si="49"/>
        <v>46228</v>
      </c>
      <c r="R422" s="17" t="str">
        <f t="shared" si="50"/>
        <v>Food Vendor</v>
      </c>
      <c r="S422" s="19">
        <f t="shared" si="51"/>
        <v>254.53</v>
      </c>
      <c r="T422" s="17" t="str">
        <f t="shared" si="52"/>
        <v>TST*SWEET CHEEKS Q MASTERCARD-XXXXXXHBBGS2-James Dean</v>
      </c>
      <c r="U422" s="17" t="str">
        <f t="shared" si="53"/>
        <v>Brex Credit Card</v>
      </c>
      <c r="V422" s="19" t="str">
        <f>IF(ISBLANK($B422),"",IF(ISBLANK($K422),IF(_xlfn.XLOOKUP($W422,'Category Mapping'!$C:$C,'Category Mapping'!$B:$B)="Travel",_xlfn.XLOOKUP($P422,'Department Listing'!$A:$A,'Department Listing'!$M:$M),_xlfn.XLOOKUP($W422,'Category Mapping'!$C:$C,'Category Mapping'!$D:$D)),$K422))</f>
        <v>Sales &amp; Marketing:Sales &amp; Marketing- Travel Expenses:</v>
      </c>
      <c r="W422" s="19" t="str">
        <f t="shared" si="54"/>
        <v>Meals &amp; Entertainment</v>
      </c>
      <c r="X422" s="19" t="str">
        <f t="shared" si="55"/>
        <v>Sales &amp; Marketing:Sales &amp; Marketing- Travel Expenses:Meals &amp; Entertainment</v>
      </c>
      <c r="Y422" s="20" t="str">
        <f>IF(ISBLANK($M422),IFERROR(_xlfn.XLOOKUP($P422,'Department Listing'!$A:$A,'Department Listing'!$L:$L),""),$M422)</f>
        <v>200- Datadog:230- Sales</v>
      </c>
      <c r="Z422" s="11">
        <f>IF(ISBLANK($B422),"",MATCH($X422,COA!$B:$B,0))</f>
        <v>202</v>
      </c>
    </row>
    <row r="423" spans="2:26" ht="15.75" customHeight="1" x14ac:dyDescent="0.25">
      <c r="B423" s="14">
        <v>46229</v>
      </c>
      <c r="C423" t="s">
        <v>617</v>
      </c>
      <c r="E423" s="23" t="s">
        <v>64</v>
      </c>
      <c r="F423" s="16">
        <v>9.07</v>
      </c>
      <c r="G423" s="10"/>
      <c r="H423" s="10"/>
      <c r="I423" s="9" t="s">
        <v>74</v>
      </c>
      <c r="J423" s="9"/>
      <c r="K423" s="9"/>
      <c r="L423" s="9" t="s">
        <v>66</v>
      </c>
      <c r="M423" s="9"/>
      <c r="N423" s="17"/>
      <c r="O423" s="17" t="str">
        <f t="shared" si="48"/>
        <v>James Dean</v>
      </c>
      <c r="P423" s="17">
        <f>IFERROR(_xlfn.XLOOKUP(O423,'Department Listing'!$O$1:$O$395,'Department Listing'!$A$1:$A$395),IFERROR(_xlfn.XLOOKUP(O423,'Name Aliases'!$A$2:$A$1000,'Name Aliases'!$B$2:$B$1000),""))</f>
        <v>270</v>
      </c>
      <c r="Q423" s="18">
        <f t="shared" si="49"/>
        <v>46229</v>
      </c>
      <c r="R423" s="17" t="str">
        <f t="shared" si="50"/>
        <v>Uber</v>
      </c>
      <c r="S423" s="19">
        <f t="shared" si="51"/>
        <v>9.07</v>
      </c>
      <c r="T423" s="17" t="str">
        <f t="shared" si="52"/>
        <v>UBER   *TRIP MASTERCARD-XXXXXXIO6VLI-James Dean</v>
      </c>
      <c r="U423" s="17" t="str">
        <f t="shared" si="53"/>
        <v>Brex Credit Card</v>
      </c>
      <c r="V423" s="19" t="str">
        <f>IF(ISBLANK($B423),"",IF(ISBLANK($K423),IF(_xlfn.XLOOKUP($W423,'Category Mapping'!$C:$C,'Category Mapping'!$B:$B)="Travel",_xlfn.XLOOKUP($P423,'Department Listing'!$A:$A,'Department Listing'!$M:$M),_xlfn.XLOOKUP($W423,'Category Mapping'!$C:$C,'Category Mapping'!$D:$D)),$K423))</f>
        <v>Sales &amp; Marketing:Sales &amp; Marketing- Travel Expenses:</v>
      </c>
      <c r="W423" s="19" t="str">
        <f t="shared" si="54"/>
        <v>Ground Transportation</v>
      </c>
      <c r="X423" s="19" t="str">
        <f t="shared" si="55"/>
        <v>Sales &amp; Marketing:Sales &amp; Marketing- Travel Expenses:Ground Transportation</v>
      </c>
      <c r="Y423" s="20" t="str">
        <f>IF(ISBLANK($M423),IFERROR(_xlfn.XLOOKUP($P423,'Department Listing'!$A:$A,'Department Listing'!$L:$L),""),$M423)</f>
        <v>200- Datadog:230- Sales</v>
      </c>
      <c r="Z423" s="11">
        <f>IF(ISBLANK($B423),"",MATCH($X423,COA!$B:$B,0))</f>
        <v>200</v>
      </c>
    </row>
    <row r="424" spans="2:26" ht="15.75" customHeight="1" x14ac:dyDescent="0.25">
      <c r="B424" s="14">
        <v>46228</v>
      </c>
      <c r="C424" t="s">
        <v>618</v>
      </c>
      <c r="E424" s="23" t="s">
        <v>64</v>
      </c>
      <c r="F424" s="16">
        <v>39.79</v>
      </c>
      <c r="G424" s="10"/>
      <c r="H424" s="10"/>
      <c r="I424" s="9" t="s">
        <v>74</v>
      </c>
      <c r="J424" s="9"/>
      <c r="K424" s="9"/>
      <c r="L424" s="9" t="s">
        <v>66</v>
      </c>
      <c r="M424" s="9"/>
      <c r="N424" s="17"/>
      <c r="O424" s="17" t="str">
        <f t="shared" si="48"/>
        <v>Brianne Gallagher</v>
      </c>
      <c r="P424" s="17">
        <f>IFERROR(_xlfn.XLOOKUP(O424,'Department Listing'!$O$1:$O$395,'Department Listing'!$A$1:$A$395),IFERROR(_xlfn.XLOOKUP(O424,'Name Aliases'!$A$2:$A$1000,'Name Aliases'!$B$2:$B$1000),""))</f>
        <v>240</v>
      </c>
      <c r="Q424" s="18">
        <f t="shared" si="49"/>
        <v>46228</v>
      </c>
      <c r="R424" s="17" t="str">
        <f t="shared" si="50"/>
        <v>Uber</v>
      </c>
      <c r="S424" s="19">
        <f t="shared" si="51"/>
        <v>39.79</v>
      </c>
      <c r="T424" s="17" t="str">
        <f t="shared" si="52"/>
        <v>UBER *EATS HELP.UBER.C MASTERCARD-XXXXXXVHB95S-Brianne Gallagher</v>
      </c>
      <c r="U424" s="17" t="str">
        <f t="shared" si="53"/>
        <v>Brex Credit Card</v>
      </c>
      <c r="V424" s="19" t="str">
        <f>IF(ISBLANK($B424),"",IF(ISBLANK($K424),IF(_xlfn.XLOOKUP($W424,'Category Mapping'!$C:$C,'Category Mapping'!$B:$B)="Travel",_xlfn.XLOOKUP($P424,'Department Listing'!$A:$A,'Department Listing'!$M:$M),_xlfn.XLOOKUP($W424,'Category Mapping'!$C:$C,'Category Mapping'!$D:$D)),$K424))</f>
        <v>Cost of Goods Sold:COGS- Travel Expenses:</v>
      </c>
      <c r="W424" s="19" t="str">
        <f t="shared" si="54"/>
        <v>Ground Transportation</v>
      </c>
      <c r="X424" s="19" t="str">
        <f t="shared" si="55"/>
        <v>Cost of Goods Sold:COGS- Travel Expenses:Ground Transportation</v>
      </c>
      <c r="Y424" s="20" t="str">
        <f>IF(ISBLANK($M424),IFERROR(_xlfn.XLOOKUP($P424,'Department Listing'!$A:$A,'Department Listing'!$L:$L),""),$M424)</f>
        <v>300- ServiceNow:320- Engineering</v>
      </c>
      <c r="Z424" s="11">
        <f>IF(ISBLANK($B424),"",MATCH($X424,COA!$B:$B,0))</f>
        <v>124</v>
      </c>
    </row>
    <row r="425" spans="2:26" ht="15.75" customHeight="1" x14ac:dyDescent="0.25">
      <c r="B425" s="14">
        <v>46228</v>
      </c>
      <c r="C425" t="s">
        <v>619</v>
      </c>
      <c r="E425" s="23"/>
      <c r="F425" s="16">
        <v>30</v>
      </c>
      <c r="G425" s="10"/>
      <c r="H425" s="10"/>
      <c r="I425" s="9" t="s">
        <v>36</v>
      </c>
      <c r="J425" s="9"/>
      <c r="K425" s="22"/>
      <c r="L425" s="22" t="s">
        <v>78</v>
      </c>
      <c r="M425" s="22"/>
      <c r="N425" s="17"/>
      <c r="O425" s="17" t="str">
        <f t="shared" si="48"/>
        <v>Jared Kennedy</v>
      </c>
      <c r="P425" s="17">
        <f>IFERROR(_xlfn.XLOOKUP(O425,'Department Listing'!$O$1:$O$395,'Department Listing'!$A$1:$A$395),IFERROR(_xlfn.XLOOKUP(O425,'Name Aliases'!$A$2:$A$1000,'Name Aliases'!$B$2:$B$1000),""))</f>
        <v>289</v>
      </c>
      <c r="Q425" s="18">
        <f t="shared" si="49"/>
        <v>46228</v>
      </c>
      <c r="R425" s="17" t="str">
        <f t="shared" si="50"/>
        <v>Food Vendor</v>
      </c>
      <c r="S425" s="19">
        <f t="shared" si="51"/>
        <v>30</v>
      </c>
      <c r="T425" s="17" t="str">
        <f t="shared" si="52"/>
        <v>SQ *PRUDENTIAL CENTER MASTERCARD-XXXXXXT7NOLF-Jared Kennedy</v>
      </c>
      <c r="U425" s="17" t="str">
        <f t="shared" si="53"/>
        <v>Brex Credit Card</v>
      </c>
      <c r="V425" s="19" t="str">
        <f>IF(ISBLANK($B425),"",IF(ISBLANK($K425),IF(_xlfn.XLOOKUP($W425,'Category Mapping'!$C:$C,'Category Mapping'!$B:$B)="Travel",_xlfn.XLOOKUP($P425,'Department Listing'!$A:$A,'Department Listing'!$M:$M),_xlfn.XLOOKUP($W425,'Category Mapping'!$C:$C,'Category Mapping'!$D:$D)),$K425))</f>
        <v>Sales &amp; Marketing:Sales &amp; Marketing- Travel Expenses:</v>
      </c>
      <c r="W425" s="19" t="str">
        <f t="shared" si="54"/>
        <v>Meals &amp; Entertainment</v>
      </c>
      <c r="X425" s="19" t="str">
        <f t="shared" si="55"/>
        <v>Sales &amp; Marketing:Sales &amp; Marketing- Travel Expenses:Meals &amp; Entertainment</v>
      </c>
      <c r="Y425" s="20" t="str">
        <f>IF(ISBLANK($M425),IFERROR(_xlfn.XLOOKUP($P425,'Department Listing'!$A:$A,'Department Listing'!$L:$L),""),$M425)</f>
        <v>200- Datadog:230- Sales</v>
      </c>
      <c r="Z425" s="11">
        <f>IF(ISBLANK($B425),"",MATCH($X425,COA!$B:$B,0))</f>
        <v>202</v>
      </c>
    </row>
    <row r="426" spans="2:26" ht="15.75" customHeight="1" x14ac:dyDescent="0.25">
      <c r="B426" s="14">
        <v>46228</v>
      </c>
      <c r="C426" t="s">
        <v>620</v>
      </c>
      <c r="E426" s="23" t="s">
        <v>64</v>
      </c>
      <c r="F426" s="16">
        <v>50</v>
      </c>
      <c r="G426" s="10"/>
      <c r="H426" s="10"/>
      <c r="I426" s="9" t="s">
        <v>74</v>
      </c>
      <c r="J426" s="9"/>
      <c r="K426" s="22"/>
      <c r="L426" s="22" t="s">
        <v>66</v>
      </c>
      <c r="M426" s="22"/>
      <c r="N426" s="17"/>
      <c r="O426" s="17" t="str">
        <f t="shared" si="48"/>
        <v>Mickenzi Krpec</v>
      </c>
      <c r="P426" s="17">
        <f>IFERROR(_xlfn.XLOOKUP(O426,'Department Listing'!$O$1:$O$395,'Department Listing'!$A$1:$A$395),IFERROR(_xlfn.XLOOKUP(O426,'Name Aliases'!$A$2:$A$1000,'Name Aliases'!$B$2:$B$1000),""))</f>
        <v>170</v>
      </c>
      <c r="Q426" s="18">
        <f t="shared" si="49"/>
        <v>46228</v>
      </c>
      <c r="R426" s="17" t="str">
        <f t="shared" si="50"/>
        <v>Uber</v>
      </c>
      <c r="S426" s="19">
        <f t="shared" si="51"/>
        <v>50</v>
      </c>
      <c r="T426" s="17" t="str">
        <f t="shared" si="52"/>
        <v>UBER   *EATS MASTERCARD-XXXXXXMUU79J-Mickenzi Krpec</v>
      </c>
      <c r="U426" s="17" t="str">
        <f t="shared" si="53"/>
        <v>Brex Credit Card</v>
      </c>
      <c r="V426" s="19" t="str">
        <f>IF(ISBLANK($B426),"",IF(ISBLANK($K426),IF(_xlfn.XLOOKUP($W426,'Category Mapping'!$C:$C,'Category Mapping'!$B:$B)="Travel",_xlfn.XLOOKUP($P426,'Department Listing'!$A:$A,'Department Listing'!$M:$M),_xlfn.XLOOKUP($W426,'Category Mapping'!$C:$C,'Category Mapping'!$D:$D)),$K426))</f>
        <v>General &amp; Administrative:G&amp;A- Travel Expenses:</v>
      </c>
      <c r="W426" s="19" t="str">
        <f t="shared" si="54"/>
        <v>Ground Transportation</v>
      </c>
      <c r="X426" s="19" t="str">
        <f t="shared" si="55"/>
        <v>General &amp; Administrative:G&amp;A- Travel Expenses:Ground Transportation</v>
      </c>
      <c r="Y426" s="20" t="str">
        <f>IF(ISBLANK($M426),IFERROR(_xlfn.XLOOKUP($P426,'Department Listing'!$A:$A,'Department Listing'!$L:$L),""),$M426)</f>
        <v>100- Operations:110- G&amp;A</v>
      </c>
      <c r="Z426" s="11">
        <f>IF(ISBLANK($B426),"",MATCH($X426,COA!$B:$B,0))</f>
        <v>149</v>
      </c>
    </row>
    <row r="427" spans="2:26" ht="15.75" customHeight="1" x14ac:dyDescent="0.25">
      <c r="B427" s="14">
        <v>46228</v>
      </c>
      <c r="C427" t="s">
        <v>621</v>
      </c>
      <c r="E427" s="23" t="s">
        <v>408</v>
      </c>
      <c r="F427" s="16">
        <v>0.02</v>
      </c>
      <c r="G427" s="10"/>
      <c r="H427" s="10"/>
      <c r="I427" s="9" t="s">
        <v>622</v>
      </c>
      <c r="J427" s="9"/>
      <c r="K427" s="9"/>
      <c r="L427" s="9" t="s">
        <v>410</v>
      </c>
      <c r="M427" s="9"/>
      <c r="N427" s="17"/>
      <c r="O427" s="17" t="str">
        <f t="shared" si="48"/>
        <v>Ayla Hourani</v>
      </c>
      <c r="P427" s="17">
        <f>IFERROR(_xlfn.XLOOKUP(O427,'Department Listing'!$O$1:$O$395,'Department Listing'!$A$1:$A$395),IFERROR(_xlfn.XLOOKUP(O427,'Name Aliases'!$A$2:$A$1000,'Name Aliases'!$B$2:$B$1000),""))</f>
        <v>133</v>
      </c>
      <c r="Q427" s="18">
        <f t="shared" si="49"/>
        <v>46228</v>
      </c>
      <c r="R427" s="17" t="str">
        <f t="shared" si="50"/>
        <v>Aylab DE</v>
      </c>
      <c r="S427" s="19">
        <f t="shared" si="51"/>
        <v>0.02</v>
      </c>
      <c r="T427" s="17" t="str">
        <f t="shared" si="52"/>
        <v>PAIR Finance GmbH MASTERCARD-XXXXXXYLRFH4-Ayla Hourani</v>
      </c>
      <c r="U427" s="17" t="str">
        <f t="shared" si="53"/>
        <v>Brex Credit Card</v>
      </c>
      <c r="V427" s="19" t="str">
        <f>IF(ISBLANK($B427),"",IF(ISBLANK($K427),IF(_xlfn.XLOOKUP($W427,'Category Mapping'!$C:$C,'Category Mapping'!$B:$B)="Travel",_xlfn.XLOOKUP($P427,'Department Listing'!$A:$A,'Department Listing'!$M:$M),_xlfn.XLOOKUP($W427,'Category Mapping'!$C:$C,'Category Mapping'!$D:$D)),$K427))</f>
        <v>Sales &amp; Marketing:Marketing Expenses:</v>
      </c>
      <c r="W427" s="19" t="str">
        <f t="shared" si="54"/>
        <v>Other Marketing Expenses</v>
      </c>
      <c r="X427" s="19" t="str">
        <f t="shared" si="55"/>
        <v>Sales &amp; Marketing:Marketing Expenses:Other Marketing Expenses</v>
      </c>
      <c r="Y427" s="20" t="str">
        <f>IF(ISBLANK($M427),IFERROR(_xlfn.XLOOKUP($P427,'Department Listing'!$A:$A,'Department Listing'!$L:$L),""),$M427)</f>
        <v>100- Operations:120- Marketing</v>
      </c>
      <c r="Z427" s="11">
        <f>IF(ISBLANK($B427),"",MATCH($X427,COA!$B:$B,0))</f>
        <v>187</v>
      </c>
    </row>
    <row r="428" spans="2:26" ht="15.75" customHeight="1" x14ac:dyDescent="0.25">
      <c r="B428" s="14">
        <v>46228</v>
      </c>
      <c r="C428" t="s">
        <v>623</v>
      </c>
      <c r="E428" s="23" t="s">
        <v>408</v>
      </c>
      <c r="F428" s="16">
        <v>31.53</v>
      </c>
      <c r="G428" s="10"/>
      <c r="H428" s="10"/>
      <c r="I428" s="9" t="s">
        <v>622</v>
      </c>
      <c r="J428" s="9"/>
      <c r="K428" s="9"/>
      <c r="L428" s="9" t="s">
        <v>410</v>
      </c>
      <c r="M428" s="9"/>
      <c r="N428" s="17"/>
      <c r="O428" s="17" t="str">
        <f t="shared" si="48"/>
        <v>Ayla Hourani</v>
      </c>
      <c r="P428" s="17">
        <f>IFERROR(_xlfn.XLOOKUP(O428,'Department Listing'!$O$1:$O$395,'Department Listing'!$A$1:$A$395),IFERROR(_xlfn.XLOOKUP(O428,'Name Aliases'!$A$2:$A$1000,'Name Aliases'!$B$2:$B$1000),""))</f>
        <v>133</v>
      </c>
      <c r="Q428" s="18">
        <f t="shared" si="49"/>
        <v>46228</v>
      </c>
      <c r="R428" s="17" t="str">
        <f t="shared" si="50"/>
        <v>Aylab DE</v>
      </c>
      <c r="S428" s="19">
        <f t="shared" si="51"/>
        <v>31.53</v>
      </c>
      <c r="T428" s="17" t="str">
        <f t="shared" si="52"/>
        <v>PAIR Finance GmbH MASTERCARD-XXXXXXKM8JG6-Ayla Hourani</v>
      </c>
      <c r="U428" s="17" t="str">
        <f t="shared" si="53"/>
        <v>Brex Credit Card</v>
      </c>
      <c r="V428" s="19" t="str">
        <f>IF(ISBLANK($B428),"",IF(ISBLANK($K428),IF(_xlfn.XLOOKUP($W428,'Category Mapping'!$C:$C,'Category Mapping'!$B:$B)="Travel",_xlfn.XLOOKUP($P428,'Department Listing'!$A:$A,'Department Listing'!$M:$M),_xlfn.XLOOKUP($W428,'Category Mapping'!$C:$C,'Category Mapping'!$D:$D)),$K428))</f>
        <v>Sales &amp; Marketing:Marketing Expenses:</v>
      </c>
      <c r="W428" s="19" t="str">
        <f t="shared" si="54"/>
        <v>Other Marketing Expenses</v>
      </c>
      <c r="X428" s="19" t="str">
        <f t="shared" si="55"/>
        <v>Sales &amp; Marketing:Marketing Expenses:Other Marketing Expenses</v>
      </c>
      <c r="Y428" s="20" t="str">
        <f>IF(ISBLANK($M428),IFERROR(_xlfn.XLOOKUP($P428,'Department Listing'!$A:$A,'Department Listing'!$L:$L),""),$M428)</f>
        <v>100- Operations:120- Marketing</v>
      </c>
      <c r="Z428" s="11">
        <f>IF(ISBLANK($B428),"",MATCH($X428,COA!$B:$B,0))</f>
        <v>187</v>
      </c>
    </row>
    <row r="429" spans="2:26" ht="15.75" customHeight="1" x14ac:dyDescent="0.25">
      <c r="B429" s="14">
        <v>46228</v>
      </c>
      <c r="C429" t="s">
        <v>624</v>
      </c>
      <c r="E429" s="23"/>
      <c r="F429" s="16">
        <v>809.81</v>
      </c>
      <c r="G429" s="10"/>
      <c r="H429" s="10"/>
      <c r="I429" s="9" t="s">
        <v>625</v>
      </c>
      <c r="J429" s="9"/>
      <c r="K429" s="22"/>
      <c r="L429" s="22" t="s">
        <v>165</v>
      </c>
      <c r="M429" s="22"/>
      <c r="N429" s="17"/>
      <c r="O429" s="17" t="str">
        <f t="shared" si="48"/>
        <v>Mickenzi Krpec</v>
      </c>
      <c r="P429" s="17">
        <f>IFERROR(_xlfn.XLOOKUP(O429,'Department Listing'!$O$1:$O$395,'Department Listing'!$A$1:$A$395),IFERROR(_xlfn.XLOOKUP(O429,'Name Aliases'!$A$2:$A$1000,'Name Aliases'!$B$2:$B$1000),""))</f>
        <v>170</v>
      </c>
      <c r="Q429" s="18">
        <f t="shared" si="49"/>
        <v>46228</v>
      </c>
      <c r="R429" s="17" t="str">
        <f t="shared" si="50"/>
        <v>American Airlines</v>
      </c>
      <c r="S429" s="19">
        <f t="shared" si="51"/>
        <v>809.81</v>
      </c>
      <c r="T429" s="17" t="str">
        <f t="shared" si="52"/>
        <v>AMERICAN MASTERCARD-XXXXXXAEI03U-Mickenzi Krpec</v>
      </c>
      <c r="U429" s="17" t="str">
        <f t="shared" si="53"/>
        <v>Brex Credit Card</v>
      </c>
      <c r="V429" s="19" t="str">
        <f>IF(ISBLANK($B429),"",IF(ISBLANK($K429),IF(_xlfn.XLOOKUP($W429,'Category Mapping'!$C:$C,'Category Mapping'!$B:$B)="Travel",_xlfn.XLOOKUP($P429,'Department Listing'!$A:$A,'Department Listing'!$M:$M),_xlfn.XLOOKUP($W429,'Category Mapping'!$C:$C,'Category Mapping'!$D:$D)),$K429))</f>
        <v>General &amp; Administrative:G&amp;A- Travel Expenses:</v>
      </c>
      <c r="W429" s="19" t="str">
        <f t="shared" si="54"/>
        <v>Airfare</v>
      </c>
      <c r="X429" s="19" t="str">
        <f t="shared" si="55"/>
        <v>General &amp; Administrative:G&amp;A- Travel Expenses:Airfare</v>
      </c>
      <c r="Y429" s="20" t="str">
        <f>IF(ISBLANK($M429),IFERROR(_xlfn.XLOOKUP($P429,'Department Listing'!$A:$A,'Department Listing'!$L:$L),""),$M429)</f>
        <v>100- Operations:110- G&amp;A</v>
      </c>
      <c r="Z429" s="11">
        <f>IF(ISBLANK($B429),"",MATCH($X429,COA!$B:$B,0))</f>
        <v>148</v>
      </c>
    </row>
    <row r="430" spans="2:26" ht="15.75" customHeight="1" x14ac:dyDescent="0.25">
      <c r="B430" s="14">
        <v>46228</v>
      </c>
      <c r="C430" t="s">
        <v>626</v>
      </c>
      <c r="E430" s="23"/>
      <c r="F430" s="16">
        <v>550.6</v>
      </c>
      <c r="G430" s="10"/>
      <c r="H430" s="10"/>
      <c r="I430" s="9" t="s">
        <v>36</v>
      </c>
      <c r="J430" s="9"/>
      <c r="K430" s="22"/>
      <c r="L430" s="22" t="s">
        <v>78</v>
      </c>
      <c r="M430" s="22"/>
      <c r="N430" s="17"/>
      <c r="O430" s="17" t="str">
        <f t="shared" si="48"/>
        <v>Mickenzi Krpec</v>
      </c>
      <c r="P430" s="17">
        <f>IFERROR(_xlfn.XLOOKUP(O430,'Department Listing'!$O$1:$O$395,'Department Listing'!$A$1:$A$395),IFERROR(_xlfn.XLOOKUP(O430,'Name Aliases'!$A$2:$A$1000,'Name Aliases'!$B$2:$B$1000),""))</f>
        <v>170</v>
      </c>
      <c r="Q430" s="18">
        <f t="shared" si="49"/>
        <v>46228</v>
      </c>
      <c r="R430" s="17" t="str">
        <f t="shared" si="50"/>
        <v>Food Vendor</v>
      </c>
      <c r="S430" s="19">
        <f t="shared" si="51"/>
        <v>550.6</v>
      </c>
      <c r="T430" s="17" t="str">
        <f t="shared" si="52"/>
        <v>SQ *BRICK STREET BAGEL MASTERCARD-XXXXXXXVFQM6-Mickenzi Krpec</v>
      </c>
      <c r="U430" s="17" t="str">
        <f t="shared" si="53"/>
        <v>Brex Credit Card</v>
      </c>
      <c r="V430" s="19" t="str">
        <f>IF(ISBLANK($B430),"",IF(ISBLANK($K430),IF(_xlfn.XLOOKUP($W430,'Category Mapping'!$C:$C,'Category Mapping'!$B:$B)="Travel",_xlfn.XLOOKUP($P430,'Department Listing'!$A:$A,'Department Listing'!$M:$M),_xlfn.XLOOKUP($W430,'Category Mapping'!$C:$C,'Category Mapping'!$D:$D)),$K430))</f>
        <v>General &amp; Administrative:G&amp;A- Travel Expenses:</v>
      </c>
      <c r="W430" s="19" t="str">
        <f t="shared" si="54"/>
        <v>Meals &amp; Entertainment</v>
      </c>
      <c r="X430" s="19" t="str">
        <f t="shared" si="55"/>
        <v>General &amp; Administrative:G&amp;A- Travel Expenses:Meals &amp; Entertainment</v>
      </c>
      <c r="Y430" s="20" t="str">
        <f>IF(ISBLANK($M430),IFERROR(_xlfn.XLOOKUP($P430,'Department Listing'!$A:$A,'Department Listing'!$L:$L),""),$M430)</f>
        <v>100- Operations:110- G&amp;A</v>
      </c>
      <c r="Z430" s="11">
        <f>IF(ISBLANK($B430),"",MATCH($X430,COA!$B:$B,0))</f>
        <v>151</v>
      </c>
    </row>
    <row r="431" spans="2:26" ht="15.75" customHeight="1" x14ac:dyDescent="0.25">
      <c r="B431" s="14">
        <v>46228</v>
      </c>
      <c r="C431" t="s">
        <v>627</v>
      </c>
      <c r="E431" s="23" t="s">
        <v>76</v>
      </c>
      <c r="F431" s="16">
        <v>32.630000000000003</v>
      </c>
      <c r="G431" s="10"/>
      <c r="H431" s="10"/>
      <c r="I431" s="9" t="s">
        <v>36</v>
      </c>
      <c r="J431" s="9"/>
      <c r="K431" s="22"/>
      <c r="L431" s="22" t="s">
        <v>78</v>
      </c>
      <c r="M431" s="22"/>
      <c r="N431" s="17"/>
      <c r="O431" s="17" t="str">
        <f t="shared" si="48"/>
        <v>Anthony Nguyen</v>
      </c>
      <c r="P431" s="17">
        <f>IFERROR(_xlfn.XLOOKUP(O431,'Department Listing'!$O$1:$O$395,'Department Listing'!$A$1:$A$395),IFERROR(_xlfn.XLOOKUP(O431,'Name Aliases'!$A$2:$A$1000,'Name Aliases'!$B$2:$B$1000),""))</f>
        <v>285</v>
      </c>
      <c r="Q431" s="18">
        <f t="shared" si="49"/>
        <v>46228</v>
      </c>
      <c r="R431" s="17" t="str">
        <f t="shared" si="50"/>
        <v>Food Vendor</v>
      </c>
      <c r="S431" s="19">
        <f t="shared" si="51"/>
        <v>32.630000000000003</v>
      </c>
      <c r="T431" s="17" t="str">
        <f t="shared" si="52"/>
        <v>TST*NIGHTSHIFT - BEER MASTERCARD-XXXXXXYKPRIN-Anthony Nguyen</v>
      </c>
      <c r="U431" s="17" t="str">
        <f t="shared" si="53"/>
        <v>Brex Credit Card</v>
      </c>
      <c r="V431" s="19" t="str">
        <f>IF(ISBLANK($B431),"",IF(ISBLANK($K431),IF(_xlfn.XLOOKUP($W431,'Category Mapping'!$C:$C,'Category Mapping'!$B:$B)="Travel",_xlfn.XLOOKUP($P431,'Department Listing'!$A:$A,'Department Listing'!$M:$M),_xlfn.XLOOKUP($W431,'Category Mapping'!$C:$C,'Category Mapping'!$D:$D)),$K431))</f>
        <v>Cost of Goods Sold:COGS- Travel Expenses:</v>
      </c>
      <c r="W431" s="19" t="str">
        <f t="shared" si="54"/>
        <v>Meals &amp; Entertainment</v>
      </c>
      <c r="X431" s="19" t="str">
        <f t="shared" si="55"/>
        <v>Cost of Goods Sold:COGS- Travel Expenses:Meals &amp; Entertainment</v>
      </c>
      <c r="Y431" s="20" t="str">
        <f>IF(ISBLANK($M431),IFERROR(_xlfn.XLOOKUP($P431,'Department Listing'!$A:$A,'Department Listing'!$L:$L),""),$M431)</f>
        <v>200- Datadog:220- Engineering</v>
      </c>
      <c r="Z431" s="11">
        <f>IF(ISBLANK($B431),"",MATCH($X431,COA!$B:$B,0))</f>
        <v>126</v>
      </c>
    </row>
    <row r="432" spans="2:26" ht="15.75" customHeight="1" x14ac:dyDescent="0.25">
      <c r="B432" s="14">
        <v>46228</v>
      </c>
      <c r="C432" t="s">
        <v>628</v>
      </c>
      <c r="E432" s="23" t="s">
        <v>64</v>
      </c>
      <c r="F432" s="16">
        <v>861.71</v>
      </c>
      <c r="G432" s="10"/>
      <c r="H432" s="10"/>
      <c r="I432" s="9" t="s">
        <v>74</v>
      </c>
      <c r="J432" s="9"/>
      <c r="K432" s="22"/>
      <c r="L432" s="22" t="s">
        <v>66</v>
      </c>
      <c r="M432" s="22"/>
      <c r="N432" s="17"/>
      <c r="O432" s="17" t="str">
        <f t="shared" si="48"/>
        <v>Mickenzi Krpec</v>
      </c>
      <c r="P432" s="17">
        <f>IFERROR(_xlfn.XLOOKUP(O432,'Department Listing'!$O$1:$O$395,'Department Listing'!$A$1:$A$395),IFERROR(_xlfn.XLOOKUP(O432,'Name Aliases'!$A$2:$A$1000,'Name Aliases'!$B$2:$B$1000),""))</f>
        <v>170</v>
      </c>
      <c r="Q432" s="18">
        <f t="shared" si="49"/>
        <v>46228</v>
      </c>
      <c r="R432" s="17" t="str">
        <f t="shared" si="50"/>
        <v>Uber</v>
      </c>
      <c r="S432" s="19">
        <f t="shared" si="51"/>
        <v>861.71</v>
      </c>
      <c r="T432" s="17" t="str">
        <f t="shared" si="52"/>
        <v>UBER   *EATS MASTERCARD-XXXXXXP5P31P-Mickenzi Krpec</v>
      </c>
      <c r="U432" s="17" t="str">
        <f t="shared" si="53"/>
        <v>Brex Credit Card</v>
      </c>
      <c r="V432" s="19" t="str">
        <f>IF(ISBLANK($B432),"",IF(ISBLANK($K432),IF(_xlfn.XLOOKUP($W432,'Category Mapping'!$C:$C,'Category Mapping'!$B:$B)="Travel",_xlfn.XLOOKUP($P432,'Department Listing'!$A:$A,'Department Listing'!$M:$M),_xlfn.XLOOKUP($W432,'Category Mapping'!$C:$C,'Category Mapping'!$D:$D)),$K432))</f>
        <v>General &amp; Administrative:G&amp;A- Travel Expenses:</v>
      </c>
      <c r="W432" s="19" t="str">
        <f t="shared" si="54"/>
        <v>Ground Transportation</v>
      </c>
      <c r="X432" s="19" t="str">
        <f t="shared" si="55"/>
        <v>General &amp; Administrative:G&amp;A- Travel Expenses:Ground Transportation</v>
      </c>
      <c r="Y432" s="20" t="str">
        <f>IF(ISBLANK($M432),IFERROR(_xlfn.XLOOKUP($P432,'Department Listing'!$A:$A,'Department Listing'!$L:$L),""),$M432)</f>
        <v>100- Operations:110- G&amp;A</v>
      </c>
      <c r="Z432" s="11">
        <f>IF(ISBLANK($B432),"",MATCH($X432,COA!$B:$B,0))</f>
        <v>149</v>
      </c>
    </row>
    <row r="433" spans="2:26" ht="15.75" customHeight="1" x14ac:dyDescent="0.25">
      <c r="B433" s="14">
        <v>46229</v>
      </c>
      <c r="C433" t="s">
        <v>629</v>
      </c>
      <c r="E433" s="23" t="s">
        <v>76</v>
      </c>
      <c r="F433" s="16">
        <v>34.340000000000003</v>
      </c>
      <c r="G433" s="10"/>
      <c r="H433" s="10"/>
      <c r="I433" s="9" t="s">
        <v>294</v>
      </c>
      <c r="J433" s="9"/>
      <c r="K433" s="22"/>
      <c r="L433" s="22" t="s">
        <v>78</v>
      </c>
      <c r="M433" s="22"/>
      <c r="N433" s="17"/>
      <c r="O433" s="17" t="str">
        <f t="shared" si="48"/>
        <v>Ryan Henrich</v>
      </c>
      <c r="P433" s="17">
        <f>IFERROR(_xlfn.XLOOKUP(O433,'Department Listing'!$O$1:$O$395,'Department Listing'!$A$1:$A$395),IFERROR(_xlfn.XLOOKUP(O433,'Name Aliases'!$A$2:$A$1000,'Name Aliases'!$B$2:$B$1000),""))</f>
        <v>154</v>
      </c>
      <c r="Q433" s="18">
        <f t="shared" si="49"/>
        <v>46229</v>
      </c>
      <c r="R433" s="17" t="str">
        <f t="shared" si="50"/>
        <v>Cactus Club</v>
      </c>
      <c r="S433" s="19">
        <f t="shared" si="51"/>
        <v>34.340000000000003</v>
      </c>
      <c r="T433" s="17" t="str">
        <f t="shared" si="52"/>
        <v>CACTUS CLUB BACK BAY MASTERCARD-XXXXXX655Y60-Ryan Henrich</v>
      </c>
      <c r="U433" s="17" t="str">
        <f t="shared" si="53"/>
        <v>Brex Credit Card</v>
      </c>
      <c r="V433" s="19" t="str">
        <f>IF(ISBLANK($B433),"",IF(ISBLANK($K433),IF(_xlfn.XLOOKUP($W433,'Category Mapping'!$C:$C,'Category Mapping'!$B:$B)="Travel",_xlfn.XLOOKUP($P433,'Department Listing'!$A:$A,'Department Listing'!$M:$M),_xlfn.XLOOKUP($W433,'Category Mapping'!$C:$C,'Category Mapping'!$D:$D)),$K433))</f>
        <v>Sales &amp; Marketing:Sales &amp; Marketing- Travel Expenses:</v>
      </c>
      <c r="W433" s="19" t="str">
        <f t="shared" si="54"/>
        <v>Meals &amp; Entertainment</v>
      </c>
      <c r="X433" s="19" t="str">
        <f t="shared" si="55"/>
        <v>Sales &amp; Marketing:Sales &amp; Marketing- Travel Expenses:Meals &amp; Entertainment</v>
      </c>
      <c r="Y433" s="20" t="str">
        <f>IF(ISBLANK($M433),IFERROR(_xlfn.XLOOKUP($P433,'Department Listing'!$A:$A,'Department Listing'!$L:$L),""),$M433)</f>
        <v>200- Datadog:230- Sales</v>
      </c>
      <c r="Z433" s="11">
        <f>IF(ISBLANK($B433),"",MATCH($X433,COA!$B:$B,0))</f>
        <v>202</v>
      </c>
    </row>
    <row r="434" spans="2:26" ht="15.75" customHeight="1" x14ac:dyDescent="0.25">
      <c r="B434" s="14">
        <v>46231</v>
      </c>
      <c r="C434" t="s">
        <v>630</v>
      </c>
      <c r="E434" s="23" t="s">
        <v>201</v>
      </c>
      <c r="F434" s="16">
        <v>94.44</v>
      </c>
      <c r="G434" s="10"/>
      <c r="H434" s="10"/>
      <c r="I434" s="9" t="s">
        <v>312</v>
      </c>
      <c r="J434" s="9"/>
      <c r="K434" s="22"/>
      <c r="L434" s="22" t="s">
        <v>127</v>
      </c>
      <c r="M434" s="22"/>
      <c r="N434" s="17"/>
      <c r="O434" s="17" t="str">
        <f t="shared" si="48"/>
        <v>Mickenzi Krpec</v>
      </c>
      <c r="P434" s="17">
        <f>IFERROR(_xlfn.XLOOKUP(O434,'Department Listing'!$O$1:$O$395,'Department Listing'!$A$1:$A$395),IFERROR(_xlfn.XLOOKUP(O434,'Name Aliases'!$A$2:$A$1000,'Name Aliases'!$B$2:$B$1000),""))</f>
        <v>170</v>
      </c>
      <c r="Q434" s="18">
        <f t="shared" si="49"/>
        <v>46231</v>
      </c>
      <c r="R434" s="17" t="str">
        <f t="shared" si="50"/>
        <v>Amazon</v>
      </c>
      <c r="S434" s="19">
        <f t="shared" si="51"/>
        <v>94.44</v>
      </c>
      <c r="T434" s="17" t="str">
        <f t="shared" si="52"/>
        <v>AMAZON MKTPL*B21A20B23 MASTERCARD-XXXXXXGZD06F-Mickenzi Krpec</v>
      </c>
      <c r="U434" s="17" t="str">
        <f t="shared" si="53"/>
        <v>Brex Credit Card</v>
      </c>
      <c r="V434" s="19" t="str">
        <f>IF(ISBLANK($B434),"",IF(ISBLANK($K434),IF(_xlfn.XLOOKUP($W434,'Category Mapping'!$C:$C,'Category Mapping'!$B:$B)="Travel",_xlfn.XLOOKUP($P434,'Department Listing'!$A:$A,'Department Listing'!$M:$M),_xlfn.XLOOKUP($W434,'Category Mapping'!$C:$C,'Category Mapping'!$D:$D)),$K434))</f>
        <v>General &amp; Administrative:Office Expenses:</v>
      </c>
      <c r="W434" s="19" t="str">
        <f t="shared" si="54"/>
        <v>Office Supplies</v>
      </c>
      <c r="X434" s="19" t="str">
        <f t="shared" si="55"/>
        <v>General &amp; Administrative:Office Expenses:Office Supplies</v>
      </c>
      <c r="Y434" s="20" t="str">
        <f>IF(ISBLANK($M434),IFERROR(_xlfn.XLOOKUP($P434,'Department Listing'!$A:$A,'Department Listing'!$L:$L),""),$M434)</f>
        <v>100- Operations:110- G&amp;A</v>
      </c>
      <c r="Z434" s="11">
        <f>IF(ISBLANK($B434),"",MATCH($X434,COA!$B:$B,0))</f>
        <v>161</v>
      </c>
    </row>
    <row r="435" spans="2:26" ht="15.75" customHeight="1" x14ac:dyDescent="0.25">
      <c r="B435" s="14">
        <v>46228</v>
      </c>
      <c r="C435" t="s">
        <v>631</v>
      </c>
      <c r="E435" s="23" t="s">
        <v>76</v>
      </c>
      <c r="F435" s="16">
        <v>80</v>
      </c>
      <c r="G435" s="10"/>
      <c r="H435" s="10"/>
      <c r="I435" s="9" t="s">
        <v>139</v>
      </c>
      <c r="J435" s="9"/>
      <c r="K435" s="22"/>
      <c r="L435" s="22" t="s">
        <v>78</v>
      </c>
      <c r="M435" s="22"/>
      <c r="N435" s="17"/>
      <c r="O435" s="17" t="str">
        <f t="shared" si="48"/>
        <v>Daniel Roy</v>
      </c>
      <c r="P435" s="17">
        <f>IFERROR(_xlfn.XLOOKUP(O435,'Department Listing'!$O$1:$O$395,'Department Listing'!$A$1:$A$395),IFERROR(_xlfn.XLOOKUP(O435,'Name Aliases'!$A$2:$A$1000,'Name Aliases'!$B$2:$B$1000),""))</f>
        <v>101</v>
      </c>
      <c r="Q435" s="18">
        <f t="shared" si="49"/>
        <v>46228</v>
      </c>
      <c r="R435" s="17" t="str">
        <f t="shared" si="50"/>
        <v>PKL Boston</v>
      </c>
      <c r="S435" s="19">
        <f t="shared" si="51"/>
        <v>80</v>
      </c>
      <c r="T435" s="17" t="str">
        <f t="shared" si="52"/>
        <v>WWW.PLAYPKL.COM MASTERCARD-XXXXXXMDXRLT-Daniel Roy</v>
      </c>
      <c r="U435" s="17" t="str">
        <f t="shared" si="53"/>
        <v>Brex Credit Card</v>
      </c>
      <c r="V435" s="19" t="str">
        <f>IF(ISBLANK($B435),"",IF(ISBLANK($K435),IF(_xlfn.XLOOKUP($W435,'Category Mapping'!$C:$C,'Category Mapping'!$B:$B)="Travel",_xlfn.XLOOKUP($P435,'Department Listing'!$A:$A,'Department Listing'!$M:$M),_xlfn.XLOOKUP($W435,'Category Mapping'!$C:$C,'Category Mapping'!$D:$D)),$K435))</f>
        <v>Cost of Goods Sold:COGS- Travel Expenses:</v>
      </c>
      <c r="W435" s="19" t="str">
        <f t="shared" si="54"/>
        <v>Meals &amp; Entertainment</v>
      </c>
      <c r="X435" s="19" t="str">
        <f t="shared" si="55"/>
        <v>Cost of Goods Sold:COGS- Travel Expenses:Meals &amp; Entertainment</v>
      </c>
      <c r="Y435" s="20" t="str">
        <f>IF(ISBLANK($M435),IFERROR(_xlfn.XLOOKUP($P435,'Department Listing'!$A:$A,'Department Listing'!$L:$L),""),$M435)</f>
        <v>200- Datadog:220- Engineering</v>
      </c>
      <c r="Z435" s="11">
        <f>IF(ISBLANK($B435),"",MATCH($X435,COA!$B:$B,0))</f>
        <v>126</v>
      </c>
    </row>
    <row r="436" spans="2:26" ht="15.75" customHeight="1" x14ac:dyDescent="0.25">
      <c r="B436" s="14">
        <v>46228</v>
      </c>
      <c r="C436" t="s">
        <v>632</v>
      </c>
      <c r="E436" s="23" t="s">
        <v>76</v>
      </c>
      <c r="F436" s="16">
        <v>40</v>
      </c>
      <c r="G436" s="10"/>
      <c r="H436" s="10"/>
      <c r="I436" s="9" t="s">
        <v>139</v>
      </c>
      <c r="J436" s="9"/>
      <c r="K436" s="22"/>
      <c r="L436" s="22" t="s">
        <v>78</v>
      </c>
      <c r="M436" s="22"/>
      <c r="N436" s="17"/>
      <c r="O436" s="17" t="str">
        <f t="shared" si="48"/>
        <v>Paul Kim</v>
      </c>
      <c r="P436" s="17">
        <f>IFERROR(_xlfn.XLOOKUP(O436,'Department Listing'!$O$1:$O$395,'Department Listing'!$A$1:$A$395),IFERROR(_xlfn.XLOOKUP(O436,'Name Aliases'!$A$2:$A$1000,'Name Aliases'!$B$2:$B$1000),""))</f>
        <v>31</v>
      </c>
      <c r="Q436" s="18">
        <f t="shared" si="49"/>
        <v>46228</v>
      </c>
      <c r="R436" s="17" t="str">
        <f t="shared" si="50"/>
        <v>PKL Boston</v>
      </c>
      <c r="S436" s="19">
        <f t="shared" si="51"/>
        <v>40</v>
      </c>
      <c r="T436" s="17" t="str">
        <f t="shared" si="52"/>
        <v>WWW.PLAYPKL.COM MASTERCARD-XXXXXX41CA32-Paul Kim</v>
      </c>
      <c r="U436" s="17" t="str">
        <f t="shared" si="53"/>
        <v>Brex Credit Card</v>
      </c>
      <c r="V436" s="19" t="str">
        <f>IF(ISBLANK($B436),"",IF(ISBLANK($K436),IF(_xlfn.XLOOKUP($W436,'Category Mapping'!$C:$C,'Category Mapping'!$B:$B)="Travel",_xlfn.XLOOKUP($P436,'Department Listing'!$A:$A,'Department Listing'!$M:$M),_xlfn.XLOOKUP($W436,'Category Mapping'!$C:$C,'Category Mapping'!$D:$D)),$K436))</f>
        <v>Cost of Goods Sold:COGS- Travel Expenses:</v>
      </c>
      <c r="W436" s="19" t="str">
        <f t="shared" si="54"/>
        <v>Meals &amp; Entertainment</v>
      </c>
      <c r="X436" s="19" t="str">
        <f t="shared" si="55"/>
        <v>Cost of Goods Sold:COGS- Travel Expenses:Meals &amp; Entertainment</v>
      </c>
      <c r="Y436" s="20" t="str">
        <f>IF(ISBLANK($M436),IFERROR(_xlfn.XLOOKUP($P436,'Department Listing'!$A:$A,'Department Listing'!$L:$L),""),$M436)</f>
        <v>200- Datadog:220- Engineering</v>
      </c>
      <c r="Z436" s="11">
        <f>IF(ISBLANK($B436),"",MATCH($X436,COA!$B:$B,0))</f>
        <v>126</v>
      </c>
    </row>
    <row r="437" spans="2:26" ht="15.75" customHeight="1" x14ac:dyDescent="0.25">
      <c r="B437" s="14">
        <v>46228</v>
      </c>
      <c r="C437" t="s">
        <v>634</v>
      </c>
      <c r="E437" s="23" t="s">
        <v>76</v>
      </c>
      <c r="F437" s="16">
        <v>14.75</v>
      </c>
      <c r="G437" s="10"/>
      <c r="H437" s="10"/>
      <c r="I437" s="9" t="s">
        <v>36</v>
      </c>
      <c r="J437" s="9"/>
      <c r="K437" s="22"/>
      <c r="L437" s="22" t="s">
        <v>78</v>
      </c>
      <c r="M437" s="22"/>
      <c r="N437" s="17"/>
      <c r="O437" s="17" t="str">
        <f t="shared" si="48"/>
        <v>Hannah Farley</v>
      </c>
      <c r="P437" s="17">
        <f>IFERROR(_xlfn.XLOOKUP(O437,'Department Listing'!$O$1:$O$395,'Department Listing'!$A$1:$A$395),IFERROR(_xlfn.XLOOKUP(O437,'Name Aliases'!$A$2:$A$1000,'Name Aliases'!$B$2:$B$1000),""))</f>
        <v>149</v>
      </c>
      <c r="Q437" s="18">
        <f t="shared" si="49"/>
        <v>46228</v>
      </c>
      <c r="R437" s="17" t="str">
        <f t="shared" si="50"/>
        <v>Food Vendor</v>
      </c>
      <c r="S437" s="19">
        <f t="shared" si="51"/>
        <v>14.75</v>
      </c>
      <c r="T437" s="17" t="str">
        <f t="shared" si="52"/>
        <v>TST* NAYA - 500 BOYLST MASTERCARD-XXXXXXTNL1SR-Hannah Farley</v>
      </c>
      <c r="U437" s="17" t="str">
        <f t="shared" si="53"/>
        <v>Brex Credit Card</v>
      </c>
      <c r="V437" s="19" t="str">
        <f>IF(ISBLANK($B437),"",IF(ISBLANK($K437),IF(_xlfn.XLOOKUP($W437,'Category Mapping'!$C:$C,'Category Mapping'!$B:$B)="Travel",_xlfn.XLOOKUP($P437,'Department Listing'!$A:$A,'Department Listing'!$M:$M),_xlfn.XLOOKUP($W437,'Category Mapping'!$C:$C,'Category Mapping'!$D:$D)),$K437))</f>
        <v>Cost of Goods Sold:COGS- Travel Expenses:</v>
      </c>
      <c r="W437" s="19" t="str">
        <f t="shared" si="54"/>
        <v>Meals &amp; Entertainment</v>
      </c>
      <c r="X437" s="19" t="str">
        <f t="shared" si="55"/>
        <v>Cost of Goods Sold:COGS- Travel Expenses:Meals &amp; Entertainment</v>
      </c>
      <c r="Y437" s="20" t="str">
        <f>IF(ISBLANK($M437),IFERROR(_xlfn.XLOOKUP($P437,'Department Listing'!$A:$A,'Department Listing'!$L:$L),""),$M437)</f>
        <v>300- ServiceNow:310- Delivery</v>
      </c>
      <c r="Z437" s="11">
        <f>IF(ISBLANK($B437),"",MATCH($X437,COA!$B:$B,0))</f>
        <v>126</v>
      </c>
    </row>
    <row r="438" spans="2:26" ht="15.75" customHeight="1" x14ac:dyDescent="0.25">
      <c r="B438" s="14">
        <v>46228</v>
      </c>
      <c r="C438" t="s">
        <v>636</v>
      </c>
      <c r="E438" s="23"/>
      <c r="F438" s="16">
        <v>18.14</v>
      </c>
      <c r="G438" s="10"/>
      <c r="H438" s="10"/>
      <c r="I438" s="9" t="s">
        <v>36</v>
      </c>
      <c r="J438" s="9"/>
      <c r="K438" s="22"/>
      <c r="L438" s="22" t="s">
        <v>78</v>
      </c>
      <c r="M438" s="22"/>
      <c r="N438" s="17"/>
      <c r="O438" s="17" t="str">
        <f t="shared" si="48"/>
        <v>Zayn Moselhy</v>
      </c>
      <c r="P438" s="17">
        <f>IFERROR(_xlfn.XLOOKUP(O438,'Department Listing'!$O$1:$O$395,'Department Listing'!$A$1:$A$395),IFERROR(_xlfn.XLOOKUP(O438,'Name Aliases'!$A$2:$A$1000,'Name Aliases'!$B$2:$B$1000),""))</f>
        <v>184</v>
      </c>
      <c r="Q438" s="18">
        <f t="shared" si="49"/>
        <v>46228</v>
      </c>
      <c r="R438" s="17" t="str">
        <f t="shared" si="50"/>
        <v>Food Vendor</v>
      </c>
      <c r="S438" s="19">
        <f t="shared" si="51"/>
        <v>18.14</v>
      </c>
      <c r="T438" s="17" t="str">
        <f t="shared" si="52"/>
        <v>DIG.. MASTERCARD-XXXXXXK91ZL8-Zayn Moselhy</v>
      </c>
      <c r="U438" s="17" t="str">
        <f t="shared" si="53"/>
        <v>Brex Credit Card</v>
      </c>
      <c r="V438" s="19" t="str">
        <f>IF(ISBLANK($B438),"",IF(ISBLANK($K438),IF(_xlfn.XLOOKUP($W438,'Category Mapping'!$C:$C,'Category Mapping'!$B:$B)="Travel",_xlfn.XLOOKUP($P438,'Department Listing'!$A:$A,'Department Listing'!$M:$M),_xlfn.XLOOKUP($W438,'Category Mapping'!$C:$C,'Category Mapping'!$D:$D)),$K438))</f>
        <v>General &amp; Administrative:G&amp;A- Travel Expenses:</v>
      </c>
      <c r="W438" s="19" t="str">
        <f t="shared" si="54"/>
        <v>Meals &amp; Entertainment</v>
      </c>
      <c r="X438" s="19" t="str">
        <f t="shared" si="55"/>
        <v>General &amp; Administrative:G&amp;A- Travel Expenses:Meals &amp; Entertainment</v>
      </c>
      <c r="Y438" s="20" t="str">
        <f>IF(ISBLANK($M438),IFERROR(_xlfn.XLOOKUP($P438,'Department Listing'!$A:$A,'Department Listing'!$L:$L),""),$M438)</f>
        <v>100- Operations:110- G&amp;A</v>
      </c>
      <c r="Z438" s="11">
        <f>IF(ISBLANK($B438),"",MATCH($X438,COA!$B:$B,0))</f>
        <v>151</v>
      </c>
    </row>
    <row r="439" spans="2:26" ht="15.75" customHeight="1" x14ac:dyDescent="0.25">
      <c r="B439" s="14">
        <v>46228</v>
      </c>
      <c r="C439" t="s">
        <v>637</v>
      </c>
      <c r="E439" s="23" t="s">
        <v>76</v>
      </c>
      <c r="F439" s="16">
        <v>40</v>
      </c>
      <c r="G439" s="10"/>
      <c r="H439" s="10"/>
      <c r="I439" s="9" t="s">
        <v>139</v>
      </c>
      <c r="J439" s="9"/>
      <c r="K439" s="22"/>
      <c r="L439" s="22" t="s">
        <v>78</v>
      </c>
      <c r="M439" s="22"/>
      <c r="N439" s="17"/>
      <c r="O439" s="17" t="str">
        <f t="shared" si="48"/>
        <v>Paul Kim</v>
      </c>
      <c r="P439" s="17">
        <f>IFERROR(_xlfn.XLOOKUP(O439,'Department Listing'!$O$1:$O$395,'Department Listing'!$A$1:$A$395),IFERROR(_xlfn.XLOOKUP(O439,'Name Aliases'!$A$2:$A$1000,'Name Aliases'!$B$2:$B$1000),""))</f>
        <v>31</v>
      </c>
      <c r="Q439" s="18">
        <f t="shared" si="49"/>
        <v>46228</v>
      </c>
      <c r="R439" s="17" t="str">
        <f t="shared" si="50"/>
        <v>PKL Boston</v>
      </c>
      <c r="S439" s="19">
        <f t="shared" si="51"/>
        <v>40</v>
      </c>
      <c r="T439" s="17" t="str">
        <f t="shared" si="52"/>
        <v>WWW.PLAYPKL.COM MASTERCARD-XXXXXXI9QTIG-Paul Kim</v>
      </c>
      <c r="U439" s="17" t="str">
        <f t="shared" si="53"/>
        <v>Brex Credit Card</v>
      </c>
      <c r="V439" s="19" t="str">
        <f>IF(ISBLANK($B439),"",IF(ISBLANK($K439),IF(_xlfn.XLOOKUP($W439,'Category Mapping'!$C:$C,'Category Mapping'!$B:$B)="Travel",_xlfn.XLOOKUP($P439,'Department Listing'!$A:$A,'Department Listing'!$M:$M),_xlfn.XLOOKUP($W439,'Category Mapping'!$C:$C,'Category Mapping'!$D:$D)),$K439))</f>
        <v>Cost of Goods Sold:COGS- Travel Expenses:</v>
      </c>
      <c r="W439" s="19" t="str">
        <f t="shared" si="54"/>
        <v>Meals &amp; Entertainment</v>
      </c>
      <c r="X439" s="19" t="str">
        <f t="shared" si="55"/>
        <v>Cost of Goods Sold:COGS- Travel Expenses:Meals &amp; Entertainment</v>
      </c>
      <c r="Y439" s="20" t="str">
        <f>IF(ISBLANK($M439),IFERROR(_xlfn.XLOOKUP($P439,'Department Listing'!$A:$A,'Department Listing'!$L:$L),""),$M439)</f>
        <v>200- Datadog:220- Engineering</v>
      </c>
      <c r="Z439" s="11">
        <f>IF(ISBLANK($B439),"",MATCH($X439,COA!$B:$B,0))</f>
        <v>126</v>
      </c>
    </row>
    <row r="440" spans="2:26" ht="15.75" customHeight="1" x14ac:dyDescent="0.25">
      <c r="B440" s="14">
        <v>46228</v>
      </c>
      <c r="C440" t="s">
        <v>638</v>
      </c>
      <c r="E440" s="23" t="s">
        <v>76</v>
      </c>
      <c r="F440" s="16">
        <v>58.56</v>
      </c>
      <c r="G440" s="10"/>
      <c r="H440" s="10"/>
      <c r="I440" s="9" t="s">
        <v>36</v>
      </c>
      <c r="J440" s="9"/>
      <c r="K440" s="22"/>
      <c r="L440" s="22" t="s">
        <v>78</v>
      </c>
      <c r="M440" s="22"/>
      <c r="N440" s="17"/>
      <c r="O440" s="17" t="str">
        <f t="shared" si="48"/>
        <v>Eric Rabkin</v>
      </c>
      <c r="P440" s="17">
        <f>IFERROR(_xlfn.XLOOKUP(O440,'Department Listing'!$O$1:$O$395,'Department Listing'!$A$1:$A$395),IFERROR(_xlfn.XLOOKUP(O440,'Name Aliases'!$A$2:$A$1000,'Name Aliases'!$B$2:$B$1000),""))</f>
        <v>246</v>
      </c>
      <c r="Q440" s="18">
        <f t="shared" si="49"/>
        <v>46228</v>
      </c>
      <c r="R440" s="17" t="str">
        <f t="shared" si="50"/>
        <v>Food Vendor</v>
      </c>
      <c r="S440" s="19">
        <f t="shared" si="51"/>
        <v>58.56</v>
      </c>
      <c r="T440" s="17" t="str">
        <f t="shared" si="52"/>
        <v>TST* ALL ANTICO VINAIO MASTERCARD-XXXXXXA9GJ24-Eric Rabkin</v>
      </c>
      <c r="U440" s="17" t="str">
        <f t="shared" si="53"/>
        <v>Brex Credit Card</v>
      </c>
      <c r="V440" s="19" t="str">
        <f>IF(ISBLANK($B440),"",IF(ISBLANK($K440),IF(_xlfn.XLOOKUP($W440,'Category Mapping'!$C:$C,'Category Mapping'!$B:$B)="Travel",_xlfn.XLOOKUP($P440,'Department Listing'!$A:$A,'Department Listing'!$M:$M),_xlfn.XLOOKUP($W440,'Category Mapping'!$C:$C,'Category Mapping'!$D:$D)),$K440))</f>
        <v>General &amp; Administrative:G&amp;A- Travel Expenses:</v>
      </c>
      <c r="W440" s="19" t="str">
        <f t="shared" si="54"/>
        <v>Meals &amp; Entertainment</v>
      </c>
      <c r="X440" s="19" t="str">
        <f t="shared" si="55"/>
        <v>General &amp; Administrative:G&amp;A- Travel Expenses:Meals &amp; Entertainment</v>
      </c>
      <c r="Y440" s="20" t="str">
        <f>IF(ISBLANK($M440),IFERROR(_xlfn.XLOOKUP($P440,'Department Listing'!$A:$A,'Department Listing'!$L:$L),""),$M440)</f>
        <v>100- Operations:110- G&amp;A</v>
      </c>
      <c r="Z440" s="11">
        <f>IF(ISBLANK($B440),"",MATCH($X440,COA!$B:$B,0))</f>
        <v>151</v>
      </c>
    </row>
    <row r="441" spans="2:26" ht="15.75" customHeight="1" x14ac:dyDescent="0.25">
      <c r="B441" s="14">
        <v>46228</v>
      </c>
      <c r="C441" t="s">
        <v>639</v>
      </c>
      <c r="E441" s="23" t="s">
        <v>76</v>
      </c>
      <c r="F441" s="16">
        <v>16.64</v>
      </c>
      <c r="G441" s="10"/>
      <c r="H441" s="10"/>
      <c r="I441" s="9" t="s">
        <v>157</v>
      </c>
      <c r="J441" s="9"/>
      <c r="K441" s="22"/>
      <c r="L441" s="22" t="s">
        <v>78</v>
      </c>
      <c r="M441" s="22"/>
      <c r="N441" s="17"/>
      <c r="O441" s="17" t="str">
        <f t="shared" si="48"/>
        <v>Sakshi Sasalate</v>
      </c>
      <c r="P441" s="17">
        <f>IFERROR(_xlfn.XLOOKUP(O441,'Department Listing'!$O$1:$O$395,'Department Listing'!$A$1:$A$395),IFERROR(_xlfn.XLOOKUP(O441,'Name Aliases'!$A$2:$A$1000,'Name Aliases'!$B$2:$B$1000),""))</f>
        <v>209</v>
      </c>
      <c r="Q441" s="18">
        <f t="shared" si="49"/>
        <v>46228</v>
      </c>
      <c r="R441" s="17" t="str">
        <f t="shared" si="50"/>
        <v>Dig Inn</v>
      </c>
      <c r="S441" s="19">
        <f t="shared" si="51"/>
        <v>16.64</v>
      </c>
      <c r="T441" s="17" t="str">
        <f t="shared" si="52"/>
        <v>TST* DIG INN - BACK BA MASTERCARD-XXXXXXWHLUC6-Sakshi Sasalate</v>
      </c>
      <c r="U441" s="17" t="str">
        <f t="shared" si="53"/>
        <v>Brex Credit Card</v>
      </c>
      <c r="V441" s="19" t="str">
        <f>IF(ISBLANK($B441),"",IF(ISBLANK($K441),IF(_xlfn.XLOOKUP($W441,'Category Mapping'!$C:$C,'Category Mapping'!$B:$B)="Travel",_xlfn.XLOOKUP($P441,'Department Listing'!$A:$A,'Department Listing'!$M:$M),_xlfn.XLOOKUP($W441,'Category Mapping'!$C:$C,'Category Mapping'!$D:$D)),$K441))</f>
        <v>General &amp; Administrative:G&amp;A- Travel Expenses:</v>
      </c>
      <c r="W441" s="19" t="str">
        <f t="shared" si="54"/>
        <v>Meals &amp; Entertainment</v>
      </c>
      <c r="X441" s="19" t="str">
        <f t="shared" si="55"/>
        <v>General &amp; Administrative:G&amp;A- Travel Expenses:Meals &amp; Entertainment</v>
      </c>
      <c r="Y441" s="20" t="str">
        <f>IF(ISBLANK($M441),IFERROR(_xlfn.XLOOKUP($P441,'Department Listing'!$A:$A,'Department Listing'!$L:$L),""),$M441)</f>
        <v>300- ServiceNow:320- Engineering</v>
      </c>
      <c r="Z441" s="11">
        <f>IF(ISBLANK($B441),"",MATCH($X441,COA!$B:$B,0))</f>
        <v>151</v>
      </c>
    </row>
    <row r="442" spans="2:26" ht="15.75" customHeight="1" x14ac:dyDescent="0.25">
      <c r="B442" s="14">
        <v>46228</v>
      </c>
      <c r="C442" t="s">
        <v>640</v>
      </c>
      <c r="E442" s="23" t="s">
        <v>76</v>
      </c>
      <c r="F442" s="16">
        <v>18.239999999999998</v>
      </c>
      <c r="G442" s="10"/>
      <c r="H442" s="10"/>
      <c r="I442" s="9" t="s">
        <v>250</v>
      </c>
      <c r="J442" s="9"/>
      <c r="K442" s="22"/>
      <c r="L442" s="22" t="s">
        <v>78</v>
      </c>
      <c r="M442" s="22"/>
      <c r="N442" s="17"/>
      <c r="O442" s="17" t="str">
        <f t="shared" si="48"/>
        <v>Jackson Donahoe</v>
      </c>
      <c r="P442" s="17">
        <f>IFERROR(_xlfn.XLOOKUP(O442,'Department Listing'!$O$1:$O$395,'Department Listing'!$A$1:$A$395),IFERROR(_xlfn.XLOOKUP(O442,'Name Aliases'!$A$2:$A$1000,'Name Aliases'!$B$2:$B$1000),""))</f>
        <v>143</v>
      </c>
      <c r="Q442" s="18">
        <f t="shared" si="49"/>
        <v>46228</v>
      </c>
      <c r="R442" s="17" t="str">
        <f t="shared" si="50"/>
        <v>Chipotle</v>
      </c>
      <c r="S442" s="19">
        <f t="shared" si="51"/>
        <v>18.239999999999998</v>
      </c>
      <c r="T442" s="17" t="str">
        <f t="shared" si="52"/>
        <v>CHIPOTLE 2341 MASTERCARD-XXXXXXT1JF9H-Jackson Donahoe</v>
      </c>
      <c r="U442" s="17" t="str">
        <f t="shared" si="53"/>
        <v>Brex Credit Card</v>
      </c>
      <c r="V442" s="19" t="str">
        <f>IF(ISBLANK($B442),"",IF(ISBLANK($K442),IF(_xlfn.XLOOKUP($W442,'Category Mapping'!$C:$C,'Category Mapping'!$B:$B)="Travel",_xlfn.XLOOKUP($P442,'Department Listing'!$A:$A,'Department Listing'!$M:$M),_xlfn.XLOOKUP($W442,'Category Mapping'!$C:$C,'Category Mapping'!$D:$D)),$K442))</f>
        <v>Sales &amp; Marketing:Sales &amp; Marketing- Travel Expenses:</v>
      </c>
      <c r="W442" s="19" t="str">
        <f t="shared" si="54"/>
        <v>Meals &amp; Entertainment</v>
      </c>
      <c r="X442" s="19" t="str">
        <f t="shared" si="55"/>
        <v>Sales &amp; Marketing:Sales &amp; Marketing- Travel Expenses:Meals &amp; Entertainment</v>
      </c>
      <c r="Y442" s="20" t="str">
        <f>IF(ISBLANK($M442),IFERROR(_xlfn.XLOOKUP($P442,'Department Listing'!$A:$A,'Department Listing'!$L:$L),""),$M442)</f>
        <v>200- Datadog:230- Sales</v>
      </c>
      <c r="Z442" s="11">
        <f>IF(ISBLANK($B442),"",MATCH($X442,COA!$B:$B,0))</f>
        <v>202</v>
      </c>
    </row>
    <row r="443" spans="2:26" ht="15.75" customHeight="1" x14ac:dyDescent="0.25">
      <c r="B443" s="14">
        <v>46228</v>
      </c>
      <c r="C443" t="s">
        <v>641</v>
      </c>
      <c r="E443" s="23" t="s">
        <v>76</v>
      </c>
      <c r="F443" s="16">
        <v>80</v>
      </c>
      <c r="G443" s="10"/>
      <c r="H443" s="10"/>
      <c r="I443" s="9" t="s">
        <v>139</v>
      </c>
      <c r="J443" s="9"/>
      <c r="K443" s="22"/>
      <c r="L443" s="22" t="s">
        <v>78</v>
      </c>
      <c r="M443" s="22"/>
      <c r="N443" s="17"/>
      <c r="O443" s="17" t="str">
        <f t="shared" si="48"/>
        <v>Mickenzi Krpec</v>
      </c>
      <c r="P443" s="17">
        <f>IFERROR(_xlfn.XLOOKUP(O443,'Department Listing'!$O$1:$O$395,'Department Listing'!$A$1:$A$395),IFERROR(_xlfn.XLOOKUP(O443,'Name Aliases'!$A$2:$A$1000,'Name Aliases'!$B$2:$B$1000),""))</f>
        <v>170</v>
      </c>
      <c r="Q443" s="18">
        <f t="shared" si="49"/>
        <v>46228</v>
      </c>
      <c r="R443" s="17" t="str">
        <f t="shared" si="50"/>
        <v>PKL Boston</v>
      </c>
      <c r="S443" s="19">
        <f t="shared" si="51"/>
        <v>80</v>
      </c>
      <c r="T443" s="17" t="str">
        <f t="shared" si="52"/>
        <v>WWW.PLAYPKL.COM MASTERCARD-XXXXXXX4LD73-Mickenzi Krpec</v>
      </c>
      <c r="U443" s="17" t="str">
        <f t="shared" si="53"/>
        <v>Brex Credit Card</v>
      </c>
      <c r="V443" s="19" t="str">
        <f>IF(ISBLANK($B443),"",IF(ISBLANK($K443),IF(_xlfn.XLOOKUP($W443,'Category Mapping'!$C:$C,'Category Mapping'!$B:$B)="Travel",_xlfn.XLOOKUP($P443,'Department Listing'!$A:$A,'Department Listing'!$M:$M),_xlfn.XLOOKUP($W443,'Category Mapping'!$C:$C,'Category Mapping'!$D:$D)),$K443))</f>
        <v>General &amp; Administrative:G&amp;A- Travel Expenses:</v>
      </c>
      <c r="W443" s="19" t="str">
        <f t="shared" si="54"/>
        <v>Meals &amp; Entertainment</v>
      </c>
      <c r="X443" s="19" t="str">
        <f t="shared" si="55"/>
        <v>General &amp; Administrative:G&amp;A- Travel Expenses:Meals &amp; Entertainment</v>
      </c>
      <c r="Y443" s="20" t="str">
        <f>IF(ISBLANK($M443),IFERROR(_xlfn.XLOOKUP($P443,'Department Listing'!$A:$A,'Department Listing'!$L:$L),""),$M443)</f>
        <v>100- Operations:110- G&amp;A</v>
      </c>
      <c r="Z443" s="11">
        <f>IF(ISBLANK($B443),"",MATCH($X443,COA!$B:$B,0))</f>
        <v>151</v>
      </c>
    </row>
    <row r="444" spans="2:26" ht="15.75" customHeight="1" x14ac:dyDescent="0.25">
      <c r="B444" s="14">
        <v>46228</v>
      </c>
      <c r="C444" t="s">
        <v>642</v>
      </c>
      <c r="E444" s="23" t="s">
        <v>76</v>
      </c>
      <c r="F444" s="16">
        <v>6157.41</v>
      </c>
      <c r="G444" s="10"/>
      <c r="H444" s="10"/>
      <c r="I444" s="9" t="s">
        <v>36</v>
      </c>
      <c r="J444" s="9"/>
      <c r="K444" s="22"/>
      <c r="L444" s="22" t="s">
        <v>78</v>
      </c>
      <c r="M444" s="22"/>
      <c r="N444" s="17"/>
      <c r="O444" s="17" t="str">
        <f t="shared" si="48"/>
        <v>Mickenzi Krpec</v>
      </c>
      <c r="P444" s="17">
        <f>IFERROR(_xlfn.XLOOKUP(O444,'Department Listing'!$O$1:$O$395,'Department Listing'!$A$1:$A$395),IFERROR(_xlfn.XLOOKUP(O444,'Name Aliases'!$A$2:$A$1000,'Name Aliases'!$B$2:$B$1000),""))</f>
        <v>170</v>
      </c>
      <c r="Q444" s="18">
        <f t="shared" si="49"/>
        <v>46228</v>
      </c>
      <c r="R444" s="17" t="str">
        <f t="shared" si="50"/>
        <v>Food Vendor</v>
      </c>
      <c r="S444" s="19">
        <f t="shared" si="51"/>
        <v>6157.41</v>
      </c>
      <c r="T444" s="17" t="str">
        <f t="shared" si="52"/>
        <v>TST*THE DIRTY ITALIAN MASTERCARD-XXXXXXO96PUO-Mickenzi Krpec</v>
      </c>
      <c r="U444" s="17" t="str">
        <f t="shared" si="53"/>
        <v>Brex Credit Card</v>
      </c>
      <c r="V444" s="19" t="str">
        <f>IF(ISBLANK($B444),"",IF(ISBLANK($K444),IF(_xlfn.XLOOKUP($W444,'Category Mapping'!$C:$C,'Category Mapping'!$B:$B)="Travel",_xlfn.XLOOKUP($P444,'Department Listing'!$A:$A,'Department Listing'!$M:$M),_xlfn.XLOOKUP($W444,'Category Mapping'!$C:$C,'Category Mapping'!$D:$D)),$K444))</f>
        <v>General &amp; Administrative:G&amp;A- Travel Expenses:</v>
      </c>
      <c r="W444" s="19" t="str">
        <f t="shared" si="54"/>
        <v>Meals &amp; Entertainment</v>
      </c>
      <c r="X444" s="19" t="str">
        <f t="shared" si="55"/>
        <v>General &amp; Administrative:G&amp;A- Travel Expenses:Meals &amp; Entertainment</v>
      </c>
      <c r="Y444" s="20" t="str">
        <f>IF(ISBLANK($M444),IFERROR(_xlfn.XLOOKUP($P444,'Department Listing'!$A:$A,'Department Listing'!$L:$L),""),$M444)</f>
        <v>100- Operations:110- G&amp;A</v>
      </c>
      <c r="Z444" s="11">
        <f>IF(ISBLANK($B444),"",MATCH($X444,COA!$B:$B,0))</f>
        <v>151</v>
      </c>
    </row>
    <row r="445" spans="2:26" ht="15.75" customHeight="1" x14ac:dyDescent="0.25">
      <c r="B445" s="14">
        <v>46228</v>
      </c>
      <c r="C445" t="s">
        <v>643</v>
      </c>
      <c r="E445" s="23"/>
      <c r="F445" s="16">
        <v>213.32</v>
      </c>
      <c r="G445" s="10"/>
      <c r="H445" s="10"/>
      <c r="I445" s="9" t="s">
        <v>607</v>
      </c>
      <c r="J445" s="9"/>
      <c r="K445" s="9"/>
      <c r="L445" s="9" t="s">
        <v>155</v>
      </c>
      <c r="M445" s="9"/>
      <c r="N445" s="17"/>
      <c r="O445" s="17" t="str">
        <f t="shared" si="48"/>
        <v>Rory Siedler</v>
      </c>
      <c r="P445" s="17">
        <f>IFERROR(_xlfn.XLOOKUP(O445,'Department Listing'!$O$1:$O$395,'Department Listing'!$A$1:$A$395),IFERROR(_xlfn.XLOOKUP(O445,'Name Aliases'!$A$2:$A$1000,'Name Aliases'!$B$2:$B$1000),""))</f>
        <v>220</v>
      </c>
      <c r="Q445" s="18">
        <f t="shared" si="49"/>
        <v>46228</v>
      </c>
      <c r="R445" s="17" t="str">
        <f t="shared" si="50"/>
        <v>Hotel Vendor</v>
      </c>
      <c r="S445" s="19">
        <f t="shared" si="51"/>
        <v>213.32</v>
      </c>
      <c r="T445" s="17" t="str">
        <f t="shared" si="52"/>
        <v>BKG*SPRINGHILL SUITES MASTERCARD-XXXXXXKJ29IZ-Rory Siedler</v>
      </c>
      <c r="U445" s="17" t="str">
        <f t="shared" si="53"/>
        <v>Brex Credit Card</v>
      </c>
      <c r="V445" s="19" t="str">
        <f>IF(ISBLANK($B445),"",IF(ISBLANK($K445),IF(_xlfn.XLOOKUP($W445,'Category Mapping'!$C:$C,'Category Mapping'!$B:$B)="Travel",_xlfn.XLOOKUP($P445,'Department Listing'!$A:$A,'Department Listing'!$M:$M),_xlfn.XLOOKUP($W445,'Category Mapping'!$C:$C,'Category Mapping'!$D:$D)),$K445))</f>
        <v>Cost of Goods Sold:COGS- Travel Expenses:</v>
      </c>
      <c r="W445" s="19" t="str">
        <f t="shared" si="54"/>
        <v>Lodging</v>
      </c>
      <c r="X445" s="19" t="str">
        <f t="shared" si="55"/>
        <v>Cost of Goods Sold:COGS- Travel Expenses:Lodging</v>
      </c>
      <c r="Y445" s="20" t="str">
        <f>IF(ISBLANK($M445),IFERROR(_xlfn.XLOOKUP($P445,'Department Listing'!$A:$A,'Department Listing'!$L:$L),""),$M445)</f>
        <v>300- ServiceNow:320- Engineering</v>
      </c>
      <c r="Z445" s="11">
        <f>IF(ISBLANK($B445),"",MATCH($X445,COA!$B:$B,0))</f>
        <v>125</v>
      </c>
    </row>
    <row r="446" spans="2:26" ht="15.75" customHeight="1" x14ac:dyDescent="0.25">
      <c r="B446" s="14">
        <v>46229</v>
      </c>
      <c r="C446" t="s">
        <v>644</v>
      </c>
      <c r="E446" s="23"/>
      <c r="F446" s="16">
        <v>670.4</v>
      </c>
      <c r="G446" s="10"/>
      <c r="H446" s="10"/>
      <c r="I446" s="9" t="s">
        <v>164</v>
      </c>
      <c r="J446" s="9"/>
      <c r="K446" s="9"/>
      <c r="L446" s="9" t="s">
        <v>165</v>
      </c>
      <c r="M446" s="9"/>
      <c r="N446" s="17"/>
      <c r="O446" s="17" t="str">
        <f t="shared" si="48"/>
        <v>Rory Siedler</v>
      </c>
      <c r="P446" s="17">
        <f>IFERROR(_xlfn.XLOOKUP(O446,'Department Listing'!$O$1:$O$395,'Department Listing'!$A$1:$A$395),IFERROR(_xlfn.XLOOKUP(O446,'Name Aliases'!$A$2:$A$1000,'Name Aliases'!$B$2:$B$1000),""))</f>
        <v>220</v>
      </c>
      <c r="Q446" s="18">
        <f t="shared" si="49"/>
        <v>46229</v>
      </c>
      <c r="R446" s="17" t="str">
        <f t="shared" si="50"/>
        <v>Delta</v>
      </c>
      <c r="S446" s="19">
        <f t="shared" si="51"/>
        <v>670.4</v>
      </c>
      <c r="T446" s="17" t="str">
        <f t="shared" si="52"/>
        <v>DELTA MASTERCARD-XXXXXXT6IPKL-Rory Siedler</v>
      </c>
      <c r="U446" s="17" t="str">
        <f t="shared" si="53"/>
        <v>Brex Credit Card</v>
      </c>
      <c r="V446" s="19" t="str">
        <f>IF(ISBLANK($B446),"",IF(ISBLANK($K446),IF(_xlfn.XLOOKUP($W446,'Category Mapping'!$C:$C,'Category Mapping'!$B:$B)="Travel",_xlfn.XLOOKUP($P446,'Department Listing'!$A:$A,'Department Listing'!$M:$M),_xlfn.XLOOKUP($W446,'Category Mapping'!$C:$C,'Category Mapping'!$D:$D)),$K446))</f>
        <v>Cost of Goods Sold:COGS- Travel Expenses:</v>
      </c>
      <c r="W446" s="19" t="str">
        <f t="shared" si="54"/>
        <v>Airfare</v>
      </c>
      <c r="X446" s="19" t="str">
        <f t="shared" si="55"/>
        <v>Cost of Goods Sold:COGS- Travel Expenses:Airfare</v>
      </c>
      <c r="Y446" s="20" t="str">
        <f>IF(ISBLANK($M446),IFERROR(_xlfn.XLOOKUP($P446,'Department Listing'!$A:$A,'Department Listing'!$L:$L),""),$M446)</f>
        <v>300- ServiceNow:320- Engineering</v>
      </c>
      <c r="Z446" s="11">
        <f>IF(ISBLANK($B446),"",MATCH($X446,COA!$B:$B,0))</f>
        <v>123</v>
      </c>
    </row>
    <row r="447" spans="2:26" ht="15.75" customHeight="1" x14ac:dyDescent="0.25">
      <c r="B447" s="14">
        <v>46228</v>
      </c>
      <c r="C447" t="s">
        <v>645</v>
      </c>
      <c r="E447" s="23" t="s">
        <v>76</v>
      </c>
      <c r="F447" s="16">
        <v>20.97</v>
      </c>
      <c r="G447" s="10"/>
      <c r="H447" s="10"/>
      <c r="I447" s="9" t="s">
        <v>303</v>
      </c>
      <c r="J447" s="9"/>
      <c r="K447" s="9"/>
      <c r="L447" s="9" t="s">
        <v>78</v>
      </c>
      <c r="M447" s="9"/>
      <c r="N447" s="17"/>
      <c r="O447" s="17" t="str">
        <f t="shared" si="48"/>
        <v>Mickenzi Krpec</v>
      </c>
      <c r="P447" s="17">
        <f>IFERROR(_xlfn.XLOOKUP(O447,'Department Listing'!$O$1:$O$395,'Department Listing'!$A$1:$A$395),IFERROR(_xlfn.XLOOKUP(O447,'Name Aliases'!$A$2:$A$1000,'Name Aliases'!$B$2:$B$1000),""))</f>
        <v>170</v>
      </c>
      <c r="Q447" s="18">
        <f t="shared" si="49"/>
        <v>46228</v>
      </c>
      <c r="R447" s="17" t="str">
        <f t="shared" si="50"/>
        <v>Sweetgreen</v>
      </c>
      <c r="S447" s="19">
        <f t="shared" si="51"/>
        <v>20.97</v>
      </c>
      <c r="T447" s="17" t="str">
        <f t="shared" si="52"/>
        <v>WWW.SWEETGREEN.COM MASTERCARD-XXXXXXHZO00Y-Mickenzi Krpec</v>
      </c>
      <c r="U447" s="17" t="str">
        <f t="shared" si="53"/>
        <v>Brex Credit Card</v>
      </c>
      <c r="V447" s="19" t="str">
        <f>IF(ISBLANK($B447),"",IF(ISBLANK($K447),IF(_xlfn.XLOOKUP($W447,'Category Mapping'!$C:$C,'Category Mapping'!$B:$B)="Travel",_xlfn.XLOOKUP($P447,'Department Listing'!$A:$A,'Department Listing'!$M:$M),_xlfn.XLOOKUP($W447,'Category Mapping'!$C:$C,'Category Mapping'!$D:$D)),$K447))</f>
        <v>General &amp; Administrative:G&amp;A- Travel Expenses:</v>
      </c>
      <c r="W447" s="19" t="str">
        <f t="shared" si="54"/>
        <v>Meals &amp; Entertainment</v>
      </c>
      <c r="X447" s="19" t="str">
        <f t="shared" si="55"/>
        <v>General &amp; Administrative:G&amp;A- Travel Expenses:Meals &amp; Entertainment</v>
      </c>
      <c r="Y447" s="20" t="str">
        <f>IF(ISBLANK($M447),IFERROR(_xlfn.XLOOKUP($P447,'Department Listing'!$A:$A,'Department Listing'!$L:$L),""),$M447)</f>
        <v>100- Operations:110- G&amp;A</v>
      </c>
      <c r="Z447" s="11">
        <f>IF(ISBLANK($B447),"",MATCH($X447,COA!$B:$B,0))</f>
        <v>151</v>
      </c>
    </row>
    <row r="448" spans="2:26" ht="15.75" customHeight="1" x14ac:dyDescent="0.25">
      <c r="B448" s="14">
        <v>46228</v>
      </c>
      <c r="C448" t="s">
        <v>646</v>
      </c>
      <c r="E448" s="23"/>
      <c r="F448" s="16">
        <v>15.94</v>
      </c>
      <c r="G448" s="10"/>
      <c r="H448" s="10"/>
      <c r="I448" s="9" t="s">
        <v>37</v>
      </c>
      <c r="J448" s="9"/>
      <c r="K448" s="9"/>
      <c r="L448" s="9" t="s">
        <v>71</v>
      </c>
      <c r="M448" s="9"/>
      <c r="N448" s="17"/>
      <c r="O448" s="17" t="str">
        <f t="shared" si="48"/>
        <v>Maile Call</v>
      </c>
      <c r="P448" s="17">
        <f>IFERROR(_xlfn.XLOOKUP(O448,'Department Listing'!$O$1:$O$395,'Department Listing'!$A$1:$A$395),IFERROR(_xlfn.XLOOKUP(O448,'Name Aliases'!$A$2:$A$1000,'Name Aliases'!$B$2:$B$1000),""))</f>
        <v>241</v>
      </c>
      <c r="Q448" s="18">
        <f t="shared" si="49"/>
        <v>46228</v>
      </c>
      <c r="R448" s="17" t="str">
        <f t="shared" si="50"/>
        <v>Office Vendor</v>
      </c>
      <c r="S448" s="19">
        <f t="shared" si="51"/>
        <v>15.94</v>
      </c>
      <c r="T448" s="17" t="str">
        <f t="shared" si="52"/>
        <v>LINKTREE* LINKTREE MASTERCARD-XXXXXXLJ8IIG-Maile Call</v>
      </c>
      <c r="U448" s="17" t="str">
        <f t="shared" si="53"/>
        <v>Brex Credit Card</v>
      </c>
      <c r="V448" s="19" t="str">
        <f>IF(ISBLANK($B448),"",IF(ISBLANK($K448),IF(_xlfn.XLOOKUP($W448,'Category Mapping'!$C:$C,'Category Mapping'!$B:$B)="Travel",_xlfn.XLOOKUP($P448,'Department Listing'!$A:$A,'Department Listing'!$M:$M),_xlfn.XLOOKUP($W448,'Category Mapping'!$C:$C,'Category Mapping'!$D:$D)),$K448))</f>
        <v>General &amp; Administrative:</v>
      </c>
      <c r="W448" s="19" t="str">
        <f t="shared" si="54"/>
        <v>Software Licenses</v>
      </c>
      <c r="X448" s="19" t="str">
        <f t="shared" si="55"/>
        <v>General &amp; Administrative:Software Licenses</v>
      </c>
      <c r="Y448" s="20" t="str">
        <f>IF(ISBLANK($M448),IFERROR(_xlfn.XLOOKUP($P448,'Department Listing'!$A:$A,'Department Listing'!$L:$L),""),$M448)</f>
        <v>300- ServiceNow:330- Sales</v>
      </c>
      <c r="Z448" s="11">
        <f>IF(ISBLANK($B448),"",MATCH($X448,COA!$B:$B,0))</f>
        <v>170</v>
      </c>
    </row>
    <row r="449" spans="2:26" ht="15.75" customHeight="1" x14ac:dyDescent="0.25">
      <c r="B449" s="14">
        <v>46229</v>
      </c>
      <c r="C449" t="s">
        <v>647</v>
      </c>
      <c r="E449" s="23"/>
      <c r="F449" s="16">
        <v>69.95</v>
      </c>
      <c r="G449" s="10"/>
      <c r="H449" s="10"/>
      <c r="I449" s="9" t="s">
        <v>37</v>
      </c>
      <c r="J449" s="9"/>
      <c r="K449" s="22"/>
      <c r="L449" s="22" t="s">
        <v>127</v>
      </c>
      <c r="M449" s="22"/>
      <c r="N449" s="17"/>
      <c r="O449" s="17" t="str">
        <f t="shared" si="48"/>
        <v>Tim Marro</v>
      </c>
      <c r="P449" s="17">
        <f>IFERROR(_xlfn.XLOOKUP(O449,'Department Listing'!$O$1:$O$395,'Department Listing'!$A$1:$A$395),IFERROR(_xlfn.XLOOKUP(O449,'Name Aliases'!$A$2:$A$1000,'Name Aliases'!$B$2:$B$1000),""))</f>
        <v>208</v>
      </c>
      <c r="Q449" s="18">
        <f t="shared" si="49"/>
        <v>46229</v>
      </c>
      <c r="R449" s="17" t="str">
        <f t="shared" si="50"/>
        <v>Office Vendor</v>
      </c>
      <c r="S449" s="19">
        <f t="shared" si="51"/>
        <v>69.95</v>
      </c>
      <c r="T449" s="17" t="str">
        <f t="shared" si="52"/>
        <v>AMC 9640 ONLINE MASTERCARD-XXXXXX7BP0TF-Tim Marro</v>
      </c>
      <c r="U449" s="17" t="str">
        <f t="shared" si="53"/>
        <v>Brex Credit Card</v>
      </c>
      <c r="V449" s="19" t="str">
        <f>IF(ISBLANK($B449),"",IF(ISBLANK($K449),IF(_xlfn.XLOOKUP($W449,'Category Mapping'!$C:$C,'Category Mapping'!$B:$B)="Travel",_xlfn.XLOOKUP($P449,'Department Listing'!$A:$A,'Department Listing'!$M:$M),_xlfn.XLOOKUP($W449,'Category Mapping'!$C:$C,'Category Mapping'!$D:$D)),$K449))</f>
        <v>General &amp; Administrative:Office Expenses:</v>
      </c>
      <c r="W449" s="19" t="str">
        <f t="shared" si="54"/>
        <v>Office Supplies</v>
      </c>
      <c r="X449" s="19" t="str">
        <f t="shared" si="55"/>
        <v>General &amp; Administrative:Office Expenses:Office Supplies</v>
      </c>
      <c r="Y449" s="20" t="str">
        <f>IF(ISBLANK($M449),IFERROR(_xlfn.XLOOKUP($P449,'Department Listing'!$A:$A,'Department Listing'!$L:$L),""),$M449)</f>
        <v>300- ServiceNow:320- Engineering</v>
      </c>
      <c r="Z449" s="11">
        <f>IF(ISBLANK($B449),"",MATCH($X449,COA!$B:$B,0))</f>
        <v>161</v>
      </c>
    </row>
    <row r="450" spans="2:26" ht="15.75" customHeight="1" x14ac:dyDescent="0.25">
      <c r="B450" s="14">
        <v>46228</v>
      </c>
      <c r="C450" t="s">
        <v>648</v>
      </c>
      <c r="E450" s="23" t="s">
        <v>201</v>
      </c>
      <c r="F450" s="16">
        <v>25.57</v>
      </c>
      <c r="G450" s="10"/>
      <c r="H450" s="10"/>
      <c r="I450" s="9" t="s">
        <v>649</v>
      </c>
      <c r="J450" s="9"/>
      <c r="K450" s="22"/>
      <c r="L450" s="22" t="s">
        <v>127</v>
      </c>
      <c r="M450" s="22"/>
      <c r="N450" s="17"/>
      <c r="O450" s="17" t="str">
        <f t="shared" si="48"/>
        <v>Brian McGonigal</v>
      </c>
      <c r="P450" s="17">
        <f>IFERROR(_xlfn.XLOOKUP(O450,'Department Listing'!$O$1:$O$395,'Department Listing'!$A$1:$A$395),IFERROR(_xlfn.XLOOKUP(O450,'Name Aliases'!$A$2:$A$1000,'Name Aliases'!$B$2:$B$1000),""))</f>
        <v>269</v>
      </c>
      <c r="Q450" s="18">
        <f t="shared" si="49"/>
        <v>46228</v>
      </c>
      <c r="R450" s="17" t="str">
        <f t="shared" si="50"/>
        <v>Target</v>
      </c>
      <c r="S450" s="19">
        <f t="shared" si="51"/>
        <v>25.57</v>
      </c>
      <c r="T450" s="17" t="str">
        <f t="shared" si="52"/>
        <v>TARGET.COM MASTERCARD-XXXXXXXZYMIL-Brian McGonigal</v>
      </c>
      <c r="U450" s="17" t="str">
        <f t="shared" si="53"/>
        <v>Brex Credit Card</v>
      </c>
      <c r="V450" s="19" t="str">
        <f>IF(ISBLANK($B450),"",IF(ISBLANK($K450),IF(_xlfn.XLOOKUP($W450,'Category Mapping'!$C:$C,'Category Mapping'!$B:$B)="Travel",_xlfn.XLOOKUP($P450,'Department Listing'!$A:$A,'Department Listing'!$M:$M),_xlfn.XLOOKUP($W450,'Category Mapping'!$C:$C,'Category Mapping'!$D:$D)),$K450))</f>
        <v>General &amp; Administrative:Office Expenses:</v>
      </c>
      <c r="W450" s="19" t="str">
        <f t="shared" si="54"/>
        <v>Office Supplies</v>
      </c>
      <c r="X450" s="19" t="str">
        <f t="shared" si="55"/>
        <v>General &amp; Administrative:Office Expenses:Office Supplies</v>
      </c>
      <c r="Y450" s="20" t="str">
        <f>IF(ISBLANK($M450),IFERROR(_xlfn.XLOOKUP($P450,'Department Listing'!$A:$A,'Department Listing'!$L:$L),""),$M450)</f>
        <v>300- ServiceNow:330- Sales</v>
      </c>
      <c r="Z450" s="11">
        <f>IF(ISBLANK($B450),"",MATCH($X450,COA!$B:$B,0))</f>
        <v>161</v>
      </c>
    </row>
    <row r="451" spans="2:26" ht="15.75" customHeight="1" x14ac:dyDescent="0.25">
      <c r="B451" s="14">
        <v>46229</v>
      </c>
      <c r="C451" t="s">
        <v>650</v>
      </c>
      <c r="E451" s="23" t="s">
        <v>76</v>
      </c>
      <c r="F451" s="16">
        <v>13.2</v>
      </c>
      <c r="G451" s="10"/>
      <c r="H451" s="10"/>
      <c r="I451" s="9" t="s">
        <v>287</v>
      </c>
      <c r="J451" s="9"/>
      <c r="K451" s="9"/>
      <c r="L451" s="9" t="s">
        <v>78</v>
      </c>
      <c r="M451" s="9"/>
      <c r="N451" s="17"/>
      <c r="O451" s="17" t="str">
        <f t="shared" si="48"/>
        <v>Jared Kennedy</v>
      </c>
      <c r="P451" s="17">
        <f>IFERROR(_xlfn.XLOOKUP(O451,'Department Listing'!$O$1:$O$395,'Department Listing'!$A$1:$A$395),IFERROR(_xlfn.XLOOKUP(O451,'Name Aliases'!$A$2:$A$1000,'Name Aliases'!$B$2:$B$1000),""))</f>
        <v>289</v>
      </c>
      <c r="Q451" s="18">
        <f t="shared" si="49"/>
        <v>46229</v>
      </c>
      <c r="R451" s="17" t="str">
        <f t="shared" si="50"/>
        <v>Starbucks</v>
      </c>
      <c r="S451" s="19">
        <f t="shared" si="51"/>
        <v>13.2</v>
      </c>
      <c r="T451" s="17" t="str">
        <f t="shared" si="52"/>
        <v>STARBUCKS STORE 80448 MASTERCARD-XXXXXXMFV3YY-Jared Kennedy</v>
      </c>
      <c r="U451" s="17" t="str">
        <f t="shared" si="53"/>
        <v>Brex Credit Card</v>
      </c>
      <c r="V451" s="19" t="str">
        <f>IF(ISBLANK($B451),"",IF(ISBLANK($K451),IF(_xlfn.XLOOKUP($W451,'Category Mapping'!$C:$C,'Category Mapping'!$B:$B)="Travel",_xlfn.XLOOKUP($P451,'Department Listing'!$A:$A,'Department Listing'!$M:$M),_xlfn.XLOOKUP($W451,'Category Mapping'!$C:$C,'Category Mapping'!$D:$D)),$K451))</f>
        <v>Sales &amp; Marketing:Sales &amp; Marketing- Travel Expenses:</v>
      </c>
      <c r="W451" s="19" t="str">
        <f t="shared" si="54"/>
        <v>Meals &amp; Entertainment</v>
      </c>
      <c r="X451" s="19" t="str">
        <f t="shared" si="55"/>
        <v>Sales &amp; Marketing:Sales &amp; Marketing- Travel Expenses:Meals &amp; Entertainment</v>
      </c>
      <c r="Y451" s="20" t="str">
        <f>IF(ISBLANK($M451),IFERROR(_xlfn.XLOOKUP($P451,'Department Listing'!$A:$A,'Department Listing'!$L:$L),""),$M451)</f>
        <v>200- Datadog:230- Sales</v>
      </c>
      <c r="Z451" s="11">
        <f>IF(ISBLANK($B451),"",MATCH($X451,COA!$B:$B,0))</f>
        <v>202</v>
      </c>
    </row>
    <row r="452" spans="2:26" ht="15.75" customHeight="1" x14ac:dyDescent="0.25">
      <c r="B452" s="14">
        <v>46228</v>
      </c>
      <c r="C452" t="s">
        <v>651</v>
      </c>
      <c r="E452" s="23" t="s">
        <v>76</v>
      </c>
      <c r="F452" s="16">
        <v>29.21</v>
      </c>
      <c r="G452" s="10"/>
      <c r="H452" s="10"/>
      <c r="I452" s="9" t="s">
        <v>36</v>
      </c>
      <c r="J452" s="9"/>
      <c r="K452" s="9"/>
      <c r="L452" s="9" t="s">
        <v>78</v>
      </c>
      <c r="M452" s="9"/>
      <c r="N452" s="17"/>
      <c r="O452" s="17" t="str">
        <f t="shared" ref="O452:O515" si="56">IF(C452="", "", TRIM(RIGHT(C452, LEN(C452) - FIND("@@", SUBSTITUTE(C452, "-", "@@", LEN(C452) - LEN(SUBSTITUTE(C452, "-", "")))))))</f>
        <v>James Dean</v>
      </c>
      <c r="P452" s="17">
        <f>IFERROR(_xlfn.XLOOKUP(O452,'Department Listing'!$O$1:$O$395,'Department Listing'!$A$1:$A$395),IFERROR(_xlfn.XLOOKUP(O452,'Name Aliases'!$A$2:$A$1000,'Name Aliases'!$B$2:$B$1000),""))</f>
        <v>270</v>
      </c>
      <c r="Q452" s="18">
        <f t="shared" ref="Q452:Q515" si="57">IF(ISBLANK($C452),"",$B452)</f>
        <v>46228</v>
      </c>
      <c r="R452" s="17" t="str">
        <f t="shared" ref="R452:R515" si="58">IF(ISBLANK($C452),"",IF(ISBLANK($I452),$D452,$I452))</f>
        <v>Food Vendor</v>
      </c>
      <c r="S452" s="19">
        <f t="shared" ref="S452:S515" si="59">IF(ISBLANK($C452),"",$F452 - $G452)</f>
        <v>29.21</v>
      </c>
      <c r="T452" s="17" t="str">
        <f t="shared" ref="T452:T515" si="60">IF(ISBLANK($C452),"",C452)</f>
        <v>TST* THE FRIENDLY TOAS MASTERCARD-XXXXXX3EYF65-James Dean</v>
      </c>
      <c r="U452" s="17" t="str">
        <f t="shared" ref="U452:U515" si="61">IF(ISBLANK($C452),"",$D$1)</f>
        <v>Brex Credit Card</v>
      </c>
      <c r="V452" s="19" t="str">
        <f>IF(ISBLANK($B452),"",IF(ISBLANK($K452),IF(_xlfn.XLOOKUP($W452,'Category Mapping'!$C:$C,'Category Mapping'!$B:$B)="Travel",_xlfn.XLOOKUP($P452,'Department Listing'!$A:$A,'Department Listing'!$M:$M),_xlfn.XLOOKUP($W452,'Category Mapping'!$C:$C,'Category Mapping'!$D:$D)),$K452))</f>
        <v>Sales &amp; Marketing:Sales &amp; Marketing- Travel Expenses:</v>
      </c>
      <c r="W452" s="19" t="str">
        <f t="shared" ref="W452:W515" si="62">IF(ISBLANK($B452),"",IF(ISBLANK($L452),RIGHT($E452,LEN($E452) - FIND("^",SUBSTITUTE($E452,":","^",LEN($E452) - LEN(SUBSTITUTE($E452,":",""))))),$L452))</f>
        <v>Meals &amp; Entertainment</v>
      </c>
      <c r="X452" s="19" t="str">
        <f t="shared" ref="X452:X515" si="63">IF(ISBLANK($J452),$V452&amp;$W452,$J452)</f>
        <v>Sales &amp; Marketing:Sales &amp; Marketing- Travel Expenses:Meals &amp; Entertainment</v>
      </c>
      <c r="Y452" s="20" t="str">
        <f>IF(ISBLANK($M452),IFERROR(_xlfn.XLOOKUP($P452,'Department Listing'!$A:$A,'Department Listing'!$L:$L),""),$M452)</f>
        <v>200- Datadog:230- Sales</v>
      </c>
      <c r="Z452" s="11">
        <f>IF(ISBLANK($B452),"",MATCH($X452,COA!$B:$B,0))</f>
        <v>202</v>
      </c>
    </row>
    <row r="453" spans="2:26" ht="15.75" customHeight="1" x14ac:dyDescent="0.25">
      <c r="B453" s="14">
        <v>46228</v>
      </c>
      <c r="C453" t="s">
        <v>652</v>
      </c>
      <c r="E453" s="23"/>
      <c r="F453" s="16">
        <v>68.849999999999994</v>
      </c>
      <c r="G453" s="10"/>
      <c r="H453" s="10"/>
      <c r="I453" s="9" t="s">
        <v>36</v>
      </c>
      <c r="J453" s="9"/>
      <c r="K453" s="9"/>
      <c r="L453" s="9" t="s">
        <v>78</v>
      </c>
      <c r="M453" s="9"/>
      <c r="N453" s="17"/>
      <c r="O453" s="17" t="str">
        <f t="shared" si="56"/>
        <v>Ryan Henrich</v>
      </c>
      <c r="P453" s="17">
        <f>IFERROR(_xlfn.XLOOKUP(O453,'Department Listing'!$O$1:$O$395,'Department Listing'!$A$1:$A$395),IFERROR(_xlfn.XLOOKUP(O453,'Name Aliases'!$A$2:$A$1000,'Name Aliases'!$B$2:$B$1000),""))</f>
        <v>154</v>
      </c>
      <c r="Q453" s="18">
        <f t="shared" si="57"/>
        <v>46228</v>
      </c>
      <c r="R453" s="17" t="str">
        <f t="shared" si="58"/>
        <v>Food Vendor</v>
      </c>
      <c r="S453" s="19">
        <f t="shared" si="59"/>
        <v>68.849999999999994</v>
      </c>
      <c r="T453" s="17" t="str">
        <f t="shared" si="60"/>
        <v>SCAMPO MASTERCARD-XXXXXXCTHA7M-Ryan Henrich</v>
      </c>
      <c r="U453" s="17" t="str">
        <f t="shared" si="61"/>
        <v>Brex Credit Card</v>
      </c>
      <c r="V453" s="19" t="str">
        <f>IF(ISBLANK($B453),"",IF(ISBLANK($K453),IF(_xlfn.XLOOKUP($W453,'Category Mapping'!$C:$C,'Category Mapping'!$B:$B)="Travel",_xlfn.XLOOKUP($P453,'Department Listing'!$A:$A,'Department Listing'!$M:$M),_xlfn.XLOOKUP($W453,'Category Mapping'!$C:$C,'Category Mapping'!$D:$D)),$K453))</f>
        <v>Sales &amp; Marketing:Sales &amp; Marketing- Travel Expenses:</v>
      </c>
      <c r="W453" s="19" t="str">
        <f t="shared" si="62"/>
        <v>Meals &amp; Entertainment</v>
      </c>
      <c r="X453" s="19" t="str">
        <f t="shared" si="63"/>
        <v>Sales &amp; Marketing:Sales &amp; Marketing- Travel Expenses:Meals &amp; Entertainment</v>
      </c>
      <c r="Y453" s="20" t="str">
        <f>IF(ISBLANK($M453),IFERROR(_xlfn.XLOOKUP($P453,'Department Listing'!$A:$A,'Department Listing'!$L:$L),""),$M453)</f>
        <v>200- Datadog:230- Sales</v>
      </c>
      <c r="Z453" s="11">
        <f>IF(ISBLANK($B453),"",MATCH($X453,COA!$B:$B,0))</f>
        <v>202</v>
      </c>
    </row>
    <row r="454" spans="2:26" ht="15.75" customHeight="1" x14ac:dyDescent="0.25">
      <c r="B454" s="14">
        <v>46228</v>
      </c>
      <c r="C454" t="s">
        <v>653</v>
      </c>
      <c r="E454" s="23" t="s">
        <v>64</v>
      </c>
      <c r="F454" s="16">
        <v>14.94</v>
      </c>
      <c r="G454" s="10"/>
      <c r="H454" s="10"/>
      <c r="I454" s="9" t="s">
        <v>74</v>
      </c>
      <c r="J454" s="9"/>
      <c r="K454" s="9"/>
      <c r="L454" s="9" t="s">
        <v>66</v>
      </c>
      <c r="M454" s="9"/>
      <c r="N454" s="17"/>
      <c r="O454" s="17" t="str">
        <f t="shared" si="56"/>
        <v>Anthony Nguyen</v>
      </c>
      <c r="P454" s="17">
        <f>IFERROR(_xlfn.XLOOKUP(O454,'Department Listing'!$O$1:$O$395,'Department Listing'!$A$1:$A$395),IFERROR(_xlfn.XLOOKUP(O454,'Name Aliases'!$A$2:$A$1000,'Name Aliases'!$B$2:$B$1000),""))</f>
        <v>285</v>
      </c>
      <c r="Q454" s="18">
        <f t="shared" si="57"/>
        <v>46228</v>
      </c>
      <c r="R454" s="17" t="str">
        <f t="shared" si="58"/>
        <v>Uber</v>
      </c>
      <c r="S454" s="19">
        <f t="shared" si="59"/>
        <v>14.94</v>
      </c>
      <c r="T454" s="17" t="str">
        <f t="shared" si="60"/>
        <v>UBER   *TRIP MASTERCARD-XXXXXXY8ND1E-Anthony Nguyen</v>
      </c>
      <c r="U454" s="17" t="str">
        <f t="shared" si="61"/>
        <v>Brex Credit Card</v>
      </c>
      <c r="V454" s="19" t="str">
        <f>IF(ISBLANK($B454),"",IF(ISBLANK($K454),IF(_xlfn.XLOOKUP($W454,'Category Mapping'!$C:$C,'Category Mapping'!$B:$B)="Travel",_xlfn.XLOOKUP($P454,'Department Listing'!$A:$A,'Department Listing'!$M:$M),_xlfn.XLOOKUP($W454,'Category Mapping'!$C:$C,'Category Mapping'!$D:$D)),$K454))</f>
        <v>Cost of Goods Sold:COGS- Travel Expenses:</v>
      </c>
      <c r="W454" s="19" t="str">
        <f t="shared" si="62"/>
        <v>Ground Transportation</v>
      </c>
      <c r="X454" s="19" t="str">
        <f t="shared" si="63"/>
        <v>Cost of Goods Sold:COGS- Travel Expenses:Ground Transportation</v>
      </c>
      <c r="Y454" s="20" t="str">
        <f>IF(ISBLANK($M454),IFERROR(_xlfn.XLOOKUP($P454,'Department Listing'!$A:$A,'Department Listing'!$L:$L),""),$M454)</f>
        <v>200- Datadog:220- Engineering</v>
      </c>
      <c r="Z454" s="11">
        <f>IF(ISBLANK($B454),"",MATCH($X454,COA!$B:$B,0))</f>
        <v>124</v>
      </c>
    </row>
    <row r="455" spans="2:26" ht="15.75" customHeight="1" x14ac:dyDescent="0.25">
      <c r="B455" s="14">
        <v>46228</v>
      </c>
      <c r="C455" t="s">
        <v>654</v>
      </c>
      <c r="E455" s="23" t="s">
        <v>76</v>
      </c>
      <c r="F455" s="16">
        <v>9.43</v>
      </c>
      <c r="G455" s="10"/>
      <c r="H455" s="10"/>
      <c r="I455" s="9" t="s">
        <v>361</v>
      </c>
      <c r="J455" s="9"/>
      <c r="K455" s="9"/>
      <c r="L455" s="9" t="s">
        <v>78</v>
      </c>
      <c r="M455" s="9"/>
      <c r="N455" s="17"/>
      <c r="O455" s="17" t="str">
        <f t="shared" si="56"/>
        <v>Anthony Nguyen</v>
      </c>
      <c r="P455" s="17">
        <f>IFERROR(_xlfn.XLOOKUP(O455,'Department Listing'!$O$1:$O$395,'Department Listing'!$A$1:$A$395),IFERROR(_xlfn.XLOOKUP(O455,'Name Aliases'!$A$2:$A$1000,'Name Aliases'!$B$2:$B$1000),""))</f>
        <v>285</v>
      </c>
      <c r="Q455" s="18">
        <f t="shared" si="57"/>
        <v>46228</v>
      </c>
      <c r="R455" s="17" t="str">
        <f t="shared" si="58"/>
        <v>Star Market</v>
      </c>
      <c r="S455" s="19">
        <f t="shared" si="59"/>
        <v>9.43</v>
      </c>
      <c r="T455" s="17" t="str">
        <f t="shared" si="60"/>
        <v>STAR MARKET 2576 MASTERCARD-XXXXXXQ3O7G4-Anthony Nguyen</v>
      </c>
      <c r="U455" s="17" t="str">
        <f t="shared" si="61"/>
        <v>Brex Credit Card</v>
      </c>
      <c r="V455" s="19" t="str">
        <f>IF(ISBLANK($B455),"",IF(ISBLANK($K455),IF(_xlfn.XLOOKUP($W455,'Category Mapping'!$C:$C,'Category Mapping'!$B:$B)="Travel",_xlfn.XLOOKUP($P455,'Department Listing'!$A:$A,'Department Listing'!$M:$M),_xlfn.XLOOKUP($W455,'Category Mapping'!$C:$C,'Category Mapping'!$D:$D)),$K455))</f>
        <v>Cost of Goods Sold:COGS- Travel Expenses:</v>
      </c>
      <c r="W455" s="19" t="str">
        <f t="shared" si="62"/>
        <v>Meals &amp; Entertainment</v>
      </c>
      <c r="X455" s="19" t="str">
        <f t="shared" si="63"/>
        <v>Cost of Goods Sold:COGS- Travel Expenses:Meals &amp; Entertainment</v>
      </c>
      <c r="Y455" s="20" t="str">
        <f>IF(ISBLANK($M455),IFERROR(_xlfn.XLOOKUP($P455,'Department Listing'!$A:$A,'Department Listing'!$L:$L),""),$M455)</f>
        <v>200- Datadog:220- Engineering</v>
      </c>
      <c r="Z455" s="11">
        <f>IF(ISBLANK($B455),"",MATCH($X455,COA!$B:$B,0))</f>
        <v>126</v>
      </c>
    </row>
    <row r="456" spans="2:26" ht="15.75" customHeight="1" x14ac:dyDescent="0.25">
      <c r="B456" s="14">
        <v>46228</v>
      </c>
      <c r="C456" t="s">
        <v>655</v>
      </c>
      <c r="E456" s="23" t="s">
        <v>205</v>
      </c>
      <c r="F456" s="16">
        <v>4.8</v>
      </c>
      <c r="G456" s="10"/>
      <c r="H456" s="10"/>
      <c r="I456" s="9" t="s">
        <v>206</v>
      </c>
      <c r="J456" s="9"/>
      <c r="K456" s="9"/>
      <c r="L456" s="9" t="s">
        <v>66</v>
      </c>
      <c r="M456" s="9"/>
      <c r="N456" s="17"/>
      <c r="O456" s="17" t="str">
        <f t="shared" si="56"/>
        <v>Anthony Nguyen</v>
      </c>
      <c r="P456" s="17">
        <f>IFERROR(_xlfn.XLOOKUP(O456,'Department Listing'!$O$1:$O$395,'Department Listing'!$A$1:$A$395),IFERROR(_xlfn.XLOOKUP(O456,'Name Aliases'!$A$2:$A$1000,'Name Aliases'!$B$2:$B$1000),""))</f>
        <v>285</v>
      </c>
      <c r="Q456" s="18">
        <f t="shared" si="57"/>
        <v>46228</v>
      </c>
      <c r="R456" s="17" t="str">
        <f t="shared" si="58"/>
        <v>Mbta</v>
      </c>
      <c r="S456" s="19">
        <f t="shared" si="59"/>
        <v>4.8</v>
      </c>
      <c r="T456" s="17" t="str">
        <f t="shared" si="60"/>
        <v>MBTA COPLEY MASTERCARD-XXXXXXW2K1AJ-Anthony Nguyen</v>
      </c>
      <c r="U456" s="17" t="str">
        <f t="shared" si="61"/>
        <v>Brex Credit Card</v>
      </c>
      <c r="V456" s="19" t="str">
        <f>IF(ISBLANK($B456),"",IF(ISBLANK($K456),IF(_xlfn.XLOOKUP($W456,'Category Mapping'!$C:$C,'Category Mapping'!$B:$B)="Travel",_xlfn.XLOOKUP($P456,'Department Listing'!$A:$A,'Department Listing'!$M:$M),_xlfn.XLOOKUP($W456,'Category Mapping'!$C:$C,'Category Mapping'!$D:$D)),$K456))</f>
        <v>Cost of Goods Sold:COGS- Travel Expenses:</v>
      </c>
      <c r="W456" s="19" t="str">
        <f t="shared" si="62"/>
        <v>Ground Transportation</v>
      </c>
      <c r="X456" s="19" t="str">
        <f t="shared" si="63"/>
        <v>Cost of Goods Sold:COGS- Travel Expenses:Ground Transportation</v>
      </c>
      <c r="Y456" s="20" t="str">
        <f>IF(ISBLANK($M456),IFERROR(_xlfn.XLOOKUP($P456,'Department Listing'!$A:$A,'Department Listing'!$L:$L),""),$M456)</f>
        <v>200- Datadog:220- Engineering</v>
      </c>
      <c r="Z456" s="11">
        <f>IF(ISBLANK($B456),"",MATCH($X456,COA!$B:$B,0))</f>
        <v>124</v>
      </c>
    </row>
    <row r="457" spans="2:26" ht="15.75" customHeight="1" x14ac:dyDescent="0.25">
      <c r="B457" s="14">
        <v>46228</v>
      </c>
      <c r="C457" t="s">
        <v>656</v>
      </c>
      <c r="E457" s="23" t="s">
        <v>76</v>
      </c>
      <c r="F457" s="16">
        <v>15.87</v>
      </c>
      <c r="G457" s="10"/>
      <c r="H457" s="10"/>
      <c r="I457" s="9" t="s">
        <v>358</v>
      </c>
      <c r="J457" s="9"/>
      <c r="K457" s="9"/>
      <c r="L457" s="9" t="s">
        <v>78</v>
      </c>
      <c r="M457" s="9"/>
      <c r="N457" s="17"/>
      <c r="O457" s="17" t="str">
        <f t="shared" si="56"/>
        <v>James Dean</v>
      </c>
      <c r="P457" s="17">
        <f>IFERROR(_xlfn.XLOOKUP(O457,'Department Listing'!$O$1:$O$395,'Department Listing'!$A$1:$A$395),IFERROR(_xlfn.XLOOKUP(O457,'Name Aliases'!$A$2:$A$1000,'Name Aliases'!$B$2:$B$1000),""))</f>
        <v>270</v>
      </c>
      <c r="Q457" s="18">
        <f t="shared" si="57"/>
        <v>46228</v>
      </c>
      <c r="R457" s="17" t="str">
        <f t="shared" si="58"/>
        <v>Chick-Fil-A</v>
      </c>
      <c r="S457" s="19">
        <f t="shared" si="59"/>
        <v>15.87</v>
      </c>
      <c r="T457" s="17" t="str">
        <f t="shared" si="60"/>
        <v>CHICK-FIL-A #04205 MASTERCARD-XXXXXX13X4BK-James Dean</v>
      </c>
      <c r="U457" s="17" t="str">
        <f t="shared" si="61"/>
        <v>Brex Credit Card</v>
      </c>
      <c r="V457" s="19" t="str">
        <f>IF(ISBLANK($B457),"",IF(ISBLANK($K457),IF(_xlfn.XLOOKUP($W457,'Category Mapping'!$C:$C,'Category Mapping'!$B:$B)="Travel",_xlfn.XLOOKUP($P457,'Department Listing'!$A:$A,'Department Listing'!$M:$M),_xlfn.XLOOKUP($W457,'Category Mapping'!$C:$C,'Category Mapping'!$D:$D)),$K457))</f>
        <v>Sales &amp; Marketing:Sales &amp; Marketing- Travel Expenses:</v>
      </c>
      <c r="W457" s="19" t="str">
        <f t="shared" si="62"/>
        <v>Meals &amp; Entertainment</v>
      </c>
      <c r="X457" s="19" t="str">
        <f t="shared" si="63"/>
        <v>Sales &amp; Marketing:Sales &amp; Marketing- Travel Expenses:Meals &amp; Entertainment</v>
      </c>
      <c r="Y457" s="20" t="str">
        <f>IF(ISBLANK($M457),IFERROR(_xlfn.XLOOKUP($P457,'Department Listing'!$A:$A,'Department Listing'!$L:$L),""),$M457)</f>
        <v>200- Datadog:230- Sales</v>
      </c>
      <c r="Z457" s="11">
        <f>IF(ISBLANK($B457),"",MATCH($X457,COA!$B:$B,0))</f>
        <v>202</v>
      </c>
    </row>
    <row r="458" spans="2:26" ht="15.75" customHeight="1" x14ac:dyDescent="0.25">
      <c r="B458" s="14">
        <v>46228</v>
      </c>
      <c r="C458" t="s">
        <v>657</v>
      </c>
      <c r="E458" s="23" t="s">
        <v>201</v>
      </c>
      <c r="F458" s="16">
        <v>22.3</v>
      </c>
      <c r="G458" s="10"/>
      <c r="H458" s="10"/>
      <c r="I458" s="9" t="s">
        <v>312</v>
      </c>
      <c r="J458" s="9"/>
      <c r="K458" s="9"/>
      <c r="L458" s="9" t="s">
        <v>127</v>
      </c>
      <c r="M458" s="9"/>
      <c r="N458" s="17"/>
      <c r="O458" s="17" t="str">
        <f t="shared" si="56"/>
        <v>Jeremy Pope</v>
      </c>
      <c r="P458" s="17">
        <f>IFERROR(_xlfn.XLOOKUP(O458,'Department Listing'!$O$1:$O$395,'Department Listing'!$A$1:$A$395),IFERROR(_xlfn.XLOOKUP(O458,'Name Aliases'!$A$2:$A$1000,'Name Aliases'!$B$2:$B$1000),""))</f>
        <v>244</v>
      </c>
      <c r="Q458" s="18">
        <f t="shared" si="57"/>
        <v>46228</v>
      </c>
      <c r="R458" s="17" t="str">
        <f t="shared" si="58"/>
        <v>Amazon</v>
      </c>
      <c r="S458" s="19">
        <f t="shared" si="59"/>
        <v>22.3</v>
      </c>
      <c r="T458" s="17" t="str">
        <f t="shared" si="60"/>
        <v>AMAZON MKTPL*1T1RN5UT3 MASTERCARD-XXXXXXC1V5ET-Jeremy Pope</v>
      </c>
      <c r="U458" s="17" t="str">
        <f t="shared" si="61"/>
        <v>Brex Credit Card</v>
      </c>
      <c r="V458" s="19" t="str">
        <f>IF(ISBLANK($B458),"",IF(ISBLANK($K458),IF(_xlfn.XLOOKUP($W458,'Category Mapping'!$C:$C,'Category Mapping'!$B:$B)="Travel",_xlfn.XLOOKUP($P458,'Department Listing'!$A:$A,'Department Listing'!$M:$M),_xlfn.XLOOKUP($W458,'Category Mapping'!$C:$C,'Category Mapping'!$D:$D)),$K458))</f>
        <v>General &amp; Administrative:Office Expenses:</v>
      </c>
      <c r="W458" s="19" t="str">
        <f t="shared" si="62"/>
        <v>Office Supplies</v>
      </c>
      <c r="X458" s="19" t="str">
        <f t="shared" si="63"/>
        <v>General &amp; Administrative:Office Expenses:Office Supplies</v>
      </c>
      <c r="Y458" s="20" t="str">
        <f>IF(ISBLANK($M458),IFERROR(_xlfn.XLOOKUP($P458,'Department Listing'!$A:$A,'Department Listing'!$L:$L),""),$M458)</f>
        <v>200- Datadog:220- Engineering</v>
      </c>
      <c r="Z458" s="11">
        <f>IF(ISBLANK($B458),"",MATCH($X458,COA!$B:$B,0))</f>
        <v>161</v>
      </c>
    </row>
    <row r="459" spans="2:26" ht="15.75" customHeight="1" x14ac:dyDescent="0.25">
      <c r="B459" s="14">
        <v>46228</v>
      </c>
      <c r="C459" t="s">
        <v>658</v>
      </c>
      <c r="E459" s="23"/>
      <c r="F459" s="16">
        <v>4464.7</v>
      </c>
      <c r="G459" s="10"/>
      <c r="H459" s="10"/>
      <c r="I459" s="9" t="s">
        <v>36</v>
      </c>
      <c r="J459" s="9"/>
      <c r="K459" s="9"/>
      <c r="L459" s="9" t="s">
        <v>78</v>
      </c>
      <c r="M459" s="9"/>
      <c r="N459" s="17"/>
      <c r="O459" s="17" t="str">
        <f t="shared" si="56"/>
        <v>Mickenzi Krpec</v>
      </c>
      <c r="P459" s="17">
        <f>IFERROR(_xlfn.XLOOKUP(O459,'Department Listing'!$O$1:$O$395,'Department Listing'!$A$1:$A$395),IFERROR(_xlfn.XLOOKUP(O459,'Name Aliases'!$A$2:$A$1000,'Name Aliases'!$B$2:$B$1000),""))</f>
        <v>170</v>
      </c>
      <c r="Q459" s="18">
        <f t="shared" si="57"/>
        <v>46228</v>
      </c>
      <c r="R459" s="17" t="str">
        <f t="shared" si="58"/>
        <v>Food Vendor</v>
      </c>
      <c r="S459" s="19">
        <f t="shared" si="59"/>
        <v>4464.7</v>
      </c>
      <c r="T459" s="17" t="str">
        <f t="shared" si="60"/>
        <v>KOWLOON RESTAURANT MASTERCARD-XXXXXX7B42K2-Mickenzi Krpec</v>
      </c>
      <c r="U459" s="17" t="str">
        <f t="shared" si="61"/>
        <v>Brex Credit Card</v>
      </c>
      <c r="V459" s="19" t="str">
        <f>IF(ISBLANK($B459),"",IF(ISBLANK($K459),IF(_xlfn.XLOOKUP($W459,'Category Mapping'!$C:$C,'Category Mapping'!$B:$B)="Travel",_xlfn.XLOOKUP($P459,'Department Listing'!$A:$A,'Department Listing'!$M:$M),_xlfn.XLOOKUP($W459,'Category Mapping'!$C:$C,'Category Mapping'!$D:$D)),$K459))</f>
        <v>General &amp; Administrative:G&amp;A- Travel Expenses:</v>
      </c>
      <c r="W459" s="19" t="str">
        <f t="shared" si="62"/>
        <v>Meals &amp; Entertainment</v>
      </c>
      <c r="X459" s="19" t="str">
        <f t="shared" si="63"/>
        <v>General &amp; Administrative:G&amp;A- Travel Expenses:Meals &amp; Entertainment</v>
      </c>
      <c r="Y459" s="20" t="str">
        <f>IF(ISBLANK($M459),IFERROR(_xlfn.XLOOKUP($P459,'Department Listing'!$A:$A,'Department Listing'!$L:$L),""),$M459)</f>
        <v>100- Operations:110- G&amp;A</v>
      </c>
      <c r="Z459" s="11">
        <f>IF(ISBLANK($B459),"",MATCH($X459,COA!$B:$B,0))</f>
        <v>151</v>
      </c>
    </row>
    <row r="460" spans="2:26" ht="15.75" customHeight="1" x14ac:dyDescent="0.25">
      <c r="B460" s="14">
        <v>46228</v>
      </c>
      <c r="C460" t="s">
        <v>659</v>
      </c>
      <c r="E460" s="23"/>
      <c r="F460" s="16">
        <v>88.48</v>
      </c>
      <c r="G460" s="10"/>
      <c r="H460" s="10"/>
      <c r="I460" s="9" t="s">
        <v>36</v>
      </c>
      <c r="J460" s="9"/>
      <c r="K460" s="9"/>
      <c r="L460" s="9" t="s">
        <v>78</v>
      </c>
      <c r="M460" s="9"/>
      <c r="N460" s="17"/>
      <c r="O460" s="17" t="str">
        <f t="shared" si="56"/>
        <v>Jackson Donahoe</v>
      </c>
      <c r="P460" s="17">
        <f>IFERROR(_xlfn.XLOOKUP(O460,'Department Listing'!$O$1:$O$395,'Department Listing'!$A$1:$A$395),IFERROR(_xlfn.XLOOKUP(O460,'Name Aliases'!$A$2:$A$1000,'Name Aliases'!$B$2:$B$1000),""))</f>
        <v>143</v>
      </c>
      <c r="Q460" s="18">
        <f t="shared" si="57"/>
        <v>46228</v>
      </c>
      <c r="R460" s="17" t="str">
        <f t="shared" si="58"/>
        <v>Food Vendor</v>
      </c>
      <c r="S460" s="19">
        <f t="shared" si="59"/>
        <v>88.48</v>
      </c>
      <c r="T460" s="17" t="str">
        <f t="shared" si="60"/>
        <v>BROADSIDE TAVERN MASTERCARD-XXXXXXYX8BZA-Jackson Donahoe</v>
      </c>
      <c r="U460" s="17" t="str">
        <f t="shared" si="61"/>
        <v>Brex Credit Card</v>
      </c>
      <c r="V460" s="19" t="str">
        <f>IF(ISBLANK($B460),"",IF(ISBLANK($K460),IF(_xlfn.XLOOKUP($W460,'Category Mapping'!$C:$C,'Category Mapping'!$B:$B)="Travel",_xlfn.XLOOKUP($P460,'Department Listing'!$A:$A,'Department Listing'!$M:$M),_xlfn.XLOOKUP($W460,'Category Mapping'!$C:$C,'Category Mapping'!$D:$D)),$K460))</f>
        <v>Sales &amp; Marketing:Sales &amp; Marketing- Travel Expenses:</v>
      </c>
      <c r="W460" s="19" t="str">
        <f t="shared" si="62"/>
        <v>Meals &amp; Entertainment</v>
      </c>
      <c r="X460" s="19" t="str">
        <f t="shared" si="63"/>
        <v>Sales &amp; Marketing:Sales &amp; Marketing- Travel Expenses:Meals &amp; Entertainment</v>
      </c>
      <c r="Y460" s="20" t="str">
        <f>IF(ISBLANK($M460),IFERROR(_xlfn.XLOOKUP($P460,'Department Listing'!$A:$A,'Department Listing'!$L:$L),""),$M460)</f>
        <v>200- Datadog:230- Sales</v>
      </c>
      <c r="Z460" s="11">
        <f>IF(ISBLANK($B460),"",MATCH($X460,COA!$B:$B,0))</f>
        <v>202</v>
      </c>
    </row>
    <row r="461" spans="2:26" ht="15.75" customHeight="1" x14ac:dyDescent="0.25">
      <c r="B461" s="14">
        <v>46228</v>
      </c>
      <c r="C461" t="s">
        <v>660</v>
      </c>
      <c r="E461" s="23" t="s">
        <v>153</v>
      </c>
      <c r="F461" s="16">
        <v>1527.98</v>
      </c>
      <c r="G461" s="10"/>
      <c r="H461" s="10"/>
      <c r="I461" s="9" t="s">
        <v>661</v>
      </c>
      <c r="J461" s="9"/>
      <c r="K461" s="9"/>
      <c r="L461" s="9" t="s">
        <v>155</v>
      </c>
      <c r="M461" s="9"/>
      <c r="N461" s="17"/>
      <c r="O461" s="17" t="str">
        <f t="shared" si="56"/>
        <v>Ryan Henrich</v>
      </c>
      <c r="P461" s="17">
        <f>IFERROR(_xlfn.XLOOKUP(O461,'Department Listing'!$O$1:$O$395,'Department Listing'!$A$1:$A$395),IFERROR(_xlfn.XLOOKUP(O461,'Name Aliases'!$A$2:$A$1000,'Name Aliases'!$B$2:$B$1000),""))</f>
        <v>154</v>
      </c>
      <c r="Q461" s="18">
        <f t="shared" si="57"/>
        <v>46228</v>
      </c>
      <c r="R461" s="17" t="str">
        <f t="shared" si="58"/>
        <v>The Liberty Hotel</v>
      </c>
      <c r="S461" s="19">
        <f t="shared" si="59"/>
        <v>1527.98</v>
      </c>
      <c r="T461" s="17" t="str">
        <f t="shared" si="60"/>
        <v>THE LIBERTY HOTEL MASTERCARD-XXXXXXJO1V8U-Ryan Henrich</v>
      </c>
      <c r="U461" s="17" t="str">
        <f t="shared" si="61"/>
        <v>Brex Credit Card</v>
      </c>
      <c r="V461" s="19" t="str">
        <f>IF(ISBLANK($B461),"",IF(ISBLANK($K461),IF(_xlfn.XLOOKUP($W461,'Category Mapping'!$C:$C,'Category Mapping'!$B:$B)="Travel",_xlfn.XLOOKUP($P461,'Department Listing'!$A:$A,'Department Listing'!$M:$M),_xlfn.XLOOKUP($W461,'Category Mapping'!$C:$C,'Category Mapping'!$D:$D)),$K461))</f>
        <v>Sales &amp; Marketing:Sales &amp; Marketing- Travel Expenses:</v>
      </c>
      <c r="W461" s="19" t="str">
        <f t="shared" si="62"/>
        <v>Lodging</v>
      </c>
      <c r="X461" s="19" t="str">
        <f t="shared" si="63"/>
        <v>Sales &amp; Marketing:Sales &amp; Marketing- Travel Expenses:Lodging</v>
      </c>
      <c r="Y461" s="20" t="str">
        <f>IF(ISBLANK($M461),IFERROR(_xlfn.XLOOKUP($P461,'Department Listing'!$A:$A,'Department Listing'!$L:$L),""),$M461)</f>
        <v>200- Datadog:230- Sales</v>
      </c>
      <c r="Z461" s="11">
        <f>IF(ISBLANK($B461),"",MATCH($X461,COA!$B:$B,0))</f>
        <v>201</v>
      </c>
    </row>
    <row r="462" spans="2:26" ht="15.75" customHeight="1" x14ac:dyDescent="0.25">
      <c r="B462" s="24">
        <v>46228</v>
      </c>
      <c r="C462" s="10" t="s">
        <v>662</v>
      </c>
      <c r="D462" s="10"/>
      <c r="E462" s="25"/>
      <c r="F462" s="10">
        <v>40</v>
      </c>
      <c r="G462" s="10"/>
      <c r="H462" s="10"/>
      <c r="I462" s="9" t="s">
        <v>257</v>
      </c>
      <c r="J462" s="9"/>
      <c r="K462" s="9"/>
      <c r="L462" s="9" t="s">
        <v>165</v>
      </c>
      <c r="M462" s="9"/>
      <c r="N462" s="17"/>
      <c r="O462" s="17" t="str">
        <f t="shared" si="56"/>
        <v>Matthew Morris</v>
      </c>
      <c r="P462" s="17">
        <f>IFERROR(_xlfn.XLOOKUP(O462,'Department Listing'!$O$1:$O$395,'Department Listing'!$A$1:$A$395),IFERROR(_xlfn.XLOOKUP(O462,'Name Aliases'!$A$2:$A$1000,'Name Aliases'!$B$2:$B$1000),""))</f>
        <v>67</v>
      </c>
      <c r="Q462" s="18">
        <f t="shared" si="57"/>
        <v>46228</v>
      </c>
      <c r="R462" s="17" t="str">
        <f t="shared" si="58"/>
        <v>Southwest Air</v>
      </c>
      <c r="S462" s="19">
        <f t="shared" si="59"/>
        <v>40</v>
      </c>
      <c r="T462" s="17" t="str">
        <f t="shared" si="60"/>
        <v>SOUTHWES MASTERCARD-XXXXXXEIOZHI-Matthew Morris</v>
      </c>
      <c r="U462" s="17" t="str">
        <f t="shared" si="61"/>
        <v>Brex Credit Card</v>
      </c>
      <c r="V462" s="19" t="str">
        <f>IF(ISBLANK($B462),"",IF(ISBLANK($K462),IF(_xlfn.XLOOKUP($W462,'Category Mapping'!$C:$C,'Category Mapping'!$B:$B)="Travel",_xlfn.XLOOKUP($P462,'Department Listing'!$A:$A,'Department Listing'!$M:$M),_xlfn.XLOOKUP($W462,'Category Mapping'!$C:$C,'Category Mapping'!$D:$D)),$K462))</f>
        <v>Sales &amp; Marketing:Sales &amp; Marketing- Travel Expenses:</v>
      </c>
      <c r="W462" s="19" t="str">
        <f t="shared" si="62"/>
        <v>Airfare</v>
      </c>
      <c r="X462" s="19" t="str">
        <f t="shared" si="63"/>
        <v>Sales &amp; Marketing:Sales &amp; Marketing- Travel Expenses:Airfare</v>
      </c>
      <c r="Y462" s="20" t="str">
        <f>IF(ISBLANK($M462),IFERROR(_xlfn.XLOOKUP($P462,'Department Listing'!$A:$A,'Department Listing'!$L:$L),""),$M462)</f>
        <v>300- ServiceNow:330- Sales</v>
      </c>
      <c r="Z462" s="11">
        <f>IF(ISBLANK($B462),"",MATCH($X462,COA!$B:$B,0))</f>
        <v>199</v>
      </c>
    </row>
    <row r="463" spans="2:26" ht="15.75" customHeight="1" x14ac:dyDescent="0.25">
      <c r="B463" s="24">
        <v>46228</v>
      </c>
      <c r="C463" s="10" t="s">
        <v>663</v>
      </c>
      <c r="D463" s="10"/>
      <c r="E463" s="25"/>
      <c r="F463" s="10">
        <v>40</v>
      </c>
      <c r="G463" s="10"/>
      <c r="H463" s="10"/>
      <c r="I463" s="9" t="s">
        <v>257</v>
      </c>
      <c r="J463" s="9"/>
      <c r="K463" s="9"/>
      <c r="L463" s="9" t="s">
        <v>165</v>
      </c>
      <c r="M463" s="9"/>
      <c r="N463" s="17"/>
      <c r="O463" s="17" t="str">
        <f t="shared" si="56"/>
        <v>Matthew Morris</v>
      </c>
      <c r="P463" s="17">
        <f>IFERROR(_xlfn.XLOOKUP(O463,'Department Listing'!$O$1:$O$395,'Department Listing'!$A$1:$A$395),IFERROR(_xlfn.XLOOKUP(O463,'Name Aliases'!$A$2:$A$1000,'Name Aliases'!$B$2:$B$1000),""))</f>
        <v>67</v>
      </c>
      <c r="Q463" s="18">
        <f t="shared" si="57"/>
        <v>46228</v>
      </c>
      <c r="R463" s="17" t="str">
        <f t="shared" si="58"/>
        <v>Southwest Air</v>
      </c>
      <c r="S463" s="19">
        <f t="shared" si="59"/>
        <v>40</v>
      </c>
      <c r="T463" s="17" t="str">
        <f t="shared" si="60"/>
        <v>SOUTHWES MASTERCARD-XXXXXXHTW44U-Matthew Morris</v>
      </c>
      <c r="U463" s="17" t="str">
        <f t="shared" si="61"/>
        <v>Brex Credit Card</v>
      </c>
      <c r="V463" s="19" t="str">
        <f>IF(ISBLANK($B463),"",IF(ISBLANK($K463),IF(_xlfn.XLOOKUP($W463,'Category Mapping'!$C:$C,'Category Mapping'!$B:$B)="Travel",_xlfn.XLOOKUP($P463,'Department Listing'!$A:$A,'Department Listing'!$M:$M),_xlfn.XLOOKUP($W463,'Category Mapping'!$C:$C,'Category Mapping'!$D:$D)),$K463))</f>
        <v>Sales &amp; Marketing:Sales &amp; Marketing- Travel Expenses:</v>
      </c>
      <c r="W463" s="19" t="str">
        <f t="shared" si="62"/>
        <v>Airfare</v>
      </c>
      <c r="X463" s="19" t="str">
        <f t="shared" si="63"/>
        <v>Sales &amp; Marketing:Sales &amp; Marketing- Travel Expenses:Airfare</v>
      </c>
      <c r="Y463" s="20" t="str">
        <f>IF(ISBLANK($M463),IFERROR(_xlfn.XLOOKUP($P463,'Department Listing'!$A:$A,'Department Listing'!$L:$L),""),$M463)</f>
        <v>300- ServiceNow:330- Sales</v>
      </c>
      <c r="Z463" s="11">
        <f>IF(ISBLANK($B463),"",MATCH($X463,COA!$B:$B,0))</f>
        <v>199</v>
      </c>
    </row>
    <row r="464" spans="2:26" ht="15.75" customHeight="1" x14ac:dyDescent="0.25">
      <c r="B464" s="24">
        <v>46228</v>
      </c>
      <c r="C464" s="10" t="s">
        <v>664</v>
      </c>
      <c r="D464" s="10"/>
      <c r="E464" s="25"/>
      <c r="F464" s="10">
        <v>421.6</v>
      </c>
      <c r="G464" s="10"/>
      <c r="H464" s="10"/>
      <c r="I464" s="9" t="s">
        <v>257</v>
      </c>
      <c r="J464" s="9"/>
      <c r="K464" s="9"/>
      <c r="L464" s="9" t="s">
        <v>165</v>
      </c>
      <c r="M464" s="9"/>
      <c r="N464" s="17"/>
      <c r="O464" s="17" t="str">
        <f t="shared" si="56"/>
        <v>Matthew Morris</v>
      </c>
      <c r="P464" s="17">
        <f>IFERROR(_xlfn.XLOOKUP(O464,'Department Listing'!$O$1:$O$395,'Department Listing'!$A$1:$A$395),IFERROR(_xlfn.XLOOKUP(O464,'Name Aliases'!$A$2:$A$1000,'Name Aliases'!$B$2:$B$1000),""))</f>
        <v>67</v>
      </c>
      <c r="Q464" s="18">
        <f t="shared" si="57"/>
        <v>46228</v>
      </c>
      <c r="R464" s="17" t="str">
        <f t="shared" si="58"/>
        <v>Southwest Air</v>
      </c>
      <c r="S464" s="19">
        <f t="shared" si="59"/>
        <v>421.6</v>
      </c>
      <c r="T464" s="17" t="str">
        <f t="shared" si="60"/>
        <v>SOUTHWES MASTERCARD-XXXXXX61JKF2-Matthew Morris</v>
      </c>
      <c r="U464" s="17" t="str">
        <f t="shared" si="61"/>
        <v>Brex Credit Card</v>
      </c>
      <c r="V464" s="19" t="str">
        <f>IF(ISBLANK($B464),"",IF(ISBLANK($K464),IF(_xlfn.XLOOKUP($W464,'Category Mapping'!$C:$C,'Category Mapping'!$B:$B)="Travel",_xlfn.XLOOKUP($P464,'Department Listing'!$A:$A,'Department Listing'!$M:$M),_xlfn.XLOOKUP($W464,'Category Mapping'!$C:$C,'Category Mapping'!$D:$D)),$K464))</f>
        <v>Sales &amp; Marketing:Sales &amp; Marketing- Travel Expenses:</v>
      </c>
      <c r="W464" s="19" t="str">
        <f t="shared" si="62"/>
        <v>Airfare</v>
      </c>
      <c r="X464" s="19" t="str">
        <f t="shared" si="63"/>
        <v>Sales &amp; Marketing:Sales &amp; Marketing- Travel Expenses:Airfare</v>
      </c>
      <c r="Y464" s="20" t="str">
        <f>IF(ISBLANK($M464),IFERROR(_xlfn.XLOOKUP($P464,'Department Listing'!$A:$A,'Department Listing'!$L:$L),""),$M464)</f>
        <v>300- ServiceNow:330- Sales</v>
      </c>
      <c r="Z464" s="11">
        <f>IF(ISBLANK($B464),"",MATCH($X464,COA!$B:$B,0))</f>
        <v>199</v>
      </c>
    </row>
    <row r="465" spans="2:26" ht="15.75" customHeight="1" x14ac:dyDescent="0.25">
      <c r="B465" s="24">
        <v>46228</v>
      </c>
      <c r="C465" s="10" t="s">
        <v>665</v>
      </c>
      <c r="D465" s="10"/>
      <c r="E465" s="25"/>
      <c r="F465" s="10">
        <v>31</v>
      </c>
      <c r="G465" s="10"/>
      <c r="H465" s="10"/>
      <c r="I465" s="9" t="s">
        <v>257</v>
      </c>
      <c r="J465" s="9"/>
      <c r="K465" s="9"/>
      <c r="L465" s="9" t="s">
        <v>165</v>
      </c>
      <c r="M465" s="9"/>
      <c r="N465" s="17"/>
      <c r="O465" s="17" t="str">
        <f t="shared" si="56"/>
        <v>Matthew Morris</v>
      </c>
      <c r="P465" s="17">
        <f>IFERROR(_xlfn.XLOOKUP(O465,'Department Listing'!$O$1:$O$395,'Department Listing'!$A$1:$A$395),IFERROR(_xlfn.XLOOKUP(O465,'Name Aliases'!$A$2:$A$1000,'Name Aliases'!$B$2:$B$1000),""))</f>
        <v>67</v>
      </c>
      <c r="Q465" s="18">
        <f t="shared" si="57"/>
        <v>46228</v>
      </c>
      <c r="R465" s="17" t="str">
        <f t="shared" si="58"/>
        <v>Southwest Air</v>
      </c>
      <c r="S465" s="19">
        <f t="shared" si="59"/>
        <v>31</v>
      </c>
      <c r="T465" s="17" t="str">
        <f t="shared" si="60"/>
        <v>SOUTHWES MASTERCARD-XXXXXXGTJQR2-Matthew Morris</v>
      </c>
      <c r="U465" s="17" t="str">
        <f t="shared" si="61"/>
        <v>Brex Credit Card</v>
      </c>
      <c r="V465" s="19" t="str">
        <f>IF(ISBLANK($B465),"",IF(ISBLANK($K465),IF(_xlfn.XLOOKUP($W465,'Category Mapping'!$C:$C,'Category Mapping'!$B:$B)="Travel",_xlfn.XLOOKUP($P465,'Department Listing'!$A:$A,'Department Listing'!$M:$M),_xlfn.XLOOKUP($W465,'Category Mapping'!$C:$C,'Category Mapping'!$D:$D)),$K465))</f>
        <v>Sales &amp; Marketing:Sales &amp; Marketing- Travel Expenses:</v>
      </c>
      <c r="W465" s="19" t="str">
        <f t="shared" si="62"/>
        <v>Airfare</v>
      </c>
      <c r="X465" s="19" t="str">
        <f t="shared" si="63"/>
        <v>Sales &amp; Marketing:Sales &amp; Marketing- Travel Expenses:Airfare</v>
      </c>
      <c r="Y465" s="20" t="str">
        <f>IF(ISBLANK($M465),IFERROR(_xlfn.XLOOKUP($P465,'Department Listing'!$A:$A,'Department Listing'!$L:$L),""),$M465)</f>
        <v>300- ServiceNow:330- Sales</v>
      </c>
      <c r="Z465" s="11">
        <f>IF(ISBLANK($B465),"",MATCH($X465,COA!$B:$B,0))</f>
        <v>199</v>
      </c>
    </row>
    <row r="466" spans="2:26" ht="15.75" customHeight="1" x14ac:dyDescent="0.25">
      <c r="B466" s="24">
        <v>46228</v>
      </c>
      <c r="C466" s="10" t="s">
        <v>666</v>
      </c>
      <c r="D466" s="10"/>
      <c r="E466" s="25"/>
      <c r="F466" s="10">
        <v>137.35</v>
      </c>
      <c r="G466" s="10"/>
      <c r="H466" s="10"/>
      <c r="I466" s="9" t="s">
        <v>607</v>
      </c>
      <c r="J466" s="9"/>
      <c r="K466" s="9"/>
      <c r="L466" s="9" t="s">
        <v>155</v>
      </c>
      <c r="M466" s="9"/>
      <c r="N466" s="17"/>
      <c r="O466" s="17" t="str">
        <f t="shared" si="56"/>
        <v>Colin Galanaugh</v>
      </c>
      <c r="P466" s="17">
        <f>IFERROR(_xlfn.XLOOKUP(O466,'Department Listing'!$O$1:$O$395,'Department Listing'!$A$1:$A$395),IFERROR(_xlfn.XLOOKUP(O466,'Name Aliases'!$A$2:$A$1000,'Name Aliases'!$B$2:$B$1000),""))</f>
        <v>19</v>
      </c>
      <c r="Q466" s="18">
        <f t="shared" si="57"/>
        <v>46228</v>
      </c>
      <c r="R466" s="17" t="str">
        <f t="shared" si="58"/>
        <v>Hotel Vendor</v>
      </c>
      <c r="S466" s="19">
        <f t="shared" si="59"/>
        <v>137.35</v>
      </c>
      <c r="T466" s="17" t="str">
        <f t="shared" si="60"/>
        <v>THE ENVOY HOTEL FB MASTERCARD-XXXXXX9W0CUX-Colin Galanaugh</v>
      </c>
      <c r="U466" s="17" t="str">
        <f t="shared" si="61"/>
        <v>Brex Credit Card</v>
      </c>
      <c r="V466" s="19" t="str">
        <f>IF(ISBLANK($B466),"",IF(ISBLANK($K466),IF(_xlfn.XLOOKUP($W466,'Category Mapping'!$C:$C,'Category Mapping'!$B:$B)="Travel",_xlfn.XLOOKUP($P466,'Department Listing'!$A:$A,'Department Listing'!$M:$M),_xlfn.XLOOKUP($W466,'Category Mapping'!$C:$C,'Category Mapping'!$D:$D)),$K466))</f>
        <v>Sales &amp; Marketing:Sales &amp; Marketing- Travel Expenses:</v>
      </c>
      <c r="W466" s="19" t="str">
        <f t="shared" si="62"/>
        <v>Lodging</v>
      </c>
      <c r="X466" s="19" t="str">
        <f t="shared" si="63"/>
        <v>Sales &amp; Marketing:Sales &amp; Marketing- Travel Expenses:Lodging</v>
      </c>
      <c r="Y466" s="20" t="str">
        <f>IF(ISBLANK($M466),IFERROR(_xlfn.XLOOKUP($P466,'Department Listing'!$A:$A,'Department Listing'!$L:$L),""),$M466)</f>
        <v>200- Datadog:230- Sales</v>
      </c>
      <c r="Z466" s="11">
        <f>IF(ISBLANK($B466),"",MATCH($X466,COA!$B:$B,0))</f>
        <v>201</v>
      </c>
    </row>
    <row r="467" spans="2:26" ht="15.75" customHeight="1" x14ac:dyDescent="0.25">
      <c r="B467" s="24">
        <v>46230</v>
      </c>
      <c r="C467" s="10" t="s">
        <v>667</v>
      </c>
      <c r="D467" s="10"/>
      <c r="E467" s="25" t="s">
        <v>201</v>
      </c>
      <c r="F467" s="10">
        <v>48.2</v>
      </c>
      <c r="G467" s="10"/>
      <c r="H467" s="10"/>
      <c r="I467" s="9" t="s">
        <v>312</v>
      </c>
      <c r="J467" s="9"/>
      <c r="K467" s="9"/>
      <c r="L467" s="9" t="s">
        <v>127</v>
      </c>
      <c r="M467" s="9"/>
      <c r="N467" s="17"/>
      <c r="O467" s="17" t="str">
        <f t="shared" si="56"/>
        <v>Jeremy Pope</v>
      </c>
      <c r="P467" s="17">
        <f>IFERROR(_xlfn.XLOOKUP(O467,'Department Listing'!$O$1:$O$395,'Department Listing'!$A$1:$A$395),IFERROR(_xlfn.XLOOKUP(O467,'Name Aliases'!$A$2:$A$1000,'Name Aliases'!$B$2:$B$1000),""))</f>
        <v>244</v>
      </c>
      <c r="Q467" s="18">
        <f t="shared" si="57"/>
        <v>46230</v>
      </c>
      <c r="R467" s="17" t="str">
        <f t="shared" si="58"/>
        <v>Amazon</v>
      </c>
      <c r="S467" s="19">
        <f t="shared" si="59"/>
        <v>48.2</v>
      </c>
      <c r="T467" s="17" t="str">
        <f t="shared" si="60"/>
        <v>AMAZON MKTPL*6W7JQ0RA3 MASTERCARD-XXXXXXMBVWNZ-Jeremy Pope</v>
      </c>
      <c r="U467" s="17" t="str">
        <f t="shared" si="61"/>
        <v>Brex Credit Card</v>
      </c>
      <c r="V467" s="19" t="str">
        <f>IF(ISBLANK($B467),"",IF(ISBLANK($K467),IF(_xlfn.XLOOKUP($W467,'Category Mapping'!$C:$C,'Category Mapping'!$B:$B)="Travel",_xlfn.XLOOKUP($P467,'Department Listing'!$A:$A,'Department Listing'!$M:$M),_xlfn.XLOOKUP($W467,'Category Mapping'!$C:$C,'Category Mapping'!$D:$D)),$K467))</f>
        <v>General &amp; Administrative:Office Expenses:</v>
      </c>
      <c r="W467" s="19" t="str">
        <f t="shared" si="62"/>
        <v>Office Supplies</v>
      </c>
      <c r="X467" s="19" t="str">
        <f t="shared" si="63"/>
        <v>General &amp; Administrative:Office Expenses:Office Supplies</v>
      </c>
      <c r="Y467" s="20" t="str">
        <f>IF(ISBLANK($M467),IFERROR(_xlfn.XLOOKUP($P467,'Department Listing'!$A:$A,'Department Listing'!$L:$L),""),$M467)</f>
        <v>200- Datadog:220- Engineering</v>
      </c>
      <c r="Z467" s="11">
        <f>IF(ISBLANK($B467),"",MATCH($X467,COA!$B:$B,0))</f>
        <v>161</v>
      </c>
    </row>
    <row r="468" spans="2:26" ht="15.75" customHeight="1" x14ac:dyDescent="0.25">
      <c r="B468" s="24">
        <v>46230</v>
      </c>
      <c r="C468" s="10" t="s">
        <v>668</v>
      </c>
      <c r="D468" s="10"/>
      <c r="E468" s="25" t="s">
        <v>64</v>
      </c>
      <c r="F468" s="10">
        <v>447.69</v>
      </c>
      <c r="G468" s="10"/>
      <c r="H468" s="10"/>
      <c r="I468" s="9" t="s">
        <v>669</v>
      </c>
      <c r="J468" s="9"/>
      <c r="K468" s="9"/>
      <c r="L468" s="9" t="s">
        <v>66</v>
      </c>
      <c r="M468" s="9"/>
      <c r="N468" s="17"/>
      <c r="O468" s="17" t="str">
        <f t="shared" si="56"/>
        <v>Gary Passaglia</v>
      </c>
      <c r="P468" s="17">
        <f>IFERROR(_xlfn.XLOOKUP(O468,'Department Listing'!$O$1:$O$395,'Department Listing'!$A$1:$A$395),IFERROR(_xlfn.XLOOKUP(O468,'Name Aliases'!$A$2:$A$1000,'Name Aliases'!$B$2:$B$1000),""))</f>
        <v>148</v>
      </c>
      <c r="Q468" s="18">
        <f t="shared" si="57"/>
        <v>46230</v>
      </c>
      <c r="R468" s="17" t="str">
        <f t="shared" si="58"/>
        <v>Hertz</v>
      </c>
      <c r="S468" s="19">
        <f t="shared" si="59"/>
        <v>447.69</v>
      </c>
      <c r="T468" s="17" t="str">
        <f t="shared" si="60"/>
        <v>HERTZ CAR RENTAL MASTERCARD-XXXXXXKJXL35-Gary Passaglia</v>
      </c>
      <c r="U468" s="17" t="str">
        <f t="shared" si="61"/>
        <v>Brex Credit Card</v>
      </c>
      <c r="V468" s="19" t="str">
        <f>IF(ISBLANK($B468),"",IF(ISBLANK($K468),IF(_xlfn.XLOOKUP($W468,'Category Mapping'!$C:$C,'Category Mapping'!$B:$B)="Travel",_xlfn.XLOOKUP($P468,'Department Listing'!$A:$A,'Department Listing'!$M:$M),_xlfn.XLOOKUP($W468,'Category Mapping'!$C:$C,'Category Mapping'!$D:$D)),$K468))</f>
        <v>Sales &amp; Marketing:Sales &amp; Marketing- Travel Expenses:</v>
      </c>
      <c r="W468" s="19" t="str">
        <f t="shared" si="62"/>
        <v>Ground Transportation</v>
      </c>
      <c r="X468" s="19" t="str">
        <f t="shared" si="63"/>
        <v>Sales &amp; Marketing:Sales &amp; Marketing- Travel Expenses:Ground Transportation</v>
      </c>
      <c r="Y468" s="20" t="str">
        <f>IF(ISBLANK($M468),IFERROR(_xlfn.XLOOKUP($P468,'Department Listing'!$A:$A,'Department Listing'!$L:$L),""),$M468)</f>
        <v>300- ServiceNow:330- Sales</v>
      </c>
      <c r="Z468" s="11">
        <f>IF(ISBLANK($B468),"",MATCH($X468,COA!$B:$B,0))</f>
        <v>200</v>
      </c>
    </row>
    <row r="469" spans="2:26" ht="15.75" customHeight="1" x14ac:dyDescent="0.25">
      <c r="B469" s="24"/>
      <c r="C469" s="10"/>
      <c r="D469" s="10"/>
      <c r="E469" s="25"/>
      <c r="F469" s="10"/>
      <c r="G469" s="10"/>
      <c r="H469" s="10"/>
      <c r="I469" s="9"/>
      <c r="J469" s="9"/>
      <c r="K469" s="9"/>
      <c r="L469" s="9"/>
      <c r="M469" s="9"/>
      <c r="N469" s="17"/>
      <c r="O469" s="17" t="str">
        <f t="shared" si="56"/>
        <v/>
      </c>
      <c r="P469" s="17" t="str">
        <f>IFERROR(_xlfn.XLOOKUP(O469,'Department Listing'!$O$1:$O$395,'Department Listing'!$A$1:$A$395),IFERROR(_xlfn.XLOOKUP(O469,'Name Aliases'!$A$2:$A$1000,'Name Aliases'!$B$2:$B$1000),""))</f>
        <v/>
      </c>
      <c r="Q469" s="18" t="str">
        <f t="shared" si="57"/>
        <v/>
      </c>
      <c r="R469" s="17" t="str">
        <f t="shared" si="58"/>
        <v/>
      </c>
      <c r="S469" s="19" t="str">
        <f t="shared" si="59"/>
        <v/>
      </c>
      <c r="T469" s="17" t="str">
        <f t="shared" si="60"/>
        <v/>
      </c>
      <c r="U469" s="17" t="str">
        <f t="shared" si="61"/>
        <v/>
      </c>
      <c r="V469" s="19" t="str">
        <f>IF(ISBLANK($B469),"",IF(ISBLANK($K469),IF(_xlfn.XLOOKUP($W469,'Category Mapping'!$C:$C,'Category Mapping'!$B:$B)="Travel",_xlfn.XLOOKUP($P469,'Department Listing'!$A:$A,'Department Listing'!$M:$M),_xlfn.XLOOKUP($W469,'Category Mapping'!$C:$C,'Category Mapping'!$D:$D)),$K469))</f>
        <v/>
      </c>
      <c r="W469" s="19" t="str">
        <f t="shared" si="62"/>
        <v/>
      </c>
      <c r="X469" s="19" t="str">
        <f t="shared" si="63"/>
        <v/>
      </c>
      <c r="Y469" s="20" t="str">
        <f>IF(ISBLANK($M469),IFERROR(_xlfn.XLOOKUP($P469,'Department Listing'!$A:$A,'Department Listing'!$L:$L),""),$M469)</f>
        <v/>
      </c>
      <c r="Z469" s="11" t="str">
        <f>IF(ISBLANK($B469),"",MATCH($X469,COA!$B:$B,0))</f>
        <v/>
      </c>
    </row>
    <row r="470" spans="2:26" ht="15.75" customHeight="1" x14ac:dyDescent="0.25">
      <c r="B470" s="24"/>
      <c r="C470" s="10"/>
      <c r="D470" s="10"/>
      <c r="E470" s="25"/>
      <c r="F470" s="10"/>
      <c r="G470" s="10"/>
      <c r="H470" s="10"/>
      <c r="I470" s="9"/>
      <c r="J470" s="9"/>
      <c r="K470" s="9"/>
      <c r="L470" s="9"/>
      <c r="M470" s="9"/>
      <c r="N470" s="17"/>
      <c r="O470" s="17" t="str">
        <f t="shared" si="56"/>
        <v/>
      </c>
      <c r="P470" s="17" t="str">
        <f>IFERROR(_xlfn.XLOOKUP(O470,'Department Listing'!$O$1:$O$395,'Department Listing'!$A$1:$A$395),IFERROR(_xlfn.XLOOKUP(O470,'Name Aliases'!$A$2:$A$1000,'Name Aliases'!$B$2:$B$1000),""))</f>
        <v/>
      </c>
      <c r="Q470" s="18" t="str">
        <f t="shared" si="57"/>
        <v/>
      </c>
      <c r="R470" s="17" t="str">
        <f t="shared" si="58"/>
        <v/>
      </c>
      <c r="S470" s="19" t="str">
        <f t="shared" si="59"/>
        <v/>
      </c>
      <c r="T470" s="17" t="str">
        <f t="shared" si="60"/>
        <v/>
      </c>
      <c r="U470" s="17" t="str">
        <f t="shared" si="61"/>
        <v/>
      </c>
      <c r="V470" s="19" t="str">
        <f>IF(ISBLANK($B470),"",IF(ISBLANK($K470),IF(_xlfn.XLOOKUP($W470,'Category Mapping'!$C:$C,'Category Mapping'!$B:$B)="Travel",_xlfn.XLOOKUP($P470,'Department Listing'!$A:$A,'Department Listing'!$M:$M),_xlfn.XLOOKUP($W470,'Category Mapping'!$C:$C,'Category Mapping'!$D:$D)),$K470))</f>
        <v/>
      </c>
      <c r="W470" s="19" t="str">
        <f t="shared" si="62"/>
        <v/>
      </c>
      <c r="X470" s="19" t="str">
        <f t="shared" si="63"/>
        <v/>
      </c>
      <c r="Y470" s="20" t="str">
        <f>IF(ISBLANK($M470),IFERROR(_xlfn.XLOOKUP($P470,'Department Listing'!$A:$A,'Department Listing'!$L:$L),""),$M470)</f>
        <v/>
      </c>
      <c r="Z470" s="11" t="str">
        <f>IF(ISBLANK($B470),"",MATCH($X470,COA!$B:$B,0))</f>
        <v/>
      </c>
    </row>
    <row r="471" spans="2:26" ht="15.75" customHeight="1" x14ac:dyDescent="0.25">
      <c r="B471" s="24"/>
      <c r="C471" s="10"/>
      <c r="D471" s="10"/>
      <c r="E471" s="25"/>
      <c r="F471" s="10"/>
      <c r="G471" s="10"/>
      <c r="H471" s="10"/>
      <c r="I471" s="9"/>
      <c r="J471" s="9"/>
      <c r="K471" s="9"/>
      <c r="L471" s="9"/>
      <c r="M471" s="9"/>
      <c r="N471" s="17"/>
      <c r="O471" s="17" t="str">
        <f t="shared" si="56"/>
        <v/>
      </c>
      <c r="P471" s="17" t="str">
        <f>IFERROR(_xlfn.XLOOKUP(O471,'Department Listing'!$O$1:$O$395,'Department Listing'!$A$1:$A$395),IFERROR(_xlfn.XLOOKUP(O471,'Name Aliases'!$A$2:$A$1000,'Name Aliases'!$B$2:$B$1000),""))</f>
        <v/>
      </c>
      <c r="Q471" s="18" t="str">
        <f t="shared" si="57"/>
        <v/>
      </c>
      <c r="R471" s="17" t="str">
        <f t="shared" si="58"/>
        <v/>
      </c>
      <c r="S471" s="19" t="str">
        <f t="shared" si="59"/>
        <v/>
      </c>
      <c r="T471" s="17" t="str">
        <f t="shared" si="60"/>
        <v/>
      </c>
      <c r="U471" s="17" t="str">
        <f t="shared" si="61"/>
        <v/>
      </c>
      <c r="V471" s="19" t="str">
        <f>IF(ISBLANK($B471),"",IF(ISBLANK($K471),IF(_xlfn.XLOOKUP($W471,'Category Mapping'!$C:$C,'Category Mapping'!$B:$B)="Travel",_xlfn.XLOOKUP($P471,'Department Listing'!$A:$A,'Department Listing'!$M:$M),_xlfn.XLOOKUP($W471,'Category Mapping'!$C:$C,'Category Mapping'!$D:$D)),$K471))</f>
        <v/>
      </c>
      <c r="W471" s="19" t="str">
        <f t="shared" si="62"/>
        <v/>
      </c>
      <c r="X471" s="19" t="str">
        <f t="shared" si="63"/>
        <v/>
      </c>
      <c r="Y471" s="20" t="str">
        <f>IF(ISBLANK($M471),IFERROR(_xlfn.XLOOKUP($P471,'Department Listing'!$A:$A,'Department Listing'!$L:$L),""),$M471)</f>
        <v/>
      </c>
      <c r="Z471" s="11" t="str">
        <f>IF(ISBLANK($B471),"",MATCH($X471,COA!$B:$B,0))</f>
        <v/>
      </c>
    </row>
    <row r="472" spans="2:26" ht="15.75" customHeight="1" x14ac:dyDescent="0.25">
      <c r="B472" s="24"/>
      <c r="C472" s="10"/>
      <c r="D472" s="10"/>
      <c r="E472" s="25"/>
      <c r="F472" s="10"/>
      <c r="G472" s="10"/>
      <c r="H472" s="10"/>
      <c r="I472" s="9"/>
      <c r="J472" s="9"/>
      <c r="K472" s="9"/>
      <c r="L472" s="9"/>
      <c r="M472" s="9"/>
      <c r="N472" s="17"/>
      <c r="O472" s="17" t="str">
        <f t="shared" si="56"/>
        <v/>
      </c>
      <c r="P472" s="17" t="str">
        <f>IFERROR(_xlfn.XLOOKUP(O472,'Department Listing'!$O$1:$O$395,'Department Listing'!$A$1:$A$395),IFERROR(_xlfn.XLOOKUP(O472,'Name Aliases'!$A$2:$A$1000,'Name Aliases'!$B$2:$B$1000),""))</f>
        <v/>
      </c>
      <c r="Q472" s="18" t="str">
        <f t="shared" si="57"/>
        <v/>
      </c>
      <c r="R472" s="17" t="str">
        <f t="shared" si="58"/>
        <v/>
      </c>
      <c r="S472" s="19" t="str">
        <f t="shared" si="59"/>
        <v/>
      </c>
      <c r="T472" s="17" t="str">
        <f t="shared" si="60"/>
        <v/>
      </c>
      <c r="U472" s="17" t="str">
        <f t="shared" si="61"/>
        <v/>
      </c>
      <c r="V472" s="19" t="str">
        <f>IF(ISBLANK($B472),"",IF(ISBLANK($K472),IF(_xlfn.XLOOKUP($W472,'Category Mapping'!$C:$C,'Category Mapping'!$B:$B)="Travel",_xlfn.XLOOKUP($P472,'Department Listing'!$A:$A,'Department Listing'!$M:$M),_xlfn.XLOOKUP($W472,'Category Mapping'!$C:$C,'Category Mapping'!$D:$D)),$K472))</f>
        <v/>
      </c>
      <c r="W472" s="19" t="str">
        <f t="shared" si="62"/>
        <v/>
      </c>
      <c r="X472" s="19" t="str">
        <f t="shared" si="63"/>
        <v/>
      </c>
      <c r="Y472" s="20" t="str">
        <f>IF(ISBLANK($M472),IFERROR(_xlfn.XLOOKUP($P472,'Department Listing'!$A:$A,'Department Listing'!$L:$L),""),$M472)</f>
        <v/>
      </c>
      <c r="Z472" s="11" t="str">
        <f>IF(ISBLANK($B472),"",MATCH($X472,COA!$B:$B,0))</f>
        <v/>
      </c>
    </row>
    <row r="473" spans="2:26" ht="15.75" customHeight="1" x14ac:dyDescent="0.25">
      <c r="B473" s="24"/>
      <c r="C473" s="10"/>
      <c r="D473" s="10"/>
      <c r="E473" s="25"/>
      <c r="F473" s="10"/>
      <c r="G473" s="10"/>
      <c r="H473" s="10"/>
      <c r="I473" s="9"/>
      <c r="J473" s="9"/>
      <c r="K473" s="9"/>
      <c r="L473" s="9"/>
      <c r="M473" s="9"/>
      <c r="N473" s="17"/>
      <c r="O473" s="17" t="str">
        <f t="shared" si="56"/>
        <v/>
      </c>
      <c r="P473" s="17" t="str">
        <f>IFERROR(_xlfn.XLOOKUP(O473,'Department Listing'!$O$1:$O$395,'Department Listing'!$A$1:$A$395),IFERROR(_xlfn.XLOOKUP(O473,'Name Aliases'!$A$2:$A$1000,'Name Aliases'!$B$2:$B$1000),""))</f>
        <v/>
      </c>
      <c r="Q473" s="18" t="str">
        <f t="shared" si="57"/>
        <v/>
      </c>
      <c r="R473" s="17" t="str">
        <f t="shared" si="58"/>
        <v/>
      </c>
      <c r="S473" s="19" t="str">
        <f t="shared" si="59"/>
        <v/>
      </c>
      <c r="T473" s="17" t="str">
        <f t="shared" si="60"/>
        <v/>
      </c>
      <c r="U473" s="17" t="str">
        <f t="shared" si="61"/>
        <v/>
      </c>
      <c r="V473" s="19" t="str">
        <f>IF(ISBLANK($B473),"",IF(ISBLANK($K473),IF(_xlfn.XLOOKUP($W473,'Category Mapping'!$C:$C,'Category Mapping'!$B:$B)="Travel",_xlfn.XLOOKUP($P473,'Department Listing'!$A:$A,'Department Listing'!$M:$M),_xlfn.XLOOKUP($W473,'Category Mapping'!$C:$C,'Category Mapping'!$D:$D)),$K473))</f>
        <v/>
      </c>
      <c r="W473" s="19" t="str">
        <f t="shared" si="62"/>
        <v/>
      </c>
      <c r="X473" s="19" t="str">
        <f t="shared" si="63"/>
        <v/>
      </c>
      <c r="Y473" s="20" t="str">
        <f>IF(ISBLANK($M473),IFERROR(_xlfn.XLOOKUP($P473,'Department Listing'!$A:$A,'Department Listing'!$L:$L),""),$M473)</f>
        <v/>
      </c>
      <c r="Z473" s="11" t="str">
        <f>IF(ISBLANK($B473),"",MATCH($X473,COA!$B:$B,0))</f>
        <v/>
      </c>
    </row>
    <row r="474" spans="2:26" ht="15.75" customHeight="1" x14ac:dyDescent="0.25">
      <c r="B474" s="24"/>
      <c r="C474" s="10"/>
      <c r="D474" s="10"/>
      <c r="E474" s="25"/>
      <c r="F474" s="10"/>
      <c r="G474" s="10"/>
      <c r="H474" s="10"/>
      <c r="I474" s="9"/>
      <c r="J474" s="9"/>
      <c r="K474" s="9"/>
      <c r="L474" s="9"/>
      <c r="M474" s="9"/>
      <c r="N474" s="17"/>
      <c r="O474" s="17" t="str">
        <f t="shared" si="56"/>
        <v/>
      </c>
      <c r="P474" s="17" t="str">
        <f>IFERROR(_xlfn.XLOOKUP(O474,'Department Listing'!$O$1:$O$395,'Department Listing'!$A$1:$A$395),IFERROR(_xlfn.XLOOKUP(O474,'Name Aliases'!$A$2:$A$1000,'Name Aliases'!$B$2:$B$1000),""))</f>
        <v/>
      </c>
      <c r="Q474" s="18" t="str">
        <f t="shared" si="57"/>
        <v/>
      </c>
      <c r="R474" s="17" t="str">
        <f t="shared" si="58"/>
        <v/>
      </c>
      <c r="S474" s="19" t="str">
        <f t="shared" si="59"/>
        <v/>
      </c>
      <c r="T474" s="17" t="str">
        <f t="shared" si="60"/>
        <v/>
      </c>
      <c r="U474" s="17" t="str">
        <f t="shared" si="61"/>
        <v/>
      </c>
      <c r="V474" s="19" t="str">
        <f>IF(ISBLANK($B474),"",IF(ISBLANK($K474),IF(_xlfn.XLOOKUP($W474,'Category Mapping'!$C:$C,'Category Mapping'!$B:$B)="Travel",_xlfn.XLOOKUP($P474,'Department Listing'!$A:$A,'Department Listing'!$M:$M),_xlfn.XLOOKUP($W474,'Category Mapping'!$C:$C,'Category Mapping'!$D:$D)),$K474))</f>
        <v/>
      </c>
      <c r="W474" s="19" t="str">
        <f t="shared" si="62"/>
        <v/>
      </c>
      <c r="X474" s="19" t="str">
        <f t="shared" si="63"/>
        <v/>
      </c>
      <c r="Y474" s="20" t="str">
        <f>IF(ISBLANK($M474),IFERROR(_xlfn.XLOOKUP($P474,'Department Listing'!$A:$A,'Department Listing'!$L:$L),""),$M474)</f>
        <v/>
      </c>
      <c r="Z474" s="11" t="str">
        <f>IF(ISBLANK($B474),"",MATCH($X474,COA!$B:$B,0))</f>
        <v/>
      </c>
    </row>
    <row r="475" spans="2:26" ht="15.75" customHeight="1" x14ac:dyDescent="0.25">
      <c r="B475" s="24"/>
      <c r="C475" s="10"/>
      <c r="D475" s="10"/>
      <c r="E475" s="25"/>
      <c r="F475" s="10"/>
      <c r="G475" s="10"/>
      <c r="H475" s="10"/>
      <c r="I475" s="9"/>
      <c r="J475" s="9"/>
      <c r="K475" s="9"/>
      <c r="L475" s="9"/>
      <c r="M475" s="9"/>
      <c r="N475" s="17"/>
      <c r="O475" s="17" t="str">
        <f t="shared" si="56"/>
        <v/>
      </c>
      <c r="P475" s="17" t="str">
        <f>IFERROR(_xlfn.XLOOKUP(O475,'Department Listing'!$O$1:$O$395,'Department Listing'!$A$1:$A$395),IFERROR(_xlfn.XLOOKUP(O475,'Name Aliases'!$A$2:$A$1000,'Name Aliases'!$B$2:$B$1000),""))</f>
        <v/>
      </c>
      <c r="Q475" s="18" t="str">
        <f t="shared" si="57"/>
        <v/>
      </c>
      <c r="R475" s="17" t="str">
        <f t="shared" si="58"/>
        <v/>
      </c>
      <c r="S475" s="19" t="str">
        <f t="shared" si="59"/>
        <v/>
      </c>
      <c r="T475" s="17" t="str">
        <f t="shared" si="60"/>
        <v/>
      </c>
      <c r="U475" s="17" t="str">
        <f t="shared" si="61"/>
        <v/>
      </c>
      <c r="V475" s="19" t="str">
        <f>IF(ISBLANK($B475),"",IF(ISBLANK($K475),IF(_xlfn.XLOOKUP($W475,'Category Mapping'!$C:$C,'Category Mapping'!$B:$B)="Travel",_xlfn.XLOOKUP($P475,'Department Listing'!$A:$A,'Department Listing'!$M:$M),_xlfn.XLOOKUP($W475,'Category Mapping'!$C:$C,'Category Mapping'!$D:$D)),$K475))</f>
        <v/>
      </c>
      <c r="W475" s="19" t="str">
        <f t="shared" si="62"/>
        <v/>
      </c>
      <c r="X475" s="19" t="str">
        <f t="shared" si="63"/>
        <v/>
      </c>
      <c r="Y475" s="20" t="str">
        <f>IF(ISBLANK($M475),IFERROR(_xlfn.XLOOKUP($P475,'Department Listing'!$A:$A,'Department Listing'!$L:$L),""),$M475)</f>
        <v/>
      </c>
      <c r="Z475" s="11" t="str">
        <f>IF(ISBLANK($B475),"",MATCH($X475,COA!$B:$B,0))</f>
        <v/>
      </c>
    </row>
    <row r="476" spans="2:26" ht="15.75" customHeight="1" x14ac:dyDescent="0.25">
      <c r="B476" s="24"/>
      <c r="C476" s="10"/>
      <c r="D476" s="10"/>
      <c r="E476" s="25"/>
      <c r="F476" s="10"/>
      <c r="G476" s="10"/>
      <c r="H476" s="10"/>
      <c r="I476" s="9"/>
      <c r="J476" s="9"/>
      <c r="K476" s="9"/>
      <c r="L476" s="9"/>
      <c r="M476" s="9"/>
      <c r="N476" s="17"/>
      <c r="O476" s="17" t="str">
        <f t="shared" si="56"/>
        <v/>
      </c>
      <c r="P476" s="17" t="str">
        <f>IFERROR(_xlfn.XLOOKUP(O476,'Department Listing'!$O$1:$O$395,'Department Listing'!$A$1:$A$395),IFERROR(_xlfn.XLOOKUP(O476,'Name Aliases'!$A$2:$A$1000,'Name Aliases'!$B$2:$B$1000),""))</f>
        <v/>
      </c>
      <c r="Q476" s="18" t="str">
        <f t="shared" si="57"/>
        <v/>
      </c>
      <c r="R476" s="17" t="str">
        <f t="shared" si="58"/>
        <v/>
      </c>
      <c r="S476" s="19" t="str">
        <f t="shared" si="59"/>
        <v/>
      </c>
      <c r="T476" s="17" t="str">
        <f t="shared" si="60"/>
        <v/>
      </c>
      <c r="U476" s="17" t="str">
        <f t="shared" si="61"/>
        <v/>
      </c>
      <c r="V476" s="19" t="str">
        <f>IF(ISBLANK($B476),"",IF(ISBLANK($K476),IF(_xlfn.XLOOKUP($W476,'Category Mapping'!$C:$C,'Category Mapping'!$B:$B)="Travel",_xlfn.XLOOKUP($P476,'Department Listing'!$A:$A,'Department Listing'!$M:$M),_xlfn.XLOOKUP($W476,'Category Mapping'!$C:$C,'Category Mapping'!$D:$D)),$K476))</f>
        <v/>
      </c>
      <c r="W476" s="19" t="str">
        <f t="shared" si="62"/>
        <v/>
      </c>
      <c r="X476" s="19" t="str">
        <f t="shared" si="63"/>
        <v/>
      </c>
      <c r="Y476" s="20" t="str">
        <f>IF(ISBLANK($M476),IFERROR(_xlfn.XLOOKUP($P476,'Department Listing'!$A:$A,'Department Listing'!$L:$L),""),$M476)</f>
        <v/>
      </c>
      <c r="Z476" s="11" t="str">
        <f>IF(ISBLANK($B476),"",MATCH($X476,COA!$B:$B,0))</f>
        <v/>
      </c>
    </row>
    <row r="477" spans="2:26" ht="15.75" customHeight="1" x14ac:dyDescent="0.25">
      <c r="B477" s="24"/>
      <c r="C477" s="10"/>
      <c r="D477" s="10"/>
      <c r="E477" s="25"/>
      <c r="F477" s="10"/>
      <c r="G477" s="10"/>
      <c r="H477" s="10"/>
      <c r="I477" s="9"/>
      <c r="J477" s="9"/>
      <c r="K477" s="9"/>
      <c r="L477" s="9"/>
      <c r="M477" s="9"/>
      <c r="N477" s="17"/>
      <c r="O477" s="17" t="str">
        <f t="shared" si="56"/>
        <v/>
      </c>
      <c r="P477" s="17" t="str">
        <f>IFERROR(_xlfn.XLOOKUP(O477,'Department Listing'!$O$1:$O$395,'Department Listing'!$A$1:$A$395),IFERROR(_xlfn.XLOOKUP(O477,'Name Aliases'!$A$2:$A$1000,'Name Aliases'!$B$2:$B$1000),""))</f>
        <v/>
      </c>
      <c r="Q477" s="18" t="str">
        <f t="shared" si="57"/>
        <v/>
      </c>
      <c r="R477" s="17" t="str">
        <f t="shared" si="58"/>
        <v/>
      </c>
      <c r="S477" s="19" t="str">
        <f t="shared" si="59"/>
        <v/>
      </c>
      <c r="T477" s="17" t="str">
        <f t="shared" si="60"/>
        <v/>
      </c>
      <c r="U477" s="17" t="str">
        <f t="shared" si="61"/>
        <v/>
      </c>
      <c r="V477" s="19" t="str">
        <f>IF(ISBLANK($B477),"",IF(ISBLANK($K477),IF(_xlfn.XLOOKUP($W477,'Category Mapping'!$C:$C,'Category Mapping'!$B:$B)="Travel",_xlfn.XLOOKUP($P477,'Department Listing'!$A:$A,'Department Listing'!$M:$M),_xlfn.XLOOKUP($W477,'Category Mapping'!$C:$C,'Category Mapping'!$D:$D)),$K477))</f>
        <v/>
      </c>
      <c r="W477" s="19" t="str">
        <f t="shared" si="62"/>
        <v/>
      </c>
      <c r="X477" s="19" t="str">
        <f t="shared" si="63"/>
        <v/>
      </c>
      <c r="Y477" s="20" t="str">
        <f>IF(ISBLANK($M477),IFERROR(_xlfn.XLOOKUP($P477,'Department Listing'!$A:$A,'Department Listing'!$L:$L),""),$M477)</f>
        <v/>
      </c>
      <c r="Z477" s="11" t="str">
        <f>IF(ISBLANK($B477),"",MATCH($X477,COA!$B:$B,0))</f>
        <v/>
      </c>
    </row>
    <row r="478" spans="2:26" ht="15.75" customHeight="1" x14ac:dyDescent="0.25">
      <c r="B478" s="24"/>
      <c r="C478" s="10"/>
      <c r="D478" s="10"/>
      <c r="E478" s="25"/>
      <c r="F478" s="10"/>
      <c r="G478" s="10"/>
      <c r="H478" s="10"/>
      <c r="I478" s="9"/>
      <c r="J478" s="9"/>
      <c r="K478" s="9"/>
      <c r="L478" s="9"/>
      <c r="M478" s="9"/>
      <c r="N478" s="17"/>
      <c r="O478" s="17" t="str">
        <f t="shared" si="56"/>
        <v/>
      </c>
      <c r="P478" s="17" t="str">
        <f>IFERROR(_xlfn.XLOOKUP(O478,'Department Listing'!$O$1:$O$395,'Department Listing'!$A$1:$A$395),IFERROR(_xlfn.XLOOKUP(O478,'Name Aliases'!$A$2:$A$1000,'Name Aliases'!$B$2:$B$1000),""))</f>
        <v/>
      </c>
      <c r="Q478" s="18" t="str">
        <f t="shared" si="57"/>
        <v/>
      </c>
      <c r="R478" s="17" t="str">
        <f t="shared" si="58"/>
        <v/>
      </c>
      <c r="S478" s="19" t="str">
        <f t="shared" si="59"/>
        <v/>
      </c>
      <c r="T478" s="17" t="str">
        <f t="shared" si="60"/>
        <v/>
      </c>
      <c r="U478" s="17" t="str">
        <f t="shared" si="61"/>
        <v/>
      </c>
      <c r="V478" s="19" t="str">
        <f>IF(ISBLANK($B478),"",IF(ISBLANK($K478),IF(_xlfn.XLOOKUP($W478,'Category Mapping'!$C:$C,'Category Mapping'!$B:$B)="Travel",_xlfn.XLOOKUP($P478,'Department Listing'!$A:$A,'Department Listing'!$M:$M),_xlfn.XLOOKUP($W478,'Category Mapping'!$C:$C,'Category Mapping'!$D:$D)),$K478))</f>
        <v/>
      </c>
      <c r="W478" s="19" t="str">
        <f t="shared" si="62"/>
        <v/>
      </c>
      <c r="X478" s="19" t="str">
        <f t="shared" si="63"/>
        <v/>
      </c>
      <c r="Y478" s="20" t="str">
        <f>IF(ISBLANK($M478),IFERROR(_xlfn.XLOOKUP($P478,'Department Listing'!$A:$A,'Department Listing'!$L:$L),""),$M478)</f>
        <v/>
      </c>
      <c r="Z478" s="11" t="str">
        <f>IF(ISBLANK($B478),"",MATCH($X478,COA!$B:$B,0))</f>
        <v/>
      </c>
    </row>
    <row r="479" spans="2:26" ht="15.75" customHeight="1" x14ac:dyDescent="0.25">
      <c r="B479" s="24"/>
      <c r="C479" s="10"/>
      <c r="D479" s="10"/>
      <c r="E479" s="25"/>
      <c r="F479" s="10"/>
      <c r="G479" s="10"/>
      <c r="H479" s="10"/>
      <c r="I479" s="9"/>
      <c r="J479" s="9"/>
      <c r="K479" s="9"/>
      <c r="L479" s="9"/>
      <c r="M479" s="9"/>
      <c r="N479" s="17"/>
      <c r="O479" s="17" t="str">
        <f t="shared" si="56"/>
        <v/>
      </c>
      <c r="P479" s="17" t="str">
        <f>IFERROR(_xlfn.XLOOKUP(O479,'Department Listing'!$O$1:$O$395,'Department Listing'!$A$1:$A$395),IFERROR(_xlfn.XLOOKUP(O479,'Name Aliases'!$A$2:$A$1000,'Name Aliases'!$B$2:$B$1000),""))</f>
        <v/>
      </c>
      <c r="Q479" s="18" t="str">
        <f t="shared" si="57"/>
        <v/>
      </c>
      <c r="R479" s="17" t="str">
        <f t="shared" si="58"/>
        <v/>
      </c>
      <c r="S479" s="19" t="str">
        <f t="shared" si="59"/>
        <v/>
      </c>
      <c r="T479" s="17" t="str">
        <f t="shared" si="60"/>
        <v/>
      </c>
      <c r="U479" s="17" t="str">
        <f t="shared" si="61"/>
        <v/>
      </c>
      <c r="V479" s="19" t="str">
        <f>IF(ISBLANK($B479),"",IF(ISBLANK($K479),IF(_xlfn.XLOOKUP($W479,'Category Mapping'!$C:$C,'Category Mapping'!$B:$B)="Travel",_xlfn.XLOOKUP($P479,'Department Listing'!$A:$A,'Department Listing'!$M:$M),_xlfn.XLOOKUP($W479,'Category Mapping'!$C:$C,'Category Mapping'!$D:$D)),$K479))</f>
        <v/>
      </c>
      <c r="W479" s="19" t="str">
        <f t="shared" si="62"/>
        <v/>
      </c>
      <c r="X479" s="19" t="str">
        <f t="shared" si="63"/>
        <v/>
      </c>
      <c r="Y479" s="20" t="str">
        <f>IF(ISBLANK($M479),IFERROR(_xlfn.XLOOKUP($P479,'Department Listing'!$A:$A,'Department Listing'!$L:$L),""),$M479)</f>
        <v/>
      </c>
      <c r="Z479" s="11" t="str">
        <f>IF(ISBLANK($B479),"",MATCH($X479,COA!$B:$B,0))</f>
        <v/>
      </c>
    </row>
    <row r="480" spans="2:26" ht="15.75" customHeight="1" x14ac:dyDescent="0.25">
      <c r="B480" s="24"/>
      <c r="C480" s="10"/>
      <c r="D480" s="10"/>
      <c r="E480" s="25"/>
      <c r="F480" s="10"/>
      <c r="G480" s="10"/>
      <c r="H480" s="10"/>
      <c r="I480" s="9"/>
      <c r="J480" s="9"/>
      <c r="K480" s="9"/>
      <c r="L480" s="9"/>
      <c r="M480" s="9"/>
      <c r="N480" s="17"/>
      <c r="O480" s="17" t="str">
        <f t="shared" si="56"/>
        <v/>
      </c>
      <c r="P480" s="17" t="str">
        <f>IFERROR(_xlfn.XLOOKUP(O480,'Department Listing'!$O$1:$O$395,'Department Listing'!$A$1:$A$395),IFERROR(_xlfn.XLOOKUP(O480,'Name Aliases'!$A$2:$A$1000,'Name Aliases'!$B$2:$B$1000),""))</f>
        <v/>
      </c>
      <c r="Q480" s="18" t="str">
        <f t="shared" si="57"/>
        <v/>
      </c>
      <c r="R480" s="17" t="str">
        <f t="shared" si="58"/>
        <v/>
      </c>
      <c r="S480" s="19" t="str">
        <f t="shared" si="59"/>
        <v/>
      </c>
      <c r="T480" s="17" t="str">
        <f t="shared" si="60"/>
        <v/>
      </c>
      <c r="U480" s="17" t="str">
        <f t="shared" si="61"/>
        <v/>
      </c>
      <c r="V480" s="19" t="str">
        <f>IF(ISBLANK($B480),"",IF(ISBLANK($K480),IF(_xlfn.XLOOKUP($W480,'Category Mapping'!$C:$C,'Category Mapping'!$B:$B)="Travel",_xlfn.XLOOKUP($P480,'Department Listing'!$A:$A,'Department Listing'!$M:$M),_xlfn.XLOOKUP($W480,'Category Mapping'!$C:$C,'Category Mapping'!$D:$D)),$K480))</f>
        <v/>
      </c>
      <c r="W480" s="19" t="str">
        <f t="shared" si="62"/>
        <v/>
      </c>
      <c r="X480" s="19" t="str">
        <f t="shared" si="63"/>
        <v/>
      </c>
      <c r="Y480" s="20" t="str">
        <f>IF(ISBLANK($M480),IFERROR(_xlfn.XLOOKUP($P480,'Department Listing'!$A:$A,'Department Listing'!$L:$L),""),$M480)</f>
        <v/>
      </c>
      <c r="Z480" s="11" t="str">
        <f>IF(ISBLANK($B480),"",MATCH($X480,COA!$B:$B,0))</f>
        <v/>
      </c>
    </row>
    <row r="481" spans="2:26" ht="15.75" customHeight="1" x14ac:dyDescent="0.25">
      <c r="B481" s="24"/>
      <c r="C481" s="10"/>
      <c r="D481" s="10"/>
      <c r="E481" s="25"/>
      <c r="F481" s="10"/>
      <c r="G481" s="10"/>
      <c r="H481" s="10"/>
      <c r="I481" s="9"/>
      <c r="J481" s="9"/>
      <c r="K481" s="9"/>
      <c r="L481" s="9"/>
      <c r="M481" s="9"/>
      <c r="N481" s="17"/>
      <c r="O481" s="17" t="str">
        <f t="shared" si="56"/>
        <v/>
      </c>
      <c r="P481" s="17" t="str">
        <f>IFERROR(_xlfn.XLOOKUP(O481,'Department Listing'!$O$1:$O$395,'Department Listing'!$A$1:$A$395),IFERROR(_xlfn.XLOOKUP(O481,'Name Aliases'!$A$2:$A$1000,'Name Aliases'!$B$2:$B$1000),""))</f>
        <v/>
      </c>
      <c r="Q481" s="18" t="str">
        <f t="shared" si="57"/>
        <v/>
      </c>
      <c r="R481" s="17" t="str">
        <f t="shared" si="58"/>
        <v/>
      </c>
      <c r="S481" s="19" t="str">
        <f t="shared" si="59"/>
        <v/>
      </c>
      <c r="T481" s="17" t="str">
        <f t="shared" si="60"/>
        <v/>
      </c>
      <c r="U481" s="17" t="str">
        <f t="shared" si="61"/>
        <v/>
      </c>
      <c r="V481" s="19" t="str">
        <f>IF(ISBLANK($B481),"",IF(ISBLANK($K481),IF(_xlfn.XLOOKUP($W481,'Category Mapping'!$C:$C,'Category Mapping'!$B:$B)="Travel",_xlfn.XLOOKUP($P481,'Department Listing'!$A:$A,'Department Listing'!$M:$M),_xlfn.XLOOKUP($W481,'Category Mapping'!$C:$C,'Category Mapping'!$D:$D)),$K481))</f>
        <v/>
      </c>
      <c r="W481" s="19" t="str">
        <f t="shared" si="62"/>
        <v/>
      </c>
      <c r="X481" s="19" t="str">
        <f t="shared" si="63"/>
        <v/>
      </c>
      <c r="Y481" s="20" t="str">
        <f>IF(ISBLANK($M481),IFERROR(_xlfn.XLOOKUP($P481,'Department Listing'!$A:$A,'Department Listing'!$L:$L),""),$M481)</f>
        <v/>
      </c>
      <c r="Z481" s="11" t="str">
        <f>IF(ISBLANK($B481),"",MATCH($X481,COA!$B:$B,0))</f>
        <v/>
      </c>
    </row>
    <row r="482" spans="2:26" ht="15.75" customHeight="1" x14ac:dyDescent="0.25">
      <c r="B482" s="24"/>
      <c r="C482" s="10"/>
      <c r="D482" s="10"/>
      <c r="E482" s="25"/>
      <c r="F482" s="10"/>
      <c r="G482" s="10"/>
      <c r="H482" s="10"/>
      <c r="I482" s="9"/>
      <c r="J482" s="9"/>
      <c r="K482" s="9"/>
      <c r="L482" s="9"/>
      <c r="M482" s="9"/>
      <c r="N482" s="17"/>
      <c r="O482" s="17" t="str">
        <f t="shared" si="56"/>
        <v/>
      </c>
      <c r="P482" s="17" t="str">
        <f>IFERROR(_xlfn.XLOOKUP(O482,'Department Listing'!$O$1:$O$395,'Department Listing'!$A$1:$A$395),IFERROR(_xlfn.XLOOKUP(O482,'Name Aliases'!$A$2:$A$1000,'Name Aliases'!$B$2:$B$1000),""))</f>
        <v/>
      </c>
      <c r="Q482" s="18" t="str">
        <f t="shared" si="57"/>
        <v/>
      </c>
      <c r="R482" s="17" t="str">
        <f t="shared" si="58"/>
        <v/>
      </c>
      <c r="S482" s="19" t="str">
        <f t="shared" si="59"/>
        <v/>
      </c>
      <c r="T482" s="17" t="str">
        <f t="shared" si="60"/>
        <v/>
      </c>
      <c r="U482" s="17" t="str">
        <f t="shared" si="61"/>
        <v/>
      </c>
      <c r="V482" s="19" t="str">
        <f>IF(ISBLANK($B482),"",IF(ISBLANK($K482),IF(_xlfn.XLOOKUP($W482,'Category Mapping'!$C:$C,'Category Mapping'!$B:$B)="Travel",_xlfn.XLOOKUP($P482,'Department Listing'!$A:$A,'Department Listing'!$M:$M),_xlfn.XLOOKUP($W482,'Category Mapping'!$C:$C,'Category Mapping'!$D:$D)),$K482))</f>
        <v/>
      </c>
      <c r="W482" s="19" t="str">
        <f t="shared" si="62"/>
        <v/>
      </c>
      <c r="X482" s="19" t="str">
        <f t="shared" si="63"/>
        <v/>
      </c>
      <c r="Y482" s="20" t="str">
        <f>IF(ISBLANK($M482),IFERROR(_xlfn.XLOOKUP($P482,'Department Listing'!$A:$A,'Department Listing'!$L:$L),""),$M482)</f>
        <v/>
      </c>
      <c r="Z482" s="11" t="str">
        <f>IF(ISBLANK($B482),"",MATCH($X482,COA!$B:$B,0))</f>
        <v/>
      </c>
    </row>
    <row r="483" spans="2:26" ht="15.75" customHeight="1" x14ac:dyDescent="0.25">
      <c r="B483" s="24"/>
      <c r="C483" s="10"/>
      <c r="D483" s="10"/>
      <c r="E483" s="25"/>
      <c r="F483" s="10"/>
      <c r="G483" s="10"/>
      <c r="H483" s="10"/>
      <c r="I483" s="9"/>
      <c r="J483" s="9"/>
      <c r="K483" s="9"/>
      <c r="L483" s="9"/>
      <c r="M483" s="9"/>
      <c r="N483" s="17"/>
      <c r="O483" s="17" t="str">
        <f t="shared" si="56"/>
        <v/>
      </c>
      <c r="P483" s="17" t="str">
        <f>IFERROR(_xlfn.XLOOKUP(O483,'Department Listing'!$O$1:$O$395,'Department Listing'!$A$1:$A$395),IFERROR(_xlfn.XLOOKUP(O483,'Name Aliases'!$A$2:$A$1000,'Name Aliases'!$B$2:$B$1000),""))</f>
        <v/>
      </c>
      <c r="Q483" s="18" t="str">
        <f t="shared" si="57"/>
        <v/>
      </c>
      <c r="R483" s="17" t="str">
        <f t="shared" si="58"/>
        <v/>
      </c>
      <c r="S483" s="19" t="str">
        <f t="shared" si="59"/>
        <v/>
      </c>
      <c r="T483" s="17" t="str">
        <f t="shared" si="60"/>
        <v/>
      </c>
      <c r="U483" s="17" t="str">
        <f t="shared" si="61"/>
        <v/>
      </c>
      <c r="V483" s="19" t="str">
        <f>IF(ISBLANK($B483),"",IF(ISBLANK($K483),IF(_xlfn.XLOOKUP($W483,'Category Mapping'!$C:$C,'Category Mapping'!$B:$B)="Travel",_xlfn.XLOOKUP($P483,'Department Listing'!$A:$A,'Department Listing'!$M:$M),_xlfn.XLOOKUP($W483,'Category Mapping'!$C:$C,'Category Mapping'!$D:$D)),$K483))</f>
        <v/>
      </c>
      <c r="W483" s="19" t="str">
        <f t="shared" si="62"/>
        <v/>
      </c>
      <c r="X483" s="19" t="str">
        <f t="shared" si="63"/>
        <v/>
      </c>
      <c r="Y483" s="20" t="str">
        <f>IF(ISBLANK($M483),IFERROR(_xlfn.XLOOKUP($P483,'Department Listing'!$A:$A,'Department Listing'!$L:$L),""),$M483)</f>
        <v/>
      </c>
      <c r="Z483" s="11" t="str">
        <f>IF(ISBLANK($B483),"",MATCH($X483,COA!$B:$B,0))</f>
        <v/>
      </c>
    </row>
    <row r="484" spans="2:26" ht="15.75" customHeight="1" x14ac:dyDescent="0.25">
      <c r="B484" s="24"/>
      <c r="C484" s="10"/>
      <c r="D484" s="10"/>
      <c r="E484" s="25"/>
      <c r="F484" s="10"/>
      <c r="G484" s="10"/>
      <c r="H484" s="10"/>
      <c r="I484" s="9"/>
      <c r="J484" s="9"/>
      <c r="K484" s="9"/>
      <c r="L484" s="9"/>
      <c r="M484" s="9"/>
      <c r="N484" s="17"/>
      <c r="O484" s="17" t="str">
        <f t="shared" si="56"/>
        <v/>
      </c>
      <c r="P484" s="17" t="str">
        <f>IFERROR(_xlfn.XLOOKUP(O484,'Department Listing'!$O$1:$O$395,'Department Listing'!$A$1:$A$395),IFERROR(_xlfn.XLOOKUP(O484,'Name Aliases'!$A$2:$A$1000,'Name Aliases'!$B$2:$B$1000),""))</f>
        <v/>
      </c>
      <c r="Q484" s="18" t="str">
        <f t="shared" si="57"/>
        <v/>
      </c>
      <c r="R484" s="17" t="str">
        <f t="shared" si="58"/>
        <v/>
      </c>
      <c r="S484" s="19" t="str">
        <f t="shared" si="59"/>
        <v/>
      </c>
      <c r="T484" s="17" t="str">
        <f t="shared" si="60"/>
        <v/>
      </c>
      <c r="U484" s="17" t="str">
        <f t="shared" si="61"/>
        <v/>
      </c>
      <c r="V484" s="19" t="str">
        <f>IF(ISBLANK($B484),"",IF(ISBLANK($K484),IF(_xlfn.XLOOKUP($W484,'Category Mapping'!$C:$C,'Category Mapping'!$B:$B)="Travel",_xlfn.XLOOKUP($P484,'Department Listing'!$A:$A,'Department Listing'!$M:$M),_xlfn.XLOOKUP($W484,'Category Mapping'!$C:$C,'Category Mapping'!$D:$D)),$K484))</f>
        <v/>
      </c>
      <c r="W484" s="19" t="str">
        <f t="shared" si="62"/>
        <v/>
      </c>
      <c r="X484" s="19" t="str">
        <f t="shared" si="63"/>
        <v/>
      </c>
      <c r="Y484" s="20" t="str">
        <f>IF(ISBLANK($M484),IFERROR(_xlfn.XLOOKUP($P484,'Department Listing'!$A:$A,'Department Listing'!$L:$L),""),$M484)</f>
        <v/>
      </c>
      <c r="Z484" s="11" t="str">
        <f>IF(ISBLANK($B484),"",MATCH($X484,COA!$B:$B,0))</f>
        <v/>
      </c>
    </row>
    <row r="485" spans="2:26" ht="15.75" customHeight="1" x14ac:dyDescent="0.25">
      <c r="B485" s="24"/>
      <c r="C485" s="10"/>
      <c r="D485" s="10"/>
      <c r="E485" s="25"/>
      <c r="F485" s="10"/>
      <c r="G485" s="10"/>
      <c r="H485" s="10"/>
      <c r="I485" s="9"/>
      <c r="J485" s="9"/>
      <c r="K485" s="9"/>
      <c r="L485" s="9"/>
      <c r="M485" s="9"/>
      <c r="N485" s="17"/>
      <c r="O485" s="17" t="str">
        <f t="shared" si="56"/>
        <v/>
      </c>
      <c r="P485" s="17" t="str">
        <f>IFERROR(_xlfn.XLOOKUP(O485,'Department Listing'!$O$1:$O$395,'Department Listing'!$A$1:$A$395),IFERROR(_xlfn.XLOOKUP(O485,'Name Aliases'!$A$2:$A$1000,'Name Aliases'!$B$2:$B$1000),""))</f>
        <v/>
      </c>
      <c r="Q485" s="18" t="str">
        <f t="shared" si="57"/>
        <v/>
      </c>
      <c r="R485" s="17" t="str">
        <f t="shared" si="58"/>
        <v/>
      </c>
      <c r="S485" s="19" t="str">
        <f t="shared" si="59"/>
        <v/>
      </c>
      <c r="T485" s="17" t="str">
        <f t="shared" si="60"/>
        <v/>
      </c>
      <c r="U485" s="17" t="str">
        <f t="shared" si="61"/>
        <v/>
      </c>
      <c r="V485" s="19" t="str">
        <f>IF(ISBLANK($B485),"",IF(ISBLANK($K485),IF(_xlfn.XLOOKUP($W485,'Category Mapping'!$C:$C,'Category Mapping'!$B:$B)="Travel",_xlfn.XLOOKUP($P485,'Department Listing'!$A:$A,'Department Listing'!$M:$M),_xlfn.XLOOKUP($W485,'Category Mapping'!$C:$C,'Category Mapping'!$D:$D)),$K485))</f>
        <v/>
      </c>
      <c r="W485" s="19" t="str">
        <f t="shared" si="62"/>
        <v/>
      </c>
      <c r="X485" s="19" t="str">
        <f t="shared" si="63"/>
        <v/>
      </c>
      <c r="Y485" s="20" t="str">
        <f>IF(ISBLANK($M485),IFERROR(_xlfn.XLOOKUP($P485,'Department Listing'!$A:$A,'Department Listing'!$L:$L),""),$M485)</f>
        <v/>
      </c>
      <c r="Z485" s="11" t="str">
        <f>IF(ISBLANK($B485),"",MATCH($X485,COA!$B:$B,0))</f>
        <v/>
      </c>
    </row>
    <row r="486" spans="2:26" ht="15.75" customHeight="1" x14ac:dyDescent="0.25">
      <c r="B486" s="24"/>
      <c r="C486" s="10"/>
      <c r="D486" s="10"/>
      <c r="E486" s="25"/>
      <c r="F486" s="10"/>
      <c r="G486" s="10"/>
      <c r="H486" s="10"/>
      <c r="I486" s="9"/>
      <c r="J486" s="9"/>
      <c r="K486" s="9"/>
      <c r="L486" s="9"/>
      <c r="M486" s="9"/>
      <c r="N486" s="17"/>
      <c r="O486" s="17" t="str">
        <f t="shared" si="56"/>
        <v/>
      </c>
      <c r="P486" s="17" t="str">
        <f>IFERROR(_xlfn.XLOOKUP(O486,'Department Listing'!$O$1:$O$395,'Department Listing'!$A$1:$A$395),IFERROR(_xlfn.XLOOKUP(O486,'Name Aliases'!$A$2:$A$1000,'Name Aliases'!$B$2:$B$1000),""))</f>
        <v/>
      </c>
      <c r="Q486" s="18" t="str">
        <f t="shared" si="57"/>
        <v/>
      </c>
      <c r="R486" s="17" t="str">
        <f t="shared" si="58"/>
        <v/>
      </c>
      <c r="S486" s="19" t="str">
        <f t="shared" si="59"/>
        <v/>
      </c>
      <c r="T486" s="17" t="str">
        <f t="shared" si="60"/>
        <v/>
      </c>
      <c r="U486" s="17" t="str">
        <f t="shared" si="61"/>
        <v/>
      </c>
      <c r="V486" s="19" t="str">
        <f>IF(ISBLANK($B486),"",IF(ISBLANK($K486),IF(_xlfn.XLOOKUP($W486,'Category Mapping'!$C:$C,'Category Mapping'!$B:$B)="Travel",_xlfn.XLOOKUP($P486,'Department Listing'!$A:$A,'Department Listing'!$M:$M),_xlfn.XLOOKUP($W486,'Category Mapping'!$C:$C,'Category Mapping'!$D:$D)),$K486))</f>
        <v/>
      </c>
      <c r="W486" s="19" t="str">
        <f t="shared" si="62"/>
        <v/>
      </c>
      <c r="X486" s="19" t="str">
        <f t="shared" si="63"/>
        <v/>
      </c>
      <c r="Y486" s="20" t="str">
        <f>IF(ISBLANK($M486),IFERROR(_xlfn.XLOOKUP($P486,'Department Listing'!$A:$A,'Department Listing'!$L:$L),""),$M486)</f>
        <v/>
      </c>
      <c r="Z486" s="11" t="str">
        <f>IF(ISBLANK($B486),"",MATCH($X486,COA!$B:$B,0))</f>
        <v/>
      </c>
    </row>
    <row r="487" spans="2:26" ht="15.75" customHeight="1" x14ac:dyDescent="0.25">
      <c r="B487" s="24"/>
      <c r="C487" s="10"/>
      <c r="D487" s="10"/>
      <c r="E487" s="25"/>
      <c r="F487" s="10"/>
      <c r="G487" s="10"/>
      <c r="H487" s="10"/>
      <c r="I487" s="9"/>
      <c r="J487" s="9"/>
      <c r="K487" s="9"/>
      <c r="L487" s="9"/>
      <c r="M487" s="9"/>
      <c r="N487" s="17"/>
      <c r="O487" s="17" t="str">
        <f t="shared" si="56"/>
        <v/>
      </c>
      <c r="P487" s="17" t="str">
        <f>IFERROR(_xlfn.XLOOKUP(O487,'Department Listing'!$O$1:$O$395,'Department Listing'!$A$1:$A$395),IFERROR(_xlfn.XLOOKUP(O487,'Name Aliases'!$A$2:$A$1000,'Name Aliases'!$B$2:$B$1000),""))</f>
        <v/>
      </c>
      <c r="Q487" s="18" t="str">
        <f t="shared" si="57"/>
        <v/>
      </c>
      <c r="R487" s="17" t="str">
        <f t="shared" si="58"/>
        <v/>
      </c>
      <c r="S487" s="19" t="str">
        <f t="shared" si="59"/>
        <v/>
      </c>
      <c r="T487" s="17" t="str">
        <f t="shared" si="60"/>
        <v/>
      </c>
      <c r="U487" s="17" t="str">
        <f t="shared" si="61"/>
        <v/>
      </c>
      <c r="V487" s="19" t="str">
        <f>IF(ISBLANK($B487),"",IF(ISBLANK($K487),IF(_xlfn.XLOOKUP($W487,'Category Mapping'!$C:$C,'Category Mapping'!$B:$B)="Travel",_xlfn.XLOOKUP($P487,'Department Listing'!$A:$A,'Department Listing'!$M:$M),_xlfn.XLOOKUP($W487,'Category Mapping'!$C:$C,'Category Mapping'!$D:$D)),$K487))</f>
        <v/>
      </c>
      <c r="W487" s="19" t="str">
        <f t="shared" si="62"/>
        <v/>
      </c>
      <c r="X487" s="19" t="str">
        <f t="shared" si="63"/>
        <v/>
      </c>
      <c r="Y487" s="20" t="str">
        <f>IF(ISBLANK($M487),IFERROR(_xlfn.XLOOKUP($P487,'Department Listing'!$A:$A,'Department Listing'!$L:$L),""),$M487)</f>
        <v/>
      </c>
      <c r="Z487" s="11" t="str">
        <f>IF(ISBLANK($B487),"",MATCH($X487,COA!$B:$B,0))</f>
        <v/>
      </c>
    </row>
    <row r="488" spans="2:26" ht="15.75" customHeight="1" x14ac:dyDescent="0.25">
      <c r="B488" s="24"/>
      <c r="C488" s="10"/>
      <c r="D488" s="10"/>
      <c r="E488" s="25"/>
      <c r="F488" s="10"/>
      <c r="G488" s="10"/>
      <c r="H488" s="10"/>
      <c r="I488" s="9"/>
      <c r="J488" s="9"/>
      <c r="K488" s="9"/>
      <c r="L488" s="9"/>
      <c r="M488" s="9"/>
      <c r="N488" s="17"/>
      <c r="O488" s="17" t="str">
        <f t="shared" si="56"/>
        <v/>
      </c>
      <c r="P488" s="17" t="str">
        <f>IFERROR(_xlfn.XLOOKUP(O488,'Department Listing'!$O$1:$O$395,'Department Listing'!$A$1:$A$395),IFERROR(_xlfn.XLOOKUP(O488,'Name Aliases'!$A$2:$A$1000,'Name Aliases'!$B$2:$B$1000),""))</f>
        <v/>
      </c>
      <c r="Q488" s="18" t="str">
        <f t="shared" si="57"/>
        <v/>
      </c>
      <c r="R488" s="17" t="str">
        <f t="shared" si="58"/>
        <v/>
      </c>
      <c r="S488" s="19" t="str">
        <f t="shared" si="59"/>
        <v/>
      </c>
      <c r="T488" s="17" t="str">
        <f t="shared" si="60"/>
        <v/>
      </c>
      <c r="U488" s="17" t="str">
        <f t="shared" si="61"/>
        <v/>
      </c>
      <c r="V488" s="19" t="str">
        <f>IF(ISBLANK($B488),"",IF(ISBLANK($K488),IF(_xlfn.XLOOKUP($W488,'Category Mapping'!$C:$C,'Category Mapping'!$B:$B)="Travel",_xlfn.XLOOKUP($P488,'Department Listing'!$A:$A,'Department Listing'!$M:$M),_xlfn.XLOOKUP($W488,'Category Mapping'!$C:$C,'Category Mapping'!$D:$D)),$K488))</f>
        <v/>
      </c>
      <c r="W488" s="19" t="str">
        <f t="shared" si="62"/>
        <v/>
      </c>
      <c r="X488" s="19" t="str">
        <f t="shared" si="63"/>
        <v/>
      </c>
      <c r="Y488" s="20" t="str">
        <f>IF(ISBLANK($M488),IFERROR(_xlfn.XLOOKUP($P488,'Department Listing'!$A:$A,'Department Listing'!$L:$L),""),$M488)</f>
        <v/>
      </c>
      <c r="Z488" s="11" t="str">
        <f>IF(ISBLANK($B488),"",MATCH($X488,COA!$B:$B,0))</f>
        <v/>
      </c>
    </row>
    <row r="489" spans="2:26" ht="15.75" customHeight="1" x14ac:dyDescent="0.25">
      <c r="B489" s="24"/>
      <c r="C489" s="10"/>
      <c r="D489" s="10"/>
      <c r="E489" s="25"/>
      <c r="F489" s="10"/>
      <c r="G489" s="10"/>
      <c r="H489" s="10"/>
      <c r="I489" s="9"/>
      <c r="J489" s="9"/>
      <c r="K489" s="9"/>
      <c r="L489" s="9"/>
      <c r="M489" s="9"/>
      <c r="N489" s="17"/>
      <c r="O489" s="17" t="str">
        <f t="shared" si="56"/>
        <v/>
      </c>
      <c r="P489" s="17" t="str">
        <f>IFERROR(_xlfn.XLOOKUP(O489,'Department Listing'!$O$1:$O$395,'Department Listing'!$A$1:$A$395),IFERROR(_xlfn.XLOOKUP(O489,'Name Aliases'!$A$2:$A$1000,'Name Aliases'!$B$2:$B$1000),""))</f>
        <v/>
      </c>
      <c r="Q489" s="18" t="str">
        <f t="shared" si="57"/>
        <v/>
      </c>
      <c r="R489" s="17" t="str">
        <f t="shared" si="58"/>
        <v/>
      </c>
      <c r="S489" s="19" t="str">
        <f t="shared" si="59"/>
        <v/>
      </c>
      <c r="T489" s="17" t="str">
        <f t="shared" si="60"/>
        <v/>
      </c>
      <c r="U489" s="17" t="str">
        <f t="shared" si="61"/>
        <v/>
      </c>
      <c r="V489" s="19" t="str">
        <f>IF(ISBLANK($B489),"",IF(ISBLANK($K489),IF(_xlfn.XLOOKUP($W489,'Category Mapping'!$C:$C,'Category Mapping'!$B:$B)="Travel",_xlfn.XLOOKUP($P489,'Department Listing'!$A:$A,'Department Listing'!$M:$M),_xlfn.XLOOKUP($W489,'Category Mapping'!$C:$C,'Category Mapping'!$D:$D)),$K489))</f>
        <v/>
      </c>
      <c r="W489" s="19" t="str">
        <f t="shared" si="62"/>
        <v/>
      </c>
      <c r="X489" s="19" t="str">
        <f t="shared" si="63"/>
        <v/>
      </c>
      <c r="Y489" s="20" t="str">
        <f>IF(ISBLANK($M489),IFERROR(_xlfn.XLOOKUP($P489,'Department Listing'!$A:$A,'Department Listing'!$L:$L),""),$M489)</f>
        <v/>
      </c>
      <c r="Z489" s="11" t="str">
        <f>IF(ISBLANK($B489),"",MATCH($X489,COA!$B:$B,0))</f>
        <v/>
      </c>
    </row>
    <row r="490" spans="2:26" ht="15.75" customHeight="1" x14ac:dyDescent="0.25">
      <c r="B490" s="24"/>
      <c r="C490" s="10"/>
      <c r="D490" s="10"/>
      <c r="E490" s="25"/>
      <c r="F490" s="10"/>
      <c r="G490" s="10"/>
      <c r="H490" s="10"/>
      <c r="I490" s="9"/>
      <c r="J490" s="9"/>
      <c r="K490" s="9"/>
      <c r="L490" s="9"/>
      <c r="M490" s="9"/>
      <c r="N490" s="17"/>
      <c r="O490" s="17" t="str">
        <f t="shared" si="56"/>
        <v/>
      </c>
      <c r="P490" s="17" t="str">
        <f>IFERROR(_xlfn.XLOOKUP(O490,'Department Listing'!$O$1:$O$395,'Department Listing'!$A$1:$A$395),IFERROR(_xlfn.XLOOKUP(O490,'Name Aliases'!$A$2:$A$1000,'Name Aliases'!$B$2:$B$1000),""))</f>
        <v/>
      </c>
      <c r="Q490" s="18" t="str">
        <f t="shared" si="57"/>
        <v/>
      </c>
      <c r="R490" s="17" t="str">
        <f t="shared" si="58"/>
        <v/>
      </c>
      <c r="S490" s="19" t="str">
        <f t="shared" si="59"/>
        <v/>
      </c>
      <c r="T490" s="17" t="str">
        <f t="shared" si="60"/>
        <v/>
      </c>
      <c r="U490" s="17" t="str">
        <f t="shared" si="61"/>
        <v/>
      </c>
      <c r="V490" s="19" t="str">
        <f>IF(ISBLANK($B490),"",IF(ISBLANK($K490),IF(_xlfn.XLOOKUP($W490,'Category Mapping'!$C:$C,'Category Mapping'!$B:$B)="Travel",_xlfn.XLOOKUP($P490,'Department Listing'!$A:$A,'Department Listing'!$M:$M),_xlfn.XLOOKUP($W490,'Category Mapping'!$C:$C,'Category Mapping'!$D:$D)),$K490))</f>
        <v/>
      </c>
      <c r="W490" s="19" t="str">
        <f t="shared" si="62"/>
        <v/>
      </c>
      <c r="X490" s="19" t="str">
        <f t="shared" si="63"/>
        <v/>
      </c>
      <c r="Y490" s="20" t="str">
        <f>IF(ISBLANK($M490),IFERROR(_xlfn.XLOOKUP($P490,'Department Listing'!$A:$A,'Department Listing'!$L:$L),""),$M490)</f>
        <v/>
      </c>
      <c r="Z490" s="11" t="str">
        <f>IF(ISBLANK($B490),"",MATCH($X490,COA!$B:$B,0))</f>
        <v/>
      </c>
    </row>
    <row r="491" spans="2:26" ht="15.75" customHeight="1" x14ac:dyDescent="0.25">
      <c r="B491" s="24"/>
      <c r="C491" s="10"/>
      <c r="D491" s="10"/>
      <c r="E491" s="25"/>
      <c r="F491" s="10"/>
      <c r="G491" s="10"/>
      <c r="H491" s="10"/>
      <c r="I491" s="9"/>
      <c r="J491" s="9"/>
      <c r="K491" s="9"/>
      <c r="L491" s="9"/>
      <c r="M491" s="9"/>
      <c r="N491" s="17"/>
      <c r="O491" s="17" t="str">
        <f t="shared" si="56"/>
        <v/>
      </c>
      <c r="P491" s="17" t="str">
        <f>IFERROR(_xlfn.XLOOKUP(O491,'Department Listing'!$O$1:$O$395,'Department Listing'!$A$1:$A$395),IFERROR(_xlfn.XLOOKUP(O491,'Name Aliases'!$A$2:$A$1000,'Name Aliases'!$B$2:$B$1000),""))</f>
        <v/>
      </c>
      <c r="Q491" s="18" t="str">
        <f t="shared" si="57"/>
        <v/>
      </c>
      <c r="R491" s="17" t="str">
        <f t="shared" si="58"/>
        <v/>
      </c>
      <c r="S491" s="19" t="str">
        <f t="shared" si="59"/>
        <v/>
      </c>
      <c r="T491" s="17" t="str">
        <f t="shared" si="60"/>
        <v/>
      </c>
      <c r="U491" s="17" t="str">
        <f t="shared" si="61"/>
        <v/>
      </c>
      <c r="V491" s="19" t="str">
        <f>IF(ISBLANK($B491),"",IF(ISBLANK($K491),IF(_xlfn.XLOOKUP($W491,'Category Mapping'!$C:$C,'Category Mapping'!$B:$B)="Travel",_xlfn.XLOOKUP($P491,'Department Listing'!$A:$A,'Department Listing'!$M:$M),_xlfn.XLOOKUP($W491,'Category Mapping'!$C:$C,'Category Mapping'!$D:$D)),$K491))</f>
        <v/>
      </c>
      <c r="W491" s="19" t="str">
        <f t="shared" si="62"/>
        <v/>
      </c>
      <c r="X491" s="19" t="str">
        <f t="shared" si="63"/>
        <v/>
      </c>
      <c r="Y491" s="20" t="str">
        <f>IF(ISBLANK($M491),IFERROR(_xlfn.XLOOKUP($P491,'Department Listing'!$A:$A,'Department Listing'!$L:$L),""),$M491)</f>
        <v/>
      </c>
      <c r="Z491" s="11" t="str">
        <f>IF(ISBLANK($B491),"",MATCH($X491,COA!$B:$B,0))</f>
        <v/>
      </c>
    </row>
    <row r="492" spans="2:26" ht="15.75" customHeight="1" x14ac:dyDescent="0.25">
      <c r="B492" s="24"/>
      <c r="C492" s="10"/>
      <c r="D492" s="10"/>
      <c r="E492" s="25"/>
      <c r="F492" s="10"/>
      <c r="G492" s="10"/>
      <c r="H492" s="10"/>
      <c r="I492" s="9"/>
      <c r="J492" s="9"/>
      <c r="K492" s="9"/>
      <c r="L492" s="9"/>
      <c r="M492" s="9"/>
      <c r="N492" s="17"/>
      <c r="O492" s="17" t="str">
        <f t="shared" si="56"/>
        <v/>
      </c>
      <c r="P492" s="17" t="str">
        <f>IFERROR(_xlfn.XLOOKUP(O492,'Department Listing'!$O$1:$O$395,'Department Listing'!$A$1:$A$395),IFERROR(_xlfn.XLOOKUP(O492,'Name Aliases'!$A$2:$A$1000,'Name Aliases'!$B$2:$B$1000),""))</f>
        <v/>
      </c>
      <c r="Q492" s="18" t="str">
        <f t="shared" si="57"/>
        <v/>
      </c>
      <c r="R492" s="17" t="str">
        <f t="shared" si="58"/>
        <v/>
      </c>
      <c r="S492" s="19" t="str">
        <f t="shared" si="59"/>
        <v/>
      </c>
      <c r="T492" s="17" t="str">
        <f t="shared" si="60"/>
        <v/>
      </c>
      <c r="U492" s="17" t="str">
        <f t="shared" si="61"/>
        <v/>
      </c>
      <c r="V492" s="19" t="str">
        <f>IF(ISBLANK($B492),"",IF(ISBLANK($K492),IF(_xlfn.XLOOKUP($W492,'Category Mapping'!$C:$C,'Category Mapping'!$B:$B)="Travel",_xlfn.XLOOKUP($P492,'Department Listing'!$A:$A,'Department Listing'!$M:$M),_xlfn.XLOOKUP($W492,'Category Mapping'!$C:$C,'Category Mapping'!$D:$D)),$K492))</f>
        <v/>
      </c>
      <c r="W492" s="19" t="str">
        <f t="shared" si="62"/>
        <v/>
      </c>
      <c r="X492" s="19" t="str">
        <f t="shared" si="63"/>
        <v/>
      </c>
      <c r="Y492" s="20" t="str">
        <f>IF(ISBLANK($M492),IFERROR(_xlfn.XLOOKUP($P492,'Department Listing'!$A:$A,'Department Listing'!$L:$L),""),$M492)</f>
        <v/>
      </c>
      <c r="Z492" s="11" t="str">
        <f>IF(ISBLANK($B492),"",MATCH($X492,COA!$B:$B,0))</f>
        <v/>
      </c>
    </row>
    <row r="493" spans="2:26" ht="15.75" customHeight="1" x14ac:dyDescent="0.25">
      <c r="B493" s="24"/>
      <c r="C493" s="10"/>
      <c r="D493" s="10"/>
      <c r="E493" s="25"/>
      <c r="F493" s="10"/>
      <c r="G493" s="10"/>
      <c r="H493" s="10"/>
      <c r="I493" s="9"/>
      <c r="J493" s="9"/>
      <c r="K493" s="9"/>
      <c r="L493" s="9"/>
      <c r="M493" s="9"/>
      <c r="N493" s="17"/>
      <c r="O493" s="17" t="str">
        <f t="shared" si="56"/>
        <v/>
      </c>
      <c r="P493" s="17" t="str">
        <f>IFERROR(_xlfn.XLOOKUP(O493,'Department Listing'!$O$1:$O$395,'Department Listing'!$A$1:$A$395),IFERROR(_xlfn.XLOOKUP(O493,'Name Aliases'!$A$2:$A$1000,'Name Aliases'!$B$2:$B$1000),""))</f>
        <v/>
      </c>
      <c r="Q493" s="18" t="str">
        <f t="shared" si="57"/>
        <v/>
      </c>
      <c r="R493" s="17" t="str">
        <f t="shared" si="58"/>
        <v/>
      </c>
      <c r="S493" s="19" t="str">
        <f t="shared" si="59"/>
        <v/>
      </c>
      <c r="T493" s="17" t="str">
        <f t="shared" si="60"/>
        <v/>
      </c>
      <c r="U493" s="17" t="str">
        <f t="shared" si="61"/>
        <v/>
      </c>
      <c r="V493" s="19" t="str">
        <f>IF(ISBLANK($B493),"",IF(ISBLANK($K493),IF(_xlfn.XLOOKUP($W493,'Category Mapping'!$C:$C,'Category Mapping'!$B:$B)="Travel",_xlfn.XLOOKUP($P493,'Department Listing'!$A:$A,'Department Listing'!$M:$M),_xlfn.XLOOKUP($W493,'Category Mapping'!$C:$C,'Category Mapping'!$D:$D)),$K493))</f>
        <v/>
      </c>
      <c r="W493" s="19" t="str">
        <f t="shared" si="62"/>
        <v/>
      </c>
      <c r="X493" s="19" t="str">
        <f t="shared" si="63"/>
        <v/>
      </c>
      <c r="Y493" s="20" t="str">
        <f>IF(ISBLANK($M493),IFERROR(_xlfn.XLOOKUP($P493,'Department Listing'!$A:$A,'Department Listing'!$L:$L),""),$M493)</f>
        <v/>
      </c>
      <c r="Z493" s="11" t="str">
        <f>IF(ISBLANK($B493),"",MATCH($X493,COA!$B:$B,0))</f>
        <v/>
      </c>
    </row>
    <row r="494" spans="2:26" ht="15.75" customHeight="1" x14ac:dyDescent="0.25">
      <c r="B494" s="24"/>
      <c r="C494" s="10"/>
      <c r="D494" s="10"/>
      <c r="E494" s="25"/>
      <c r="F494" s="10"/>
      <c r="G494" s="10"/>
      <c r="H494" s="10"/>
      <c r="I494" s="9"/>
      <c r="J494" s="9"/>
      <c r="K494" s="9"/>
      <c r="L494" s="9"/>
      <c r="M494" s="9"/>
      <c r="N494" s="17"/>
      <c r="O494" s="17" t="str">
        <f t="shared" si="56"/>
        <v/>
      </c>
      <c r="P494" s="17" t="str">
        <f>IFERROR(_xlfn.XLOOKUP(O494,'Department Listing'!$O$1:$O$395,'Department Listing'!$A$1:$A$395),IFERROR(_xlfn.XLOOKUP(O494,'Name Aliases'!$A$2:$A$1000,'Name Aliases'!$B$2:$B$1000),""))</f>
        <v/>
      </c>
      <c r="Q494" s="18" t="str">
        <f t="shared" si="57"/>
        <v/>
      </c>
      <c r="R494" s="17" t="str">
        <f t="shared" si="58"/>
        <v/>
      </c>
      <c r="S494" s="19" t="str">
        <f t="shared" si="59"/>
        <v/>
      </c>
      <c r="T494" s="17" t="str">
        <f t="shared" si="60"/>
        <v/>
      </c>
      <c r="U494" s="17" t="str">
        <f t="shared" si="61"/>
        <v/>
      </c>
      <c r="V494" s="19" t="str">
        <f>IF(ISBLANK($B494),"",IF(ISBLANK($K494),IF(_xlfn.XLOOKUP($W494,'Category Mapping'!$C:$C,'Category Mapping'!$B:$B)="Travel",_xlfn.XLOOKUP($P494,'Department Listing'!$A:$A,'Department Listing'!$M:$M),_xlfn.XLOOKUP($W494,'Category Mapping'!$C:$C,'Category Mapping'!$D:$D)),$K494))</f>
        <v/>
      </c>
      <c r="W494" s="19" t="str">
        <f t="shared" si="62"/>
        <v/>
      </c>
      <c r="X494" s="19" t="str">
        <f t="shared" si="63"/>
        <v/>
      </c>
      <c r="Y494" s="20" t="str">
        <f>IF(ISBLANK($M494),IFERROR(_xlfn.XLOOKUP($P494,'Department Listing'!$A:$A,'Department Listing'!$L:$L),""),$M494)</f>
        <v/>
      </c>
      <c r="Z494" s="11" t="str">
        <f>IF(ISBLANK($B494),"",MATCH($X494,COA!$B:$B,0))</f>
        <v/>
      </c>
    </row>
    <row r="495" spans="2:26" ht="15.75" customHeight="1" x14ac:dyDescent="0.25">
      <c r="B495" s="24"/>
      <c r="C495" s="10"/>
      <c r="D495" s="10"/>
      <c r="E495" s="25"/>
      <c r="F495" s="10"/>
      <c r="G495" s="10"/>
      <c r="H495" s="10"/>
      <c r="I495" s="9"/>
      <c r="J495" s="9"/>
      <c r="K495" s="9"/>
      <c r="L495" s="9"/>
      <c r="M495" s="9"/>
      <c r="N495" s="17"/>
      <c r="O495" s="17" t="str">
        <f t="shared" si="56"/>
        <v/>
      </c>
      <c r="P495" s="17" t="str">
        <f>IFERROR(_xlfn.XLOOKUP(O495,'Department Listing'!$O$1:$O$395,'Department Listing'!$A$1:$A$395),IFERROR(_xlfn.XLOOKUP(O495,'Name Aliases'!$A$2:$A$1000,'Name Aliases'!$B$2:$B$1000),""))</f>
        <v/>
      </c>
      <c r="Q495" s="18" t="str">
        <f t="shared" si="57"/>
        <v/>
      </c>
      <c r="R495" s="17" t="str">
        <f t="shared" si="58"/>
        <v/>
      </c>
      <c r="S495" s="19" t="str">
        <f t="shared" si="59"/>
        <v/>
      </c>
      <c r="T495" s="17" t="str">
        <f t="shared" si="60"/>
        <v/>
      </c>
      <c r="U495" s="17" t="str">
        <f t="shared" si="61"/>
        <v/>
      </c>
      <c r="V495" s="19" t="str">
        <f>IF(ISBLANK($B495),"",IF(ISBLANK($K495),IF(_xlfn.XLOOKUP($W495,'Category Mapping'!$C:$C,'Category Mapping'!$B:$B)="Travel",_xlfn.XLOOKUP($P495,'Department Listing'!$A:$A,'Department Listing'!$M:$M),_xlfn.XLOOKUP($W495,'Category Mapping'!$C:$C,'Category Mapping'!$D:$D)),$K495))</f>
        <v/>
      </c>
      <c r="W495" s="19" t="str">
        <f t="shared" si="62"/>
        <v/>
      </c>
      <c r="X495" s="19" t="str">
        <f t="shared" si="63"/>
        <v/>
      </c>
      <c r="Y495" s="20" t="str">
        <f>IF(ISBLANK($M495),IFERROR(_xlfn.XLOOKUP($P495,'Department Listing'!$A:$A,'Department Listing'!$L:$L),""),$M495)</f>
        <v/>
      </c>
      <c r="Z495" s="11" t="str">
        <f>IF(ISBLANK($B495),"",MATCH($X495,COA!$B:$B,0))</f>
        <v/>
      </c>
    </row>
    <row r="496" spans="2:26" ht="15.75" customHeight="1" x14ac:dyDescent="0.25">
      <c r="B496" s="24"/>
      <c r="C496" s="10"/>
      <c r="D496" s="10"/>
      <c r="E496" s="25"/>
      <c r="F496" s="10"/>
      <c r="G496" s="10"/>
      <c r="H496" s="10"/>
      <c r="I496" s="9"/>
      <c r="J496" s="9"/>
      <c r="K496" s="9"/>
      <c r="L496" s="9"/>
      <c r="M496" s="9"/>
      <c r="N496" s="17"/>
      <c r="O496" s="17" t="str">
        <f t="shared" si="56"/>
        <v/>
      </c>
      <c r="P496" s="17" t="str">
        <f>IFERROR(_xlfn.XLOOKUP(O496,'Department Listing'!$O$1:$O$395,'Department Listing'!$A$1:$A$395),IFERROR(_xlfn.XLOOKUP(O496,'Name Aliases'!$A$2:$A$1000,'Name Aliases'!$B$2:$B$1000),""))</f>
        <v/>
      </c>
      <c r="Q496" s="18" t="str">
        <f t="shared" si="57"/>
        <v/>
      </c>
      <c r="R496" s="17" t="str">
        <f t="shared" si="58"/>
        <v/>
      </c>
      <c r="S496" s="19" t="str">
        <f t="shared" si="59"/>
        <v/>
      </c>
      <c r="T496" s="17" t="str">
        <f t="shared" si="60"/>
        <v/>
      </c>
      <c r="U496" s="17" t="str">
        <f t="shared" si="61"/>
        <v/>
      </c>
      <c r="V496" s="19" t="str">
        <f>IF(ISBLANK($B496),"",IF(ISBLANK($K496),IF(_xlfn.XLOOKUP($W496,'Category Mapping'!$C:$C,'Category Mapping'!$B:$B)="Travel",_xlfn.XLOOKUP($P496,'Department Listing'!$A:$A,'Department Listing'!$M:$M),_xlfn.XLOOKUP($W496,'Category Mapping'!$C:$C,'Category Mapping'!$D:$D)),$K496))</f>
        <v/>
      </c>
      <c r="W496" s="19" t="str">
        <f t="shared" si="62"/>
        <v/>
      </c>
      <c r="X496" s="19" t="str">
        <f t="shared" si="63"/>
        <v/>
      </c>
      <c r="Y496" s="20" t="str">
        <f>IF(ISBLANK($M496),IFERROR(_xlfn.XLOOKUP($P496,'Department Listing'!$A:$A,'Department Listing'!$L:$L),""),$M496)</f>
        <v/>
      </c>
      <c r="Z496" s="11" t="str">
        <f>IF(ISBLANK($B496),"",MATCH($X496,COA!$B:$B,0))</f>
        <v/>
      </c>
    </row>
    <row r="497" spans="2:26" ht="15.75" customHeight="1" x14ac:dyDescent="0.25">
      <c r="B497" s="24"/>
      <c r="C497" s="10"/>
      <c r="D497" s="10"/>
      <c r="E497" s="25"/>
      <c r="F497" s="10"/>
      <c r="G497" s="10"/>
      <c r="H497" s="10"/>
      <c r="I497" s="9"/>
      <c r="J497" s="9"/>
      <c r="K497" s="9"/>
      <c r="L497" s="9"/>
      <c r="M497" s="9"/>
      <c r="N497" s="17"/>
      <c r="O497" s="17" t="str">
        <f t="shared" si="56"/>
        <v/>
      </c>
      <c r="P497" s="17" t="str">
        <f>IFERROR(_xlfn.XLOOKUP(O497,'Department Listing'!$O$1:$O$395,'Department Listing'!$A$1:$A$395),IFERROR(_xlfn.XLOOKUP(O497,'Name Aliases'!$A$2:$A$1000,'Name Aliases'!$B$2:$B$1000),""))</f>
        <v/>
      </c>
      <c r="Q497" s="18" t="str">
        <f t="shared" si="57"/>
        <v/>
      </c>
      <c r="R497" s="17" t="str">
        <f t="shared" si="58"/>
        <v/>
      </c>
      <c r="S497" s="19" t="str">
        <f t="shared" si="59"/>
        <v/>
      </c>
      <c r="T497" s="17" t="str">
        <f t="shared" si="60"/>
        <v/>
      </c>
      <c r="U497" s="17" t="str">
        <f t="shared" si="61"/>
        <v/>
      </c>
      <c r="V497" s="19" t="str">
        <f>IF(ISBLANK($B497),"",IF(ISBLANK($K497),IF(_xlfn.XLOOKUP($W497,'Category Mapping'!$C:$C,'Category Mapping'!$B:$B)="Travel",_xlfn.XLOOKUP($P497,'Department Listing'!$A:$A,'Department Listing'!$M:$M),_xlfn.XLOOKUP($W497,'Category Mapping'!$C:$C,'Category Mapping'!$D:$D)),$K497))</f>
        <v/>
      </c>
      <c r="W497" s="19" t="str">
        <f t="shared" si="62"/>
        <v/>
      </c>
      <c r="X497" s="19" t="str">
        <f t="shared" si="63"/>
        <v/>
      </c>
      <c r="Y497" s="20" t="str">
        <f>IF(ISBLANK($M497),IFERROR(_xlfn.XLOOKUP($P497,'Department Listing'!$A:$A,'Department Listing'!$L:$L),""),$M497)</f>
        <v/>
      </c>
      <c r="Z497" s="11" t="str">
        <f>IF(ISBLANK($B497),"",MATCH($X497,COA!$B:$B,0))</f>
        <v/>
      </c>
    </row>
    <row r="498" spans="2:26" ht="15.75" customHeight="1" x14ac:dyDescent="0.25">
      <c r="B498" s="24"/>
      <c r="C498" s="10"/>
      <c r="D498" s="10"/>
      <c r="E498" s="25"/>
      <c r="F498" s="10"/>
      <c r="G498" s="10"/>
      <c r="H498" s="10"/>
      <c r="I498" s="9"/>
      <c r="J498" s="9"/>
      <c r="K498" s="9"/>
      <c r="L498" s="9"/>
      <c r="M498" s="9"/>
      <c r="N498" s="17"/>
      <c r="O498" s="17" t="str">
        <f t="shared" si="56"/>
        <v/>
      </c>
      <c r="P498" s="17" t="str">
        <f>IFERROR(_xlfn.XLOOKUP(O498,'Department Listing'!$O$1:$O$395,'Department Listing'!$A$1:$A$395),IFERROR(_xlfn.XLOOKUP(O498,'Name Aliases'!$A$2:$A$1000,'Name Aliases'!$B$2:$B$1000),""))</f>
        <v/>
      </c>
      <c r="Q498" s="18" t="str">
        <f t="shared" si="57"/>
        <v/>
      </c>
      <c r="R498" s="17" t="str">
        <f t="shared" si="58"/>
        <v/>
      </c>
      <c r="S498" s="19" t="str">
        <f t="shared" si="59"/>
        <v/>
      </c>
      <c r="T498" s="17" t="str">
        <f t="shared" si="60"/>
        <v/>
      </c>
      <c r="U498" s="17" t="str">
        <f t="shared" si="61"/>
        <v/>
      </c>
      <c r="V498" s="19" t="str">
        <f>IF(ISBLANK($B498),"",IF(ISBLANK($K498),IF(_xlfn.XLOOKUP($W498,'Category Mapping'!$C:$C,'Category Mapping'!$B:$B)="Travel",_xlfn.XLOOKUP($P498,'Department Listing'!$A:$A,'Department Listing'!$M:$M),_xlfn.XLOOKUP($W498,'Category Mapping'!$C:$C,'Category Mapping'!$D:$D)),$K498))</f>
        <v/>
      </c>
      <c r="W498" s="19" t="str">
        <f t="shared" si="62"/>
        <v/>
      </c>
      <c r="X498" s="19" t="str">
        <f t="shared" si="63"/>
        <v/>
      </c>
      <c r="Y498" s="20" t="str">
        <f>IF(ISBLANK($M498),IFERROR(_xlfn.XLOOKUP($P498,'Department Listing'!$A:$A,'Department Listing'!$L:$L),""),$M498)</f>
        <v/>
      </c>
      <c r="Z498" s="11" t="str">
        <f>IF(ISBLANK($B498),"",MATCH($X498,COA!$B:$B,0))</f>
        <v/>
      </c>
    </row>
    <row r="499" spans="2:26" ht="15.75" customHeight="1" x14ac:dyDescent="0.25">
      <c r="B499" s="24"/>
      <c r="C499" s="10"/>
      <c r="D499" s="10"/>
      <c r="E499" s="25"/>
      <c r="F499" s="10"/>
      <c r="G499" s="10"/>
      <c r="H499" s="10"/>
      <c r="I499" s="9"/>
      <c r="J499" s="9"/>
      <c r="K499" s="9"/>
      <c r="L499" s="9"/>
      <c r="M499" s="9"/>
      <c r="N499" s="17"/>
      <c r="O499" s="17" t="str">
        <f t="shared" si="56"/>
        <v/>
      </c>
      <c r="P499" s="17" t="str">
        <f>IFERROR(_xlfn.XLOOKUP(O499,'Department Listing'!$O$1:$O$395,'Department Listing'!$A$1:$A$395),IFERROR(_xlfn.XLOOKUP(O499,'Name Aliases'!$A$2:$A$1000,'Name Aliases'!$B$2:$B$1000),""))</f>
        <v/>
      </c>
      <c r="Q499" s="18" t="str">
        <f t="shared" si="57"/>
        <v/>
      </c>
      <c r="R499" s="17" t="str">
        <f t="shared" si="58"/>
        <v/>
      </c>
      <c r="S499" s="19" t="str">
        <f t="shared" si="59"/>
        <v/>
      </c>
      <c r="T499" s="17" t="str">
        <f t="shared" si="60"/>
        <v/>
      </c>
      <c r="U499" s="17" t="str">
        <f t="shared" si="61"/>
        <v/>
      </c>
      <c r="V499" s="19" t="str">
        <f>IF(ISBLANK($B499),"",IF(ISBLANK($K499),IF(_xlfn.XLOOKUP($W499,'Category Mapping'!$C:$C,'Category Mapping'!$B:$B)="Travel",_xlfn.XLOOKUP($P499,'Department Listing'!$A:$A,'Department Listing'!$M:$M),_xlfn.XLOOKUP($W499,'Category Mapping'!$C:$C,'Category Mapping'!$D:$D)),$K499))</f>
        <v/>
      </c>
      <c r="W499" s="19" t="str">
        <f t="shared" si="62"/>
        <v/>
      </c>
      <c r="X499" s="19" t="str">
        <f t="shared" si="63"/>
        <v/>
      </c>
      <c r="Y499" s="20" t="str">
        <f>IF(ISBLANK($M499),IFERROR(_xlfn.XLOOKUP($P499,'Department Listing'!$A:$A,'Department Listing'!$L:$L),""),$M499)</f>
        <v/>
      </c>
      <c r="Z499" s="11" t="str">
        <f>IF(ISBLANK($B499),"",MATCH($X499,COA!$B:$B,0))</f>
        <v/>
      </c>
    </row>
    <row r="500" spans="2:26" ht="15.75" customHeight="1" x14ac:dyDescent="0.25">
      <c r="B500" s="24"/>
      <c r="C500" s="10"/>
      <c r="D500" s="10"/>
      <c r="E500" s="25"/>
      <c r="F500" s="10"/>
      <c r="G500" s="10"/>
      <c r="H500" s="10"/>
      <c r="I500" s="9"/>
      <c r="J500" s="9"/>
      <c r="K500" s="9"/>
      <c r="L500" s="9"/>
      <c r="M500" s="9"/>
      <c r="N500" s="17"/>
      <c r="O500" s="17" t="str">
        <f t="shared" si="56"/>
        <v/>
      </c>
      <c r="P500" s="17" t="str">
        <f>IFERROR(_xlfn.XLOOKUP(O500,'Department Listing'!$O$1:$O$395,'Department Listing'!$A$1:$A$395),IFERROR(_xlfn.XLOOKUP(O500,'Name Aliases'!$A$2:$A$1000,'Name Aliases'!$B$2:$B$1000),""))</f>
        <v/>
      </c>
      <c r="Q500" s="18" t="str">
        <f t="shared" si="57"/>
        <v/>
      </c>
      <c r="R500" s="17" t="str">
        <f t="shared" si="58"/>
        <v/>
      </c>
      <c r="S500" s="19" t="str">
        <f t="shared" si="59"/>
        <v/>
      </c>
      <c r="T500" s="17" t="str">
        <f t="shared" si="60"/>
        <v/>
      </c>
      <c r="U500" s="17" t="str">
        <f t="shared" si="61"/>
        <v/>
      </c>
      <c r="V500" s="19" t="str">
        <f>IF(ISBLANK($B500),"",IF(ISBLANK($K500),IF(_xlfn.XLOOKUP($W500,'Category Mapping'!$C:$C,'Category Mapping'!$B:$B)="Travel",_xlfn.XLOOKUP($P500,'Department Listing'!$A:$A,'Department Listing'!$M:$M),_xlfn.XLOOKUP($W500,'Category Mapping'!$C:$C,'Category Mapping'!$D:$D)),$K500))</f>
        <v/>
      </c>
      <c r="W500" s="19" t="str">
        <f t="shared" si="62"/>
        <v/>
      </c>
      <c r="X500" s="19" t="str">
        <f t="shared" si="63"/>
        <v/>
      </c>
      <c r="Y500" s="20" t="str">
        <f>IF(ISBLANK($M500),IFERROR(_xlfn.XLOOKUP($P500,'Department Listing'!$A:$A,'Department Listing'!$L:$L),""),$M500)</f>
        <v/>
      </c>
      <c r="Z500" s="11" t="str">
        <f>IF(ISBLANK($B500),"",MATCH($X500,COA!$B:$B,0))</f>
        <v/>
      </c>
    </row>
    <row r="501" spans="2:26" ht="15.75" customHeight="1" x14ac:dyDescent="0.25">
      <c r="B501" s="24"/>
      <c r="C501" s="10"/>
      <c r="D501" s="10"/>
      <c r="E501" s="25"/>
      <c r="F501" s="10"/>
      <c r="G501" s="10"/>
      <c r="H501" s="10"/>
      <c r="I501" s="9"/>
      <c r="J501" s="9"/>
      <c r="K501" s="9"/>
      <c r="L501" s="9"/>
      <c r="M501" s="9"/>
      <c r="N501" s="17"/>
      <c r="O501" s="17" t="str">
        <f t="shared" si="56"/>
        <v/>
      </c>
      <c r="P501" s="17" t="str">
        <f>IFERROR(_xlfn.XLOOKUP(O501,'Department Listing'!$O$1:$O$395,'Department Listing'!$A$1:$A$395),IFERROR(_xlfn.XLOOKUP(O501,'Name Aliases'!$A$2:$A$1000,'Name Aliases'!$B$2:$B$1000),""))</f>
        <v/>
      </c>
      <c r="Q501" s="18" t="str">
        <f t="shared" si="57"/>
        <v/>
      </c>
      <c r="R501" s="17" t="str">
        <f t="shared" si="58"/>
        <v/>
      </c>
      <c r="S501" s="19" t="str">
        <f t="shared" si="59"/>
        <v/>
      </c>
      <c r="T501" s="17" t="str">
        <f t="shared" si="60"/>
        <v/>
      </c>
      <c r="U501" s="17" t="str">
        <f t="shared" si="61"/>
        <v/>
      </c>
      <c r="V501" s="19" t="str">
        <f>IF(ISBLANK($B501),"",IF(ISBLANK($K501),IF(_xlfn.XLOOKUP($W501,'Category Mapping'!$C:$C,'Category Mapping'!$B:$B)="Travel",_xlfn.XLOOKUP($P501,'Department Listing'!$A:$A,'Department Listing'!$M:$M),_xlfn.XLOOKUP($W501,'Category Mapping'!$C:$C,'Category Mapping'!$D:$D)),$K501))</f>
        <v/>
      </c>
      <c r="W501" s="19" t="str">
        <f t="shared" si="62"/>
        <v/>
      </c>
      <c r="X501" s="19" t="str">
        <f t="shared" si="63"/>
        <v/>
      </c>
      <c r="Y501" s="20" t="str">
        <f>IF(ISBLANK($M501),IFERROR(_xlfn.XLOOKUP($P501,'Department Listing'!$A:$A,'Department Listing'!$L:$L),""),$M501)</f>
        <v/>
      </c>
      <c r="Z501" s="11" t="str">
        <f>IF(ISBLANK($B501),"",MATCH($X501,COA!$B:$B,0))</f>
        <v/>
      </c>
    </row>
    <row r="502" spans="2:26" ht="15.75" customHeight="1" x14ac:dyDescent="0.25">
      <c r="B502" s="24"/>
      <c r="C502" s="10"/>
      <c r="D502" s="10"/>
      <c r="E502" s="25"/>
      <c r="F502" s="10"/>
      <c r="G502" s="10"/>
      <c r="H502" s="10"/>
      <c r="I502" s="9"/>
      <c r="J502" s="9"/>
      <c r="K502" s="9"/>
      <c r="L502" s="9"/>
      <c r="M502" s="9"/>
      <c r="N502" s="17"/>
      <c r="O502" s="17" t="str">
        <f t="shared" si="56"/>
        <v/>
      </c>
      <c r="P502" s="17" t="str">
        <f>IFERROR(_xlfn.XLOOKUP(O502,'Department Listing'!$O$1:$O$395,'Department Listing'!$A$1:$A$395),IFERROR(_xlfn.XLOOKUP(O502,'Name Aliases'!$A$2:$A$1000,'Name Aliases'!$B$2:$B$1000),""))</f>
        <v/>
      </c>
      <c r="Q502" s="18" t="str">
        <f t="shared" si="57"/>
        <v/>
      </c>
      <c r="R502" s="17" t="str">
        <f t="shared" si="58"/>
        <v/>
      </c>
      <c r="S502" s="19" t="str">
        <f t="shared" si="59"/>
        <v/>
      </c>
      <c r="T502" s="17" t="str">
        <f t="shared" si="60"/>
        <v/>
      </c>
      <c r="U502" s="17" t="str">
        <f t="shared" si="61"/>
        <v/>
      </c>
      <c r="V502" s="19" t="str">
        <f>IF(ISBLANK($B502),"",IF(ISBLANK($K502),IF(_xlfn.XLOOKUP($W502,'Category Mapping'!$C:$C,'Category Mapping'!$B:$B)="Travel",_xlfn.XLOOKUP($P502,'Department Listing'!$A:$A,'Department Listing'!$M:$M),_xlfn.XLOOKUP($W502,'Category Mapping'!$C:$C,'Category Mapping'!$D:$D)),$K502))</f>
        <v/>
      </c>
      <c r="W502" s="19" t="str">
        <f t="shared" si="62"/>
        <v/>
      </c>
      <c r="X502" s="19" t="str">
        <f t="shared" si="63"/>
        <v/>
      </c>
      <c r="Y502" s="20" t="str">
        <f>IF(ISBLANK($M502),IFERROR(_xlfn.XLOOKUP($P502,'Department Listing'!$A:$A,'Department Listing'!$L:$L),""),$M502)</f>
        <v/>
      </c>
      <c r="Z502" s="11" t="str">
        <f>IF(ISBLANK($B502),"",MATCH($X502,COA!$B:$B,0))</f>
        <v/>
      </c>
    </row>
    <row r="503" spans="2:26" ht="15.75" customHeight="1" x14ac:dyDescent="0.25">
      <c r="B503" s="24"/>
      <c r="C503" s="10"/>
      <c r="D503" s="10"/>
      <c r="E503" s="25"/>
      <c r="F503" s="10"/>
      <c r="G503" s="10"/>
      <c r="H503" s="10"/>
      <c r="I503" s="9"/>
      <c r="J503" s="9"/>
      <c r="K503" s="9"/>
      <c r="L503" s="9"/>
      <c r="M503" s="9"/>
      <c r="N503" s="17"/>
      <c r="O503" s="17" t="str">
        <f t="shared" si="56"/>
        <v/>
      </c>
      <c r="P503" s="17" t="str">
        <f>IFERROR(_xlfn.XLOOKUP(O503,'Department Listing'!$O$1:$O$395,'Department Listing'!$A$1:$A$395),IFERROR(_xlfn.XLOOKUP(O503,'Name Aliases'!$A$2:$A$1000,'Name Aliases'!$B$2:$B$1000),""))</f>
        <v/>
      </c>
      <c r="Q503" s="18" t="str">
        <f t="shared" si="57"/>
        <v/>
      </c>
      <c r="R503" s="17" t="str">
        <f t="shared" si="58"/>
        <v/>
      </c>
      <c r="S503" s="19" t="str">
        <f t="shared" si="59"/>
        <v/>
      </c>
      <c r="T503" s="17" t="str">
        <f t="shared" si="60"/>
        <v/>
      </c>
      <c r="U503" s="17" t="str">
        <f t="shared" si="61"/>
        <v/>
      </c>
      <c r="V503" s="19" t="str">
        <f>IF(ISBLANK($B503),"",IF(ISBLANK($K503),IF(_xlfn.XLOOKUP($W503,'Category Mapping'!$C:$C,'Category Mapping'!$B:$B)="Travel",_xlfn.XLOOKUP($P503,'Department Listing'!$A:$A,'Department Listing'!$M:$M),_xlfn.XLOOKUP($W503,'Category Mapping'!$C:$C,'Category Mapping'!$D:$D)),$K503))</f>
        <v/>
      </c>
      <c r="W503" s="19" t="str">
        <f t="shared" si="62"/>
        <v/>
      </c>
      <c r="X503" s="19" t="str">
        <f t="shared" si="63"/>
        <v/>
      </c>
      <c r="Y503" s="20" t="str">
        <f>IF(ISBLANK($M503),IFERROR(_xlfn.XLOOKUP($P503,'Department Listing'!$A:$A,'Department Listing'!$L:$L),""),$M503)</f>
        <v/>
      </c>
      <c r="Z503" s="11" t="str">
        <f>IF(ISBLANK($B503),"",MATCH($X503,COA!$B:$B,0))</f>
        <v/>
      </c>
    </row>
    <row r="504" spans="2:26" ht="15.75" customHeight="1" x14ac:dyDescent="0.25">
      <c r="B504" s="24"/>
      <c r="C504" s="10"/>
      <c r="D504" s="10"/>
      <c r="E504" s="25"/>
      <c r="F504" s="10"/>
      <c r="G504" s="10"/>
      <c r="H504" s="10"/>
      <c r="I504" s="9"/>
      <c r="J504" s="9"/>
      <c r="K504" s="9"/>
      <c r="L504" s="9"/>
      <c r="M504" s="9"/>
      <c r="N504" s="17"/>
      <c r="O504" s="17" t="str">
        <f t="shared" si="56"/>
        <v/>
      </c>
      <c r="P504" s="17" t="str">
        <f>IFERROR(_xlfn.XLOOKUP(O504,'Department Listing'!$O$1:$O$395,'Department Listing'!$A$1:$A$395),IFERROR(_xlfn.XLOOKUP(O504,'Name Aliases'!$A$2:$A$1000,'Name Aliases'!$B$2:$B$1000),""))</f>
        <v/>
      </c>
      <c r="Q504" s="18" t="str">
        <f t="shared" si="57"/>
        <v/>
      </c>
      <c r="R504" s="17" t="str">
        <f t="shared" si="58"/>
        <v/>
      </c>
      <c r="S504" s="19" t="str">
        <f t="shared" si="59"/>
        <v/>
      </c>
      <c r="T504" s="17" t="str">
        <f t="shared" si="60"/>
        <v/>
      </c>
      <c r="U504" s="17" t="str">
        <f t="shared" si="61"/>
        <v/>
      </c>
      <c r="V504" s="19" t="str">
        <f>IF(ISBLANK($B504),"",IF(ISBLANK($K504),IF(_xlfn.XLOOKUP($W504,'Category Mapping'!$C:$C,'Category Mapping'!$B:$B)="Travel",_xlfn.XLOOKUP($P504,'Department Listing'!$A:$A,'Department Listing'!$M:$M),_xlfn.XLOOKUP($W504,'Category Mapping'!$C:$C,'Category Mapping'!$D:$D)),$K504))</f>
        <v/>
      </c>
      <c r="W504" s="19" t="str">
        <f t="shared" si="62"/>
        <v/>
      </c>
      <c r="X504" s="19" t="str">
        <f t="shared" si="63"/>
        <v/>
      </c>
      <c r="Y504" s="20" t="str">
        <f>IF(ISBLANK($M504),IFERROR(_xlfn.XLOOKUP($P504,'Department Listing'!$A:$A,'Department Listing'!$L:$L),""),$M504)</f>
        <v/>
      </c>
      <c r="Z504" s="11" t="str">
        <f>IF(ISBLANK($B504),"",MATCH($X504,COA!$B:$B,0))</f>
        <v/>
      </c>
    </row>
    <row r="505" spans="2:26" ht="15.75" customHeight="1" x14ac:dyDescent="0.25">
      <c r="B505" s="24"/>
      <c r="C505" s="10"/>
      <c r="D505" s="10"/>
      <c r="E505" s="25"/>
      <c r="F505" s="10"/>
      <c r="G505" s="10"/>
      <c r="H505" s="10"/>
      <c r="I505" s="9"/>
      <c r="J505" s="9"/>
      <c r="K505" s="9"/>
      <c r="L505" s="9"/>
      <c r="M505" s="9"/>
      <c r="N505" s="17"/>
      <c r="O505" s="17" t="str">
        <f t="shared" si="56"/>
        <v/>
      </c>
      <c r="P505" s="17" t="str">
        <f>IFERROR(_xlfn.XLOOKUP(O505,'Department Listing'!$O$1:$O$395,'Department Listing'!$A$1:$A$395),IFERROR(_xlfn.XLOOKUP(O505,'Name Aliases'!$A$2:$A$1000,'Name Aliases'!$B$2:$B$1000),""))</f>
        <v/>
      </c>
      <c r="Q505" s="18" t="str">
        <f t="shared" si="57"/>
        <v/>
      </c>
      <c r="R505" s="17" t="str">
        <f t="shared" si="58"/>
        <v/>
      </c>
      <c r="S505" s="19" t="str">
        <f t="shared" si="59"/>
        <v/>
      </c>
      <c r="T505" s="17" t="str">
        <f t="shared" si="60"/>
        <v/>
      </c>
      <c r="U505" s="17" t="str">
        <f t="shared" si="61"/>
        <v/>
      </c>
      <c r="V505" s="19" t="str">
        <f>IF(ISBLANK($B505),"",IF(ISBLANK($K505),IF(_xlfn.XLOOKUP($W505,'Category Mapping'!$C:$C,'Category Mapping'!$B:$B)="Travel",_xlfn.XLOOKUP($P505,'Department Listing'!$A:$A,'Department Listing'!$M:$M),_xlfn.XLOOKUP($W505,'Category Mapping'!$C:$C,'Category Mapping'!$D:$D)),$K505))</f>
        <v/>
      </c>
      <c r="W505" s="19" t="str">
        <f t="shared" si="62"/>
        <v/>
      </c>
      <c r="X505" s="19" t="str">
        <f t="shared" si="63"/>
        <v/>
      </c>
      <c r="Y505" s="20" t="str">
        <f>IF(ISBLANK($M505),IFERROR(_xlfn.XLOOKUP($P505,'Department Listing'!$A:$A,'Department Listing'!$L:$L),""),$M505)</f>
        <v/>
      </c>
      <c r="Z505" s="11" t="str">
        <f>IF(ISBLANK($B505),"",MATCH($X505,COA!$B:$B,0))</f>
        <v/>
      </c>
    </row>
    <row r="506" spans="2:26" ht="15.75" customHeight="1" x14ac:dyDescent="0.25">
      <c r="B506" s="24"/>
      <c r="C506" s="10"/>
      <c r="D506" s="10"/>
      <c r="E506" s="25"/>
      <c r="F506" s="10"/>
      <c r="G506" s="10"/>
      <c r="H506" s="10"/>
      <c r="I506" s="9"/>
      <c r="J506" s="9"/>
      <c r="K506" s="9"/>
      <c r="L506" s="9"/>
      <c r="M506" s="9"/>
      <c r="N506" s="17"/>
      <c r="O506" s="17" t="str">
        <f t="shared" si="56"/>
        <v/>
      </c>
      <c r="P506" s="17" t="str">
        <f>IFERROR(_xlfn.XLOOKUP(O506,'Department Listing'!$O$1:$O$395,'Department Listing'!$A$1:$A$395),IFERROR(_xlfn.XLOOKUP(O506,'Name Aliases'!$A$2:$A$1000,'Name Aliases'!$B$2:$B$1000),""))</f>
        <v/>
      </c>
      <c r="Q506" s="18" t="str">
        <f t="shared" si="57"/>
        <v/>
      </c>
      <c r="R506" s="17" t="str">
        <f t="shared" si="58"/>
        <v/>
      </c>
      <c r="S506" s="19" t="str">
        <f t="shared" si="59"/>
        <v/>
      </c>
      <c r="T506" s="17" t="str">
        <f t="shared" si="60"/>
        <v/>
      </c>
      <c r="U506" s="17" t="str">
        <f t="shared" si="61"/>
        <v/>
      </c>
      <c r="V506" s="19" t="str">
        <f>IF(ISBLANK($B506),"",IF(ISBLANK($K506),IF(_xlfn.XLOOKUP($W506,'Category Mapping'!$C:$C,'Category Mapping'!$B:$B)="Travel",_xlfn.XLOOKUP($P506,'Department Listing'!$A:$A,'Department Listing'!$M:$M),_xlfn.XLOOKUP($W506,'Category Mapping'!$C:$C,'Category Mapping'!$D:$D)),$K506))</f>
        <v/>
      </c>
      <c r="W506" s="19" t="str">
        <f t="shared" si="62"/>
        <v/>
      </c>
      <c r="X506" s="19" t="str">
        <f t="shared" si="63"/>
        <v/>
      </c>
      <c r="Y506" s="20" t="str">
        <f>IF(ISBLANK($M506),IFERROR(_xlfn.XLOOKUP($P506,'Department Listing'!$A:$A,'Department Listing'!$L:$L),""),$M506)</f>
        <v/>
      </c>
      <c r="Z506" s="11" t="str">
        <f>IF(ISBLANK($B506),"",MATCH($X506,COA!$B:$B,0))</f>
        <v/>
      </c>
    </row>
    <row r="507" spans="2:26" ht="15.75" customHeight="1" x14ac:dyDescent="0.25">
      <c r="B507" s="24"/>
      <c r="C507" s="10"/>
      <c r="D507" s="10"/>
      <c r="E507" s="25"/>
      <c r="F507" s="10"/>
      <c r="G507" s="10"/>
      <c r="H507" s="10"/>
      <c r="I507" s="9"/>
      <c r="J507" s="9"/>
      <c r="K507" s="9"/>
      <c r="L507" s="9"/>
      <c r="M507" s="9"/>
      <c r="N507" s="17"/>
      <c r="O507" s="17" t="str">
        <f t="shared" si="56"/>
        <v/>
      </c>
      <c r="P507" s="17" t="str">
        <f>IFERROR(_xlfn.XLOOKUP(O507,'Department Listing'!$O$1:$O$395,'Department Listing'!$A$1:$A$395),IFERROR(_xlfn.XLOOKUP(O507,'Name Aliases'!$A$2:$A$1000,'Name Aliases'!$B$2:$B$1000),""))</f>
        <v/>
      </c>
      <c r="Q507" s="18" t="str">
        <f t="shared" si="57"/>
        <v/>
      </c>
      <c r="R507" s="17" t="str">
        <f t="shared" si="58"/>
        <v/>
      </c>
      <c r="S507" s="19" t="str">
        <f t="shared" si="59"/>
        <v/>
      </c>
      <c r="T507" s="17" t="str">
        <f t="shared" si="60"/>
        <v/>
      </c>
      <c r="U507" s="17" t="str">
        <f t="shared" si="61"/>
        <v/>
      </c>
      <c r="V507" s="19" t="str">
        <f>IF(ISBLANK($B507),"",IF(ISBLANK($K507),IF(_xlfn.XLOOKUP($W507,'Category Mapping'!$C:$C,'Category Mapping'!$B:$B)="Travel",_xlfn.XLOOKUP($P507,'Department Listing'!$A:$A,'Department Listing'!$M:$M),_xlfn.XLOOKUP($W507,'Category Mapping'!$C:$C,'Category Mapping'!$D:$D)),$K507))</f>
        <v/>
      </c>
      <c r="W507" s="19" t="str">
        <f t="shared" si="62"/>
        <v/>
      </c>
      <c r="X507" s="19" t="str">
        <f t="shared" si="63"/>
        <v/>
      </c>
      <c r="Y507" s="20" t="str">
        <f>IF(ISBLANK($M507),IFERROR(_xlfn.XLOOKUP($P507,'Department Listing'!$A:$A,'Department Listing'!$L:$L),""),$M507)</f>
        <v/>
      </c>
      <c r="Z507" s="11" t="str">
        <f>IF(ISBLANK($B507),"",MATCH($X507,COA!$B:$B,0))</f>
        <v/>
      </c>
    </row>
    <row r="508" spans="2:26" ht="15.75" customHeight="1" x14ac:dyDescent="0.25">
      <c r="B508" s="24"/>
      <c r="C508" s="10"/>
      <c r="D508" s="10"/>
      <c r="E508" s="25"/>
      <c r="F508" s="10"/>
      <c r="G508" s="10"/>
      <c r="H508" s="10"/>
      <c r="I508" s="9"/>
      <c r="J508" s="9"/>
      <c r="K508" s="9"/>
      <c r="L508" s="9"/>
      <c r="M508" s="9"/>
      <c r="N508" s="17"/>
      <c r="O508" s="17" t="str">
        <f t="shared" si="56"/>
        <v/>
      </c>
      <c r="P508" s="17" t="str">
        <f>IFERROR(_xlfn.XLOOKUP(O508,'Department Listing'!$O$1:$O$395,'Department Listing'!$A$1:$A$395),IFERROR(_xlfn.XLOOKUP(O508,'Name Aliases'!$A$2:$A$1000,'Name Aliases'!$B$2:$B$1000),""))</f>
        <v/>
      </c>
      <c r="Q508" s="18" t="str">
        <f t="shared" si="57"/>
        <v/>
      </c>
      <c r="R508" s="17" t="str">
        <f t="shared" si="58"/>
        <v/>
      </c>
      <c r="S508" s="19" t="str">
        <f t="shared" si="59"/>
        <v/>
      </c>
      <c r="T508" s="17" t="str">
        <f t="shared" si="60"/>
        <v/>
      </c>
      <c r="U508" s="17" t="str">
        <f t="shared" si="61"/>
        <v/>
      </c>
      <c r="V508" s="19" t="str">
        <f>IF(ISBLANK($B508),"",IF(ISBLANK($K508),IF(_xlfn.XLOOKUP($W508,'Category Mapping'!$C:$C,'Category Mapping'!$B:$B)="Travel",_xlfn.XLOOKUP($P508,'Department Listing'!$A:$A,'Department Listing'!$M:$M),_xlfn.XLOOKUP($W508,'Category Mapping'!$C:$C,'Category Mapping'!$D:$D)),$K508))</f>
        <v/>
      </c>
      <c r="W508" s="19" t="str">
        <f t="shared" si="62"/>
        <v/>
      </c>
      <c r="X508" s="19" t="str">
        <f t="shared" si="63"/>
        <v/>
      </c>
      <c r="Y508" s="20" t="str">
        <f>IF(ISBLANK($M508),IFERROR(_xlfn.XLOOKUP($P508,'Department Listing'!$A:$A,'Department Listing'!$L:$L),""),$M508)</f>
        <v/>
      </c>
      <c r="Z508" s="11" t="str">
        <f>IF(ISBLANK($B508),"",MATCH($X508,COA!$B:$B,0))</f>
        <v/>
      </c>
    </row>
    <row r="509" spans="2:26" ht="15.75" customHeight="1" x14ac:dyDescent="0.25">
      <c r="B509" s="24"/>
      <c r="C509" s="10"/>
      <c r="D509" s="10"/>
      <c r="E509" s="25"/>
      <c r="F509" s="10"/>
      <c r="G509" s="10"/>
      <c r="H509" s="10"/>
      <c r="I509" s="9"/>
      <c r="J509" s="9"/>
      <c r="K509" s="9"/>
      <c r="L509" s="9"/>
      <c r="M509" s="9"/>
      <c r="N509" s="17"/>
      <c r="O509" s="17" t="str">
        <f t="shared" si="56"/>
        <v/>
      </c>
      <c r="P509" s="17" t="str">
        <f>IFERROR(_xlfn.XLOOKUP(O509,'Department Listing'!$O$1:$O$395,'Department Listing'!$A$1:$A$395),IFERROR(_xlfn.XLOOKUP(O509,'Name Aliases'!$A$2:$A$1000,'Name Aliases'!$B$2:$B$1000),""))</f>
        <v/>
      </c>
      <c r="Q509" s="18" t="str">
        <f t="shared" si="57"/>
        <v/>
      </c>
      <c r="R509" s="17" t="str">
        <f t="shared" si="58"/>
        <v/>
      </c>
      <c r="S509" s="19" t="str">
        <f t="shared" si="59"/>
        <v/>
      </c>
      <c r="T509" s="17" t="str">
        <f t="shared" si="60"/>
        <v/>
      </c>
      <c r="U509" s="17" t="str">
        <f t="shared" si="61"/>
        <v/>
      </c>
      <c r="V509" s="19" t="str">
        <f>IF(ISBLANK($B509),"",IF(ISBLANK($K509),IF(_xlfn.XLOOKUP($W509,'Category Mapping'!$C:$C,'Category Mapping'!$B:$B)="Travel",_xlfn.XLOOKUP($P509,'Department Listing'!$A:$A,'Department Listing'!$M:$M),_xlfn.XLOOKUP($W509,'Category Mapping'!$C:$C,'Category Mapping'!$D:$D)),$K509))</f>
        <v/>
      </c>
      <c r="W509" s="19" t="str">
        <f t="shared" si="62"/>
        <v/>
      </c>
      <c r="X509" s="19" t="str">
        <f t="shared" si="63"/>
        <v/>
      </c>
      <c r="Y509" s="20" t="str">
        <f>IF(ISBLANK($M509),IFERROR(_xlfn.XLOOKUP($P509,'Department Listing'!$A:$A,'Department Listing'!$L:$L),""),$M509)</f>
        <v/>
      </c>
      <c r="Z509" s="11" t="str">
        <f>IF(ISBLANK($B509),"",MATCH($X509,COA!$B:$B,0))</f>
        <v/>
      </c>
    </row>
    <row r="510" spans="2:26" ht="15.75" customHeight="1" x14ac:dyDescent="0.25">
      <c r="B510" s="24"/>
      <c r="C510" s="10"/>
      <c r="D510" s="10"/>
      <c r="E510" s="25"/>
      <c r="F510" s="10"/>
      <c r="G510" s="10"/>
      <c r="H510" s="10"/>
      <c r="I510" s="9"/>
      <c r="J510" s="9"/>
      <c r="K510" s="9"/>
      <c r="L510" s="9"/>
      <c r="M510" s="9"/>
      <c r="N510" s="17"/>
      <c r="O510" s="17" t="str">
        <f t="shared" si="56"/>
        <v/>
      </c>
      <c r="P510" s="17" t="str">
        <f>IFERROR(_xlfn.XLOOKUP(O510,'Department Listing'!$O$1:$O$395,'Department Listing'!$A$1:$A$395),IFERROR(_xlfn.XLOOKUP(O510,'Name Aliases'!$A$2:$A$1000,'Name Aliases'!$B$2:$B$1000),""))</f>
        <v/>
      </c>
      <c r="Q510" s="18" t="str">
        <f t="shared" si="57"/>
        <v/>
      </c>
      <c r="R510" s="17" t="str">
        <f t="shared" si="58"/>
        <v/>
      </c>
      <c r="S510" s="19" t="str">
        <f t="shared" si="59"/>
        <v/>
      </c>
      <c r="T510" s="17" t="str">
        <f t="shared" si="60"/>
        <v/>
      </c>
      <c r="U510" s="17" t="str">
        <f t="shared" si="61"/>
        <v/>
      </c>
      <c r="V510" s="19" t="str">
        <f>IF(ISBLANK($B510),"",IF(ISBLANK($K510),IF(_xlfn.XLOOKUP($W510,'Category Mapping'!$C:$C,'Category Mapping'!$B:$B)="Travel",_xlfn.XLOOKUP($P510,'Department Listing'!$A:$A,'Department Listing'!$M:$M),_xlfn.XLOOKUP($W510,'Category Mapping'!$C:$C,'Category Mapping'!$D:$D)),$K510))</f>
        <v/>
      </c>
      <c r="W510" s="19" t="str">
        <f t="shared" si="62"/>
        <v/>
      </c>
      <c r="X510" s="19" t="str">
        <f t="shared" si="63"/>
        <v/>
      </c>
      <c r="Y510" s="20" t="str">
        <f>IF(ISBLANK($M510),IFERROR(_xlfn.XLOOKUP($P510,'Department Listing'!$A:$A,'Department Listing'!$L:$L),""),$M510)</f>
        <v/>
      </c>
      <c r="Z510" s="11" t="str">
        <f>IF(ISBLANK($B510),"",MATCH($X510,COA!$B:$B,0))</f>
        <v/>
      </c>
    </row>
    <row r="511" spans="2:26" ht="15.75" customHeight="1" x14ac:dyDescent="0.25">
      <c r="B511" s="24"/>
      <c r="C511" s="10"/>
      <c r="D511" s="10"/>
      <c r="E511" s="25"/>
      <c r="F511" s="10"/>
      <c r="G511" s="10"/>
      <c r="H511" s="10"/>
      <c r="I511" s="9"/>
      <c r="J511" s="9"/>
      <c r="K511" s="9"/>
      <c r="L511" s="9"/>
      <c r="M511" s="9"/>
      <c r="N511" s="17"/>
      <c r="O511" s="17" t="str">
        <f t="shared" si="56"/>
        <v/>
      </c>
      <c r="P511" s="17" t="str">
        <f>IFERROR(_xlfn.XLOOKUP(O511,'Department Listing'!$O$1:$O$395,'Department Listing'!$A$1:$A$395),IFERROR(_xlfn.XLOOKUP(O511,'Name Aliases'!$A$2:$A$1000,'Name Aliases'!$B$2:$B$1000),""))</f>
        <v/>
      </c>
      <c r="Q511" s="18" t="str">
        <f t="shared" si="57"/>
        <v/>
      </c>
      <c r="R511" s="17" t="str">
        <f t="shared" si="58"/>
        <v/>
      </c>
      <c r="S511" s="19" t="str">
        <f t="shared" si="59"/>
        <v/>
      </c>
      <c r="T511" s="17" t="str">
        <f t="shared" si="60"/>
        <v/>
      </c>
      <c r="U511" s="17" t="str">
        <f t="shared" si="61"/>
        <v/>
      </c>
      <c r="V511" s="19" t="str">
        <f>IF(ISBLANK($B511),"",IF(ISBLANK($K511),IF(_xlfn.XLOOKUP($W511,'Category Mapping'!$C:$C,'Category Mapping'!$B:$B)="Travel",_xlfn.XLOOKUP($P511,'Department Listing'!$A:$A,'Department Listing'!$M:$M),_xlfn.XLOOKUP($W511,'Category Mapping'!$C:$C,'Category Mapping'!$D:$D)),$K511))</f>
        <v/>
      </c>
      <c r="W511" s="19" t="str">
        <f t="shared" si="62"/>
        <v/>
      </c>
      <c r="X511" s="19" t="str">
        <f t="shared" si="63"/>
        <v/>
      </c>
      <c r="Y511" s="20" t="str">
        <f>IF(ISBLANK($M511),IFERROR(_xlfn.XLOOKUP($P511,'Department Listing'!$A:$A,'Department Listing'!$L:$L),""),$M511)</f>
        <v/>
      </c>
      <c r="Z511" s="11" t="str">
        <f>IF(ISBLANK($B511),"",MATCH($X511,COA!$B:$B,0))</f>
        <v/>
      </c>
    </row>
    <row r="512" spans="2:26" ht="15.75" customHeight="1" x14ac:dyDescent="0.25">
      <c r="B512" s="24"/>
      <c r="C512" s="10"/>
      <c r="D512" s="10"/>
      <c r="E512" s="25"/>
      <c r="F512" s="10"/>
      <c r="G512" s="10"/>
      <c r="H512" s="10"/>
      <c r="I512" s="9"/>
      <c r="J512" s="9"/>
      <c r="K512" s="9"/>
      <c r="L512" s="9"/>
      <c r="M512" s="9"/>
      <c r="N512" s="17"/>
      <c r="O512" s="17" t="str">
        <f t="shared" si="56"/>
        <v/>
      </c>
      <c r="P512" s="17" t="str">
        <f>IFERROR(_xlfn.XLOOKUP(O512,'Department Listing'!$O$1:$O$395,'Department Listing'!$A$1:$A$395),IFERROR(_xlfn.XLOOKUP(O512,'Name Aliases'!$A$2:$A$1000,'Name Aliases'!$B$2:$B$1000),""))</f>
        <v/>
      </c>
      <c r="Q512" s="18" t="str">
        <f t="shared" si="57"/>
        <v/>
      </c>
      <c r="R512" s="17" t="str">
        <f t="shared" si="58"/>
        <v/>
      </c>
      <c r="S512" s="19" t="str">
        <f t="shared" si="59"/>
        <v/>
      </c>
      <c r="T512" s="17" t="str">
        <f t="shared" si="60"/>
        <v/>
      </c>
      <c r="U512" s="17" t="str">
        <f t="shared" si="61"/>
        <v/>
      </c>
      <c r="V512" s="19" t="str">
        <f>IF(ISBLANK($B512),"",IF(ISBLANK($K512),IF(_xlfn.XLOOKUP($W512,'Category Mapping'!$C:$C,'Category Mapping'!$B:$B)="Travel",_xlfn.XLOOKUP($P512,'Department Listing'!$A:$A,'Department Listing'!$M:$M),_xlfn.XLOOKUP($W512,'Category Mapping'!$C:$C,'Category Mapping'!$D:$D)),$K512))</f>
        <v/>
      </c>
      <c r="W512" s="19" t="str">
        <f t="shared" si="62"/>
        <v/>
      </c>
      <c r="X512" s="19" t="str">
        <f t="shared" si="63"/>
        <v/>
      </c>
      <c r="Y512" s="20" t="str">
        <f>IF(ISBLANK($M512),IFERROR(_xlfn.XLOOKUP($P512,'Department Listing'!$A:$A,'Department Listing'!$L:$L),""),$M512)</f>
        <v/>
      </c>
      <c r="Z512" s="11" t="str">
        <f>IF(ISBLANK($B512),"",MATCH($X512,COA!$B:$B,0))</f>
        <v/>
      </c>
    </row>
    <row r="513" spans="2:26" ht="15.75" customHeight="1" x14ac:dyDescent="0.25">
      <c r="B513" s="24"/>
      <c r="C513" s="10"/>
      <c r="D513" s="10"/>
      <c r="E513" s="25"/>
      <c r="F513" s="10"/>
      <c r="G513" s="10"/>
      <c r="H513" s="10"/>
      <c r="I513" s="9"/>
      <c r="J513" s="9"/>
      <c r="K513" s="9"/>
      <c r="L513" s="9"/>
      <c r="M513" s="9"/>
      <c r="N513" s="17"/>
      <c r="O513" s="17" t="str">
        <f t="shared" si="56"/>
        <v/>
      </c>
      <c r="P513" s="17" t="str">
        <f>IFERROR(_xlfn.XLOOKUP(O513,'Department Listing'!$O$1:$O$395,'Department Listing'!$A$1:$A$395),IFERROR(_xlfn.XLOOKUP(O513,'Name Aliases'!$A$2:$A$1000,'Name Aliases'!$B$2:$B$1000),""))</f>
        <v/>
      </c>
      <c r="Q513" s="18" t="str">
        <f t="shared" si="57"/>
        <v/>
      </c>
      <c r="R513" s="17" t="str">
        <f t="shared" si="58"/>
        <v/>
      </c>
      <c r="S513" s="19" t="str">
        <f t="shared" si="59"/>
        <v/>
      </c>
      <c r="T513" s="17" t="str">
        <f t="shared" si="60"/>
        <v/>
      </c>
      <c r="U513" s="17" t="str">
        <f t="shared" si="61"/>
        <v/>
      </c>
      <c r="V513" s="19" t="str">
        <f>IF(ISBLANK($B513),"",IF(ISBLANK($K513),IF(_xlfn.XLOOKUP($W513,'Category Mapping'!$C:$C,'Category Mapping'!$B:$B)="Travel",_xlfn.XLOOKUP($P513,'Department Listing'!$A:$A,'Department Listing'!$M:$M),_xlfn.XLOOKUP($W513,'Category Mapping'!$C:$C,'Category Mapping'!$D:$D)),$K513))</f>
        <v/>
      </c>
      <c r="W513" s="19" t="str">
        <f t="shared" si="62"/>
        <v/>
      </c>
      <c r="X513" s="19" t="str">
        <f t="shared" si="63"/>
        <v/>
      </c>
      <c r="Y513" s="20" t="str">
        <f>IF(ISBLANK($M513),IFERROR(_xlfn.XLOOKUP($P513,'Department Listing'!$A:$A,'Department Listing'!$L:$L),""),$M513)</f>
        <v/>
      </c>
      <c r="Z513" s="11" t="str">
        <f>IF(ISBLANK($B513),"",MATCH($X513,COA!$B:$B,0))</f>
        <v/>
      </c>
    </row>
    <row r="514" spans="2:26" ht="15.75" customHeight="1" x14ac:dyDescent="0.25">
      <c r="B514" s="24"/>
      <c r="C514" s="10"/>
      <c r="D514" s="10"/>
      <c r="E514" s="25"/>
      <c r="F514" s="10"/>
      <c r="G514" s="10"/>
      <c r="H514" s="10"/>
      <c r="I514" s="9"/>
      <c r="J514" s="9"/>
      <c r="K514" s="9"/>
      <c r="L514" s="9"/>
      <c r="M514" s="9"/>
      <c r="N514" s="17"/>
      <c r="O514" s="17" t="str">
        <f t="shared" si="56"/>
        <v/>
      </c>
      <c r="P514" s="17" t="str">
        <f>IFERROR(_xlfn.XLOOKUP(O514,'Department Listing'!$O$1:$O$395,'Department Listing'!$A$1:$A$395),IFERROR(_xlfn.XLOOKUP(O514,'Name Aliases'!$A$2:$A$1000,'Name Aliases'!$B$2:$B$1000),""))</f>
        <v/>
      </c>
      <c r="Q514" s="18" t="str">
        <f t="shared" si="57"/>
        <v/>
      </c>
      <c r="R514" s="17" t="str">
        <f t="shared" si="58"/>
        <v/>
      </c>
      <c r="S514" s="19" t="str">
        <f t="shared" si="59"/>
        <v/>
      </c>
      <c r="T514" s="17" t="str">
        <f t="shared" si="60"/>
        <v/>
      </c>
      <c r="U514" s="17" t="str">
        <f t="shared" si="61"/>
        <v/>
      </c>
      <c r="V514" s="19" t="str">
        <f>IF(ISBLANK($B514),"",IF(ISBLANK($K514),IF(_xlfn.XLOOKUP($W514,'Category Mapping'!$C:$C,'Category Mapping'!$B:$B)="Travel",_xlfn.XLOOKUP($P514,'Department Listing'!$A:$A,'Department Listing'!$M:$M),_xlfn.XLOOKUP($W514,'Category Mapping'!$C:$C,'Category Mapping'!$D:$D)),$K514))</f>
        <v/>
      </c>
      <c r="W514" s="19" t="str">
        <f t="shared" si="62"/>
        <v/>
      </c>
      <c r="X514" s="19" t="str">
        <f t="shared" si="63"/>
        <v/>
      </c>
      <c r="Y514" s="20" t="str">
        <f>IF(ISBLANK($M514),IFERROR(_xlfn.XLOOKUP($P514,'Department Listing'!$A:$A,'Department Listing'!$L:$L),""),$M514)</f>
        <v/>
      </c>
      <c r="Z514" s="11" t="str">
        <f>IF(ISBLANK($B514),"",MATCH($X514,COA!$B:$B,0))</f>
        <v/>
      </c>
    </row>
    <row r="515" spans="2:26" ht="15.75" customHeight="1" x14ac:dyDescent="0.25">
      <c r="B515" s="24"/>
      <c r="C515" s="10"/>
      <c r="D515" s="10"/>
      <c r="E515" s="25"/>
      <c r="F515" s="10"/>
      <c r="G515" s="10"/>
      <c r="H515" s="10"/>
      <c r="I515" s="9"/>
      <c r="J515" s="9"/>
      <c r="K515" s="9"/>
      <c r="L515" s="9"/>
      <c r="M515" s="9"/>
      <c r="N515" s="17"/>
      <c r="O515" s="17" t="str">
        <f t="shared" si="56"/>
        <v/>
      </c>
      <c r="P515" s="17" t="str">
        <f>IFERROR(_xlfn.XLOOKUP(O515,'Department Listing'!$O$1:$O$395,'Department Listing'!$A$1:$A$395),IFERROR(_xlfn.XLOOKUP(O515,'Name Aliases'!$A$2:$A$1000,'Name Aliases'!$B$2:$B$1000),""))</f>
        <v/>
      </c>
      <c r="Q515" s="18" t="str">
        <f t="shared" si="57"/>
        <v/>
      </c>
      <c r="R515" s="17" t="str">
        <f t="shared" si="58"/>
        <v/>
      </c>
      <c r="S515" s="19" t="str">
        <f t="shared" si="59"/>
        <v/>
      </c>
      <c r="T515" s="17" t="str">
        <f t="shared" si="60"/>
        <v/>
      </c>
      <c r="U515" s="17" t="str">
        <f t="shared" si="61"/>
        <v/>
      </c>
      <c r="V515" s="19" t="str">
        <f>IF(ISBLANK($B515),"",IF(ISBLANK($K515),IF(_xlfn.XLOOKUP($W515,'Category Mapping'!$C:$C,'Category Mapping'!$B:$B)="Travel",_xlfn.XLOOKUP($P515,'Department Listing'!$A:$A,'Department Listing'!$M:$M),_xlfn.XLOOKUP($W515,'Category Mapping'!$C:$C,'Category Mapping'!$D:$D)),$K515))</f>
        <v/>
      </c>
      <c r="W515" s="19" t="str">
        <f t="shared" si="62"/>
        <v/>
      </c>
      <c r="X515" s="19" t="str">
        <f t="shared" si="63"/>
        <v/>
      </c>
      <c r="Y515" s="20" t="str">
        <f>IF(ISBLANK($M515),IFERROR(_xlfn.XLOOKUP($P515,'Department Listing'!$A:$A,'Department Listing'!$L:$L),""),$M515)</f>
        <v/>
      </c>
      <c r="Z515" s="11" t="str">
        <f>IF(ISBLANK($B515),"",MATCH($X515,COA!$B:$B,0))</f>
        <v/>
      </c>
    </row>
    <row r="516" spans="2:26" ht="15.75" customHeight="1" x14ac:dyDescent="0.25">
      <c r="B516" s="24"/>
      <c r="C516" s="10"/>
      <c r="D516" s="10"/>
      <c r="E516" s="25"/>
      <c r="F516" s="10"/>
      <c r="G516" s="10"/>
      <c r="H516" s="10"/>
      <c r="I516" s="9"/>
      <c r="J516" s="9"/>
      <c r="K516" s="9"/>
      <c r="L516" s="9"/>
      <c r="M516" s="9"/>
      <c r="N516" s="17"/>
      <c r="O516" s="17" t="str">
        <f t="shared" ref="O516:O579" si="64">IF(C516="", "", TRIM(RIGHT(C516, LEN(C516) - FIND("@@", SUBSTITUTE(C516, "-", "@@", LEN(C516) - LEN(SUBSTITUTE(C516, "-", "")))))))</f>
        <v/>
      </c>
      <c r="P516" s="17" t="str">
        <f>IFERROR(_xlfn.XLOOKUP(O516,'Department Listing'!$O$1:$O$395,'Department Listing'!$A$1:$A$395),IFERROR(_xlfn.XLOOKUP(O516,'Name Aliases'!$A$2:$A$1000,'Name Aliases'!$B$2:$B$1000),""))</f>
        <v/>
      </c>
      <c r="Q516" s="18" t="str">
        <f t="shared" ref="Q516:Q579" si="65">IF(ISBLANK($C516),"",$B516)</f>
        <v/>
      </c>
      <c r="R516" s="17" t="str">
        <f t="shared" ref="R516:R579" si="66">IF(ISBLANK($C516),"",IF(ISBLANK($I516),$D516,$I516))</f>
        <v/>
      </c>
      <c r="S516" s="19" t="str">
        <f t="shared" ref="S516:S579" si="67">IF(ISBLANK($C516),"",$F516 - $G516)</f>
        <v/>
      </c>
      <c r="T516" s="17" t="str">
        <f t="shared" ref="T516:T579" si="68">IF(ISBLANK($C516),"",C516)</f>
        <v/>
      </c>
      <c r="U516" s="17" t="str">
        <f t="shared" ref="U516:U579" si="69">IF(ISBLANK($C516),"",$D$1)</f>
        <v/>
      </c>
      <c r="V516" s="19" t="str">
        <f>IF(ISBLANK($B516),"",IF(ISBLANK($K516),IF(_xlfn.XLOOKUP($W516,'Category Mapping'!$C:$C,'Category Mapping'!$B:$B)="Travel",_xlfn.XLOOKUP($P516,'Department Listing'!$A:$A,'Department Listing'!$M:$M),_xlfn.XLOOKUP($W516,'Category Mapping'!$C:$C,'Category Mapping'!$D:$D)),$K516))</f>
        <v/>
      </c>
      <c r="W516" s="19" t="str">
        <f t="shared" ref="W516:W579" si="70">IF(ISBLANK($B516),"",IF(ISBLANK($L516),RIGHT($E516,LEN($E516) - FIND("^",SUBSTITUTE($E516,":","^",LEN($E516) - LEN(SUBSTITUTE($E516,":",""))))),$L516))</f>
        <v/>
      </c>
      <c r="X516" s="19" t="str">
        <f t="shared" ref="X516:X579" si="71">IF(ISBLANK($J516),$V516&amp;$W516,$J516)</f>
        <v/>
      </c>
      <c r="Y516" s="20" t="str">
        <f>IF(ISBLANK($M516),IFERROR(_xlfn.XLOOKUP($P516,'Department Listing'!$A:$A,'Department Listing'!$L:$L),""),$M516)</f>
        <v/>
      </c>
      <c r="Z516" s="11" t="str">
        <f>IF(ISBLANK($B516),"",MATCH($X516,COA!$B:$B,0))</f>
        <v/>
      </c>
    </row>
    <row r="517" spans="2:26" ht="15.75" customHeight="1" x14ac:dyDescent="0.25">
      <c r="B517" s="24"/>
      <c r="C517" s="10"/>
      <c r="D517" s="10"/>
      <c r="E517" s="25"/>
      <c r="F517" s="10"/>
      <c r="G517" s="10"/>
      <c r="H517" s="10"/>
      <c r="I517" s="9"/>
      <c r="J517" s="9"/>
      <c r="K517" s="9"/>
      <c r="L517" s="9"/>
      <c r="M517" s="9"/>
      <c r="N517" s="17"/>
      <c r="O517" s="17" t="str">
        <f t="shared" si="64"/>
        <v/>
      </c>
      <c r="P517" s="17" t="str">
        <f>IFERROR(_xlfn.XLOOKUP(O517,'Department Listing'!$O$1:$O$395,'Department Listing'!$A$1:$A$395),IFERROR(_xlfn.XLOOKUP(O517,'Name Aliases'!$A$2:$A$1000,'Name Aliases'!$B$2:$B$1000),""))</f>
        <v/>
      </c>
      <c r="Q517" s="18" t="str">
        <f t="shared" si="65"/>
        <v/>
      </c>
      <c r="R517" s="17" t="str">
        <f t="shared" si="66"/>
        <v/>
      </c>
      <c r="S517" s="19" t="str">
        <f t="shared" si="67"/>
        <v/>
      </c>
      <c r="T517" s="17" t="str">
        <f t="shared" si="68"/>
        <v/>
      </c>
      <c r="U517" s="17" t="str">
        <f t="shared" si="69"/>
        <v/>
      </c>
      <c r="V517" s="19" t="str">
        <f>IF(ISBLANK($B517),"",IF(ISBLANK($K517),IF(_xlfn.XLOOKUP($W517,'Category Mapping'!$C:$C,'Category Mapping'!$B:$B)="Travel",_xlfn.XLOOKUP($P517,'Department Listing'!$A:$A,'Department Listing'!$M:$M),_xlfn.XLOOKUP($W517,'Category Mapping'!$C:$C,'Category Mapping'!$D:$D)),$K517))</f>
        <v/>
      </c>
      <c r="W517" s="19" t="str">
        <f t="shared" si="70"/>
        <v/>
      </c>
      <c r="X517" s="19" t="str">
        <f t="shared" si="71"/>
        <v/>
      </c>
      <c r="Y517" s="20" t="str">
        <f>IF(ISBLANK($M517),IFERROR(_xlfn.XLOOKUP($P517,'Department Listing'!$A:$A,'Department Listing'!$L:$L),""),$M517)</f>
        <v/>
      </c>
      <c r="Z517" s="11" t="str">
        <f>IF(ISBLANK($B517),"",MATCH($X517,COA!$B:$B,0))</f>
        <v/>
      </c>
    </row>
    <row r="518" spans="2:26" ht="15.75" customHeight="1" x14ac:dyDescent="0.25">
      <c r="B518" s="24"/>
      <c r="C518" s="10"/>
      <c r="D518" s="10"/>
      <c r="E518" s="25"/>
      <c r="F518" s="10"/>
      <c r="G518" s="10"/>
      <c r="H518" s="10"/>
      <c r="I518" s="9"/>
      <c r="J518" s="9"/>
      <c r="K518" s="9"/>
      <c r="L518" s="9"/>
      <c r="M518" s="9"/>
      <c r="N518" s="17"/>
      <c r="O518" s="17" t="str">
        <f t="shared" si="64"/>
        <v/>
      </c>
      <c r="P518" s="17" t="str">
        <f>IFERROR(_xlfn.XLOOKUP(O518,'Department Listing'!$O$1:$O$395,'Department Listing'!$A$1:$A$395),IFERROR(_xlfn.XLOOKUP(O518,'Name Aliases'!$A$2:$A$1000,'Name Aliases'!$B$2:$B$1000),""))</f>
        <v/>
      </c>
      <c r="Q518" s="18" t="str">
        <f t="shared" si="65"/>
        <v/>
      </c>
      <c r="R518" s="17" t="str">
        <f t="shared" si="66"/>
        <v/>
      </c>
      <c r="S518" s="19" t="str">
        <f t="shared" si="67"/>
        <v/>
      </c>
      <c r="T518" s="17" t="str">
        <f t="shared" si="68"/>
        <v/>
      </c>
      <c r="U518" s="17" t="str">
        <f t="shared" si="69"/>
        <v/>
      </c>
      <c r="V518" s="19" t="str">
        <f>IF(ISBLANK($B518),"",IF(ISBLANK($K518),IF(_xlfn.XLOOKUP($W518,'Category Mapping'!$C:$C,'Category Mapping'!$B:$B)="Travel",_xlfn.XLOOKUP($P518,'Department Listing'!$A:$A,'Department Listing'!$M:$M),_xlfn.XLOOKUP($W518,'Category Mapping'!$C:$C,'Category Mapping'!$D:$D)),$K518))</f>
        <v/>
      </c>
      <c r="W518" s="19" t="str">
        <f t="shared" si="70"/>
        <v/>
      </c>
      <c r="X518" s="19" t="str">
        <f t="shared" si="71"/>
        <v/>
      </c>
      <c r="Y518" s="20" t="str">
        <f>IF(ISBLANK($M518),IFERROR(_xlfn.XLOOKUP($P518,'Department Listing'!$A:$A,'Department Listing'!$L:$L),""),$M518)</f>
        <v/>
      </c>
      <c r="Z518" s="11" t="str">
        <f>IF(ISBLANK($B518),"",MATCH($X518,COA!$B:$B,0))</f>
        <v/>
      </c>
    </row>
    <row r="519" spans="2:26" ht="15.75" customHeight="1" x14ac:dyDescent="0.25">
      <c r="B519" s="24"/>
      <c r="C519" s="10"/>
      <c r="D519" s="10"/>
      <c r="E519" s="25"/>
      <c r="F519" s="10"/>
      <c r="G519" s="10"/>
      <c r="H519" s="10"/>
      <c r="I519" s="9"/>
      <c r="J519" s="9"/>
      <c r="K519" s="9"/>
      <c r="L519" s="9"/>
      <c r="M519" s="9"/>
      <c r="N519" s="17"/>
      <c r="O519" s="17" t="str">
        <f t="shared" si="64"/>
        <v/>
      </c>
      <c r="P519" s="17" t="str">
        <f>IFERROR(_xlfn.XLOOKUP(O519,'Department Listing'!$O$1:$O$395,'Department Listing'!$A$1:$A$395),IFERROR(_xlfn.XLOOKUP(O519,'Name Aliases'!$A$2:$A$1000,'Name Aliases'!$B$2:$B$1000),""))</f>
        <v/>
      </c>
      <c r="Q519" s="18" t="str">
        <f t="shared" si="65"/>
        <v/>
      </c>
      <c r="R519" s="17" t="str">
        <f t="shared" si="66"/>
        <v/>
      </c>
      <c r="S519" s="19" t="str">
        <f t="shared" si="67"/>
        <v/>
      </c>
      <c r="T519" s="17" t="str">
        <f t="shared" si="68"/>
        <v/>
      </c>
      <c r="U519" s="17" t="str">
        <f t="shared" si="69"/>
        <v/>
      </c>
      <c r="V519" s="19" t="str">
        <f>IF(ISBLANK($B519),"",IF(ISBLANK($K519),IF(_xlfn.XLOOKUP($W519,'Category Mapping'!$C:$C,'Category Mapping'!$B:$B)="Travel",_xlfn.XLOOKUP($P519,'Department Listing'!$A:$A,'Department Listing'!$M:$M),_xlfn.XLOOKUP($W519,'Category Mapping'!$C:$C,'Category Mapping'!$D:$D)),$K519))</f>
        <v/>
      </c>
      <c r="W519" s="19" t="str">
        <f t="shared" si="70"/>
        <v/>
      </c>
      <c r="X519" s="19" t="str">
        <f t="shared" si="71"/>
        <v/>
      </c>
      <c r="Y519" s="20" t="str">
        <f>IF(ISBLANK($M519),IFERROR(_xlfn.XLOOKUP($P519,'Department Listing'!$A:$A,'Department Listing'!$L:$L),""),$M519)</f>
        <v/>
      </c>
      <c r="Z519" s="11" t="str">
        <f>IF(ISBLANK($B519),"",MATCH($X519,COA!$B:$B,0))</f>
        <v/>
      </c>
    </row>
    <row r="520" spans="2:26" ht="15.75" customHeight="1" x14ac:dyDescent="0.25">
      <c r="B520" s="24"/>
      <c r="C520" s="10"/>
      <c r="D520" s="10"/>
      <c r="E520" s="25"/>
      <c r="F520" s="10"/>
      <c r="G520" s="10"/>
      <c r="H520" s="10"/>
      <c r="I520" s="9"/>
      <c r="J520" s="9"/>
      <c r="K520" s="9"/>
      <c r="L520" s="9"/>
      <c r="M520" s="9"/>
      <c r="N520" s="17"/>
      <c r="O520" s="17" t="str">
        <f t="shared" si="64"/>
        <v/>
      </c>
      <c r="P520" s="17" t="str">
        <f>IFERROR(_xlfn.XLOOKUP(O520,'Department Listing'!$O$1:$O$395,'Department Listing'!$A$1:$A$395),IFERROR(_xlfn.XLOOKUP(O520,'Name Aliases'!$A$2:$A$1000,'Name Aliases'!$B$2:$B$1000),""))</f>
        <v/>
      </c>
      <c r="Q520" s="18" t="str">
        <f t="shared" si="65"/>
        <v/>
      </c>
      <c r="R520" s="17" t="str">
        <f t="shared" si="66"/>
        <v/>
      </c>
      <c r="S520" s="19" t="str">
        <f t="shared" si="67"/>
        <v/>
      </c>
      <c r="T520" s="17" t="str">
        <f t="shared" si="68"/>
        <v/>
      </c>
      <c r="U520" s="17" t="str">
        <f t="shared" si="69"/>
        <v/>
      </c>
      <c r="V520" s="19" t="str">
        <f>IF(ISBLANK($B520),"",IF(ISBLANK($K520),IF(_xlfn.XLOOKUP($W520,'Category Mapping'!$C:$C,'Category Mapping'!$B:$B)="Travel",_xlfn.XLOOKUP($P520,'Department Listing'!$A:$A,'Department Listing'!$M:$M),_xlfn.XLOOKUP($W520,'Category Mapping'!$C:$C,'Category Mapping'!$D:$D)),$K520))</f>
        <v/>
      </c>
      <c r="W520" s="19" t="str">
        <f t="shared" si="70"/>
        <v/>
      </c>
      <c r="X520" s="19" t="str">
        <f t="shared" si="71"/>
        <v/>
      </c>
      <c r="Y520" s="20" t="str">
        <f>IF(ISBLANK($M520),IFERROR(_xlfn.XLOOKUP($P520,'Department Listing'!$A:$A,'Department Listing'!$L:$L),""),$M520)</f>
        <v/>
      </c>
      <c r="Z520" s="11" t="str">
        <f>IF(ISBLANK($B520),"",MATCH($X520,COA!$B:$B,0))</f>
        <v/>
      </c>
    </row>
    <row r="521" spans="2:26" ht="15.75" customHeight="1" x14ac:dyDescent="0.25">
      <c r="B521" s="24"/>
      <c r="C521" s="10"/>
      <c r="D521" s="10"/>
      <c r="E521" s="25"/>
      <c r="F521" s="10"/>
      <c r="G521" s="10"/>
      <c r="H521" s="10"/>
      <c r="I521" s="9"/>
      <c r="J521" s="9"/>
      <c r="K521" s="9"/>
      <c r="L521" s="9"/>
      <c r="M521" s="9"/>
      <c r="N521" s="17"/>
      <c r="O521" s="17" t="str">
        <f t="shared" si="64"/>
        <v/>
      </c>
      <c r="P521" s="17" t="str">
        <f>IFERROR(_xlfn.XLOOKUP(O521,'Department Listing'!$O$1:$O$395,'Department Listing'!$A$1:$A$395),IFERROR(_xlfn.XLOOKUP(O521,'Name Aliases'!$A$2:$A$1000,'Name Aliases'!$B$2:$B$1000),""))</f>
        <v/>
      </c>
      <c r="Q521" s="18" t="str">
        <f t="shared" si="65"/>
        <v/>
      </c>
      <c r="R521" s="17" t="str">
        <f t="shared" si="66"/>
        <v/>
      </c>
      <c r="S521" s="19" t="str">
        <f t="shared" si="67"/>
        <v/>
      </c>
      <c r="T521" s="17" t="str">
        <f t="shared" si="68"/>
        <v/>
      </c>
      <c r="U521" s="17" t="str">
        <f t="shared" si="69"/>
        <v/>
      </c>
      <c r="V521" s="19" t="str">
        <f>IF(ISBLANK($B521),"",IF(ISBLANK($K521),IF(_xlfn.XLOOKUP($W521,'Category Mapping'!$C:$C,'Category Mapping'!$B:$B)="Travel",_xlfn.XLOOKUP($P521,'Department Listing'!$A:$A,'Department Listing'!$M:$M),_xlfn.XLOOKUP($W521,'Category Mapping'!$C:$C,'Category Mapping'!$D:$D)),$K521))</f>
        <v/>
      </c>
      <c r="W521" s="19" t="str">
        <f t="shared" si="70"/>
        <v/>
      </c>
      <c r="X521" s="19" t="str">
        <f t="shared" si="71"/>
        <v/>
      </c>
      <c r="Y521" s="20" t="str">
        <f>IF(ISBLANK($M521),IFERROR(_xlfn.XLOOKUP($P521,'Department Listing'!$A:$A,'Department Listing'!$L:$L),""),$M521)</f>
        <v/>
      </c>
      <c r="Z521" s="11" t="str">
        <f>IF(ISBLANK($B521),"",MATCH($X521,COA!$B:$B,0))</f>
        <v/>
      </c>
    </row>
    <row r="522" spans="2:26" ht="15.75" customHeight="1" x14ac:dyDescent="0.25">
      <c r="B522" s="24"/>
      <c r="C522" s="10"/>
      <c r="D522" s="10"/>
      <c r="E522" s="25"/>
      <c r="F522" s="10"/>
      <c r="G522" s="10"/>
      <c r="H522" s="10"/>
      <c r="I522" s="9"/>
      <c r="J522" s="9"/>
      <c r="K522" s="9"/>
      <c r="L522" s="9"/>
      <c r="M522" s="9"/>
      <c r="N522" s="17"/>
      <c r="O522" s="17" t="str">
        <f t="shared" si="64"/>
        <v/>
      </c>
      <c r="P522" s="17" t="str">
        <f>IFERROR(_xlfn.XLOOKUP(O522,'Department Listing'!$O$1:$O$395,'Department Listing'!$A$1:$A$395),IFERROR(_xlfn.XLOOKUP(O522,'Name Aliases'!$A$2:$A$1000,'Name Aliases'!$B$2:$B$1000),""))</f>
        <v/>
      </c>
      <c r="Q522" s="18" t="str">
        <f t="shared" si="65"/>
        <v/>
      </c>
      <c r="R522" s="17" t="str">
        <f t="shared" si="66"/>
        <v/>
      </c>
      <c r="S522" s="19" t="str">
        <f t="shared" si="67"/>
        <v/>
      </c>
      <c r="T522" s="17" t="str">
        <f t="shared" si="68"/>
        <v/>
      </c>
      <c r="U522" s="17" t="str">
        <f t="shared" si="69"/>
        <v/>
      </c>
      <c r="V522" s="19" t="str">
        <f>IF(ISBLANK($B522),"",IF(ISBLANK($K522),IF(_xlfn.XLOOKUP($W522,'Category Mapping'!$C:$C,'Category Mapping'!$B:$B)="Travel",_xlfn.XLOOKUP($P522,'Department Listing'!$A:$A,'Department Listing'!$M:$M),_xlfn.XLOOKUP($W522,'Category Mapping'!$C:$C,'Category Mapping'!$D:$D)),$K522))</f>
        <v/>
      </c>
      <c r="W522" s="19" t="str">
        <f t="shared" si="70"/>
        <v/>
      </c>
      <c r="X522" s="19" t="str">
        <f t="shared" si="71"/>
        <v/>
      </c>
      <c r="Y522" s="20" t="str">
        <f>IF(ISBLANK($M522),IFERROR(_xlfn.XLOOKUP($P522,'Department Listing'!$A:$A,'Department Listing'!$L:$L),""),$M522)</f>
        <v/>
      </c>
      <c r="Z522" s="11" t="str">
        <f>IF(ISBLANK($B522),"",MATCH($X522,COA!$B:$B,0))</f>
        <v/>
      </c>
    </row>
    <row r="523" spans="2:26" ht="15.75" customHeight="1" x14ac:dyDescent="0.25">
      <c r="B523" s="24"/>
      <c r="C523" s="10"/>
      <c r="D523" s="10"/>
      <c r="E523" s="25"/>
      <c r="F523" s="10"/>
      <c r="G523" s="10"/>
      <c r="H523" s="10"/>
      <c r="I523" s="9"/>
      <c r="J523" s="9"/>
      <c r="K523" s="9"/>
      <c r="L523" s="9"/>
      <c r="M523" s="9"/>
      <c r="N523" s="17"/>
      <c r="O523" s="17" t="str">
        <f t="shared" si="64"/>
        <v/>
      </c>
      <c r="P523" s="17" t="str">
        <f>IFERROR(_xlfn.XLOOKUP(O523,'Department Listing'!$O$1:$O$395,'Department Listing'!$A$1:$A$395),IFERROR(_xlfn.XLOOKUP(O523,'Name Aliases'!$A$2:$A$1000,'Name Aliases'!$B$2:$B$1000),""))</f>
        <v/>
      </c>
      <c r="Q523" s="18" t="str">
        <f t="shared" si="65"/>
        <v/>
      </c>
      <c r="R523" s="17" t="str">
        <f t="shared" si="66"/>
        <v/>
      </c>
      <c r="S523" s="19" t="str">
        <f t="shared" si="67"/>
        <v/>
      </c>
      <c r="T523" s="17" t="str">
        <f t="shared" si="68"/>
        <v/>
      </c>
      <c r="U523" s="17" t="str">
        <f t="shared" si="69"/>
        <v/>
      </c>
      <c r="V523" s="19" t="str">
        <f>IF(ISBLANK($B523),"",IF(ISBLANK($K523),IF(_xlfn.XLOOKUP($W523,'Category Mapping'!$C:$C,'Category Mapping'!$B:$B)="Travel",_xlfn.XLOOKUP($P523,'Department Listing'!$A:$A,'Department Listing'!$M:$M),_xlfn.XLOOKUP($W523,'Category Mapping'!$C:$C,'Category Mapping'!$D:$D)),$K523))</f>
        <v/>
      </c>
      <c r="W523" s="19" t="str">
        <f t="shared" si="70"/>
        <v/>
      </c>
      <c r="X523" s="19" t="str">
        <f t="shared" si="71"/>
        <v/>
      </c>
      <c r="Y523" s="20" t="str">
        <f>IF(ISBLANK($M523),IFERROR(_xlfn.XLOOKUP($P523,'Department Listing'!$A:$A,'Department Listing'!$L:$L),""),$M523)</f>
        <v/>
      </c>
      <c r="Z523" s="11" t="str">
        <f>IF(ISBLANK($B523),"",MATCH($X523,COA!$B:$B,0))</f>
        <v/>
      </c>
    </row>
    <row r="524" spans="2:26" ht="15.75" customHeight="1" x14ac:dyDescent="0.25">
      <c r="B524" s="24"/>
      <c r="C524" s="10"/>
      <c r="D524" s="10"/>
      <c r="E524" s="25"/>
      <c r="F524" s="10"/>
      <c r="G524" s="10"/>
      <c r="H524" s="10"/>
      <c r="I524" s="9"/>
      <c r="J524" s="9"/>
      <c r="K524" s="9"/>
      <c r="L524" s="9"/>
      <c r="M524" s="9"/>
      <c r="N524" s="17"/>
      <c r="O524" s="17" t="str">
        <f t="shared" si="64"/>
        <v/>
      </c>
      <c r="P524" s="17" t="str">
        <f>IFERROR(_xlfn.XLOOKUP(O524,'Department Listing'!$O$1:$O$395,'Department Listing'!$A$1:$A$395),IFERROR(_xlfn.XLOOKUP(O524,'Name Aliases'!$A$2:$A$1000,'Name Aliases'!$B$2:$B$1000),""))</f>
        <v/>
      </c>
      <c r="Q524" s="18" t="str">
        <f t="shared" si="65"/>
        <v/>
      </c>
      <c r="R524" s="17" t="str">
        <f t="shared" si="66"/>
        <v/>
      </c>
      <c r="S524" s="19" t="str">
        <f t="shared" si="67"/>
        <v/>
      </c>
      <c r="T524" s="17" t="str">
        <f t="shared" si="68"/>
        <v/>
      </c>
      <c r="U524" s="17" t="str">
        <f t="shared" si="69"/>
        <v/>
      </c>
      <c r="V524" s="19" t="str">
        <f>IF(ISBLANK($B524),"",IF(ISBLANK($K524),IF(_xlfn.XLOOKUP($W524,'Category Mapping'!$C:$C,'Category Mapping'!$B:$B)="Travel",_xlfn.XLOOKUP($P524,'Department Listing'!$A:$A,'Department Listing'!$M:$M),_xlfn.XLOOKUP($W524,'Category Mapping'!$C:$C,'Category Mapping'!$D:$D)),$K524))</f>
        <v/>
      </c>
      <c r="W524" s="19" t="str">
        <f t="shared" si="70"/>
        <v/>
      </c>
      <c r="X524" s="19" t="str">
        <f t="shared" si="71"/>
        <v/>
      </c>
      <c r="Y524" s="20" t="str">
        <f>IF(ISBLANK($M524),IFERROR(_xlfn.XLOOKUP($P524,'Department Listing'!$A:$A,'Department Listing'!$L:$L),""),$M524)</f>
        <v/>
      </c>
      <c r="Z524" s="11" t="str">
        <f>IF(ISBLANK($B524),"",MATCH($X524,COA!$B:$B,0))</f>
        <v/>
      </c>
    </row>
    <row r="525" spans="2:26" ht="15.75" customHeight="1" x14ac:dyDescent="0.25">
      <c r="B525" s="24"/>
      <c r="C525" s="10"/>
      <c r="D525" s="10"/>
      <c r="E525" s="25"/>
      <c r="F525" s="10"/>
      <c r="G525" s="10"/>
      <c r="H525" s="10"/>
      <c r="I525" s="9"/>
      <c r="J525" s="9"/>
      <c r="K525" s="9"/>
      <c r="L525" s="9"/>
      <c r="M525" s="9"/>
      <c r="N525" s="17"/>
      <c r="O525" s="17" t="str">
        <f t="shared" si="64"/>
        <v/>
      </c>
      <c r="P525" s="17" t="str">
        <f>IFERROR(_xlfn.XLOOKUP(O525,'Department Listing'!$O$1:$O$395,'Department Listing'!$A$1:$A$395),IFERROR(_xlfn.XLOOKUP(O525,'Name Aliases'!$A$2:$A$1000,'Name Aliases'!$B$2:$B$1000),""))</f>
        <v/>
      </c>
      <c r="Q525" s="18" t="str">
        <f t="shared" si="65"/>
        <v/>
      </c>
      <c r="R525" s="17" t="str">
        <f t="shared" si="66"/>
        <v/>
      </c>
      <c r="S525" s="19" t="str">
        <f t="shared" si="67"/>
        <v/>
      </c>
      <c r="T525" s="17" t="str">
        <f t="shared" si="68"/>
        <v/>
      </c>
      <c r="U525" s="17" t="str">
        <f t="shared" si="69"/>
        <v/>
      </c>
      <c r="V525" s="19" t="str">
        <f>IF(ISBLANK($B525),"",IF(ISBLANK($K525),IF(_xlfn.XLOOKUP($W525,'Category Mapping'!$C:$C,'Category Mapping'!$B:$B)="Travel",_xlfn.XLOOKUP($P525,'Department Listing'!$A:$A,'Department Listing'!$M:$M),_xlfn.XLOOKUP($W525,'Category Mapping'!$C:$C,'Category Mapping'!$D:$D)),$K525))</f>
        <v/>
      </c>
      <c r="W525" s="19" t="str">
        <f t="shared" si="70"/>
        <v/>
      </c>
      <c r="X525" s="19" t="str">
        <f t="shared" si="71"/>
        <v/>
      </c>
      <c r="Y525" s="20" t="str">
        <f>IF(ISBLANK($M525),IFERROR(_xlfn.XLOOKUP($P525,'Department Listing'!$A:$A,'Department Listing'!$L:$L),""),$M525)</f>
        <v/>
      </c>
      <c r="Z525" s="11" t="str">
        <f>IF(ISBLANK($B525),"",MATCH($X525,COA!$B:$B,0))</f>
        <v/>
      </c>
    </row>
    <row r="526" spans="2:26" ht="15.75" customHeight="1" x14ac:dyDescent="0.25">
      <c r="B526" s="24"/>
      <c r="C526" s="10"/>
      <c r="D526" s="10"/>
      <c r="E526" s="25"/>
      <c r="F526" s="10"/>
      <c r="G526" s="10"/>
      <c r="H526" s="10"/>
      <c r="I526" s="9"/>
      <c r="J526" s="9"/>
      <c r="K526" s="9"/>
      <c r="L526" s="9"/>
      <c r="M526" s="9"/>
      <c r="N526" s="17"/>
      <c r="O526" s="17" t="str">
        <f t="shared" si="64"/>
        <v/>
      </c>
      <c r="P526" s="17" t="str">
        <f>IFERROR(_xlfn.XLOOKUP(O526,'Department Listing'!$O$1:$O$395,'Department Listing'!$A$1:$A$395),IFERROR(_xlfn.XLOOKUP(O526,'Name Aliases'!$A$2:$A$1000,'Name Aliases'!$B$2:$B$1000),""))</f>
        <v/>
      </c>
      <c r="Q526" s="18" t="str">
        <f t="shared" si="65"/>
        <v/>
      </c>
      <c r="R526" s="17" t="str">
        <f t="shared" si="66"/>
        <v/>
      </c>
      <c r="S526" s="19" t="str">
        <f t="shared" si="67"/>
        <v/>
      </c>
      <c r="T526" s="17" t="str">
        <f t="shared" si="68"/>
        <v/>
      </c>
      <c r="U526" s="17" t="str">
        <f t="shared" si="69"/>
        <v/>
      </c>
      <c r="V526" s="19" t="str">
        <f>IF(ISBLANK($B526),"",IF(ISBLANK($K526),IF(_xlfn.XLOOKUP($W526,'Category Mapping'!$C:$C,'Category Mapping'!$B:$B)="Travel",_xlfn.XLOOKUP($P526,'Department Listing'!$A:$A,'Department Listing'!$M:$M),_xlfn.XLOOKUP($W526,'Category Mapping'!$C:$C,'Category Mapping'!$D:$D)),$K526))</f>
        <v/>
      </c>
      <c r="W526" s="19" t="str">
        <f t="shared" si="70"/>
        <v/>
      </c>
      <c r="X526" s="19" t="str">
        <f t="shared" si="71"/>
        <v/>
      </c>
      <c r="Y526" s="20" t="str">
        <f>IF(ISBLANK($M526),IFERROR(_xlfn.XLOOKUP($P526,'Department Listing'!$A:$A,'Department Listing'!$L:$L),""),$M526)</f>
        <v/>
      </c>
      <c r="Z526" s="11" t="str">
        <f>IF(ISBLANK($B526),"",MATCH($X526,COA!$B:$B,0))</f>
        <v/>
      </c>
    </row>
    <row r="527" spans="2:26" ht="15.75" customHeight="1" x14ac:dyDescent="0.25">
      <c r="B527" s="24"/>
      <c r="C527" s="10"/>
      <c r="D527" s="10"/>
      <c r="E527" s="25"/>
      <c r="F527" s="10"/>
      <c r="G527" s="10"/>
      <c r="H527" s="10"/>
      <c r="I527" s="9"/>
      <c r="J527" s="9"/>
      <c r="K527" s="9"/>
      <c r="L527" s="9"/>
      <c r="M527" s="9"/>
      <c r="N527" s="17"/>
      <c r="O527" s="17" t="str">
        <f t="shared" si="64"/>
        <v/>
      </c>
      <c r="P527" s="17" t="str">
        <f>IFERROR(_xlfn.XLOOKUP(O527,'Department Listing'!$O$1:$O$395,'Department Listing'!$A$1:$A$395),IFERROR(_xlfn.XLOOKUP(O527,'Name Aliases'!$A$2:$A$1000,'Name Aliases'!$B$2:$B$1000),""))</f>
        <v/>
      </c>
      <c r="Q527" s="18" t="str">
        <f t="shared" si="65"/>
        <v/>
      </c>
      <c r="R527" s="17" t="str">
        <f t="shared" si="66"/>
        <v/>
      </c>
      <c r="S527" s="19" t="str">
        <f t="shared" si="67"/>
        <v/>
      </c>
      <c r="T527" s="17" t="str">
        <f t="shared" si="68"/>
        <v/>
      </c>
      <c r="U527" s="17" t="str">
        <f t="shared" si="69"/>
        <v/>
      </c>
      <c r="V527" s="19" t="str">
        <f>IF(ISBLANK($B527),"",IF(ISBLANK($K527),IF(_xlfn.XLOOKUP($W527,'Category Mapping'!$C:$C,'Category Mapping'!$B:$B)="Travel",_xlfn.XLOOKUP($P527,'Department Listing'!$A:$A,'Department Listing'!$M:$M),_xlfn.XLOOKUP($W527,'Category Mapping'!$C:$C,'Category Mapping'!$D:$D)),$K527))</f>
        <v/>
      </c>
      <c r="W527" s="19" t="str">
        <f t="shared" si="70"/>
        <v/>
      </c>
      <c r="X527" s="19" t="str">
        <f t="shared" si="71"/>
        <v/>
      </c>
      <c r="Y527" s="20" t="str">
        <f>IF(ISBLANK($M527),IFERROR(_xlfn.XLOOKUP($P527,'Department Listing'!$A:$A,'Department Listing'!$L:$L),""),$M527)</f>
        <v/>
      </c>
      <c r="Z527" s="11" t="str">
        <f>IF(ISBLANK($B527),"",MATCH($X527,COA!$B:$B,0))</f>
        <v/>
      </c>
    </row>
    <row r="528" spans="2:26" ht="15.75" customHeight="1" x14ac:dyDescent="0.25">
      <c r="B528" s="24"/>
      <c r="C528" s="10"/>
      <c r="D528" s="10"/>
      <c r="E528" s="25"/>
      <c r="F528" s="10"/>
      <c r="G528" s="10"/>
      <c r="H528" s="10"/>
      <c r="I528" s="9"/>
      <c r="J528" s="9"/>
      <c r="K528" s="9"/>
      <c r="L528" s="9"/>
      <c r="M528" s="9"/>
      <c r="N528" s="17"/>
      <c r="O528" s="17" t="str">
        <f t="shared" si="64"/>
        <v/>
      </c>
      <c r="P528" s="17" t="str">
        <f>IFERROR(_xlfn.XLOOKUP(O528,'Department Listing'!$O$1:$O$395,'Department Listing'!$A$1:$A$395),IFERROR(_xlfn.XLOOKUP(O528,'Name Aliases'!$A$2:$A$1000,'Name Aliases'!$B$2:$B$1000),""))</f>
        <v/>
      </c>
      <c r="Q528" s="18" t="str">
        <f t="shared" si="65"/>
        <v/>
      </c>
      <c r="R528" s="17" t="str">
        <f t="shared" si="66"/>
        <v/>
      </c>
      <c r="S528" s="19" t="str">
        <f t="shared" si="67"/>
        <v/>
      </c>
      <c r="T528" s="17" t="str">
        <f t="shared" si="68"/>
        <v/>
      </c>
      <c r="U528" s="17" t="str">
        <f t="shared" si="69"/>
        <v/>
      </c>
      <c r="V528" s="19" t="str">
        <f>IF(ISBLANK($B528),"",IF(ISBLANK($K528),IF(_xlfn.XLOOKUP($W528,'Category Mapping'!$C:$C,'Category Mapping'!$B:$B)="Travel",_xlfn.XLOOKUP($P528,'Department Listing'!$A:$A,'Department Listing'!$M:$M),_xlfn.XLOOKUP($W528,'Category Mapping'!$C:$C,'Category Mapping'!$D:$D)),$K528))</f>
        <v/>
      </c>
      <c r="W528" s="19" t="str">
        <f t="shared" si="70"/>
        <v/>
      </c>
      <c r="X528" s="19" t="str">
        <f t="shared" si="71"/>
        <v/>
      </c>
      <c r="Y528" s="20" t="str">
        <f>IF(ISBLANK($M528),IFERROR(_xlfn.XLOOKUP($P528,'Department Listing'!$A:$A,'Department Listing'!$L:$L),""),$M528)</f>
        <v/>
      </c>
      <c r="Z528" s="11" t="str">
        <f>IF(ISBLANK($B528),"",MATCH($X528,COA!$B:$B,0))</f>
        <v/>
      </c>
    </row>
    <row r="529" spans="2:26" ht="15.75" customHeight="1" x14ac:dyDescent="0.25">
      <c r="B529" s="24"/>
      <c r="C529" s="10"/>
      <c r="D529" s="10"/>
      <c r="E529" s="25"/>
      <c r="F529" s="10"/>
      <c r="G529" s="10"/>
      <c r="H529" s="10"/>
      <c r="I529" s="9"/>
      <c r="J529" s="9"/>
      <c r="K529" s="9"/>
      <c r="L529" s="9"/>
      <c r="M529" s="9"/>
      <c r="N529" s="17"/>
      <c r="O529" s="17" t="str">
        <f t="shared" si="64"/>
        <v/>
      </c>
      <c r="P529" s="17" t="str">
        <f>IFERROR(_xlfn.XLOOKUP(O529,'Department Listing'!$O$1:$O$395,'Department Listing'!$A$1:$A$395),IFERROR(_xlfn.XLOOKUP(O529,'Name Aliases'!$A$2:$A$1000,'Name Aliases'!$B$2:$B$1000),""))</f>
        <v/>
      </c>
      <c r="Q529" s="18" t="str">
        <f t="shared" si="65"/>
        <v/>
      </c>
      <c r="R529" s="17" t="str">
        <f t="shared" si="66"/>
        <v/>
      </c>
      <c r="S529" s="19" t="str">
        <f t="shared" si="67"/>
        <v/>
      </c>
      <c r="T529" s="17" t="str">
        <f t="shared" si="68"/>
        <v/>
      </c>
      <c r="U529" s="17" t="str">
        <f t="shared" si="69"/>
        <v/>
      </c>
      <c r="V529" s="19" t="str">
        <f>IF(ISBLANK($B529),"",IF(ISBLANK($K529),IF(_xlfn.XLOOKUP($W529,'Category Mapping'!$C:$C,'Category Mapping'!$B:$B)="Travel",_xlfn.XLOOKUP($P529,'Department Listing'!$A:$A,'Department Listing'!$M:$M),_xlfn.XLOOKUP($W529,'Category Mapping'!$C:$C,'Category Mapping'!$D:$D)),$K529))</f>
        <v/>
      </c>
      <c r="W529" s="19" t="str">
        <f t="shared" si="70"/>
        <v/>
      </c>
      <c r="X529" s="19" t="str">
        <f t="shared" si="71"/>
        <v/>
      </c>
      <c r="Y529" s="20" t="str">
        <f>IF(ISBLANK($M529),IFERROR(_xlfn.XLOOKUP($P529,'Department Listing'!$A:$A,'Department Listing'!$L:$L),""),$M529)</f>
        <v/>
      </c>
      <c r="Z529" s="11" t="str">
        <f>IF(ISBLANK($B529),"",MATCH($X529,COA!$B:$B,0))</f>
        <v/>
      </c>
    </row>
    <row r="530" spans="2:26" ht="15.75" customHeight="1" x14ac:dyDescent="0.25">
      <c r="B530" s="24"/>
      <c r="C530" s="10"/>
      <c r="D530" s="10"/>
      <c r="E530" s="25"/>
      <c r="F530" s="10"/>
      <c r="G530" s="10"/>
      <c r="H530" s="10"/>
      <c r="I530" s="9"/>
      <c r="J530" s="9"/>
      <c r="K530" s="9"/>
      <c r="L530" s="9"/>
      <c r="M530" s="9"/>
      <c r="N530" s="17"/>
      <c r="O530" s="17" t="str">
        <f t="shared" si="64"/>
        <v/>
      </c>
      <c r="P530" s="17" t="str">
        <f>IFERROR(_xlfn.XLOOKUP(O530,'Department Listing'!$O$1:$O$395,'Department Listing'!$A$1:$A$395),IFERROR(_xlfn.XLOOKUP(O530,'Name Aliases'!$A$2:$A$1000,'Name Aliases'!$B$2:$B$1000),""))</f>
        <v/>
      </c>
      <c r="Q530" s="18" t="str">
        <f t="shared" si="65"/>
        <v/>
      </c>
      <c r="R530" s="17" t="str">
        <f t="shared" si="66"/>
        <v/>
      </c>
      <c r="S530" s="19" t="str">
        <f t="shared" si="67"/>
        <v/>
      </c>
      <c r="T530" s="17" t="str">
        <f t="shared" si="68"/>
        <v/>
      </c>
      <c r="U530" s="17" t="str">
        <f t="shared" si="69"/>
        <v/>
      </c>
      <c r="V530" s="19" t="str">
        <f>IF(ISBLANK($B530),"",IF(ISBLANK($K530),IF(_xlfn.XLOOKUP($W530,'Category Mapping'!$C:$C,'Category Mapping'!$B:$B)="Travel",_xlfn.XLOOKUP($P530,'Department Listing'!$A:$A,'Department Listing'!$M:$M),_xlfn.XLOOKUP($W530,'Category Mapping'!$C:$C,'Category Mapping'!$D:$D)),$K530))</f>
        <v/>
      </c>
      <c r="W530" s="19" t="str">
        <f t="shared" si="70"/>
        <v/>
      </c>
      <c r="X530" s="19" t="str">
        <f t="shared" si="71"/>
        <v/>
      </c>
      <c r="Y530" s="20" t="str">
        <f>IF(ISBLANK($M530),IFERROR(_xlfn.XLOOKUP($P530,'Department Listing'!$A:$A,'Department Listing'!$L:$L),""),$M530)</f>
        <v/>
      </c>
      <c r="Z530" s="11" t="str">
        <f>IF(ISBLANK($B530),"",MATCH($X530,COA!$B:$B,0))</f>
        <v/>
      </c>
    </row>
    <row r="531" spans="2:26" ht="15.75" customHeight="1" x14ac:dyDescent="0.25">
      <c r="B531" s="24"/>
      <c r="C531" s="10"/>
      <c r="D531" s="10"/>
      <c r="E531" s="25"/>
      <c r="F531" s="10"/>
      <c r="G531" s="10"/>
      <c r="H531" s="10"/>
      <c r="I531" s="9"/>
      <c r="J531" s="9"/>
      <c r="K531" s="9"/>
      <c r="L531" s="9"/>
      <c r="M531" s="9"/>
      <c r="N531" s="17"/>
      <c r="O531" s="17" t="str">
        <f t="shared" si="64"/>
        <v/>
      </c>
      <c r="P531" s="17" t="str">
        <f>IFERROR(_xlfn.XLOOKUP(O531,'Department Listing'!$O$1:$O$395,'Department Listing'!$A$1:$A$395),IFERROR(_xlfn.XLOOKUP(O531,'Name Aliases'!$A$2:$A$1000,'Name Aliases'!$B$2:$B$1000),""))</f>
        <v/>
      </c>
      <c r="Q531" s="18" t="str">
        <f t="shared" si="65"/>
        <v/>
      </c>
      <c r="R531" s="17" t="str">
        <f t="shared" si="66"/>
        <v/>
      </c>
      <c r="S531" s="19" t="str">
        <f t="shared" si="67"/>
        <v/>
      </c>
      <c r="T531" s="17" t="str">
        <f t="shared" si="68"/>
        <v/>
      </c>
      <c r="U531" s="17" t="str">
        <f t="shared" si="69"/>
        <v/>
      </c>
      <c r="V531" s="19" t="str">
        <f>IF(ISBLANK($B531),"",IF(ISBLANK($K531),IF(_xlfn.XLOOKUP($W531,'Category Mapping'!$C:$C,'Category Mapping'!$B:$B)="Travel",_xlfn.XLOOKUP($P531,'Department Listing'!$A:$A,'Department Listing'!$M:$M),_xlfn.XLOOKUP($W531,'Category Mapping'!$C:$C,'Category Mapping'!$D:$D)),$K531))</f>
        <v/>
      </c>
      <c r="W531" s="19" t="str">
        <f t="shared" si="70"/>
        <v/>
      </c>
      <c r="X531" s="19" t="str">
        <f t="shared" si="71"/>
        <v/>
      </c>
      <c r="Y531" s="20" t="str">
        <f>IF(ISBLANK($M531),IFERROR(_xlfn.XLOOKUP($P531,'Department Listing'!$A:$A,'Department Listing'!$L:$L),""),$M531)</f>
        <v/>
      </c>
      <c r="Z531" s="11" t="str">
        <f>IF(ISBLANK($B531),"",MATCH($X531,COA!$B:$B,0))</f>
        <v/>
      </c>
    </row>
    <row r="532" spans="2:26" ht="15.75" customHeight="1" x14ac:dyDescent="0.25">
      <c r="B532" s="24"/>
      <c r="C532" s="10"/>
      <c r="D532" s="10"/>
      <c r="E532" s="25"/>
      <c r="F532" s="10"/>
      <c r="G532" s="10"/>
      <c r="H532" s="10"/>
      <c r="I532" s="9"/>
      <c r="J532" s="9"/>
      <c r="K532" s="9"/>
      <c r="L532" s="9"/>
      <c r="M532" s="9"/>
      <c r="N532" s="17"/>
      <c r="O532" s="17" t="str">
        <f t="shared" si="64"/>
        <v/>
      </c>
      <c r="P532" s="17" t="str">
        <f>IFERROR(_xlfn.XLOOKUP(O532,'Department Listing'!$O$1:$O$395,'Department Listing'!$A$1:$A$395),IFERROR(_xlfn.XLOOKUP(O532,'Name Aliases'!$A$2:$A$1000,'Name Aliases'!$B$2:$B$1000),""))</f>
        <v/>
      </c>
      <c r="Q532" s="18" t="str">
        <f t="shared" si="65"/>
        <v/>
      </c>
      <c r="R532" s="17" t="str">
        <f t="shared" si="66"/>
        <v/>
      </c>
      <c r="S532" s="19" t="str">
        <f t="shared" si="67"/>
        <v/>
      </c>
      <c r="T532" s="17" t="str">
        <f t="shared" si="68"/>
        <v/>
      </c>
      <c r="U532" s="17" t="str">
        <f t="shared" si="69"/>
        <v/>
      </c>
      <c r="V532" s="19" t="str">
        <f>IF(ISBLANK($B532),"",IF(ISBLANK($K532),IF(_xlfn.XLOOKUP($W532,'Category Mapping'!$C:$C,'Category Mapping'!$B:$B)="Travel",_xlfn.XLOOKUP($P532,'Department Listing'!$A:$A,'Department Listing'!$M:$M),_xlfn.XLOOKUP($W532,'Category Mapping'!$C:$C,'Category Mapping'!$D:$D)),$K532))</f>
        <v/>
      </c>
      <c r="W532" s="19" t="str">
        <f t="shared" si="70"/>
        <v/>
      </c>
      <c r="X532" s="19" t="str">
        <f t="shared" si="71"/>
        <v/>
      </c>
      <c r="Y532" s="20" t="str">
        <f>IF(ISBLANK($M532),IFERROR(_xlfn.XLOOKUP($P532,'Department Listing'!$A:$A,'Department Listing'!$L:$L),""),$M532)</f>
        <v/>
      </c>
      <c r="Z532" s="11" t="str">
        <f>IF(ISBLANK($B532),"",MATCH($X532,COA!$B:$B,0))</f>
        <v/>
      </c>
    </row>
    <row r="533" spans="2:26" ht="15.75" customHeight="1" x14ac:dyDescent="0.25">
      <c r="B533" s="24"/>
      <c r="C533" s="10"/>
      <c r="D533" s="10"/>
      <c r="E533" s="25"/>
      <c r="F533" s="10"/>
      <c r="G533" s="10"/>
      <c r="H533" s="10"/>
      <c r="I533" s="9"/>
      <c r="J533" s="9"/>
      <c r="K533" s="9"/>
      <c r="L533" s="9"/>
      <c r="M533" s="9"/>
      <c r="N533" s="17"/>
      <c r="O533" s="17" t="str">
        <f t="shared" si="64"/>
        <v/>
      </c>
      <c r="P533" s="17" t="str">
        <f>IFERROR(_xlfn.XLOOKUP(O533,'Department Listing'!$O$1:$O$395,'Department Listing'!$A$1:$A$395),IFERROR(_xlfn.XLOOKUP(O533,'Name Aliases'!$A$2:$A$1000,'Name Aliases'!$B$2:$B$1000),""))</f>
        <v/>
      </c>
      <c r="Q533" s="18" t="str">
        <f t="shared" si="65"/>
        <v/>
      </c>
      <c r="R533" s="17" t="str">
        <f t="shared" si="66"/>
        <v/>
      </c>
      <c r="S533" s="19" t="str">
        <f t="shared" si="67"/>
        <v/>
      </c>
      <c r="T533" s="17" t="str">
        <f t="shared" si="68"/>
        <v/>
      </c>
      <c r="U533" s="17" t="str">
        <f t="shared" si="69"/>
        <v/>
      </c>
      <c r="V533" s="19" t="str">
        <f>IF(ISBLANK($B533),"",IF(ISBLANK($K533),IF(_xlfn.XLOOKUP($W533,'Category Mapping'!$C:$C,'Category Mapping'!$B:$B)="Travel",_xlfn.XLOOKUP($P533,'Department Listing'!$A:$A,'Department Listing'!$M:$M),_xlfn.XLOOKUP($W533,'Category Mapping'!$C:$C,'Category Mapping'!$D:$D)),$K533))</f>
        <v/>
      </c>
      <c r="W533" s="19" t="str">
        <f t="shared" si="70"/>
        <v/>
      </c>
      <c r="X533" s="19" t="str">
        <f t="shared" si="71"/>
        <v/>
      </c>
      <c r="Y533" s="20" t="str">
        <f>IF(ISBLANK($M533),IFERROR(_xlfn.XLOOKUP($P533,'Department Listing'!$A:$A,'Department Listing'!$L:$L),""),$M533)</f>
        <v/>
      </c>
      <c r="Z533" s="11" t="str">
        <f>IF(ISBLANK($B533),"",MATCH($X533,COA!$B:$B,0))</f>
        <v/>
      </c>
    </row>
    <row r="534" spans="2:26" ht="15.75" customHeight="1" x14ac:dyDescent="0.25">
      <c r="B534" s="24"/>
      <c r="C534" s="10"/>
      <c r="D534" s="10"/>
      <c r="E534" s="25"/>
      <c r="F534" s="10"/>
      <c r="G534" s="10"/>
      <c r="H534" s="10"/>
      <c r="I534" s="9"/>
      <c r="J534" s="9"/>
      <c r="K534" s="9"/>
      <c r="L534" s="9"/>
      <c r="M534" s="9"/>
      <c r="N534" s="17"/>
      <c r="O534" s="17" t="str">
        <f t="shared" si="64"/>
        <v/>
      </c>
      <c r="P534" s="17" t="str">
        <f>IFERROR(_xlfn.XLOOKUP(O534,'Department Listing'!$O$1:$O$395,'Department Listing'!$A$1:$A$395),IFERROR(_xlfn.XLOOKUP(O534,'Name Aliases'!$A$2:$A$1000,'Name Aliases'!$B$2:$B$1000),""))</f>
        <v/>
      </c>
      <c r="Q534" s="18" t="str">
        <f t="shared" si="65"/>
        <v/>
      </c>
      <c r="R534" s="17" t="str">
        <f t="shared" si="66"/>
        <v/>
      </c>
      <c r="S534" s="19" t="str">
        <f t="shared" si="67"/>
        <v/>
      </c>
      <c r="T534" s="17" t="str">
        <f t="shared" si="68"/>
        <v/>
      </c>
      <c r="U534" s="17" t="str">
        <f t="shared" si="69"/>
        <v/>
      </c>
      <c r="V534" s="19" t="str">
        <f>IF(ISBLANK($B534),"",IF(ISBLANK($K534),IF(_xlfn.XLOOKUP($W534,'Category Mapping'!$C:$C,'Category Mapping'!$B:$B)="Travel",_xlfn.XLOOKUP($P534,'Department Listing'!$A:$A,'Department Listing'!$M:$M),_xlfn.XLOOKUP($W534,'Category Mapping'!$C:$C,'Category Mapping'!$D:$D)),$K534))</f>
        <v/>
      </c>
      <c r="W534" s="19" t="str">
        <f t="shared" si="70"/>
        <v/>
      </c>
      <c r="X534" s="19" t="str">
        <f t="shared" si="71"/>
        <v/>
      </c>
      <c r="Y534" s="20" t="str">
        <f>IF(ISBLANK($M534),IFERROR(_xlfn.XLOOKUP($P534,'Department Listing'!$A:$A,'Department Listing'!$L:$L),""),$M534)</f>
        <v/>
      </c>
      <c r="Z534" s="11" t="str">
        <f>IF(ISBLANK($B534),"",MATCH($X534,COA!$B:$B,0))</f>
        <v/>
      </c>
    </row>
    <row r="535" spans="2:26" ht="15.75" customHeight="1" x14ac:dyDescent="0.25">
      <c r="B535" s="24"/>
      <c r="C535" s="10"/>
      <c r="D535" s="10"/>
      <c r="E535" s="25"/>
      <c r="F535" s="10"/>
      <c r="G535" s="10"/>
      <c r="H535" s="10"/>
      <c r="I535" s="9"/>
      <c r="J535" s="9"/>
      <c r="K535" s="9"/>
      <c r="L535" s="9"/>
      <c r="M535" s="9"/>
      <c r="N535" s="17"/>
      <c r="O535" s="17" t="str">
        <f t="shared" si="64"/>
        <v/>
      </c>
      <c r="P535" s="17" t="str">
        <f>IFERROR(_xlfn.XLOOKUP(O535,'Department Listing'!$O$1:$O$395,'Department Listing'!$A$1:$A$395),IFERROR(_xlfn.XLOOKUP(O535,'Name Aliases'!$A$2:$A$1000,'Name Aliases'!$B$2:$B$1000),""))</f>
        <v/>
      </c>
      <c r="Q535" s="18" t="str">
        <f t="shared" si="65"/>
        <v/>
      </c>
      <c r="R535" s="17" t="str">
        <f t="shared" si="66"/>
        <v/>
      </c>
      <c r="S535" s="19" t="str">
        <f t="shared" si="67"/>
        <v/>
      </c>
      <c r="T535" s="17" t="str">
        <f t="shared" si="68"/>
        <v/>
      </c>
      <c r="U535" s="17" t="str">
        <f t="shared" si="69"/>
        <v/>
      </c>
      <c r="V535" s="19" t="str">
        <f>IF(ISBLANK($B535),"",IF(ISBLANK($K535),IF(_xlfn.XLOOKUP($W535,'Category Mapping'!$C:$C,'Category Mapping'!$B:$B)="Travel",_xlfn.XLOOKUP($P535,'Department Listing'!$A:$A,'Department Listing'!$M:$M),_xlfn.XLOOKUP($W535,'Category Mapping'!$C:$C,'Category Mapping'!$D:$D)),$K535))</f>
        <v/>
      </c>
      <c r="W535" s="19" t="str">
        <f t="shared" si="70"/>
        <v/>
      </c>
      <c r="X535" s="19" t="str">
        <f t="shared" si="71"/>
        <v/>
      </c>
      <c r="Y535" s="20" t="str">
        <f>IF(ISBLANK($M535),IFERROR(_xlfn.XLOOKUP($P535,'Department Listing'!$A:$A,'Department Listing'!$L:$L),""),$M535)</f>
        <v/>
      </c>
      <c r="Z535" s="11" t="str">
        <f>IF(ISBLANK($B535),"",MATCH($X535,COA!$B:$B,0))</f>
        <v/>
      </c>
    </row>
    <row r="536" spans="2:26" ht="15.75" customHeight="1" x14ac:dyDescent="0.25">
      <c r="B536" s="24"/>
      <c r="C536" s="10"/>
      <c r="D536" s="10"/>
      <c r="E536" s="25"/>
      <c r="F536" s="10"/>
      <c r="G536" s="10"/>
      <c r="H536" s="10"/>
      <c r="I536" s="9"/>
      <c r="J536" s="9"/>
      <c r="K536" s="9"/>
      <c r="L536" s="9"/>
      <c r="M536" s="9"/>
      <c r="N536" s="17"/>
      <c r="O536" s="17" t="str">
        <f t="shared" si="64"/>
        <v/>
      </c>
      <c r="P536" s="17" t="str">
        <f>IFERROR(_xlfn.XLOOKUP(O536,'Department Listing'!$O$1:$O$395,'Department Listing'!$A$1:$A$395),IFERROR(_xlfn.XLOOKUP(O536,'Name Aliases'!$A$2:$A$1000,'Name Aliases'!$B$2:$B$1000),""))</f>
        <v/>
      </c>
      <c r="Q536" s="18" t="str">
        <f t="shared" si="65"/>
        <v/>
      </c>
      <c r="R536" s="17" t="str">
        <f t="shared" si="66"/>
        <v/>
      </c>
      <c r="S536" s="19" t="str">
        <f t="shared" si="67"/>
        <v/>
      </c>
      <c r="T536" s="17" t="str">
        <f t="shared" si="68"/>
        <v/>
      </c>
      <c r="U536" s="17" t="str">
        <f t="shared" si="69"/>
        <v/>
      </c>
      <c r="V536" s="19" t="str">
        <f>IF(ISBLANK($B536),"",IF(ISBLANK($K536),IF(_xlfn.XLOOKUP($W536,'Category Mapping'!$C:$C,'Category Mapping'!$B:$B)="Travel",_xlfn.XLOOKUP($P536,'Department Listing'!$A:$A,'Department Listing'!$M:$M),_xlfn.XLOOKUP($W536,'Category Mapping'!$C:$C,'Category Mapping'!$D:$D)),$K536))</f>
        <v/>
      </c>
      <c r="W536" s="19" t="str">
        <f t="shared" si="70"/>
        <v/>
      </c>
      <c r="X536" s="19" t="str">
        <f t="shared" si="71"/>
        <v/>
      </c>
      <c r="Y536" s="20" t="str">
        <f>IF(ISBLANK($M536),IFERROR(_xlfn.XLOOKUP($P536,'Department Listing'!$A:$A,'Department Listing'!$L:$L),""),$M536)</f>
        <v/>
      </c>
      <c r="Z536" s="11" t="str">
        <f>IF(ISBLANK($B536),"",MATCH($X536,COA!$B:$B,0))</f>
        <v/>
      </c>
    </row>
    <row r="537" spans="2:26" ht="15.75" customHeight="1" x14ac:dyDescent="0.25">
      <c r="B537" s="24"/>
      <c r="C537" s="10"/>
      <c r="D537" s="10"/>
      <c r="E537" s="25"/>
      <c r="F537" s="10"/>
      <c r="G537" s="10"/>
      <c r="H537" s="10"/>
      <c r="I537" s="9"/>
      <c r="J537" s="9"/>
      <c r="K537" s="9"/>
      <c r="L537" s="9"/>
      <c r="M537" s="9"/>
      <c r="N537" s="17"/>
      <c r="O537" s="17" t="str">
        <f t="shared" si="64"/>
        <v/>
      </c>
      <c r="P537" s="17" t="str">
        <f>IFERROR(_xlfn.XLOOKUP(O537,'Department Listing'!$O$1:$O$395,'Department Listing'!$A$1:$A$395),IFERROR(_xlfn.XLOOKUP(O537,'Name Aliases'!$A$2:$A$1000,'Name Aliases'!$B$2:$B$1000),""))</f>
        <v/>
      </c>
      <c r="Q537" s="18" t="str">
        <f t="shared" si="65"/>
        <v/>
      </c>
      <c r="R537" s="17" t="str">
        <f t="shared" si="66"/>
        <v/>
      </c>
      <c r="S537" s="19" t="str">
        <f t="shared" si="67"/>
        <v/>
      </c>
      <c r="T537" s="17" t="str">
        <f t="shared" si="68"/>
        <v/>
      </c>
      <c r="U537" s="17" t="str">
        <f t="shared" si="69"/>
        <v/>
      </c>
      <c r="V537" s="19" t="str">
        <f>IF(ISBLANK($B537),"",IF(ISBLANK($K537),IF(_xlfn.XLOOKUP($W537,'Category Mapping'!$C:$C,'Category Mapping'!$B:$B)="Travel",_xlfn.XLOOKUP($P537,'Department Listing'!$A:$A,'Department Listing'!$M:$M),_xlfn.XLOOKUP($W537,'Category Mapping'!$C:$C,'Category Mapping'!$D:$D)),$K537))</f>
        <v/>
      </c>
      <c r="W537" s="19" t="str">
        <f t="shared" si="70"/>
        <v/>
      </c>
      <c r="X537" s="19" t="str">
        <f t="shared" si="71"/>
        <v/>
      </c>
      <c r="Y537" s="20" t="str">
        <f>IF(ISBLANK($M537),IFERROR(_xlfn.XLOOKUP($P537,'Department Listing'!$A:$A,'Department Listing'!$L:$L),""),$M537)</f>
        <v/>
      </c>
      <c r="Z537" s="11" t="str">
        <f>IF(ISBLANK($B537),"",MATCH($X537,COA!$B:$B,0))</f>
        <v/>
      </c>
    </row>
    <row r="538" spans="2:26" ht="15.75" customHeight="1" x14ac:dyDescent="0.25">
      <c r="B538" s="24"/>
      <c r="C538" s="10"/>
      <c r="D538" s="10"/>
      <c r="E538" s="25"/>
      <c r="F538" s="10"/>
      <c r="G538" s="10"/>
      <c r="H538" s="10"/>
      <c r="I538" s="9"/>
      <c r="J538" s="9"/>
      <c r="K538" s="9"/>
      <c r="L538" s="9"/>
      <c r="M538" s="9"/>
      <c r="N538" s="17"/>
      <c r="O538" s="17" t="str">
        <f t="shared" si="64"/>
        <v/>
      </c>
      <c r="P538" s="17" t="str">
        <f>IFERROR(_xlfn.XLOOKUP(O538,'Department Listing'!$O$1:$O$395,'Department Listing'!$A$1:$A$395),IFERROR(_xlfn.XLOOKUP(O538,'Name Aliases'!$A$2:$A$1000,'Name Aliases'!$B$2:$B$1000),""))</f>
        <v/>
      </c>
      <c r="Q538" s="18" t="str">
        <f t="shared" si="65"/>
        <v/>
      </c>
      <c r="R538" s="17" t="str">
        <f t="shared" si="66"/>
        <v/>
      </c>
      <c r="S538" s="19" t="str">
        <f t="shared" si="67"/>
        <v/>
      </c>
      <c r="T538" s="17" t="str">
        <f t="shared" si="68"/>
        <v/>
      </c>
      <c r="U538" s="17" t="str">
        <f t="shared" si="69"/>
        <v/>
      </c>
      <c r="V538" s="19" t="str">
        <f>IF(ISBLANK($B538),"",IF(ISBLANK($K538),IF(_xlfn.XLOOKUP($W538,'Category Mapping'!$C:$C,'Category Mapping'!$B:$B)="Travel",_xlfn.XLOOKUP($P538,'Department Listing'!$A:$A,'Department Listing'!$M:$M),_xlfn.XLOOKUP($W538,'Category Mapping'!$C:$C,'Category Mapping'!$D:$D)),$K538))</f>
        <v/>
      </c>
      <c r="W538" s="19" t="str">
        <f t="shared" si="70"/>
        <v/>
      </c>
      <c r="X538" s="19" t="str">
        <f t="shared" si="71"/>
        <v/>
      </c>
      <c r="Y538" s="20" t="str">
        <f>IF(ISBLANK($M538),IFERROR(_xlfn.XLOOKUP($P538,'Department Listing'!$A:$A,'Department Listing'!$L:$L),""),$M538)</f>
        <v/>
      </c>
      <c r="Z538" s="11" t="str">
        <f>IF(ISBLANK($B538),"",MATCH($X538,COA!$B:$B,0))</f>
        <v/>
      </c>
    </row>
    <row r="539" spans="2:26" ht="15.75" customHeight="1" x14ac:dyDescent="0.25">
      <c r="B539" s="24"/>
      <c r="C539" s="10"/>
      <c r="D539" s="10"/>
      <c r="E539" s="25"/>
      <c r="F539" s="10"/>
      <c r="G539" s="10"/>
      <c r="H539" s="10"/>
      <c r="I539" s="9"/>
      <c r="J539" s="9"/>
      <c r="K539" s="9"/>
      <c r="L539" s="9"/>
      <c r="M539" s="9"/>
      <c r="N539" s="17"/>
      <c r="O539" s="17" t="str">
        <f t="shared" si="64"/>
        <v/>
      </c>
      <c r="P539" s="17" t="str">
        <f>IFERROR(_xlfn.XLOOKUP(O539,'Department Listing'!$O$1:$O$395,'Department Listing'!$A$1:$A$395),IFERROR(_xlfn.XLOOKUP(O539,'Name Aliases'!$A$2:$A$1000,'Name Aliases'!$B$2:$B$1000),""))</f>
        <v/>
      </c>
      <c r="Q539" s="18" t="str">
        <f t="shared" si="65"/>
        <v/>
      </c>
      <c r="R539" s="17" t="str">
        <f t="shared" si="66"/>
        <v/>
      </c>
      <c r="S539" s="19" t="str">
        <f t="shared" si="67"/>
        <v/>
      </c>
      <c r="T539" s="17" t="str">
        <f t="shared" si="68"/>
        <v/>
      </c>
      <c r="U539" s="17" t="str">
        <f t="shared" si="69"/>
        <v/>
      </c>
      <c r="V539" s="19" t="str">
        <f>IF(ISBLANK($B539),"",IF(ISBLANK($K539),IF(_xlfn.XLOOKUP($W539,'Category Mapping'!$C:$C,'Category Mapping'!$B:$B)="Travel",_xlfn.XLOOKUP($P539,'Department Listing'!$A:$A,'Department Listing'!$M:$M),_xlfn.XLOOKUP($W539,'Category Mapping'!$C:$C,'Category Mapping'!$D:$D)),$K539))</f>
        <v/>
      </c>
      <c r="W539" s="19" t="str">
        <f t="shared" si="70"/>
        <v/>
      </c>
      <c r="X539" s="19" t="str">
        <f t="shared" si="71"/>
        <v/>
      </c>
      <c r="Y539" s="20" t="str">
        <f>IF(ISBLANK($M539),IFERROR(_xlfn.XLOOKUP($P539,'Department Listing'!$A:$A,'Department Listing'!$L:$L),""),$M539)</f>
        <v/>
      </c>
      <c r="Z539" s="11" t="str">
        <f>IF(ISBLANK($B539),"",MATCH($X539,COA!$B:$B,0))</f>
        <v/>
      </c>
    </row>
    <row r="540" spans="2:26" ht="15.75" customHeight="1" x14ac:dyDescent="0.25">
      <c r="B540" s="24"/>
      <c r="C540" s="10"/>
      <c r="D540" s="10"/>
      <c r="E540" s="25"/>
      <c r="F540" s="10"/>
      <c r="G540" s="10"/>
      <c r="H540" s="10"/>
      <c r="I540" s="9"/>
      <c r="J540" s="9"/>
      <c r="K540" s="9"/>
      <c r="L540" s="9"/>
      <c r="M540" s="9"/>
      <c r="N540" s="17"/>
      <c r="O540" s="17" t="str">
        <f t="shared" si="64"/>
        <v/>
      </c>
      <c r="P540" s="17" t="str">
        <f>IFERROR(_xlfn.XLOOKUP(O540,'Department Listing'!$O$1:$O$395,'Department Listing'!$A$1:$A$395),IFERROR(_xlfn.XLOOKUP(O540,'Name Aliases'!$A$2:$A$1000,'Name Aliases'!$B$2:$B$1000),""))</f>
        <v/>
      </c>
      <c r="Q540" s="18" t="str">
        <f t="shared" si="65"/>
        <v/>
      </c>
      <c r="R540" s="17" t="str">
        <f t="shared" si="66"/>
        <v/>
      </c>
      <c r="S540" s="19" t="str">
        <f t="shared" si="67"/>
        <v/>
      </c>
      <c r="T540" s="17" t="str">
        <f t="shared" si="68"/>
        <v/>
      </c>
      <c r="U540" s="17" t="str">
        <f t="shared" si="69"/>
        <v/>
      </c>
      <c r="V540" s="19" t="str">
        <f>IF(ISBLANK($B540),"",IF(ISBLANK($K540),IF(_xlfn.XLOOKUP($W540,'Category Mapping'!$C:$C,'Category Mapping'!$B:$B)="Travel",_xlfn.XLOOKUP($P540,'Department Listing'!$A:$A,'Department Listing'!$M:$M),_xlfn.XLOOKUP($W540,'Category Mapping'!$C:$C,'Category Mapping'!$D:$D)),$K540))</f>
        <v/>
      </c>
      <c r="W540" s="19" t="str">
        <f t="shared" si="70"/>
        <v/>
      </c>
      <c r="X540" s="19" t="str">
        <f t="shared" si="71"/>
        <v/>
      </c>
      <c r="Y540" s="20" t="str">
        <f>IF(ISBLANK($M540),IFERROR(_xlfn.XLOOKUP($P540,'Department Listing'!$A:$A,'Department Listing'!$L:$L),""),$M540)</f>
        <v/>
      </c>
      <c r="Z540" s="11" t="str">
        <f>IF(ISBLANK($B540),"",MATCH($X540,COA!$B:$B,0))</f>
        <v/>
      </c>
    </row>
    <row r="541" spans="2:26" ht="15.75" customHeight="1" x14ac:dyDescent="0.25">
      <c r="B541" s="24"/>
      <c r="C541" s="10"/>
      <c r="D541" s="10"/>
      <c r="E541" s="25"/>
      <c r="F541" s="10"/>
      <c r="G541" s="10"/>
      <c r="H541" s="10"/>
      <c r="I541" s="9"/>
      <c r="J541" s="9"/>
      <c r="K541" s="9"/>
      <c r="L541" s="9"/>
      <c r="M541" s="9"/>
      <c r="N541" s="17"/>
      <c r="O541" s="17" t="str">
        <f t="shared" si="64"/>
        <v/>
      </c>
      <c r="P541" s="17" t="str">
        <f>IFERROR(_xlfn.XLOOKUP(O541,'Department Listing'!$O$1:$O$395,'Department Listing'!$A$1:$A$395),IFERROR(_xlfn.XLOOKUP(O541,'Name Aliases'!$A$2:$A$1000,'Name Aliases'!$B$2:$B$1000),""))</f>
        <v/>
      </c>
      <c r="Q541" s="18" t="str">
        <f t="shared" si="65"/>
        <v/>
      </c>
      <c r="R541" s="17" t="str">
        <f t="shared" si="66"/>
        <v/>
      </c>
      <c r="S541" s="19" t="str">
        <f t="shared" si="67"/>
        <v/>
      </c>
      <c r="T541" s="17" t="str">
        <f t="shared" si="68"/>
        <v/>
      </c>
      <c r="U541" s="17" t="str">
        <f t="shared" si="69"/>
        <v/>
      </c>
      <c r="V541" s="19" t="str">
        <f>IF(ISBLANK($B541),"",IF(ISBLANK($K541),IF(_xlfn.XLOOKUP($W541,'Category Mapping'!$C:$C,'Category Mapping'!$B:$B)="Travel",_xlfn.XLOOKUP($P541,'Department Listing'!$A:$A,'Department Listing'!$M:$M),_xlfn.XLOOKUP($W541,'Category Mapping'!$C:$C,'Category Mapping'!$D:$D)),$K541))</f>
        <v/>
      </c>
      <c r="W541" s="19" t="str">
        <f t="shared" si="70"/>
        <v/>
      </c>
      <c r="X541" s="19" t="str">
        <f t="shared" si="71"/>
        <v/>
      </c>
      <c r="Y541" s="20" t="str">
        <f>IF(ISBLANK($M541),IFERROR(_xlfn.XLOOKUP($P541,'Department Listing'!$A:$A,'Department Listing'!$L:$L),""),$M541)</f>
        <v/>
      </c>
      <c r="Z541" s="11" t="str">
        <f>IF(ISBLANK($B541),"",MATCH($X541,COA!$B:$B,0))</f>
        <v/>
      </c>
    </row>
    <row r="542" spans="2:26" ht="15.75" customHeight="1" x14ac:dyDescent="0.25">
      <c r="B542" s="24"/>
      <c r="C542" s="10"/>
      <c r="D542" s="10"/>
      <c r="E542" s="25"/>
      <c r="F542" s="10"/>
      <c r="G542" s="10"/>
      <c r="H542" s="10"/>
      <c r="I542" s="9"/>
      <c r="J542" s="9"/>
      <c r="K542" s="9"/>
      <c r="L542" s="9"/>
      <c r="M542" s="9"/>
      <c r="N542" s="17"/>
      <c r="O542" s="17" t="str">
        <f t="shared" si="64"/>
        <v/>
      </c>
      <c r="P542" s="17" t="str">
        <f>IFERROR(_xlfn.XLOOKUP(O542,'Department Listing'!$O$1:$O$395,'Department Listing'!$A$1:$A$395),IFERROR(_xlfn.XLOOKUP(O542,'Name Aliases'!$A$2:$A$1000,'Name Aliases'!$B$2:$B$1000),""))</f>
        <v/>
      </c>
      <c r="Q542" s="18" t="str">
        <f t="shared" si="65"/>
        <v/>
      </c>
      <c r="R542" s="17" t="str">
        <f t="shared" si="66"/>
        <v/>
      </c>
      <c r="S542" s="19" t="str">
        <f t="shared" si="67"/>
        <v/>
      </c>
      <c r="T542" s="17" t="str">
        <f t="shared" si="68"/>
        <v/>
      </c>
      <c r="U542" s="17" t="str">
        <f t="shared" si="69"/>
        <v/>
      </c>
      <c r="V542" s="19" t="str">
        <f>IF(ISBLANK($B542),"",IF(ISBLANK($K542),IF(_xlfn.XLOOKUP($W542,'Category Mapping'!$C:$C,'Category Mapping'!$B:$B)="Travel",_xlfn.XLOOKUP($P542,'Department Listing'!$A:$A,'Department Listing'!$M:$M),_xlfn.XLOOKUP($W542,'Category Mapping'!$C:$C,'Category Mapping'!$D:$D)),$K542))</f>
        <v/>
      </c>
      <c r="W542" s="19" t="str">
        <f t="shared" si="70"/>
        <v/>
      </c>
      <c r="X542" s="19" t="str">
        <f t="shared" si="71"/>
        <v/>
      </c>
      <c r="Y542" s="20" t="str">
        <f>IF(ISBLANK($M542),IFERROR(_xlfn.XLOOKUP($P542,'Department Listing'!$A:$A,'Department Listing'!$L:$L),""),$M542)</f>
        <v/>
      </c>
      <c r="Z542" s="11" t="str">
        <f>IF(ISBLANK($B542),"",MATCH($X542,COA!$B:$B,0))</f>
        <v/>
      </c>
    </row>
    <row r="543" spans="2:26" ht="15.75" customHeight="1" x14ac:dyDescent="0.25">
      <c r="B543" s="24"/>
      <c r="C543" s="10"/>
      <c r="D543" s="10"/>
      <c r="E543" s="25"/>
      <c r="F543" s="10"/>
      <c r="G543" s="10"/>
      <c r="H543" s="10"/>
      <c r="I543" s="9"/>
      <c r="J543" s="9"/>
      <c r="K543" s="9"/>
      <c r="L543" s="9"/>
      <c r="M543" s="9"/>
      <c r="N543" s="17"/>
      <c r="O543" s="17" t="str">
        <f t="shared" si="64"/>
        <v/>
      </c>
      <c r="P543" s="17" t="str">
        <f>IFERROR(_xlfn.XLOOKUP(O543,'Department Listing'!$O$1:$O$395,'Department Listing'!$A$1:$A$395),IFERROR(_xlfn.XLOOKUP(O543,'Name Aliases'!$A$2:$A$1000,'Name Aliases'!$B$2:$B$1000),""))</f>
        <v/>
      </c>
      <c r="Q543" s="18" t="str">
        <f t="shared" si="65"/>
        <v/>
      </c>
      <c r="R543" s="17" t="str">
        <f t="shared" si="66"/>
        <v/>
      </c>
      <c r="S543" s="19" t="str">
        <f t="shared" si="67"/>
        <v/>
      </c>
      <c r="T543" s="17" t="str">
        <f t="shared" si="68"/>
        <v/>
      </c>
      <c r="U543" s="17" t="str">
        <f t="shared" si="69"/>
        <v/>
      </c>
      <c r="V543" s="19" t="str">
        <f>IF(ISBLANK($B543),"",IF(ISBLANK($K543),IF(_xlfn.XLOOKUP($W543,'Category Mapping'!$C:$C,'Category Mapping'!$B:$B)="Travel",_xlfn.XLOOKUP($P543,'Department Listing'!$A:$A,'Department Listing'!$M:$M),_xlfn.XLOOKUP($W543,'Category Mapping'!$C:$C,'Category Mapping'!$D:$D)),$K543))</f>
        <v/>
      </c>
      <c r="W543" s="19" t="str">
        <f t="shared" si="70"/>
        <v/>
      </c>
      <c r="X543" s="19" t="str">
        <f t="shared" si="71"/>
        <v/>
      </c>
      <c r="Y543" s="20" t="str">
        <f>IF(ISBLANK($M543),IFERROR(_xlfn.XLOOKUP($P543,'Department Listing'!$A:$A,'Department Listing'!$L:$L),""),$M543)</f>
        <v/>
      </c>
      <c r="Z543" s="11" t="str">
        <f>IF(ISBLANK($B543),"",MATCH($X543,COA!$B:$B,0))</f>
        <v/>
      </c>
    </row>
    <row r="544" spans="2:26" ht="15.75" customHeight="1" x14ac:dyDescent="0.25">
      <c r="B544" s="24"/>
      <c r="C544" s="10"/>
      <c r="D544" s="10"/>
      <c r="E544" s="25"/>
      <c r="F544" s="10"/>
      <c r="G544" s="10"/>
      <c r="H544" s="10"/>
      <c r="I544" s="9"/>
      <c r="J544" s="9"/>
      <c r="K544" s="9"/>
      <c r="L544" s="9"/>
      <c r="M544" s="9"/>
      <c r="N544" s="17"/>
      <c r="O544" s="17" t="str">
        <f t="shared" si="64"/>
        <v/>
      </c>
      <c r="P544" s="17" t="str">
        <f>IFERROR(_xlfn.XLOOKUP(O544,'Department Listing'!$O$1:$O$395,'Department Listing'!$A$1:$A$395),IFERROR(_xlfn.XLOOKUP(O544,'Name Aliases'!$A$2:$A$1000,'Name Aliases'!$B$2:$B$1000),""))</f>
        <v/>
      </c>
      <c r="Q544" s="18" t="str">
        <f t="shared" si="65"/>
        <v/>
      </c>
      <c r="R544" s="17" t="str">
        <f t="shared" si="66"/>
        <v/>
      </c>
      <c r="S544" s="19" t="str">
        <f t="shared" si="67"/>
        <v/>
      </c>
      <c r="T544" s="17" t="str">
        <f t="shared" si="68"/>
        <v/>
      </c>
      <c r="U544" s="17" t="str">
        <f t="shared" si="69"/>
        <v/>
      </c>
      <c r="V544" s="19" t="str">
        <f>IF(ISBLANK($B544),"",IF(ISBLANK($K544),IF(_xlfn.XLOOKUP($W544,'Category Mapping'!$C:$C,'Category Mapping'!$B:$B)="Travel",_xlfn.XLOOKUP($P544,'Department Listing'!$A:$A,'Department Listing'!$M:$M),_xlfn.XLOOKUP($W544,'Category Mapping'!$C:$C,'Category Mapping'!$D:$D)),$K544))</f>
        <v/>
      </c>
      <c r="W544" s="19" t="str">
        <f t="shared" si="70"/>
        <v/>
      </c>
      <c r="X544" s="19" t="str">
        <f t="shared" si="71"/>
        <v/>
      </c>
      <c r="Y544" s="20" t="str">
        <f>IF(ISBLANK($M544),IFERROR(_xlfn.XLOOKUP($P544,'Department Listing'!$A:$A,'Department Listing'!$L:$L),""),$M544)</f>
        <v/>
      </c>
      <c r="Z544" s="11" t="str">
        <f>IF(ISBLANK($B544),"",MATCH($X544,COA!$B:$B,0))</f>
        <v/>
      </c>
    </row>
    <row r="545" spans="2:26" ht="15.75" customHeight="1" x14ac:dyDescent="0.25">
      <c r="B545" s="24"/>
      <c r="C545" s="10"/>
      <c r="D545" s="10"/>
      <c r="E545" s="25"/>
      <c r="F545" s="10"/>
      <c r="G545" s="10"/>
      <c r="H545" s="10"/>
      <c r="I545" s="9"/>
      <c r="J545" s="9"/>
      <c r="K545" s="9"/>
      <c r="L545" s="9"/>
      <c r="M545" s="9"/>
      <c r="N545" s="17"/>
      <c r="O545" s="17" t="str">
        <f t="shared" si="64"/>
        <v/>
      </c>
      <c r="P545" s="17" t="str">
        <f>IFERROR(_xlfn.XLOOKUP(O545,'Department Listing'!$O$1:$O$395,'Department Listing'!$A$1:$A$395),IFERROR(_xlfn.XLOOKUP(O545,'Name Aliases'!$A$2:$A$1000,'Name Aliases'!$B$2:$B$1000),""))</f>
        <v/>
      </c>
      <c r="Q545" s="18" t="str">
        <f t="shared" si="65"/>
        <v/>
      </c>
      <c r="R545" s="17" t="str">
        <f t="shared" si="66"/>
        <v/>
      </c>
      <c r="S545" s="19" t="str">
        <f t="shared" si="67"/>
        <v/>
      </c>
      <c r="T545" s="17" t="str">
        <f t="shared" si="68"/>
        <v/>
      </c>
      <c r="U545" s="17" t="str">
        <f t="shared" si="69"/>
        <v/>
      </c>
      <c r="V545" s="19" t="str">
        <f>IF(ISBLANK($B545),"",IF(ISBLANK($K545),IF(_xlfn.XLOOKUP($W545,'Category Mapping'!$C:$C,'Category Mapping'!$B:$B)="Travel",_xlfn.XLOOKUP($P545,'Department Listing'!$A:$A,'Department Listing'!$M:$M),_xlfn.XLOOKUP($W545,'Category Mapping'!$C:$C,'Category Mapping'!$D:$D)),$K545))</f>
        <v/>
      </c>
      <c r="W545" s="19" t="str">
        <f t="shared" si="70"/>
        <v/>
      </c>
      <c r="X545" s="19" t="str">
        <f t="shared" si="71"/>
        <v/>
      </c>
      <c r="Y545" s="20" t="str">
        <f>IF(ISBLANK($M545),IFERROR(_xlfn.XLOOKUP($P545,'Department Listing'!$A:$A,'Department Listing'!$L:$L),""),$M545)</f>
        <v/>
      </c>
      <c r="Z545" s="11" t="str">
        <f>IF(ISBLANK($B545),"",MATCH($X545,COA!$B:$B,0))</f>
        <v/>
      </c>
    </row>
    <row r="546" spans="2:26" ht="15.75" customHeight="1" x14ac:dyDescent="0.25">
      <c r="B546" s="24"/>
      <c r="C546" s="10"/>
      <c r="D546" s="10"/>
      <c r="E546" s="25"/>
      <c r="F546" s="10"/>
      <c r="G546" s="10"/>
      <c r="H546" s="10"/>
      <c r="I546" s="9"/>
      <c r="J546" s="9"/>
      <c r="K546" s="9"/>
      <c r="L546" s="9"/>
      <c r="M546" s="9"/>
      <c r="N546" s="17"/>
      <c r="O546" s="17" t="str">
        <f t="shared" si="64"/>
        <v/>
      </c>
      <c r="P546" s="17" t="str">
        <f>IFERROR(_xlfn.XLOOKUP(O546,'Department Listing'!$O$1:$O$395,'Department Listing'!$A$1:$A$395),IFERROR(_xlfn.XLOOKUP(O546,'Name Aliases'!$A$2:$A$1000,'Name Aliases'!$B$2:$B$1000),""))</f>
        <v/>
      </c>
      <c r="Q546" s="18" t="str">
        <f t="shared" si="65"/>
        <v/>
      </c>
      <c r="R546" s="17" t="str">
        <f t="shared" si="66"/>
        <v/>
      </c>
      <c r="S546" s="19" t="str">
        <f t="shared" si="67"/>
        <v/>
      </c>
      <c r="T546" s="17" t="str">
        <f t="shared" si="68"/>
        <v/>
      </c>
      <c r="U546" s="17" t="str">
        <f t="shared" si="69"/>
        <v/>
      </c>
      <c r="V546" s="19" t="str">
        <f>IF(ISBLANK($B546),"",IF(ISBLANK($K546),IF(_xlfn.XLOOKUP($W546,'Category Mapping'!$C:$C,'Category Mapping'!$B:$B)="Travel",_xlfn.XLOOKUP($P546,'Department Listing'!$A:$A,'Department Listing'!$M:$M),_xlfn.XLOOKUP($W546,'Category Mapping'!$C:$C,'Category Mapping'!$D:$D)),$K546))</f>
        <v/>
      </c>
      <c r="W546" s="19" t="str">
        <f t="shared" si="70"/>
        <v/>
      </c>
      <c r="X546" s="19" t="str">
        <f t="shared" si="71"/>
        <v/>
      </c>
      <c r="Y546" s="20" t="str">
        <f>IF(ISBLANK($M546),IFERROR(_xlfn.XLOOKUP($P546,'Department Listing'!$A:$A,'Department Listing'!$L:$L),""),$M546)</f>
        <v/>
      </c>
      <c r="Z546" s="11" t="str">
        <f>IF(ISBLANK($B546),"",MATCH($X546,COA!$B:$B,0))</f>
        <v/>
      </c>
    </row>
    <row r="547" spans="2:26" ht="15.75" customHeight="1" x14ac:dyDescent="0.25">
      <c r="B547" s="24"/>
      <c r="C547" s="10"/>
      <c r="D547" s="10"/>
      <c r="E547" s="25"/>
      <c r="F547" s="10"/>
      <c r="G547" s="10"/>
      <c r="H547" s="10"/>
      <c r="I547" s="9"/>
      <c r="J547" s="9"/>
      <c r="K547" s="9"/>
      <c r="L547" s="9"/>
      <c r="M547" s="9"/>
      <c r="N547" s="17"/>
      <c r="O547" s="17" t="str">
        <f t="shared" si="64"/>
        <v/>
      </c>
      <c r="P547" s="17" t="str">
        <f>IFERROR(_xlfn.XLOOKUP(O547,'Department Listing'!$O$1:$O$395,'Department Listing'!$A$1:$A$395),IFERROR(_xlfn.XLOOKUP(O547,'Name Aliases'!$A$2:$A$1000,'Name Aliases'!$B$2:$B$1000),""))</f>
        <v/>
      </c>
      <c r="Q547" s="18" t="str">
        <f t="shared" si="65"/>
        <v/>
      </c>
      <c r="R547" s="17" t="str">
        <f t="shared" si="66"/>
        <v/>
      </c>
      <c r="S547" s="19" t="str">
        <f t="shared" si="67"/>
        <v/>
      </c>
      <c r="T547" s="17" t="str">
        <f t="shared" si="68"/>
        <v/>
      </c>
      <c r="U547" s="17" t="str">
        <f t="shared" si="69"/>
        <v/>
      </c>
      <c r="V547" s="19" t="str">
        <f>IF(ISBLANK($B547),"",IF(ISBLANK($K547),IF(_xlfn.XLOOKUP($W547,'Category Mapping'!$C:$C,'Category Mapping'!$B:$B)="Travel",_xlfn.XLOOKUP($P547,'Department Listing'!$A:$A,'Department Listing'!$M:$M),_xlfn.XLOOKUP($W547,'Category Mapping'!$C:$C,'Category Mapping'!$D:$D)),$K547))</f>
        <v/>
      </c>
      <c r="W547" s="19" t="str">
        <f t="shared" si="70"/>
        <v/>
      </c>
      <c r="X547" s="19" t="str">
        <f t="shared" si="71"/>
        <v/>
      </c>
      <c r="Y547" s="20" t="str">
        <f>IF(ISBLANK($M547),IFERROR(_xlfn.XLOOKUP($P547,'Department Listing'!$A:$A,'Department Listing'!$L:$L),""),$M547)</f>
        <v/>
      </c>
      <c r="Z547" s="11" t="str">
        <f>IF(ISBLANK($B547),"",MATCH($X547,COA!$B:$B,0))</f>
        <v/>
      </c>
    </row>
    <row r="548" spans="2:26" ht="15.75" customHeight="1" x14ac:dyDescent="0.25">
      <c r="B548" s="24"/>
      <c r="C548" s="10"/>
      <c r="D548" s="10"/>
      <c r="E548" s="25"/>
      <c r="F548" s="10"/>
      <c r="G548" s="10"/>
      <c r="H548" s="10"/>
      <c r="I548" s="9"/>
      <c r="J548" s="9"/>
      <c r="K548" s="9"/>
      <c r="L548" s="9"/>
      <c r="M548" s="9"/>
      <c r="N548" s="17"/>
      <c r="O548" s="17" t="str">
        <f t="shared" si="64"/>
        <v/>
      </c>
      <c r="P548" s="17" t="str">
        <f>IFERROR(_xlfn.XLOOKUP(O548,'Department Listing'!$O$1:$O$395,'Department Listing'!$A$1:$A$395),IFERROR(_xlfn.XLOOKUP(O548,'Name Aliases'!$A$2:$A$1000,'Name Aliases'!$B$2:$B$1000),""))</f>
        <v/>
      </c>
      <c r="Q548" s="18" t="str">
        <f t="shared" si="65"/>
        <v/>
      </c>
      <c r="R548" s="17" t="str">
        <f t="shared" si="66"/>
        <v/>
      </c>
      <c r="S548" s="19" t="str">
        <f t="shared" si="67"/>
        <v/>
      </c>
      <c r="T548" s="17" t="str">
        <f t="shared" si="68"/>
        <v/>
      </c>
      <c r="U548" s="17" t="str">
        <f t="shared" si="69"/>
        <v/>
      </c>
      <c r="V548" s="19" t="str">
        <f>IF(ISBLANK($B548),"",IF(ISBLANK($K548),IF(_xlfn.XLOOKUP($W548,'Category Mapping'!$C:$C,'Category Mapping'!$B:$B)="Travel",_xlfn.XLOOKUP($P548,'Department Listing'!$A:$A,'Department Listing'!$M:$M),_xlfn.XLOOKUP($W548,'Category Mapping'!$C:$C,'Category Mapping'!$D:$D)),$K548))</f>
        <v/>
      </c>
      <c r="W548" s="19" t="str">
        <f t="shared" si="70"/>
        <v/>
      </c>
      <c r="X548" s="19" t="str">
        <f t="shared" si="71"/>
        <v/>
      </c>
      <c r="Y548" s="20" t="str">
        <f>IF(ISBLANK($M548),IFERROR(_xlfn.XLOOKUP($P548,'Department Listing'!$A:$A,'Department Listing'!$L:$L),""),$M548)</f>
        <v/>
      </c>
      <c r="Z548" s="11" t="str">
        <f>IF(ISBLANK($B548),"",MATCH($X548,COA!$B:$B,0))</f>
        <v/>
      </c>
    </row>
    <row r="549" spans="2:26" ht="15.75" customHeight="1" x14ac:dyDescent="0.25">
      <c r="B549" s="24"/>
      <c r="C549" s="10"/>
      <c r="D549" s="10"/>
      <c r="E549" s="25"/>
      <c r="F549" s="10"/>
      <c r="G549" s="10"/>
      <c r="H549" s="10"/>
      <c r="I549" s="9"/>
      <c r="J549" s="9"/>
      <c r="K549" s="9"/>
      <c r="L549" s="9"/>
      <c r="M549" s="9"/>
      <c r="N549" s="17"/>
      <c r="O549" s="17" t="str">
        <f t="shared" si="64"/>
        <v/>
      </c>
      <c r="P549" s="17" t="str">
        <f>IFERROR(_xlfn.XLOOKUP(O549,'Department Listing'!$O$1:$O$395,'Department Listing'!$A$1:$A$395),IFERROR(_xlfn.XLOOKUP(O549,'Name Aliases'!$A$2:$A$1000,'Name Aliases'!$B$2:$B$1000),""))</f>
        <v/>
      </c>
      <c r="Q549" s="18" t="str">
        <f t="shared" si="65"/>
        <v/>
      </c>
      <c r="R549" s="17" t="str">
        <f t="shared" si="66"/>
        <v/>
      </c>
      <c r="S549" s="19" t="str">
        <f t="shared" si="67"/>
        <v/>
      </c>
      <c r="T549" s="17" t="str">
        <f t="shared" si="68"/>
        <v/>
      </c>
      <c r="U549" s="17" t="str">
        <f t="shared" si="69"/>
        <v/>
      </c>
      <c r="V549" s="19" t="str">
        <f>IF(ISBLANK($B549),"",IF(ISBLANK($K549),IF(_xlfn.XLOOKUP($W549,'Category Mapping'!$C:$C,'Category Mapping'!$B:$B)="Travel",_xlfn.XLOOKUP($P549,'Department Listing'!$A:$A,'Department Listing'!$M:$M),_xlfn.XLOOKUP($W549,'Category Mapping'!$C:$C,'Category Mapping'!$D:$D)),$K549))</f>
        <v/>
      </c>
      <c r="W549" s="19" t="str">
        <f t="shared" si="70"/>
        <v/>
      </c>
      <c r="X549" s="19" t="str">
        <f t="shared" si="71"/>
        <v/>
      </c>
      <c r="Y549" s="20" t="str">
        <f>IF(ISBLANK($M549),IFERROR(_xlfn.XLOOKUP($P549,'Department Listing'!$A:$A,'Department Listing'!$L:$L),""),$M549)</f>
        <v/>
      </c>
      <c r="Z549" s="11" t="str">
        <f>IF(ISBLANK($B549),"",MATCH($X549,COA!$B:$B,0))</f>
        <v/>
      </c>
    </row>
    <row r="550" spans="2:26" ht="15.75" customHeight="1" x14ac:dyDescent="0.25">
      <c r="B550" s="24"/>
      <c r="C550" s="10"/>
      <c r="D550" s="10"/>
      <c r="E550" s="25"/>
      <c r="F550" s="10"/>
      <c r="G550" s="10"/>
      <c r="H550" s="10"/>
      <c r="I550" s="9"/>
      <c r="J550" s="9"/>
      <c r="K550" s="9"/>
      <c r="L550" s="9"/>
      <c r="M550" s="9"/>
      <c r="N550" s="17"/>
      <c r="O550" s="17" t="str">
        <f t="shared" si="64"/>
        <v/>
      </c>
      <c r="P550" s="17" t="str">
        <f>IFERROR(_xlfn.XLOOKUP(O550,'Department Listing'!$O$1:$O$395,'Department Listing'!$A$1:$A$395),IFERROR(_xlfn.XLOOKUP(O550,'Name Aliases'!$A$2:$A$1000,'Name Aliases'!$B$2:$B$1000),""))</f>
        <v/>
      </c>
      <c r="Q550" s="18" t="str">
        <f t="shared" si="65"/>
        <v/>
      </c>
      <c r="R550" s="17" t="str">
        <f t="shared" si="66"/>
        <v/>
      </c>
      <c r="S550" s="19" t="str">
        <f t="shared" si="67"/>
        <v/>
      </c>
      <c r="T550" s="17" t="str">
        <f t="shared" si="68"/>
        <v/>
      </c>
      <c r="U550" s="17" t="str">
        <f t="shared" si="69"/>
        <v/>
      </c>
      <c r="V550" s="19" t="str">
        <f>IF(ISBLANK($B550),"",IF(ISBLANK($K550),IF(_xlfn.XLOOKUP($W550,'Category Mapping'!$C:$C,'Category Mapping'!$B:$B)="Travel",_xlfn.XLOOKUP($P550,'Department Listing'!$A:$A,'Department Listing'!$M:$M),_xlfn.XLOOKUP($W550,'Category Mapping'!$C:$C,'Category Mapping'!$D:$D)),$K550))</f>
        <v/>
      </c>
      <c r="W550" s="19" t="str">
        <f t="shared" si="70"/>
        <v/>
      </c>
      <c r="X550" s="19" t="str">
        <f t="shared" si="71"/>
        <v/>
      </c>
      <c r="Y550" s="20" t="str">
        <f>IF(ISBLANK($M550),IFERROR(_xlfn.XLOOKUP($P550,'Department Listing'!$A:$A,'Department Listing'!$L:$L),""),$M550)</f>
        <v/>
      </c>
      <c r="Z550" s="11" t="str">
        <f>IF(ISBLANK($B550),"",MATCH($X550,COA!$B:$B,0))</f>
        <v/>
      </c>
    </row>
    <row r="551" spans="2:26" ht="15.75" customHeight="1" x14ac:dyDescent="0.25">
      <c r="B551" s="24"/>
      <c r="C551" s="10"/>
      <c r="D551" s="10"/>
      <c r="E551" s="25"/>
      <c r="F551" s="10"/>
      <c r="G551" s="10"/>
      <c r="H551" s="10"/>
      <c r="I551" s="9"/>
      <c r="J551" s="9"/>
      <c r="K551" s="9"/>
      <c r="L551" s="9"/>
      <c r="M551" s="9"/>
      <c r="N551" s="17"/>
      <c r="O551" s="17" t="str">
        <f t="shared" si="64"/>
        <v/>
      </c>
      <c r="P551" s="17" t="str">
        <f>IFERROR(_xlfn.XLOOKUP(O551,'Department Listing'!$O$1:$O$395,'Department Listing'!$A$1:$A$395),IFERROR(_xlfn.XLOOKUP(O551,'Name Aliases'!$A$2:$A$1000,'Name Aliases'!$B$2:$B$1000),""))</f>
        <v/>
      </c>
      <c r="Q551" s="18" t="str">
        <f t="shared" si="65"/>
        <v/>
      </c>
      <c r="R551" s="17" t="str">
        <f t="shared" si="66"/>
        <v/>
      </c>
      <c r="S551" s="19" t="str">
        <f t="shared" si="67"/>
        <v/>
      </c>
      <c r="T551" s="17" t="str">
        <f t="shared" si="68"/>
        <v/>
      </c>
      <c r="U551" s="17" t="str">
        <f t="shared" si="69"/>
        <v/>
      </c>
      <c r="V551" s="19" t="str">
        <f>IF(ISBLANK($B551),"",IF(ISBLANK($K551),IF(_xlfn.XLOOKUP($W551,'Category Mapping'!$C:$C,'Category Mapping'!$B:$B)="Travel",_xlfn.XLOOKUP($P551,'Department Listing'!$A:$A,'Department Listing'!$M:$M),_xlfn.XLOOKUP($W551,'Category Mapping'!$C:$C,'Category Mapping'!$D:$D)),$K551))</f>
        <v/>
      </c>
      <c r="W551" s="19" t="str">
        <f t="shared" si="70"/>
        <v/>
      </c>
      <c r="X551" s="19" t="str">
        <f t="shared" si="71"/>
        <v/>
      </c>
      <c r="Y551" s="20" t="str">
        <f>IF(ISBLANK($M551),IFERROR(_xlfn.XLOOKUP($P551,'Department Listing'!$A:$A,'Department Listing'!$L:$L),""),$M551)</f>
        <v/>
      </c>
      <c r="Z551" s="11" t="str">
        <f>IF(ISBLANK($B551),"",MATCH($X551,COA!$B:$B,0))</f>
        <v/>
      </c>
    </row>
    <row r="552" spans="2:26" ht="15.75" customHeight="1" x14ac:dyDescent="0.25">
      <c r="B552" s="24"/>
      <c r="C552" s="10"/>
      <c r="D552" s="10"/>
      <c r="E552" s="25"/>
      <c r="F552" s="10"/>
      <c r="G552" s="10"/>
      <c r="H552" s="10"/>
      <c r="I552" s="9"/>
      <c r="J552" s="9"/>
      <c r="K552" s="9"/>
      <c r="L552" s="9"/>
      <c r="M552" s="9"/>
      <c r="N552" s="17"/>
      <c r="O552" s="17" t="str">
        <f t="shared" si="64"/>
        <v/>
      </c>
      <c r="P552" s="17" t="str">
        <f>IFERROR(_xlfn.XLOOKUP(O552,'Department Listing'!$O$1:$O$395,'Department Listing'!$A$1:$A$395),IFERROR(_xlfn.XLOOKUP(O552,'Name Aliases'!$A$2:$A$1000,'Name Aliases'!$B$2:$B$1000),""))</f>
        <v/>
      </c>
      <c r="Q552" s="18" t="str">
        <f t="shared" si="65"/>
        <v/>
      </c>
      <c r="R552" s="17" t="str">
        <f t="shared" si="66"/>
        <v/>
      </c>
      <c r="S552" s="19" t="str">
        <f t="shared" si="67"/>
        <v/>
      </c>
      <c r="T552" s="17" t="str">
        <f t="shared" si="68"/>
        <v/>
      </c>
      <c r="U552" s="17" t="str">
        <f t="shared" si="69"/>
        <v/>
      </c>
      <c r="V552" s="19" t="str">
        <f>IF(ISBLANK($B552),"",IF(ISBLANK($K552),IF(_xlfn.XLOOKUP($W552,'Category Mapping'!$C:$C,'Category Mapping'!$B:$B)="Travel",_xlfn.XLOOKUP($P552,'Department Listing'!$A:$A,'Department Listing'!$M:$M),_xlfn.XLOOKUP($W552,'Category Mapping'!$C:$C,'Category Mapping'!$D:$D)),$K552))</f>
        <v/>
      </c>
      <c r="W552" s="19" t="str">
        <f t="shared" si="70"/>
        <v/>
      </c>
      <c r="X552" s="19" t="str">
        <f t="shared" si="71"/>
        <v/>
      </c>
      <c r="Y552" s="20" t="str">
        <f>IF(ISBLANK($M552),IFERROR(_xlfn.XLOOKUP($P552,'Department Listing'!$A:$A,'Department Listing'!$L:$L),""),$M552)</f>
        <v/>
      </c>
      <c r="Z552" s="11" t="str">
        <f>IF(ISBLANK($B552),"",MATCH($X552,COA!$B:$B,0))</f>
        <v/>
      </c>
    </row>
    <row r="553" spans="2:26" ht="15.75" customHeight="1" x14ac:dyDescent="0.25">
      <c r="B553" s="24"/>
      <c r="C553" s="10"/>
      <c r="D553" s="10"/>
      <c r="E553" s="25"/>
      <c r="F553" s="10"/>
      <c r="G553" s="10"/>
      <c r="H553" s="10"/>
      <c r="I553" s="9"/>
      <c r="J553" s="9"/>
      <c r="K553" s="9"/>
      <c r="L553" s="9"/>
      <c r="M553" s="9"/>
      <c r="N553" s="17"/>
      <c r="O553" s="17" t="str">
        <f t="shared" si="64"/>
        <v/>
      </c>
      <c r="P553" s="17" t="str">
        <f>IFERROR(_xlfn.XLOOKUP(O553,'Department Listing'!$O$1:$O$395,'Department Listing'!$A$1:$A$395),IFERROR(_xlfn.XLOOKUP(O553,'Name Aliases'!$A$2:$A$1000,'Name Aliases'!$B$2:$B$1000),""))</f>
        <v/>
      </c>
      <c r="Q553" s="18" t="str">
        <f t="shared" si="65"/>
        <v/>
      </c>
      <c r="R553" s="17" t="str">
        <f t="shared" si="66"/>
        <v/>
      </c>
      <c r="S553" s="19" t="str">
        <f t="shared" si="67"/>
        <v/>
      </c>
      <c r="T553" s="17" t="str">
        <f t="shared" si="68"/>
        <v/>
      </c>
      <c r="U553" s="17" t="str">
        <f t="shared" si="69"/>
        <v/>
      </c>
      <c r="V553" s="19" t="str">
        <f>IF(ISBLANK($B553),"",IF(ISBLANK($K553),IF(_xlfn.XLOOKUP($W553,'Category Mapping'!$C:$C,'Category Mapping'!$B:$B)="Travel",_xlfn.XLOOKUP($P553,'Department Listing'!$A:$A,'Department Listing'!$M:$M),_xlfn.XLOOKUP($W553,'Category Mapping'!$C:$C,'Category Mapping'!$D:$D)),$K553))</f>
        <v/>
      </c>
      <c r="W553" s="19" t="str">
        <f t="shared" si="70"/>
        <v/>
      </c>
      <c r="X553" s="19" t="str">
        <f t="shared" si="71"/>
        <v/>
      </c>
      <c r="Y553" s="20" t="str">
        <f>IF(ISBLANK($M553),IFERROR(_xlfn.XLOOKUP($P553,'Department Listing'!$A:$A,'Department Listing'!$L:$L),""),$M553)</f>
        <v/>
      </c>
      <c r="Z553" s="11" t="str">
        <f>IF(ISBLANK($B553),"",MATCH($X553,COA!$B:$B,0))</f>
        <v/>
      </c>
    </row>
    <row r="554" spans="2:26" ht="15.75" customHeight="1" x14ac:dyDescent="0.25">
      <c r="B554" s="24"/>
      <c r="C554" s="10"/>
      <c r="D554" s="10"/>
      <c r="E554" s="25"/>
      <c r="F554" s="10"/>
      <c r="G554" s="10"/>
      <c r="H554" s="10"/>
      <c r="I554" s="9"/>
      <c r="J554" s="9"/>
      <c r="K554" s="9"/>
      <c r="L554" s="9"/>
      <c r="M554" s="9"/>
      <c r="N554" s="17"/>
      <c r="O554" s="17" t="str">
        <f t="shared" si="64"/>
        <v/>
      </c>
      <c r="P554" s="17" t="str">
        <f>IFERROR(_xlfn.XLOOKUP(O554,'Department Listing'!$O$1:$O$395,'Department Listing'!$A$1:$A$395),IFERROR(_xlfn.XLOOKUP(O554,'Name Aliases'!$A$2:$A$1000,'Name Aliases'!$B$2:$B$1000),""))</f>
        <v/>
      </c>
      <c r="Q554" s="18" t="str">
        <f t="shared" si="65"/>
        <v/>
      </c>
      <c r="R554" s="17" t="str">
        <f t="shared" si="66"/>
        <v/>
      </c>
      <c r="S554" s="19" t="str">
        <f t="shared" si="67"/>
        <v/>
      </c>
      <c r="T554" s="17" t="str">
        <f t="shared" si="68"/>
        <v/>
      </c>
      <c r="U554" s="17" t="str">
        <f t="shared" si="69"/>
        <v/>
      </c>
      <c r="V554" s="19" t="str">
        <f>IF(ISBLANK($B554),"",IF(ISBLANK($K554),IF(_xlfn.XLOOKUP($W554,'Category Mapping'!$C:$C,'Category Mapping'!$B:$B)="Travel",_xlfn.XLOOKUP($P554,'Department Listing'!$A:$A,'Department Listing'!$M:$M),_xlfn.XLOOKUP($W554,'Category Mapping'!$C:$C,'Category Mapping'!$D:$D)),$K554))</f>
        <v/>
      </c>
      <c r="W554" s="19" t="str">
        <f t="shared" si="70"/>
        <v/>
      </c>
      <c r="X554" s="19" t="str">
        <f t="shared" si="71"/>
        <v/>
      </c>
      <c r="Y554" s="20" t="str">
        <f>IF(ISBLANK($M554),IFERROR(_xlfn.XLOOKUP($P554,'Department Listing'!$A:$A,'Department Listing'!$L:$L),""),$M554)</f>
        <v/>
      </c>
      <c r="Z554" s="11" t="str">
        <f>IF(ISBLANK($B554),"",MATCH($X554,COA!$B:$B,0))</f>
        <v/>
      </c>
    </row>
    <row r="555" spans="2:26" ht="15.75" customHeight="1" x14ac:dyDescent="0.25">
      <c r="B555" s="24"/>
      <c r="C555" s="10"/>
      <c r="D555" s="10"/>
      <c r="E555" s="25"/>
      <c r="F555" s="10"/>
      <c r="G555" s="10"/>
      <c r="H555" s="10"/>
      <c r="I555" s="9"/>
      <c r="J555" s="9"/>
      <c r="K555" s="9"/>
      <c r="L555" s="9"/>
      <c r="M555" s="9"/>
      <c r="N555" s="17"/>
      <c r="O555" s="17" t="str">
        <f t="shared" si="64"/>
        <v/>
      </c>
      <c r="P555" s="17" t="str">
        <f>IFERROR(_xlfn.XLOOKUP(O555,'Department Listing'!$O$1:$O$395,'Department Listing'!$A$1:$A$395),IFERROR(_xlfn.XLOOKUP(O555,'Name Aliases'!$A$2:$A$1000,'Name Aliases'!$B$2:$B$1000),""))</f>
        <v/>
      </c>
      <c r="Q555" s="18" t="str">
        <f t="shared" si="65"/>
        <v/>
      </c>
      <c r="R555" s="17" t="str">
        <f t="shared" si="66"/>
        <v/>
      </c>
      <c r="S555" s="19" t="str">
        <f t="shared" si="67"/>
        <v/>
      </c>
      <c r="T555" s="17" t="str">
        <f t="shared" si="68"/>
        <v/>
      </c>
      <c r="U555" s="17" t="str">
        <f t="shared" si="69"/>
        <v/>
      </c>
      <c r="V555" s="19" t="str">
        <f>IF(ISBLANK($B555),"",IF(ISBLANK($K555),IF(_xlfn.XLOOKUP($W555,'Category Mapping'!$C:$C,'Category Mapping'!$B:$B)="Travel",_xlfn.XLOOKUP($P555,'Department Listing'!$A:$A,'Department Listing'!$M:$M),_xlfn.XLOOKUP($W555,'Category Mapping'!$C:$C,'Category Mapping'!$D:$D)),$K555))</f>
        <v/>
      </c>
      <c r="W555" s="19" t="str">
        <f t="shared" si="70"/>
        <v/>
      </c>
      <c r="X555" s="19" t="str">
        <f t="shared" si="71"/>
        <v/>
      </c>
      <c r="Y555" s="20" t="str">
        <f>IF(ISBLANK($M555),IFERROR(_xlfn.XLOOKUP($P555,'Department Listing'!$A:$A,'Department Listing'!$L:$L),""),$M555)</f>
        <v/>
      </c>
      <c r="Z555" s="11" t="str">
        <f>IF(ISBLANK($B555),"",MATCH($X555,COA!$B:$B,0))</f>
        <v/>
      </c>
    </row>
    <row r="556" spans="2:26" ht="15.75" customHeight="1" x14ac:dyDescent="0.25">
      <c r="B556" s="24"/>
      <c r="C556" s="10"/>
      <c r="D556" s="10"/>
      <c r="E556" s="25"/>
      <c r="F556" s="10"/>
      <c r="G556" s="10"/>
      <c r="H556" s="10"/>
      <c r="I556" s="9"/>
      <c r="J556" s="9"/>
      <c r="K556" s="9"/>
      <c r="L556" s="9"/>
      <c r="M556" s="9"/>
      <c r="N556" s="17"/>
      <c r="O556" s="17" t="str">
        <f t="shared" si="64"/>
        <v/>
      </c>
      <c r="P556" s="17" t="str">
        <f>IFERROR(_xlfn.XLOOKUP(O556,'Department Listing'!$O$1:$O$395,'Department Listing'!$A$1:$A$395),IFERROR(_xlfn.XLOOKUP(O556,'Name Aliases'!$A$2:$A$1000,'Name Aliases'!$B$2:$B$1000),""))</f>
        <v/>
      </c>
      <c r="Q556" s="18" t="str">
        <f t="shared" si="65"/>
        <v/>
      </c>
      <c r="R556" s="17" t="str">
        <f t="shared" si="66"/>
        <v/>
      </c>
      <c r="S556" s="19" t="str">
        <f t="shared" si="67"/>
        <v/>
      </c>
      <c r="T556" s="17" t="str">
        <f t="shared" si="68"/>
        <v/>
      </c>
      <c r="U556" s="17" t="str">
        <f t="shared" si="69"/>
        <v/>
      </c>
      <c r="V556" s="19" t="str">
        <f>IF(ISBLANK($B556),"",IF(ISBLANK($K556),IF(_xlfn.XLOOKUP($W556,'Category Mapping'!$C:$C,'Category Mapping'!$B:$B)="Travel",_xlfn.XLOOKUP($P556,'Department Listing'!$A:$A,'Department Listing'!$M:$M),_xlfn.XLOOKUP($W556,'Category Mapping'!$C:$C,'Category Mapping'!$D:$D)),$K556))</f>
        <v/>
      </c>
      <c r="W556" s="19" t="str">
        <f t="shared" si="70"/>
        <v/>
      </c>
      <c r="X556" s="19" t="str">
        <f t="shared" si="71"/>
        <v/>
      </c>
      <c r="Y556" s="20" t="str">
        <f>IF(ISBLANK($M556),IFERROR(_xlfn.XLOOKUP($P556,'Department Listing'!$A:$A,'Department Listing'!$L:$L),""),$M556)</f>
        <v/>
      </c>
      <c r="Z556" s="11" t="str">
        <f>IF(ISBLANK($B556),"",MATCH($X556,COA!$B:$B,0))</f>
        <v/>
      </c>
    </row>
    <row r="557" spans="2:26" ht="15.75" customHeight="1" x14ac:dyDescent="0.25">
      <c r="B557" s="24"/>
      <c r="C557" s="10"/>
      <c r="D557" s="10"/>
      <c r="E557" s="25"/>
      <c r="F557" s="10"/>
      <c r="G557" s="10"/>
      <c r="H557" s="10"/>
      <c r="I557" s="9"/>
      <c r="J557" s="9"/>
      <c r="K557" s="9"/>
      <c r="L557" s="9"/>
      <c r="M557" s="9"/>
      <c r="N557" s="17"/>
      <c r="O557" s="17" t="str">
        <f t="shared" si="64"/>
        <v/>
      </c>
      <c r="P557" s="17" t="str">
        <f>IFERROR(_xlfn.XLOOKUP(O557,'Department Listing'!$O$1:$O$395,'Department Listing'!$A$1:$A$395),IFERROR(_xlfn.XLOOKUP(O557,'Name Aliases'!$A$2:$A$1000,'Name Aliases'!$B$2:$B$1000),""))</f>
        <v/>
      </c>
      <c r="Q557" s="18" t="str">
        <f t="shared" si="65"/>
        <v/>
      </c>
      <c r="R557" s="17" t="str">
        <f t="shared" si="66"/>
        <v/>
      </c>
      <c r="S557" s="19" t="str">
        <f t="shared" si="67"/>
        <v/>
      </c>
      <c r="T557" s="17" t="str">
        <f t="shared" si="68"/>
        <v/>
      </c>
      <c r="U557" s="17" t="str">
        <f t="shared" si="69"/>
        <v/>
      </c>
      <c r="V557" s="19" t="str">
        <f>IF(ISBLANK($B557),"",IF(ISBLANK($K557),IF(_xlfn.XLOOKUP($W557,'Category Mapping'!$C:$C,'Category Mapping'!$B:$B)="Travel",_xlfn.XLOOKUP($P557,'Department Listing'!$A:$A,'Department Listing'!$M:$M),_xlfn.XLOOKUP($W557,'Category Mapping'!$C:$C,'Category Mapping'!$D:$D)),$K557))</f>
        <v/>
      </c>
      <c r="W557" s="19" t="str">
        <f t="shared" si="70"/>
        <v/>
      </c>
      <c r="X557" s="19" t="str">
        <f t="shared" si="71"/>
        <v/>
      </c>
      <c r="Y557" s="20" t="str">
        <f>IF(ISBLANK($M557),IFERROR(_xlfn.XLOOKUP($P557,'Department Listing'!$A:$A,'Department Listing'!$L:$L),""),$M557)</f>
        <v/>
      </c>
      <c r="Z557" s="11" t="str">
        <f>IF(ISBLANK($B557),"",MATCH($X557,COA!$B:$B,0))</f>
        <v/>
      </c>
    </row>
    <row r="558" spans="2:26" ht="15.75" customHeight="1" x14ac:dyDescent="0.25">
      <c r="B558" s="24"/>
      <c r="C558" s="10"/>
      <c r="D558" s="10"/>
      <c r="E558" s="25"/>
      <c r="F558" s="10"/>
      <c r="G558" s="10"/>
      <c r="H558" s="10"/>
      <c r="I558" s="9"/>
      <c r="J558" s="9"/>
      <c r="K558" s="9"/>
      <c r="L558" s="9"/>
      <c r="M558" s="9"/>
      <c r="N558" s="17"/>
      <c r="O558" s="17" t="str">
        <f t="shared" si="64"/>
        <v/>
      </c>
      <c r="P558" s="17" t="str">
        <f>IFERROR(_xlfn.XLOOKUP(O558,'Department Listing'!$O$1:$O$395,'Department Listing'!$A$1:$A$395),IFERROR(_xlfn.XLOOKUP(O558,'Name Aliases'!$A$2:$A$1000,'Name Aliases'!$B$2:$B$1000),""))</f>
        <v/>
      </c>
      <c r="Q558" s="18" t="str">
        <f t="shared" si="65"/>
        <v/>
      </c>
      <c r="R558" s="17" t="str">
        <f t="shared" si="66"/>
        <v/>
      </c>
      <c r="S558" s="19" t="str">
        <f t="shared" si="67"/>
        <v/>
      </c>
      <c r="T558" s="17" t="str">
        <f t="shared" si="68"/>
        <v/>
      </c>
      <c r="U558" s="17" t="str">
        <f t="shared" si="69"/>
        <v/>
      </c>
      <c r="V558" s="19" t="str">
        <f>IF(ISBLANK($B558),"",IF(ISBLANK($K558),IF(_xlfn.XLOOKUP($W558,'Category Mapping'!$C:$C,'Category Mapping'!$B:$B)="Travel",_xlfn.XLOOKUP($P558,'Department Listing'!$A:$A,'Department Listing'!$M:$M),_xlfn.XLOOKUP($W558,'Category Mapping'!$C:$C,'Category Mapping'!$D:$D)),$K558))</f>
        <v/>
      </c>
      <c r="W558" s="19" t="str">
        <f t="shared" si="70"/>
        <v/>
      </c>
      <c r="X558" s="19" t="str">
        <f t="shared" si="71"/>
        <v/>
      </c>
      <c r="Y558" s="20" t="str">
        <f>IF(ISBLANK($M558),IFERROR(_xlfn.XLOOKUP($P558,'Department Listing'!$A:$A,'Department Listing'!$L:$L),""),$M558)</f>
        <v/>
      </c>
      <c r="Z558" s="11" t="str">
        <f>IF(ISBLANK($B558),"",MATCH($X558,COA!$B:$B,0))</f>
        <v/>
      </c>
    </row>
    <row r="559" spans="2:26" ht="15.75" customHeight="1" x14ac:dyDescent="0.25">
      <c r="B559" s="24"/>
      <c r="C559" s="10"/>
      <c r="D559" s="10"/>
      <c r="E559" s="25"/>
      <c r="F559" s="10"/>
      <c r="G559" s="10"/>
      <c r="H559" s="10"/>
      <c r="I559" s="9"/>
      <c r="J559" s="9"/>
      <c r="K559" s="9"/>
      <c r="L559" s="9"/>
      <c r="M559" s="9"/>
      <c r="N559" s="17"/>
      <c r="O559" s="17" t="str">
        <f t="shared" si="64"/>
        <v/>
      </c>
      <c r="P559" s="17" t="str">
        <f>IFERROR(_xlfn.XLOOKUP(O559,'Department Listing'!$O$1:$O$395,'Department Listing'!$A$1:$A$395),IFERROR(_xlfn.XLOOKUP(O559,'Name Aliases'!$A$2:$A$1000,'Name Aliases'!$B$2:$B$1000),""))</f>
        <v/>
      </c>
      <c r="Q559" s="18" t="str">
        <f t="shared" si="65"/>
        <v/>
      </c>
      <c r="R559" s="17" t="str">
        <f t="shared" si="66"/>
        <v/>
      </c>
      <c r="S559" s="19" t="str">
        <f t="shared" si="67"/>
        <v/>
      </c>
      <c r="T559" s="17" t="str">
        <f t="shared" si="68"/>
        <v/>
      </c>
      <c r="U559" s="17" t="str">
        <f t="shared" si="69"/>
        <v/>
      </c>
      <c r="V559" s="19" t="str">
        <f>IF(ISBLANK($B559),"",IF(ISBLANK($K559),IF(_xlfn.XLOOKUP($W559,'Category Mapping'!$C:$C,'Category Mapping'!$B:$B)="Travel",_xlfn.XLOOKUP($P559,'Department Listing'!$A:$A,'Department Listing'!$M:$M),_xlfn.XLOOKUP($W559,'Category Mapping'!$C:$C,'Category Mapping'!$D:$D)),$K559))</f>
        <v/>
      </c>
      <c r="W559" s="19" t="str">
        <f t="shared" si="70"/>
        <v/>
      </c>
      <c r="X559" s="19" t="str">
        <f t="shared" si="71"/>
        <v/>
      </c>
      <c r="Y559" s="20" t="str">
        <f>IF(ISBLANK($M559),IFERROR(_xlfn.XLOOKUP($P559,'Department Listing'!$A:$A,'Department Listing'!$L:$L),""),$M559)</f>
        <v/>
      </c>
      <c r="Z559" s="11" t="str">
        <f>IF(ISBLANK($B559),"",MATCH($X559,COA!$B:$B,0))</f>
        <v/>
      </c>
    </row>
    <row r="560" spans="2:26" ht="15.75" customHeight="1" x14ac:dyDescent="0.25">
      <c r="B560" s="24"/>
      <c r="C560" s="10"/>
      <c r="D560" s="10"/>
      <c r="E560" s="25"/>
      <c r="F560" s="10"/>
      <c r="G560" s="10"/>
      <c r="H560" s="10"/>
      <c r="I560" s="9"/>
      <c r="J560" s="9"/>
      <c r="K560" s="9"/>
      <c r="L560" s="9"/>
      <c r="M560" s="9"/>
      <c r="N560" s="17"/>
      <c r="O560" s="17" t="str">
        <f t="shared" si="64"/>
        <v/>
      </c>
      <c r="P560" s="17" t="str">
        <f>IFERROR(_xlfn.XLOOKUP(O560,'Department Listing'!$O$1:$O$395,'Department Listing'!$A$1:$A$395),IFERROR(_xlfn.XLOOKUP(O560,'Name Aliases'!$A$2:$A$1000,'Name Aliases'!$B$2:$B$1000),""))</f>
        <v/>
      </c>
      <c r="Q560" s="18" t="str">
        <f t="shared" si="65"/>
        <v/>
      </c>
      <c r="R560" s="17" t="str">
        <f t="shared" si="66"/>
        <v/>
      </c>
      <c r="S560" s="19" t="str">
        <f t="shared" si="67"/>
        <v/>
      </c>
      <c r="T560" s="17" t="str">
        <f t="shared" si="68"/>
        <v/>
      </c>
      <c r="U560" s="17" t="str">
        <f t="shared" si="69"/>
        <v/>
      </c>
      <c r="V560" s="19" t="str">
        <f>IF(ISBLANK($B560),"",IF(ISBLANK($K560),IF(_xlfn.XLOOKUP($W560,'Category Mapping'!$C:$C,'Category Mapping'!$B:$B)="Travel",_xlfn.XLOOKUP($P560,'Department Listing'!$A:$A,'Department Listing'!$M:$M),_xlfn.XLOOKUP($W560,'Category Mapping'!$C:$C,'Category Mapping'!$D:$D)),$K560))</f>
        <v/>
      </c>
      <c r="W560" s="19" t="str">
        <f t="shared" si="70"/>
        <v/>
      </c>
      <c r="X560" s="19" t="str">
        <f t="shared" si="71"/>
        <v/>
      </c>
      <c r="Y560" s="20" t="str">
        <f>IF(ISBLANK($M560),IFERROR(_xlfn.XLOOKUP($P560,'Department Listing'!$A:$A,'Department Listing'!$L:$L),""),$M560)</f>
        <v/>
      </c>
      <c r="Z560" s="11" t="str">
        <f>IF(ISBLANK($B560),"",MATCH($X560,COA!$B:$B,0))</f>
        <v/>
      </c>
    </row>
    <row r="561" spans="2:26" ht="15.75" customHeight="1" x14ac:dyDescent="0.25">
      <c r="B561" s="24"/>
      <c r="C561" s="10"/>
      <c r="D561" s="10"/>
      <c r="E561" s="25"/>
      <c r="F561" s="10"/>
      <c r="G561" s="10"/>
      <c r="H561" s="10"/>
      <c r="I561" s="9"/>
      <c r="J561" s="9"/>
      <c r="K561" s="9"/>
      <c r="L561" s="9"/>
      <c r="M561" s="9"/>
      <c r="N561" s="17"/>
      <c r="O561" s="17" t="str">
        <f t="shared" si="64"/>
        <v/>
      </c>
      <c r="P561" s="17" t="str">
        <f>IFERROR(_xlfn.XLOOKUP(O561,'Department Listing'!$O$1:$O$395,'Department Listing'!$A$1:$A$395),IFERROR(_xlfn.XLOOKUP(O561,'Name Aliases'!$A$2:$A$1000,'Name Aliases'!$B$2:$B$1000),""))</f>
        <v/>
      </c>
      <c r="Q561" s="18" t="str">
        <f t="shared" si="65"/>
        <v/>
      </c>
      <c r="R561" s="17" t="str">
        <f t="shared" si="66"/>
        <v/>
      </c>
      <c r="S561" s="19" t="str">
        <f t="shared" si="67"/>
        <v/>
      </c>
      <c r="T561" s="17" t="str">
        <f t="shared" si="68"/>
        <v/>
      </c>
      <c r="U561" s="17" t="str">
        <f t="shared" si="69"/>
        <v/>
      </c>
      <c r="V561" s="19" t="str">
        <f>IF(ISBLANK($B561),"",IF(ISBLANK($K561),IF(_xlfn.XLOOKUP($W561,'Category Mapping'!$C:$C,'Category Mapping'!$B:$B)="Travel",_xlfn.XLOOKUP($P561,'Department Listing'!$A:$A,'Department Listing'!$M:$M),_xlfn.XLOOKUP($W561,'Category Mapping'!$C:$C,'Category Mapping'!$D:$D)),$K561))</f>
        <v/>
      </c>
      <c r="W561" s="19" t="str">
        <f t="shared" si="70"/>
        <v/>
      </c>
      <c r="X561" s="19" t="str">
        <f t="shared" si="71"/>
        <v/>
      </c>
      <c r="Y561" s="20" t="str">
        <f>IF(ISBLANK($M561),IFERROR(_xlfn.XLOOKUP($P561,'Department Listing'!$A:$A,'Department Listing'!$L:$L),""),$M561)</f>
        <v/>
      </c>
      <c r="Z561" s="11" t="str">
        <f>IF(ISBLANK($B561),"",MATCH($X561,COA!$B:$B,0))</f>
        <v/>
      </c>
    </row>
    <row r="562" spans="2:26" ht="15.75" customHeight="1" x14ac:dyDescent="0.25">
      <c r="B562" s="24"/>
      <c r="C562" s="10"/>
      <c r="D562" s="10"/>
      <c r="E562" s="25"/>
      <c r="F562" s="10"/>
      <c r="G562" s="10"/>
      <c r="H562" s="10"/>
      <c r="I562" s="9"/>
      <c r="J562" s="9"/>
      <c r="K562" s="9"/>
      <c r="L562" s="9"/>
      <c r="M562" s="9"/>
      <c r="N562" s="17"/>
      <c r="O562" s="17" t="str">
        <f t="shared" si="64"/>
        <v/>
      </c>
      <c r="P562" s="17" t="str">
        <f>IFERROR(_xlfn.XLOOKUP(O562,'Department Listing'!$O$1:$O$395,'Department Listing'!$A$1:$A$395),IFERROR(_xlfn.XLOOKUP(O562,'Name Aliases'!$A$2:$A$1000,'Name Aliases'!$B$2:$B$1000),""))</f>
        <v/>
      </c>
      <c r="Q562" s="18" t="str">
        <f t="shared" si="65"/>
        <v/>
      </c>
      <c r="R562" s="17" t="str">
        <f t="shared" si="66"/>
        <v/>
      </c>
      <c r="S562" s="19" t="str">
        <f t="shared" si="67"/>
        <v/>
      </c>
      <c r="T562" s="17" t="str">
        <f t="shared" si="68"/>
        <v/>
      </c>
      <c r="U562" s="17" t="str">
        <f t="shared" si="69"/>
        <v/>
      </c>
      <c r="V562" s="19" t="str">
        <f>IF(ISBLANK($B562),"",IF(ISBLANK($K562),IF(_xlfn.XLOOKUP($W562,'Category Mapping'!$C:$C,'Category Mapping'!$B:$B)="Travel",_xlfn.XLOOKUP($P562,'Department Listing'!$A:$A,'Department Listing'!$M:$M),_xlfn.XLOOKUP($W562,'Category Mapping'!$C:$C,'Category Mapping'!$D:$D)),$K562))</f>
        <v/>
      </c>
      <c r="W562" s="19" t="str">
        <f t="shared" si="70"/>
        <v/>
      </c>
      <c r="X562" s="19" t="str">
        <f t="shared" si="71"/>
        <v/>
      </c>
      <c r="Y562" s="20" t="str">
        <f>IF(ISBLANK($M562),IFERROR(_xlfn.XLOOKUP($P562,'Department Listing'!$A:$A,'Department Listing'!$L:$L),""),$M562)</f>
        <v/>
      </c>
      <c r="Z562" s="11" t="str">
        <f>IF(ISBLANK($B562),"",MATCH($X562,COA!$B:$B,0))</f>
        <v/>
      </c>
    </row>
    <row r="563" spans="2:26" ht="15.75" customHeight="1" x14ac:dyDescent="0.25">
      <c r="B563" s="24"/>
      <c r="C563" s="10"/>
      <c r="D563" s="10"/>
      <c r="E563" s="25"/>
      <c r="F563" s="10"/>
      <c r="G563" s="10"/>
      <c r="H563" s="10"/>
      <c r="I563" s="9"/>
      <c r="J563" s="9"/>
      <c r="K563" s="9"/>
      <c r="L563" s="9"/>
      <c r="M563" s="9"/>
      <c r="N563" s="17"/>
      <c r="O563" s="17" t="str">
        <f t="shared" si="64"/>
        <v/>
      </c>
      <c r="P563" s="17" t="str">
        <f>IFERROR(_xlfn.XLOOKUP(O563,'Department Listing'!$O$1:$O$395,'Department Listing'!$A$1:$A$395),IFERROR(_xlfn.XLOOKUP(O563,'Name Aliases'!$A$2:$A$1000,'Name Aliases'!$B$2:$B$1000),""))</f>
        <v/>
      </c>
      <c r="Q563" s="18" t="str">
        <f t="shared" si="65"/>
        <v/>
      </c>
      <c r="R563" s="17" t="str">
        <f t="shared" si="66"/>
        <v/>
      </c>
      <c r="S563" s="19" t="str">
        <f t="shared" si="67"/>
        <v/>
      </c>
      <c r="T563" s="17" t="str">
        <f t="shared" si="68"/>
        <v/>
      </c>
      <c r="U563" s="17" t="str">
        <f t="shared" si="69"/>
        <v/>
      </c>
      <c r="V563" s="19" t="str">
        <f>IF(ISBLANK($B563),"",IF(ISBLANK($K563),IF(_xlfn.XLOOKUP($W563,'Category Mapping'!$C:$C,'Category Mapping'!$B:$B)="Travel",_xlfn.XLOOKUP($P563,'Department Listing'!$A:$A,'Department Listing'!$M:$M),_xlfn.XLOOKUP($W563,'Category Mapping'!$C:$C,'Category Mapping'!$D:$D)),$K563))</f>
        <v/>
      </c>
      <c r="W563" s="19" t="str">
        <f t="shared" si="70"/>
        <v/>
      </c>
      <c r="X563" s="19" t="str">
        <f t="shared" si="71"/>
        <v/>
      </c>
      <c r="Y563" s="20" t="str">
        <f>IF(ISBLANK($M563),IFERROR(_xlfn.XLOOKUP($P563,'Department Listing'!$A:$A,'Department Listing'!$L:$L),""),$M563)</f>
        <v/>
      </c>
      <c r="Z563" s="11" t="str">
        <f>IF(ISBLANK($B563),"",MATCH($X563,COA!$B:$B,0))</f>
        <v/>
      </c>
    </row>
    <row r="564" spans="2:26" ht="15.75" customHeight="1" x14ac:dyDescent="0.25">
      <c r="B564" s="24"/>
      <c r="C564" s="10"/>
      <c r="D564" s="10"/>
      <c r="E564" s="25"/>
      <c r="F564" s="10"/>
      <c r="G564" s="10"/>
      <c r="H564" s="10"/>
      <c r="I564" s="9"/>
      <c r="J564" s="9"/>
      <c r="K564" s="9"/>
      <c r="L564" s="9"/>
      <c r="M564" s="9"/>
      <c r="N564" s="17"/>
      <c r="O564" s="17" t="str">
        <f t="shared" si="64"/>
        <v/>
      </c>
      <c r="P564" s="17" t="str">
        <f>IFERROR(_xlfn.XLOOKUP(O564,'Department Listing'!$O$1:$O$395,'Department Listing'!$A$1:$A$395),IFERROR(_xlfn.XLOOKUP(O564,'Name Aliases'!$A$2:$A$1000,'Name Aliases'!$B$2:$B$1000),""))</f>
        <v/>
      </c>
      <c r="Q564" s="18" t="str">
        <f t="shared" si="65"/>
        <v/>
      </c>
      <c r="R564" s="17" t="str">
        <f t="shared" si="66"/>
        <v/>
      </c>
      <c r="S564" s="19" t="str">
        <f t="shared" si="67"/>
        <v/>
      </c>
      <c r="T564" s="17" t="str">
        <f t="shared" si="68"/>
        <v/>
      </c>
      <c r="U564" s="17" t="str">
        <f t="shared" si="69"/>
        <v/>
      </c>
      <c r="V564" s="19" t="str">
        <f>IF(ISBLANK($B564),"",IF(ISBLANK($K564),IF(_xlfn.XLOOKUP($W564,'Category Mapping'!$C:$C,'Category Mapping'!$B:$B)="Travel",_xlfn.XLOOKUP($P564,'Department Listing'!$A:$A,'Department Listing'!$M:$M),_xlfn.XLOOKUP($W564,'Category Mapping'!$C:$C,'Category Mapping'!$D:$D)),$K564))</f>
        <v/>
      </c>
      <c r="W564" s="19" t="str">
        <f t="shared" si="70"/>
        <v/>
      </c>
      <c r="X564" s="19" t="str">
        <f t="shared" si="71"/>
        <v/>
      </c>
      <c r="Y564" s="20" t="str">
        <f>IF(ISBLANK($M564),IFERROR(_xlfn.XLOOKUP($P564,'Department Listing'!$A:$A,'Department Listing'!$L:$L),""),$M564)</f>
        <v/>
      </c>
      <c r="Z564" s="11" t="str">
        <f>IF(ISBLANK($B564),"",MATCH($X564,COA!$B:$B,0))</f>
        <v/>
      </c>
    </row>
    <row r="565" spans="2:26" ht="15.75" customHeight="1" x14ac:dyDescent="0.25">
      <c r="B565" s="24"/>
      <c r="C565" s="10"/>
      <c r="D565" s="10"/>
      <c r="E565" s="25"/>
      <c r="F565" s="10"/>
      <c r="G565" s="10"/>
      <c r="H565" s="10"/>
      <c r="I565" s="9"/>
      <c r="J565" s="9"/>
      <c r="K565" s="9"/>
      <c r="L565" s="9"/>
      <c r="M565" s="9"/>
      <c r="N565" s="17"/>
      <c r="O565" s="17" t="str">
        <f t="shared" si="64"/>
        <v/>
      </c>
      <c r="P565" s="17" t="str">
        <f>IFERROR(_xlfn.XLOOKUP(O565,'Department Listing'!$O$1:$O$395,'Department Listing'!$A$1:$A$395),IFERROR(_xlfn.XLOOKUP(O565,'Name Aliases'!$A$2:$A$1000,'Name Aliases'!$B$2:$B$1000),""))</f>
        <v/>
      </c>
      <c r="Q565" s="18" t="str">
        <f t="shared" si="65"/>
        <v/>
      </c>
      <c r="R565" s="17" t="str">
        <f t="shared" si="66"/>
        <v/>
      </c>
      <c r="S565" s="19" t="str">
        <f t="shared" si="67"/>
        <v/>
      </c>
      <c r="T565" s="17" t="str">
        <f t="shared" si="68"/>
        <v/>
      </c>
      <c r="U565" s="17" t="str">
        <f t="shared" si="69"/>
        <v/>
      </c>
      <c r="V565" s="19" t="str">
        <f>IF(ISBLANK($B565),"",IF(ISBLANK($K565),IF(_xlfn.XLOOKUP($W565,'Category Mapping'!$C:$C,'Category Mapping'!$B:$B)="Travel",_xlfn.XLOOKUP($P565,'Department Listing'!$A:$A,'Department Listing'!$M:$M),_xlfn.XLOOKUP($W565,'Category Mapping'!$C:$C,'Category Mapping'!$D:$D)),$K565))</f>
        <v/>
      </c>
      <c r="W565" s="19" t="str">
        <f t="shared" si="70"/>
        <v/>
      </c>
      <c r="X565" s="19" t="str">
        <f t="shared" si="71"/>
        <v/>
      </c>
      <c r="Y565" s="20" t="str">
        <f>IF(ISBLANK($M565),IFERROR(_xlfn.XLOOKUP($P565,'Department Listing'!$A:$A,'Department Listing'!$L:$L),""),$M565)</f>
        <v/>
      </c>
      <c r="Z565" s="11" t="str">
        <f>IF(ISBLANK($B565),"",MATCH($X565,COA!$B:$B,0))</f>
        <v/>
      </c>
    </row>
    <row r="566" spans="2:26" ht="15.75" customHeight="1" x14ac:dyDescent="0.25">
      <c r="B566" s="24"/>
      <c r="C566" s="10"/>
      <c r="D566" s="10"/>
      <c r="E566" s="25"/>
      <c r="F566" s="10"/>
      <c r="G566" s="10"/>
      <c r="H566" s="10"/>
      <c r="I566" s="9"/>
      <c r="J566" s="9"/>
      <c r="K566" s="9"/>
      <c r="L566" s="9"/>
      <c r="M566" s="9"/>
      <c r="N566" s="17"/>
      <c r="O566" s="17" t="str">
        <f t="shared" si="64"/>
        <v/>
      </c>
      <c r="P566" s="17" t="str">
        <f>IFERROR(_xlfn.XLOOKUP(O566,'Department Listing'!$O$1:$O$395,'Department Listing'!$A$1:$A$395),IFERROR(_xlfn.XLOOKUP(O566,'Name Aliases'!$A$2:$A$1000,'Name Aliases'!$B$2:$B$1000),""))</f>
        <v/>
      </c>
      <c r="Q566" s="18" t="str">
        <f t="shared" si="65"/>
        <v/>
      </c>
      <c r="R566" s="17" t="str">
        <f t="shared" si="66"/>
        <v/>
      </c>
      <c r="S566" s="19" t="str">
        <f t="shared" si="67"/>
        <v/>
      </c>
      <c r="T566" s="17" t="str">
        <f t="shared" si="68"/>
        <v/>
      </c>
      <c r="U566" s="17" t="str">
        <f t="shared" si="69"/>
        <v/>
      </c>
      <c r="V566" s="19" t="str">
        <f>IF(ISBLANK($B566),"",IF(ISBLANK($K566),IF(_xlfn.XLOOKUP($W566,'Category Mapping'!$C:$C,'Category Mapping'!$B:$B)="Travel",_xlfn.XLOOKUP($P566,'Department Listing'!$A:$A,'Department Listing'!$M:$M),_xlfn.XLOOKUP($W566,'Category Mapping'!$C:$C,'Category Mapping'!$D:$D)),$K566))</f>
        <v/>
      </c>
      <c r="W566" s="19" t="str">
        <f t="shared" si="70"/>
        <v/>
      </c>
      <c r="X566" s="19" t="str">
        <f t="shared" si="71"/>
        <v/>
      </c>
      <c r="Y566" s="20" t="str">
        <f>IF(ISBLANK($M566),IFERROR(_xlfn.XLOOKUP($P566,'Department Listing'!$A:$A,'Department Listing'!$L:$L),""),$M566)</f>
        <v/>
      </c>
      <c r="Z566" s="11" t="str">
        <f>IF(ISBLANK($B566),"",MATCH($X566,COA!$B:$B,0))</f>
        <v/>
      </c>
    </row>
    <row r="567" spans="2:26" ht="15.75" customHeight="1" x14ac:dyDescent="0.25">
      <c r="B567" s="24"/>
      <c r="C567" s="10"/>
      <c r="D567" s="10"/>
      <c r="E567" s="25"/>
      <c r="F567" s="10"/>
      <c r="G567" s="10"/>
      <c r="H567" s="10"/>
      <c r="I567" s="9"/>
      <c r="J567" s="9"/>
      <c r="K567" s="9"/>
      <c r="L567" s="9"/>
      <c r="M567" s="9"/>
      <c r="N567" s="17"/>
      <c r="O567" s="17" t="str">
        <f t="shared" si="64"/>
        <v/>
      </c>
      <c r="P567" s="17" t="str">
        <f>IFERROR(_xlfn.XLOOKUP(O567,'Department Listing'!$O$1:$O$395,'Department Listing'!$A$1:$A$395),IFERROR(_xlfn.XLOOKUP(O567,'Name Aliases'!$A$2:$A$1000,'Name Aliases'!$B$2:$B$1000),""))</f>
        <v/>
      </c>
      <c r="Q567" s="18" t="str">
        <f t="shared" si="65"/>
        <v/>
      </c>
      <c r="R567" s="17" t="str">
        <f t="shared" si="66"/>
        <v/>
      </c>
      <c r="S567" s="19" t="str">
        <f t="shared" si="67"/>
        <v/>
      </c>
      <c r="T567" s="17" t="str">
        <f t="shared" si="68"/>
        <v/>
      </c>
      <c r="U567" s="17" t="str">
        <f t="shared" si="69"/>
        <v/>
      </c>
      <c r="V567" s="19" t="str">
        <f>IF(ISBLANK($B567),"",IF(ISBLANK($K567),IF(_xlfn.XLOOKUP($W567,'Category Mapping'!$C:$C,'Category Mapping'!$B:$B)="Travel",_xlfn.XLOOKUP($P567,'Department Listing'!$A:$A,'Department Listing'!$M:$M),_xlfn.XLOOKUP($W567,'Category Mapping'!$C:$C,'Category Mapping'!$D:$D)),$K567))</f>
        <v/>
      </c>
      <c r="W567" s="19" t="str">
        <f t="shared" si="70"/>
        <v/>
      </c>
      <c r="X567" s="19" t="str">
        <f t="shared" si="71"/>
        <v/>
      </c>
      <c r="Y567" s="20" t="str">
        <f>IF(ISBLANK($M567),IFERROR(_xlfn.XLOOKUP($P567,'Department Listing'!$A:$A,'Department Listing'!$L:$L),""),$M567)</f>
        <v/>
      </c>
      <c r="Z567" s="11" t="str">
        <f>IF(ISBLANK($B567),"",MATCH($X567,COA!$B:$B,0))</f>
        <v/>
      </c>
    </row>
    <row r="568" spans="2:26" ht="15.75" customHeight="1" x14ac:dyDescent="0.25">
      <c r="B568" s="24"/>
      <c r="C568" s="10"/>
      <c r="D568" s="10"/>
      <c r="E568" s="25"/>
      <c r="F568" s="10"/>
      <c r="G568" s="10"/>
      <c r="H568" s="10"/>
      <c r="I568" s="9"/>
      <c r="J568" s="9"/>
      <c r="K568" s="9"/>
      <c r="L568" s="9"/>
      <c r="M568" s="9"/>
      <c r="N568" s="17"/>
      <c r="O568" s="17" t="str">
        <f t="shared" si="64"/>
        <v/>
      </c>
      <c r="P568" s="17" t="str">
        <f>IFERROR(_xlfn.XLOOKUP(O568,'Department Listing'!$O$1:$O$395,'Department Listing'!$A$1:$A$395),IFERROR(_xlfn.XLOOKUP(O568,'Name Aliases'!$A$2:$A$1000,'Name Aliases'!$B$2:$B$1000),""))</f>
        <v/>
      </c>
      <c r="Q568" s="18" t="str">
        <f t="shared" si="65"/>
        <v/>
      </c>
      <c r="R568" s="17" t="str">
        <f t="shared" si="66"/>
        <v/>
      </c>
      <c r="S568" s="19" t="str">
        <f t="shared" si="67"/>
        <v/>
      </c>
      <c r="T568" s="17" t="str">
        <f t="shared" si="68"/>
        <v/>
      </c>
      <c r="U568" s="17" t="str">
        <f t="shared" si="69"/>
        <v/>
      </c>
      <c r="V568" s="19" t="str">
        <f>IF(ISBLANK($B568),"",IF(ISBLANK($K568),IF(_xlfn.XLOOKUP($W568,'Category Mapping'!$C:$C,'Category Mapping'!$B:$B)="Travel",_xlfn.XLOOKUP($P568,'Department Listing'!$A:$A,'Department Listing'!$M:$M),_xlfn.XLOOKUP($W568,'Category Mapping'!$C:$C,'Category Mapping'!$D:$D)),$K568))</f>
        <v/>
      </c>
      <c r="W568" s="19" t="str">
        <f t="shared" si="70"/>
        <v/>
      </c>
      <c r="X568" s="19" t="str">
        <f t="shared" si="71"/>
        <v/>
      </c>
      <c r="Y568" s="20" t="str">
        <f>IF(ISBLANK($M568),IFERROR(_xlfn.XLOOKUP($P568,'Department Listing'!$A:$A,'Department Listing'!$L:$L),""),$M568)</f>
        <v/>
      </c>
      <c r="Z568" s="11" t="str">
        <f>IF(ISBLANK($B568),"",MATCH($X568,COA!$B:$B,0))</f>
        <v/>
      </c>
    </row>
    <row r="569" spans="2:26" ht="15.75" customHeight="1" x14ac:dyDescent="0.25">
      <c r="B569" s="24"/>
      <c r="C569" s="10"/>
      <c r="D569" s="10"/>
      <c r="E569" s="25"/>
      <c r="F569" s="10"/>
      <c r="G569" s="10"/>
      <c r="H569" s="10"/>
      <c r="I569" s="9"/>
      <c r="J569" s="9"/>
      <c r="K569" s="9"/>
      <c r="L569" s="9"/>
      <c r="M569" s="9"/>
      <c r="N569" s="17"/>
      <c r="O569" s="17" t="str">
        <f t="shared" si="64"/>
        <v/>
      </c>
      <c r="P569" s="17" t="str">
        <f>IFERROR(_xlfn.XLOOKUP(O569,'Department Listing'!$O$1:$O$395,'Department Listing'!$A$1:$A$395),IFERROR(_xlfn.XLOOKUP(O569,'Name Aliases'!$A$2:$A$1000,'Name Aliases'!$B$2:$B$1000),""))</f>
        <v/>
      </c>
      <c r="Q569" s="18" t="str">
        <f t="shared" si="65"/>
        <v/>
      </c>
      <c r="R569" s="17" t="str">
        <f t="shared" si="66"/>
        <v/>
      </c>
      <c r="S569" s="19" t="str">
        <f t="shared" si="67"/>
        <v/>
      </c>
      <c r="T569" s="17" t="str">
        <f t="shared" si="68"/>
        <v/>
      </c>
      <c r="U569" s="17" t="str">
        <f t="shared" si="69"/>
        <v/>
      </c>
      <c r="V569" s="19" t="str">
        <f>IF(ISBLANK($B569),"",IF(ISBLANK($K569),IF(_xlfn.XLOOKUP($W569,'Category Mapping'!$C:$C,'Category Mapping'!$B:$B)="Travel",_xlfn.XLOOKUP($P569,'Department Listing'!$A:$A,'Department Listing'!$M:$M),_xlfn.XLOOKUP($W569,'Category Mapping'!$C:$C,'Category Mapping'!$D:$D)),$K569))</f>
        <v/>
      </c>
      <c r="W569" s="19" t="str">
        <f t="shared" si="70"/>
        <v/>
      </c>
      <c r="X569" s="19" t="str">
        <f t="shared" si="71"/>
        <v/>
      </c>
      <c r="Y569" s="20" t="str">
        <f>IF(ISBLANK($M569),IFERROR(_xlfn.XLOOKUP($P569,'Department Listing'!$A:$A,'Department Listing'!$L:$L),""),$M569)</f>
        <v/>
      </c>
      <c r="Z569" s="11" t="str">
        <f>IF(ISBLANK($B569),"",MATCH($X569,COA!$B:$B,0))</f>
        <v/>
      </c>
    </row>
    <row r="570" spans="2:26" ht="15.75" customHeight="1" x14ac:dyDescent="0.25">
      <c r="B570" s="24"/>
      <c r="C570" s="10"/>
      <c r="D570" s="10"/>
      <c r="E570" s="25"/>
      <c r="F570" s="10"/>
      <c r="G570" s="10"/>
      <c r="H570" s="10"/>
      <c r="I570" s="9"/>
      <c r="J570" s="9"/>
      <c r="K570" s="9"/>
      <c r="L570" s="9"/>
      <c r="M570" s="9"/>
      <c r="N570" s="17"/>
      <c r="O570" s="17" t="str">
        <f t="shared" si="64"/>
        <v/>
      </c>
      <c r="P570" s="17" t="str">
        <f>IFERROR(_xlfn.XLOOKUP(O570,'Department Listing'!$O$1:$O$395,'Department Listing'!$A$1:$A$395),IFERROR(_xlfn.XLOOKUP(O570,'Name Aliases'!$A$2:$A$1000,'Name Aliases'!$B$2:$B$1000),""))</f>
        <v/>
      </c>
      <c r="Q570" s="18" t="str">
        <f t="shared" si="65"/>
        <v/>
      </c>
      <c r="R570" s="17" t="str">
        <f t="shared" si="66"/>
        <v/>
      </c>
      <c r="S570" s="19" t="str">
        <f t="shared" si="67"/>
        <v/>
      </c>
      <c r="T570" s="17" t="str">
        <f t="shared" si="68"/>
        <v/>
      </c>
      <c r="U570" s="17" t="str">
        <f t="shared" si="69"/>
        <v/>
      </c>
      <c r="V570" s="19" t="str">
        <f>IF(ISBLANK($B570),"",IF(ISBLANK($K570),IF(_xlfn.XLOOKUP($W570,'Category Mapping'!$C:$C,'Category Mapping'!$B:$B)="Travel",_xlfn.XLOOKUP($P570,'Department Listing'!$A:$A,'Department Listing'!$M:$M),_xlfn.XLOOKUP($W570,'Category Mapping'!$C:$C,'Category Mapping'!$D:$D)),$K570))</f>
        <v/>
      </c>
      <c r="W570" s="19" t="str">
        <f t="shared" si="70"/>
        <v/>
      </c>
      <c r="X570" s="19" t="str">
        <f t="shared" si="71"/>
        <v/>
      </c>
      <c r="Y570" s="20" t="str">
        <f>IF(ISBLANK($M570),IFERROR(_xlfn.XLOOKUP($P570,'Department Listing'!$A:$A,'Department Listing'!$L:$L),""),$M570)</f>
        <v/>
      </c>
      <c r="Z570" s="11" t="str">
        <f>IF(ISBLANK($B570),"",MATCH($X570,COA!$B:$B,0))</f>
        <v/>
      </c>
    </row>
    <row r="571" spans="2:26" ht="15.75" customHeight="1" x14ac:dyDescent="0.25">
      <c r="B571" s="24"/>
      <c r="C571" s="10"/>
      <c r="D571" s="10"/>
      <c r="E571" s="25"/>
      <c r="F571" s="10"/>
      <c r="G571" s="10"/>
      <c r="H571" s="10"/>
      <c r="I571" s="9"/>
      <c r="J571" s="9"/>
      <c r="K571" s="9"/>
      <c r="L571" s="9"/>
      <c r="M571" s="9"/>
      <c r="N571" s="17"/>
      <c r="O571" s="17" t="str">
        <f t="shared" si="64"/>
        <v/>
      </c>
      <c r="P571" s="17" t="str">
        <f>IFERROR(_xlfn.XLOOKUP(O571,'Department Listing'!$O$1:$O$395,'Department Listing'!$A$1:$A$395),IFERROR(_xlfn.XLOOKUP(O571,'Name Aliases'!$A$2:$A$1000,'Name Aliases'!$B$2:$B$1000),""))</f>
        <v/>
      </c>
      <c r="Q571" s="18" t="str">
        <f t="shared" si="65"/>
        <v/>
      </c>
      <c r="R571" s="17" t="str">
        <f t="shared" si="66"/>
        <v/>
      </c>
      <c r="S571" s="19" t="str">
        <f t="shared" si="67"/>
        <v/>
      </c>
      <c r="T571" s="17" t="str">
        <f t="shared" si="68"/>
        <v/>
      </c>
      <c r="U571" s="17" t="str">
        <f t="shared" si="69"/>
        <v/>
      </c>
      <c r="V571" s="19" t="str">
        <f>IF(ISBLANK($B571),"",IF(ISBLANK($K571),IF(_xlfn.XLOOKUP($W571,'Category Mapping'!$C:$C,'Category Mapping'!$B:$B)="Travel",_xlfn.XLOOKUP($P571,'Department Listing'!$A:$A,'Department Listing'!$M:$M),_xlfn.XLOOKUP($W571,'Category Mapping'!$C:$C,'Category Mapping'!$D:$D)),$K571))</f>
        <v/>
      </c>
      <c r="W571" s="19" t="str">
        <f t="shared" si="70"/>
        <v/>
      </c>
      <c r="X571" s="19" t="str">
        <f t="shared" si="71"/>
        <v/>
      </c>
      <c r="Y571" s="20" t="str">
        <f>IF(ISBLANK($M571),IFERROR(_xlfn.XLOOKUP($P571,'Department Listing'!$A:$A,'Department Listing'!$L:$L),""),$M571)</f>
        <v/>
      </c>
      <c r="Z571" s="11" t="str">
        <f>IF(ISBLANK($B571),"",MATCH($X571,COA!$B:$B,0))</f>
        <v/>
      </c>
    </row>
    <row r="572" spans="2:26" ht="15.75" customHeight="1" x14ac:dyDescent="0.25">
      <c r="B572" s="24"/>
      <c r="C572" s="10"/>
      <c r="D572" s="10"/>
      <c r="E572" s="25"/>
      <c r="F572" s="10"/>
      <c r="G572" s="10"/>
      <c r="H572" s="10"/>
      <c r="I572" s="9"/>
      <c r="J572" s="9"/>
      <c r="K572" s="9"/>
      <c r="L572" s="9"/>
      <c r="M572" s="9"/>
      <c r="N572" s="17"/>
      <c r="O572" s="17" t="str">
        <f t="shared" si="64"/>
        <v/>
      </c>
      <c r="P572" s="17" t="str">
        <f>IFERROR(_xlfn.XLOOKUP(O572,'Department Listing'!$O$1:$O$395,'Department Listing'!$A$1:$A$395),IFERROR(_xlfn.XLOOKUP(O572,'Name Aliases'!$A$2:$A$1000,'Name Aliases'!$B$2:$B$1000),""))</f>
        <v/>
      </c>
      <c r="Q572" s="18" t="str">
        <f t="shared" si="65"/>
        <v/>
      </c>
      <c r="R572" s="17" t="str">
        <f t="shared" si="66"/>
        <v/>
      </c>
      <c r="S572" s="19" t="str">
        <f t="shared" si="67"/>
        <v/>
      </c>
      <c r="T572" s="17" t="str">
        <f t="shared" si="68"/>
        <v/>
      </c>
      <c r="U572" s="17" t="str">
        <f t="shared" si="69"/>
        <v/>
      </c>
      <c r="V572" s="19" t="str">
        <f>IF(ISBLANK($B572),"",IF(ISBLANK($K572),IF(_xlfn.XLOOKUP($W572,'Category Mapping'!$C:$C,'Category Mapping'!$B:$B)="Travel",_xlfn.XLOOKUP($P572,'Department Listing'!$A:$A,'Department Listing'!$M:$M),_xlfn.XLOOKUP($W572,'Category Mapping'!$C:$C,'Category Mapping'!$D:$D)),$K572))</f>
        <v/>
      </c>
      <c r="W572" s="19" t="str">
        <f t="shared" si="70"/>
        <v/>
      </c>
      <c r="X572" s="19" t="str">
        <f t="shared" si="71"/>
        <v/>
      </c>
      <c r="Y572" s="20" t="str">
        <f>IF(ISBLANK($M572),IFERROR(_xlfn.XLOOKUP($P572,'Department Listing'!$A:$A,'Department Listing'!$L:$L),""),$M572)</f>
        <v/>
      </c>
      <c r="Z572" s="11" t="str">
        <f>IF(ISBLANK($B572),"",MATCH($X572,COA!$B:$B,0))</f>
        <v/>
      </c>
    </row>
    <row r="573" spans="2:26" ht="15.75" customHeight="1" x14ac:dyDescent="0.25">
      <c r="B573" s="24"/>
      <c r="C573" s="10"/>
      <c r="D573" s="10"/>
      <c r="E573" s="25"/>
      <c r="F573" s="10"/>
      <c r="G573" s="10"/>
      <c r="H573" s="10"/>
      <c r="I573" s="9"/>
      <c r="J573" s="9"/>
      <c r="K573" s="9"/>
      <c r="L573" s="9"/>
      <c r="M573" s="9"/>
      <c r="N573" s="17"/>
      <c r="O573" s="17" t="str">
        <f t="shared" si="64"/>
        <v/>
      </c>
      <c r="P573" s="17" t="str">
        <f>IFERROR(_xlfn.XLOOKUP(O573,'Department Listing'!$O$1:$O$395,'Department Listing'!$A$1:$A$395),IFERROR(_xlfn.XLOOKUP(O573,'Name Aliases'!$A$2:$A$1000,'Name Aliases'!$B$2:$B$1000),""))</f>
        <v/>
      </c>
      <c r="Q573" s="18" t="str">
        <f t="shared" si="65"/>
        <v/>
      </c>
      <c r="R573" s="17" t="str">
        <f t="shared" si="66"/>
        <v/>
      </c>
      <c r="S573" s="19" t="str">
        <f t="shared" si="67"/>
        <v/>
      </c>
      <c r="T573" s="17" t="str">
        <f t="shared" si="68"/>
        <v/>
      </c>
      <c r="U573" s="17" t="str">
        <f t="shared" si="69"/>
        <v/>
      </c>
      <c r="V573" s="19" t="str">
        <f>IF(ISBLANK($B573),"",IF(ISBLANK($K573),IF(_xlfn.XLOOKUP($W573,'Category Mapping'!$C:$C,'Category Mapping'!$B:$B)="Travel",_xlfn.XLOOKUP($P573,'Department Listing'!$A:$A,'Department Listing'!$M:$M),_xlfn.XLOOKUP($W573,'Category Mapping'!$C:$C,'Category Mapping'!$D:$D)),$K573))</f>
        <v/>
      </c>
      <c r="W573" s="19" t="str">
        <f t="shared" si="70"/>
        <v/>
      </c>
      <c r="X573" s="19" t="str">
        <f t="shared" si="71"/>
        <v/>
      </c>
      <c r="Y573" s="20" t="str">
        <f>IF(ISBLANK($M573),IFERROR(_xlfn.XLOOKUP($P573,'Department Listing'!$A:$A,'Department Listing'!$L:$L),""),$M573)</f>
        <v/>
      </c>
      <c r="Z573" s="11" t="str">
        <f>IF(ISBLANK($B573),"",MATCH($X573,COA!$B:$B,0))</f>
        <v/>
      </c>
    </row>
    <row r="574" spans="2:26" ht="15.75" customHeight="1" x14ac:dyDescent="0.25">
      <c r="B574" s="24"/>
      <c r="C574" s="10"/>
      <c r="D574" s="10"/>
      <c r="E574" s="25"/>
      <c r="F574" s="10"/>
      <c r="G574" s="10"/>
      <c r="H574" s="10"/>
      <c r="I574" s="9"/>
      <c r="J574" s="9"/>
      <c r="K574" s="9"/>
      <c r="L574" s="9"/>
      <c r="M574" s="9"/>
      <c r="N574" s="17"/>
      <c r="O574" s="17" t="str">
        <f t="shared" si="64"/>
        <v/>
      </c>
      <c r="P574" s="17" t="str">
        <f>IFERROR(_xlfn.XLOOKUP(O574,'Department Listing'!$O$1:$O$395,'Department Listing'!$A$1:$A$395),IFERROR(_xlfn.XLOOKUP(O574,'Name Aliases'!$A$2:$A$1000,'Name Aliases'!$B$2:$B$1000),""))</f>
        <v/>
      </c>
      <c r="Q574" s="18" t="str">
        <f t="shared" si="65"/>
        <v/>
      </c>
      <c r="R574" s="17" t="str">
        <f t="shared" si="66"/>
        <v/>
      </c>
      <c r="S574" s="19" t="str">
        <f t="shared" si="67"/>
        <v/>
      </c>
      <c r="T574" s="17" t="str">
        <f t="shared" si="68"/>
        <v/>
      </c>
      <c r="U574" s="17" t="str">
        <f t="shared" si="69"/>
        <v/>
      </c>
      <c r="V574" s="19" t="str">
        <f>IF(ISBLANK($B574),"",IF(ISBLANK($K574),IF(_xlfn.XLOOKUP($W574,'Category Mapping'!$C:$C,'Category Mapping'!$B:$B)="Travel",_xlfn.XLOOKUP($P574,'Department Listing'!$A:$A,'Department Listing'!$M:$M),_xlfn.XLOOKUP($W574,'Category Mapping'!$C:$C,'Category Mapping'!$D:$D)),$K574))</f>
        <v/>
      </c>
      <c r="W574" s="19" t="str">
        <f t="shared" si="70"/>
        <v/>
      </c>
      <c r="X574" s="19" t="str">
        <f t="shared" si="71"/>
        <v/>
      </c>
      <c r="Y574" s="20" t="str">
        <f>IF(ISBLANK($M574),IFERROR(_xlfn.XLOOKUP($P574,'Department Listing'!$A:$A,'Department Listing'!$L:$L),""),$M574)</f>
        <v/>
      </c>
      <c r="Z574" s="11" t="str">
        <f>IF(ISBLANK($B574),"",MATCH($X574,COA!$B:$B,0))</f>
        <v/>
      </c>
    </row>
    <row r="575" spans="2:26" ht="15.75" customHeight="1" x14ac:dyDescent="0.25">
      <c r="B575" s="24"/>
      <c r="C575" s="10"/>
      <c r="D575" s="10"/>
      <c r="E575" s="25"/>
      <c r="F575" s="10"/>
      <c r="G575" s="10"/>
      <c r="H575" s="10"/>
      <c r="I575" s="9"/>
      <c r="J575" s="9"/>
      <c r="K575" s="9"/>
      <c r="L575" s="9"/>
      <c r="M575" s="9"/>
      <c r="N575" s="17"/>
      <c r="O575" s="17" t="str">
        <f t="shared" si="64"/>
        <v/>
      </c>
      <c r="P575" s="17" t="str">
        <f>IFERROR(_xlfn.XLOOKUP(O575,'Department Listing'!$O$1:$O$395,'Department Listing'!$A$1:$A$395),IFERROR(_xlfn.XLOOKUP(O575,'Name Aliases'!$A$2:$A$1000,'Name Aliases'!$B$2:$B$1000),""))</f>
        <v/>
      </c>
      <c r="Q575" s="18" t="str">
        <f t="shared" si="65"/>
        <v/>
      </c>
      <c r="R575" s="17" t="str">
        <f t="shared" si="66"/>
        <v/>
      </c>
      <c r="S575" s="19" t="str">
        <f t="shared" si="67"/>
        <v/>
      </c>
      <c r="T575" s="17" t="str">
        <f t="shared" si="68"/>
        <v/>
      </c>
      <c r="U575" s="17" t="str">
        <f t="shared" si="69"/>
        <v/>
      </c>
      <c r="V575" s="19" t="str">
        <f>IF(ISBLANK($B575),"",IF(ISBLANK($K575),IF(_xlfn.XLOOKUP($W575,'Category Mapping'!$C:$C,'Category Mapping'!$B:$B)="Travel",_xlfn.XLOOKUP($P575,'Department Listing'!$A:$A,'Department Listing'!$M:$M),_xlfn.XLOOKUP($W575,'Category Mapping'!$C:$C,'Category Mapping'!$D:$D)),$K575))</f>
        <v/>
      </c>
      <c r="W575" s="19" t="str">
        <f t="shared" si="70"/>
        <v/>
      </c>
      <c r="X575" s="19" t="str">
        <f t="shared" si="71"/>
        <v/>
      </c>
      <c r="Y575" s="20" t="str">
        <f>IF(ISBLANK($M575),IFERROR(_xlfn.XLOOKUP($P575,'Department Listing'!$A:$A,'Department Listing'!$L:$L),""),$M575)</f>
        <v/>
      </c>
      <c r="Z575" s="11" t="str">
        <f>IF(ISBLANK($B575),"",MATCH($X575,COA!$B:$B,0))</f>
        <v/>
      </c>
    </row>
    <row r="576" spans="2:26" ht="15.75" customHeight="1" x14ac:dyDescent="0.25">
      <c r="B576" s="24"/>
      <c r="C576" s="10"/>
      <c r="D576" s="10"/>
      <c r="E576" s="25"/>
      <c r="F576" s="10"/>
      <c r="G576" s="10"/>
      <c r="H576" s="10"/>
      <c r="I576" s="9"/>
      <c r="J576" s="9"/>
      <c r="K576" s="9"/>
      <c r="L576" s="9"/>
      <c r="M576" s="9"/>
      <c r="N576" s="17"/>
      <c r="O576" s="17" t="str">
        <f t="shared" si="64"/>
        <v/>
      </c>
      <c r="P576" s="17" t="str">
        <f>IFERROR(_xlfn.XLOOKUP(O576,'Department Listing'!$O$1:$O$395,'Department Listing'!$A$1:$A$395),IFERROR(_xlfn.XLOOKUP(O576,'Name Aliases'!$A$2:$A$1000,'Name Aliases'!$B$2:$B$1000),""))</f>
        <v/>
      </c>
      <c r="Q576" s="18" t="str">
        <f t="shared" si="65"/>
        <v/>
      </c>
      <c r="R576" s="17" t="str">
        <f t="shared" si="66"/>
        <v/>
      </c>
      <c r="S576" s="19" t="str">
        <f t="shared" si="67"/>
        <v/>
      </c>
      <c r="T576" s="17" t="str">
        <f t="shared" si="68"/>
        <v/>
      </c>
      <c r="U576" s="17" t="str">
        <f t="shared" si="69"/>
        <v/>
      </c>
      <c r="V576" s="19" t="str">
        <f>IF(ISBLANK($B576),"",IF(ISBLANK($K576),IF(_xlfn.XLOOKUP($W576,'Category Mapping'!$C:$C,'Category Mapping'!$B:$B)="Travel",_xlfn.XLOOKUP($P576,'Department Listing'!$A:$A,'Department Listing'!$M:$M),_xlfn.XLOOKUP($W576,'Category Mapping'!$C:$C,'Category Mapping'!$D:$D)),$K576))</f>
        <v/>
      </c>
      <c r="W576" s="19" t="str">
        <f t="shared" si="70"/>
        <v/>
      </c>
      <c r="X576" s="19" t="str">
        <f t="shared" si="71"/>
        <v/>
      </c>
      <c r="Y576" s="20" t="str">
        <f>IF(ISBLANK($M576),IFERROR(_xlfn.XLOOKUP($P576,'Department Listing'!$A:$A,'Department Listing'!$L:$L),""),$M576)</f>
        <v/>
      </c>
      <c r="Z576" s="11" t="str">
        <f>IF(ISBLANK($B576),"",MATCH($X576,COA!$B:$B,0))</f>
        <v/>
      </c>
    </row>
    <row r="577" spans="2:26" ht="15.75" customHeight="1" x14ac:dyDescent="0.25">
      <c r="B577" s="24"/>
      <c r="C577" s="10"/>
      <c r="D577" s="10"/>
      <c r="E577" s="25"/>
      <c r="F577" s="10"/>
      <c r="G577" s="10"/>
      <c r="H577" s="10"/>
      <c r="I577" s="9"/>
      <c r="J577" s="9"/>
      <c r="K577" s="9"/>
      <c r="L577" s="9"/>
      <c r="M577" s="9"/>
      <c r="N577" s="17"/>
      <c r="O577" s="17" t="str">
        <f t="shared" si="64"/>
        <v/>
      </c>
      <c r="P577" s="17" t="str">
        <f>IFERROR(_xlfn.XLOOKUP(O577,'Department Listing'!$O$1:$O$395,'Department Listing'!$A$1:$A$395),IFERROR(_xlfn.XLOOKUP(O577,'Name Aliases'!$A$2:$A$1000,'Name Aliases'!$B$2:$B$1000),""))</f>
        <v/>
      </c>
      <c r="Q577" s="18" t="str">
        <f t="shared" si="65"/>
        <v/>
      </c>
      <c r="R577" s="17" t="str">
        <f t="shared" si="66"/>
        <v/>
      </c>
      <c r="S577" s="19" t="str">
        <f t="shared" si="67"/>
        <v/>
      </c>
      <c r="T577" s="17" t="str">
        <f t="shared" si="68"/>
        <v/>
      </c>
      <c r="U577" s="17" t="str">
        <f t="shared" si="69"/>
        <v/>
      </c>
      <c r="V577" s="19" t="str">
        <f>IF(ISBLANK($B577),"",IF(ISBLANK($K577),IF(_xlfn.XLOOKUP($W577,'Category Mapping'!$C:$C,'Category Mapping'!$B:$B)="Travel",_xlfn.XLOOKUP($P577,'Department Listing'!$A:$A,'Department Listing'!$M:$M),_xlfn.XLOOKUP($W577,'Category Mapping'!$C:$C,'Category Mapping'!$D:$D)),$K577))</f>
        <v/>
      </c>
      <c r="W577" s="19" t="str">
        <f t="shared" si="70"/>
        <v/>
      </c>
      <c r="X577" s="19" t="str">
        <f t="shared" si="71"/>
        <v/>
      </c>
      <c r="Y577" s="20" t="str">
        <f>IF(ISBLANK($M577),IFERROR(_xlfn.XLOOKUP($P577,'Department Listing'!$A:$A,'Department Listing'!$L:$L),""),$M577)</f>
        <v/>
      </c>
      <c r="Z577" s="11" t="str">
        <f>IF(ISBLANK($B577),"",MATCH($X577,COA!$B:$B,0))</f>
        <v/>
      </c>
    </row>
    <row r="578" spans="2:26" ht="15.75" customHeight="1" x14ac:dyDescent="0.25">
      <c r="B578" s="24"/>
      <c r="C578" s="10"/>
      <c r="D578" s="10"/>
      <c r="E578" s="25"/>
      <c r="F578" s="10"/>
      <c r="G578" s="10"/>
      <c r="H578" s="10"/>
      <c r="I578" s="9"/>
      <c r="J578" s="9"/>
      <c r="K578" s="9"/>
      <c r="L578" s="9"/>
      <c r="M578" s="9"/>
      <c r="N578" s="17"/>
      <c r="O578" s="17" t="str">
        <f t="shared" si="64"/>
        <v/>
      </c>
      <c r="P578" s="17" t="str">
        <f>IFERROR(_xlfn.XLOOKUP(O578,'Department Listing'!$O$1:$O$395,'Department Listing'!$A$1:$A$395),IFERROR(_xlfn.XLOOKUP(O578,'Name Aliases'!$A$2:$A$1000,'Name Aliases'!$B$2:$B$1000),""))</f>
        <v/>
      </c>
      <c r="Q578" s="18" t="str">
        <f t="shared" si="65"/>
        <v/>
      </c>
      <c r="R578" s="17" t="str">
        <f t="shared" si="66"/>
        <v/>
      </c>
      <c r="S578" s="19" t="str">
        <f t="shared" si="67"/>
        <v/>
      </c>
      <c r="T578" s="17" t="str">
        <f t="shared" si="68"/>
        <v/>
      </c>
      <c r="U578" s="17" t="str">
        <f t="shared" si="69"/>
        <v/>
      </c>
      <c r="V578" s="19" t="str">
        <f>IF(ISBLANK($B578),"",IF(ISBLANK($K578),IF(_xlfn.XLOOKUP($W578,'Category Mapping'!$C:$C,'Category Mapping'!$B:$B)="Travel",_xlfn.XLOOKUP($P578,'Department Listing'!$A:$A,'Department Listing'!$M:$M),_xlfn.XLOOKUP($W578,'Category Mapping'!$C:$C,'Category Mapping'!$D:$D)),$K578))</f>
        <v/>
      </c>
      <c r="W578" s="19" t="str">
        <f t="shared" si="70"/>
        <v/>
      </c>
      <c r="X578" s="19" t="str">
        <f t="shared" si="71"/>
        <v/>
      </c>
      <c r="Y578" s="20" t="str">
        <f>IF(ISBLANK($M578),IFERROR(_xlfn.XLOOKUP($P578,'Department Listing'!$A:$A,'Department Listing'!$L:$L),""),$M578)</f>
        <v/>
      </c>
      <c r="Z578" s="11" t="str">
        <f>IF(ISBLANK($B578),"",MATCH($X578,COA!$B:$B,0))</f>
        <v/>
      </c>
    </row>
    <row r="579" spans="2:26" ht="15.75" customHeight="1" x14ac:dyDescent="0.25">
      <c r="B579" s="24"/>
      <c r="C579" s="10"/>
      <c r="D579" s="10"/>
      <c r="E579" s="25"/>
      <c r="F579" s="10"/>
      <c r="G579" s="10"/>
      <c r="H579" s="10"/>
      <c r="I579" s="9"/>
      <c r="J579" s="9"/>
      <c r="K579" s="9"/>
      <c r="L579" s="9"/>
      <c r="M579" s="9"/>
      <c r="N579" s="17"/>
      <c r="O579" s="17" t="str">
        <f t="shared" si="64"/>
        <v/>
      </c>
      <c r="P579" s="17" t="str">
        <f>IFERROR(_xlfn.XLOOKUP(O579,'Department Listing'!$O$1:$O$395,'Department Listing'!$A$1:$A$395),IFERROR(_xlfn.XLOOKUP(O579,'Name Aliases'!$A$2:$A$1000,'Name Aliases'!$B$2:$B$1000),""))</f>
        <v/>
      </c>
      <c r="Q579" s="18" t="str">
        <f t="shared" si="65"/>
        <v/>
      </c>
      <c r="R579" s="17" t="str">
        <f t="shared" si="66"/>
        <v/>
      </c>
      <c r="S579" s="19" t="str">
        <f t="shared" si="67"/>
        <v/>
      </c>
      <c r="T579" s="17" t="str">
        <f t="shared" si="68"/>
        <v/>
      </c>
      <c r="U579" s="17" t="str">
        <f t="shared" si="69"/>
        <v/>
      </c>
      <c r="V579" s="19" t="str">
        <f>IF(ISBLANK($B579),"",IF(ISBLANK($K579),IF(_xlfn.XLOOKUP($W579,'Category Mapping'!$C:$C,'Category Mapping'!$B:$B)="Travel",_xlfn.XLOOKUP($P579,'Department Listing'!$A:$A,'Department Listing'!$M:$M),_xlfn.XLOOKUP($W579,'Category Mapping'!$C:$C,'Category Mapping'!$D:$D)),$K579))</f>
        <v/>
      </c>
      <c r="W579" s="19" t="str">
        <f t="shared" si="70"/>
        <v/>
      </c>
      <c r="X579" s="19" t="str">
        <f t="shared" si="71"/>
        <v/>
      </c>
      <c r="Y579" s="20" t="str">
        <f>IF(ISBLANK($M579),IFERROR(_xlfn.XLOOKUP($P579,'Department Listing'!$A:$A,'Department Listing'!$L:$L),""),$M579)</f>
        <v/>
      </c>
      <c r="Z579" s="11" t="str">
        <f>IF(ISBLANK($B579),"",MATCH($X579,COA!$B:$B,0))</f>
        <v/>
      </c>
    </row>
    <row r="580" spans="2:26" ht="15.75" customHeight="1" x14ac:dyDescent="0.25">
      <c r="B580" s="24"/>
      <c r="C580" s="10"/>
      <c r="D580" s="10"/>
      <c r="E580" s="25"/>
      <c r="F580" s="10"/>
      <c r="G580" s="10"/>
      <c r="H580" s="10"/>
      <c r="I580" s="9"/>
      <c r="J580" s="9"/>
      <c r="K580" s="9"/>
      <c r="L580" s="9"/>
      <c r="M580" s="9"/>
      <c r="N580" s="17"/>
      <c r="O580" s="17" t="str">
        <f t="shared" ref="O580:O643" si="72">IF(C580="", "", TRIM(RIGHT(C580, LEN(C580) - FIND("@@", SUBSTITUTE(C580, "-", "@@", LEN(C580) - LEN(SUBSTITUTE(C580, "-", "")))))))</f>
        <v/>
      </c>
      <c r="P580" s="17" t="str">
        <f>IFERROR(_xlfn.XLOOKUP(O580,'Department Listing'!$O$1:$O$395,'Department Listing'!$A$1:$A$395),IFERROR(_xlfn.XLOOKUP(O580,'Name Aliases'!$A$2:$A$1000,'Name Aliases'!$B$2:$B$1000),""))</f>
        <v/>
      </c>
      <c r="Q580" s="18" t="str">
        <f t="shared" ref="Q580:Q643" si="73">IF(ISBLANK($C580),"",$B580)</f>
        <v/>
      </c>
      <c r="R580" s="17" t="str">
        <f t="shared" ref="R580:R643" si="74">IF(ISBLANK($C580),"",IF(ISBLANK($I580),$D580,$I580))</f>
        <v/>
      </c>
      <c r="S580" s="19" t="str">
        <f t="shared" ref="S580:S643" si="75">IF(ISBLANK($C580),"",$F580 - $G580)</f>
        <v/>
      </c>
      <c r="T580" s="17" t="str">
        <f t="shared" ref="T580:T643" si="76">IF(ISBLANK($C580),"",C580)</f>
        <v/>
      </c>
      <c r="U580" s="17" t="str">
        <f t="shared" ref="U580:U643" si="77">IF(ISBLANK($C580),"",$D$1)</f>
        <v/>
      </c>
      <c r="V580" s="19" t="str">
        <f>IF(ISBLANK($B580),"",IF(ISBLANK($K580),IF(_xlfn.XLOOKUP($W580,'Category Mapping'!$C:$C,'Category Mapping'!$B:$B)="Travel",_xlfn.XLOOKUP($P580,'Department Listing'!$A:$A,'Department Listing'!$M:$M),_xlfn.XLOOKUP($W580,'Category Mapping'!$C:$C,'Category Mapping'!$D:$D)),$K580))</f>
        <v/>
      </c>
      <c r="W580" s="19" t="str">
        <f t="shared" ref="W580:W643" si="78">IF(ISBLANK($B580),"",IF(ISBLANK($L580),RIGHT($E580,LEN($E580) - FIND("^",SUBSTITUTE($E580,":","^",LEN($E580) - LEN(SUBSTITUTE($E580,":",""))))),$L580))</f>
        <v/>
      </c>
      <c r="X580" s="19" t="str">
        <f t="shared" ref="X580:X643" si="79">IF(ISBLANK($J580),$V580&amp;$W580,$J580)</f>
        <v/>
      </c>
      <c r="Y580" s="20" t="str">
        <f>IF(ISBLANK($M580),IFERROR(_xlfn.XLOOKUP($P580,'Department Listing'!$A:$A,'Department Listing'!$L:$L),""),$M580)</f>
        <v/>
      </c>
      <c r="Z580" s="11" t="str">
        <f>IF(ISBLANK($B580),"",MATCH($X580,COA!$B:$B,0))</f>
        <v/>
      </c>
    </row>
    <row r="581" spans="2:26" ht="15.75" customHeight="1" x14ac:dyDescent="0.25">
      <c r="B581" s="24"/>
      <c r="C581" s="10"/>
      <c r="D581" s="10"/>
      <c r="E581" s="25"/>
      <c r="F581" s="10"/>
      <c r="G581" s="10"/>
      <c r="H581" s="10"/>
      <c r="I581" s="9"/>
      <c r="J581" s="9"/>
      <c r="K581" s="9"/>
      <c r="L581" s="9"/>
      <c r="M581" s="9"/>
      <c r="N581" s="17"/>
      <c r="O581" s="17" t="str">
        <f t="shared" si="72"/>
        <v/>
      </c>
      <c r="P581" s="17" t="str">
        <f>IFERROR(_xlfn.XLOOKUP(O581,'Department Listing'!$O$1:$O$395,'Department Listing'!$A$1:$A$395),IFERROR(_xlfn.XLOOKUP(O581,'Name Aliases'!$A$2:$A$1000,'Name Aliases'!$B$2:$B$1000),""))</f>
        <v/>
      </c>
      <c r="Q581" s="18" t="str">
        <f t="shared" si="73"/>
        <v/>
      </c>
      <c r="R581" s="17" t="str">
        <f t="shared" si="74"/>
        <v/>
      </c>
      <c r="S581" s="19" t="str">
        <f t="shared" si="75"/>
        <v/>
      </c>
      <c r="T581" s="17" t="str">
        <f t="shared" si="76"/>
        <v/>
      </c>
      <c r="U581" s="17" t="str">
        <f t="shared" si="77"/>
        <v/>
      </c>
      <c r="V581" s="19" t="str">
        <f>IF(ISBLANK($B581),"",IF(ISBLANK($K581),IF(_xlfn.XLOOKUP($W581,'Category Mapping'!$C:$C,'Category Mapping'!$B:$B)="Travel",_xlfn.XLOOKUP($P581,'Department Listing'!$A:$A,'Department Listing'!$M:$M),_xlfn.XLOOKUP($W581,'Category Mapping'!$C:$C,'Category Mapping'!$D:$D)),$K581))</f>
        <v/>
      </c>
      <c r="W581" s="19" t="str">
        <f t="shared" si="78"/>
        <v/>
      </c>
      <c r="X581" s="19" t="str">
        <f t="shared" si="79"/>
        <v/>
      </c>
      <c r="Y581" s="20" t="str">
        <f>IF(ISBLANK($M581),IFERROR(_xlfn.XLOOKUP($P581,'Department Listing'!$A:$A,'Department Listing'!$L:$L),""),$M581)</f>
        <v/>
      </c>
      <c r="Z581" s="11" t="str">
        <f>IF(ISBLANK($B581),"",MATCH($X581,COA!$B:$B,0))</f>
        <v/>
      </c>
    </row>
    <row r="582" spans="2:26" ht="15.75" customHeight="1" x14ac:dyDescent="0.25">
      <c r="B582" s="24"/>
      <c r="C582" s="10"/>
      <c r="D582" s="10"/>
      <c r="E582" s="25"/>
      <c r="F582" s="10"/>
      <c r="G582" s="10"/>
      <c r="H582" s="10"/>
      <c r="I582" s="9"/>
      <c r="J582" s="9"/>
      <c r="K582" s="9"/>
      <c r="L582" s="9"/>
      <c r="M582" s="9"/>
      <c r="N582" s="17"/>
      <c r="O582" s="17" t="str">
        <f t="shared" si="72"/>
        <v/>
      </c>
      <c r="P582" s="17" t="str">
        <f>IFERROR(_xlfn.XLOOKUP(O582,'Department Listing'!$O$1:$O$395,'Department Listing'!$A$1:$A$395),IFERROR(_xlfn.XLOOKUP(O582,'Name Aliases'!$A$2:$A$1000,'Name Aliases'!$B$2:$B$1000),""))</f>
        <v/>
      </c>
      <c r="Q582" s="18" t="str">
        <f t="shared" si="73"/>
        <v/>
      </c>
      <c r="R582" s="17" t="str">
        <f t="shared" si="74"/>
        <v/>
      </c>
      <c r="S582" s="19" t="str">
        <f t="shared" si="75"/>
        <v/>
      </c>
      <c r="T582" s="17" t="str">
        <f t="shared" si="76"/>
        <v/>
      </c>
      <c r="U582" s="17" t="str">
        <f t="shared" si="77"/>
        <v/>
      </c>
      <c r="V582" s="19" t="str">
        <f>IF(ISBLANK($B582),"",IF(ISBLANK($K582),IF(_xlfn.XLOOKUP($W582,'Category Mapping'!$C:$C,'Category Mapping'!$B:$B)="Travel",_xlfn.XLOOKUP($P582,'Department Listing'!$A:$A,'Department Listing'!$M:$M),_xlfn.XLOOKUP($W582,'Category Mapping'!$C:$C,'Category Mapping'!$D:$D)),$K582))</f>
        <v/>
      </c>
      <c r="W582" s="19" t="str">
        <f t="shared" si="78"/>
        <v/>
      </c>
      <c r="X582" s="19" t="str">
        <f t="shared" si="79"/>
        <v/>
      </c>
      <c r="Y582" s="20" t="str">
        <f>IF(ISBLANK($M582),IFERROR(_xlfn.XLOOKUP($P582,'Department Listing'!$A:$A,'Department Listing'!$L:$L),""),$M582)</f>
        <v/>
      </c>
      <c r="Z582" s="11" t="str">
        <f>IF(ISBLANK($B582),"",MATCH($X582,COA!$B:$B,0))</f>
        <v/>
      </c>
    </row>
    <row r="583" spans="2:26" ht="15.75" customHeight="1" x14ac:dyDescent="0.25">
      <c r="B583" s="24"/>
      <c r="C583" s="10"/>
      <c r="D583" s="10"/>
      <c r="E583" s="25"/>
      <c r="F583" s="10"/>
      <c r="G583" s="10"/>
      <c r="H583" s="10"/>
      <c r="I583" s="9"/>
      <c r="J583" s="9"/>
      <c r="K583" s="9"/>
      <c r="L583" s="9"/>
      <c r="M583" s="9"/>
      <c r="N583" s="17"/>
      <c r="O583" s="17" t="str">
        <f t="shared" si="72"/>
        <v/>
      </c>
      <c r="P583" s="17" t="str">
        <f>IFERROR(_xlfn.XLOOKUP(O583,'Department Listing'!$O$1:$O$395,'Department Listing'!$A$1:$A$395),IFERROR(_xlfn.XLOOKUP(O583,'Name Aliases'!$A$2:$A$1000,'Name Aliases'!$B$2:$B$1000),""))</f>
        <v/>
      </c>
      <c r="Q583" s="18" t="str">
        <f t="shared" si="73"/>
        <v/>
      </c>
      <c r="R583" s="17" t="str">
        <f t="shared" si="74"/>
        <v/>
      </c>
      <c r="S583" s="19" t="str">
        <f t="shared" si="75"/>
        <v/>
      </c>
      <c r="T583" s="17" t="str">
        <f t="shared" si="76"/>
        <v/>
      </c>
      <c r="U583" s="17" t="str">
        <f t="shared" si="77"/>
        <v/>
      </c>
      <c r="V583" s="19" t="str">
        <f>IF(ISBLANK($B583),"",IF(ISBLANK($K583),IF(_xlfn.XLOOKUP($W583,'Category Mapping'!$C:$C,'Category Mapping'!$B:$B)="Travel",_xlfn.XLOOKUP($P583,'Department Listing'!$A:$A,'Department Listing'!$M:$M),_xlfn.XLOOKUP($W583,'Category Mapping'!$C:$C,'Category Mapping'!$D:$D)),$K583))</f>
        <v/>
      </c>
      <c r="W583" s="19" t="str">
        <f t="shared" si="78"/>
        <v/>
      </c>
      <c r="X583" s="19" t="str">
        <f t="shared" si="79"/>
        <v/>
      </c>
      <c r="Y583" s="20" t="str">
        <f>IF(ISBLANK($M583),IFERROR(_xlfn.XLOOKUP($P583,'Department Listing'!$A:$A,'Department Listing'!$L:$L),""),$M583)</f>
        <v/>
      </c>
      <c r="Z583" s="11" t="str">
        <f>IF(ISBLANK($B583),"",MATCH($X583,COA!$B:$B,0))</f>
        <v/>
      </c>
    </row>
    <row r="584" spans="2:26" ht="15.75" customHeight="1" x14ac:dyDescent="0.25">
      <c r="B584" s="24"/>
      <c r="C584" s="10"/>
      <c r="D584" s="10"/>
      <c r="E584" s="25"/>
      <c r="F584" s="10"/>
      <c r="G584" s="10"/>
      <c r="H584" s="10"/>
      <c r="I584" s="9"/>
      <c r="J584" s="9"/>
      <c r="K584" s="9"/>
      <c r="L584" s="9"/>
      <c r="M584" s="9"/>
      <c r="N584" s="17"/>
      <c r="O584" s="17" t="str">
        <f t="shared" si="72"/>
        <v/>
      </c>
      <c r="P584" s="17" t="str">
        <f>IFERROR(_xlfn.XLOOKUP(O584,'Department Listing'!$O$1:$O$395,'Department Listing'!$A$1:$A$395),IFERROR(_xlfn.XLOOKUP(O584,'Name Aliases'!$A$2:$A$1000,'Name Aliases'!$B$2:$B$1000),""))</f>
        <v/>
      </c>
      <c r="Q584" s="18" t="str">
        <f t="shared" si="73"/>
        <v/>
      </c>
      <c r="R584" s="17" t="str">
        <f t="shared" si="74"/>
        <v/>
      </c>
      <c r="S584" s="19" t="str">
        <f t="shared" si="75"/>
        <v/>
      </c>
      <c r="T584" s="17" t="str">
        <f t="shared" si="76"/>
        <v/>
      </c>
      <c r="U584" s="17" t="str">
        <f t="shared" si="77"/>
        <v/>
      </c>
      <c r="V584" s="19" t="str">
        <f>IF(ISBLANK($B584),"",IF(ISBLANK($K584),IF(_xlfn.XLOOKUP($W584,'Category Mapping'!$C:$C,'Category Mapping'!$B:$B)="Travel",_xlfn.XLOOKUP($P584,'Department Listing'!$A:$A,'Department Listing'!$M:$M),_xlfn.XLOOKUP($W584,'Category Mapping'!$C:$C,'Category Mapping'!$D:$D)),$K584))</f>
        <v/>
      </c>
      <c r="W584" s="19" t="str">
        <f t="shared" si="78"/>
        <v/>
      </c>
      <c r="X584" s="19" t="str">
        <f t="shared" si="79"/>
        <v/>
      </c>
      <c r="Y584" s="20" t="str">
        <f>IF(ISBLANK($M584),IFERROR(_xlfn.XLOOKUP($P584,'Department Listing'!$A:$A,'Department Listing'!$L:$L),""),$M584)</f>
        <v/>
      </c>
      <c r="Z584" s="11" t="str">
        <f>IF(ISBLANK($B584),"",MATCH($X584,COA!$B:$B,0))</f>
        <v/>
      </c>
    </row>
    <row r="585" spans="2:26" ht="15.75" customHeight="1" x14ac:dyDescent="0.25">
      <c r="B585" s="24"/>
      <c r="C585" s="10"/>
      <c r="D585" s="10"/>
      <c r="E585" s="25"/>
      <c r="F585" s="10"/>
      <c r="G585" s="10"/>
      <c r="H585" s="10"/>
      <c r="I585" s="9"/>
      <c r="J585" s="9"/>
      <c r="K585" s="9"/>
      <c r="L585" s="9"/>
      <c r="M585" s="9"/>
      <c r="N585" s="17"/>
      <c r="O585" s="17" t="str">
        <f t="shared" si="72"/>
        <v/>
      </c>
      <c r="P585" s="17" t="str">
        <f>IFERROR(_xlfn.XLOOKUP(O585,'Department Listing'!$O$1:$O$395,'Department Listing'!$A$1:$A$395),IFERROR(_xlfn.XLOOKUP(O585,'Name Aliases'!$A$2:$A$1000,'Name Aliases'!$B$2:$B$1000),""))</f>
        <v/>
      </c>
      <c r="Q585" s="18" t="str">
        <f t="shared" si="73"/>
        <v/>
      </c>
      <c r="R585" s="17" t="str">
        <f t="shared" si="74"/>
        <v/>
      </c>
      <c r="S585" s="19" t="str">
        <f t="shared" si="75"/>
        <v/>
      </c>
      <c r="T585" s="17" t="str">
        <f t="shared" si="76"/>
        <v/>
      </c>
      <c r="U585" s="17" t="str">
        <f t="shared" si="77"/>
        <v/>
      </c>
      <c r="V585" s="19" t="str">
        <f>IF(ISBLANK($B585),"",IF(ISBLANK($K585),IF(_xlfn.XLOOKUP($W585,'Category Mapping'!$C:$C,'Category Mapping'!$B:$B)="Travel",_xlfn.XLOOKUP($P585,'Department Listing'!$A:$A,'Department Listing'!$M:$M),_xlfn.XLOOKUP($W585,'Category Mapping'!$C:$C,'Category Mapping'!$D:$D)),$K585))</f>
        <v/>
      </c>
      <c r="W585" s="19" t="str">
        <f t="shared" si="78"/>
        <v/>
      </c>
      <c r="X585" s="19" t="str">
        <f t="shared" si="79"/>
        <v/>
      </c>
      <c r="Y585" s="20" t="str">
        <f>IF(ISBLANK($M585),IFERROR(_xlfn.XLOOKUP($P585,'Department Listing'!$A:$A,'Department Listing'!$L:$L),""),$M585)</f>
        <v/>
      </c>
      <c r="Z585" s="11" t="str">
        <f>IF(ISBLANK($B585),"",MATCH($X585,COA!$B:$B,0))</f>
        <v/>
      </c>
    </row>
    <row r="586" spans="2:26" ht="15.75" customHeight="1" x14ac:dyDescent="0.25">
      <c r="B586" s="24"/>
      <c r="C586" s="10"/>
      <c r="D586" s="10"/>
      <c r="E586" s="25"/>
      <c r="F586" s="10"/>
      <c r="G586" s="10"/>
      <c r="H586" s="10"/>
      <c r="I586" s="9"/>
      <c r="J586" s="9"/>
      <c r="K586" s="9"/>
      <c r="L586" s="9"/>
      <c r="M586" s="9"/>
      <c r="N586" s="17"/>
      <c r="O586" s="17" t="str">
        <f t="shared" si="72"/>
        <v/>
      </c>
      <c r="P586" s="17" t="str">
        <f>IFERROR(_xlfn.XLOOKUP(O586,'Department Listing'!$O$1:$O$395,'Department Listing'!$A$1:$A$395),IFERROR(_xlfn.XLOOKUP(O586,'Name Aliases'!$A$2:$A$1000,'Name Aliases'!$B$2:$B$1000),""))</f>
        <v/>
      </c>
      <c r="Q586" s="18" t="str">
        <f t="shared" si="73"/>
        <v/>
      </c>
      <c r="R586" s="17" t="str">
        <f t="shared" si="74"/>
        <v/>
      </c>
      <c r="S586" s="19" t="str">
        <f t="shared" si="75"/>
        <v/>
      </c>
      <c r="T586" s="17" t="str">
        <f t="shared" si="76"/>
        <v/>
      </c>
      <c r="U586" s="17" t="str">
        <f t="shared" si="77"/>
        <v/>
      </c>
      <c r="V586" s="19" t="str">
        <f>IF(ISBLANK($B586),"",IF(ISBLANK($K586),IF(_xlfn.XLOOKUP($W586,'Category Mapping'!$C:$C,'Category Mapping'!$B:$B)="Travel",_xlfn.XLOOKUP($P586,'Department Listing'!$A:$A,'Department Listing'!$M:$M),_xlfn.XLOOKUP($W586,'Category Mapping'!$C:$C,'Category Mapping'!$D:$D)),$K586))</f>
        <v/>
      </c>
      <c r="W586" s="19" t="str">
        <f t="shared" si="78"/>
        <v/>
      </c>
      <c r="X586" s="19" t="str">
        <f t="shared" si="79"/>
        <v/>
      </c>
      <c r="Y586" s="20" t="str">
        <f>IF(ISBLANK($M586),IFERROR(_xlfn.XLOOKUP($P586,'Department Listing'!$A:$A,'Department Listing'!$L:$L),""),$M586)</f>
        <v/>
      </c>
      <c r="Z586" s="11" t="str">
        <f>IF(ISBLANK($B586),"",MATCH($X586,COA!$B:$B,0))</f>
        <v/>
      </c>
    </row>
    <row r="587" spans="2:26" ht="15.75" customHeight="1" x14ac:dyDescent="0.25">
      <c r="B587" s="24"/>
      <c r="C587" s="10"/>
      <c r="D587" s="10"/>
      <c r="E587" s="25"/>
      <c r="F587" s="10"/>
      <c r="G587" s="10"/>
      <c r="H587" s="10"/>
      <c r="I587" s="9"/>
      <c r="J587" s="9"/>
      <c r="K587" s="9"/>
      <c r="L587" s="9"/>
      <c r="M587" s="9"/>
      <c r="N587" s="17"/>
      <c r="O587" s="17" t="str">
        <f t="shared" si="72"/>
        <v/>
      </c>
      <c r="P587" s="17" t="str">
        <f>IFERROR(_xlfn.XLOOKUP(O587,'Department Listing'!$O$1:$O$395,'Department Listing'!$A$1:$A$395),IFERROR(_xlfn.XLOOKUP(O587,'Name Aliases'!$A$2:$A$1000,'Name Aliases'!$B$2:$B$1000),""))</f>
        <v/>
      </c>
      <c r="Q587" s="18" t="str">
        <f t="shared" si="73"/>
        <v/>
      </c>
      <c r="R587" s="17" t="str">
        <f t="shared" si="74"/>
        <v/>
      </c>
      <c r="S587" s="19" t="str">
        <f t="shared" si="75"/>
        <v/>
      </c>
      <c r="T587" s="17" t="str">
        <f t="shared" si="76"/>
        <v/>
      </c>
      <c r="U587" s="17" t="str">
        <f t="shared" si="77"/>
        <v/>
      </c>
      <c r="V587" s="19" t="str">
        <f>IF(ISBLANK($B587),"",IF(ISBLANK($K587),IF(_xlfn.XLOOKUP($W587,'Category Mapping'!$C:$C,'Category Mapping'!$B:$B)="Travel",_xlfn.XLOOKUP($P587,'Department Listing'!$A:$A,'Department Listing'!$M:$M),_xlfn.XLOOKUP($W587,'Category Mapping'!$C:$C,'Category Mapping'!$D:$D)),$K587))</f>
        <v/>
      </c>
      <c r="W587" s="19" t="str">
        <f t="shared" si="78"/>
        <v/>
      </c>
      <c r="X587" s="19" t="str">
        <f t="shared" si="79"/>
        <v/>
      </c>
      <c r="Y587" s="20" t="str">
        <f>IF(ISBLANK($M587),IFERROR(_xlfn.XLOOKUP($P587,'Department Listing'!$A:$A,'Department Listing'!$L:$L),""),$M587)</f>
        <v/>
      </c>
      <c r="Z587" s="11" t="str">
        <f>IF(ISBLANK($B587),"",MATCH($X587,COA!$B:$B,0))</f>
        <v/>
      </c>
    </row>
    <row r="588" spans="2:26" ht="15.75" customHeight="1" x14ac:dyDescent="0.25">
      <c r="B588" s="24"/>
      <c r="C588" s="10"/>
      <c r="D588" s="10"/>
      <c r="E588" s="25"/>
      <c r="F588" s="10"/>
      <c r="G588" s="10"/>
      <c r="H588" s="10"/>
      <c r="I588" s="9"/>
      <c r="J588" s="9"/>
      <c r="K588" s="9"/>
      <c r="L588" s="9"/>
      <c r="M588" s="9"/>
      <c r="N588" s="17"/>
      <c r="O588" s="17" t="str">
        <f t="shared" si="72"/>
        <v/>
      </c>
      <c r="P588" s="17" t="str">
        <f>IFERROR(_xlfn.XLOOKUP(O588,'Department Listing'!$O$1:$O$395,'Department Listing'!$A$1:$A$395),IFERROR(_xlfn.XLOOKUP(O588,'Name Aliases'!$A$2:$A$1000,'Name Aliases'!$B$2:$B$1000),""))</f>
        <v/>
      </c>
      <c r="Q588" s="18" t="str">
        <f t="shared" si="73"/>
        <v/>
      </c>
      <c r="R588" s="17" t="str">
        <f t="shared" si="74"/>
        <v/>
      </c>
      <c r="S588" s="19" t="str">
        <f t="shared" si="75"/>
        <v/>
      </c>
      <c r="T588" s="17" t="str">
        <f t="shared" si="76"/>
        <v/>
      </c>
      <c r="U588" s="17" t="str">
        <f t="shared" si="77"/>
        <v/>
      </c>
      <c r="V588" s="19" t="str">
        <f>IF(ISBLANK($B588),"",IF(ISBLANK($K588),IF(_xlfn.XLOOKUP($W588,'Category Mapping'!$C:$C,'Category Mapping'!$B:$B)="Travel",_xlfn.XLOOKUP($P588,'Department Listing'!$A:$A,'Department Listing'!$M:$M),_xlfn.XLOOKUP($W588,'Category Mapping'!$C:$C,'Category Mapping'!$D:$D)),$K588))</f>
        <v/>
      </c>
      <c r="W588" s="19" t="str">
        <f t="shared" si="78"/>
        <v/>
      </c>
      <c r="X588" s="19" t="str">
        <f t="shared" si="79"/>
        <v/>
      </c>
      <c r="Y588" s="20" t="str">
        <f>IF(ISBLANK($M588),IFERROR(_xlfn.XLOOKUP($P588,'Department Listing'!$A:$A,'Department Listing'!$L:$L),""),$M588)</f>
        <v/>
      </c>
      <c r="Z588" s="11" t="str">
        <f>IF(ISBLANK($B588),"",MATCH($X588,COA!$B:$B,0))</f>
        <v/>
      </c>
    </row>
    <row r="589" spans="2:26" ht="15.75" customHeight="1" x14ac:dyDescent="0.25">
      <c r="B589" s="24"/>
      <c r="C589" s="10"/>
      <c r="D589" s="10"/>
      <c r="E589" s="25"/>
      <c r="F589" s="10"/>
      <c r="G589" s="10"/>
      <c r="H589" s="10"/>
      <c r="I589" s="9"/>
      <c r="J589" s="9"/>
      <c r="K589" s="9"/>
      <c r="L589" s="9"/>
      <c r="M589" s="9"/>
      <c r="N589" s="17"/>
      <c r="O589" s="17" t="str">
        <f t="shared" si="72"/>
        <v/>
      </c>
      <c r="P589" s="17" t="str">
        <f>IFERROR(_xlfn.XLOOKUP(O589,'Department Listing'!$O$1:$O$395,'Department Listing'!$A$1:$A$395),IFERROR(_xlfn.XLOOKUP(O589,'Name Aliases'!$A$2:$A$1000,'Name Aliases'!$B$2:$B$1000),""))</f>
        <v/>
      </c>
      <c r="Q589" s="18" t="str">
        <f t="shared" si="73"/>
        <v/>
      </c>
      <c r="R589" s="17" t="str">
        <f t="shared" si="74"/>
        <v/>
      </c>
      <c r="S589" s="19" t="str">
        <f t="shared" si="75"/>
        <v/>
      </c>
      <c r="T589" s="17" t="str">
        <f t="shared" si="76"/>
        <v/>
      </c>
      <c r="U589" s="17" t="str">
        <f t="shared" si="77"/>
        <v/>
      </c>
      <c r="V589" s="19" t="str">
        <f>IF(ISBLANK($B589),"",IF(ISBLANK($K589),IF(_xlfn.XLOOKUP($W589,'Category Mapping'!$C:$C,'Category Mapping'!$B:$B)="Travel",_xlfn.XLOOKUP($P589,'Department Listing'!$A:$A,'Department Listing'!$M:$M),_xlfn.XLOOKUP($W589,'Category Mapping'!$C:$C,'Category Mapping'!$D:$D)),$K589))</f>
        <v/>
      </c>
      <c r="W589" s="19" t="str">
        <f t="shared" si="78"/>
        <v/>
      </c>
      <c r="X589" s="19" t="str">
        <f t="shared" si="79"/>
        <v/>
      </c>
      <c r="Y589" s="20" t="str">
        <f>IF(ISBLANK($M589),IFERROR(_xlfn.XLOOKUP($P589,'Department Listing'!$A:$A,'Department Listing'!$L:$L),""),$M589)</f>
        <v/>
      </c>
      <c r="Z589" s="11" t="str">
        <f>IF(ISBLANK($B589),"",MATCH($X589,COA!$B:$B,0))</f>
        <v/>
      </c>
    </row>
    <row r="590" spans="2:26" ht="15.75" customHeight="1" x14ac:dyDescent="0.25">
      <c r="B590" s="24"/>
      <c r="C590" s="10"/>
      <c r="D590" s="10"/>
      <c r="E590" s="25"/>
      <c r="F590" s="10"/>
      <c r="G590" s="10"/>
      <c r="H590" s="10"/>
      <c r="I590" s="9"/>
      <c r="J590" s="9"/>
      <c r="K590" s="9"/>
      <c r="L590" s="9"/>
      <c r="M590" s="9"/>
      <c r="N590" s="17"/>
      <c r="O590" s="17" t="str">
        <f t="shared" si="72"/>
        <v/>
      </c>
      <c r="P590" s="17" t="str">
        <f>IFERROR(_xlfn.XLOOKUP(O590,'Department Listing'!$O$1:$O$395,'Department Listing'!$A$1:$A$395),IFERROR(_xlfn.XLOOKUP(O590,'Name Aliases'!$A$2:$A$1000,'Name Aliases'!$B$2:$B$1000),""))</f>
        <v/>
      </c>
      <c r="Q590" s="18" t="str">
        <f t="shared" si="73"/>
        <v/>
      </c>
      <c r="R590" s="17" t="str">
        <f t="shared" si="74"/>
        <v/>
      </c>
      <c r="S590" s="19" t="str">
        <f t="shared" si="75"/>
        <v/>
      </c>
      <c r="T590" s="17" t="str">
        <f t="shared" si="76"/>
        <v/>
      </c>
      <c r="U590" s="17" t="str">
        <f t="shared" si="77"/>
        <v/>
      </c>
      <c r="V590" s="19" t="str">
        <f>IF(ISBLANK($B590),"",IF(ISBLANK($K590),IF(_xlfn.XLOOKUP($W590,'Category Mapping'!$C:$C,'Category Mapping'!$B:$B)="Travel",_xlfn.XLOOKUP($P590,'Department Listing'!$A:$A,'Department Listing'!$M:$M),_xlfn.XLOOKUP($W590,'Category Mapping'!$C:$C,'Category Mapping'!$D:$D)),$K590))</f>
        <v/>
      </c>
      <c r="W590" s="19" t="str">
        <f t="shared" si="78"/>
        <v/>
      </c>
      <c r="X590" s="19" t="str">
        <f t="shared" si="79"/>
        <v/>
      </c>
      <c r="Y590" s="20" t="str">
        <f>IF(ISBLANK($M590),IFERROR(_xlfn.XLOOKUP($P590,'Department Listing'!$A:$A,'Department Listing'!$L:$L),""),$M590)</f>
        <v/>
      </c>
      <c r="Z590" s="11" t="str">
        <f>IF(ISBLANK($B590),"",MATCH($X590,COA!$B:$B,0))</f>
        <v/>
      </c>
    </row>
    <row r="591" spans="2:26" ht="15.75" customHeight="1" x14ac:dyDescent="0.25">
      <c r="B591" s="24"/>
      <c r="C591" s="10"/>
      <c r="D591" s="10"/>
      <c r="E591" s="25"/>
      <c r="F591" s="10"/>
      <c r="G591" s="10"/>
      <c r="H591" s="10"/>
      <c r="I591" s="9"/>
      <c r="J591" s="9"/>
      <c r="K591" s="9"/>
      <c r="L591" s="9"/>
      <c r="M591" s="9"/>
      <c r="N591" s="17"/>
      <c r="O591" s="17" t="str">
        <f t="shared" si="72"/>
        <v/>
      </c>
      <c r="P591" s="17" t="str">
        <f>IFERROR(_xlfn.XLOOKUP(O591,'Department Listing'!$O$1:$O$395,'Department Listing'!$A$1:$A$395),IFERROR(_xlfn.XLOOKUP(O591,'Name Aliases'!$A$2:$A$1000,'Name Aliases'!$B$2:$B$1000),""))</f>
        <v/>
      </c>
      <c r="Q591" s="18" t="str">
        <f t="shared" si="73"/>
        <v/>
      </c>
      <c r="R591" s="17" t="str">
        <f t="shared" si="74"/>
        <v/>
      </c>
      <c r="S591" s="19" t="str">
        <f t="shared" si="75"/>
        <v/>
      </c>
      <c r="T591" s="17" t="str">
        <f t="shared" si="76"/>
        <v/>
      </c>
      <c r="U591" s="17" t="str">
        <f t="shared" si="77"/>
        <v/>
      </c>
      <c r="V591" s="19" t="str">
        <f>IF(ISBLANK($B591),"",IF(ISBLANK($K591),IF(_xlfn.XLOOKUP($W591,'Category Mapping'!$C:$C,'Category Mapping'!$B:$B)="Travel",_xlfn.XLOOKUP($P591,'Department Listing'!$A:$A,'Department Listing'!$M:$M),_xlfn.XLOOKUP($W591,'Category Mapping'!$C:$C,'Category Mapping'!$D:$D)),$K591))</f>
        <v/>
      </c>
      <c r="W591" s="19" t="str">
        <f t="shared" si="78"/>
        <v/>
      </c>
      <c r="X591" s="19" t="str">
        <f t="shared" si="79"/>
        <v/>
      </c>
      <c r="Y591" s="20" t="str">
        <f>IF(ISBLANK($M591),IFERROR(_xlfn.XLOOKUP($P591,'Department Listing'!$A:$A,'Department Listing'!$L:$L),""),$M591)</f>
        <v/>
      </c>
      <c r="Z591" s="11" t="str">
        <f>IF(ISBLANK($B591),"",MATCH($X591,COA!$B:$B,0))</f>
        <v/>
      </c>
    </row>
    <row r="592" spans="2:26" ht="15.75" customHeight="1" x14ac:dyDescent="0.25">
      <c r="B592" s="24"/>
      <c r="C592" s="10"/>
      <c r="D592" s="10"/>
      <c r="E592" s="25"/>
      <c r="F592" s="10"/>
      <c r="G592" s="10"/>
      <c r="H592" s="10"/>
      <c r="I592" s="9"/>
      <c r="J592" s="9"/>
      <c r="K592" s="9"/>
      <c r="L592" s="9"/>
      <c r="M592" s="9"/>
      <c r="N592" s="17"/>
      <c r="O592" s="17" t="str">
        <f t="shared" si="72"/>
        <v/>
      </c>
      <c r="P592" s="17" t="str">
        <f>IFERROR(_xlfn.XLOOKUP(O592,'Department Listing'!$O$1:$O$395,'Department Listing'!$A$1:$A$395),IFERROR(_xlfn.XLOOKUP(O592,'Name Aliases'!$A$2:$A$1000,'Name Aliases'!$B$2:$B$1000),""))</f>
        <v/>
      </c>
      <c r="Q592" s="18" t="str">
        <f t="shared" si="73"/>
        <v/>
      </c>
      <c r="R592" s="17" t="str">
        <f t="shared" si="74"/>
        <v/>
      </c>
      <c r="S592" s="19" t="str">
        <f t="shared" si="75"/>
        <v/>
      </c>
      <c r="T592" s="17" t="str">
        <f t="shared" si="76"/>
        <v/>
      </c>
      <c r="U592" s="17" t="str">
        <f t="shared" si="77"/>
        <v/>
      </c>
      <c r="V592" s="19" t="str">
        <f>IF(ISBLANK($B592),"",IF(ISBLANK($K592),IF(_xlfn.XLOOKUP($W592,'Category Mapping'!$C:$C,'Category Mapping'!$B:$B)="Travel",_xlfn.XLOOKUP($P592,'Department Listing'!$A:$A,'Department Listing'!$M:$M),_xlfn.XLOOKUP($W592,'Category Mapping'!$C:$C,'Category Mapping'!$D:$D)),$K592))</f>
        <v/>
      </c>
      <c r="W592" s="19" t="str">
        <f t="shared" si="78"/>
        <v/>
      </c>
      <c r="X592" s="19" t="str">
        <f t="shared" si="79"/>
        <v/>
      </c>
      <c r="Y592" s="20" t="str">
        <f>IF(ISBLANK($M592),IFERROR(_xlfn.XLOOKUP($P592,'Department Listing'!$A:$A,'Department Listing'!$L:$L),""),$M592)</f>
        <v/>
      </c>
      <c r="Z592" s="11" t="str">
        <f>IF(ISBLANK($B592),"",MATCH($X592,COA!$B:$B,0))</f>
        <v/>
      </c>
    </row>
    <row r="593" spans="2:26" ht="15.75" customHeight="1" x14ac:dyDescent="0.25">
      <c r="B593" s="24"/>
      <c r="C593" s="10"/>
      <c r="D593" s="10"/>
      <c r="E593" s="25"/>
      <c r="F593" s="10"/>
      <c r="G593" s="10"/>
      <c r="H593" s="10"/>
      <c r="I593" s="9"/>
      <c r="J593" s="9"/>
      <c r="K593" s="9"/>
      <c r="L593" s="9"/>
      <c r="M593" s="9"/>
      <c r="N593" s="17"/>
      <c r="O593" s="17" t="str">
        <f t="shared" si="72"/>
        <v/>
      </c>
      <c r="P593" s="17" t="str">
        <f>IFERROR(_xlfn.XLOOKUP(O593,'Department Listing'!$O$1:$O$395,'Department Listing'!$A$1:$A$395),IFERROR(_xlfn.XLOOKUP(O593,'Name Aliases'!$A$2:$A$1000,'Name Aliases'!$B$2:$B$1000),""))</f>
        <v/>
      </c>
      <c r="Q593" s="18" t="str">
        <f t="shared" si="73"/>
        <v/>
      </c>
      <c r="R593" s="17" t="str">
        <f t="shared" si="74"/>
        <v/>
      </c>
      <c r="S593" s="19" t="str">
        <f t="shared" si="75"/>
        <v/>
      </c>
      <c r="T593" s="17" t="str">
        <f t="shared" si="76"/>
        <v/>
      </c>
      <c r="U593" s="17" t="str">
        <f t="shared" si="77"/>
        <v/>
      </c>
      <c r="V593" s="19" t="str">
        <f>IF(ISBLANK($B593),"",IF(ISBLANK($K593),IF(_xlfn.XLOOKUP($W593,'Category Mapping'!$C:$C,'Category Mapping'!$B:$B)="Travel",_xlfn.XLOOKUP($P593,'Department Listing'!$A:$A,'Department Listing'!$M:$M),_xlfn.XLOOKUP($W593,'Category Mapping'!$C:$C,'Category Mapping'!$D:$D)),$K593))</f>
        <v/>
      </c>
      <c r="W593" s="19" t="str">
        <f t="shared" si="78"/>
        <v/>
      </c>
      <c r="X593" s="19" t="str">
        <f t="shared" si="79"/>
        <v/>
      </c>
      <c r="Y593" s="20" t="str">
        <f>IF(ISBLANK($M593),IFERROR(_xlfn.XLOOKUP($P593,'Department Listing'!$A:$A,'Department Listing'!$L:$L),""),$M593)</f>
        <v/>
      </c>
      <c r="Z593" s="11" t="str">
        <f>IF(ISBLANK($B593),"",MATCH($X593,COA!$B:$B,0))</f>
        <v/>
      </c>
    </row>
    <row r="594" spans="2:26" ht="15.75" customHeight="1" x14ac:dyDescent="0.25">
      <c r="B594" s="24"/>
      <c r="C594" s="10"/>
      <c r="D594" s="10"/>
      <c r="E594" s="25"/>
      <c r="F594" s="10"/>
      <c r="G594" s="10"/>
      <c r="H594" s="10"/>
      <c r="I594" s="9"/>
      <c r="J594" s="9"/>
      <c r="K594" s="9"/>
      <c r="L594" s="9"/>
      <c r="M594" s="9"/>
      <c r="N594" s="17"/>
      <c r="O594" s="17" t="str">
        <f t="shared" si="72"/>
        <v/>
      </c>
      <c r="P594" s="17" t="str">
        <f>IFERROR(_xlfn.XLOOKUP(O594,'Department Listing'!$O$1:$O$395,'Department Listing'!$A$1:$A$395),IFERROR(_xlfn.XLOOKUP(O594,'Name Aliases'!$A$2:$A$1000,'Name Aliases'!$B$2:$B$1000),""))</f>
        <v/>
      </c>
      <c r="Q594" s="18" t="str">
        <f t="shared" si="73"/>
        <v/>
      </c>
      <c r="R594" s="17" t="str">
        <f t="shared" si="74"/>
        <v/>
      </c>
      <c r="S594" s="19" t="str">
        <f t="shared" si="75"/>
        <v/>
      </c>
      <c r="T594" s="17" t="str">
        <f t="shared" si="76"/>
        <v/>
      </c>
      <c r="U594" s="17" t="str">
        <f t="shared" si="77"/>
        <v/>
      </c>
      <c r="V594" s="19" t="str">
        <f>IF(ISBLANK($B594),"",IF(ISBLANK($K594),IF(_xlfn.XLOOKUP($W594,'Category Mapping'!$C:$C,'Category Mapping'!$B:$B)="Travel",_xlfn.XLOOKUP($P594,'Department Listing'!$A:$A,'Department Listing'!$M:$M),_xlfn.XLOOKUP($W594,'Category Mapping'!$C:$C,'Category Mapping'!$D:$D)),$K594))</f>
        <v/>
      </c>
      <c r="W594" s="19" t="str">
        <f t="shared" si="78"/>
        <v/>
      </c>
      <c r="X594" s="19" t="str">
        <f t="shared" si="79"/>
        <v/>
      </c>
      <c r="Y594" s="20" t="str">
        <f>IF(ISBLANK($M594),IFERROR(_xlfn.XLOOKUP($P594,'Department Listing'!$A:$A,'Department Listing'!$L:$L),""),$M594)</f>
        <v/>
      </c>
      <c r="Z594" s="11" t="str">
        <f>IF(ISBLANK($B594),"",MATCH($X594,COA!$B:$B,0))</f>
        <v/>
      </c>
    </row>
    <row r="595" spans="2:26" ht="15.75" customHeight="1" x14ac:dyDescent="0.25">
      <c r="B595" s="24"/>
      <c r="C595" s="10"/>
      <c r="D595" s="10"/>
      <c r="E595" s="25"/>
      <c r="F595" s="10"/>
      <c r="G595" s="10"/>
      <c r="H595" s="10"/>
      <c r="I595" s="9"/>
      <c r="J595" s="9"/>
      <c r="K595" s="9"/>
      <c r="L595" s="9"/>
      <c r="M595" s="9"/>
      <c r="N595" s="17"/>
      <c r="O595" s="17" t="str">
        <f t="shared" si="72"/>
        <v/>
      </c>
      <c r="P595" s="17" t="str">
        <f>IFERROR(_xlfn.XLOOKUP(O595,'Department Listing'!$O$1:$O$395,'Department Listing'!$A$1:$A$395),IFERROR(_xlfn.XLOOKUP(O595,'Name Aliases'!$A$2:$A$1000,'Name Aliases'!$B$2:$B$1000),""))</f>
        <v/>
      </c>
      <c r="Q595" s="18" t="str">
        <f t="shared" si="73"/>
        <v/>
      </c>
      <c r="R595" s="17" t="str">
        <f t="shared" si="74"/>
        <v/>
      </c>
      <c r="S595" s="19" t="str">
        <f t="shared" si="75"/>
        <v/>
      </c>
      <c r="T595" s="17" t="str">
        <f t="shared" si="76"/>
        <v/>
      </c>
      <c r="U595" s="17" t="str">
        <f t="shared" si="77"/>
        <v/>
      </c>
      <c r="V595" s="19" t="str">
        <f>IF(ISBLANK($B595),"",IF(ISBLANK($K595),IF(_xlfn.XLOOKUP($W595,'Category Mapping'!$C:$C,'Category Mapping'!$B:$B)="Travel",_xlfn.XLOOKUP($P595,'Department Listing'!$A:$A,'Department Listing'!$M:$M),_xlfn.XLOOKUP($W595,'Category Mapping'!$C:$C,'Category Mapping'!$D:$D)),$K595))</f>
        <v/>
      </c>
      <c r="W595" s="19" t="str">
        <f t="shared" si="78"/>
        <v/>
      </c>
      <c r="X595" s="19" t="str">
        <f t="shared" si="79"/>
        <v/>
      </c>
      <c r="Y595" s="20" t="str">
        <f>IF(ISBLANK($M595),IFERROR(_xlfn.XLOOKUP($P595,'Department Listing'!$A:$A,'Department Listing'!$L:$L),""),$M595)</f>
        <v/>
      </c>
      <c r="Z595" s="11" t="str">
        <f>IF(ISBLANK($B595),"",MATCH($X595,COA!$B:$B,0))</f>
        <v/>
      </c>
    </row>
    <row r="596" spans="2:26" ht="15.75" customHeight="1" x14ac:dyDescent="0.25">
      <c r="B596" s="24"/>
      <c r="C596" s="10"/>
      <c r="D596" s="10"/>
      <c r="E596" s="25"/>
      <c r="F596" s="10"/>
      <c r="G596" s="10"/>
      <c r="H596" s="10"/>
      <c r="I596" s="9"/>
      <c r="J596" s="9"/>
      <c r="K596" s="9"/>
      <c r="L596" s="9"/>
      <c r="M596" s="9"/>
      <c r="N596" s="17"/>
      <c r="O596" s="17" t="str">
        <f t="shared" si="72"/>
        <v/>
      </c>
      <c r="P596" s="17" t="str">
        <f>IFERROR(_xlfn.XLOOKUP(O596,'Department Listing'!$O$1:$O$395,'Department Listing'!$A$1:$A$395),IFERROR(_xlfn.XLOOKUP(O596,'Name Aliases'!$A$2:$A$1000,'Name Aliases'!$B$2:$B$1000),""))</f>
        <v/>
      </c>
      <c r="Q596" s="18" t="str">
        <f t="shared" si="73"/>
        <v/>
      </c>
      <c r="R596" s="17" t="str">
        <f t="shared" si="74"/>
        <v/>
      </c>
      <c r="S596" s="19" t="str">
        <f t="shared" si="75"/>
        <v/>
      </c>
      <c r="T596" s="17" t="str">
        <f t="shared" si="76"/>
        <v/>
      </c>
      <c r="U596" s="17" t="str">
        <f t="shared" si="77"/>
        <v/>
      </c>
      <c r="V596" s="19" t="str">
        <f>IF(ISBLANK($B596),"",IF(ISBLANK($K596),IF(_xlfn.XLOOKUP($W596,'Category Mapping'!$C:$C,'Category Mapping'!$B:$B)="Travel",_xlfn.XLOOKUP($P596,'Department Listing'!$A:$A,'Department Listing'!$M:$M),_xlfn.XLOOKUP($W596,'Category Mapping'!$C:$C,'Category Mapping'!$D:$D)),$K596))</f>
        <v/>
      </c>
      <c r="W596" s="19" t="str">
        <f t="shared" si="78"/>
        <v/>
      </c>
      <c r="X596" s="19" t="str">
        <f t="shared" si="79"/>
        <v/>
      </c>
      <c r="Y596" s="20" t="str">
        <f>IF(ISBLANK($M596),IFERROR(_xlfn.XLOOKUP($P596,'Department Listing'!$A:$A,'Department Listing'!$L:$L),""),$M596)</f>
        <v/>
      </c>
      <c r="Z596" s="11" t="str">
        <f>IF(ISBLANK($B596),"",MATCH($X596,COA!$B:$B,0))</f>
        <v/>
      </c>
    </row>
    <row r="597" spans="2:26" ht="15.75" customHeight="1" x14ac:dyDescent="0.25">
      <c r="B597" s="24"/>
      <c r="C597" s="10"/>
      <c r="D597" s="10"/>
      <c r="E597" s="25"/>
      <c r="F597" s="10"/>
      <c r="G597" s="10"/>
      <c r="H597" s="10"/>
      <c r="I597" s="9"/>
      <c r="J597" s="9"/>
      <c r="K597" s="9"/>
      <c r="L597" s="9"/>
      <c r="M597" s="9"/>
      <c r="N597" s="17"/>
      <c r="O597" s="17" t="str">
        <f t="shared" si="72"/>
        <v/>
      </c>
      <c r="P597" s="17" t="str">
        <f>IFERROR(_xlfn.XLOOKUP(O597,'Department Listing'!$O$1:$O$395,'Department Listing'!$A$1:$A$395),IFERROR(_xlfn.XLOOKUP(O597,'Name Aliases'!$A$2:$A$1000,'Name Aliases'!$B$2:$B$1000),""))</f>
        <v/>
      </c>
      <c r="Q597" s="18" t="str">
        <f t="shared" si="73"/>
        <v/>
      </c>
      <c r="R597" s="17" t="str">
        <f t="shared" si="74"/>
        <v/>
      </c>
      <c r="S597" s="19" t="str">
        <f t="shared" si="75"/>
        <v/>
      </c>
      <c r="T597" s="17" t="str">
        <f t="shared" si="76"/>
        <v/>
      </c>
      <c r="U597" s="17" t="str">
        <f t="shared" si="77"/>
        <v/>
      </c>
      <c r="V597" s="19" t="str">
        <f>IF(ISBLANK($B597),"",IF(ISBLANK($K597),IF(_xlfn.XLOOKUP($W597,'Category Mapping'!$C:$C,'Category Mapping'!$B:$B)="Travel",_xlfn.XLOOKUP($P597,'Department Listing'!$A:$A,'Department Listing'!$M:$M),_xlfn.XLOOKUP($W597,'Category Mapping'!$C:$C,'Category Mapping'!$D:$D)),$K597))</f>
        <v/>
      </c>
      <c r="W597" s="19" t="str">
        <f t="shared" si="78"/>
        <v/>
      </c>
      <c r="X597" s="19" t="str">
        <f t="shared" si="79"/>
        <v/>
      </c>
      <c r="Y597" s="20" t="str">
        <f>IF(ISBLANK($M597),IFERROR(_xlfn.XLOOKUP($P597,'Department Listing'!$A:$A,'Department Listing'!$L:$L),""),$M597)</f>
        <v/>
      </c>
      <c r="Z597" s="11" t="str">
        <f>IF(ISBLANK($B597),"",MATCH($X597,COA!$B:$B,0))</f>
        <v/>
      </c>
    </row>
    <row r="598" spans="2:26" ht="15.75" customHeight="1" x14ac:dyDescent="0.25">
      <c r="B598" s="24"/>
      <c r="C598" s="10"/>
      <c r="D598" s="10"/>
      <c r="E598" s="25"/>
      <c r="F598" s="10"/>
      <c r="G598" s="10"/>
      <c r="H598" s="10"/>
      <c r="I598" s="9"/>
      <c r="J598" s="9"/>
      <c r="K598" s="9"/>
      <c r="L598" s="9"/>
      <c r="M598" s="9"/>
      <c r="N598" s="17"/>
      <c r="O598" s="17" t="str">
        <f t="shared" si="72"/>
        <v/>
      </c>
      <c r="P598" s="17" t="str">
        <f>IFERROR(_xlfn.XLOOKUP(O598,'Department Listing'!$O$1:$O$395,'Department Listing'!$A$1:$A$395),IFERROR(_xlfn.XLOOKUP(O598,'Name Aliases'!$A$2:$A$1000,'Name Aliases'!$B$2:$B$1000),""))</f>
        <v/>
      </c>
      <c r="Q598" s="18" t="str">
        <f t="shared" si="73"/>
        <v/>
      </c>
      <c r="R598" s="17" t="str">
        <f t="shared" si="74"/>
        <v/>
      </c>
      <c r="S598" s="19" t="str">
        <f t="shared" si="75"/>
        <v/>
      </c>
      <c r="T598" s="17" t="str">
        <f t="shared" si="76"/>
        <v/>
      </c>
      <c r="U598" s="17" t="str">
        <f t="shared" si="77"/>
        <v/>
      </c>
      <c r="V598" s="19" t="str">
        <f>IF(ISBLANK($B598),"",IF(ISBLANK($K598),IF(_xlfn.XLOOKUP($W598,'Category Mapping'!$C:$C,'Category Mapping'!$B:$B)="Travel",_xlfn.XLOOKUP($P598,'Department Listing'!$A:$A,'Department Listing'!$M:$M),_xlfn.XLOOKUP($W598,'Category Mapping'!$C:$C,'Category Mapping'!$D:$D)),$K598))</f>
        <v/>
      </c>
      <c r="W598" s="19" t="str">
        <f t="shared" si="78"/>
        <v/>
      </c>
      <c r="X598" s="19" t="str">
        <f t="shared" si="79"/>
        <v/>
      </c>
      <c r="Y598" s="20" t="str">
        <f>IF(ISBLANK($M598),IFERROR(_xlfn.XLOOKUP($P598,'Department Listing'!$A:$A,'Department Listing'!$L:$L),""),$M598)</f>
        <v/>
      </c>
      <c r="Z598" s="11" t="str">
        <f>IF(ISBLANK($B598),"",MATCH($X598,COA!$B:$B,0))</f>
        <v/>
      </c>
    </row>
    <row r="599" spans="2:26" ht="15.75" customHeight="1" x14ac:dyDescent="0.25">
      <c r="B599" s="24"/>
      <c r="C599" s="10"/>
      <c r="D599" s="10"/>
      <c r="E599" s="25"/>
      <c r="F599" s="10"/>
      <c r="G599" s="10"/>
      <c r="H599" s="10"/>
      <c r="I599" s="9"/>
      <c r="J599" s="9"/>
      <c r="K599" s="9"/>
      <c r="L599" s="9"/>
      <c r="M599" s="9"/>
      <c r="N599" s="17"/>
      <c r="O599" s="17" t="str">
        <f t="shared" si="72"/>
        <v/>
      </c>
      <c r="P599" s="17" t="str">
        <f>IFERROR(_xlfn.XLOOKUP(O599,'Department Listing'!$O$1:$O$395,'Department Listing'!$A$1:$A$395),IFERROR(_xlfn.XLOOKUP(O599,'Name Aliases'!$A$2:$A$1000,'Name Aliases'!$B$2:$B$1000),""))</f>
        <v/>
      </c>
      <c r="Q599" s="18" t="str">
        <f t="shared" si="73"/>
        <v/>
      </c>
      <c r="R599" s="17" t="str">
        <f t="shared" si="74"/>
        <v/>
      </c>
      <c r="S599" s="19" t="str">
        <f t="shared" si="75"/>
        <v/>
      </c>
      <c r="T599" s="17" t="str">
        <f t="shared" si="76"/>
        <v/>
      </c>
      <c r="U599" s="17" t="str">
        <f t="shared" si="77"/>
        <v/>
      </c>
      <c r="V599" s="19" t="str">
        <f>IF(ISBLANK($B599),"",IF(ISBLANK($K599),IF(_xlfn.XLOOKUP($W599,'Category Mapping'!$C:$C,'Category Mapping'!$B:$B)="Travel",_xlfn.XLOOKUP($P599,'Department Listing'!$A:$A,'Department Listing'!$M:$M),_xlfn.XLOOKUP($W599,'Category Mapping'!$C:$C,'Category Mapping'!$D:$D)),$K599))</f>
        <v/>
      </c>
      <c r="W599" s="19" t="str">
        <f t="shared" si="78"/>
        <v/>
      </c>
      <c r="X599" s="19" t="str">
        <f t="shared" si="79"/>
        <v/>
      </c>
      <c r="Y599" s="20" t="str">
        <f>IF(ISBLANK($M599),IFERROR(_xlfn.XLOOKUP($P599,'Department Listing'!$A:$A,'Department Listing'!$L:$L),""),$M599)</f>
        <v/>
      </c>
      <c r="Z599" s="11" t="str">
        <f>IF(ISBLANK($B599),"",MATCH($X599,COA!$B:$B,0))</f>
        <v/>
      </c>
    </row>
    <row r="600" spans="2:26" ht="15.75" customHeight="1" x14ac:dyDescent="0.25">
      <c r="B600" s="24"/>
      <c r="C600" s="10"/>
      <c r="D600" s="10"/>
      <c r="E600" s="25"/>
      <c r="F600" s="10"/>
      <c r="G600" s="10"/>
      <c r="H600" s="10"/>
      <c r="I600" s="9"/>
      <c r="J600" s="9"/>
      <c r="K600" s="9"/>
      <c r="L600" s="9"/>
      <c r="M600" s="9"/>
      <c r="N600" s="17"/>
      <c r="O600" s="17" t="str">
        <f t="shared" si="72"/>
        <v/>
      </c>
      <c r="P600" s="17" t="str">
        <f>IFERROR(_xlfn.XLOOKUP(O600,'Department Listing'!$O$1:$O$395,'Department Listing'!$A$1:$A$395),IFERROR(_xlfn.XLOOKUP(O600,'Name Aliases'!$A$2:$A$1000,'Name Aliases'!$B$2:$B$1000),""))</f>
        <v/>
      </c>
      <c r="Q600" s="18" t="str">
        <f t="shared" si="73"/>
        <v/>
      </c>
      <c r="R600" s="17" t="str">
        <f t="shared" si="74"/>
        <v/>
      </c>
      <c r="S600" s="19" t="str">
        <f t="shared" si="75"/>
        <v/>
      </c>
      <c r="T600" s="17" t="str">
        <f t="shared" si="76"/>
        <v/>
      </c>
      <c r="U600" s="17" t="str">
        <f t="shared" si="77"/>
        <v/>
      </c>
      <c r="V600" s="19" t="str">
        <f>IF(ISBLANK($B600),"",IF(ISBLANK($K600),IF(_xlfn.XLOOKUP($W600,'Category Mapping'!$C:$C,'Category Mapping'!$B:$B)="Travel",_xlfn.XLOOKUP($P600,'Department Listing'!$A:$A,'Department Listing'!$M:$M),_xlfn.XLOOKUP($W600,'Category Mapping'!$C:$C,'Category Mapping'!$D:$D)),$K600))</f>
        <v/>
      </c>
      <c r="W600" s="19" t="str">
        <f t="shared" si="78"/>
        <v/>
      </c>
      <c r="X600" s="19" t="str">
        <f t="shared" si="79"/>
        <v/>
      </c>
      <c r="Y600" s="20" t="str">
        <f>IF(ISBLANK($M600),IFERROR(_xlfn.XLOOKUP($P600,'Department Listing'!$A:$A,'Department Listing'!$L:$L),""),$M600)</f>
        <v/>
      </c>
      <c r="Z600" s="11" t="str">
        <f>IF(ISBLANK($B600),"",MATCH($X600,COA!$B:$B,0))</f>
        <v/>
      </c>
    </row>
    <row r="601" spans="2:26" ht="15.75" customHeight="1" x14ac:dyDescent="0.25">
      <c r="B601" s="24"/>
      <c r="C601" s="10"/>
      <c r="D601" s="10"/>
      <c r="E601" s="25"/>
      <c r="F601" s="10"/>
      <c r="G601" s="10"/>
      <c r="H601" s="10"/>
      <c r="I601" s="9"/>
      <c r="J601" s="9"/>
      <c r="K601" s="9"/>
      <c r="L601" s="9"/>
      <c r="M601" s="9"/>
      <c r="N601" s="17"/>
      <c r="O601" s="17" t="str">
        <f t="shared" si="72"/>
        <v/>
      </c>
      <c r="P601" s="17" t="str">
        <f>IFERROR(_xlfn.XLOOKUP(O601,'Department Listing'!$O$1:$O$395,'Department Listing'!$A$1:$A$395),IFERROR(_xlfn.XLOOKUP(O601,'Name Aliases'!$A$2:$A$1000,'Name Aliases'!$B$2:$B$1000),""))</f>
        <v/>
      </c>
      <c r="Q601" s="18" t="str">
        <f t="shared" si="73"/>
        <v/>
      </c>
      <c r="R601" s="17" t="str">
        <f t="shared" si="74"/>
        <v/>
      </c>
      <c r="S601" s="19" t="str">
        <f t="shared" si="75"/>
        <v/>
      </c>
      <c r="T601" s="17" t="str">
        <f t="shared" si="76"/>
        <v/>
      </c>
      <c r="U601" s="17" t="str">
        <f t="shared" si="77"/>
        <v/>
      </c>
      <c r="V601" s="19" t="str">
        <f>IF(ISBLANK($B601),"",IF(ISBLANK($K601),IF(_xlfn.XLOOKUP($W601,'Category Mapping'!$C:$C,'Category Mapping'!$B:$B)="Travel",_xlfn.XLOOKUP($P601,'Department Listing'!$A:$A,'Department Listing'!$M:$M),_xlfn.XLOOKUP($W601,'Category Mapping'!$C:$C,'Category Mapping'!$D:$D)),$K601))</f>
        <v/>
      </c>
      <c r="W601" s="19" t="str">
        <f t="shared" si="78"/>
        <v/>
      </c>
      <c r="X601" s="19" t="str">
        <f t="shared" si="79"/>
        <v/>
      </c>
      <c r="Y601" s="20" t="str">
        <f>IF(ISBLANK($M601),IFERROR(_xlfn.XLOOKUP($P601,'Department Listing'!$A:$A,'Department Listing'!$L:$L),""),$M601)</f>
        <v/>
      </c>
      <c r="Z601" s="11" t="str">
        <f>IF(ISBLANK($B601),"",MATCH($X601,COA!$B:$B,0))</f>
        <v/>
      </c>
    </row>
    <row r="602" spans="2:26" ht="15.75" customHeight="1" x14ac:dyDescent="0.25">
      <c r="B602" s="24"/>
      <c r="C602" s="10"/>
      <c r="D602" s="10"/>
      <c r="E602" s="25"/>
      <c r="F602" s="10"/>
      <c r="G602" s="10"/>
      <c r="H602" s="10"/>
      <c r="I602" s="9"/>
      <c r="J602" s="9"/>
      <c r="K602" s="9"/>
      <c r="L602" s="9"/>
      <c r="M602" s="9"/>
      <c r="N602" s="17"/>
      <c r="O602" s="17" t="str">
        <f t="shared" si="72"/>
        <v/>
      </c>
      <c r="P602" s="17" t="str">
        <f>IFERROR(_xlfn.XLOOKUP(O602,'Department Listing'!$O$1:$O$395,'Department Listing'!$A$1:$A$395),IFERROR(_xlfn.XLOOKUP(O602,'Name Aliases'!$A$2:$A$1000,'Name Aliases'!$B$2:$B$1000),""))</f>
        <v/>
      </c>
      <c r="Q602" s="18" t="str">
        <f t="shared" si="73"/>
        <v/>
      </c>
      <c r="R602" s="17" t="str">
        <f t="shared" si="74"/>
        <v/>
      </c>
      <c r="S602" s="19" t="str">
        <f t="shared" si="75"/>
        <v/>
      </c>
      <c r="T602" s="17" t="str">
        <f t="shared" si="76"/>
        <v/>
      </c>
      <c r="U602" s="17" t="str">
        <f t="shared" si="77"/>
        <v/>
      </c>
      <c r="V602" s="19" t="str">
        <f>IF(ISBLANK($B602),"",IF(ISBLANK($K602),IF(_xlfn.XLOOKUP($W602,'Category Mapping'!$C:$C,'Category Mapping'!$B:$B)="Travel",_xlfn.XLOOKUP($P602,'Department Listing'!$A:$A,'Department Listing'!$M:$M),_xlfn.XLOOKUP($W602,'Category Mapping'!$C:$C,'Category Mapping'!$D:$D)),$K602))</f>
        <v/>
      </c>
      <c r="W602" s="19" t="str">
        <f t="shared" si="78"/>
        <v/>
      </c>
      <c r="X602" s="19" t="str">
        <f t="shared" si="79"/>
        <v/>
      </c>
      <c r="Y602" s="20" t="str">
        <f>IF(ISBLANK($M602),IFERROR(_xlfn.XLOOKUP($P602,'Department Listing'!$A:$A,'Department Listing'!$L:$L),""),$M602)</f>
        <v/>
      </c>
      <c r="Z602" s="11" t="str">
        <f>IF(ISBLANK($B602),"",MATCH($X602,COA!$B:$B,0))</f>
        <v/>
      </c>
    </row>
    <row r="603" spans="2:26" ht="15.75" customHeight="1" x14ac:dyDescent="0.25">
      <c r="B603" s="24"/>
      <c r="C603" s="10"/>
      <c r="D603" s="10"/>
      <c r="E603" s="25"/>
      <c r="F603" s="10"/>
      <c r="G603" s="10"/>
      <c r="H603" s="10"/>
      <c r="I603" s="9"/>
      <c r="J603" s="9"/>
      <c r="K603" s="9"/>
      <c r="L603" s="9"/>
      <c r="M603" s="9"/>
      <c r="N603" s="17"/>
      <c r="O603" s="17" t="str">
        <f t="shared" si="72"/>
        <v/>
      </c>
      <c r="P603" s="17" t="str">
        <f>IFERROR(_xlfn.XLOOKUP(O603,'Department Listing'!$O$1:$O$395,'Department Listing'!$A$1:$A$395),IFERROR(_xlfn.XLOOKUP(O603,'Name Aliases'!$A$2:$A$1000,'Name Aliases'!$B$2:$B$1000),""))</f>
        <v/>
      </c>
      <c r="Q603" s="18" t="str">
        <f t="shared" si="73"/>
        <v/>
      </c>
      <c r="R603" s="17" t="str">
        <f t="shared" si="74"/>
        <v/>
      </c>
      <c r="S603" s="19" t="str">
        <f t="shared" si="75"/>
        <v/>
      </c>
      <c r="T603" s="17" t="str">
        <f t="shared" si="76"/>
        <v/>
      </c>
      <c r="U603" s="17" t="str">
        <f t="shared" si="77"/>
        <v/>
      </c>
      <c r="V603" s="19" t="str">
        <f>IF(ISBLANK($B603),"",IF(ISBLANK($K603),IF(_xlfn.XLOOKUP($W603,'Category Mapping'!$C:$C,'Category Mapping'!$B:$B)="Travel",_xlfn.XLOOKUP($P603,'Department Listing'!$A:$A,'Department Listing'!$M:$M),_xlfn.XLOOKUP($W603,'Category Mapping'!$C:$C,'Category Mapping'!$D:$D)),$K603))</f>
        <v/>
      </c>
      <c r="W603" s="19" t="str">
        <f t="shared" si="78"/>
        <v/>
      </c>
      <c r="X603" s="19" t="str">
        <f t="shared" si="79"/>
        <v/>
      </c>
      <c r="Y603" s="20" t="str">
        <f>IF(ISBLANK($M603),IFERROR(_xlfn.XLOOKUP($P603,'Department Listing'!$A:$A,'Department Listing'!$L:$L),""),$M603)</f>
        <v/>
      </c>
      <c r="Z603" s="11" t="str">
        <f>IF(ISBLANK($B603),"",MATCH($X603,COA!$B:$B,0))</f>
        <v/>
      </c>
    </row>
    <row r="604" spans="2:26" ht="15.75" customHeight="1" x14ac:dyDescent="0.25">
      <c r="B604" s="24"/>
      <c r="C604" s="10"/>
      <c r="D604" s="10"/>
      <c r="E604" s="25"/>
      <c r="F604" s="10"/>
      <c r="G604" s="10"/>
      <c r="H604" s="10"/>
      <c r="I604" s="9"/>
      <c r="J604" s="9"/>
      <c r="K604" s="9"/>
      <c r="L604" s="9"/>
      <c r="M604" s="9"/>
      <c r="N604" s="17"/>
      <c r="O604" s="17" t="str">
        <f t="shared" si="72"/>
        <v/>
      </c>
      <c r="P604" s="17" t="str">
        <f>IFERROR(_xlfn.XLOOKUP(O604,'Department Listing'!$O$1:$O$395,'Department Listing'!$A$1:$A$395),IFERROR(_xlfn.XLOOKUP(O604,'Name Aliases'!$A$2:$A$1000,'Name Aliases'!$B$2:$B$1000),""))</f>
        <v/>
      </c>
      <c r="Q604" s="18" t="str">
        <f t="shared" si="73"/>
        <v/>
      </c>
      <c r="R604" s="17" t="str">
        <f t="shared" si="74"/>
        <v/>
      </c>
      <c r="S604" s="19" t="str">
        <f t="shared" si="75"/>
        <v/>
      </c>
      <c r="T604" s="17" t="str">
        <f t="shared" si="76"/>
        <v/>
      </c>
      <c r="U604" s="17" t="str">
        <f t="shared" si="77"/>
        <v/>
      </c>
      <c r="V604" s="19" t="str">
        <f>IF(ISBLANK($B604),"",IF(ISBLANK($K604),IF(_xlfn.XLOOKUP($W604,'Category Mapping'!$C:$C,'Category Mapping'!$B:$B)="Travel",_xlfn.XLOOKUP($P604,'Department Listing'!$A:$A,'Department Listing'!$M:$M),_xlfn.XLOOKUP($W604,'Category Mapping'!$C:$C,'Category Mapping'!$D:$D)),$K604))</f>
        <v/>
      </c>
      <c r="W604" s="19" t="str">
        <f t="shared" si="78"/>
        <v/>
      </c>
      <c r="X604" s="19" t="str">
        <f t="shared" si="79"/>
        <v/>
      </c>
      <c r="Y604" s="20" t="str">
        <f>IF(ISBLANK($M604),IFERROR(_xlfn.XLOOKUP($P604,'Department Listing'!$A:$A,'Department Listing'!$L:$L),""),$M604)</f>
        <v/>
      </c>
      <c r="Z604" s="11" t="str">
        <f>IF(ISBLANK($B604),"",MATCH($X604,COA!$B:$B,0))</f>
        <v/>
      </c>
    </row>
    <row r="605" spans="2:26" ht="15.75" customHeight="1" x14ac:dyDescent="0.25">
      <c r="B605" s="24"/>
      <c r="C605" s="10"/>
      <c r="D605" s="10"/>
      <c r="E605" s="25"/>
      <c r="F605" s="10"/>
      <c r="G605" s="10"/>
      <c r="H605" s="10"/>
      <c r="I605" s="9"/>
      <c r="J605" s="9"/>
      <c r="K605" s="9"/>
      <c r="L605" s="9"/>
      <c r="M605" s="9"/>
      <c r="N605" s="17"/>
      <c r="O605" s="17" t="str">
        <f t="shared" si="72"/>
        <v/>
      </c>
      <c r="P605" s="17" t="str">
        <f>IFERROR(_xlfn.XLOOKUP(O605,'Department Listing'!$O$1:$O$395,'Department Listing'!$A$1:$A$395),IFERROR(_xlfn.XLOOKUP(O605,'Name Aliases'!$A$2:$A$1000,'Name Aliases'!$B$2:$B$1000),""))</f>
        <v/>
      </c>
      <c r="Q605" s="18" t="str">
        <f t="shared" si="73"/>
        <v/>
      </c>
      <c r="R605" s="17" t="str">
        <f t="shared" si="74"/>
        <v/>
      </c>
      <c r="S605" s="19" t="str">
        <f t="shared" si="75"/>
        <v/>
      </c>
      <c r="T605" s="17" t="str">
        <f t="shared" si="76"/>
        <v/>
      </c>
      <c r="U605" s="17" t="str">
        <f t="shared" si="77"/>
        <v/>
      </c>
      <c r="V605" s="19" t="str">
        <f>IF(ISBLANK($B605),"",IF(ISBLANK($K605),IF(_xlfn.XLOOKUP($W605,'Category Mapping'!$C:$C,'Category Mapping'!$B:$B)="Travel",_xlfn.XLOOKUP($P605,'Department Listing'!$A:$A,'Department Listing'!$M:$M),_xlfn.XLOOKUP($W605,'Category Mapping'!$C:$C,'Category Mapping'!$D:$D)),$K605))</f>
        <v/>
      </c>
      <c r="W605" s="19" t="str">
        <f t="shared" si="78"/>
        <v/>
      </c>
      <c r="X605" s="19" t="str">
        <f t="shared" si="79"/>
        <v/>
      </c>
      <c r="Y605" s="20" t="str">
        <f>IF(ISBLANK($M605),IFERROR(_xlfn.XLOOKUP($P605,'Department Listing'!$A:$A,'Department Listing'!$L:$L),""),$M605)</f>
        <v/>
      </c>
      <c r="Z605" s="11" t="str">
        <f>IF(ISBLANK($B605),"",MATCH($X605,COA!$B:$B,0))</f>
        <v/>
      </c>
    </row>
    <row r="606" spans="2:26" ht="15.75" customHeight="1" x14ac:dyDescent="0.25">
      <c r="B606" s="24"/>
      <c r="C606" s="10"/>
      <c r="D606" s="10"/>
      <c r="E606" s="25"/>
      <c r="F606" s="10"/>
      <c r="G606" s="10"/>
      <c r="H606" s="10"/>
      <c r="I606" s="9"/>
      <c r="J606" s="9"/>
      <c r="K606" s="9"/>
      <c r="L606" s="9"/>
      <c r="M606" s="9"/>
      <c r="N606" s="17"/>
      <c r="O606" s="17" t="str">
        <f t="shared" si="72"/>
        <v/>
      </c>
      <c r="P606" s="17" t="str">
        <f>IFERROR(_xlfn.XLOOKUP(O606,'Department Listing'!$O$1:$O$395,'Department Listing'!$A$1:$A$395),IFERROR(_xlfn.XLOOKUP(O606,'Name Aliases'!$A$2:$A$1000,'Name Aliases'!$B$2:$B$1000),""))</f>
        <v/>
      </c>
      <c r="Q606" s="18" t="str">
        <f t="shared" si="73"/>
        <v/>
      </c>
      <c r="R606" s="17" t="str">
        <f t="shared" si="74"/>
        <v/>
      </c>
      <c r="S606" s="19" t="str">
        <f t="shared" si="75"/>
        <v/>
      </c>
      <c r="T606" s="17" t="str">
        <f t="shared" si="76"/>
        <v/>
      </c>
      <c r="U606" s="17" t="str">
        <f t="shared" si="77"/>
        <v/>
      </c>
      <c r="V606" s="19" t="str">
        <f>IF(ISBLANK($B606),"",IF(ISBLANK($K606),IF(_xlfn.XLOOKUP($W606,'Category Mapping'!$C:$C,'Category Mapping'!$B:$B)="Travel",_xlfn.XLOOKUP($P606,'Department Listing'!$A:$A,'Department Listing'!$M:$M),_xlfn.XLOOKUP($W606,'Category Mapping'!$C:$C,'Category Mapping'!$D:$D)),$K606))</f>
        <v/>
      </c>
      <c r="W606" s="19" t="str">
        <f t="shared" si="78"/>
        <v/>
      </c>
      <c r="X606" s="19" t="str">
        <f t="shared" si="79"/>
        <v/>
      </c>
      <c r="Y606" s="20" t="str">
        <f>IF(ISBLANK($M606),IFERROR(_xlfn.XLOOKUP($P606,'Department Listing'!$A:$A,'Department Listing'!$L:$L),""),$M606)</f>
        <v/>
      </c>
      <c r="Z606" s="11" t="str">
        <f>IF(ISBLANK($B606),"",MATCH($X606,COA!$B:$B,0))</f>
        <v/>
      </c>
    </row>
    <row r="607" spans="2:26" ht="15.75" customHeight="1" x14ac:dyDescent="0.25">
      <c r="B607" s="24"/>
      <c r="C607" s="10"/>
      <c r="D607" s="10"/>
      <c r="E607" s="25"/>
      <c r="F607" s="10"/>
      <c r="G607" s="10"/>
      <c r="H607" s="10"/>
      <c r="I607" s="9"/>
      <c r="J607" s="9"/>
      <c r="K607" s="9"/>
      <c r="L607" s="9"/>
      <c r="M607" s="9"/>
      <c r="N607" s="17"/>
      <c r="O607" s="17" t="str">
        <f t="shared" si="72"/>
        <v/>
      </c>
      <c r="P607" s="17" t="str">
        <f>IFERROR(_xlfn.XLOOKUP(O607,'Department Listing'!$O$1:$O$395,'Department Listing'!$A$1:$A$395),IFERROR(_xlfn.XLOOKUP(O607,'Name Aliases'!$A$2:$A$1000,'Name Aliases'!$B$2:$B$1000),""))</f>
        <v/>
      </c>
      <c r="Q607" s="18" t="str">
        <f t="shared" si="73"/>
        <v/>
      </c>
      <c r="R607" s="17" t="str">
        <f t="shared" si="74"/>
        <v/>
      </c>
      <c r="S607" s="19" t="str">
        <f t="shared" si="75"/>
        <v/>
      </c>
      <c r="T607" s="17" t="str">
        <f t="shared" si="76"/>
        <v/>
      </c>
      <c r="U607" s="17" t="str">
        <f t="shared" si="77"/>
        <v/>
      </c>
      <c r="V607" s="19" t="str">
        <f>IF(ISBLANK($B607),"",IF(ISBLANK($K607),IF(_xlfn.XLOOKUP($W607,'Category Mapping'!$C:$C,'Category Mapping'!$B:$B)="Travel",_xlfn.XLOOKUP($P607,'Department Listing'!$A:$A,'Department Listing'!$M:$M),_xlfn.XLOOKUP($W607,'Category Mapping'!$C:$C,'Category Mapping'!$D:$D)),$K607))</f>
        <v/>
      </c>
      <c r="W607" s="19" t="str">
        <f t="shared" si="78"/>
        <v/>
      </c>
      <c r="X607" s="19" t="str">
        <f t="shared" si="79"/>
        <v/>
      </c>
      <c r="Y607" s="20" t="str">
        <f>IF(ISBLANK($M607),IFERROR(_xlfn.XLOOKUP($P607,'Department Listing'!$A:$A,'Department Listing'!$L:$L),""),$M607)</f>
        <v/>
      </c>
      <c r="Z607" s="11" t="str">
        <f>IF(ISBLANK($B607),"",MATCH($X607,COA!$B:$B,0))</f>
        <v/>
      </c>
    </row>
    <row r="608" spans="2:26" ht="15.75" customHeight="1" x14ac:dyDescent="0.25">
      <c r="B608" s="24"/>
      <c r="C608" s="10"/>
      <c r="D608" s="10"/>
      <c r="E608" s="25"/>
      <c r="F608" s="10"/>
      <c r="G608" s="10"/>
      <c r="H608" s="10"/>
      <c r="I608" s="9"/>
      <c r="J608" s="9"/>
      <c r="K608" s="9"/>
      <c r="L608" s="9"/>
      <c r="M608" s="9"/>
      <c r="N608" s="17"/>
      <c r="O608" s="17" t="str">
        <f t="shared" si="72"/>
        <v/>
      </c>
      <c r="P608" s="17" t="str">
        <f>IFERROR(_xlfn.XLOOKUP(O608,'Department Listing'!$O$1:$O$395,'Department Listing'!$A$1:$A$395),IFERROR(_xlfn.XLOOKUP(O608,'Name Aliases'!$A$2:$A$1000,'Name Aliases'!$B$2:$B$1000),""))</f>
        <v/>
      </c>
      <c r="Q608" s="18" t="str">
        <f t="shared" si="73"/>
        <v/>
      </c>
      <c r="R608" s="17" t="str">
        <f t="shared" si="74"/>
        <v/>
      </c>
      <c r="S608" s="19" t="str">
        <f t="shared" si="75"/>
        <v/>
      </c>
      <c r="T608" s="17" t="str">
        <f t="shared" si="76"/>
        <v/>
      </c>
      <c r="U608" s="17" t="str">
        <f t="shared" si="77"/>
        <v/>
      </c>
      <c r="V608" s="19" t="str">
        <f>IF(ISBLANK($B608),"",IF(ISBLANK($K608),IF(_xlfn.XLOOKUP($W608,'Category Mapping'!$C:$C,'Category Mapping'!$B:$B)="Travel",_xlfn.XLOOKUP($P608,'Department Listing'!$A:$A,'Department Listing'!$M:$M),_xlfn.XLOOKUP($W608,'Category Mapping'!$C:$C,'Category Mapping'!$D:$D)),$K608))</f>
        <v/>
      </c>
      <c r="W608" s="19" t="str">
        <f t="shared" si="78"/>
        <v/>
      </c>
      <c r="X608" s="19" t="str">
        <f t="shared" si="79"/>
        <v/>
      </c>
      <c r="Y608" s="20" t="str">
        <f>IF(ISBLANK($M608),IFERROR(_xlfn.XLOOKUP($P608,'Department Listing'!$A:$A,'Department Listing'!$L:$L),""),$M608)</f>
        <v/>
      </c>
      <c r="Z608" s="11" t="str">
        <f>IF(ISBLANK($B608),"",MATCH($X608,COA!$B:$B,0))</f>
        <v/>
      </c>
    </row>
    <row r="609" spans="2:26" ht="15.75" customHeight="1" x14ac:dyDescent="0.25">
      <c r="B609" s="24"/>
      <c r="C609" s="10"/>
      <c r="D609" s="10"/>
      <c r="E609" s="25"/>
      <c r="F609" s="10"/>
      <c r="G609" s="10"/>
      <c r="H609" s="10"/>
      <c r="I609" s="9"/>
      <c r="J609" s="9"/>
      <c r="K609" s="9"/>
      <c r="L609" s="9"/>
      <c r="M609" s="9"/>
      <c r="N609" s="17"/>
      <c r="O609" s="17" t="str">
        <f t="shared" si="72"/>
        <v/>
      </c>
      <c r="P609" s="17" t="str">
        <f>IFERROR(_xlfn.XLOOKUP(O609,'Department Listing'!$O$1:$O$395,'Department Listing'!$A$1:$A$395),IFERROR(_xlfn.XLOOKUP(O609,'Name Aliases'!$A$2:$A$1000,'Name Aliases'!$B$2:$B$1000),""))</f>
        <v/>
      </c>
      <c r="Q609" s="18" t="str">
        <f t="shared" si="73"/>
        <v/>
      </c>
      <c r="R609" s="17" t="str">
        <f t="shared" si="74"/>
        <v/>
      </c>
      <c r="S609" s="19" t="str">
        <f t="shared" si="75"/>
        <v/>
      </c>
      <c r="T609" s="17" t="str">
        <f t="shared" si="76"/>
        <v/>
      </c>
      <c r="U609" s="17" t="str">
        <f t="shared" si="77"/>
        <v/>
      </c>
      <c r="V609" s="19" t="str">
        <f>IF(ISBLANK($B609),"",IF(ISBLANK($K609),IF(_xlfn.XLOOKUP($W609,'Category Mapping'!$C:$C,'Category Mapping'!$B:$B)="Travel",_xlfn.XLOOKUP($P609,'Department Listing'!$A:$A,'Department Listing'!$M:$M),_xlfn.XLOOKUP($W609,'Category Mapping'!$C:$C,'Category Mapping'!$D:$D)),$K609))</f>
        <v/>
      </c>
      <c r="W609" s="19" t="str">
        <f t="shared" si="78"/>
        <v/>
      </c>
      <c r="X609" s="19" t="str">
        <f t="shared" si="79"/>
        <v/>
      </c>
      <c r="Y609" s="20" t="str">
        <f>IF(ISBLANK($M609),IFERROR(_xlfn.XLOOKUP($P609,'Department Listing'!$A:$A,'Department Listing'!$L:$L),""),$M609)</f>
        <v/>
      </c>
      <c r="Z609" s="11" t="str">
        <f>IF(ISBLANK($B609),"",MATCH($X609,COA!$B:$B,0))</f>
        <v/>
      </c>
    </row>
    <row r="610" spans="2:26" ht="15.75" customHeight="1" x14ac:dyDescent="0.25">
      <c r="B610" s="24"/>
      <c r="C610" s="10"/>
      <c r="D610" s="10"/>
      <c r="E610" s="25"/>
      <c r="F610" s="10"/>
      <c r="G610" s="10"/>
      <c r="H610" s="10"/>
      <c r="I610" s="9"/>
      <c r="J610" s="9"/>
      <c r="K610" s="9"/>
      <c r="L610" s="9"/>
      <c r="M610" s="9"/>
      <c r="N610" s="17"/>
      <c r="O610" s="17" t="str">
        <f t="shared" si="72"/>
        <v/>
      </c>
      <c r="P610" s="17" t="str">
        <f>IFERROR(_xlfn.XLOOKUP(O610,'Department Listing'!$O$1:$O$395,'Department Listing'!$A$1:$A$395),IFERROR(_xlfn.XLOOKUP(O610,'Name Aliases'!$A$2:$A$1000,'Name Aliases'!$B$2:$B$1000),""))</f>
        <v/>
      </c>
      <c r="Q610" s="18" t="str">
        <f t="shared" si="73"/>
        <v/>
      </c>
      <c r="R610" s="17" t="str">
        <f t="shared" si="74"/>
        <v/>
      </c>
      <c r="S610" s="19" t="str">
        <f t="shared" si="75"/>
        <v/>
      </c>
      <c r="T610" s="17" t="str">
        <f t="shared" si="76"/>
        <v/>
      </c>
      <c r="U610" s="17" t="str">
        <f t="shared" si="77"/>
        <v/>
      </c>
      <c r="V610" s="19" t="str">
        <f>IF(ISBLANK($B610),"",IF(ISBLANK($K610),IF(_xlfn.XLOOKUP($W610,'Category Mapping'!$C:$C,'Category Mapping'!$B:$B)="Travel",_xlfn.XLOOKUP($P610,'Department Listing'!$A:$A,'Department Listing'!$M:$M),_xlfn.XLOOKUP($W610,'Category Mapping'!$C:$C,'Category Mapping'!$D:$D)),$K610))</f>
        <v/>
      </c>
      <c r="W610" s="19" t="str">
        <f t="shared" si="78"/>
        <v/>
      </c>
      <c r="X610" s="19" t="str">
        <f t="shared" si="79"/>
        <v/>
      </c>
      <c r="Y610" s="20" t="str">
        <f>IF(ISBLANK($M610),IFERROR(_xlfn.XLOOKUP($P610,'Department Listing'!$A:$A,'Department Listing'!$L:$L),""),$M610)</f>
        <v/>
      </c>
      <c r="Z610" s="11" t="str">
        <f>IF(ISBLANK($B610),"",MATCH($X610,COA!$B:$B,0))</f>
        <v/>
      </c>
    </row>
    <row r="611" spans="2:26" ht="15.75" customHeight="1" x14ac:dyDescent="0.25">
      <c r="B611" s="24"/>
      <c r="C611" s="10"/>
      <c r="D611" s="10"/>
      <c r="E611" s="25"/>
      <c r="F611" s="10"/>
      <c r="G611" s="10"/>
      <c r="H611" s="10"/>
      <c r="I611" s="9"/>
      <c r="J611" s="9"/>
      <c r="K611" s="9"/>
      <c r="L611" s="9"/>
      <c r="M611" s="9"/>
      <c r="N611" s="17"/>
      <c r="O611" s="17" t="str">
        <f t="shared" si="72"/>
        <v/>
      </c>
      <c r="P611" s="17" t="str">
        <f>IFERROR(_xlfn.XLOOKUP(O611,'Department Listing'!$O$1:$O$395,'Department Listing'!$A$1:$A$395),IFERROR(_xlfn.XLOOKUP(O611,'Name Aliases'!$A$2:$A$1000,'Name Aliases'!$B$2:$B$1000),""))</f>
        <v/>
      </c>
      <c r="Q611" s="18" t="str">
        <f t="shared" si="73"/>
        <v/>
      </c>
      <c r="R611" s="17" t="str">
        <f t="shared" si="74"/>
        <v/>
      </c>
      <c r="S611" s="19" t="str">
        <f t="shared" si="75"/>
        <v/>
      </c>
      <c r="T611" s="17" t="str">
        <f t="shared" si="76"/>
        <v/>
      </c>
      <c r="U611" s="17" t="str">
        <f t="shared" si="77"/>
        <v/>
      </c>
      <c r="V611" s="19" t="str">
        <f>IF(ISBLANK($B611),"",IF(ISBLANK($K611),IF(_xlfn.XLOOKUP($W611,'Category Mapping'!$C:$C,'Category Mapping'!$B:$B)="Travel",_xlfn.XLOOKUP($P611,'Department Listing'!$A:$A,'Department Listing'!$M:$M),_xlfn.XLOOKUP($W611,'Category Mapping'!$C:$C,'Category Mapping'!$D:$D)),$K611))</f>
        <v/>
      </c>
      <c r="W611" s="19" t="str">
        <f t="shared" si="78"/>
        <v/>
      </c>
      <c r="X611" s="19" t="str">
        <f t="shared" si="79"/>
        <v/>
      </c>
      <c r="Y611" s="20" t="str">
        <f>IF(ISBLANK($M611),IFERROR(_xlfn.XLOOKUP($P611,'Department Listing'!$A:$A,'Department Listing'!$L:$L),""),$M611)</f>
        <v/>
      </c>
      <c r="Z611" s="11" t="str">
        <f>IF(ISBLANK($B611),"",MATCH($X611,COA!$B:$B,0))</f>
        <v/>
      </c>
    </row>
    <row r="612" spans="2:26" ht="15.75" customHeight="1" x14ac:dyDescent="0.25">
      <c r="B612" s="24"/>
      <c r="C612" s="10"/>
      <c r="D612" s="10"/>
      <c r="E612" s="25"/>
      <c r="F612" s="10"/>
      <c r="G612" s="10"/>
      <c r="H612" s="10"/>
      <c r="I612" s="9"/>
      <c r="J612" s="9"/>
      <c r="K612" s="9"/>
      <c r="L612" s="9"/>
      <c r="M612" s="9"/>
      <c r="N612" s="17"/>
      <c r="O612" s="17" t="str">
        <f t="shared" si="72"/>
        <v/>
      </c>
      <c r="P612" s="17" t="str">
        <f>IFERROR(_xlfn.XLOOKUP(O612,'Department Listing'!$O$1:$O$395,'Department Listing'!$A$1:$A$395),IFERROR(_xlfn.XLOOKUP(O612,'Name Aliases'!$A$2:$A$1000,'Name Aliases'!$B$2:$B$1000),""))</f>
        <v/>
      </c>
      <c r="Q612" s="18" t="str">
        <f t="shared" si="73"/>
        <v/>
      </c>
      <c r="R612" s="17" t="str">
        <f t="shared" si="74"/>
        <v/>
      </c>
      <c r="S612" s="19" t="str">
        <f t="shared" si="75"/>
        <v/>
      </c>
      <c r="T612" s="17" t="str">
        <f t="shared" si="76"/>
        <v/>
      </c>
      <c r="U612" s="17" t="str">
        <f t="shared" si="77"/>
        <v/>
      </c>
      <c r="V612" s="19" t="str">
        <f>IF(ISBLANK($B612),"",IF(ISBLANK($K612),IF(_xlfn.XLOOKUP($W612,'Category Mapping'!$C:$C,'Category Mapping'!$B:$B)="Travel",_xlfn.XLOOKUP($P612,'Department Listing'!$A:$A,'Department Listing'!$M:$M),_xlfn.XLOOKUP($W612,'Category Mapping'!$C:$C,'Category Mapping'!$D:$D)),$K612))</f>
        <v/>
      </c>
      <c r="W612" s="19" t="str">
        <f t="shared" si="78"/>
        <v/>
      </c>
      <c r="X612" s="19" t="str">
        <f t="shared" si="79"/>
        <v/>
      </c>
      <c r="Y612" s="20" t="str">
        <f>IF(ISBLANK($M612),IFERROR(_xlfn.XLOOKUP($P612,'Department Listing'!$A:$A,'Department Listing'!$L:$L),""),$M612)</f>
        <v/>
      </c>
      <c r="Z612" s="11" t="str">
        <f>IF(ISBLANK($B612),"",MATCH($X612,COA!$B:$B,0))</f>
        <v/>
      </c>
    </row>
    <row r="613" spans="2:26" ht="15.75" customHeight="1" x14ac:dyDescent="0.25">
      <c r="B613" s="24"/>
      <c r="C613" s="10"/>
      <c r="D613" s="10"/>
      <c r="E613" s="25"/>
      <c r="F613" s="10"/>
      <c r="G613" s="10"/>
      <c r="H613" s="10"/>
      <c r="I613" s="9"/>
      <c r="J613" s="9"/>
      <c r="K613" s="9"/>
      <c r="L613" s="9"/>
      <c r="M613" s="9"/>
      <c r="N613" s="17"/>
      <c r="O613" s="17" t="str">
        <f t="shared" si="72"/>
        <v/>
      </c>
      <c r="P613" s="17" t="str">
        <f>IFERROR(_xlfn.XLOOKUP(O613,'Department Listing'!$O$1:$O$395,'Department Listing'!$A$1:$A$395),IFERROR(_xlfn.XLOOKUP(O613,'Name Aliases'!$A$2:$A$1000,'Name Aliases'!$B$2:$B$1000),""))</f>
        <v/>
      </c>
      <c r="Q613" s="18" t="str">
        <f t="shared" si="73"/>
        <v/>
      </c>
      <c r="R613" s="17" t="str">
        <f t="shared" si="74"/>
        <v/>
      </c>
      <c r="S613" s="19" t="str">
        <f t="shared" si="75"/>
        <v/>
      </c>
      <c r="T613" s="17" t="str">
        <f t="shared" si="76"/>
        <v/>
      </c>
      <c r="U613" s="17" t="str">
        <f t="shared" si="77"/>
        <v/>
      </c>
      <c r="V613" s="19" t="str">
        <f>IF(ISBLANK($B613),"",IF(ISBLANK($K613),IF(_xlfn.XLOOKUP($W613,'Category Mapping'!$C:$C,'Category Mapping'!$B:$B)="Travel",_xlfn.XLOOKUP($P613,'Department Listing'!$A:$A,'Department Listing'!$M:$M),_xlfn.XLOOKUP($W613,'Category Mapping'!$C:$C,'Category Mapping'!$D:$D)),$K613))</f>
        <v/>
      </c>
      <c r="W613" s="19" t="str">
        <f t="shared" si="78"/>
        <v/>
      </c>
      <c r="X613" s="19" t="str">
        <f t="shared" si="79"/>
        <v/>
      </c>
      <c r="Y613" s="20" t="str">
        <f>IF(ISBLANK($M613),IFERROR(_xlfn.XLOOKUP($P613,'Department Listing'!$A:$A,'Department Listing'!$L:$L),""),$M613)</f>
        <v/>
      </c>
      <c r="Z613" s="11" t="str">
        <f>IF(ISBLANK($B613),"",MATCH($X613,COA!$B:$B,0))</f>
        <v/>
      </c>
    </row>
    <row r="614" spans="2:26" ht="15.75" customHeight="1" x14ac:dyDescent="0.25">
      <c r="B614" s="24"/>
      <c r="C614" s="10"/>
      <c r="D614" s="10"/>
      <c r="E614" s="25"/>
      <c r="F614" s="10"/>
      <c r="G614" s="10"/>
      <c r="H614" s="10"/>
      <c r="I614" s="9"/>
      <c r="J614" s="9"/>
      <c r="K614" s="9"/>
      <c r="L614" s="9"/>
      <c r="M614" s="9"/>
      <c r="N614" s="17"/>
      <c r="O614" s="17" t="str">
        <f t="shared" si="72"/>
        <v/>
      </c>
      <c r="P614" s="17" t="str">
        <f>IFERROR(_xlfn.XLOOKUP(O614,'Department Listing'!$O$1:$O$395,'Department Listing'!$A$1:$A$395),IFERROR(_xlfn.XLOOKUP(O614,'Name Aliases'!$A$2:$A$1000,'Name Aliases'!$B$2:$B$1000),""))</f>
        <v/>
      </c>
      <c r="Q614" s="18" t="str">
        <f t="shared" si="73"/>
        <v/>
      </c>
      <c r="R614" s="17" t="str">
        <f t="shared" si="74"/>
        <v/>
      </c>
      <c r="S614" s="19" t="str">
        <f t="shared" si="75"/>
        <v/>
      </c>
      <c r="T614" s="17" t="str">
        <f t="shared" si="76"/>
        <v/>
      </c>
      <c r="U614" s="17" t="str">
        <f t="shared" si="77"/>
        <v/>
      </c>
      <c r="V614" s="19" t="str">
        <f>IF(ISBLANK($B614),"",IF(ISBLANK($K614),IF(_xlfn.XLOOKUP($W614,'Category Mapping'!$C:$C,'Category Mapping'!$B:$B)="Travel",_xlfn.XLOOKUP($P614,'Department Listing'!$A:$A,'Department Listing'!$M:$M),_xlfn.XLOOKUP($W614,'Category Mapping'!$C:$C,'Category Mapping'!$D:$D)),$K614))</f>
        <v/>
      </c>
      <c r="W614" s="19" t="str">
        <f t="shared" si="78"/>
        <v/>
      </c>
      <c r="X614" s="19" t="str">
        <f t="shared" si="79"/>
        <v/>
      </c>
      <c r="Y614" s="20" t="str">
        <f>IF(ISBLANK($M614),IFERROR(_xlfn.XLOOKUP($P614,'Department Listing'!$A:$A,'Department Listing'!$L:$L),""),$M614)</f>
        <v/>
      </c>
      <c r="Z614" s="11" t="str">
        <f>IF(ISBLANK($B614),"",MATCH($X614,COA!$B:$B,0))</f>
        <v/>
      </c>
    </row>
    <row r="615" spans="2:26" ht="15.75" customHeight="1" x14ac:dyDescent="0.25">
      <c r="B615" s="24"/>
      <c r="C615" s="10"/>
      <c r="D615" s="10"/>
      <c r="E615" s="25"/>
      <c r="F615" s="10"/>
      <c r="G615" s="10"/>
      <c r="H615" s="10"/>
      <c r="I615" s="9"/>
      <c r="J615" s="9"/>
      <c r="K615" s="9"/>
      <c r="L615" s="9"/>
      <c r="M615" s="9"/>
      <c r="N615" s="17"/>
      <c r="O615" s="17" t="str">
        <f t="shared" si="72"/>
        <v/>
      </c>
      <c r="P615" s="17" t="str">
        <f>IFERROR(_xlfn.XLOOKUP(O615,'Department Listing'!$O$1:$O$395,'Department Listing'!$A$1:$A$395),IFERROR(_xlfn.XLOOKUP(O615,'Name Aliases'!$A$2:$A$1000,'Name Aliases'!$B$2:$B$1000),""))</f>
        <v/>
      </c>
      <c r="Q615" s="18" t="str">
        <f t="shared" si="73"/>
        <v/>
      </c>
      <c r="R615" s="17" t="str">
        <f t="shared" si="74"/>
        <v/>
      </c>
      <c r="S615" s="19" t="str">
        <f t="shared" si="75"/>
        <v/>
      </c>
      <c r="T615" s="17" t="str">
        <f t="shared" si="76"/>
        <v/>
      </c>
      <c r="U615" s="17" t="str">
        <f t="shared" si="77"/>
        <v/>
      </c>
      <c r="V615" s="19" t="str">
        <f>IF(ISBLANK($B615),"",IF(ISBLANK($K615),IF(_xlfn.XLOOKUP($W615,'Category Mapping'!$C:$C,'Category Mapping'!$B:$B)="Travel",_xlfn.XLOOKUP($P615,'Department Listing'!$A:$A,'Department Listing'!$M:$M),_xlfn.XLOOKUP($W615,'Category Mapping'!$C:$C,'Category Mapping'!$D:$D)),$K615))</f>
        <v/>
      </c>
      <c r="W615" s="19" t="str">
        <f t="shared" si="78"/>
        <v/>
      </c>
      <c r="X615" s="19" t="str">
        <f t="shared" si="79"/>
        <v/>
      </c>
      <c r="Y615" s="20" t="str">
        <f>IF(ISBLANK($M615),IFERROR(_xlfn.XLOOKUP($P615,'Department Listing'!$A:$A,'Department Listing'!$L:$L),""),$M615)</f>
        <v/>
      </c>
      <c r="Z615" s="11" t="str">
        <f>IF(ISBLANK($B615),"",MATCH($X615,COA!$B:$B,0))</f>
        <v/>
      </c>
    </row>
    <row r="616" spans="2:26" ht="15.75" customHeight="1" x14ac:dyDescent="0.25">
      <c r="B616" s="24"/>
      <c r="C616" s="10"/>
      <c r="D616" s="10"/>
      <c r="E616" s="25"/>
      <c r="F616" s="10"/>
      <c r="G616" s="10"/>
      <c r="H616" s="10"/>
      <c r="I616" s="9"/>
      <c r="J616" s="9"/>
      <c r="K616" s="9"/>
      <c r="L616" s="9"/>
      <c r="M616" s="9"/>
      <c r="N616" s="17"/>
      <c r="O616" s="17" t="str">
        <f t="shared" si="72"/>
        <v/>
      </c>
      <c r="P616" s="17" t="str">
        <f>IFERROR(_xlfn.XLOOKUP(O616,'Department Listing'!$O$1:$O$395,'Department Listing'!$A$1:$A$395),IFERROR(_xlfn.XLOOKUP(O616,'Name Aliases'!$A$2:$A$1000,'Name Aliases'!$B$2:$B$1000),""))</f>
        <v/>
      </c>
      <c r="Q616" s="18" t="str">
        <f t="shared" si="73"/>
        <v/>
      </c>
      <c r="R616" s="17" t="str">
        <f t="shared" si="74"/>
        <v/>
      </c>
      <c r="S616" s="19" t="str">
        <f t="shared" si="75"/>
        <v/>
      </c>
      <c r="T616" s="17" t="str">
        <f t="shared" si="76"/>
        <v/>
      </c>
      <c r="U616" s="17" t="str">
        <f t="shared" si="77"/>
        <v/>
      </c>
      <c r="V616" s="19" t="str">
        <f>IF(ISBLANK($B616),"",IF(ISBLANK($K616),IF(_xlfn.XLOOKUP($W616,'Category Mapping'!$C:$C,'Category Mapping'!$B:$B)="Travel",_xlfn.XLOOKUP($P616,'Department Listing'!$A:$A,'Department Listing'!$M:$M),_xlfn.XLOOKUP($W616,'Category Mapping'!$C:$C,'Category Mapping'!$D:$D)),$K616))</f>
        <v/>
      </c>
      <c r="W616" s="19" t="str">
        <f t="shared" si="78"/>
        <v/>
      </c>
      <c r="X616" s="19" t="str">
        <f t="shared" si="79"/>
        <v/>
      </c>
      <c r="Y616" s="20" t="str">
        <f>IF(ISBLANK($M616),IFERROR(_xlfn.XLOOKUP($P616,'Department Listing'!$A:$A,'Department Listing'!$L:$L),""),$M616)</f>
        <v/>
      </c>
      <c r="Z616" s="11" t="str">
        <f>IF(ISBLANK($B616),"",MATCH($X616,COA!$B:$B,0))</f>
        <v/>
      </c>
    </row>
    <row r="617" spans="2:26" ht="15.75" customHeight="1" x14ac:dyDescent="0.25">
      <c r="B617" s="24"/>
      <c r="C617" s="10"/>
      <c r="D617" s="10"/>
      <c r="E617" s="25"/>
      <c r="F617" s="10"/>
      <c r="G617" s="10"/>
      <c r="H617" s="10"/>
      <c r="I617" s="9"/>
      <c r="J617" s="9"/>
      <c r="K617" s="9"/>
      <c r="L617" s="9"/>
      <c r="M617" s="9"/>
      <c r="N617" s="17"/>
      <c r="O617" s="17" t="str">
        <f t="shared" si="72"/>
        <v/>
      </c>
      <c r="P617" s="17" t="str">
        <f>IFERROR(_xlfn.XLOOKUP(O617,'Department Listing'!$O$1:$O$395,'Department Listing'!$A$1:$A$395),IFERROR(_xlfn.XLOOKUP(O617,'Name Aliases'!$A$2:$A$1000,'Name Aliases'!$B$2:$B$1000),""))</f>
        <v/>
      </c>
      <c r="Q617" s="18" t="str">
        <f t="shared" si="73"/>
        <v/>
      </c>
      <c r="R617" s="17" t="str">
        <f t="shared" si="74"/>
        <v/>
      </c>
      <c r="S617" s="19" t="str">
        <f t="shared" si="75"/>
        <v/>
      </c>
      <c r="T617" s="17" t="str">
        <f t="shared" si="76"/>
        <v/>
      </c>
      <c r="U617" s="17" t="str">
        <f t="shared" si="77"/>
        <v/>
      </c>
      <c r="V617" s="19" t="str">
        <f>IF(ISBLANK($B617),"",IF(ISBLANK($K617),IF(_xlfn.XLOOKUP($W617,'Category Mapping'!$C:$C,'Category Mapping'!$B:$B)="Travel",_xlfn.XLOOKUP($P617,'Department Listing'!$A:$A,'Department Listing'!$M:$M),_xlfn.XLOOKUP($W617,'Category Mapping'!$C:$C,'Category Mapping'!$D:$D)),$K617))</f>
        <v/>
      </c>
      <c r="W617" s="19" t="str">
        <f t="shared" si="78"/>
        <v/>
      </c>
      <c r="X617" s="19" t="str">
        <f t="shared" si="79"/>
        <v/>
      </c>
      <c r="Y617" s="20" t="str">
        <f>IF(ISBLANK($M617),IFERROR(_xlfn.XLOOKUP($P617,'Department Listing'!$A:$A,'Department Listing'!$L:$L),""),$M617)</f>
        <v/>
      </c>
      <c r="Z617" s="11" t="str">
        <f>IF(ISBLANK($B617),"",MATCH($X617,COA!$B:$B,0))</f>
        <v/>
      </c>
    </row>
    <row r="618" spans="2:26" ht="15.75" customHeight="1" x14ac:dyDescent="0.25">
      <c r="B618" s="24"/>
      <c r="C618" s="10"/>
      <c r="D618" s="10"/>
      <c r="E618" s="25"/>
      <c r="F618" s="10"/>
      <c r="G618" s="10"/>
      <c r="H618" s="10"/>
      <c r="I618" s="9"/>
      <c r="J618" s="9"/>
      <c r="K618" s="9"/>
      <c r="L618" s="9"/>
      <c r="M618" s="9"/>
      <c r="N618" s="17"/>
      <c r="O618" s="17" t="str">
        <f t="shared" si="72"/>
        <v/>
      </c>
      <c r="P618" s="17" t="str">
        <f>IFERROR(_xlfn.XLOOKUP(O618,'Department Listing'!$O$1:$O$395,'Department Listing'!$A$1:$A$395),IFERROR(_xlfn.XLOOKUP(O618,'Name Aliases'!$A$2:$A$1000,'Name Aliases'!$B$2:$B$1000),""))</f>
        <v/>
      </c>
      <c r="Q618" s="18" t="str">
        <f t="shared" si="73"/>
        <v/>
      </c>
      <c r="R618" s="17" t="str">
        <f t="shared" si="74"/>
        <v/>
      </c>
      <c r="S618" s="19" t="str">
        <f t="shared" si="75"/>
        <v/>
      </c>
      <c r="T618" s="17" t="str">
        <f t="shared" si="76"/>
        <v/>
      </c>
      <c r="U618" s="17" t="str">
        <f t="shared" si="77"/>
        <v/>
      </c>
      <c r="V618" s="19" t="str">
        <f>IF(ISBLANK($B618),"",IF(ISBLANK($K618),IF(_xlfn.XLOOKUP($W618,'Category Mapping'!$C:$C,'Category Mapping'!$B:$B)="Travel",_xlfn.XLOOKUP($P618,'Department Listing'!$A:$A,'Department Listing'!$M:$M),_xlfn.XLOOKUP($W618,'Category Mapping'!$C:$C,'Category Mapping'!$D:$D)),$K618))</f>
        <v/>
      </c>
      <c r="W618" s="19" t="str">
        <f t="shared" si="78"/>
        <v/>
      </c>
      <c r="X618" s="19" t="str">
        <f t="shared" si="79"/>
        <v/>
      </c>
      <c r="Y618" s="20" t="str">
        <f>IF(ISBLANK($M618),IFERROR(_xlfn.XLOOKUP($P618,'Department Listing'!$A:$A,'Department Listing'!$L:$L),""),$M618)</f>
        <v/>
      </c>
      <c r="Z618" s="11" t="str">
        <f>IF(ISBLANK($B618),"",MATCH($X618,COA!$B:$B,0))</f>
        <v/>
      </c>
    </row>
    <row r="619" spans="2:26" ht="15.75" customHeight="1" x14ac:dyDescent="0.25">
      <c r="B619" s="24"/>
      <c r="C619" s="10"/>
      <c r="D619" s="10"/>
      <c r="E619" s="25"/>
      <c r="F619" s="10"/>
      <c r="G619" s="10"/>
      <c r="H619" s="10"/>
      <c r="I619" s="9"/>
      <c r="J619" s="9"/>
      <c r="K619" s="9"/>
      <c r="L619" s="9"/>
      <c r="M619" s="9"/>
      <c r="N619" s="17"/>
      <c r="O619" s="17" t="str">
        <f t="shared" si="72"/>
        <v/>
      </c>
      <c r="P619" s="17" t="str">
        <f>IFERROR(_xlfn.XLOOKUP(O619,'Department Listing'!$O$1:$O$395,'Department Listing'!$A$1:$A$395),IFERROR(_xlfn.XLOOKUP(O619,'Name Aliases'!$A$2:$A$1000,'Name Aliases'!$B$2:$B$1000),""))</f>
        <v/>
      </c>
      <c r="Q619" s="18" t="str">
        <f t="shared" si="73"/>
        <v/>
      </c>
      <c r="R619" s="17" t="str">
        <f t="shared" si="74"/>
        <v/>
      </c>
      <c r="S619" s="19" t="str">
        <f t="shared" si="75"/>
        <v/>
      </c>
      <c r="T619" s="17" t="str">
        <f t="shared" si="76"/>
        <v/>
      </c>
      <c r="U619" s="17" t="str">
        <f t="shared" si="77"/>
        <v/>
      </c>
      <c r="V619" s="19" t="str">
        <f>IF(ISBLANK($B619),"",IF(ISBLANK($K619),IF(_xlfn.XLOOKUP($W619,'Category Mapping'!$C:$C,'Category Mapping'!$B:$B)="Travel",_xlfn.XLOOKUP($P619,'Department Listing'!$A:$A,'Department Listing'!$M:$M),_xlfn.XLOOKUP($W619,'Category Mapping'!$C:$C,'Category Mapping'!$D:$D)),$K619))</f>
        <v/>
      </c>
      <c r="W619" s="19" t="str">
        <f t="shared" si="78"/>
        <v/>
      </c>
      <c r="X619" s="19" t="str">
        <f t="shared" si="79"/>
        <v/>
      </c>
      <c r="Y619" s="20" t="str">
        <f>IF(ISBLANK($M619),IFERROR(_xlfn.XLOOKUP($P619,'Department Listing'!$A:$A,'Department Listing'!$L:$L),""),$M619)</f>
        <v/>
      </c>
      <c r="Z619" s="11" t="str">
        <f>IF(ISBLANK($B619),"",MATCH($X619,COA!$B:$B,0))</f>
        <v/>
      </c>
    </row>
    <row r="620" spans="2:26" ht="15.75" customHeight="1" x14ac:dyDescent="0.25">
      <c r="B620" s="24"/>
      <c r="C620" s="10"/>
      <c r="D620" s="10"/>
      <c r="E620" s="25"/>
      <c r="F620" s="10"/>
      <c r="G620" s="10"/>
      <c r="H620" s="10"/>
      <c r="I620" s="9"/>
      <c r="J620" s="9"/>
      <c r="K620" s="9"/>
      <c r="L620" s="9"/>
      <c r="M620" s="9"/>
      <c r="N620" s="17"/>
      <c r="O620" s="17" t="str">
        <f t="shared" si="72"/>
        <v/>
      </c>
      <c r="P620" s="17" t="str">
        <f>IFERROR(_xlfn.XLOOKUP(O620,'Department Listing'!$O$1:$O$395,'Department Listing'!$A$1:$A$395),IFERROR(_xlfn.XLOOKUP(O620,'Name Aliases'!$A$2:$A$1000,'Name Aliases'!$B$2:$B$1000),""))</f>
        <v/>
      </c>
      <c r="Q620" s="18" t="str">
        <f t="shared" si="73"/>
        <v/>
      </c>
      <c r="R620" s="17" t="str">
        <f t="shared" si="74"/>
        <v/>
      </c>
      <c r="S620" s="19" t="str">
        <f t="shared" si="75"/>
        <v/>
      </c>
      <c r="T620" s="17" t="str">
        <f t="shared" si="76"/>
        <v/>
      </c>
      <c r="U620" s="17" t="str">
        <f t="shared" si="77"/>
        <v/>
      </c>
      <c r="V620" s="19" t="str">
        <f>IF(ISBLANK($B620),"",IF(ISBLANK($K620),IF(_xlfn.XLOOKUP($W620,'Category Mapping'!$C:$C,'Category Mapping'!$B:$B)="Travel",_xlfn.XLOOKUP($P620,'Department Listing'!$A:$A,'Department Listing'!$M:$M),_xlfn.XLOOKUP($W620,'Category Mapping'!$C:$C,'Category Mapping'!$D:$D)),$K620))</f>
        <v/>
      </c>
      <c r="W620" s="19" t="str">
        <f t="shared" si="78"/>
        <v/>
      </c>
      <c r="X620" s="19" t="str">
        <f t="shared" si="79"/>
        <v/>
      </c>
      <c r="Y620" s="20" t="str">
        <f>IF(ISBLANK($M620),IFERROR(_xlfn.XLOOKUP($P620,'Department Listing'!$A:$A,'Department Listing'!$L:$L),""),$M620)</f>
        <v/>
      </c>
      <c r="Z620" s="11" t="str">
        <f>IF(ISBLANK($B620),"",MATCH($X620,COA!$B:$B,0))</f>
        <v/>
      </c>
    </row>
    <row r="621" spans="2:26" ht="15.75" customHeight="1" x14ac:dyDescent="0.25">
      <c r="B621" s="24"/>
      <c r="C621" s="10"/>
      <c r="D621" s="10"/>
      <c r="E621" s="25"/>
      <c r="F621" s="10"/>
      <c r="G621" s="10"/>
      <c r="H621" s="10"/>
      <c r="I621" s="9"/>
      <c r="J621" s="9"/>
      <c r="K621" s="9"/>
      <c r="L621" s="9"/>
      <c r="M621" s="9"/>
      <c r="N621" s="17"/>
      <c r="O621" s="17" t="str">
        <f t="shared" si="72"/>
        <v/>
      </c>
      <c r="P621" s="17" t="str">
        <f>IFERROR(_xlfn.XLOOKUP(O621,'Department Listing'!$O$1:$O$395,'Department Listing'!$A$1:$A$395),IFERROR(_xlfn.XLOOKUP(O621,'Name Aliases'!$A$2:$A$1000,'Name Aliases'!$B$2:$B$1000),""))</f>
        <v/>
      </c>
      <c r="Q621" s="18" t="str">
        <f t="shared" si="73"/>
        <v/>
      </c>
      <c r="R621" s="17" t="str">
        <f t="shared" si="74"/>
        <v/>
      </c>
      <c r="S621" s="19" t="str">
        <f t="shared" si="75"/>
        <v/>
      </c>
      <c r="T621" s="17" t="str">
        <f t="shared" si="76"/>
        <v/>
      </c>
      <c r="U621" s="17" t="str">
        <f t="shared" si="77"/>
        <v/>
      </c>
      <c r="V621" s="19" t="str">
        <f>IF(ISBLANK($B621),"",IF(ISBLANK($K621),IF(_xlfn.XLOOKUP($W621,'Category Mapping'!$C:$C,'Category Mapping'!$B:$B)="Travel",_xlfn.XLOOKUP($P621,'Department Listing'!$A:$A,'Department Listing'!$M:$M),_xlfn.XLOOKUP($W621,'Category Mapping'!$C:$C,'Category Mapping'!$D:$D)),$K621))</f>
        <v/>
      </c>
      <c r="W621" s="19" t="str">
        <f t="shared" si="78"/>
        <v/>
      </c>
      <c r="X621" s="19" t="str">
        <f t="shared" si="79"/>
        <v/>
      </c>
      <c r="Y621" s="20" t="str">
        <f>IF(ISBLANK($M621),IFERROR(_xlfn.XLOOKUP($P621,'Department Listing'!$A:$A,'Department Listing'!$L:$L),""),$M621)</f>
        <v/>
      </c>
      <c r="Z621" s="11" t="str">
        <f>IF(ISBLANK($B621),"",MATCH($X621,COA!$B:$B,0))</f>
        <v/>
      </c>
    </row>
    <row r="622" spans="2:26" ht="15.75" customHeight="1" x14ac:dyDescent="0.25">
      <c r="B622" s="24"/>
      <c r="C622" s="10"/>
      <c r="D622" s="10"/>
      <c r="E622" s="25"/>
      <c r="F622" s="10"/>
      <c r="G622" s="10"/>
      <c r="H622" s="10"/>
      <c r="I622" s="9"/>
      <c r="J622" s="9"/>
      <c r="K622" s="9"/>
      <c r="L622" s="9"/>
      <c r="M622" s="9"/>
      <c r="N622" s="17"/>
      <c r="O622" s="17" t="str">
        <f t="shared" si="72"/>
        <v/>
      </c>
      <c r="P622" s="17" t="str">
        <f>IFERROR(_xlfn.XLOOKUP(O622,'Department Listing'!$O$1:$O$395,'Department Listing'!$A$1:$A$395),IFERROR(_xlfn.XLOOKUP(O622,'Name Aliases'!$A$2:$A$1000,'Name Aliases'!$B$2:$B$1000),""))</f>
        <v/>
      </c>
      <c r="Q622" s="18" t="str">
        <f t="shared" si="73"/>
        <v/>
      </c>
      <c r="R622" s="17" t="str">
        <f t="shared" si="74"/>
        <v/>
      </c>
      <c r="S622" s="19" t="str">
        <f t="shared" si="75"/>
        <v/>
      </c>
      <c r="T622" s="17" t="str">
        <f t="shared" si="76"/>
        <v/>
      </c>
      <c r="U622" s="17" t="str">
        <f t="shared" si="77"/>
        <v/>
      </c>
      <c r="V622" s="19" t="str">
        <f>IF(ISBLANK($B622),"",IF(ISBLANK($K622),IF(_xlfn.XLOOKUP($W622,'Category Mapping'!$C:$C,'Category Mapping'!$B:$B)="Travel",_xlfn.XLOOKUP($P622,'Department Listing'!$A:$A,'Department Listing'!$M:$M),_xlfn.XLOOKUP($W622,'Category Mapping'!$C:$C,'Category Mapping'!$D:$D)),$K622))</f>
        <v/>
      </c>
      <c r="W622" s="19" t="str">
        <f t="shared" si="78"/>
        <v/>
      </c>
      <c r="X622" s="19" t="str">
        <f t="shared" si="79"/>
        <v/>
      </c>
      <c r="Y622" s="20" t="str">
        <f>IF(ISBLANK($M622),IFERROR(_xlfn.XLOOKUP($P622,'Department Listing'!$A:$A,'Department Listing'!$L:$L),""),$M622)</f>
        <v/>
      </c>
      <c r="Z622" s="11" t="str">
        <f>IF(ISBLANK($B622),"",MATCH($X622,COA!$B:$B,0))</f>
        <v/>
      </c>
    </row>
    <row r="623" spans="2:26" ht="15.75" customHeight="1" x14ac:dyDescent="0.25">
      <c r="B623" s="24"/>
      <c r="C623" s="10"/>
      <c r="D623" s="10"/>
      <c r="E623" s="25"/>
      <c r="F623" s="10"/>
      <c r="G623" s="10"/>
      <c r="H623" s="10"/>
      <c r="I623" s="9"/>
      <c r="J623" s="9"/>
      <c r="K623" s="9"/>
      <c r="L623" s="9"/>
      <c r="M623" s="9"/>
      <c r="N623" s="17"/>
      <c r="O623" s="17" t="str">
        <f t="shared" si="72"/>
        <v/>
      </c>
      <c r="P623" s="17" t="str">
        <f>IFERROR(_xlfn.XLOOKUP(O623,'Department Listing'!$O$1:$O$395,'Department Listing'!$A$1:$A$395),IFERROR(_xlfn.XLOOKUP(O623,'Name Aliases'!$A$2:$A$1000,'Name Aliases'!$B$2:$B$1000),""))</f>
        <v/>
      </c>
      <c r="Q623" s="18" t="str">
        <f t="shared" si="73"/>
        <v/>
      </c>
      <c r="R623" s="17" t="str">
        <f t="shared" si="74"/>
        <v/>
      </c>
      <c r="S623" s="19" t="str">
        <f t="shared" si="75"/>
        <v/>
      </c>
      <c r="T623" s="17" t="str">
        <f t="shared" si="76"/>
        <v/>
      </c>
      <c r="U623" s="17" t="str">
        <f t="shared" si="77"/>
        <v/>
      </c>
      <c r="V623" s="19" t="str">
        <f>IF(ISBLANK($B623),"",IF(ISBLANK($K623),IF(_xlfn.XLOOKUP($W623,'Category Mapping'!$C:$C,'Category Mapping'!$B:$B)="Travel",_xlfn.XLOOKUP($P623,'Department Listing'!$A:$A,'Department Listing'!$M:$M),_xlfn.XLOOKUP($W623,'Category Mapping'!$C:$C,'Category Mapping'!$D:$D)),$K623))</f>
        <v/>
      </c>
      <c r="W623" s="19" t="str">
        <f t="shared" si="78"/>
        <v/>
      </c>
      <c r="X623" s="19" t="str">
        <f t="shared" si="79"/>
        <v/>
      </c>
      <c r="Y623" s="20" t="str">
        <f>IF(ISBLANK($M623),IFERROR(_xlfn.XLOOKUP($P623,'Department Listing'!$A:$A,'Department Listing'!$L:$L),""),$M623)</f>
        <v/>
      </c>
      <c r="Z623" s="11" t="str">
        <f>IF(ISBLANK($B623),"",MATCH($X623,COA!$B:$B,0))</f>
        <v/>
      </c>
    </row>
    <row r="624" spans="2:26" ht="15.75" customHeight="1" x14ac:dyDescent="0.25">
      <c r="B624" s="24"/>
      <c r="C624" s="10"/>
      <c r="D624" s="10"/>
      <c r="E624" s="25"/>
      <c r="F624" s="10"/>
      <c r="G624" s="10"/>
      <c r="H624" s="10"/>
      <c r="I624" s="9"/>
      <c r="J624" s="9"/>
      <c r="K624" s="9"/>
      <c r="L624" s="9"/>
      <c r="M624" s="9"/>
      <c r="N624" s="17"/>
      <c r="O624" s="17" t="str">
        <f t="shared" si="72"/>
        <v/>
      </c>
      <c r="P624" s="17" t="str">
        <f>IFERROR(_xlfn.XLOOKUP(O624,'Department Listing'!$O$1:$O$395,'Department Listing'!$A$1:$A$395),IFERROR(_xlfn.XLOOKUP(O624,'Name Aliases'!$A$2:$A$1000,'Name Aliases'!$B$2:$B$1000),""))</f>
        <v/>
      </c>
      <c r="Q624" s="18" t="str">
        <f t="shared" si="73"/>
        <v/>
      </c>
      <c r="R624" s="17" t="str">
        <f t="shared" si="74"/>
        <v/>
      </c>
      <c r="S624" s="19" t="str">
        <f t="shared" si="75"/>
        <v/>
      </c>
      <c r="T624" s="17" t="str">
        <f t="shared" si="76"/>
        <v/>
      </c>
      <c r="U624" s="17" t="str">
        <f t="shared" si="77"/>
        <v/>
      </c>
      <c r="V624" s="19" t="str">
        <f>IF(ISBLANK($B624),"",IF(ISBLANK($K624),IF(_xlfn.XLOOKUP($W624,'Category Mapping'!$C:$C,'Category Mapping'!$B:$B)="Travel",_xlfn.XLOOKUP($P624,'Department Listing'!$A:$A,'Department Listing'!$M:$M),_xlfn.XLOOKUP($W624,'Category Mapping'!$C:$C,'Category Mapping'!$D:$D)),$K624))</f>
        <v/>
      </c>
      <c r="W624" s="19" t="str">
        <f t="shared" si="78"/>
        <v/>
      </c>
      <c r="X624" s="19" t="str">
        <f t="shared" si="79"/>
        <v/>
      </c>
      <c r="Y624" s="20" t="str">
        <f>IF(ISBLANK($M624),IFERROR(_xlfn.XLOOKUP($P624,'Department Listing'!$A:$A,'Department Listing'!$L:$L),""),$M624)</f>
        <v/>
      </c>
      <c r="Z624" s="11" t="str">
        <f>IF(ISBLANK($B624),"",MATCH($X624,COA!$B:$B,0))</f>
        <v/>
      </c>
    </row>
    <row r="625" spans="2:26" ht="15.75" customHeight="1" x14ac:dyDescent="0.25">
      <c r="B625" s="24"/>
      <c r="C625" s="10"/>
      <c r="D625" s="10"/>
      <c r="E625" s="25"/>
      <c r="F625" s="10"/>
      <c r="G625" s="10"/>
      <c r="H625" s="10"/>
      <c r="I625" s="9"/>
      <c r="J625" s="9"/>
      <c r="K625" s="9"/>
      <c r="L625" s="9"/>
      <c r="M625" s="9"/>
      <c r="N625" s="17"/>
      <c r="O625" s="17" t="str">
        <f t="shared" si="72"/>
        <v/>
      </c>
      <c r="P625" s="17" t="str">
        <f>IFERROR(_xlfn.XLOOKUP(O625,'Department Listing'!$O$1:$O$395,'Department Listing'!$A$1:$A$395),IFERROR(_xlfn.XLOOKUP(O625,'Name Aliases'!$A$2:$A$1000,'Name Aliases'!$B$2:$B$1000),""))</f>
        <v/>
      </c>
      <c r="Q625" s="18" t="str">
        <f t="shared" si="73"/>
        <v/>
      </c>
      <c r="R625" s="17" t="str">
        <f t="shared" si="74"/>
        <v/>
      </c>
      <c r="S625" s="19" t="str">
        <f t="shared" si="75"/>
        <v/>
      </c>
      <c r="T625" s="17" t="str">
        <f t="shared" si="76"/>
        <v/>
      </c>
      <c r="U625" s="17" t="str">
        <f t="shared" si="77"/>
        <v/>
      </c>
      <c r="V625" s="19" t="str">
        <f>IF(ISBLANK($B625),"",IF(ISBLANK($K625),IF(_xlfn.XLOOKUP($W625,'Category Mapping'!$C:$C,'Category Mapping'!$B:$B)="Travel",_xlfn.XLOOKUP($P625,'Department Listing'!$A:$A,'Department Listing'!$M:$M),_xlfn.XLOOKUP($W625,'Category Mapping'!$C:$C,'Category Mapping'!$D:$D)),$K625))</f>
        <v/>
      </c>
      <c r="W625" s="19" t="str">
        <f t="shared" si="78"/>
        <v/>
      </c>
      <c r="X625" s="19" t="str">
        <f t="shared" si="79"/>
        <v/>
      </c>
      <c r="Y625" s="20" t="str">
        <f>IF(ISBLANK($M625),IFERROR(_xlfn.XLOOKUP($P625,'Department Listing'!$A:$A,'Department Listing'!$L:$L),""),$M625)</f>
        <v/>
      </c>
      <c r="Z625" s="11" t="str">
        <f>IF(ISBLANK($B625),"",MATCH($X625,COA!$B:$B,0))</f>
        <v/>
      </c>
    </row>
    <row r="626" spans="2:26" ht="15.75" customHeight="1" x14ac:dyDescent="0.25">
      <c r="B626" s="24"/>
      <c r="C626" s="10"/>
      <c r="D626" s="10"/>
      <c r="E626" s="25"/>
      <c r="F626" s="10"/>
      <c r="G626" s="10"/>
      <c r="H626" s="10"/>
      <c r="I626" s="9"/>
      <c r="J626" s="9"/>
      <c r="K626" s="9"/>
      <c r="L626" s="9"/>
      <c r="M626" s="9"/>
      <c r="N626" s="17"/>
      <c r="O626" s="17" t="str">
        <f t="shared" si="72"/>
        <v/>
      </c>
      <c r="P626" s="17" t="str">
        <f>IFERROR(_xlfn.XLOOKUP(O626,'Department Listing'!$O$1:$O$395,'Department Listing'!$A$1:$A$395),IFERROR(_xlfn.XLOOKUP(O626,'Name Aliases'!$A$2:$A$1000,'Name Aliases'!$B$2:$B$1000),""))</f>
        <v/>
      </c>
      <c r="Q626" s="18" t="str">
        <f t="shared" si="73"/>
        <v/>
      </c>
      <c r="R626" s="17" t="str">
        <f t="shared" si="74"/>
        <v/>
      </c>
      <c r="S626" s="19" t="str">
        <f t="shared" si="75"/>
        <v/>
      </c>
      <c r="T626" s="17" t="str">
        <f t="shared" si="76"/>
        <v/>
      </c>
      <c r="U626" s="17" t="str">
        <f t="shared" si="77"/>
        <v/>
      </c>
      <c r="V626" s="19" t="str">
        <f>IF(ISBLANK($B626),"",IF(ISBLANK($K626),IF(_xlfn.XLOOKUP($W626,'Category Mapping'!$C:$C,'Category Mapping'!$B:$B)="Travel",_xlfn.XLOOKUP($P626,'Department Listing'!$A:$A,'Department Listing'!$M:$M),_xlfn.XLOOKUP($W626,'Category Mapping'!$C:$C,'Category Mapping'!$D:$D)),$K626))</f>
        <v/>
      </c>
      <c r="W626" s="19" t="str">
        <f t="shared" si="78"/>
        <v/>
      </c>
      <c r="X626" s="19" t="str">
        <f t="shared" si="79"/>
        <v/>
      </c>
      <c r="Y626" s="20" t="str">
        <f>IF(ISBLANK($M626),IFERROR(_xlfn.XLOOKUP($P626,'Department Listing'!$A:$A,'Department Listing'!$L:$L),""),$M626)</f>
        <v/>
      </c>
      <c r="Z626" s="11" t="str">
        <f>IF(ISBLANK($B626),"",MATCH($X626,COA!$B:$B,0))</f>
        <v/>
      </c>
    </row>
    <row r="627" spans="2:26" ht="15.75" customHeight="1" x14ac:dyDescent="0.25">
      <c r="B627" s="24"/>
      <c r="C627" s="10"/>
      <c r="D627" s="10"/>
      <c r="E627" s="25"/>
      <c r="F627" s="10"/>
      <c r="G627" s="10"/>
      <c r="H627" s="10"/>
      <c r="I627" s="9"/>
      <c r="J627" s="9"/>
      <c r="K627" s="9"/>
      <c r="L627" s="9"/>
      <c r="M627" s="9"/>
      <c r="N627" s="17"/>
      <c r="O627" s="17" t="str">
        <f t="shared" si="72"/>
        <v/>
      </c>
      <c r="P627" s="17" t="str">
        <f>IFERROR(_xlfn.XLOOKUP(O627,'Department Listing'!$O$1:$O$395,'Department Listing'!$A$1:$A$395),IFERROR(_xlfn.XLOOKUP(O627,'Name Aliases'!$A$2:$A$1000,'Name Aliases'!$B$2:$B$1000),""))</f>
        <v/>
      </c>
      <c r="Q627" s="18" t="str">
        <f t="shared" si="73"/>
        <v/>
      </c>
      <c r="R627" s="17" t="str">
        <f t="shared" si="74"/>
        <v/>
      </c>
      <c r="S627" s="19" t="str">
        <f t="shared" si="75"/>
        <v/>
      </c>
      <c r="T627" s="17" t="str">
        <f t="shared" si="76"/>
        <v/>
      </c>
      <c r="U627" s="17" t="str">
        <f t="shared" si="77"/>
        <v/>
      </c>
      <c r="V627" s="19" t="str">
        <f>IF(ISBLANK($B627),"",IF(ISBLANK($K627),IF(_xlfn.XLOOKUP($W627,'Category Mapping'!$C:$C,'Category Mapping'!$B:$B)="Travel",_xlfn.XLOOKUP($P627,'Department Listing'!$A:$A,'Department Listing'!$M:$M),_xlfn.XLOOKUP($W627,'Category Mapping'!$C:$C,'Category Mapping'!$D:$D)),$K627))</f>
        <v/>
      </c>
      <c r="W627" s="19" t="str">
        <f t="shared" si="78"/>
        <v/>
      </c>
      <c r="X627" s="19" t="str">
        <f t="shared" si="79"/>
        <v/>
      </c>
      <c r="Y627" s="20" t="str">
        <f>IF(ISBLANK($M627),IFERROR(_xlfn.XLOOKUP($P627,'Department Listing'!$A:$A,'Department Listing'!$L:$L),""),$M627)</f>
        <v/>
      </c>
      <c r="Z627" s="11" t="str">
        <f>IF(ISBLANK($B627),"",MATCH($X627,COA!$B:$B,0))</f>
        <v/>
      </c>
    </row>
    <row r="628" spans="2:26" ht="15.75" customHeight="1" x14ac:dyDescent="0.25">
      <c r="B628" s="24"/>
      <c r="C628" s="10"/>
      <c r="D628" s="10"/>
      <c r="E628" s="25"/>
      <c r="F628" s="10"/>
      <c r="G628" s="10"/>
      <c r="H628" s="10"/>
      <c r="I628" s="9"/>
      <c r="J628" s="9"/>
      <c r="K628" s="9"/>
      <c r="L628" s="9"/>
      <c r="M628" s="9"/>
      <c r="N628" s="17"/>
      <c r="O628" s="17" t="str">
        <f t="shared" si="72"/>
        <v/>
      </c>
      <c r="P628" s="17" t="str">
        <f>IFERROR(_xlfn.XLOOKUP(O628,'Department Listing'!$O$1:$O$395,'Department Listing'!$A$1:$A$395),IFERROR(_xlfn.XLOOKUP(O628,'Name Aliases'!$A$2:$A$1000,'Name Aliases'!$B$2:$B$1000),""))</f>
        <v/>
      </c>
      <c r="Q628" s="18" t="str">
        <f t="shared" si="73"/>
        <v/>
      </c>
      <c r="R628" s="17" t="str">
        <f t="shared" si="74"/>
        <v/>
      </c>
      <c r="S628" s="19" t="str">
        <f t="shared" si="75"/>
        <v/>
      </c>
      <c r="T628" s="17" t="str">
        <f t="shared" si="76"/>
        <v/>
      </c>
      <c r="U628" s="17" t="str">
        <f t="shared" si="77"/>
        <v/>
      </c>
      <c r="V628" s="19" t="str">
        <f>IF(ISBLANK($B628),"",IF(ISBLANK($K628),IF(_xlfn.XLOOKUP($W628,'Category Mapping'!$C:$C,'Category Mapping'!$B:$B)="Travel",_xlfn.XLOOKUP($P628,'Department Listing'!$A:$A,'Department Listing'!$M:$M),_xlfn.XLOOKUP($W628,'Category Mapping'!$C:$C,'Category Mapping'!$D:$D)),$K628))</f>
        <v/>
      </c>
      <c r="W628" s="19" t="str">
        <f t="shared" si="78"/>
        <v/>
      </c>
      <c r="X628" s="19" t="str">
        <f t="shared" si="79"/>
        <v/>
      </c>
      <c r="Y628" s="20" t="str">
        <f>IF(ISBLANK($M628),IFERROR(_xlfn.XLOOKUP($P628,'Department Listing'!$A:$A,'Department Listing'!$L:$L),""),$M628)</f>
        <v/>
      </c>
      <c r="Z628" s="11" t="str">
        <f>IF(ISBLANK($B628),"",MATCH($X628,COA!$B:$B,0))</f>
        <v/>
      </c>
    </row>
    <row r="629" spans="2:26" ht="15.75" customHeight="1" x14ac:dyDescent="0.25">
      <c r="B629" s="24"/>
      <c r="C629" s="10"/>
      <c r="D629" s="10"/>
      <c r="E629" s="25"/>
      <c r="F629" s="10"/>
      <c r="G629" s="10"/>
      <c r="H629" s="10"/>
      <c r="I629" s="9"/>
      <c r="J629" s="9"/>
      <c r="K629" s="9"/>
      <c r="L629" s="9"/>
      <c r="M629" s="9"/>
      <c r="N629" s="17"/>
      <c r="O629" s="17" t="str">
        <f t="shared" si="72"/>
        <v/>
      </c>
      <c r="P629" s="17" t="str">
        <f>IFERROR(_xlfn.XLOOKUP(O629,'Department Listing'!$O$1:$O$395,'Department Listing'!$A$1:$A$395),IFERROR(_xlfn.XLOOKUP(O629,'Name Aliases'!$A$2:$A$1000,'Name Aliases'!$B$2:$B$1000),""))</f>
        <v/>
      </c>
      <c r="Q629" s="18" t="str">
        <f t="shared" si="73"/>
        <v/>
      </c>
      <c r="R629" s="17" t="str">
        <f t="shared" si="74"/>
        <v/>
      </c>
      <c r="S629" s="19" t="str">
        <f t="shared" si="75"/>
        <v/>
      </c>
      <c r="T629" s="17" t="str">
        <f t="shared" si="76"/>
        <v/>
      </c>
      <c r="U629" s="17" t="str">
        <f t="shared" si="77"/>
        <v/>
      </c>
      <c r="V629" s="19" t="str">
        <f>IF(ISBLANK($B629),"",IF(ISBLANK($K629),IF(_xlfn.XLOOKUP($W629,'Category Mapping'!$C:$C,'Category Mapping'!$B:$B)="Travel",_xlfn.XLOOKUP($P629,'Department Listing'!$A:$A,'Department Listing'!$M:$M),_xlfn.XLOOKUP($W629,'Category Mapping'!$C:$C,'Category Mapping'!$D:$D)),$K629))</f>
        <v/>
      </c>
      <c r="W629" s="19" t="str">
        <f t="shared" si="78"/>
        <v/>
      </c>
      <c r="X629" s="19" t="str">
        <f t="shared" si="79"/>
        <v/>
      </c>
      <c r="Y629" s="20" t="str">
        <f>IF(ISBLANK($M629),IFERROR(_xlfn.XLOOKUP($P629,'Department Listing'!$A:$A,'Department Listing'!$L:$L),""),$M629)</f>
        <v/>
      </c>
      <c r="Z629" s="11" t="str">
        <f>IF(ISBLANK($B629),"",MATCH($X629,COA!$B:$B,0))</f>
        <v/>
      </c>
    </row>
    <row r="630" spans="2:26" ht="15.75" customHeight="1" x14ac:dyDescent="0.25">
      <c r="B630" s="24"/>
      <c r="C630" s="10"/>
      <c r="D630" s="10"/>
      <c r="E630" s="25"/>
      <c r="F630" s="10"/>
      <c r="G630" s="10"/>
      <c r="H630" s="10"/>
      <c r="I630" s="9"/>
      <c r="J630" s="9"/>
      <c r="K630" s="9"/>
      <c r="L630" s="9"/>
      <c r="M630" s="9"/>
      <c r="N630" s="17"/>
      <c r="O630" s="17" t="str">
        <f t="shared" si="72"/>
        <v/>
      </c>
      <c r="P630" s="17" t="str">
        <f>IFERROR(_xlfn.XLOOKUP(O630,'Department Listing'!$O$1:$O$395,'Department Listing'!$A$1:$A$395),IFERROR(_xlfn.XLOOKUP(O630,'Name Aliases'!$A$2:$A$1000,'Name Aliases'!$B$2:$B$1000),""))</f>
        <v/>
      </c>
      <c r="Q630" s="18" t="str">
        <f t="shared" si="73"/>
        <v/>
      </c>
      <c r="R630" s="17" t="str">
        <f t="shared" si="74"/>
        <v/>
      </c>
      <c r="S630" s="19" t="str">
        <f t="shared" si="75"/>
        <v/>
      </c>
      <c r="T630" s="17" t="str">
        <f t="shared" si="76"/>
        <v/>
      </c>
      <c r="U630" s="17" t="str">
        <f t="shared" si="77"/>
        <v/>
      </c>
      <c r="V630" s="19" t="str">
        <f>IF(ISBLANK($B630),"",IF(ISBLANK($K630),IF(_xlfn.XLOOKUP($W630,'Category Mapping'!$C:$C,'Category Mapping'!$B:$B)="Travel",_xlfn.XLOOKUP($P630,'Department Listing'!$A:$A,'Department Listing'!$M:$M),_xlfn.XLOOKUP($W630,'Category Mapping'!$C:$C,'Category Mapping'!$D:$D)),$K630))</f>
        <v/>
      </c>
      <c r="W630" s="19" t="str">
        <f t="shared" si="78"/>
        <v/>
      </c>
      <c r="X630" s="19" t="str">
        <f t="shared" si="79"/>
        <v/>
      </c>
      <c r="Y630" s="20" t="str">
        <f>IF(ISBLANK($M630),IFERROR(_xlfn.XLOOKUP($P630,'Department Listing'!$A:$A,'Department Listing'!$L:$L),""),$M630)</f>
        <v/>
      </c>
      <c r="Z630" s="11" t="str">
        <f>IF(ISBLANK($B630),"",MATCH($X630,COA!$B:$B,0))</f>
        <v/>
      </c>
    </row>
    <row r="631" spans="2:26" ht="15.75" customHeight="1" x14ac:dyDescent="0.25">
      <c r="B631" s="24"/>
      <c r="C631" s="10"/>
      <c r="D631" s="10"/>
      <c r="E631" s="25"/>
      <c r="F631" s="10"/>
      <c r="G631" s="10"/>
      <c r="H631" s="10"/>
      <c r="I631" s="9"/>
      <c r="J631" s="9"/>
      <c r="K631" s="9"/>
      <c r="L631" s="9"/>
      <c r="M631" s="9"/>
      <c r="N631" s="17"/>
      <c r="O631" s="17" t="str">
        <f t="shared" si="72"/>
        <v/>
      </c>
      <c r="P631" s="17" t="str">
        <f>IFERROR(_xlfn.XLOOKUP(O631,'Department Listing'!$O$1:$O$395,'Department Listing'!$A$1:$A$395),IFERROR(_xlfn.XLOOKUP(O631,'Name Aliases'!$A$2:$A$1000,'Name Aliases'!$B$2:$B$1000),""))</f>
        <v/>
      </c>
      <c r="Q631" s="18" t="str">
        <f t="shared" si="73"/>
        <v/>
      </c>
      <c r="R631" s="17" t="str">
        <f t="shared" si="74"/>
        <v/>
      </c>
      <c r="S631" s="19" t="str">
        <f t="shared" si="75"/>
        <v/>
      </c>
      <c r="T631" s="17" t="str">
        <f t="shared" si="76"/>
        <v/>
      </c>
      <c r="U631" s="17" t="str">
        <f t="shared" si="77"/>
        <v/>
      </c>
      <c r="V631" s="19" t="str">
        <f>IF(ISBLANK($B631),"",IF(ISBLANK($K631),IF(_xlfn.XLOOKUP($W631,'Category Mapping'!$C:$C,'Category Mapping'!$B:$B)="Travel",_xlfn.XLOOKUP($P631,'Department Listing'!$A:$A,'Department Listing'!$M:$M),_xlfn.XLOOKUP($W631,'Category Mapping'!$C:$C,'Category Mapping'!$D:$D)),$K631))</f>
        <v/>
      </c>
      <c r="W631" s="19" t="str">
        <f t="shared" si="78"/>
        <v/>
      </c>
      <c r="X631" s="19" t="str">
        <f t="shared" si="79"/>
        <v/>
      </c>
      <c r="Y631" s="20" t="str">
        <f>IF(ISBLANK($M631),IFERROR(_xlfn.XLOOKUP($P631,'Department Listing'!$A:$A,'Department Listing'!$L:$L),""),$M631)</f>
        <v/>
      </c>
      <c r="Z631" s="11" t="str">
        <f>IF(ISBLANK($B631),"",MATCH($X631,COA!$B:$B,0))</f>
        <v/>
      </c>
    </row>
    <row r="632" spans="2:26" ht="15.75" customHeight="1" x14ac:dyDescent="0.25">
      <c r="B632" s="24"/>
      <c r="C632" s="10"/>
      <c r="D632" s="10"/>
      <c r="E632" s="25"/>
      <c r="F632" s="10"/>
      <c r="G632" s="10"/>
      <c r="H632" s="10"/>
      <c r="I632" s="9"/>
      <c r="J632" s="9"/>
      <c r="K632" s="9"/>
      <c r="L632" s="9"/>
      <c r="M632" s="9"/>
      <c r="N632" s="17"/>
      <c r="O632" s="17" t="str">
        <f t="shared" si="72"/>
        <v/>
      </c>
      <c r="P632" s="17" t="str">
        <f>IFERROR(_xlfn.XLOOKUP(O632,'Department Listing'!$O$1:$O$395,'Department Listing'!$A$1:$A$395),IFERROR(_xlfn.XLOOKUP(O632,'Name Aliases'!$A$2:$A$1000,'Name Aliases'!$B$2:$B$1000),""))</f>
        <v/>
      </c>
      <c r="Q632" s="18" t="str">
        <f t="shared" si="73"/>
        <v/>
      </c>
      <c r="R632" s="17" t="str">
        <f t="shared" si="74"/>
        <v/>
      </c>
      <c r="S632" s="19" t="str">
        <f t="shared" si="75"/>
        <v/>
      </c>
      <c r="T632" s="17" t="str">
        <f t="shared" si="76"/>
        <v/>
      </c>
      <c r="U632" s="17" t="str">
        <f t="shared" si="77"/>
        <v/>
      </c>
      <c r="V632" s="19" t="str">
        <f>IF(ISBLANK($B632),"",IF(ISBLANK($K632),IF(_xlfn.XLOOKUP($W632,'Category Mapping'!$C:$C,'Category Mapping'!$B:$B)="Travel",_xlfn.XLOOKUP($P632,'Department Listing'!$A:$A,'Department Listing'!$M:$M),_xlfn.XLOOKUP($W632,'Category Mapping'!$C:$C,'Category Mapping'!$D:$D)),$K632))</f>
        <v/>
      </c>
      <c r="W632" s="19" t="str">
        <f t="shared" si="78"/>
        <v/>
      </c>
      <c r="X632" s="19" t="str">
        <f t="shared" si="79"/>
        <v/>
      </c>
      <c r="Y632" s="20" t="str">
        <f>IF(ISBLANK($M632),IFERROR(_xlfn.XLOOKUP($P632,'Department Listing'!$A:$A,'Department Listing'!$L:$L),""),$M632)</f>
        <v/>
      </c>
      <c r="Z632" s="11" t="str">
        <f>IF(ISBLANK($B632),"",MATCH($X632,COA!$B:$B,0))</f>
        <v/>
      </c>
    </row>
    <row r="633" spans="2:26" ht="15.75" customHeight="1" x14ac:dyDescent="0.25">
      <c r="B633" s="24"/>
      <c r="C633" s="10"/>
      <c r="D633" s="10"/>
      <c r="E633" s="25"/>
      <c r="F633" s="10"/>
      <c r="G633" s="10"/>
      <c r="H633" s="10"/>
      <c r="I633" s="9"/>
      <c r="J633" s="9"/>
      <c r="K633" s="9"/>
      <c r="L633" s="9"/>
      <c r="M633" s="9"/>
      <c r="N633" s="17"/>
      <c r="O633" s="17" t="str">
        <f t="shared" si="72"/>
        <v/>
      </c>
      <c r="P633" s="17" t="str">
        <f>IFERROR(_xlfn.XLOOKUP(O633,'Department Listing'!$O$1:$O$395,'Department Listing'!$A$1:$A$395),IFERROR(_xlfn.XLOOKUP(O633,'Name Aliases'!$A$2:$A$1000,'Name Aliases'!$B$2:$B$1000),""))</f>
        <v/>
      </c>
      <c r="Q633" s="18" t="str">
        <f t="shared" si="73"/>
        <v/>
      </c>
      <c r="R633" s="17" t="str">
        <f t="shared" si="74"/>
        <v/>
      </c>
      <c r="S633" s="19" t="str">
        <f t="shared" si="75"/>
        <v/>
      </c>
      <c r="T633" s="17" t="str">
        <f t="shared" si="76"/>
        <v/>
      </c>
      <c r="U633" s="17" t="str">
        <f t="shared" si="77"/>
        <v/>
      </c>
      <c r="V633" s="19" t="str">
        <f>IF(ISBLANK($B633),"",IF(ISBLANK($K633),IF(_xlfn.XLOOKUP($W633,'Category Mapping'!$C:$C,'Category Mapping'!$B:$B)="Travel",_xlfn.XLOOKUP($P633,'Department Listing'!$A:$A,'Department Listing'!$M:$M),_xlfn.XLOOKUP($W633,'Category Mapping'!$C:$C,'Category Mapping'!$D:$D)),$K633))</f>
        <v/>
      </c>
      <c r="W633" s="19" t="str">
        <f t="shared" si="78"/>
        <v/>
      </c>
      <c r="X633" s="19" t="str">
        <f t="shared" si="79"/>
        <v/>
      </c>
      <c r="Y633" s="20" t="str">
        <f>IF(ISBLANK($M633),IFERROR(_xlfn.XLOOKUP($P633,'Department Listing'!$A:$A,'Department Listing'!$L:$L),""),$M633)</f>
        <v/>
      </c>
      <c r="Z633" s="11" t="str">
        <f>IF(ISBLANK($B633),"",MATCH($X633,COA!$B:$B,0))</f>
        <v/>
      </c>
    </row>
    <row r="634" spans="2:26" ht="15.75" customHeight="1" x14ac:dyDescent="0.25">
      <c r="B634" s="24"/>
      <c r="C634" s="10"/>
      <c r="D634" s="10"/>
      <c r="E634" s="25"/>
      <c r="F634" s="10"/>
      <c r="G634" s="10"/>
      <c r="H634" s="10"/>
      <c r="I634" s="9"/>
      <c r="J634" s="9"/>
      <c r="K634" s="9"/>
      <c r="L634" s="9"/>
      <c r="M634" s="9"/>
      <c r="N634" s="17"/>
      <c r="O634" s="17" t="str">
        <f t="shared" si="72"/>
        <v/>
      </c>
      <c r="P634" s="17" t="str">
        <f>IFERROR(_xlfn.XLOOKUP(O634,'Department Listing'!$O$1:$O$395,'Department Listing'!$A$1:$A$395),IFERROR(_xlfn.XLOOKUP(O634,'Name Aliases'!$A$2:$A$1000,'Name Aliases'!$B$2:$B$1000),""))</f>
        <v/>
      </c>
      <c r="Q634" s="18" t="str">
        <f t="shared" si="73"/>
        <v/>
      </c>
      <c r="R634" s="17" t="str">
        <f t="shared" si="74"/>
        <v/>
      </c>
      <c r="S634" s="19" t="str">
        <f t="shared" si="75"/>
        <v/>
      </c>
      <c r="T634" s="17" t="str">
        <f t="shared" si="76"/>
        <v/>
      </c>
      <c r="U634" s="17" t="str">
        <f t="shared" si="77"/>
        <v/>
      </c>
      <c r="V634" s="19" t="str">
        <f>IF(ISBLANK($B634),"",IF(ISBLANK($K634),IF(_xlfn.XLOOKUP($W634,'Category Mapping'!$C:$C,'Category Mapping'!$B:$B)="Travel",_xlfn.XLOOKUP($P634,'Department Listing'!$A:$A,'Department Listing'!$M:$M),_xlfn.XLOOKUP($W634,'Category Mapping'!$C:$C,'Category Mapping'!$D:$D)),$K634))</f>
        <v/>
      </c>
      <c r="W634" s="19" t="str">
        <f t="shared" si="78"/>
        <v/>
      </c>
      <c r="X634" s="19" t="str">
        <f t="shared" si="79"/>
        <v/>
      </c>
      <c r="Y634" s="20" t="str">
        <f>IF(ISBLANK($M634),IFERROR(_xlfn.XLOOKUP($P634,'Department Listing'!$A:$A,'Department Listing'!$L:$L),""),$M634)</f>
        <v/>
      </c>
      <c r="Z634" s="11" t="str">
        <f>IF(ISBLANK($B634),"",MATCH($X634,COA!$B:$B,0))</f>
        <v/>
      </c>
    </row>
    <row r="635" spans="2:26" ht="15.75" customHeight="1" x14ac:dyDescent="0.25">
      <c r="B635" s="24"/>
      <c r="C635" s="10"/>
      <c r="D635" s="10"/>
      <c r="E635" s="25"/>
      <c r="F635" s="10"/>
      <c r="G635" s="10"/>
      <c r="H635" s="10"/>
      <c r="I635" s="9"/>
      <c r="J635" s="9"/>
      <c r="K635" s="9"/>
      <c r="L635" s="9"/>
      <c r="M635" s="9"/>
      <c r="N635" s="17"/>
      <c r="O635" s="17" t="str">
        <f t="shared" si="72"/>
        <v/>
      </c>
      <c r="P635" s="17" t="str">
        <f>IFERROR(_xlfn.XLOOKUP(O635,'Department Listing'!$O$1:$O$395,'Department Listing'!$A$1:$A$395),IFERROR(_xlfn.XLOOKUP(O635,'Name Aliases'!$A$2:$A$1000,'Name Aliases'!$B$2:$B$1000),""))</f>
        <v/>
      </c>
      <c r="Q635" s="18" t="str">
        <f t="shared" si="73"/>
        <v/>
      </c>
      <c r="R635" s="17" t="str">
        <f t="shared" si="74"/>
        <v/>
      </c>
      <c r="S635" s="19" t="str">
        <f t="shared" si="75"/>
        <v/>
      </c>
      <c r="T635" s="17" t="str">
        <f t="shared" si="76"/>
        <v/>
      </c>
      <c r="U635" s="17" t="str">
        <f t="shared" si="77"/>
        <v/>
      </c>
      <c r="V635" s="19" t="str">
        <f>IF(ISBLANK($B635),"",IF(ISBLANK($K635),IF(_xlfn.XLOOKUP($W635,'Category Mapping'!$C:$C,'Category Mapping'!$B:$B)="Travel",_xlfn.XLOOKUP($P635,'Department Listing'!$A:$A,'Department Listing'!$M:$M),_xlfn.XLOOKUP($W635,'Category Mapping'!$C:$C,'Category Mapping'!$D:$D)),$K635))</f>
        <v/>
      </c>
      <c r="W635" s="19" t="str">
        <f t="shared" si="78"/>
        <v/>
      </c>
      <c r="X635" s="19" t="str">
        <f t="shared" si="79"/>
        <v/>
      </c>
      <c r="Y635" s="20" t="str">
        <f>IF(ISBLANK($M635),IFERROR(_xlfn.XLOOKUP($P635,'Department Listing'!$A:$A,'Department Listing'!$L:$L),""),$M635)</f>
        <v/>
      </c>
      <c r="Z635" s="11" t="str">
        <f>IF(ISBLANK($B635),"",MATCH($X635,COA!$B:$B,0))</f>
        <v/>
      </c>
    </row>
    <row r="636" spans="2:26" ht="15.75" customHeight="1" x14ac:dyDescent="0.25">
      <c r="B636" s="24"/>
      <c r="C636" s="10"/>
      <c r="D636" s="10"/>
      <c r="E636" s="25"/>
      <c r="F636" s="10"/>
      <c r="G636" s="10"/>
      <c r="H636" s="10"/>
      <c r="I636" s="9"/>
      <c r="J636" s="9"/>
      <c r="K636" s="9"/>
      <c r="L636" s="9"/>
      <c r="M636" s="9"/>
      <c r="N636" s="17"/>
      <c r="O636" s="17" t="str">
        <f t="shared" si="72"/>
        <v/>
      </c>
      <c r="P636" s="17" t="str">
        <f>IFERROR(_xlfn.XLOOKUP(O636,'Department Listing'!$O$1:$O$395,'Department Listing'!$A$1:$A$395),IFERROR(_xlfn.XLOOKUP(O636,'Name Aliases'!$A$2:$A$1000,'Name Aliases'!$B$2:$B$1000),""))</f>
        <v/>
      </c>
      <c r="Q636" s="18" t="str">
        <f t="shared" si="73"/>
        <v/>
      </c>
      <c r="R636" s="17" t="str">
        <f t="shared" si="74"/>
        <v/>
      </c>
      <c r="S636" s="19" t="str">
        <f t="shared" si="75"/>
        <v/>
      </c>
      <c r="T636" s="17" t="str">
        <f t="shared" si="76"/>
        <v/>
      </c>
      <c r="U636" s="17" t="str">
        <f t="shared" si="77"/>
        <v/>
      </c>
      <c r="V636" s="19" t="str">
        <f>IF(ISBLANK($B636),"",IF(ISBLANK($K636),IF(_xlfn.XLOOKUP($W636,'Category Mapping'!$C:$C,'Category Mapping'!$B:$B)="Travel",_xlfn.XLOOKUP($P636,'Department Listing'!$A:$A,'Department Listing'!$M:$M),_xlfn.XLOOKUP($W636,'Category Mapping'!$C:$C,'Category Mapping'!$D:$D)),$K636))</f>
        <v/>
      </c>
      <c r="W636" s="19" t="str">
        <f t="shared" si="78"/>
        <v/>
      </c>
      <c r="X636" s="19" t="str">
        <f t="shared" si="79"/>
        <v/>
      </c>
      <c r="Y636" s="20" t="str">
        <f>IF(ISBLANK($M636),IFERROR(_xlfn.XLOOKUP($P636,'Department Listing'!$A:$A,'Department Listing'!$L:$L),""),$M636)</f>
        <v/>
      </c>
      <c r="Z636" s="11" t="str">
        <f>IF(ISBLANK($B636),"",MATCH($X636,COA!$B:$B,0))</f>
        <v/>
      </c>
    </row>
    <row r="637" spans="2:26" ht="15.75" customHeight="1" x14ac:dyDescent="0.25">
      <c r="B637" s="24"/>
      <c r="C637" s="10"/>
      <c r="D637" s="10"/>
      <c r="E637" s="25"/>
      <c r="F637" s="10"/>
      <c r="G637" s="10"/>
      <c r="H637" s="10"/>
      <c r="I637" s="9"/>
      <c r="J637" s="9"/>
      <c r="K637" s="9"/>
      <c r="L637" s="9"/>
      <c r="M637" s="9"/>
      <c r="N637" s="17"/>
      <c r="O637" s="17" t="str">
        <f t="shared" si="72"/>
        <v/>
      </c>
      <c r="P637" s="17" t="str">
        <f>IFERROR(_xlfn.XLOOKUP(O637,'Department Listing'!$O$1:$O$395,'Department Listing'!$A$1:$A$395),IFERROR(_xlfn.XLOOKUP(O637,'Name Aliases'!$A$2:$A$1000,'Name Aliases'!$B$2:$B$1000),""))</f>
        <v/>
      </c>
      <c r="Q637" s="18" t="str">
        <f t="shared" si="73"/>
        <v/>
      </c>
      <c r="R637" s="17" t="str">
        <f t="shared" si="74"/>
        <v/>
      </c>
      <c r="S637" s="19" t="str">
        <f t="shared" si="75"/>
        <v/>
      </c>
      <c r="T637" s="17" t="str">
        <f t="shared" si="76"/>
        <v/>
      </c>
      <c r="U637" s="17" t="str">
        <f t="shared" si="77"/>
        <v/>
      </c>
      <c r="V637" s="19" t="str">
        <f>IF(ISBLANK($B637),"",IF(ISBLANK($K637),IF(_xlfn.XLOOKUP($W637,'Category Mapping'!$C:$C,'Category Mapping'!$B:$B)="Travel",_xlfn.XLOOKUP($P637,'Department Listing'!$A:$A,'Department Listing'!$M:$M),_xlfn.XLOOKUP($W637,'Category Mapping'!$C:$C,'Category Mapping'!$D:$D)),$K637))</f>
        <v/>
      </c>
      <c r="W637" s="19" t="str">
        <f t="shared" si="78"/>
        <v/>
      </c>
      <c r="X637" s="19" t="str">
        <f t="shared" si="79"/>
        <v/>
      </c>
      <c r="Y637" s="20" t="str">
        <f>IF(ISBLANK($M637),IFERROR(_xlfn.XLOOKUP($P637,'Department Listing'!$A:$A,'Department Listing'!$L:$L),""),$M637)</f>
        <v/>
      </c>
      <c r="Z637" s="11" t="str">
        <f>IF(ISBLANK($B637),"",MATCH($X637,COA!$B:$B,0))</f>
        <v/>
      </c>
    </row>
    <row r="638" spans="2:26" ht="15.75" customHeight="1" x14ac:dyDescent="0.25">
      <c r="B638" s="24"/>
      <c r="C638" s="10"/>
      <c r="D638" s="10"/>
      <c r="E638" s="25"/>
      <c r="F638" s="10"/>
      <c r="G638" s="10"/>
      <c r="H638" s="10"/>
      <c r="I638" s="9"/>
      <c r="J638" s="9"/>
      <c r="K638" s="9"/>
      <c r="L638" s="9"/>
      <c r="M638" s="9"/>
      <c r="N638" s="17"/>
      <c r="O638" s="17" t="str">
        <f t="shared" si="72"/>
        <v/>
      </c>
      <c r="P638" s="17" t="str">
        <f>IFERROR(_xlfn.XLOOKUP(O638,'Department Listing'!$O$1:$O$395,'Department Listing'!$A$1:$A$395),IFERROR(_xlfn.XLOOKUP(O638,'Name Aliases'!$A$2:$A$1000,'Name Aliases'!$B$2:$B$1000),""))</f>
        <v/>
      </c>
      <c r="Q638" s="18" t="str">
        <f t="shared" si="73"/>
        <v/>
      </c>
      <c r="R638" s="17" t="str">
        <f t="shared" si="74"/>
        <v/>
      </c>
      <c r="S638" s="19" t="str">
        <f t="shared" si="75"/>
        <v/>
      </c>
      <c r="T638" s="17" t="str">
        <f t="shared" si="76"/>
        <v/>
      </c>
      <c r="U638" s="17" t="str">
        <f t="shared" si="77"/>
        <v/>
      </c>
      <c r="V638" s="19" t="str">
        <f>IF(ISBLANK($B638),"",IF(ISBLANK($K638),IF(_xlfn.XLOOKUP($W638,'Category Mapping'!$C:$C,'Category Mapping'!$B:$B)="Travel",_xlfn.XLOOKUP($P638,'Department Listing'!$A:$A,'Department Listing'!$M:$M),_xlfn.XLOOKUP($W638,'Category Mapping'!$C:$C,'Category Mapping'!$D:$D)),$K638))</f>
        <v/>
      </c>
      <c r="W638" s="19" t="str">
        <f t="shared" si="78"/>
        <v/>
      </c>
      <c r="X638" s="19" t="str">
        <f t="shared" si="79"/>
        <v/>
      </c>
      <c r="Y638" s="20" t="str">
        <f>IF(ISBLANK($M638),IFERROR(_xlfn.XLOOKUP($P638,'Department Listing'!$A:$A,'Department Listing'!$L:$L),""),$M638)</f>
        <v/>
      </c>
      <c r="Z638" s="11" t="str">
        <f>IF(ISBLANK($B638),"",MATCH($X638,COA!$B:$B,0))</f>
        <v/>
      </c>
    </row>
    <row r="639" spans="2:26" ht="15.75" customHeight="1" x14ac:dyDescent="0.25">
      <c r="B639" s="24"/>
      <c r="C639" s="10"/>
      <c r="D639" s="10"/>
      <c r="E639" s="25"/>
      <c r="F639" s="10"/>
      <c r="G639" s="10"/>
      <c r="H639" s="10"/>
      <c r="I639" s="9"/>
      <c r="J639" s="9"/>
      <c r="K639" s="9"/>
      <c r="L639" s="9"/>
      <c r="M639" s="9"/>
      <c r="N639" s="17"/>
      <c r="O639" s="17" t="str">
        <f t="shared" si="72"/>
        <v/>
      </c>
      <c r="P639" s="17" t="str">
        <f>IFERROR(_xlfn.XLOOKUP(O639,'Department Listing'!$O$1:$O$395,'Department Listing'!$A$1:$A$395),IFERROR(_xlfn.XLOOKUP(O639,'Name Aliases'!$A$2:$A$1000,'Name Aliases'!$B$2:$B$1000),""))</f>
        <v/>
      </c>
      <c r="Q639" s="18" t="str">
        <f t="shared" si="73"/>
        <v/>
      </c>
      <c r="R639" s="17" t="str">
        <f t="shared" si="74"/>
        <v/>
      </c>
      <c r="S639" s="19" t="str">
        <f t="shared" si="75"/>
        <v/>
      </c>
      <c r="T639" s="17" t="str">
        <f t="shared" si="76"/>
        <v/>
      </c>
      <c r="U639" s="17" t="str">
        <f t="shared" si="77"/>
        <v/>
      </c>
      <c r="V639" s="19" t="str">
        <f>IF(ISBLANK($B639),"",IF(ISBLANK($K639),IF(_xlfn.XLOOKUP($W639,'Category Mapping'!$C:$C,'Category Mapping'!$B:$B)="Travel",_xlfn.XLOOKUP($P639,'Department Listing'!$A:$A,'Department Listing'!$M:$M),_xlfn.XLOOKUP($W639,'Category Mapping'!$C:$C,'Category Mapping'!$D:$D)),$K639))</f>
        <v/>
      </c>
      <c r="W639" s="19" t="str">
        <f t="shared" si="78"/>
        <v/>
      </c>
      <c r="X639" s="19" t="str">
        <f t="shared" si="79"/>
        <v/>
      </c>
      <c r="Y639" s="20" t="str">
        <f>IF(ISBLANK($M639),IFERROR(_xlfn.XLOOKUP($P639,'Department Listing'!$A:$A,'Department Listing'!$L:$L),""),$M639)</f>
        <v/>
      </c>
      <c r="Z639" s="11" t="str">
        <f>IF(ISBLANK($B639),"",MATCH($X639,COA!$B:$B,0))</f>
        <v/>
      </c>
    </row>
    <row r="640" spans="2:26" ht="15.75" customHeight="1" x14ac:dyDescent="0.25">
      <c r="B640" s="24"/>
      <c r="C640" s="10"/>
      <c r="D640" s="10"/>
      <c r="E640" s="25"/>
      <c r="F640" s="10"/>
      <c r="G640" s="10"/>
      <c r="H640" s="10"/>
      <c r="I640" s="9"/>
      <c r="J640" s="9"/>
      <c r="K640" s="9"/>
      <c r="L640" s="9"/>
      <c r="M640" s="9"/>
      <c r="N640" s="17"/>
      <c r="O640" s="17" t="str">
        <f t="shared" si="72"/>
        <v/>
      </c>
      <c r="P640" s="17" t="str">
        <f>IFERROR(_xlfn.XLOOKUP(O640,'Department Listing'!$O$1:$O$395,'Department Listing'!$A$1:$A$395),IFERROR(_xlfn.XLOOKUP(O640,'Name Aliases'!$A$2:$A$1000,'Name Aliases'!$B$2:$B$1000),""))</f>
        <v/>
      </c>
      <c r="Q640" s="18" t="str">
        <f t="shared" si="73"/>
        <v/>
      </c>
      <c r="R640" s="17" t="str">
        <f t="shared" si="74"/>
        <v/>
      </c>
      <c r="S640" s="19" t="str">
        <f t="shared" si="75"/>
        <v/>
      </c>
      <c r="T640" s="17" t="str">
        <f t="shared" si="76"/>
        <v/>
      </c>
      <c r="U640" s="17" t="str">
        <f t="shared" si="77"/>
        <v/>
      </c>
      <c r="V640" s="19" t="str">
        <f>IF(ISBLANK($B640),"",IF(ISBLANK($K640),IF(_xlfn.XLOOKUP($W640,'Category Mapping'!$C:$C,'Category Mapping'!$B:$B)="Travel",_xlfn.XLOOKUP($P640,'Department Listing'!$A:$A,'Department Listing'!$M:$M),_xlfn.XLOOKUP($W640,'Category Mapping'!$C:$C,'Category Mapping'!$D:$D)),$K640))</f>
        <v/>
      </c>
      <c r="W640" s="19" t="str">
        <f t="shared" si="78"/>
        <v/>
      </c>
      <c r="X640" s="19" t="str">
        <f t="shared" si="79"/>
        <v/>
      </c>
      <c r="Y640" s="20" t="str">
        <f>IF(ISBLANK($M640),IFERROR(_xlfn.XLOOKUP($P640,'Department Listing'!$A:$A,'Department Listing'!$L:$L),""),$M640)</f>
        <v/>
      </c>
      <c r="Z640" s="11" t="str">
        <f>IF(ISBLANK($B640),"",MATCH($X640,COA!$B:$B,0))</f>
        <v/>
      </c>
    </row>
    <row r="641" spans="2:26" ht="15.75" customHeight="1" x14ac:dyDescent="0.25">
      <c r="B641" s="24"/>
      <c r="C641" s="10"/>
      <c r="D641" s="10"/>
      <c r="E641" s="25"/>
      <c r="F641" s="10"/>
      <c r="G641" s="10"/>
      <c r="H641" s="10"/>
      <c r="I641" s="9"/>
      <c r="J641" s="9"/>
      <c r="K641" s="9"/>
      <c r="L641" s="9"/>
      <c r="M641" s="9"/>
      <c r="N641" s="17"/>
      <c r="O641" s="17" t="str">
        <f t="shared" si="72"/>
        <v/>
      </c>
      <c r="P641" s="17" t="str">
        <f>IFERROR(_xlfn.XLOOKUP(O641,'Department Listing'!$O$1:$O$395,'Department Listing'!$A$1:$A$395),IFERROR(_xlfn.XLOOKUP(O641,'Name Aliases'!$A$2:$A$1000,'Name Aliases'!$B$2:$B$1000),""))</f>
        <v/>
      </c>
      <c r="Q641" s="18" t="str">
        <f t="shared" si="73"/>
        <v/>
      </c>
      <c r="R641" s="17" t="str">
        <f t="shared" si="74"/>
        <v/>
      </c>
      <c r="S641" s="19" t="str">
        <f t="shared" si="75"/>
        <v/>
      </c>
      <c r="T641" s="17" t="str">
        <f t="shared" si="76"/>
        <v/>
      </c>
      <c r="U641" s="17" t="str">
        <f t="shared" si="77"/>
        <v/>
      </c>
      <c r="V641" s="19" t="str">
        <f>IF(ISBLANK($B641),"",IF(ISBLANK($K641),IF(_xlfn.XLOOKUP($W641,'Category Mapping'!$C:$C,'Category Mapping'!$B:$B)="Travel",_xlfn.XLOOKUP($P641,'Department Listing'!$A:$A,'Department Listing'!$M:$M),_xlfn.XLOOKUP($W641,'Category Mapping'!$C:$C,'Category Mapping'!$D:$D)),$K641))</f>
        <v/>
      </c>
      <c r="W641" s="19" t="str">
        <f t="shared" si="78"/>
        <v/>
      </c>
      <c r="X641" s="19" t="str">
        <f t="shared" si="79"/>
        <v/>
      </c>
      <c r="Y641" s="20" t="str">
        <f>IF(ISBLANK($M641),IFERROR(_xlfn.XLOOKUP($P641,'Department Listing'!$A:$A,'Department Listing'!$L:$L),""),$M641)</f>
        <v/>
      </c>
      <c r="Z641" s="11" t="str">
        <f>IF(ISBLANK($B641),"",MATCH($X641,COA!$B:$B,0))</f>
        <v/>
      </c>
    </row>
    <row r="642" spans="2:26" ht="15.75" customHeight="1" x14ac:dyDescent="0.25">
      <c r="B642" s="24"/>
      <c r="C642" s="10"/>
      <c r="D642" s="10"/>
      <c r="E642" s="25"/>
      <c r="F642" s="10"/>
      <c r="G642" s="10"/>
      <c r="H642" s="10"/>
      <c r="I642" s="9"/>
      <c r="J642" s="9"/>
      <c r="K642" s="9"/>
      <c r="L642" s="9"/>
      <c r="M642" s="9"/>
      <c r="N642" s="17"/>
      <c r="O642" s="17" t="str">
        <f t="shared" si="72"/>
        <v/>
      </c>
      <c r="P642" s="17" t="str">
        <f>IFERROR(_xlfn.XLOOKUP(O642,'Department Listing'!$O$1:$O$395,'Department Listing'!$A$1:$A$395),IFERROR(_xlfn.XLOOKUP(O642,'Name Aliases'!$A$2:$A$1000,'Name Aliases'!$B$2:$B$1000),""))</f>
        <v/>
      </c>
      <c r="Q642" s="18" t="str">
        <f t="shared" si="73"/>
        <v/>
      </c>
      <c r="R642" s="17" t="str">
        <f t="shared" si="74"/>
        <v/>
      </c>
      <c r="S642" s="19" t="str">
        <f t="shared" si="75"/>
        <v/>
      </c>
      <c r="T642" s="17" t="str">
        <f t="shared" si="76"/>
        <v/>
      </c>
      <c r="U642" s="17" t="str">
        <f t="shared" si="77"/>
        <v/>
      </c>
      <c r="V642" s="19" t="str">
        <f>IF(ISBLANK($B642),"",IF(ISBLANK($K642),IF(_xlfn.XLOOKUP($W642,'Category Mapping'!$C:$C,'Category Mapping'!$B:$B)="Travel",_xlfn.XLOOKUP($P642,'Department Listing'!$A:$A,'Department Listing'!$M:$M),_xlfn.XLOOKUP($W642,'Category Mapping'!$C:$C,'Category Mapping'!$D:$D)),$K642))</f>
        <v/>
      </c>
      <c r="W642" s="19" t="str">
        <f t="shared" si="78"/>
        <v/>
      </c>
      <c r="X642" s="19" t="str">
        <f t="shared" si="79"/>
        <v/>
      </c>
      <c r="Y642" s="20" t="str">
        <f>IF(ISBLANK($M642),IFERROR(_xlfn.XLOOKUP($P642,'Department Listing'!$A:$A,'Department Listing'!$L:$L),""),$M642)</f>
        <v/>
      </c>
      <c r="Z642" s="11" t="str">
        <f>IF(ISBLANK($B642),"",MATCH($X642,COA!$B:$B,0))</f>
        <v/>
      </c>
    </row>
    <row r="643" spans="2:26" ht="15.75" customHeight="1" x14ac:dyDescent="0.25">
      <c r="B643" s="24"/>
      <c r="C643" s="10"/>
      <c r="D643" s="10"/>
      <c r="E643" s="25"/>
      <c r="F643" s="10"/>
      <c r="G643" s="10"/>
      <c r="H643" s="10"/>
      <c r="I643" s="9"/>
      <c r="J643" s="9"/>
      <c r="K643" s="9"/>
      <c r="L643" s="9"/>
      <c r="M643" s="9"/>
      <c r="N643" s="17"/>
      <c r="O643" s="17" t="str">
        <f t="shared" si="72"/>
        <v/>
      </c>
      <c r="P643" s="17" t="str">
        <f>IFERROR(_xlfn.XLOOKUP(O643,'Department Listing'!$O$1:$O$395,'Department Listing'!$A$1:$A$395),IFERROR(_xlfn.XLOOKUP(O643,'Name Aliases'!$A$2:$A$1000,'Name Aliases'!$B$2:$B$1000),""))</f>
        <v/>
      </c>
      <c r="Q643" s="18" t="str">
        <f t="shared" si="73"/>
        <v/>
      </c>
      <c r="R643" s="17" t="str">
        <f t="shared" si="74"/>
        <v/>
      </c>
      <c r="S643" s="19" t="str">
        <f t="shared" si="75"/>
        <v/>
      </c>
      <c r="T643" s="17" t="str">
        <f t="shared" si="76"/>
        <v/>
      </c>
      <c r="U643" s="17" t="str">
        <f t="shared" si="77"/>
        <v/>
      </c>
      <c r="V643" s="19" t="str">
        <f>IF(ISBLANK($B643),"",IF(ISBLANK($K643),IF(_xlfn.XLOOKUP($W643,'Category Mapping'!$C:$C,'Category Mapping'!$B:$B)="Travel",_xlfn.XLOOKUP($P643,'Department Listing'!$A:$A,'Department Listing'!$M:$M),_xlfn.XLOOKUP($W643,'Category Mapping'!$C:$C,'Category Mapping'!$D:$D)),$K643))</f>
        <v/>
      </c>
      <c r="W643" s="19" t="str">
        <f t="shared" si="78"/>
        <v/>
      </c>
      <c r="X643" s="19" t="str">
        <f t="shared" si="79"/>
        <v/>
      </c>
      <c r="Y643" s="20" t="str">
        <f>IF(ISBLANK($M643),IFERROR(_xlfn.XLOOKUP($P643,'Department Listing'!$A:$A,'Department Listing'!$L:$L),""),$M643)</f>
        <v/>
      </c>
      <c r="Z643" s="11" t="str">
        <f>IF(ISBLANK($B643),"",MATCH($X643,COA!$B:$B,0))</f>
        <v/>
      </c>
    </row>
    <row r="644" spans="2:26" ht="15.75" customHeight="1" x14ac:dyDescent="0.25">
      <c r="B644" s="24"/>
      <c r="C644" s="10"/>
      <c r="D644" s="10"/>
      <c r="E644" s="25"/>
      <c r="F644" s="10"/>
      <c r="G644" s="10"/>
      <c r="H644" s="10"/>
      <c r="I644" s="9"/>
      <c r="J644" s="9"/>
      <c r="K644" s="9"/>
      <c r="L644" s="9"/>
      <c r="M644" s="9"/>
      <c r="N644" s="17"/>
      <c r="O644" s="17" t="str">
        <f t="shared" ref="O644:O659" si="80">IF(C644="", "", TRIM(RIGHT(C644, LEN(C644) - FIND("@@", SUBSTITUTE(C644, "-", "@@", LEN(C644) - LEN(SUBSTITUTE(C644, "-", "")))))))</f>
        <v/>
      </c>
      <c r="P644" s="17" t="str">
        <f>IFERROR(_xlfn.XLOOKUP(O644,'Department Listing'!$O$1:$O$395,'Department Listing'!$A$1:$A$395),IFERROR(_xlfn.XLOOKUP(O644,'Name Aliases'!$A$2:$A$1000,'Name Aliases'!$B$2:$B$1000),""))</f>
        <v/>
      </c>
      <c r="Q644" s="18" t="str">
        <f t="shared" ref="Q644:Q659" si="81">IF(ISBLANK($C644),"",$B644)</f>
        <v/>
      </c>
      <c r="R644" s="17" t="str">
        <f t="shared" ref="R644:R659" si="82">IF(ISBLANK($C644),"",IF(ISBLANK($I644),$D644,$I644))</f>
        <v/>
      </c>
      <c r="S644" s="19" t="str">
        <f t="shared" ref="S644:S659" si="83">IF(ISBLANK($C644),"",$F644 - $G644)</f>
        <v/>
      </c>
      <c r="T644" s="17" t="str">
        <f t="shared" ref="T644:T659" si="84">IF(ISBLANK($C644),"",C644)</f>
        <v/>
      </c>
      <c r="U644" s="17" t="str">
        <f t="shared" ref="U644:U659" si="85">IF(ISBLANK($C644),"",$D$1)</f>
        <v/>
      </c>
      <c r="V644" s="19" t="str">
        <f>IF(ISBLANK($B644),"",IF(ISBLANK($K644),IF(_xlfn.XLOOKUP($W644,'Category Mapping'!$C:$C,'Category Mapping'!$B:$B)="Travel",_xlfn.XLOOKUP($P644,'Department Listing'!$A:$A,'Department Listing'!$M:$M),_xlfn.XLOOKUP($W644,'Category Mapping'!$C:$C,'Category Mapping'!$D:$D)),$K644))</f>
        <v/>
      </c>
      <c r="W644" s="19" t="str">
        <f t="shared" ref="W644:W659" si="86">IF(ISBLANK($B644),"",IF(ISBLANK($L644),RIGHT($E644,LEN($E644) - FIND("^",SUBSTITUTE($E644,":","^",LEN($E644) - LEN(SUBSTITUTE($E644,":",""))))),$L644))</f>
        <v/>
      </c>
      <c r="X644" s="19" t="str">
        <f t="shared" ref="X644:X659" si="87">IF(ISBLANK($J644),$V644&amp;$W644,$J644)</f>
        <v/>
      </c>
      <c r="Y644" s="20" t="str">
        <f>IF(ISBLANK($M644),IFERROR(_xlfn.XLOOKUP($P644,'Department Listing'!$A:$A,'Department Listing'!$L:$L),""),$M644)</f>
        <v/>
      </c>
      <c r="Z644" s="11" t="str">
        <f>IF(ISBLANK($B644),"",MATCH($X644,COA!$B:$B,0))</f>
        <v/>
      </c>
    </row>
    <row r="645" spans="2:26" ht="15.75" customHeight="1" x14ac:dyDescent="0.25">
      <c r="B645" s="24"/>
      <c r="C645" s="10"/>
      <c r="D645" s="10"/>
      <c r="E645" s="25"/>
      <c r="F645" s="10"/>
      <c r="G645" s="10"/>
      <c r="H645" s="10"/>
      <c r="I645" s="9"/>
      <c r="J645" s="9"/>
      <c r="K645" s="9"/>
      <c r="L645" s="9"/>
      <c r="M645" s="9"/>
      <c r="N645" s="17"/>
      <c r="O645" s="17" t="str">
        <f t="shared" si="80"/>
        <v/>
      </c>
      <c r="P645" s="17" t="str">
        <f>IFERROR(_xlfn.XLOOKUP(O645,'Department Listing'!$O$1:$O$395,'Department Listing'!$A$1:$A$395),IFERROR(_xlfn.XLOOKUP(O645,'Name Aliases'!$A$2:$A$1000,'Name Aliases'!$B$2:$B$1000),""))</f>
        <v/>
      </c>
      <c r="Q645" s="18" t="str">
        <f t="shared" si="81"/>
        <v/>
      </c>
      <c r="R645" s="17" t="str">
        <f t="shared" si="82"/>
        <v/>
      </c>
      <c r="S645" s="19" t="str">
        <f t="shared" si="83"/>
        <v/>
      </c>
      <c r="T645" s="17" t="str">
        <f t="shared" si="84"/>
        <v/>
      </c>
      <c r="U645" s="17" t="str">
        <f t="shared" si="85"/>
        <v/>
      </c>
      <c r="V645" s="19" t="str">
        <f>IF(ISBLANK($B645),"",IF(ISBLANK($K645),IF(_xlfn.XLOOKUP($W645,'Category Mapping'!$C:$C,'Category Mapping'!$B:$B)="Travel",_xlfn.XLOOKUP($P645,'Department Listing'!$A:$A,'Department Listing'!$M:$M),_xlfn.XLOOKUP($W645,'Category Mapping'!$C:$C,'Category Mapping'!$D:$D)),$K645))</f>
        <v/>
      </c>
      <c r="W645" s="19" t="str">
        <f t="shared" si="86"/>
        <v/>
      </c>
      <c r="X645" s="19" t="str">
        <f t="shared" si="87"/>
        <v/>
      </c>
      <c r="Y645" s="20" t="str">
        <f>IF(ISBLANK($M645),IFERROR(_xlfn.XLOOKUP($P645,'Department Listing'!$A:$A,'Department Listing'!$L:$L),""),$M645)</f>
        <v/>
      </c>
      <c r="Z645" s="11" t="str">
        <f>IF(ISBLANK($B645),"",MATCH($X645,COA!$B:$B,0))</f>
        <v/>
      </c>
    </row>
    <row r="646" spans="2:26" ht="15.75" customHeight="1" x14ac:dyDescent="0.25">
      <c r="B646" s="24"/>
      <c r="C646" s="10"/>
      <c r="D646" s="10"/>
      <c r="E646" s="25"/>
      <c r="F646" s="10"/>
      <c r="G646" s="10"/>
      <c r="H646" s="10"/>
      <c r="I646" s="9"/>
      <c r="J646" s="9"/>
      <c r="K646" s="9"/>
      <c r="L646" s="9"/>
      <c r="M646" s="9"/>
      <c r="N646" s="17"/>
      <c r="O646" s="17" t="str">
        <f t="shared" si="80"/>
        <v/>
      </c>
      <c r="P646" s="17" t="str">
        <f>IFERROR(_xlfn.XLOOKUP(O646,'Department Listing'!$O$1:$O$395,'Department Listing'!$A$1:$A$395),IFERROR(_xlfn.XLOOKUP(O646,'Name Aliases'!$A$2:$A$1000,'Name Aliases'!$B$2:$B$1000),""))</f>
        <v/>
      </c>
      <c r="Q646" s="18" t="str">
        <f t="shared" si="81"/>
        <v/>
      </c>
      <c r="R646" s="17" t="str">
        <f t="shared" si="82"/>
        <v/>
      </c>
      <c r="S646" s="19" t="str">
        <f t="shared" si="83"/>
        <v/>
      </c>
      <c r="T646" s="17" t="str">
        <f t="shared" si="84"/>
        <v/>
      </c>
      <c r="U646" s="17" t="str">
        <f t="shared" si="85"/>
        <v/>
      </c>
      <c r="V646" s="19" t="str">
        <f>IF(ISBLANK($B646),"",IF(ISBLANK($K646),IF(_xlfn.XLOOKUP($W646,'Category Mapping'!$C:$C,'Category Mapping'!$B:$B)="Travel",_xlfn.XLOOKUP($P646,'Department Listing'!$A:$A,'Department Listing'!$M:$M),_xlfn.XLOOKUP($W646,'Category Mapping'!$C:$C,'Category Mapping'!$D:$D)),$K646))</f>
        <v/>
      </c>
      <c r="W646" s="19" t="str">
        <f t="shared" si="86"/>
        <v/>
      </c>
      <c r="X646" s="19" t="str">
        <f t="shared" si="87"/>
        <v/>
      </c>
      <c r="Y646" s="20" t="str">
        <f>IF(ISBLANK($M646),IFERROR(_xlfn.XLOOKUP($P646,'Department Listing'!$A:$A,'Department Listing'!$L:$L),""),$M646)</f>
        <v/>
      </c>
      <c r="Z646" s="11" t="str">
        <f>IF(ISBLANK($B646),"",MATCH($X646,COA!$B:$B,0))</f>
        <v/>
      </c>
    </row>
    <row r="647" spans="2:26" ht="15.75" customHeight="1" x14ac:dyDescent="0.25">
      <c r="B647" s="24"/>
      <c r="C647" s="10"/>
      <c r="D647" s="10"/>
      <c r="E647" s="25"/>
      <c r="F647" s="10"/>
      <c r="G647" s="10"/>
      <c r="H647" s="10"/>
      <c r="I647" s="9"/>
      <c r="J647" s="9"/>
      <c r="K647" s="9"/>
      <c r="L647" s="9"/>
      <c r="M647" s="9"/>
      <c r="N647" s="17"/>
      <c r="O647" s="17" t="str">
        <f t="shared" si="80"/>
        <v/>
      </c>
      <c r="P647" s="17" t="str">
        <f>IFERROR(_xlfn.XLOOKUP(O647,'Department Listing'!$O$1:$O$395,'Department Listing'!$A$1:$A$395),IFERROR(_xlfn.XLOOKUP(O647,'Name Aliases'!$A$2:$A$1000,'Name Aliases'!$B$2:$B$1000),""))</f>
        <v/>
      </c>
      <c r="Q647" s="18" t="str">
        <f t="shared" si="81"/>
        <v/>
      </c>
      <c r="R647" s="17" t="str">
        <f t="shared" si="82"/>
        <v/>
      </c>
      <c r="S647" s="19" t="str">
        <f t="shared" si="83"/>
        <v/>
      </c>
      <c r="T647" s="17" t="str">
        <f t="shared" si="84"/>
        <v/>
      </c>
      <c r="U647" s="17" t="str">
        <f t="shared" si="85"/>
        <v/>
      </c>
      <c r="V647" s="19" t="str">
        <f>IF(ISBLANK($B647),"",IF(ISBLANK($K647),IF(_xlfn.XLOOKUP($W647,'Category Mapping'!$C:$C,'Category Mapping'!$B:$B)="Travel",_xlfn.XLOOKUP($P647,'Department Listing'!$A:$A,'Department Listing'!$M:$M),_xlfn.XLOOKUP($W647,'Category Mapping'!$C:$C,'Category Mapping'!$D:$D)),$K647))</f>
        <v/>
      </c>
      <c r="W647" s="19" t="str">
        <f t="shared" si="86"/>
        <v/>
      </c>
      <c r="X647" s="19" t="str">
        <f t="shared" si="87"/>
        <v/>
      </c>
      <c r="Y647" s="20" t="str">
        <f>IF(ISBLANK($M647),IFERROR(_xlfn.XLOOKUP($P647,'Department Listing'!$A:$A,'Department Listing'!$L:$L),""),$M647)</f>
        <v/>
      </c>
      <c r="Z647" s="11" t="str">
        <f>IF(ISBLANK($B647),"",MATCH($X647,COA!$B:$B,0))</f>
        <v/>
      </c>
    </row>
    <row r="648" spans="2:26" ht="15.75" customHeight="1" x14ac:dyDescent="0.25">
      <c r="B648" s="24"/>
      <c r="C648" s="10"/>
      <c r="D648" s="10"/>
      <c r="E648" s="25"/>
      <c r="F648" s="10"/>
      <c r="G648" s="10"/>
      <c r="H648" s="10"/>
      <c r="I648" s="9"/>
      <c r="J648" s="9"/>
      <c r="K648" s="9"/>
      <c r="L648" s="9"/>
      <c r="M648" s="9"/>
      <c r="N648" s="17"/>
      <c r="O648" s="17" t="str">
        <f t="shared" si="80"/>
        <v/>
      </c>
      <c r="P648" s="17" t="str">
        <f>IFERROR(_xlfn.XLOOKUP(O648,'Department Listing'!$O$1:$O$395,'Department Listing'!$A$1:$A$395),IFERROR(_xlfn.XLOOKUP(O648,'Name Aliases'!$A$2:$A$1000,'Name Aliases'!$B$2:$B$1000),""))</f>
        <v/>
      </c>
      <c r="Q648" s="18" t="str">
        <f t="shared" si="81"/>
        <v/>
      </c>
      <c r="R648" s="17" t="str">
        <f t="shared" si="82"/>
        <v/>
      </c>
      <c r="S648" s="19" t="str">
        <f t="shared" si="83"/>
        <v/>
      </c>
      <c r="T648" s="17" t="str">
        <f t="shared" si="84"/>
        <v/>
      </c>
      <c r="U648" s="17" t="str">
        <f t="shared" si="85"/>
        <v/>
      </c>
      <c r="V648" s="19" t="str">
        <f>IF(ISBLANK($B648),"",IF(ISBLANK($K648),IF(_xlfn.XLOOKUP($W648,'Category Mapping'!$C:$C,'Category Mapping'!$B:$B)="Travel",_xlfn.XLOOKUP($P648,'Department Listing'!$A:$A,'Department Listing'!$M:$M),_xlfn.XLOOKUP($W648,'Category Mapping'!$C:$C,'Category Mapping'!$D:$D)),$K648))</f>
        <v/>
      </c>
      <c r="W648" s="19" t="str">
        <f t="shared" si="86"/>
        <v/>
      </c>
      <c r="X648" s="19" t="str">
        <f t="shared" si="87"/>
        <v/>
      </c>
      <c r="Y648" s="20" t="str">
        <f>IF(ISBLANK($M648),IFERROR(_xlfn.XLOOKUP($P648,'Department Listing'!$A:$A,'Department Listing'!$L:$L),""),$M648)</f>
        <v/>
      </c>
      <c r="Z648" s="11" t="str">
        <f>IF(ISBLANK($B648),"",MATCH($X648,COA!$B:$B,0))</f>
        <v/>
      </c>
    </row>
    <row r="649" spans="2:26" ht="15.75" customHeight="1" x14ac:dyDescent="0.25">
      <c r="B649" s="24"/>
      <c r="C649" s="10"/>
      <c r="D649" s="10"/>
      <c r="E649" s="25"/>
      <c r="F649" s="10"/>
      <c r="G649" s="10"/>
      <c r="H649" s="10"/>
      <c r="I649" s="9"/>
      <c r="J649" s="9"/>
      <c r="K649" s="9"/>
      <c r="L649" s="9"/>
      <c r="M649" s="9"/>
      <c r="N649" s="17"/>
      <c r="O649" s="17" t="str">
        <f t="shared" si="80"/>
        <v/>
      </c>
      <c r="P649" s="17" t="str">
        <f>IFERROR(_xlfn.XLOOKUP(O649,'Department Listing'!$O$1:$O$395,'Department Listing'!$A$1:$A$395),IFERROR(_xlfn.XLOOKUP(O649,'Name Aliases'!$A$2:$A$1000,'Name Aliases'!$B$2:$B$1000),""))</f>
        <v/>
      </c>
      <c r="Q649" s="18" t="str">
        <f t="shared" si="81"/>
        <v/>
      </c>
      <c r="R649" s="17" t="str">
        <f t="shared" si="82"/>
        <v/>
      </c>
      <c r="S649" s="19" t="str">
        <f t="shared" si="83"/>
        <v/>
      </c>
      <c r="T649" s="17" t="str">
        <f t="shared" si="84"/>
        <v/>
      </c>
      <c r="U649" s="17" t="str">
        <f t="shared" si="85"/>
        <v/>
      </c>
      <c r="V649" s="19" t="str">
        <f>IF(ISBLANK($B649),"",IF(ISBLANK($K649),IF(_xlfn.XLOOKUP($W649,'Category Mapping'!$C:$C,'Category Mapping'!$B:$B)="Travel",_xlfn.XLOOKUP($P649,'Department Listing'!$A:$A,'Department Listing'!$M:$M),_xlfn.XLOOKUP($W649,'Category Mapping'!$C:$C,'Category Mapping'!$D:$D)),$K649))</f>
        <v/>
      </c>
      <c r="W649" s="19" t="str">
        <f t="shared" si="86"/>
        <v/>
      </c>
      <c r="X649" s="19" t="str">
        <f t="shared" si="87"/>
        <v/>
      </c>
      <c r="Y649" s="20" t="str">
        <f>IF(ISBLANK($M649),IFERROR(_xlfn.XLOOKUP($P649,'Department Listing'!$A:$A,'Department Listing'!$L:$L),""),$M649)</f>
        <v/>
      </c>
      <c r="Z649" s="11" t="str">
        <f>IF(ISBLANK($B649),"",MATCH($X649,COA!$B:$B,0))</f>
        <v/>
      </c>
    </row>
    <row r="650" spans="2:26" ht="15.75" customHeight="1" x14ac:dyDescent="0.25">
      <c r="B650" s="24"/>
      <c r="C650" s="10"/>
      <c r="D650" s="10"/>
      <c r="E650" s="25"/>
      <c r="F650" s="10"/>
      <c r="G650" s="10"/>
      <c r="H650" s="10"/>
      <c r="I650" s="9"/>
      <c r="J650" s="9"/>
      <c r="K650" s="9"/>
      <c r="L650" s="9"/>
      <c r="M650" s="9"/>
      <c r="N650" s="17"/>
      <c r="O650" s="17" t="str">
        <f t="shared" si="80"/>
        <v/>
      </c>
      <c r="P650" s="17" t="str">
        <f>IFERROR(_xlfn.XLOOKUP(O650,'Department Listing'!$O$1:$O$395,'Department Listing'!$A$1:$A$395),IFERROR(_xlfn.XLOOKUP(O650,'Name Aliases'!$A$2:$A$1000,'Name Aliases'!$B$2:$B$1000),""))</f>
        <v/>
      </c>
      <c r="Q650" s="18" t="str">
        <f t="shared" si="81"/>
        <v/>
      </c>
      <c r="R650" s="17" t="str">
        <f t="shared" si="82"/>
        <v/>
      </c>
      <c r="S650" s="19" t="str">
        <f t="shared" si="83"/>
        <v/>
      </c>
      <c r="T650" s="17" t="str">
        <f t="shared" si="84"/>
        <v/>
      </c>
      <c r="U650" s="17" t="str">
        <f t="shared" si="85"/>
        <v/>
      </c>
      <c r="V650" s="19" t="str">
        <f>IF(ISBLANK($B650),"",IF(ISBLANK($K650),IF(_xlfn.XLOOKUP($W650,'Category Mapping'!$C:$C,'Category Mapping'!$B:$B)="Travel",_xlfn.XLOOKUP($P650,'Department Listing'!$A:$A,'Department Listing'!$M:$M),_xlfn.XLOOKUP($W650,'Category Mapping'!$C:$C,'Category Mapping'!$D:$D)),$K650))</f>
        <v/>
      </c>
      <c r="W650" s="19" t="str">
        <f t="shared" si="86"/>
        <v/>
      </c>
      <c r="X650" s="19" t="str">
        <f t="shared" si="87"/>
        <v/>
      </c>
      <c r="Y650" s="20" t="str">
        <f>IF(ISBLANK($M650),IFERROR(_xlfn.XLOOKUP($P650,'Department Listing'!$A:$A,'Department Listing'!$L:$L),""),$M650)</f>
        <v/>
      </c>
      <c r="Z650" s="11" t="str">
        <f>IF(ISBLANK($B650),"",MATCH($X650,COA!$B:$B,0))</f>
        <v/>
      </c>
    </row>
    <row r="651" spans="2:26" ht="15.75" customHeight="1" x14ac:dyDescent="0.25">
      <c r="B651" s="24"/>
      <c r="C651" s="10"/>
      <c r="D651" s="10"/>
      <c r="E651" s="25"/>
      <c r="F651" s="10"/>
      <c r="G651" s="10"/>
      <c r="H651" s="10"/>
      <c r="I651" s="9"/>
      <c r="J651" s="9"/>
      <c r="K651" s="9"/>
      <c r="L651" s="9"/>
      <c r="M651" s="9"/>
      <c r="N651" s="17"/>
      <c r="O651" s="17" t="str">
        <f t="shared" si="80"/>
        <v/>
      </c>
      <c r="P651" s="17" t="str">
        <f>IFERROR(_xlfn.XLOOKUP(O651,'Department Listing'!$O$1:$O$395,'Department Listing'!$A$1:$A$395),IFERROR(_xlfn.XLOOKUP(O651,'Name Aliases'!$A$2:$A$1000,'Name Aliases'!$B$2:$B$1000),""))</f>
        <v/>
      </c>
      <c r="Q651" s="18" t="str">
        <f t="shared" si="81"/>
        <v/>
      </c>
      <c r="R651" s="17" t="str">
        <f t="shared" si="82"/>
        <v/>
      </c>
      <c r="S651" s="19" t="str">
        <f t="shared" si="83"/>
        <v/>
      </c>
      <c r="T651" s="17" t="str">
        <f t="shared" si="84"/>
        <v/>
      </c>
      <c r="U651" s="17" t="str">
        <f t="shared" si="85"/>
        <v/>
      </c>
      <c r="V651" s="19" t="str">
        <f>IF(ISBLANK($B651),"",IF(ISBLANK($K651),IF(_xlfn.XLOOKUP($W651,'Category Mapping'!$C:$C,'Category Mapping'!$B:$B)="Travel",_xlfn.XLOOKUP($P651,'Department Listing'!$A:$A,'Department Listing'!$M:$M),_xlfn.XLOOKUP($W651,'Category Mapping'!$C:$C,'Category Mapping'!$D:$D)),$K651))</f>
        <v/>
      </c>
      <c r="W651" s="19" t="str">
        <f t="shared" si="86"/>
        <v/>
      </c>
      <c r="X651" s="19" t="str">
        <f t="shared" si="87"/>
        <v/>
      </c>
      <c r="Y651" s="20" t="str">
        <f>IF(ISBLANK($M651),IFERROR(_xlfn.XLOOKUP($P651,'Department Listing'!$A:$A,'Department Listing'!$L:$L),""),$M651)</f>
        <v/>
      </c>
      <c r="Z651" s="11" t="str">
        <f>IF(ISBLANK($B651),"",MATCH($X651,COA!$B:$B,0))</f>
        <v/>
      </c>
    </row>
    <row r="652" spans="2:26" ht="15.75" customHeight="1" x14ac:dyDescent="0.25">
      <c r="B652" s="24"/>
      <c r="C652" s="10"/>
      <c r="D652" s="10"/>
      <c r="E652" s="25"/>
      <c r="F652" s="10"/>
      <c r="G652" s="10"/>
      <c r="H652" s="10"/>
      <c r="I652" s="9"/>
      <c r="J652" s="9"/>
      <c r="K652" s="9"/>
      <c r="L652" s="9"/>
      <c r="M652" s="9"/>
      <c r="N652" s="17"/>
      <c r="O652" s="17" t="str">
        <f t="shared" si="80"/>
        <v/>
      </c>
      <c r="P652" s="17" t="str">
        <f>IFERROR(_xlfn.XLOOKUP(O652,'Department Listing'!$O$1:$O$395,'Department Listing'!$A$1:$A$395),IFERROR(_xlfn.XLOOKUP(O652,'Name Aliases'!$A$2:$A$1000,'Name Aliases'!$B$2:$B$1000),""))</f>
        <v/>
      </c>
      <c r="Q652" s="18" t="str">
        <f t="shared" si="81"/>
        <v/>
      </c>
      <c r="R652" s="17" t="str">
        <f t="shared" si="82"/>
        <v/>
      </c>
      <c r="S652" s="19" t="str">
        <f t="shared" si="83"/>
        <v/>
      </c>
      <c r="T652" s="17" t="str">
        <f t="shared" si="84"/>
        <v/>
      </c>
      <c r="U652" s="17" t="str">
        <f t="shared" si="85"/>
        <v/>
      </c>
      <c r="V652" s="19" t="str">
        <f>IF(ISBLANK($B652),"",IF(ISBLANK($K652),IF(_xlfn.XLOOKUP($W652,'Category Mapping'!$C:$C,'Category Mapping'!$B:$B)="Travel",_xlfn.XLOOKUP($P652,'Department Listing'!$A:$A,'Department Listing'!$M:$M),_xlfn.XLOOKUP($W652,'Category Mapping'!$C:$C,'Category Mapping'!$D:$D)),$K652))</f>
        <v/>
      </c>
      <c r="W652" s="19" t="str">
        <f t="shared" si="86"/>
        <v/>
      </c>
      <c r="X652" s="19" t="str">
        <f t="shared" si="87"/>
        <v/>
      </c>
      <c r="Y652" s="20" t="str">
        <f>IF(ISBLANK($M652),IFERROR(_xlfn.XLOOKUP($P652,'Department Listing'!$A:$A,'Department Listing'!$L:$L),""),$M652)</f>
        <v/>
      </c>
      <c r="Z652" s="11" t="str">
        <f>IF(ISBLANK($B652),"",MATCH($X652,COA!$B:$B,0))</f>
        <v/>
      </c>
    </row>
    <row r="653" spans="2:26" ht="15.75" customHeight="1" x14ac:dyDescent="0.25">
      <c r="B653" s="24"/>
      <c r="C653" s="10"/>
      <c r="D653" s="10"/>
      <c r="E653" s="25"/>
      <c r="F653" s="10"/>
      <c r="G653" s="10"/>
      <c r="H653" s="10"/>
      <c r="I653" s="9"/>
      <c r="J653" s="9"/>
      <c r="K653" s="9"/>
      <c r="L653" s="9"/>
      <c r="M653" s="9"/>
      <c r="N653" s="17"/>
      <c r="O653" s="17" t="str">
        <f t="shared" si="80"/>
        <v/>
      </c>
      <c r="P653" s="17" t="str">
        <f>IFERROR(_xlfn.XLOOKUP(O653,'Department Listing'!$O$1:$O$395,'Department Listing'!$A$1:$A$395),IFERROR(_xlfn.XLOOKUP(O653,'Name Aliases'!$A$2:$A$1000,'Name Aliases'!$B$2:$B$1000),""))</f>
        <v/>
      </c>
      <c r="Q653" s="18" t="str">
        <f t="shared" si="81"/>
        <v/>
      </c>
      <c r="R653" s="17" t="str">
        <f t="shared" si="82"/>
        <v/>
      </c>
      <c r="S653" s="19" t="str">
        <f t="shared" si="83"/>
        <v/>
      </c>
      <c r="T653" s="17" t="str">
        <f t="shared" si="84"/>
        <v/>
      </c>
      <c r="U653" s="17" t="str">
        <f t="shared" si="85"/>
        <v/>
      </c>
      <c r="V653" s="19" t="str">
        <f>IF(ISBLANK($B653),"",IF(ISBLANK($K653),IF(_xlfn.XLOOKUP($W653,'Category Mapping'!$C:$C,'Category Mapping'!$B:$B)="Travel",_xlfn.XLOOKUP($P653,'Department Listing'!$A:$A,'Department Listing'!$M:$M),_xlfn.XLOOKUP($W653,'Category Mapping'!$C:$C,'Category Mapping'!$D:$D)),$K653))</f>
        <v/>
      </c>
      <c r="W653" s="19" t="str">
        <f t="shared" si="86"/>
        <v/>
      </c>
      <c r="X653" s="19" t="str">
        <f t="shared" si="87"/>
        <v/>
      </c>
      <c r="Y653" s="20" t="str">
        <f>IF(ISBLANK($M653),IFERROR(_xlfn.XLOOKUP($P653,'Department Listing'!$A:$A,'Department Listing'!$L:$L),""),$M653)</f>
        <v/>
      </c>
      <c r="Z653" s="11" t="str">
        <f>IF(ISBLANK($B653),"",MATCH($X653,COA!$B:$B,0))</f>
        <v/>
      </c>
    </row>
    <row r="654" spans="2:26" ht="15.75" customHeight="1" x14ac:dyDescent="0.25">
      <c r="B654" s="24"/>
      <c r="C654" s="10"/>
      <c r="D654" s="10"/>
      <c r="E654" s="25"/>
      <c r="F654" s="10"/>
      <c r="G654" s="10"/>
      <c r="H654" s="10"/>
      <c r="I654" s="9"/>
      <c r="J654" s="9"/>
      <c r="K654" s="9"/>
      <c r="L654" s="9"/>
      <c r="M654" s="9"/>
      <c r="N654" s="17"/>
      <c r="O654" s="17" t="str">
        <f t="shared" si="80"/>
        <v/>
      </c>
      <c r="P654" s="17" t="str">
        <f>IFERROR(_xlfn.XLOOKUP(O654,'Department Listing'!$O$1:$O$395,'Department Listing'!$A$1:$A$395),IFERROR(_xlfn.XLOOKUP(O654,'Name Aliases'!$A$2:$A$1000,'Name Aliases'!$B$2:$B$1000),""))</f>
        <v/>
      </c>
      <c r="Q654" s="18" t="str">
        <f t="shared" si="81"/>
        <v/>
      </c>
      <c r="R654" s="17" t="str">
        <f t="shared" si="82"/>
        <v/>
      </c>
      <c r="S654" s="19" t="str">
        <f t="shared" si="83"/>
        <v/>
      </c>
      <c r="T654" s="17" t="str">
        <f t="shared" si="84"/>
        <v/>
      </c>
      <c r="U654" s="17" t="str">
        <f t="shared" si="85"/>
        <v/>
      </c>
      <c r="V654" s="19" t="str">
        <f>IF(ISBLANK($B654),"",IF(ISBLANK($K654),IF(_xlfn.XLOOKUP($W654,'Category Mapping'!$C:$C,'Category Mapping'!$B:$B)="Travel",_xlfn.XLOOKUP($P654,'Department Listing'!$A:$A,'Department Listing'!$M:$M),_xlfn.XLOOKUP($W654,'Category Mapping'!$C:$C,'Category Mapping'!$D:$D)),$K654))</f>
        <v/>
      </c>
      <c r="W654" s="19" t="str">
        <f t="shared" si="86"/>
        <v/>
      </c>
      <c r="X654" s="19" t="str">
        <f t="shared" si="87"/>
        <v/>
      </c>
      <c r="Y654" s="20" t="str">
        <f>IF(ISBLANK($M654),IFERROR(_xlfn.XLOOKUP($P654,'Department Listing'!$A:$A,'Department Listing'!$L:$L),""),$M654)</f>
        <v/>
      </c>
      <c r="Z654" s="11" t="str">
        <f>IF(ISBLANK($B654),"",MATCH($X654,COA!$B:$B,0))</f>
        <v/>
      </c>
    </row>
    <row r="655" spans="2:26" ht="15.75" customHeight="1" x14ac:dyDescent="0.25">
      <c r="B655" s="24"/>
      <c r="C655" s="10"/>
      <c r="D655" s="10"/>
      <c r="E655" s="25"/>
      <c r="F655" s="10"/>
      <c r="G655" s="10"/>
      <c r="H655" s="10"/>
      <c r="I655" s="9"/>
      <c r="J655" s="9"/>
      <c r="K655" s="9"/>
      <c r="L655" s="9"/>
      <c r="M655" s="9"/>
      <c r="N655" s="17"/>
      <c r="O655" s="17" t="str">
        <f t="shared" si="80"/>
        <v/>
      </c>
      <c r="P655" s="17" t="str">
        <f>IFERROR(_xlfn.XLOOKUP(O655,'Department Listing'!$O$1:$O$395,'Department Listing'!$A$1:$A$395),IFERROR(_xlfn.XLOOKUP(O655,'Name Aliases'!$A$2:$A$1000,'Name Aliases'!$B$2:$B$1000),""))</f>
        <v/>
      </c>
      <c r="Q655" s="18" t="str">
        <f t="shared" si="81"/>
        <v/>
      </c>
      <c r="R655" s="17" t="str">
        <f t="shared" si="82"/>
        <v/>
      </c>
      <c r="S655" s="19" t="str">
        <f t="shared" si="83"/>
        <v/>
      </c>
      <c r="T655" s="17" t="str">
        <f t="shared" si="84"/>
        <v/>
      </c>
      <c r="U655" s="17" t="str">
        <f t="shared" si="85"/>
        <v/>
      </c>
      <c r="V655" s="19" t="str">
        <f>IF(ISBLANK($B655),"",IF(ISBLANK($K655),IF(_xlfn.XLOOKUP($W655,'Category Mapping'!$C:$C,'Category Mapping'!$B:$B)="Travel",_xlfn.XLOOKUP($P655,'Department Listing'!$A:$A,'Department Listing'!$M:$M),_xlfn.XLOOKUP($W655,'Category Mapping'!$C:$C,'Category Mapping'!$D:$D)),$K655))</f>
        <v/>
      </c>
      <c r="W655" s="19" t="str">
        <f t="shared" si="86"/>
        <v/>
      </c>
      <c r="X655" s="19" t="str">
        <f t="shared" si="87"/>
        <v/>
      </c>
      <c r="Y655" s="20" t="str">
        <f>IF(ISBLANK($M655),IFERROR(_xlfn.XLOOKUP($P655,'Department Listing'!$A:$A,'Department Listing'!$L:$L),""),$M655)</f>
        <v/>
      </c>
      <c r="Z655" s="11" t="str">
        <f>IF(ISBLANK($B655),"",MATCH($X655,COA!$B:$B,0))</f>
        <v/>
      </c>
    </row>
    <row r="656" spans="2:26" ht="15.75" customHeight="1" x14ac:dyDescent="0.25">
      <c r="B656" s="24"/>
      <c r="C656" s="10"/>
      <c r="D656" s="10"/>
      <c r="E656" s="25"/>
      <c r="F656" s="10"/>
      <c r="G656" s="10"/>
      <c r="H656" s="10"/>
      <c r="I656" s="9"/>
      <c r="J656" s="9"/>
      <c r="K656" s="9"/>
      <c r="L656" s="9"/>
      <c r="M656" s="9"/>
      <c r="N656" s="17"/>
      <c r="O656" s="17" t="str">
        <f t="shared" si="80"/>
        <v/>
      </c>
      <c r="P656" s="17" t="str">
        <f>IFERROR(_xlfn.XLOOKUP(O656,'Department Listing'!$O$1:$O$395,'Department Listing'!$A$1:$A$395),IFERROR(_xlfn.XLOOKUP(O656,'Name Aliases'!$A$2:$A$1000,'Name Aliases'!$B$2:$B$1000),""))</f>
        <v/>
      </c>
      <c r="Q656" s="18" t="str">
        <f t="shared" si="81"/>
        <v/>
      </c>
      <c r="R656" s="17" t="str">
        <f t="shared" si="82"/>
        <v/>
      </c>
      <c r="S656" s="19" t="str">
        <f t="shared" si="83"/>
        <v/>
      </c>
      <c r="T656" s="17" t="str">
        <f t="shared" si="84"/>
        <v/>
      </c>
      <c r="U656" s="17" t="str">
        <f t="shared" si="85"/>
        <v/>
      </c>
      <c r="V656" s="19" t="str">
        <f>IF(ISBLANK($B656),"",IF(ISBLANK($K656),IF(_xlfn.XLOOKUP($W656,'Category Mapping'!$C:$C,'Category Mapping'!$B:$B)="Travel",_xlfn.XLOOKUP($P656,'Department Listing'!$A:$A,'Department Listing'!$M:$M),_xlfn.XLOOKUP($W656,'Category Mapping'!$C:$C,'Category Mapping'!$D:$D)),$K656))</f>
        <v/>
      </c>
      <c r="W656" s="19" t="str">
        <f t="shared" si="86"/>
        <v/>
      </c>
      <c r="X656" s="19" t="str">
        <f t="shared" si="87"/>
        <v/>
      </c>
      <c r="Y656" s="20" t="str">
        <f>IF(ISBLANK($M656),IFERROR(_xlfn.XLOOKUP($P656,'Department Listing'!$A:$A,'Department Listing'!$L:$L),""),$M656)</f>
        <v/>
      </c>
      <c r="Z656" s="11" t="str">
        <f>IF(ISBLANK($B656),"",MATCH($X656,COA!$B:$B,0))</f>
        <v/>
      </c>
    </row>
    <row r="657" spans="2:26" ht="15.75" customHeight="1" x14ac:dyDescent="0.25">
      <c r="B657" s="24"/>
      <c r="C657" s="10"/>
      <c r="D657" s="10"/>
      <c r="E657" s="25"/>
      <c r="F657" s="10"/>
      <c r="G657" s="10"/>
      <c r="H657" s="10"/>
      <c r="I657" s="9"/>
      <c r="J657" s="9"/>
      <c r="K657" s="9"/>
      <c r="L657" s="9"/>
      <c r="M657" s="9"/>
      <c r="N657" s="17"/>
      <c r="O657" s="17" t="str">
        <f t="shared" si="80"/>
        <v/>
      </c>
      <c r="P657" s="17" t="str">
        <f>IFERROR(_xlfn.XLOOKUP(O657,'Department Listing'!$O$1:$O$395,'Department Listing'!$A$1:$A$395),IFERROR(_xlfn.XLOOKUP(O657,'Name Aliases'!$A$2:$A$1000,'Name Aliases'!$B$2:$B$1000),""))</f>
        <v/>
      </c>
      <c r="Q657" s="18" t="str">
        <f t="shared" si="81"/>
        <v/>
      </c>
      <c r="R657" s="17" t="str">
        <f t="shared" si="82"/>
        <v/>
      </c>
      <c r="S657" s="19" t="str">
        <f t="shared" si="83"/>
        <v/>
      </c>
      <c r="T657" s="17" t="str">
        <f t="shared" si="84"/>
        <v/>
      </c>
      <c r="U657" s="17" t="str">
        <f t="shared" si="85"/>
        <v/>
      </c>
      <c r="V657" s="19" t="str">
        <f>IF(ISBLANK($B657),"",IF(ISBLANK($K657),IF(_xlfn.XLOOKUP($W657,'Category Mapping'!$C:$C,'Category Mapping'!$B:$B)="Travel",_xlfn.XLOOKUP($P657,'Department Listing'!$A:$A,'Department Listing'!$M:$M),_xlfn.XLOOKUP($W657,'Category Mapping'!$C:$C,'Category Mapping'!$D:$D)),$K657))</f>
        <v/>
      </c>
      <c r="W657" s="19" t="str">
        <f t="shared" si="86"/>
        <v/>
      </c>
      <c r="X657" s="19" t="str">
        <f t="shared" si="87"/>
        <v/>
      </c>
      <c r="Y657" s="20" t="str">
        <f>IF(ISBLANK($M657),IFERROR(_xlfn.XLOOKUP($P657,'Department Listing'!$A:$A,'Department Listing'!$L:$L),""),$M657)</f>
        <v/>
      </c>
      <c r="Z657" s="11" t="str">
        <f>IF(ISBLANK($B657),"",MATCH($X657,COA!$B:$B,0))</f>
        <v/>
      </c>
    </row>
    <row r="658" spans="2:26" ht="15.75" customHeight="1" x14ac:dyDescent="0.25">
      <c r="B658" s="24"/>
      <c r="C658" s="10"/>
      <c r="D658" s="10"/>
      <c r="E658" s="25"/>
      <c r="F658" s="10"/>
      <c r="G658" s="10"/>
      <c r="H658" s="10"/>
      <c r="I658" s="9"/>
      <c r="J658" s="9"/>
      <c r="K658" s="9"/>
      <c r="L658" s="9"/>
      <c r="M658" s="9"/>
      <c r="N658" s="17"/>
      <c r="O658" s="17" t="str">
        <f t="shared" si="80"/>
        <v/>
      </c>
      <c r="P658" s="17" t="str">
        <f>IFERROR(_xlfn.XLOOKUP(O658,'Department Listing'!$O$1:$O$395,'Department Listing'!$A$1:$A$395),IFERROR(_xlfn.XLOOKUP(O658,'Name Aliases'!$A$2:$A$1000,'Name Aliases'!$B$2:$B$1000),""))</f>
        <v/>
      </c>
      <c r="Q658" s="18" t="str">
        <f t="shared" si="81"/>
        <v/>
      </c>
      <c r="R658" s="17" t="str">
        <f t="shared" si="82"/>
        <v/>
      </c>
      <c r="S658" s="19" t="str">
        <f t="shared" si="83"/>
        <v/>
      </c>
      <c r="T658" s="17" t="str">
        <f t="shared" si="84"/>
        <v/>
      </c>
      <c r="U658" s="17" t="str">
        <f t="shared" si="85"/>
        <v/>
      </c>
      <c r="V658" s="19" t="str">
        <f>IF(ISBLANK($B658),"",IF(ISBLANK($K658),IF(_xlfn.XLOOKUP($W658,'Category Mapping'!$C:$C,'Category Mapping'!$B:$B)="Travel",_xlfn.XLOOKUP($P658,'Department Listing'!$A:$A,'Department Listing'!$M:$M),_xlfn.XLOOKUP($W658,'Category Mapping'!$C:$C,'Category Mapping'!$D:$D)),$K658))</f>
        <v/>
      </c>
      <c r="W658" s="19" t="str">
        <f t="shared" si="86"/>
        <v/>
      </c>
      <c r="X658" s="19" t="str">
        <f t="shared" si="87"/>
        <v/>
      </c>
      <c r="Y658" s="20" t="str">
        <f>IF(ISBLANK($M658),IFERROR(_xlfn.XLOOKUP($P658,'Department Listing'!$A:$A,'Department Listing'!$L:$L),""),$M658)</f>
        <v/>
      </c>
      <c r="Z658" s="11" t="str">
        <f>IF(ISBLANK($B658),"",MATCH($X658,COA!$B:$B,0))</f>
        <v/>
      </c>
    </row>
    <row r="659" spans="2:26" ht="15.75" customHeight="1" x14ac:dyDescent="0.25">
      <c r="B659" s="24"/>
      <c r="C659" s="10"/>
      <c r="D659" s="10"/>
      <c r="E659" s="25"/>
      <c r="F659" s="10"/>
      <c r="G659" s="10"/>
      <c r="H659" s="10"/>
      <c r="I659" s="9"/>
      <c r="J659" s="9"/>
      <c r="K659" s="9"/>
      <c r="L659" s="9"/>
      <c r="M659" s="9"/>
      <c r="N659" s="17"/>
      <c r="O659" s="17" t="str">
        <f t="shared" si="80"/>
        <v/>
      </c>
      <c r="P659" s="17" t="str">
        <f>IFERROR(_xlfn.XLOOKUP(O659,'Department Listing'!$O$1:$O$395,'Department Listing'!$A$1:$A$395),IFERROR(_xlfn.XLOOKUP(O659,'Name Aliases'!$A$2:$A$1000,'Name Aliases'!$B$2:$B$1000),""))</f>
        <v/>
      </c>
      <c r="Q659" s="18" t="str">
        <f t="shared" si="81"/>
        <v/>
      </c>
      <c r="R659" s="17" t="str">
        <f t="shared" si="82"/>
        <v/>
      </c>
      <c r="S659" s="19" t="str">
        <f t="shared" si="83"/>
        <v/>
      </c>
      <c r="T659" s="17" t="str">
        <f t="shared" si="84"/>
        <v/>
      </c>
      <c r="U659" s="17" t="str">
        <f t="shared" si="85"/>
        <v/>
      </c>
      <c r="V659" s="19" t="str">
        <f>IF(ISBLANK($B659),"",IF(ISBLANK($K659),IF(_xlfn.XLOOKUP($W659,'Category Mapping'!$C:$C,'Category Mapping'!$B:$B)="Travel",_xlfn.XLOOKUP($P659,'Department Listing'!$A:$A,'Department Listing'!$M:$M),_xlfn.XLOOKUP($W659,'Category Mapping'!$C:$C,'Category Mapping'!$D:$D)),$K659))</f>
        <v/>
      </c>
      <c r="W659" s="19" t="str">
        <f t="shared" si="86"/>
        <v/>
      </c>
      <c r="X659" s="19" t="str">
        <f t="shared" si="87"/>
        <v/>
      </c>
      <c r="Y659" s="20" t="str">
        <f>IF(ISBLANK($M659),IFERROR(_xlfn.XLOOKUP($P659,'Department Listing'!$A:$A,'Department Listing'!$L:$L),""),$M659)</f>
        <v/>
      </c>
      <c r="Z659" s="11" t="str">
        <f>IF(ISBLANK($B659),"",MATCH($X659,COA!$B:$B,0))</f>
        <v/>
      </c>
    </row>
    <row r="660" spans="2:26" ht="15.75" customHeight="1" x14ac:dyDescent="0.25">
      <c r="E660" s="23"/>
    </row>
    <row r="661" spans="2:26" ht="15.75" customHeight="1" x14ac:dyDescent="0.25">
      <c r="E661" s="23"/>
    </row>
    <row r="662" spans="2:26" ht="15.75" customHeight="1" x14ac:dyDescent="0.25">
      <c r="E662" s="23"/>
    </row>
    <row r="663" spans="2:26" ht="15.75" customHeight="1" x14ac:dyDescent="0.25">
      <c r="E663" s="23"/>
    </row>
    <row r="664" spans="2:26" ht="15.75" customHeight="1" x14ac:dyDescent="0.25">
      <c r="E664" s="23"/>
    </row>
    <row r="665" spans="2:26" ht="15.75" customHeight="1" x14ac:dyDescent="0.25">
      <c r="E665" s="23"/>
    </row>
    <row r="666" spans="2:26" ht="15.75" customHeight="1" x14ac:dyDescent="0.25">
      <c r="E666" s="23"/>
    </row>
    <row r="667" spans="2:26" ht="15.75" customHeight="1" x14ac:dyDescent="0.25">
      <c r="E667" s="23"/>
    </row>
    <row r="668" spans="2:26" ht="15.75" customHeight="1" x14ac:dyDescent="0.25">
      <c r="E668" s="23"/>
    </row>
    <row r="669" spans="2:26" ht="15.75" customHeight="1" x14ac:dyDescent="0.25">
      <c r="E669" s="23"/>
    </row>
    <row r="670" spans="2:26" ht="15.75" customHeight="1" x14ac:dyDescent="0.25">
      <c r="E670" s="23"/>
    </row>
    <row r="671" spans="2:26" ht="15.75" customHeight="1" x14ac:dyDescent="0.25">
      <c r="E671" s="23"/>
    </row>
    <row r="672" spans="2:26" ht="15.75" customHeight="1" x14ac:dyDescent="0.25">
      <c r="E672" s="23"/>
    </row>
    <row r="673" spans="5:5" ht="15.75" customHeight="1" x14ac:dyDescent="0.25">
      <c r="E673" s="23"/>
    </row>
    <row r="674" spans="5:5" ht="15.75" customHeight="1" x14ac:dyDescent="0.25">
      <c r="E674" s="23"/>
    </row>
    <row r="675" spans="5:5" ht="15.75" customHeight="1" x14ac:dyDescent="0.25">
      <c r="E675" s="23"/>
    </row>
    <row r="676" spans="5:5" ht="15.75" customHeight="1" x14ac:dyDescent="0.25">
      <c r="E676" s="23"/>
    </row>
    <row r="677" spans="5:5" ht="15.75" customHeight="1" x14ac:dyDescent="0.25">
      <c r="E677" s="23"/>
    </row>
    <row r="678" spans="5:5" ht="15.75" customHeight="1" x14ac:dyDescent="0.25">
      <c r="E678" s="23"/>
    </row>
    <row r="679" spans="5:5" ht="15.75" customHeight="1" x14ac:dyDescent="0.25">
      <c r="E679" s="23"/>
    </row>
    <row r="680" spans="5:5" ht="15.75" customHeight="1" x14ac:dyDescent="0.25">
      <c r="E680" s="23"/>
    </row>
    <row r="681" spans="5:5" ht="15.75" customHeight="1" x14ac:dyDescent="0.25">
      <c r="E681" s="23"/>
    </row>
    <row r="682" spans="5:5" ht="15.75" customHeight="1" x14ac:dyDescent="0.25">
      <c r="E682" s="23"/>
    </row>
    <row r="683" spans="5:5" ht="15.75" customHeight="1" x14ac:dyDescent="0.25">
      <c r="E683" s="23"/>
    </row>
    <row r="684" spans="5:5" ht="15.75" customHeight="1" x14ac:dyDescent="0.25">
      <c r="E684" s="23"/>
    </row>
    <row r="685" spans="5:5" ht="15.75" customHeight="1" x14ac:dyDescent="0.25">
      <c r="E685" s="23"/>
    </row>
    <row r="686" spans="5:5" ht="15.75" customHeight="1" x14ac:dyDescent="0.25">
      <c r="E686" s="23"/>
    </row>
    <row r="687" spans="5:5" ht="15.75" customHeight="1" x14ac:dyDescent="0.25">
      <c r="E687" s="23"/>
    </row>
    <row r="688" spans="5:5" ht="15.75" customHeight="1" x14ac:dyDescent="0.25">
      <c r="E688" s="23"/>
    </row>
    <row r="689" spans="5:5" ht="15.75" customHeight="1" x14ac:dyDescent="0.25">
      <c r="E689" s="23"/>
    </row>
    <row r="690" spans="5:5" ht="15.75" customHeight="1" x14ac:dyDescent="0.25">
      <c r="E690" s="23"/>
    </row>
    <row r="691" spans="5:5" ht="15.75" customHeight="1" x14ac:dyDescent="0.25">
      <c r="E691" s="23"/>
    </row>
    <row r="692" spans="5:5" ht="15.75" customHeight="1" x14ac:dyDescent="0.25">
      <c r="E692" s="23"/>
    </row>
    <row r="693" spans="5:5" ht="15.75" customHeight="1" x14ac:dyDescent="0.25">
      <c r="E693" s="23"/>
    </row>
    <row r="694" spans="5:5" ht="15.75" customHeight="1" x14ac:dyDescent="0.25">
      <c r="E694" s="23"/>
    </row>
    <row r="695" spans="5:5" ht="15.75" customHeight="1" x14ac:dyDescent="0.25">
      <c r="E695" s="23"/>
    </row>
    <row r="696" spans="5:5" ht="15.75" customHeight="1" x14ac:dyDescent="0.25">
      <c r="E696" s="23"/>
    </row>
    <row r="697" spans="5:5" ht="15.75" customHeight="1" x14ac:dyDescent="0.25">
      <c r="E697" s="23"/>
    </row>
    <row r="698" spans="5:5" ht="15.75" customHeight="1" x14ac:dyDescent="0.25">
      <c r="E698" s="23"/>
    </row>
    <row r="699" spans="5:5" ht="15.75" customHeight="1" x14ac:dyDescent="0.25">
      <c r="E699" s="23"/>
    </row>
    <row r="700" spans="5:5" ht="15.75" customHeight="1" x14ac:dyDescent="0.25">
      <c r="E700" s="23"/>
    </row>
    <row r="701" spans="5:5" ht="15.75" customHeight="1" x14ac:dyDescent="0.25">
      <c r="E701" s="23"/>
    </row>
    <row r="702" spans="5:5" ht="15.75" customHeight="1" x14ac:dyDescent="0.25">
      <c r="E702" s="23"/>
    </row>
    <row r="703" spans="5:5" ht="15.75" customHeight="1" x14ac:dyDescent="0.25">
      <c r="E703" s="23"/>
    </row>
    <row r="704" spans="5:5" ht="15.75" customHeight="1" x14ac:dyDescent="0.25">
      <c r="E704" s="23"/>
    </row>
    <row r="705" spans="5:5" ht="15.75" customHeight="1" x14ac:dyDescent="0.25">
      <c r="E705" s="23"/>
    </row>
    <row r="706" spans="5:5" ht="15.75" customHeight="1" x14ac:dyDescent="0.25">
      <c r="E706" s="23"/>
    </row>
    <row r="707" spans="5:5" ht="15.75" customHeight="1" x14ac:dyDescent="0.25">
      <c r="E707" s="23"/>
    </row>
    <row r="708" spans="5:5" ht="15.75" customHeight="1" x14ac:dyDescent="0.25">
      <c r="E708" s="23"/>
    </row>
    <row r="709" spans="5:5" ht="15.75" customHeight="1" x14ac:dyDescent="0.25">
      <c r="E709" s="23"/>
    </row>
    <row r="710" spans="5:5" ht="15.75" customHeight="1" x14ac:dyDescent="0.25">
      <c r="E710" s="23"/>
    </row>
    <row r="711" spans="5:5" ht="15.75" customHeight="1" x14ac:dyDescent="0.25">
      <c r="E711" s="23"/>
    </row>
    <row r="712" spans="5:5" ht="15.75" customHeight="1" x14ac:dyDescent="0.25">
      <c r="E712" s="23"/>
    </row>
    <row r="713" spans="5:5" ht="15.75" customHeight="1" x14ac:dyDescent="0.25">
      <c r="E713" s="23"/>
    </row>
    <row r="714" spans="5:5" ht="15.75" customHeight="1" x14ac:dyDescent="0.25">
      <c r="E714" s="23"/>
    </row>
    <row r="715" spans="5:5" ht="15.75" customHeight="1" x14ac:dyDescent="0.25">
      <c r="E715" s="23"/>
    </row>
    <row r="716" spans="5:5" ht="15.75" customHeight="1" x14ac:dyDescent="0.25">
      <c r="E716" s="23"/>
    </row>
    <row r="717" spans="5:5" ht="15.75" customHeight="1" x14ac:dyDescent="0.25">
      <c r="E717" s="23"/>
    </row>
    <row r="718" spans="5:5" ht="15.75" customHeight="1" x14ac:dyDescent="0.25">
      <c r="E718" s="23"/>
    </row>
    <row r="719" spans="5:5" ht="15.75" customHeight="1" x14ac:dyDescent="0.25">
      <c r="E719" s="23"/>
    </row>
    <row r="720" spans="5:5" ht="15.75" customHeight="1" x14ac:dyDescent="0.25">
      <c r="E720" s="23"/>
    </row>
    <row r="721" spans="5:5" ht="15.75" customHeight="1" x14ac:dyDescent="0.25">
      <c r="E721" s="23"/>
    </row>
    <row r="722" spans="5:5" ht="15.75" customHeight="1" x14ac:dyDescent="0.25">
      <c r="E722" s="23"/>
    </row>
    <row r="723" spans="5:5" ht="15.75" customHeight="1" x14ac:dyDescent="0.25">
      <c r="E723" s="23"/>
    </row>
    <row r="724" spans="5:5" ht="15.75" customHeight="1" x14ac:dyDescent="0.25">
      <c r="E724" s="23"/>
    </row>
    <row r="725" spans="5:5" ht="15.75" customHeight="1" x14ac:dyDescent="0.25">
      <c r="E725" s="23"/>
    </row>
    <row r="726" spans="5:5" ht="15.75" customHeight="1" x14ac:dyDescent="0.25">
      <c r="E726" s="23"/>
    </row>
    <row r="727" spans="5:5" ht="15.75" customHeight="1" x14ac:dyDescent="0.25">
      <c r="E727" s="23"/>
    </row>
    <row r="728" spans="5:5" ht="15.75" customHeight="1" x14ac:dyDescent="0.25">
      <c r="E728" s="23"/>
    </row>
    <row r="729" spans="5:5" ht="15.75" customHeight="1" x14ac:dyDescent="0.25">
      <c r="E729" s="23"/>
    </row>
    <row r="730" spans="5:5" ht="15.75" customHeight="1" x14ac:dyDescent="0.25">
      <c r="E730" s="23"/>
    </row>
    <row r="731" spans="5:5" ht="15.75" customHeight="1" x14ac:dyDescent="0.25">
      <c r="E731" s="23"/>
    </row>
    <row r="732" spans="5:5" ht="15.75" customHeight="1" x14ac:dyDescent="0.25">
      <c r="E732" s="23"/>
    </row>
    <row r="733" spans="5:5" ht="15.75" customHeight="1" x14ac:dyDescent="0.25">
      <c r="E733" s="23"/>
    </row>
    <row r="734" spans="5:5" ht="15.75" customHeight="1" x14ac:dyDescent="0.25">
      <c r="E734" s="23"/>
    </row>
    <row r="735" spans="5:5" ht="15.75" customHeight="1" x14ac:dyDescent="0.25">
      <c r="E735" s="23"/>
    </row>
    <row r="736" spans="5:5" ht="15.75" customHeight="1" x14ac:dyDescent="0.25">
      <c r="E736" s="23"/>
    </row>
    <row r="737" spans="5:5" ht="15.75" customHeight="1" x14ac:dyDescent="0.25">
      <c r="E737" s="23"/>
    </row>
    <row r="738" spans="5:5" ht="15.75" customHeight="1" x14ac:dyDescent="0.25">
      <c r="E738" s="23"/>
    </row>
    <row r="739" spans="5:5" ht="15.75" customHeight="1" x14ac:dyDescent="0.25">
      <c r="E739" s="23"/>
    </row>
    <row r="740" spans="5:5" ht="15.75" customHeight="1" x14ac:dyDescent="0.25">
      <c r="E740" s="23"/>
    </row>
    <row r="741" spans="5:5" ht="15.75" customHeight="1" x14ac:dyDescent="0.25">
      <c r="E741" s="23"/>
    </row>
    <row r="742" spans="5:5" ht="15.75" customHeight="1" x14ac:dyDescent="0.25">
      <c r="E742" s="23"/>
    </row>
    <row r="743" spans="5:5" ht="15.75" customHeight="1" x14ac:dyDescent="0.25">
      <c r="E743" s="23"/>
    </row>
    <row r="744" spans="5:5" ht="15.75" customHeight="1" x14ac:dyDescent="0.25">
      <c r="E744" s="23"/>
    </row>
    <row r="745" spans="5:5" ht="15.75" customHeight="1" x14ac:dyDescent="0.25">
      <c r="E745" s="23"/>
    </row>
    <row r="746" spans="5:5" ht="15.75" customHeight="1" x14ac:dyDescent="0.25">
      <c r="E746" s="23"/>
    </row>
    <row r="747" spans="5:5" ht="15.75" customHeight="1" x14ac:dyDescent="0.25">
      <c r="E747" s="23"/>
    </row>
    <row r="748" spans="5:5" ht="15.75" customHeight="1" x14ac:dyDescent="0.25">
      <c r="E748" s="23"/>
    </row>
    <row r="749" spans="5:5" ht="15.75" customHeight="1" x14ac:dyDescent="0.25">
      <c r="E749" s="23"/>
    </row>
    <row r="750" spans="5:5" ht="15.75" customHeight="1" x14ac:dyDescent="0.25">
      <c r="E750" s="23"/>
    </row>
    <row r="751" spans="5:5" ht="15.75" customHeight="1" x14ac:dyDescent="0.25">
      <c r="E751" s="23"/>
    </row>
    <row r="752" spans="5:5" ht="15.75" customHeight="1" x14ac:dyDescent="0.25">
      <c r="E752" s="23"/>
    </row>
    <row r="753" spans="5:5" ht="15.75" customHeight="1" x14ac:dyDescent="0.25">
      <c r="E753" s="23"/>
    </row>
    <row r="754" spans="5:5" ht="15.75" customHeight="1" x14ac:dyDescent="0.25">
      <c r="E754" s="23"/>
    </row>
    <row r="755" spans="5:5" ht="15.75" customHeight="1" x14ac:dyDescent="0.25">
      <c r="E755" s="23"/>
    </row>
    <row r="756" spans="5:5" ht="15.75" customHeight="1" x14ac:dyDescent="0.25">
      <c r="E756" s="23"/>
    </row>
    <row r="757" spans="5:5" ht="15.75" customHeight="1" x14ac:dyDescent="0.25">
      <c r="E757" s="23"/>
    </row>
    <row r="758" spans="5:5" ht="15.75" customHeight="1" x14ac:dyDescent="0.25">
      <c r="E758" s="23"/>
    </row>
    <row r="759" spans="5:5" ht="15.75" customHeight="1" x14ac:dyDescent="0.25">
      <c r="E759" s="23"/>
    </row>
    <row r="760" spans="5:5" ht="15.75" customHeight="1" x14ac:dyDescent="0.25">
      <c r="E760" s="23"/>
    </row>
    <row r="761" spans="5:5" ht="15.75" customHeight="1" x14ac:dyDescent="0.25">
      <c r="E761" s="23"/>
    </row>
    <row r="762" spans="5:5" ht="15.75" customHeight="1" x14ac:dyDescent="0.25">
      <c r="E762" s="23"/>
    </row>
    <row r="763" spans="5:5" ht="15.75" customHeight="1" x14ac:dyDescent="0.25">
      <c r="E763" s="23"/>
    </row>
    <row r="764" spans="5:5" ht="15.75" customHeight="1" x14ac:dyDescent="0.25">
      <c r="E764" s="23"/>
    </row>
    <row r="765" spans="5:5" ht="15.75" customHeight="1" x14ac:dyDescent="0.25">
      <c r="E765" s="23"/>
    </row>
    <row r="766" spans="5:5" ht="15.75" customHeight="1" x14ac:dyDescent="0.25">
      <c r="E766" s="23"/>
    </row>
    <row r="767" spans="5:5" ht="15.75" customHeight="1" x14ac:dyDescent="0.25">
      <c r="E767" s="23"/>
    </row>
    <row r="768" spans="5:5" ht="15.75" customHeight="1" x14ac:dyDescent="0.25">
      <c r="E768" s="23"/>
    </row>
    <row r="769" spans="5:5" ht="15.75" customHeight="1" x14ac:dyDescent="0.25">
      <c r="E769" s="23"/>
    </row>
    <row r="770" spans="5:5" ht="15.75" customHeight="1" x14ac:dyDescent="0.25">
      <c r="E770" s="23"/>
    </row>
    <row r="771" spans="5:5" ht="15.75" customHeight="1" x14ac:dyDescent="0.25">
      <c r="E771" s="23"/>
    </row>
    <row r="772" spans="5:5" ht="15.75" customHeight="1" x14ac:dyDescent="0.25">
      <c r="E772" s="23"/>
    </row>
    <row r="773" spans="5:5" ht="15.75" customHeight="1" x14ac:dyDescent="0.25">
      <c r="E773" s="23"/>
    </row>
    <row r="774" spans="5:5" ht="15.75" customHeight="1" x14ac:dyDescent="0.25">
      <c r="E774" s="23"/>
    </row>
    <row r="775" spans="5:5" ht="15.75" customHeight="1" x14ac:dyDescent="0.25">
      <c r="E775" s="23"/>
    </row>
    <row r="776" spans="5:5" ht="15.75" customHeight="1" x14ac:dyDescent="0.25">
      <c r="E776" s="23"/>
    </row>
    <row r="777" spans="5:5" ht="15.75" customHeight="1" x14ac:dyDescent="0.25">
      <c r="E777" s="23"/>
    </row>
    <row r="778" spans="5:5" ht="15.75" customHeight="1" x14ac:dyDescent="0.25">
      <c r="E778" s="23"/>
    </row>
    <row r="779" spans="5:5" ht="15.75" customHeight="1" x14ac:dyDescent="0.25">
      <c r="E779" s="23"/>
    </row>
    <row r="780" spans="5:5" ht="15.75" customHeight="1" x14ac:dyDescent="0.25">
      <c r="E780" s="23"/>
    </row>
    <row r="781" spans="5:5" ht="15.75" customHeight="1" x14ac:dyDescent="0.25">
      <c r="E781" s="23"/>
    </row>
    <row r="782" spans="5:5" ht="15.75" customHeight="1" x14ac:dyDescent="0.25">
      <c r="E782" s="23"/>
    </row>
    <row r="783" spans="5:5" ht="15.75" customHeight="1" x14ac:dyDescent="0.25">
      <c r="E783" s="23"/>
    </row>
    <row r="784" spans="5:5" ht="15.75" customHeight="1" x14ac:dyDescent="0.25">
      <c r="E784" s="23"/>
    </row>
    <row r="785" spans="5:5" ht="15.75" customHeight="1" x14ac:dyDescent="0.25">
      <c r="E785" s="23"/>
    </row>
    <row r="786" spans="5:5" ht="15.75" customHeight="1" x14ac:dyDescent="0.25">
      <c r="E786" s="23"/>
    </row>
    <row r="787" spans="5:5" ht="15.75" customHeight="1" x14ac:dyDescent="0.25">
      <c r="E787" s="23"/>
    </row>
    <row r="788" spans="5:5" ht="15.75" customHeight="1" x14ac:dyDescent="0.25">
      <c r="E788" s="23"/>
    </row>
    <row r="789" spans="5:5" ht="15.75" customHeight="1" x14ac:dyDescent="0.25">
      <c r="E789" s="23"/>
    </row>
    <row r="790" spans="5:5" ht="15.75" customHeight="1" x14ac:dyDescent="0.25">
      <c r="E790" s="23"/>
    </row>
    <row r="791" spans="5:5" ht="15.75" customHeight="1" x14ac:dyDescent="0.25">
      <c r="E791" s="23"/>
    </row>
    <row r="792" spans="5:5" ht="15.75" customHeight="1" x14ac:dyDescent="0.25">
      <c r="E792" s="23"/>
    </row>
    <row r="793" spans="5:5" ht="15.75" customHeight="1" x14ac:dyDescent="0.25">
      <c r="E793" s="23"/>
    </row>
    <row r="794" spans="5:5" ht="15.75" customHeight="1" x14ac:dyDescent="0.25">
      <c r="E794" s="23"/>
    </row>
    <row r="795" spans="5:5" ht="15.75" customHeight="1" x14ac:dyDescent="0.25">
      <c r="E795" s="23"/>
    </row>
    <row r="796" spans="5:5" ht="15.75" customHeight="1" x14ac:dyDescent="0.25">
      <c r="E796" s="23"/>
    </row>
    <row r="797" spans="5:5" ht="15.75" customHeight="1" x14ac:dyDescent="0.25">
      <c r="E797" s="23"/>
    </row>
    <row r="798" spans="5:5" ht="15.75" customHeight="1" x14ac:dyDescent="0.25">
      <c r="E798" s="23"/>
    </row>
    <row r="799" spans="5:5" ht="15.75" customHeight="1" x14ac:dyDescent="0.25">
      <c r="E799" s="23"/>
    </row>
    <row r="800" spans="5:5" ht="15.75" customHeight="1" x14ac:dyDescent="0.25">
      <c r="E800" s="23"/>
    </row>
    <row r="801" spans="5:5" ht="15.75" customHeight="1" x14ac:dyDescent="0.25">
      <c r="E801" s="23"/>
    </row>
    <row r="802" spans="5:5" ht="15.75" customHeight="1" x14ac:dyDescent="0.25">
      <c r="E802" s="23"/>
    </row>
    <row r="803" spans="5:5" ht="15.75" customHeight="1" x14ac:dyDescent="0.25">
      <c r="E803" s="23"/>
    </row>
    <row r="804" spans="5:5" ht="15.75" customHeight="1" x14ac:dyDescent="0.25">
      <c r="E804" s="23"/>
    </row>
    <row r="805" spans="5:5" ht="15.75" customHeight="1" x14ac:dyDescent="0.25">
      <c r="E805" s="23"/>
    </row>
    <row r="806" spans="5:5" ht="15.75" customHeight="1" x14ac:dyDescent="0.25">
      <c r="E806" s="23"/>
    </row>
    <row r="807" spans="5:5" ht="15.75" customHeight="1" x14ac:dyDescent="0.25">
      <c r="E807" s="23"/>
    </row>
    <row r="808" spans="5:5" ht="15.75" customHeight="1" x14ac:dyDescent="0.25">
      <c r="E808" s="23"/>
    </row>
    <row r="809" spans="5:5" ht="15.75" customHeight="1" x14ac:dyDescent="0.25">
      <c r="E809" s="23"/>
    </row>
    <row r="810" spans="5:5" ht="15.75" customHeight="1" x14ac:dyDescent="0.25">
      <c r="E810" s="23"/>
    </row>
    <row r="811" spans="5:5" ht="15.75" customHeight="1" x14ac:dyDescent="0.25">
      <c r="E811" s="23"/>
    </row>
    <row r="812" spans="5:5" ht="15.75" customHeight="1" x14ac:dyDescent="0.25">
      <c r="E812" s="23"/>
    </row>
    <row r="813" spans="5:5" ht="15.75" customHeight="1" x14ac:dyDescent="0.25">
      <c r="E813" s="23"/>
    </row>
    <row r="814" spans="5:5" ht="15.75" customHeight="1" x14ac:dyDescent="0.25">
      <c r="E814" s="23"/>
    </row>
    <row r="815" spans="5:5" ht="15.75" customHeight="1" x14ac:dyDescent="0.25">
      <c r="E815" s="23"/>
    </row>
    <row r="816" spans="5:5" ht="15.75" customHeight="1" x14ac:dyDescent="0.25">
      <c r="E816" s="23"/>
    </row>
    <row r="817" spans="5:5" ht="15.75" customHeight="1" x14ac:dyDescent="0.25">
      <c r="E817" s="23"/>
    </row>
    <row r="818" spans="5:5" ht="15.75" customHeight="1" x14ac:dyDescent="0.25">
      <c r="E818" s="23"/>
    </row>
    <row r="819" spans="5:5" ht="15.75" customHeight="1" x14ac:dyDescent="0.25">
      <c r="E819" s="23"/>
    </row>
    <row r="820" spans="5:5" ht="15.75" customHeight="1" x14ac:dyDescent="0.25">
      <c r="E820" s="23"/>
    </row>
    <row r="821" spans="5:5" ht="15.75" customHeight="1" x14ac:dyDescent="0.25">
      <c r="E821" s="23"/>
    </row>
    <row r="822" spans="5:5" ht="15.75" customHeight="1" x14ac:dyDescent="0.25">
      <c r="E822" s="23"/>
    </row>
    <row r="823" spans="5:5" ht="15.75" customHeight="1" x14ac:dyDescent="0.25">
      <c r="E823" s="23"/>
    </row>
    <row r="824" spans="5:5" ht="15.75" customHeight="1" x14ac:dyDescent="0.25">
      <c r="E824" s="23"/>
    </row>
    <row r="825" spans="5:5" ht="15.75" customHeight="1" x14ac:dyDescent="0.25">
      <c r="E825" s="23"/>
    </row>
    <row r="826" spans="5:5" ht="15.75" customHeight="1" x14ac:dyDescent="0.25">
      <c r="E826" s="23"/>
    </row>
    <row r="827" spans="5:5" ht="15.75" customHeight="1" x14ac:dyDescent="0.25">
      <c r="E827" s="23"/>
    </row>
    <row r="828" spans="5:5" ht="15.75" customHeight="1" x14ac:dyDescent="0.25">
      <c r="E828" s="23"/>
    </row>
    <row r="829" spans="5:5" ht="15.75" customHeight="1" x14ac:dyDescent="0.25">
      <c r="E829" s="23"/>
    </row>
    <row r="830" spans="5:5" ht="15.75" customHeight="1" x14ac:dyDescent="0.25">
      <c r="E830" s="23"/>
    </row>
    <row r="831" spans="5:5" ht="15.75" customHeight="1" x14ac:dyDescent="0.25">
      <c r="E831" s="23"/>
    </row>
    <row r="832" spans="5:5" ht="15.75" customHeight="1" x14ac:dyDescent="0.25">
      <c r="E832" s="23"/>
    </row>
    <row r="833" spans="5:5" ht="15.75" customHeight="1" x14ac:dyDescent="0.25">
      <c r="E833" s="23"/>
    </row>
    <row r="834" spans="5:5" ht="15.75" customHeight="1" x14ac:dyDescent="0.25">
      <c r="E834" s="23"/>
    </row>
    <row r="835" spans="5:5" ht="15.75" customHeight="1" x14ac:dyDescent="0.25">
      <c r="E835" s="23"/>
    </row>
    <row r="836" spans="5:5" ht="15.75" customHeight="1" x14ac:dyDescent="0.25">
      <c r="E836" s="23"/>
    </row>
    <row r="837" spans="5:5" ht="15.75" customHeight="1" x14ac:dyDescent="0.25">
      <c r="E837" s="23"/>
    </row>
    <row r="838" spans="5:5" ht="15.75" customHeight="1" x14ac:dyDescent="0.25">
      <c r="E838" s="23"/>
    </row>
    <row r="839" spans="5:5" ht="15.75" customHeight="1" x14ac:dyDescent="0.25">
      <c r="E839" s="23"/>
    </row>
    <row r="840" spans="5:5" ht="15.75" customHeight="1" x14ac:dyDescent="0.25">
      <c r="E840" s="23"/>
    </row>
    <row r="841" spans="5:5" ht="15.75" customHeight="1" x14ac:dyDescent="0.25">
      <c r="E841" s="23"/>
    </row>
    <row r="842" spans="5:5" ht="15.75" customHeight="1" x14ac:dyDescent="0.25">
      <c r="E842" s="23"/>
    </row>
    <row r="843" spans="5:5" ht="15.75" customHeight="1" x14ac:dyDescent="0.25">
      <c r="E843" s="23"/>
    </row>
    <row r="844" spans="5:5" ht="15.75" customHeight="1" x14ac:dyDescent="0.25">
      <c r="E844" s="23"/>
    </row>
    <row r="845" spans="5:5" ht="15.75" customHeight="1" x14ac:dyDescent="0.25">
      <c r="E845" s="23"/>
    </row>
    <row r="846" spans="5:5" ht="15.75" customHeight="1" x14ac:dyDescent="0.25">
      <c r="E846" s="23"/>
    </row>
    <row r="847" spans="5:5" ht="15.75" customHeight="1" x14ac:dyDescent="0.25">
      <c r="E847" s="23"/>
    </row>
    <row r="848" spans="5:5" ht="15.75" customHeight="1" x14ac:dyDescent="0.25">
      <c r="E848" s="23"/>
    </row>
    <row r="849" spans="5:5" ht="15.75" customHeight="1" x14ac:dyDescent="0.25">
      <c r="E849" s="23"/>
    </row>
    <row r="850" spans="5:5" ht="15.75" customHeight="1" x14ac:dyDescent="0.25">
      <c r="E850" s="23"/>
    </row>
    <row r="851" spans="5:5" ht="15.75" customHeight="1" x14ac:dyDescent="0.25">
      <c r="E851" s="23"/>
    </row>
    <row r="852" spans="5:5" ht="15.75" customHeight="1" x14ac:dyDescent="0.25">
      <c r="E852" s="23"/>
    </row>
    <row r="853" spans="5:5" ht="15.75" customHeight="1" x14ac:dyDescent="0.25">
      <c r="E853" s="23"/>
    </row>
    <row r="854" spans="5:5" ht="15.75" customHeight="1" x14ac:dyDescent="0.25">
      <c r="E854" s="23"/>
    </row>
    <row r="855" spans="5:5" ht="15.75" customHeight="1" x14ac:dyDescent="0.25">
      <c r="E855" s="23"/>
    </row>
    <row r="856" spans="5:5" ht="15.75" customHeight="1" x14ac:dyDescent="0.25">
      <c r="E856" s="23"/>
    </row>
    <row r="857" spans="5:5" ht="15.75" customHeight="1" x14ac:dyDescent="0.25">
      <c r="E857" s="23"/>
    </row>
    <row r="858" spans="5:5" ht="15.75" customHeight="1" x14ac:dyDescent="0.25">
      <c r="E858" s="23"/>
    </row>
    <row r="859" spans="5:5" ht="15.75" customHeight="1" x14ac:dyDescent="0.25">
      <c r="E859" s="23"/>
    </row>
    <row r="860" spans="5:5" ht="15.75" customHeight="1" x14ac:dyDescent="0.25">
      <c r="E860" s="23"/>
    </row>
    <row r="861" spans="5:5" ht="15.75" customHeight="1" x14ac:dyDescent="0.25">
      <c r="E861" s="23"/>
    </row>
    <row r="862" spans="5:5" ht="15.75" customHeight="1" x14ac:dyDescent="0.25">
      <c r="E862" s="23"/>
    </row>
    <row r="863" spans="5:5" ht="15.75" customHeight="1" x14ac:dyDescent="0.25">
      <c r="E863" s="23"/>
    </row>
    <row r="864" spans="5:5" ht="15.75" customHeight="1" x14ac:dyDescent="0.25">
      <c r="E864" s="23"/>
    </row>
    <row r="865" spans="5:5" ht="15.75" customHeight="1" x14ac:dyDescent="0.25">
      <c r="E865" s="23"/>
    </row>
    <row r="866" spans="5:5" ht="15.75" customHeight="1" x14ac:dyDescent="0.25">
      <c r="E866" s="23"/>
    </row>
    <row r="867" spans="5:5" ht="15.75" customHeight="1" x14ac:dyDescent="0.25">
      <c r="E867" s="23"/>
    </row>
    <row r="868" spans="5:5" ht="15.75" customHeight="1" x14ac:dyDescent="0.25">
      <c r="E868" s="23"/>
    </row>
    <row r="869" spans="5:5" ht="15.75" customHeight="1" x14ac:dyDescent="0.25">
      <c r="E869" s="23"/>
    </row>
    <row r="870" spans="5:5" ht="15.75" customHeight="1" x14ac:dyDescent="0.25">
      <c r="E870" s="23"/>
    </row>
    <row r="871" spans="5:5" ht="15.75" customHeight="1" x14ac:dyDescent="0.25">
      <c r="E871" s="23"/>
    </row>
    <row r="872" spans="5:5" ht="15.75" customHeight="1" x14ac:dyDescent="0.25">
      <c r="E872" s="23"/>
    </row>
    <row r="873" spans="5:5" ht="15.75" customHeight="1" x14ac:dyDescent="0.25">
      <c r="E873" s="23"/>
    </row>
    <row r="874" spans="5:5" ht="15.75" customHeight="1" x14ac:dyDescent="0.25">
      <c r="E874" s="23"/>
    </row>
    <row r="875" spans="5:5" ht="15.75" customHeight="1" x14ac:dyDescent="0.25">
      <c r="E875" s="23"/>
    </row>
    <row r="876" spans="5:5" ht="15.75" customHeight="1" x14ac:dyDescent="0.25">
      <c r="E876" s="23"/>
    </row>
    <row r="877" spans="5:5" ht="15.75" customHeight="1" x14ac:dyDescent="0.25">
      <c r="E877" s="23"/>
    </row>
    <row r="878" spans="5:5" ht="15.75" customHeight="1" x14ac:dyDescent="0.25">
      <c r="E878" s="23"/>
    </row>
    <row r="879" spans="5:5" ht="15.75" customHeight="1" x14ac:dyDescent="0.25">
      <c r="E879" s="23"/>
    </row>
    <row r="880" spans="5:5" ht="15.75" customHeight="1" x14ac:dyDescent="0.25">
      <c r="E880" s="23"/>
    </row>
    <row r="881" spans="5:5" ht="15.75" customHeight="1" x14ac:dyDescent="0.25">
      <c r="E881" s="23"/>
    </row>
    <row r="882" spans="5:5" ht="15.75" customHeight="1" x14ac:dyDescent="0.25">
      <c r="E882" s="23"/>
    </row>
    <row r="883" spans="5:5" ht="15.75" customHeight="1" x14ac:dyDescent="0.25">
      <c r="E883" s="23"/>
    </row>
    <row r="884" spans="5:5" ht="15.75" customHeight="1" x14ac:dyDescent="0.25">
      <c r="E884" s="23"/>
    </row>
    <row r="885" spans="5:5" ht="15.75" customHeight="1" x14ac:dyDescent="0.25">
      <c r="E885" s="23"/>
    </row>
    <row r="886" spans="5:5" ht="15.75" customHeight="1" x14ac:dyDescent="0.25">
      <c r="E886" s="23"/>
    </row>
    <row r="887" spans="5:5" ht="15.75" customHeight="1" x14ac:dyDescent="0.25">
      <c r="E887" s="23"/>
    </row>
    <row r="888" spans="5:5" ht="15.75" customHeight="1" x14ac:dyDescent="0.25">
      <c r="E888" s="23"/>
    </row>
    <row r="889" spans="5:5" ht="15.75" customHeight="1" x14ac:dyDescent="0.25">
      <c r="E889" s="23"/>
    </row>
    <row r="890" spans="5:5" ht="15.75" customHeight="1" x14ac:dyDescent="0.25">
      <c r="E890" s="23"/>
    </row>
    <row r="891" spans="5:5" ht="15.75" customHeight="1" x14ac:dyDescent="0.25">
      <c r="E891" s="23"/>
    </row>
    <row r="892" spans="5:5" ht="15.75" customHeight="1" x14ac:dyDescent="0.25">
      <c r="E892" s="23"/>
    </row>
    <row r="893" spans="5:5" ht="15.75" customHeight="1" x14ac:dyDescent="0.25">
      <c r="E893" s="23"/>
    </row>
    <row r="894" spans="5:5" ht="15.75" customHeight="1" x14ac:dyDescent="0.25">
      <c r="E894" s="23"/>
    </row>
    <row r="895" spans="5:5" ht="15.75" customHeight="1" x14ac:dyDescent="0.25">
      <c r="E895" s="23"/>
    </row>
    <row r="896" spans="5:5" ht="15.75" customHeight="1" x14ac:dyDescent="0.25">
      <c r="E896" s="23"/>
    </row>
    <row r="897" spans="5:5" ht="15.75" customHeight="1" x14ac:dyDescent="0.25">
      <c r="E897" s="23"/>
    </row>
    <row r="898" spans="5:5" ht="15.75" customHeight="1" x14ac:dyDescent="0.25">
      <c r="E898" s="23"/>
    </row>
    <row r="899" spans="5:5" ht="15.75" customHeight="1" x14ac:dyDescent="0.25">
      <c r="E899" s="23"/>
    </row>
    <row r="900" spans="5:5" ht="15.75" customHeight="1" x14ac:dyDescent="0.25">
      <c r="E900" s="23"/>
    </row>
    <row r="901" spans="5:5" ht="15.75" customHeight="1" x14ac:dyDescent="0.25">
      <c r="E901" s="23"/>
    </row>
    <row r="902" spans="5:5" ht="15.75" customHeight="1" x14ac:dyDescent="0.25">
      <c r="E902" s="23"/>
    </row>
    <row r="903" spans="5:5" ht="15.75" customHeight="1" x14ac:dyDescent="0.25">
      <c r="E903" s="23"/>
    </row>
    <row r="904" spans="5:5" ht="15.75" customHeight="1" x14ac:dyDescent="0.25">
      <c r="E904" s="23"/>
    </row>
    <row r="905" spans="5:5" ht="15.75" customHeight="1" x14ac:dyDescent="0.25">
      <c r="E905" s="23"/>
    </row>
    <row r="906" spans="5:5" ht="15.75" customHeight="1" x14ac:dyDescent="0.25">
      <c r="E906" s="23"/>
    </row>
    <row r="907" spans="5:5" ht="15.75" customHeight="1" x14ac:dyDescent="0.25">
      <c r="E907" s="23"/>
    </row>
    <row r="908" spans="5:5" ht="15.75" customHeight="1" x14ac:dyDescent="0.25">
      <c r="E908" s="23"/>
    </row>
    <row r="909" spans="5:5" ht="15.75" customHeight="1" x14ac:dyDescent="0.25">
      <c r="E909" s="23"/>
    </row>
    <row r="910" spans="5:5" ht="15.75" customHeight="1" x14ac:dyDescent="0.25">
      <c r="E910" s="23"/>
    </row>
    <row r="911" spans="5:5" ht="15.75" customHeight="1" x14ac:dyDescent="0.25">
      <c r="E911" s="23"/>
    </row>
    <row r="912" spans="5:5" ht="15.75" customHeight="1" x14ac:dyDescent="0.25">
      <c r="E912" s="23"/>
    </row>
    <row r="913" spans="5:5" ht="15.75" customHeight="1" x14ac:dyDescent="0.25">
      <c r="E913" s="23"/>
    </row>
    <row r="914" spans="5:5" ht="15.75" customHeight="1" x14ac:dyDescent="0.25">
      <c r="E914" s="23"/>
    </row>
    <row r="915" spans="5:5" ht="15.75" customHeight="1" x14ac:dyDescent="0.25">
      <c r="E915" s="23"/>
    </row>
    <row r="916" spans="5:5" ht="15.75" customHeight="1" x14ac:dyDescent="0.25">
      <c r="E916" s="23"/>
    </row>
    <row r="917" spans="5:5" ht="15.75" customHeight="1" x14ac:dyDescent="0.25">
      <c r="E917" s="23"/>
    </row>
    <row r="918" spans="5:5" ht="15.75" customHeight="1" x14ac:dyDescent="0.25">
      <c r="E918" s="23"/>
    </row>
    <row r="919" spans="5:5" ht="15.75" customHeight="1" x14ac:dyDescent="0.25">
      <c r="E919" s="23"/>
    </row>
    <row r="920" spans="5:5" ht="15.75" customHeight="1" x14ac:dyDescent="0.25">
      <c r="E920" s="23"/>
    </row>
    <row r="921" spans="5:5" ht="15.75" customHeight="1" x14ac:dyDescent="0.25">
      <c r="E921" s="23"/>
    </row>
    <row r="922" spans="5:5" ht="15.75" customHeight="1" x14ac:dyDescent="0.25">
      <c r="E922" s="23"/>
    </row>
    <row r="923" spans="5:5" ht="15.75" customHeight="1" x14ac:dyDescent="0.25">
      <c r="E923" s="23"/>
    </row>
    <row r="924" spans="5:5" ht="15.75" customHeight="1" x14ac:dyDescent="0.25">
      <c r="E924" s="23"/>
    </row>
    <row r="925" spans="5:5" ht="15.75" customHeight="1" x14ac:dyDescent="0.25">
      <c r="E925" s="23"/>
    </row>
    <row r="926" spans="5:5" ht="15.75" customHeight="1" x14ac:dyDescent="0.25">
      <c r="E926" s="23"/>
    </row>
    <row r="927" spans="5:5" ht="15.75" customHeight="1" x14ac:dyDescent="0.25">
      <c r="E927" s="23"/>
    </row>
    <row r="928" spans="5:5" ht="15.75" customHeight="1" x14ac:dyDescent="0.25">
      <c r="E928" s="23"/>
    </row>
    <row r="929" spans="5:5" ht="15.75" customHeight="1" x14ac:dyDescent="0.25">
      <c r="E929" s="23"/>
    </row>
    <row r="930" spans="5:5" ht="15.75" customHeight="1" x14ac:dyDescent="0.25">
      <c r="E930" s="23"/>
    </row>
    <row r="931" spans="5:5" ht="15.75" customHeight="1" x14ac:dyDescent="0.25">
      <c r="E931" s="23"/>
    </row>
    <row r="932" spans="5:5" ht="15.75" customHeight="1" x14ac:dyDescent="0.25">
      <c r="E932" s="23"/>
    </row>
    <row r="933" spans="5:5" ht="15.75" customHeight="1" x14ac:dyDescent="0.25">
      <c r="E933" s="23"/>
    </row>
    <row r="934" spans="5:5" ht="15.75" customHeight="1" x14ac:dyDescent="0.25">
      <c r="E934" s="23"/>
    </row>
    <row r="935" spans="5:5" ht="15.75" customHeight="1" x14ac:dyDescent="0.25">
      <c r="E935" s="23"/>
    </row>
    <row r="936" spans="5:5" ht="15.75" customHeight="1" x14ac:dyDescent="0.25">
      <c r="E936" s="23"/>
    </row>
    <row r="937" spans="5:5" ht="15.75" customHeight="1" x14ac:dyDescent="0.25">
      <c r="E937" s="23"/>
    </row>
    <row r="938" spans="5:5" ht="15.75" customHeight="1" x14ac:dyDescent="0.25">
      <c r="E938" s="23"/>
    </row>
    <row r="939" spans="5:5" ht="15.75" customHeight="1" x14ac:dyDescent="0.25">
      <c r="E939" s="23"/>
    </row>
    <row r="940" spans="5:5" ht="15.75" customHeight="1" x14ac:dyDescent="0.25">
      <c r="E940" s="23"/>
    </row>
    <row r="941" spans="5:5" ht="15.75" customHeight="1" x14ac:dyDescent="0.25">
      <c r="E941" s="23"/>
    </row>
    <row r="942" spans="5:5" ht="15.75" customHeight="1" x14ac:dyDescent="0.25">
      <c r="E942" s="23"/>
    </row>
    <row r="943" spans="5:5" ht="15.75" customHeight="1" x14ac:dyDescent="0.25">
      <c r="E943" s="23"/>
    </row>
    <row r="944" spans="5:5" ht="15.75" customHeight="1" x14ac:dyDescent="0.25">
      <c r="E944" s="23"/>
    </row>
    <row r="945" spans="5:5" ht="15.75" customHeight="1" x14ac:dyDescent="0.25">
      <c r="E945" s="23"/>
    </row>
    <row r="946" spans="5:5" ht="15.75" customHeight="1" x14ac:dyDescent="0.25">
      <c r="E946" s="23"/>
    </row>
    <row r="947" spans="5:5" ht="15.75" customHeight="1" x14ac:dyDescent="0.25">
      <c r="E947" s="23"/>
    </row>
    <row r="948" spans="5:5" ht="15.75" customHeight="1" x14ac:dyDescent="0.25">
      <c r="E948" s="23"/>
    </row>
    <row r="949" spans="5:5" ht="15.75" customHeight="1" x14ac:dyDescent="0.25">
      <c r="E949" s="23"/>
    </row>
    <row r="950" spans="5:5" ht="15.75" customHeight="1" x14ac:dyDescent="0.25">
      <c r="E950" s="23"/>
    </row>
    <row r="951" spans="5:5" ht="15.75" customHeight="1" x14ac:dyDescent="0.25">
      <c r="E951" s="23"/>
    </row>
    <row r="952" spans="5:5" ht="15.75" customHeight="1" x14ac:dyDescent="0.25">
      <c r="E952" s="23"/>
    </row>
    <row r="953" spans="5:5" ht="15.75" customHeight="1" x14ac:dyDescent="0.25">
      <c r="E953" s="23"/>
    </row>
    <row r="954" spans="5:5" ht="15.75" customHeight="1" x14ac:dyDescent="0.25">
      <c r="E954" s="23"/>
    </row>
    <row r="955" spans="5:5" ht="15.75" customHeight="1" x14ac:dyDescent="0.25">
      <c r="E955" s="23"/>
    </row>
    <row r="956" spans="5:5" ht="15.75" customHeight="1" x14ac:dyDescent="0.25">
      <c r="E956" s="23"/>
    </row>
    <row r="957" spans="5:5" ht="15.75" customHeight="1" x14ac:dyDescent="0.25">
      <c r="E957" s="23"/>
    </row>
    <row r="958" spans="5:5" ht="15.75" customHeight="1" x14ac:dyDescent="0.25">
      <c r="E958" s="23"/>
    </row>
    <row r="959" spans="5:5" ht="15.75" customHeight="1" x14ac:dyDescent="0.25">
      <c r="E959" s="23"/>
    </row>
    <row r="960" spans="5:5" ht="15.75" customHeight="1" x14ac:dyDescent="0.25">
      <c r="E960" s="23"/>
    </row>
    <row r="961" spans="5:5" ht="15.75" customHeight="1" x14ac:dyDescent="0.25">
      <c r="E961" s="23"/>
    </row>
    <row r="962" spans="5:5" ht="15.75" customHeight="1" x14ac:dyDescent="0.25">
      <c r="E962" s="23"/>
    </row>
    <row r="963" spans="5:5" ht="15.75" customHeight="1" x14ac:dyDescent="0.25">
      <c r="E963" s="23"/>
    </row>
    <row r="964" spans="5:5" ht="15.75" customHeight="1" x14ac:dyDescent="0.25">
      <c r="E964" s="23"/>
    </row>
    <row r="965" spans="5:5" ht="15.75" customHeight="1" x14ac:dyDescent="0.25">
      <c r="E965" s="23"/>
    </row>
    <row r="966" spans="5:5" ht="15.75" customHeight="1" x14ac:dyDescent="0.25">
      <c r="E966" s="23"/>
    </row>
    <row r="967" spans="5:5" ht="15.75" customHeight="1" x14ac:dyDescent="0.25">
      <c r="E967" s="23"/>
    </row>
    <row r="968" spans="5:5" ht="15.75" customHeight="1" x14ac:dyDescent="0.25">
      <c r="E968" s="23"/>
    </row>
    <row r="969" spans="5:5" ht="15.75" customHeight="1" x14ac:dyDescent="0.25">
      <c r="E969" s="23"/>
    </row>
    <row r="970" spans="5:5" ht="15.75" customHeight="1" x14ac:dyDescent="0.25">
      <c r="E970" s="23"/>
    </row>
    <row r="971" spans="5:5" ht="15.75" customHeight="1" x14ac:dyDescent="0.25">
      <c r="E971" s="23"/>
    </row>
    <row r="972" spans="5:5" ht="15.75" customHeight="1" x14ac:dyDescent="0.25">
      <c r="E972" s="23"/>
    </row>
    <row r="973" spans="5:5" ht="15.75" customHeight="1" x14ac:dyDescent="0.25">
      <c r="E973" s="23"/>
    </row>
    <row r="974" spans="5:5" ht="15.75" customHeight="1" x14ac:dyDescent="0.25">
      <c r="E974" s="23"/>
    </row>
    <row r="975" spans="5:5" ht="15.75" customHeight="1" x14ac:dyDescent="0.25">
      <c r="E975" s="23"/>
    </row>
    <row r="976" spans="5:5" ht="15.75" customHeight="1" x14ac:dyDescent="0.25">
      <c r="E976" s="23"/>
    </row>
    <row r="977" spans="5:5" ht="15.75" customHeight="1" x14ac:dyDescent="0.25">
      <c r="E977" s="23"/>
    </row>
    <row r="978" spans="5:5" ht="15.75" customHeight="1" x14ac:dyDescent="0.25">
      <c r="E978" s="23"/>
    </row>
    <row r="979" spans="5:5" ht="15.75" customHeight="1" x14ac:dyDescent="0.25">
      <c r="E979" s="23"/>
    </row>
    <row r="980" spans="5:5" ht="15.75" customHeight="1" x14ac:dyDescent="0.25">
      <c r="E980" s="23"/>
    </row>
    <row r="981" spans="5:5" ht="15.75" customHeight="1" x14ac:dyDescent="0.25">
      <c r="E981" s="23"/>
    </row>
    <row r="982" spans="5:5" ht="15.75" customHeight="1" x14ac:dyDescent="0.25">
      <c r="E982" s="23"/>
    </row>
    <row r="983" spans="5:5" ht="15.75" customHeight="1" x14ac:dyDescent="0.25">
      <c r="E983" s="23"/>
    </row>
    <row r="984" spans="5:5" ht="15.75" customHeight="1" x14ac:dyDescent="0.25">
      <c r="E984" s="23"/>
    </row>
    <row r="985" spans="5:5" ht="15.75" customHeight="1" x14ac:dyDescent="0.25">
      <c r="E985" s="23"/>
    </row>
    <row r="986" spans="5:5" ht="15.75" customHeight="1" x14ac:dyDescent="0.25">
      <c r="E986" s="23"/>
    </row>
    <row r="987" spans="5:5" ht="15.75" customHeight="1" x14ac:dyDescent="0.25">
      <c r="E987" s="23"/>
    </row>
    <row r="988" spans="5:5" ht="15.75" customHeight="1" x14ac:dyDescent="0.25">
      <c r="E988" s="23"/>
    </row>
    <row r="989" spans="5:5" ht="15.75" customHeight="1" x14ac:dyDescent="0.25">
      <c r="E989" s="23"/>
    </row>
    <row r="990" spans="5:5" ht="15.75" customHeight="1" x14ac:dyDescent="0.25">
      <c r="E990" s="23"/>
    </row>
    <row r="991" spans="5:5" ht="15.75" customHeight="1" x14ac:dyDescent="0.25">
      <c r="E991" s="23"/>
    </row>
    <row r="992" spans="5:5" ht="15.75" customHeight="1" x14ac:dyDescent="0.25">
      <c r="E992" s="23"/>
    </row>
    <row r="993" spans="5:5" ht="15.75" customHeight="1" x14ac:dyDescent="0.25">
      <c r="E993" s="23"/>
    </row>
    <row r="994" spans="5:5" ht="15.75" customHeight="1" x14ac:dyDescent="0.25">
      <c r="E994" s="23"/>
    </row>
    <row r="995" spans="5:5" ht="15.75" customHeight="1" x14ac:dyDescent="0.25">
      <c r="E995" s="23"/>
    </row>
    <row r="996" spans="5:5" ht="15.75" customHeight="1" x14ac:dyDescent="0.25">
      <c r="E996" s="23"/>
    </row>
    <row r="997" spans="5:5" ht="15.75" customHeight="1" x14ac:dyDescent="0.25">
      <c r="E997" s="23"/>
    </row>
    <row r="998" spans="5:5" ht="15.75" customHeight="1" x14ac:dyDescent="0.25">
      <c r="E998" s="23"/>
    </row>
    <row r="999" spans="5:5" ht="15.75" customHeight="1" x14ac:dyDescent="0.25">
      <c r="E999" s="23"/>
    </row>
    <row r="1000" spans="5:5" ht="15.75" customHeight="1" x14ac:dyDescent="0.25">
      <c r="E1000" s="23"/>
    </row>
  </sheetData>
  <autoFilter ref="B3:Z659" xr:uid="{00000000-0009-0000-0000-000001000000}">
    <sortState xmlns:xlrd2="http://schemas.microsoft.com/office/spreadsheetml/2017/richdata2" ref="B3:Z659">
      <sortCondition ref="C3:C659"/>
    </sortState>
  </autoFilter>
  <mergeCells count="1">
    <mergeCell ref="B2:G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8.7109375" customWidth="1"/>
    <col min="2" max="2" width="15.140625" customWidth="1"/>
    <col min="3" max="3" width="27.140625" customWidth="1"/>
    <col min="4" max="4" width="31.7109375" customWidth="1"/>
    <col min="5" max="5" width="8.7109375" customWidth="1"/>
    <col min="6" max="6" width="12.7109375" customWidth="1"/>
    <col min="7" max="7" width="29.42578125" customWidth="1"/>
    <col min="8" max="8" width="18.140625" customWidth="1"/>
    <col min="9" max="26" width="8.7109375" customWidth="1"/>
  </cols>
  <sheetData>
    <row r="2" spans="1:26" ht="30" customHeight="1" x14ac:dyDescent="0.25">
      <c r="A2" s="26"/>
      <c r="B2" s="27" t="s">
        <v>670</v>
      </c>
      <c r="C2" s="26" t="s">
        <v>51</v>
      </c>
      <c r="D2" s="26" t="s">
        <v>61</v>
      </c>
      <c r="E2" s="26" t="s">
        <v>52</v>
      </c>
      <c r="F2" s="26"/>
      <c r="G2" s="26"/>
      <c r="H2" s="26" t="s">
        <v>671</v>
      </c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x14ac:dyDescent="0.25">
      <c r="B3" s="11" t="s">
        <v>672</v>
      </c>
      <c r="C3" s="11" t="s">
        <v>673</v>
      </c>
      <c r="D3" s="11" t="s">
        <v>674</v>
      </c>
      <c r="E3" s="28">
        <v>104</v>
      </c>
      <c r="H3" s="11" t="s">
        <v>675</v>
      </c>
    </row>
    <row r="4" spans="1:26" x14ac:dyDescent="0.25">
      <c r="B4" s="11" t="s">
        <v>107</v>
      </c>
      <c r="C4" s="11" t="s">
        <v>676</v>
      </c>
      <c r="D4" s="11" t="s">
        <v>677</v>
      </c>
      <c r="E4" s="29">
        <v>121</v>
      </c>
      <c r="H4" s="11" t="s">
        <v>678</v>
      </c>
    </row>
    <row r="5" spans="1:26" x14ac:dyDescent="0.25">
      <c r="B5" s="11" t="s">
        <v>329</v>
      </c>
      <c r="C5" s="11" t="s">
        <v>679</v>
      </c>
      <c r="D5" s="11" t="s">
        <v>680</v>
      </c>
      <c r="E5" s="29">
        <v>118</v>
      </c>
      <c r="H5" s="11" t="s">
        <v>681</v>
      </c>
    </row>
    <row r="6" spans="1:26" x14ac:dyDescent="0.25">
      <c r="B6" s="11"/>
      <c r="C6" s="11"/>
      <c r="D6" s="11"/>
      <c r="E6" s="29"/>
      <c r="H6" s="15" t="s">
        <v>32</v>
      </c>
    </row>
    <row r="7" spans="1:26" x14ac:dyDescent="0.25">
      <c r="B7" s="11" t="s">
        <v>458</v>
      </c>
      <c r="C7" s="11" t="s">
        <v>682</v>
      </c>
      <c r="D7" s="11" t="s">
        <v>683</v>
      </c>
      <c r="E7" s="29">
        <v>120</v>
      </c>
      <c r="H7" s="11" t="s">
        <v>684</v>
      </c>
    </row>
    <row r="8" spans="1:26" x14ac:dyDescent="0.25">
      <c r="B8" s="11" t="s">
        <v>685</v>
      </c>
      <c r="C8" s="11" t="s">
        <v>686</v>
      </c>
      <c r="D8" s="11" t="s">
        <v>687</v>
      </c>
      <c r="E8" s="29">
        <v>135</v>
      </c>
    </row>
    <row r="9" spans="1:26" x14ac:dyDescent="0.25">
      <c r="B9" s="11" t="s">
        <v>688</v>
      </c>
      <c r="C9" s="11" t="s">
        <v>689</v>
      </c>
      <c r="D9" s="11" t="s">
        <v>674</v>
      </c>
      <c r="E9" s="28">
        <v>115</v>
      </c>
    </row>
    <row r="10" spans="1:26" x14ac:dyDescent="0.25">
      <c r="B10" s="11" t="s">
        <v>690</v>
      </c>
      <c r="C10" s="11" t="s">
        <v>691</v>
      </c>
      <c r="D10" s="11" t="s">
        <v>680</v>
      </c>
      <c r="E10" s="28">
        <v>113</v>
      </c>
    </row>
    <row r="11" spans="1:26" x14ac:dyDescent="0.25">
      <c r="B11" s="11" t="s">
        <v>692</v>
      </c>
      <c r="C11" s="11" t="s">
        <v>693</v>
      </c>
      <c r="D11" s="11" t="s">
        <v>680</v>
      </c>
      <c r="E11" s="29">
        <v>132</v>
      </c>
    </row>
    <row r="12" spans="1:26" x14ac:dyDescent="0.25">
      <c r="B12" s="11" t="s">
        <v>694</v>
      </c>
      <c r="C12" s="11" t="s">
        <v>695</v>
      </c>
      <c r="D12" s="11" t="s">
        <v>687</v>
      </c>
      <c r="E12" s="28">
        <v>125</v>
      </c>
    </row>
    <row r="13" spans="1:26" x14ac:dyDescent="0.25">
      <c r="B13" s="30" t="s">
        <v>696</v>
      </c>
      <c r="C13" s="11" t="s">
        <v>697</v>
      </c>
      <c r="D13" s="11" t="s">
        <v>674</v>
      </c>
      <c r="E13" s="29">
        <v>112</v>
      </c>
    </row>
    <row r="14" spans="1:26" x14ac:dyDescent="0.25">
      <c r="B14" s="30" t="s">
        <v>698</v>
      </c>
      <c r="C14" s="11" t="s">
        <v>699</v>
      </c>
      <c r="D14" s="11" t="s">
        <v>700</v>
      </c>
      <c r="E14" s="29">
        <v>123</v>
      </c>
    </row>
    <row r="15" spans="1:26" x14ac:dyDescent="0.25">
      <c r="B15" s="11" t="s">
        <v>701</v>
      </c>
      <c r="C15" s="11" t="s">
        <v>702</v>
      </c>
      <c r="D15" s="11" t="s">
        <v>700</v>
      </c>
      <c r="E15" s="29">
        <v>1</v>
      </c>
    </row>
    <row r="16" spans="1:26" x14ac:dyDescent="0.25">
      <c r="B16" s="11" t="s">
        <v>502</v>
      </c>
      <c r="C16" s="11" t="s">
        <v>703</v>
      </c>
      <c r="D16" s="11" t="s">
        <v>677</v>
      </c>
      <c r="E16" s="29">
        <v>111</v>
      </c>
    </row>
    <row r="17" spans="2:5" x14ac:dyDescent="0.25">
      <c r="B17" s="11" t="s">
        <v>704</v>
      </c>
      <c r="C17" s="11" t="s">
        <v>705</v>
      </c>
      <c r="D17" s="11" t="s">
        <v>700</v>
      </c>
      <c r="E17" s="29">
        <v>69</v>
      </c>
    </row>
    <row r="18" spans="2:5" x14ac:dyDescent="0.25">
      <c r="B18" s="11" t="s">
        <v>145</v>
      </c>
      <c r="C18" s="11" t="s">
        <v>706</v>
      </c>
      <c r="D18" s="11" t="s">
        <v>680</v>
      </c>
      <c r="E18" s="29">
        <v>77</v>
      </c>
    </row>
    <row r="19" spans="2:5" x14ac:dyDescent="0.25">
      <c r="B19" s="11" t="s">
        <v>707</v>
      </c>
      <c r="C19" s="11" t="s">
        <v>708</v>
      </c>
      <c r="D19" s="11" t="s">
        <v>680</v>
      </c>
      <c r="E19" s="29">
        <v>23</v>
      </c>
    </row>
    <row r="20" spans="2:5" x14ac:dyDescent="0.25">
      <c r="B20" s="11" t="s">
        <v>709</v>
      </c>
      <c r="C20" s="11" t="s">
        <v>710</v>
      </c>
      <c r="D20" s="11" t="s">
        <v>680</v>
      </c>
      <c r="E20" s="28">
        <v>3</v>
      </c>
    </row>
    <row r="21" spans="2:5" ht="15.75" customHeight="1" x14ac:dyDescent="0.25">
      <c r="B21" s="11" t="s">
        <v>217</v>
      </c>
      <c r="C21" s="11" t="s">
        <v>711</v>
      </c>
      <c r="D21" s="11" t="s">
        <v>700</v>
      </c>
      <c r="E21" s="29">
        <v>98</v>
      </c>
    </row>
    <row r="22" spans="2:5" ht="15.75" customHeight="1" x14ac:dyDescent="0.25">
      <c r="B22" s="11" t="s">
        <v>223</v>
      </c>
      <c r="C22" s="11" t="s">
        <v>712</v>
      </c>
      <c r="D22" s="11" t="s">
        <v>680</v>
      </c>
      <c r="E22" s="29">
        <v>42</v>
      </c>
    </row>
    <row r="23" spans="2:5" ht="15.75" customHeight="1" x14ac:dyDescent="0.25">
      <c r="B23" s="11" t="s">
        <v>713</v>
      </c>
      <c r="C23" s="11" t="s">
        <v>714</v>
      </c>
      <c r="D23" s="11" t="s">
        <v>700</v>
      </c>
      <c r="E23" s="29">
        <v>84</v>
      </c>
    </row>
    <row r="24" spans="2:5" ht="15.75" customHeight="1" x14ac:dyDescent="0.25">
      <c r="B24" s="11" t="s">
        <v>367</v>
      </c>
      <c r="C24" s="11" t="s">
        <v>715</v>
      </c>
      <c r="D24" s="11" t="s">
        <v>687</v>
      </c>
      <c r="E24" s="29">
        <v>18</v>
      </c>
    </row>
    <row r="25" spans="2:5" ht="15.75" customHeight="1" x14ac:dyDescent="0.25">
      <c r="B25" s="11" t="s">
        <v>716</v>
      </c>
      <c r="C25" s="11" t="s">
        <v>717</v>
      </c>
      <c r="D25" s="11" t="s">
        <v>683</v>
      </c>
      <c r="E25" s="28">
        <v>12</v>
      </c>
    </row>
    <row r="26" spans="2:5" ht="15.75" customHeight="1" x14ac:dyDescent="0.25">
      <c r="B26" s="11" t="s">
        <v>611</v>
      </c>
      <c r="C26" s="11" t="s">
        <v>718</v>
      </c>
      <c r="D26" s="11" t="s">
        <v>687</v>
      </c>
      <c r="E26" s="29">
        <v>10</v>
      </c>
    </row>
    <row r="27" spans="2:5" ht="15.75" customHeight="1" x14ac:dyDescent="0.25">
      <c r="B27" s="11" t="s">
        <v>719</v>
      </c>
      <c r="C27" s="11" t="s">
        <v>720</v>
      </c>
      <c r="D27" s="11" t="s">
        <v>700</v>
      </c>
      <c r="E27" s="29">
        <v>46</v>
      </c>
    </row>
    <row r="28" spans="2:5" ht="15.75" customHeight="1" x14ac:dyDescent="0.25">
      <c r="B28" s="11" t="s">
        <v>721</v>
      </c>
      <c r="C28" s="11" t="s">
        <v>722</v>
      </c>
      <c r="D28" s="11" t="s">
        <v>683</v>
      </c>
      <c r="E28" s="28">
        <v>66</v>
      </c>
    </row>
    <row r="29" spans="2:5" ht="15.75" customHeight="1" x14ac:dyDescent="0.25">
      <c r="B29" s="11" t="s">
        <v>723</v>
      </c>
      <c r="C29" s="11" t="s">
        <v>724</v>
      </c>
      <c r="D29" s="11" t="s">
        <v>683</v>
      </c>
      <c r="E29" s="28">
        <v>87</v>
      </c>
    </row>
    <row r="30" spans="2:5" ht="15.75" customHeight="1" x14ac:dyDescent="0.25">
      <c r="B30" s="11" t="s">
        <v>725</v>
      </c>
      <c r="C30" s="11" t="s">
        <v>726</v>
      </c>
      <c r="D30" s="11" t="s">
        <v>687</v>
      </c>
      <c r="E30" s="29">
        <v>58</v>
      </c>
    </row>
    <row r="31" spans="2:5" ht="15.75" customHeight="1" x14ac:dyDescent="0.25">
      <c r="B31" s="11" t="s">
        <v>727</v>
      </c>
      <c r="C31" s="11" t="s">
        <v>728</v>
      </c>
      <c r="D31" s="11" t="s">
        <v>687</v>
      </c>
      <c r="E31" s="28">
        <v>25</v>
      </c>
    </row>
    <row r="32" spans="2:5" ht="15.75" customHeight="1" x14ac:dyDescent="0.25">
      <c r="B32" s="11" t="s">
        <v>325</v>
      </c>
      <c r="C32" s="11" t="s">
        <v>729</v>
      </c>
      <c r="D32" s="11" t="s">
        <v>674</v>
      </c>
      <c r="E32" s="29">
        <v>15</v>
      </c>
    </row>
    <row r="33" spans="2:5" ht="15.75" customHeight="1" x14ac:dyDescent="0.25">
      <c r="B33" s="11" t="s">
        <v>730</v>
      </c>
      <c r="C33" s="11" t="s">
        <v>731</v>
      </c>
      <c r="D33" s="11" t="s">
        <v>732</v>
      </c>
      <c r="E33" s="29">
        <v>95</v>
      </c>
    </row>
    <row r="34" spans="2:5" ht="15.75" customHeight="1" x14ac:dyDescent="0.25">
      <c r="B34" s="11" t="s">
        <v>228</v>
      </c>
      <c r="C34" s="11" t="s">
        <v>733</v>
      </c>
      <c r="D34" s="11" t="s">
        <v>683</v>
      </c>
      <c r="E34" s="28">
        <v>2</v>
      </c>
    </row>
    <row r="35" spans="2:5" ht="15.75" customHeight="1" x14ac:dyDescent="0.25">
      <c r="B35" s="11" t="s">
        <v>67</v>
      </c>
      <c r="C35" s="11" t="s">
        <v>734</v>
      </c>
      <c r="D35" s="11" t="s">
        <v>687</v>
      </c>
      <c r="E35" s="29">
        <v>8</v>
      </c>
    </row>
    <row r="36" spans="2:5" ht="15.75" customHeight="1" x14ac:dyDescent="0.25">
      <c r="B36" s="30" t="s">
        <v>735</v>
      </c>
      <c r="C36" s="11" t="s">
        <v>736</v>
      </c>
      <c r="D36" s="11" t="s">
        <v>674</v>
      </c>
      <c r="E36" s="29">
        <v>19</v>
      </c>
    </row>
    <row r="37" spans="2:5" ht="15.75" customHeight="1" x14ac:dyDescent="0.25">
      <c r="B37" s="30" t="s">
        <v>737</v>
      </c>
      <c r="C37" s="11" t="s">
        <v>738</v>
      </c>
      <c r="D37" s="11" t="s">
        <v>683</v>
      </c>
      <c r="E37" s="29">
        <v>50</v>
      </c>
    </row>
    <row r="38" spans="2:5" ht="15.75" customHeight="1" x14ac:dyDescent="0.25">
      <c r="B38" s="30" t="s">
        <v>199</v>
      </c>
      <c r="C38" s="11" t="s">
        <v>739</v>
      </c>
      <c r="D38" s="11" t="s">
        <v>683</v>
      </c>
      <c r="E38" s="29">
        <v>71</v>
      </c>
    </row>
    <row r="39" spans="2:5" ht="15.75" customHeight="1" x14ac:dyDescent="0.25">
      <c r="B39" s="30" t="s">
        <v>740</v>
      </c>
      <c r="C39" s="15" t="s">
        <v>741</v>
      </c>
      <c r="D39" s="11" t="s">
        <v>687</v>
      </c>
      <c r="E39" s="28">
        <v>89</v>
      </c>
    </row>
    <row r="40" spans="2:5" ht="15.75" customHeight="1" x14ac:dyDescent="0.25">
      <c r="B40" s="30" t="s">
        <v>742</v>
      </c>
      <c r="C40" s="15" t="s">
        <v>743</v>
      </c>
      <c r="D40" s="11" t="s">
        <v>683</v>
      </c>
      <c r="E40" s="28">
        <v>26</v>
      </c>
    </row>
    <row r="41" spans="2:5" ht="15.75" customHeight="1" x14ac:dyDescent="0.25">
      <c r="B41" s="30" t="s">
        <v>744</v>
      </c>
      <c r="C41" s="15" t="s">
        <v>745</v>
      </c>
      <c r="D41" s="11" t="s">
        <v>687</v>
      </c>
      <c r="E41" s="29">
        <v>56</v>
      </c>
    </row>
    <row r="42" spans="2:5" ht="15.75" customHeight="1" x14ac:dyDescent="0.25">
      <c r="B42" s="30" t="s">
        <v>746</v>
      </c>
      <c r="C42" s="15" t="s">
        <v>747</v>
      </c>
      <c r="D42" s="11" t="s">
        <v>687</v>
      </c>
      <c r="E42" s="29">
        <v>102</v>
      </c>
    </row>
    <row r="43" spans="2:5" ht="15.75" customHeight="1" x14ac:dyDescent="0.25">
      <c r="B43" s="30" t="s">
        <v>633</v>
      </c>
      <c r="C43" s="15" t="s">
        <v>748</v>
      </c>
      <c r="D43" s="11" t="s">
        <v>687</v>
      </c>
      <c r="E43" s="29">
        <v>31</v>
      </c>
    </row>
    <row r="44" spans="2:5" ht="15.75" customHeight="1" x14ac:dyDescent="0.25">
      <c r="B44" s="30" t="s">
        <v>119</v>
      </c>
      <c r="C44" s="15" t="s">
        <v>749</v>
      </c>
      <c r="D44" s="11" t="s">
        <v>683</v>
      </c>
      <c r="E44" s="29">
        <v>28</v>
      </c>
    </row>
    <row r="45" spans="2:5" ht="15.75" customHeight="1" x14ac:dyDescent="0.25">
      <c r="B45" s="30" t="s">
        <v>750</v>
      </c>
      <c r="C45" s="15" t="s">
        <v>751</v>
      </c>
      <c r="D45" s="15" t="s">
        <v>752</v>
      </c>
      <c r="E45" s="28">
        <v>70</v>
      </c>
    </row>
    <row r="46" spans="2:5" ht="15.75" customHeight="1" x14ac:dyDescent="0.25">
      <c r="B46" s="30" t="s">
        <v>753</v>
      </c>
      <c r="C46" s="15" t="s">
        <v>754</v>
      </c>
      <c r="D46" s="11" t="s">
        <v>683</v>
      </c>
      <c r="E46" s="29">
        <v>41</v>
      </c>
    </row>
    <row r="47" spans="2:5" ht="15.75" customHeight="1" x14ac:dyDescent="0.25">
      <c r="B47" s="30" t="s">
        <v>177</v>
      </c>
      <c r="C47" s="15" t="s">
        <v>755</v>
      </c>
      <c r="D47" s="11" t="s">
        <v>700</v>
      </c>
      <c r="E47" s="29">
        <v>107</v>
      </c>
    </row>
    <row r="48" spans="2:5" ht="15.75" customHeight="1" x14ac:dyDescent="0.25">
      <c r="B48" s="15" t="s">
        <v>756</v>
      </c>
      <c r="C48" s="15" t="s">
        <v>757</v>
      </c>
      <c r="D48" s="11" t="s">
        <v>700</v>
      </c>
      <c r="E48" s="29">
        <v>117</v>
      </c>
    </row>
    <row r="49" spans="2:5" ht="15.75" customHeight="1" x14ac:dyDescent="0.25">
      <c r="B49" s="15" t="s">
        <v>758</v>
      </c>
      <c r="C49" s="15" t="s">
        <v>759</v>
      </c>
      <c r="D49" s="11" t="s">
        <v>687</v>
      </c>
      <c r="E49" s="28">
        <v>128</v>
      </c>
    </row>
    <row r="50" spans="2:5" ht="15.75" customHeight="1" x14ac:dyDescent="0.25">
      <c r="B50" s="15" t="s">
        <v>760</v>
      </c>
      <c r="C50" s="15" t="s">
        <v>761</v>
      </c>
      <c r="D50" s="11" t="s">
        <v>680</v>
      </c>
      <c r="E50" s="29">
        <v>105</v>
      </c>
    </row>
    <row r="51" spans="2:5" ht="15.75" customHeight="1" x14ac:dyDescent="0.25">
      <c r="B51" s="15" t="s">
        <v>762</v>
      </c>
      <c r="C51" s="15" t="s">
        <v>673</v>
      </c>
      <c r="D51" s="11" t="s">
        <v>674</v>
      </c>
      <c r="E51" s="29">
        <v>104</v>
      </c>
    </row>
    <row r="52" spans="2:5" ht="15.75" customHeight="1" x14ac:dyDescent="0.25">
      <c r="B52" s="15" t="s">
        <v>241</v>
      </c>
      <c r="C52" s="15" t="s">
        <v>763</v>
      </c>
      <c r="D52" s="11" t="s">
        <v>687</v>
      </c>
      <c r="E52" s="28">
        <v>101</v>
      </c>
    </row>
    <row r="53" spans="2:5" ht="15.75" customHeight="1" x14ac:dyDescent="0.25">
      <c r="B53" s="15" t="s">
        <v>764</v>
      </c>
      <c r="C53" s="15" t="s">
        <v>765</v>
      </c>
      <c r="D53" s="11" t="s">
        <v>680</v>
      </c>
      <c r="E53" s="29">
        <v>127</v>
      </c>
    </row>
    <row r="54" spans="2:5" ht="15.75" customHeight="1" x14ac:dyDescent="0.25">
      <c r="B54" s="30" t="s">
        <v>766</v>
      </c>
      <c r="C54" s="15" t="s">
        <v>767</v>
      </c>
      <c r="D54" s="11" t="s">
        <v>683</v>
      </c>
      <c r="E54" s="29">
        <v>61</v>
      </c>
    </row>
    <row r="55" spans="2:5" ht="15.75" customHeight="1" x14ac:dyDescent="0.25">
      <c r="B55" s="15" t="s">
        <v>468</v>
      </c>
      <c r="C55" s="15" t="s">
        <v>768</v>
      </c>
      <c r="D55" s="11" t="s">
        <v>683</v>
      </c>
      <c r="E55" s="29">
        <v>83</v>
      </c>
    </row>
    <row r="56" spans="2:5" ht="15.75" customHeight="1" x14ac:dyDescent="0.25">
      <c r="B56" s="15" t="s">
        <v>129</v>
      </c>
      <c r="C56" s="15" t="s">
        <v>769</v>
      </c>
      <c r="D56" s="11" t="s">
        <v>683</v>
      </c>
      <c r="E56" s="28">
        <v>4</v>
      </c>
    </row>
    <row r="57" spans="2:5" ht="15.75" customHeight="1" x14ac:dyDescent="0.25">
      <c r="B57" s="15" t="s">
        <v>770</v>
      </c>
      <c r="C57" s="15" t="s">
        <v>771</v>
      </c>
      <c r="D57" s="11" t="s">
        <v>683</v>
      </c>
      <c r="E57" s="28">
        <v>91</v>
      </c>
    </row>
    <row r="58" spans="2:5" ht="15.75" customHeight="1" x14ac:dyDescent="0.25">
      <c r="B58" s="15" t="s">
        <v>387</v>
      </c>
      <c r="C58" s="15" t="s">
        <v>772</v>
      </c>
      <c r="D58" s="11" t="s">
        <v>683</v>
      </c>
      <c r="E58" s="29">
        <v>39</v>
      </c>
    </row>
    <row r="59" spans="2:5" ht="15.75" customHeight="1" x14ac:dyDescent="0.25">
      <c r="B59" s="15" t="s">
        <v>427</v>
      </c>
      <c r="C59" s="15" t="s">
        <v>773</v>
      </c>
      <c r="D59" s="11" t="s">
        <v>732</v>
      </c>
      <c r="E59" s="29">
        <v>65</v>
      </c>
    </row>
    <row r="60" spans="2:5" ht="15.75" customHeight="1" x14ac:dyDescent="0.25">
      <c r="B60" s="15" t="s">
        <v>95</v>
      </c>
      <c r="C60" s="15" t="s">
        <v>774</v>
      </c>
      <c r="D60" s="11" t="s">
        <v>680</v>
      </c>
      <c r="E60" s="28">
        <v>24</v>
      </c>
    </row>
    <row r="61" spans="2:5" ht="15.75" customHeight="1" x14ac:dyDescent="0.25">
      <c r="B61" s="15" t="s">
        <v>83</v>
      </c>
      <c r="C61" s="15" t="s">
        <v>775</v>
      </c>
      <c r="D61" s="11" t="s">
        <v>680</v>
      </c>
      <c r="E61" s="29">
        <v>103</v>
      </c>
    </row>
    <row r="62" spans="2:5" ht="15.75" customHeight="1" x14ac:dyDescent="0.25">
      <c r="B62" s="15" t="s">
        <v>776</v>
      </c>
      <c r="C62" s="15" t="s">
        <v>777</v>
      </c>
      <c r="D62" s="11" t="s">
        <v>674</v>
      </c>
      <c r="E62" s="29">
        <v>138</v>
      </c>
    </row>
    <row r="63" spans="2:5" ht="15.75" customHeight="1" x14ac:dyDescent="0.25">
      <c r="B63" s="15" t="s">
        <v>778</v>
      </c>
      <c r="C63" s="15" t="s">
        <v>779</v>
      </c>
      <c r="D63" s="11" t="s">
        <v>683</v>
      </c>
      <c r="E63" s="29">
        <v>124</v>
      </c>
    </row>
    <row r="64" spans="2:5" ht="15.75" customHeight="1" x14ac:dyDescent="0.25">
      <c r="B64" s="15" t="s">
        <v>780</v>
      </c>
      <c r="C64" s="15" t="s">
        <v>781</v>
      </c>
      <c r="D64" s="15" t="s">
        <v>752</v>
      </c>
      <c r="E64" s="29">
        <v>131</v>
      </c>
    </row>
    <row r="65" spans="2:5" ht="15.75" customHeight="1" x14ac:dyDescent="0.25">
      <c r="B65" s="15" t="s">
        <v>782</v>
      </c>
      <c r="C65" s="15" t="s">
        <v>783</v>
      </c>
      <c r="D65" s="11" t="s">
        <v>674</v>
      </c>
      <c r="E65" s="29">
        <v>134</v>
      </c>
    </row>
    <row r="66" spans="2:5" ht="15.75" customHeight="1" x14ac:dyDescent="0.25">
      <c r="B66" s="15" t="s">
        <v>320</v>
      </c>
      <c r="C66" s="15" t="s">
        <v>784</v>
      </c>
      <c r="D66" s="11" t="s">
        <v>732</v>
      </c>
      <c r="E66" s="29">
        <v>130</v>
      </c>
    </row>
    <row r="67" spans="2:5" ht="15.75" customHeight="1" x14ac:dyDescent="0.25">
      <c r="B67" s="15" t="s">
        <v>103</v>
      </c>
      <c r="C67" s="15" t="s">
        <v>785</v>
      </c>
      <c r="D67" s="15" t="s">
        <v>752</v>
      </c>
      <c r="E67" s="29">
        <v>137</v>
      </c>
    </row>
    <row r="68" spans="2:5" ht="15.75" customHeight="1" x14ac:dyDescent="0.25">
      <c r="B68" s="15" t="s">
        <v>786</v>
      </c>
      <c r="C68" s="15" t="s">
        <v>787</v>
      </c>
      <c r="D68" s="11" t="s">
        <v>674</v>
      </c>
      <c r="E68" s="29">
        <v>79</v>
      </c>
    </row>
    <row r="69" spans="2:5" ht="15.75" customHeight="1" x14ac:dyDescent="0.25">
      <c r="B69" s="15" t="s">
        <v>307</v>
      </c>
      <c r="C69" s="15" t="s">
        <v>788</v>
      </c>
      <c r="D69" s="11" t="s">
        <v>683</v>
      </c>
      <c r="E69" s="29">
        <v>27</v>
      </c>
    </row>
    <row r="70" spans="2:5" ht="15.75" customHeight="1" x14ac:dyDescent="0.25">
      <c r="B70" s="15" t="s">
        <v>271</v>
      </c>
      <c r="C70" s="15" t="s">
        <v>789</v>
      </c>
      <c r="D70" s="11" t="s">
        <v>700</v>
      </c>
      <c r="E70" s="29">
        <v>7</v>
      </c>
    </row>
    <row r="71" spans="2:5" ht="15.75" customHeight="1" x14ac:dyDescent="0.25">
      <c r="B71" s="15" t="s">
        <v>790</v>
      </c>
      <c r="C71" s="15" t="s">
        <v>791</v>
      </c>
      <c r="D71" s="11" t="s">
        <v>683</v>
      </c>
      <c r="E71" s="29">
        <v>14</v>
      </c>
    </row>
    <row r="72" spans="2:5" ht="15.75" customHeight="1" x14ac:dyDescent="0.25">
      <c r="B72" s="15" t="s">
        <v>792</v>
      </c>
      <c r="C72" s="15" t="s">
        <v>793</v>
      </c>
      <c r="D72" s="11" t="s">
        <v>683</v>
      </c>
      <c r="E72" s="29">
        <v>93</v>
      </c>
    </row>
    <row r="73" spans="2:5" ht="15.75" customHeight="1" x14ac:dyDescent="0.25">
      <c r="B73" s="15" t="s">
        <v>794</v>
      </c>
      <c r="C73" s="15" t="s">
        <v>795</v>
      </c>
      <c r="D73" s="11" t="s">
        <v>687</v>
      </c>
      <c r="E73" s="28">
        <v>34</v>
      </c>
    </row>
    <row r="74" spans="2:5" ht="15.75" customHeight="1" x14ac:dyDescent="0.25">
      <c r="B74" s="15" t="s">
        <v>796</v>
      </c>
      <c r="C74" s="15" t="s">
        <v>797</v>
      </c>
      <c r="D74" s="11" t="s">
        <v>683</v>
      </c>
      <c r="E74" s="29">
        <v>29</v>
      </c>
    </row>
    <row r="75" spans="2:5" ht="15.75" customHeight="1" x14ac:dyDescent="0.25">
      <c r="B75" s="15" t="s">
        <v>798</v>
      </c>
      <c r="C75" s="15" t="s">
        <v>799</v>
      </c>
      <c r="D75" s="11" t="s">
        <v>683</v>
      </c>
      <c r="E75" s="28">
        <v>60</v>
      </c>
    </row>
    <row r="76" spans="2:5" ht="15.75" customHeight="1" x14ac:dyDescent="0.25">
      <c r="B76" s="15" t="s">
        <v>800</v>
      </c>
      <c r="C76" s="15" t="s">
        <v>801</v>
      </c>
      <c r="D76" s="11" t="s">
        <v>687</v>
      </c>
      <c r="E76" s="28">
        <v>53</v>
      </c>
    </row>
    <row r="77" spans="2:5" ht="15.75" customHeight="1" x14ac:dyDescent="0.25">
      <c r="B77" s="15" t="s">
        <v>140</v>
      </c>
      <c r="C77" s="15" t="s">
        <v>802</v>
      </c>
      <c r="D77" s="11" t="s">
        <v>687</v>
      </c>
      <c r="E77" s="29">
        <v>109</v>
      </c>
    </row>
    <row r="78" spans="2:5" ht="15.75" customHeight="1" x14ac:dyDescent="0.25">
      <c r="B78" s="15" t="s">
        <v>803</v>
      </c>
      <c r="C78" s="15" t="s">
        <v>804</v>
      </c>
      <c r="D78" s="11" t="s">
        <v>687</v>
      </c>
      <c r="E78" s="29">
        <v>126</v>
      </c>
    </row>
    <row r="79" spans="2:5" ht="15.75" customHeight="1" x14ac:dyDescent="0.25">
      <c r="B79" s="30" t="s">
        <v>805</v>
      </c>
      <c r="C79" s="11" t="s">
        <v>702</v>
      </c>
      <c r="D79" s="11" t="s">
        <v>700</v>
      </c>
      <c r="E79" s="29">
        <v>1</v>
      </c>
    </row>
    <row r="80" spans="2:5" ht="15.75" customHeight="1" x14ac:dyDescent="0.25">
      <c r="B80" s="30" t="s">
        <v>806</v>
      </c>
      <c r="C80" s="15" t="s">
        <v>807</v>
      </c>
      <c r="D80" s="11" t="s">
        <v>680</v>
      </c>
      <c r="E80" s="29">
        <v>9</v>
      </c>
    </row>
    <row r="81" spans="2:5" ht="15.75" customHeight="1" x14ac:dyDescent="0.25">
      <c r="B81" s="15" t="s">
        <v>451</v>
      </c>
      <c r="C81" s="11" t="s">
        <v>808</v>
      </c>
      <c r="D81" s="11" t="s">
        <v>680</v>
      </c>
      <c r="E81" s="29">
        <v>141</v>
      </c>
    </row>
    <row r="82" spans="2:5" ht="15.75" customHeight="1" x14ac:dyDescent="0.25">
      <c r="B82" s="15" t="s">
        <v>809</v>
      </c>
      <c r="C82" s="11" t="s">
        <v>810</v>
      </c>
      <c r="D82" s="11" t="s">
        <v>680</v>
      </c>
      <c r="E82" s="28">
        <v>67</v>
      </c>
    </row>
    <row r="83" spans="2:5" ht="15.75" customHeight="1" x14ac:dyDescent="0.25">
      <c r="B83" s="30" t="s">
        <v>811</v>
      </c>
      <c r="C83" s="11" t="s">
        <v>812</v>
      </c>
      <c r="D83" s="11" t="s">
        <v>674</v>
      </c>
      <c r="E83" s="29">
        <v>140</v>
      </c>
    </row>
    <row r="84" spans="2:5" ht="15.75" customHeight="1" x14ac:dyDescent="0.25">
      <c r="B84" s="30" t="s">
        <v>466</v>
      </c>
      <c r="C84" s="11" t="s">
        <v>813</v>
      </c>
      <c r="D84" s="11" t="s">
        <v>683</v>
      </c>
      <c r="E84" s="29">
        <v>74</v>
      </c>
    </row>
    <row r="85" spans="2:5" ht="15.75" customHeight="1" x14ac:dyDescent="0.25">
      <c r="B85" s="15" t="s">
        <v>814</v>
      </c>
      <c r="C85" s="11" t="s">
        <v>815</v>
      </c>
      <c r="D85" s="11" t="s">
        <v>683</v>
      </c>
      <c r="E85" s="29">
        <v>63</v>
      </c>
    </row>
    <row r="86" spans="2:5" ht="15.75" customHeight="1" x14ac:dyDescent="0.25">
      <c r="B86" s="15" t="s">
        <v>816</v>
      </c>
      <c r="C86" s="11" t="s">
        <v>817</v>
      </c>
      <c r="D86" s="11" t="s">
        <v>674</v>
      </c>
      <c r="E86" s="29">
        <v>142</v>
      </c>
    </row>
    <row r="87" spans="2:5" ht="15.75" customHeight="1" x14ac:dyDescent="0.25">
      <c r="B87" s="30" t="s">
        <v>818</v>
      </c>
      <c r="C87" s="11" t="s">
        <v>708</v>
      </c>
      <c r="D87" s="11" t="s">
        <v>680</v>
      </c>
      <c r="E87" s="29">
        <v>23</v>
      </c>
    </row>
    <row r="88" spans="2:5" ht="15.75" customHeight="1" x14ac:dyDescent="0.25">
      <c r="B88" s="30" t="s">
        <v>819</v>
      </c>
      <c r="C88" s="11" t="s">
        <v>820</v>
      </c>
      <c r="D88" s="11" t="s">
        <v>732</v>
      </c>
      <c r="E88" s="29">
        <v>85</v>
      </c>
    </row>
    <row r="89" spans="2:5" ht="15.75" customHeight="1" x14ac:dyDescent="0.25">
      <c r="B89" s="30" t="s">
        <v>821</v>
      </c>
      <c r="C89" s="11" t="s">
        <v>702</v>
      </c>
      <c r="D89" s="11" t="s">
        <v>700</v>
      </c>
      <c r="E89" s="29">
        <v>1</v>
      </c>
    </row>
    <row r="90" spans="2:5" ht="15.75" customHeight="1" x14ac:dyDescent="0.25">
      <c r="B90" s="30" t="s">
        <v>822</v>
      </c>
      <c r="C90" s="11" t="s">
        <v>720</v>
      </c>
      <c r="D90" s="11" t="s">
        <v>700</v>
      </c>
      <c r="E90" s="29">
        <v>46</v>
      </c>
    </row>
    <row r="91" spans="2:5" ht="15.75" customHeight="1" x14ac:dyDescent="0.25">
      <c r="B91" s="30" t="s">
        <v>823</v>
      </c>
      <c r="C91" s="11" t="s">
        <v>824</v>
      </c>
      <c r="D91" s="11" t="s">
        <v>677</v>
      </c>
      <c r="E91" s="28">
        <v>144</v>
      </c>
    </row>
    <row r="92" spans="2:5" ht="15.75" customHeight="1" x14ac:dyDescent="0.25">
      <c r="B92" s="30" t="s">
        <v>825</v>
      </c>
      <c r="C92" s="11" t="s">
        <v>826</v>
      </c>
      <c r="D92" s="11" t="s">
        <v>674</v>
      </c>
      <c r="E92" s="29">
        <v>145</v>
      </c>
    </row>
    <row r="93" spans="2:5" ht="15.75" customHeight="1" x14ac:dyDescent="0.25">
      <c r="B93" s="15" t="s">
        <v>203</v>
      </c>
      <c r="C93" s="11" t="s">
        <v>827</v>
      </c>
      <c r="D93" s="11" t="s">
        <v>680</v>
      </c>
      <c r="E93" s="29">
        <v>148</v>
      </c>
    </row>
    <row r="94" spans="2:5" ht="15.75" customHeight="1" x14ac:dyDescent="0.25">
      <c r="B94" s="30" t="s">
        <v>828</v>
      </c>
      <c r="C94" s="11" t="s">
        <v>829</v>
      </c>
      <c r="D94" s="11" t="s">
        <v>700</v>
      </c>
      <c r="E94" s="29">
        <v>47</v>
      </c>
    </row>
    <row r="95" spans="2:5" ht="15.75" customHeight="1" x14ac:dyDescent="0.25">
      <c r="B95" s="30" t="s">
        <v>635</v>
      </c>
      <c r="C95" s="11" t="s">
        <v>830</v>
      </c>
      <c r="D95" s="11" t="s">
        <v>732</v>
      </c>
      <c r="E95" s="29">
        <v>149</v>
      </c>
    </row>
    <row r="96" spans="2:5" ht="15.75" customHeight="1" x14ac:dyDescent="0.25">
      <c r="B96" s="30" t="s">
        <v>181</v>
      </c>
      <c r="C96" s="11" t="s">
        <v>831</v>
      </c>
      <c r="D96" s="11" t="s">
        <v>683</v>
      </c>
      <c r="E96" s="29">
        <v>146</v>
      </c>
    </row>
    <row r="97" spans="2:5" ht="15.75" customHeight="1" x14ac:dyDescent="0.25">
      <c r="B97" s="30" t="s">
        <v>455</v>
      </c>
      <c r="C97" s="11" t="s">
        <v>832</v>
      </c>
      <c r="D97" s="11" t="s">
        <v>683</v>
      </c>
      <c r="E97" s="29">
        <v>152</v>
      </c>
    </row>
    <row r="98" spans="2:5" ht="15.75" customHeight="1" x14ac:dyDescent="0.25">
      <c r="B98" s="15" t="s">
        <v>150</v>
      </c>
      <c r="C98" s="11" t="s">
        <v>833</v>
      </c>
      <c r="D98" s="11" t="s">
        <v>683</v>
      </c>
      <c r="E98" s="29">
        <v>99</v>
      </c>
    </row>
    <row r="99" spans="2:5" ht="15.75" customHeight="1" x14ac:dyDescent="0.25">
      <c r="B99" s="15" t="s">
        <v>834</v>
      </c>
      <c r="C99" s="11" t="s">
        <v>835</v>
      </c>
      <c r="D99" s="11" t="s">
        <v>732</v>
      </c>
      <c r="E99" s="29">
        <v>37</v>
      </c>
    </row>
    <row r="100" spans="2:5" ht="15.75" customHeight="1" x14ac:dyDescent="0.25">
      <c r="B100" s="15" t="s">
        <v>836</v>
      </c>
      <c r="C100" s="11" t="s">
        <v>837</v>
      </c>
      <c r="D100" s="11" t="s">
        <v>732</v>
      </c>
      <c r="E100" s="29">
        <v>110</v>
      </c>
    </row>
    <row r="101" spans="2:5" ht="15.75" customHeight="1" x14ac:dyDescent="0.25">
      <c r="B101" s="30" t="s">
        <v>121</v>
      </c>
      <c r="C101" s="11" t="s">
        <v>838</v>
      </c>
      <c r="D101" s="11" t="s">
        <v>674</v>
      </c>
      <c r="E101" s="29">
        <v>154</v>
      </c>
    </row>
    <row r="102" spans="2:5" ht="15.75" customHeight="1" x14ac:dyDescent="0.25">
      <c r="B102" s="15" t="s">
        <v>839</v>
      </c>
      <c r="C102" s="11" t="s">
        <v>840</v>
      </c>
      <c r="D102" s="11" t="s">
        <v>687</v>
      </c>
      <c r="E102" s="28">
        <v>159</v>
      </c>
    </row>
    <row r="103" spans="2:5" ht="15.75" customHeight="1" x14ac:dyDescent="0.25">
      <c r="B103" s="15" t="s">
        <v>841</v>
      </c>
      <c r="C103" s="11" t="s">
        <v>842</v>
      </c>
      <c r="D103" s="11" t="s">
        <v>674</v>
      </c>
      <c r="E103" s="29">
        <v>156</v>
      </c>
    </row>
    <row r="104" spans="2:5" ht="15.75" customHeight="1" x14ac:dyDescent="0.25">
      <c r="B104" s="30" t="s">
        <v>843</v>
      </c>
      <c r="C104" s="11" t="s">
        <v>844</v>
      </c>
      <c r="D104" s="11" t="s">
        <v>700</v>
      </c>
      <c r="E104" s="29">
        <v>147</v>
      </c>
    </row>
    <row r="105" spans="2:5" ht="15.75" customHeight="1" x14ac:dyDescent="0.25">
      <c r="B105" s="15" t="s">
        <v>269</v>
      </c>
      <c r="C105" s="11" t="s">
        <v>845</v>
      </c>
      <c r="D105" s="11" t="s">
        <v>683</v>
      </c>
      <c r="E105" s="29">
        <v>155</v>
      </c>
    </row>
    <row r="106" spans="2:5" ht="15.75" customHeight="1" x14ac:dyDescent="0.25">
      <c r="B106" s="15" t="s">
        <v>436</v>
      </c>
      <c r="C106" s="11" t="s">
        <v>846</v>
      </c>
      <c r="D106" s="11" t="s">
        <v>683</v>
      </c>
      <c r="E106" s="29">
        <v>165</v>
      </c>
    </row>
    <row r="107" spans="2:5" ht="15.75" customHeight="1" x14ac:dyDescent="0.25">
      <c r="B107" s="15" t="s">
        <v>847</v>
      </c>
      <c r="C107" s="11" t="s">
        <v>848</v>
      </c>
      <c r="D107" s="11" t="s">
        <v>687</v>
      </c>
      <c r="E107" s="28">
        <v>168</v>
      </c>
    </row>
    <row r="108" spans="2:5" ht="15.75" customHeight="1" x14ac:dyDescent="0.25">
      <c r="B108" s="15" t="s">
        <v>86</v>
      </c>
      <c r="C108" s="15" t="s">
        <v>849</v>
      </c>
      <c r="D108" s="11" t="s">
        <v>683</v>
      </c>
      <c r="E108" s="29">
        <v>167</v>
      </c>
    </row>
    <row r="109" spans="2:5" ht="15.75" customHeight="1" x14ac:dyDescent="0.25">
      <c r="B109" s="15" t="s">
        <v>336</v>
      </c>
      <c r="C109" s="15" t="s">
        <v>850</v>
      </c>
      <c r="D109" s="11" t="s">
        <v>683</v>
      </c>
      <c r="E109" s="29">
        <v>169</v>
      </c>
    </row>
    <row r="110" spans="2:5" ht="15.75" customHeight="1" x14ac:dyDescent="0.25">
      <c r="B110" s="15" t="s">
        <v>539</v>
      </c>
      <c r="C110" s="15" t="s">
        <v>851</v>
      </c>
      <c r="D110" s="11" t="s">
        <v>683</v>
      </c>
      <c r="E110" s="29">
        <v>164</v>
      </c>
    </row>
    <row r="111" spans="2:5" ht="15.75" customHeight="1" x14ac:dyDescent="0.25">
      <c r="B111" s="15" t="s">
        <v>852</v>
      </c>
      <c r="C111" s="15" t="s">
        <v>853</v>
      </c>
      <c r="D111" s="11" t="s">
        <v>687</v>
      </c>
      <c r="E111" s="29">
        <v>171</v>
      </c>
    </row>
    <row r="112" spans="2:5" ht="15.75" customHeight="1" x14ac:dyDescent="0.25">
      <c r="B112" s="15" t="s">
        <v>854</v>
      </c>
      <c r="C112" s="15" t="s">
        <v>855</v>
      </c>
      <c r="D112" s="11" t="s">
        <v>687</v>
      </c>
      <c r="E112" s="29">
        <v>172</v>
      </c>
    </row>
    <row r="113" spans="2:5" ht="15.75" customHeight="1" x14ac:dyDescent="0.25">
      <c r="B113" s="15" t="s">
        <v>98</v>
      </c>
      <c r="C113" s="15" t="s">
        <v>856</v>
      </c>
      <c r="D113" s="11" t="s">
        <v>700</v>
      </c>
      <c r="E113" s="29">
        <v>170</v>
      </c>
    </row>
    <row r="114" spans="2:5" ht="15.75" customHeight="1" x14ac:dyDescent="0.25">
      <c r="B114" s="15" t="s">
        <v>857</v>
      </c>
      <c r="C114" s="15" t="s">
        <v>858</v>
      </c>
      <c r="D114" s="11" t="s">
        <v>683</v>
      </c>
      <c r="E114" s="29">
        <v>166</v>
      </c>
    </row>
    <row r="115" spans="2:5" ht="15.75" customHeight="1" x14ac:dyDescent="0.25">
      <c r="B115" s="15" t="s">
        <v>448</v>
      </c>
      <c r="C115" s="15" t="s">
        <v>859</v>
      </c>
      <c r="D115" s="11" t="s">
        <v>683</v>
      </c>
      <c r="E115" s="29">
        <v>157</v>
      </c>
    </row>
    <row r="116" spans="2:5" ht="15.75" customHeight="1" x14ac:dyDescent="0.25">
      <c r="B116" s="15" t="s">
        <v>860</v>
      </c>
      <c r="C116" s="15" t="s">
        <v>736</v>
      </c>
      <c r="D116" s="11" t="s">
        <v>674</v>
      </c>
      <c r="E116" s="29">
        <v>19</v>
      </c>
    </row>
    <row r="117" spans="2:5" ht="15.75" customHeight="1" x14ac:dyDescent="0.25">
      <c r="B117" s="15" t="s">
        <v>188</v>
      </c>
      <c r="C117" s="15" t="s">
        <v>861</v>
      </c>
      <c r="D117" s="11" t="s">
        <v>732</v>
      </c>
      <c r="E117" s="29">
        <v>175</v>
      </c>
    </row>
    <row r="118" spans="2:5" ht="15.75" customHeight="1" x14ac:dyDescent="0.25">
      <c r="B118" s="15" t="s">
        <v>525</v>
      </c>
      <c r="C118" s="15" t="s">
        <v>862</v>
      </c>
      <c r="D118" s="11" t="s">
        <v>683</v>
      </c>
      <c r="E118" s="29">
        <v>176</v>
      </c>
    </row>
    <row r="119" spans="2:5" ht="15.75" customHeight="1" x14ac:dyDescent="0.25">
      <c r="B119" s="15" t="s">
        <v>863</v>
      </c>
      <c r="C119" s="11" t="s">
        <v>864</v>
      </c>
      <c r="D119" s="11" t="s">
        <v>683</v>
      </c>
      <c r="E119" s="29">
        <v>180</v>
      </c>
    </row>
    <row r="120" spans="2:5" ht="15.75" customHeight="1" x14ac:dyDescent="0.25">
      <c r="B120" s="15" t="s">
        <v>865</v>
      </c>
      <c r="C120" s="11" t="s">
        <v>866</v>
      </c>
      <c r="D120" s="11" t="s">
        <v>683</v>
      </c>
      <c r="E120" s="28">
        <v>179</v>
      </c>
    </row>
    <row r="121" spans="2:5" ht="15.75" customHeight="1" x14ac:dyDescent="0.25">
      <c r="B121" s="30" t="s">
        <v>867</v>
      </c>
      <c r="C121" s="11" t="s">
        <v>868</v>
      </c>
      <c r="D121" s="11" t="s">
        <v>683</v>
      </c>
      <c r="E121" s="28">
        <v>178</v>
      </c>
    </row>
    <row r="122" spans="2:5" ht="15.75" customHeight="1" x14ac:dyDescent="0.25">
      <c r="B122" s="30" t="s">
        <v>488</v>
      </c>
      <c r="C122" s="11" t="s">
        <v>869</v>
      </c>
      <c r="D122" s="11" t="s">
        <v>700</v>
      </c>
      <c r="E122" s="29">
        <v>160</v>
      </c>
    </row>
    <row r="123" spans="2:5" ht="15.75" customHeight="1" x14ac:dyDescent="0.25">
      <c r="B123" s="30" t="s">
        <v>80</v>
      </c>
      <c r="C123" s="11" t="s">
        <v>870</v>
      </c>
      <c r="D123" s="11" t="s">
        <v>674</v>
      </c>
      <c r="E123" s="29">
        <v>143</v>
      </c>
    </row>
    <row r="124" spans="2:5" ht="15.75" customHeight="1" x14ac:dyDescent="0.25">
      <c r="B124" s="30" t="s">
        <v>871</v>
      </c>
      <c r="C124" s="11" t="s">
        <v>872</v>
      </c>
      <c r="D124" s="11" t="s">
        <v>683</v>
      </c>
      <c r="E124" s="28">
        <v>196</v>
      </c>
    </row>
    <row r="125" spans="2:5" ht="15.75" customHeight="1" x14ac:dyDescent="0.25">
      <c r="B125" s="30" t="s">
        <v>135</v>
      </c>
      <c r="C125" s="15" t="s">
        <v>873</v>
      </c>
      <c r="D125" s="11" t="s">
        <v>683</v>
      </c>
      <c r="E125" s="29">
        <v>194</v>
      </c>
    </row>
    <row r="126" spans="2:5" ht="15.75" customHeight="1" x14ac:dyDescent="0.25">
      <c r="B126" s="30" t="s">
        <v>874</v>
      </c>
      <c r="C126" s="11" t="s">
        <v>875</v>
      </c>
      <c r="E126" s="29">
        <v>188</v>
      </c>
    </row>
    <row r="127" spans="2:5" ht="15.75" customHeight="1" x14ac:dyDescent="0.25">
      <c r="B127" s="30" t="s">
        <v>876</v>
      </c>
      <c r="C127" s="11" t="s">
        <v>877</v>
      </c>
      <c r="E127" s="29">
        <v>213</v>
      </c>
    </row>
    <row r="128" spans="2:5" ht="15.75" customHeight="1" x14ac:dyDescent="0.25">
      <c r="B128" s="30" t="s">
        <v>584</v>
      </c>
      <c r="C128" s="11" t="s">
        <v>878</v>
      </c>
      <c r="D128" s="11" t="s">
        <v>683</v>
      </c>
      <c r="E128" s="29">
        <v>198</v>
      </c>
    </row>
    <row r="129" spans="2:5" ht="15.75" customHeight="1" x14ac:dyDescent="0.25">
      <c r="B129" s="30" t="s">
        <v>879</v>
      </c>
      <c r="C129" s="15" t="s">
        <v>880</v>
      </c>
      <c r="D129" s="11" t="s">
        <v>687</v>
      </c>
      <c r="E129" s="29">
        <v>210</v>
      </c>
    </row>
    <row r="130" spans="2:5" ht="15.75" customHeight="1" x14ac:dyDescent="0.25">
      <c r="B130" s="30" t="s">
        <v>248</v>
      </c>
      <c r="C130" s="11" t="s">
        <v>881</v>
      </c>
      <c r="D130" s="11" t="s">
        <v>683</v>
      </c>
      <c r="E130" s="28">
        <v>209</v>
      </c>
    </row>
    <row r="131" spans="2:5" ht="15.75" customHeight="1" x14ac:dyDescent="0.25">
      <c r="B131" s="30" t="s">
        <v>882</v>
      </c>
      <c r="C131" s="11" t="s">
        <v>883</v>
      </c>
      <c r="D131" s="15" t="s">
        <v>752</v>
      </c>
      <c r="E131" s="28">
        <v>183</v>
      </c>
    </row>
    <row r="132" spans="2:5" ht="15.75" customHeight="1" x14ac:dyDescent="0.25">
      <c r="B132" s="31" t="s">
        <v>72</v>
      </c>
      <c r="C132" s="15" t="s">
        <v>884</v>
      </c>
      <c r="D132" s="15" t="s">
        <v>700</v>
      </c>
      <c r="E132" s="11">
        <v>246</v>
      </c>
    </row>
    <row r="133" spans="2:5" ht="15.75" customHeight="1" x14ac:dyDescent="0.25">
      <c r="C133" s="15" t="s">
        <v>885</v>
      </c>
      <c r="D133" s="15" t="s">
        <v>683</v>
      </c>
      <c r="E133" s="30" t="s">
        <v>886</v>
      </c>
    </row>
    <row r="134" spans="2:5" ht="15.75" customHeight="1" x14ac:dyDescent="0.25">
      <c r="C134" s="15" t="s">
        <v>887</v>
      </c>
      <c r="D134" s="15" t="s">
        <v>732</v>
      </c>
      <c r="E134" s="30" t="s">
        <v>888</v>
      </c>
    </row>
    <row r="135" spans="2:5" ht="15.75" customHeight="1" x14ac:dyDescent="0.25">
      <c r="C135" s="15" t="s">
        <v>889</v>
      </c>
      <c r="D135" s="15" t="s">
        <v>683</v>
      </c>
      <c r="E135" s="30" t="s">
        <v>890</v>
      </c>
    </row>
    <row r="136" spans="2:5" ht="15.75" customHeight="1" x14ac:dyDescent="0.25">
      <c r="C136" s="15" t="s">
        <v>891</v>
      </c>
      <c r="D136" s="15" t="s">
        <v>680</v>
      </c>
      <c r="E136" s="30" t="s">
        <v>892</v>
      </c>
    </row>
    <row r="137" spans="2:5" ht="15.75" customHeight="1" x14ac:dyDescent="0.25"/>
    <row r="138" spans="2:5" ht="15.75" customHeight="1" x14ac:dyDescent="0.25"/>
    <row r="139" spans="2:5" ht="15.75" customHeight="1" x14ac:dyDescent="0.25"/>
    <row r="140" spans="2:5" ht="15.75" customHeight="1" x14ac:dyDescent="0.25"/>
    <row r="141" spans="2:5" ht="15.75" customHeight="1" x14ac:dyDescent="0.25"/>
    <row r="142" spans="2:5" ht="15.75" customHeight="1" x14ac:dyDescent="0.25"/>
    <row r="143" spans="2:5" ht="15.75" customHeight="1" x14ac:dyDescent="0.25"/>
    <row r="144" spans="2:5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B2:E135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D1000"/>
  <sheetViews>
    <sheetView topLeftCell="A16" workbookViewId="0">
      <selection activeCell="C22" sqref="C22"/>
    </sheetView>
  </sheetViews>
  <sheetFormatPr defaultColWidth="14.42578125" defaultRowHeight="15" customHeight="1" x14ac:dyDescent="0.25"/>
  <cols>
    <col min="1" max="1" width="8.7109375" customWidth="1"/>
    <col min="2" max="2" width="12.85546875" customWidth="1"/>
    <col min="3" max="3" width="24.7109375" customWidth="1"/>
    <col min="4" max="26" width="8.7109375" customWidth="1"/>
  </cols>
  <sheetData>
    <row r="3" spans="2:4" x14ac:dyDescent="0.25">
      <c r="B3" s="15" t="s">
        <v>893</v>
      </c>
      <c r="C3" s="15" t="s">
        <v>894</v>
      </c>
      <c r="D3" s="11" t="s">
        <v>58</v>
      </c>
    </row>
    <row r="4" spans="2:4" x14ac:dyDescent="0.25">
      <c r="B4" s="15" t="s">
        <v>895</v>
      </c>
      <c r="C4" s="15" t="s">
        <v>165</v>
      </c>
    </row>
    <row r="5" spans="2:4" x14ac:dyDescent="0.25">
      <c r="B5" s="15" t="s">
        <v>896</v>
      </c>
      <c r="C5" s="15" t="s">
        <v>897</v>
      </c>
      <c r="D5" s="15" t="s">
        <v>898</v>
      </c>
    </row>
    <row r="6" spans="2:4" x14ac:dyDescent="0.25">
      <c r="B6" s="15" t="s">
        <v>896</v>
      </c>
      <c r="C6" s="15" t="s">
        <v>94</v>
      </c>
      <c r="D6" s="15" t="s">
        <v>899</v>
      </c>
    </row>
    <row r="7" spans="2:4" x14ac:dyDescent="0.25">
      <c r="B7" s="15" t="s">
        <v>895</v>
      </c>
      <c r="C7" s="15" t="s">
        <v>66</v>
      </c>
    </row>
    <row r="8" spans="2:4" x14ac:dyDescent="0.25">
      <c r="B8" s="15" t="s">
        <v>896</v>
      </c>
      <c r="C8" s="15" t="s">
        <v>289</v>
      </c>
      <c r="D8" s="15" t="s">
        <v>899</v>
      </c>
    </row>
    <row r="9" spans="2:4" x14ac:dyDescent="0.25">
      <c r="B9" s="15" t="s">
        <v>895</v>
      </c>
      <c r="C9" s="15" t="s">
        <v>155</v>
      </c>
    </row>
    <row r="10" spans="2:4" x14ac:dyDescent="0.25">
      <c r="B10" s="15" t="s">
        <v>895</v>
      </c>
      <c r="C10" s="15" t="s">
        <v>78</v>
      </c>
    </row>
    <row r="11" spans="2:4" x14ac:dyDescent="0.25">
      <c r="B11" s="15" t="s">
        <v>896</v>
      </c>
      <c r="C11" s="15" t="s">
        <v>127</v>
      </c>
      <c r="D11" s="15" t="s">
        <v>899</v>
      </c>
    </row>
    <row r="12" spans="2:4" x14ac:dyDescent="0.25">
      <c r="B12" s="15" t="s">
        <v>900</v>
      </c>
      <c r="C12" s="15" t="s">
        <v>410</v>
      </c>
      <c r="D12" s="15" t="s">
        <v>901</v>
      </c>
    </row>
    <row r="13" spans="2:4" x14ac:dyDescent="0.25">
      <c r="B13" s="15" t="s">
        <v>895</v>
      </c>
      <c r="C13" s="15" t="s">
        <v>149</v>
      </c>
    </row>
    <row r="14" spans="2:4" x14ac:dyDescent="0.25">
      <c r="B14" s="15" t="s">
        <v>896</v>
      </c>
      <c r="C14" s="15" t="s">
        <v>902</v>
      </c>
      <c r="D14" s="15" t="s">
        <v>899</v>
      </c>
    </row>
    <row r="15" spans="2:4" x14ac:dyDescent="0.25">
      <c r="B15" s="15" t="s">
        <v>896</v>
      </c>
      <c r="C15" s="15" t="s">
        <v>71</v>
      </c>
      <c r="D15" s="15" t="s">
        <v>898</v>
      </c>
    </row>
    <row r="16" spans="2:4" x14ac:dyDescent="0.25">
      <c r="B16" s="15" t="s">
        <v>896</v>
      </c>
      <c r="C16" s="15" t="s">
        <v>903</v>
      </c>
      <c r="D16" s="15" t="s">
        <v>898</v>
      </c>
    </row>
    <row r="17" spans="2:4" x14ac:dyDescent="0.25">
      <c r="B17" s="15" t="s">
        <v>896</v>
      </c>
      <c r="C17" s="15" t="s">
        <v>377</v>
      </c>
      <c r="D17" s="15" t="s">
        <v>899</v>
      </c>
    </row>
    <row r="18" spans="2:4" x14ac:dyDescent="0.25">
      <c r="B18" s="15" t="s">
        <v>896</v>
      </c>
      <c r="C18" s="15" t="s">
        <v>904</v>
      </c>
      <c r="D18" s="15" t="s">
        <v>899</v>
      </c>
    </row>
    <row r="19" spans="2:4" x14ac:dyDescent="0.25">
      <c r="B19" s="15" t="s">
        <v>896</v>
      </c>
      <c r="C19" s="15" t="s">
        <v>905</v>
      </c>
      <c r="D19" s="15" t="s">
        <v>898</v>
      </c>
    </row>
    <row r="20" spans="2:4" x14ac:dyDescent="0.25">
      <c r="B20" s="15" t="s">
        <v>896</v>
      </c>
      <c r="C20" s="15" t="s">
        <v>221</v>
      </c>
      <c r="D20" s="15" t="s">
        <v>898</v>
      </c>
    </row>
    <row r="21" spans="2:4" ht="15.75" customHeight="1" x14ac:dyDescent="0.25"/>
    <row r="22" spans="2:4" ht="15.75" customHeight="1" x14ac:dyDescent="0.25"/>
    <row r="23" spans="2:4" ht="15.75" customHeight="1" x14ac:dyDescent="0.25"/>
    <row r="24" spans="2:4" ht="15.75" customHeight="1" x14ac:dyDescent="0.25"/>
    <row r="25" spans="2:4" ht="15.75" customHeight="1" x14ac:dyDescent="0.25"/>
    <row r="26" spans="2:4" ht="15.75" customHeight="1" x14ac:dyDescent="0.25"/>
    <row r="27" spans="2:4" ht="15.75" customHeight="1" x14ac:dyDescent="0.25"/>
    <row r="28" spans="2:4" ht="15.75" customHeight="1" x14ac:dyDescent="0.25"/>
    <row r="29" spans="2:4" ht="15.75" customHeight="1" x14ac:dyDescent="0.25"/>
    <row r="30" spans="2:4" ht="15.75" customHeight="1" x14ac:dyDescent="0.25"/>
    <row r="31" spans="2:4" ht="15.75" customHeight="1" x14ac:dyDescent="0.25"/>
    <row r="32" spans="2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3" customWidth="1"/>
    <col min="2" max="2" width="74.5703125" customWidth="1"/>
    <col min="3" max="26" width="8.7109375" customWidth="1"/>
  </cols>
  <sheetData>
    <row r="1" spans="1:2" ht="18.75" customHeight="1" x14ac:dyDescent="0.25">
      <c r="A1" s="32"/>
      <c r="B1" s="33" t="s">
        <v>906</v>
      </c>
    </row>
    <row r="2" spans="1:2" x14ac:dyDescent="0.25">
      <c r="B2" s="34">
        <v>45904</v>
      </c>
    </row>
    <row r="3" spans="1:2" ht="6.75" customHeight="1" x14ac:dyDescent="0.25"/>
    <row r="4" spans="1:2" x14ac:dyDescent="0.25">
      <c r="B4" s="15" t="s">
        <v>907</v>
      </c>
    </row>
    <row r="5" spans="1:2" x14ac:dyDescent="0.25">
      <c r="B5" s="15" t="s">
        <v>908</v>
      </c>
    </row>
    <row r="6" spans="1:2" x14ac:dyDescent="0.25">
      <c r="B6" s="15" t="s">
        <v>909</v>
      </c>
    </row>
    <row r="7" spans="1:2" x14ac:dyDescent="0.25">
      <c r="B7" s="15" t="s">
        <v>910</v>
      </c>
    </row>
    <row r="8" spans="1:2" x14ac:dyDescent="0.25">
      <c r="B8" s="15" t="s">
        <v>911</v>
      </c>
    </row>
    <row r="9" spans="1:2" x14ac:dyDescent="0.25">
      <c r="B9" s="15" t="s">
        <v>912</v>
      </c>
    </row>
    <row r="10" spans="1:2" x14ac:dyDescent="0.25">
      <c r="B10" s="15" t="s">
        <v>913</v>
      </c>
    </row>
    <row r="11" spans="1:2" x14ac:dyDescent="0.25">
      <c r="B11" s="15" t="s">
        <v>914</v>
      </c>
    </row>
    <row r="12" spans="1:2" x14ac:dyDescent="0.25">
      <c r="B12" s="15" t="s">
        <v>915</v>
      </c>
    </row>
    <row r="13" spans="1:2" x14ac:dyDescent="0.25">
      <c r="B13" s="15" t="s">
        <v>916</v>
      </c>
    </row>
    <row r="14" spans="1:2" x14ac:dyDescent="0.25">
      <c r="B14" s="15" t="s">
        <v>917</v>
      </c>
    </row>
    <row r="15" spans="1:2" x14ac:dyDescent="0.25">
      <c r="B15" s="15" t="s">
        <v>918</v>
      </c>
    </row>
    <row r="16" spans="1:2" x14ac:dyDescent="0.25">
      <c r="B16" s="15" t="s">
        <v>919</v>
      </c>
    </row>
    <row r="17" spans="2:2" x14ac:dyDescent="0.25">
      <c r="B17" s="15" t="s">
        <v>920</v>
      </c>
    </row>
    <row r="18" spans="2:2" x14ac:dyDescent="0.25">
      <c r="B18" s="15" t="s">
        <v>921</v>
      </c>
    </row>
    <row r="19" spans="2:2" x14ac:dyDescent="0.25">
      <c r="B19" s="15" t="s">
        <v>922</v>
      </c>
    </row>
    <row r="20" spans="2:2" x14ac:dyDescent="0.25">
      <c r="B20" s="15" t="s">
        <v>923</v>
      </c>
    </row>
    <row r="21" spans="2:2" ht="15.75" customHeight="1" x14ac:dyDescent="0.25">
      <c r="B21" s="15" t="s">
        <v>924</v>
      </c>
    </row>
    <row r="22" spans="2:2" ht="15.75" customHeight="1" x14ac:dyDescent="0.25">
      <c r="B22" s="15" t="s">
        <v>925</v>
      </c>
    </row>
    <row r="23" spans="2:2" ht="15.75" customHeight="1" x14ac:dyDescent="0.25">
      <c r="B23" s="15" t="s">
        <v>926</v>
      </c>
    </row>
    <row r="24" spans="2:2" ht="15.75" customHeight="1" x14ac:dyDescent="0.25">
      <c r="B24" s="15" t="s">
        <v>927</v>
      </c>
    </row>
    <row r="25" spans="2:2" ht="15.75" customHeight="1" x14ac:dyDescent="0.25">
      <c r="B25" s="15" t="s">
        <v>928</v>
      </c>
    </row>
    <row r="26" spans="2:2" ht="15.75" customHeight="1" x14ac:dyDescent="0.25">
      <c r="B26" s="15" t="s">
        <v>929</v>
      </c>
    </row>
    <row r="27" spans="2:2" ht="15.75" customHeight="1" x14ac:dyDescent="0.25">
      <c r="B27" s="15" t="s">
        <v>930</v>
      </c>
    </row>
    <row r="28" spans="2:2" ht="15.75" customHeight="1" x14ac:dyDescent="0.25">
      <c r="B28" s="15" t="s">
        <v>931</v>
      </c>
    </row>
    <row r="29" spans="2:2" ht="15.75" customHeight="1" x14ac:dyDescent="0.25">
      <c r="B29" s="15" t="s">
        <v>932</v>
      </c>
    </row>
    <row r="30" spans="2:2" ht="15.75" customHeight="1" x14ac:dyDescent="0.25">
      <c r="B30" s="15" t="s">
        <v>933</v>
      </c>
    </row>
    <row r="31" spans="2:2" ht="15.75" customHeight="1" x14ac:dyDescent="0.25">
      <c r="B31" s="15" t="s">
        <v>934</v>
      </c>
    </row>
    <row r="32" spans="2:2" ht="15.75" customHeight="1" x14ac:dyDescent="0.25">
      <c r="B32" s="15" t="s">
        <v>935</v>
      </c>
    </row>
    <row r="33" spans="2:2" ht="15.75" customHeight="1" x14ac:dyDescent="0.25">
      <c r="B33" s="15" t="s">
        <v>936</v>
      </c>
    </row>
    <row r="34" spans="2:2" ht="15.75" customHeight="1" x14ac:dyDescent="0.25">
      <c r="B34" s="15" t="s">
        <v>937</v>
      </c>
    </row>
    <row r="35" spans="2:2" ht="15.75" customHeight="1" x14ac:dyDescent="0.25">
      <c r="B35" s="15" t="s">
        <v>938</v>
      </c>
    </row>
    <row r="36" spans="2:2" ht="15.75" customHeight="1" x14ac:dyDescent="0.25">
      <c r="B36" s="15" t="s">
        <v>939</v>
      </c>
    </row>
    <row r="37" spans="2:2" ht="15.75" customHeight="1" x14ac:dyDescent="0.25">
      <c r="B37" s="15" t="s">
        <v>940</v>
      </c>
    </row>
    <row r="38" spans="2:2" ht="15.75" customHeight="1" x14ac:dyDescent="0.25">
      <c r="B38" s="15" t="s">
        <v>941</v>
      </c>
    </row>
    <row r="39" spans="2:2" ht="15.75" customHeight="1" x14ac:dyDescent="0.25">
      <c r="B39" s="15" t="s">
        <v>942</v>
      </c>
    </row>
    <row r="40" spans="2:2" ht="15.75" customHeight="1" x14ac:dyDescent="0.25">
      <c r="B40" s="15" t="s">
        <v>943</v>
      </c>
    </row>
    <row r="41" spans="2:2" ht="15.75" customHeight="1" x14ac:dyDescent="0.25">
      <c r="B41" s="15" t="s">
        <v>944</v>
      </c>
    </row>
    <row r="42" spans="2:2" ht="15.75" customHeight="1" x14ac:dyDescent="0.25">
      <c r="B42" s="15" t="s">
        <v>945</v>
      </c>
    </row>
    <row r="43" spans="2:2" ht="15.75" customHeight="1" x14ac:dyDescent="0.25">
      <c r="B43" s="15" t="s">
        <v>681</v>
      </c>
    </row>
    <row r="44" spans="2:2" ht="15.75" customHeight="1" x14ac:dyDescent="0.25">
      <c r="B44" s="15" t="s">
        <v>684</v>
      </c>
    </row>
    <row r="45" spans="2:2" ht="15.75" customHeight="1" x14ac:dyDescent="0.25">
      <c r="B45" s="15" t="s">
        <v>678</v>
      </c>
    </row>
    <row r="46" spans="2:2" ht="15.75" customHeight="1" x14ac:dyDescent="0.25">
      <c r="B46" s="15" t="s">
        <v>675</v>
      </c>
    </row>
    <row r="47" spans="2:2" ht="15.75" customHeight="1" x14ac:dyDescent="0.25">
      <c r="B47" s="15" t="s">
        <v>946</v>
      </c>
    </row>
    <row r="48" spans="2:2" ht="15.75" customHeight="1" x14ac:dyDescent="0.25">
      <c r="B48" s="15" t="s">
        <v>32</v>
      </c>
    </row>
    <row r="49" spans="2:2" ht="15.75" customHeight="1" x14ac:dyDescent="0.25">
      <c r="B49" s="15" t="s">
        <v>947</v>
      </c>
    </row>
    <row r="50" spans="2:2" ht="15.75" customHeight="1" x14ac:dyDescent="0.25">
      <c r="B50" s="15" t="s">
        <v>948</v>
      </c>
    </row>
    <row r="51" spans="2:2" ht="15.75" customHeight="1" x14ac:dyDescent="0.25">
      <c r="B51" s="15" t="s">
        <v>949</v>
      </c>
    </row>
    <row r="52" spans="2:2" ht="15.75" customHeight="1" x14ac:dyDescent="0.25">
      <c r="B52" s="15" t="s">
        <v>950</v>
      </c>
    </row>
    <row r="53" spans="2:2" ht="15.75" customHeight="1" x14ac:dyDescent="0.25">
      <c r="B53" s="15" t="s">
        <v>951</v>
      </c>
    </row>
    <row r="54" spans="2:2" ht="15.75" customHeight="1" x14ac:dyDescent="0.25">
      <c r="B54" s="15" t="s">
        <v>952</v>
      </c>
    </row>
    <row r="55" spans="2:2" ht="15.75" customHeight="1" x14ac:dyDescent="0.25">
      <c r="B55" s="15" t="s">
        <v>953</v>
      </c>
    </row>
    <row r="56" spans="2:2" ht="15.75" customHeight="1" x14ac:dyDescent="0.25">
      <c r="B56" s="15" t="s">
        <v>954</v>
      </c>
    </row>
    <row r="57" spans="2:2" ht="15.75" customHeight="1" x14ac:dyDescent="0.25">
      <c r="B57" s="15" t="s">
        <v>955</v>
      </c>
    </row>
    <row r="58" spans="2:2" ht="15.75" customHeight="1" x14ac:dyDescent="0.25">
      <c r="B58" s="15" t="s">
        <v>956</v>
      </c>
    </row>
    <row r="59" spans="2:2" ht="15.75" customHeight="1" x14ac:dyDescent="0.25">
      <c r="B59" s="15" t="s">
        <v>957</v>
      </c>
    </row>
    <row r="60" spans="2:2" ht="15.75" customHeight="1" x14ac:dyDescent="0.25">
      <c r="B60" s="15" t="s">
        <v>958</v>
      </c>
    </row>
    <row r="61" spans="2:2" ht="15.75" customHeight="1" x14ac:dyDescent="0.25">
      <c r="B61" s="15" t="s">
        <v>959</v>
      </c>
    </row>
    <row r="62" spans="2:2" ht="15.75" customHeight="1" x14ac:dyDescent="0.25">
      <c r="B62" s="15" t="s">
        <v>960</v>
      </c>
    </row>
    <row r="63" spans="2:2" ht="15.75" customHeight="1" x14ac:dyDescent="0.25">
      <c r="B63" s="15" t="s">
        <v>961</v>
      </c>
    </row>
    <row r="64" spans="2:2" ht="15.75" customHeight="1" x14ac:dyDescent="0.25">
      <c r="B64" s="15" t="s">
        <v>962</v>
      </c>
    </row>
    <row r="65" spans="2:2" ht="15.75" customHeight="1" x14ac:dyDescent="0.25">
      <c r="B65" s="15" t="s">
        <v>963</v>
      </c>
    </row>
    <row r="66" spans="2:2" ht="15.75" customHeight="1" x14ac:dyDescent="0.25">
      <c r="B66" s="15" t="s">
        <v>964</v>
      </c>
    </row>
    <row r="67" spans="2:2" ht="15.75" customHeight="1" x14ac:dyDescent="0.25">
      <c r="B67" s="15" t="s">
        <v>965</v>
      </c>
    </row>
    <row r="68" spans="2:2" ht="15.75" customHeight="1" x14ac:dyDescent="0.25">
      <c r="B68" s="15" t="s">
        <v>966</v>
      </c>
    </row>
    <row r="69" spans="2:2" ht="15.75" customHeight="1" x14ac:dyDescent="0.25">
      <c r="B69" s="15" t="s">
        <v>967</v>
      </c>
    </row>
    <row r="70" spans="2:2" ht="15.75" customHeight="1" x14ac:dyDescent="0.25">
      <c r="B70" s="15" t="s">
        <v>968</v>
      </c>
    </row>
    <row r="71" spans="2:2" ht="15.75" customHeight="1" x14ac:dyDescent="0.25">
      <c r="B71" s="15" t="s">
        <v>969</v>
      </c>
    </row>
    <row r="72" spans="2:2" ht="15.75" customHeight="1" x14ac:dyDescent="0.25">
      <c r="B72" s="15" t="s">
        <v>970</v>
      </c>
    </row>
    <row r="73" spans="2:2" ht="15.75" customHeight="1" x14ac:dyDescent="0.25">
      <c r="B73" s="15" t="s">
        <v>971</v>
      </c>
    </row>
    <row r="74" spans="2:2" ht="15.75" customHeight="1" x14ac:dyDescent="0.25">
      <c r="B74" s="15" t="s">
        <v>972</v>
      </c>
    </row>
    <row r="75" spans="2:2" ht="15.75" customHeight="1" x14ac:dyDescent="0.25">
      <c r="B75" s="15" t="s">
        <v>973</v>
      </c>
    </row>
    <row r="76" spans="2:2" ht="15.75" customHeight="1" x14ac:dyDescent="0.25">
      <c r="B76" s="15" t="s">
        <v>974</v>
      </c>
    </row>
    <row r="77" spans="2:2" ht="15.75" customHeight="1" x14ac:dyDescent="0.25">
      <c r="B77" s="15" t="s">
        <v>975</v>
      </c>
    </row>
    <row r="78" spans="2:2" ht="15.75" customHeight="1" x14ac:dyDescent="0.25">
      <c r="B78" s="15" t="s">
        <v>976</v>
      </c>
    </row>
    <row r="79" spans="2:2" ht="15.75" customHeight="1" x14ac:dyDescent="0.25">
      <c r="B79" s="15" t="s">
        <v>977</v>
      </c>
    </row>
    <row r="80" spans="2:2" ht="15.75" customHeight="1" x14ac:dyDescent="0.25">
      <c r="B80" s="15" t="s">
        <v>978</v>
      </c>
    </row>
    <row r="81" spans="2:2" ht="15.75" customHeight="1" x14ac:dyDescent="0.25">
      <c r="B81" s="15" t="s">
        <v>979</v>
      </c>
    </row>
    <row r="82" spans="2:2" ht="15.75" customHeight="1" x14ac:dyDescent="0.25">
      <c r="B82" s="15" t="s">
        <v>980</v>
      </c>
    </row>
    <row r="83" spans="2:2" ht="15.75" customHeight="1" x14ac:dyDescent="0.25">
      <c r="B83" s="15" t="s">
        <v>981</v>
      </c>
    </row>
    <row r="84" spans="2:2" ht="15.75" customHeight="1" x14ac:dyDescent="0.25">
      <c r="B84" s="15" t="s">
        <v>982</v>
      </c>
    </row>
    <row r="85" spans="2:2" ht="15.75" customHeight="1" x14ac:dyDescent="0.25">
      <c r="B85" s="15" t="s">
        <v>983</v>
      </c>
    </row>
    <row r="86" spans="2:2" ht="15.75" customHeight="1" x14ac:dyDescent="0.25">
      <c r="B86" s="15" t="s">
        <v>984</v>
      </c>
    </row>
    <row r="87" spans="2:2" ht="15.75" customHeight="1" x14ac:dyDescent="0.25">
      <c r="B87" s="15" t="s">
        <v>985</v>
      </c>
    </row>
    <row r="88" spans="2:2" ht="15.75" customHeight="1" x14ac:dyDescent="0.25">
      <c r="B88" s="15" t="s">
        <v>986</v>
      </c>
    </row>
    <row r="89" spans="2:2" ht="15.75" customHeight="1" x14ac:dyDescent="0.25">
      <c r="B89" s="15" t="s">
        <v>987</v>
      </c>
    </row>
    <row r="90" spans="2:2" ht="15.75" customHeight="1" x14ac:dyDescent="0.25">
      <c r="B90" s="15" t="s">
        <v>988</v>
      </c>
    </row>
    <row r="91" spans="2:2" ht="15.75" customHeight="1" x14ac:dyDescent="0.25">
      <c r="B91" s="15" t="s">
        <v>989</v>
      </c>
    </row>
    <row r="92" spans="2:2" ht="15.75" customHeight="1" x14ac:dyDescent="0.25">
      <c r="B92" s="15" t="s">
        <v>990</v>
      </c>
    </row>
    <row r="93" spans="2:2" ht="15.75" customHeight="1" x14ac:dyDescent="0.25">
      <c r="B93" s="15" t="s">
        <v>991</v>
      </c>
    </row>
    <row r="94" spans="2:2" ht="15.75" customHeight="1" x14ac:dyDescent="0.25">
      <c r="B94" s="15" t="s">
        <v>992</v>
      </c>
    </row>
    <row r="95" spans="2:2" ht="15.75" customHeight="1" x14ac:dyDescent="0.25">
      <c r="B95" s="15" t="s">
        <v>993</v>
      </c>
    </row>
    <row r="96" spans="2:2" ht="15.75" customHeight="1" x14ac:dyDescent="0.25">
      <c r="B96" s="15" t="s">
        <v>994</v>
      </c>
    </row>
    <row r="97" spans="2:2" ht="15.75" customHeight="1" x14ac:dyDescent="0.25">
      <c r="B97" s="15" t="s">
        <v>995</v>
      </c>
    </row>
    <row r="98" spans="2:2" ht="15.75" customHeight="1" x14ac:dyDescent="0.25">
      <c r="B98" s="15" t="s">
        <v>996</v>
      </c>
    </row>
    <row r="99" spans="2:2" ht="15.75" customHeight="1" x14ac:dyDescent="0.25">
      <c r="B99" s="15" t="s">
        <v>997</v>
      </c>
    </row>
    <row r="100" spans="2:2" ht="15.75" customHeight="1" x14ac:dyDescent="0.25">
      <c r="B100" s="15" t="s">
        <v>998</v>
      </c>
    </row>
    <row r="101" spans="2:2" ht="15.75" customHeight="1" x14ac:dyDescent="0.25">
      <c r="B101" s="15" t="s">
        <v>999</v>
      </c>
    </row>
    <row r="102" spans="2:2" ht="15.75" customHeight="1" x14ac:dyDescent="0.25">
      <c r="B102" s="15" t="s">
        <v>1000</v>
      </c>
    </row>
    <row r="103" spans="2:2" ht="15.75" customHeight="1" x14ac:dyDescent="0.25">
      <c r="B103" s="15" t="s">
        <v>1001</v>
      </c>
    </row>
    <row r="104" spans="2:2" ht="15.75" customHeight="1" x14ac:dyDescent="0.25">
      <c r="B104" s="15" t="s">
        <v>1002</v>
      </c>
    </row>
    <row r="105" spans="2:2" ht="15.75" customHeight="1" x14ac:dyDescent="0.25">
      <c r="B105" s="15" t="s">
        <v>1003</v>
      </c>
    </row>
    <row r="106" spans="2:2" ht="15.75" customHeight="1" x14ac:dyDescent="0.25">
      <c r="B106" s="15" t="s">
        <v>1004</v>
      </c>
    </row>
    <row r="107" spans="2:2" ht="15.75" customHeight="1" x14ac:dyDescent="0.25">
      <c r="B107" s="15" t="s">
        <v>1005</v>
      </c>
    </row>
    <row r="108" spans="2:2" ht="15.75" customHeight="1" x14ac:dyDescent="0.25">
      <c r="B108" s="15" t="s">
        <v>1006</v>
      </c>
    </row>
    <row r="109" spans="2:2" ht="15.75" customHeight="1" x14ac:dyDescent="0.25">
      <c r="B109" s="15" t="s">
        <v>1007</v>
      </c>
    </row>
    <row r="110" spans="2:2" ht="15.75" customHeight="1" x14ac:dyDescent="0.25">
      <c r="B110" s="15" t="s">
        <v>1008</v>
      </c>
    </row>
    <row r="111" spans="2:2" ht="15.75" customHeight="1" x14ac:dyDescent="0.25">
      <c r="B111" s="15" t="s">
        <v>1009</v>
      </c>
    </row>
    <row r="112" spans="2:2" ht="15.75" customHeight="1" x14ac:dyDescent="0.25">
      <c r="B112" s="15" t="s">
        <v>1010</v>
      </c>
    </row>
    <row r="113" spans="2:2" ht="15.75" customHeight="1" x14ac:dyDescent="0.25">
      <c r="B113" s="15" t="s">
        <v>1011</v>
      </c>
    </row>
    <row r="114" spans="2:2" ht="15.75" customHeight="1" x14ac:dyDescent="0.25">
      <c r="B114" s="15" t="s">
        <v>1012</v>
      </c>
    </row>
    <row r="115" spans="2:2" ht="15.75" customHeight="1" x14ac:dyDescent="0.25">
      <c r="B115" s="15" t="s">
        <v>1013</v>
      </c>
    </row>
    <row r="116" spans="2:2" ht="15.75" customHeight="1" x14ac:dyDescent="0.25">
      <c r="B116" s="15" t="s">
        <v>1014</v>
      </c>
    </row>
    <row r="117" spans="2:2" ht="15.75" customHeight="1" x14ac:dyDescent="0.25">
      <c r="B117" s="15" t="s">
        <v>1015</v>
      </c>
    </row>
    <row r="118" spans="2:2" ht="15.75" customHeight="1" x14ac:dyDescent="0.25">
      <c r="B118" s="15" t="s">
        <v>1016</v>
      </c>
    </row>
    <row r="119" spans="2:2" ht="15.75" customHeight="1" x14ac:dyDescent="0.25">
      <c r="B119" s="15" t="s">
        <v>1017</v>
      </c>
    </row>
    <row r="120" spans="2:2" ht="15.75" customHeight="1" x14ac:dyDescent="0.25">
      <c r="B120" s="15" t="s">
        <v>1018</v>
      </c>
    </row>
    <row r="121" spans="2:2" ht="15.75" customHeight="1" x14ac:dyDescent="0.25">
      <c r="B121" s="15" t="s">
        <v>1019</v>
      </c>
    </row>
    <row r="122" spans="2:2" ht="15.75" customHeight="1" x14ac:dyDescent="0.25">
      <c r="B122" s="15" t="s">
        <v>1020</v>
      </c>
    </row>
    <row r="123" spans="2:2" ht="15.75" customHeight="1" x14ac:dyDescent="0.25">
      <c r="B123" s="11" t="s">
        <v>1021</v>
      </c>
    </row>
    <row r="124" spans="2:2" ht="15.75" customHeight="1" x14ac:dyDescent="0.25">
      <c r="B124" s="15" t="s">
        <v>1022</v>
      </c>
    </row>
    <row r="125" spans="2:2" ht="15.75" customHeight="1" x14ac:dyDescent="0.25">
      <c r="B125" s="15" t="s">
        <v>1023</v>
      </c>
    </row>
    <row r="126" spans="2:2" ht="15.75" customHeight="1" x14ac:dyDescent="0.25">
      <c r="B126" s="15" t="s">
        <v>1024</v>
      </c>
    </row>
    <row r="127" spans="2:2" ht="15.75" customHeight="1" x14ac:dyDescent="0.25">
      <c r="B127" s="15" t="s">
        <v>1025</v>
      </c>
    </row>
    <row r="128" spans="2:2" ht="15.75" customHeight="1" x14ac:dyDescent="0.25">
      <c r="B128" s="15" t="s">
        <v>1026</v>
      </c>
    </row>
    <row r="129" spans="2:2" ht="15.75" customHeight="1" x14ac:dyDescent="0.25">
      <c r="B129" s="15" t="s">
        <v>1027</v>
      </c>
    </row>
    <row r="130" spans="2:2" ht="15.75" customHeight="1" x14ac:dyDescent="0.25">
      <c r="B130" s="15" t="s">
        <v>1028</v>
      </c>
    </row>
    <row r="131" spans="2:2" ht="15.75" customHeight="1" x14ac:dyDescent="0.25">
      <c r="B131" s="15" t="s">
        <v>1029</v>
      </c>
    </row>
    <row r="132" spans="2:2" ht="15.75" customHeight="1" x14ac:dyDescent="0.25">
      <c r="B132" s="15" t="s">
        <v>1030</v>
      </c>
    </row>
    <row r="133" spans="2:2" ht="15.75" customHeight="1" x14ac:dyDescent="0.25">
      <c r="B133" s="15" t="s">
        <v>1031</v>
      </c>
    </row>
    <row r="134" spans="2:2" ht="15.75" customHeight="1" x14ac:dyDescent="0.25">
      <c r="B134" s="15" t="s">
        <v>1032</v>
      </c>
    </row>
    <row r="135" spans="2:2" ht="15.75" customHeight="1" x14ac:dyDescent="0.25">
      <c r="B135" s="15" t="s">
        <v>1033</v>
      </c>
    </row>
    <row r="136" spans="2:2" ht="15.75" customHeight="1" x14ac:dyDescent="0.25">
      <c r="B136" s="15" t="s">
        <v>1034</v>
      </c>
    </row>
    <row r="137" spans="2:2" ht="15.75" customHeight="1" x14ac:dyDescent="0.25">
      <c r="B137" s="15" t="s">
        <v>1035</v>
      </c>
    </row>
    <row r="138" spans="2:2" ht="15.75" customHeight="1" x14ac:dyDescent="0.25">
      <c r="B138" s="11" t="s">
        <v>1036</v>
      </c>
    </row>
    <row r="139" spans="2:2" ht="15.75" customHeight="1" x14ac:dyDescent="0.25">
      <c r="B139" s="15" t="s">
        <v>1037</v>
      </c>
    </row>
    <row r="140" spans="2:2" ht="15.75" customHeight="1" x14ac:dyDescent="0.25">
      <c r="B140" s="15" t="s">
        <v>1038</v>
      </c>
    </row>
    <row r="141" spans="2:2" ht="15.75" customHeight="1" x14ac:dyDescent="0.25">
      <c r="B141" s="15" t="s">
        <v>1039</v>
      </c>
    </row>
    <row r="142" spans="2:2" ht="15.75" customHeight="1" x14ac:dyDescent="0.25">
      <c r="B142" s="15" t="s">
        <v>1040</v>
      </c>
    </row>
    <row r="143" spans="2:2" ht="15.75" customHeight="1" x14ac:dyDescent="0.25">
      <c r="B143" s="15" t="s">
        <v>1041</v>
      </c>
    </row>
    <row r="144" spans="2:2" ht="15.75" customHeight="1" x14ac:dyDescent="0.25">
      <c r="B144" s="15" t="s">
        <v>1042</v>
      </c>
    </row>
    <row r="145" spans="2:2" ht="15.75" customHeight="1" x14ac:dyDescent="0.25">
      <c r="B145" s="15" t="s">
        <v>1043</v>
      </c>
    </row>
    <row r="146" spans="2:2" ht="15.75" customHeight="1" x14ac:dyDescent="0.25">
      <c r="B146" s="15" t="s">
        <v>1044</v>
      </c>
    </row>
    <row r="147" spans="2:2" ht="15.75" customHeight="1" x14ac:dyDescent="0.25">
      <c r="B147" s="15" t="s">
        <v>1045</v>
      </c>
    </row>
    <row r="148" spans="2:2" ht="15.75" customHeight="1" x14ac:dyDescent="0.25">
      <c r="B148" s="15" t="s">
        <v>1046</v>
      </c>
    </row>
    <row r="149" spans="2:2" ht="15.75" customHeight="1" x14ac:dyDescent="0.25">
      <c r="B149" s="15" t="s">
        <v>205</v>
      </c>
    </row>
    <row r="150" spans="2:2" ht="15.75" customHeight="1" x14ac:dyDescent="0.25">
      <c r="B150" s="15" t="s">
        <v>1047</v>
      </c>
    </row>
    <row r="151" spans="2:2" ht="15.75" customHeight="1" x14ac:dyDescent="0.25">
      <c r="B151" s="15" t="s">
        <v>1048</v>
      </c>
    </row>
    <row r="152" spans="2:2" ht="15.75" customHeight="1" x14ac:dyDescent="0.25">
      <c r="B152" s="15" t="s">
        <v>1049</v>
      </c>
    </row>
    <row r="153" spans="2:2" ht="15.75" customHeight="1" x14ac:dyDescent="0.25">
      <c r="B153" s="15" t="s">
        <v>1050</v>
      </c>
    </row>
    <row r="154" spans="2:2" ht="15.75" customHeight="1" x14ac:dyDescent="0.25">
      <c r="B154" s="15" t="s">
        <v>1051</v>
      </c>
    </row>
    <row r="155" spans="2:2" ht="15.75" customHeight="1" x14ac:dyDescent="0.25">
      <c r="B155" s="15" t="s">
        <v>1052</v>
      </c>
    </row>
    <row r="156" spans="2:2" ht="15.75" customHeight="1" x14ac:dyDescent="0.25">
      <c r="B156" s="15" t="s">
        <v>1053</v>
      </c>
    </row>
    <row r="157" spans="2:2" ht="15.75" customHeight="1" x14ac:dyDescent="0.25">
      <c r="B157" s="15" t="s">
        <v>1054</v>
      </c>
    </row>
    <row r="158" spans="2:2" ht="15.75" customHeight="1" x14ac:dyDescent="0.25">
      <c r="B158" s="15" t="s">
        <v>1055</v>
      </c>
    </row>
    <row r="159" spans="2:2" ht="15.75" customHeight="1" x14ac:dyDescent="0.25">
      <c r="B159" s="15" t="s">
        <v>196</v>
      </c>
    </row>
    <row r="160" spans="2:2" ht="15.75" customHeight="1" x14ac:dyDescent="0.25">
      <c r="B160" s="15" t="s">
        <v>1056</v>
      </c>
    </row>
    <row r="161" spans="2:2" ht="15.75" customHeight="1" x14ac:dyDescent="0.25">
      <c r="B161" s="15" t="s">
        <v>201</v>
      </c>
    </row>
    <row r="162" spans="2:2" ht="15.75" customHeight="1" x14ac:dyDescent="0.25">
      <c r="B162" s="15" t="s">
        <v>221</v>
      </c>
    </row>
    <row r="163" spans="2:2" ht="15.75" customHeight="1" x14ac:dyDescent="0.25">
      <c r="B163" s="15" t="s">
        <v>1057</v>
      </c>
    </row>
    <row r="164" spans="2:2" ht="15.75" customHeight="1" x14ac:dyDescent="0.25">
      <c r="B164" s="15" t="s">
        <v>1058</v>
      </c>
    </row>
    <row r="165" spans="2:2" ht="15.75" customHeight="1" x14ac:dyDescent="0.25">
      <c r="B165" s="15" t="s">
        <v>1059</v>
      </c>
    </row>
    <row r="166" spans="2:2" ht="15.75" customHeight="1" x14ac:dyDescent="0.25">
      <c r="B166" s="15" t="s">
        <v>1060</v>
      </c>
    </row>
    <row r="167" spans="2:2" ht="15.75" customHeight="1" x14ac:dyDescent="0.25">
      <c r="B167" s="15" t="s">
        <v>1061</v>
      </c>
    </row>
    <row r="168" spans="2:2" ht="15.75" customHeight="1" x14ac:dyDescent="0.25">
      <c r="B168" s="15" t="s">
        <v>1062</v>
      </c>
    </row>
    <row r="169" spans="2:2" ht="15.75" customHeight="1" x14ac:dyDescent="0.25">
      <c r="B169" s="15" t="s">
        <v>1063</v>
      </c>
    </row>
    <row r="170" spans="2:2" ht="15.75" customHeight="1" x14ac:dyDescent="0.25">
      <c r="B170" s="15" t="s">
        <v>69</v>
      </c>
    </row>
    <row r="171" spans="2:2" ht="15.75" customHeight="1" x14ac:dyDescent="0.25">
      <c r="B171" s="15" t="s">
        <v>1064</v>
      </c>
    </row>
    <row r="172" spans="2:2" ht="15.75" customHeight="1" x14ac:dyDescent="0.25">
      <c r="B172" s="15" t="s">
        <v>1065</v>
      </c>
    </row>
    <row r="173" spans="2:2" ht="15.75" customHeight="1" x14ac:dyDescent="0.25">
      <c r="B173" s="15" t="s">
        <v>1066</v>
      </c>
    </row>
    <row r="174" spans="2:2" ht="15.75" customHeight="1" x14ac:dyDescent="0.25">
      <c r="B174" s="15" t="s">
        <v>1067</v>
      </c>
    </row>
    <row r="175" spans="2:2" ht="15.75" customHeight="1" x14ac:dyDescent="0.25">
      <c r="B175" s="15" t="s">
        <v>1068</v>
      </c>
    </row>
    <row r="176" spans="2:2" ht="15.75" customHeight="1" x14ac:dyDescent="0.25">
      <c r="B176" s="15" t="s">
        <v>1069</v>
      </c>
    </row>
    <row r="177" spans="2:2" ht="15.75" customHeight="1" x14ac:dyDescent="0.25">
      <c r="B177" s="15" t="s">
        <v>1070</v>
      </c>
    </row>
    <row r="178" spans="2:2" ht="15.75" customHeight="1" x14ac:dyDescent="0.25">
      <c r="B178" s="15" t="s">
        <v>1071</v>
      </c>
    </row>
    <row r="179" spans="2:2" ht="15.75" customHeight="1" x14ac:dyDescent="0.25">
      <c r="B179" s="15" t="s">
        <v>1072</v>
      </c>
    </row>
    <row r="180" spans="2:2" ht="15.75" customHeight="1" x14ac:dyDescent="0.25">
      <c r="B180" s="15" t="s">
        <v>1073</v>
      </c>
    </row>
    <row r="181" spans="2:2" ht="15.75" customHeight="1" x14ac:dyDescent="0.25">
      <c r="B181" s="15" t="s">
        <v>1074</v>
      </c>
    </row>
    <row r="182" spans="2:2" ht="15.75" customHeight="1" x14ac:dyDescent="0.25">
      <c r="B182" s="15" t="s">
        <v>1075</v>
      </c>
    </row>
    <row r="183" spans="2:2" ht="15.75" customHeight="1" x14ac:dyDescent="0.25">
      <c r="B183" s="15" t="s">
        <v>1076</v>
      </c>
    </row>
    <row r="184" spans="2:2" ht="15.75" customHeight="1" x14ac:dyDescent="0.25">
      <c r="B184" s="15" t="s">
        <v>1077</v>
      </c>
    </row>
    <row r="185" spans="2:2" ht="15.75" customHeight="1" x14ac:dyDescent="0.25">
      <c r="B185" s="15" t="s">
        <v>1078</v>
      </c>
    </row>
    <row r="186" spans="2:2" ht="15.75" customHeight="1" x14ac:dyDescent="0.25">
      <c r="B186" s="15" t="s">
        <v>1079</v>
      </c>
    </row>
    <row r="187" spans="2:2" ht="15.75" customHeight="1" x14ac:dyDescent="0.25">
      <c r="B187" s="11" t="s">
        <v>408</v>
      </c>
    </row>
    <row r="188" spans="2:2" ht="15.75" customHeight="1" x14ac:dyDescent="0.25">
      <c r="B188" s="15" t="s">
        <v>1080</v>
      </c>
    </row>
    <row r="189" spans="2:2" ht="15.75" customHeight="1" x14ac:dyDescent="0.25">
      <c r="B189" s="15" t="s">
        <v>1081</v>
      </c>
    </row>
    <row r="190" spans="2:2" ht="15.75" customHeight="1" x14ac:dyDescent="0.25">
      <c r="B190" s="15" t="s">
        <v>1082</v>
      </c>
    </row>
    <row r="191" spans="2:2" ht="15.75" customHeight="1" x14ac:dyDescent="0.25">
      <c r="B191" s="15" t="s">
        <v>1083</v>
      </c>
    </row>
    <row r="192" spans="2:2" ht="15.75" customHeight="1" x14ac:dyDescent="0.25">
      <c r="B192" s="15" t="s">
        <v>1084</v>
      </c>
    </row>
    <row r="193" spans="2:2" ht="15.75" customHeight="1" x14ac:dyDescent="0.25">
      <c r="B193" s="15" t="s">
        <v>1085</v>
      </c>
    </row>
    <row r="194" spans="2:2" ht="15.75" customHeight="1" x14ac:dyDescent="0.25">
      <c r="B194" s="15" t="s">
        <v>1086</v>
      </c>
    </row>
    <row r="195" spans="2:2" ht="15.75" customHeight="1" x14ac:dyDescent="0.25">
      <c r="B195" s="15" t="s">
        <v>1087</v>
      </c>
    </row>
    <row r="196" spans="2:2" ht="15.75" customHeight="1" x14ac:dyDescent="0.25">
      <c r="B196" s="15" t="s">
        <v>1088</v>
      </c>
    </row>
    <row r="197" spans="2:2" ht="15.75" customHeight="1" x14ac:dyDescent="0.25">
      <c r="B197" s="15" t="s">
        <v>1089</v>
      </c>
    </row>
    <row r="198" spans="2:2" ht="15.75" customHeight="1" x14ac:dyDescent="0.25">
      <c r="B198" s="15" t="s">
        <v>1090</v>
      </c>
    </row>
    <row r="199" spans="2:2" ht="15.75" customHeight="1" x14ac:dyDescent="0.25">
      <c r="B199" s="15" t="s">
        <v>545</v>
      </c>
    </row>
    <row r="200" spans="2:2" ht="15.75" customHeight="1" x14ac:dyDescent="0.25">
      <c r="B200" s="15" t="s">
        <v>64</v>
      </c>
    </row>
    <row r="201" spans="2:2" ht="15.75" customHeight="1" x14ac:dyDescent="0.25">
      <c r="B201" s="15" t="s">
        <v>153</v>
      </c>
    </row>
    <row r="202" spans="2:2" ht="15.75" customHeight="1" x14ac:dyDescent="0.25">
      <c r="B202" s="15" t="s">
        <v>76</v>
      </c>
    </row>
    <row r="203" spans="2:2" ht="15.75" customHeight="1" x14ac:dyDescent="0.25">
      <c r="B203" s="15" t="s">
        <v>147</v>
      </c>
    </row>
    <row r="204" spans="2:2" ht="15.75" customHeight="1" x14ac:dyDescent="0.25">
      <c r="B204" s="15" t="s">
        <v>1091</v>
      </c>
    </row>
    <row r="205" spans="2:2" ht="15.75" customHeight="1" x14ac:dyDescent="0.25">
      <c r="B205" s="15" t="s">
        <v>1092</v>
      </c>
    </row>
    <row r="206" spans="2:2" ht="15.75" customHeight="1" x14ac:dyDescent="0.25">
      <c r="B206" s="15" t="s">
        <v>1093</v>
      </c>
    </row>
    <row r="207" spans="2:2" ht="15.75" customHeight="1" x14ac:dyDescent="0.25">
      <c r="B207" s="15" t="s">
        <v>1094</v>
      </c>
    </row>
    <row r="208" spans="2:2" ht="15.75" customHeight="1" x14ac:dyDescent="0.25">
      <c r="B208" s="15" t="s">
        <v>1095</v>
      </c>
    </row>
    <row r="209" spans="2:2" ht="15.75" customHeight="1" x14ac:dyDescent="0.25">
      <c r="B209" s="15" t="s">
        <v>1096</v>
      </c>
    </row>
    <row r="210" spans="2:2" ht="15.75" customHeight="1" x14ac:dyDescent="0.25">
      <c r="B210" s="15" t="s">
        <v>1097</v>
      </c>
    </row>
    <row r="211" spans="2:2" ht="15.75" customHeight="1" x14ac:dyDescent="0.25">
      <c r="B211" s="15" t="s">
        <v>1098</v>
      </c>
    </row>
    <row r="212" spans="2:2" ht="15.75" customHeight="1" x14ac:dyDescent="0.25">
      <c r="B212" s="15" t="s">
        <v>1099</v>
      </c>
    </row>
    <row r="213" spans="2:2" ht="15.75" customHeight="1" x14ac:dyDescent="0.25">
      <c r="B213" s="15" t="s">
        <v>1100</v>
      </c>
    </row>
    <row r="214" spans="2:2" ht="15.75" customHeight="1" x14ac:dyDescent="0.25">
      <c r="B214" s="15" t="s">
        <v>1101</v>
      </c>
    </row>
    <row r="215" spans="2:2" ht="15.75" customHeight="1" x14ac:dyDescent="0.25">
      <c r="B215" s="15" t="s">
        <v>1102</v>
      </c>
    </row>
    <row r="216" spans="2:2" ht="15.75" customHeight="1" x14ac:dyDescent="0.25">
      <c r="B216" s="15" t="s">
        <v>1103</v>
      </c>
    </row>
    <row r="217" spans="2:2" ht="15.75" customHeight="1" x14ac:dyDescent="0.25">
      <c r="B217" s="15" t="s">
        <v>1104</v>
      </c>
    </row>
    <row r="218" spans="2:2" ht="15.75" customHeight="1" x14ac:dyDescent="0.25">
      <c r="B218" s="15" t="s">
        <v>1105</v>
      </c>
    </row>
    <row r="219" spans="2:2" ht="15.75" customHeight="1" x14ac:dyDescent="0.25">
      <c r="B219" s="15" t="s">
        <v>1106</v>
      </c>
    </row>
    <row r="220" spans="2:2" ht="15.75" customHeight="1" x14ac:dyDescent="0.25">
      <c r="B220" s="15" t="s">
        <v>1107</v>
      </c>
    </row>
    <row r="221" spans="2:2" ht="15.75" customHeight="1" x14ac:dyDescent="0.25">
      <c r="B221" s="15" t="s">
        <v>1108</v>
      </c>
    </row>
    <row r="222" spans="2:2" ht="15.75" customHeight="1" x14ac:dyDescent="0.25">
      <c r="B222" s="15" t="s">
        <v>1109</v>
      </c>
    </row>
    <row r="223" spans="2:2" ht="15.75" customHeight="1" x14ac:dyDescent="0.25">
      <c r="B223" s="15" t="s">
        <v>1110</v>
      </c>
    </row>
    <row r="224" spans="2: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B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" spans="2:2" x14ac:dyDescent="0.25">
      <c r="B2" s="15" t="s">
        <v>1111</v>
      </c>
    </row>
    <row r="4" spans="2:2" x14ac:dyDescent="0.25">
      <c r="B4" s="35" t="s">
        <v>1112</v>
      </c>
    </row>
    <row r="5" spans="2:2" x14ac:dyDescent="0.25">
      <c r="B5" s="15" t="s">
        <v>1113</v>
      </c>
    </row>
    <row r="6" spans="2:2" x14ac:dyDescent="0.25">
      <c r="B6" s="15" t="s">
        <v>1114</v>
      </c>
    </row>
    <row r="7" spans="2:2" x14ac:dyDescent="0.25">
      <c r="B7" s="15" t="s">
        <v>1115</v>
      </c>
    </row>
    <row r="8" spans="2:2" x14ac:dyDescent="0.25">
      <c r="B8" s="15" t="s">
        <v>1116</v>
      </c>
    </row>
    <row r="9" spans="2:2" x14ac:dyDescent="0.25">
      <c r="B9" s="15" t="s">
        <v>1117</v>
      </c>
    </row>
    <row r="10" spans="2:2" x14ac:dyDescent="0.25">
      <c r="B10" s="15" t="s">
        <v>1118</v>
      </c>
    </row>
    <row r="11" spans="2:2" x14ac:dyDescent="0.25">
      <c r="B11" s="15" t="s">
        <v>1119</v>
      </c>
    </row>
    <row r="12" spans="2:2" x14ac:dyDescent="0.25">
      <c r="B12" s="15" t="s">
        <v>1120</v>
      </c>
    </row>
    <row r="13" spans="2:2" x14ac:dyDescent="0.25">
      <c r="B13" s="15" t="s">
        <v>1121</v>
      </c>
    </row>
    <row r="14" spans="2:2" x14ac:dyDescent="0.25">
      <c r="B14" s="15" t="s">
        <v>1122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/>
  </sheetViews>
  <sheetFormatPr defaultRowHeight="15" x14ac:dyDescent="0.25"/>
  <cols>
    <col min="1" max="1" width="28" customWidth="1"/>
    <col min="3" max="3" width="28" customWidth="1"/>
    <col min="4" max="4" width="12" customWidth="1"/>
    <col min="5" max="5" width="40" customWidth="1"/>
  </cols>
  <sheetData>
    <row r="1" spans="1:5" x14ac:dyDescent="0.25">
      <c r="A1" s="48" t="s">
        <v>1123</v>
      </c>
      <c r="B1" s="48" t="s">
        <v>52</v>
      </c>
      <c r="C1" s="48" t="s">
        <v>1124</v>
      </c>
      <c r="D1" s="48" t="s">
        <v>1125</v>
      </c>
      <c r="E1" s="48" t="s">
        <v>1126</v>
      </c>
    </row>
    <row r="2" spans="1:5" x14ac:dyDescent="0.25">
      <c r="A2" t="s">
        <v>1127</v>
      </c>
      <c r="B2" t="s">
        <v>1128</v>
      </c>
      <c r="C2" t="s">
        <v>1129</v>
      </c>
      <c r="D2" t="s">
        <v>1130</v>
      </c>
      <c r="E2" t="s">
        <v>1131</v>
      </c>
    </row>
    <row r="3" spans="1:5" x14ac:dyDescent="0.25">
      <c r="A3" t="s">
        <v>1132</v>
      </c>
      <c r="B3" t="s">
        <v>1133</v>
      </c>
      <c r="C3" t="s">
        <v>726</v>
      </c>
      <c r="D3" t="s">
        <v>1130</v>
      </c>
      <c r="E3" t="s">
        <v>1134</v>
      </c>
    </row>
    <row r="4" spans="1:5" x14ac:dyDescent="0.25">
      <c r="A4" t="s">
        <v>769</v>
      </c>
      <c r="B4" t="s">
        <v>1135</v>
      </c>
      <c r="C4" t="s">
        <v>1136</v>
      </c>
      <c r="D4" t="s">
        <v>1137</v>
      </c>
      <c r="E4" t="s">
        <v>1131</v>
      </c>
    </row>
    <row r="5" spans="1:5" x14ac:dyDescent="0.25">
      <c r="A5" t="s">
        <v>733</v>
      </c>
      <c r="B5" t="s">
        <v>1138</v>
      </c>
      <c r="C5" t="s">
        <v>1139</v>
      </c>
      <c r="D5" t="s">
        <v>1137</v>
      </c>
      <c r="E5" t="s">
        <v>1131</v>
      </c>
    </row>
    <row r="6" spans="1:5" x14ac:dyDescent="0.25">
      <c r="A6" t="s">
        <v>1140</v>
      </c>
      <c r="B6" t="s">
        <v>1141</v>
      </c>
      <c r="C6" t="s">
        <v>1142</v>
      </c>
      <c r="D6" t="s">
        <v>1137</v>
      </c>
      <c r="E6" t="s">
        <v>1143</v>
      </c>
    </row>
    <row r="7" spans="1:5" x14ac:dyDescent="0.25">
      <c r="A7" t="s">
        <v>1144</v>
      </c>
      <c r="B7" t="s">
        <v>1145</v>
      </c>
      <c r="C7" t="s">
        <v>1146</v>
      </c>
      <c r="D7" t="s">
        <v>1137</v>
      </c>
      <c r="E7" t="s">
        <v>1147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995"/>
  <sheetViews>
    <sheetView zoomScale="64" workbookViewId="0">
      <pane ySplit="1" topLeftCell="A251" activePane="bottomLeft" state="frozen"/>
      <selection pane="bottomLeft" activeCell="L274" sqref="L274:N274"/>
    </sheetView>
  </sheetViews>
  <sheetFormatPr defaultColWidth="14.42578125" defaultRowHeight="15" customHeight="1" x14ac:dyDescent="0.25"/>
  <cols>
    <col min="1" max="1" width="10.42578125" customWidth="1"/>
    <col min="2" max="3" width="11.7109375" customWidth="1"/>
    <col min="4" max="4" width="20" customWidth="1"/>
    <col min="5" max="5" width="11.28515625" customWidth="1"/>
    <col min="6" max="6" width="14.28515625" customWidth="1"/>
    <col min="7" max="7" width="14.85546875" customWidth="1"/>
    <col min="8" max="9" width="15.5703125" customWidth="1"/>
    <col min="10" max="11" width="13.140625" customWidth="1"/>
    <col min="12" max="12" width="29.85546875" customWidth="1"/>
    <col min="13" max="13" width="32.28515625" customWidth="1"/>
    <col min="14" max="14" width="28.42578125" customWidth="1"/>
    <col min="15" max="15" width="39.28515625" customWidth="1"/>
    <col min="16" max="26" width="9.140625" customWidth="1"/>
  </cols>
  <sheetData>
    <row r="1" spans="1:26" ht="30" customHeight="1" x14ac:dyDescent="0.25">
      <c r="A1" s="36" t="s">
        <v>1148</v>
      </c>
      <c r="B1" s="36" t="s">
        <v>1149</v>
      </c>
      <c r="C1" s="36" t="s">
        <v>1150</v>
      </c>
      <c r="D1" s="36" t="s">
        <v>1151</v>
      </c>
      <c r="E1" s="36" t="s">
        <v>1152</v>
      </c>
      <c r="F1" s="36" t="s">
        <v>1153</v>
      </c>
      <c r="G1" s="36" t="s">
        <v>1154</v>
      </c>
      <c r="H1" s="36" t="s">
        <v>1155</v>
      </c>
      <c r="I1" s="36" t="s">
        <v>61</v>
      </c>
      <c r="J1" s="36" t="s">
        <v>8</v>
      </c>
      <c r="K1" s="36" t="s">
        <v>1156</v>
      </c>
      <c r="L1" s="36" t="s">
        <v>1157</v>
      </c>
      <c r="M1" s="36" t="s">
        <v>1158</v>
      </c>
      <c r="N1" s="36" t="s">
        <v>1159</v>
      </c>
      <c r="O1" s="37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x14ac:dyDescent="0.25">
      <c r="A2" s="28">
        <v>1</v>
      </c>
      <c r="B2" s="39" t="s">
        <v>1160</v>
      </c>
      <c r="C2" s="39" t="s">
        <v>1161</v>
      </c>
      <c r="D2" s="39" t="s">
        <v>1162</v>
      </c>
      <c r="E2" s="40">
        <v>43651</v>
      </c>
      <c r="F2" s="39" t="s">
        <v>1163</v>
      </c>
      <c r="G2" s="40" t="s">
        <v>1164</v>
      </c>
      <c r="H2" s="39" t="s">
        <v>1165</v>
      </c>
      <c r="I2" s="39" t="s">
        <v>1165</v>
      </c>
      <c r="J2" s="39" t="s">
        <v>1166</v>
      </c>
      <c r="K2" s="39" t="s">
        <v>1167</v>
      </c>
      <c r="L2" s="39" t="s">
        <v>1168</v>
      </c>
      <c r="M2" s="39" t="s">
        <v>1169</v>
      </c>
      <c r="N2" s="39" t="s">
        <v>1170</v>
      </c>
      <c r="O2" s="41" t="str">
        <f t="shared" ref="O2:O65" si="0">B2&amp;" "&amp;C2</f>
        <v>Tameem Hourani</v>
      </c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x14ac:dyDescent="0.25">
      <c r="A3" s="28">
        <v>2</v>
      </c>
      <c r="B3" s="39" t="s">
        <v>1171</v>
      </c>
      <c r="C3" s="39" t="s">
        <v>1172</v>
      </c>
      <c r="D3" s="39" t="s">
        <v>1173</v>
      </c>
      <c r="E3" s="40">
        <v>43647</v>
      </c>
      <c r="F3" s="39" t="s">
        <v>1163</v>
      </c>
      <c r="G3" s="40" t="s">
        <v>1174</v>
      </c>
      <c r="H3" s="39" t="s">
        <v>1175</v>
      </c>
      <c r="I3" s="39" t="s">
        <v>1176</v>
      </c>
      <c r="J3" s="39" t="s">
        <v>1177</v>
      </c>
      <c r="K3" s="39" t="s">
        <v>1178</v>
      </c>
      <c r="L3" s="39" t="s">
        <v>683</v>
      </c>
      <c r="M3" s="39" t="s">
        <v>1179</v>
      </c>
      <c r="N3" s="39" t="s">
        <v>1180</v>
      </c>
      <c r="O3" s="41" t="str">
        <f t="shared" si="0"/>
        <v>Jon Giara</v>
      </c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x14ac:dyDescent="0.25">
      <c r="A4" s="28">
        <v>3</v>
      </c>
      <c r="B4" s="39" t="s">
        <v>1181</v>
      </c>
      <c r="C4" s="39" t="s">
        <v>1182</v>
      </c>
      <c r="D4" s="39" t="s">
        <v>1183</v>
      </c>
      <c r="E4" s="40">
        <v>43773</v>
      </c>
      <c r="F4" s="39" t="s">
        <v>1163</v>
      </c>
      <c r="G4" s="40" t="s">
        <v>1174</v>
      </c>
      <c r="H4" s="39" t="s">
        <v>1175</v>
      </c>
      <c r="I4" s="39" t="s">
        <v>1184</v>
      </c>
      <c r="J4" s="39" t="s">
        <v>1166</v>
      </c>
      <c r="K4" s="39" t="s">
        <v>1167</v>
      </c>
      <c r="L4" s="39" t="s">
        <v>680</v>
      </c>
      <c r="M4" s="39" t="s">
        <v>1185</v>
      </c>
      <c r="N4" s="39" t="s">
        <v>1186</v>
      </c>
      <c r="O4" s="41" t="str">
        <f t="shared" si="0"/>
        <v>Connor Brackett</v>
      </c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x14ac:dyDescent="0.25">
      <c r="A5" s="28">
        <v>4</v>
      </c>
      <c r="B5" s="39" t="s">
        <v>1187</v>
      </c>
      <c r="C5" s="39" t="s">
        <v>1188</v>
      </c>
      <c r="D5" s="39" t="s">
        <v>1189</v>
      </c>
      <c r="E5" s="40">
        <v>43754</v>
      </c>
      <c r="F5" s="39" t="s">
        <v>1163</v>
      </c>
      <c r="G5" s="40" t="s">
        <v>1190</v>
      </c>
      <c r="H5" s="39" t="s">
        <v>1175</v>
      </c>
      <c r="I5" s="39" t="s">
        <v>1176</v>
      </c>
      <c r="J5" s="39" t="s">
        <v>1166</v>
      </c>
      <c r="K5" s="39" t="s">
        <v>1178</v>
      </c>
      <c r="L5" s="39" t="s">
        <v>683</v>
      </c>
      <c r="M5" s="39" t="s">
        <v>1179</v>
      </c>
      <c r="N5" s="39" t="s">
        <v>1180</v>
      </c>
      <c r="O5" s="41" t="str">
        <f t="shared" si="0"/>
        <v>Jeff Mu</v>
      </c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x14ac:dyDescent="0.25">
      <c r="A6" s="28">
        <v>5</v>
      </c>
      <c r="B6" s="39" t="s">
        <v>1191</v>
      </c>
      <c r="C6" s="39" t="s">
        <v>1192</v>
      </c>
      <c r="D6" s="39" t="s">
        <v>1193</v>
      </c>
      <c r="E6" s="40">
        <v>43871</v>
      </c>
      <c r="F6" s="39" t="s">
        <v>1194</v>
      </c>
      <c r="G6" s="40" t="s">
        <v>1195</v>
      </c>
      <c r="H6" s="39" t="s">
        <v>1196</v>
      </c>
      <c r="I6" s="39"/>
      <c r="J6" s="39" t="s">
        <v>1177</v>
      </c>
      <c r="K6" s="39"/>
      <c r="L6" s="39" t="s">
        <v>687</v>
      </c>
      <c r="M6" s="39" t="s">
        <v>1179</v>
      </c>
      <c r="N6" s="39" t="s">
        <v>1180</v>
      </c>
      <c r="O6" s="41" t="str">
        <f t="shared" si="0"/>
        <v>James Craveiro</v>
      </c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x14ac:dyDescent="0.25">
      <c r="A7" s="28">
        <v>6</v>
      </c>
      <c r="B7" s="39" t="s">
        <v>1197</v>
      </c>
      <c r="C7" s="39" t="s">
        <v>1198</v>
      </c>
      <c r="D7" s="39" t="s">
        <v>1199</v>
      </c>
      <c r="E7" s="40">
        <v>43857</v>
      </c>
      <c r="F7" s="39" t="s">
        <v>1194</v>
      </c>
      <c r="G7" s="40" t="s">
        <v>1200</v>
      </c>
      <c r="H7" s="39" t="s">
        <v>1196</v>
      </c>
      <c r="I7" s="39"/>
      <c r="J7" s="39" t="s">
        <v>1177</v>
      </c>
      <c r="K7" s="39"/>
      <c r="L7" s="39" t="s">
        <v>687</v>
      </c>
      <c r="M7" s="39" t="s">
        <v>1179</v>
      </c>
      <c r="N7" s="39" t="s">
        <v>1180</v>
      </c>
      <c r="O7" s="41" t="str">
        <f t="shared" si="0"/>
        <v>Kristopher Borodiansky</v>
      </c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x14ac:dyDescent="0.25">
      <c r="A8" s="28">
        <v>7</v>
      </c>
      <c r="B8" s="39" t="s">
        <v>1201</v>
      </c>
      <c r="C8" s="39" t="s">
        <v>1202</v>
      </c>
      <c r="D8" s="39" t="s">
        <v>1203</v>
      </c>
      <c r="E8" s="40">
        <v>43885</v>
      </c>
      <c r="F8" s="39" t="s">
        <v>1163</v>
      </c>
      <c r="G8" s="40" t="s">
        <v>1204</v>
      </c>
      <c r="H8" s="39" t="s">
        <v>1165</v>
      </c>
      <c r="I8" s="39" t="s">
        <v>1205</v>
      </c>
      <c r="J8" s="39" t="s">
        <v>1177</v>
      </c>
      <c r="K8" s="39" t="s">
        <v>1178</v>
      </c>
      <c r="L8" s="39" t="s">
        <v>1168</v>
      </c>
      <c r="M8" s="39" t="s">
        <v>1179</v>
      </c>
      <c r="N8" s="39" t="s">
        <v>1180</v>
      </c>
      <c r="O8" s="41" t="str">
        <f t="shared" si="0"/>
        <v>Erik Williams</v>
      </c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x14ac:dyDescent="0.25">
      <c r="A9" s="28">
        <v>8</v>
      </c>
      <c r="B9" s="39" t="s">
        <v>1206</v>
      </c>
      <c r="C9" s="39" t="s">
        <v>1207</v>
      </c>
      <c r="D9" s="39" t="s">
        <v>1208</v>
      </c>
      <c r="E9" s="40">
        <v>43906</v>
      </c>
      <c r="F9" s="39" t="s">
        <v>1163</v>
      </c>
      <c r="G9" s="40" t="s">
        <v>1209</v>
      </c>
      <c r="H9" s="39" t="s">
        <v>1196</v>
      </c>
      <c r="I9" s="39" t="s">
        <v>1184</v>
      </c>
      <c r="J9" s="39" t="s">
        <v>1166</v>
      </c>
      <c r="K9" s="39" t="s">
        <v>1167</v>
      </c>
      <c r="L9" s="39" t="s">
        <v>687</v>
      </c>
      <c r="M9" s="39" t="s">
        <v>1179</v>
      </c>
      <c r="N9" s="39" t="s">
        <v>1180</v>
      </c>
      <c r="O9" s="41" t="str">
        <f t="shared" si="0"/>
        <v>Logan Rohloff</v>
      </c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x14ac:dyDescent="0.25">
      <c r="A10" s="28">
        <v>9</v>
      </c>
      <c r="B10" s="39" t="s">
        <v>1210</v>
      </c>
      <c r="C10" s="39" t="s">
        <v>1211</v>
      </c>
      <c r="D10" s="39" t="s">
        <v>1212</v>
      </c>
      <c r="E10" s="40">
        <v>43927</v>
      </c>
      <c r="F10" s="39" t="s">
        <v>1163</v>
      </c>
      <c r="G10" s="40" t="s">
        <v>1213</v>
      </c>
      <c r="H10" s="39" t="s">
        <v>1175</v>
      </c>
      <c r="I10" s="39" t="s">
        <v>1184</v>
      </c>
      <c r="J10" s="39" t="s">
        <v>1166</v>
      </c>
      <c r="K10" s="39" t="s">
        <v>1167</v>
      </c>
      <c r="L10" s="39" t="s">
        <v>680</v>
      </c>
      <c r="M10" s="39" t="s">
        <v>1185</v>
      </c>
      <c r="N10" s="39" t="s">
        <v>1186</v>
      </c>
      <c r="O10" s="41" t="str">
        <f t="shared" si="0"/>
        <v>Reese Boisse</v>
      </c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x14ac:dyDescent="0.25">
      <c r="A11" s="28">
        <v>10</v>
      </c>
      <c r="B11" s="39" t="s">
        <v>1214</v>
      </c>
      <c r="C11" s="39" t="s">
        <v>1215</v>
      </c>
      <c r="D11" s="39" t="s">
        <v>1216</v>
      </c>
      <c r="E11" s="40">
        <v>43985</v>
      </c>
      <c r="F11" s="39" t="s">
        <v>1163</v>
      </c>
      <c r="G11" s="40" t="s">
        <v>1217</v>
      </c>
      <c r="H11" s="39" t="s">
        <v>1196</v>
      </c>
      <c r="I11" s="39" t="s">
        <v>1176</v>
      </c>
      <c r="J11" s="39" t="s">
        <v>1177</v>
      </c>
      <c r="K11" s="39" t="s">
        <v>1178</v>
      </c>
      <c r="L11" s="39" t="s">
        <v>687</v>
      </c>
      <c r="M11" s="39" t="s">
        <v>1179</v>
      </c>
      <c r="N11" s="39" t="s">
        <v>1180</v>
      </c>
      <c r="O11" s="41" t="str">
        <f t="shared" si="0"/>
        <v>Reuben Stump</v>
      </c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x14ac:dyDescent="0.25">
      <c r="A12" s="28">
        <v>11</v>
      </c>
      <c r="B12" s="39" t="s">
        <v>1218</v>
      </c>
      <c r="C12" s="39" t="s">
        <v>1219</v>
      </c>
      <c r="D12" s="39" t="s">
        <v>1220</v>
      </c>
      <c r="E12" s="40">
        <v>43990</v>
      </c>
      <c r="F12" s="39" t="s">
        <v>1194</v>
      </c>
      <c r="G12" s="40" t="s">
        <v>1221</v>
      </c>
      <c r="H12" s="39" t="s">
        <v>1165</v>
      </c>
      <c r="I12" s="39"/>
      <c r="J12" s="39" t="s">
        <v>1177</v>
      </c>
      <c r="K12" s="39"/>
      <c r="L12" s="39" t="s">
        <v>700</v>
      </c>
      <c r="M12" s="39" t="s">
        <v>1169</v>
      </c>
      <c r="N12" s="39" t="s">
        <v>1170</v>
      </c>
      <c r="O12" s="41" t="str">
        <f t="shared" si="0"/>
        <v>Victoria Quinn</v>
      </c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x14ac:dyDescent="0.25">
      <c r="A13" s="28">
        <v>12</v>
      </c>
      <c r="B13" s="39" t="s">
        <v>1222</v>
      </c>
      <c r="C13" s="39" t="s">
        <v>1223</v>
      </c>
      <c r="D13" s="39" t="s">
        <v>1224</v>
      </c>
      <c r="E13" s="40">
        <v>44060</v>
      </c>
      <c r="F13" s="39" t="s">
        <v>1163</v>
      </c>
      <c r="G13" s="40" t="s">
        <v>1225</v>
      </c>
      <c r="H13" s="39" t="s">
        <v>1175</v>
      </c>
      <c r="I13" s="39" t="s">
        <v>1176</v>
      </c>
      <c r="J13" s="39" t="s">
        <v>1166</v>
      </c>
      <c r="K13" s="39" t="s">
        <v>1167</v>
      </c>
      <c r="L13" s="39" t="s">
        <v>683</v>
      </c>
      <c r="M13" s="39" t="s">
        <v>1169</v>
      </c>
      <c r="N13" s="39" t="s">
        <v>1186</v>
      </c>
      <c r="O13" s="41" t="str">
        <f t="shared" si="0"/>
        <v>Elias Kapetanopoulos</v>
      </c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x14ac:dyDescent="0.25">
      <c r="A14" s="28">
        <v>13</v>
      </c>
      <c r="B14" s="39" t="s">
        <v>1226</v>
      </c>
      <c r="C14" s="39" t="s">
        <v>1227</v>
      </c>
      <c r="D14" s="39" t="s">
        <v>1228</v>
      </c>
      <c r="E14" s="40">
        <v>44060</v>
      </c>
      <c r="F14" s="39" t="s">
        <v>1194</v>
      </c>
      <c r="G14" s="40" t="s">
        <v>1229</v>
      </c>
      <c r="H14" s="39" t="s">
        <v>1175</v>
      </c>
      <c r="I14" s="39"/>
      <c r="J14" s="39" t="s">
        <v>1177</v>
      </c>
      <c r="K14" s="39"/>
      <c r="L14" s="39" t="s">
        <v>680</v>
      </c>
      <c r="M14" s="39" t="s">
        <v>1185</v>
      </c>
      <c r="N14" s="39" t="s">
        <v>1186</v>
      </c>
      <c r="O14" s="41" t="str">
        <f t="shared" si="0"/>
        <v>Adnan Usman</v>
      </c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x14ac:dyDescent="0.25">
      <c r="A15" s="28">
        <v>14</v>
      </c>
      <c r="B15" s="39" t="s">
        <v>1230</v>
      </c>
      <c r="C15" s="39" t="s">
        <v>1231</v>
      </c>
      <c r="D15" s="39" t="s">
        <v>1232</v>
      </c>
      <c r="E15" s="40">
        <v>44088</v>
      </c>
      <c r="F15" s="39" t="s">
        <v>1163</v>
      </c>
      <c r="G15" s="40" t="s">
        <v>1233</v>
      </c>
      <c r="H15" s="39" t="s">
        <v>1175</v>
      </c>
      <c r="I15" s="39" t="s">
        <v>1176</v>
      </c>
      <c r="J15" s="39" t="s">
        <v>1166</v>
      </c>
      <c r="K15" s="39" t="s">
        <v>1178</v>
      </c>
      <c r="L15" s="39" t="s">
        <v>683</v>
      </c>
      <c r="M15" s="39" t="s">
        <v>1179</v>
      </c>
      <c r="N15" s="39" t="s">
        <v>1180</v>
      </c>
      <c r="O15" s="41" t="str">
        <f t="shared" si="0"/>
        <v>Christian Moua</v>
      </c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x14ac:dyDescent="0.25">
      <c r="A16" s="28">
        <v>15</v>
      </c>
      <c r="B16" s="39" t="s">
        <v>1234</v>
      </c>
      <c r="C16" s="39" t="s">
        <v>1235</v>
      </c>
      <c r="D16" s="39" t="s">
        <v>1236</v>
      </c>
      <c r="E16" s="40">
        <v>44102</v>
      </c>
      <c r="F16" s="39" t="s">
        <v>1163</v>
      </c>
      <c r="G16" s="40" t="s">
        <v>1237</v>
      </c>
      <c r="H16" s="39" t="s">
        <v>1196</v>
      </c>
      <c r="I16" s="39" t="s">
        <v>1184</v>
      </c>
      <c r="J16" s="39" t="s">
        <v>1166</v>
      </c>
      <c r="K16" s="39" t="s">
        <v>1167</v>
      </c>
      <c r="L16" s="39" t="s">
        <v>674</v>
      </c>
      <c r="M16" s="39" t="s">
        <v>1185</v>
      </c>
      <c r="N16" s="39" t="s">
        <v>1170</v>
      </c>
      <c r="O16" s="41" t="str">
        <f t="shared" si="0"/>
        <v>Jesse Eddy</v>
      </c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x14ac:dyDescent="0.25">
      <c r="A17" s="28">
        <v>16</v>
      </c>
      <c r="B17" s="39" t="s">
        <v>1238</v>
      </c>
      <c r="C17" s="39" t="s">
        <v>1239</v>
      </c>
      <c r="D17" s="39" t="s">
        <v>1240</v>
      </c>
      <c r="E17" s="40">
        <v>44102</v>
      </c>
      <c r="F17" s="39" t="s">
        <v>1194</v>
      </c>
      <c r="G17" s="40" t="s">
        <v>1241</v>
      </c>
      <c r="H17" s="39" t="s">
        <v>1196</v>
      </c>
      <c r="I17" s="39"/>
      <c r="J17" s="39" t="s">
        <v>1166</v>
      </c>
      <c r="K17" s="39"/>
      <c r="L17" s="39" t="s">
        <v>687</v>
      </c>
      <c r="M17" s="39" t="s">
        <v>1179</v>
      </c>
      <c r="N17" s="39" t="s">
        <v>1180</v>
      </c>
      <c r="O17" s="41" t="str">
        <f t="shared" si="0"/>
        <v>Maxime Berube</v>
      </c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x14ac:dyDescent="0.25">
      <c r="A18" s="28">
        <v>17</v>
      </c>
      <c r="B18" s="39" t="s">
        <v>1242</v>
      </c>
      <c r="C18" s="39" t="s">
        <v>1243</v>
      </c>
      <c r="D18" s="39" t="s">
        <v>1244</v>
      </c>
      <c r="E18" s="40">
        <v>44144</v>
      </c>
      <c r="F18" s="39" t="s">
        <v>1194</v>
      </c>
      <c r="G18" s="40" t="s">
        <v>1245</v>
      </c>
      <c r="H18" s="39" t="s">
        <v>1175</v>
      </c>
      <c r="I18" s="39"/>
      <c r="J18" s="39" t="s">
        <v>1166</v>
      </c>
      <c r="K18" s="43"/>
      <c r="L18" s="39" t="s">
        <v>683</v>
      </c>
      <c r="M18" s="39" t="s">
        <v>1179</v>
      </c>
      <c r="N18" s="39" t="s">
        <v>1180</v>
      </c>
      <c r="O18" s="41" t="str">
        <f t="shared" si="0"/>
        <v>Michael Thornton</v>
      </c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x14ac:dyDescent="0.25">
      <c r="A19" s="28">
        <v>18</v>
      </c>
      <c r="B19" s="39" t="s">
        <v>1246</v>
      </c>
      <c r="C19" s="39" t="s">
        <v>1247</v>
      </c>
      <c r="D19" s="39" t="s">
        <v>1248</v>
      </c>
      <c r="E19" s="40">
        <v>44151</v>
      </c>
      <c r="F19" s="39" t="s">
        <v>1163</v>
      </c>
      <c r="G19" s="40" t="s">
        <v>1249</v>
      </c>
      <c r="H19" s="39" t="s">
        <v>1196</v>
      </c>
      <c r="I19" s="39" t="s">
        <v>1184</v>
      </c>
      <c r="J19" s="39" t="s">
        <v>1166</v>
      </c>
      <c r="K19" s="39" t="s">
        <v>1167</v>
      </c>
      <c r="L19" s="39" t="s">
        <v>674</v>
      </c>
      <c r="M19" s="39" t="s">
        <v>1185</v>
      </c>
      <c r="N19" s="39" t="s">
        <v>1170</v>
      </c>
      <c r="O19" s="41" t="str">
        <f t="shared" si="0"/>
        <v>Tomas Cespedes</v>
      </c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x14ac:dyDescent="0.25">
      <c r="A20" s="28">
        <v>19</v>
      </c>
      <c r="B20" s="39" t="s">
        <v>1250</v>
      </c>
      <c r="C20" s="39" t="s">
        <v>1251</v>
      </c>
      <c r="D20" s="39" t="s">
        <v>1252</v>
      </c>
      <c r="E20" s="40">
        <v>44228</v>
      </c>
      <c r="F20" s="39" t="s">
        <v>1163</v>
      </c>
      <c r="G20" s="40" t="s">
        <v>1253</v>
      </c>
      <c r="H20" s="39" t="s">
        <v>1196</v>
      </c>
      <c r="I20" s="39" t="s">
        <v>1184</v>
      </c>
      <c r="J20" s="39" t="s">
        <v>1166</v>
      </c>
      <c r="K20" s="39" t="s">
        <v>1167</v>
      </c>
      <c r="L20" s="39" t="s">
        <v>674</v>
      </c>
      <c r="M20" s="39" t="s">
        <v>1185</v>
      </c>
      <c r="N20" s="39" t="s">
        <v>1170</v>
      </c>
      <c r="O20" s="41" t="str">
        <f t="shared" si="0"/>
        <v>Colin Galanaugh</v>
      </c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 x14ac:dyDescent="0.25">
      <c r="A21" s="28">
        <v>20</v>
      </c>
      <c r="B21" s="39" t="s">
        <v>1254</v>
      </c>
      <c r="C21" s="39" t="s">
        <v>1255</v>
      </c>
      <c r="D21" s="39" t="s">
        <v>1256</v>
      </c>
      <c r="E21" s="40">
        <v>44228</v>
      </c>
      <c r="F21" s="39" t="s">
        <v>1194</v>
      </c>
      <c r="G21" s="40" t="s">
        <v>1257</v>
      </c>
      <c r="H21" s="39" t="s">
        <v>1196</v>
      </c>
      <c r="I21" s="39"/>
      <c r="J21" s="39" t="s">
        <v>1166</v>
      </c>
      <c r="K21" s="39"/>
      <c r="L21" s="39" t="s">
        <v>687</v>
      </c>
      <c r="M21" s="39" t="s">
        <v>1179</v>
      </c>
      <c r="N21" s="39" t="s">
        <v>1180</v>
      </c>
      <c r="O21" s="41" t="str">
        <f t="shared" si="0"/>
        <v>Charles Magnarelli</v>
      </c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75" customHeight="1" x14ac:dyDescent="0.25">
      <c r="A22" s="28">
        <v>21</v>
      </c>
      <c r="B22" s="39" t="s">
        <v>1258</v>
      </c>
      <c r="C22" s="39" t="s">
        <v>1259</v>
      </c>
      <c r="D22" s="39" t="s">
        <v>1260</v>
      </c>
      <c r="E22" s="40">
        <v>44249</v>
      </c>
      <c r="F22" s="39" t="s">
        <v>1194</v>
      </c>
      <c r="G22" s="40" t="s">
        <v>1261</v>
      </c>
      <c r="H22" s="39" t="s">
        <v>1196</v>
      </c>
      <c r="I22" s="39"/>
      <c r="J22" s="39" t="s">
        <v>1166</v>
      </c>
      <c r="K22" s="39"/>
      <c r="L22" s="39" t="s">
        <v>687</v>
      </c>
      <c r="M22" s="39" t="s">
        <v>1179</v>
      </c>
      <c r="N22" s="39" t="s">
        <v>1180</v>
      </c>
      <c r="O22" s="41" t="str">
        <f t="shared" si="0"/>
        <v>Timothy Konick</v>
      </c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75" customHeight="1" x14ac:dyDescent="0.25">
      <c r="A23" s="28">
        <v>22</v>
      </c>
      <c r="B23" s="39" t="s">
        <v>1262</v>
      </c>
      <c r="C23" s="39" t="s">
        <v>1263</v>
      </c>
      <c r="D23" s="39" t="s">
        <v>1264</v>
      </c>
      <c r="E23" s="40">
        <v>44284</v>
      </c>
      <c r="F23" s="39" t="s">
        <v>1194</v>
      </c>
      <c r="G23" s="40" t="s">
        <v>1265</v>
      </c>
      <c r="H23" s="39" t="s">
        <v>1196</v>
      </c>
      <c r="I23" s="39"/>
      <c r="J23" s="39" t="s">
        <v>1166</v>
      </c>
      <c r="K23" s="39"/>
      <c r="L23" s="39" t="s">
        <v>687</v>
      </c>
      <c r="M23" s="39" t="s">
        <v>1179</v>
      </c>
      <c r="N23" s="39" t="s">
        <v>1180</v>
      </c>
      <c r="O23" s="41" t="str">
        <f t="shared" si="0"/>
        <v>Dennis Wang</v>
      </c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 x14ac:dyDescent="0.25">
      <c r="A24" s="28">
        <v>23</v>
      </c>
      <c r="B24" s="39" t="s">
        <v>1266</v>
      </c>
      <c r="C24" s="39" t="s">
        <v>1267</v>
      </c>
      <c r="D24" s="39" t="s">
        <v>1268</v>
      </c>
      <c r="E24" s="40">
        <v>44312</v>
      </c>
      <c r="F24" s="39" t="s">
        <v>1194</v>
      </c>
      <c r="G24" s="40" t="s">
        <v>1269</v>
      </c>
      <c r="H24" s="39" t="s">
        <v>1175</v>
      </c>
      <c r="I24" s="39"/>
      <c r="J24" s="39" t="s">
        <v>1177</v>
      </c>
      <c r="K24" s="39" t="s">
        <v>1167</v>
      </c>
      <c r="L24" s="39" t="s">
        <v>680</v>
      </c>
      <c r="M24" s="39" t="s">
        <v>1185</v>
      </c>
      <c r="N24" s="39" t="s">
        <v>1186</v>
      </c>
      <c r="O24" s="41" t="str">
        <f t="shared" si="0"/>
        <v>Josh van Harn</v>
      </c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 x14ac:dyDescent="0.25">
      <c r="A25" s="28">
        <v>24</v>
      </c>
      <c r="B25" s="39" t="s">
        <v>1270</v>
      </c>
      <c r="C25" s="39" t="s">
        <v>1271</v>
      </c>
      <c r="D25" s="39" t="s">
        <v>1272</v>
      </c>
      <c r="E25" s="40">
        <v>44348</v>
      </c>
      <c r="F25" s="39" t="s">
        <v>1163</v>
      </c>
      <c r="G25" s="40" t="s">
        <v>1273</v>
      </c>
      <c r="H25" s="39" t="s">
        <v>1175</v>
      </c>
      <c r="I25" s="39" t="s">
        <v>1184</v>
      </c>
      <c r="J25" s="39" t="s">
        <v>1177</v>
      </c>
      <c r="K25" s="39" t="s">
        <v>1167</v>
      </c>
      <c r="L25" s="39" t="s">
        <v>680</v>
      </c>
      <c r="M25" s="39" t="s">
        <v>1185</v>
      </c>
      <c r="N25" s="39" t="s">
        <v>1186</v>
      </c>
      <c r="O25" s="41" t="str">
        <f t="shared" si="0"/>
        <v>Matt Hyman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75" customHeight="1" x14ac:dyDescent="0.25">
      <c r="A26" s="28">
        <v>25</v>
      </c>
      <c r="B26" s="39" t="s">
        <v>1274</v>
      </c>
      <c r="C26" s="39" t="s">
        <v>1275</v>
      </c>
      <c r="D26" s="39" t="s">
        <v>1276</v>
      </c>
      <c r="E26" s="40">
        <v>44361</v>
      </c>
      <c r="F26" s="39" t="s">
        <v>1163</v>
      </c>
      <c r="G26" s="40" t="s">
        <v>1277</v>
      </c>
      <c r="H26" s="39" t="s">
        <v>1196</v>
      </c>
      <c r="I26" s="39" t="s">
        <v>1176</v>
      </c>
      <c r="J26" s="39" t="s">
        <v>1166</v>
      </c>
      <c r="K26" s="39" t="s">
        <v>1178</v>
      </c>
      <c r="L26" s="39" t="s">
        <v>687</v>
      </c>
      <c r="M26" s="39" t="s">
        <v>1179</v>
      </c>
      <c r="N26" s="39" t="s">
        <v>1180</v>
      </c>
      <c r="O26" s="41" t="str">
        <f t="shared" si="0"/>
        <v>Mitchell Nethercott</v>
      </c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 x14ac:dyDescent="0.25">
      <c r="A27" s="28">
        <v>26</v>
      </c>
      <c r="B27" s="39" t="s">
        <v>1274</v>
      </c>
      <c r="C27" s="39" t="s">
        <v>1278</v>
      </c>
      <c r="D27" s="39" t="s">
        <v>1279</v>
      </c>
      <c r="E27" s="40">
        <v>44383</v>
      </c>
      <c r="F27" s="39" t="s">
        <v>1163</v>
      </c>
      <c r="G27" s="40" t="s">
        <v>1280</v>
      </c>
      <c r="H27" s="39" t="s">
        <v>1175</v>
      </c>
      <c r="I27" s="39" t="s">
        <v>1176</v>
      </c>
      <c r="J27" s="39" t="s">
        <v>1281</v>
      </c>
      <c r="K27" s="39" t="s">
        <v>1178</v>
      </c>
      <c r="L27" s="39" t="s">
        <v>683</v>
      </c>
      <c r="M27" s="39" t="s">
        <v>1179</v>
      </c>
      <c r="N27" s="39" t="s">
        <v>1180</v>
      </c>
      <c r="O27" s="41" t="str">
        <f t="shared" si="0"/>
        <v>Mitchell Deaner</v>
      </c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 x14ac:dyDescent="0.25">
      <c r="A28" s="28">
        <v>27</v>
      </c>
      <c r="B28" s="39" t="s">
        <v>1282</v>
      </c>
      <c r="C28" s="39" t="s">
        <v>1283</v>
      </c>
      <c r="D28" s="39" t="s">
        <v>1284</v>
      </c>
      <c r="E28" s="40">
        <v>44383</v>
      </c>
      <c r="F28" s="39" t="s">
        <v>1163</v>
      </c>
      <c r="G28" s="40" t="s">
        <v>1280</v>
      </c>
      <c r="H28" s="39" t="s">
        <v>1175</v>
      </c>
      <c r="I28" s="39" t="s">
        <v>1176</v>
      </c>
      <c r="J28" s="39" t="s">
        <v>1177</v>
      </c>
      <c r="K28" s="39" t="s">
        <v>1178</v>
      </c>
      <c r="L28" s="39" t="s">
        <v>683</v>
      </c>
      <c r="M28" s="39" t="s">
        <v>1179</v>
      </c>
      <c r="N28" s="39" t="s">
        <v>1180</v>
      </c>
      <c r="O28" s="41" t="str">
        <f t="shared" si="0"/>
        <v>Lyndsey Cohen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 x14ac:dyDescent="0.25">
      <c r="A29" s="28">
        <v>28</v>
      </c>
      <c r="B29" s="39" t="s">
        <v>1285</v>
      </c>
      <c r="C29" s="39" t="s">
        <v>1286</v>
      </c>
      <c r="D29" s="39" t="s">
        <v>1287</v>
      </c>
      <c r="E29" s="40">
        <v>44383</v>
      </c>
      <c r="F29" s="39" t="s">
        <v>1163</v>
      </c>
      <c r="G29" s="40" t="s">
        <v>1280</v>
      </c>
      <c r="H29" s="39" t="s">
        <v>1175</v>
      </c>
      <c r="I29" s="39" t="s">
        <v>1176</v>
      </c>
      <c r="J29" s="39" t="s">
        <v>1166</v>
      </c>
      <c r="K29" s="39" t="s">
        <v>1178</v>
      </c>
      <c r="L29" s="39" t="s">
        <v>683</v>
      </c>
      <c r="M29" s="39" t="s">
        <v>1179</v>
      </c>
      <c r="N29" s="39" t="s">
        <v>1180</v>
      </c>
      <c r="O29" s="41" t="str">
        <f t="shared" si="0"/>
        <v>Dor Vaknin</v>
      </c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 x14ac:dyDescent="0.25">
      <c r="A30" s="28">
        <v>29</v>
      </c>
      <c r="B30" s="39" t="s">
        <v>1288</v>
      </c>
      <c r="C30" s="39" t="s">
        <v>1289</v>
      </c>
      <c r="D30" s="39" t="s">
        <v>1290</v>
      </c>
      <c r="E30" s="40">
        <v>44410</v>
      </c>
      <c r="F30" s="39" t="s">
        <v>1194</v>
      </c>
      <c r="G30" s="40" t="s">
        <v>1291</v>
      </c>
      <c r="H30" s="39" t="s">
        <v>1175</v>
      </c>
      <c r="I30" s="39"/>
      <c r="J30" s="39" t="s">
        <v>1177</v>
      </c>
      <c r="K30" s="39" t="s">
        <v>1178</v>
      </c>
      <c r="L30" s="39" t="s">
        <v>683</v>
      </c>
      <c r="M30" s="39" t="s">
        <v>1179</v>
      </c>
      <c r="N30" s="39" t="s">
        <v>1180</v>
      </c>
      <c r="O30" s="41" t="str">
        <f t="shared" si="0"/>
        <v>Caleb Cordes</v>
      </c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 x14ac:dyDescent="0.25">
      <c r="A31" s="28">
        <v>30</v>
      </c>
      <c r="B31" s="39" t="s">
        <v>1292</v>
      </c>
      <c r="C31" s="39" t="s">
        <v>1293</v>
      </c>
      <c r="D31" s="39" t="s">
        <v>1294</v>
      </c>
      <c r="E31" s="40">
        <v>44410</v>
      </c>
      <c r="F31" s="39" t="s">
        <v>1194</v>
      </c>
      <c r="G31" s="40" t="s">
        <v>1295</v>
      </c>
      <c r="H31" s="39" t="s">
        <v>1196</v>
      </c>
      <c r="I31" s="39"/>
      <c r="J31" s="39" t="s">
        <v>1166</v>
      </c>
      <c r="K31" s="39"/>
      <c r="L31" s="39" t="s">
        <v>752</v>
      </c>
      <c r="M31" s="39" t="s">
        <v>1179</v>
      </c>
      <c r="N31" s="39" t="s">
        <v>1180</v>
      </c>
      <c r="O31" s="41" t="str">
        <f t="shared" si="0"/>
        <v>Brian Zhu</v>
      </c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 x14ac:dyDescent="0.25">
      <c r="A32" s="28">
        <v>31</v>
      </c>
      <c r="B32" s="39" t="s">
        <v>1296</v>
      </c>
      <c r="C32" s="39" t="s">
        <v>1297</v>
      </c>
      <c r="D32" s="39" t="s">
        <v>1298</v>
      </c>
      <c r="E32" s="40">
        <v>44410</v>
      </c>
      <c r="F32" s="39" t="s">
        <v>1163</v>
      </c>
      <c r="G32" s="40" t="s">
        <v>1299</v>
      </c>
      <c r="H32" s="39" t="s">
        <v>1196</v>
      </c>
      <c r="I32" s="39" t="s">
        <v>1176</v>
      </c>
      <c r="J32" s="39" t="s">
        <v>1166</v>
      </c>
      <c r="K32" s="39" t="s">
        <v>1178</v>
      </c>
      <c r="L32" s="39" t="s">
        <v>687</v>
      </c>
      <c r="M32" s="39" t="s">
        <v>1179</v>
      </c>
      <c r="N32" s="39" t="s">
        <v>1180</v>
      </c>
      <c r="O32" s="41" t="str">
        <f t="shared" si="0"/>
        <v>Paul Kim</v>
      </c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75" customHeight="1" x14ac:dyDescent="0.25">
      <c r="A33" s="28">
        <v>32</v>
      </c>
      <c r="B33" s="39" t="s">
        <v>1218</v>
      </c>
      <c r="C33" s="39" t="s">
        <v>1300</v>
      </c>
      <c r="D33" s="39" t="s">
        <v>1301</v>
      </c>
      <c r="E33" s="40">
        <v>44417</v>
      </c>
      <c r="F33" s="39" t="s">
        <v>1194</v>
      </c>
      <c r="G33" s="40" t="s">
        <v>1302</v>
      </c>
      <c r="H33" s="39" t="s">
        <v>1175</v>
      </c>
      <c r="I33" s="39"/>
      <c r="J33" s="39" t="s">
        <v>1177</v>
      </c>
      <c r="K33" s="39"/>
      <c r="L33" s="39" t="s">
        <v>732</v>
      </c>
      <c r="M33" s="39" t="s">
        <v>1179</v>
      </c>
      <c r="N33" s="39" t="s">
        <v>1180</v>
      </c>
      <c r="O33" s="41" t="str">
        <f t="shared" si="0"/>
        <v>Victoria Baldwin</v>
      </c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75" customHeight="1" x14ac:dyDescent="0.25">
      <c r="A34" s="28">
        <v>33</v>
      </c>
      <c r="B34" s="39" t="s">
        <v>1303</v>
      </c>
      <c r="C34" s="39" t="s">
        <v>1304</v>
      </c>
      <c r="D34" s="39" t="s">
        <v>1305</v>
      </c>
      <c r="E34" s="40">
        <v>44452</v>
      </c>
      <c r="F34" s="39" t="s">
        <v>1194</v>
      </c>
      <c r="G34" s="40" t="s">
        <v>1306</v>
      </c>
      <c r="H34" s="39" t="s">
        <v>1165</v>
      </c>
      <c r="I34" s="39"/>
      <c r="J34" s="39" t="s">
        <v>1166</v>
      </c>
      <c r="K34" s="39"/>
      <c r="L34" s="39" t="s">
        <v>677</v>
      </c>
      <c r="M34" s="39" t="s">
        <v>1185</v>
      </c>
      <c r="N34" s="39" t="s">
        <v>1186</v>
      </c>
      <c r="O34" s="41" t="str">
        <f t="shared" si="0"/>
        <v>Isabela Vazquez</v>
      </c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75" customHeight="1" x14ac:dyDescent="0.25">
      <c r="A35" s="28">
        <v>34</v>
      </c>
      <c r="B35" s="39" t="s">
        <v>1307</v>
      </c>
      <c r="C35" s="39" t="s">
        <v>1308</v>
      </c>
      <c r="D35" s="39" t="s">
        <v>1309</v>
      </c>
      <c r="E35" s="40">
        <v>44452</v>
      </c>
      <c r="F35" s="39" t="s">
        <v>1163</v>
      </c>
      <c r="G35" s="40" t="s">
        <v>1310</v>
      </c>
      <c r="H35" s="39" t="s">
        <v>1196</v>
      </c>
      <c r="I35" s="39" t="s">
        <v>1184</v>
      </c>
      <c r="J35" s="39" t="s">
        <v>1166</v>
      </c>
      <c r="K35" s="39" t="s">
        <v>1167</v>
      </c>
      <c r="L35" s="39" t="s">
        <v>687</v>
      </c>
      <c r="M35" s="39" t="s">
        <v>1179</v>
      </c>
      <c r="N35" s="39" t="s">
        <v>1180</v>
      </c>
      <c r="O35" s="41" t="str">
        <f t="shared" si="0"/>
        <v>Alexander Glenn</v>
      </c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75" customHeight="1" x14ac:dyDescent="0.25">
      <c r="A36" s="28">
        <v>35</v>
      </c>
      <c r="B36" s="39" t="s">
        <v>1311</v>
      </c>
      <c r="C36" s="39" t="s">
        <v>1312</v>
      </c>
      <c r="D36" s="39" t="s">
        <v>1313</v>
      </c>
      <c r="E36" s="40">
        <v>44445</v>
      </c>
      <c r="F36" s="39" t="s">
        <v>1194</v>
      </c>
      <c r="G36" s="40" t="s">
        <v>1314</v>
      </c>
      <c r="H36" s="39" t="s">
        <v>1175</v>
      </c>
      <c r="I36" s="39"/>
      <c r="J36" s="39" t="s">
        <v>1177</v>
      </c>
      <c r="K36" s="43"/>
      <c r="L36" s="39" t="s">
        <v>683</v>
      </c>
      <c r="M36" s="39" t="s">
        <v>1179</v>
      </c>
      <c r="N36" s="39" t="s">
        <v>1180</v>
      </c>
      <c r="O36" s="41" t="str">
        <f t="shared" si="0"/>
        <v>Trent Van Winkle</v>
      </c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75" customHeight="1" x14ac:dyDescent="0.25">
      <c r="A37" s="28">
        <v>36</v>
      </c>
      <c r="B37" s="39" t="s">
        <v>1315</v>
      </c>
      <c r="C37" s="39" t="s">
        <v>1316</v>
      </c>
      <c r="D37" s="39" t="s">
        <v>1317</v>
      </c>
      <c r="E37" s="40">
        <v>44452</v>
      </c>
      <c r="F37" s="39" t="s">
        <v>1194</v>
      </c>
      <c r="G37" s="40" t="s">
        <v>1318</v>
      </c>
      <c r="H37" s="39" t="s">
        <v>1196</v>
      </c>
      <c r="I37" s="39"/>
      <c r="J37" s="39" t="s">
        <v>1166</v>
      </c>
      <c r="K37" s="39"/>
      <c r="L37" s="39" t="s">
        <v>687</v>
      </c>
      <c r="M37" s="39" t="s">
        <v>1179</v>
      </c>
      <c r="N37" s="39" t="s">
        <v>1180</v>
      </c>
      <c r="O37" s="41" t="str">
        <f t="shared" si="0"/>
        <v>Panat Taranat</v>
      </c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75" customHeight="1" x14ac:dyDescent="0.25">
      <c r="A38" s="28">
        <v>37</v>
      </c>
      <c r="B38" s="39" t="s">
        <v>1319</v>
      </c>
      <c r="C38" s="39" t="s">
        <v>1320</v>
      </c>
      <c r="D38" s="39" t="s">
        <v>1321</v>
      </c>
      <c r="E38" s="40">
        <v>44473</v>
      </c>
      <c r="F38" s="39" t="s">
        <v>1163</v>
      </c>
      <c r="G38" s="40" t="s">
        <v>1322</v>
      </c>
      <c r="H38" s="39" t="s">
        <v>1175</v>
      </c>
      <c r="I38" s="39" t="s">
        <v>1323</v>
      </c>
      <c r="J38" s="39" t="s">
        <v>1166</v>
      </c>
      <c r="K38" s="39" t="s">
        <v>1178</v>
      </c>
      <c r="L38" s="39" t="s">
        <v>732</v>
      </c>
      <c r="M38" s="39" t="s">
        <v>1179</v>
      </c>
      <c r="N38" s="39" t="s">
        <v>1180</v>
      </c>
      <c r="O38" s="41" t="str">
        <f t="shared" si="0"/>
        <v>Nadege Le Goff</v>
      </c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75" customHeight="1" x14ac:dyDescent="0.25">
      <c r="A39" s="28">
        <v>38</v>
      </c>
      <c r="B39" s="39" t="s">
        <v>1324</v>
      </c>
      <c r="C39" s="39" t="s">
        <v>1325</v>
      </c>
      <c r="D39" s="39" t="s">
        <v>1326</v>
      </c>
      <c r="E39" s="40">
        <v>44480</v>
      </c>
      <c r="F39" s="39" t="s">
        <v>1194</v>
      </c>
      <c r="G39" s="40" t="s">
        <v>1327</v>
      </c>
      <c r="H39" s="39" t="s">
        <v>1196</v>
      </c>
      <c r="I39" s="39"/>
      <c r="J39" s="39" t="s">
        <v>1177</v>
      </c>
      <c r="K39" s="39" t="s">
        <v>1167</v>
      </c>
      <c r="L39" s="39" t="s">
        <v>674</v>
      </c>
      <c r="M39" s="39" t="s">
        <v>1185</v>
      </c>
      <c r="N39" s="39" t="s">
        <v>1170</v>
      </c>
      <c r="O39" s="41" t="str">
        <f t="shared" si="0"/>
        <v>Nick Vecellio</v>
      </c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75" customHeight="1" x14ac:dyDescent="0.25">
      <c r="A40" s="28">
        <v>39</v>
      </c>
      <c r="B40" s="39" t="s">
        <v>1328</v>
      </c>
      <c r="C40" s="39" t="s">
        <v>1329</v>
      </c>
      <c r="D40" s="39" t="s">
        <v>1330</v>
      </c>
      <c r="E40" s="40">
        <v>44494</v>
      </c>
      <c r="F40" s="39" t="s">
        <v>1163</v>
      </c>
      <c r="G40" s="40" t="s">
        <v>1331</v>
      </c>
      <c r="H40" s="39" t="s">
        <v>1175</v>
      </c>
      <c r="I40" s="39" t="s">
        <v>1176</v>
      </c>
      <c r="J40" s="39" t="s">
        <v>1177</v>
      </c>
      <c r="K40" s="39" t="s">
        <v>1178</v>
      </c>
      <c r="L40" s="39" t="s">
        <v>683</v>
      </c>
      <c r="M40" s="39" t="s">
        <v>1179</v>
      </c>
      <c r="N40" s="39" t="s">
        <v>1180</v>
      </c>
      <c r="O40" s="41" t="str">
        <f t="shared" si="0"/>
        <v>Kyle Brueckner</v>
      </c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75" customHeight="1" x14ac:dyDescent="0.25">
      <c r="A41" s="28">
        <v>40</v>
      </c>
      <c r="B41" s="39" t="s">
        <v>1332</v>
      </c>
      <c r="C41" s="39" t="s">
        <v>1333</v>
      </c>
      <c r="D41" s="39" t="s">
        <v>1334</v>
      </c>
      <c r="E41" s="40">
        <v>44494</v>
      </c>
      <c r="F41" s="39" t="s">
        <v>1194</v>
      </c>
      <c r="G41" s="40" t="s">
        <v>1335</v>
      </c>
      <c r="H41" s="39" t="s">
        <v>1175</v>
      </c>
      <c r="I41" s="39"/>
      <c r="J41" s="39" t="s">
        <v>1166</v>
      </c>
      <c r="K41" s="39"/>
      <c r="L41" s="39" t="s">
        <v>732</v>
      </c>
      <c r="M41" s="39" t="s">
        <v>1179</v>
      </c>
      <c r="N41" s="39" t="s">
        <v>1180</v>
      </c>
      <c r="O41" s="41" t="str">
        <f t="shared" si="0"/>
        <v>Luke Scanlan</v>
      </c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75" customHeight="1" x14ac:dyDescent="0.25">
      <c r="A42" s="28">
        <v>41</v>
      </c>
      <c r="B42" s="39" t="s">
        <v>1336</v>
      </c>
      <c r="C42" s="39" t="s">
        <v>1337</v>
      </c>
      <c r="D42" s="39" t="s">
        <v>1338</v>
      </c>
      <c r="E42" s="40">
        <v>44508</v>
      </c>
      <c r="F42" s="39" t="s">
        <v>1194</v>
      </c>
      <c r="G42" s="40" t="s">
        <v>1339</v>
      </c>
      <c r="H42" s="39" t="s">
        <v>1175</v>
      </c>
      <c r="I42" s="39"/>
      <c r="J42" s="39" t="s">
        <v>1177</v>
      </c>
      <c r="K42" s="39" t="s">
        <v>1178</v>
      </c>
      <c r="L42" s="39" t="s">
        <v>683</v>
      </c>
      <c r="M42" s="39" t="s">
        <v>1179</v>
      </c>
      <c r="N42" s="39" t="s">
        <v>1180</v>
      </c>
      <c r="O42" s="41" t="str">
        <f t="shared" si="0"/>
        <v>Pallavi Gupta</v>
      </c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75" customHeight="1" x14ac:dyDescent="0.25">
      <c r="A43" s="28">
        <v>42</v>
      </c>
      <c r="B43" s="39" t="s">
        <v>1340</v>
      </c>
      <c r="C43" s="39" t="s">
        <v>1341</v>
      </c>
      <c r="D43" s="39" t="s">
        <v>1342</v>
      </c>
      <c r="E43" s="40">
        <v>44536</v>
      </c>
      <c r="F43" s="39" t="s">
        <v>1163</v>
      </c>
      <c r="G43" s="40" t="s">
        <v>1343</v>
      </c>
      <c r="H43" s="39" t="s">
        <v>1175</v>
      </c>
      <c r="I43" s="39" t="s">
        <v>1184</v>
      </c>
      <c r="J43" s="39" t="s">
        <v>1166</v>
      </c>
      <c r="K43" s="39" t="s">
        <v>1167</v>
      </c>
      <c r="L43" s="39" t="s">
        <v>680</v>
      </c>
      <c r="M43" s="39" t="s">
        <v>1185</v>
      </c>
      <c r="N43" s="39" t="s">
        <v>1186</v>
      </c>
      <c r="O43" s="41" t="str">
        <f t="shared" si="0"/>
        <v>Ashley Karpel</v>
      </c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75" customHeight="1" x14ac:dyDescent="0.25">
      <c r="A44" s="28">
        <v>43</v>
      </c>
      <c r="B44" s="39" t="s">
        <v>1296</v>
      </c>
      <c r="C44" s="39" t="s">
        <v>1344</v>
      </c>
      <c r="D44" s="39" t="s">
        <v>1345</v>
      </c>
      <c r="E44" s="40">
        <v>44564</v>
      </c>
      <c r="F44" s="39" t="s">
        <v>1194</v>
      </c>
      <c r="G44" s="40" t="s">
        <v>1346</v>
      </c>
      <c r="H44" s="39" t="s">
        <v>1175</v>
      </c>
      <c r="I44" s="39"/>
      <c r="J44" s="39" t="s">
        <v>1177</v>
      </c>
      <c r="K44" s="39"/>
      <c r="L44" s="39" t="s">
        <v>680</v>
      </c>
      <c r="M44" s="39" t="s">
        <v>1185</v>
      </c>
      <c r="N44" s="39" t="s">
        <v>1186</v>
      </c>
      <c r="O44" s="41" t="str">
        <f t="shared" si="0"/>
        <v>Paul Dixon</v>
      </c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75" customHeight="1" x14ac:dyDescent="0.25">
      <c r="A45" s="28">
        <v>44</v>
      </c>
      <c r="B45" s="39" t="s">
        <v>1191</v>
      </c>
      <c r="C45" s="39" t="s">
        <v>1347</v>
      </c>
      <c r="D45" s="39" t="s">
        <v>1348</v>
      </c>
      <c r="E45" s="40">
        <v>44578</v>
      </c>
      <c r="F45" s="39" t="s">
        <v>1194</v>
      </c>
      <c r="G45" s="40" t="s">
        <v>1349</v>
      </c>
      <c r="H45" s="39" t="s">
        <v>1165</v>
      </c>
      <c r="I45" s="39"/>
      <c r="J45" s="39" t="s">
        <v>1177</v>
      </c>
      <c r="K45" s="39" t="s">
        <v>1167</v>
      </c>
      <c r="L45" s="39" t="s">
        <v>700</v>
      </c>
      <c r="M45" s="39" t="s">
        <v>1169</v>
      </c>
      <c r="N45" s="39" t="s">
        <v>1170</v>
      </c>
      <c r="O45" s="41" t="str">
        <f t="shared" si="0"/>
        <v>James Lewis</v>
      </c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75" customHeight="1" x14ac:dyDescent="0.25">
      <c r="A46" s="28">
        <v>45</v>
      </c>
      <c r="B46" s="39" t="s">
        <v>1350</v>
      </c>
      <c r="C46" s="39" t="s">
        <v>1351</v>
      </c>
      <c r="D46" s="39" t="s">
        <v>1352</v>
      </c>
      <c r="E46" s="40">
        <v>44579</v>
      </c>
      <c r="F46" s="39" t="s">
        <v>1194</v>
      </c>
      <c r="G46" s="40" t="s">
        <v>1353</v>
      </c>
      <c r="H46" s="39" t="s">
        <v>1196</v>
      </c>
      <c r="I46" s="39"/>
      <c r="J46" s="39" t="s">
        <v>1177</v>
      </c>
      <c r="K46" s="39"/>
      <c r="L46" s="39" t="s">
        <v>687</v>
      </c>
      <c r="M46" s="39" t="s">
        <v>1179</v>
      </c>
      <c r="N46" s="39" t="s">
        <v>1180</v>
      </c>
      <c r="O46" s="41" t="str">
        <f t="shared" si="0"/>
        <v>Andrew Sieg</v>
      </c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5.75" customHeight="1" x14ac:dyDescent="0.25">
      <c r="A47" s="28">
        <v>46</v>
      </c>
      <c r="B47" s="39" t="s">
        <v>1354</v>
      </c>
      <c r="C47" s="39" t="s">
        <v>1161</v>
      </c>
      <c r="D47" s="39" t="s">
        <v>1355</v>
      </c>
      <c r="E47" s="40">
        <v>44562</v>
      </c>
      <c r="F47" s="39" t="s">
        <v>1194</v>
      </c>
      <c r="G47" s="40" t="s">
        <v>1356</v>
      </c>
      <c r="H47" s="39" t="s">
        <v>1165</v>
      </c>
      <c r="I47" s="39"/>
      <c r="J47" s="39" t="s">
        <v>1177</v>
      </c>
      <c r="K47" s="39"/>
      <c r="L47" s="39" t="s">
        <v>700</v>
      </c>
      <c r="M47" s="39" t="s">
        <v>1169</v>
      </c>
      <c r="N47" s="39" t="s">
        <v>1170</v>
      </c>
      <c r="O47" s="41" t="str">
        <f t="shared" si="0"/>
        <v>Alexandra Hourani</v>
      </c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5.75" customHeight="1" x14ac:dyDescent="0.25">
      <c r="A48" s="28">
        <v>47</v>
      </c>
      <c r="B48" s="39" t="s">
        <v>1357</v>
      </c>
      <c r="C48" s="39" t="s">
        <v>1161</v>
      </c>
      <c r="D48" s="39" t="s">
        <v>1358</v>
      </c>
      <c r="E48" s="40">
        <v>44562</v>
      </c>
      <c r="F48" s="39" t="s">
        <v>1194</v>
      </c>
      <c r="G48" s="40" t="s">
        <v>1356</v>
      </c>
      <c r="H48" s="39" t="s">
        <v>1165</v>
      </c>
      <c r="I48" s="39"/>
      <c r="J48" s="39" t="s">
        <v>1177</v>
      </c>
      <c r="K48" s="39"/>
      <c r="L48" s="39" t="s">
        <v>700</v>
      </c>
      <c r="M48" s="39" t="s">
        <v>1169</v>
      </c>
      <c r="N48" s="39" t="s">
        <v>1170</v>
      </c>
      <c r="O48" s="41" t="str">
        <f t="shared" si="0"/>
        <v>Canaan Hourani</v>
      </c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15.75" customHeight="1" x14ac:dyDescent="0.25">
      <c r="A49" s="28">
        <v>48</v>
      </c>
      <c r="B49" s="39" t="s">
        <v>1191</v>
      </c>
      <c r="C49" s="39" t="s">
        <v>1359</v>
      </c>
      <c r="D49" s="39" t="s">
        <v>1360</v>
      </c>
      <c r="E49" s="40">
        <v>44592</v>
      </c>
      <c r="F49" s="39" t="s">
        <v>1194</v>
      </c>
      <c r="G49" s="40" t="s">
        <v>1361</v>
      </c>
      <c r="H49" s="39" t="s">
        <v>1196</v>
      </c>
      <c r="I49" s="39"/>
      <c r="J49" s="39" t="s">
        <v>1166</v>
      </c>
      <c r="K49" s="39"/>
      <c r="L49" s="39" t="s">
        <v>752</v>
      </c>
      <c r="M49" s="39" t="s">
        <v>1179</v>
      </c>
      <c r="N49" s="39" t="s">
        <v>1180</v>
      </c>
      <c r="O49" s="41" t="str">
        <f t="shared" si="0"/>
        <v>James Murphy</v>
      </c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5.75" customHeight="1" x14ac:dyDescent="0.25">
      <c r="A50" s="28">
        <v>49</v>
      </c>
      <c r="B50" s="39" t="s">
        <v>1362</v>
      </c>
      <c r="C50" s="39" t="s">
        <v>1363</v>
      </c>
      <c r="D50" s="39" t="s">
        <v>1364</v>
      </c>
      <c r="E50" s="40">
        <v>44599</v>
      </c>
      <c r="F50" s="39" t="s">
        <v>1194</v>
      </c>
      <c r="G50" s="40" t="s">
        <v>1365</v>
      </c>
      <c r="H50" s="39" t="s">
        <v>1165</v>
      </c>
      <c r="I50" s="39"/>
      <c r="J50" s="39" t="s">
        <v>1166</v>
      </c>
      <c r="K50" s="39" t="s">
        <v>1167</v>
      </c>
      <c r="L50" s="39" t="s">
        <v>700</v>
      </c>
      <c r="M50" s="39" t="s">
        <v>1169</v>
      </c>
      <c r="N50" s="39" t="s">
        <v>1170</v>
      </c>
      <c r="O50" s="41" t="str">
        <f t="shared" si="0"/>
        <v>Christina Metri</v>
      </c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5.75" customHeight="1" x14ac:dyDescent="0.25">
      <c r="A51" s="28">
        <v>50</v>
      </c>
      <c r="B51" s="39" t="s">
        <v>1366</v>
      </c>
      <c r="C51" s="39" t="s">
        <v>1367</v>
      </c>
      <c r="D51" s="39" t="s">
        <v>1368</v>
      </c>
      <c r="E51" s="40">
        <v>44599</v>
      </c>
      <c r="F51" s="39" t="s">
        <v>1163</v>
      </c>
      <c r="G51" s="40" t="s">
        <v>1369</v>
      </c>
      <c r="H51" s="39" t="s">
        <v>1175</v>
      </c>
      <c r="I51" s="39" t="s">
        <v>1176</v>
      </c>
      <c r="J51" s="39" t="s">
        <v>1177</v>
      </c>
      <c r="K51" s="39" t="s">
        <v>1178</v>
      </c>
      <c r="L51" s="39" t="s">
        <v>683</v>
      </c>
      <c r="M51" s="39" t="s">
        <v>1179</v>
      </c>
      <c r="N51" s="39" t="s">
        <v>1180</v>
      </c>
      <c r="O51" s="41" t="str">
        <f t="shared" si="0"/>
        <v>Shakara Whitehead</v>
      </c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5.75" customHeight="1" x14ac:dyDescent="0.25">
      <c r="A52" s="28">
        <v>51</v>
      </c>
      <c r="B52" s="39" t="s">
        <v>1370</v>
      </c>
      <c r="C52" s="39" t="s">
        <v>1371</v>
      </c>
      <c r="D52" s="39" t="s">
        <v>1372</v>
      </c>
      <c r="E52" s="40">
        <v>44599</v>
      </c>
      <c r="F52" s="39" t="s">
        <v>1194</v>
      </c>
      <c r="G52" s="40" t="s">
        <v>1295</v>
      </c>
      <c r="H52" s="39" t="s">
        <v>1175</v>
      </c>
      <c r="I52" s="39"/>
      <c r="J52" s="39" t="s">
        <v>1177</v>
      </c>
      <c r="K52" s="43"/>
      <c r="L52" s="39" t="s">
        <v>683</v>
      </c>
      <c r="M52" s="39" t="s">
        <v>1179</v>
      </c>
      <c r="N52" s="39" t="s">
        <v>1180</v>
      </c>
      <c r="O52" s="41" t="str">
        <f t="shared" si="0"/>
        <v>Adonis Peguero</v>
      </c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5.75" customHeight="1" x14ac:dyDescent="0.25">
      <c r="A53" s="28">
        <v>52</v>
      </c>
      <c r="B53" s="39" t="s">
        <v>1373</v>
      </c>
      <c r="C53" s="39" t="s">
        <v>1374</v>
      </c>
      <c r="D53" s="39" t="s">
        <v>1375</v>
      </c>
      <c r="E53" s="40">
        <v>44606</v>
      </c>
      <c r="F53" s="39" t="s">
        <v>1194</v>
      </c>
      <c r="G53" s="40" t="s">
        <v>1376</v>
      </c>
      <c r="H53" s="39" t="s">
        <v>1196</v>
      </c>
      <c r="I53" s="39"/>
      <c r="J53" s="39" t="s">
        <v>1177</v>
      </c>
      <c r="K53" s="39"/>
      <c r="L53" s="39" t="s">
        <v>687</v>
      </c>
      <c r="M53" s="39" t="s">
        <v>1179</v>
      </c>
      <c r="N53" s="39" t="s">
        <v>1180</v>
      </c>
      <c r="O53" s="41" t="str">
        <f t="shared" si="0"/>
        <v>Anaflor Pernalete</v>
      </c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5.75" customHeight="1" x14ac:dyDescent="0.25">
      <c r="A54" s="28">
        <v>53</v>
      </c>
      <c r="B54" s="39" t="s">
        <v>1377</v>
      </c>
      <c r="C54" s="39" t="s">
        <v>1378</v>
      </c>
      <c r="D54" s="39" t="s">
        <v>1379</v>
      </c>
      <c r="E54" s="40">
        <v>44617</v>
      </c>
      <c r="F54" s="39" t="s">
        <v>1194</v>
      </c>
      <c r="G54" s="40" t="s">
        <v>1380</v>
      </c>
      <c r="H54" s="39" t="s">
        <v>1196</v>
      </c>
      <c r="I54" s="39"/>
      <c r="J54" s="39" t="s">
        <v>1166</v>
      </c>
      <c r="K54" s="39" t="s">
        <v>1178</v>
      </c>
      <c r="L54" s="39" t="s">
        <v>687</v>
      </c>
      <c r="M54" s="39" t="s">
        <v>1179</v>
      </c>
      <c r="N54" s="39" t="s">
        <v>1180</v>
      </c>
      <c r="O54" s="41" t="str">
        <f t="shared" si="0"/>
        <v>William Gilleran</v>
      </c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15.75" customHeight="1" x14ac:dyDescent="0.25">
      <c r="A55" s="28">
        <v>54</v>
      </c>
      <c r="B55" s="39" t="s">
        <v>1381</v>
      </c>
      <c r="C55" s="39" t="s">
        <v>1382</v>
      </c>
      <c r="D55" s="39" t="s">
        <v>1383</v>
      </c>
      <c r="E55" s="40">
        <v>44621</v>
      </c>
      <c r="F55" s="39" t="s">
        <v>1194</v>
      </c>
      <c r="G55" s="40" t="s">
        <v>1384</v>
      </c>
      <c r="H55" s="39" t="s">
        <v>1196</v>
      </c>
      <c r="I55" s="39"/>
      <c r="J55" s="39" t="s">
        <v>1166</v>
      </c>
      <c r="K55" s="39" t="s">
        <v>1167</v>
      </c>
      <c r="L55" s="39" t="s">
        <v>674</v>
      </c>
      <c r="M55" s="39" t="s">
        <v>1185</v>
      </c>
      <c r="N55" s="39" t="s">
        <v>1170</v>
      </c>
      <c r="O55" s="41" t="str">
        <f t="shared" si="0"/>
        <v>Anthony Younes</v>
      </c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15.75" customHeight="1" x14ac:dyDescent="0.25">
      <c r="A56" s="28">
        <v>55</v>
      </c>
      <c r="B56" s="39" t="s">
        <v>1385</v>
      </c>
      <c r="C56" s="39" t="s">
        <v>1386</v>
      </c>
      <c r="D56" s="39" t="s">
        <v>1387</v>
      </c>
      <c r="E56" s="40">
        <v>44620</v>
      </c>
      <c r="F56" s="39" t="s">
        <v>1194</v>
      </c>
      <c r="G56" s="40" t="s">
        <v>1388</v>
      </c>
      <c r="H56" s="39" t="s">
        <v>1196</v>
      </c>
      <c r="I56" s="39"/>
      <c r="J56" s="39" t="s">
        <v>1166</v>
      </c>
      <c r="K56" s="39"/>
      <c r="L56" s="39" t="s">
        <v>687</v>
      </c>
      <c r="M56" s="39" t="s">
        <v>1179</v>
      </c>
      <c r="N56" s="39" t="s">
        <v>1180</v>
      </c>
      <c r="O56" s="41" t="str">
        <f t="shared" si="0"/>
        <v>Joseph Chima</v>
      </c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15.75" customHeight="1" x14ac:dyDescent="0.25">
      <c r="A57" s="28">
        <v>56</v>
      </c>
      <c r="B57" s="39" t="s">
        <v>1389</v>
      </c>
      <c r="C57" s="39" t="s">
        <v>1390</v>
      </c>
      <c r="D57" s="39" t="s">
        <v>1391</v>
      </c>
      <c r="E57" s="40">
        <v>44627</v>
      </c>
      <c r="F57" s="39" t="s">
        <v>1194</v>
      </c>
      <c r="G57" s="40" t="s">
        <v>1392</v>
      </c>
      <c r="H57" s="39" t="s">
        <v>1196</v>
      </c>
      <c r="I57" s="39"/>
      <c r="J57" s="39" t="s">
        <v>1177</v>
      </c>
      <c r="K57" s="39" t="s">
        <v>1178</v>
      </c>
      <c r="L57" s="39" t="s">
        <v>687</v>
      </c>
      <c r="M57" s="39" t="s">
        <v>1179</v>
      </c>
      <c r="N57" s="39" t="s">
        <v>1180</v>
      </c>
      <c r="O57" s="41" t="str">
        <f t="shared" si="0"/>
        <v>Cameron Buckner</v>
      </c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15.75" customHeight="1" x14ac:dyDescent="0.25">
      <c r="A58" s="28">
        <v>57</v>
      </c>
      <c r="B58" s="39" t="s">
        <v>1307</v>
      </c>
      <c r="C58" s="39" t="s">
        <v>1393</v>
      </c>
      <c r="D58" s="39" t="s">
        <v>1394</v>
      </c>
      <c r="E58" s="40">
        <v>44634</v>
      </c>
      <c r="F58" s="39" t="s">
        <v>1194</v>
      </c>
      <c r="G58" s="40" t="s">
        <v>1395</v>
      </c>
      <c r="H58" s="39" t="s">
        <v>1175</v>
      </c>
      <c r="I58" s="39"/>
      <c r="J58" s="39" t="s">
        <v>1177</v>
      </c>
      <c r="K58" s="43"/>
      <c r="L58" s="39" t="s">
        <v>683</v>
      </c>
      <c r="M58" s="39" t="s">
        <v>1179</v>
      </c>
      <c r="N58" s="39" t="s">
        <v>1180</v>
      </c>
      <c r="O58" s="41" t="str">
        <f t="shared" si="0"/>
        <v>Alexander Mittell</v>
      </c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15.75" customHeight="1" x14ac:dyDescent="0.25">
      <c r="A59" s="28">
        <v>58</v>
      </c>
      <c r="B59" s="39" t="s">
        <v>1242</v>
      </c>
      <c r="C59" s="39" t="s">
        <v>1396</v>
      </c>
      <c r="D59" s="39" t="s">
        <v>1397</v>
      </c>
      <c r="E59" s="40">
        <v>44641</v>
      </c>
      <c r="F59" s="39" t="s">
        <v>1163</v>
      </c>
      <c r="G59" s="40" t="s">
        <v>1398</v>
      </c>
      <c r="H59" s="39" t="s">
        <v>1196</v>
      </c>
      <c r="I59" s="39" t="s">
        <v>1176</v>
      </c>
      <c r="J59" s="39" t="s">
        <v>1177</v>
      </c>
      <c r="K59" s="39" t="s">
        <v>1178</v>
      </c>
      <c r="L59" s="39" t="s">
        <v>687</v>
      </c>
      <c r="M59" s="39" t="s">
        <v>1179</v>
      </c>
      <c r="N59" s="39" t="s">
        <v>1180</v>
      </c>
      <c r="O59" s="41" t="str">
        <f t="shared" si="0"/>
        <v>Michael Christinsen</v>
      </c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15.75" customHeight="1" x14ac:dyDescent="0.25">
      <c r="A60" s="28">
        <v>59</v>
      </c>
      <c r="B60" s="39" t="s">
        <v>1399</v>
      </c>
      <c r="C60" s="39" t="s">
        <v>1400</v>
      </c>
      <c r="D60" s="39" t="s">
        <v>1401</v>
      </c>
      <c r="E60" s="40">
        <v>44679</v>
      </c>
      <c r="F60" s="39" t="s">
        <v>1194</v>
      </c>
      <c r="G60" s="40" t="s">
        <v>1402</v>
      </c>
      <c r="H60" s="39" t="s">
        <v>1175</v>
      </c>
      <c r="I60" s="39"/>
      <c r="J60" s="39" t="s">
        <v>1177</v>
      </c>
      <c r="K60" s="43"/>
      <c r="L60" s="39" t="s">
        <v>683</v>
      </c>
      <c r="M60" s="39" t="s">
        <v>1179</v>
      </c>
      <c r="N60" s="39" t="s">
        <v>1180</v>
      </c>
      <c r="O60" s="41" t="str">
        <f t="shared" si="0"/>
        <v>Justin Shaver</v>
      </c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5.75" customHeight="1" x14ac:dyDescent="0.25">
      <c r="A61" s="28">
        <v>60</v>
      </c>
      <c r="B61" s="39" t="s">
        <v>1403</v>
      </c>
      <c r="C61" s="39" t="s">
        <v>1404</v>
      </c>
      <c r="D61" s="39" t="s">
        <v>1405</v>
      </c>
      <c r="E61" s="40">
        <v>44679</v>
      </c>
      <c r="F61" s="39" t="s">
        <v>1163</v>
      </c>
      <c r="G61" s="40" t="s">
        <v>1406</v>
      </c>
      <c r="H61" s="39" t="s">
        <v>1175</v>
      </c>
      <c r="I61" s="39" t="s">
        <v>1176</v>
      </c>
      <c r="J61" s="39" t="s">
        <v>1166</v>
      </c>
      <c r="K61" s="39" t="s">
        <v>1178</v>
      </c>
      <c r="L61" s="39" t="s">
        <v>683</v>
      </c>
      <c r="M61" s="39" t="s">
        <v>1179</v>
      </c>
      <c r="N61" s="39" t="s">
        <v>1180</v>
      </c>
      <c r="O61" s="41" t="str">
        <f t="shared" si="0"/>
        <v>Pooja Manjeshwar</v>
      </c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5.75" customHeight="1" x14ac:dyDescent="0.25">
      <c r="A62" s="28">
        <v>61</v>
      </c>
      <c r="B62" s="39" t="s">
        <v>1407</v>
      </c>
      <c r="C62" s="39" t="s">
        <v>1408</v>
      </c>
      <c r="D62" s="39" t="s">
        <v>1409</v>
      </c>
      <c r="E62" s="40">
        <v>44679</v>
      </c>
      <c r="F62" s="39" t="s">
        <v>1194</v>
      </c>
      <c r="G62" s="40" t="s">
        <v>1410</v>
      </c>
      <c r="H62" s="39" t="s">
        <v>1175</v>
      </c>
      <c r="I62" s="39"/>
      <c r="J62" s="39" t="s">
        <v>1177</v>
      </c>
      <c r="K62" s="39" t="s">
        <v>1178</v>
      </c>
      <c r="L62" s="39" t="s">
        <v>683</v>
      </c>
      <c r="M62" s="39" t="s">
        <v>1179</v>
      </c>
      <c r="N62" s="39" t="s">
        <v>1180</v>
      </c>
      <c r="O62" s="41" t="str">
        <f t="shared" si="0"/>
        <v>Evan Guby</v>
      </c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5.75" customHeight="1" x14ac:dyDescent="0.25">
      <c r="A63" s="28">
        <v>62</v>
      </c>
      <c r="B63" s="39" t="s">
        <v>1411</v>
      </c>
      <c r="C63" s="39" t="s">
        <v>1412</v>
      </c>
      <c r="D63" s="39" t="s">
        <v>1413</v>
      </c>
      <c r="E63" s="40">
        <v>44704</v>
      </c>
      <c r="F63" s="39" t="s">
        <v>1194</v>
      </c>
      <c r="G63" s="40" t="s">
        <v>1414</v>
      </c>
      <c r="H63" s="39" t="s">
        <v>1175</v>
      </c>
      <c r="I63" s="39"/>
      <c r="J63" s="39" t="s">
        <v>1177</v>
      </c>
      <c r="K63" s="43"/>
      <c r="L63" s="39" t="s">
        <v>683</v>
      </c>
      <c r="M63" s="39" t="s">
        <v>1179</v>
      </c>
      <c r="N63" s="39" t="s">
        <v>1180</v>
      </c>
      <c r="O63" s="41" t="str">
        <f t="shared" si="0"/>
        <v>Ashle Craig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5.75" customHeight="1" x14ac:dyDescent="0.25">
      <c r="A64" s="28">
        <v>63</v>
      </c>
      <c r="B64" s="39" t="s">
        <v>1415</v>
      </c>
      <c r="C64" s="39" t="s">
        <v>1416</v>
      </c>
      <c r="D64" s="39" t="s">
        <v>1417</v>
      </c>
      <c r="E64" s="40">
        <v>45068</v>
      </c>
      <c r="F64" s="39" t="s">
        <v>1194</v>
      </c>
      <c r="G64" s="40" t="s">
        <v>1418</v>
      </c>
      <c r="H64" s="39" t="s">
        <v>1196</v>
      </c>
      <c r="I64" s="39"/>
      <c r="J64" s="39" t="s">
        <v>1177</v>
      </c>
      <c r="K64" s="39" t="s">
        <v>1178</v>
      </c>
      <c r="L64" s="39" t="s">
        <v>687</v>
      </c>
      <c r="M64" s="39" t="s">
        <v>1179</v>
      </c>
      <c r="N64" s="39" t="s">
        <v>1180</v>
      </c>
      <c r="O64" s="41" t="str">
        <f t="shared" si="0"/>
        <v>Henri Hatch</v>
      </c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15.75" customHeight="1" x14ac:dyDescent="0.25">
      <c r="A65" s="28">
        <v>64</v>
      </c>
      <c r="B65" s="39" t="s">
        <v>1419</v>
      </c>
      <c r="C65" s="39" t="s">
        <v>1420</v>
      </c>
      <c r="D65" s="39" t="s">
        <v>1421</v>
      </c>
      <c r="E65" s="40">
        <v>44725</v>
      </c>
      <c r="F65" s="39" t="s">
        <v>1194</v>
      </c>
      <c r="G65" s="40" t="s">
        <v>1422</v>
      </c>
      <c r="H65" s="39" t="s">
        <v>1196</v>
      </c>
      <c r="I65" s="39"/>
      <c r="J65" s="39" t="s">
        <v>1166</v>
      </c>
      <c r="K65" s="39"/>
      <c r="L65" s="39" t="s">
        <v>687</v>
      </c>
      <c r="M65" s="39" t="s">
        <v>1179</v>
      </c>
      <c r="N65" s="39" t="s">
        <v>1180</v>
      </c>
      <c r="O65" s="41" t="str">
        <f t="shared" si="0"/>
        <v>Dalton Ryan</v>
      </c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15.75" customHeight="1" x14ac:dyDescent="0.25">
      <c r="A66" s="28">
        <v>65</v>
      </c>
      <c r="B66" s="39" t="s">
        <v>1423</v>
      </c>
      <c r="C66" s="39" t="s">
        <v>1262</v>
      </c>
      <c r="D66" s="39" t="s">
        <v>1424</v>
      </c>
      <c r="E66" s="40">
        <v>44733</v>
      </c>
      <c r="F66" s="39" t="s">
        <v>1163</v>
      </c>
      <c r="G66" s="40" t="s">
        <v>1425</v>
      </c>
      <c r="H66" s="39" t="s">
        <v>1175</v>
      </c>
      <c r="I66" s="39" t="s">
        <v>1323</v>
      </c>
      <c r="J66" s="39" t="s">
        <v>1177</v>
      </c>
      <c r="K66" s="39" t="s">
        <v>1178</v>
      </c>
      <c r="L66" s="39" t="s">
        <v>732</v>
      </c>
      <c r="M66" s="39" t="s">
        <v>1179</v>
      </c>
      <c r="N66" s="39" t="s">
        <v>1180</v>
      </c>
      <c r="O66" s="41" t="str">
        <f t="shared" ref="O66:O129" si="1">B66&amp;" "&amp;C66</f>
        <v>Patrick Dennis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5.75" customHeight="1" x14ac:dyDescent="0.25">
      <c r="A67" s="28">
        <v>66</v>
      </c>
      <c r="B67" s="39" t="s">
        <v>1426</v>
      </c>
      <c r="C67" s="39" t="s">
        <v>1427</v>
      </c>
      <c r="D67" s="39" t="s">
        <v>1428</v>
      </c>
      <c r="E67" s="40">
        <v>44739</v>
      </c>
      <c r="F67" s="39" t="s">
        <v>1163</v>
      </c>
      <c r="G67" s="40" t="s">
        <v>1429</v>
      </c>
      <c r="H67" s="39" t="s">
        <v>1175</v>
      </c>
      <c r="I67" s="39" t="s">
        <v>1176</v>
      </c>
      <c r="J67" s="39" t="s">
        <v>1177</v>
      </c>
      <c r="K67" s="39" t="s">
        <v>1178</v>
      </c>
      <c r="L67" s="39" t="s">
        <v>683</v>
      </c>
      <c r="M67" s="39" t="s">
        <v>1179</v>
      </c>
      <c r="N67" s="39" t="s">
        <v>1180</v>
      </c>
      <c r="O67" s="41" t="str">
        <f t="shared" si="1"/>
        <v>Daniel Bench</v>
      </c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15.75" customHeight="1" x14ac:dyDescent="0.25">
      <c r="A68" s="28">
        <v>67</v>
      </c>
      <c r="B68" s="39" t="s">
        <v>1430</v>
      </c>
      <c r="C68" s="39" t="s">
        <v>1431</v>
      </c>
      <c r="D68" s="39" t="s">
        <v>1432</v>
      </c>
      <c r="E68" s="40">
        <v>44732</v>
      </c>
      <c r="F68" s="39" t="s">
        <v>1163</v>
      </c>
      <c r="G68" s="40" t="s">
        <v>1433</v>
      </c>
      <c r="H68" s="39" t="s">
        <v>1175</v>
      </c>
      <c r="I68" s="39" t="s">
        <v>1184</v>
      </c>
      <c r="J68" s="39" t="s">
        <v>1177</v>
      </c>
      <c r="K68" s="39" t="s">
        <v>1167</v>
      </c>
      <c r="L68" s="39" t="s">
        <v>680</v>
      </c>
      <c r="M68" s="39" t="s">
        <v>1185</v>
      </c>
      <c r="N68" s="39" t="s">
        <v>1186</v>
      </c>
      <c r="O68" s="41" t="str">
        <f t="shared" si="1"/>
        <v>Matthew Morris</v>
      </c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15.75" customHeight="1" x14ac:dyDescent="0.25">
      <c r="A69" s="28">
        <v>68</v>
      </c>
      <c r="B69" s="39" t="s">
        <v>1307</v>
      </c>
      <c r="C69" s="39" t="s">
        <v>1434</v>
      </c>
      <c r="D69" s="39" t="s">
        <v>1435</v>
      </c>
      <c r="E69" s="40">
        <v>44747</v>
      </c>
      <c r="F69" s="39" t="s">
        <v>1194</v>
      </c>
      <c r="G69" s="40" t="s">
        <v>1436</v>
      </c>
      <c r="H69" s="39" t="s">
        <v>1175</v>
      </c>
      <c r="I69" s="39"/>
      <c r="J69" s="39" t="s">
        <v>1177</v>
      </c>
      <c r="K69" s="43"/>
      <c r="L69" s="39" t="s">
        <v>683</v>
      </c>
      <c r="M69" s="39" t="s">
        <v>1179</v>
      </c>
      <c r="N69" s="39" t="s">
        <v>1180</v>
      </c>
      <c r="O69" s="41" t="str">
        <f t="shared" si="1"/>
        <v>Alexander Bennett</v>
      </c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15.75" customHeight="1" x14ac:dyDescent="0.25">
      <c r="A70" s="28">
        <v>69</v>
      </c>
      <c r="B70" s="39" t="s">
        <v>1437</v>
      </c>
      <c r="C70" s="39" t="s">
        <v>1438</v>
      </c>
      <c r="D70" s="39" t="s">
        <v>1439</v>
      </c>
      <c r="E70" s="40">
        <v>44753</v>
      </c>
      <c r="F70" s="39" t="s">
        <v>1163</v>
      </c>
      <c r="G70" s="40" t="s">
        <v>1440</v>
      </c>
      <c r="H70" s="39" t="s">
        <v>1165</v>
      </c>
      <c r="I70" s="39" t="s">
        <v>1441</v>
      </c>
      <c r="J70" s="39" t="s">
        <v>1166</v>
      </c>
      <c r="K70" s="39" t="s">
        <v>1167</v>
      </c>
      <c r="L70" s="39" t="s">
        <v>1168</v>
      </c>
      <c r="M70" s="39" t="s">
        <v>1169</v>
      </c>
      <c r="N70" s="39" t="s">
        <v>1170</v>
      </c>
      <c r="O70" s="41" t="str">
        <f t="shared" si="1"/>
        <v>Alta Abel</v>
      </c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5.75" customHeight="1" x14ac:dyDescent="0.25">
      <c r="A71" s="28">
        <v>70</v>
      </c>
      <c r="B71" s="39" t="s">
        <v>1426</v>
      </c>
      <c r="C71" s="39" t="s">
        <v>1442</v>
      </c>
      <c r="D71" s="39" t="s">
        <v>1443</v>
      </c>
      <c r="E71" s="40">
        <v>44767</v>
      </c>
      <c r="F71" s="39" t="s">
        <v>1163</v>
      </c>
      <c r="G71" s="40" t="s">
        <v>1444</v>
      </c>
      <c r="H71" s="39" t="s">
        <v>1196</v>
      </c>
      <c r="I71" s="39" t="s">
        <v>1323</v>
      </c>
      <c r="J71" s="39" t="s">
        <v>1166</v>
      </c>
      <c r="K71" s="39" t="s">
        <v>1178</v>
      </c>
      <c r="L71" s="39" t="s">
        <v>752</v>
      </c>
      <c r="M71" s="39" t="s">
        <v>1179</v>
      </c>
      <c r="N71" s="39" t="s">
        <v>1180</v>
      </c>
      <c r="O71" s="41" t="str">
        <f t="shared" si="1"/>
        <v>Daniel Hamilton</v>
      </c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5.75" customHeight="1" x14ac:dyDescent="0.25">
      <c r="A72" s="28">
        <v>71</v>
      </c>
      <c r="B72" s="39" t="s">
        <v>1445</v>
      </c>
      <c r="C72" s="39" t="s">
        <v>1446</v>
      </c>
      <c r="D72" s="39" t="s">
        <v>1447</v>
      </c>
      <c r="E72" s="40">
        <v>44772</v>
      </c>
      <c r="F72" s="39" t="s">
        <v>1163</v>
      </c>
      <c r="G72" s="40" t="s">
        <v>1448</v>
      </c>
      <c r="H72" s="39" t="s">
        <v>1175</v>
      </c>
      <c r="I72" s="39" t="s">
        <v>1176</v>
      </c>
      <c r="J72" s="39" t="s">
        <v>1281</v>
      </c>
      <c r="K72" s="39" t="s">
        <v>1178</v>
      </c>
      <c r="L72" s="39" t="s">
        <v>683</v>
      </c>
      <c r="M72" s="39" t="s">
        <v>1179</v>
      </c>
      <c r="N72" s="39" t="s">
        <v>1180</v>
      </c>
      <c r="O72" s="41" t="str">
        <f t="shared" si="1"/>
        <v>Ben Savage</v>
      </c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15.75" customHeight="1" x14ac:dyDescent="0.25">
      <c r="A73" s="28">
        <v>72</v>
      </c>
      <c r="B73" s="39" t="s">
        <v>1449</v>
      </c>
      <c r="C73" s="39" t="s">
        <v>1450</v>
      </c>
      <c r="D73" s="39" t="s">
        <v>1451</v>
      </c>
      <c r="E73" s="40">
        <v>44781</v>
      </c>
      <c r="F73" s="39" t="s">
        <v>1194</v>
      </c>
      <c r="G73" s="40" t="s">
        <v>1452</v>
      </c>
      <c r="H73" s="39" t="s">
        <v>1196</v>
      </c>
      <c r="I73" s="39"/>
      <c r="J73" s="39" t="s">
        <v>1177</v>
      </c>
      <c r="K73" s="39"/>
      <c r="L73" s="39" t="s">
        <v>674</v>
      </c>
      <c r="M73" s="39" t="s">
        <v>1185</v>
      </c>
      <c r="N73" s="39" t="s">
        <v>1170</v>
      </c>
      <c r="O73" s="41" t="str">
        <f t="shared" si="1"/>
        <v>Julian Wukitsch</v>
      </c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15.75" customHeight="1" x14ac:dyDescent="0.25">
      <c r="A74" s="28">
        <v>73</v>
      </c>
      <c r="B74" s="39" t="s">
        <v>1453</v>
      </c>
      <c r="C74" s="39" t="s">
        <v>1454</v>
      </c>
      <c r="D74" s="39" t="s">
        <v>1455</v>
      </c>
      <c r="E74" s="40">
        <v>44788</v>
      </c>
      <c r="F74" s="39" t="s">
        <v>1194</v>
      </c>
      <c r="G74" s="40" t="s">
        <v>1295</v>
      </c>
      <c r="H74" s="39" t="s">
        <v>1175</v>
      </c>
      <c r="I74" s="39"/>
      <c r="J74" s="39" t="s">
        <v>1177</v>
      </c>
      <c r="K74" s="39"/>
      <c r="L74" s="39" t="s">
        <v>732</v>
      </c>
      <c r="M74" s="39" t="s">
        <v>1179</v>
      </c>
      <c r="N74" s="39" t="s">
        <v>1180</v>
      </c>
      <c r="O74" s="41" t="str">
        <f t="shared" si="1"/>
        <v>Thomas Sobczak</v>
      </c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15.75" customHeight="1" x14ac:dyDescent="0.25">
      <c r="A75" s="28">
        <v>74</v>
      </c>
      <c r="B75" s="39" t="s">
        <v>1456</v>
      </c>
      <c r="C75" s="39" t="s">
        <v>1457</v>
      </c>
      <c r="D75" s="39" t="s">
        <v>1458</v>
      </c>
      <c r="E75" s="40">
        <v>44795</v>
      </c>
      <c r="F75" s="39" t="s">
        <v>1163</v>
      </c>
      <c r="G75" s="40" t="s">
        <v>1459</v>
      </c>
      <c r="H75" s="39" t="s">
        <v>1175</v>
      </c>
      <c r="I75" s="39" t="s">
        <v>1176</v>
      </c>
      <c r="J75" s="39" t="s">
        <v>1177</v>
      </c>
      <c r="K75" s="39" t="s">
        <v>1178</v>
      </c>
      <c r="L75" s="39" t="s">
        <v>683</v>
      </c>
      <c r="M75" s="39" t="s">
        <v>1179</v>
      </c>
      <c r="N75" s="39" t="s">
        <v>1180</v>
      </c>
      <c r="O75" s="41" t="str">
        <f t="shared" si="1"/>
        <v>Robert Witty</v>
      </c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15.75" customHeight="1" x14ac:dyDescent="0.25">
      <c r="A76" s="28">
        <v>75</v>
      </c>
      <c r="B76" s="39" t="s">
        <v>1460</v>
      </c>
      <c r="C76" s="39" t="s">
        <v>1461</v>
      </c>
      <c r="D76" s="39" t="s">
        <v>1462</v>
      </c>
      <c r="E76" s="40">
        <v>44788</v>
      </c>
      <c r="F76" s="39" t="s">
        <v>1194</v>
      </c>
      <c r="G76" s="40" t="s">
        <v>1463</v>
      </c>
      <c r="H76" s="39" t="s">
        <v>1196</v>
      </c>
      <c r="I76" s="39"/>
      <c r="J76" s="39" t="s">
        <v>1177</v>
      </c>
      <c r="K76" s="39" t="s">
        <v>1167</v>
      </c>
      <c r="L76" s="39" t="s">
        <v>674</v>
      </c>
      <c r="M76" s="39" t="s">
        <v>1185</v>
      </c>
      <c r="N76" s="39" t="s">
        <v>1170</v>
      </c>
      <c r="O76" s="41" t="str">
        <f t="shared" si="1"/>
        <v>Benjamin Verrill</v>
      </c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15.75" customHeight="1" x14ac:dyDescent="0.25">
      <c r="A77" s="28">
        <v>76</v>
      </c>
      <c r="B77" s="39" t="s">
        <v>1464</v>
      </c>
      <c r="C77" s="39" t="s">
        <v>1465</v>
      </c>
      <c r="D77" s="39" t="s">
        <v>1466</v>
      </c>
      <c r="E77" s="40">
        <v>44805</v>
      </c>
      <c r="F77" s="39" t="s">
        <v>1194</v>
      </c>
      <c r="G77" s="40" t="s">
        <v>1195</v>
      </c>
      <c r="H77" s="39" t="s">
        <v>1196</v>
      </c>
      <c r="I77" s="39"/>
      <c r="J77" s="39" t="s">
        <v>1177</v>
      </c>
      <c r="K77" s="39"/>
      <c r="L77" s="39" t="s">
        <v>752</v>
      </c>
      <c r="M77" s="39" t="s">
        <v>1179</v>
      </c>
      <c r="N77" s="39" t="s">
        <v>1180</v>
      </c>
      <c r="O77" s="41" t="str">
        <f t="shared" si="1"/>
        <v>Courtney Wesh</v>
      </c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15.75" customHeight="1" x14ac:dyDescent="0.25">
      <c r="A78" s="28">
        <v>77</v>
      </c>
      <c r="B78" s="39" t="s">
        <v>1467</v>
      </c>
      <c r="C78" s="39" t="s">
        <v>1468</v>
      </c>
      <c r="D78" s="39" t="s">
        <v>1469</v>
      </c>
      <c r="E78" s="40">
        <v>44810</v>
      </c>
      <c r="F78" s="39" t="s">
        <v>1163</v>
      </c>
      <c r="G78" s="40" t="s">
        <v>1470</v>
      </c>
      <c r="H78" s="39" t="s">
        <v>1175</v>
      </c>
      <c r="I78" s="39" t="s">
        <v>1184</v>
      </c>
      <c r="J78" s="39" t="s">
        <v>1177</v>
      </c>
      <c r="K78" s="39" t="s">
        <v>1167</v>
      </c>
      <c r="L78" s="39" t="s">
        <v>680</v>
      </c>
      <c r="M78" s="39" t="s">
        <v>1185</v>
      </c>
      <c r="N78" s="39" t="s">
        <v>1186</v>
      </c>
      <c r="O78" s="41" t="str">
        <f t="shared" si="1"/>
        <v>Chloe Brant</v>
      </c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15.75" customHeight="1" x14ac:dyDescent="0.25">
      <c r="A79" s="28">
        <v>78</v>
      </c>
      <c r="B79" s="39" t="s">
        <v>1471</v>
      </c>
      <c r="C79" s="39" t="s">
        <v>1472</v>
      </c>
      <c r="D79" s="39" t="s">
        <v>1473</v>
      </c>
      <c r="E79" s="40">
        <v>44810</v>
      </c>
      <c r="F79" s="39" t="s">
        <v>1194</v>
      </c>
      <c r="G79" s="40" t="s">
        <v>1474</v>
      </c>
      <c r="H79" s="39" t="s">
        <v>1196</v>
      </c>
      <c r="I79" s="39"/>
      <c r="J79" s="39" t="s">
        <v>1177</v>
      </c>
      <c r="K79" s="39" t="s">
        <v>1167</v>
      </c>
      <c r="L79" s="39" t="s">
        <v>674</v>
      </c>
      <c r="M79" s="39" t="s">
        <v>1185</v>
      </c>
      <c r="N79" s="39" t="s">
        <v>1170</v>
      </c>
      <c r="O79" s="41" t="str">
        <f t="shared" si="1"/>
        <v>Max Clark</v>
      </c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15.75" customHeight="1" x14ac:dyDescent="0.25">
      <c r="A80" s="28">
        <v>79</v>
      </c>
      <c r="B80" s="39" t="s">
        <v>1475</v>
      </c>
      <c r="C80" s="39" t="s">
        <v>1476</v>
      </c>
      <c r="D80" s="39" t="s">
        <v>1477</v>
      </c>
      <c r="E80" s="40">
        <v>44810</v>
      </c>
      <c r="F80" s="39" t="s">
        <v>1163</v>
      </c>
      <c r="G80" s="40" t="s">
        <v>1470</v>
      </c>
      <c r="H80" s="39" t="s">
        <v>1165</v>
      </c>
      <c r="I80" s="39" t="s">
        <v>1184</v>
      </c>
      <c r="J80" s="39" t="s">
        <v>1177</v>
      </c>
      <c r="K80" s="39" t="s">
        <v>1167</v>
      </c>
      <c r="L80" s="39" t="s">
        <v>674</v>
      </c>
      <c r="M80" s="39" t="s">
        <v>1185</v>
      </c>
      <c r="N80" s="39" t="s">
        <v>1170</v>
      </c>
      <c r="O80" s="41" t="str">
        <f t="shared" si="1"/>
        <v>Jessy Lamontagne</v>
      </c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15.75" customHeight="1" x14ac:dyDescent="0.25">
      <c r="A81" s="28">
        <v>80</v>
      </c>
      <c r="B81" s="39" t="s">
        <v>1478</v>
      </c>
      <c r="C81" s="39" t="s">
        <v>1479</v>
      </c>
      <c r="D81" s="39" t="s">
        <v>1480</v>
      </c>
      <c r="E81" s="40">
        <v>44823</v>
      </c>
      <c r="F81" s="39" t="s">
        <v>1194</v>
      </c>
      <c r="G81" s="40" t="s">
        <v>1481</v>
      </c>
      <c r="H81" s="39" t="s">
        <v>1196</v>
      </c>
      <c r="I81" s="39"/>
      <c r="J81" s="39" t="s">
        <v>1177</v>
      </c>
      <c r="K81" s="39"/>
      <c r="L81" s="39" t="s">
        <v>687</v>
      </c>
      <c r="M81" s="39" t="s">
        <v>1179</v>
      </c>
      <c r="N81" s="39" t="s">
        <v>1180</v>
      </c>
      <c r="O81" s="41" t="str">
        <f t="shared" si="1"/>
        <v>Afeez Nosiru</v>
      </c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15.75" customHeight="1" x14ac:dyDescent="0.25">
      <c r="A82" s="28">
        <v>81</v>
      </c>
      <c r="B82" s="39" t="s">
        <v>1482</v>
      </c>
      <c r="C82" s="39" t="s">
        <v>1483</v>
      </c>
      <c r="D82" s="39" t="s">
        <v>1484</v>
      </c>
      <c r="E82" s="40">
        <v>44823</v>
      </c>
      <c r="F82" s="39" t="s">
        <v>1194</v>
      </c>
      <c r="G82" s="40" t="s">
        <v>1414</v>
      </c>
      <c r="H82" s="39" t="s">
        <v>1196</v>
      </c>
      <c r="I82" s="39"/>
      <c r="J82" s="39" t="s">
        <v>1177</v>
      </c>
      <c r="K82" s="39"/>
      <c r="L82" s="39" t="s">
        <v>687</v>
      </c>
      <c r="M82" s="39" t="s">
        <v>1179</v>
      </c>
      <c r="N82" s="39" t="s">
        <v>1180</v>
      </c>
      <c r="O82" s="41" t="str">
        <f t="shared" si="1"/>
        <v>Obi Ebbis</v>
      </c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15.75" customHeight="1" x14ac:dyDescent="0.25">
      <c r="A83" s="28">
        <v>82</v>
      </c>
      <c r="B83" s="39" t="s">
        <v>1485</v>
      </c>
      <c r="C83" s="39" t="s">
        <v>1486</v>
      </c>
      <c r="D83" s="39" t="s">
        <v>1487</v>
      </c>
      <c r="E83" s="40">
        <v>44845</v>
      </c>
      <c r="F83" s="39" t="s">
        <v>1194</v>
      </c>
      <c r="G83" s="40" t="s">
        <v>1295</v>
      </c>
      <c r="H83" s="39" t="s">
        <v>1196</v>
      </c>
      <c r="I83" s="39"/>
      <c r="J83" s="39" t="s">
        <v>1177</v>
      </c>
      <c r="K83" s="39"/>
      <c r="L83" s="39" t="s">
        <v>752</v>
      </c>
      <c r="M83" s="39" t="s">
        <v>1179</v>
      </c>
      <c r="N83" s="39" t="s">
        <v>1180</v>
      </c>
      <c r="O83" s="41" t="str">
        <f t="shared" si="1"/>
        <v>Lora Rose</v>
      </c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15.75" customHeight="1" x14ac:dyDescent="0.25">
      <c r="A84" s="28">
        <v>83</v>
      </c>
      <c r="B84" s="39" t="s">
        <v>1488</v>
      </c>
      <c r="C84" s="39" t="s">
        <v>1489</v>
      </c>
      <c r="D84" s="39" t="s">
        <v>1490</v>
      </c>
      <c r="E84" s="40">
        <v>44851</v>
      </c>
      <c r="F84" s="39" t="s">
        <v>1163</v>
      </c>
      <c r="G84" s="40" t="s">
        <v>1491</v>
      </c>
      <c r="H84" s="39" t="s">
        <v>1175</v>
      </c>
      <c r="I84" s="39" t="s">
        <v>1176</v>
      </c>
      <c r="J84" s="39" t="s">
        <v>1177</v>
      </c>
      <c r="K84" s="39" t="s">
        <v>1178</v>
      </c>
      <c r="L84" s="39" t="s">
        <v>683</v>
      </c>
      <c r="M84" s="39" t="s">
        <v>1179</v>
      </c>
      <c r="N84" s="39" t="s">
        <v>1180</v>
      </c>
      <c r="O84" s="41" t="str">
        <f t="shared" si="1"/>
        <v>Zachary Kenyon</v>
      </c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15.75" customHeight="1" x14ac:dyDescent="0.25">
      <c r="A85" s="28">
        <v>84</v>
      </c>
      <c r="B85" s="39" t="s">
        <v>1492</v>
      </c>
      <c r="C85" s="39" t="s">
        <v>1493</v>
      </c>
      <c r="D85" s="39" t="s">
        <v>1494</v>
      </c>
      <c r="E85" s="40">
        <v>44872</v>
      </c>
      <c r="F85" s="39" t="s">
        <v>1163</v>
      </c>
      <c r="G85" s="40" t="s">
        <v>1495</v>
      </c>
      <c r="H85" s="39" t="s">
        <v>1165</v>
      </c>
      <c r="I85" s="39" t="s">
        <v>1205</v>
      </c>
      <c r="J85" s="39" t="s">
        <v>1166</v>
      </c>
      <c r="K85" s="39" t="s">
        <v>1167</v>
      </c>
      <c r="L85" s="39" t="s">
        <v>700</v>
      </c>
      <c r="M85" s="39" t="s">
        <v>1169</v>
      </c>
      <c r="N85" s="39" t="s">
        <v>1170</v>
      </c>
      <c r="O85" s="41" t="str">
        <f t="shared" si="1"/>
        <v>Ayaan Israni</v>
      </c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15.75" customHeight="1" x14ac:dyDescent="0.25">
      <c r="A86" s="28">
        <v>85</v>
      </c>
      <c r="B86" s="39" t="s">
        <v>1496</v>
      </c>
      <c r="C86" s="39" t="s">
        <v>1497</v>
      </c>
      <c r="D86" s="39" t="s">
        <v>1498</v>
      </c>
      <c r="E86" s="40">
        <v>44872</v>
      </c>
      <c r="F86" s="39" t="s">
        <v>1163</v>
      </c>
      <c r="G86" s="40" t="s">
        <v>1495</v>
      </c>
      <c r="H86" s="39" t="s">
        <v>1175</v>
      </c>
      <c r="I86" s="39" t="s">
        <v>1323</v>
      </c>
      <c r="J86" s="39" t="s">
        <v>1177</v>
      </c>
      <c r="K86" s="39" t="s">
        <v>1178</v>
      </c>
      <c r="L86" s="39" t="s">
        <v>732</v>
      </c>
      <c r="M86" s="39" t="s">
        <v>1179</v>
      </c>
      <c r="N86" s="39" t="s">
        <v>1180</v>
      </c>
      <c r="O86" s="41" t="str">
        <f t="shared" si="1"/>
        <v>Danielle Severs</v>
      </c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15.75" customHeight="1" x14ac:dyDescent="0.25">
      <c r="A87" s="28">
        <v>86</v>
      </c>
      <c r="B87" s="39" t="s">
        <v>1499</v>
      </c>
      <c r="C87" s="39" t="s">
        <v>1500</v>
      </c>
      <c r="D87" s="39" t="s">
        <v>1501</v>
      </c>
      <c r="E87" s="40">
        <v>44872</v>
      </c>
      <c r="F87" s="39" t="s">
        <v>1194</v>
      </c>
      <c r="G87" s="40" t="s">
        <v>1502</v>
      </c>
      <c r="H87" s="39" t="s">
        <v>1196</v>
      </c>
      <c r="I87" s="39"/>
      <c r="J87" s="39" t="s">
        <v>1177</v>
      </c>
      <c r="K87" s="39"/>
      <c r="L87" s="39" t="s">
        <v>687</v>
      </c>
      <c r="M87" s="39" t="s">
        <v>1179</v>
      </c>
      <c r="N87" s="39" t="s">
        <v>1180</v>
      </c>
      <c r="O87" s="41" t="str">
        <f t="shared" si="1"/>
        <v>Nolan Corcoran</v>
      </c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15.75" customHeight="1" x14ac:dyDescent="0.25">
      <c r="A88" s="28">
        <v>87</v>
      </c>
      <c r="B88" s="39" t="s">
        <v>1377</v>
      </c>
      <c r="C88" s="39" t="s">
        <v>1503</v>
      </c>
      <c r="D88" s="39" t="s">
        <v>1504</v>
      </c>
      <c r="E88" s="40">
        <v>44873</v>
      </c>
      <c r="F88" s="39" t="s">
        <v>1163</v>
      </c>
      <c r="G88" s="40" t="s">
        <v>1505</v>
      </c>
      <c r="H88" s="39" t="s">
        <v>1175</v>
      </c>
      <c r="I88" s="39" t="s">
        <v>1176</v>
      </c>
      <c r="J88" s="39" t="s">
        <v>1177</v>
      </c>
      <c r="K88" s="39" t="s">
        <v>1178</v>
      </c>
      <c r="L88" s="39" t="s">
        <v>683</v>
      </c>
      <c r="M88" s="39" t="s">
        <v>1179</v>
      </c>
      <c r="N88" s="39" t="s">
        <v>1180</v>
      </c>
      <c r="O88" s="41" t="str">
        <f t="shared" si="1"/>
        <v>William Sanderford</v>
      </c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15.75" customHeight="1" x14ac:dyDescent="0.25">
      <c r="A89" s="28">
        <v>88</v>
      </c>
      <c r="B89" s="39" t="s">
        <v>1506</v>
      </c>
      <c r="C89" s="39" t="s">
        <v>1507</v>
      </c>
      <c r="D89" s="39" t="s">
        <v>1508</v>
      </c>
      <c r="E89" s="40">
        <v>44879</v>
      </c>
      <c r="F89" s="39" t="s">
        <v>1194</v>
      </c>
      <c r="G89" s="40" t="s">
        <v>1509</v>
      </c>
      <c r="H89" s="39" t="s">
        <v>1175</v>
      </c>
      <c r="I89" s="39"/>
      <c r="J89" s="39" t="s">
        <v>1177</v>
      </c>
      <c r="K89" s="39" t="s">
        <v>1178</v>
      </c>
      <c r="L89" s="39" t="s">
        <v>683</v>
      </c>
      <c r="M89" s="39" t="s">
        <v>1179</v>
      </c>
      <c r="N89" s="39" t="s">
        <v>1180</v>
      </c>
      <c r="O89" s="41" t="str">
        <f t="shared" si="1"/>
        <v>Dana Aft</v>
      </c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15.75" customHeight="1" x14ac:dyDescent="0.25">
      <c r="A90" s="28">
        <v>89</v>
      </c>
      <c r="B90" s="39" t="s">
        <v>1510</v>
      </c>
      <c r="C90" s="39" t="s">
        <v>1511</v>
      </c>
      <c r="D90" s="39" t="s">
        <v>1512</v>
      </c>
      <c r="E90" s="40">
        <v>44879</v>
      </c>
      <c r="F90" s="39" t="s">
        <v>1163</v>
      </c>
      <c r="G90" s="40" t="s">
        <v>1513</v>
      </c>
      <c r="H90" s="39" t="s">
        <v>1196</v>
      </c>
      <c r="I90" s="39" t="s">
        <v>1176</v>
      </c>
      <c r="J90" s="39" t="s">
        <v>1177</v>
      </c>
      <c r="K90" s="39" t="s">
        <v>1178</v>
      </c>
      <c r="L90" s="39" t="s">
        <v>687</v>
      </c>
      <c r="M90" s="39" t="s">
        <v>1179</v>
      </c>
      <c r="N90" s="39" t="s">
        <v>1180</v>
      </c>
      <c r="O90" s="41" t="str">
        <f t="shared" si="1"/>
        <v>Luis Gallego Cardona</v>
      </c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15.75" customHeight="1" x14ac:dyDescent="0.25">
      <c r="A91" s="28">
        <v>90</v>
      </c>
      <c r="B91" s="39" t="s">
        <v>1514</v>
      </c>
      <c r="C91" s="39" t="s">
        <v>1515</v>
      </c>
      <c r="D91" s="39" t="s">
        <v>1516</v>
      </c>
      <c r="E91" s="40">
        <v>44896</v>
      </c>
      <c r="F91" s="39" t="s">
        <v>1194</v>
      </c>
      <c r="G91" s="40" t="s">
        <v>1474</v>
      </c>
      <c r="H91" s="39" t="s">
        <v>1196</v>
      </c>
      <c r="I91" s="39"/>
      <c r="J91" s="39" t="s">
        <v>1166</v>
      </c>
      <c r="K91" s="39" t="s">
        <v>1178</v>
      </c>
      <c r="L91" s="39" t="s">
        <v>687</v>
      </c>
      <c r="M91" s="39" t="s">
        <v>1179</v>
      </c>
      <c r="N91" s="39" t="s">
        <v>1180</v>
      </c>
      <c r="O91" s="41" t="str">
        <f t="shared" si="1"/>
        <v>Brent Falk</v>
      </c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15.75" customHeight="1" x14ac:dyDescent="0.25">
      <c r="A92" s="28">
        <v>91</v>
      </c>
      <c r="B92" s="39" t="s">
        <v>1456</v>
      </c>
      <c r="C92" s="39" t="s">
        <v>1517</v>
      </c>
      <c r="D92" s="39" t="s">
        <v>1518</v>
      </c>
      <c r="E92" s="40">
        <v>44900</v>
      </c>
      <c r="F92" s="39" t="s">
        <v>1163</v>
      </c>
      <c r="G92" s="40" t="s">
        <v>1519</v>
      </c>
      <c r="H92" s="39" t="s">
        <v>1175</v>
      </c>
      <c r="I92" s="39" t="s">
        <v>1176</v>
      </c>
      <c r="J92" s="39" t="s">
        <v>1177</v>
      </c>
      <c r="K92" s="39" t="s">
        <v>1178</v>
      </c>
      <c r="L92" s="39" t="s">
        <v>683</v>
      </c>
      <c r="M92" s="39" t="s">
        <v>1179</v>
      </c>
      <c r="N92" s="39" t="s">
        <v>1180</v>
      </c>
      <c r="O92" s="41" t="str">
        <f t="shared" si="1"/>
        <v>Robert Kolosky</v>
      </c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15.75" customHeight="1" x14ac:dyDescent="0.25">
      <c r="A93" s="28">
        <v>92</v>
      </c>
      <c r="B93" s="39" t="s">
        <v>1520</v>
      </c>
      <c r="C93" s="39" t="s">
        <v>1521</v>
      </c>
      <c r="D93" s="39" t="s">
        <v>1522</v>
      </c>
      <c r="E93" s="40">
        <v>44900</v>
      </c>
      <c r="F93" s="39" t="s">
        <v>1194</v>
      </c>
      <c r="G93" s="40" t="s">
        <v>1295</v>
      </c>
      <c r="H93" s="39" t="s">
        <v>1175</v>
      </c>
      <c r="I93" s="39"/>
      <c r="J93" s="39" t="s">
        <v>1177</v>
      </c>
      <c r="K93" s="43"/>
      <c r="L93" s="39" t="s">
        <v>683</v>
      </c>
      <c r="M93" s="39" t="s">
        <v>1179</v>
      </c>
      <c r="N93" s="39" t="s">
        <v>1180</v>
      </c>
      <c r="O93" s="41" t="str">
        <f t="shared" si="1"/>
        <v>Jose Reyes</v>
      </c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15.75" customHeight="1" x14ac:dyDescent="0.25">
      <c r="A94" s="28">
        <v>93</v>
      </c>
      <c r="B94" s="39" t="s">
        <v>1523</v>
      </c>
      <c r="C94" s="39" t="s">
        <v>1524</v>
      </c>
      <c r="D94" s="39" t="s">
        <v>1525</v>
      </c>
      <c r="E94" s="40">
        <v>44903</v>
      </c>
      <c r="F94" s="39" t="s">
        <v>1194</v>
      </c>
      <c r="G94" s="40" t="s">
        <v>1526</v>
      </c>
      <c r="H94" s="39" t="s">
        <v>1175</v>
      </c>
      <c r="I94" s="39"/>
      <c r="J94" s="39" t="s">
        <v>1166</v>
      </c>
      <c r="K94" s="39" t="s">
        <v>1178</v>
      </c>
      <c r="L94" s="39" t="s">
        <v>683</v>
      </c>
      <c r="M94" s="39" t="s">
        <v>1179</v>
      </c>
      <c r="N94" s="39" t="s">
        <v>1180</v>
      </c>
      <c r="O94" s="41" t="str">
        <f t="shared" si="1"/>
        <v>Valdas Simanauskas</v>
      </c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15.75" customHeight="1" x14ac:dyDescent="0.25">
      <c r="A95" s="28">
        <v>94</v>
      </c>
      <c r="B95" s="39" t="s">
        <v>1242</v>
      </c>
      <c r="C95" s="39" t="s">
        <v>1527</v>
      </c>
      <c r="D95" s="39" t="s">
        <v>1528</v>
      </c>
      <c r="E95" s="40">
        <v>44925</v>
      </c>
      <c r="F95" s="39" t="s">
        <v>1194</v>
      </c>
      <c r="G95" s="40" t="s">
        <v>1529</v>
      </c>
      <c r="H95" s="39" t="s">
        <v>1175</v>
      </c>
      <c r="I95" s="39"/>
      <c r="J95" s="39" t="s">
        <v>1177</v>
      </c>
      <c r="K95" s="39"/>
      <c r="L95" s="39" t="s">
        <v>680</v>
      </c>
      <c r="M95" s="39" t="s">
        <v>1185</v>
      </c>
      <c r="N95" s="39" t="s">
        <v>1186</v>
      </c>
      <c r="O95" s="41" t="str">
        <f t="shared" si="1"/>
        <v>Michael Skelton</v>
      </c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15.75" customHeight="1" x14ac:dyDescent="0.25">
      <c r="A96" s="28">
        <v>95</v>
      </c>
      <c r="B96" s="39" t="s">
        <v>1385</v>
      </c>
      <c r="C96" s="39" t="s">
        <v>1530</v>
      </c>
      <c r="D96" s="39" t="s">
        <v>1531</v>
      </c>
      <c r="E96" s="40">
        <v>44949</v>
      </c>
      <c r="F96" s="39" t="s">
        <v>1194</v>
      </c>
      <c r="G96" s="40" t="s">
        <v>1532</v>
      </c>
      <c r="H96" s="39" t="s">
        <v>1175</v>
      </c>
      <c r="I96" s="39"/>
      <c r="J96" s="39" t="s">
        <v>1166</v>
      </c>
      <c r="K96" s="39" t="s">
        <v>1178</v>
      </c>
      <c r="L96" s="39" t="s">
        <v>732</v>
      </c>
      <c r="M96" s="39" t="s">
        <v>1179</v>
      </c>
      <c r="N96" s="39" t="s">
        <v>1180</v>
      </c>
      <c r="O96" s="41" t="str">
        <f t="shared" si="1"/>
        <v>Joseph Phalan</v>
      </c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15.75" customHeight="1" x14ac:dyDescent="0.25">
      <c r="A97" s="28">
        <v>96</v>
      </c>
      <c r="B97" s="39" t="s">
        <v>1354</v>
      </c>
      <c r="C97" s="39" t="s">
        <v>1223</v>
      </c>
      <c r="D97" s="39" t="s">
        <v>1533</v>
      </c>
      <c r="E97" s="40">
        <v>44956</v>
      </c>
      <c r="F97" s="39" t="s">
        <v>1194</v>
      </c>
      <c r="G97" s="40" t="s">
        <v>1422</v>
      </c>
      <c r="H97" s="39" t="s">
        <v>1175</v>
      </c>
      <c r="I97" s="39"/>
      <c r="J97" s="39" t="s">
        <v>1166</v>
      </c>
      <c r="K97" s="39"/>
      <c r="L97" s="39" t="s">
        <v>732</v>
      </c>
      <c r="M97" s="39" t="s">
        <v>1179</v>
      </c>
      <c r="N97" s="39" t="s">
        <v>1180</v>
      </c>
      <c r="O97" s="41" t="str">
        <f t="shared" si="1"/>
        <v>Alexandra Kapetanopoulos</v>
      </c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15.75" customHeight="1" x14ac:dyDescent="0.25">
      <c r="A98" s="28">
        <v>97</v>
      </c>
      <c r="B98" s="39" t="s">
        <v>1534</v>
      </c>
      <c r="C98" s="39" t="s">
        <v>1535</v>
      </c>
      <c r="D98" s="39" t="s">
        <v>1536</v>
      </c>
      <c r="E98" s="40">
        <v>44957</v>
      </c>
      <c r="F98" s="39" t="s">
        <v>1194</v>
      </c>
      <c r="G98" s="40" t="s">
        <v>1463</v>
      </c>
      <c r="H98" s="39" t="s">
        <v>1196</v>
      </c>
      <c r="I98" s="39"/>
      <c r="J98" s="39" t="s">
        <v>1177</v>
      </c>
      <c r="K98" s="39" t="s">
        <v>1178</v>
      </c>
      <c r="L98" s="39" t="s">
        <v>752</v>
      </c>
      <c r="M98" s="39" t="s">
        <v>1179</v>
      </c>
      <c r="N98" s="39" t="s">
        <v>1180</v>
      </c>
      <c r="O98" s="41" t="str">
        <f t="shared" si="1"/>
        <v>Kelly Catteau</v>
      </c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15.75" customHeight="1" x14ac:dyDescent="0.25">
      <c r="A99" s="28">
        <v>98</v>
      </c>
      <c r="B99" s="39" t="s">
        <v>1537</v>
      </c>
      <c r="C99" s="39" t="s">
        <v>1538</v>
      </c>
      <c r="D99" s="39" t="s">
        <v>1539</v>
      </c>
      <c r="E99" s="40">
        <v>44963</v>
      </c>
      <c r="F99" s="39" t="s">
        <v>1163</v>
      </c>
      <c r="G99" s="40" t="s">
        <v>1540</v>
      </c>
      <c r="H99" s="39" t="s">
        <v>1165</v>
      </c>
      <c r="I99" s="39" t="s">
        <v>1165</v>
      </c>
      <c r="J99" s="39" t="s">
        <v>1166</v>
      </c>
      <c r="K99" s="39" t="s">
        <v>1167</v>
      </c>
      <c r="L99" s="39" t="s">
        <v>700</v>
      </c>
      <c r="M99" s="39" t="s">
        <v>1169</v>
      </c>
      <c r="N99" s="39" t="s">
        <v>1170</v>
      </c>
      <c r="O99" s="41" t="str">
        <f t="shared" si="1"/>
        <v>Elyse Neumeier</v>
      </c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15.75" customHeight="1" x14ac:dyDescent="0.25">
      <c r="A100" s="28">
        <v>99</v>
      </c>
      <c r="B100" s="39" t="s">
        <v>1541</v>
      </c>
      <c r="C100" s="39" t="s">
        <v>1542</v>
      </c>
      <c r="D100" s="39" t="s">
        <v>1543</v>
      </c>
      <c r="E100" s="40">
        <v>44984</v>
      </c>
      <c r="F100" s="39" t="s">
        <v>1163</v>
      </c>
      <c r="G100" s="40" t="s">
        <v>1544</v>
      </c>
      <c r="H100" s="39" t="s">
        <v>1175</v>
      </c>
      <c r="I100" s="39" t="s">
        <v>1176</v>
      </c>
      <c r="J100" s="39" t="s">
        <v>1177</v>
      </c>
      <c r="K100" s="39" t="s">
        <v>1178</v>
      </c>
      <c r="L100" s="39" t="s">
        <v>683</v>
      </c>
      <c r="M100" s="39" t="s">
        <v>1179</v>
      </c>
      <c r="N100" s="39" t="s">
        <v>1180</v>
      </c>
      <c r="O100" s="41" t="str">
        <f t="shared" si="1"/>
        <v>Tanner Ylvisaker</v>
      </c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15.75" customHeight="1" x14ac:dyDescent="0.25">
      <c r="A101" s="28">
        <v>100</v>
      </c>
      <c r="B101" s="39" t="s">
        <v>1545</v>
      </c>
      <c r="C101" s="39" t="s">
        <v>1546</v>
      </c>
      <c r="D101" s="39" t="s">
        <v>1547</v>
      </c>
      <c r="E101" s="40">
        <v>44984</v>
      </c>
      <c r="F101" s="39" t="s">
        <v>1163</v>
      </c>
      <c r="G101" s="40" t="s">
        <v>1544</v>
      </c>
      <c r="H101" s="39" t="s">
        <v>1196</v>
      </c>
      <c r="I101" s="39" t="s">
        <v>1323</v>
      </c>
      <c r="J101" s="39" t="s">
        <v>1166</v>
      </c>
      <c r="K101" s="39" t="s">
        <v>1178</v>
      </c>
      <c r="L101" s="39" t="s">
        <v>752</v>
      </c>
      <c r="M101" s="39" t="s">
        <v>1179</v>
      </c>
      <c r="N101" s="39" t="s">
        <v>1180</v>
      </c>
      <c r="O101" s="41" t="str">
        <f t="shared" si="1"/>
        <v>Heidi Gold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15.75" customHeight="1" x14ac:dyDescent="0.25">
      <c r="A102" s="28">
        <v>101</v>
      </c>
      <c r="B102" s="39" t="s">
        <v>1426</v>
      </c>
      <c r="C102" s="39" t="s">
        <v>1548</v>
      </c>
      <c r="D102" s="39" t="s">
        <v>1549</v>
      </c>
      <c r="E102" s="40">
        <v>44984</v>
      </c>
      <c r="F102" s="39" t="s">
        <v>1163</v>
      </c>
      <c r="G102" s="40" t="s">
        <v>1544</v>
      </c>
      <c r="H102" s="39" t="s">
        <v>1196</v>
      </c>
      <c r="I102" s="39" t="s">
        <v>1176</v>
      </c>
      <c r="J102" s="39" t="s">
        <v>1166</v>
      </c>
      <c r="K102" s="39" t="s">
        <v>1178</v>
      </c>
      <c r="L102" s="39" t="s">
        <v>687</v>
      </c>
      <c r="M102" s="39" t="s">
        <v>1179</v>
      </c>
      <c r="N102" s="39" t="s">
        <v>1180</v>
      </c>
      <c r="O102" s="41" t="str">
        <f t="shared" si="1"/>
        <v>Daniel Roy</v>
      </c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15.75" customHeight="1" x14ac:dyDescent="0.25">
      <c r="A103" s="28">
        <v>102</v>
      </c>
      <c r="B103" s="39" t="s">
        <v>1550</v>
      </c>
      <c r="C103" s="39" t="s">
        <v>1551</v>
      </c>
      <c r="D103" s="39" t="s">
        <v>1552</v>
      </c>
      <c r="E103" s="40">
        <v>44991</v>
      </c>
      <c r="F103" s="39" t="s">
        <v>1163</v>
      </c>
      <c r="G103" s="40" t="s">
        <v>1553</v>
      </c>
      <c r="H103" s="39" t="s">
        <v>1196</v>
      </c>
      <c r="I103" s="39" t="s">
        <v>1176</v>
      </c>
      <c r="J103" s="39" t="s">
        <v>1166</v>
      </c>
      <c r="K103" s="39" t="s">
        <v>1167</v>
      </c>
      <c r="L103" s="39" t="s">
        <v>687</v>
      </c>
      <c r="M103" s="39" t="s">
        <v>1169</v>
      </c>
      <c r="N103" s="39" t="s">
        <v>1170</v>
      </c>
      <c r="O103" s="41" t="str">
        <f t="shared" si="1"/>
        <v>Jay Barker</v>
      </c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15.75" customHeight="1" x14ac:dyDescent="0.25">
      <c r="A104" s="28">
        <v>103</v>
      </c>
      <c r="B104" s="39" t="s">
        <v>1554</v>
      </c>
      <c r="C104" s="39" t="s">
        <v>1555</v>
      </c>
      <c r="D104" s="39" t="s">
        <v>1556</v>
      </c>
      <c r="E104" s="40">
        <v>44991</v>
      </c>
      <c r="F104" s="39" t="s">
        <v>1163</v>
      </c>
      <c r="G104" s="40" t="s">
        <v>1553</v>
      </c>
      <c r="H104" s="39" t="s">
        <v>1165</v>
      </c>
      <c r="I104" s="39" t="s">
        <v>1184</v>
      </c>
      <c r="J104" s="39" t="s">
        <v>1177</v>
      </c>
      <c r="K104" s="39" t="s">
        <v>1167</v>
      </c>
      <c r="L104" s="39" t="s">
        <v>677</v>
      </c>
      <c r="M104" s="39" t="s">
        <v>1185</v>
      </c>
      <c r="N104" s="39" t="s">
        <v>1186</v>
      </c>
      <c r="O104" s="41" t="str">
        <f t="shared" si="1"/>
        <v>Leslee Brady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15.75" customHeight="1" x14ac:dyDescent="0.25">
      <c r="A105" s="28">
        <v>104</v>
      </c>
      <c r="B105" s="39" t="s">
        <v>1430</v>
      </c>
      <c r="C105" s="39" t="s">
        <v>1557</v>
      </c>
      <c r="D105" s="39" t="s">
        <v>1558</v>
      </c>
      <c r="E105" s="40">
        <v>45019</v>
      </c>
      <c r="F105" s="39" t="s">
        <v>1194</v>
      </c>
      <c r="G105" s="40" t="s">
        <v>1559</v>
      </c>
      <c r="H105" s="39" t="s">
        <v>1196</v>
      </c>
      <c r="I105" s="39"/>
      <c r="J105" s="39" t="s">
        <v>1177</v>
      </c>
      <c r="K105" s="39" t="s">
        <v>1167</v>
      </c>
      <c r="L105" s="39" t="s">
        <v>674</v>
      </c>
      <c r="M105" s="39" t="s">
        <v>1185</v>
      </c>
      <c r="N105" s="39" t="s">
        <v>1170</v>
      </c>
      <c r="O105" s="41" t="str">
        <f t="shared" si="1"/>
        <v>Matthew Keyes</v>
      </c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15.75" customHeight="1" x14ac:dyDescent="0.25">
      <c r="A106" s="28">
        <v>105</v>
      </c>
      <c r="B106" s="39" t="s">
        <v>1456</v>
      </c>
      <c r="C106" s="39" t="s">
        <v>1560</v>
      </c>
      <c r="D106" s="39" t="s">
        <v>1561</v>
      </c>
      <c r="E106" s="40">
        <v>45040</v>
      </c>
      <c r="F106" s="39" t="s">
        <v>1194</v>
      </c>
      <c r="G106" s="40" t="s">
        <v>1562</v>
      </c>
      <c r="H106" s="39" t="s">
        <v>1175</v>
      </c>
      <c r="I106" s="39"/>
      <c r="J106" s="39" t="s">
        <v>1177</v>
      </c>
      <c r="K106" s="39" t="s">
        <v>1167</v>
      </c>
      <c r="L106" s="39" t="s">
        <v>680</v>
      </c>
      <c r="M106" s="39" t="s">
        <v>1185</v>
      </c>
      <c r="N106" s="39" t="s">
        <v>1186</v>
      </c>
      <c r="O106" s="41" t="str">
        <f t="shared" si="1"/>
        <v>Robert Kurahashi</v>
      </c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15.75" customHeight="1" x14ac:dyDescent="0.25">
      <c r="A107" s="28">
        <v>106</v>
      </c>
      <c r="B107" s="39" t="s">
        <v>1563</v>
      </c>
      <c r="C107" s="39" t="s">
        <v>1564</v>
      </c>
      <c r="D107" s="39" t="s">
        <v>1565</v>
      </c>
      <c r="E107" s="40">
        <v>45044</v>
      </c>
      <c r="F107" s="39" t="s">
        <v>1194</v>
      </c>
      <c r="G107" s="40" t="s">
        <v>1566</v>
      </c>
      <c r="H107" s="39" t="s">
        <v>1196</v>
      </c>
      <c r="I107" s="39"/>
      <c r="J107" s="39" t="s">
        <v>1166</v>
      </c>
      <c r="K107" s="39" t="s">
        <v>1167</v>
      </c>
      <c r="L107" s="39" t="s">
        <v>674</v>
      </c>
      <c r="M107" s="39" t="s">
        <v>1185</v>
      </c>
      <c r="N107" s="39" t="s">
        <v>1170</v>
      </c>
      <c r="O107" s="41" t="str">
        <f t="shared" si="1"/>
        <v>Veera Venkata Satya Varaprasada Rao Imandi</v>
      </c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15.75" customHeight="1" x14ac:dyDescent="0.25">
      <c r="A108" s="28">
        <v>107</v>
      </c>
      <c r="B108" s="39" t="s">
        <v>1567</v>
      </c>
      <c r="C108" s="39" t="s">
        <v>1568</v>
      </c>
      <c r="D108" s="39" t="s">
        <v>1569</v>
      </c>
      <c r="E108" s="40">
        <v>45054</v>
      </c>
      <c r="F108" s="39" t="s">
        <v>1163</v>
      </c>
      <c r="G108" s="40" t="s">
        <v>1570</v>
      </c>
      <c r="H108" s="39" t="s">
        <v>1165</v>
      </c>
      <c r="I108" s="39" t="s">
        <v>1571</v>
      </c>
      <c r="J108" s="39" t="s">
        <v>1166</v>
      </c>
      <c r="K108" s="39" t="s">
        <v>1167</v>
      </c>
      <c r="L108" s="39" t="s">
        <v>700</v>
      </c>
      <c r="M108" s="39" t="s">
        <v>1169</v>
      </c>
      <c r="N108" s="39" t="s">
        <v>1170</v>
      </c>
      <c r="O108" s="41" t="str">
        <f t="shared" si="1"/>
        <v>Vincent Planz</v>
      </c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15.75" customHeight="1" x14ac:dyDescent="0.25">
      <c r="A109" s="28">
        <v>109</v>
      </c>
      <c r="B109" s="39" t="s">
        <v>1572</v>
      </c>
      <c r="C109" s="39" t="s">
        <v>1573</v>
      </c>
      <c r="D109" s="39" t="s">
        <v>1574</v>
      </c>
      <c r="E109" s="40">
        <v>45068</v>
      </c>
      <c r="F109" s="39" t="s">
        <v>1163</v>
      </c>
      <c r="G109" s="40" t="s">
        <v>1575</v>
      </c>
      <c r="H109" s="39" t="s">
        <v>1196</v>
      </c>
      <c r="I109" s="39" t="s">
        <v>1176</v>
      </c>
      <c r="J109" s="39" t="s">
        <v>1166</v>
      </c>
      <c r="K109" s="39" t="s">
        <v>1178</v>
      </c>
      <c r="L109" s="39" t="s">
        <v>687</v>
      </c>
      <c r="M109" s="39" t="s">
        <v>1179</v>
      </c>
      <c r="N109" s="39" t="s">
        <v>1180</v>
      </c>
      <c r="O109" s="41" t="str">
        <f t="shared" si="1"/>
        <v>Aaron Rhodes</v>
      </c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15.75" customHeight="1" x14ac:dyDescent="0.25">
      <c r="A110" s="28">
        <v>110</v>
      </c>
      <c r="B110" s="39" t="s">
        <v>1576</v>
      </c>
      <c r="C110" s="39" t="s">
        <v>1577</v>
      </c>
      <c r="D110" s="39" t="s">
        <v>1578</v>
      </c>
      <c r="E110" s="40">
        <v>44137</v>
      </c>
      <c r="F110" s="39" t="s">
        <v>1163</v>
      </c>
      <c r="G110" s="40" t="s">
        <v>1579</v>
      </c>
      <c r="H110" s="39" t="s">
        <v>1175</v>
      </c>
      <c r="I110" s="39" t="s">
        <v>1323</v>
      </c>
      <c r="J110" s="39" t="s">
        <v>1281</v>
      </c>
      <c r="K110" s="39" t="s">
        <v>1178</v>
      </c>
      <c r="L110" s="39" t="s">
        <v>732</v>
      </c>
      <c r="M110" s="39" t="s">
        <v>1179</v>
      </c>
      <c r="N110" s="39" t="s">
        <v>1180</v>
      </c>
      <c r="O110" s="41" t="str">
        <f t="shared" si="1"/>
        <v>Anamaria Gramada</v>
      </c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15.75" customHeight="1" x14ac:dyDescent="0.25">
      <c r="A111" s="28">
        <v>111</v>
      </c>
      <c r="B111" s="39" t="s">
        <v>1580</v>
      </c>
      <c r="C111" s="39" t="s">
        <v>1581</v>
      </c>
      <c r="D111" s="39" t="s">
        <v>1582</v>
      </c>
      <c r="E111" s="40">
        <v>44838</v>
      </c>
      <c r="F111" s="39" t="s">
        <v>1163</v>
      </c>
      <c r="G111" s="40" t="s">
        <v>1583</v>
      </c>
      <c r="H111" s="39" t="s">
        <v>1165</v>
      </c>
      <c r="I111" s="39" t="s">
        <v>1584</v>
      </c>
      <c r="J111" s="39" t="s">
        <v>1281</v>
      </c>
      <c r="K111" s="39" t="s">
        <v>1167</v>
      </c>
      <c r="L111" s="39" t="s">
        <v>677</v>
      </c>
      <c r="M111" s="39" t="s">
        <v>1185</v>
      </c>
      <c r="N111" s="39" t="s">
        <v>1186</v>
      </c>
      <c r="O111" s="41" t="str">
        <f t="shared" si="1"/>
        <v>Nikita Ashok</v>
      </c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15.75" customHeight="1" x14ac:dyDescent="0.25">
      <c r="A112" s="28">
        <v>112</v>
      </c>
      <c r="B112" s="39" t="s">
        <v>1585</v>
      </c>
      <c r="C112" s="39" t="s">
        <v>1586</v>
      </c>
      <c r="D112" s="39" t="s">
        <v>1587</v>
      </c>
      <c r="E112" s="40">
        <v>45040</v>
      </c>
      <c r="F112" s="39" t="s">
        <v>1194</v>
      </c>
      <c r="G112" s="40" t="s">
        <v>1164</v>
      </c>
      <c r="H112" s="39" t="s">
        <v>1196</v>
      </c>
      <c r="I112" s="39"/>
      <c r="J112" s="39" t="s">
        <v>1281</v>
      </c>
      <c r="K112" s="39" t="s">
        <v>1167</v>
      </c>
      <c r="L112" s="39" t="s">
        <v>674</v>
      </c>
      <c r="M112" s="39" t="s">
        <v>1185</v>
      </c>
      <c r="N112" s="39" t="s">
        <v>1170</v>
      </c>
      <c r="O112" s="41" t="str">
        <f t="shared" si="1"/>
        <v>Richard Upshall</v>
      </c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15.75" customHeight="1" x14ac:dyDescent="0.25">
      <c r="A113" s="28">
        <v>113</v>
      </c>
      <c r="B113" s="39" t="s">
        <v>1588</v>
      </c>
      <c r="C113" s="39" t="s">
        <v>1589</v>
      </c>
      <c r="D113" s="39" t="s">
        <v>1590</v>
      </c>
      <c r="E113" s="40">
        <v>45068</v>
      </c>
      <c r="F113" s="39" t="s">
        <v>1194</v>
      </c>
      <c r="G113" s="40" t="s">
        <v>1591</v>
      </c>
      <c r="H113" s="39" t="s">
        <v>1175</v>
      </c>
      <c r="I113" s="39"/>
      <c r="J113" s="39" t="s">
        <v>1177</v>
      </c>
      <c r="K113" s="39" t="s">
        <v>1167</v>
      </c>
      <c r="L113" s="39" t="s">
        <v>680</v>
      </c>
      <c r="M113" s="39" t="s">
        <v>1185</v>
      </c>
      <c r="N113" s="39" t="s">
        <v>1186</v>
      </c>
      <c r="O113" s="41" t="str">
        <f t="shared" si="1"/>
        <v>Jonathan Lawer</v>
      </c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15.75" customHeight="1" x14ac:dyDescent="0.25">
      <c r="A114" s="28">
        <v>114</v>
      </c>
      <c r="B114" s="39" t="s">
        <v>1592</v>
      </c>
      <c r="C114" s="39" t="s">
        <v>1593</v>
      </c>
      <c r="D114" s="39" t="s">
        <v>1594</v>
      </c>
      <c r="E114" s="40">
        <v>45089</v>
      </c>
      <c r="F114" s="39" t="s">
        <v>1194</v>
      </c>
      <c r="G114" s="40" t="s">
        <v>1595</v>
      </c>
      <c r="H114" s="39" t="s">
        <v>1196</v>
      </c>
      <c r="I114" s="39"/>
      <c r="J114" s="39" t="s">
        <v>1166</v>
      </c>
      <c r="K114" s="39" t="s">
        <v>1178</v>
      </c>
      <c r="L114" s="39" t="s">
        <v>752</v>
      </c>
      <c r="M114" s="39" t="s">
        <v>1179</v>
      </c>
      <c r="N114" s="39" t="s">
        <v>1180</v>
      </c>
      <c r="O114" s="41" t="str">
        <f t="shared" si="1"/>
        <v>Stephen Pacini</v>
      </c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15.75" customHeight="1" x14ac:dyDescent="0.25">
      <c r="A115" s="28">
        <v>115</v>
      </c>
      <c r="B115" s="39" t="s">
        <v>1596</v>
      </c>
      <c r="C115" s="39" t="s">
        <v>1597</v>
      </c>
      <c r="D115" s="39" t="s">
        <v>1598</v>
      </c>
      <c r="E115" s="40">
        <v>45089</v>
      </c>
      <c r="F115" s="39" t="s">
        <v>1194</v>
      </c>
      <c r="G115" s="40" t="s">
        <v>1599</v>
      </c>
      <c r="H115" s="39" t="s">
        <v>1196</v>
      </c>
      <c r="I115" s="39"/>
      <c r="J115" s="39" t="s">
        <v>1177</v>
      </c>
      <c r="K115" s="39" t="s">
        <v>1167</v>
      </c>
      <c r="L115" s="39" t="s">
        <v>674</v>
      </c>
      <c r="M115" s="39" t="s">
        <v>1185</v>
      </c>
      <c r="N115" s="39" t="s">
        <v>1170</v>
      </c>
      <c r="O115" s="41" t="str">
        <f t="shared" si="1"/>
        <v>Christopher Breiner</v>
      </c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15.75" customHeight="1" x14ac:dyDescent="0.25">
      <c r="A116" s="28">
        <v>116</v>
      </c>
      <c r="B116" s="39" t="s">
        <v>1377</v>
      </c>
      <c r="C116" s="39" t="s">
        <v>1600</v>
      </c>
      <c r="D116" s="39" t="s">
        <v>1601</v>
      </c>
      <c r="E116" s="40">
        <v>45082</v>
      </c>
      <c r="F116" s="39" t="s">
        <v>1163</v>
      </c>
      <c r="G116" s="40" t="s">
        <v>1602</v>
      </c>
      <c r="H116" s="39" t="s">
        <v>1175</v>
      </c>
      <c r="I116" s="39" t="s">
        <v>1176</v>
      </c>
      <c r="J116" s="39" t="s">
        <v>1166</v>
      </c>
      <c r="K116" s="39" t="s">
        <v>1178</v>
      </c>
      <c r="L116" s="39" t="s">
        <v>683</v>
      </c>
      <c r="M116" s="39" t="s">
        <v>1179</v>
      </c>
      <c r="N116" s="39" t="s">
        <v>1180</v>
      </c>
      <c r="O116" s="41" t="str">
        <f t="shared" si="1"/>
        <v>William Watson</v>
      </c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15.75" customHeight="1" x14ac:dyDescent="0.25">
      <c r="A117" s="28">
        <v>117</v>
      </c>
      <c r="B117" s="39" t="s">
        <v>1603</v>
      </c>
      <c r="C117" s="39" t="s">
        <v>1534</v>
      </c>
      <c r="D117" s="39" t="s">
        <v>1604</v>
      </c>
      <c r="E117" s="40">
        <v>45097</v>
      </c>
      <c r="F117" s="39" t="s">
        <v>1194</v>
      </c>
      <c r="G117" s="40" t="s">
        <v>1605</v>
      </c>
      <c r="H117" s="39" t="s">
        <v>1165</v>
      </c>
      <c r="I117" s="39"/>
      <c r="J117" s="39" t="s">
        <v>1166</v>
      </c>
      <c r="K117" s="39" t="s">
        <v>1167</v>
      </c>
      <c r="L117" s="39" t="s">
        <v>700</v>
      </c>
      <c r="M117" s="39" t="s">
        <v>1169</v>
      </c>
      <c r="N117" s="39" t="s">
        <v>1170</v>
      </c>
      <c r="O117" s="41" t="str">
        <f t="shared" si="1"/>
        <v>Rebecca Kelly</v>
      </c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15.75" customHeight="1" x14ac:dyDescent="0.25">
      <c r="A118" s="28">
        <v>118</v>
      </c>
      <c r="B118" s="39" t="s">
        <v>1606</v>
      </c>
      <c r="C118" s="39" t="s">
        <v>1607</v>
      </c>
      <c r="D118" s="39" t="s">
        <v>1608</v>
      </c>
      <c r="E118" s="40">
        <v>45107</v>
      </c>
      <c r="F118" s="39" t="s">
        <v>1163</v>
      </c>
      <c r="G118" s="40" t="s">
        <v>1609</v>
      </c>
      <c r="H118" s="39" t="s">
        <v>1175</v>
      </c>
      <c r="I118" s="39" t="s">
        <v>1184</v>
      </c>
      <c r="J118" s="39" t="s">
        <v>1177</v>
      </c>
      <c r="K118" s="39" t="s">
        <v>1167</v>
      </c>
      <c r="L118" s="39" t="s">
        <v>680</v>
      </c>
      <c r="M118" s="39" t="s">
        <v>1185</v>
      </c>
      <c r="N118" s="39" t="s">
        <v>1186</v>
      </c>
      <c r="O118" s="41" t="str">
        <f t="shared" si="1"/>
        <v>John Taylor</v>
      </c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15.75" customHeight="1" x14ac:dyDescent="0.25">
      <c r="A119" s="28">
        <v>119</v>
      </c>
      <c r="B119" s="39" t="s">
        <v>1610</v>
      </c>
      <c r="C119" s="39" t="s">
        <v>1611</v>
      </c>
      <c r="D119" s="39" t="s">
        <v>1612</v>
      </c>
      <c r="E119" s="40">
        <v>45131</v>
      </c>
      <c r="F119" s="39" t="s">
        <v>1194</v>
      </c>
      <c r="G119" s="40" t="s">
        <v>1562</v>
      </c>
      <c r="H119" s="39" t="s">
        <v>1196</v>
      </c>
      <c r="I119" s="39"/>
      <c r="J119" s="39" t="s">
        <v>1177</v>
      </c>
      <c r="K119" s="39" t="s">
        <v>1178</v>
      </c>
      <c r="L119" s="39" t="s">
        <v>687</v>
      </c>
      <c r="M119" s="39" t="s">
        <v>1179</v>
      </c>
      <c r="N119" s="39" t="s">
        <v>1180</v>
      </c>
      <c r="O119" s="41" t="str">
        <f t="shared" si="1"/>
        <v>Hei Po Yiu</v>
      </c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15.75" customHeight="1" x14ac:dyDescent="0.25">
      <c r="A120" s="28">
        <v>120</v>
      </c>
      <c r="B120" s="39" t="s">
        <v>1613</v>
      </c>
      <c r="C120" s="39" t="s">
        <v>1614</v>
      </c>
      <c r="D120" s="39" t="s">
        <v>1615</v>
      </c>
      <c r="E120" s="40">
        <v>45145</v>
      </c>
      <c r="F120" s="39" t="s">
        <v>1163</v>
      </c>
      <c r="G120" s="40" t="s">
        <v>1616</v>
      </c>
      <c r="H120" s="39" t="s">
        <v>1175</v>
      </c>
      <c r="I120" s="39" t="s">
        <v>1176</v>
      </c>
      <c r="J120" s="39" t="s">
        <v>1177</v>
      </c>
      <c r="K120" s="39" t="s">
        <v>1178</v>
      </c>
      <c r="L120" s="39" t="s">
        <v>683</v>
      </c>
      <c r="M120" s="39" t="s">
        <v>1179</v>
      </c>
      <c r="N120" s="39" t="s">
        <v>1180</v>
      </c>
      <c r="O120" s="41" t="str">
        <f t="shared" si="1"/>
        <v>Jacob McKenna</v>
      </c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15.75" customHeight="1" x14ac:dyDescent="0.25">
      <c r="A121" s="28">
        <v>121</v>
      </c>
      <c r="B121" s="39" t="s">
        <v>1617</v>
      </c>
      <c r="C121" s="39" t="s">
        <v>1618</v>
      </c>
      <c r="D121" s="39" t="s">
        <v>1619</v>
      </c>
      <c r="E121" s="40">
        <v>45174</v>
      </c>
      <c r="F121" s="39" t="s">
        <v>1163</v>
      </c>
      <c r="G121" s="40" t="s">
        <v>1349</v>
      </c>
      <c r="H121" s="39" t="s">
        <v>1165</v>
      </c>
      <c r="I121" s="39" t="s">
        <v>1584</v>
      </c>
      <c r="J121" s="39" t="s">
        <v>1281</v>
      </c>
      <c r="K121" s="39" t="s">
        <v>1167</v>
      </c>
      <c r="L121" s="39" t="s">
        <v>677</v>
      </c>
      <c r="M121" s="39" t="s">
        <v>1185</v>
      </c>
      <c r="N121" s="39" t="s">
        <v>1186</v>
      </c>
      <c r="O121" s="41" t="str">
        <f t="shared" si="1"/>
        <v>Toni Manning</v>
      </c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15.75" customHeight="1" x14ac:dyDescent="0.25">
      <c r="A122" s="28">
        <v>123</v>
      </c>
      <c r="B122" s="39" t="s">
        <v>1377</v>
      </c>
      <c r="C122" s="39" t="s">
        <v>1620</v>
      </c>
      <c r="D122" s="39" t="s">
        <v>1621</v>
      </c>
      <c r="E122" s="40">
        <v>45162</v>
      </c>
      <c r="F122" s="39" t="s">
        <v>1194</v>
      </c>
      <c r="G122" s="40" t="s">
        <v>1605</v>
      </c>
      <c r="H122" s="39" t="s">
        <v>1175</v>
      </c>
      <c r="I122" s="39"/>
      <c r="J122" s="39" t="s">
        <v>1177</v>
      </c>
      <c r="K122" s="39" t="s">
        <v>1167</v>
      </c>
      <c r="L122" s="39" t="s">
        <v>700</v>
      </c>
      <c r="M122" s="39" t="s">
        <v>1185</v>
      </c>
      <c r="N122" s="39" t="s">
        <v>1186</v>
      </c>
      <c r="O122" s="41" t="str">
        <f t="shared" si="1"/>
        <v>William Ledyard</v>
      </c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15.75" customHeight="1" x14ac:dyDescent="0.25">
      <c r="A123" s="28">
        <v>124</v>
      </c>
      <c r="B123" s="39" t="s">
        <v>1622</v>
      </c>
      <c r="C123" s="39" t="s">
        <v>1623</v>
      </c>
      <c r="D123" s="39" t="s">
        <v>1624</v>
      </c>
      <c r="E123" s="40">
        <v>45125</v>
      </c>
      <c r="F123" s="39" t="s">
        <v>1163</v>
      </c>
      <c r="G123" s="40" t="s">
        <v>1625</v>
      </c>
      <c r="H123" s="39" t="s">
        <v>1175</v>
      </c>
      <c r="I123" s="39" t="s">
        <v>1176</v>
      </c>
      <c r="J123" s="39" t="s">
        <v>1177</v>
      </c>
      <c r="K123" s="39" t="s">
        <v>1178</v>
      </c>
      <c r="L123" s="39" t="s">
        <v>683</v>
      </c>
      <c r="M123" s="39" t="s">
        <v>1179</v>
      </c>
      <c r="N123" s="39" t="s">
        <v>1180</v>
      </c>
      <c r="O123" s="41" t="str">
        <f t="shared" si="1"/>
        <v>Kirolous Shihataa</v>
      </c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15.75" customHeight="1" x14ac:dyDescent="0.25">
      <c r="A124" s="28">
        <v>125</v>
      </c>
      <c r="B124" s="39" t="s">
        <v>1456</v>
      </c>
      <c r="C124" s="39" t="s">
        <v>1626</v>
      </c>
      <c r="D124" s="39" t="s">
        <v>1627</v>
      </c>
      <c r="E124" s="40">
        <v>45138</v>
      </c>
      <c r="F124" s="39" t="s">
        <v>1194</v>
      </c>
      <c r="G124" s="40" t="s">
        <v>1628</v>
      </c>
      <c r="H124" s="39" t="s">
        <v>1196</v>
      </c>
      <c r="I124" s="39"/>
      <c r="J124" s="39" t="s">
        <v>1177</v>
      </c>
      <c r="K124" s="39" t="s">
        <v>1178</v>
      </c>
      <c r="L124" s="39" t="s">
        <v>687</v>
      </c>
      <c r="M124" s="39" t="s">
        <v>1179</v>
      </c>
      <c r="N124" s="39" t="s">
        <v>1180</v>
      </c>
      <c r="O124" s="41" t="str">
        <f t="shared" si="1"/>
        <v>Robert Faria de Oliveira</v>
      </c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15.75" customHeight="1" x14ac:dyDescent="0.25">
      <c r="A125" s="28">
        <v>126</v>
      </c>
      <c r="B125" s="39" t="s">
        <v>1629</v>
      </c>
      <c r="C125" s="39" t="s">
        <v>1630</v>
      </c>
      <c r="D125" s="39" t="s">
        <v>1631</v>
      </c>
      <c r="E125" s="40">
        <v>45194</v>
      </c>
      <c r="F125" s="39" t="s">
        <v>1194</v>
      </c>
      <c r="G125" s="40" t="s">
        <v>1632</v>
      </c>
      <c r="H125" s="39" t="s">
        <v>1196</v>
      </c>
      <c r="I125" s="39"/>
      <c r="J125" s="39" t="s">
        <v>1166</v>
      </c>
      <c r="K125" s="39" t="s">
        <v>1178</v>
      </c>
      <c r="L125" s="39" t="s">
        <v>687</v>
      </c>
      <c r="M125" s="39" t="s">
        <v>1179</v>
      </c>
      <c r="N125" s="39" t="s">
        <v>1180</v>
      </c>
      <c r="O125" s="41" t="str">
        <f t="shared" si="1"/>
        <v>Siddharth Nigam</v>
      </c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15.75" customHeight="1" x14ac:dyDescent="0.25">
      <c r="A126" s="28">
        <v>127</v>
      </c>
      <c r="B126" s="39" t="s">
        <v>1633</v>
      </c>
      <c r="C126" s="39" t="s">
        <v>1634</v>
      </c>
      <c r="D126" s="39" t="s">
        <v>1635</v>
      </c>
      <c r="E126" s="40">
        <v>45174</v>
      </c>
      <c r="F126" s="39" t="s">
        <v>1194</v>
      </c>
      <c r="G126" s="40" t="s">
        <v>1636</v>
      </c>
      <c r="H126" s="39" t="s">
        <v>1175</v>
      </c>
      <c r="I126" s="39"/>
      <c r="J126" s="39" t="s">
        <v>1177</v>
      </c>
      <c r="K126" s="39" t="s">
        <v>1167</v>
      </c>
      <c r="L126" s="39" t="s">
        <v>680</v>
      </c>
      <c r="M126" s="39" t="s">
        <v>1185</v>
      </c>
      <c r="N126" s="39" t="s">
        <v>1186</v>
      </c>
      <c r="O126" s="41" t="str">
        <f t="shared" si="1"/>
        <v>Rick Leonard</v>
      </c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15.75" customHeight="1" x14ac:dyDescent="0.25">
      <c r="A127" s="28">
        <v>128</v>
      </c>
      <c r="B127" s="39" t="s">
        <v>1637</v>
      </c>
      <c r="C127" s="39" t="s">
        <v>1638</v>
      </c>
      <c r="D127" s="39" t="s">
        <v>1639</v>
      </c>
      <c r="E127" s="40">
        <v>45152</v>
      </c>
      <c r="F127" s="39" t="s">
        <v>1194</v>
      </c>
      <c r="G127" s="40" t="s">
        <v>1640</v>
      </c>
      <c r="H127" s="39" t="s">
        <v>1196</v>
      </c>
      <c r="I127" s="39"/>
      <c r="J127" s="39" t="s">
        <v>1166</v>
      </c>
      <c r="K127" s="39" t="s">
        <v>1178</v>
      </c>
      <c r="L127" s="39" t="s">
        <v>687</v>
      </c>
      <c r="M127" s="39" t="s">
        <v>1179</v>
      </c>
      <c r="N127" s="39" t="s">
        <v>1180</v>
      </c>
      <c r="O127" s="41" t="str">
        <f t="shared" si="1"/>
        <v>Yuan Wen</v>
      </c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15.75" customHeight="1" x14ac:dyDescent="0.25">
      <c r="A128" s="28">
        <v>129</v>
      </c>
      <c r="B128" s="39" t="s">
        <v>1641</v>
      </c>
      <c r="C128" s="39" t="s">
        <v>1642</v>
      </c>
      <c r="D128" s="39" t="s">
        <v>1643</v>
      </c>
      <c r="E128" s="40">
        <v>45200</v>
      </c>
      <c r="F128" s="39" t="s">
        <v>1194</v>
      </c>
      <c r="G128" s="40" t="s">
        <v>1644</v>
      </c>
      <c r="H128" s="39"/>
      <c r="I128" s="39"/>
      <c r="J128" s="39"/>
      <c r="K128" s="39" t="s">
        <v>1167</v>
      </c>
      <c r="L128" s="39" t="s">
        <v>700</v>
      </c>
      <c r="M128" s="39" t="s">
        <v>1169</v>
      </c>
      <c r="N128" s="39" t="s">
        <v>1170</v>
      </c>
      <c r="O128" s="41" t="str">
        <f t="shared" si="1"/>
        <v>Test4 McTester</v>
      </c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15.75" customHeight="1" x14ac:dyDescent="0.25">
      <c r="A129" s="28">
        <v>130</v>
      </c>
      <c r="B129" s="39" t="s">
        <v>1645</v>
      </c>
      <c r="C129" s="39" t="s">
        <v>1646</v>
      </c>
      <c r="D129" s="39" t="s">
        <v>1647</v>
      </c>
      <c r="E129" s="40">
        <v>45194</v>
      </c>
      <c r="F129" s="39" t="s">
        <v>1163</v>
      </c>
      <c r="G129" s="40" t="s">
        <v>1648</v>
      </c>
      <c r="H129" s="39" t="s">
        <v>1175</v>
      </c>
      <c r="I129" s="39" t="s">
        <v>1323</v>
      </c>
      <c r="J129" s="39" t="s">
        <v>1166</v>
      </c>
      <c r="K129" s="39" t="s">
        <v>1178</v>
      </c>
      <c r="L129" s="39" t="s">
        <v>732</v>
      </c>
      <c r="M129" s="39" t="s">
        <v>1179</v>
      </c>
      <c r="N129" s="39" t="s">
        <v>1180</v>
      </c>
      <c r="O129" s="41" t="str">
        <f t="shared" si="1"/>
        <v>Michele Cox</v>
      </c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15.75" customHeight="1" x14ac:dyDescent="0.25">
      <c r="A130" s="28">
        <v>131</v>
      </c>
      <c r="B130" s="39" t="s">
        <v>1649</v>
      </c>
      <c r="C130" s="39" t="s">
        <v>1650</v>
      </c>
      <c r="D130" s="39" t="s">
        <v>1651</v>
      </c>
      <c r="E130" s="40">
        <v>45201</v>
      </c>
      <c r="F130" s="39" t="s">
        <v>1163</v>
      </c>
      <c r="G130" s="40" t="s">
        <v>1463</v>
      </c>
      <c r="H130" s="39" t="s">
        <v>1196</v>
      </c>
      <c r="I130" s="39" t="s">
        <v>1323</v>
      </c>
      <c r="J130" s="39" t="s">
        <v>1166</v>
      </c>
      <c r="K130" s="39" t="s">
        <v>1178</v>
      </c>
      <c r="L130" s="39" t="s">
        <v>752</v>
      </c>
      <c r="M130" s="39" t="s">
        <v>1179</v>
      </c>
      <c r="N130" s="39" t="s">
        <v>1180</v>
      </c>
      <c r="O130" s="41" t="str">
        <f t="shared" ref="O130:O193" si="2">B130&amp;" "&amp;C130</f>
        <v>David Seney</v>
      </c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15.75" customHeight="1" x14ac:dyDescent="0.25">
      <c r="A131" s="28">
        <v>132</v>
      </c>
      <c r="B131" s="39" t="s">
        <v>1652</v>
      </c>
      <c r="C131" s="39" t="s">
        <v>1653</v>
      </c>
      <c r="D131" s="39" t="s">
        <v>1654</v>
      </c>
      <c r="E131" s="40">
        <v>45200</v>
      </c>
      <c r="F131" s="39" t="s">
        <v>1194</v>
      </c>
      <c r="G131" s="40" t="s">
        <v>1655</v>
      </c>
      <c r="H131" s="39" t="s">
        <v>1175</v>
      </c>
      <c r="I131" s="39"/>
      <c r="J131" s="39" t="s">
        <v>1177</v>
      </c>
      <c r="K131" s="39" t="s">
        <v>1167</v>
      </c>
      <c r="L131" s="39" t="s">
        <v>680</v>
      </c>
      <c r="M131" s="39" t="s">
        <v>1185</v>
      </c>
      <c r="N131" s="39" t="s">
        <v>1186</v>
      </c>
      <c r="O131" s="41" t="str">
        <f t="shared" si="2"/>
        <v>Scott Lane</v>
      </c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15.75" customHeight="1" x14ac:dyDescent="0.25">
      <c r="A132" s="28">
        <v>133</v>
      </c>
      <c r="B132" s="39" t="s">
        <v>1656</v>
      </c>
      <c r="C132" s="39" t="s">
        <v>1161</v>
      </c>
      <c r="D132" s="39" t="s">
        <v>1657</v>
      </c>
      <c r="E132" s="40">
        <v>44927</v>
      </c>
      <c r="F132" s="39" t="s">
        <v>1194</v>
      </c>
      <c r="G132" s="40" t="s">
        <v>1658</v>
      </c>
      <c r="H132" s="39"/>
      <c r="I132" s="39"/>
      <c r="J132" s="39" t="s">
        <v>1281</v>
      </c>
      <c r="K132" s="39" t="s">
        <v>1167</v>
      </c>
      <c r="L132" s="39" t="s">
        <v>677</v>
      </c>
      <c r="M132" s="39" t="s">
        <v>1185</v>
      </c>
      <c r="N132" s="39" t="s">
        <v>1186</v>
      </c>
      <c r="O132" s="41" t="str">
        <f t="shared" si="2"/>
        <v>Ayla Hourani</v>
      </c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15.75" customHeight="1" x14ac:dyDescent="0.25">
      <c r="A133" s="28">
        <v>134</v>
      </c>
      <c r="B133" s="39" t="s">
        <v>1652</v>
      </c>
      <c r="C133" s="39" t="s">
        <v>1659</v>
      </c>
      <c r="D133" s="39" t="s">
        <v>1660</v>
      </c>
      <c r="E133" s="40">
        <v>45201</v>
      </c>
      <c r="F133" s="39" t="s">
        <v>1163</v>
      </c>
      <c r="G133" s="40" t="s">
        <v>1463</v>
      </c>
      <c r="H133" s="39" t="s">
        <v>1196</v>
      </c>
      <c r="I133" s="39" t="s">
        <v>1184</v>
      </c>
      <c r="J133" s="39" t="s">
        <v>1166</v>
      </c>
      <c r="K133" s="39" t="s">
        <v>1167</v>
      </c>
      <c r="L133" s="39" t="s">
        <v>674</v>
      </c>
      <c r="M133" s="39" t="s">
        <v>1185</v>
      </c>
      <c r="N133" s="39" t="s">
        <v>1170</v>
      </c>
      <c r="O133" s="41" t="str">
        <f t="shared" si="2"/>
        <v>Scott Essler</v>
      </c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15.75" customHeight="1" x14ac:dyDescent="0.25">
      <c r="A134" s="28">
        <v>135</v>
      </c>
      <c r="B134" s="39" t="s">
        <v>1350</v>
      </c>
      <c r="C134" s="39" t="s">
        <v>1661</v>
      </c>
      <c r="D134" s="39" t="s">
        <v>1662</v>
      </c>
      <c r="E134" s="40">
        <v>45209</v>
      </c>
      <c r="F134" s="39" t="s">
        <v>1163</v>
      </c>
      <c r="G134" s="40" t="s">
        <v>1663</v>
      </c>
      <c r="H134" s="39" t="s">
        <v>1196</v>
      </c>
      <c r="I134" s="39" t="s">
        <v>1176</v>
      </c>
      <c r="J134" s="39" t="s">
        <v>1166</v>
      </c>
      <c r="K134" s="39" t="s">
        <v>1178</v>
      </c>
      <c r="L134" s="39" t="s">
        <v>687</v>
      </c>
      <c r="M134" s="39" t="s">
        <v>1179</v>
      </c>
      <c r="N134" s="39" t="s">
        <v>1180</v>
      </c>
      <c r="O134" s="41" t="str">
        <f t="shared" si="2"/>
        <v>Andrew Bissel</v>
      </c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15.75" customHeight="1" x14ac:dyDescent="0.25">
      <c r="A135" s="28">
        <v>136</v>
      </c>
      <c r="B135" s="39" t="s">
        <v>1664</v>
      </c>
      <c r="C135" s="39" t="s">
        <v>1665</v>
      </c>
      <c r="D135" s="39" t="s">
        <v>1666</v>
      </c>
      <c r="E135" s="40">
        <v>45047</v>
      </c>
      <c r="F135" s="39" t="s">
        <v>1194</v>
      </c>
      <c r="G135" s="40" t="s">
        <v>1667</v>
      </c>
      <c r="H135" s="39" t="s">
        <v>1165</v>
      </c>
      <c r="I135" s="39"/>
      <c r="J135" s="39" t="s">
        <v>1166</v>
      </c>
      <c r="K135" s="39"/>
      <c r="L135" s="39" t="s">
        <v>700</v>
      </c>
      <c r="M135" s="39" t="s">
        <v>1169</v>
      </c>
      <c r="N135" s="39" t="s">
        <v>1170</v>
      </c>
      <c r="O135" s="41" t="str">
        <f t="shared" si="2"/>
        <v>Sarah Hanlon</v>
      </c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15.75" customHeight="1" x14ac:dyDescent="0.25">
      <c r="A136" s="28">
        <v>137</v>
      </c>
      <c r="B136" s="39" t="s">
        <v>1423</v>
      </c>
      <c r="C136" s="39" t="s">
        <v>1668</v>
      </c>
      <c r="D136" s="39" t="s">
        <v>1669</v>
      </c>
      <c r="E136" s="40">
        <v>45229</v>
      </c>
      <c r="F136" s="39" t="s">
        <v>1163</v>
      </c>
      <c r="G136" s="40" t="s">
        <v>1670</v>
      </c>
      <c r="H136" s="39" t="s">
        <v>1196</v>
      </c>
      <c r="I136" s="39" t="s">
        <v>1323</v>
      </c>
      <c r="J136" s="39" t="s">
        <v>1166</v>
      </c>
      <c r="K136" s="39" t="s">
        <v>1178</v>
      </c>
      <c r="L136" s="39" t="s">
        <v>752</v>
      </c>
      <c r="M136" s="39" t="s">
        <v>1179</v>
      </c>
      <c r="N136" s="39" t="s">
        <v>1180</v>
      </c>
      <c r="O136" s="41" t="str">
        <f t="shared" si="2"/>
        <v>Patrick Donovan</v>
      </c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15.75" customHeight="1" x14ac:dyDescent="0.25">
      <c r="A137" s="28">
        <v>138</v>
      </c>
      <c r="B137" s="39" t="s">
        <v>1420</v>
      </c>
      <c r="C137" s="39" t="s">
        <v>1671</v>
      </c>
      <c r="D137" s="39" t="s">
        <v>1672</v>
      </c>
      <c r="E137" s="40">
        <v>45250</v>
      </c>
      <c r="F137" s="39" t="s">
        <v>1194</v>
      </c>
      <c r="G137" s="40" t="s">
        <v>1673</v>
      </c>
      <c r="H137" s="39" t="s">
        <v>1196</v>
      </c>
      <c r="I137" s="39"/>
      <c r="J137" s="39" t="s">
        <v>1177</v>
      </c>
      <c r="K137" s="39" t="s">
        <v>1167</v>
      </c>
      <c r="L137" s="39" t="s">
        <v>674</v>
      </c>
      <c r="M137" s="39" t="s">
        <v>1185</v>
      </c>
      <c r="N137" s="39" t="s">
        <v>1170</v>
      </c>
      <c r="O137" s="41" t="str">
        <f t="shared" si="2"/>
        <v>Ryan Peirce</v>
      </c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15.75" customHeight="1" x14ac:dyDescent="0.25">
      <c r="A138" s="28">
        <v>140</v>
      </c>
      <c r="B138" s="39" t="s">
        <v>1674</v>
      </c>
      <c r="C138" s="39" t="s">
        <v>1675</v>
      </c>
      <c r="D138" s="39" t="s">
        <v>1676</v>
      </c>
      <c r="E138" s="40">
        <v>45307</v>
      </c>
      <c r="F138" s="39" t="s">
        <v>1194</v>
      </c>
      <c r="G138" s="40" t="s">
        <v>1677</v>
      </c>
      <c r="H138" s="39" t="s">
        <v>1196</v>
      </c>
      <c r="I138" s="39"/>
      <c r="J138" s="39" t="s">
        <v>1166</v>
      </c>
      <c r="K138" s="39" t="s">
        <v>1167</v>
      </c>
      <c r="L138" s="39" t="s">
        <v>674</v>
      </c>
      <c r="M138" s="39" t="s">
        <v>1185</v>
      </c>
      <c r="N138" s="39" t="s">
        <v>1170</v>
      </c>
      <c r="O138" s="41" t="str">
        <f t="shared" si="2"/>
        <v>Ronald Pruitt</v>
      </c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15.75" customHeight="1" x14ac:dyDescent="0.25">
      <c r="A139" s="28">
        <v>141</v>
      </c>
      <c r="B139" s="39" t="s">
        <v>1426</v>
      </c>
      <c r="C139" s="39" t="s">
        <v>1678</v>
      </c>
      <c r="D139" s="39" t="s">
        <v>1679</v>
      </c>
      <c r="E139" s="40">
        <v>45299</v>
      </c>
      <c r="F139" s="39" t="s">
        <v>1163</v>
      </c>
      <c r="G139" s="40" t="s">
        <v>1680</v>
      </c>
      <c r="H139" s="39" t="s">
        <v>1175</v>
      </c>
      <c r="I139" s="39" t="s">
        <v>1184</v>
      </c>
      <c r="J139" s="39" t="s">
        <v>1281</v>
      </c>
      <c r="K139" s="39" t="s">
        <v>1167</v>
      </c>
      <c r="L139" s="39" t="s">
        <v>680</v>
      </c>
      <c r="M139" s="39" t="s">
        <v>1185</v>
      </c>
      <c r="N139" s="39" t="s">
        <v>1186</v>
      </c>
      <c r="O139" s="41" t="str">
        <f t="shared" si="2"/>
        <v>Daniel Mooney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15.75" customHeight="1" x14ac:dyDescent="0.25">
      <c r="A140" s="28">
        <v>142</v>
      </c>
      <c r="B140" s="39" t="s">
        <v>1681</v>
      </c>
      <c r="C140" s="39" t="s">
        <v>1682</v>
      </c>
      <c r="D140" s="39" t="s">
        <v>1683</v>
      </c>
      <c r="E140" s="40">
        <v>45348</v>
      </c>
      <c r="F140" s="39" t="s">
        <v>1194</v>
      </c>
      <c r="G140" s="40" t="s">
        <v>1684</v>
      </c>
      <c r="H140" s="39" t="s">
        <v>1196</v>
      </c>
      <c r="I140" s="39"/>
      <c r="J140" s="39" t="s">
        <v>1166</v>
      </c>
      <c r="K140" s="39" t="s">
        <v>1167</v>
      </c>
      <c r="L140" s="39" t="s">
        <v>674</v>
      </c>
      <c r="M140" s="39" t="s">
        <v>1185</v>
      </c>
      <c r="N140" s="39" t="s">
        <v>1170</v>
      </c>
      <c r="O140" s="41" t="str">
        <f t="shared" si="2"/>
        <v>Bekim Protopapa</v>
      </c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15.75" customHeight="1" x14ac:dyDescent="0.25">
      <c r="A141" s="28">
        <v>143</v>
      </c>
      <c r="B141" s="39" t="s">
        <v>1685</v>
      </c>
      <c r="C141" s="39" t="s">
        <v>1686</v>
      </c>
      <c r="D141" s="39" t="s">
        <v>1687</v>
      </c>
      <c r="E141" s="40">
        <v>45425</v>
      </c>
      <c r="F141" s="39" t="s">
        <v>1163</v>
      </c>
      <c r="G141" s="40" t="s">
        <v>1688</v>
      </c>
      <c r="H141" s="39" t="s">
        <v>1196</v>
      </c>
      <c r="I141" s="39" t="s">
        <v>1184</v>
      </c>
      <c r="J141" s="39" t="s">
        <v>1166</v>
      </c>
      <c r="K141" s="39" t="s">
        <v>1167</v>
      </c>
      <c r="L141" s="39" t="s">
        <v>674</v>
      </c>
      <c r="M141" s="39" t="s">
        <v>1185</v>
      </c>
      <c r="N141" s="39" t="s">
        <v>1170</v>
      </c>
      <c r="O141" s="41" t="str">
        <f t="shared" si="2"/>
        <v>Jackson Donahoe</v>
      </c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15.75" customHeight="1" x14ac:dyDescent="0.25">
      <c r="A142" s="28">
        <v>144</v>
      </c>
      <c r="B142" s="39" t="s">
        <v>1689</v>
      </c>
      <c r="C142" s="39" t="s">
        <v>1690</v>
      </c>
      <c r="D142" s="39" t="s">
        <v>1691</v>
      </c>
      <c r="E142" s="40">
        <v>45425</v>
      </c>
      <c r="F142" s="39" t="s">
        <v>1163</v>
      </c>
      <c r="G142" s="40" t="s">
        <v>1692</v>
      </c>
      <c r="H142" s="39" t="s">
        <v>1165</v>
      </c>
      <c r="I142" s="39" t="s">
        <v>1584</v>
      </c>
      <c r="J142" s="39" t="s">
        <v>1166</v>
      </c>
      <c r="K142" s="39" t="s">
        <v>1167</v>
      </c>
      <c r="L142" s="39" t="s">
        <v>677</v>
      </c>
      <c r="M142" s="39" t="s">
        <v>1185</v>
      </c>
      <c r="N142" s="39" t="s">
        <v>1186</v>
      </c>
      <c r="O142" s="41" t="str">
        <f t="shared" si="2"/>
        <v>Karalyn Sims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15.75" customHeight="1" x14ac:dyDescent="0.25">
      <c r="A143" s="28">
        <v>145</v>
      </c>
      <c r="B143" s="39" t="s">
        <v>1693</v>
      </c>
      <c r="C143" s="39" t="s">
        <v>1694</v>
      </c>
      <c r="D143" s="39" t="s">
        <v>1695</v>
      </c>
      <c r="E143" s="40">
        <v>45440</v>
      </c>
      <c r="F143" s="39" t="s">
        <v>1194</v>
      </c>
      <c r="G143" s="40" t="s">
        <v>1696</v>
      </c>
      <c r="H143" s="39" t="s">
        <v>1196</v>
      </c>
      <c r="I143" s="39"/>
      <c r="J143" s="39" t="s">
        <v>1177</v>
      </c>
      <c r="K143" s="39" t="s">
        <v>1167</v>
      </c>
      <c r="L143" s="39" t="s">
        <v>674</v>
      </c>
      <c r="M143" s="39" t="s">
        <v>1185</v>
      </c>
      <c r="N143" s="39" t="s">
        <v>1170</v>
      </c>
      <c r="O143" s="41" t="str">
        <f t="shared" si="2"/>
        <v>Todd Rizley</v>
      </c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15.75" customHeight="1" x14ac:dyDescent="0.25">
      <c r="A144" s="28">
        <v>146</v>
      </c>
      <c r="B144" s="39" t="s">
        <v>1420</v>
      </c>
      <c r="C144" s="39" t="s">
        <v>1697</v>
      </c>
      <c r="D144" s="39" t="s">
        <v>1698</v>
      </c>
      <c r="E144" s="40">
        <v>45446</v>
      </c>
      <c r="F144" s="39" t="s">
        <v>1163</v>
      </c>
      <c r="G144" s="40" t="s">
        <v>1699</v>
      </c>
      <c r="H144" s="39" t="s">
        <v>1175</v>
      </c>
      <c r="I144" s="39" t="s">
        <v>1176</v>
      </c>
      <c r="J144" s="39" t="s">
        <v>1177</v>
      </c>
      <c r="K144" s="39" t="s">
        <v>1178</v>
      </c>
      <c r="L144" s="39" t="s">
        <v>683</v>
      </c>
      <c r="M144" s="39" t="s">
        <v>1179</v>
      </c>
      <c r="N144" s="39" t="s">
        <v>1180</v>
      </c>
      <c r="O144" s="41" t="str">
        <f t="shared" si="2"/>
        <v>Ryan McStravick</v>
      </c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15.75" customHeight="1" x14ac:dyDescent="0.25">
      <c r="A145" s="28">
        <v>147</v>
      </c>
      <c r="B145" s="39" t="s">
        <v>1700</v>
      </c>
      <c r="C145" s="39" t="s">
        <v>1701</v>
      </c>
      <c r="D145" s="39" t="s">
        <v>1702</v>
      </c>
      <c r="E145" s="40">
        <v>45443</v>
      </c>
      <c r="F145" s="39" t="s">
        <v>1194</v>
      </c>
      <c r="G145" s="40" t="s">
        <v>1356</v>
      </c>
      <c r="H145" s="39" t="s">
        <v>1165</v>
      </c>
      <c r="I145" s="39"/>
      <c r="J145" s="39" t="s">
        <v>1166</v>
      </c>
      <c r="K145" s="39"/>
      <c r="L145" s="39" t="s">
        <v>700</v>
      </c>
      <c r="M145" s="39" t="s">
        <v>1169</v>
      </c>
      <c r="N145" s="39" t="s">
        <v>1170</v>
      </c>
      <c r="O145" s="41" t="str">
        <f t="shared" si="2"/>
        <v>Allison Schwenn</v>
      </c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15.75" customHeight="1" x14ac:dyDescent="0.25">
      <c r="A146" s="28">
        <v>148</v>
      </c>
      <c r="B146" s="39" t="s">
        <v>1703</v>
      </c>
      <c r="C146" s="39" t="s">
        <v>1704</v>
      </c>
      <c r="D146" s="39" t="s">
        <v>1705</v>
      </c>
      <c r="E146" s="40">
        <v>45460</v>
      </c>
      <c r="F146" s="39" t="s">
        <v>1163</v>
      </c>
      <c r="G146" s="40" t="s">
        <v>1706</v>
      </c>
      <c r="H146" s="39" t="s">
        <v>1175</v>
      </c>
      <c r="I146" s="39" t="s">
        <v>1184</v>
      </c>
      <c r="J146" s="39" t="s">
        <v>1177</v>
      </c>
      <c r="K146" s="39" t="s">
        <v>1167</v>
      </c>
      <c r="L146" s="39" t="s">
        <v>680</v>
      </c>
      <c r="M146" s="39" t="s">
        <v>1185</v>
      </c>
      <c r="N146" s="39" t="s">
        <v>1186</v>
      </c>
      <c r="O146" s="41" t="str">
        <f t="shared" si="2"/>
        <v>Gary Passaglia</v>
      </c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5.75" customHeight="1" x14ac:dyDescent="0.25">
      <c r="A147" s="28">
        <v>149</v>
      </c>
      <c r="B147" s="39" t="s">
        <v>1707</v>
      </c>
      <c r="C147" s="39" t="s">
        <v>1708</v>
      </c>
      <c r="D147" s="39" t="s">
        <v>1709</v>
      </c>
      <c r="E147" s="40">
        <v>45474</v>
      </c>
      <c r="F147" s="39" t="s">
        <v>1163</v>
      </c>
      <c r="G147" s="40" t="s">
        <v>1710</v>
      </c>
      <c r="H147" s="39" t="s">
        <v>1175</v>
      </c>
      <c r="I147" s="39" t="s">
        <v>1323</v>
      </c>
      <c r="J147" s="39" t="s">
        <v>1166</v>
      </c>
      <c r="K147" s="39" t="s">
        <v>1178</v>
      </c>
      <c r="L147" s="39" t="s">
        <v>732</v>
      </c>
      <c r="M147" s="39" t="s">
        <v>1179</v>
      </c>
      <c r="N147" s="39" t="s">
        <v>1180</v>
      </c>
      <c r="O147" s="41" t="str">
        <f t="shared" si="2"/>
        <v>Hannah Farley</v>
      </c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5.75" customHeight="1" x14ac:dyDescent="0.25">
      <c r="A148" s="28">
        <v>150</v>
      </c>
      <c r="B148" s="39" t="s">
        <v>1711</v>
      </c>
      <c r="C148" s="39" t="s">
        <v>1161</v>
      </c>
      <c r="D148" s="39" t="s">
        <v>1712</v>
      </c>
      <c r="E148" s="40">
        <v>45474</v>
      </c>
      <c r="F148" s="39" t="s">
        <v>1194</v>
      </c>
      <c r="G148" s="40" t="s">
        <v>1356</v>
      </c>
      <c r="H148" s="39" t="s">
        <v>1165</v>
      </c>
      <c r="I148" s="39"/>
      <c r="J148" s="39" t="s">
        <v>1166</v>
      </c>
      <c r="K148" s="39"/>
      <c r="L148" s="39" t="s">
        <v>700</v>
      </c>
      <c r="M148" s="39" t="s">
        <v>1169</v>
      </c>
      <c r="N148" s="39" t="s">
        <v>1170</v>
      </c>
      <c r="O148" s="41" t="str">
        <f t="shared" si="2"/>
        <v>Raed Hourani</v>
      </c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15.75" customHeight="1" x14ac:dyDescent="0.25">
      <c r="A149" s="28">
        <v>151</v>
      </c>
      <c r="B149" s="39" t="s">
        <v>1713</v>
      </c>
      <c r="C149" s="39" t="s">
        <v>1714</v>
      </c>
      <c r="D149" s="39" t="s">
        <v>1715</v>
      </c>
      <c r="E149" s="40">
        <v>45474</v>
      </c>
      <c r="F149" s="39" t="s">
        <v>1194</v>
      </c>
      <c r="G149" s="40" t="s">
        <v>1356</v>
      </c>
      <c r="H149" s="39" t="s">
        <v>1165</v>
      </c>
      <c r="I149" s="39"/>
      <c r="J149" s="39" t="s">
        <v>1166</v>
      </c>
      <c r="K149" s="39"/>
      <c r="L149" s="39" t="s">
        <v>700</v>
      </c>
      <c r="M149" s="39" t="s">
        <v>1169</v>
      </c>
      <c r="N149" s="39" t="s">
        <v>1170</v>
      </c>
      <c r="O149" s="41" t="str">
        <f t="shared" si="2"/>
        <v>Kawthar Jawhar</v>
      </c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5.75" customHeight="1" x14ac:dyDescent="0.25">
      <c r="A150" s="28">
        <v>152</v>
      </c>
      <c r="B150" s="39" t="s">
        <v>1381</v>
      </c>
      <c r="C150" s="39" t="s">
        <v>1716</v>
      </c>
      <c r="D150" s="39" t="s">
        <v>1717</v>
      </c>
      <c r="E150" s="40">
        <v>45495</v>
      </c>
      <c r="F150" s="39" t="s">
        <v>1163</v>
      </c>
      <c r="G150" s="40" t="s">
        <v>1718</v>
      </c>
      <c r="H150" s="39" t="s">
        <v>1175</v>
      </c>
      <c r="I150" s="39" t="s">
        <v>1176</v>
      </c>
      <c r="J150" s="39" t="s">
        <v>1177</v>
      </c>
      <c r="K150" s="39" t="s">
        <v>1178</v>
      </c>
      <c r="L150" s="39" t="s">
        <v>683</v>
      </c>
      <c r="M150" s="39" t="s">
        <v>1179</v>
      </c>
      <c r="N150" s="39" t="s">
        <v>1180</v>
      </c>
      <c r="O150" s="41" t="str">
        <f t="shared" si="2"/>
        <v>Anthony Tambash</v>
      </c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5.75" customHeight="1" x14ac:dyDescent="0.25">
      <c r="A151" s="28">
        <v>153</v>
      </c>
      <c r="B151" s="39" t="s">
        <v>1719</v>
      </c>
      <c r="C151" s="39" t="s">
        <v>1720</v>
      </c>
      <c r="D151" s="39" t="s">
        <v>1721</v>
      </c>
      <c r="E151" s="40">
        <v>45486</v>
      </c>
      <c r="F151" s="39" t="s">
        <v>1194</v>
      </c>
      <c r="G151" s="40" t="s">
        <v>1722</v>
      </c>
      <c r="H151" s="39" t="s">
        <v>1165</v>
      </c>
      <c r="I151" s="39"/>
      <c r="J151" s="39" t="s">
        <v>1166</v>
      </c>
      <c r="K151" s="39"/>
      <c r="L151" s="39" t="s">
        <v>700</v>
      </c>
      <c r="M151" s="39" t="s">
        <v>1169</v>
      </c>
      <c r="N151" s="39" t="s">
        <v>1170</v>
      </c>
      <c r="O151" s="41" t="str">
        <f t="shared" si="2"/>
        <v>Maritess Desrosiers</v>
      </c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5.75" customHeight="1" x14ac:dyDescent="0.25">
      <c r="A152" s="28">
        <v>154</v>
      </c>
      <c r="B152" s="39" t="s">
        <v>1420</v>
      </c>
      <c r="C152" s="39" t="s">
        <v>1723</v>
      </c>
      <c r="D152" s="39" t="s">
        <v>1724</v>
      </c>
      <c r="E152" s="40">
        <v>45502</v>
      </c>
      <c r="F152" s="39" t="s">
        <v>1163</v>
      </c>
      <c r="G152" s="40" t="s">
        <v>1725</v>
      </c>
      <c r="H152" s="39" t="s">
        <v>1196</v>
      </c>
      <c r="I152" s="39" t="s">
        <v>1184</v>
      </c>
      <c r="J152" s="39" t="s">
        <v>1177</v>
      </c>
      <c r="K152" s="39" t="s">
        <v>1167</v>
      </c>
      <c r="L152" s="39" t="s">
        <v>674</v>
      </c>
      <c r="M152" s="39" t="s">
        <v>1185</v>
      </c>
      <c r="N152" s="39" t="s">
        <v>1170</v>
      </c>
      <c r="O152" s="41" t="str">
        <f t="shared" si="2"/>
        <v>Ryan Henrich</v>
      </c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5.75" customHeight="1" x14ac:dyDescent="0.25">
      <c r="A153" s="28">
        <v>155</v>
      </c>
      <c r="B153" s="39" t="s">
        <v>1456</v>
      </c>
      <c r="C153" s="39" t="s">
        <v>1726</v>
      </c>
      <c r="D153" s="39" t="s">
        <v>1727</v>
      </c>
      <c r="E153" s="40">
        <v>45505</v>
      </c>
      <c r="F153" s="39" t="s">
        <v>1163</v>
      </c>
      <c r="G153" s="40" t="s">
        <v>1728</v>
      </c>
      <c r="H153" s="39" t="s">
        <v>1175</v>
      </c>
      <c r="I153" s="39" t="s">
        <v>1176</v>
      </c>
      <c r="J153" s="39" t="s">
        <v>1177</v>
      </c>
      <c r="K153" s="39" t="s">
        <v>1178</v>
      </c>
      <c r="L153" s="39" t="s">
        <v>683</v>
      </c>
      <c r="M153" s="39" t="s">
        <v>1179</v>
      </c>
      <c r="N153" s="39" t="s">
        <v>1180</v>
      </c>
      <c r="O153" s="41" t="str">
        <f t="shared" si="2"/>
        <v>Robert Lankford</v>
      </c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15.75" customHeight="1" x14ac:dyDescent="0.25">
      <c r="A154" s="28">
        <v>156</v>
      </c>
      <c r="B154" s="39" t="s">
        <v>1729</v>
      </c>
      <c r="C154" s="39" t="s">
        <v>1730</v>
      </c>
      <c r="D154" s="39" t="s">
        <v>1731</v>
      </c>
      <c r="E154" s="40">
        <v>45516</v>
      </c>
      <c r="F154" s="39" t="s">
        <v>1163</v>
      </c>
      <c r="G154" s="40" t="s">
        <v>1732</v>
      </c>
      <c r="H154" s="39" t="s">
        <v>1196</v>
      </c>
      <c r="I154" s="39" t="s">
        <v>1184</v>
      </c>
      <c r="J154" s="39" t="s">
        <v>1166</v>
      </c>
      <c r="K154" s="39" t="s">
        <v>1167</v>
      </c>
      <c r="L154" s="39" t="s">
        <v>674</v>
      </c>
      <c r="M154" s="39" t="s">
        <v>1185</v>
      </c>
      <c r="N154" s="39" t="s">
        <v>1170</v>
      </c>
      <c r="O154" s="41" t="str">
        <f t="shared" si="2"/>
        <v>Dwight Henderson</v>
      </c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5.75" customHeight="1" x14ac:dyDescent="0.25">
      <c r="A155" s="28">
        <v>157</v>
      </c>
      <c r="B155" s="39" t="s">
        <v>1426</v>
      </c>
      <c r="C155" s="39" t="s">
        <v>1733</v>
      </c>
      <c r="D155" s="39" t="s">
        <v>1734</v>
      </c>
      <c r="E155" s="40">
        <v>45523</v>
      </c>
      <c r="F155" s="39" t="s">
        <v>1163</v>
      </c>
      <c r="G155" s="40" t="s">
        <v>1735</v>
      </c>
      <c r="H155" s="39" t="s">
        <v>1175</v>
      </c>
      <c r="I155" s="39" t="s">
        <v>1176</v>
      </c>
      <c r="J155" s="39" t="s">
        <v>1177</v>
      </c>
      <c r="K155" s="39" t="s">
        <v>1178</v>
      </c>
      <c r="L155" s="39" t="s">
        <v>683</v>
      </c>
      <c r="M155" s="39" t="s">
        <v>1179</v>
      </c>
      <c r="N155" s="39" t="s">
        <v>1180</v>
      </c>
      <c r="O155" s="41" t="str">
        <f t="shared" si="2"/>
        <v>Daniel Throckmorton</v>
      </c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5.75" customHeight="1" x14ac:dyDescent="0.25">
      <c r="A156" s="28">
        <v>158</v>
      </c>
      <c r="B156" s="39" t="s">
        <v>1736</v>
      </c>
      <c r="C156" s="39" t="s">
        <v>1737</v>
      </c>
      <c r="D156" s="39" t="s">
        <v>1738</v>
      </c>
      <c r="E156" s="40">
        <v>45523</v>
      </c>
      <c r="F156" s="39" t="s">
        <v>1194</v>
      </c>
      <c r="G156" s="40" t="s">
        <v>1739</v>
      </c>
      <c r="H156" s="39" t="s">
        <v>1175</v>
      </c>
      <c r="I156" s="39"/>
      <c r="J156" s="39" t="s">
        <v>1177</v>
      </c>
      <c r="K156" s="39" t="s">
        <v>1178</v>
      </c>
      <c r="L156" s="39" t="s">
        <v>683</v>
      </c>
      <c r="M156" s="39" t="s">
        <v>1179</v>
      </c>
      <c r="N156" s="39" t="s">
        <v>1180</v>
      </c>
      <c r="O156" s="41" t="str">
        <f t="shared" si="2"/>
        <v>Jack Wurm</v>
      </c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5.75" customHeight="1" x14ac:dyDescent="0.25">
      <c r="A157" s="28">
        <v>159</v>
      </c>
      <c r="B157" s="39" t="s">
        <v>1460</v>
      </c>
      <c r="C157" s="39" t="s">
        <v>1740</v>
      </c>
      <c r="D157" s="39" t="s">
        <v>1741</v>
      </c>
      <c r="E157" s="40">
        <v>45533</v>
      </c>
      <c r="F157" s="39" t="s">
        <v>1163</v>
      </c>
      <c r="G157" s="40" t="s">
        <v>1742</v>
      </c>
      <c r="H157" s="39" t="s">
        <v>1196</v>
      </c>
      <c r="I157" s="39" t="s">
        <v>1176</v>
      </c>
      <c r="J157" s="39" t="s">
        <v>1166</v>
      </c>
      <c r="K157" s="39" t="s">
        <v>1178</v>
      </c>
      <c r="L157" s="39" t="s">
        <v>687</v>
      </c>
      <c r="M157" s="39" t="s">
        <v>1179</v>
      </c>
      <c r="N157" s="39" t="s">
        <v>1180</v>
      </c>
      <c r="O157" s="41" t="str">
        <f t="shared" si="2"/>
        <v>Benjamin Roberts</v>
      </c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5.75" customHeight="1" x14ac:dyDescent="0.25">
      <c r="A158" s="28">
        <v>160</v>
      </c>
      <c r="B158" s="39" t="s">
        <v>1743</v>
      </c>
      <c r="C158" s="39" t="s">
        <v>1744</v>
      </c>
      <c r="D158" s="39" t="s">
        <v>1745</v>
      </c>
      <c r="E158" s="40">
        <v>45524</v>
      </c>
      <c r="F158" s="39" t="s">
        <v>1163</v>
      </c>
      <c r="G158" s="40" t="s">
        <v>1746</v>
      </c>
      <c r="H158" s="39" t="s">
        <v>1165</v>
      </c>
      <c r="I158" s="39" t="s">
        <v>1441</v>
      </c>
      <c r="J158" s="39" t="s">
        <v>1177</v>
      </c>
      <c r="K158" s="39" t="s">
        <v>1167</v>
      </c>
      <c r="L158" s="39" t="s">
        <v>700</v>
      </c>
      <c r="M158" s="39" t="s">
        <v>1169</v>
      </c>
      <c r="N158" s="39" t="s">
        <v>1170</v>
      </c>
      <c r="O158" s="41" t="str">
        <f t="shared" si="2"/>
        <v>Lauren Lechleitner</v>
      </c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5.75" customHeight="1" x14ac:dyDescent="0.25">
      <c r="A159" s="28">
        <v>163</v>
      </c>
      <c r="B159" s="39" t="s">
        <v>1747</v>
      </c>
      <c r="C159" s="39" t="s">
        <v>1748</v>
      </c>
      <c r="D159" s="39" t="s">
        <v>1749</v>
      </c>
      <c r="E159" s="40">
        <v>45539</v>
      </c>
      <c r="F159" s="39" t="s">
        <v>1194</v>
      </c>
      <c r="G159" s="40" t="s">
        <v>1562</v>
      </c>
      <c r="H159" s="39" t="s">
        <v>1175</v>
      </c>
      <c r="I159" s="39"/>
      <c r="J159" s="39" t="s">
        <v>1177</v>
      </c>
      <c r="K159" s="39" t="s">
        <v>1167</v>
      </c>
      <c r="L159" s="39" t="s">
        <v>683</v>
      </c>
      <c r="M159" s="39" t="s">
        <v>1169</v>
      </c>
      <c r="N159" s="39" t="s">
        <v>1186</v>
      </c>
      <c r="O159" s="41" t="str">
        <f t="shared" si="2"/>
        <v>Rahul Bisht</v>
      </c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15.75" customHeight="1" x14ac:dyDescent="0.25">
      <c r="A160" s="28">
        <v>164</v>
      </c>
      <c r="B160" s="39" t="s">
        <v>1750</v>
      </c>
      <c r="C160" s="39" t="s">
        <v>1751</v>
      </c>
      <c r="D160" s="39" t="s">
        <v>1752</v>
      </c>
      <c r="E160" s="40">
        <v>45565</v>
      </c>
      <c r="F160" s="39" t="s">
        <v>1163</v>
      </c>
      <c r="G160" s="40" t="s">
        <v>1753</v>
      </c>
      <c r="H160" s="39" t="s">
        <v>1175</v>
      </c>
      <c r="I160" s="39" t="s">
        <v>1176</v>
      </c>
      <c r="J160" s="39" t="s">
        <v>1177</v>
      </c>
      <c r="K160" s="39" t="s">
        <v>1178</v>
      </c>
      <c r="L160" s="39" t="s">
        <v>683</v>
      </c>
      <c r="M160" s="39" t="s">
        <v>1179</v>
      </c>
      <c r="N160" s="39" t="s">
        <v>1180</v>
      </c>
      <c r="O160" s="41" t="str">
        <f t="shared" si="2"/>
        <v>Adam Hansen</v>
      </c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5.75" customHeight="1" x14ac:dyDescent="0.25">
      <c r="A161" s="28">
        <v>165</v>
      </c>
      <c r="B161" s="39" t="s">
        <v>1754</v>
      </c>
      <c r="C161" s="39" t="s">
        <v>1755</v>
      </c>
      <c r="D161" s="39" t="s">
        <v>1756</v>
      </c>
      <c r="E161" s="40">
        <v>45572</v>
      </c>
      <c r="F161" s="39" t="s">
        <v>1163</v>
      </c>
      <c r="G161" s="40" t="s">
        <v>1757</v>
      </c>
      <c r="H161" s="39" t="s">
        <v>1175</v>
      </c>
      <c r="I161" s="39" t="s">
        <v>1176</v>
      </c>
      <c r="J161" s="39" t="s">
        <v>1177</v>
      </c>
      <c r="K161" s="39" t="s">
        <v>1178</v>
      </c>
      <c r="L161" s="39" t="s">
        <v>683</v>
      </c>
      <c r="M161" s="39" t="s">
        <v>1179</v>
      </c>
      <c r="N161" s="39" t="s">
        <v>1180</v>
      </c>
      <c r="O161" s="41" t="str">
        <f t="shared" si="2"/>
        <v>Kevin Montes de Oca</v>
      </c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5.75" customHeight="1" x14ac:dyDescent="0.25">
      <c r="A162" s="28">
        <v>166</v>
      </c>
      <c r="B162" s="39" t="s">
        <v>1242</v>
      </c>
      <c r="C162" s="39" t="s">
        <v>1758</v>
      </c>
      <c r="D162" s="39" t="s">
        <v>1759</v>
      </c>
      <c r="E162" s="40">
        <v>45600</v>
      </c>
      <c r="F162" s="39" t="s">
        <v>1163</v>
      </c>
      <c r="G162" s="40" t="s">
        <v>1760</v>
      </c>
      <c r="H162" s="39" t="s">
        <v>1175</v>
      </c>
      <c r="I162" s="39" t="s">
        <v>1176</v>
      </c>
      <c r="J162" s="39" t="s">
        <v>1166</v>
      </c>
      <c r="K162" s="39" t="s">
        <v>1178</v>
      </c>
      <c r="L162" s="39" t="s">
        <v>683</v>
      </c>
      <c r="M162" s="39" t="s">
        <v>1179</v>
      </c>
      <c r="N162" s="39" t="s">
        <v>1180</v>
      </c>
      <c r="O162" s="41" t="str">
        <f t="shared" si="2"/>
        <v>Michael Scalia</v>
      </c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5.75" customHeight="1" x14ac:dyDescent="0.25">
      <c r="A163" s="28">
        <v>167</v>
      </c>
      <c r="B163" s="39" t="s">
        <v>1588</v>
      </c>
      <c r="C163" s="39" t="s">
        <v>1761</v>
      </c>
      <c r="D163" s="39" t="s">
        <v>1762</v>
      </c>
      <c r="E163" s="40">
        <v>45607</v>
      </c>
      <c r="F163" s="39" t="s">
        <v>1163</v>
      </c>
      <c r="G163" s="40" t="s">
        <v>1763</v>
      </c>
      <c r="H163" s="39" t="s">
        <v>1175</v>
      </c>
      <c r="I163" s="39" t="s">
        <v>1176</v>
      </c>
      <c r="J163" s="39" t="s">
        <v>1177</v>
      </c>
      <c r="K163" s="39" t="s">
        <v>1178</v>
      </c>
      <c r="L163" s="39" t="s">
        <v>683</v>
      </c>
      <c r="M163" s="39" t="s">
        <v>1179</v>
      </c>
      <c r="N163" s="39" t="s">
        <v>1180</v>
      </c>
      <c r="O163" s="41" t="str">
        <f t="shared" si="2"/>
        <v>Jonathan Stricklin</v>
      </c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5.75" customHeight="1" x14ac:dyDescent="0.25">
      <c r="A164" s="28">
        <v>168</v>
      </c>
      <c r="B164" s="39" t="s">
        <v>1764</v>
      </c>
      <c r="C164" s="39" t="s">
        <v>1765</v>
      </c>
      <c r="D164" s="39" t="s">
        <v>1766</v>
      </c>
      <c r="E164" s="40">
        <v>45600</v>
      </c>
      <c r="F164" s="39" t="s">
        <v>1163</v>
      </c>
      <c r="G164" s="40" t="s">
        <v>1760</v>
      </c>
      <c r="H164" s="39" t="s">
        <v>1196</v>
      </c>
      <c r="I164" s="39" t="s">
        <v>1176</v>
      </c>
      <c r="J164" s="39" t="s">
        <v>1166</v>
      </c>
      <c r="K164" s="39" t="s">
        <v>1178</v>
      </c>
      <c r="L164" s="39" t="s">
        <v>687</v>
      </c>
      <c r="M164" s="39" t="s">
        <v>1179</v>
      </c>
      <c r="N164" s="39" t="s">
        <v>1180</v>
      </c>
      <c r="O164" s="41" t="str">
        <f t="shared" si="2"/>
        <v>Gabriel Sanna</v>
      </c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15.75" customHeight="1" x14ac:dyDescent="0.25">
      <c r="A165" s="28">
        <v>169</v>
      </c>
      <c r="B165" s="39" t="s">
        <v>1767</v>
      </c>
      <c r="C165" s="39" t="s">
        <v>1768</v>
      </c>
      <c r="D165" s="39" t="s">
        <v>1769</v>
      </c>
      <c r="E165" s="40">
        <v>45621</v>
      </c>
      <c r="F165" s="39" t="s">
        <v>1163</v>
      </c>
      <c r="G165" s="40" t="s">
        <v>1770</v>
      </c>
      <c r="H165" s="39" t="s">
        <v>1175</v>
      </c>
      <c r="I165" s="39" t="s">
        <v>1176</v>
      </c>
      <c r="J165" s="39" t="s">
        <v>1177</v>
      </c>
      <c r="K165" s="39" t="s">
        <v>1178</v>
      </c>
      <c r="L165" s="39" t="s">
        <v>683</v>
      </c>
      <c r="M165" s="39" t="s">
        <v>1179</v>
      </c>
      <c r="N165" s="39" t="s">
        <v>1180</v>
      </c>
      <c r="O165" s="41" t="str">
        <f t="shared" si="2"/>
        <v>Jason Speet</v>
      </c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15.75" customHeight="1" x14ac:dyDescent="0.25">
      <c r="A166" s="28">
        <v>170</v>
      </c>
      <c r="B166" s="39" t="s">
        <v>1771</v>
      </c>
      <c r="C166" s="39" t="s">
        <v>1772</v>
      </c>
      <c r="D166" s="39" t="s">
        <v>1773</v>
      </c>
      <c r="E166" s="40">
        <v>45621</v>
      </c>
      <c r="F166" s="39" t="s">
        <v>1163</v>
      </c>
      <c r="G166" s="40" t="s">
        <v>1774</v>
      </c>
      <c r="H166" s="39" t="s">
        <v>1165</v>
      </c>
      <c r="I166" s="39" t="s">
        <v>1165</v>
      </c>
      <c r="J166" s="39" t="s">
        <v>1166</v>
      </c>
      <c r="K166" s="39" t="s">
        <v>1167</v>
      </c>
      <c r="L166" s="39" t="s">
        <v>700</v>
      </c>
      <c r="M166" s="39" t="s">
        <v>1169</v>
      </c>
      <c r="N166" s="39" t="s">
        <v>1170</v>
      </c>
      <c r="O166" s="41" t="str">
        <f t="shared" si="2"/>
        <v>Mickenzi Krpec</v>
      </c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5.75" customHeight="1" x14ac:dyDescent="0.25">
      <c r="A167" s="28">
        <v>171</v>
      </c>
      <c r="B167" s="39" t="s">
        <v>1775</v>
      </c>
      <c r="C167" s="39" t="s">
        <v>1776</v>
      </c>
      <c r="D167" s="39" t="s">
        <v>1777</v>
      </c>
      <c r="E167" s="40">
        <v>45628</v>
      </c>
      <c r="F167" s="39" t="s">
        <v>1163</v>
      </c>
      <c r="G167" s="40" t="s">
        <v>1778</v>
      </c>
      <c r="H167" s="39" t="s">
        <v>1196</v>
      </c>
      <c r="I167" s="39" t="s">
        <v>1779</v>
      </c>
      <c r="J167" s="39" t="s">
        <v>1166</v>
      </c>
      <c r="K167" s="39" t="s">
        <v>1178</v>
      </c>
      <c r="L167" s="39" t="s">
        <v>687</v>
      </c>
      <c r="M167" s="39" t="s">
        <v>1179</v>
      </c>
      <c r="N167" s="39" t="s">
        <v>1180</v>
      </c>
      <c r="O167" s="41" t="str">
        <f t="shared" si="2"/>
        <v>Kanneti Jhansi</v>
      </c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5.75" customHeight="1" x14ac:dyDescent="0.25">
      <c r="A168" s="28">
        <v>172</v>
      </c>
      <c r="B168" s="39" t="s">
        <v>1767</v>
      </c>
      <c r="C168" s="39" t="s">
        <v>1780</v>
      </c>
      <c r="D168" s="39" t="s">
        <v>1781</v>
      </c>
      <c r="E168" s="40">
        <v>45635</v>
      </c>
      <c r="F168" s="39" t="s">
        <v>1163</v>
      </c>
      <c r="G168" s="40" t="s">
        <v>1782</v>
      </c>
      <c r="H168" s="39" t="s">
        <v>1196</v>
      </c>
      <c r="I168" s="39" t="s">
        <v>1783</v>
      </c>
      <c r="J168" s="39" t="s">
        <v>1166</v>
      </c>
      <c r="K168" s="39" t="s">
        <v>1178</v>
      </c>
      <c r="L168" s="39" t="s">
        <v>687</v>
      </c>
      <c r="M168" s="39" t="s">
        <v>1179</v>
      </c>
      <c r="N168" s="39" t="s">
        <v>1180</v>
      </c>
      <c r="O168" s="41" t="str">
        <f t="shared" si="2"/>
        <v>Jason Fox</v>
      </c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5.75" customHeight="1" x14ac:dyDescent="0.25">
      <c r="A169" s="28">
        <v>173</v>
      </c>
      <c r="B169" s="39" t="s">
        <v>1242</v>
      </c>
      <c r="C169" s="39" t="s">
        <v>1784</v>
      </c>
      <c r="D169" s="39" t="s">
        <v>1785</v>
      </c>
      <c r="E169" s="40">
        <v>45628</v>
      </c>
      <c r="F169" s="39" t="s">
        <v>1194</v>
      </c>
      <c r="G169" s="40" t="s">
        <v>1786</v>
      </c>
      <c r="H169" s="39" t="s">
        <v>1196</v>
      </c>
      <c r="I169" s="39"/>
      <c r="J169" s="39" t="s">
        <v>1166</v>
      </c>
      <c r="K169" s="39" t="s">
        <v>1178</v>
      </c>
      <c r="L169" s="39" t="s">
        <v>687</v>
      </c>
      <c r="M169" s="39" t="s">
        <v>1179</v>
      </c>
      <c r="N169" s="39" t="s">
        <v>1180</v>
      </c>
      <c r="O169" s="41" t="str">
        <f t="shared" si="2"/>
        <v>Michael Palmieri</v>
      </c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5.75" customHeight="1" x14ac:dyDescent="0.25">
      <c r="A170" s="28">
        <v>174</v>
      </c>
      <c r="B170" s="39" t="s">
        <v>1456</v>
      </c>
      <c r="C170" s="39" t="s">
        <v>1787</v>
      </c>
      <c r="D170" s="39" t="s">
        <v>1788</v>
      </c>
      <c r="E170" s="40">
        <v>45673</v>
      </c>
      <c r="F170" s="39" t="s">
        <v>1194</v>
      </c>
      <c r="G170" s="40" t="s">
        <v>1632</v>
      </c>
      <c r="H170" s="39" t="s">
        <v>1175</v>
      </c>
      <c r="I170" s="39"/>
      <c r="J170" s="39" t="s">
        <v>1177</v>
      </c>
      <c r="K170" s="39" t="s">
        <v>1178</v>
      </c>
      <c r="L170" s="39" t="s">
        <v>683</v>
      </c>
      <c r="M170" s="39" t="s">
        <v>1179</v>
      </c>
      <c r="N170" s="39" t="s">
        <v>1180</v>
      </c>
      <c r="O170" s="41" t="str">
        <f t="shared" si="2"/>
        <v>Robert Smith</v>
      </c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5.75" customHeight="1" x14ac:dyDescent="0.25">
      <c r="A171" s="28">
        <v>175</v>
      </c>
      <c r="B171" s="39" t="s">
        <v>1789</v>
      </c>
      <c r="C171" s="39" t="s">
        <v>1790</v>
      </c>
      <c r="D171" s="39" t="s">
        <v>1791</v>
      </c>
      <c r="E171" s="40">
        <v>45684</v>
      </c>
      <c r="F171" s="39" t="s">
        <v>1163</v>
      </c>
      <c r="G171" s="40" t="s">
        <v>1792</v>
      </c>
      <c r="H171" s="39" t="s">
        <v>1175</v>
      </c>
      <c r="I171" s="39" t="s">
        <v>1323</v>
      </c>
      <c r="J171" s="39" t="s">
        <v>1166</v>
      </c>
      <c r="K171" s="39" t="s">
        <v>1178</v>
      </c>
      <c r="L171" s="39" t="s">
        <v>732</v>
      </c>
      <c r="M171" s="39" t="s">
        <v>1179</v>
      </c>
      <c r="N171" s="39" t="s">
        <v>1180</v>
      </c>
      <c r="O171" s="41" t="str">
        <f t="shared" si="2"/>
        <v>Meghan Murray</v>
      </c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5.75" customHeight="1" x14ac:dyDescent="0.25">
      <c r="A172" s="28">
        <v>176</v>
      </c>
      <c r="B172" s="39" t="s">
        <v>1793</v>
      </c>
      <c r="C172" s="39" t="s">
        <v>1794</v>
      </c>
      <c r="D172" s="39" t="s">
        <v>1795</v>
      </c>
      <c r="E172" s="40">
        <v>45687</v>
      </c>
      <c r="F172" s="39" t="s">
        <v>1163</v>
      </c>
      <c r="G172" s="40" t="s">
        <v>1796</v>
      </c>
      <c r="H172" s="39" t="s">
        <v>1175</v>
      </c>
      <c r="I172" s="39" t="s">
        <v>1176</v>
      </c>
      <c r="J172" s="39" t="s">
        <v>1177</v>
      </c>
      <c r="K172" s="39" t="s">
        <v>1178</v>
      </c>
      <c r="L172" s="39" t="s">
        <v>683</v>
      </c>
      <c r="M172" s="39" t="s">
        <v>1179</v>
      </c>
      <c r="N172" s="39" t="s">
        <v>1180</v>
      </c>
      <c r="O172" s="41" t="str">
        <f t="shared" si="2"/>
        <v>Austin Nadler</v>
      </c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5.75" customHeight="1" x14ac:dyDescent="0.25">
      <c r="A173" s="28">
        <v>177</v>
      </c>
      <c r="B173" s="39" t="s">
        <v>1797</v>
      </c>
      <c r="C173" s="39" t="s">
        <v>1798</v>
      </c>
      <c r="D173" s="39" t="s">
        <v>1799</v>
      </c>
      <c r="E173" s="40">
        <v>45789</v>
      </c>
      <c r="F173" s="39" t="s">
        <v>1800</v>
      </c>
      <c r="G173" s="40" t="s">
        <v>1801</v>
      </c>
      <c r="H173" s="39" t="s">
        <v>1165</v>
      </c>
      <c r="I173" s="39" t="s">
        <v>1165</v>
      </c>
      <c r="J173" s="39" t="s">
        <v>1166</v>
      </c>
      <c r="K173" s="39" t="s">
        <v>1167</v>
      </c>
      <c r="L173" s="39" t="s">
        <v>700</v>
      </c>
      <c r="M173" s="39" t="s">
        <v>1169</v>
      </c>
      <c r="N173" s="39" t="s">
        <v>1170</v>
      </c>
      <c r="O173" s="41" t="str">
        <f t="shared" si="2"/>
        <v>Frederick Simpson</v>
      </c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5.75" customHeight="1" x14ac:dyDescent="0.25">
      <c r="A174" s="28">
        <v>178</v>
      </c>
      <c r="B174" s="39" t="s">
        <v>1802</v>
      </c>
      <c r="C174" s="39" t="s">
        <v>1803</v>
      </c>
      <c r="D174" s="39" t="s">
        <v>1804</v>
      </c>
      <c r="E174" s="40">
        <v>45705</v>
      </c>
      <c r="F174" s="39" t="s">
        <v>1163</v>
      </c>
      <c r="G174" s="40" t="s">
        <v>1805</v>
      </c>
      <c r="H174" s="39" t="s">
        <v>1175</v>
      </c>
      <c r="I174" s="39" t="s">
        <v>1176</v>
      </c>
      <c r="J174" s="39" t="s">
        <v>1281</v>
      </c>
      <c r="K174" s="39" t="s">
        <v>1178</v>
      </c>
      <c r="L174" s="39" t="s">
        <v>683</v>
      </c>
      <c r="M174" s="39" t="s">
        <v>1179</v>
      </c>
      <c r="N174" s="39" t="s">
        <v>1180</v>
      </c>
      <c r="O174" s="41" t="str">
        <f t="shared" si="2"/>
        <v>Dhanraj Poojari</v>
      </c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5.75" customHeight="1" x14ac:dyDescent="0.25">
      <c r="A175" s="28">
        <v>179</v>
      </c>
      <c r="B175" s="39" t="s">
        <v>1430</v>
      </c>
      <c r="C175" s="39" t="s">
        <v>1806</v>
      </c>
      <c r="D175" s="39" t="s">
        <v>1807</v>
      </c>
      <c r="E175" s="40">
        <v>45693</v>
      </c>
      <c r="F175" s="39" t="s">
        <v>1194</v>
      </c>
      <c r="G175" s="40" t="s">
        <v>1808</v>
      </c>
      <c r="H175" s="39" t="s">
        <v>1175</v>
      </c>
      <c r="I175" s="39"/>
      <c r="J175" s="39" t="s">
        <v>1177</v>
      </c>
      <c r="K175" s="39" t="s">
        <v>1178</v>
      </c>
      <c r="L175" s="39" t="s">
        <v>683</v>
      </c>
      <c r="M175" s="39" t="s">
        <v>1179</v>
      </c>
      <c r="N175" s="39" t="s">
        <v>1180</v>
      </c>
      <c r="O175" s="41" t="str">
        <f t="shared" si="2"/>
        <v>Matthew Descoteaux</v>
      </c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5.75" customHeight="1" x14ac:dyDescent="0.25">
      <c r="A176" s="28">
        <v>180</v>
      </c>
      <c r="B176" s="39" t="s">
        <v>1350</v>
      </c>
      <c r="C176" s="39" t="s">
        <v>1809</v>
      </c>
      <c r="D176" s="39" t="s">
        <v>1810</v>
      </c>
      <c r="E176" s="40">
        <v>45693</v>
      </c>
      <c r="F176" s="39" t="s">
        <v>1163</v>
      </c>
      <c r="G176" s="40" t="s">
        <v>1811</v>
      </c>
      <c r="H176" s="39" t="s">
        <v>1175</v>
      </c>
      <c r="I176" s="39" t="s">
        <v>1176</v>
      </c>
      <c r="J176" s="39" t="s">
        <v>1177</v>
      </c>
      <c r="K176" s="39" t="s">
        <v>1178</v>
      </c>
      <c r="L176" s="39" t="s">
        <v>683</v>
      </c>
      <c r="M176" s="39" t="s">
        <v>1179</v>
      </c>
      <c r="N176" s="39" t="s">
        <v>1180</v>
      </c>
      <c r="O176" s="41" t="str">
        <f t="shared" si="2"/>
        <v>Andrew Warrick</v>
      </c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5.75" customHeight="1" x14ac:dyDescent="0.25">
      <c r="A177" s="28">
        <v>181</v>
      </c>
      <c r="B177" s="39" t="s">
        <v>1812</v>
      </c>
      <c r="C177" s="39" t="s">
        <v>1813</v>
      </c>
      <c r="D177" s="39" t="s">
        <v>1814</v>
      </c>
      <c r="E177" s="40">
        <v>45761</v>
      </c>
      <c r="F177" s="39" t="s">
        <v>1163</v>
      </c>
      <c r="G177" s="40" t="s">
        <v>1815</v>
      </c>
      <c r="H177" s="39" t="s">
        <v>1175</v>
      </c>
      <c r="I177" s="39" t="s">
        <v>1323</v>
      </c>
      <c r="J177" s="39" t="s">
        <v>1281</v>
      </c>
      <c r="K177" s="39" t="s">
        <v>1178</v>
      </c>
      <c r="L177" s="39" t="s">
        <v>732</v>
      </c>
      <c r="M177" s="39" t="s">
        <v>1179</v>
      </c>
      <c r="N177" s="39" t="s">
        <v>1180</v>
      </c>
      <c r="O177" s="41" t="str">
        <f t="shared" si="2"/>
        <v>Oliver McCaffrey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5.75" customHeight="1" x14ac:dyDescent="0.25">
      <c r="A178" s="28">
        <v>182</v>
      </c>
      <c r="B178" s="39" t="s">
        <v>1816</v>
      </c>
      <c r="C178" s="39" t="s">
        <v>1817</v>
      </c>
      <c r="D178" s="39" t="s">
        <v>1818</v>
      </c>
      <c r="E178" s="40">
        <v>45720</v>
      </c>
      <c r="F178" s="39" t="s">
        <v>1194</v>
      </c>
      <c r="G178" s="40" t="s">
        <v>1819</v>
      </c>
      <c r="H178" s="39" t="s">
        <v>1175</v>
      </c>
      <c r="I178" s="39"/>
      <c r="J178" s="39" t="s">
        <v>1166</v>
      </c>
      <c r="K178" s="39"/>
      <c r="L178" s="39" t="s">
        <v>732</v>
      </c>
      <c r="M178" s="39" t="s">
        <v>1179</v>
      </c>
      <c r="N178" s="39" t="s">
        <v>1180</v>
      </c>
      <c r="O178" s="41" t="str">
        <f t="shared" si="2"/>
        <v>Hamadi Cantave</v>
      </c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5.75" customHeight="1" x14ac:dyDescent="0.25">
      <c r="A179" s="28">
        <v>183</v>
      </c>
      <c r="B179" s="39" t="s">
        <v>1664</v>
      </c>
      <c r="C179" s="39" t="s">
        <v>1820</v>
      </c>
      <c r="D179" s="39" t="s">
        <v>1821</v>
      </c>
      <c r="E179" s="40">
        <v>45734</v>
      </c>
      <c r="F179" s="39" t="s">
        <v>1163</v>
      </c>
      <c r="G179" s="40" t="s">
        <v>1822</v>
      </c>
      <c r="H179" s="39" t="s">
        <v>1196</v>
      </c>
      <c r="I179" s="39" t="s">
        <v>1323</v>
      </c>
      <c r="J179" s="39" t="s">
        <v>1166</v>
      </c>
      <c r="K179" s="39" t="s">
        <v>1178</v>
      </c>
      <c r="L179" s="39" t="s">
        <v>752</v>
      </c>
      <c r="M179" s="39" t="s">
        <v>1179</v>
      </c>
      <c r="N179" s="39" t="s">
        <v>1180</v>
      </c>
      <c r="O179" s="41" t="str">
        <f t="shared" si="2"/>
        <v>Sarah Dwyer</v>
      </c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5.75" customHeight="1" x14ac:dyDescent="0.25">
      <c r="A180" s="28">
        <v>184</v>
      </c>
      <c r="B180" s="39" t="s">
        <v>1823</v>
      </c>
      <c r="C180" s="39" t="s">
        <v>1824</v>
      </c>
      <c r="D180" s="39" t="s">
        <v>1825</v>
      </c>
      <c r="E180" s="40">
        <v>45804</v>
      </c>
      <c r="F180" s="39" t="s">
        <v>1800</v>
      </c>
      <c r="G180" s="40" t="s">
        <v>1826</v>
      </c>
      <c r="H180" s="39" t="s">
        <v>1165</v>
      </c>
      <c r="I180" s="39" t="s">
        <v>1205</v>
      </c>
      <c r="J180" s="39" t="s">
        <v>1166</v>
      </c>
      <c r="K180" s="39" t="s">
        <v>1167</v>
      </c>
      <c r="L180" s="39" t="s">
        <v>700</v>
      </c>
      <c r="M180" s="39" t="s">
        <v>1169</v>
      </c>
      <c r="N180" s="39" t="s">
        <v>1170</v>
      </c>
      <c r="O180" s="41" t="str">
        <f t="shared" si="2"/>
        <v>Zayn Moselhy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5.75" customHeight="1" x14ac:dyDescent="0.25">
      <c r="A181" s="28">
        <v>187</v>
      </c>
      <c r="B181" s="39" t="s">
        <v>1754</v>
      </c>
      <c r="C181" s="39" t="s">
        <v>1827</v>
      </c>
      <c r="D181" s="39" t="s">
        <v>1828</v>
      </c>
      <c r="E181" s="40">
        <v>45748</v>
      </c>
      <c r="F181" s="39" t="s">
        <v>1163</v>
      </c>
      <c r="G181" s="40" t="s">
        <v>1829</v>
      </c>
      <c r="H181" s="39" t="s">
        <v>1165</v>
      </c>
      <c r="I181" s="39" t="s">
        <v>1184</v>
      </c>
      <c r="J181" s="39" t="s">
        <v>1166</v>
      </c>
      <c r="K181" s="39" t="s">
        <v>1167</v>
      </c>
      <c r="L181" s="39" t="s">
        <v>700</v>
      </c>
      <c r="M181" s="39" t="s">
        <v>1169</v>
      </c>
      <c r="N181" s="39" t="s">
        <v>1170</v>
      </c>
      <c r="O181" s="41" t="str">
        <f t="shared" si="2"/>
        <v>Kevin Ebert</v>
      </c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5.75" customHeight="1" x14ac:dyDescent="0.25">
      <c r="A182" s="28">
        <v>188</v>
      </c>
      <c r="B182" s="39" t="s">
        <v>1830</v>
      </c>
      <c r="C182" s="39" t="s">
        <v>1831</v>
      </c>
      <c r="D182" s="39" t="s">
        <v>1832</v>
      </c>
      <c r="E182" s="40">
        <v>45768</v>
      </c>
      <c r="F182" s="39" t="s">
        <v>1194</v>
      </c>
      <c r="G182" s="40" t="s">
        <v>1833</v>
      </c>
      <c r="H182" s="39" t="s">
        <v>1175</v>
      </c>
      <c r="I182" s="39"/>
      <c r="J182" s="39" t="s">
        <v>1177</v>
      </c>
      <c r="K182" s="39" t="s">
        <v>1178</v>
      </c>
      <c r="L182" s="39" t="s">
        <v>683</v>
      </c>
      <c r="M182" s="39" t="s">
        <v>1179</v>
      </c>
      <c r="N182" s="39" t="s">
        <v>1180</v>
      </c>
      <c r="O182" s="41" t="str">
        <f t="shared" si="2"/>
        <v>Teresa Bobst</v>
      </c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5.75" customHeight="1" x14ac:dyDescent="0.25">
      <c r="A183" s="28">
        <v>189</v>
      </c>
      <c r="B183" s="39" t="s">
        <v>1420</v>
      </c>
      <c r="C183" s="39" t="s">
        <v>1534</v>
      </c>
      <c r="D183" s="39" t="s">
        <v>1834</v>
      </c>
      <c r="E183" s="40">
        <v>45768</v>
      </c>
      <c r="F183" s="39" t="s">
        <v>1163</v>
      </c>
      <c r="G183" s="40" t="s">
        <v>1835</v>
      </c>
      <c r="H183" s="39" t="s">
        <v>1196</v>
      </c>
      <c r="I183" s="39" t="s">
        <v>1176</v>
      </c>
      <c r="J183" s="39" t="s">
        <v>1166</v>
      </c>
      <c r="K183" s="39" t="s">
        <v>1178</v>
      </c>
      <c r="L183" s="39" t="s">
        <v>687</v>
      </c>
      <c r="M183" s="39" t="s">
        <v>1179</v>
      </c>
      <c r="N183" s="39" t="s">
        <v>1180</v>
      </c>
      <c r="O183" s="41" t="str">
        <f t="shared" si="2"/>
        <v>Ryan Kelly</v>
      </c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5.75" customHeight="1" x14ac:dyDescent="0.25">
      <c r="A184" s="44">
        <v>190</v>
      </c>
      <c r="B184" s="45" t="s">
        <v>1836</v>
      </c>
      <c r="C184" s="45" t="s">
        <v>1837</v>
      </c>
      <c r="D184" s="45" t="s">
        <v>1838</v>
      </c>
      <c r="E184" s="46">
        <v>45810</v>
      </c>
      <c r="F184" s="45" t="s">
        <v>1163</v>
      </c>
      <c r="G184" s="46" t="s">
        <v>1688</v>
      </c>
      <c r="H184" s="45" t="s">
        <v>1175</v>
      </c>
      <c r="I184" s="45" t="s">
        <v>1184</v>
      </c>
      <c r="J184" s="45" t="s">
        <v>1281</v>
      </c>
      <c r="K184" s="45" t="s">
        <v>1167</v>
      </c>
      <c r="L184" s="45" t="s">
        <v>680</v>
      </c>
      <c r="M184" s="45" t="s">
        <v>1185</v>
      </c>
      <c r="N184" s="45" t="s">
        <v>1186</v>
      </c>
      <c r="O184" s="41" t="str">
        <f t="shared" si="2"/>
        <v>Nestor Abad Rodriguez</v>
      </c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5.75" customHeight="1" x14ac:dyDescent="0.25">
      <c r="A185" s="28">
        <v>191</v>
      </c>
      <c r="B185" s="39" t="s">
        <v>1839</v>
      </c>
      <c r="C185" s="39" t="s">
        <v>1840</v>
      </c>
      <c r="D185" s="39" t="s">
        <v>1841</v>
      </c>
      <c r="E185" s="40">
        <v>45789</v>
      </c>
      <c r="F185" s="39" t="s">
        <v>1163</v>
      </c>
      <c r="G185" s="40" t="s">
        <v>1559</v>
      </c>
      <c r="H185" s="39" t="s">
        <v>1175</v>
      </c>
      <c r="I185" s="39" t="s">
        <v>1176</v>
      </c>
      <c r="J185" s="39" t="s">
        <v>1166</v>
      </c>
      <c r="K185" s="39" t="s">
        <v>1178</v>
      </c>
      <c r="L185" s="39" t="s">
        <v>683</v>
      </c>
      <c r="M185" s="39" t="s">
        <v>1179</v>
      </c>
      <c r="N185" s="39" t="s">
        <v>1180</v>
      </c>
      <c r="O185" s="41" t="str">
        <f t="shared" si="2"/>
        <v>Tom He</v>
      </c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5.75" customHeight="1" x14ac:dyDescent="0.25">
      <c r="A186" s="28">
        <v>192</v>
      </c>
      <c r="B186" s="39" t="s">
        <v>1842</v>
      </c>
      <c r="C186" s="39" t="s">
        <v>1843</v>
      </c>
      <c r="D186" s="39" t="s">
        <v>1844</v>
      </c>
      <c r="E186" s="40">
        <v>45789</v>
      </c>
      <c r="F186" s="39" t="s">
        <v>1194</v>
      </c>
      <c r="G186" s="40" t="s">
        <v>1845</v>
      </c>
      <c r="H186" s="39" t="s">
        <v>1175</v>
      </c>
      <c r="I186" s="39"/>
      <c r="J186" s="39" t="s">
        <v>1177</v>
      </c>
      <c r="K186" s="39" t="s">
        <v>1178</v>
      </c>
      <c r="L186" s="39" t="s">
        <v>683</v>
      </c>
      <c r="M186" s="39" t="s">
        <v>1179</v>
      </c>
      <c r="N186" s="39" t="s">
        <v>1180</v>
      </c>
      <c r="O186" s="41" t="str">
        <f t="shared" si="2"/>
        <v>Eric Dossland</v>
      </c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5.75" customHeight="1" x14ac:dyDescent="0.25">
      <c r="A187" s="28">
        <v>193</v>
      </c>
      <c r="B187" s="39" t="s">
        <v>1191</v>
      </c>
      <c r="C187" s="39" t="s">
        <v>1367</v>
      </c>
      <c r="D187" s="39" t="s">
        <v>1846</v>
      </c>
      <c r="E187" s="40">
        <v>45831</v>
      </c>
      <c r="F187" s="39" t="s">
        <v>1163</v>
      </c>
      <c r="G187" s="40" t="s">
        <v>1847</v>
      </c>
      <c r="H187" s="39" t="s">
        <v>1196</v>
      </c>
      <c r="I187" s="39" t="s">
        <v>1176</v>
      </c>
      <c r="J187" s="39" t="s">
        <v>1281</v>
      </c>
      <c r="K187" s="39" t="s">
        <v>1178</v>
      </c>
      <c r="L187" s="39" t="s">
        <v>687</v>
      </c>
      <c r="M187" s="39" t="s">
        <v>1179</v>
      </c>
      <c r="N187" s="39" t="s">
        <v>1180</v>
      </c>
      <c r="O187" s="41" t="str">
        <f t="shared" si="2"/>
        <v>James Whitehead</v>
      </c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5.75" customHeight="1" x14ac:dyDescent="0.25">
      <c r="A188" s="28">
        <v>194</v>
      </c>
      <c r="B188" s="39" t="s">
        <v>1613</v>
      </c>
      <c r="C188" s="39" t="s">
        <v>1848</v>
      </c>
      <c r="D188" s="39" t="s">
        <v>1849</v>
      </c>
      <c r="E188" s="40">
        <v>45810</v>
      </c>
      <c r="F188" s="39" t="s">
        <v>1163</v>
      </c>
      <c r="G188" s="40" t="s">
        <v>1688</v>
      </c>
      <c r="H188" s="39" t="s">
        <v>1175</v>
      </c>
      <c r="I188" s="39" t="s">
        <v>1176</v>
      </c>
      <c r="J188" s="39" t="s">
        <v>1177</v>
      </c>
      <c r="K188" s="39" t="s">
        <v>1178</v>
      </c>
      <c r="L188" s="39" t="s">
        <v>683</v>
      </c>
      <c r="M188" s="39" t="s">
        <v>1179</v>
      </c>
      <c r="N188" s="39" t="s">
        <v>1180</v>
      </c>
      <c r="O188" s="41" t="str">
        <f t="shared" si="2"/>
        <v>Jacob Woolf</v>
      </c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5.75" customHeight="1" x14ac:dyDescent="0.25">
      <c r="A189" s="28">
        <v>195</v>
      </c>
      <c r="B189" s="39" t="s">
        <v>1850</v>
      </c>
      <c r="C189" s="39" t="s">
        <v>1851</v>
      </c>
      <c r="D189" s="39" t="s">
        <v>1852</v>
      </c>
      <c r="E189" s="40">
        <v>45804</v>
      </c>
      <c r="F189" s="39" t="s">
        <v>1163</v>
      </c>
      <c r="G189" s="40" t="s">
        <v>1826</v>
      </c>
      <c r="H189" s="39" t="s">
        <v>1175</v>
      </c>
      <c r="I189" s="39" t="s">
        <v>1323</v>
      </c>
      <c r="J189" s="39" t="s">
        <v>1166</v>
      </c>
      <c r="K189" s="39" t="s">
        <v>1178</v>
      </c>
      <c r="L189" s="39" t="s">
        <v>732</v>
      </c>
      <c r="M189" s="39" t="s">
        <v>1179</v>
      </c>
      <c r="N189" s="39" t="s">
        <v>1180</v>
      </c>
      <c r="O189" s="41" t="str">
        <f t="shared" si="2"/>
        <v>Heidebritta Frank</v>
      </c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5.75" customHeight="1" x14ac:dyDescent="0.25">
      <c r="A190" s="28">
        <v>196</v>
      </c>
      <c r="B190" s="39" t="s">
        <v>1613</v>
      </c>
      <c r="C190" s="39" t="s">
        <v>1853</v>
      </c>
      <c r="D190" s="39" t="s">
        <v>1854</v>
      </c>
      <c r="E190" s="40">
        <v>45817</v>
      </c>
      <c r="F190" s="39" t="s">
        <v>1194</v>
      </c>
      <c r="G190" s="40" t="s">
        <v>1855</v>
      </c>
      <c r="H190" s="39" t="s">
        <v>1175</v>
      </c>
      <c r="I190" s="39"/>
      <c r="J190" s="39" t="s">
        <v>1177</v>
      </c>
      <c r="K190" s="39" t="s">
        <v>1178</v>
      </c>
      <c r="L190" s="39" t="s">
        <v>683</v>
      </c>
      <c r="M190" s="39" t="s">
        <v>1179</v>
      </c>
      <c r="N190" s="39" t="s">
        <v>1180</v>
      </c>
      <c r="O190" s="41" t="str">
        <f t="shared" si="2"/>
        <v>Jacob Villarreal</v>
      </c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5.75" customHeight="1" x14ac:dyDescent="0.25">
      <c r="A191" s="28">
        <v>197</v>
      </c>
      <c r="B191" s="39" t="s">
        <v>1856</v>
      </c>
      <c r="C191" s="39" t="s">
        <v>1857</v>
      </c>
      <c r="D191" s="39" t="s">
        <v>1858</v>
      </c>
      <c r="E191" s="40">
        <v>45859</v>
      </c>
      <c r="F191" s="39" t="s">
        <v>1163</v>
      </c>
      <c r="G191" s="40" t="s">
        <v>1859</v>
      </c>
      <c r="H191" s="39" t="s">
        <v>1196</v>
      </c>
      <c r="I191" s="39" t="s">
        <v>1783</v>
      </c>
      <c r="J191" s="39" t="s">
        <v>1166</v>
      </c>
      <c r="K191" s="39" t="s">
        <v>1178</v>
      </c>
      <c r="L191" s="39" t="s">
        <v>687</v>
      </c>
      <c r="M191" s="39" t="s">
        <v>1179</v>
      </c>
      <c r="N191" s="39" t="s">
        <v>1180</v>
      </c>
      <c r="O191" s="41" t="str">
        <f t="shared" si="2"/>
        <v>Sean McDonough</v>
      </c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5.75" customHeight="1" x14ac:dyDescent="0.25">
      <c r="A192" s="28">
        <v>198</v>
      </c>
      <c r="B192" s="39" t="s">
        <v>1860</v>
      </c>
      <c r="C192" s="39" t="s">
        <v>1517</v>
      </c>
      <c r="D192" s="39" t="s">
        <v>1861</v>
      </c>
      <c r="E192" s="40">
        <v>45849</v>
      </c>
      <c r="F192" s="39" t="s">
        <v>1163</v>
      </c>
      <c r="G192" s="40" t="s">
        <v>1380</v>
      </c>
      <c r="H192" s="39" t="s">
        <v>1175</v>
      </c>
      <c r="I192" s="39" t="s">
        <v>1176</v>
      </c>
      <c r="J192" s="39" t="s">
        <v>1177</v>
      </c>
      <c r="K192" s="39" t="s">
        <v>1178</v>
      </c>
      <c r="L192" s="39" t="s">
        <v>683</v>
      </c>
      <c r="M192" s="39" t="s">
        <v>1179</v>
      </c>
      <c r="N192" s="39" t="s">
        <v>1180</v>
      </c>
      <c r="O192" s="41" t="str">
        <f t="shared" si="2"/>
        <v>Ona Kolosky</v>
      </c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5.75" customHeight="1" x14ac:dyDescent="0.25">
      <c r="A193" s="28">
        <v>199</v>
      </c>
      <c r="B193" s="39" t="s">
        <v>1862</v>
      </c>
      <c r="C193" s="39" t="s">
        <v>1863</v>
      </c>
      <c r="D193" s="39" t="s">
        <v>1864</v>
      </c>
      <c r="E193" s="40">
        <v>45898</v>
      </c>
      <c r="F193" s="39" t="s">
        <v>1163</v>
      </c>
      <c r="G193" s="40" t="s">
        <v>1865</v>
      </c>
      <c r="H193" s="39" t="s">
        <v>1196</v>
      </c>
      <c r="I193" s="39" t="s">
        <v>1176</v>
      </c>
      <c r="J193" s="39" t="s">
        <v>1166</v>
      </c>
      <c r="K193" s="39" t="s">
        <v>1178</v>
      </c>
      <c r="L193" s="39" t="s">
        <v>687</v>
      </c>
      <c r="M193" s="39" t="s">
        <v>1179</v>
      </c>
      <c r="N193" s="39" t="s">
        <v>1180</v>
      </c>
      <c r="O193" s="41" t="str">
        <f t="shared" si="2"/>
        <v>Saurabh Premraj</v>
      </c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5.75" customHeight="1" x14ac:dyDescent="0.25">
      <c r="A194" s="28">
        <v>200</v>
      </c>
      <c r="B194" s="39" t="s">
        <v>1242</v>
      </c>
      <c r="C194" s="39" t="s">
        <v>1866</v>
      </c>
      <c r="D194" s="39" t="s">
        <v>1867</v>
      </c>
      <c r="E194" s="40">
        <v>45866</v>
      </c>
      <c r="F194" s="39" t="s">
        <v>1163</v>
      </c>
      <c r="G194" s="40" t="s">
        <v>1868</v>
      </c>
      <c r="H194" s="39" t="s">
        <v>1175</v>
      </c>
      <c r="I194" s="39" t="s">
        <v>1176</v>
      </c>
      <c r="J194" s="39" t="s">
        <v>1166</v>
      </c>
      <c r="K194" s="39" t="s">
        <v>1178</v>
      </c>
      <c r="L194" s="39" t="s">
        <v>683</v>
      </c>
      <c r="M194" s="39" t="s">
        <v>1179</v>
      </c>
      <c r="N194" s="39" t="s">
        <v>1180</v>
      </c>
      <c r="O194" s="41" t="str">
        <f t="shared" ref="O194:O257" si="3">B194&amp;" "&amp;C194</f>
        <v>Michael McCall</v>
      </c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15.75" customHeight="1" x14ac:dyDescent="0.25">
      <c r="A195" s="28">
        <v>201</v>
      </c>
      <c r="B195" s="39" t="s">
        <v>1350</v>
      </c>
      <c r="C195" s="39" t="s">
        <v>1869</v>
      </c>
      <c r="D195" s="39" t="s">
        <v>1870</v>
      </c>
      <c r="E195" s="40">
        <v>45877</v>
      </c>
      <c r="F195" s="39" t="s">
        <v>1163</v>
      </c>
      <c r="G195" s="40" t="s">
        <v>1845</v>
      </c>
      <c r="H195" s="39" t="s">
        <v>1175</v>
      </c>
      <c r="I195" s="39" t="s">
        <v>1176</v>
      </c>
      <c r="J195" s="39" t="s">
        <v>1177</v>
      </c>
      <c r="K195" s="39" t="s">
        <v>1178</v>
      </c>
      <c r="L195" s="39" t="s">
        <v>683</v>
      </c>
      <c r="M195" s="39" t="s">
        <v>1179</v>
      </c>
      <c r="N195" s="39" t="s">
        <v>1180</v>
      </c>
      <c r="O195" s="41" t="str">
        <f t="shared" si="3"/>
        <v>Andrew Bowers</v>
      </c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5.75" customHeight="1" x14ac:dyDescent="0.25">
      <c r="A196" s="28">
        <v>202</v>
      </c>
      <c r="B196" s="39" t="s">
        <v>1649</v>
      </c>
      <c r="C196" s="39" t="s">
        <v>1871</v>
      </c>
      <c r="D196" s="39" t="s">
        <v>1872</v>
      </c>
      <c r="E196" s="40">
        <v>45887</v>
      </c>
      <c r="F196" s="39" t="s">
        <v>1163</v>
      </c>
      <c r="G196" s="40" t="s">
        <v>1873</v>
      </c>
      <c r="H196" s="39" t="s">
        <v>1196</v>
      </c>
      <c r="I196" s="39" t="s">
        <v>1176</v>
      </c>
      <c r="J196" s="39" t="s">
        <v>1166</v>
      </c>
      <c r="K196" s="39" t="s">
        <v>1178</v>
      </c>
      <c r="L196" s="39" t="s">
        <v>687</v>
      </c>
      <c r="M196" s="39" t="s">
        <v>1179</v>
      </c>
      <c r="N196" s="39" t="s">
        <v>1180</v>
      </c>
      <c r="O196" s="41" t="str">
        <f t="shared" si="3"/>
        <v>David Sachs</v>
      </c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5.75" customHeight="1" x14ac:dyDescent="0.25">
      <c r="A197" s="28">
        <v>203</v>
      </c>
      <c r="B197" s="39" t="s">
        <v>1874</v>
      </c>
      <c r="C197" s="39" t="s">
        <v>1875</v>
      </c>
      <c r="D197" s="39" t="s">
        <v>1876</v>
      </c>
      <c r="E197" s="40">
        <v>45894</v>
      </c>
      <c r="F197" s="39" t="s">
        <v>1194</v>
      </c>
      <c r="G197" s="40" t="s">
        <v>1877</v>
      </c>
      <c r="H197" s="39" t="s">
        <v>1175</v>
      </c>
      <c r="I197" s="39"/>
      <c r="J197" s="39" t="s">
        <v>1177</v>
      </c>
      <c r="K197" s="39" t="s">
        <v>1178</v>
      </c>
      <c r="L197" s="39" t="s">
        <v>683</v>
      </c>
      <c r="M197" s="39" t="s">
        <v>1179</v>
      </c>
      <c r="N197" s="39" t="s">
        <v>1180</v>
      </c>
      <c r="O197" s="41" t="str">
        <f t="shared" si="3"/>
        <v>Bryce Gelinas</v>
      </c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5.75" customHeight="1" x14ac:dyDescent="0.25">
      <c r="A198" s="28">
        <v>204</v>
      </c>
      <c r="B198" s="39" t="s">
        <v>1878</v>
      </c>
      <c r="C198" s="39" t="s">
        <v>1879</v>
      </c>
      <c r="D198" s="39" t="s">
        <v>1880</v>
      </c>
      <c r="E198" s="40">
        <v>45890</v>
      </c>
      <c r="F198" s="39" t="s">
        <v>1163</v>
      </c>
      <c r="G198" s="40" t="s">
        <v>1881</v>
      </c>
      <c r="H198" s="39" t="s">
        <v>1175</v>
      </c>
      <c r="I198" s="39" t="s">
        <v>1323</v>
      </c>
      <c r="J198" s="39" t="s">
        <v>1166</v>
      </c>
      <c r="K198" s="39" t="s">
        <v>1178</v>
      </c>
      <c r="L198" s="39" t="s">
        <v>732</v>
      </c>
      <c r="M198" s="39" t="s">
        <v>1179</v>
      </c>
      <c r="N198" s="39" t="s">
        <v>1180</v>
      </c>
      <c r="O198" s="41" t="str">
        <f t="shared" si="3"/>
        <v>Bryan Kuhlman</v>
      </c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5.75" customHeight="1" x14ac:dyDescent="0.25">
      <c r="A199" s="28">
        <v>205</v>
      </c>
      <c r="B199" s="39" t="s">
        <v>1882</v>
      </c>
      <c r="C199" s="39" t="s">
        <v>1883</v>
      </c>
      <c r="D199" s="39" t="s">
        <v>1884</v>
      </c>
      <c r="E199" s="40">
        <v>45902</v>
      </c>
      <c r="F199" s="39" t="s">
        <v>1163</v>
      </c>
      <c r="G199" s="40" t="s">
        <v>1885</v>
      </c>
      <c r="H199" s="39" t="s">
        <v>1175</v>
      </c>
      <c r="I199" s="39" t="s">
        <v>1176</v>
      </c>
      <c r="J199" s="39" t="s">
        <v>1177</v>
      </c>
      <c r="K199" s="39" t="s">
        <v>1178</v>
      </c>
      <c r="L199" s="39" t="s">
        <v>683</v>
      </c>
      <c r="M199" s="39" t="s">
        <v>1179</v>
      </c>
      <c r="N199" s="39" t="s">
        <v>1180</v>
      </c>
      <c r="O199" s="41" t="str">
        <f t="shared" si="3"/>
        <v>Stacey Pevec</v>
      </c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5.75" customHeight="1" x14ac:dyDescent="0.25">
      <c r="A200" s="28">
        <v>206</v>
      </c>
      <c r="B200" s="39" t="s">
        <v>1886</v>
      </c>
      <c r="C200" s="39" t="s">
        <v>1887</v>
      </c>
      <c r="D200" s="39" t="s">
        <v>1888</v>
      </c>
      <c r="E200" s="40">
        <v>45880</v>
      </c>
      <c r="F200" s="39" t="s">
        <v>1194</v>
      </c>
      <c r="G200" s="40" t="s">
        <v>1889</v>
      </c>
      <c r="H200" s="39" t="s">
        <v>1165</v>
      </c>
      <c r="I200" s="39"/>
      <c r="J200" s="39" t="s">
        <v>1166</v>
      </c>
      <c r="K200" s="39" t="s">
        <v>1167</v>
      </c>
      <c r="L200" s="39" t="s">
        <v>700</v>
      </c>
      <c r="M200" s="39" t="s">
        <v>1169</v>
      </c>
      <c r="N200" s="39" t="s">
        <v>1170</v>
      </c>
      <c r="O200" s="41" t="str">
        <f t="shared" si="3"/>
        <v>Pierina Cabrera</v>
      </c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5.75" customHeight="1" x14ac:dyDescent="0.25">
      <c r="A201" s="28">
        <v>207</v>
      </c>
      <c r="B201" s="39" t="s">
        <v>1426</v>
      </c>
      <c r="C201" s="39" t="s">
        <v>1890</v>
      </c>
      <c r="D201" s="39" t="s">
        <v>1891</v>
      </c>
      <c r="E201" s="40">
        <v>45902</v>
      </c>
      <c r="F201" s="39" t="s">
        <v>1163</v>
      </c>
      <c r="G201" s="40" t="s">
        <v>1885</v>
      </c>
      <c r="H201" s="39" t="s">
        <v>1175</v>
      </c>
      <c r="I201" s="39" t="s">
        <v>1176</v>
      </c>
      <c r="J201" s="39" t="s">
        <v>1166</v>
      </c>
      <c r="K201" s="43" t="s">
        <v>1178</v>
      </c>
      <c r="L201" s="39" t="s">
        <v>683</v>
      </c>
      <c r="M201" s="39" t="s">
        <v>1169</v>
      </c>
      <c r="N201" s="39" t="s">
        <v>1186</v>
      </c>
      <c r="O201" s="41" t="str">
        <f t="shared" si="3"/>
        <v>Daniel Blauvelt</v>
      </c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5.75" customHeight="1" x14ac:dyDescent="0.25">
      <c r="A202" s="28">
        <v>208</v>
      </c>
      <c r="B202" s="39" t="s">
        <v>1892</v>
      </c>
      <c r="C202" s="39" t="s">
        <v>1893</v>
      </c>
      <c r="D202" s="39" t="s">
        <v>1894</v>
      </c>
      <c r="E202" s="40">
        <v>45902</v>
      </c>
      <c r="F202" s="39" t="s">
        <v>1163</v>
      </c>
      <c r="G202" s="40" t="s">
        <v>1885</v>
      </c>
      <c r="H202" s="39" t="s">
        <v>1175</v>
      </c>
      <c r="I202" s="39" t="s">
        <v>1176</v>
      </c>
      <c r="J202" s="39" t="s">
        <v>1166</v>
      </c>
      <c r="K202" s="39" t="s">
        <v>1178</v>
      </c>
      <c r="L202" s="39" t="s">
        <v>683</v>
      </c>
      <c r="M202" s="39" t="s">
        <v>1169</v>
      </c>
      <c r="N202" s="39" t="s">
        <v>1186</v>
      </c>
      <c r="O202" s="41" t="str">
        <f t="shared" si="3"/>
        <v>Tim Marro</v>
      </c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5.75" customHeight="1" x14ac:dyDescent="0.25">
      <c r="A203" s="28">
        <v>209</v>
      </c>
      <c r="B203" s="39" t="s">
        <v>1895</v>
      </c>
      <c r="C203" s="39" t="s">
        <v>1896</v>
      </c>
      <c r="D203" s="39" t="s">
        <v>1897</v>
      </c>
      <c r="E203" s="40">
        <v>45908</v>
      </c>
      <c r="F203" s="39" t="s">
        <v>1163</v>
      </c>
      <c r="G203" s="40" t="s">
        <v>1898</v>
      </c>
      <c r="H203" s="39" t="s">
        <v>1175</v>
      </c>
      <c r="I203" s="39" t="s">
        <v>1176</v>
      </c>
      <c r="J203" s="39" t="s">
        <v>1166</v>
      </c>
      <c r="K203" s="43" t="s">
        <v>1178</v>
      </c>
      <c r="L203" s="39" t="s">
        <v>683</v>
      </c>
      <c r="M203" s="39" t="s">
        <v>1169</v>
      </c>
      <c r="N203" s="39" t="s">
        <v>1186</v>
      </c>
      <c r="O203" s="41" t="str">
        <f t="shared" si="3"/>
        <v>Sakshi Sasalate</v>
      </c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15.75" customHeight="1" x14ac:dyDescent="0.25">
      <c r="A204" s="28">
        <v>210</v>
      </c>
      <c r="B204" s="39" t="s">
        <v>1258</v>
      </c>
      <c r="C204" s="39" t="s">
        <v>1899</v>
      </c>
      <c r="D204" s="39" t="s">
        <v>1900</v>
      </c>
      <c r="E204" s="40">
        <v>45915</v>
      </c>
      <c r="F204" s="39" t="s">
        <v>1163</v>
      </c>
      <c r="G204" s="40" t="s">
        <v>1901</v>
      </c>
      <c r="H204" s="39" t="s">
        <v>1196</v>
      </c>
      <c r="I204" s="39" t="s">
        <v>1176</v>
      </c>
      <c r="J204" s="39" t="s">
        <v>1166</v>
      </c>
      <c r="K204" s="39" t="s">
        <v>1178</v>
      </c>
      <c r="L204" s="39" t="s">
        <v>687</v>
      </c>
      <c r="M204" s="39" t="s">
        <v>1179</v>
      </c>
      <c r="N204" s="39" t="s">
        <v>1180</v>
      </c>
      <c r="O204" s="41" t="str">
        <f t="shared" si="3"/>
        <v>Timothy Lau</v>
      </c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5.75" customHeight="1" x14ac:dyDescent="0.25">
      <c r="A205" s="28">
        <v>211</v>
      </c>
      <c r="B205" s="39" t="s">
        <v>1350</v>
      </c>
      <c r="C205" s="39" t="s">
        <v>1902</v>
      </c>
      <c r="D205" s="39" t="s">
        <v>1903</v>
      </c>
      <c r="E205" s="40">
        <v>45902</v>
      </c>
      <c r="F205" s="39" t="s">
        <v>1163</v>
      </c>
      <c r="G205" s="40" t="s">
        <v>1885</v>
      </c>
      <c r="H205" s="39" t="s">
        <v>1175</v>
      </c>
      <c r="I205" s="39" t="s">
        <v>1176</v>
      </c>
      <c r="J205" s="39" t="s">
        <v>1177</v>
      </c>
      <c r="K205" s="39" t="s">
        <v>1178</v>
      </c>
      <c r="L205" s="39" t="s">
        <v>683</v>
      </c>
      <c r="M205" s="39" t="s">
        <v>1179</v>
      </c>
      <c r="N205" s="39" t="s">
        <v>1180</v>
      </c>
      <c r="O205" s="41" t="str">
        <f t="shared" si="3"/>
        <v>Andrew Halstead</v>
      </c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5.75" customHeight="1" x14ac:dyDescent="0.25">
      <c r="A206" s="28">
        <v>212</v>
      </c>
      <c r="B206" s="39" t="s">
        <v>1904</v>
      </c>
      <c r="C206" s="39" t="s">
        <v>1905</v>
      </c>
      <c r="D206" s="39" t="s">
        <v>1906</v>
      </c>
      <c r="E206" s="40">
        <v>45915</v>
      </c>
      <c r="F206" s="39" t="s">
        <v>1163</v>
      </c>
      <c r="G206" s="40" t="s">
        <v>1901</v>
      </c>
      <c r="H206" s="39" t="s">
        <v>1175</v>
      </c>
      <c r="I206" s="39" t="s">
        <v>1176</v>
      </c>
      <c r="J206" s="39" t="s">
        <v>1281</v>
      </c>
      <c r="K206" s="43" t="s">
        <v>1178</v>
      </c>
      <c r="L206" s="39" t="s">
        <v>683</v>
      </c>
      <c r="M206" s="39" t="s">
        <v>1179</v>
      </c>
      <c r="N206" s="39" t="s">
        <v>1180</v>
      </c>
      <c r="O206" s="41" t="str">
        <f t="shared" si="3"/>
        <v>Sven Zhang</v>
      </c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5.75" customHeight="1" x14ac:dyDescent="0.25">
      <c r="A207" s="28">
        <v>213</v>
      </c>
      <c r="B207" s="39" t="s">
        <v>1892</v>
      </c>
      <c r="C207" s="39" t="s">
        <v>1907</v>
      </c>
      <c r="D207" s="39" t="s">
        <v>1908</v>
      </c>
      <c r="E207" s="40">
        <v>45908</v>
      </c>
      <c r="F207" s="39" t="s">
        <v>1163</v>
      </c>
      <c r="G207" s="40" t="s">
        <v>1898</v>
      </c>
      <c r="H207" s="39" t="s">
        <v>1175</v>
      </c>
      <c r="I207" s="39" t="s">
        <v>1323</v>
      </c>
      <c r="J207" s="39" t="s">
        <v>1166</v>
      </c>
      <c r="K207" s="39" t="s">
        <v>1178</v>
      </c>
      <c r="L207" s="39" t="s">
        <v>732</v>
      </c>
      <c r="M207" s="39" t="s">
        <v>1179</v>
      </c>
      <c r="N207" s="39" t="s">
        <v>1180</v>
      </c>
      <c r="O207" s="41" t="str">
        <f t="shared" si="3"/>
        <v>Tim Lee</v>
      </c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5.75" customHeight="1" x14ac:dyDescent="0.25">
      <c r="A208" s="28">
        <v>214</v>
      </c>
      <c r="B208" s="39" t="s">
        <v>1909</v>
      </c>
      <c r="C208" s="39" t="s">
        <v>1910</v>
      </c>
      <c r="D208" s="39" t="s">
        <v>1911</v>
      </c>
      <c r="E208" s="40">
        <v>45915</v>
      </c>
      <c r="F208" s="39" t="s">
        <v>1163</v>
      </c>
      <c r="G208" s="40" t="s">
        <v>1901</v>
      </c>
      <c r="H208" s="39" t="s">
        <v>1175</v>
      </c>
      <c r="I208" s="39" t="s">
        <v>1176</v>
      </c>
      <c r="J208" s="39" t="s">
        <v>1177</v>
      </c>
      <c r="K208" s="43" t="s">
        <v>1178</v>
      </c>
      <c r="L208" s="39" t="s">
        <v>683</v>
      </c>
      <c r="M208" s="39" t="s">
        <v>1179</v>
      </c>
      <c r="N208" s="39" t="s">
        <v>1180</v>
      </c>
      <c r="O208" s="41" t="str">
        <f t="shared" si="3"/>
        <v>Tokuya Takahashi</v>
      </c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5.75" customHeight="1" x14ac:dyDescent="0.25">
      <c r="A209" s="28">
        <v>215</v>
      </c>
      <c r="B209" s="39" t="s">
        <v>1912</v>
      </c>
      <c r="C209" s="39" t="s">
        <v>1913</v>
      </c>
      <c r="D209" s="39" t="s">
        <v>1914</v>
      </c>
      <c r="E209" s="40">
        <v>45917</v>
      </c>
      <c r="F209" s="39" t="s">
        <v>1163</v>
      </c>
      <c r="G209" s="40" t="s">
        <v>1915</v>
      </c>
      <c r="H209" s="43" t="s">
        <v>1175</v>
      </c>
      <c r="I209" s="39" t="s">
        <v>1176</v>
      </c>
      <c r="J209" s="39" t="s">
        <v>1177</v>
      </c>
      <c r="K209" s="43" t="s">
        <v>1178</v>
      </c>
      <c r="L209" s="39" t="s">
        <v>683</v>
      </c>
      <c r="M209" s="39" t="s">
        <v>1179</v>
      </c>
      <c r="N209" s="39" t="s">
        <v>1180</v>
      </c>
      <c r="O209" s="41" t="str">
        <f t="shared" si="3"/>
        <v>Israel Baral</v>
      </c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15.75" customHeight="1" x14ac:dyDescent="0.25">
      <c r="A210" s="28">
        <v>216</v>
      </c>
      <c r="B210" s="39" t="s">
        <v>1916</v>
      </c>
      <c r="C210" s="39" t="s">
        <v>1917</v>
      </c>
      <c r="D210" s="39" t="s">
        <v>1918</v>
      </c>
      <c r="E210" s="40">
        <v>45936</v>
      </c>
      <c r="F210" s="39" t="s">
        <v>1163</v>
      </c>
      <c r="G210" s="40" t="s">
        <v>1919</v>
      </c>
      <c r="H210" s="39" t="s">
        <v>1196</v>
      </c>
      <c r="I210" s="39" t="s">
        <v>1184</v>
      </c>
      <c r="J210" s="39" t="s">
        <v>1281</v>
      </c>
      <c r="K210" s="39" t="s">
        <v>1167</v>
      </c>
      <c r="L210" s="39" t="s">
        <v>674</v>
      </c>
      <c r="M210" s="39" t="s">
        <v>1185</v>
      </c>
      <c r="N210" s="39" t="s">
        <v>1186</v>
      </c>
      <c r="O210" s="41" t="str">
        <f t="shared" si="3"/>
        <v>Dean DeMonte</v>
      </c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5.75" customHeight="1" x14ac:dyDescent="0.25">
      <c r="A211" s="28">
        <v>217</v>
      </c>
      <c r="B211" s="39" t="s">
        <v>1381</v>
      </c>
      <c r="C211" s="39" t="s">
        <v>1920</v>
      </c>
      <c r="D211" s="39" t="s">
        <v>1921</v>
      </c>
      <c r="E211" s="40">
        <v>45929</v>
      </c>
      <c r="F211" s="39" t="s">
        <v>1163</v>
      </c>
      <c r="G211" s="40" t="s">
        <v>1922</v>
      </c>
      <c r="H211" s="39" t="s">
        <v>1196</v>
      </c>
      <c r="I211" s="39" t="s">
        <v>1779</v>
      </c>
      <c r="J211" s="39" t="s">
        <v>1166</v>
      </c>
      <c r="K211" s="39" t="s">
        <v>1178</v>
      </c>
      <c r="L211" s="39" t="s">
        <v>687</v>
      </c>
      <c r="M211" s="39" t="s">
        <v>1179</v>
      </c>
      <c r="N211" s="39" t="s">
        <v>1180</v>
      </c>
      <c r="O211" s="41" t="str">
        <f t="shared" si="3"/>
        <v>Anthony Masse</v>
      </c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5.75" customHeight="1" x14ac:dyDescent="0.25">
      <c r="A212" s="28">
        <v>218</v>
      </c>
      <c r="B212" s="39" t="s">
        <v>1923</v>
      </c>
      <c r="C212" s="39" t="s">
        <v>1924</v>
      </c>
      <c r="D212" s="39" t="s">
        <v>1925</v>
      </c>
      <c r="E212" s="40">
        <v>45915</v>
      </c>
      <c r="F212" s="39" t="s">
        <v>1163</v>
      </c>
      <c r="G212" s="40" t="s">
        <v>1901</v>
      </c>
      <c r="H212" s="39" t="s">
        <v>1175</v>
      </c>
      <c r="I212" s="39" t="s">
        <v>1323</v>
      </c>
      <c r="J212" s="39" t="s">
        <v>1166</v>
      </c>
      <c r="K212" s="43" t="s">
        <v>1178</v>
      </c>
      <c r="L212" s="39" t="s">
        <v>732</v>
      </c>
      <c r="M212" s="39" t="s">
        <v>1179</v>
      </c>
      <c r="N212" s="39" t="s">
        <v>1180</v>
      </c>
      <c r="O212" s="41" t="str">
        <f t="shared" si="3"/>
        <v>Caroline Foglietta</v>
      </c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5.75" customHeight="1" x14ac:dyDescent="0.25">
      <c r="A213" s="28">
        <v>219</v>
      </c>
      <c r="B213" s="39" t="s">
        <v>1754</v>
      </c>
      <c r="C213" s="39" t="s">
        <v>1926</v>
      </c>
      <c r="D213" s="39" t="s">
        <v>1927</v>
      </c>
      <c r="E213" s="40">
        <v>45922</v>
      </c>
      <c r="F213" s="39" t="s">
        <v>1163</v>
      </c>
      <c r="G213" s="40" t="s">
        <v>1928</v>
      </c>
      <c r="H213" s="39" t="s">
        <v>1196</v>
      </c>
      <c r="I213" s="39" t="s">
        <v>1176</v>
      </c>
      <c r="J213" s="39" t="s">
        <v>1166</v>
      </c>
      <c r="K213" s="39" t="s">
        <v>1178</v>
      </c>
      <c r="L213" s="39" t="s">
        <v>687</v>
      </c>
      <c r="M213" s="39" t="s">
        <v>1179</v>
      </c>
      <c r="N213" s="39" t="s">
        <v>1180</v>
      </c>
      <c r="O213" s="41" t="str">
        <f t="shared" si="3"/>
        <v>Kevin Tang</v>
      </c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15.75" customHeight="1" x14ac:dyDescent="0.25">
      <c r="A214" s="28">
        <v>220</v>
      </c>
      <c r="B214" s="39" t="s">
        <v>1929</v>
      </c>
      <c r="C214" s="39" t="s">
        <v>1930</v>
      </c>
      <c r="D214" s="39" t="s">
        <v>1931</v>
      </c>
      <c r="E214" s="40">
        <v>45915</v>
      </c>
      <c r="F214" s="39" t="s">
        <v>1163</v>
      </c>
      <c r="G214" s="40" t="s">
        <v>1901</v>
      </c>
      <c r="H214" s="39" t="s">
        <v>1175</v>
      </c>
      <c r="I214" s="39" t="s">
        <v>1176</v>
      </c>
      <c r="J214" s="39" t="s">
        <v>1177</v>
      </c>
      <c r="K214" s="43" t="s">
        <v>1178</v>
      </c>
      <c r="L214" s="39" t="s">
        <v>683</v>
      </c>
      <c r="M214" s="39" t="s">
        <v>1179</v>
      </c>
      <c r="N214" s="39" t="s">
        <v>1180</v>
      </c>
      <c r="O214" s="41" t="str">
        <f t="shared" si="3"/>
        <v>Rory Siedler</v>
      </c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15.75" customHeight="1" x14ac:dyDescent="0.25">
      <c r="A215" s="28">
        <v>221</v>
      </c>
      <c r="B215" s="39" t="s">
        <v>1191</v>
      </c>
      <c r="C215" s="39" t="s">
        <v>1932</v>
      </c>
      <c r="D215" s="39" t="s">
        <v>1933</v>
      </c>
      <c r="E215" s="40">
        <v>45936</v>
      </c>
      <c r="F215" s="39" t="s">
        <v>1194</v>
      </c>
      <c r="G215" s="40" t="s">
        <v>1934</v>
      </c>
      <c r="H215" s="43" t="s">
        <v>1175</v>
      </c>
      <c r="I215" s="39" t="s">
        <v>1176</v>
      </c>
      <c r="J215" s="39" t="s">
        <v>1177</v>
      </c>
      <c r="K215" s="43" t="s">
        <v>1178</v>
      </c>
      <c r="L215" s="39" t="s">
        <v>683</v>
      </c>
      <c r="M215" s="39" t="s">
        <v>1179</v>
      </c>
      <c r="N215" s="39" t="s">
        <v>1180</v>
      </c>
      <c r="O215" s="41" t="str">
        <f t="shared" si="3"/>
        <v>James Girouard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5.75" customHeight="1" x14ac:dyDescent="0.25">
      <c r="A216" s="28">
        <v>222</v>
      </c>
      <c r="B216" s="39" t="s">
        <v>1420</v>
      </c>
      <c r="C216" s="39" t="s">
        <v>1935</v>
      </c>
      <c r="D216" s="39" t="s">
        <v>1936</v>
      </c>
      <c r="E216" s="40">
        <v>45964</v>
      </c>
      <c r="F216" s="39" t="s">
        <v>1163</v>
      </c>
      <c r="G216" s="40" t="s">
        <v>1937</v>
      </c>
      <c r="H216" s="39" t="s">
        <v>1175</v>
      </c>
      <c r="I216" s="39" t="s">
        <v>1184</v>
      </c>
      <c r="J216" s="39" t="s">
        <v>1177</v>
      </c>
      <c r="K216" s="39" t="s">
        <v>1167</v>
      </c>
      <c r="L216" s="39" t="s">
        <v>680</v>
      </c>
      <c r="M216" s="39" t="s">
        <v>1185</v>
      </c>
      <c r="N216" s="39" t="s">
        <v>1186</v>
      </c>
      <c r="O216" s="41" t="str">
        <f t="shared" si="3"/>
        <v>Ryan Hale</v>
      </c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15.75" customHeight="1" x14ac:dyDescent="0.25">
      <c r="A217" s="28">
        <v>224</v>
      </c>
      <c r="B217" s="39" t="s">
        <v>1588</v>
      </c>
      <c r="C217" s="39" t="s">
        <v>1938</v>
      </c>
      <c r="D217" s="39" t="s">
        <v>1939</v>
      </c>
      <c r="E217" s="40">
        <v>45936</v>
      </c>
      <c r="F217" s="39" t="s">
        <v>1163</v>
      </c>
      <c r="G217" s="40" t="s">
        <v>1919</v>
      </c>
      <c r="H217" s="39" t="s">
        <v>1175</v>
      </c>
      <c r="I217" s="39" t="s">
        <v>1176</v>
      </c>
      <c r="J217" s="39" t="s">
        <v>1177</v>
      </c>
      <c r="K217" s="39" t="s">
        <v>1178</v>
      </c>
      <c r="L217" s="39" t="s">
        <v>683</v>
      </c>
      <c r="M217" s="39" t="s">
        <v>1179</v>
      </c>
      <c r="N217" s="39" t="s">
        <v>1180</v>
      </c>
      <c r="O217" s="41" t="str">
        <f t="shared" si="3"/>
        <v>Jonathan Thompson</v>
      </c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15.75" customHeight="1" x14ac:dyDescent="0.25">
      <c r="A218" s="28">
        <v>225</v>
      </c>
      <c r="B218" s="39" t="s">
        <v>1940</v>
      </c>
      <c r="C218" s="39" t="s">
        <v>1941</v>
      </c>
      <c r="D218" s="39" t="s">
        <v>1942</v>
      </c>
      <c r="E218" s="40">
        <v>45964</v>
      </c>
      <c r="F218" s="39" t="s">
        <v>1163</v>
      </c>
      <c r="G218" s="40" t="s">
        <v>1937</v>
      </c>
      <c r="H218" s="39" t="s">
        <v>1175</v>
      </c>
      <c r="I218" s="39" t="s">
        <v>1176</v>
      </c>
      <c r="J218" s="39" t="s">
        <v>1166</v>
      </c>
      <c r="K218" s="43" t="s">
        <v>1178</v>
      </c>
      <c r="L218" s="39" t="s">
        <v>683</v>
      </c>
      <c r="M218" s="39" t="s">
        <v>1169</v>
      </c>
      <c r="N218" s="39" t="s">
        <v>1170</v>
      </c>
      <c r="O218" s="41" t="str">
        <f t="shared" si="3"/>
        <v>Darshilkumar Shah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15.75" customHeight="1" x14ac:dyDescent="0.25">
      <c r="A219" s="28">
        <v>226</v>
      </c>
      <c r="B219" s="39" t="s">
        <v>1943</v>
      </c>
      <c r="C219" s="39" t="s">
        <v>1944</v>
      </c>
      <c r="D219" s="39" t="s">
        <v>1945</v>
      </c>
      <c r="E219" s="40">
        <v>45917</v>
      </c>
      <c r="F219" s="39" t="s">
        <v>1194</v>
      </c>
      <c r="G219" s="40" t="s">
        <v>1946</v>
      </c>
      <c r="H219" s="39" t="s">
        <v>1165</v>
      </c>
      <c r="I219" s="39"/>
      <c r="J219" s="39" t="s">
        <v>1166</v>
      </c>
      <c r="K219" s="39" t="s">
        <v>1167</v>
      </c>
      <c r="L219" s="39" t="s">
        <v>700</v>
      </c>
      <c r="M219" s="39" t="s">
        <v>1169</v>
      </c>
      <c r="N219" s="39" t="s">
        <v>1170</v>
      </c>
      <c r="O219" s="41" t="str">
        <f t="shared" si="3"/>
        <v>Elizabeth Doherty</v>
      </c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15.75" customHeight="1" x14ac:dyDescent="0.25">
      <c r="A220" s="28">
        <v>227</v>
      </c>
      <c r="B220" s="39" t="s">
        <v>1947</v>
      </c>
      <c r="C220" s="39" t="s">
        <v>1948</v>
      </c>
      <c r="D220" s="39" t="s">
        <v>1949</v>
      </c>
      <c r="E220" s="40">
        <v>45964</v>
      </c>
      <c r="F220" s="39" t="s">
        <v>1194</v>
      </c>
      <c r="G220" s="40" t="s">
        <v>1950</v>
      </c>
      <c r="H220" s="39" t="s">
        <v>1175</v>
      </c>
      <c r="I220" s="39"/>
      <c r="J220" s="39" t="s">
        <v>1166</v>
      </c>
      <c r="K220" s="43" t="s">
        <v>1167</v>
      </c>
      <c r="L220" s="39" t="s">
        <v>683</v>
      </c>
      <c r="M220" s="39" t="s">
        <v>1169</v>
      </c>
      <c r="N220" s="39" t="s">
        <v>1170</v>
      </c>
      <c r="O220" s="41" t="str">
        <f t="shared" si="3"/>
        <v>Shaker Ahmed</v>
      </c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5.75" customHeight="1" x14ac:dyDescent="0.25">
      <c r="A221" s="28">
        <v>228</v>
      </c>
      <c r="B221" s="39" t="s">
        <v>1951</v>
      </c>
      <c r="C221" s="39" t="s">
        <v>1952</v>
      </c>
      <c r="D221" s="39" t="s">
        <v>1953</v>
      </c>
      <c r="E221" s="40">
        <v>46027</v>
      </c>
      <c r="F221" s="39" t="s">
        <v>1163</v>
      </c>
      <c r="G221" s="40" t="s">
        <v>1954</v>
      </c>
      <c r="H221" s="43" t="s">
        <v>1175</v>
      </c>
      <c r="I221" s="39" t="s">
        <v>1176</v>
      </c>
      <c r="J221" s="39" t="s">
        <v>1177</v>
      </c>
      <c r="K221" s="43" t="s">
        <v>1178</v>
      </c>
      <c r="L221" s="39" t="s">
        <v>683</v>
      </c>
      <c r="M221" s="39" t="s">
        <v>1179</v>
      </c>
      <c r="N221" s="39" t="s">
        <v>1180</v>
      </c>
      <c r="O221" s="41" t="str">
        <f t="shared" si="3"/>
        <v>Noah Zahrt</v>
      </c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15.75" customHeight="1" x14ac:dyDescent="0.25">
      <c r="A222" s="28">
        <v>229</v>
      </c>
      <c r="B222" s="39" t="s">
        <v>1955</v>
      </c>
      <c r="C222" s="39" t="s">
        <v>1956</v>
      </c>
      <c r="D222" s="39" t="s">
        <v>1957</v>
      </c>
      <c r="E222" s="40">
        <v>45943</v>
      </c>
      <c r="F222" s="39" t="s">
        <v>1163</v>
      </c>
      <c r="G222" s="40" t="s">
        <v>1958</v>
      </c>
      <c r="H222" s="39" t="s">
        <v>1196</v>
      </c>
      <c r="I222" s="39" t="s">
        <v>1323</v>
      </c>
      <c r="J222" s="39" t="s">
        <v>1166</v>
      </c>
      <c r="K222" s="39" t="s">
        <v>1178</v>
      </c>
      <c r="L222" s="39" t="s">
        <v>752</v>
      </c>
      <c r="M222" s="39" t="s">
        <v>1179</v>
      </c>
      <c r="N222" s="39" t="s">
        <v>1180</v>
      </c>
      <c r="O222" s="41" t="str">
        <f t="shared" si="3"/>
        <v>Maci Villavicencio</v>
      </c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15.75" customHeight="1" x14ac:dyDescent="0.25">
      <c r="A223" s="28">
        <v>230</v>
      </c>
      <c r="B223" s="39" t="s">
        <v>1652</v>
      </c>
      <c r="C223" s="39" t="s">
        <v>1959</v>
      </c>
      <c r="D223" s="39" t="s">
        <v>1960</v>
      </c>
      <c r="E223" s="40">
        <v>45943</v>
      </c>
      <c r="F223" s="39" t="s">
        <v>1194</v>
      </c>
      <c r="G223" s="40" t="s">
        <v>1961</v>
      </c>
      <c r="H223" s="39" t="s">
        <v>1175</v>
      </c>
      <c r="I223" s="39"/>
      <c r="J223" s="39" t="s">
        <v>1177</v>
      </c>
      <c r="K223" s="39" t="s">
        <v>1178</v>
      </c>
      <c r="L223" s="39" t="s">
        <v>683</v>
      </c>
      <c r="M223" s="39" t="s">
        <v>1179</v>
      </c>
      <c r="N223" s="39" t="s">
        <v>1180</v>
      </c>
      <c r="O223" s="41" t="str">
        <f t="shared" si="3"/>
        <v>Scott Willis</v>
      </c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15.75" customHeight="1" x14ac:dyDescent="0.25">
      <c r="A224" s="28">
        <v>231</v>
      </c>
      <c r="B224" s="39" t="s">
        <v>1962</v>
      </c>
      <c r="C224" s="39" t="s">
        <v>1963</v>
      </c>
      <c r="D224" s="39" t="s">
        <v>1964</v>
      </c>
      <c r="E224" s="40">
        <v>45964</v>
      </c>
      <c r="F224" s="39" t="s">
        <v>1194</v>
      </c>
      <c r="G224" s="40" t="s">
        <v>1965</v>
      </c>
      <c r="H224" s="39" t="s">
        <v>1175</v>
      </c>
      <c r="I224" s="39"/>
      <c r="J224" s="39" t="s">
        <v>1166</v>
      </c>
      <c r="K224" s="43" t="s">
        <v>1178</v>
      </c>
      <c r="L224" s="39" t="s">
        <v>732</v>
      </c>
      <c r="M224" s="39" t="s">
        <v>1179</v>
      </c>
      <c r="N224" s="39" t="s">
        <v>1180</v>
      </c>
      <c r="O224" s="41" t="str">
        <f t="shared" si="3"/>
        <v>Nisha Amar Mishra</v>
      </c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15.75" customHeight="1" x14ac:dyDescent="0.25">
      <c r="A225" s="28">
        <v>232</v>
      </c>
      <c r="B225" s="39" t="s">
        <v>1614</v>
      </c>
      <c r="C225" s="39" t="s">
        <v>1966</v>
      </c>
      <c r="D225" s="39" t="s">
        <v>1967</v>
      </c>
      <c r="E225" s="40">
        <v>45964</v>
      </c>
      <c r="F225" s="39" t="s">
        <v>1163</v>
      </c>
      <c r="G225" s="40" t="s">
        <v>1937</v>
      </c>
      <c r="H225" s="39" t="s">
        <v>1196</v>
      </c>
      <c r="I225" s="39" t="s">
        <v>1783</v>
      </c>
      <c r="J225" s="39" t="s">
        <v>1177</v>
      </c>
      <c r="K225" s="39" t="s">
        <v>1178</v>
      </c>
      <c r="L225" s="39" t="s">
        <v>687</v>
      </c>
      <c r="M225" s="39" t="s">
        <v>1179</v>
      </c>
      <c r="N225" s="39" t="s">
        <v>1180</v>
      </c>
      <c r="O225" s="41" t="str">
        <f t="shared" si="3"/>
        <v>McKenna Skoczen</v>
      </c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15.75" customHeight="1" x14ac:dyDescent="0.25">
      <c r="A226" s="28">
        <v>233</v>
      </c>
      <c r="B226" s="39" t="s">
        <v>1968</v>
      </c>
      <c r="C226" s="39" t="s">
        <v>1969</v>
      </c>
      <c r="D226" s="39" t="s">
        <v>1970</v>
      </c>
      <c r="E226" s="40">
        <v>45964</v>
      </c>
      <c r="F226" s="39" t="s">
        <v>1163</v>
      </c>
      <c r="G226" s="40" t="s">
        <v>1937</v>
      </c>
      <c r="H226" s="39" t="s">
        <v>1196</v>
      </c>
      <c r="I226" s="39" t="s">
        <v>1176</v>
      </c>
      <c r="J226" s="39" t="s">
        <v>1166</v>
      </c>
      <c r="K226" s="43" t="s">
        <v>1178</v>
      </c>
      <c r="L226" s="39" t="s">
        <v>687</v>
      </c>
      <c r="M226" s="39" t="s">
        <v>1179</v>
      </c>
      <c r="N226" s="39" t="s">
        <v>1180</v>
      </c>
      <c r="O226" s="41" t="str">
        <f t="shared" si="3"/>
        <v>Shawn Roche</v>
      </c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15.75" customHeight="1" x14ac:dyDescent="0.25">
      <c r="A227" s="28">
        <v>234</v>
      </c>
      <c r="B227" s="39" t="s">
        <v>1652</v>
      </c>
      <c r="C227" s="39" t="s">
        <v>1971</v>
      </c>
      <c r="D227" s="39" t="s">
        <v>1972</v>
      </c>
      <c r="E227" s="40">
        <v>45978</v>
      </c>
      <c r="F227" s="39" t="s">
        <v>1194</v>
      </c>
      <c r="G227" s="40" t="s">
        <v>1973</v>
      </c>
      <c r="H227" s="43" t="s">
        <v>1196</v>
      </c>
      <c r="I227" s="39"/>
      <c r="J227" s="39" t="s">
        <v>1166</v>
      </c>
      <c r="K227" s="43" t="s">
        <v>1178</v>
      </c>
      <c r="L227" s="39" t="s">
        <v>687</v>
      </c>
      <c r="M227" s="39" t="s">
        <v>1179</v>
      </c>
      <c r="N227" s="39" t="s">
        <v>1180</v>
      </c>
      <c r="O227" s="41" t="str">
        <f t="shared" si="3"/>
        <v>Scott Leyden</v>
      </c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15.75" customHeight="1" x14ac:dyDescent="0.25">
      <c r="A228" s="28">
        <v>235</v>
      </c>
      <c r="B228" s="39" t="s">
        <v>1703</v>
      </c>
      <c r="C228" s="39" t="s">
        <v>1974</v>
      </c>
      <c r="D228" s="39" t="s">
        <v>1975</v>
      </c>
      <c r="E228" s="40">
        <v>45971</v>
      </c>
      <c r="F228" s="39" t="s">
        <v>1163</v>
      </c>
      <c r="G228" s="40" t="s">
        <v>1976</v>
      </c>
      <c r="H228" s="39" t="s">
        <v>1175</v>
      </c>
      <c r="I228" s="39" t="s">
        <v>1176</v>
      </c>
      <c r="J228" s="39" t="s">
        <v>1177</v>
      </c>
      <c r="K228" s="39" t="s">
        <v>1178</v>
      </c>
      <c r="L228" s="39" t="s">
        <v>683</v>
      </c>
      <c r="M228" s="39" t="s">
        <v>1179</v>
      </c>
      <c r="N228" s="39" t="s">
        <v>1180</v>
      </c>
      <c r="O228" s="41" t="str">
        <f t="shared" si="3"/>
        <v>Gary Baker</v>
      </c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15.75" customHeight="1" x14ac:dyDescent="0.25">
      <c r="A229" s="28">
        <v>236</v>
      </c>
      <c r="B229" s="39" t="s">
        <v>1977</v>
      </c>
      <c r="C229" s="39" t="s">
        <v>1978</v>
      </c>
      <c r="D229" s="39" t="s">
        <v>1979</v>
      </c>
      <c r="E229" s="40">
        <v>45978</v>
      </c>
      <c r="F229" s="39" t="s">
        <v>1194</v>
      </c>
      <c r="G229" s="40" t="s">
        <v>1269</v>
      </c>
      <c r="H229" s="39" t="s">
        <v>1175</v>
      </c>
      <c r="I229" s="39"/>
      <c r="J229" s="39" t="s">
        <v>1177</v>
      </c>
      <c r="K229" s="39" t="s">
        <v>1178</v>
      </c>
      <c r="L229" s="39" t="s">
        <v>683</v>
      </c>
      <c r="M229" s="39" t="s">
        <v>1179</v>
      </c>
      <c r="N229" s="39" t="s">
        <v>1180</v>
      </c>
      <c r="O229" s="41" t="str">
        <f t="shared" si="3"/>
        <v>Imane Laaroussi</v>
      </c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15.75" customHeight="1" x14ac:dyDescent="0.25">
      <c r="A230" s="28">
        <v>237</v>
      </c>
      <c r="B230" s="39" t="s">
        <v>1980</v>
      </c>
      <c r="C230" s="39" t="s">
        <v>1981</v>
      </c>
      <c r="D230" s="39" t="s">
        <v>1982</v>
      </c>
      <c r="E230" s="40">
        <v>45964</v>
      </c>
      <c r="F230" s="39" t="s">
        <v>1163</v>
      </c>
      <c r="G230" s="40" t="s">
        <v>1937</v>
      </c>
      <c r="H230" s="39" t="s">
        <v>1196</v>
      </c>
      <c r="I230" s="39" t="s">
        <v>1783</v>
      </c>
      <c r="J230" s="39" t="s">
        <v>1177</v>
      </c>
      <c r="K230" s="43" t="s">
        <v>1178</v>
      </c>
      <c r="L230" s="39" t="s">
        <v>687</v>
      </c>
      <c r="M230" s="39" t="s">
        <v>1179</v>
      </c>
      <c r="N230" s="39" t="s">
        <v>1180</v>
      </c>
      <c r="O230" s="41" t="str">
        <f t="shared" si="3"/>
        <v>Yadwinder Singh</v>
      </c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15.75" customHeight="1" x14ac:dyDescent="0.25">
      <c r="A231" s="28">
        <v>238</v>
      </c>
      <c r="B231" s="39" t="s">
        <v>1983</v>
      </c>
      <c r="C231" s="39" t="s">
        <v>1984</v>
      </c>
      <c r="D231" s="39" t="s">
        <v>1985</v>
      </c>
      <c r="E231" s="40">
        <v>45964</v>
      </c>
      <c r="F231" s="39" t="s">
        <v>1163</v>
      </c>
      <c r="G231" s="40" t="s">
        <v>1937</v>
      </c>
      <c r="H231" s="39" t="s">
        <v>1165</v>
      </c>
      <c r="I231" s="39" t="s">
        <v>1584</v>
      </c>
      <c r="J231" s="39" t="s">
        <v>1166</v>
      </c>
      <c r="K231" s="39" t="s">
        <v>1167</v>
      </c>
      <c r="L231" s="39" t="s">
        <v>677</v>
      </c>
      <c r="M231" s="39" t="s">
        <v>1185</v>
      </c>
      <c r="N231" s="39" t="s">
        <v>1186</v>
      </c>
      <c r="O231" s="41" t="str">
        <f t="shared" si="3"/>
        <v>Brooke Berg</v>
      </c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15.75" customHeight="1" x14ac:dyDescent="0.25">
      <c r="A232" s="28">
        <v>239</v>
      </c>
      <c r="B232" s="39" t="s">
        <v>1191</v>
      </c>
      <c r="C232" s="39" t="s">
        <v>1986</v>
      </c>
      <c r="D232" s="39" t="s">
        <v>1987</v>
      </c>
      <c r="E232" s="40">
        <v>45964</v>
      </c>
      <c r="F232" s="39" t="s">
        <v>1163</v>
      </c>
      <c r="G232" s="40" t="s">
        <v>1937</v>
      </c>
      <c r="H232" s="39" t="s">
        <v>1175</v>
      </c>
      <c r="I232" s="39" t="s">
        <v>1323</v>
      </c>
      <c r="J232" s="39" t="s">
        <v>1166</v>
      </c>
      <c r="K232" s="43" t="s">
        <v>1178</v>
      </c>
      <c r="L232" s="39" t="s">
        <v>732</v>
      </c>
      <c r="M232" s="39" t="s">
        <v>1179</v>
      </c>
      <c r="N232" s="39" t="s">
        <v>1180</v>
      </c>
      <c r="O232" s="41" t="str">
        <f t="shared" si="3"/>
        <v>James O'Shaughnessy</v>
      </c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15.75" customHeight="1" x14ac:dyDescent="0.25">
      <c r="A233" s="28">
        <v>240</v>
      </c>
      <c r="B233" s="39" t="s">
        <v>1988</v>
      </c>
      <c r="C233" s="39" t="s">
        <v>1989</v>
      </c>
      <c r="D233" s="39" t="s">
        <v>1990</v>
      </c>
      <c r="E233" s="40">
        <v>45999</v>
      </c>
      <c r="F233" s="39" t="s">
        <v>1163</v>
      </c>
      <c r="G233" s="40" t="s">
        <v>1991</v>
      </c>
      <c r="H233" s="43" t="s">
        <v>1175</v>
      </c>
      <c r="I233" s="39" t="s">
        <v>1176</v>
      </c>
      <c r="J233" s="39" t="s">
        <v>1166</v>
      </c>
      <c r="K233" s="43" t="s">
        <v>1178</v>
      </c>
      <c r="L233" s="39" t="s">
        <v>683</v>
      </c>
      <c r="M233" s="39" t="s">
        <v>1179</v>
      </c>
      <c r="N233" s="39" t="s">
        <v>1180</v>
      </c>
      <c r="O233" s="41" t="str">
        <f t="shared" si="3"/>
        <v>Brianne Gallagher</v>
      </c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15.75" customHeight="1" x14ac:dyDescent="0.25">
      <c r="A234" s="28">
        <v>241</v>
      </c>
      <c r="B234" s="39" t="s">
        <v>1992</v>
      </c>
      <c r="C234" s="39" t="s">
        <v>1993</v>
      </c>
      <c r="D234" s="39" t="s">
        <v>1994</v>
      </c>
      <c r="E234" s="40">
        <v>45992</v>
      </c>
      <c r="F234" s="39" t="s">
        <v>1163</v>
      </c>
      <c r="G234" s="40" t="s">
        <v>1995</v>
      </c>
      <c r="H234" s="39" t="s">
        <v>1175</v>
      </c>
      <c r="I234" s="39" t="s">
        <v>1184</v>
      </c>
      <c r="J234" s="39" t="s">
        <v>1177</v>
      </c>
      <c r="K234" s="39" t="s">
        <v>1167</v>
      </c>
      <c r="L234" s="39" t="s">
        <v>680</v>
      </c>
      <c r="M234" s="39" t="s">
        <v>1185</v>
      </c>
      <c r="N234" s="39" t="s">
        <v>1186</v>
      </c>
      <c r="O234" s="41" t="str">
        <f t="shared" si="3"/>
        <v>Maile Call</v>
      </c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15.75" customHeight="1" x14ac:dyDescent="0.25">
      <c r="A235" s="28">
        <v>242</v>
      </c>
      <c r="B235" s="39" t="s">
        <v>1767</v>
      </c>
      <c r="C235" s="39" t="s">
        <v>1996</v>
      </c>
      <c r="D235" s="39" t="s">
        <v>1997</v>
      </c>
      <c r="E235" s="40">
        <v>45992</v>
      </c>
      <c r="F235" s="39" t="s">
        <v>1163</v>
      </c>
      <c r="G235" s="40" t="s">
        <v>1995</v>
      </c>
      <c r="H235" s="39" t="s">
        <v>1175</v>
      </c>
      <c r="I235" s="39" t="s">
        <v>1176</v>
      </c>
      <c r="J235" s="39" t="s">
        <v>1177</v>
      </c>
      <c r="K235" s="39" t="s">
        <v>1178</v>
      </c>
      <c r="L235" s="39" t="s">
        <v>683</v>
      </c>
      <c r="M235" s="39" t="s">
        <v>1179</v>
      </c>
      <c r="N235" s="39" t="s">
        <v>1180</v>
      </c>
      <c r="O235" s="41" t="str">
        <f t="shared" si="3"/>
        <v>Jason Staake</v>
      </c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15.75" customHeight="1" x14ac:dyDescent="0.25">
      <c r="A236" s="28">
        <v>243</v>
      </c>
      <c r="B236" s="39" t="s">
        <v>1998</v>
      </c>
      <c r="C236" s="39" t="s">
        <v>1999</v>
      </c>
      <c r="D236" s="39" t="s">
        <v>2000</v>
      </c>
      <c r="E236" s="40">
        <v>45999</v>
      </c>
      <c r="F236" s="39" t="s">
        <v>1163</v>
      </c>
      <c r="G236" s="40" t="s">
        <v>1991</v>
      </c>
      <c r="H236" s="39" t="s">
        <v>1175</v>
      </c>
      <c r="I236" s="39" t="s">
        <v>1176</v>
      </c>
      <c r="J236" s="39" t="s">
        <v>1177</v>
      </c>
      <c r="K236" s="43" t="s">
        <v>1178</v>
      </c>
      <c r="L236" s="39" t="s">
        <v>683</v>
      </c>
      <c r="M236" s="39" t="s">
        <v>1179</v>
      </c>
      <c r="N236" s="39" t="s">
        <v>1180</v>
      </c>
      <c r="O236" s="41" t="str">
        <f t="shared" si="3"/>
        <v>Nicholas Stauffer</v>
      </c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15.75" customHeight="1" x14ac:dyDescent="0.25">
      <c r="A237" s="28">
        <v>244</v>
      </c>
      <c r="B237" s="39" t="s">
        <v>2001</v>
      </c>
      <c r="C237" s="39" t="s">
        <v>2002</v>
      </c>
      <c r="D237" s="39" t="s">
        <v>2003</v>
      </c>
      <c r="E237" s="40">
        <v>46006</v>
      </c>
      <c r="F237" s="39" t="s">
        <v>1163</v>
      </c>
      <c r="G237" s="40" t="s">
        <v>2004</v>
      </c>
      <c r="H237" s="39" t="s">
        <v>1196</v>
      </c>
      <c r="I237" s="39" t="s">
        <v>1176</v>
      </c>
      <c r="J237" s="39" t="s">
        <v>1166</v>
      </c>
      <c r="K237" s="39" t="s">
        <v>1178</v>
      </c>
      <c r="L237" s="39" t="s">
        <v>687</v>
      </c>
      <c r="M237" s="39" t="s">
        <v>1179</v>
      </c>
      <c r="N237" s="39" t="s">
        <v>1180</v>
      </c>
      <c r="O237" s="41" t="str">
        <f t="shared" si="3"/>
        <v>Jeremy Pope</v>
      </c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15.75" customHeight="1" x14ac:dyDescent="0.25">
      <c r="A238" s="28">
        <v>245</v>
      </c>
      <c r="B238" s="39" t="s">
        <v>2005</v>
      </c>
      <c r="C238" s="39" t="s">
        <v>2006</v>
      </c>
      <c r="D238" s="39" t="s">
        <v>2007</v>
      </c>
      <c r="E238" s="40">
        <v>45999</v>
      </c>
      <c r="F238" s="39" t="s">
        <v>1163</v>
      </c>
      <c r="G238" s="40" t="s">
        <v>1991</v>
      </c>
      <c r="H238" s="39" t="s">
        <v>1175</v>
      </c>
      <c r="I238" s="39" t="s">
        <v>1176</v>
      </c>
      <c r="J238" s="39" t="s">
        <v>1177</v>
      </c>
      <c r="K238" s="43" t="s">
        <v>1178</v>
      </c>
      <c r="L238" s="39" t="s">
        <v>683</v>
      </c>
      <c r="M238" s="39" t="s">
        <v>1179</v>
      </c>
      <c r="N238" s="39" t="s">
        <v>1180</v>
      </c>
      <c r="O238" s="41" t="str">
        <f t="shared" si="3"/>
        <v>Cody Sandford</v>
      </c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15.75" customHeight="1" x14ac:dyDescent="0.25">
      <c r="A239" s="28">
        <v>246</v>
      </c>
      <c r="B239" s="39" t="s">
        <v>1842</v>
      </c>
      <c r="C239" s="39" t="s">
        <v>2008</v>
      </c>
      <c r="D239" s="39" t="s">
        <v>2009</v>
      </c>
      <c r="E239" s="40">
        <v>45999</v>
      </c>
      <c r="F239" s="39" t="s">
        <v>1163</v>
      </c>
      <c r="G239" s="40" t="s">
        <v>1991</v>
      </c>
      <c r="H239" s="43" t="s">
        <v>1165</v>
      </c>
      <c r="I239" s="39" t="s">
        <v>1571</v>
      </c>
      <c r="J239" s="39" t="s">
        <v>1166</v>
      </c>
      <c r="K239" s="43" t="s">
        <v>1167</v>
      </c>
      <c r="L239" s="39" t="s">
        <v>700</v>
      </c>
      <c r="M239" s="39" t="s">
        <v>1169</v>
      </c>
      <c r="N239" s="39" t="s">
        <v>1170</v>
      </c>
      <c r="O239" s="41" t="str">
        <f t="shared" si="3"/>
        <v>Eric Rabkin</v>
      </c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15.75" customHeight="1" x14ac:dyDescent="0.25">
      <c r="A240" s="28">
        <v>247</v>
      </c>
      <c r="B240" s="39" t="s">
        <v>2010</v>
      </c>
      <c r="C240" s="39" t="s">
        <v>2011</v>
      </c>
      <c r="D240" s="39" t="s">
        <v>2012</v>
      </c>
      <c r="E240" s="40">
        <v>46027</v>
      </c>
      <c r="F240" s="39" t="s">
        <v>1163</v>
      </c>
      <c r="G240" s="40" t="s">
        <v>1954</v>
      </c>
      <c r="H240" s="39" t="s">
        <v>1165</v>
      </c>
      <c r="I240" s="39" t="s">
        <v>1441</v>
      </c>
      <c r="J240" s="39" t="s">
        <v>1166</v>
      </c>
      <c r="K240" s="39" t="s">
        <v>1167</v>
      </c>
      <c r="L240" s="39" t="s">
        <v>700</v>
      </c>
      <c r="M240" s="39" t="s">
        <v>1169</v>
      </c>
      <c r="N240" s="39" t="s">
        <v>1170</v>
      </c>
      <c r="O240" s="41" t="str">
        <f t="shared" si="3"/>
        <v>Owen Walsh</v>
      </c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15.75" customHeight="1" x14ac:dyDescent="0.25">
      <c r="A241" s="28">
        <v>248</v>
      </c>
      <c r="B241" s="39" t="s">
        <v>2013</v>
      </c>
      <c r="C241" s="39" t="s">
        <v>2014</v>
      </c>
      <c r="D241" s="39" t="s">
        <v>2015</v>
      </c>
      <c r="E241" s="40">
        <v>46034</v>
      </c>
      <c r="F241" s="39" t="s">
        <v>1163</v>
      </c>
      <c r="G241" s="40" t="s">
        <v>2016</v>
      </c>
      <c r="H241" s="39" t="s">
        <v>1175</v>
      </c>
      <c r="I241" s="39" t="s">
        <v>1176</v>
      </c>
      <c r="J241" s="39" t="s">
        <v>1281</v>
      </c>
      <c r="K241" s="39" t="s">
        <v>1178</v>
      </c>
      <c r="L241" s="39" t="s">
        <v>683</v>
      </c>
      <c r="M241" s="39" t="s">
        <v>1179</v>
      </c>
      <c r="N241" s="39" t="s">
        <v>1180</v>
      </c>
      <c r="O241" s="41" t="str">
        <f t="shared" si="3"/>
        <v>Angel Angelov</v>
      </c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15.75" customHeight="1" x14ac:dyDescent="0.25">
      <c r="A242" s="28">
        <v>249</v>
      </c>
      <c r="B242" s="39" t="s">
        <v>1385</v>
      </c>
      <c r="C242" s="39" t="s">
        <v>2017</v>
      </c>
      <c r="D242" s="39" t="s">
        <v>2018</v>
      </c>
      <c r="E242" s="40">
        <v>46027</v>
      </c>
      <c r="F242" s="39" t="s">
        <v>1163</v>
      </c>
      <c r="G242" s="40" t="s">
        <v>1954</v>
      </c>
      <c r="H242" s="39" t="s">
        <v>1175</v>
      </c>
      <c r="I242" s="39" t="s">
        <v>1176</v>
      </c>
      <c r="J242" s="39" t="s">
        <v>1177</v>
      </c>
      <c r="K242" s="43" t="s">
        <v>1178</v>
      </c>
      <c r="L242" s="39" t="s">
        <v>683</v>
      </c>
      <c r="M242" s="39" t="s">
        <v>1179</v>
      </c>
      <c r="N242" s="39" t="s">
        <v>1180</v>
      </c>
      <c r="O242" s="41" t="str">
        <f t="shared" si="3"/>
        <v>Joseph Martinez</v>
      </c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15.75" customHeight="1" x14ac:dyDescent="0.25">
      <c r="A243" s="28">
        <v>250</v>
      </c>
      <c r="B243" s="39" t="s">
        <v>2019</v>
      </c>
      <c r="C243" s="39" t="s">
        <v>2020</v>
      </c>
      <c r="D243" s="39" t="s">
        <v>2021</v>
      </c>
      <c r="E243" s="40">
        <v>46013</v>
      </c>
      <c r="F243" s="39" t="s">
        <v>1163</v>
      </c>
      <c r="G243" s="40" t="s">
        <v>2022</v>
      </c>
      <c r="H243" s="39" t="s">
        <v>1175</v>
      </c>
      <c r="I243" s="39" t="s">
        <v>1176</v>
      </c>
      <c r="J243" s="39" t="s">
        <v>1177</v>
      </c>
      <c r="K243" s="39" t="s">
        <v>1178</v>
      </c>
      <c r="L243" s="39" t="s">
        <v>683</v>
      </c>
      <c r="M243" s="39" t="s">
        <v>1179</v>
      </c>
      <c r="N243" s="39" t="s">
        <v>1180</v>
      </c>
      <c r="O243" s="41" t="str">
        <f t="shared" si="3"/>
        <v>Favian Velasco</v>
      </c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15.75" customHeight="1" x14ac:dyDescent="0.25">
      <c r="A244" s="28">
        <v>251</v>
      </c>
      <c r="B244" s="39" t="s">
        <v>2023</v>
      </c>
      <c r="C244" s="39" t="s">
        <v>2024</v>
      </c>
      <c r="D244" s="39" t="s">
        <v>2025</v>
      </c>
      <c r="E244" s="40">
        <v>46083</v>
      </c>
      <c r="F244" s="39" t="s">
        <v>1163</v>
      </c>
      <c r="G244" s="40" t="s">
        <v>2026</v>
      </c>
      <c r="H244" s="39" t="s">
        <v>1175</v>
      </c>
      <c r="I244" s="39" t="s">
        <v>1184</v>
      </c>
      <c r="J244" s="39" t="s">
        <v>1177</v>
      </c>
      <c r="K244" s="43" t="s">
        <v>1167</v>
      </c>
      <c r="L244" s="39" t="s">
        <v>680</v>
      </c>
      <c r="M244" s="39" t="s">
        <v>1185</v>
      </c>
      <c r="N244" s="42" t="s">
        <v>1186</v>
      </c>
      <c r="O244" s="41" t="str">
        <f t="shared" si="3"/>
        <v>Harry Tomczyk</v>
      </c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15.75" customHeight="1" x14ac:dyDescent="0.25">
      <c r="A245" s="28">
        <v>252</v>
      </c>
      <c r="B245" s="39" t="s">
        <v>1328</v>
      </c>
      <c r="C245" s="39" t="s">
        <v>2027</v>
      </c>
      <c r="D245" s="39" t="s">
        <v>2028</v>
      </c>
      <c r="E245" s="40">
        <v>46048</v>
      </c>
      <c r="F245" s="39" t="s">
        <v>1163</v>
      </c>
      <c r="G245" s="40" t="s">
        <v>2029</v>
      </c>
      <c r="H245" s="39" t="s">
        <v>1175</v>
      </c>
      <c r="I245" s="39" t="s">
        <v>1176</v>
      </c>
      <c r="J245" s="39" t="s">
        <v>1177</v>
      </c>
      <c r="K245" s="43" t="s">
        <v>1178</v>
      </c>
      <c r="L245" s="39" t="s">
        <v>683</v>
      </c>
      <c r="M245" s="39" t="s">
        <v>1179</v>
      </c>
      <c r="N245" s="42" t="s">
        <v>1180</v>
      </c>
      <c r="O245" s="41" t="str">
        <f t="shared" si="3"/>
        <v>Kyle Bense</v>
      </c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15.75" customHeight="1" x14ac:dyDescent="0.25">
      <c r="A246" s="28">
        <v>253</v>
      </c>
      <c r="B246" s="39" t="s">
        <v>1332</v>
      </c>
      <c r="C246" s="39" t="s">
        <v>2030</v>
      </c>
      <c r="D246" s="39" t="s">
        <v>2031</v>
      </c>
      <c r="E246" s="40">
        <v>46069</v>
      </c>
      <c r="F246" s="39" t="s">
        <v>1163</v>
      </c>
      <c r="G246" s="40" t="s">
        <v>2032</v>
      </c>
      <c r="H246" s="39" t="s">
        <v>1175</v>
      </c>
      <c r="I246" s="39" t="s">
        <v>1176</v>
      </c>
      <c r="J246" s="39" t="s">
        <v>1177</v>
      </c>
      <c r="K246" s="43" t="s">
        <v>1178</v>
      </c>
      <c r="L246" s="39" t="s">
        <v>683</v>
      </c>
      <c r="M246" s="39" t="s">
        <v>1179</v>
      </c>
      <c r="N246" s="42" t="s">
        <v>1180</v>
      </c>
      <c r="O246" s="41" t="str">
        <f t="shared" si="3"/>
        <v>Luke Covalt</v>
      </c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15.75" customHeight="1" x14ac:dyDescent="0.25">
      <c r="A247" s="28">
        <v>254</v>
      </c>
      <c r="B247" s="39" t="s">
        <v>2033</v>
      </c>
      <c r="C247" s="39" t="s">
        <v>2034</v>
      </c>
      <c r="D247" s="39" t="s">
        <v>2035</v>
      </c>
      <c r="E247" s="40">
        <v>46062</v>
      </c>
      <c r="F247" s="39" t="s">
        <v>1163</v>
      </c>
      <c r="G247" s="40" t="s">
        <v>2036</v>
      </c>
      <c r="H247" s="39" t="s">
        <v>1175</v>
      </c>
      <c r="I247" s="39" t="s">
        <v>1176</v>
      </c>
      <c r="J247" s="39" t="s">
        <v>1177</v>
      </c>
      <c r="K247" s="43" t="s">
        <v>1178</v>
      </c>
      <c r="L247" s="39" t="s">
        <v>683</v>
      </c>
      <c r="M247" s="39" t="s">
        <v>1179</v>
      </c>
      <c r="N247" s="42" t="s">
        <v>1180</v>
      </c>
      <c r="O247" s="41" t="str">
        <f t="shared" si="3"/>
        <v>Gage Howell</v>
      </c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15.75" customHeight="1" x14ac:dyDescent="0.25">
      <c r="A248" s="28">
        <v>255</v>
      </c>
      <c r="B248" s="39" t="s">
        <v>1350</v>
      </c>
      <c r="C248" s="39" t="s">
        <v>2037</v>
      </c>
      <c r="D248" s="39" t="s">
        <v>2038</v>
      </c>
      <c r="E248" s="40">
        <v>46055</v>
      </c>
      <c r="F248" s="39" t="s">
        <v>1163</v>
      </c>
      <c r="G248" s="40" t="s">
        <v>2039</v>
      </c>
      <c r="H248" s="39" t="s">
        <v>1196</v>
      </c>
      <c r="I248" s="39" t="s">
        <v>1176</v>
      </c>
      <c r="J248" s="39" t="s">
        <v>1166</v>
      </c>
      <c r="K248" s="43" t="s">
        <v>1178</v>
      </c>
      <c r="L248" s="39" t="s">
        <v>687</v>
      </c>
      <c r="M248" s="39" t="s">
        <v>1179</v>
      </c>
      <c r="N248" s="42" t="s">
        <v>1180</v>
      </c>
      <c r="O248" s="41" t="str">
        <f t="shared" si="3"/>
        <v>Andrew Fellows</v>
      </c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15.75" customHeight="1" x14ac:dyDescent="0.25">
      <c r="A249" s="28">
        <v>256</v>
      </c>
      <c r="B249" s="39" t="s">
        <v>2131</v>
      </c>
      <c r="C249" s="39" t="s">
        <v>2040</v>
      </c>
      <c r="D249" s="39" t="s">
        <v>2041</v>
      </c>
      <c r="E249" s="40">
        <v>46076</v>
      </c>
      <c r="F249" s="39" t="s">
        <v>1163</v>
      </c>
      <c r="G249" s="40" t="s">
        <v>2042</v>
      </c>
      <c r="H249" s="39" t="s">
        <v>1175</v>
      </c>
      <c r="I249" s="39" t="s">
        <v>1323</v>
      </c>
      <c r="J249" s="39" t="s">
        <v>1166</v>
      </c>
      <c r="K249" s="43" t="s">
        <v>1178</v>
      </c>
      <c r="L249" s="39" t="s">
        <v>732</v>
      </c>
      <c r="M249" s="39" t="s">
        <v>1179</v>
      </c>
      <c r="N249" s="42" t="s">
        <v>1180</v>
      </c>
      <c r="O249" s="41" t="str">
        <f t="shared" si="3"/>
        <v>Gaby Catalano</v>
      </c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15.75" customHeight="1" x14ac:dyDescent="0.25">
      <c r="A250" s="28">
        <v>257</v>
      </c>
      <c r="B250" s="39" t="s">
        <v>2043</v>
      </c>
      <c r="C250" s="39" t="s">
        <v>2044</v>
      </c>
      <c r="D250" s="39" t="s">
        <v>2045</v>
      </c>
      <c r="E250" s="40">
        <v>46069</v>
      </c>
      <c r="F250" s="39" t="s">
        <v>1163</v>
      </c>
      <c r="G250" s="40" t="s">
        <v>2032</v>
      </c>
      <c r="H250" s="39" t="s">
        <v>1175</v>
      </c>
      <c r="I250" s="39" t="s">
        <v>1184</v>
      </c>
      <c r="J250" s="39" t="s">
        <v>1177</v>
      </c>
      <c r="K250" s="43" t="s">
        <v>1167</v>
      </c>
      <c r="L250" s="39" t="s">
        <v>680</v>
      </c>
      <c r="M250" s="39" t="s">
        <v>1185</v>
      </c>
      <c r="N250" s="42" t="s">
        <v>1186</v>
      </c>
      <c r="O250" s="41" t="str">
        <f t="shared" si="3"/>
        <v>Sal Costa</v>
      </c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15.75" customHeight="1" x14ac:dyDescent="0.25">
      <c r="A251" s="28">
        <v>258</v>
      </c>
      <c r="B251" s="39" t="s">
        <v>2046</v>
      </c>
      <c r="C251" s="39" t="s">
        <v>2047</v>
      </c>
      <c r="D251" s="39" t="s">
        <v>2048</v>
      </c>
      <c r="E251" s="40">
        <v>46090</v>
      </c>
      <c r="F251" s="39" t="s">
        <v>1194</v>
      </c>
      <c r="G251" s="40" t="s">
        <v>2049</v>
      </c>
      <c r="H251" s="39" t="s">
        <v>1196</v>
      </c>
      <c r="I251" s="39" t="s">
        <v>1176</v>
      </c>
      <c r="J251" s="39" t="s">
        <v>1166</v>
      </c>
      <c r="K251" s="43" t="s">
        <v>1178</v>
      </c>
      <c r="L251" s="39" t="s">
        <v>687</v>
      </c>
      <c r="M251" s="39" t="s">
        <v>1179</v>
      </c>
      <c r="N251" s="42" t="s">
        <v>1180</v>
      </c>
      <c r="O251" s="41" t="str">
        <f t="shared" si="3"/>
        <v>Shane Burgoon</v>
      </c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15.75" customHeight="1" x14ac:dyDescent="0.25">
      <c r="A252" s="28">
        <v>259</v>
      </c>
      <c r="B252" s="39" t="s">
        <v>2050</v>
      </c>
      <c r="C252" s="39" t="s">
        <v>1499</v>
      </c>
      <c r="D252" s="39" t="s">
        <v>2051</v>
      </c>
      <c r="E252" s="40">
        <v>46084</v>
      </c>
      <c r="F252" s="39" t="s">
        <v>1163</v>
      </c>
      <c r="G252" s="40" t="s">
        <v>2052</v>
      </c>
      <c r="H252" s="39" t="s">
        <v>1175</v>
      </c>
      <c r="I252" s="39" t="s">
        <v>1176</v>
      </c>
      <c r="J252" s="39" t="s">
        <v>1177</v>
      </c>
      <c r="K252" s="43" t="s">
        <v>1178</v>
      </c>
      <c r="L252" s="39" t="s">
        <v>683</v>
      </c>
      <c r="M252" s="47" t="s">
        <v>1179</v>
      </c>
      <c r="N252" s="42" t="s">
        <v>1180</v>
      </c>
      <c r="O252" s="41" t="str">
        <f t="shared" si="3"/>
        <v>Brendan Nolan</v>
      </c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15.75" customHeight="1" x14ac:dyDescent="0.25">
      <c r="A253" s="28">
        <v>261</v>
      </c>
      <c r="B253" s="39" t="s">
        <v>2053</v>
      </c>
      <c r="C253" s="39" t="s">
        <v>2054</v>
      </c>
      <c r="D253" s="39" t="s">
        <v>2055</v>
      </c>
      <c r="E253" s="42"/>
      <c r="F253" s="39" t="s">
        <v>1163</v>
      </c>
      <c r="G253" s="40" t="s">
        <v>2056</v>
      </c>
      <c r="H253" s="39" t="s">
        <v>1196</v>
      </c>
      <c r="I253" s="39" t="s">
        <v>1176</v>
      </c>
      <c r="J253" s="42" t="s">
        <v>1281</v>
      </c>
      <c r="K253" s="42" t="s">
        <v>1178</v>
      </c>
      <c r="L253" s="39" t="s">
        <v>687</v>
      </c>
      <c r="M253" s="39" t="s">
        <v>1179</v>
      </c>
      <c r="N253" s="42" t="s">
        <v>1180</v>
      </c>
      <c r="O253" s="41" t="str">
        <f t="shared" si="3"/>
        <v>Dan Hennessy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15.75" customHeight="1" x14ac:dyDescent="0.25">
      <c r="A254" s="28">
        <v>260</v>
      </c>
      <c r="B254" s="39" t="s">
        <v>2057</v>
      </c>
      <c r="C254" s="39" t="s">
        <v>2058</v>
      </c>
      <c r="D254" s="39" t="s">
        <v>2059</v>
      </c>
      <c r="E254" s="42"/>
      <c r="F254" s="39" t="s">
        <v>1163</v>
      </c>
      <c r="G254" s="40" t="s">
        <v>2060</v>
      </c>
      <c r="H254" s="42" t="s">
        <v>1175</v>
      </c>
      <c r="I254" s="42" t="s">
        <v>1176</v>
      </c>
      <c r="J254" s="42" t="s">
        <v>1177</v>
      </c>
      <c r="K254" s="43" t="s">
        <v>1178</v>
      </c>
      <c r="L254" s="39" t="s">
        <v>683</v>
      </c>
      <c r="M254" s="39" t="s">
        <v>1179</v>
      </c>
      <c r="N254" s="39" t="s">
        <v>1180</v>
      </c>
      <c r="O254" s="41" t="str">
        <f t="shared" si="3"/>
        <v>Talon Walz</v>
      </c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15.75" customHeight="1" x14ac:dyDescent="0.25">
      <c r="A255" s="28">
        <v>262</v>
      </c>
      <c r="B255" s="42" t="s">
        <v>1596</v>
      </c>
      <c r="C255" s="42" t="s">
        <v>2061</v>
      </c>
      <c r="D255" s="42" t="s">
        <v>2062</v>
      </c>
      <c r="E255" s="42"/>
      <c r="F255" s="39" t="s">
        <v>1163</v>
      </c>
      <c r="G255" s="40" t="s">
        <v>2042</v>
      </c>
      <c r="H255" s="42" t="s">
        <v>1196</v>
      </c>
      <c r="I255" s="42" t="s">
        <v>1176</v>
      </c>
      <c r="J255" s="42" t="s">
        <v>1166</v>
      </c>
      <c r="K255" s="42" t="s">
        <v>1178</v>
      </c>
      <c r="L255" s="42" t="s">
        <v>687</v>
      </c>
      <c r="M255" s="42" t="s">
        <v>1179</v>
      </c>
      <c r="N255" s="42" t="s">
        <v>1180</v>
      </c>
      <c r="O255" s="41" t="str">
        <f t="shared" si="3"/>
        <v>Christopher Turner</v>
      </c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15.75" customHeight="1" x14ac:dyDescent="0.25">
      <c r="A256" s="28">
        <v>263</v>
      </c>
      <c r="B256" s="42" t="s">
        <v>1407</v>
      </c>
      <c r="C256" s="42" t="s">
        <v>1274</v>
      </c>
      <c r="D256" s="42" t="s">
        <v>2063</v>
      </c>
      <c r="E256" s="42"/>
      <c r="F256" s="39" t="s">
        <v>1163</v>
      </c>
      <c r="G256" s="40" t="s">
        <v>2026</v>
      </c>
      <c r="H256" s="42" t="s">
        <v>1196</v>
      </c>
      <c r="I256" s="42" t="s">
        <v>1176</v>
      </c>
      <c r="J256" s="42" t="s">
        <v>1166</v>
      </c>
      <c r="K256" s="42" t="s">
        <v>1178</v>
      </c>
      <c r="L256" s="42" t="s">
        <v>687</v>
      </c>
      <c r="M256" s="42" t="s">
        <v>1179</v>
      </c>
      <c r="N256" s="42" t="s">
        <v>1180</v>
      </c>
      <c r="O256" s="41" t="str">
        <f t="shared" si="3"/>
        <v>Evan Mitchell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15.75" customHeight="1" x14ac:dyDescent="0.25">
      <c r="A257" s="42">
        <v>264</v>
      </c>
      <c r="B257" s="42" t="s">
        <v>2064</v>
      </c>
      <c r="C257" s="42" t="s">
        <v>2065</v>
      </c>
      <c r="D257" s="42" t="s">
        <v>2066</v>
      </c>
      <c r="E257" s="42"/>
      <c r="F257" s="39" t="s">
        <v>1163</v>
      </c>
      <c r="G257" s="40" t="s">
        <v>2067</v>
      </c>
      <c r="H257" s="42" t="s">
        <v>1196</v>
      </c>
      <c r="I257" s="42" t="s">
        <v>1184</v>
      </c>
      <c r="J257" s="42" t="s">
        <v>1177</v>
      </c>
      <c r="K257" s="42" t="s">
        <v>1167</v>
      </c>
      <c r="L257" s="42" t="s">
        <v>674</v>
      </c>
      <c r="M257" s="42" t="s">
        <v>1185</v>
      </c>
      <c r="N257" s="42" t="s">
        <v>1186</v>
      </c>
      <c r="O257" s="41" t="str">
        <f t="shared" si="3"/>
        <v>Tyler Grimshaw</v>
      </c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15.75" customHeight="1" x14ac:dyDescent="0.25">
      <c r="A258" s="42">
        <v>266</v>
      </c>
      <c r="B258" s="42" t="s">
        <v>2068</v>
      </c>
      <c r="C258" s="42" t="s">
        <v>2069</v>
      </c>
      <c r="D258" s="42" t="s">
        <v>2070</v>
      </c>
      <c r="E258" s="42"/>
      <c r="F258" s="39" t="s">
        <v>1800</v>
      </c>
      <c r="G258" s="40" t="s">
        <v>2071</v>
      </c>
      <c r="H258" s="42" t="s">
        <v>1175</v>
      </c>
      <c r="I258" s="42" t="s">
        <v>1323</v>
      </c>
      <c r="J258" s="42" t="s">
        <v>1166</v>
      </c>
      <c r="K258" s="42" t="s">
        <v>1167</v>
      </c>
      <c r="L258" s="42" t="s">
        <v>732</v>
      </c>
      <c r="M258" s="42" t="s">
        <v>1169</v>
      </c>
      <c r="N258" s="42" t="s">
        <v>1170</v>
      </c>
      <c r="O258" s="41" t="str">
        <f t="shared" ref="O258:O278" si="4">B258&amp;" "&amp;C258</f>
        <v>Samara McVey</v>
      </c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15.75" customHeight="1" x14ac:dyDescent="0.25">
      <c r="A259" s="42">
        <v>268</v>
      </c>
      <c r="B259" s="42" t="s">
        <v>2072</v>
      </c>
      <c r="C259" s="42" t="s">
        <v>2073</v>
      </c>
      <c r="D259" s="42" t="s">
        <v>2074</v>
      </c>
      <c r="E259" s="42"/>
      <c r="F259" s="39" t="s">
        <v>1800</v>
      </c>
      <c r="G259" s="40" t="s">
        <v>2075</v>
      </c>
      <c r="H259" s="42" t="s">
        <v>1165</v>
      </c>
      <c r="I259" s="42" t="s">
        <v>1441</v>
      </c>
      <c r="J259" s="42" t="s">
        <v>1166</v>
      </c>
      <c r="K259" s="42" t="s">
        <v>1167</v>
      </c>
      <c r="L259" s="42" t="s">
        <v>700</v>
      </c>
      <c r="M259" s="42" t="s">
        <v>1169</v>
      </c>
      <c r="N259" s="42" t="s">
        <v>1170</v>
      </c>
      <c r="O259" s="41" t="str">
        <f t="shared" si="4"/>
        <v>Jacy Hennawy</v>
      </c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15.75" customHeight="1" x14ac:dyDescent="0.25">
      <c r="A260" s="42">
        <v>269</v>
      </c>
      <c r="B260" s="42" t="s">
        <v>1292</v>
      </c>
      <c r="C260" s="42" t="s">
        <v>2076</v>
      </c>
      <c r="D260" s="42" t="s">
        <v>2077</v>
      </c>
      <c r="E260" s="42"/>
      <c r="F260" s="39" t="s">
        <v>1163</v>
      </c>
      <c r="G260" s="40" t="s">
        <v>2078</v>
      </c>
      <c r="H260" s="42" t="s">
        <v>1175</v>
      </c>
      <c r="I260" s="42" t="s">
        <v>1184</v>
      </c>
      <c r="J260" s="42" t="s">
        <v>1177</v>
      </c>
      <c r="K260" s="42" t="s">
        <v>1167</v>
      </c>
      <c r="L260" s="42" t="s">
        <v>680</v>
      </c>
      <c r="M260" s="42" t="s">
        <v>1185</v>
      </c>
      <c r="N260" s="42" t="s">
        <v>1186</v>
      </c>
      <c r="O260" s="41" t="str">
        <f t="shared" si="4"/>
        <v>Brian McGonigal</v>
      </c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15.75" customHeight="1" x14ac:dyDescent="0.25">
      <c r="A261" s="42">
        <v>270</v>
      </c>
      <c r="B261" s="42" t="s">
        <v>1191</v>
      </c>
      <c r="C261" s="42" t="s">
        <v>1916</v>
      </c>
      <c r="D261" s="42" t="s">
        <v>2079</v>
      </c>
      <c r="E261" s="42"/>
      <c r="F261" s="39" t="s">
        <v>1163</v>
      </c>
      <c r="G261" s="40" t="s">
        <v>2080</v>
      </c>
      <c r="H261" s="42" t="s">
        <v>1196</v>
      </c>
      <c r="I261" s="42" t="s">
        <v>1184</v>
      </c>
      <c r="J261" s="42" t="s">
        <v>1281</v>
      </c>
      <c r="K261" s="42"/>
      <c r="L261" s="42" t="s">
        <v>674</v>
      </c>
      <c r="M261" s="42" t="s">
        <v>1185</v>
      </c>
      <c r="N261" s="42" t="s">
        <v>1186</v>
      </c>
      <c r="O261" s="41" t="str">
        <f t="shared" si="4"/>
        <v>James Dean</v>
      </c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15.75" customHeight="1" x14ac:dyDescent="0.25">
      <c r="A262" s="42">
        <v>271</v>
      </c>
      <c r="B262" s="42" t="s">
        <v>2081</v>
      </c>
      <c r="C262" s="42" t="s">
        <v>2082</v>
      </c>
      <c r="D262" s="42" t="s">
        <v>2083</v>
      </c>
      <c r="E262" s="42"/>
      <c r="F262" s="39" t="s">
        <v>1163</v>
      </c>
      <c r="G262" s="40" t="s">
        <v>2084</v>
      </c>
      <c r="H262" s="42" t="s">
        <v>1175</v>
      </c>
      <c r="I262" s="42" t="s">
        <v>1323</v>
      </c>
      <c r="J262" s="42" t="s">
        <v>1166</v>
      </c>
      <c r="K262" s="42" t="s">
        <v>1178</v>
      </c>
      <c r="L262" s="42" t="s">
        <v>732</v>
      </c>
      <c r="M262" s="42" t="s">
        <v>1179</v>
      </c>
      <c r="N262" s="42" t="s">
        <v>1180</v>
      </c>
      <c r="O262" s="41" t="str">
        <f t="shared" si="4"/>
        <v>Marsha Whitman</v>
      </c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15.75" customHeight="1" x14ac:dyDescent="0.25">
      <c r="A263" s="42">
        <v>273</v>
      </c>
      <c r="B263" s="42" t="s">
        <v>1242</v>
      </c>
      <c r="C263" s="42" t="s">
        <v>2085</v>
      </c>
      <c r="D263" s="42" t="s">
        <v>2086</v>
      </c>
      <c r="E263" s="42"/>
      <c r="F263" s="39" t="s">
        <v>1800</v>
      </c>
      <c r="G263" s="40" t="s">
        <v>1801</v>
      </c>
      <c r="H263" s="42" t="s">
        <v>1165</v>
      </c>
      <c r="I263" s="42" t="s">
        <v>1165</v>
      </c>
      <c r="J263" s="42" t="s">
        <v>1166</v>
      </c>
      <c r="K263" s="42" t="s">
        <v>1167</v>
      </c>
      <c r="L263" s="42" t="s">
        <v>700</v>
      </c>
      <c r="M263" s="42" t="s">
        <v>1169</v>
      </c>
      <c r="N263" s="42" t="s">
        <v>1170</v>
      </c>
      <c r="O263" s="41" t="str">
        <f t="shared" si="4"/>
        <v>Michael Button</v>
      </c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15.75" customHeight="1" x14ac:dyDescent="0.25">
      <c r="A264" s="42">
        <v>274</v>
      </c>
      <c r="B264" s="42" t="s">
        <v>2087</v>
      </c>
      <c r="C264" s="42" t="s">
        <v>2088</v>
      </c>
      <c r="D264" s="42" t="s">
        <v>2089</v>
      </c>
      <c r="E264" s="42"/>
      <c r="F264" s="39" t="s">
        <v>1163</v>
      </c>
      <c r="G264" s="40" t="s">
        <v>1973</v>
      </c>
      <c r="H264" s="42" t="s">
        <v>1196</v>
      </c>
      <c r="I264" s="42" t="s">
        <v>1176</v>
      </c>
      <c r="J264" s="42" t="s">
        <v>1281</v>
      </c>
      <c r="K264" s="42" t="s">
        <v>1178</v>
      </c>
      <c r="L264" s="42" t="s">
        <v>687</v>
      </c>
      <c r="M264" s="42" t="s">
        <v>1179</v>
      </c>
      <c r="N264" s="42" t="s">
        <v>1180</v>
      </c>
      <c r="O264" s="41" t="str">
        <f t="shared" si="4"/>
        <v>Robin Wiggs</v>
      </c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15.75" customHeight="1" x14ac:dyDescent="0.25">
      <c r="A265" s="42">
        <v>275</v>
      </c>
      <c r="B265" s="42" t="s">
        <v>1606</v>
      </c>
      <c r="C265" s="42" t="s">
        <v>2090</v>
      </c>
      <c r="D265" s="42" t="s">
        <v>2091</v>
      </c>
      <c r="E265" s="42"/>
      <c r="F265" s="39" t="s">
        <v>1163</v>
      </c>
      <c r="G265" s="40" t="s">
        <v>1658</v>
      </c>
      <c r="H265" s="42" t="s">
        <v>1165</v>
      </c>
      <c r="I265" s="42" t="s">
        <v>1584</v>
      </c>
      <c r="J265" s="42" t="s">
        <v>1166</v>
      </c>
      <c r="K265" s="42" t="s">
        <v>1167</v>
      </c>
      <c r="L265" s="42" t="s">
        <v>677</v>
      </c>
      <c r="M265" s="42" t="s">
        <v>1185</v>
      </c>
      <c r="N265" s="42" t="s">
        <v>1186</v>
      </c>
      <c r="O265" s="41" t="str">
        <f t="shared" si="4"/>
        <v>John Fennell</v>
      </c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15.75" customHeight="1" x14ac:dyDescent="0.25">
      <c r="A266" s="42">
        <v>276</v>
      </c>
      <c r="B266" s="42" t="s">
        <v>2092</v>
      </c>
      <c r="C266" s="42" t="s">
        <v>2093</v>
      </c>
      <c r="D266" s="42" t="s">
        <v>2094</v>
      </c>
      <c r="E266" s="42"/>
      <c r="F266" s="39" t="s">
        <v>1163</v>
      </c>
      <c r="G266" s="40" t="s">
        <v>1801</v>
      </c>
      <c r="H266" s="42" t="s">
        <v>1165</v>
      </c>
      <c r="I266" s="42" t="s">
        <v>1441</v>
      </c>
      <c r="J266" s="42" t="s">
        <v>1166</v>
      </c>
      <c r="K266" s="42" t="s">
        <v>1167</v>
      </c>
      <c r="L266" s="42" t="s">
        <v>700</v>
      </c>
      <c r="M266" s="42" t="s">
        <v>1169</v>
      </c>
      <c r="N266" s="42" t="s">
        <v>1170</v>
      </c>
      <c r="O266" s="41" t="str">
        <f t="shared" si="4"/>
        <v>Vivian Wu</v>
      </c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15.75" customHeight="1" x14ac:dyDescent="0.25">
      <c r="A267" s="42">
        <v>277</v>
      </c>
      <c r="B267" s="42" t="s">
        <v>1685</v>
      </c>
      <c r="C267" s="42" t="s">
        <v>2095</v>
      </c>
      <c r="D267" s="42" t="s">
        <v>2096</v>
      </c>
      <c r="E267" s="42"/>
      <c r="F267" s="39" t="s">
        <v>1800</v>
      </c>
      <c r="G267" s="40" t="s">
        <v>1658</v>
      </c>
      <c r="H267" s="42" t="s">
        <v>1175</v>
      </c>
      <c r="I267" s="42" t="s">
        <v>1176</v>
      </c>
      <c r="J267" s="42" t="s">
        <v>1166</v>
      </c>
      <c r="K267" s="42" t="s">
        <v>1167</v>
      </c>
      <c r="L267" s="42" t="s">
        <v>683</v>
      </c>
      <c r="M267" s="42" t="s">
        <v>1169</v>
      </c>
      <c r="N267" s="42" t="s">
        <v>1170</v>
      </c>
      <c r="O267" s="41" t="str">
        <f t="shared" si="4"/>
        <v>Jackson Mendes</v>
      </c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15.75" customHeight="1" x14ac:dyDescent="0.25">
      <c r="A268" s="42">
        <v>278</v>
      </c>
      <c r="B268" s="42" t="s">
        <v>2097</v>
      </c>
      <c r="C268" s="42" t="s">
        <v>2098</v>
      </c>
      <c r="D268" s="42" t="s">
        <v>2099</v>
      </c>
      <c r="E268" s="42"/>
      <c r="F268" s="39" t="s">
        <v>1163</v>
      </c>
      <c r="G268" s="40" t="s">
        <v>1801</v>
      </c>
      <c r="H268" s="42" t="s">
        <v>1165</v>
      </c>
      <c r="I268" s="42" t="s">
        <v>1165</v>
      </c>
      <c r="J268" s="42" t="s">
        <v>1166</v>
      </c>
      <c r="K268" s="42" t="s">
        <v>1167</v>
      </c>
      <c r="L268" s="42" t="s">
        <v>700</v>
      </c>
      <c r="M268" s="42" t="s">
        <v>1169</v>
      </c>
      <c r="N268" s="42" t="s">
        <v>1170</v>
      </c>
      <c r="O268" s="41" t="str">
        <f t="shared" si="4"/>
        <v>Samantha Purpura</v>
      </c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15.75" customHeight="1" x14ac:dyDescent="0.25">
      <c r="A269" s="42">
        <v>283</v>
      </c>
      <c r="B269" s="42" t="s">
        <v>2100</v>
      </c>
      <c r="C269" s="42" t="s">
        <v>2101</v>
      </c>
      <c r="D269" s="42" t="s">
        <v>2102</v>
      </c>
      <c r="E269" s="42"/>
      <c r="F269" s="39" t="s">
        <v>1163</v>
      </c>
      <c r="G269" s="40">
        <v>46140</v>
      </c>
      <c r="H269" s="42" t="s">
        <v>1165</v>
      </c>
      <c r="I269" s="42" t="s">
        <v>1165</v>
      </c>
      <c r="J269" s="42" t="s">
        <v>1166</v>
      </c>
      <c r="K269" s="42" t="s">
        <v>1167</v>
      </c>
      <c r="L269" s="42" t="s">
        <v>700</v>
      </c>
      <c r="M269" s="42" t="s">
        <v>1169</v>
      </c>
      <c r="N269" s="42" t="s">
        <v>1170</v>
      </c>
      <c r="O269" s="41" t="str">
        <f t="shared" si="4"/>
        <v>Jamie Cosgrove</v>
      </c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15.75" customHeight="1" x14ac:dyDescent="0.25">
      <c r="A270" s="42">
        <v>284</v>
      </c>
      <c r="B270" s="42" t="s">
        <v>2103</v>
      </c>
      <c r="C270" s="42" t="s">
        <v>2104</v>
      </c>
      <c r="D270" s="42" t="s">
        <v>2105</v>
      </c>
      <c r="E270" s="42"/>
      <c r="F270" s="39" t="s">
        <v>1163</v>
      </c>
      <c r="G270" s="40" t="s">
        <v>2106</v>
      </c>
      <c r="H270" s="42" t="s">
        <v>1196</v>
      </c>
      <c r="I270" s="42" t="s">
        <v>1779</v>
      </c>
      <c r="J270" s="42" t="s">
        <v>1166</v>
      </c>
      <c r="K270" s="42" t="s">
        <v>1167</v>
      </c>
      <c r="L270" s="42" t="s">
        <v>687</v>
      </c>
      <c r="M270" s="42" t="s">
        <v>1169</v>
      </c>
      <c r="N270" s="42" t="s">
        <v>1170</v>
      </c>
      <c r="O270" s="41" t="str">
        <f t="shared" si="4"/>
        <v>Lenny Caraballo</v>
      </c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15.75" customHeight="1" x14ac:dyDescent="0.25">
      <c r="A271" s="42">
        <v>285</v>
      </c>
      <c r="B271" s="42" t="s">
        <v>1381</v>
      </c>
      <c r="C271" s="42" t="s">
        <v>2107</v>
      </c>
      <c r="D271" s="42" t="s">
        <v>2108</v>
      </c>
      <c r="E271" s="42"/>
      <c r="F271" s="39" t="s">
        <v>1163</v>
      </c>
      <c r="G271" s="40" t="s">
        <v>2080</v>
      </c>
      <c r="H271" s="42" t="s">
        <v>1196</v>
      </c>
      <c r="I271" s="42" t="s">
        <v>1176</v>
      </c>
      <c r="J271" s="42" t="s">
        <v>1281</v>
      </c>
      <c r="K271" s="42"/>
      <c r="L271" s="42" t="s">
        <v>687</v>
      </c>
      <c r="M271" s="42" t="s">
        <v>1179</v>
      </c>
      <c r="N271" s="42" t="s">
        <v>1180</v>
      </c>
      <c r="O271" s="41" t="str">
        <f t="shared" si="4"/>
        <v>Anthony Nguyen</v>
      </c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15.75" customHeight="1" x14ac:dyDescent="0.25">
      <c r="A272" s="42">
        <v>286</v>
      </c>
      <c r="B272" s="42" t="s">
        <v>2109</v>
      </c>
      <c r="C272" s="42" t="s">
        <v>2110</v>
      </c>
      <c r="D272" s="42" t="s">
        <v>2111</v>
      </c>
      <c r="E272" s="39"/>
      <c r="F272" s="39" t="s">
        <v>1163</v>
      </c>
      <c r="G272" s="40" t="s">
        <v>2106</v>
      </c>
      <c r="H272" s="42" t="s">
        <v>1175</v>
      </c>
      <c r="I272" s="42" t="s">
        <v>1176</v>
      </c>
      <c r="J272" s="42" t="s">
        <v>1166</v>
      </c>
      <c r="K272" s="42" t="s">
        <v>1178</v>
      </c>
      <c r="L272" s="42" t="s">
        <v>732</v>
      </c>
      <c r="M272" s="42" t="s">
        <v>1179</v>
      </c>
      <c r="N272" s="42" t="s">
        <v>1180</v>
      </c>
      <c r="O272" s="41" t="str">
        <f t="shared" si="4"/>
        <v>Paulina Mateo</v>
      </c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15.75" customHeight="1" x14ac:dyDescent="0.25">
      <c r="A273" s="42">
        <v>289</v>
      </c>
      <c r="B273" s="42" t="s">
        <v>2112</v>
      </c>
      <c r="C273" s="42" t="s">
        <v>2113</v>
      </c>
      <c r="D273" s="42" t="s">
        <v>2114</v>
      </c>
      <c r="E273" s="39"/>
      <c r="F273" s="39" t="s">
        <v>1163</v>
      </c>
      <c r="G273" s="40" t="s">
        <v>2115</v>
      </c>
      <c r="H273" s="42" t="s">
        <v>1196</v>
      </c>
      <c r="I273" s="42" t="s">
        <v>1184</v>
      </c>
      <c r="J273" s="42" t="s">
        <v>1281</v>
      </c>
      <c r="K273" s="42" t="s">
        <v>1167</v>
      </c>
      <c r="L273" s="39" t="s">
        <v>674</v>
      </c>
      <c r="M273" s="39" t="s">
        <v>1185</v>
      </c>
      <c r="N273" s="39" t="s">
        <v>1170</v>
      </c>
      <c r="O273" s="41" t="str">
        <f t="shared" si="4"/>
        <v>Jared Kennedy</v>
      </c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15.75" customHeight="1" x14ac:dyDescent="0.25">
      <c r="A274" s="42">
        <v>290</v>
      </c>
      <c r="B274" s="42" t="s">
        <v>1242</v>
      </c>
      <c r="C274" s="42" t="s">
        <v>2116</v>
      </c>
      <c r="D274" s="42" t="s">
        <v>2117</v>
      </c>
      <c r="E274" s="42" t="s">
        <v>2118</v>
      </c>
      <c r="F274" s="42" t="s">
        <v>1163</v>
      </c>
      <c r="G274" s="42" t="s">
        <v>2118</v>
      </c>
      <c r="H274" s="42" t="s">
        <v>1175</v>
      </c>
      <c r="I274" s="42" t="s">
        <v>1323</v>
      </c>
      <c r="J274" s="42" t="s">
        <v>1281</v>
      </c>
      <c r="K274" s="42" t="s">
        <v>1178</v>
      </c>
      <c r="L274" s="42" t="s">
        <v>732</v>
      </c>
      <c r="M274" s="42" t="s">
        <v>1179</v>
      </c>
      <c r="N274" s="42" t="s">
        <v>1180</v>
      </c>
      <c r="O274" s="41" t="str">
        <f t="shared" si="4"/>
        <v>Michael Joyce</v>
      </c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15.75" customHeight="1" x14ac:dyDescent="0.25">
      <c r="A275" s="42">
        <v>291</v>
      </c>
      <c r="B275" s="42" t="s">
        <v>1426</v>
      </c>
      <c r="C275" s="42" t="s">
        <v>2119</v>
      </c>
      <c r="D275" s="42" t="s">
        <v>2120</v>
      </c>
      <c r="E275" s="42" t="s">
        <v>2121</v>
      </c>
      <c r="F275" s="42" t="s">
        <v>1163</v>
      </c>
      <c r="G275" s="42" t="s">
        <v>2121</v>
      </c>
      <c r="H275" s="42" t="s">
        <v>1175</v>
      </c>
      <c r="I275" s="42" t="s">
        <v>1176</v>
      </c>
      <c r="J275" s="42" t="s">
        <v>1177</v>
      </c>
      <c r="K275" s="42" t="s">
        <v>1178</v>
      </c>
      <c r="L275" s="42" t="s">
        <v>683</v>
      </c>
      <c r="M275" s="42" t="s">
        <v>1169</v>
      </c>
      <c r="N275" s="42" t="s">
        <v>1170</v>
      </c>
      <c r="O275" s="41" t="str">
        <f t="shared" si="4"/>
        <v>Daniel Levin</v>
      </c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15.75" customHeight="1" x14ac:dyDescent="0.25">
      <c r="A276" s="42">
        <v>292</v>
      </c>
      <c r="B276" s="42" t="s">
        <v>1218</v>
      </c>
      <c r="C276" s="42" t="s">
        <v>2122</v>
      </c>
      <c r="D276" s="42" t="s">
        <v>2123</v>
      </c>
      <c r="E276" s="42" t="s">
        <v>2121</v>
      </c>
      <c r="F276" s="42" t="s">
        <v>1163</v>
      </c>
      <c r="G276" s="42" t="s">
        <v>2121</v>
      </c>
      <c r="H276" s="42" t="s">
        <v>1165</v>
      </c>
      <c r="I276" s="42" t="s">
        <v>1584</v>
      </c>
      <c r="J276" s="42" t="s">
        <v>1166</v>
      </c>
      <c r="K276" s="42" t="s">
        <v>1167</v>
      </c>
      <c r="L276" s="42" t="s">
        <v>677</v>
      </c>
      <c r="M276" s="42" t="s">
        <v>1185</v>
      </c>
      <c r="N276" s="42" t="s">
        <v>1186</v>
      </c>
      <c r="O276" s="41" t="str">
        <f t="shared" si="4"/>
        <v>Victoria Molins</v>
      </c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15.75" customHeight="1" x14ac:dyDescent="0.25">
      <c r="A277" s="42">
        <v>293</v>
      </c>
      <c r="B277" s="42" t="s">
        <v>1296</v>
      </c>
      <c r="C277" s="42" t="s">
        <v>2124</v>
      </c>
      <c r="D277" s="42" t="s">
        <v>2125</v>
      </c>
      <c r="E277" s="42" t="s">
        <v>2126</v>
      </c>
      <c r="F277" s="42"/>
      <c r="G277" s="42"/>
      <c r="H277" s="42"/>
      <c r="I277" s="42"/>
      <c r="J277" s="42"/>
      <c r="K277" s="42" t="s">
        <v>1178</v>
      </c>
      <c r="L277" s="42"/>
      <c r="M277" s="42"/>
      <c r="N277" s="42"/>
      <c r="O277" s="41" t="str">
        <f t="shared" si="4"/>
        <v>Paul Bloem</v>
      </c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15.75" customHeight="1" x14ac:dyDescent="0.25">
      <c r="A278" s="42">
        <v>294</v>
      </c>
      <c r="B278" s="42" t="s">
        <v>2127</v>
      </c>
      <c r="C278" s="42" t="s">
        <v>2128</v>
      </c>
      <c r="D278" s="42" t="s">
        <v>2129</v>
      </c>
      <c r="E278" s="42" t="s">
        <v>2130</v>
      </c>
      <c r="F278" s="42"/>
      <c r="G278" s="42"/>
      <c r="H278" s="42"/>
      <c r="I278" s="42"/>
      <c r="J278" s="42"/>
      <c r="K278" s="42" t="s">
        <v>1167</v>
      </c>
      <c r="L278" s="42"/>
      <c r="M278" s="42"/>
      <c r="N278" s="42"/>
      <c r="O278" s="41" t="str">
        <f t="shared" si="4"/>
        <v>Kenneth Ashby</v>
      </c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15.75" customHeight="1" x14ac:dyDescent="0.25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1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15.75" customHeight="1" x14ac:dyDescent="0.25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1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15.75" customHeight="1" x14ac:dyDescent="0.25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1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15.75" customHeight="1" x14ac:dyDescent="0.25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1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15.75" customHeight="1" x14ac:dyDescent="0.25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1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15.75" customHeight="1" x14ac:dyDescent="0.25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1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15.75" customHeight="1" x14ac:dyDescent="0.2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1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15.75" customHeight="1" x14ac:dyDescent="0.25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1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15.75" customHeight="1" x14ac:dyDescent="0.25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1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15.75" customHeight="1" x14ac:dyDescent="0.25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1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15.75" customHeight="1" x14ac:dyDescent="0.25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1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15.75" customHeight="1" x14ac:dyDescent="0.25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1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15.75" customHeight="1" x14ac:dyDescent="0.25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1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15.75" customHeight="1" x14ac:dyDescent="0.25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1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15.75" customHeight="1" x14ac:dyDescent="0.25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1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15.75" customHeight="1" x14ac:dyDescent="0.25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1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15.75" customHeight="1" x14ac:dyDescent="0.2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1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15.75" customHeight="1" x14ac:dyDescent="0.25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1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15.75" customHeight="1" x14ac:dyDescent="0.25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1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15.75" customHeight="1" x14ac:dyDescent="0.25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1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15.75" customHeight="1" x14ac:dyDescent="0.25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1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15.75" customHeight="1" x14ac:dyDescent="0.25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1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15.75" customHeight="1" x14ac:dyDescent="0.25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1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15.75" customHeight="1" x14ac:dyDescent="0.25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1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15.75" customHeight="1" x14ac:dyDescent="0.25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1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15.75" customHeight="1" x14ac:dyDescent="0.25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1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15.75" customHeight="1" x14ac:dyDescent="0.2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1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15.75" customHeight="1" x14ac:dyDescent="0.25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1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15.75" customHeight="1" x14ac:dyDescent="0.25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1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15.75" customHeight="1" x14ac:dyDescent="0.25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1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15.75" customHeight="1" x14ac:dyDescent="0.25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1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15.75" customHeight="1" x14ac:dyDescent="0.25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1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15.75" customHeight="1" x14ac:dyDescent="0.25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1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15.75" customHeight="1" x14ac:dyDescent="0.25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1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15.75" customHeight="1" x14ac:dyDescent="0.25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1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15.75" customHeight="1" x14ac:dyDescent="0.25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1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15.75" customHeight="1" x14ac:dyDescent="0.2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1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15.75" customHeight="1" x14ac:dyDescent="0.25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1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15.75" customHeight="1" x14ac:dyDescent="0.25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1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15.75" customHeight="1" x14ac:dyDescent="0.25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1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15.75" customHeight="1" x14ac:dyDescent="0.25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1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15.75" customHeight="1" x14ac:dyDescent="0.25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1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15.75" customHeight="1" x14ac:dyDescent="0.25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1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15.75" customHeight="1" x14ac:dyDescent="0.25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1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15.75" customHeight="1" x14ac:dyDescent="0.25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1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15.75" customHeight="1" x14ac:dyDescent="0.25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1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15.75" customHeight="1" x14ac:dyDescent="0.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1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15.75" customHeight="1" x14ac:dyDescent="0.25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1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15.75" customHeight="1" x14ac:dyDescent="0.25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1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15.75" customHeight="1" x14ac:dyDescent="0.25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1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15.75" customHeight="1" x14ac:dyDescent="0.25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1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15.75" customHeight="1" x14ac:dyDescent="0.25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1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15.75" customHeight="1" x14ac:dyDescent="0.25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1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15.75" customHeight="1" x14ac:dyDescent="0.25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1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15.75" customHeight="1" x14ac:dyDescent="0.25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1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15.75" customHeight="1" x14ac:dyDescent="0.25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1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15.75" customHeight="1" x14ac:dyDescent="0.2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1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15.75" customHeight="1" x14ac:dyDescent="0.25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1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15.75" customHeight="1" x14ac:dyDescent="0.25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1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15.75" customHeight="1" x14ac:dyDescent="0.25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1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15.75" customHeight="1" x14ac:dyDescent="0.25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1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15.75" customHeight="1" x14ac:dyDescent="0.25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1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15.75" customHeight="1" x14ac:dyDescent="0.25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1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15.75" customHeight="1" x14ac:dyDescent="0.25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1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15.75" customHeight="1" x14ac:dyDescent="0.25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1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15.75" customHeight="1" x14ac:dyDescent="0.25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1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15.75" customHeight="1" x14ac:dyDescent="0.2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1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15.75" customHeight="1" x14ac:dyDescent="0.25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1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15.75" customHeight="1" x14ac:dyDescent="0.25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1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15.75" customHeight="1" x14ac:dyDescent="0.25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1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15.75" customHeight="1" x14ac:dyDescent="0.25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1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15.75" customHeight="1" x14ac:dyDescent="0.25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1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15.75" customHeight="1" x14ac:dyDescent="0.25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1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15.75" customHeight="1" x14ac:dyDescent="0.25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1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15.75" customHeight="1" x14ac:dyDescent="0.25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1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15.75" customHeight="1" x14ac:dyDescent="0.25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1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15.75" customHeight="1" x14ac:dyDescent="0.2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1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15.75" customHeight="1" x14ac:dyDescent="0.25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1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15.75" customHeight="1" x14ac:dyDescent="0.25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1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15.75" customHeight="1" x14ac:dyDescent="0.25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1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15.75" customHeight="1" x14ac:dyDescent="0.25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1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15.75" customHeight="1" x14ac:dyDescent="0.25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1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15.75" customHeight="1" x14ac:dyDescent="0.25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1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15.75" customHeight="1" x14ac:dyDescent="0.25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1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15.75" customHeight="1" x14ac:dyDescent="0.25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1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15.75" customHeight="1" x14ac:dyDescent="0.25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1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15.75" customHeight="1" x14ac:dyDescent="0.2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1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15.75" customHeight="1" x14ac:dyDescent="0.25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1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15.75" customHeight="1" x14ac:dyDescent="0.25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1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15.75" customHeight="1" x14ac:dyDescent="0.25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1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15.75" customHeight="1" x14ac:dyDescent="0.25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1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15.75" customHeight="1" x14ac:dyDescent="0.25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1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15.75" customHeight="1" x14ac:dyDescent="0.25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1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15.75" customHeight="1" x14ac:dyDescent="0.25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1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15.75" customHeight="1" x14ac:dyDescent="0.25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1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15.75" customHeight="1" x14ac:dyDescent="0.25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1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15.75" customHeight="1" x14ac:dyDescent="0.2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1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15.75" customHeight="1" x14ac:dyDescent="0.25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1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15.75" customHeight="1" x14ac:dyDescent="0.25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1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15.75" customHeight="1" x14ac:dyDescent="0.25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1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15.75" customHeight="1" x14ac:dyDescent="0.25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1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15.75" customHeight="1" x14ac:dyDescent="0.25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1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15.75" customHeight="1" x14ac:dyDescent="0.25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1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15.75" customHeight="1" x14ac:dyDescent="0.25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1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15.75" customHeight="1" x14ac:dyDescent="0.25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1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15.75" customHeight="1" x14ac:dyDescent="0.25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1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15.75" customHeight="1" x14ac:dyDescent="0.2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1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15.75" customHeight="1" x14ac:dyDescent="0.25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1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15.75" customHeight="1" x14ac:dyDescent="0.25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1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15.75" customHeight="1" x14ac:dyDescent="0.25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1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15.75" customHeight="1" x14ac:dyDescent="0.25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1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15.75" customHeight="1" x14ac:dyDescent="0.25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1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15.75" customHeight="1" x14ac:dyDescent="0.25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1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15.75" customHeight="1" x14ac:dyDescent="0.25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1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15.75" customHeight="1" x14ac:dyDescent="0.25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1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15.75" customHeight="1" x14ac:dyDescent="0.25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1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15.75" customHeight="1" x14ac:dyDescent="0.2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1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15.75" customHeight="1" x14ac:dyDescent="0.25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1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15.75" customHeight="1" x14ac:dyDescent="0.25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1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15.75" customHeight="1" x14ac:dyDescent="0.25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1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15.75" customHeight="1" x14ac:dyDescent="0.25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1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15.75" customHeight="1" x14ac:dyDescent="0.25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1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15.75" customHeight="1" x14ac:dyDescent="0.25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1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15.75" customHeight="1" x14ac:dyDescent="0.25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1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15.75" customHeight="1" x14ac:dyDescent="0.25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1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15.75" customHeight="1" x14ac:dyDescent="0.25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1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15.75" customHeight="1" x14ac:dyDescent="0.2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1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15.75" customHeight="1" x14ac:dyDescent="0.25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1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15.75" customHeight="1" x14ac:dyDescent="0.25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1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15.75" customHeight="1" x14ac:dyDescent="0.25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1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15.75" customHeight="1" x14ac:dyDescent="0.25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1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15.75" customHeight="1" x14ac:dyDescent="0.25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1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15.75" customHeight="1" x14ac:dyDescent="0.25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1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15.75" customHeight="1" x14ac:dyDescent="0.25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1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15.75" customHeight="1" x14ac:dyDescent="0.25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1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15.75" customHeight="1" x14ac:dyDescent="0.25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1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15.75" customHeight="1" x14ac:dyDescent="0.2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1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15.75" customHeight="1" x14ac:dyDescent="0.25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1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15.75" customHeight="1" x14ac:dyDescent="0.25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1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15.75" customHeight="1" x14ac:dyDescent="0.25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1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15.75" customHeight="1" x14ac:dyDescent="0.25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1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15.75" customHeight="1" x14ac:dyDescent="0.25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1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15.75" customHeight="1" x14ac:dyDescent="0.25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1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15.75" customHeight="1" x14ac:dyDescent="0.25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1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15.75" customHeight="1" x14ac:dyDescent="0.25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1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15.75" customHeight="1" x14ac:dyDescent="0.25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1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15.75" customHeight="1" x14ac:dyDescent="0.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1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15.75" customHeight="1" x14ac:dyDescent="0.25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1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15.75" customHeight="1" x14ac:dyDescent="0.25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1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15.75" customHeight="1" x14ac:dyDescent="0.25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1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15.75" customHeight="1" x14ac:dyDescent="0.25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1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15.75" customHeight="1" x14ac:dyDescent="0.25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1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15.75" customHeight="1" x14ac:dyDescent="0.25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1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15.75" customHeight="1" x14ac:dyDescent="0.25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1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15.75" customHeight="1" x14ac:dyDescent="0.25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1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15.75" customHeight="1" x14ac:dyDescent="0.25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1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15.75" customHeight="1" x14ac:dyDescent="0.2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1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15.75" customHeight="1" x14ac:dyDescent="0.25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1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15.75" customHeight="1" x14ac:dyDescent="0.25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1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15.75" customHeight="1" x14ac:dyDescent="0.25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1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15.75" customHeight="1" x14ac:dyDescent="0.25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1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15.75" customHeight="1" x14ac:dyDescent="0.25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1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15.75" customHeight="1" x14ac:dyDescent="0.25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1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15.75" customHeight="1" x14ac:dyDescent="0.25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1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15.75" customHeight="1" x14ac:dyDescent="0.25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1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15.75" customHeight="1" x14ac:dyDescent="0.25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1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15.75" customHeight="1" x14ac:dyDescent="0.2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1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15.75" customHeight="1" x14ac:dyDescent="0.25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1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15.75" customHeight="1" x14ac:dyDescent="0.25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1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15.75" customHeight="1" x14ac:dyDescent="0.25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1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15.75" customHeight="1" x14ac:dyDescent="0.25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1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15.75" customHeight="1" x14ac:dyDescent="0.25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1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15.75" customHeight="1" x14ac:dyDescent="0.25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1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15.75" customHeight="1" x14ac:dyDescent="0.25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1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15.75" customHeight="1" x14ac:dyDescent="0.25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1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15.75" customHeight="1" x14ac:dyDescent="0.25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1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15.75" customHeight="1" x14ac:dyDescent="0.2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1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15.75" customHeight="1" x14ac:dyDescent="0.25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1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15.75" customHeight="1" x14ac:dyDescent="0.25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1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15.75" customHeight="1" x14ac:dyDescent="0.25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1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15.75" customHeight="1" x14ac:dyDescent="0.25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1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15.75" customHeight="1" x14ac:dyDescent="0.25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1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15.75" customHeight="1" x14ac:dyDescent="0.25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1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15.75" customHeight="1" x14ac:dyDescent="0.25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1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15.75" customHeight="1" x14ac:dyDescent="0.25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1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15.75" customHeight="1" x14ac:dyDescent="0.25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1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15.75" customHeight="1" x14ac:dyDescent="0.2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1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15.75" customHeight="1" x14ac:dyDescent="0.25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1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15.75" customHeight="1" x14ac:dyDescent="0.25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1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15.75" customHeight="1" x14ac:dyDescent="0.25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1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15.75" customHeight="1" x14ac:dyDescent="0.25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1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15.75" customHeight="1" x14ac:dyDescent="0.25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1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15.75" customHeight="1" x14ac:dyDescent="0.25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1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15.75" customHeight="1" x14ac:dyDescent="0.25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1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15.75" customHeight="1" x14ac:dyDescent="0.25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1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15.75" customHeight="1" x14ac:dyDescent="0.25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1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15.75" customHeight="1" x14ac:dyDescent="0.2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1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15.75" customHeight="1" x14ac:dyDescent="0.25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1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15.75" customHeight="1" x14ac:dyDescent="0.25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1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15.75" customHeight="1" x14ac:dyDescent="0.25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1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15.75" customHeight="1" x14ac:dyDescent="0.25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1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15.75" customHeight="1" x14ac:dyDescent="0.25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1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15.75" customHeight="1" x14ac:dyDescent="0.25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1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15.75" customHeight="1" x14ac:dyDescent="0.25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1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15.75" customHeight="1" x14ac:dyDescent="0.25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1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15.75" customHeight="1" x14ac:dyDescent="0.25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1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15.75" customHeight="1" x14ac:dyDescent="0.2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1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15.75" customHeight="1" x14ac:dyDescent="0.25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1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15.75" customHeight="1" x14ac:dyDescent="0.25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1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15.75" customHeight="1" x14ac:dyDescent="0.25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1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15.75" customHeight="1" x14ac:dyDescent="0.25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1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15.75" customHeight="1" x14ac:dyDescent="0.25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1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15.75" customHeight="1" x14ac:dyDescent="0.25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1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15.75" customHeight="1" x14ac:dyDescent="0.25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1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15.75" customHeight="1" x14ac:dyDescent="0.25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1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15.75" customHeight="1" x14ac:dyDescent="0.25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1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15.75" customHeight="1" x14ac:dyDescent="0.2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1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15.75" customHeight="1" x14ac:dyDescent="0.25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1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15.75" customHeight="1" x14ac:dyDescent="0.25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1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15.75" customHeight="1" x14ac:dyDescent="0.25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1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15.75" customHeight="1" x14ac:dyDescent="0.25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1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15.75" customHeight="1" x14ac:dyDescent="0.25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1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15.75" customHeight="1" x14ac:dyDescent="0.25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1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15.75" customHeight="1" x14ac:dyDescent="0.25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1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15.75" customHeight="1" x14ac:dyDescent="0.25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1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15.75" customHeight="1" x14ac:dyDescent="0.25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1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15.75" customHeight="1" x14ac:dyDescent="0.2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1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15.75" customHeight="1" x14ac:dyDescent="0.25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1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15.75" customHeight="1" x14ac:dyDescent="0.25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1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15.75" customHeight="1" x14ac:dyDescent="0.25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1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15.75" customHeight="1" x14ac:dyDescent="0.25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1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15.75" customHeight="1" x14ac:dyDescent="0.25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1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15.75" customHeight="1" x14ac:dyDescent="0.25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1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15.75" customHeight="1" x14ac:dyDescent="0.25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1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15.75" customHeight="1" x14ac:dyDescent="0.25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1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15.75" customHeight="1" x14ac:dyDescent="0.25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1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15.75" customHeight="1" x14ac:dyDescent="0.2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1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15.75" customHeight="1" x14ac:dyDescent="0.25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1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15.75" customHeight="1" x14ac:dyDescent="0.25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1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15.75" customHeight="1" x14ac:dyDescent="0.25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1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15.75" customHeight="1" x14ac:dyDescent="0.25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1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15.75" customHeight="1" x14ac:dyDescent="0.25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1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15.75" customHeight="1" x14ac:dyDescent="0.25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1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15.75" customHeight="1" x14ac:dyDescent="0.25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1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15.75" customHeight="1" x14ac:dyDescent="0.25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1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15.75" customHeight="1" x14ac:dyDescent="0.25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1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15.75" customHeight="1" x14ac:dyDescent="0.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1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15.75" customHeight="1" x14ac:dyDescent="0.25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1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15.75" customHeight="1" x14ac:dyDescent="0.25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1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15.75" customHeight="1" x14ac:dyDescent="0.25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1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15.75" customHeight="1" x14ac:dyDescent="0.25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1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15.75" customHeight="1" x14ac:dyDescent="0.25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1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15.75" customHeight="1" x14ac:dyDescent="0.25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1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15.75" customHeight="1" x14ac:dyDescent="0.25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1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15.75" customHeight="1" x14ac:dyDescent="0.25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1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15.75" customHeight="1" x14ac:dyDescent="0.25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1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15.75" customHeight="1" x14ac:dyDescent="0.2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1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15.75" customHeight="1" x14ac:dyDescent="0.25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1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15.75" customHeight="1" x14ac:dyDescent="0.25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1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15.75" customHeight="1" x14ac:dyDescent="0.25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1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15.75" customHeight="1" x14ac:dyDescent="0.25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1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15.75" customHeight="1" x14ac:dyDescent="0.25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1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15.75" customHeight="1" x14ac:dyDescent="0.25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1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15.75" customHeight="1" x14ac:dyDescent="0.25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1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15.75" customHeight="1" x14ac:dyDescent="0.25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1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15.75" customHeight="1" x14ac:dyDescent="0.25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1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15.75" customHeight="1" x14ac:dyDescent="0.2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1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15.75" customHeight="1" x14ac:dyDescent="0.25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1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15.75" customHeight="1" x14ac:dyDescent="0.25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1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15.75" customHeight="1" x14ac:dyDescent="0.25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1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15.75" customHeight="1" x14ac:dyDescent="0.25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1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15.75" customHeight="1" x14ac:dyDescent="0.25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1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15.75" customHeight="1" x14ac:dyDescent="0.25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1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15.75" customHeight="1" x14ac:dyDescent="0.25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1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15.75" customHeight="1" x14ac:dyDescent="0.25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1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15.75" customHeight="1" x14ac:dyDescent="0.25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1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15.75" customHeight="1" x14ac:dyDescent="0.2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1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15.75" customHeight="1" x14ac:dyDescent="0.25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1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15.75" customHeight="1" x14ac:dyDescent="0.25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1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15.75" customHeight="1" x14ac:dyDescent="0.25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1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15.75" customHeight="1" x14ac:dyDescent="0.25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1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5.75" customHeight="1" x14ac:dyDescent="0.25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1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5.75" customHeight="1" x14ac:dyDescent="0.25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1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5.75" customHeight="1" x14ac:dyDescent="0.25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1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5.75" customHeight="1" x14ac:dyDescent="0.25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1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5.75" customHeight="1" x14ac:dyDescent="0.25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1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5.75" customHeight="1" x14ac:dyDescent="0.2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1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5.75" customHeight="1" x14ac:dyDescent="0.25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1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5.75" customHeight="1" x14ac:dyDescent="0.25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1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15.75" customHeight="1" x14ac:dyDescent="0.25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1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5.75" customHeight="1" x14ac:dyDescent="0.25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1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5.75" customHeight="1" x14ac:dyDescent="0.25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1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5.75" customHeight="1" x14ac:dyDescent="0.25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1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5.75" customHeight="1" x14ac:dyDescent="0.25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1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5.75" customHeight="1" x14ac:dyDescent="0.25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1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5.75" customHeight="1" x14ac:dyDescent="0.25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1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5.75" customHeight="1" x14ac:dyDescent="0.2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1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5.75" customHeight="1" x14ac:dyDescent="0.25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1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5.75" customHeight="1" x14ac:dyDescent="0.25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1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5.75" customHeight="1" x14ac:dyDescent="0.25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1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5.75" customHeight="1" x14ac:dyDescent="0.25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1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15.75" customHeight="1" x14ac:dyDescent="0.25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1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5.75" customHeight="1" x14ac:dyDescent="0.25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1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5.75" customHeight="1" x14ac:dyDescent="0.25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1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5.75" customHeight="1" x14ac:dyDescent="0.25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1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5.75" customHeight="1" x14ac:dyDescent="0.25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1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5.75" customHeight="1" x14ac:dyDescent="0.2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1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5.75" customHeight="1" x14ac:dyDescent="0.25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1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5.75" customHeight="1" x14ac:dyDescent="0.25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1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5.75" customHeight="1" x14ac:dyDescent="0.25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1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5.75" customHeight="1" x14ac:dyDescent="0.25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1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5.75" customHeight="1" x14ac:dyDescent="0.25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1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5.75" customHeight="1" x14ac:dyDescent="0.25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1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5.75" customHeight="1" x14ac:dyDescent="0.25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1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5.75" customHeight="1" x14ac:dyDescent="0.25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1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5.75" customHeight="1" x14ac:dyDescent="0.25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1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5.75" customHeight="1" x14ac:dyDescent="0.2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1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5.75" customHeight="1" x14ac:dyDescent="0.25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1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5.75" customHeight="1" x14ac:dyDescent="0.25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1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5.75" customHeight="1" x14ac:dyDescent="0.25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1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5.75" customHeight="1" x14ac:dyDescent="0.25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1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5.75" customHeight="1" x14ac:dyDescent="0.25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1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5.75" customHeight="1" x14ac:dyDescent="0.25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1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5.75" customHeight="1" x14ac:dyDescent="0.25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1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5.75" customHeight="1" x14ac:dyDescent="0.25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1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5.75" customHeight="1" x14ac:dyDescent="0.25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1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5.75" customHeight="1" x14ac:dyDescent="0.2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1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5.75" customHeight="1" x14ac:dyDescent="0.25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1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5.75" customHeight="1" x14ac:dyDescent="0.25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1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5.75" customHeight="1" x14ac:dyDescent="0.25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1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5.75" customHeight="1" x14ac:dyDescent="0.25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1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5.75" customHeight="1" x14ac:dyDescent="0.25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1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5.75" customHeight="1" x14ac:dyDescent="0.25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1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5.75" customHeight="1" x14ac:dyDescent="0.25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1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5.75" customHeight="1" x14ac:dyDescent="0.25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1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5.75" customHeight="1" x14ac:dyDescent="0.25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1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5.75" customHeight="1" x14ac:dyDescent="0.2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1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5.75" customHeight="1" x14ac:dyDescent="0.25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1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5.75" customHeight="1" x14ac:dyDescent="0.25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1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5.75" customHeight="1" x14ac:dyDescent="0.25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1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5.75" customHeight="1" x14ac:dyDescent="0.25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1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5.75" customHeight="1" x14ac:dyDescent="0.25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1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5.75" customHeight="1" x14ac:dyDescent="0.25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1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5.75" customHeight="1" x14ac:dyDescent="0.25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1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5.75" customHeight="1" x14ac:dyDescent="0.25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1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5.75" customHeight="1" x14ac:dyDescent="0.25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1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5.75" customHeight="1" x14ac:dyDescent="0.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1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5.75" customHeight="1" x14ac:dyDescent="0.25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1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5.75" customHeight="1" x14ac:dyDescent="0.25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1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5.75" customHeight="1" x14ac:dyDescent="0.25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1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5.75" customHeight="1" x14ac:dyDescent="0.25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1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5.75" customHeight="1" x14ac:dyDescent="0.25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1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5.75" customHeight="1" x14ac:dyDescent="0.25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1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5.75" customHeight="1" x14ac:dyDescent="0.25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1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5.75" customHeight="1" x14ac:dyDescent="0.25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1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5.75" customHeight="1" x14ac:dyDescent="0.25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1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5.75" customHeight="1" x14ac:dyDescent="0.2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1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5.75" customHeight="1" x14ac:dyDescent="0.25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1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5.75" customHeight="1" x14ac:dyDescent="0.25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1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5.75" customHeight="1" x14ac:dyDescent="0.25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1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5.75" customHeight="1" x14ac:dyDescent="0.25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1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5.75" customHeight="1" x14ac:dyDescent="0.25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1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5.75" customHeight="1" x14ac:dyDescent="0.25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1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5.75" customHeight="1" x14ac:dyDescent="0.25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1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5.75" customHeight="1" x14ac:dyDescent="0.25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1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5.75" customHeight="1" x14ac:dyDescent="0.25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1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5.75" customHeight="1" x14ac:dyDescent="0.2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1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5.75" customHeight="1" x14ac:dyDescent="0.25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1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5.75" customHeight="1" x14ac:dyDescent="0.25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1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5.75" customHeight="1" x14ac:dyDescent="0.25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1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5.75" customHeight="1" x14ac:dyDescent="0.25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1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5.75" customHeight="1" x14ac:dyDescent="0.25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1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5.75" customHeight="1" x14ac:dyDescent="0.25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1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5.75" customHeight="1" x14ac:dyDescent="0.25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1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5.75" customHeight="1" x14ac:dyDescent="0.25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1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5.75" customHeight="1" x14ac:dyDescent="0.25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1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5.75" customHeight="1" x14ac:dyDescent="0.2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1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5.75" customHeight="1" x14ac:dyDescent="0.25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1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5.75" customHeight="1" x14ac:dyDescent="0.25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1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5.75" customHeight="1" x14ac:dyDescent="0.25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1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5.75" customHeight="1" x14ac:dyDescent="0.25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1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5.75" customHeight="1" x14ac:dyDescent="0.25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1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5.75" customHeight="1" x14ac:dyDescent="0.25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1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5.75" customHeight="1" x14ac:dyDescent="0.25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1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5.75" customHeight="1" x14ac:dyDescent="0.25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1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5.75" customHeight="1" x14ac:dyDescent="0.25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1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5.75" customHeight="1" x14ac:dyDescent="0.2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1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5.75" customHeight="1" x14ac:dyDescent="0.25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1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5.75" customHeight="1" x14ac:dyDescent="0.25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1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5.75" customHeight="1" x14ac:dyDescent="0.25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1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5.75" customHeight="1" x14ac:dyDescent="0.25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1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5.75" customHeight="1" x14ac:dyDescent="0.25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1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5.75" customHeight="1" x14ac:dyDescent="0.25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1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5.75" customHeight="1" x14ac:dyDescent="0.25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1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5.75" customHeight="1" x14ac:dyDescent="0.25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1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5.75" customHeight="1" x14ac:dyDescent="0.25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1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5.75" customHeight="1" x14ac:dyDescent="0.2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1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5.75" customHeight="1" x14ac:dyDescent="0.25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1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5.75" customHeight="1" x14ac:dyDescent="0.25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1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5.75" customHeight="1" x14ac:dyDescent="0.25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1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5.75" customHeight="1" x14ac:dyDescent="0.25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1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5.75" customHeight="1" x14ac:dyDescent="0.25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1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5.75" customHeight="1" x14ac:dyDescent="0.25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1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5.75" customHeight="1" x14ac:dyDescent="0.25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1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5.75" customHeight="1" x14ac:dyDescent="0.25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1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5.75" customHeight="1" x14ac:dyDescent="0.25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1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5.75" customHeight="1" x14ac:dyDescent="0.2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1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5.75" customHeight="1" x14ac:dyDescent="0.25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1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5.75" customHeight="1" x14ac:dyDescent="0.25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1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5.75" customHeight="1" x14ac:dyDescent="0.25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1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5.75" customHeight="1" x14ac:dyDescent="0.25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1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5.75" customHeight="1" x14ac:dyDescent="0.25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1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5.75" customHeight="1" x14ac:dyDescent="0.25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1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5.75" customHeight="1" x14ac:dyDescent="0.25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1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5.75" customHeight="1" x14ac:dyDescent="0.25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1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5.75" customHeight="1" x14ac:dyDescent="0.25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1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5.75" customHeight="1" x14ac:dyDescent="0.2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1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5.75" customHeight="1" x14ac:dyDescent="0.25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1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5.75" customHeight="1" x14ac:dyDescent="0.25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1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5.75" customHeight="1" x14ac:dyDescent="0.25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1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5.75" customHeight="1" x14ac:dyDescent="0.25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1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5.75" customHeight="1" x14ac:dyDescent="0.25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1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5.75" customHeight="1" x14ac:dyDescent="0.25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1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5.75" customHeight="1" x14ac:dyDescent="0.25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1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5.75" customHeight="1" x14ac:dyDescent="0.25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1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5.75" customHeight="1" x14ac:dyDescent="0.25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1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5.75" customHeight="1" x14ac:dyDescent="0.2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1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5.75" customHeight="1" x14ac:dyDescent="0.25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1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5.75" customHeight="1" x14ac:dyDescent="0.25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1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5.75" customHeight="1" x14ac:dyDescent="0.25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1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5.75" customHeight="1" x14ac:dyDescent="0.25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1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5.75" customHeight="1" x14ac:dyDescent="0.25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1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5.75" customHeight="1" x14ac:dyDescent="0.25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1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5.75" customHeight="1" x14ac:dyDescent="0.25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1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5.75" customHeight="1" x14ac:dyDescent="0.25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1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5.75" customHeight="1" x14ac:dyDescent="0.25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1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5.75" customHeight="1" x14ac:dyDescent="0.2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1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5.75" customHeight="1" x14ac:dyDescent="0.25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1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5.75" customHeight="1" x14ac:dyDescent="0.25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1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5.75" customHeight="1" x14ac:dyDescent="0.25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1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5.75" customHeight="1" x14ac:dyDescent="0.25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1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5.75" customHeight="1" x14ac:dyDescent="0.25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1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5.75" customHeight="1" x14ac:dyDescent="0.25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1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5.75" customHeight="1" x14ac:dyDescent="0.25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1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15.75" customHeight="1" x14ac:dyDescent="0.25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1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15.75" customHeight="1" x14ac:dyDescent="0.25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1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5.75" customHeight="1" x14ac:dyDescent="0.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1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5.75" customHeight="1" x14ac:dyDescent="0.25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1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15.75" customHeight="1" x14ac:dyDescent="0.25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1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15.75" customHeight="1" x14ac:dyDescent="0.25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1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15.75" customHeight="1" x14ac:dyDescent="0.25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1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15.75" customHeight="1" x14ac:dyDescent="0.25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1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15.75" customHeight="1" x14ac:dyDescent="0.25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1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15.75" customHeight="1" x14ac:dyDescent="0.25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1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15.75" customHeight="1" x14ac:dyDescent="0.25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1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15.75" customHeight="1" x14ac:dyDescent="0.25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1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15.75" customHeight="1" x14ac:dyDescent="0.2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1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15.75" customHeight="1" x14ac:dyDescent="0.25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1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15.75" customHeight="1" x14ac:dyDescent="0.25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1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15.75" customHeight="1" x14ac:dyDescent="0.25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1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15.75" customHeight="1" x14ac:dyDescent="0.25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1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15.75" customHeight="1" x14ac:dyDescent="0.25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1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15.75" customHeight="1" x14ac:dyDescent="0.25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1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15.75" customHeight="1" x14ac:dyDescent="0.25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1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15.75" customHeight="1" x14ac:dyDescent="0.25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1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15.75" customHeight="1" x14ac:dyDescent="0.25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1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15.75" customHeight="1" x14ac:dyDescent="0.2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1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15.75" customHeight="1" x14ac:dyDescent="0.25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1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15.75" customHeight="1" x14ac:dyDescent="0.25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1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15.75" customHeight="1" x14ac:dyDescent="0.25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1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15.75" customHeight="1" x14ac:dyDescent="0.25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1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15.75" customHeight="1" x14ac:dyDescent="0.25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1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15.75" customHeight="1" x14ac:dyDescent="0.25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1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15.75" customHeight="1" x14ac:dyDescent="0.25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1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15.75" customHeight="1" x14ac:dyDescent="0.25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1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15.75" customHeight="1" x14ac:dyDescent="0.25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1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15.75" customHeight="1" x14ac:dyDescent="0.2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1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15.75" customHeight="1" x14ac:dyDescent="0.25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1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15.75" customHeight="1" x14ac:dyDescent="0.25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1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15.75" customHeight="1" x14ac:dyDescent="0.25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1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15.75" customHeight="1" x14ac:dyDescent="0.25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1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15.75" customHeight="1" x14ac:dyDescent="0.25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1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15.75" customHeight="1" x14ac:dyDescent="0.25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1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15.75" customHeight="1" x14ac:dyDescent="0.25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1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15.75" customHeight="1" x14ac:dyDescent="0.25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1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15.75" customHeight="1" x14ac:dyDescent="0.25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1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15.75" customHeight="1" x14ac:dyDescent="0.2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1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15.75" customHeight="1" x14ac:dyDescent="0.25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1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15.75" customHeight="1" x14ac:dyDescent="0.25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1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15.75" customHeight="1" x14ac:dyDescent="0.25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1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15.75" customHeight="1" x14ac:dyDescent="0.25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1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15.75" customHeight="1" x14ac:dyDescent="0.25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1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15.75" customHeight="1" x14ac:dyDescent="0.25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1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15.75" customHeight="1" x14ac:dyDescent="0.25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1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15.75" customHeight="1" x14ac:dyDescent="0.25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1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15.75" customHeight="1" x14ac:dyDescent="0.25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1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15.75" customHeight="1" x14ac:dyDescent="0.2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1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15.75" customHeight="1" x14ac:dyDescent="0.25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1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15.75" customHeight="1" x14ac:dyDescent="0.25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1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15.75" customHeight="1" x14ac:dyDescent="0.25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1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15.75" customHeight="1" x14ac:dyDescent="0.25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1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15.75" customHeight="1" x14ac:dyDescent="0.25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1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15.75" customHeight="1" x14ac:dyDescent="0.25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1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15.75" customHeight="1" x14ac:dyDescent="0.25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1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15.75" customHeight="1" x14ac:dyDescent="0.25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1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15.75" customHeight="1" x14ac:dyDescent="0.25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1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15.75" customHeight="1" x14ac:dyDescent="0.2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1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15.75" customHeight="1" x14ac:dyDescent="0.25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1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15.75" customHeight="1" x14ac:dyDescent="0.25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1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15.75" customHeight="1" x14ac:dyDescent="0.25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1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15.75" customHeight="1" x14ac:dyDescent="0.25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1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15.75" customHeight="1" x14ac:dyDescent="0.25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1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15.75" customHeight="1" x14ac:dyDescent="0.25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1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15.75" customHeight="1" x14ac:dyDescent="0.25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1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15.75" customHeight="1" x14ac:dyDescent="0.25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1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15.75" customHeight="1" x14ac:dyDescent="0.25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1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15.75" customHeight="1" x14ac:dyDescent="0.2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1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15.75" customHeight="1" x14ac:dyDescent="0.25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1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15.75" customHeight="1" x14ac:dyDescent="0.25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1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15.75" customHeight="1" x14ac:dyDescent="0.25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1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15.75" customHeight="1" x14ac:dyDescent="0.25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1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15.75" customHeight="1" x14ac:dyDescent="0.25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1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15.75" customHeight="1" x14ac:dyDescent="0.25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1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15.75" customHeight="1" x14ac:dyDescent="0.25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1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15.75" customHeight="1" x14ac:dyDescent="0.25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1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15.75" customHeight="1" x14ac:dyDescent="0.25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1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15.75" customHeight="1" x14ac:dyDescent="0.2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1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15.75" customHeight="1" x14ac:dyDescent="0.25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1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15.75" customHeight="1" x14ac:dyDescent="0.25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1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15.75" customHeight="1" x14ac:dyDescent="0.25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1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15.75" customHeight="1" x14ac:dyDescent="0.25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1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15.75" customHeight="1" x14ac:dyDescent="0.25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1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15.75" customHeight="1" x14ac:dyDescent="0.25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1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15.75" customHeight="1" x14ac:dyDescent="0.25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1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15.75" customHeight="1" x14ac:dyDescent="0.25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1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15.75" customHeight="1" x14ac:dyDescent="0.25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1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15.75" customHeight="1" x14ac:dyDescent="0.2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1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15.75" customHeight="1" x14ac:dyDescent="0.25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1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15.75" customHeight="1" x14ac:dyDescent="0.25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1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15.75" customHeight="1" x14ac:dyDescent="0.25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1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15.75" customHeight="1" x14ac:dyDescent="0.25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1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15.75" customHeight="1" x14ac:dyDescent="0.25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1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15.75" customHeight="1" x14ac:dyDescent="0.25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1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15.75" customHeight="1" x14ac:dyDescent="0.25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1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15.75" customHeight="1" x14ac:dyDescent="0.25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1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15.75" customHeight="1" x14ac:dyDescent="0.25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1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15.75" customHeight="1" x14ac:dyDescent="0.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1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15.75" customHeight="1" x14ac:dyDescent="0.25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1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15.75" customHeight="1" x14ac:dyDescent="0.25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1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15.75" customHeight="1" x14ac:dyDescent="0.25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1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15.75" customHeight="1" x14ac:dyDescent="0.25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1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15.75" customHeight="1" x14ac:dyDescent="0.25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1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15.75" customHeight="1" x14ac:dyDescent="0.25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1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15.75" customHeight="1" x14ac:dyDescent="0.25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1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15.75" customHeight="1" x14ac:dyDescent="0.25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1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15.75" customHeight="1" x14ac:dyDescent="0.25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1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15.75" customHeight="1" x14ac:dyDescent="0.2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1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15.75" customHeight="1" x14ac:dyDescent="0.25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1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15.75" customHeight="1" x14ac:dyDescent="0.25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1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15.75" customHeight="1" x14ac:dyDescent="0.25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1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15.75" customHeight="1" x14ac:dyDescent="0.25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1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15.75" customHeight="1" x14ac:dyDescent="0.25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1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15.75" customHeight="1" x14ac:dyDescent="0.25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1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15.75" customHeight="1" x14ac:dyDescent="0.25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1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15.75" customHeight="1" x14ac:dyDescent="0.25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1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15.75" customHeight="1" x14ac:dyDescent="0.25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1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15.75" customHeight="1" x14ac:dyDescent="0.2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1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15.75" customHeight="1" x14ac:dyDescent="0.25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1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15.75" customHeight="1" x14ac:dyDescent="0.25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1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15.75" customHeight="1" x14ac:dyDescent="0.25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1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15.75" customHeight="1" x14ac:dyDescent="0.25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1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15.75" customHeight="1" x14ac:dyDescent="0.25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1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15.75" customHeight="1" x14ac:dyDescent="0.25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1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15.75" customHeight="1" x14ac:dyDescent="0.25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1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15.75" customHeight="1" x14ac:dyDescent="0.25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1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15.75" customHeight="1" x14ac:dyDescent="0.25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1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15.75" customHeight="1" x14ac:dyDescent="0.2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1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15.75" customHeight="1" x14ac:dyDescent="0.25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1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15.75" customHeight="1" x14ac:dyDescent="0.25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1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15.75" customHeight="1" x14ac:dyDescent="0.25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1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15.75" customHeight="1" x14ac:dyDescent="0.25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1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15.75" customHeight="1" x14ac:dyDescent="0.25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1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15.75" customHeight="1" x14ac:dyDescent="0.25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1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15.75" customHeight="1" x14ac:dyDescent="0.25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1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15.75" customHeight="1" x14ac:dyDescent="0.25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1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15.75" customHeight="1" x14ac:dyDescent="0.25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1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15.75" customHeight="1" x14ac:dyDescent="0.2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1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15.75" customHeight="1" x14ac:dyDescent="0.25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1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15.75" customHeight="1" x14ac:dyDescent="0.25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1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15.75" customHeight="1" x14ac:dyDescent="0.25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1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15.75" customHeight="1" x14ac:dyDescent="0.25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1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15.75" customHeight="1" x14ac:dyDescent="0.25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1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15.75" customHeight="1" x14ac:dyDescent="0.25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1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15.75" customHeight="1" x14ac:dyDescent="0.25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1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15.75" customHeight="1" x14ac:dyDescent="0.25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1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15.75" customHeight="1" x14ac:dyDescent="0.25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1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15.75" customHeight="1" x14ac:dyDescent="0.2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1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15.75" customHeight="1" x14ac:dyDescent="0.25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1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15.75" customHeight="1" x14ac:dyDescent="0.25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1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15.75" customHeight="1" x14ac:dyDescent="0.25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1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15.75" customHeight="1" x14ac:dyDescent="0.25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1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15.75" customHeight="1" x14ac:dyDescent="0.25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1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15.75" customHeight="1" x14ac:dyDescent="0.25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1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15.75" customHeight="1" x14ac:dyDescent="0.25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1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15.75" customHeight="1" x14ac:dyDescent="0.25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1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15.75" customHeight="1" x14ac:dyDescent="0.25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1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15.75" customHeight="1" x14ac:dyDescent="0.2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1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15.75" customHeight="1" x14ac:dyDescent="0.25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1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15.75" customHeight="1" x14ac:dyDescent="0.25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1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15.75" customHeight="1" x14ac:dyDescent="0.25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1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15.75" customHeight="1" x14ac:dyDescent="0.25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1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15.75" customHeight="1" x14ac:dyDescent="0.25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1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15.75" customHeight="1" x14ac:dyDescent="0.25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1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15.75" customHeight="1" x14ac:dyDescent="0.25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1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15.75" customHeight="1" x14ac:dyDescent="0.25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1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15.75" customHeight="1" x14ac:dyDescent="0.25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1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15.75" customHeight="1" x14ac:dyDescent="0.2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1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15.75" customHeight="1" x14ac:dyDescent="0.25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1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15.75" customHeight="1" x14ac:dyDescent="0.25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1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15.75" customHeight="1" x14ac:dyDescent="0.25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1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15.75" customHeight="1" x14ac:dyDescent="0.25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1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15.75" customHeight="1" x14ac:dyDescent="0.25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1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15.75" customHeight="1" x14ac:dyDescent="0.25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1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15.75" customHeight="1" x14ac:dyDescent="0.25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1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15.75" customHeight="1" x14ac:dyDescent="0.25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1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15.75" customHeight="1" x14ac:dyDescent="0.25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1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15.75" customHeight="1" x14ac:dyDescent="0.2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1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15.75" customHeight="1" x14ac:dyDescent="0.25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1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15.75" customHeight="1" x14ac:dyDescent="0.25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1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15.75" customHeight="1" x14ac:dyDescent="0.25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1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15.75" customHeight="1" x14ac:dyDescent="0.25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1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15.75" customHeight="1" x14ac:dyDescent="0.25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1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15.75" customHeight="1" x14ac:dyDescent="0.25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1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15.75" customHeight="1" x14ac:dyDescent="0.25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1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15.75" customHeight="1" x14ac:dyDescent="0.25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1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15.75" customHeight="1" x14ac:dyDescent="0.25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1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15.75" customHeight="1" x14ac:dyDescent="0.2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1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15.75" customHeight="1" x14ac:dyDescent="0.25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1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15.75" customHeight="1" x14ac:dyDescent="0.25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1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15.75" customHeight="1" x14ac:dyDescent="0.25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1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15.75" customHeight="1" x14ac:dyDescent="0.25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1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15.75" customHeight="1" x14ac:dyDescent="0.25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1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15.75" customHeight="1" x14ac:dyDescent="0.25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1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15.75" customHeight="1" x14ac:dyDescent="0.25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1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15.75" customHeight="1" x14ac:dyDescent="0.25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1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15.75" customHeight="1" x14ac:dyDescent="0.25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1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15.75" customHeight="1" x14ac:dyDescent="0.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1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15.75" customHeight="1" x14ac:dyDescent="0.25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1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15.75" customHeight="1" x14ac:dyDescent="0.25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1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15.75" customHeight="1" x14ac:dyDescent="0.25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1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15.75" customHeight="1" x14ac:dyDescent="0.25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1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15.75" customHeight="1" x14ac:dyDescent="0.25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1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15.75" customHeight="1" x14ac:dyDescent="0.25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1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15.75" customHeight="1" x14ac:dyDescent="0.25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1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15.75" customHeight="1" x14ac:dyDescent="0.25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1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15.75" customHeight="1" x14ac:dyDescent="0.25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1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15.75" customHeight="1" x14ac:dyDescent="0.2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1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15.75" customHeight="1" x14ac:dyDescent="0.25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1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15.75" customHeight="1" x14ac:dyDescent="0.25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1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15.75" customHeight="1" x14ac:dyDescent="0.25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1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15.75" customHeight="1" x14ac:dyDescent="0.25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1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15.75" customHeight="1" x14ac:dyDescent="0.25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1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15.75" customHeight="1" x14ac:dyDescent="0.25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1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15.75" customHeight="1" x14ac:dyDescent="0.25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1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15.75" customHeight="1" x14ac:dyDescent="0.25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1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15.75" customHeight="1" x14ac:dyDescent="0.25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1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15.75" customHeight="1" x14ac:dyDescent="0.2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1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15.75" customHeight="1" x14ac:dyDescent="0.25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1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15.75" customHeight="1" x14ac:dyDescent="0.25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1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15.75" customHeight="1" x14ac:dyDescent="0.25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1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15.75" customHeight="1" x14ac:dyDescent="0.25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1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15.75" customHeight="1" x14ac:dyDescent="0.25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1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15.75" customHeight="1" x14ac:dyDescent="0.25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1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15.75" customHeight="1" x14ac:dyDescent="0.25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1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15.75" customHeight="1" x14ac:dyDescent="0.25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1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15.75" customHeight="1" x14ac:dyDescent="0.25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1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15.75" customHeight="1" x14ac:dyDescent="0.2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1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15.75" customHeight="1" x14ac:dyDescent="0.25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1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15.75" customHeight="1" x14ac:dyDescent="0.25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1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15.75" customHeight="1" x14ac:dyDescent="0.25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1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15.75" customHeight="1" x14ac:dyDescent="0.25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1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15.75" customHeight="1" x14ac:dyDescent="0.25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1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15.75" customHeight="1" x14ac:dyDescent="0.25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1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15.75" customHeight="1" x14ac:dyDescent="0.25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1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15.75" customHeight="1" x14ac:dyDescent="0.25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1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15.75" customHeight="1" x14ac:dyDescent="0.25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1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15.75" customHeight="1" x14ac:dyDescent="0.2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1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15.75" customHeight="1" x14ac:dyDescent="0.25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1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15.75" customHeight="1" x14ac:dyDescent="0.25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1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15.75" customHeight="1" x14ac:dyDescent="0.25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1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15.75" customHeight="1" x14ac:dyDescent="0.25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1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15.75" customHeight="1" x14ac:dyDescent="0.25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1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15.75" customHeight="1" x14ac:dyDescent="0.25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1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15.75" customHeight="1" x14ac:dyDescent="0.25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1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15.75" customHeight="1" x14ac:dyDescent="0.25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1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15.75" customHeight="1" x14ac:dyDescent="0.25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1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15.75" customHeight="1" x14ac:dyDescent="0.2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1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15.75" customHeight="1" x14ac:dyDescent="0.25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1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15.75" customHeight="1" x14ac:dyDescent="0.25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1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15.75" customHeight="1" x14ac:dyDescent="0.25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1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15.75" customHeight="1" x14ac:dyDescent="0.25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1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15.75" customHeight="1" x14ac:dyDescent="0.25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1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15.75" customHeight="1" x14ac:dyDescent="0.25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1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15.75" customHeight="1" x14ac:dyDescent="0.25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1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15.75" customHeight="1" x14ac:dyDescent="0.25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1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15.75" customHeight="1" x14ac:dyDescent="0.25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1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15.75" customHeight="1" x14ac:dyDescent="0.2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1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15.75" customHeight="1" x14ac:dyDescent="0.25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1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15.75" customHeight="1" x14ac:dyDescent="0.25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1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15.75" customHeight="1" x14ac:dyDescent="0.25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1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15.75" customHeight="1" x14ac:dyDescent="0.25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1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15.75" customHeight="1" x14ac:dyDescent="0.25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1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ht="15.75" customHeight="1" x14ac:dyDescent="0.25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1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ht="15.75" customHeight="1" x14ac:dyDescent="0.25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1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 ht="15.75" customHeight="1" x14ac:dyDescent="0.25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1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 ht="15.75" customHeight="1" x14ac:dyDescent="0.25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1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 ht="15.75" customHeight="1" x14ac:dyDescent="0.2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1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</sheetData>
  <autoFilter ref="A1:O273" xr:uid="{00000000-0009-0000-0000-000007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Credit Card Charge</vt:lpstr>
      <vt:lpstr>QBO Transactions</vt:lpstr>
      <vt:lpstr>Card Mapping</vt:lpstr>
      <vt:lpstr>Category Mapping</vt:lpstr>
      <vt:lpstr>COA</vt:lpstr>
      <vt:lpstr>Instructions</vt:lpstr>
      <vt:lpstr>Name Aliases</vt:lpstr>
      <vt:lpstr>Department Listing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Planz</dc:creator>
  <cp:lastModifiedBy>Zayn Moselhy</cp:lastModifiedBy>
  <dcterms:created xsi:type="dcterms:W3CDTF">2024-01-02T16:24:50Z</dcterms:created>
  <dcterms:modified xsi:type="dcterms:W3CDTF">2026-07-31T15:43:14Z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0x0101001A771DAB9B67DA47A41B7313E30F54A4</vt:lpwstr>
  </property>
</Properties>
</file>