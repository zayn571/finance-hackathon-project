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52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44.xml"/>
  <Override ContentType="application/vnd.openxmlformats-officedocument.drawingml.chart+xml" PartName="/xl/charts/chart26.xml"/>
  <Override ContentType="application/vnd.openxmlformats-officedocument.drawingml.chart+xml" PartName="/xl/charts/chart35.xml"/>
  <Override ContentType="application/vnd.openxmlformats-officedocument.drawingml.chart+xml" PartName="/xl/charts/chart61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51.xml"/>
  <Override ContentType="application/vnd.openxmlformats-officedocument.drawingml.chart+xml" PartName="/xl/charts/chart60.xml"/>
  <Override ContentType="application/vnd.openxmlformats-officedocument.drawingml.chart+xml" PartName="/xl/charts/chart16.xml"/>
  <Override ContentType="application/vnd.openxmlformats-officedocument.drawingml.chart+xml" PartName="/xl/charts/chart59.xml"/>
  <Override ContentType="application/vnd.openxmlformats-officedocument.drawingml.chart+xml" PartName="/xl/charts/chart46.xml"/>
  <Override ContentType="application/vnd.openxmlformats-officedocument.drawingml.chart+xml" PartName="/xl/charts/chart29.xml"/>
  <Override ContentType="application/vnd.openxmlformats-officedocument.drawingml.chart+xml" PartName="/xl/charts/chart50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63.xml"/>
  <Override ContentType="application/vnd.openxmlformats-officedocument.drawingml.chart+xml" PartName="/xl/charts/chart28.xml"/>
  <Override ContentType="application/vnd.openxmlformats-officedocument.drawingml.chart+xml" PartName="/xl/charts/chart58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62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65.xml"/>
  <Override ContentType="application/vnd.openxmlformats-officedocument.drawingml.chart+xml" PartName="/xl/charts/chart5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39.xml"/>
  <Override ContentType="application/vnd.openxmlformats-officedocument.drawingml.chart+xml" PartName="/xl/charts/chart48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47.xml"/>
  <Override ContentType="application/vnd.openxmlformats-officedocument.drawingml.chart+xml" PartName="/xl/charts/chart55.xml"/>
  <Override ContentType="application/vnd.openxmlformats-officedocument.drawingml.chart+xml" PartName="/xl/charts/chart56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64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54.xml"/>
  <Override ContentType="application/vnd.openxmlformats-officedocument.drawingml.chart+xml" PartName="/xl/charts/chart37.xml"/>
  <Override ContentType="application/vnd.openxmlformats-officedocument.drawingml.chart+xml" PartName="/xl/charts/chart67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53.xml"/>
  <Override ContentType="application/vnd.openxmlformats-officedocument.drawingml.chart+xml" PartName="/xl/charts/chart10.xml"/>
  <Override ContentType="application/vnd.openxmlformats-officedocument.drawingml.chart+xml" PartName="/xl/charts/chart66.xml"/>
  <Override ContentType="application/vnd.openxmlformats-officedocument.drawingml.chart+xml" PartName="/xl/charts/chart40.xml"/>
  <Override ContentType="application/vnd.openxmlformats-officedocument.drawingml.chart+xml" PartName="/xl/charts/chart49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AP Summary" sheetId="1" r:id="rId5"/>
    <sheet state="visible" name="GAAP Analysis" sheetId="2" r:id="rId6"/>
    <sheet state="visible" name="Sandbox" sheetId="3" r:id="rId7"/>
    <sheet state="visible" name="Copy of GAAP Analysis" sheetId="4" r:id="rId8"/>
    <sheet state="visible" name="Sheet15" sheetId="5" r:id="rId9"/>
    <sheet state="visible" name="Acquisition Forecast" sheetId="6" r:id="rId10"/>
    <sheet state="visible" name="SOTU Chart" sheetId="7" r:id="rId11"/>
    <sheet state="hidden" name="QBO Summary" sheetId="8" r:id="rId12"/>
    <sheet state="hidden" name="QBO Analysis" sheetId="9" r:id="rId13"/>
    <sheet state="hidden" name="P&amp;L 2020-2022" sheetId="10" r:id="rId14"/>
    <sheet state="hidden" name="TTM Dates" sheetId="11" r:id="rId15"/>
    <sheet state="hidden" name="P&amp;L 2023" sheetId="12" r:id="rId16"/>
    <sheet state="hidden" name="06.23 All Hands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This needs to be split between Deposits, FF &amp; T&amp;M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0">
      <text>
        <t xml:space="preserve">This needs to be split between Deposits, FF &amp; T&amp;M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7">
      <text>
        <t xml:space="preserve">This needs to be split between Deposits, FF &amp; T&amp;M</t>
      </text>
    </comment>
    <comment authorId="0" ref="BB10">
      <text>
        <t xml:space="preserve">where is this from? and does it include $20k NISA PCP?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tc={5086032d-bf42-4693-b790-d8bf6c1b3662}</author>
  </authors>
  <commentList>
    <comment authorId="0" xr:uid="{5086032d-bf42-4693-b790-d8bf6c1b3662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does not look right.  Have to reconcile
</t>
      </text>
    </comment>
  </commentList>
</comments>
</file>

<file path=xl/sharedStrings.xml><?xml version="1.0" encoding="utf-8"?>
<sst xmlns="http://schemas.openxmlformats.org/spreadsheetml/2006/main" count="1495" uniqueCount="583">
  <si>
    <t xml:space="preserve"> </t>
  </si>
  <si>
    <t>TTM As Of:</t>
  </si>
  <si>
    <t>1Q25</t>
  </si>
  <si>
    <t>2Q25</t>
  </si>
  <si>
    <t>3Q25</t>
  </si>
  <si>
    <t>4Q25</t>
  </si>
  <si>
    <t>FY25</t>
  </si>
  <si>
    <t>1Q24</t>
  </si>
  <si>
    <t>2Q24</t>
  </si>
  <si>
    <t>3Q24</t>
  </si>
  <si>
    <t>4Q24</t>
  </si>
  <si>
    <t>FY24</t>
  </si>
  <si>
    <t>1Q23</t>
  </si>
  <si>
    <t>2Q23</t>
  </si>
  <si>
    <t>3Q23</t>
  </si>
  <si>
    <t>4Q23</t>
  </si>
  <si>
    <t>FY23</t>
  </si>
  <si>
    <t>1Q26</t>
  </si>
  <si>
    <t>1Q22</t>
  </si>
  <si>
    <t>2Q26</t>
  </si>
  <si>
    <t>2Q22</t>
  </si>
  <si>
    <t>3Q26</t>
  </si>
  <si>
    <t>3Q22</t>
  </si>
  <si>
    <t>4Q22</t>
  </si>
  <si>
    <t>CY26</t>
  </si>
  <si>
    <t>FY22</t>
  </si>
  <si>
    <t>FY21</t>
  </si>
  <si>
    <t>CY25</t>
  </si>
  <si>
    <t>4Q21</t>
  </si>
  <si>
    <t>Actuals</t>
  </si>
  <si>
    <t xml:space="preserve">Bookings </t>
  </si>
  <si>
    <t xml:space="preserve">Monthly Services Revenue </t>
  </si>
  <si>
    <t>Billabe HC</t>
  </si>
  <si>
    <t xml:space="preserve">Revenue @ 90% Utilization </t>
  </si>
  <si>
    <t>Monthly available hours</t>
  </si>
  <si>
    <t xml:space="preserve">Revenue @ 80% Utilization </t>
  </si>
  <si>
    <t>Rate</t>
  </si>
  <si>
    <t xml:space="preserve">Revenue @ 70% Utilization </t>
  </si>
  <si>
    <t xml:space="preserve">Monthly Deposit Revenue </t>
  </si>
  <si>
    <t>Deposit Rate</t>
  </si>
  <si>
    <t xml:space="preserve">Revenue @10mm quarterly bookings </t>
  </si>
  <si>
    <t xml:space="preserve">Revenue @8mm quarterly bookings </t>
  </si>
  <si>
    <t xml:space="preserve">Revenue @6mm quarterly bookings </t>
  </si>
  <si>
    <t xml:space="preserve">TOTAL Revenue </t>
  </si>
  <si>
    <t>$ / HC Math</t>
  </si>
  <si>
    <t>Q1</t>
  </si>
  <si>
    <t>Q2</t>
  </si>
  <si>
    <t>Q3</t>
  </si>
  <si>
    <t>Q4</t>
  </si>
  <si>
    <t>Rev</t>
  </si>
  <si>
    <t>Billable HC</t>
  </si>
  <si>
    <t>$ / Billable HC</t>
  </si>
  <si>
    <t>Total HC</t>
  </si>
  <si>
    <t xml:space="preserve">$ / Total HC </t>
  </si>
  <si>
    <t>Non Billable HC</t>
  </si>
  <si>
    <t>SN Eng Revenue Scenarios</t>
  </si>
  <si>
    <t>YTD Rev (ex deposits)</t>
  </si>
  <si>
    <t>Monthly Hrs Remaining</t>
  </si>
  <si>
    <t xml:space="preserve">Utilization </t>
  </si>
  <si>
    <t>Deposits</t>
  </si>
  <si>
    <t>Real Rate</t>
  </si>
  <si>
    <t>Avg Eng Heads</t>
  </si>
  <si>
    <t>Heads</t>
  </si>
  <si>
    <t>Hours</t>
  </si>
  <si>
    <t>$</t>
  </si>
  <si>
    <t xml:space="preserve">Avg Utilization </t>
  </si>
  <si>
    <t xml:space="preserve">As of </t>
  </si>
  <si>
    <t>TTM EBITDA</t>
  </si>
  <si>
    <t>Bookings</t>
  </si>
  <si>
    <t>Revenue</t>
  </si>
  <si>
    <t>OpEx</t>
  </si>
  <si>
    <t xml:space="preserve">Non-billable personnel </t>
  </si>
  <si>
    <t xml:space="preserve">Year </t>
  </si>
  <si>
    <t>Month</t>
  </si>
  <si>
    <t xml:space="preserve">Week </t>
  </si>
  <si>
    <t>Monthly utilization</t>
  </si>
  <si>
    <t>SN Eng HC</t>
  </si>
  <si>
    <t>Hours / Month</t>
  </si>
  <si>
    <t>Rev at $290/hr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</si>
  <si>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</si>
  <si>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</si>
  <si>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</si>
  <si>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</si>
  <si>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</si>
  <si>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</si>
  <si>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</si>
  <si>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</si>
  <si>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</si>
  <si>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</si>
  <si>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 xml:space="preserve">   DD</t>
  </si>
  <si>
    <t>Nov</t>
  </si>
  <si>
    <t>Dec</t>
  </si>
  <si>
    <t>GAAP Management Reporting</t>
  </si>
  <si>
    <t xml:space="preserve">Q4 - OPERATING GOALS </t>
  </si>
  <si>
    <t>millions</t>
  </si>
  <si>
    <t>Actuals - 4Q22</t>
  </si>
  <si>
    <t>Actuals - 4Q23</t>
  </si>
  <si>
    <t>Target</t>
  </si>
  <si>
    <t>Operating Goals</t>
  </si>
  <si>
    <t>Achievement</t>
  </si>
  <si>
    <t xml:space="preserve">Inputs </t>
  </si>
  <si>
    <t xml:space="preserve">Revenue </t>
  </si>
  <si>
    <t>monthly billable hours per resource</t>
  </si>
  <si>
    <t>TH QoQ</t>
  </si>
  <si>
    <t>Deposit % of revenue</t>
  </si>
  <si>
    <t>FY22Q1</t>
  </si>
  <si>
    <t>FY22Q2</t>
  </si>
  <si>
    <t>FY22Q3</t>
  </si>
  <si>
    <t>FY22Q4</t>
  </si>
  <si>
    <t>FY23Q1</t>
  </si>
  <si>
    <t>FY23Q2</t>
  </si>
  <si>
    <t xml:space="preserve">      from deposits</t>
  </si>
  <si>
    <t>FY23Q4</t>
  </si>
  <si>
    <t>FY24Q1</t>
  </si>
  <si>
    <t>FY24Q2</t>
  </si>
  <si>
    <t>FY24Q3</t>
  </si>
  <si>
    <t>DD Bookings</t>
  </si>
  <si>
    <t>SN Bookings</t>
  </si>
  <si>
    <t xml:space="preserve">Avg deposit amount </t>
  </si>
  <si>
    <t xml:space="preserve">      from billable work</t>
  </si>
  <si>
    <t>DD YoY %</t>
  </si>
  <si>
    <t>SN YoY &amp;</t>
  </si>
  <si>
    <t xml:space="preserve">monthly bookings per AE </t>
  </si>
  <si>
    <t>AE HC</t>
  </si>
  <si>
    <t xml:space="preserve">Bookings / Revenue / EBITDA - Monthly </t>
  </si>
  <si>
    <t xml:space="preserve">  COGS % of Revenue</t>
  </si>
  <si>
    <t xml:space="preserve">  G&amp;A % of Revenue</t>
  </si>
  <si>
    <t>Bookings - FY25 vs. FY24 vs. FY23 vs. FY22</t>
  </si>
  <si>
    <t xml:space="preserve">  Personnel % of Revenue </t>
  </si>
  <si>
    <t xml:space="preserve">  S&amp;M % of Revenue </t>
  </si>
  <si>
    <t xml:space="preserve">  Net Operating Income Margin </t>
  </si>
  <si>
    <t>Period</t>
  </si>
  <si>
    <t>SW Revenue</t>
  </si>
  <si>
    <t>MDD</t>
  </si>
  <si>
    <t>MSOC</t>
  </si>
  <si>
    <t>Managed Services Revenue</t>
  </si>
  <si>
    <t>Managed DD Forecast</t>
  </si>
  <si>
    <t>Managed SOC Forecast</t>
  </si>
  <si>
    <t>Managed Services Forecast</t>
  </si>
  <si>
    <t>MDD Revenue</t>
  </si>
  <si>
    <t>MDD COGS</t>
  </si>
  <si>
    <t>MDD GP</t>
  </si>
  <si>
    <t>MDD GP %</t>
  </si>
  <si>
    <t>MSOC Revenue</t>
  </si>
  <si>
    <t>MSOC COGS</t>
  </si>
  <si>
    <t>MSOC GP</t>
  </si>
  <si>
    <t>MSOC GP %</t>
  </si>
  <si>
    <t>YoY Revenue - FY25 vs. FY24 vs. FY23 vs. FY22</t>
  </si>
  <si>
    <t>YoY Performance by Quarter</t>
  </si>
  <si>
    <t>TTM Bookings, Revenue &amp; EBITDA as of Date</t>
  </si>
  <si>
    <t>Bookings Composition - SN vs DD</t>
  </si>
  <si>
    <t>GP + 15%</t>
  </si>
  <si>
    <t>Revenue &amp; Gross Profit</t>
  </si>
  <si>
    <t>Monthly Expenses</t>
  </si>
  <si>
    <t>Forecast vs. Actuals- Calendar Year 2026</t>
  </si>
  <si>
    <t>Billable vs Non-Billable Headcount</t>
  </si>
  <si>
    <t>Hours billed per head &amp; Padding</t>
  </si>
  <si>
    <r>
      <rPr>
        <rFont val="Google Sans"/>
        <b val="0"/>
        <color rgb="FF1F1F1F"/>
        <sz val="9.0"/>
      </rPr>
      <t xml:space="preserve">   </t>
    </r>
    <r>
      <rPr>
        <rFont val="Arial"/>
        <b val="0"/>
        <i/>
        <color rgb="FF000000"/>
        <sz val="8.0"/>
      </rPr>
      <t>SN</t>
    </r>
  </si>
  <si>
    <t>Real Rate vs. Net Income</t>
  </si>
  <si>
    <r>
      <rPr>
        <rFont val="Google Sans"/>
        <b val="0"/>
        <color rgb="FF1F1F1F"/>
        <sz val="9.0"/>
      </rPr>
      <t xml:space="preserve">   </t>
    </r>
    <r>
      <rPr>
        <rFont val="Arial"/>
        <b val="0"/>
        <i/>
        <color rgb="FF000000"/>
        <sz val="8.0"/>
      </rPr>
      <t>SN</t>
    </r>
  </si>
  <si>
    <t>Project Fireball</t>
  </si>
  <si>
    <t>Financial Model</t>
  </si>
  <si>
    <t>x</t>
  </si>
  <si>
    <t>Confidential</t>
  </si>
  <si>
    <t>QoE</t>
  </si>
  <si>
    <t>Forecast</t>
  </si>
  <si>
    <t>($ in actuals)</t>
  </si>
  <si>
    <t>2022A</t>
  </si>
  <si>
    <t>2023A</t>
  </si>
  <si>
    <t>2024A</t>
  </si>
  <si>
    <t>2025E</t>
  </si>
  <si>
    <t>2026E</t>
  </si>
  <si>
    <t>2027E</t>
  </si>
  <si>
    <t>2028E</t>
  </si>
  <si>
    <t>2029E</t>
  </si>
  <si>
    <t>Services Revenue</t>
  </si>
  <si>
    <t>Total</t>
  </si>
  <si>
    <t>SN</t>
  </si>
  <si>
    <t>DD</t>
  </si>
  <si>
    <t>Software Revenue</t>
  </si>
  <si>
    <t>Revenue Growth (%)</t>
  </si>
  <si>
    <t>Direct Labor</t>
  </si>
  <si>
    <t>Travel - COGS</t>
  </si>
  <si>
    <t>-</t>
  </si>
  <si>
    <t>Contractors - Direct</t>
  </si>
  <si>
    <t>Cost of Goods Sold</t>
  </si>
  <si>
    <t>Total Gross Profit</t>
  </si>
  <si>
    <t>Gross Profit (%)</t>
  </si>
  <si>
    <t>Utilization (%)</t>
  </si>
  <si>
    <t>Payroll &amp; Related</t>
  </si>
  <si>
    <t>Travel - S&amp;M</t>
  </si>
  <si>
    <t>Facilities</t>
  </si>
  <si>
    <t>Office &amp; IT</t>
  </si>
  <si>
    <t xml:space="preserve">  SW</t>
  </si>
  <si>
    <t>Sales &amp; Marketing</t>
  </si>
  <si>
    <t>Professional Fees</t>
  </si>
  <si>
    <t>Insurance</t>
  </si>
  <si>
    <t>Other G&amp;A</t>
  </si>
  <si>
    <t>Operating Expenses</t>
  </si>
  <si>
    <t>Net Other Income/(Expense)</t>
  </si>
  <si>
    <t>Pro Forma Adjusted EBITDA</t>
  </si>
  <si>
    <t>Pro Forma Adjusted EBITDA Margin %</t>
  </si>
  <si>
    <t>Growth Investments - New Sales Initiatives</t>
  </si>
  <si>
    <t>Redundant and Eliminated Employee Roles</t>
  </si>
  <si>
    <t>Event Cost Normalization</t>
  </si>
  <si>
    <t>Total Pro Forma Adjustments to EBITDA</t>
  </si>
  <si>
    <t>$-</t>
  </si>
  <si>
    <t>Adjusted EBITDA</t>
  </si>
  <si>
    <t>Adjusted EBITDA Margin %</t>
  </si>
  <si>
    <t>Shareholder Compensation and Personal Expenses</t>
  </si>
  <si>
    <t>Out-of-Period Items</t>
  </si>
  <si>
    <t>Nonrecurring Items</t>
  </si>
  <si>
    <t>Out-of-Period Revenue Recognition</t>
  </si>
  <si>
    <t>Capitalizable Labor Costs</t>
  </si>
  <si>
    <t>Total Adjustments to EBITDA</t>
  </si>
  <si>
    <t>Reported EBITDA</t>
  </si>
  <si>
    <t>MSP</t>
  </si>
  <si>
    <t>Management Reporting (QuickBooks Numbers)</t>
  </si>
  <si>
    <t>Bookings - FY24 vs. FY23 vs. FY22</t>
  </si>
  <si>
    <t>YoY Revenue - FY24 vs. FY23 vs. FY22</t>
  </si>
  <si>
    <t>Revenue Mix</t>
  </si>
  <si>
    <t>Gross Profit Margin</t>
  </si>
  <si>
    <t>Forecast vs. Actuals</t>
  </si>
  <si>
    <t>RapDev LLC</t>
  </si>
  <si>
    <t>Profit and Loss</t>
  </si>
  <si>
    <t>January 2020 - June 2023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</si>
  <si>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</si>
  <si>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</si>
  <si>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</si>
  <si>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</si>
  <si>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</si>
  <si>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</si>
  <si>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</si>
  <si>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</si>
  <si>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</si>
  <si>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</si>
  <si>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</si>
  <si>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</si>
  <si>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</si>
  <si>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</si>
  <si>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</si>
  <si>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</si>
  <si>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</si>
  <si>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</si>
  <si>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</si>
  <si>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</si>
  <si>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</si>
  <si>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</si>
  <si>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</si>
  <si>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</si>
  <si>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</si>
  <si>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</si>
  <si>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</si>
  <si>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</si>
  <si>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</si>
  <si>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</si>
  <si>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</si>
  <si>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</si>
  <si>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</si>
  <si>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</si>
  <si>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</si>
  <si>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</si>
  <si>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Income</t>
  </si>
  <si>
    <t xml:space="preserve">   Other Miscellaneous Revenue</t>
  </si>
  <si>
    <t xml:space="preserve">      Bank Deposit</t>
  </si>
  <si>
    <t xml:space="preserve">   Total Other Miscellaneous Revenue</t>
  </si>
  <si>
    <t xml:space="preserve">   Services Revenue</t>
  </si>
  <si>
    <t xml:space="preserve">      QuickBooks Payments Sales</t>
  </si>
  <si>
    <t>Data Label</t>
  </si>
  <si>
    <t xml:space="preserve">      Sales</t>
  </si>
  <si>
    <t xml:space="preserve">   Total Services Revenue</t>
  </si>
  <si>
    <t xml:space="preserve">   Software Revenue</t>
  </si>
  <si>
    <t xml:space="preserve">      Datadog Marketplace</t>
  </si>
  <si>
    <t xml:space="preserve">   Total Software Revenue</t>
  </si>
  <si>
    <r>
      <rPr>
        <rFont val="Google Sans"/>
        <b val="0"/>
        <color rgb="FF1F1F1F"/>
        <sz val="9.0"/>
      </rPr>
      <t xml:space="preserve">   </t>
    </r>
    <r>
      <rPr>
        <rFont val="Arial"/>
        <b val="0"/>
        <i/>
        <color rgb="FF000000"/>
        <sz val="8.0"/>
      </rPr>
      <t>SN</t>
    </r>
  </si>
  <si>
    <t>Total Income</t>
  </si>
  <si>
    <t>Gross Profit</t>
  </si>
  <si>
    <t>Expenses</t>
  </si>
  <si>
    <t xml:space="preserve">   General &amp; Administrative</t>
  </si>
  <si>
    <t xml:space="preserve">      Bad Debt Expense</t>
  </si>
  <si>
    <t xml:space="preserve">      Bank Charges &amp; Fees</t>
  </si>
  <si>
    <t xml:space="preserve">      Charitable Contribution</t>
  </si>
  <si>
    <t xml:space="preserve">      Contractors</t>
  </si>
  <si>
    <t xml:space="preserve">      Insurance</t>
  </si>
  <si>
    <t xml:space="preserve">      Interest Paid</t>
  </si>
  <si>
    <t xml:space="preserve">      Job Supplies</t>
  </si>
  <si>
    <t xml:space="preserve">      Legal &amp; Professional Services</t>
  </si>
  <si>
    <t xml:space="preserve">      Office Supplies &amp; Software</t>
  </si>
  <si>
    <t xml:space="preserve">      Other Business Expenses</t>
  </si>
  <si>
    <t xml:space="preserve">      Reimbursable Expenses</t>
  </si>
  <si>
    <t xml:space="preserve">      Rent &amp; Lease</t>
  </si>
  <si>
    <t xml:space="preserve">      Taxes &amp; Licenses</t>
  </si>
  <si>
    <t xml:space="preserve">      Uncategorized Expense</t>
  </si>
  <si>
    <t xml:space="preserve">      Utilities</t>
  </si>
  <si>
    <t xml:space="preserve">   Total General &amp; Administrative</t>
  </si>
  <si>
    <t xml:space="preserve">   Personnel Expenses</t>
  </si>
  <si>
    <t xml:space="preserve">      Payroll</t>
  </si>
  <si>
    <t xml:space="preserve">   Total Personnel Expenses</t>
  </si>
  <si>
    <t xml:space="preserve">   Sales &amp; Marketing</t>
  </si>
  <si>
    <t xml:space="preserve">      Advertising &amp; Marketing</t>
  </si>
  <si>
    <t xml:space="preserve">      Car &amp; Truck</t>
  </si>
  <si>
    <t xml:space="preserve">      Meals &amp; Entertainment</t>
  </si>
  <si>
    <t xml:space="preserve">      Travel</t>
  </si>
  <si>
    <t xml:space="preserve">   Total Sales &amp; Marketing</t>
  </si>
  <si>
    <t>Total Expenses</t>
  </si>
  <si>
    <t xml:space="preserve">      Services</t>
  </si>
  <si>
    <t>Net Operating Income</t>
  </si>
  <si>
    <t>Other Income</t>
  </si>
  <si>
    <t xml:space="preserve">   Other Income</t>
  </si>
  <si>
    <t xml:space="preserve">      Dividends Received</t>
  </si>
  <si>
    <t xml:space="preserve">   Total Other Income</t>
  </si>
  <si>
    <t>Total Other Income</t>
  </si>
  <si>
    <t>Other Expenses</t>
  </si>
  <si>
    <t xml:space="preserve">   Unrealized Gain or Loss</t>
  </si>
  <si>
    <t xml:space="preserve">   Exchange Gain or Loss</t>
  </si>
  <si>
    <t xml:space="preserve">   Other Expenses</t>
  </si>
  <si>
    <t xml:space="preserve">      Other Miscellaneous Expense</t>
  </si>
  <si>
    <t xml:space="preserve">   Total Other Expenses</t>
  </si>
  <si>
    <t>Total Other Expenses</t>
  </si>
  <si>
    <t>Net Other Income</t>
  </si>
  <si>
    <t>Net Income</t>
  </si>
  <si>
    <t>Monday, Jul 17, 2023 01:50:13 PM GMT-7 - Accrual Basis</t>
  </si>
  <si>
    <t xml:space="preserve">      Software</t>
  </si>
  <si>
    <t>Column</t>
  </si>
  <si>
    <t>TTM Month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</si>
  <si>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</si>
  <si>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</si>
  <si>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</si>
  <si>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</si>
  <si>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</si>
  <si>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</si>
  <si>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</si>
  <si>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</si>
  <si>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</si>
  <si>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</si>
  <si>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</si>
  <si>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</si>
  <si>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</si>
  <si>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</si>
  <si>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</si>
  <si>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</si>
  <si>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</si>
  <si>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</si>
  <si>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</si>
  <si>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</si>
  <si>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</si>
  <si>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</si>
  <si>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</si>
  <si>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</si>
  <si>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</si>
  <si>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</si>
  <si>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</si>
  <si>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</si>
  <si>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</si>
  <si>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</si>
  <si>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</si>
  <si>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</si>
  <si>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</si>
  <si>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</si>
  <si>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</si>
  <si>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</si>
  <si>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</si>
  <si>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</si>
  <si>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</si>
  <si>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</si>
  <si>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</si>
  <si>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</si>
  <si>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</si>
  <si>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</si>
  <si>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</si>
  <si>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</si>
  <si>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</si>
  <si>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</si>
  <si>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</si>
  <si>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</si>
  <si>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</si>
  <si>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</si>
  <si>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</si>
  <si>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</si>
  <si>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</si>
  <si>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</si>
  <si>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</si>
  <si>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</si>
  <si>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</si>
  <si>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</si>
  <si>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</si>
  <si>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</si>
  <si>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</si>
  <si>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</si>
  <si>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</si>
  <si>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</si>
  <si>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</si>
  <si>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</si>
  <si>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</si>
  <si>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</si>
  <si>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</si>
  <si>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</si>
  <si>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</si>
  <si>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</si>
  <si>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</si>
  <si>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</si>
  <si>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</si>
  <si>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</si>
  <si>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</si>
  <si>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</si>
  <si>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</si>
  <si>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</si>
  <si>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</si>
  <si>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</si>
  <si>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January - December 2023</t>
  </si>
  <si>
    <t>Fixed Fee</t>
  </si>
  <si>
    <t>Sales</t>
  </si>
  <si>
    <t>Time &amp; Materials</t>
  </si>
  <si>
    <t>Total Services Revenue</t>
  </si>
  <si>
    <t>Datadog Marketplace</t>
  </si>
  <si>
    <t>Total Software Revenue</t>
  </si>
  <si>
    <t>COGS- Personnel Expense</t>
  </si>
  <si>
    <t>401k Match</t>
  </si>
  <si>
    <t>Benefits</t>
  </si>
  <si>
    <t>Bonuses</t>
  </si>
  <si>
    <t>Commissions</t>
  </si>
  <si>
    <t>Payroll Fees</t>
  </si>
  <si>
    <t>Payroll Taxes</t>
  </si>
  <si>
    <t>Salaries &amp; Wages</t>
  </si>
  <si>
    <t>Severance</t>
  </si>
  <si>
    <t>Total COGS- Personnel Expense</t>
  </si>
  <si>
    <t>Total Cost of Goods Sold</t>
  </si>
  <si>
    <t>General &amp; Administrative</t>
  </si>
  <si>
    <t>Bad Debt Expense</t>
  </si>
  <si>
    <t>Bank Charges &amp; Fees</t>
  </si>
  <si>
    <t>Charitable Contribution</t>
  </si>
  <si>
    <t>Contractors</t>
  </si>
  <si>
    <t>Legal &amp; Professional Services</t>
  </si>
  <si>
    <t>Misc. Taxes &amp; Licenses</t>
  </si>
  <si>
    <t>Office Expenses</t>
  </si>
  <si>
    <t>Communication Expense</t>
  </si>
  <si>
    <t>Dues &amp; Subscriptions</t>
  </si>
  <si>
    <t>Office Supplies</t>
  </si>
  <si>
    <t>Rent &amp; Lease</t>
  </si>
  <si>
    <t>Shipping Expense</t>
  </si>
  <si>
    <t>Utilities</t>
  </si>
  <si>
    <t>Total Office Expenses</t>
  </si>
  <si>
    <t>Software Licenses</t>
  </si>
  <si>
    <t>Total General &amp; Administrative</t>
  </si>
  <si>
    <t>Personnel Expenses</t>
  </si>
  <si>
    <t>Payroll Fee</t>
  </si>
  <si>
    <t>Total Personnel Expenses</t>
  </si>
  <si>
    <t>Conferences &amp; Trade Shows</t>
  </si>
  <si>
    <t>Other Marketing Expenses</t>
  </si>
  <si>
    <t>Total Sales &amp; Marketing</t>
  </si>
  <si>
    <t>Travel Expenses</t>
  </si>
  <si>
    <t>Airfare</t>
  </si>
  <si>
    <t>Ground Transportation</t>
  </si>
  <si>
    <t>Lodging</t>
  </si>
  <si>
    <t>Meals &amp; Entertainment</t>
  </si>
  <si>
    <t>Other Travel Expenses</t>
  </si>
  <si>
    <t>Travel</t>
  </si>
  <si>
    <t>Total Travel Expenses</t>
  </si>
  <si>
    <t>Dividends Received</t>
  </si>
  <si>
    <t>Exchange Gain or Loss</t>
  </si>
  <si>
    <t>Income Tax Expense</t>
  </si>
  <si>
    <t>Federal Income Tax</t>
  </si>
  <si>
    <t>State Income Tax</t>
  </si>
  <si>
    <t>Total Income Tax Expense</t>
  </si>
  <si>
    <t>Interest Paid</t>
  </si>
  <si>
    <t xml:space="preserve">      Deposits</t>
  </si>
  <si>
    <t>Managed DD</t>
  </si>
  <si>
    <t xml:space="preserve">      MSP</t>
  </si>
  <si>
    <t>FY20 - Bookings Revenue EBITDA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</si>
  <si>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</si>
  <si>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</si>
  <si>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</si>
  <si>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</si>
  <si>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</si>
  <si>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</si>
  <si>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</si>
  <si>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</si>
  <si>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</si>
  <si>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</si>
  <si>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</si>
  <si>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</si>
  <si>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</si>
  <si>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</si>
  <si>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</si>
  <si>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</si>
  <si>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</si>
  <si>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</si>
  <si>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</si>
  <si>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EBITDA %</t>
  </si>
  <si>
    <t>EBITDA</t>
  </si>
  <si>
    <t>Annual</t>
  </si>
  <si>
    <t>YoY</t>
  </si>
  <si>
    <t>FY2019</t>
  </si>
  <si>
    <t>FY2020</t>
  </si>
  <si>
    <t>FY2021</t>
  </si>
  <si>
    <t>FY2022</t>
  </si>
  <si>
    <t>FY2023</t>
  </si>
  <si>
    <t>FY2024</t>
  </si>
  <si>
    <t>FY2025</t>
  </si>
  <si>
    <t>FY2026</t>
  </si>
  <si>
    <t xml:space="preserve">      Fixed Fee</t>
  </si>
  <si>
    <t>Managed SOC</t>
  </si>
  <si>
    <t xml:space="preserve">   SN</t>
  </si>
  <si>
    <t xml:space="preserve">      T&amp;M</t>
  </si>
  <si>
    <t>Total Services</t>
  </si>
  <si>
    <t>COGS</t>
  </si>
  <si>
    <t xml:space="preserve">      DD</t>
  </si>
  <si>
    <t>Total SW</t>
  </si>
  <si>
    <t xml:space="preserve">      SN</t>
  </si>
  <si>
    <t>Total MSP</t>
  </si>
  <si>
    <t xml:space="preserve">      Operations</t>
  </si>
  <si>
    <t xml:space="preserve">   COGS Payroll</t>
  </si>
  <si>
    <t xml:space="preserve">      DD Services</t>
  </si>
  <si>
    <t xml:space="preserve">      DD Software</t>
  </si>
  <si>
    <t xml:space="preserve">      Managed DD</t>
  </si>
  <si>
    <t xml:space="preserve">      Managed Security</t>
  </si>
  <si>
    <t xml:space="preserve">      SN Services</t>
  </si>
  <si>
    <t xml:space="preserve">      SN Software</t>
  </si>
  <si>
    <t xml:space="preserve">      SN MSP</t>
  </si>
  <si>
    <t xml:space="preserve">   COGS Travel</t>
  </si>
  <si>
    <t xml:space="preserve">     DD </t>
  </si>
  <si>
    <t xml:space="preserve">     SN</t>
  </si>
  <si>
    <t xml:space="preserve">   Marketplace Fees</t>
  </si>
  <si>
    <t xml:space="preserve">   Contractor Fees</t>
  </si>
  <si>
    <t>Gross Margin $</t>
  </si>
  <si>
    <t>Gross Margin %</t>
  </si>
  <si>
    <t>Analysis</t>
  </si>
  <si>
    <t xml:space="preserve">  DD Share of Bookings</t>
  </si>
  <si>
    <t xml:space="preserve">  SN Share of Bookings</t>
  </si>
  <si>
    <t xml:space="preserve">  DD Gross Profit</t>
  </si>
  <si>
    <t xml:space="preserve">  DD Gross Profit % </t>
  </si>
  <si>
    <t xml:space="preserve">  SN Gross Profit</t>
  </si>
  <si>
    <t>Total DD COGS</t>
  </si>
  <si>
    <t xml:space="preserve">  SN Gross Profit %</t>
  </si>
  <si>
    <t>Total SN COGS</t>
  </si>
  <si>
    <t xml:space="preserve">Opex &amp; Net Income </t>
  </si>
  <si>
    <t xml:space="preserve">Project Hours </t>
  </si>
  <si>
    <t xml:space="preserve">  Non-Billable Headcount</t>
  </si>
  <si>
    <t xml:space="preserve">  Billable Headcount </t>
  </si>
  <si>
    <t xml:space="preserve">  Non-Billable %</t>
  </si>
  <si>
    <t xml:space="preserve">  Billable %</t>
  </si>
  <si>
    <t xml:space="preserve">  Hours available</t>
  </si>
  <si>
    <t xml:space="preserve">  Hours worked </t>
  </si>
  <si>
    <t xml:space="preserve">  Utilization </t>
  </si>
  <si>
    <t xml:space="preserve">  Hours billed</t>
  </si>
  <si>
    <t xml:space="preserve">  Hours billed / head</t>
  </si>
  <si>
    <t xml:space="preserve">  Padding %</t>
  </si>
  <si>
    <t>Bill Rate</t>
  </si>
  <si>
    <t xml:space="preserve">  Break-even rate </t>
  </si>
  <si>
    <t xml:space="preserve">  Rate (per hour billed)</t>
  </si>
  <si>
    <t xml:space="preserve">  'Real' rate (per hour worked)</t>
  </si>
  <si>
    <t xml:space="preserve">Sales Efficiency </t>
  </si>
  <si>
    <r>
      <rPr>
        <rFont val="Arial"/>
        <i/>
        <color theme="1"/>
        <sz val="8.0"/>
      </rPr>
      <t xml:space="preserve">      </t>
    </r>
    <r>
      <rPr>
        <rFont val="Arial"/>
        <i/>
        <color theme="1"/>
        <sz val="8.0"/>
      </rPr>
      <t>Personnel</t>
    </r>
  </si>
  <si>
    <r>
      <rPr>
        <rFont val="Arial"/>
        <i/>
        <color rgb="FF000000"/>
        <sz val="8.0"/>
      </rPr>
      <t xml:space="preserve">      </t>
    </r>
    <r>
      <rPr>
        <rFont val="Arial"/>
        <i/>
        <color rgb="FF000000"/>
        <sz val="8.0"/>
      </rPr>
      <t>G&amp;A</t>
    </r>
  </si>
  <si>
    <r>
      <rPr>
        <rFont val="Arial"/>
        <i/>
        <color theme="1"/>
        <sz val="8.0"/>
      </rPr>
      <t xml:space="preserve">      </t>
    </r>
    <r>
      <rPr>
        <rFont val="Arial"/>
        <i/>
        <color theme="1"/>
        <sz val="8.0"/>
      </rPr>
      <t>Sales &amp; Marketing</t>
    </r>
  </si>
  <si>
    <t>Runway</t>
  </si>
  <si>
    <t>Revenue % Runway</t>
  </si>
  <si>
    <t>Bookings Delta</t>
  </si>
  <si>
    <t>Rev Delta</t>
  </si>
  <si>
    <t>COGS Delta</t>
  </si>
  <si>
    <t>OPEX Delta</t>
  </si>
  <si>
    <t>EBITDA Delta</t>
  </si>
  <si>
    <t>Total Gross Profit %</t>
  </si>
  <si>
    <t>COGS + Opex</t>
  </si>
  <si>
    <t>% Revenue</t>
  </si>
  <si>
    <t>Other Expenses - EBITDA Add Back</t>
  </si>
  <si>
    <t>EBITDA Adjustments</t>
  </si>
  <si>
    <t>McDermott, Will &amp; Emery</t>
  </si>
  <si>
    <t>Adj EBITDA</t>
  </si>
  <si>
    <t>Services Billings</t>
  </si>
  <si>
    <r>
      <rPr>
        <rFont val="Arial"/>
        <i/>
        <color theme="1"/>
        <sz val="8.0"/>
      </rPr>
      <t xml:space="preserve">      </t>
    </r>
    <r>
      <rPr>
        <rFont val="Arial"/>
        <i/>
        <color theme="1"/>
        <sz val="8.0"/>
      </rPr>
      <t>Personnel</t>
    </r>
  </si>
  <si>
    <r>
      <rPr>
        <rFont val="Arial"/>
        <i/>
        <color rgb="FF000000"/>
        <sz val="8.0"/>
      </rPr>
      <t xml:space="preserve">      </t>
    </r>
    <r>
      <rPr>
        <rFont val="Arial"/>
        <i/>
        <color rgb="FF000000"/>
        <sz val="8.0"/>
      </rPr>
      <t>G&amp;A</t>
    </r>
  </si>
  <si>
    <r>
      <rPr>
        <rFont val="Arial"/>
        <i/>
        <color theme="1"/>
        <sz val="8.0"/>
      </rPr>
      <t xml:space="preserve">      </t>
    </r>
    <r>
      <rPr>
        <rFont val="Arial"/>
        <i/>
        <color theme="1"/>
        <sz val="8.0"/>
      </rPr>
      <t>Sales &amp; Marketing</t>
    </r>
  </si>
  <si>
    <t xml:space="preserve">              Marketing</t>
  </si>
  <si>
    <t xml:space="preserve">              Travel</t>
  </si>
  <si>
    <t>Personnel</t>
  </si>
  <si>
    <t>G&amp;A</t>
  </si>
  <si>
    <t>MKt</t>
  </si>
  <si>
    <r>
      <rPr>
        <rFont val="Arial"/>
        <i/>
        <color theme="1"/>
        <sz val="8.0"/>
      </rPr>
      <t xml:space="preserve">      </t>
    </r>
    <r>
      <rPr>
        <rFont val="Arial"/>
        <i/>
        <color theme="1"/>
        <sz val="8.0"/>
      </rPr>
      <t>Personnel</t>
    </r>
  </si>
  <si>
    <r>
      <rPr>
        <rFont val="Arial"/>
        <i/>
        <color rgb="FF000000"/>
        <sz val="8.0"/>
      </rPr>
      <t xml:space="preserve">      </t>
    </r>
    <r>
      <rPr>
        <rFont val="Arial"/>
        <i/>
        <color rgb="FF000000"/>
        <sz val="8.0"/>
      </rPr>
      <t>G&amp;A</t>
    </r>
  </si>
  <si>
    <r>
      <rPr>
        <rFont val="Arial"/>
        <i/>
        <color theme="1"/>
        <sz val="8.0"/>
      </rPr>
      <t xml:space="preserve">      </t>
    </r>
    <r>
      <rPr>
        <rFont val="Arial"/>
        <i/>
        <color theme="1"/>
        <sz val="8.0"/>
      </rPr>
      <t>Sales &amp; Marketing</t>
    </r>
  </si>
  <si>
    <t>OPEX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</si>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</sst>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&quot;$&quot;* #,##0\ _€"/>
    <numFmt numFmtId="165" formatCode="mmm yyyy"/>
    <numFmt numFmtId="166" formatCode="mmmm yyyy"/>
    <numFmt numFmtId="167" formatCode="#,##0.00\ _€"/>
    <numFmt numFmtId="168" formatCode="&quot;$&quot;* #,##0.00\ _€"/>
    <numFmt numFmtId="169" formatCode="&quot;$&quot;#,##0"/>
    <numFmt numFmtId="170" formatCode="0.0%"/>
    <numFmt numFmtId="171" formatCode="_(&quot;$&quot;* #,##0_);_(&quot;$&quot;* \(#,##0\);_(&quot;$&quot;* &quot;-&quot;??_);_(@_)"/>
    <numFmt numFmtId="172" formatCode="&quot;$&quot;#,##0.00"/>
    <numFmt numFmtId="173" formatCode="mmmm d, yyyy"/>
    <numFmt numFmtId="174" formatCode="mmmm&quot; &quot;yyyy"/>
    <numFmt numFmtId="175" formatCode="_(&quot;$&quot;* #,##0.00_);_(&quot;$&quot;* \(#,##0.00\);_(&quot;$&quot;* &quot;-&quot;??_);_(@_)"/>
    <numFmt numFmtId="176" formatCode="&quot;$&quot;#,##0.0"/>
    <numFmt numFmtId="177" formatCode="mmm-d"/>
    <numFmt numFmtId="178" formatCode="mmmm-d"/>
    <numFmt numFmtId="179" formatCode="d-mmm-yy"/>
    <numFmt numFmtId="180" formatCode="0.0000%"/>
    <numFmt numFmtId="181" formatCode="0.0"/>
  </numFmts>
  <fonts count="71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9.0"/>
      <color rgb="FF000000"/>
      <name val="Arial"/>
    </font>
    <font>
      <i/>
      <color rgb="FFFFFFFF"/>
      <name val="Calibri"/>
      <scheme val="minor"/>
    </font>
    <font/>
    <font>
      <sz val="11.0"/>
      <color rgb="FF000000"/>
      <name val="Calibri"/>
    </font>
    <font>
      <b/>
      <i/>
      <sz val="9.0"/>
      <color rgb="FF434343"/>
      <name val="Calibri"/>
      <scheme val="minor"/>
    </font>
    <font>
      <b/>
      <sz val="9.0"/>
      <color theme="1"/>
      <name val="Arial"/>
    </font>
    <font>
      <b/>
      <i/>
      <sz val="9.0"/>
      <color rgb="FF434343"/>
      <name val="Calibri"/>
    </font>
    <font>
      <i/>
      <sz val="11.0"/>
      <color rgb="FFFFFFFF"/>
      <name val="Calibri"/>
    </font>
    <font>
      <b/>
      <sz val="8.0"/>
      <color rgb="FF000000"/>
      <name val="Arial"/>
    </font>
    <font>
      <sz val="8.0"/>
      <color rgb="FF000000"/>
      <name val="Arial"/>
    </font>
    <font>
      <b/>
      <sz val="10.0"/>
      <color rgb="FFFFFFFF"/>
      <name val="Arial"/>
    </font>
    <font>
      <b/>
      <sz val="8.0"/>
      <color theme="1"/>
      <name val="Arial"/>
    </font>
    <font>
      <color rgb="FFFFFFFF"/>
      <name val="Calibri"/>
      <scheme val="minor"/>
    </font>
    <font>
      <b/>
      <color theme="1"/>
      <name val="Calibri"/>
      <scheme val="minor"/>
    </font>
    <font>
      <i/>
      <color theme="1"/>
      <name val="Calibri"/>
      <scheme val="minor"/>
    </font>
    <font>
      <b/>
      <i/>
      <sz val="8.0"/>
      <color rgb="FF000000"/>
      <name val="Arial"/>
    </font>
    <font>
      <color rgb="FF000000"/>
      <name val="Calibri"/>
      <scheme val="minor"/>
    </font>
    <font>
      <color rgb="FF0000FF"/>
      <name val="Calibri"/>
      <scheme val="minor"/>
    </font>
    <font>
      <sz val="11.0"/>
      <color rgb="FF727272"/>
      <name val="&quot;Open Sans&quot;"/>
    </font>
    <font>
      <sz val="11.0"/>
      <color rgb="FF000000"/>
      <name val="&quot;Open Sans&quot;"/>
    </font>
    <font>
      <i/>
      <sz val="8.0"/>
      <color rgb="FF000000"/>
      <name val="Arial"/>
    </font>
    <font>
      <color rgb="FF000000"/>
      <name val="&quot;Open Sans&quot;"/>
    </font>
    <font>
      <i/>
      <sz val="8.0"/>
      <color theme="1"/>
      <name val="Arial"/>
    </font>
    <font>
      <b/>
      <sz val="16.0"/>
      <color theme="1"/>
      <name val="Calibri"/>
      <scheme val="minor"/>
    </font>
    <font>
      <b/>
      <sz val="12.0"/>
      <color rgb="FFFFFFFF"/>
      <name val="Calibri"/>
      <scheme val="minor"/>
    </font>
    <font>
      <sz val="11.0"/>
      <color rgb="FFFFFFFF"/>
      <name val="Calibri"/>
      <scheme val="minor"/>
    </font>
    <font>
      <i/>
      <sz val="8.0"/>
      <color theme="1"/>
      <name val="Calibri"/>
      <scheme val="minor"/>
    </font>
    <font>
      <b/>
      <sz val="10.0"/>
      <color theme="1"/>
      <name val="Calibri"/>
      <scheme val="minor"/>
    </font>
    <font>
      <b/>
      <i/>
      <sz val="10.0"/>
      <color theme="1"/>
      <name val="Calibri"/>
      <scheme val="minor"/>
    </font>
    <font>
      <sz val="10.0"/>
      <color theme="1"/>
      <name val="Calibri"/>
      <scheme val="minor"/>
    </font>
    <font>
      <b/>
      <sz val="9.0"/>
      <color theme="1"/>
      <name val="Calibri"/>
      <scheme val="minor"/>
    </font>
    <font>
      <b/>
      <sz val="10.0"/>
      <color rgb="FFFFFFFF"/>
      <name val="Calibri"/>
      <scheme val="minor"/>
    </font>
    <font>
      <i/>
      <sz val="10.0"/>
      <color theme="1"/>
      <name val="Calibri"/>
      <scheme val="minor"/>
    </font>
    <font>
      <sz val="9.0"/>
      <color theme="1"/>
      <name val="Calibri"/>
      <scheme val="minor"/>
    </font>
    <font>
      <b/>
      <i/>
      <sz val="10.0"/>
      <color rgb="FF434343"/>
      <name val="Calibri"/>
      <scheme val="minor"/>
    </font>
    <font>
      <i/>
      <sz val="10.0"/>
      <color theme="1"/>
      <name val="Calibri"/>
    </font>
    <font>
      <sz val="11.0"/>
      <color rgb="FFFFFFFF"/>
      <name val="Calibri"/>
    </font>
    <font>
      <color rgb="FF0000FF"/>
      <name val="&quot;Aptos Narrow&quot;"/>
    </font>
    <font>
      <color theme="1"/>
      <name val="&quot;Aptos Narrow&quot;"/>
    </font>
    <font>
      <b/>
      <color theme="1"/>
      <name val="&quot;Aptos Narrow&quot;"/>
    </font>
    <font>
      <i/>
      <color theme="1"/>
      <name val="&quot;Aptos Narrow&quot;"/>
    </font>
    <font>
      <color rgb="FF000000"/>
      <name val="&quot;Aptos Narrow&quot;"/>
    </font>
    <font>
      <i/>
      <color rgb="FF0000FF"/>
      <name val="&quot;Aptos Narrow&quot;"/>
    </font>
    <font>
      <i/>
      <color rgb="FFD0CECE"/>
      <name val="&quot;Aptos Narrow&quot;"/>
    </font>
    <font>
      <b/>
      <color rgb="FFFFFFFF"/>
      <name val="&quot;Aptos Narrow&quot;"/>
    </font>
    <font>
      <b/>
      <sz val="11.0"/>
      <color theme="1"/>
      <name val="&quot;Aptos Display&quot;"/>
    </font>
    <font>
      <color rgb="FF00B050"/>
      <name val="&quot;Aptos Narrow&quot;"/>
    </font>
    <font>
      <b/>
      <color rgb="FF0000FF"/>
      <name val="&quot;Aptos Narrow&quot;"/>
    </font>
    <font>
      <sz val="11.0"/>
      <color rgb="FF000000"/>
      <name val="&quot;Aptos Narrow&quot;"/>
    </font>
    <font>
      <b/>
      <color rgb="FF000000"/>
      <name val="&quot;Aptos Narrow&quot;"/>
    </font>
    <font>
      <i/>
      <color rgb="FF000000"/>
      <name val="&quot;Aptos Narrow&quot;"/>
    </font>
    <font>
      <i/>
      <color rgb="FF00B050"/>
      <name val="&quot;Aptos Narrow&quot;"/>
    </font>
    <font>
      <b/>
      <color rgb="FFFF0000"/>
      <name val="&quot;Aptos Narrow&quot;"/>
    </font>
    <font>
      <b/>
      <sz val="14.0"/>
      <color rgb="FF000000"/>
      <name val="Arial"/>
    </font>
    <font>
      <b/>
      <sz val="10.0"/>
      <color rgb="FF000000"/>
      <name val="Arial"/>
    </font>
    <font>
      <b/>
      <i/>
      <sz val="8.0"/>
      <color theme="1"/>
      <name val="Arial"/>
    </font>
    <font>
      <sz val="9.0"/>
      <color rgb="FF000000"/>
      <name val="Calibri"/>
    </font>
    <font>
      <b/>
      <color rgb="FF000000"/>
      <name val="Arial"/>
    </font>
    <font>
      <b/>
      <color theme="1"/>
      <name val="Calibri"/>
    </font>
    <font>
      <b/>
      <color rgb="FF404040"/>
      <name val="Calibri"/>
    </font>
    <font>
      <b/>
      <sz val="8.0"/>
      <color rgb="FFFF0000"/>
      <name val="Arial"/>
    </font>
    <font>
      <i/>
      <sz val="7.0"/>
      <color rgb="FF0000FF"/>
      <name val="&quot;Google Sans Mono&quot;"/>
    </font>
    <font>
      <i/>
      <sz val="9.0"/>
      <color rgb="FF0000FF"/>
      <name val="Calibri"/>
      <scheme val="minor"/>
    </font>
    <font>
      <i/>
      <sz val="9.0"/>
      <color theme="1"/>
      <name val="Calibri"/>
    </font>
    <font>
      <sz val="9.0"/>
      <color theme="1"/>
      <name val="Calibri"/>
    </font>
    <font>
      <i/>
      <sz val="7.0"/>
      <color rgb="FF0000FF"/>
      <name val="Google Sans Mono"/>
    </font>
    <font>
      <i/>
      <sz val="10.0"/>
      <color rgb="FF0000FF"/>
      <name val="&quot;Google Sans Mono&quot;"/>
    </font>
    <font>
      <b/>
      <sz val="11.0"/>
      <color theme="1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1C4587"/>
        <bgColor rgb="FF1C4587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0B5394"/>
        <bgColor rgb="FF0B5394"/>
      </patternFill>
    </fill>
    <fill>
      <patternFill patternType="solid">
        <fgColor rgb="FFE6E6E6"/>
        <bgColor rgb="FFE6E6E6"/>
      </patternFill>
    </fill>
    <fill>
      <patternFill patternType="solid">
        <fgColor rgb="FF7030A0"/>
        <bgColor rgb="FF7030A0"/>
      </patternFill>
    </fill>
    <fill>
      <patternFill patternType="solid">
        <fgColor rgb="FFCC99FF"/>
        <bgColor rgb="FFCC99FF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B7E1CD"/>
        <bgColor rgb="FFB7E1CD"/>
      </patternFill>
    </fill>
    <fill>
      <patternFill patternType="solid">
        <fgColor rgb="FFEFEFEF"/>
        <bgColor rgb="FFEFEFEF"/>
      </patternFill>
    </fill>
    <fill>
      <patternFill patternType="solid">
        <fgColor rgb="FFE6B8AF"/>
        <bgColor rgb="FFE6B8AF"/>
      </patternFill>
    </fill>
  </fills>
  <borders count="43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dotted">
        <color rgb="FF999999"/>
      </bottom>
    </border>
    <border>
      <left style="thin">
        <color rgb="FF999999"/>
      </left>
      <top style="thin">
        <color rgb="FF999999"/>
      </top>
      <bottom style="thin">
        <color rgb="FFCCCCCC"/>
      </bottom>
    </border>
    <border>
      <top style="thin">
        <color rgb="FF999999"/>
      </top>
      <bottom style="thin">
        <color rgb="FFCCCCCC"/>
      </bottom>
    </border>
    <border>
      <right style="thin">
        <color rgb="FF999999"/>
      </right>
      <top style="thin">
        <color rgb="FF999999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left style="dotted">
        <color rgb="FF999999"/>
      </left>
      <top style="dotted">
        <color rgb="FF999999"/>
      </top>
      <bottom style="dotted">
        <color rgb="FF999999"/>
      </bottom>
    </border>
    <border>
      <left style="thin">
        <color rgb="FF000000"/>
      </left>
      <right style="thin">
        <color rgb="FF000000"/>
      </right>
      <top style="thin">
        <color rgb="FF999999"/>
      </top>
    </border>
    <border>
      <left style="dotted">
        <color rgb="FF999999"/>
      </left>
      <right style="dotted">
        <color rgb="FF999999"/>
      </right>
      <bottom style="dotted">
        <color rgb="FF999999"/>
      </bottom>
    </border>
    <border>
      <right style="dotted">
        <color rgb="FF999999"/>
      </right>
      <bottom style="dotted">
        <color rgb="FF999999"/>
      </bottom>
    </border>
    <border>
      <left style="thin">
        <color rgb="FF999999"/>
      </left>
      <right style="thin">
        <color rgb="FF999999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hair">
        <color rgb="FF999999"/>
      </left>
      <right style="hair">
        <color rgb="FF999999"/>
      </right>
      <top style="hair">
        <color rgb="FF999999"/>
      </top>
      <bottom style="hair">
        <color rgb="FF999999"/>
      </bottom>
    </border>
    <border>
      <left style="hair">
        <color rgb="FF999999"/>
      </left>
      <top style="hair">
        <color rgb="FF999999"/>
      </top>
      <bottom style="hair">
        <color rgb="FF999999"/>
      </bottom>
    </border>
    <border>
      <top style="hair">
        <color rgb="FF999999"/>
      </top>
      <bottom style="hair">
        <color rgb="FF999999"/>
      </bottom>
    </border>
    <border>
      <right style="hair">
        <color rgb="FF999999"/>
      </right>
      <top style="hair">
        <color rgb="FF999999"/>
      </top>
      <bottom style="hair">
        <color rgb="FF99999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dotted">
        <color rgb="FFB7B7B7"/>
      </right>
    </border>
    <border>
      <top style="hair">
        <color rgb="FFB7B7B7"/>
      </top>
    </border>
    <border>
      <right style="dotted">
        <color rgb="FFB7B7B7"/>
      </right>
      <top style="hair">
        <color rgb="FFB7B7B7"/>
      </top>
    </border>
    <border>
      <right style="hair">
        <color rgb="FFB7B7B7"/>
      </right>
      <top style="hair">
        <color rgb="FFB7B7B7"/>
      </top>
    </border>
    <border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000000"/>
      </right>
      <bottom style="thin">
        <color rgb="FF999999"/>
      </bottom>
    </border>
  </borders>
  <cellStyleXfs count="1">
    <xf borderId="0" fillId="0" fontId="0" numFmtId="0" applyAlignment="1" applyFont="1"/>
  </cellStyleXfs>
  <cellXfs count="5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164" xfId="0" applyFont="1" applyNumberFormat="1"/>
    <xf borderId="1" fillId="0" fontId="3" numFmtId="0" xfId="0" applyAlignment="1" applyBorder="1" applyFont="1">
      <alignment horizontal="left" readingOrder="0" shrinkToFit="0" wrapText="1"/>
    </xf>
    <xf borderId="2" fillId="0" fontId="1" numFmtId="0" xfId="0" applyBorder="1" applyFont="1"/>
    <xf borderId="3" fillId="0" fontId="1" numFmtId="0" xfId="0" applyBorder="1" applyFont="1"/>
    <xf borderId="4" fillId="0" fontId="2" numFmtId="0" xfId="0" applyAlignment="1" applyBorder="1" applyFont="1">
      <alignment vertical="bottom"/>
    </xf>
    <xf borderId="5" fillId="2" fontId="4" numFmtId="0" xfId="0" applyAlignment="1" applyBorder="1" applyFill="1" applyFont="1">
      <alignment horizontal="left" readingOrder="0"/>
    </xf>
    <xf borderId="6" fillId="0" fontId="5" numFmtId="0" xfId="0" applyBorder="1" applyFont="1"/>
    <xf borderId="7" fillId="0" fontId="5" numFmtId="0" xfId="0" applyBorder="1" applyFont="1"/>
    <xf borderId="0" fillId="2" fontId="4" numFmtId="0" xfId="0" applyAlignment="1" applyFont="1">
      <alignment horizontal="left" readingOrder="0"/>
    </xf>
    <xf borderId="0" fillId="0" fontId="6" numFmtId="0" xfId="0" applyAlignment="1" applyFont="1">
      <alignment shrinkToFit="0" wrapText="1"/>
    </xf>
    <xf borderId="8" fillId="0" fontId="3" numFmtId="165" xfId="0" applyAlignment="1" applyBorder="1" applyFont="1" applyNumberFormat="1">
      <alignment horizontal="center" readingOrder="0" shrinkToFit="0" wrapText="1"/>
    </xf>
    <xf borderId="8" fillId="0" fontId="3" numFmtId="166" xfId="0" applyAlignment="1" applyBorder="1" applyFont="1" applyNumberForma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9" fillId="2" fontId="4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10" fillId="3" fontId="7" numFmtId="0" xfId="0" applyAlignment="1" applyBorder="1" applyFill="1" applyFont="1">
      <alignment horizontal="center" readingOrder="0" vertical="center"/>
    </xf>
    <xf borderId="8" fillId="0" fontId="8" numFmtId="165" xfId="0" applyAlignment="1" applyBorder="1" applyFont="1" applyNumberFormat="1">
      <alignment horizontal="center" shrinkToFit="0" vertical="bottom" wrapText="1"/>
    </xf>
    <xf borderId="11" fillId="3" fontId="7" numFmtId="0" xfId="0" applyAlignment="1" applyBorder="1" applyFont="1">
      <alignment horizontal="center" readingOrder="0" vertical="center"/>
    </xf>
    <xf borderId="12" fillId="2" fontId="4" numFmtId="0" xfId="0" applyAlignment="1" applyBorder="1" applyFont="1">
      <alignment horizontal="center" readingOrder="0"/>
    </xf>
    <xf borderId="10" fillId="3" fontId="9" numFmtId="0" xfId="0" applyAlignment="1" applyBorder="1" applyFont="1">
      <alignment horizontal="center" readingOrder="0"/>
    </xf>
    <xf borderId="13" fillId="3" fontId="9" numFmtId="0" xfId="0" applyAlignment="1" applyBorder="1" applyFont="1">
      <alignment horizontal="center" readingOrder="0"/>
    </xf>
    <xf borderId="14" fillId="3" fontId="9" numFmtId="0" xfId="0" applyAlignment="1" applyBorder="1" applyFont="1">
      <alignment horizontal="center" readingOrder="0"/>
    </xf>
    <xf borderId="11" fillId="3" fontId="9" numFmtId="0" xfId="0" applyAlignment="1" applyBorder="1" applyFont="1">
      <alignment horizontal="center" readingOrder="0"/>
    </xf>
    <xf borderId="4" fillId="3" fontId="9" numFmtId="0" xfId="0" applyAlignment="1" applyBorder="1" applyFont="1">
      <alignment horizontal="center" readingOrder="0"/>
    </xf>
    <xf borderId="12" fillId="2" fontId="10" numFmtId="0" xfId="0" applyAlignment="1" applyBorder="1" applyFont="1">
      <alignment horizontal="center" readingOrder="0" vertical="bottom"/>
    </xf>
    <xf borderId="9" fillId="4" fontId="4" numFmtId="0" xfId="0" applyAlignment="1" applyBorder="1" applyFill="1" applyFont="1">
      <alignment horizontal="center" readingOrder="0"/>
    </xf>
    <xf borderId="0" fillId="3" fontId="7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3" numFmtId="165" xfId="0" applyAlignment="1" applyFont="1" applyNumberFormat="1">
      <alignment horizontal="center" readingOrder="0" shrinkToFit="0" wrapText="1"/>
    </xf>
    <xf borderId="0" fillId="0" fontId="11" numFmtId="0" xfId="0" applyAlignment="1" applyFont="1">
      <alignment horizontal="left" shrinkToFit="0" wrapText="1"/>
    </xf>
    <xf borderId="0" fillId="0" fontId="12" numFmtId="167" xfId="0" applyAlignment="1" applyFont="1" applyNumberFormat="1">
      <alignment shrinkToFit="0" wrapText="1"/>
    </xf>
    <xf borderId="15" fillId="0" fontId="1" numFmtId="0" xfId="0" applyBorder="1" applyFont="1"/>
    <xf borderId="0" fillId="4" fontId="1" numFmtId="0" xfId="0" applyFont="1"/>
    <xf borderId="0" fillId="4" fontId="13" numFmtId="0" xfId="0" applyAlignment="1" applyFont="1">
      <alignment horizontal="left" readingOrder="0" shrinkToFit="0" wrapText="1"/>
    </xf>
    <xf borderId="0" fillId="4" fontId="11" numFmtId="164" xfId="0" applyAlignment="1" applyFont="1" applyNumberFormat="1">
      <alignment horizontal="right" shrinkToFit="0" wrapText="1"/>
    </xf>
    <xf borderId="0" fillId="4" fontId="11" numFmtId="164" xfId="0" applyAlignment="1" applyFont="1" applyNumberFormat="1">
      <alignment horizontal="right" readingOrder="0" shrinkToFit="0" wrapText="1"/>
    </xf>
    <xf borderId="0" fillId="4" fontId="11" numFmtId="168" xfId="0" applyAlignment="1" applyFont="1" applyNumberFormat="1">
      <alignment horizontal="right" shrinkToFit="0" wrapText="1"/>
    </xf>
    <xf borderId="15" fillId="4" fontId="11" numFmtId="164" xfId="0" applyAlignment="1" applyBorder="1" applyFont="1" applyNumberFormat="1">
      <alignment horizontal="right" shrinkToFit="0" wrapText="1"/>
    </xf>
    <xf borderId="0" fillId="4" fontId="11" numFmtId="10" xfId="0" applyAlignment="1" applyFont="1" applyNumberFormat="1">
      <alignment horizontal="right" shrinkToFit="0" wrapText="1"/>
    </xf>
    <xf borderId="16" fillId="0" fontId="1" numFmtId="0" xfId="0" applyBorder="1" applyFont="1"/>
    <xf borderId="16" fillId="0" fontId="2" numFmtId="0" xfId="0" applyAlignment="1" applyBorder="1" applyFont="1">
      <alignment vertical="bottom"/>
    </xf>
    <xf borderId="0" fillId="0" fontId="11" numFmtId="164" xfId="0" applyAlignment="1" applyFont="1" applyNumberFormat="1">
      <alignment horizontal="right" shrinkToFit="0" wrapText="1"/>
    </xf>
    <xf borderId="0" fillId="0" fontId="13" numFmtId="0" xfId="0" applyAlignment="1" applyFont="1">
      <alignment horizontal="left" readingOrder="0" shrinkToFit="0" wrapText="1"/>
    </xf>
    <xf borderId="0" fillId="4" fontId="2" numFmtId="164" xfId="0" applyAlignment="1" applyFont="1" applyNumberFormat="1">
      <alignment vertical="bottom"/>
    </xf>
    <xf borderId="16" fillId="4" fontId="11" numFmtId="164" xfId="0" applyAlignment="1" applyBorder="1" applyFont="1" applyNumberFormat="1">
      <alignment horizontal="right" shrinkToFit="0" wrapText="1"/>
    </xf>
    <xf borderId="16" fillId="4" fontId="2" numFmtId="164" xfId="0" applyAlignment="1" applyBorder="1" applyFont="1" applyNumberFormat="1">
      <alignment vertical="bottom"/>
    </xf>
    <xf borderId="0" fillId="0" fontId="11" numFmtId="164" xfId="0" applyAlignment="1" applyFont="1" applyNumberFormat="1">
      <alignment horizontal="right" readingOrder="0" shrinkToFit="0" wrapText="1"/>
    </xf>
    <xf borderId="0" fillId="0" fontId="11" numFmtId="168" xfId="0" applyAlignment="1" applyFont="1" applyNumberFormat="1">
      <alignment horizontal="right" shrinkToFit="0" wrapText="1"/>
    </xf>
    <xf borderId="15" fillId="0" fontId="11" numFmtId="164" xfId="0" applyAlignment="1" applyBorder="1" applyFont="1" applyNumberFormat="1">
      <alignment horizontal="right" shrinkToFit="0" wrapText="1"/>
    </xf>
    <xf borderId="0" fillId="0" fontId="11" numFmtId="10" xfId="0" applyAlignment="1" applyFont="1" applyNumberFormat="1">
      <alignment horizontal="right" shrinkToFit="0" wrapText="1"/>
    </xf>
    <xf borderId="0" fillId="0" fontId="11" numFmtId="0" xfId="0" applyAlignment="1" applyFont="1">
      <alignment horizontal="left" readingOrder="0" shrinkToFit="0" wrapText="1"/>
    </xf>
    <xf borderId="0" fillId="0" fontId="2" numFmtId="164" xfId="0" applyAlignment="1" applyFont="1" applyNumberFormat="1">
      <alignment vertical="bottom"/>
    </xf>
    <xf borderId="0" fillId="0" fontId="2" numFmtId="10" xfId="0" applyAlignment="1" applyFont="1" applyNumberFormat="1">
      <alignment vertical="bottom"/>
    </xf>
    <xf borderId="16" fillId="0" fontId="11" numFmtId="164" xfId="0" applyAlignment="1" applyBorder="1" applyFont="1" applyNumberFormat="1">
      <alignment horizontal="right" readingOrder="0" shrinkToFit="0" wrapText="1"/>
    </xf>
    <xf borderId="0" fillId="0" fontId="11" numFmtId="10" xfId="0" applyAlignment="1" applyFont="1" applyNumberFormat="1">
      <alignment horizontal="right" readingOrder="0" shrinkToFit="0" wrapText="1"/>
    </xf>
    <xf borderId="0" fillId="0" fontId="2" numFmtId="9" xfId="0" applyAlignment="1" applyFont="1" applyNumberFormat="1">
      <alignment vertical="bottom"/>
    </xf>
    <xf borderId="16" fillId="0" fontId="2" numFmtId="164" xfId="0" applyAlignment="1" applyBorder="1" applyFont="1" applyNumberFormat="1">
      <alignment readingOrder="0" vertical="bottom"/>
    </xf>
    <xf borderId="15" fillId="0" fontId="11" numFmtId="164" xfId="0" applyAlignment="1" applyBorder="1" applyFont="1" applyNumberFormat="1">
      <alignment horizontal="right" readingOrder="0" shrinkToFit="0" wrapText="1"/>
    </xf>
    <xf borderId="15" fillId="0" fontId="11" numFmtId="10" xfId="0" applyAlignment="1" applyBorder="1" applyFont="1" applyNumberFormat="1">
      <alignment horizontal="right" readingOrder="0" shrinkToFit="0" wrapText="1"/>
    </xf>
    <xf borderId="0" fillId="0" fontId="11" numFmtId="9" xfId="0" applyAlignment="1" applyFont="1" applyNumberFormat="1">
      <alignment horizontal="right" readingOrder="0" shrinkToFit="0" wrapText="1"/>
    </xf>
    <xf borderId="0" fillId="5" fontId="11" numFmtId="0" xfId="0" applyAlignment="1" applyFill="1" applyFont="1">
      <alignment horizontal="left" readingOrder="0" shrinkToFit="0" wrapText="1"/>
    </xf>
    <xf borderId="0" fillId="5" fontId="11" numFmtId="164" xfId="0" applyAlignment="1" applyFont="1" applyNumberFormat="1">
      <alignment horizontal="right" shrinkToFit="0" wrapText="1"/>
    </xf>
    <xf borderId="0" fillId="5" fontId="14" numFmtId="164" xfId="0" applyAlignment="1" applyFont="1" applyNumberFormat="1">
      <alignment horizontal="right" shrinkToFit="0" vertical="bottom" wrapText="1"/>
    </xf>
    <xf borderId="0" fillId="6" fontId="1" numFmtId="0" xfId="0" applyAlignment="1" applyFill="1" applyFont="1">
      <alignment readingOrder="0"/>
    </xf>
    <xf borderId="0" fillId="6" fontId="1" numFmtId="0" xfId="0" applyFont="1"/>
    <xf borderId="17" fillId="6" fontId="1" numFmtId="0" xfId="0" applyAlignment="1" applyBorder="1" applyFont="1">
      <alignment readingOrder="0"/>
    </xf>
    <xf borderId="16" fillId="5" fontId="11" numFmtId="164" xfId="0" applyAlignment="1" applyBorder="1" applyFont="1" applyNumberFormat="1">
      <alignment horizontal="right" readingOrder="0" shrinkToFit="0" wrapText="1"/>
    </xf>
    <xf borderId="0" fillId="0" fontId="11" numFmtId="3" xfId="0" applyAlignment="1" applyFont="1" applyNumberFormat="1">
      <alignment horizontal="right" shrinkToFit="0" wrapText="1"/>
    </xf>
    <xf borderId="18" fillId="6" fontId="1" numFmtId="0" xfId="0" applyBorder="1" applyFont="1"/>
    <xf borderId="0" fillId="5" fontId="14" numFmtId="164" xfId="0" applyAlignment="1" applyFont="1" applyNumberFormat="1">
      <alignment horizontal="right" readingOrder="0" shrinkToFit="0" vertical="bottom" wrapText="1"/>
    </xf>
    <xf borderId="16" fillId="5" fontId="11" numFmtId="164" xfId="0" applyAlignment="1" applyBorder="1" applyFont="1" applyNumberFormat="1">
      <alignment horizontal="right" shrinkToFit="0" wrapText="1"/>
    </xf>
    <xf borderId="18" fillId="6" fontId="1" numFmtId="169" xfId="0" applyBorder="1" applyFont="1" applyNumberFormat="1"/>
    <xf borderId="19" fillId="6" fontId="1" numFmtId="0" xfId="0" applyAlignment="1" applyBorder="1" applyFont="1">
      <alignment readingOrder="0"/>
    </xf>
    <xf borderId="20" fillId="6" fontId="1" numFmtId="1" xfId="0" applyBorder="1" applyFont="1" applyNumberFormat="1"/>
    <xf borderId="15" fillId="5" fontId="11" numFmtId="164" xfId="0" applyAlignment="1" applyBorder="1" applyFont="1" applyNumberFormat="1">
      <alignment horizontal="right" shrinkToFit="0" wrapText="1"/>
    </xf>
    <xf borderId="20" fillId="6" fontId="1" numFmtId="169" xfId="0" applyBorder="1" applyFont="1" applyNumberFormat="1"/>
    <xf borderId="0" fillId="0" fontId="11" numFmtId="9" xfId="0" applyAlignment="1" applyFont="1" applyNumberFormat="1">
      <alignment horizontal="right" shrinkToFit="0" wrapText="1"/>
    </xf>
    <xf borderId="21" fillId="6" fontId="1" numFmtId="0" xfId="0" applyAlignment="1" applyBorder="1" applyFont="1">
      <alignment readingOrder="0"/>
    </xf>
    <xf borderId="22" fillId="6" fontId="1" numFmtId="0" xfId="0" applyAlignment="1" applyBorder="1" applyFont="1">
      <alignment readingOrder="0"/>
    </xf>
    <xf borderId="22" fillId="6" fontId="1" numFmtId="169" xfId="0" applyBorder="1" applyFont="1" applyNumberFormat="1"/>
    <xf borderId="0" fillId="0" fontId="1" numFmtId="169" xfId="0" applyFont="1" applyNumberFormat="1"/>
    <xf borderId="0" fillId="0" fontId="1" numFmtId="0" xfId="0" applyFont="1"/>
    <xf borderId="0" fillId="6" fontId="1" numFmtId="9" xfId="0" applyAlignment="1" applyFont="1" applyNumberFormat="1">
      <alignment readingOrder="0"/>
    </xf>
    <xf borderId="0" fillId="6" fontId="1" numFmtId="169" xfId="0" applyFont="1" applyNumberFormat="1"/>
    <xf borderId="0" fillId="0" fontId="1" numFmtId="169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7" fontId="15" numFmtId="0" xfId="0" applyAlignment="1" applyFill="1" applyFont="1">
      <alignment readingOrder="0"/>
    </xf>
    <xf borderId="0" fillId="7" fontId="15" numFmtId="0" xfId="0" applyFont="1"/>
    <xf borderId="0" fillId="8" fontId="15" numFmtId="0" xfId="0" applyAlignment="1" applyFill="1" applyFont="1">
      <alignment horizontal="right" readingOrder="0"/>
    </xf>
    <xf borderId="0" fillId="0" fontId="16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1" xfId="0" applyAlignment="1" applyFont="1" applyNumberFormat="1">
      <alignment horizontal="right"/>
    </xf>
    <xf borderId="0" fillId="0" fontId="17" numFmtId="0" xfId="0" applyAlignment="1" applyFont="1">
      <alignment readingOrder="0"/>
    </xf>
    <xf borderId="0" fillId="0" fontId="17" numFmtId="0" xfId="0" applyFont="1"/>
    <xf borderId="0" fillId="0" fontId="17" numFmtId="169" xfId="0" applyAlignment="1" applyFont="1" applyNumberFormat="1">
      <alignment horizontal="right"/>
    </xf>
    <xf borderId="0" fillId="0" fontId="17" numFmtId="169" xfId="0" applyFont="1" applyNumberFormat="1"/>
    <xf borderId="0" fillId="0" fontId="1" numFmtId="1" xfId="0" applyAlignment="1" applyFont="1" applyNumberFormat="1">
      <alignment horizontal="right" readingOrder="0"/>
    </xf>
    <xf borderId="0" fillId="0" fontId="1" numFmtId="169" xfId="0" applyAlignment="1" applyFont="1" applyNumberFormat="1">
      <alignment horizontal="right"/>
    </xf>
    <xf borderId="0" fillId="0" fontId="16" numFmtId="0" xfId="0" applyFont="1"/>
    <xf borderId="0" fillId="0" fontId="1" numFmtId="164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1" xfId="0" applyFont="1" applyNumberFormat="1"/>
    <xf borderId="0" fillId="0" fontId="11" numFmtId="170" xfId="0" applyAlignment="1" applyFont="1" applyNumberFormat="1">
      <alignment horizontal="right" readingOrder="0" shrinkToFit="0" wrapText="1"/>
    </xf>
    <xf borderId="0" fillId="0" fontId="1" numFmtId="10" xfId="0" applyFont="1" applyNumberFormat="1"/>
    <xf borderId="0" fillId="0" fontId="1" numFmtId="9" xfId="0" applyFont="1" applyNumberFormat="1"/>
    <xf borderId="0" fillId="9" fontId="18" numFmtId="164" xfId="0" applyAlignment="1" applyFill="1" applyFont="1" applyNumberFormat="1">
      <alignment horizontal="right" shrinkToFit="0" wrapText="1"/>
    </xf>
    <xf borderId="0" fillId="0" fontId="15" numFmtId="0" xfId="0" applyAlignment="1" applyFont="1">
      <alignment horizontal="left" readingOrder="0"/>
    </xf>
    <xf borderId="0" fillId="0" fontId="15" numFmtId="171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/>
    </xf>
    <xf borderId="0" fillId="0" fontId="19" numFmtId="0" xfId="0" applyAlignment="1" applyFont="1">
      <alignment horizontal="left" readingOrder="0"/>
    </xf>
    <xf borderId="0" fillId="0" fontId="19" numFmtId="3" xfId="0" applyAlignment="1" applyFont="1" applyNumberFormat="1">
      <alignment horizontal="right" readingOrder="0"/>
    </xf>
    <xf borderId="0" fillId="0" fontId="20" numFmtId="9" xfId="0" applyAlignment="1" applyFont="1" applyNumberFormat="1">
      <alignment horizontal="right" readingOrder="0"/>
    </xf>
    <xf borderId="0" fillId="0" fontId="1" numFmtId="10" xfId="0" applyAlignment="1" applyFont="1" applyNumberFormat="1">
      <alignment readingOrder="0"/>
    </xf>
    <xf borderId="0" fillId="0" fontId="20" numFmtId="3" xfId="0" applyAlignment="1" applyFont="1" applyNumberFormat="1">
      <alignment horizontal="right" readingOrder="0"/>
    </xf>
    <xf borderId="0" fillId="0" fontId="19" numFmtId="171" xfId="0" applyAlignment="1" applyFont="1" applyNumberFormat="1">
      <alignment horizontal="right" readingOrder="0"/>
    </xf>
    <xf borderId="0" fillId="0" fontId="19" numFmtId="0" xfId="0" applyFont="1"/>
    <xf borderId="0" fillId="9" fontId="19" numFmtId="3" xfId="0" applyAlignment="1" applyFont="1" applyNumberFormat="1">
      <alignment horizontal="right" readingOrder="0"/>
    </xf>
    <xf borderId="0" fillId="9" fontId="19" numFmtId="3" xfId="0" applyAlignment="1" applyFont="1" applyNumberFormat="1">
      <alignment readingOrder="0"/>
    </xf>
    <xf borderId="15" fillId="5" fontId="11" numFmtId="164" xfId="0" applyAlignment="1" applyBorder="1" applyFont="1" applyNumberFormat="1">
      <alignment horizontal="right" readingOrder="0" shrinkToFit="0" wrapText="1"/>
    </xf>
    <xf borderId="0" fillId="0" fontId="1" numFmtId="0" xfId="0" applyAlignment="1" applyFont="1">
      <alignment horizontal="right" readingOrder="0"/>
    </xf>
    <xf borderId="0" fillId="0" fontId="12" numFmtId="4" xfId="0" applyAlignment="1" applyFont="1" applyNumberFormat="1">
      <alignment horizontal="right" readingOrder="0" shrinkToFit="0" wrapText="1"/>
    </xf>
    <xf borderId="0" fillId="9" fontId="19" numFmtId="9" xfId="0" applyAlignment="1" applyFont="1" applyNumberFormat="1">
      <alignment horizontal="right" readingOrder="0"/>
    </xf>
    <xf borderId="0" fillId="9" fontId="19" numFmtId="9" xfId="0" applyAlignment="1" applyFont="1" applyNumberFormat="1">
      <alignment readingOrder="0"/>
    </xf>
    <xf borderId="0" fillId="10" fontId="15" numFmtId="0" xfId="0" applyAlignment="1" applyFill="1" applyFont="1">
      <alignment horizontal="left" readingOrder="0"/>
    </xf>
    <xf borderId="0" fillId="10" fontId="15" numFmtId="171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left" readingOrder="0"/>
    </xf>
    <xf borderId="0" fillId="0" fontId="1" numFmtId="171" xfId="0" applyFont="1" applyNumberFormat="1"/>
    <xf borderId="0" fillId="0" fontId="1" numFmtId="170" xfId="0" applyAlignment="1" applyFont="1" applyNumberFormat="1">
      <alignment readingOrder="0"/>
    </xf>
    <xf borderId="0" fillId="0" fontId="1" numFmtId="172" xfId="0" applyFont="1" applyNumberFormat="1"/>
    <xf borderId="0" fillId="0" fontId="21" numFmtId="173" xfId="0" applyAlignment="1" applyFont="1" applyNumberFormat="1">
      <alignment readingOrder="0" vertical="top"/>
    </xf>
    <xf borderId="0" fillId="0" fontId="1" numFmtId="0" xfId="0" applyAlignment="1" applyFont="1">
      <alignment horizontal="left" readingOrder="0"/>
    </xf>
    <xf borderId="0" fillId="0" fontId="22" numFmtId="173" xfId="0" applyAlignment="1" applyFont="1" applyNumberFormat="1">
      <alignment readingOrder="0" vertical="top"/>
    </xf>
    <xf borderId="0" fillId="0" fontId="23" numFmtId="0" xfId="0" applyAlignment="1" applyFont="1">
      <alignment horizontal="left" readingOrder="0" shrinkToFit="0" wrapText="1"/>
    </xf>
    <xf borderId="0" fillId="0" fontId="23" numFmtId="164" xfId="0" applyAlignment="1" applyFont="1" applyNumberFormat="1">
      <alignment horizontal="right" shrinkToFit="0" wrapText="1"/>
    </xf>
    <xf borderId="0" fillId="0" fontId="23" numFmtId="164" xfId="0" applyAlignment="1" applyFont="1" applyNumberFormat="1">
      <alignment horizontal="right" readingOrder="0" shrinkToFit="0" wrapText="1"/>
    </xf>
    <xf borderId="0" fillId="0" fontId="23" numFmtId="164" xfId="0" applyAlignment="1" applyFont="1" applyNumberFormat="1">
      <alignment horizontal="right" readingOrder="0" vertical="bottom"/>
    </xf>
    <xf borderId="0" fillId="0" fontId="24" numFmtId="173" xfId="0" applyAlignment="1" applyFont="1" applyNumberFormat="1">
      <alignment readingOrder="0" vertical="top"/>
    </xf>
    <xf borderId="16" fillId="0" fontId="23" numFmtId="164" xfId="0" applyAlignment="1" applyBorder="1" applyFont="1" applyNumberFormat="1">
      <alignment horizontal="right" readingOrder="0" shrinkToFit="0" wrapText="1"/>
    </xf>
    <xf borderId="0" fillId="0" fontId="25" numFmtId="164" xfId="0" applyAlignment="1" applyFont="1" applyNumberFormat="1">
      <alignment horizontal="right" shrinkToFit="0" vertical="bottom" wrapText="1"/>
    </xf>
    <xf borderId="15" fillId="0" fontId="23" numFmtId="164" xfId="0" applyAlignment="1" applyBorder="1" applyFont="1" applyNumberFormat="1">
      <alignment horizontal="right" readingOrder="0" shrinkToFit="0" wrapText="1"/>
    </xf>
    <xf borderId="0" fillId="0" fontId="24" numFmtId="0" xfId="0" applyAlignment="1" applyFont="1">
      <alignment readingOrder="0" vertical="top"/>
    </xf>
    <xf borderId="0" fillId="0" fontId="22" numFmtId="0" xfId="0" applyAlignment="1" applyFont="1">
      <alignment readingOrder="0" vertical="top"/>
    </xf>
    <xf borderId="0" fillId="0" fontId="12" numFmtId="164" xfId="0" applyAlignment="1" applyFont="1" applyNumberFormat="1">
      <alignment horizontal="right" readingOrder="0" vertical="bottom"/>
    </xf>
    <xf borderId="0" fillId="9" fontId="20" numFmtId="0" xfId="0" applyAlignment="1" applyFont="1">
      <alignment readingOrder="0"/>
    </xf>
    <xf borderId="0" fillId="9" fontId="19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16" numFmtId="174" xfId="0" applyAlignment="1" applyFont="1" applyNumberFormat="1">
      <alignment horizontal="left" readingOrder="0"/>
    </xf>
    <xf borderId="0" fillId="2" fontId="27" numFmtId="0" xfId="0" applyAlignment="1" applyFont="1">
      <alignment readingOrder="0" vertical="center"/>
    </xf>
    <xf borderId="0" fillId="2" fontId="28" numFmtId="0" xfId="0" applyAlignment="1" applyFont="1">
      <alignment vertical="center"/>
    </xf>
    <xf borderId="0" fillId="0" fontId="29" numFmtId="175" xfId="0" applyAlignment="1" applyFont="1" applyNumberFormat="1">
      <alignment horizontal="right" readingOrder="0"/>
    </xf>
    <xf borderId="23" fillId="0" fontId="30" numFmtId="175" xfId="0" applyAlignment="1" applyBorder="1" applyFont="1" applyNumberFormat="1">
      <alignment horizontal="left" readingOrder="0"/>
    </xf>
    <xf borderId="23" fillId="0" fontId="31" numFmtId="0" xfId="0" applyAlignment="1" applyBorder="1" applyFont="1">
      <alignment readingOrder="0"/>
    </xf>
    <xf borderId="23" fillId="0" fontId="30" numFmtId="0" xfId="0" applyAlignment="1" applyBorder="1" applyFont="1">
      <alignment readingOrder="0"/>
    </xf>
    <xf borderId="24" fillId="0" fontId="30" numFmtId="0" xfId="0" applyAlignment="1" applyBorder="1" applyFont="1">
      <alignment readingOrder="0"/>
    </xf>
    <xf borderId="25" fillId="0" fontId="32" numFmtId="0" xfId="0" applyBorder="1" applyFont="1"/>
    <xf borderId="26" fillId="0" fontId="32" numFmtId="0" xfId="0" applyBorder="1" applyFont="1"/>
    <xf borderId="24" fillId="0" fontId="33" numFmtId="0" xfId="0" applyAlignment="1" applyBorder="1" applyFont="1">
      <alignment readingOrder="0"/>
    </xf>
    <xf borderId="26" fillId="0" fontId="1" numFmtId="0" xfId="0" applyBorder="1" applyFont="1"/>
    <xf borderId="27" fillId="11" fontId="34" numFmtId="0" xfId="0" applyAlignment="1" applyBorder="1" applyFill="1" applyFont="1">
      <alignment readingOrder="0"/>
    </xf>
    <xf borderId="0" fillId="0" fontId="35" numFmtId="169" xfId="0" applyAlignment="1" applyFont="1" applyNumberFormat="1">
      <alignment horizontal="left"/>
    </xf>
    <xf borderId="0" fillId="0" fontId="35" numFmtId="176" xfId="0" applyAlignment="1" applyFont="1" applyNumberFormat="1">
      <alignment horizontal="left"/>
    </xf>
    <xf borderId="0" fillId="6" fontId="31" numFmtId="176" xfId="0" applyAlignment="1" applyFont="1" applyNumberFormat="1">
      <alignment horizontal="left" readingOrder="0"/>
    </xf>
    <xf borderId="0" fillId="6" fontId="31" numFmtId="1" xfId="0" applyAlignment="1" applyFont="1" applyNumberFormat="1">
      <alignment readingOrder="0"/>
    </xf>
    <xf borderId="0" fillId="0" fontId="32" numFmtId="0" xfId="0" applyAlignment="1" applyFont="1">
      <alignment readingOrder="0"/>
    </xf>
    <xf borderId="0" fillId="0" fontId="32" numFmtId="0" xfId="0" applyFont="1"/>
    <xf borderId="0" fillId="8" fontId="15" numFmtId="169" xfId="0" applyFont="1" applyNumberFormat="1"/>
    <xf borderId="0" fillId="0" fontId="35" numFmtId="169" xfId="0" applyAlignment="1" applyFont="1" applyNumberFormat="1">
      <alignment readingOrder="0"/>
    </xf>
    <xf borderId="0" fillId="0" fontId="35" numFmtId="1" xfId="0" applyAlignment="1" applyFont="1" applyNumberFormat="1">
      <alignment readingOrder="0"/>
    </xf>
    <xf borderId="0" fillId="12" fontId="36" numFmtId="1" xfId="0" applyAlignment="1" applyFill="1" applyFont="1" applyNumberFormat="1">
      <alignment readingOrder="0"/>
    </xf>
    <xf borderId="0" fillId="12" fontId="36" numFmtId="9" xfId="0" applyAlignment="1" applyFont="1" applyNumberFormat="1">
      <alignment readingOrder="0"/>
    </xf>
    <xf quotePrefix="1" borderId="27" fillId="13" fontId="37" numFmtId="0" xfId="0" applyAlignment="1" applyBorder="1" applyFill="1" applyFont="1">
      <alignment readingOrder="0"/>
    </xf>
    <xf borderId="0" fillId="0" fontId="35" numFmtId="176" xfId="0" applyAlignment="1" applyFont="1" applyNumberFormat="1">
      <alignment horizontal="left" readingOrder="0"/>
    </xf>
    <xf borderId="0" fillId="0" fontId="31" numFmtId="0" xfId="0" applyAlignment="1" applyFont="1">
      <alignment readingOrder="0"/>
    </xf>
    <xf borderId="0" fillId="0" fontId="32" numFmtId="169" xfId="0" applyFont="1" applyNumberFormat="1"/>
    <xf borderId="0" fillId="0" fontId="30" numFmtId="0" xfId="0" applyFont="1"/>
    <xf borderId="0" fillId="12" fontId="36" numFmtId="169" xfId="0" applyAlignment="1" applyFont="1" applyNumberFormat="1">
      <alignment readingOrder="0"/>
    </xf>
    <xf borderId="0" fillId="6" fontId="31" numFmtId="169" xfId="0" applyAlignment="1" applyFont="1" applyNumberFormat="1">
      <alignment readingOrder="0"/>
    </xf>
    <xf borderId="0" fillId="14" fontId="1" numFmtId="0" xfId="0" applyFill="1" applyFont="1"/>
    <xf borderId="0" fillId="0" fontId="38" numFmtId="176" xfId="0" applyAlignment="1" applyFont="1" applyNumberFormat="1">
      <alignment horizontal="left"/>
    </xf>
    <xf borderId="0" fillId="0" fontId="32" numFmtId="172" xfId="0" applyFont="1" applyNumberFormat="1"/>
    <xf borderId="0" fillId="2" fontId="28" numFmtId="0" xfId="0" applyAlignment="1" applyFont="1">
      <alignment readingOrder="0" vertical="center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2" fontId="39" numFmtId="0" xfId="0" applyAlignment="1" applyFont="1">
      <alignment readingOrder="0" shrinkToFit="0" wrapText="0"/>
    </xf>
    <xf borderId="0" fillId="2" fontId="2" numFmtId="0" xfId="0" applyFont="1"/>
    <xf borderId="0" fillId="0" fontId="39" numFmtId="0" xfId="0" applyAlignment="1" applyFont="1">
      <alignment readingOrder="0" shrinkToFit="0" wrapText="0"/>
    </xf>
    <xf borderId="0" fillId="0" fontId="2" numFmtId="0" xfId="0" applyFont="1"/>
    <xf borderId="0" fillId="12" fontId="1" numFmtId="3" xfId="0" applyAlignment="1" applyFont="1" applyNumberFormat="1">
      <alignment horizontal="center" readingOrder="0"/>
    </xf>
    <xf borderId="0" fillId="0" fontId="1" numFmtId="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10" fillId="3" fontId="9" numFmtId="0" xfId="0" applyAlignment="1" applyBorder="1" applyFont="1">
      <alignment horizontal="center"/>
    </xf>
    <xf borderId="11" fillId="3" fontId="9" numFmtId="0" xfId="0" applyAlignment="1" applyBorder="1" applyFont="1">
      <alignment horizontal="center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0" xfId="0" applyAlignment="1" applyFont="1" applyNumberFormat="1">
      <alignment horizontal="right" vertical="bottom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2" numFmtId="164" xfId="0" applyAlignment="1" applyFont="1" applyNumberFormat="1">
      <alignment horizontal="right" readingOrder="0" shrinkToFit="0" wrapText="1"/>
    </xf>
    <xf borderId="0" fillId="0" fontId="23" numFmtId="10" xfId="0" applyAlignment="1" applyFont="1" applyNumberFormat="1">
      <alignment horizontal="right" readingOrder="0" shrinkToFit="0" wrapText="1"/>
    </xf>
    <xf borderId="0" fillId="0" fontId="40" numFmtId="0" xfId="0" applyAlignment="1" applyFont="1">
      <alignment horizontal="left" readingOrder="0" shrinkToFit="0" vertical="top" wrapText="0"/>
    </xf>
    <xf borderId="0" fillId="0" fontId="40" numFmtId="0" xfId="0" applyAlignment="1" applyFont="1">
      <alignment horizontal="right" shrinkToFit="0" vertical="top" wrapText="0"/>
    </xf>
    <xf borderId="0" fillId="0" fontId="41" numFmtId="0" xfId="0" applyAlignment="1" applyFont="1">
      <alignment horizontal="right" readingOrder="0" shrinkToFit="0" vertical="top" wrapText="0"/>
    </xf>
    <xf borderId="0" fillId="0" fontId="42" numFmtId="0" xfId="0" applyAlignment="1" applyFont="1">
      <alignment horizontal="left" readingOrder="0" shrinkToFit="0" vertical="top" wrapText="0"/>
    </xf>
    <xf borderId="0" fillId="0" fontId="41" numFmtId="0" xfId="0" applyAlignment="1" applyFont="1">
      <alignment horizontal="right" shrinkToFit="0" vertical="top" wrapText="0"/>
    </xf>
    <xf borderId="0" fillId="0" fontId="43" numFmtId="0" xfId="0" applyAlignment="1" applyFont="1">
      <alignment horizontal="right" readingOrder="0" shrinkToFit="0" vertical="top" wrapText="0"/>
    </xf>
    <xf borderId="0" fillId="0" fontId="44" numFmtId="0" xfId="0" applyAlignment="1" applyFont="1">
      <alignment horizontal="right" shrinkToFit="0" vertical="top" wrapText="0"/>
    </xf>
    <xf borderId="0" fillId="0" fontId="41" numFmtId="0" xfId="0" applyAlignment="1" applyFont="1">
      <alignment horizontal="left" readingOrder="0" shrinkToFit="0" vertical="top" wrapText="0"/>
    </xf>
    <xf borderId="0" fillId="0" fontId="43" numFmtId="0" xfId="0" applyAlignment="1" applyFont="1">
      <alignment horizontal="right" shrinkToFit="0" vertical="top" wrapText="0"/>
    </xf>
    <xf borderId="0" fillId="0" fontId="45" numFmtId="0" xfId="0" applyAlignment="1" applyFont="1">
      <alignment shrinkToFit="0" vertical="top" wrapText="0"/>
    </xf>
    <xf borderId="0" fillId="0" fontId="45" numFmtId="0" xfId="0" applyAlignment="1" applyFont="1">
      <alignment shrinkToFit="0" vertical="bottom" wrapText="0"/>
    </xf>
    <xf borderId="0" fillId="0" fontId="46" numFmtId="0" xfId="0" applyAlignment="1" applyFont="1">
      <alignment shrinkToFit="0" vertical="top" wrapText="0"/>
    </xf>
    <xf borderId="0" fillId="0" fontId="45" numFmtId="0" xfId="0" applyAlignment="1" applyFont="1">
      <alignment horizontal="right" shrinkToFit="0" vertical="top" wrapText="0"/>
    </xf>
    <xf borderId="0" fillId="0" fontId="45" numFmtId="0" xfId="0" applyAlignment="1" applyFont="1">
      <alignment horizontal="left" shrinkToFit="0" vertical="bottom" wrapText="0"/>
    </xf>
    <xf borderId="0" fillId="15" fontId="43" numFmtId="0" xfId="0" applyAlignment="1" applyFill="1" applyFont="1">
      <alignment horizontal="center" readingOrder="0" shrinkToFit="0" vertical="bottom" wrapText="0"/>
    </xf>
    <xf borderId="0" fillId="0" fontId="45" numFmtId="0" xfId="0" applyAlignment="1" applyFont="1">
      <alignment horizontal="right" shrinkToFit="0" vertical="bottom" wrapText="0"/>
    </xf>
    <xf borderId="28" fillId="15" fontId="43" numFmtId="0" xfId="0" applyAlignment="1" applyBorder="1" applyFont="1">
      <alignment horizontal="center" readingOrder="0" shrinkToFit="0" vertical="bottom" wrapText="0"/>
    </xf>
    <xf borderId="0" fillId="0" fontId="41" numFmtId="0" xfId="0" applyAlignment="1" applyFont="1">
      <alignment horizontal="left" readingOrder="0" shrinkToFit="0" wrapText="0"/>
    </xf>
    <xf borderId="29" fillId="16" fontId="47" numFmtId="0" xfId="0" applyAlignment="1" applyBorder="1" applyFill="1" applyFont="1">
      <alignment horizontal="center" readingOrder="0" shrinkToFit="0" wrapText="0"/>
    </xf>
    <xf borderId="30" fillId="16" fontId="47" numFmtId="0" xfId="0" applyAlignment="1" applyBorder="1" applyFont="1">
      <alignment horizontal="center" readingOrder="0" shrinkToFit="0" wrapText="0"/>
    </xf>
    <xf borderId="30" fillId="17" fontId="47" numFmtId="0" xfId="0" applyAlignment="1" applyBorder="1" applyFill="1" applyFont="1">
      <alignment horizontal="center" readingOrder="0" shrinkToFit="0" wrapText="0"/>
    </xf>
    <xf borderId="0" fillId="0" fontId="40" numFmtId="0" xfId="0" applyAlignment="1" applyFont="1">
      <alignment horizontal="right" shrinkToFit="0" wrapText="0"/>
    </xf>
    <xf borderId="27" fillId="16" fontId="47" numFmtId="177" xfId="0" applyAlignment="1" applyBorder="1" applyFont="1" applyNumberFormat="1">
      <alignment horizontal="center" readingOrder="0" shrinkToFit="0" wrapText="0"/>
    </xf>
    <xf borderId="27" fillId="16" fontId="47" numFmtId="178" xfId="0" applyAlignment="1" applyBorder="1" applyFont="1" applyNumberFormat="1">
      <alignment horizontal="center" readingOrder="0" shrinkToFit="0" wrapText="0"/>
    </xf>
    <xf borderId="31" fillId="17" fontId="47" numFmtId="177" xfId="0" applyAlignment="1" applyBorder="1" applyFont="1" applyNumberFormat="1">
      <alignment horizontal="center" readingOrder="0" shrinkToFit="0" wrapText="0"/>
    </xf>
    <xf borderId="31" fillId="17" fontId="47" numFmtId="178" xfId="0" applyAlignment="1" applyBorder="1" applyFont="1" applyNumberFormat="1">
      <alignment horizontal="center" readingOrder="0" shrinkToFit="0" wrapText="0"/>
    </xf>
    <xf borderId="0" fillId="0" fontId="42" numFmtId="0" xfId="0" applyAlignment="1" applyFont="1">
      <alignment horizontal="right" shrinkToFit="0" vertical="top" wrapText="0"/>
    </xf>
    <xf borderId="32" fillId="0" fontId="48" numFmtId="0" xfId="0" applyAlignment="1" applyBorder="1" applyFont="1">
      <alignment horizontal="center"/>
    </xf>
    <xf borderId="0" fillId="0" fontId="44" numFmtId="3" xfId="0" applyAlignment="1" applyFont="1" applyNumberFormat="1">
      <alignment horizontal="right" readingOrder="0" shrinkToFit="0" wrapText="0"/>
    </xf>
    <xf borderId="0" fillId="0" fontId="49" numFmtId="3" xfId="0" applyAlignment="1" applyFont="1" applyNumberFormat="1">
      <alignment horizontal="right" readingOrder="0" shrinkToFit="0" wrapText="0"/>
    </xf>
    <xf borderId="32" fillId="0" fontId="48" numFmtId="179" xfId="0" applyAlignment="1" applyBorder="1" applyFont="1" applyNumberFormat="1">
      <alignment horizontal="center" readingOrder="0"/>
    </xf>
    <xf borderId="0" fillId="0" fontId="50" numFmtId="0" xfId="0" applyAlignment="1" applyFont="1">
      <alignment horizontal="right" shrinkToFit="0" vertical="top" wrapText="0"/>
    </xf>
    <xf borderId="0" fillId="0" fontId="51" numFmtId="0" xfId="0" applyAlignment="1" applyFont="1">
      <alignment readingOrder="0" shrinkToFit="0" vertical="bottom" wrapText="0"/>
    </xf>
    <xf borderId="33" fillId="0" fontId="42" numFmtId="0" xfId="0" applyAlignment="1" applyBorder="1" applyFont="1">
      <alignment horizontal="left" readingOrder="0" shrinkToFit="0" wrapText="0"/>
    </xf>
    <xf borderId="33" fillId="0" fontId="52" numFmtId="3" xfId="0" applyAlignment="1" applyBorder="1" applyFont="1" applyNumberFormat="1">
      <alignment horizontal="right" readingOrder="0" shrinkToFit="0" wrapText="0"/>
    </xf>
    <xf borderId="33" fillId="0" fontId="52" numFmtId="169" xfId="0" applyAlignment="1" applyBorder="1" applyFont="1" applyNumberFormat="1">
      <alignment horizontal="right" readingOrder="0" shrinkToFit="0" wrapText="0"/>
    </xf>
    <xf borderId="0" fillId="0" fontId="41" numFmtId="0" xfId="0" applyAlignment="1" applyFont="1">
      <alignment horizontal="left" shrinkToFit="0" vertical="top" wrapText="0"/>
    </xf>
    <xf borderId="0" fillId="0" fontId="43" numFmtId="0" xfId="0" applyAlignment="1" applyFont="1">
      <alignment horizontal="left" readingOrder="0" shrinkToFit="0" wrapText="0"/>
    </xf>
    <xf borderId="0" fillId="18" fontId="45" numFmtId="0" xfId="0" applyAlignment="1" applyFill="1" applyFont="1">
      <alignment horizontal="right" shrinkToFit="0" wrapText="0"/>
    </xf>
    <xf borderId="0" fillId="0" fontId="53" numFmtId="9" xfId="0" applyAlignment="1" applyFont="1" applyNumberFormat="1">
      <alignment horizontal="right" readingOrder="0" shrinkToFit="0" wrapText="0"/>
    </xf>
    <xf borderId="0" fillId="0" fontId="45" numFmtId="0" xfId="0" applyAlignment="1" applyFont="1">
      <alignment horizontal="right" shrinkToFit="0" wrapText="0"/>
    </xf>
    <xf borderId="0" fillId="0" fontId="41" numFmtId="0" xfId="0" applyAlignment="1" applyFont="1">
      <alignment horizontal="left" shrinkToFit="0" wrapText="0"/>
    </xf>
    <xf borderId="0" fillId="0" fontId="44" numFmtId="0" xfId="0" applyAlignment="1" applyFont="1">
      <alignment horizontal="right" readingOrder="0" shrinkToFit="0" wrapText="0"/>
    </xf>
    <xf borderId="0" fillId="0" fontId="49" numFmtId="0" xfId="0" applyAlignment="1" applyFont="1">
      <alignment horizontal="right" readingOrder="0" shrinkToFit="0" wrapText="0"/>
    </xf>
    <xf borderId="33" fillId="0" fontId="41" numFmtId="0" xfId="0" applyAlignment="1" applyBorder="1" applyFont="1">
      <alignment horizontal="left" readingOrder="0" shrinkToFit="0" wrapText="0"/>
    </xf>
    <xf borderId="34" fillId="0" fontId="44" numFmtId="3" xfId="0" applyAlignment="1" applyBorder="1" applyFont="1" applyNumberFormat="1">
      <alignment horizontal="right" readingOrder="0" shrinkToFit="0" wrapText="0"/>
    </xf>
    <xf borderId="0" fillId="0" fontId="52" numFmtId="3" xfId="0" applyAlignment="1" applyFont="1" applyNumberFormat="1">
      <alignment horizontal="right" readingOrder="0" shrinkToFit="0" wrapText="0"/>
    </xf>
    <xf borderId="0" fillId="0" fontId="50" numFmtId="0" xfId="0" applyAlignment="1" applyFont="1">
      <alignment horizontal="right" shrinkToFit="0" wrapText="0"/>
    </xf>
    <xf borderId="0" fillId="0" fontId="53" numFmtId="10" xfId="0" applyAlignment="1" applyFont="1" applyNumberFormat="1">
      <alignment horizontal="right" readingOrder="0" shrinkToFit="0" wrapText="0"/>
    </xf>
    <xf borderId="0" fillId="0" fontId="54" numFmtId="10" xfId="0" applyAlignment="1" applyFont="1" applyNumberFormat="1">
      <alignment horizontal="right" readingOrder="0" shrinkToFit="0" wrapText="0"/>
    </xf>
    <xf borderId="0" fillId="0" fontId="53" numFmtId="0" xfId="0" applyAlignment="1" applyFont="1">
      <alignment horizontal="right" shrinkToFit="0" wrapText="0"/>
    </xf>
    <xf borderId="0" fillId="0" fontId="54" numFmtId="9" xfId="0" applyAlignment="1" applyFont="1" applyNumberFormat="1">
      <alignment horizontal="right" readingOrder="0" shrinkToFit="0" wrapText="0"/>
    </xf>
    <xf borderId="0" fillId="0" fontId="40" numFmtId="0" xfId="0" applyAlignment="1" applyFont="1">
      <alignment horizontal="left" shrinkToFit="0" vertical="top" wrapText="0"/>
    </xf>
    <xf quotePrefix="1" borderId="0" fillId="0" fontId="23" numFmtId="0" xfId="0" applyAlignment="1" applyFont="1">
      <alignment horizontal="left" readingOrder="0" shrinkToFit="0" wrapText="1"/>
    </xf>
    <xf borderId="33" fillId="0" fontId="44" numFmtId="3" xfId="0" applyAlignment="1" applyBorder="1" applyFont="1" applyNumberFormat="1">
      <alignment horizontal="right" readingOrder="0" shrinkToFit="0" wrapText="0"/>
    </xf>
    <xf borderId="0" fillId="0" fontId="44" numFmtId="0" xfId="0" applyAlignment="1" applyFont="1">
      <alignment horizontal="right" shrinkToFit="0" wrapText="0"/>
    </xf>
    <xf borderId="0" fillId="0" fontId="43" numFmtId="0" xfId="0" applyAlignment="1" applyFont="1">
      <alignment horizontal="left" shrinkToFit="0" vertical="top" wrapText="0"/>
    </xf>
    <xf borderId="0" fillId="0" fontId="43" numFmtId="0" xfId="0" applyAlignment="1" applyFont="1">
      <alignment horizontal="left" shrinkToFit="0" wrapText="0"/>
    </xf>
    <xf borderId="0" fillId="18" fontId="40" numFmtId="0" xfId="0" applyAlignment="1" applyFont="1">
      <alignment horizontal="right" shrinkToFit="0" wrapText="0"/>
    </xf>
    <xf borderId="33" fillId="0" fontId="52" numFmtId="0" xfId="0" applyAlignment="1" applyBorder="1" applyFont="1">
      <alignment horizontal="right" readingOrder="0" shrinkToFit="0" wrapText="0"/>
    </xf>
    <xf borderId="0" fillId="0" fontId="42" numFmtId="0" xfId="0" applyAlignment="1" applyFont="1">
      <alignment horizontal="left" shrinkToFit="0" wrapText="0"/>
    </xf>
    <xf borderId="0" fillId="0" fontId="52" numFmtId="0" xfId="0" applyAlignment="1" applyFont="1">
      <alignment horizontal="right" shrinkToFit="0" wrapText="0"/>
    </xf>
    <xf borderId="0" fillId="0" fontId="55" numFmtId="0" xfId="0" applyAlignment="1" applyFont="1">
      <alignment horizontal="left" shrinkToFit="0" wrapText="0"/>
    </xf>
    <xf borderId="0" fillId="0" fontId="12" numFmtId="0" xfId="0" applyAlignment="1" applyFont="1">
      <alignment horizontal="left" readingOrder="0" shrinkToFit="0" wrapText="1"/>
    </xf>
    <xf borderId="0" fillId="0" fontId="16" numFmtId="166" xfId="0" applyAlignment="1" applyFont="1" applyNumberFormat="1">
      <alignment horizontal="left" readingOrder="0"/>
    </xf>
    <xf borderId="0" fillId="0" fontId="23" numFmtId="10" xfId="0" applyAlignment="1" applyFont="1" applyNumberFormat="1">
      <alignment horizontal="right" shrinkToFit="0" wrapText="1"/>
    </xf>
    <xf borderId="0" fillId="5" fontId="11" numFmtId="164" xfId="0" applyAlignment="1" applyFont="1" applyNumberFormat="1">
      <alignment horizontal="right" readingOrder="0" shrinkToFit="0" wrapText="1"/>
    </xf>
    <xf borderId="0" fillId="0" fontId="56" numFmtId="0" xfId="0" applyAlignment="1" applyFont="1">
      <alignment horizontal="center" shrinkToFit="0" wrapText="0"/>
    </xf>
    <xf borderId="0" fillId="0" fontId="57" numFmtId="0" xfId="0" applyAlignment="1" applyFont="1">
      <alignment horizontal="center" shrinkToFit="0" wrapText="0"/>
    </xf>
    <xf borderId="35" fillId="0" fontId="3" numFmtId="0" xfId="0" applyAlignment="1" applyBorder="1" applyFont="1">
      <alignment horizontal="center" shrinkToFit="0" wrapText="1"/>
    </xf>
    <xf borderId="0" fillId="0" fontId="12" numFmtId="167" xfId="0" applyAlignment="1" applyFont="1" applyNumberFormat="1">
      <alignment horizontal="right" shrinkToFit="0" wrapText="1"/>
    </xf>
    <xf borderId="33" fillId="0" fontId="11" numFmtId="168" xfId="0" applyAlignment="1" applyBorder="1" applyFont="1" applyNumberFormat="1">
      <alignment horizontal="right" shrinkToFit="0" wrapText="1"/>
    </xf>
    <xf borderId="16" fillId="0" fontId="11" numFmtId="10" xfId="0" applyAlignment="1" applyBorder="1" applyFont="1" applyNumberFormat="1">
      <alignment horizontal="right" readingOrder="0" shrinkToFit="0" wrapText="1"/>
    </xf>
    <xf borderId="0" fillId="0" fontId="25" numFmtId="10" xfId="0" applyAlignment="1" applyFont="1" applyNumberFormat="1">
      <alignment horizontal="right" shrinkToFit="0" vertical="bottom" wrapText="1"/>
    </xf>
    <xf borderId="16" fillId="0" fontId="11" numFmtId="9" xfId="0" applyAlignment="1" applyBorder="1" applyFont="1" applyNumberFormat="1">
      <alignment horizontal="right" readingOrder="0" shrinkToFit="0" wrapText="1"/>
    </xf>
    <xf borderId="15" fillId="0" fontId="11" numFmtId="169" xfId="0" applyAlignment="1" applyBorder="1" applyFont="1" applyNumberFormat="1">
      <alignment horizontal="right" readingOrder="0" shrinkToFit="0" wrapText="1"/>
    </xf>
    <xf borderId="0" fillId="9" fontId="18" numFmtId="0" xfId="0" applyAlignment="1" applyFont="1">
      <alignment horizontal="left" readingOrder="0" shrinkToFit="0" wrapText="1"/>
    </xf>
    <xf borderId="0" fillId="12" fontId="23" numFmtId="164" xfId="0" applyAlignment="1" applyFont="1" applyNumberFormat="1">
      <alignment horizontal="right" readingOrder="0" shrinkToFit="0" wrapText="1"/>
    </xf>
    <xf borderId="15" fillId="9" fontId="18" numFmtId="164" xfId="0" applyAlignment="1" applyBorder="1" applyFont="1" applyNumberFormat="1">
      <alignment horizontal="right" shrinkToFit="0" wrapText="1"/>
    </xf>
    <xf borderId="0" fillId="0" fontId="18" numFmtId="164" xfId="0" applyAlignment="1" applyFont="1" applyNumberFormat="1">
      <alignment horizontal="right" shrinkToFit="0" wrapText="1"/>
    </xf>
    <xf borderId="0" fillId="0" fontId="23" numFmtId="9" xfId="0" applyAlignment="1" applyFont="1" applyNumberFormat="1">
      <alignment horizontal="right" shrinkToFit="0" wrapText="1"/>
    </xf>
    <xf borderId="15" fillId="9" fontId="18" numFmtId="164" xfId="0" applyAlignment="1" applyBorder="1" applyFont="1" applyNumberFormat="1">
      <alignment horizontal="right" readingOrder="0" shrinkToFit="0" wrapText="1"/>
    </xf>
    <xf borderId="0" fillId="9" fontId="23" numFmtId="164" xfId="0" applyAlignment="1" applyFont="1" applyNumberFormat="1">
      <alignment horizontal="right" shrinkToFit="0" wrapText="1"/>
    </xf>
    <xf borderId="0" fillId="0" fontId="23" numFmtId="3" xfId="0" applyAlignment="1" applyFont="1" applyNumberFormat="1">
      <alignment horizontal="right" readingOrder="0" shrinkToFit="0" wrapText="1"/>
    </xf>
    <xf borderId="15" fillId="9" fontId="23" numFmtId="164" xfId="0" applyAlignment="1" applyBorder="1" applyFont="1" applyNumberFormat="1">
      <alignment horizontal="right" shrinkToFit="0" wrapText="1"/>
    </xf>
    <xf borderId="0" fillId="9" fontId="58" numFmtId="164" xfId="0" applyAlignment="1" applyFont="1" applyNumberFormat="1">
      <alignment horizontal="right" shrinkToFit="0" vertical="bottom" wrapText="1"/>
    </xf>
    <xf borderId="16" fillId="9" fontId="18" numFmtId="164" xfId="0" applyAlignment="1" applyBorder="1" applyFont="1" applyNumberFormat="1">
      <alignment horizontal="right" shrinkToFit="0" wrapText="1"/>
    </xf>
    <xf borderId="0" fillId="0" fontId="18" numFmtId="9" xfId="0" applyAlignment="1" applyFont="1" applyNumberFormat="1">
      <alignment horizontal="right" shrinkToFit="0" wrapText="1"/>
    </xf>
    <xf borderId="15" fillId="0" fontId="23" numFmtId="164" xfId="0" applyAlignment="1" applyBorder="1" applyFont="1" applyNumberFormat="1">
      <alignment horizontal="right" shrinkToFit="0" wrapText="1"/>
    </xf>
    <xf borderId="0" fillId="0" fontId="12" numFmtId="0" xfId="0" applyAlignment="1" applyFont="1">
      <alignment horizontal="center" shrinkToFit="0" wrapText="0"/>
    </xf>
    <xf borderId="0" fillId="0" fontId="59" numFmtId="164" xfId="0" applyAlignment="1" applyFont="1" applyNumberFormat="1">
      <alignment readingOrder="0" shrinkToFit="0" vertical="bottom" wrapText="0"/>
    </xf>
    <xf borderId="0" fillId="0" fontId="59" numFmtId="164" xfId="0" applyAlignment="1" applyFont="1" applyNumberFormat="1">
      <alignment readingOrder="0" shrinkToFit="0" vertical="bottom" wrapText="0"/>
    </xf>
    <xf borderId="0" fillId="0" fontId="56" numFmtId="0" xfId="0" applyAlignment="1" applyFont="1">
      <alignment horizontal="center" readingOrder="0" shrinkToFit="0" vertical="bottom" wrapText="0"/>
    </xf>
    <xf borderId="0" fillId="0" fontId="60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35" fillId="0" fontId="3" numFmtId="165" xfId="0" applyAlignment="1" applyBorder="1" applyFont="1" applyNumberFormat="1">
      <alignment horizontal="center" readingOrder="0" vertical="bottom"/>
    </xf>
    <xf borderId="35" fillId="0" fontId="3" numFmtId="166" xfId="0" applyAlignment="1" applyBorder="1" applyFont="1" applyNumberFormat="1">
      <alignment horizontal="center" readingOrder="0" vertical="bottom"/>
    </xf>
    <xf borderId="35" fillId="0" fontId="3" numFmtId="0" xfId="0" applyAlignment="1" applyBorder="1" applyFont="1">
      <alignment horizontal="center" readingOrder="0" vertical="bottom"/>
    </xf>
    <xf borderId="16" fillId="9" fontId="23" numFmtId="164" xfId="0" applyAlignment="1" applyBorder="1" applyFont="1" applyNumberFormat="1">
      <alignment horizontal="right" shrinkToFit="0" wrapText="1"/>
    </xf>
    <xf borderId="0" fillId="0" fontId="11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right" readingOrder="0" vertical="bottom"/>
    </xf>
    <xf borderId="0" fillId="0" fontId="12" numFmtId="4" xfId="0" applyAlignment="1" applyFont="1" applyNumberFormat="1">
      <alignment horizontal="right" readingOrder="0" vertical="bottom"/>
    </xf>
    <xf borderId="33" fillId="0" fontId="11" numFmtId="172" xfId="0" applyAlignment="1" applyBorder="1" applyFont="1" applyNumberFormat="1">
      <alignment horizontal="right" readingOrder="0" vertical="bottom"/>
    </xf>
    <xf borderId="0" fillId="0" fontId="11" numFmtId="0" xfId="0" applyAlignment="1" applyFont="1">
      <alignment horizontal="left" vertical="bottom"/>
    </xf>
    <xf borderId="0" fillId="12" fontId="1" numFmtId="0" xfId="0" applyAlignment="1" applyFont="1">
      <alignment readingOrder="0"/>
    </xf>
    <xf borderId="0" fillId="12" fontId="23" numFmtId="0" xfId="0" applyAlignment="1" applyFont="1">
      <alignment horizontal="left" readingOrder="0" shrinkToFit="0" wrapText="1"/>
    </xf>
    <xf borderId="0" fillId="12" fontId="59" numFmtId="164" xfId="0" applyAlignment="1" applyFont="1" applyNumberFormat="1">
      <alignment readingOrder="0" shrinkToFit="0" vertical="bottom" wrapText="0"/>
    </xf>
    <xf borderId="0" fillId="12" fontId="12" numFmtId="167" xfId="0" applyAlignment="1" applyFont="1" applyNumberFormat="1">
      <alignment shrinkToFit="0" wrapText="1"/>
    </xf>
    <xf borderId="15" fillId="12" fontId="23" numFmtId="164" xfId="0" applyAlignment="1" applyBorder="1" applyFont="1" applyNumberFormat="1">
      <alignment horizontal="right" shrinkToFit="0" wrapText="1"/>
    </xf>
    <xf borderId="0" fillId="12" fontId="23" numFmtId="164" xfId="0" applyAlignment="1" applyFont="1" applyNumberFormat="1">
      <alignment horizontal="right" shrinkToFit="0" wrapText="1"/>
    </xf>
    <xf borderId="15" fillId="12" fontId="23" numFmtId="164" xfId="0" applyAlignment="1" applyBorder="1" applyFont="1" applyNumberFormat="1">
      <alignment horizontal="right" readingOrder="0" shrinkToFit="0" wrapText="1"/>
    </xf>
    <xf borderId="0" fillId="12" fontId="23" numFmtId="9" xfId="0" applyAlignment="1" applyFont="1" applyNumberFormat="1">
      <alignment horizontal="right" shrinkToFit="0" wrapText="1"/>
    </xf>
    <xf borderId="0" fillId="6" fontId="16" numFmtId="0" xfId="0" applyAlignment="1" applyFont="1">
      <alignment readingOrder="0"/>
    </xf>
    <xf borderId="35" fillId="0" fontId="3" numFmtId="0" xfId="0" applyAlignment="1" applyBorder="1" applyFont="1">
      <alignment horizontal="center" readingOrder="0" shrinkToFit="0" wrapText="1"/>
    </xf>
    <xf borderId="0" fillId="0" fontId="12" numFmtId="167" xfId="0" applyAlignment="1" applyFont="1" applyNumberFormat="1">
      <alignment readingOrder="0" shrinkToFit="0" wrapText="1"/>
    </xf>
    <xf borderId="0" fillId="0" fontId="12" numFmtId="9" xfId="0" applyAlignment="1" applyFont="1" applyNumberFormat="1">
      <alignment shrinkToFit="0" wrapText="1"/>
    </xf>
    <xf borderId="0" fillId="0" fontId="12" numFmtId="9" xfId="0" applyAlignment="1" applyFont="1" applyNumberFormat="1">
      <alignment readingOrder="0" shrinkToFit="0" wrapText="1"/>
    </xf>
    <xf borderId="0" fillId="0" fontId="14" numFmtId="169" xfId="0" applyAlignment="1" applyFont="1" applyNumberFormat="1">
      <alignment horizontal="right" vertical="bottom"/>
    </xf>
    <xf borderId="0" fillId="0" fontId="14" numFmtId="10" xfId="0" applyAlignment="1" applyFont="1" applyNumberFormat="1">
      <alignment horizontal="right" vertical="bottom"/>
    </xf>
    <xf borderId="0" fillId="0" fontId="61" numFmtId="0" xfId="0" applyAlignment="1" applyFont="1">
      <alignment vertical="bottom"/>
    </xf>
    <xf borderId="0" fillId="3" fontId="62" numFmtId="169" xfId="0" applyAlignment="1" applyFont="1" applyNumberFormat="1">
      <alignment horizontal="right" vertical="bottom"/>
    </xf>
    <xf borderId="0" fillId="0" fontId="62" numFmtId="169" xfId="0" applyAlignment="1" applyFont="1" applyNumberFormat="1">
      <alignment horizontal="right" vertical="bottom"/>
    </xf>
    <xf borderId="36" fillId="0" fontId="62" numFmtId="169" xfId="0" applyAlignment="1" applyBorder="1" applyFont="1" applyNumberFormat="1">
      <alignment horizontal="right" vertical="bottom"/>
    </xf>
    <xf borderId="0" fillId="0" fontId="61" numFmtId="169" xfId="0" applyAlignment="1" applyFont="1" applyNumberFormat="1">
      <alignment horizontal="right" vertical="bottom"/>
    </xf>
    <xf borderId="37" fillId="0" fontId="61" numFmtId="169" xfId="0" applyAlignment="1" applyBorder="1" applyFont="1" applyNumberFormat="1">
      <alignment horizontal="right" readingOrder="0" vertical="bottom"/>
    </xf>
    <xf borderId="38" fillId="0" fontId="61" numFmtId="169" xfId="0" applyAlignment="1" applyBorder="1" applyFont="1" applyNumberFormat="1">
      <alignment horizontal="right" readingOrder="0" vertical="bottom"/>
    </xf>
    <xf borderId="39" fillId="0" fontId="61" numFmtId="169" xfId="0" applyAlignment="1" applyBorder="1" applyFont="1" applyNumberFormat="1">
      <alignment horizontal="right" readingOrder="0" vertical="bottom"/>
    </xf>
    <xf borderId="0" fillId="12" fontId="2" numFmtId="164" xfId="0" applyAlignment="1" applyFont="1" applyNumberFormat="1">
      <alignment vertical="bottom"/>
    </xf>
    <xf borderId="16" fillId="12" fontId="23" numFmtId="164" xfId="0" applyAlignment="1" applyBorder="1" applyFont="1" applyNumberFormat="1">
      <alignment horizontal="right" shrinkToFit="0" wrapText="1"/>
    </xf>
    <xf borderId="0" fillId="12" fontId="25" numFmtId="164" xfId="0" applyAlignment="1" applyFont="1" applyNumberFormat="1">
      <alignment horizontal="right" shrinkToFit="0" vertical="bottom" wrapText="1"/>
    </xf>
    <xf borderId="16" fillId="12" fontId="23" numFmtId="164" xfId="0" applyAlignment="1" applyBorder="1" applyFont="1" applyNumberFormat="1">
      <alignment horizontal="right" readingOrder="0" shrinkToFit="0" wrapText="1"/>
    </xf>
    <xf borderId="0" fillId="0" fontId="25" numFmtId="164" xfId="0" applyAlignment="1" applyFont="1" applyNumberFormat="1">
      <alignment horizontal="right" readingOrder="0"/>
    </xf>
    <xf borderId="0" fillId="0" fontId="23" numFmtId="168" xfId="0" applyAlignment="1" applyFont="1" applyNumberFormat="1">
      <alignment horizontal="right" readingOrder="0" shrinkToFit="0" wrapText="1"/>
    </xf>
    <xf borderId="16" fillId="0" fontId="23" numFmtId="164" xfId="0" applyAlignment="1" applyBorder="1" applyFont="1" applyNumberFormat="1">
      <alignment horizontal="right" shrinkToFit="0" wrapText="1"/>
    </xf>
    <xf borderId="0" fillId="0" fontId="18" numFmtId="0" xfId="0" applyAlignment="1" applyFont="1">
      <alignment horizontal="left" readingOrder="0" shrinkToFit="0" wrapText="1"/>
    </xf>
    <xf borderId="0" fillId="0" fontId="18" numFmtId="164" xfId="0" applyAlignment="1" applyFont="1" applyNumberFormat="1">
      <alignment horizontal="right" readingOrder="0" shrinkToFit="0" wrapText="1"/>
    </xf>
    <xf borderId="0" fillId="0" fontId="11" numFmtId="167" xfId="0" applyAlignment="1" applyFont="1" applyNumberFormat="1">
      <alignment shrinkToFit="0" wrapText="1"/>
    </xf>
    <xf borderId="15" fillId="0" fontId="18" numFmtId="164" xfId="0" applyAlignment="1" applyBorder="1" applyFont="1" applyNumberFormat="1">
      <alignment horizontal="right" shrinkToFit="0" wrapText="1"/>
    </xf>
    <xf borderId="15" fillId="0" fontId="18" numFmtId="164" xfId="0" applyAlignment="1" applyBorder="1" applyFont="1" applyNumberFormat="1">
      <alignment horizontal="right" readingOrder="0" shrinkToFit="0" wrapText="1"/>
    </xf>
    <xf borderId="0" fillId="0" fontId="12" numFmtId="168" xfId="0" applyAlignment="1" applyFont="1" applyNumberFormat="1">
      <alignment horizontal="right" readingOrder="0" vertical="bottom"/>
    </xf>
    <xf borderId="0" fillId="0" fontId="11" numFmtId="167" xfId="0" applyAlignment="1" applyFont="1" applyNumberFormat="1">
      <alignment readingOrder="0" shrinkToFit="0" wrapText="1"/>
    </xf>
    <xf borderId="15" fillId="0" fontId="23" numFmtId="10" xfId="0" applyAlignment="1" applyBorder="1" applyFont="1" applyNumberFormat="1">
      <alignment horizontal="right" shrinkToFit="0" wrapText="1"/>
    </xf>
    <xf borderId="0" fillId="0" fontId="58" numFmtId="164" xfId="0" applyAlignment="1" applyFont="1" applyNumberFormat="1">
      <alignment horizontal="right" shrinkToFit="0" vertical="bottom" wrapText="1"/>
    </xf>
    <xf borderId="16" fillId="0" fontId="18" numFmtId="164" xfId="0" applyAlignment="1" applyBorder="1" applyFont="1" applyNumberFormat="1">
      <alignment horizontal="right" shrinkToFit="0" wrapText="1"/>
    </xf>
    <xf borderId="0" fillId="0" fontId="23" numFmtId="168" xfId="0" applyAlignment="1" applyFont="1" applyNumberFormat="1">
      <alignment horizontal="right" shrinkToFit="0" wrapText="1"/>
    </xf>
    <xf borderId="0" fillId="0" fontId="63" numFmtId="164" xfId="0" applyAlignment="1" applyFont="1" applyNumberFormat="1">
      <alignment horizontal="right" readingOrder="0" shrinkToFit="0" wrapText="1"/>
    </xf>
    <xf borderId="0" fillId="9" fontId="18" numFmtId="164" xfId="0" applyAlignment="1" applyFont="1" applyNumberFormat="1">
      <alignment horizontal="right" readingOrder="0" shrinkToFit="0" wrapText="1"/>
    </xf>
    <xf borderId="0" fillId="0" fontId="25" numFmtId="10" xfId="0" applyAlignment="1" applyFont="1" applyNumberFormat="1">
      <alignment horizontal="right" readingOrder="0"/>
    </xf>
    <xf borderId="0" fillId="0" fontId="25" numFmtId="172" xfId="0" applyAlignment="1" applyFont="1" applyNumberFormat="1">
      <alignment horizontal="right" readingOrder="0"/>
    </xf>
    <xf borderId="0" fillId="9" fontId="23" numFmtId="0" xfId="0" applyAlignment="1" applyFont="1">
      <alignment horizontal="left" readingOrder="0" shrinkToFit="0" wrapText="1"/>
    </xf>
    <xf borderId="16" fillId="0" fontId="23" numFmtId="10" xfId="0" applyAlignment="1" applyBorder="1" applyFont="1" applyNumberFormat="1">
      <alignment horizontal="right" shrinkToFit="0" wrapText="1"/>
    </xf>
    <xf borderId="40" fillId="5" fontId="11" numFmtId="164" xfId="0" applyAlignment="1" applyBorder="1" applyFont="1" applyNumberFormat="1">
      <alignment horizontal="right" readingOrder="0" shrinkToFit="0" wrapText="1"/>
    </xf>
    <xf borderId="0" fillId="5" fontId="11" numFmtId="10" xfId="0" applyAlignment="1" applyFont="1" applyNumberFormat="1">
      <alignment horizontal="right" readingOrder="0" shrinkToFit="0" wrapText="1"/>
    </xf>
    <xf borderId="0" fillId="9" fontId="1" numFmtId="0" xfId="0" applyFont="1"/>
    <xf borderId="0" fillId="9" fontId="23" numFmtId="164" xfId="0" applyAlignment="1" applyFont="1" applyNumberFormat="1">
      <alignment horizontal="right" readingOrder="0" shrinkToFit="0" wrapText="1"/>
    </xf>
    <xf borderId="0" fillId="9" fontId="25" numFmtId="164" xfId="0" applyAlignment="1" applyFont="1" applyNumberFormat="1">
      <alignment horizontal="right" readingOrder="0"/>
    </xf>
    <xf borderId="0" fillId="9" fontId="25" numFmtId="10" xfId="0" applyAlignment="1" applyFont="1" applyNumberFormat="1">
      <alignment horizontal="right" readingOrder="0"/>
    </xf>
    <xf borderId="0" fillId="9" fontId="12" numFmtId="167" xfId="0" applyAlignment="1" applyFont="1" applyNumberFormat="1">
      <alignment shrinkToFit="0" wrapText="1"/>
    </xf>
    <xf borderId="0" fillId="9" fontId="11" numFmtId="164" xfId="0" applyAlignment="1" applyFont="1" applyNumberFormat="1">
      <alignment horizontal="right" readingOrder="0" shrinkToFit="0" wrapText="1"/>
    </xf>
    <xf borderId="15" fillId="9" fontId="23" numFmtId="164" xfId="0" applyAlignment="1" applyBorder="1" applyFont="1" applyNumberFormat="1">
      <alignment horizontal="right" readingOrder="0" shrinkToFit="0" wrapText="1"/>
    </xf>
    <xf borderId="0" fillId="0" fontId="12" numFmtId="164" xfId="0" applyAlignment="1" applyFont="1" applyNumberFormat="1">
      <alignment horizontal="right" shrinkToFit="0" wrapText="1"/>
    </xf>
    <xf borderId="15" fillId="0" fontId="12" numFmtId="164" xfId="0" applyAlignment="1" applyBorder="1" applyFont="1" applyNumberFormat="1">
      <alignment horizontal="right" shrinkToFit="0" wrapText="1"/>
    </xf>
    <xf borderId="0" fillId="9" fontId="2" numFmtId="164" xfId="0" applyAlignment="1" applyFont="1" applyNumberFormat="1">
      <alignment vertical="bottom"/>
    </xf>
    <xf borderId="40" fillId="9" fontId="18" numFmtId="164" xfId="0" applyAlignment="1" applyBorder="1" applyFont="1" applyNumberFormat="1">
      <alignment horizontal="right" shrinkToFit="0" wrapText="1"/>
    </xf>
    <xf borderId="0" fillId="0" fontId="23" numFmtId="170" xfId="0" applyAlignment="1" applyFont="1" applyNumberFormat="1">
      <alignment horizontal="right" readingOrder="0" shrinkToFit="0" wrapText="1"/>
    </xf>
    <xf borderId="0" fillId="19" fontId="11" numFmtId="171" xfId="0" applyAlignment="1" applyFill="1" applyFont="1" applyNumberFormat="1">
      <alignment horizontal="left" readingOrder="0" shrinkToFit="0" wrapText="1"/>
    </xf>
    <xf borderId="0" fillId="19" fontId="11" numFmtId="171" xfId="0" applyAlignment="1" applyFont="1" applyNumberFormat="1">
      <alignment horizontal="right" shrinkToFit="0" wrapText="1"/>
    </xf>
    <xf borderId="0" fillId="19" fontId="11" numFmtId="171" xfId="0" applyAlignment="1" applyFont="1" applyNumberFormat="1">
      <alignment horizontal="right" readingOrder="0" shrinkToFit="0" wrapText="1"/>
    </xf>
    <xf borderId="15" fillId="19" fontId="11" numFmtId="171" xfId="0" applyAlignment="1" applyBorder="1" applyFont="1" applyNumberFormat="1">
      <alignment horizontal="right" shrinkToFit="0" wrapText="1"/>
    </xf>
    <xf borderId="0" fillId="0" fontId="11" numFmtId="171" xfId="0" applyAlignment="1" applyFont="1" applyNumberFormat="1">
      <alignment horizontal="right" shrinkToFit="0" wrapText="1"/>
    </xf>
    <xf borderId="0" fillId="3" fontId="64" numFmtId="10" xfId="0" applyFont="1" applyNumberFormat="1"/>
    <xf borderId="15" fillId="0" fontId="65" numFmtId="10" xfId="0" applyBorder="1" applyFont="1" applyNumberFormat="1"/>
    <xf borderId="0" fillId="0" fontId="1" numFmtId="175" xfId="0" applyFont="1" applyNumberFormat="1"/>
    <xf borderId="0" fillId="3" fontId="64" numFmtId="172" xfId="0" applyAlignment="1" applyFont="1" applyNumberFormat="1">
      <alignment readingOrder="0"/>
    </xf>
    <xf borderId="0" fillId="0" fontId="1" numFmtId="175" xfId="0" applyAlignment="1" applyFont="1" applyNumberFormat="1">
      <alignment readingOrder="0"/>
    </xf>
    <xf borderId="15" fillId="0" fontId="1" numFmtId="175" xfId="0" applyBorder="1" applyFont="1" applyNumberFormat="1"/>
    <xf borderId="0" fillId="0" fontId="1" numFmtId="180" xfId="0" applyFont="1" applyNumberFormat="1"/>
    <xf borderId="0" fillId="9" fontId="11" numFmtId="0" xfId="0" applyAlignment="1" applyFont="1">
      <alignment horizontal="left" readingOrder="0" shrinkToFit="0" wrapText="1"/>
    </xf>
    <xf borderId="0" fillId="9" fontId="23" numFmtId="9" xfId="0" applyAlignment="1" applyFont="1" applyNumberFormat="1">
      <alignment horizontal="right" readingOrder="0" shrinkToFit="0" wrapText="1"/>
    </xf>
    <xf borderId="0" fillId="9" fontId="23" numFmtId="9" xfId="0" applyAlignment="1" applyFont="1" applyNumberFormat="1">
      <alignment horizontal="right" shrinkToFit="0" wrapText="1"/>
    </xf>
    <xf borderId="15" fillId="9" fontId="23" numFmtId="9" xfId="0" applyAlignment="1" applyBorder="1" applyFont="1" applyNumberFormat="1">
      <alignment horizontal="right" shrinkToFit="0" wrapText="1"/>
    </xf>
    <xf quotePrefix="1" borderId="0" fillId="9" fontId="23" numFmtId="0" xfId="0" applyAlignment="1" applyFont="1">
      <alignment horizontal="left" readingOrder="0" shrinkToFit="0" wrapText="1"/>
    </xf>
    <xf borderId="15" fillId="9" fontId="23" numFmtId="9" xfId="0" applyAlignment="1" applyBorder="1" applyFont="1" applyNumberFormat="1">
      <alignment horizontal="right" readingOrder="0" shrinkToFit="0" wrapText="1"/>
    </xf>
    <xf borderId="0" fillId="0" fontId="23" numFmtId="9" xfId="0" applyAlignment="1" applyFont="1" applyNumberFormat="1">
      <alignment horizontal="right" readingOrder="0" shrinkToFit="0" wrapText="1"/>
    </xf>
    <xf borderId="15" fillId="0" fontId="23" numFmtId="9" xfId="0" applyAlignment="1" applyBorder="1" applyFont="1" applyNumberFormat="1">
      <alignment horizontal="right" readingOrder="0" shrinkToFit="0" wrapText="1"/>
    </xf>
    <xf borderId="0" fillId="9" fontId="23" numFmtId="169" xfId="0" applyAlignment="1" applyFont="1" applyNumberFormat="1">
      <alignment horizontal="right" readingOrder="0" shrinkToFit="0" wrapText="1"/>
    </xf>
    <xf borderId="15" fillId="9" fontId="23" numFmtId="169" xfId="0" applyAlignment="1" applyBorder="1" applyFont="1" applyNumberFormat="1">
      <alignment horizontal="right" readingOrder="0" shrinkToFit="0" wrapText="1"/>
    </xf>
    <xf quotePrefix="1" borderId="0" fillId="9" fontId="23" numFmtId="0" xfId="0" applyAlignment="1" applyFont="1">
      <alignment horizontal="left" readingOrder="0" shrinkToFit="0" wrapText="1"/>
    </xf>
    <xf borderId="0" fillId="9" fontId="23" numFmtId="171" xfId="0" applyAlignment="1" applyFont="1" applyNumberFormat="1">
      <alignment horizontal="right" readingOrder="0" shrinkToFit="0" wrapText="1"/>
    </xf>
    <xf borderId="0" fillId="0" fontId="23" numFmtId="169" xfId="0" applyAlignment="1" applyFont="1" applyNumberFormat="1">
      <alignment horizontal="right" readingOrder="0" shrinkToFit="0" wrapText="1"/>
    </xf>
    <xf borderId="0" fillId="9" fontId="23" numFmtId="172" xfId="0" applyAlignment="1" applyFont="1" applyNumberFormat="1">
      <alignment horizontal="right" readingOrder="0" shrinkToFit="0" wrapText="1"/>
    </xf>
    <xf borderId="0" fillId="0" fontId="11" numFmtId="0" xfId="0" applyAlignment="1" applyFont="1">
      <alignment horizontal="left" readingOrder="0" shrinkToFit="0" wrapText="1"/>
    </xf>
    <xf borderId="0" fillId="9" fontId="14" numFmtId="0" xfId="0" applyAlignment="1" applyFont="1">
      <alignment readingOrder="0" shrinkToFit="0" vertical="bottom" wrapText="1"/>
    </xf>
    <xf borderId="0" fillId="9" fontId="25" numFmtId="0" xfId="0" applyAlignment="1" applyFont="1">
      <alignment shrinkToFit="0" vertical="bottom" wrapText="1"/>
    </xf>
    <xf borderId="15" fillId="9" fontId="25" numFmtId="0" xfId="0" applyAlignment="1" applyBorder="1" applyFont="1">
      <alignment shrinkToFit="0" vertical="bottom" wrapText="1"/>
    </xf>
    <xf borderId="0" fillId="0" fontId="25" numFmtId="0" xfId="0" applyAlignment="1" applyFont="1">
      <alignment shrinkToFit="0" vertical="bottom" wrapText="1"/>
    </xf>
    <xf quotePrefix="1" borderId="0" fillId="9" fontId="25" numFmtId="0" xfId="0" applyAlignment="1" applyFont="1">
      <alignment readingOrder="0" shrinkToFit="0" vertical="bottom" wrapText="1"/>
    </xf>
    <xf borderId="0" fillId="9" fontId="25" numFmtId="0" xfId="0" applyAlignment="1" applyFont="1">
      <alignment readingOrder="0" shrinkToFit="0" vertical="bottom" wrapText="1"/>
    </xf>
    <xf borderId="15" fillId="9" fontId="25" numFmtId="1" xfId="0" applyAlignment="1" applyBorder="1" applyFont="1" applyNumberFormat="1">
      <alignment shrinkToFit="0" vertical="bottom" wrapText="1"/>
    </xf>
    <xf borderId="0" fillId="9" fontId="66" numFmtId="3" xfId="0" applyAlignment="1" applyFont="1" applyNumberFormat="1">
      <alignment readingOrder="0"/>
    </xf>
    <xf borderId="0" fillId="9" fontId="25" numFmtId="1" xfId="0" applyAlignment="1" applyFont="1" applyNumberFormat="1">
      <alignment shrinkToFit="0" vertical="bottom" wrapText="1"/>
    </xf>
    <xf borderId="0" fillId="0" fontId="25" numFmtId="1" xfId="0" applyAlignment="1" applyFont="1" applyNumberFormat="1">
      <alignment readingOrder="0" shrinkToFit="0" vertical="bottom" wrapText="1"/>
    </xf>
    <xf borderId="0" fillId="9" fontId="25" numFmtId="181" xfId="0" applyAlignment="1" applyFont="1" applyNumberFormat="1">
      <alignment shrinkToFit="0" vertical="bottom" wrapText="1"/>
    </xf>
    <xf borderId="15" fillId="9" fontId="25" numFmtId="181" xfId="0" applyAlignment="1" applyBorder="1" applyFont="1" applyNumberFormat="1">
      <alignment shrinkToFit="0" vertical="bottom" wrapText="1"/>
    </xf>
    <xf borderId="0" fillId="9" fontId="66" numFmtId="9" xfId="0" applyAlignment="1" applyFont="1" applyNumberFormat="1">
      <alignment readingOrder="0"/>
    </xf>
    <xf borderId="15" fillId="9" fontId="66" numFmtId="9" xfId="0" applyAlignment="1" applyBorder="1" applyFont="1" applyNumberFormat="1">
      <alignment readingOrder="0"/>
    </xf>
    <xf borderId="0" fillId="0" fontId="66" numFmtId="3" xfId="0" applyAlignment="1" applyFont="1" applyNumberFormat="1">
      <alignment readingOrder="0"/>
    </xf>
    <xf borderId="0" fillId="0" fontId="66" numFmtId="9" xfId="0" applyAlignment="1" applyFont="1" applyNumberFormat="1">
      <alignment readingOrder="0"/>
    </xf>
    <xf borderId="0" fillId="9" fontId="66" numFmtId="1" xfId="0" applyAlignment="1" applyFont="1" applyNumberFormat="1">
      <alignment readingOrder="0"/>
    </xf>
    <xf borderId="15" fillId="9" fontId="66" numFmtId="3" xfId="0" applyAlignment="1" applyBorder="1" applyFont="1" applyNumberFormat="1">
      <alignment readingOrder="0"/>
    </xf>
    <xf borderId="0" fillId="9" fontId="66" numFmtId="0" xfId="0" applyAlignment="1" applyFont="1">
      <alignment readingOrder="0"/>
    </xf>
    <xf borderId="0" fillId="9" fontId="25" numFmtId="3" xfId="0" applyAlignment="1" applyFont="1" applyNumberFormat="1">
      <alignment shrinkToFit="0" vertical="bottom" wrapText="1"/>
    </xf>
    <xf borderId="0" fillId="9" fontId="66" numFmtId="10" xfId="0" applyAlignment="1" applyFont="1" applyNumberFormat="1">
      <alignment readingOrder="0"/>
    </xf>
    <xf borderId="15" fillId="9" fontId="66" numFmtId="10" xfId="0" applyAlignment="1" applyBorder="1" applyFont="1" applyNumberFormat="1">
      <alignment readingOrder="0"/>
    </xf>
    <xf borderId="0" fillId="9" fontId="66" numFmtId="170" xfId="0" applyAlignment="1" applyFont="1" applyNumberFormat="1">
      <alignment readingOrder="0"/>
    </xf>
    <xf borderId="15" fillId="9" fontId="66" numFmtId="170" xfId="0" applyAlignment="1" applyBorder="1" applyFont="1" applyNumberFormat="1">
      <alignment readingOrder="0"/>
    </xf>
    <xf borderId="0" fillId="0" fontId="66" numFmtId="170" xfId="0" applyAlignment="1" applyFont="1" applyNumberFormat="1">
      <alignment readingOrder="0"/>
    </xf>
    <xf borderId="0" fillId="0" fontId="66" numFmtId="10" xfId="0" applyAlignment="1" applyFont="1" applyNumberFormat="1">
      <alignment readingOrder="0"/>
    </xf>
    <xf borderId="0" fillId="9" fontId="66" numFmtId="169" xfId="0" applyAlignment="1" applyFont="1" applyNumberFormat="1">
      <alignment readingOrder="0"/>
    </xf>
    <xf borderId="15" fillId="9" fontId="66" numFmtId="169" xfId="0" applyAlignment="1" applyBorder="1" applyFont="1" applyNumberFormat="1">
      <alignment readingOrder="0"/>
    </xf>
    <xf borderId="0" fillId="0" fontId="66" numFmtId="169" xfId="0" applyAlignment="1" applyFont="1" applyNumberFormat="1">
      <alignment readingOrder="0"/>
    </xf>
    <xf borderId="0" fillId="9" fontId="67" numFmtId="169" xfId="0" applyAlignment="1" applyFont="1" applyNumberFormat="1">
      <alignment readingOrder="0"/>
    </xf>
    <xf borderId="15" fillId="9" fontId="67" numFmtId="169" xfId="0" applyAlignment="1" applyBorder="1" applyFont="1" applyNumberFormat="1">
      <alignment readingOrder="0"/>
    </xf>
    <xf borderId="0" fillId="0" fontId="67" numFmtId="169" xfId="0" applyAlignment="1" applyFont="1" applyNumberFormat="1">
      <alignment readingOrder="0"/>
    </xf>
    <xf borderId="41" fillId="9" fontId="67" numFmtId="169" xfId="0" applyAlignment="1" applyBorder="1" applyFont="1" applyNumberFormat="1">
      <alignment readingOrder="0"/>
    </xf>
    <xf borderId="0" fillId="5" fontId="14" numFmtId="10" xfId="0" applyAlignment="1" applyFont="1" applyNumberFormat="1">
      <alignment horizontal="right" shrinkToFit="0" vertical="bottom" wrapText="1"/>
    </xf>
    <xf borderId="15" fillId="5" fontId="11" numFmtId="10" xfId="0" applyAlignment="1" applyBorder="1" applyFont="1" applyNumberFormat="1">
      <alignment horizontal="right" readingOrder="0" shrinkToFit="0" wrapText="1"/>
    </xf>
    <xf borderId="0" fillId="20" fontId="23" numFmtId="0" xfId="0" applyAlignment="1" applyFill="1" applyFont="1">
      <alignment horizontal="left" readingOrder="0" shrinkToFit="0" wrapText="1"/>
    </xf>
    <xf borderId="0" fillId="20" fontId="66" numFmtId="4" xfId="0" applyAlignment="1" applyFont="1" applyNumberFormat="1">
      <alignment readingOrder="0"/>
    </xf>
    <xf borderId="0" fillId="9" fontId="66" numFmtId="4" xfId="0" applyAlignment="1" applyFont="1" applyNumberFormat="1">
      <alignment readingOrder="0"/>
    </xf>
    <xf borderId="0" fillId="5" fontId="11" numFmtId="9" xfId="0" applyAlignment="1" applyFont="1" applyNumberFormat="1">
      <alignment horizontal="right" shrinkToFit="0" wrapText="1"/>
    </xf>
    <xf borderId="0" fillId="9" fontId="25" numFmtId="10" xfId="0" applyAlignment="1" applyFont="1" applyNumberFormat="1">
      <alignment horizontal="right" vertical="bottom"/>
    </xf>
    <xf borderId="0" fillId="0" fontId="25" numFmtId="10" xfId="0" applyAlignment="1" applyFont="1" applyNumberFormat="1">
      <alignment horizontal="right" vertical="bottom"/>
    </xf>
    <xf borderId="0" fillId="0" fontId="25" numFmtId="0" xfId="0" applyAlignment="1" applyFont="1">
      <alignment readingOrder="0" shrinkToFit="0" vertical="bottom" wrapText="1"/>
    </xf>
    <xf borderId="40" fillId="0" fontId="25" numFmtId="164" xfId="0" applyAlignment="1" applyBorder="1" applyFont="1" applyNumberFormat="1">
      <alignment horizontal="right" shrinkToFit="0" vertical="bottom" wrapText="1"/>
    </xf>
    <xf borderId="40" fillId="0" fontId="2" numFmtId="164" xfId="0" applyAlignment="1" applyBorder="1" applyFont="1" applyNumberFormat="1">
      <alignment vertical="bottom"/>
    </xf>
    <xf borderId="40" fillId="0" fontId="2" numFmtId="9" xfId="0" applyAlignment="1" applyBorder="1" applyFont="1" applyNumberFormat="1">
      <alignment vertical="bottom"/>
    </xf>
    <xf borderId="0" fillId="0" fontId="25" numFmtId="0" xfId="0" applyAlignment="1" applyFont="1">
      <alignment shrinkToFit="0" vertical="bottom" wrapText="1"/>
    </xf>
    <xf borderId="16" fillId="0" fontId="25" numFmtId="10" xfId="0" applyAlignment="1" applyBorder="1" applyFont="1" applyNumberFormat="1">
      <alignment horizontal="right" readingOrder="0"/>
    </xf>
    <xf borderId="0" fillId="0" fontId="16" numFmtId="164" xfId="0" applyFont="1" applyNumberFormat="1"/>
    <xf borderId="0" fillId="9" fontId="58" numFmtId="164" xfId="0" applyAlignment="1" applyFont="1" applyNumberFormat="1">
      <alignment horizontal="right" readingOrder="0" shrinkToFit="0" vertical="bottom" wrapText="1"/>
    </xf>
    <xf borderId="0" fillId="0" fontId="18" numFmtId="10" xfId="0" applyAlignment="1" applyFont="1" applyNumberFormat="1">
      <alignment horizontal="right" shrinkToFit="0" wrapText="1"/>
    </xf>
    <xf borderId="0" fillId="19" fontId="11" numFmtId="164" xfId="0" applyAlignment="1" applyFont="1" applyNumberFormat="1">
      <alignment horizontal="right" shrinkToFit="0" wrapText="1"/>
    </xf>
    <xf borderId="0" fillId="3" fontId="64" numFmtId="164" xfId="0" applyFont="1" applyNumberFormat="1"/>
    <xf borderId="0" fillId="0" fontId="1" numFmtId="3" xfId="0" applyFont="1" applyNumberFormat="1"/>
    <xf borderId="15" fillId="0" fontId="1" numFmtId="3" xfId="0" applyBorder="1" applyFont="1" applyNumberFormat="1"/>
    <xf borderId="0" fillId="4" fontId="11" numFmtId="3" xfId="0" applyAlignment="1" applyFont="1" applyNumberFormat="1">
      <alignment horizontal="right" shrinkToFit="0" wrapText="1"/>
    </xf>
    <xf borderId="15" fillId="4" fontId="11" numFmtId="3" xfId="0" applyAlignment="1" applyBorder="1" applyFont="1" applyNumberFormat="1">
      <alignment horizontal="right" shrinkToFit="0" wrapText="1"/>
    </xf>
    <xf borderId="16" fillId="0" fontId="12" numFmtId="164" xfId="0" applyAlignment="1" applyBorder="1" applyFont="1" applyNumberFormat="1">
      <alignment horizontal="right" shrinkToFit="0" wrapText="1"/>
    </xf>
    <xf borderId="0" fillId="0" fontId="12" numFmtId="0" xfId="0" applyAlignment="1" applyFont="1">
      <alignment horizontal="left" readingOrder="0" shrinkToFit="0" wrapText="1"/>
    </xf>
    <xf borderId="0" fillId="0" fontId="23" numFmtId="172" xfId="0" applyAlignment="1" applyFont="1" applyNumberFormat="1">
      <alignment horizontal="right" readingOrder="0" shrinkToFit="0" wrapText="1"/>
    </xf>
    <xf borderId="15" fillId="0" fontId="23" numFmtId="4" xfId="0" applyAlignment="1" applyBorder="1" applyFont="1" applyNumberFormat="1">
      <alignment horizontal="right" readingOrder="0" shrinkToFit="0" wrapText="1"/>
    </xf>
    <xf borderId="0" fillId="9" fontId="25" numFmtId="9" xfId="0" applyAlignment="1" applyFont="1" applyNumberFormat="1">
      <alignment horizontal="right" shrinkToFit="0" vertical="bottom" wrapText="1"/>
    </xf>
    <xf borderId="15" fillId="0" fontId="23" numFmtId="3" xfId="0" applyAlignment="1" applyBorder="1" applyFont="1" applyNumberFormat="1">
      <alignment horizontal="right" readingOrder="0" shrinkToFit="0" wrapText="1"/>
    </xf>
    <xf borderId="0" fillId="0" fontId="23" numFmtId="3" xfId="0" applyAlignment="1" applyFont="1" applyNumberFormat="1">
      <alignment horizontal="right" shrinkToFit="0" wrapText="1"/>
    </xf>
    <xf borderId="0" fillId="0" fontId="14" numFmtId="164" xfId="0" applyAlignment="1" applyFont="1" applyNumberFormat="1">
      <alignment horizontal="right" shrinkToFit="0" vertical="bottom" wrapText="1"/>
    </xf>
    <xf borderId="0" fillId="9" fontId="25" numFmtId="164" xfId="0" applyAlignment="1" applyFont="1" applyNumberFormat="1">
      <alignment shrinkToFit="0" vertical="bottom" wrapText="1"/>
    </xf>
    <xf borderId="0" fillId="9" fontId="25" numFmtId="164" xfId="0" applyAlignment="1" applyFont="1" applyNumberFormat="1">
      <alignment readingOrder="0" shrinkToFit="0" vertical="bottom" wrapText="1"/>
    </xf>
    <xf borderId="0" fillId="0" fontId="2" numFmtId="169" xfId="0" applyAlignment="1" applyFont="1" applyNumberFormat="1">
      <alignment vertical="bottom"/>
    </xf>
    <xf borderId="0" fillId="9" fontId="66" numFmtId="164" xfId="0" applyAlignment="1" applyFont="1" applyNumberFormat="1">
      <alignment readingOrder="0"/>
    </xf>
    <xf borderId="0" fillId="19" fontId="14" numFmtId="171" xfId="0" applyAlignment="1" applyFont="1" applyNumberFormat="1">
      <alignment horizontal="right" shrinkToFit="0" vertical="bottom" wrapText="1"/>
    </xf>
    <xf borderId="16" fillId="19" fontId="11" numFmtId="171" xfId="0" applyAlignment="1" applyBorder="1" applyFont="1" applyNumberFormat="1">
      <alignment horizontal="right" shrinkToFit="0" wrapText="1"/>
    </xf>
    <xf borderId="15" fillId="9" fontId="25" numFmtId="3" xfId="0" applyAlignment="1" applyBorder="1" applyFont="1" applyNumberFormat="1">
      <alignment shrinkToFit="0" vertical="bottom" wrapText="1"/>
    </xf>
    <xf borderId="0" fillId="3" fontId="68" numFmtId="10" xfId="0" applyAlignment="1" applyFont="1" applyNumberFormat="1">
      <alignment horizontal="center" vertical="bottom"/>
    </xf>
    <xf borderId="16" fillId="0" fontId="65" numFmtId="10" xfId="0" applyBorder="1" applyFont="1" applyNumberFormat="1"/>
    <xf borderId="16" fillId="3" fontId="64" numFmtId="10" xfId="0" applyBorder="1" applyFont="1" applyNumberFormat="1"/>
    <xf borderId="0" fillId="3" fontId="69" numFmtId="10" xfId="0" applyFont="1" applyNumberFormat="1"/>
    <xf borderId="0" fillId="0" fontId="2" numFmtId="175" xfId="0" applyAlignment="1" applyFont="1" applyNumberFormat="1">
      <alignment vertical="bottom"/>
    </xf>
    <xf borderId="0" fillId="0" fontId="2" numFmtId="175" xfId="0" applyAlignment="1" applyFont="1" applyNumberFormat="1">
      <alignment readingOrder="0" vertical="bottom"/>
    </xf>
    <xf borderId="16" fillId="0" fontId="1" numFmtId="175" xfId="0" applyBorder="1" applyFont="1" applyNumberFormat="1"/>
    <xf borderId="16" fillId="0" fontId="23" numFmtId="9" xfId="0" applyAlignment="1" applyBorder="1" applyFont="1" applyNumberFormat="1">
      <alignment horizontal="right" readingOrder="0" shrinkToFit="0" wrapText="1"/>
    </xf>
    <xf borderId="16" fillId="0" fontId="1" numFmtId="3" xfId="0" applyBorder="1" applyFont="1" applyNumberFormat="1"/>
    <xf borderId="16" fillId="4" fontId="11" numFmtId="3" xfId="0" applyAlignment="1" applyBorder="1" applyFont="1" applyNumberFormat="1">
      <alignment horizontal="right" shrinkToFit="0" wrapText="1"/>
    </xf>
    <xf borderId="0" fillId="9" fontId="2" numFmtId="9" xfId="0" applyAlignment="1" applyFont="1" applyNumberFormat="1">
      <alignment vertical="bottom"/>
    </xf>
    <xf borderId="16" fillId="9" fontId="23" numFmtId="9" xfId="0" applyAlignment="1" applyBorder="1" applyFont="1" applyNumberFormat="1">
      <alignment horizontal="right" shrinkToFit="0" wrapText="1"/>
    </xf>
    <xf borderId="0" fillId="9" fontId="67" numFmtId="164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16" fillId="9" fontId="23" numFmtId="9" xfId="0" applyAlignment="1" applyBorder="1" applyFont="1" applyNumberFormat="1">
      <alignment horizontal="right" readingOrder="0" shrinkToFit="0" wrapText="1"/>
    </xf>
    <xf borderId="16" fillId="9" fontId="23" numFmtId="169" xfId="0" applyAlignment="1" applyBorder="1" applyFont="1" applyNumberFormat="1">
      <alignment horizontal="right" readingOrder="0" shrinkToFit="0" wrapText="1"/>
    </xf>
    <xf borderId="0" fillId="9" fontId="25" numFmtId="171" xfId="0" applyAlignment="1" applyFont="1" applyNumberFormat="1">
      <alignment horizontal="right" shrinkToFit="0" vertical="bottom" wrapText="1"/>
    </xf>
    <xf borderId="0" fillId="0" fontId="1" numFmtId="181" xfId="0" applyFont="1" applyNumberFormat="1"/>
    <xf borderId="0" fillId="0" fontId="25" numFmtId="172" xfId="0" applyAlignment="1" applyFont="1" applyNumberFormat="1">
      <alignment horizontal="right" shrinkToFit="0" vertical="bottom" wrapText="1"/>
    </xf>
    <xf borderId="16" fillId="0" fontId="23" numFmtId="4" xfId="0" applyAlignment="1" applyBorder="1" applyFont="1" applyNumberFormat="1">
      <alignment horizontal="right" readingOrder="0" shrinkToFit="0" wrapText="1"/>
    </xf>
    <xf borderId="0" fillId="0" fontId="25" numFmtId="9" xfId="0" applyAlignment="1" applyFont="1" applyNumberFormat="1">
      <alignment horizontal="right" shrinkToFit="0" vertical="bottom" wrapText="1"/>
    </xf>
    <xf borderId="16" fillId="9" fontId="25" numFmtId="9" xfId="0" applyAlignment="1" applyBorder="1" applyFont="1" applyNumberFormat="1">
      <alignment horizontal="right" shrinkToFit="0" vertical="bottom" wrapText="1"/>
    </xf>
    <xf borderId="0" fillId="0" fontId="2" numFmtId="3" xfId="0" applyAlignment="1" applyFont="1" applyNumberFormat="1">
      <alignment vertical="bottom"/>
    </xf>
    <xf borderId="0" fillId="0" fontId="25" numFmtId="3" xfId="0" applyAlignment="1" applyFont="1" applyNumberFormat="1">
      <alignment horizontal="right" shrinkToFit="0" vertical="bottom" wrapText="1"/>
    </xf>
    <xf borderId="0" fillId="0" fontId="25" numFmtId="0" xfId="0" applyAlignment="1" applyFont="1">
      <alignment readingOrder="0" shrinkToFit="0" textRotation="0" vertical="bottom" wrapText="1"/>
    </xf>
    <xf borderId="0" fillId="9" fontId="2" numFmtId="0" xfId="0" applyAlignment="1" applyFont="1">
      <alignment vertical="bottom"/>
    </xf>
    <xf borderId="16" fillId="9" fontId="25" numFmtId="0" xfId="0" applyAlignment="1" applyBorder="1" applyFont="1">
      <alignment shrinkToFit="0" vertical="bottom" wrapText="1"/>
    </xf>
    <xf borderId="35" fillId="0" fontId="1" numFmtId="0" xfId="0" applyAlignment="1" applyBorder="1" applyFont="1">
      <alignment readingOrder="0"/>
    </xf>
    <xf borderId="35" fillId="0" fontId="1" numFmtId="0" xfId="0" applyBorder="1" applyFont="1"/>
    <xf borderId="0" fillId="9" fontId="25" numFmtId="0" xfId="0" applyAlignment="1" applyFont="1">
      <alignment horizontal="right" readingOrder="0" shrinkToFit="0" vertical="bottom" wrapText="1"/>
    </xf>
    <xf borderId="0" fillId="9" fontId="25" numFmtId="0" xfId="0" applyAlignment="1" applyFont="1">
      <alignment horizontal="right" shrinkToFit="0" vertical="bottom" wrapText="1"/>
    </xf>
    <xf borderId="16" fillId="9" fontId="25" numFmtId="1" xfId="0" applyAlignment="1" applyBorder="1" applyFont="1" applyNumberFormat="1">
      <alignment shrinkToFit="0" vertical="bottom" wrapText="1"/>
    </xf>
    <xf borderId="16" fillId="9" fontId="66" numFmtId="3" xfId="0" applyAlignment="1" applyBorder="1" applyFont="1" applyNumberFormat="1">
      <alignment readingOrder="0"/>
    </xf>
    <xf borderId="0" fillId="9" fontId="66" numFmtId="9" xfId="0" applyAlignment="1" applyFont="1" applyNumberFormat="1">
      <alignment horizontal="right" vertical="bottom"/>
    </xf>
    <xf borderId="16" fillId="9" fontId="66" numFmtId="9" xfId="0" applyAlignment="1" applyBorder="1" applyFont="1" applyNumberFormat="1">
      <alignment readingOrder="0"/>
    </xf>
    <xf borderId="0" fillId="9" fontId="66" numFmtId="1" xfId="0" applyAlignment="1" applyFont="1" applyNumberFormat="1">
      <alignment horizontal="right" vertical="bottom"/>
    </xf>
    <xf borderId="0" fillId="9" fontId="66" numFmtId="3" xfId="0" applyAlignment="1" applyFont="1" applyNumberFormat="1">
      <alignment horizontal="right" vertical="bottom"/>
    </xf>
    <xf borderId="0" fillId="9" fontId="66" numFmtId="3" xfId="0" applyAlignment="1" applyFont="1" applyNumberFormat="1">
      <alignment horizontal="right" readingOrder="0" vertical="bottom"/>
    </xf>
    <xf borderId="16" fillId="9" fontId="66" numFmtId="10" xfId="0" applyAlignment="1" applyBorder="1" applyFont="1" applyNumberFormat="1">
      <alignment readingOrder="0"/>
    </xf>
    <xf borderId="0" fillId="9" fontId="66" numFmtId="170" xfId="0" applyAlignment="1" applyFont="1" applyNumberFormat="1">
      <alignment horizontal="right" vertical="bottom"/>
    </xf>
    <xf borderId="16" fillId="9" fontId="66" numFmtId="170" xfId="0" applyAlignment="1" applyBorder="1" applyFont="1" applyNumberFormat="1">
      <alignment readingOrder="0"/>
    </xf>
    <xf borderId="0" fillId="21" fontId="2" numFmtId="0" xfId="0" applyAlignment="1" applyFill="1" applyFont="1">
      <alignment horizontal="right" vertical="bottom"/>
    </xf>
    <xf borderId="0" fillId="9" fontId="2" numFmtId="10" xfId="0" applyAlignment="1" applyFont="1" applyNumberFormat="1">
      <alignment vertical="bottom"/>
    </xf>
    <xf borderId="0" fillId="9" fontId="66" numFmtId="169" xfId="0" applyAlignment="1" applyFont="1" applyNumberFormat="1">
      <alignment horizontal="right" vertical="bottom"/>
    </xf>
    <xf borderId="16" fillId="9" fontId="66" numFmtId="169" xfId="0" applyAlignment="1" applyBorder="1" applyFont="1" applyNumberFormat="1">
      <alignment readingOrder="0"/>
    </xf>
    <xf borderId="0" fillId="9" fontId="67" numFmtId="169" xfId="0" applyAlignment="1" applyFont="1" applyNumberFormat="1">
      <alignment horizontal="right" vertical="bottom"/>
    </xf>
    <xf borderId="16" fillId="9" fontId="67" numFmtId="169" xfId="0" applyAlignment="1" applyBorder="1" applyFont="1" applyNumberFormat="1">
      <alignment readingOrder="0"/>
    </xf>
    <xf borderId="42" fillId="9" fontId="67" numFmtId="169" xfId="0" applyAlignment="1" applyBorder="1" applyFont="1" applyNumberFormat="1">
      <alignment readingOrder="0"/>
    </xf>
    <xf borderId="0" fillId="0" fontId="2" numFmtId="172" xfId="0" applyAlignment="1" applyFont="1" applyNumberFormat="1">
      <alignment vertical="bottom"/>
    </xf>
    <xf borderId="16" fillId="20" fontId="66" numFmtId="4" xfId="0" applyAlignment="1" applyBorder="1" applyFont="1" applyNumberFormat="1">
      <alignment readingOrder="0"/>
    </xf>
    <xf borderId="0" fillId="0" fontId="2" numFmtId="181" xfId="0" applyAlignment="1" applyFont="1" applyNumberFormat="1">
      <alignment horizontal="right" vertical="bottom"/>
    </xf>
    <xf borderId="16" fillId="4" fontId="11" numFmtId="164" xfId="0" applyAlignment="1" applyBorder="1" applyFont="1" applyNumberFormat="1">
      <alignment horizontal="right" readingOrder="0" shrinkToFit="0" wrapText="1"/>
    </xf>
    <xf borderId="0" fillId="5" fontId="2" numFmtId="164" xfId="0" applyAlignment="1" applyFont="1" applyNumberFormat="1">
      <alignment vertical="bottom"/>
    </xf>
    <xf borderId="0" fillId="22" fontId="23" numFmtId="164" xfId="0" applyAlignment="1" applyFill="1" applyFont="1" applyNumberFormat="1">
      <alignment horizontal="right" readingOrder="0" shrinkToFit="0" wrapText="1"/>
    </xf>
    <xf borderId="16" fillId="0" fontId="25" numFmtId="164" xfId="0" applyAlignment="1" applyBorder="1" applyFont="1" applyNumberFormat="1">
      <alignment horizontal="right" shrinkToFit="0" vertical="bottom" wrapText="1"/>
    </xf>
    <xf borderId="0" fillId="0" fontId="11" numFmtId="171" xfId="0" applyAlignment="1" applyFont="1" applyNumberFormat="1">
      <alignment horizontal="left" readingOrder="0" shrinkToFit="0" wrapText="1"/>
    </xf>
    <xf borderId="0" fillId="0" fontId="11" numFmtId="171" xfId="0" applyAlignment="1" applyFont="1" applyNumberFormat="1">
      <alignment horizontal="right" readingOrder="0" shrinkToFit="0" wrapText="1"/>
    </xf>
    <xf borderId="0" fillId="0" fontId="14" numFmtId="171" xfId="0" applyAlignment="1" applyFont="1" applyNumberFormat="1">
      <alignment horizontal="right" shrinkToFit="0" vertical="bottom" wrapText="1"/>
    </xf>
    <xf borderId="16" fillId="0" fontId="11" numFmtId="171" xfId="0" applyAlignment="1" applyBorder="1" applyFont="1" applyNumberFormat="1">
      <alignment horizontal="right" shrinkToFit="0" wrapText="1"/>
    </xf>
    <xf borderId="40" fillId="0" fontId="11" numFmtId="171" xfId="0" applyAlignment="1" applyBorder="1" applyFont="1" applyNumberFormat="1">
      <alignment horizontal="right" shrinkToFit="0" wrapText="1"/>
    </xf>
    <xf borderId="0" fillId="5" fontId="14" numFmtId="0" xfId="0" applyAlignment="1" applyFont="1">
      <alignment shrinkToFit="0" vertical="bottom" wrapText="1"/>
    </xf>
    <xf borderId="0" fillId="5" fontId="2" numFmtId="175" xfId="0" applyAlignment="1" applyFont="1" applyNumberFormat="1">
      <alignment vertical="bottom"/>
    </xf>
    <xf borderId="0" fillId="5" fontId="14" numFmtId="175" xfId="0" applyAlignment="1" applyFont="1" applyNumberFormat="1">
      <alignment horizontal="right" shrinkToFit="0" vertical="bottom" wrapText="1"/>
    </xf>
    <xf borderId="0" fillId="0" fontId="2" numFmtId="167" xfId="0" applyAlignment="1" applyFont="1" applyNumberFormat="1">
      <alignment vertical="bottom"/>
    </xf>
    <xf borderId="16" fillId="5" fontId="2" numFmtId="164" xfId="0" applyAlignment="1" applyBorder="1" applyFont="1" applyNumberFormat="1">
      <alignment vertical="bottom"/>
    </xf>
    <xf borderId="0" fillId="5" fontId="2" numFmtId="3" xfId="0" applyAlignment="1" applyFont="1" applyNumberFormat="1">
      <alignment vertical="bottom"/>
    </xf>
    <xf borderId="15" fillId="5" fontId="2" numFmtId="3" xfId="0" applyAlignment="1" applyBorder="1" applyFont="1" applyNumberFormat="1">
      <alignment vertical="bottom"/>
    </xf>
    <xf borderId="0" fillId="5" fontId="2" numFmtId="180" xfId="0" applyAlignment="1" applyFont="1" applyNumberFormat="1">
      <alignment vertical="bottom"/>
    </xf>
    <xf borderId="15" fillId="5" fontId="2" numFmtId="175" xfId="0" applyAlignment="1" applyBorder="1" applyFont="1" applyNumberFormat="1">
      <alignment vertical="bottom"/>
    </xf>
    <xf borderId="0" fillId="9" fontId="58" numFmtId="0" xfId="0" applyAlignment="1" applyFont="1">
      <alignment shrinkToFit="0" vertical="bottom" wrapText="1"/>
    </xf>
    <xf borderId="16" fillId="9" fontId="2" numFmtId="164" xfId="0" applyAlignment="1" applyBorder="1" applyFont="1" applyNumberFormat="1">
      <alignment vertical="bottom"/>
    </xf>
    <xf borderId="0" fillId="9" fontId="2" numFmtId="3" xfId="0" applyAlignment="1" applyFont="1" applyNumberFormat="1">
      <alignment vertical="bottom"/>
    </xf>
    <xf borderId="15" fillId="9" fontId="2" numFmtId="3" xfId="0" applyAlignment="1" applyBorder="1" applyFont="1" applyNumberFormat="1">
      <alignment vertical="bottom"/>
    </xf>
    <xf borderId="15" fillId="9" fontId="2" numFmtId="164" xfId="0" applyAlignment="1" applyBorder="1" applyFont="1" applyNumberFormat="1">
      <alignment vertical="bottom"/>
    </xf>
    <xf borderId="15" fillId="9" fontId="2" numFmtId="9" xfId="0" applyAlignment="1" applyBorder="1" applyFont="1" applyNumberFormat="1">
      <alignment vertical="bottom"/>
    </xf>
    <xf borderId="0" fillId="0" fontId="2" numFmtId="171" xfId="0" applyAlignment="1" applyFont="1" applyNumberFormat="1">
      <alignment horizontal="right" vertical="bottom"/>
    </xf>
    <xf borderId="0" fillId="0" fontId="2" numFmtId="169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70" numFmtId="164" xfId="0" applyAlignment="1" applyFont="1" applyNumberFormat="1">
      <alignment horizontal="right" vertical="bottom"/>
    </xf>
    <xf borderId="0" fillId="23" fontId="2" numFmtId="171" xfId="0" applyAlignment="1" applyFill="1" applyFont="1" applyNumberFormat="1">
      <alignment horizontal="right" vertical="bottom"/>
    </xf>
    <xf borderId="0" fillId="21" fontId="2" numFmtId="171" xfId="0" applyAlignment="1" applyFont="1" applyNumberFormat="1">
      <alignment horizontal="right"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Bookings, Revenue, EBITDA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Bookings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'GAAP Analysis'!$BP$3:$CB$3</c:f>
            </c:strRef>
          </c:cat>
          <c:val>
            <c:numRef>
              <c:f>'GAAP Analysis'!$BP$7:$CB$7</c:f>
              <c:numCache/>
            </c:numRef>
          </c:val>
        </c:ser>
        <c:axId val="322732032"/>
        <c:axId val="1607383034"/>
      </c:barChart>
      <c:lineChart>
        <c:ser>
          <c:idx val="1"/>
          <c:order val="1"/>
          <c:tx>
            <c:v>Revenue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'GAAP Analysis'!$BP$3:$CB$3</c:f>
            </c:strRef>
          </c:cat>
          <c:val>
            <c:numRef>
              <c:f>'GAAP Analysis'!$BP$13:$CB$13</c:f>
              <c:numCache/>
            </c:numRef>
          </c:val>
          <c:smooth val="0"/>
        </c:ser>
        <c:ser>
          <c:idx val="2"/>
          <c:order val="2"/>
          <c:tx>
            <c:v>EBITDA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'GAAP Analysis'!$BP$3:$CB$3</c:f>
            </c:strRef>
          </c:cat>
          <c:val>
            <c:numRef>
              <c:f>'GAAP Analysis'!$BP$91:$CB$91</c:f>
              <c:numCache/>
            </c:numRef>
          </c:val>
          <c:smooth val="0"/>
        </c:ser>
        <c:axId val="322732032"/>
        <c:axId val="1607383034"/>
      </c:lineChart>
      <c:catAx>
        <c:axId val="322732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383034"/>
      </c:catAx>
      <c:valAx>
        <c:axId val="16073830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$#,##0_);[Red]($#,##0)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2732032"/>
      </c:valAx>
    </c:plotArea>
    <c:legend>
      <c:legendPos val="r"/>
      <c:layout>
        <c:manualLayout>
          <c:xMode val="edge"/>
          <c:yMode val="edge"/>
          <c:x val="0.3564376488929372"/>
          <c:y val="0.1245098039215686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Base - Monthly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COGS</c:v>
          </c:tx>
          <c:spPr>
            <a:solidFill>
              <a:srgbClr val="B7E1C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Analysis'!$BP$3:$CB$3</c:f>
            </c:strRef>
          </c:cat>
          <c:val>
            <c:numRef>
              <c:f>'GAAP Analysis'!$BP$28:$CB$28</c:f>
              <c:numCache/>
            </c:numRef>
          </c:val>
        </c:ser>
        <c:ser>
          <c:idx val="1"/>
          <c:order val="1"/>
          <c:tx>
            <c:v>Personnel</c:v>
          </c:tx>
          <c:spPr>
            <a:solidFill>
              <a:srgbClr val="33475B"/>
            </a:solidFill>
            <a:ln cmpd="sng">
              <a:noFill/>
            </a:ln>
          </c:spPr>
          <c:dPt>
            <c:idx val="6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Analysis'!$BP$3:$CB$3</c:f>
            </c:strRef>
          </c:cat>
          <c:val>
            <c:numRef>
              <c:f>'GAAP Analysis'!$BP$74:$CB$74</c:f>
              <c:numCache/>
            </c:numRef>
          </c:val>
        </c:ser>
        <c:ser>
          <c:idx val="2"/>
          <c:order val="2"/>
          <c:tx>
            <c:v>S&amp;M</c:v>
          </c:tx>
          <c:spPr>
            <a:solidFill>
              <a:srgbClr val="0091AE"/>
            </a:solidFill>
            <a:ln cmpd="sng">
              <a:noFill/>
            </a:ln>
          </c:spPr>
          <c:dPt>
            <c:idx val="3"/>
          </c:dPt>
          <c:dPt>
            <c:idx val="4"/>
          </c:dPt>
          <c:dPt>
            <c:idx val="6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Analysis'!$BP$3:$CB$3</c:f>
            </c:strRef>
          </c:cat>
          <c:val>
            <c:numRef>
              <c:f>'GAAP Analysis'!$BP$78:$CB$78</c:f>
              <c:numCache/>
            </c:numRef>
          </c:val>
        </c:ser>
        <c:ser>
          <c:idx val="3"/>
          <c:order val="3"/>
          <c:tx>
            <c:v>G&amp;A</c:v>
          </c:tx>
          <c:spPr>
            <a:solidFill>
              <a:schemeClr val="accent4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Analysis'!$BP$3:$CB$3</c:f>
            </c:strRef>
          </c:cat>
          <c:val>
            <c:numRef>
              <c:f>'GAAP Analysis'!$BP$70:$CB$70</c:f>
              <c:numCache/>
            </c:numRef>
          </c:val>
        </c:ser>
        <c:overlap val="100"/>
        <c:axId val="2042958748"/>
        <c:axId val="449481880"/>
      </c:barChart>
      <c:catAx>
        <c:axId val="20429587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481880"/>
      </c:catAx>
      <c:valAx>
        <c:axId val="449481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2958748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Hours Billed per Resource vs. Padding</a:t>
            </a:r>
          </a:p>
        </c:rich>
      </c:tx>
      <c:layout>
        <c:manualLayout>
          <c:xMode val="edge"/>
          <c:yMode val="edge"/>
          <c:x val="0.010897435897435899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Hrs Billed per resource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Analysis'!$AA$3:$CB$3</c:f>
            </c:strRef>
          </c:cat>
          <c:val>
            <c:numRef>
              <c:f>'GAAP Analysis'!$AA$130:$CB$130</c:f>
              <c:numCache/>
            </c:numRef>
          </c:val>
        </c:ser>
        <c:axId val="596476818"/>
        <c:axId val="892087011"/>
      </c:barChart>
      <c:catAx>
        <c:axId val="596476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2087011"/>
      </c:catAx>
      <c:valAx>
        <c:axId val="892087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 billed per resource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6476818"/>
      </c:valAx>
      <c:lineChart>
        <c:varyColors val="0"/>
        <c:ser>
          <c:idx val="1"/>
          <c:order val="1"/>
          <c:tx>
            <c:v>Padding %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'GAAP Analysis'!$AA$3:$CB$3</c:f>
            </c:strRef>
          </c:cat>
          <c:val>
            <c:numRef>
              <c:f>'GAAP Analysis'!$AA$131:$CB$131</c:f>
              <c:numCache/>
            </c:numRef>
          </c:val>
          <c:smooth val="0"/>
        </c:ser>
        <c:axId val="1013929521"/>
        <c:axId val="1521428093"/>
      </c:lineChart>
      <c:catAx>
        <c:axId val="101392952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1428093"/>
      </c:catAx>
      <c:valAx>
        <c:axId val="152142809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392952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DD Share of Bookings and SN Share of Bookings</a:t>
            </a:r>
          </a:p>
        </c:rich>
      </c:tx>
      <c:overlay val="0"/>
    </c:title>
    <c:plotArea>
      <c:layout/>
      <c:areaChart>
        <c:ser>
          <c:idx val="0"/>
          <c:order val="0"/>
          <c:tx>
            <c:v>Datadog</c:v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cat>
            <c:strRef>
              <c:f>'GAAP Analysis'!$BP$3:$CB$3</c:f>
            </c:strRef>
          </c:cat>
          <c:val>
            <c:numRef>
              <c:f>'GAAP Analysis'!$BP$98:$CB$98</c:f>
              <c:numCache/>
            </c:numRef>
          </c:val>
        </c:ser>
        <c:ser>
          <c:idx val="1"/>
          <c:order val="1"/>
          <c:tx>
            <c:v>ServiceNow</c:v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cat>
            <c:strRef>
              <c:f>'GAAP Analysis'!$BP$3:$CB$3</c:f>
            </c:strRef>
          </c:cat>
          <c:val>
            <c:numRef>
              <c:f>'GAAP Analysis'!$BP$99:$CB$99</c:f>
              <c:numCache/>
            </c:numRef>
          </c:val>
        </c:ser>
        <c:axId val="1324716514"/>
        <c:axId val="1749447947"/>
      </c:areaChart>
      <c:catAx>
        <c:axId val="1324716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9447947"/>
      </c:catAx>
      <c:valAx>
        <c:axId val="1749447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47165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'Real' rate vs. Net Income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'Real' rate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Analysis'!$AA$3:$CA$3</c:f>
            </c:strRef>
          </c:cat>
          <c:val>
            <c:numRef>
              <c:f>'GAAP Analysis'!$AA$136:$CA$136</c:f>
              <c:numCache/>
            </c:numRef>
          </c:val>
          <c:smooth val="0"/>
        </c:ser>
        <c:axId val="978180411"/>
        <c:axId val="96211672"/>
      </c:lineChart>
      <c:catAx>
        <c:axId val="978180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11672"/>
      </c:catAx>
      <c:valAx>
        <c:axId val="962116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8180411"/>
      </c:valAx>
      <c:lineChart>
        <c:varyColors val="0"/>
        <c:ser>
          <c:idx val="1"/>
          <c:order val="1"/>
          <c:tx>
            <c:v>Net Income (EBITDA) </c:v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Analysis'!$AA$3:$CA$3</c:f>
            </c:strRef>
          </c:cat>
          <c:val>
            <c:numRef>
              <c:f>'GAAP Analysis'!$AA$91:$CA$91</c:f>
              <c:numCache/>
            </c:numRef>
          </c:val>
          <c:smooth val="0"/>
        </c:ser>
        <c:axId val="1160476996"/>
        <c:axId val="1786168610"/>
      </c:lineChart>
      <c:catAx>
        <c:axId val="11604769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6168610"/>
      </c:catAx>
      <c:valAx>
        <c:axId val="178616861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047699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Billable vs. Non-Billable Headcount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Billable</c:v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cat>
            <c:strRef>
              <c:f>'GAAP Analysis'!$AA$3:$CB$3</c:f>
            </c:strRef>
          </c:cat>
          <c:val>
            <c:numRef>
              <c:f>'GAAP Analysis'!$AA$123:$CB$123</c:f>
              <c:numCache/>
            </c:numRef>
          </c:val>
        </c:ser>
        <c:ser>
          <c:idx val="1"/>
          <c:order val="1"/>
          <c:tx>
            <c:v>Non-Billable</c:v>
          </c:tx>
          <c:spPr>
            <a:solidFill>
              <a:schemeClr val="accent2"/>
            </a:solidFill>
            <a:ln cmpd="sng">
              <a:noFill/>
            </a:ln>
          </c:spPr>
          <c:dPt>
            <c:idx val="0"/>
          </c:dPt>
          <c:cat>
            <c:strRef>
              <c:f>'GAAP Analysis'!$AA$3:$CB$3</c:f>
            </c:strRef>
          </c:cat>
          <c:val>
            <c:numRef>
              <c:f>'GAAP Analysis'!$AA$125:$CB$125</c:f>
              <c:numCache/>
            </c:numRef>
          </c:val>
        </c:ser>
        <c:ser>
          <c:idx val="2"/>
          <c:order val="2"/>
          <c:cat>
            <c:strRef>
              <c:f>'GAAP Analysis'!$AA$3:$CB$3</c:f>
            </c:strRef>
          </c:cat>
          <c:val>
            <c:numRef>
              <c:f>'GAAP Analysis'!$AA$122:$CB$122</c:f>
              <c:numCache/>
            </c:numRef>
          </c:val>
        </c:ser>
        <c:ser>
          <c:idx val="3"/>
          <c:order val="3"/>
          <c:cat>
            <c:strRef>
              <c:f>'GAAP Analysis'!$AA$3:$CB$3</c:f>
            </c:strRef>
          </c:cat>
          <c:val>
            <c:numRef>
              <c:f>'GAAP Analysis'!$AA$124:$CB$124</c:f>
              <c:numCache/>
            </c:numRef>
          </c:val>
        </c:ser>
        <c:overlap val="100"/>
        <c:axId val="191051011"/>
        <c:axId val="1392595433"/>
      </c:barChart>
      <c:catAx>
        <c:axId val="191051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2595433"/>
      </c:catAx>
      <c:valAx>
        <c:axId val="13925954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510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&amp; Gross Profit By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Revenue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Analysis'!$BP$3:$CB$3</c:f>
            </c:strRef>
          </c:cat>
          <c:val>
            <c:numRef>
              <c:f>'GAAP Analysis'!$BP$13:$CB$13</c:f>
              <c:numCache/>
            </c:numRef>
          </c:val>
        </c:ser>
        <c:ser>
          <c:idx val="1"/>
          <c:order val="1"/>
          <c:tx>
            <c:v>Gross Profit</c:v>
          </c:tx>
          <c:spPr>
            <a:solidFill>
              <a:schemeClr val="accent2"/>
            </a:solidFill>
            <a:ln cmpd="sng">
              <a:noFill/>
            </a:ln>
          </c:spPr>
          <c:dPt>
            <c:idx val="11"/>
          </c:dPt>
          <c:dPt>
            <c:idx val="12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Analysis'!$BP$3:$CB$3</c:f>
            </c:strRef>
          </c:cat>
          <c:val>
            <c:numRef>
              <c:f>'GAAP Analysis'!$BP$106:$CB$106</c:f>
              <c:numCache/>
            </c:numRef>
          </c:val>
        </c:ser>
        <c:axId val="1430822008"/>
        <c:axId val="1054440062"/>
      </c:barChart>
      <c:catAx>
        <c:axId val="1430822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4440062"/>
      </c:catAx>
      <c:valAx>
        <c:axId val="1054440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0822008"/>
      </c:valAx>
      <c:lineChart>
        <c:varyColors val="0"/>
        <c:ser>
          <c:idx val="2"/>
          <c:order val="2"/>
          <c:tx>
            <c:v>GP %</c:v>
          </c:tx>
          <c:spPr>
            <a:ln cmpd="sng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8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Analysis'!$BP$3:$CB$3</c:f>
            </c:strRef>
          </c:cat>
          <c:val>
            <c:numRef>
              <c:f>'GAAP Analysis'!$BP$107:$CB$107</c:f>
              <c:numCache/>
            </c:numRef>
          </c:val>
          <c:smooth val="0"/>
        </c:ser>
        <c:axId val="2144058312"/>
        <c:axId val="1896651447"/>
      </c:lineChart>
      <c:catAx>
        <c:axId val="21440583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6651447"/>
      </c:catAx>
      <c:valAx>
        <c:axId val="1896651447"/>
        <c:scaling>
          <c:orientation val="minMax"/>
          <c:max val="1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144058312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Services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'GAAP Analysis'!$BP$3:$CB$3</c:f>
            </c:strRef>
          </c:cat>
          <c:val>
            <c:numRef>
              <c:f>'GAAP Analysis'!$BP$23:$CB$23</c:f>
              <c:numCache/>
            </c:numRef>
          </c:val>
        </c:ser>
        <c:ser>
          <c:idx val="1"/>
          <c:order val="1"/>
          <c:tx>
            <c:v>Software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'GAAP Analysis'!$BP$3:$CB$3</c:f>
            </c:strRef>
          </c:cat>
          <c:val>
            <c:numRef>
              <c:f>'GAAP Analysis'!$BP$24:$CB$24</c:f>
              <c:numCache/>
            </c:numRef>
          </c:val>
        </c:ser>
        <c:ser>
          <c:idx val="2"/>
          <c:order val="2"/>
          <c:tx>
            <c:v>MSP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'GAAP Analysis'!$BP$3:$CB$3</c:f>
            </c:strRef>
          </c:cat>
          <c:val>
            <c:numRef>
              <c:f>'GAAP Analysis'!$BP$25:$CB$25</c:f>
              <c:numCache/>
            </c:numRef>
          </c:val>
        </c:ser>
        <c:overlap val="100"/>
        <c:axId val="1850284070"/>
        <c:axId val="138390956"/>
      </c:barChart>
      <c:catAx>
        <c:axId val="1850284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390956"/>
      </c:catAx>
      <c:valAx>
        <c:axId val="1383909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0284070"/>
      </c:valAx>
    </c:plotArea>
    <c:legend>
      <c:legendPos val="t"/>
      <c:layout>
        <c:manualLayout>
          <c:xMode val="edge"/>
          <c:yMode val="edge"/>
          <c:x val="0.38809390943877553"/>
          <c:y val="0.1312949640287769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YoY Revenue - FY26 vs. FY25 vs. FY24 vs. FY23</a:t>
            </a:r>
          </a:p>
        </c:rich>
      </c:tx>
      <c:layout>
        <c:manualLayout>
          <c:xMode val="edge"/>
          <c:yMode val="edge"/>
          <c:x val="0.010897435897435899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FY26</c:v>
          </c:tx>
          <c:spPr>
            <a:solidFill>
              <a:srgbClr val="CFE2F3"/>
            </a:solidFill>
            <a:ln cmpd="sng">
              <a:noFill/>
            </a:ln>
          </c:spPr>
          <c:cat>
            <c:strRef>
              <c:f>'GAAP Analysis'!$BW$3:$CH$3</c:f>
            </c:strRef>
          </c:cat>
          <c:val>
            <c:numRef>
              <c:f>'GAAP Analysis'!$BW$13:$CH$13</c:f>
              <c:numCache/>
            </c:numRef>
          </c:val>
        </c:ser>
        <c:ser>
          <c:idx val="1"/>
          <c:order val="1"/>
          <c:tx>
            <c:v>FY25</c:v>
          </c:tx>
          <c:spPr>
            <a:solidFill>
              <a:srgbClr val="0B5394"/>
            </a:solidFill>
            <a:ln cmpd="sng">
              <a:noFill/>
            </a:ln>
          </c:spPr>
          <c:cat>
            <c:strRef>
              <c:f>'GAAP Analysis'!$BW$3:$CH$3</c:f>
            </c:strRef>
          </c:cat>
          <c:val>
            <c:numRef>
              <c:f>'GAAP Analysis'!$BW$26:$CH$26</c:f>
              <c:numCache/>
            </c:numRef>
          </c:val>
        </c:ser>
        <c:ser>
          <c:idx val="2"/>
          <c:order val="2"/>
          <c:tx>
            <c:v>FY24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'GAAP Analysis'!$BW$3:$CH$3</c:f>
            </c:strRef>
          </c:cat>
          <c:val>
            <c:numRef>
              <c:f>'GAAP Analysis'!$BK$13:$BV$13</c:f>
              <c:numCache/>
            </c:numRef>
          </c:val>
        </c:ser>
        <c:ser>
          <c:idx val="3"/>
          <c:order val="3"/>
          <c:tx>
            <c:v>FY23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'GAAP Analysis'!$BW$3:$CH$3</c:f>
            </c:strRef>
          </c:cat>
          <c:val>
            <c:numRef>
              <c:f>'GAAP Analysis'!$BK$26:$BV$26</c:f>
              <c:numCache/>
            </c:numRef>
          </c:val>
        </c:ser>
        <c:ser>
          <c:idx val="4"/>
          <c:order val="4"/>
          <c:cat>
            <c:strRef>
              <c:f>'GAAP Analysis'!$BW$3:$CH$3</c:f>
            </c:strRef>
          </c:cat>
          <c:val>
            <c:numRef>
              <c:f>'GAAP Analysis'!$AY$13:$BJ$13</c:f>
              <c:numCache/>
            </c:numRef>
          </c:val>
        </c:ser>
        <c:ser>
          <c:idx val="5"/>
          <c:order val="5"/>
          <c:cat>
            <c:strRef>
              <c:f>'GAAP Analysis'!$BW$3:$CH$3</c:f>
            </c:strRef>
          </c:cat>
          <c:val>
            <c:numRef>
              <c:f>'GAAP Analysis'!$AY$26:$BJ$26</c:f>
              <c:numCache/>
            </c:numRef>
          </c:val>
        </c:ser>
        <c:ser>
          <c:idx val="6"/>
          <c:order val="6"/>
          <c:cat>
            <c:strRef>
              <c:f>'GAAP Analysis'!$BW$3:$CH$3</c:f>
            </c:strRef>
          </c:cat>
          <c:val>
            <c:numRef>
              <c:f>'GAAP Analysis'!$AM$13:$AX$13</c:f>
              <c:numCache/>
            </c:numRef>
          </c:val>
        </c:ser>
        <c:ser>
          <c:idx val="7"/>
          <c:order val="7"/>
          <c:cat>
            <c:strRef>
              <c:f>'GAAP Analysis'!$BW$3:$CH$3</c:f>
            </c:strRef>
          </c:cat>
          <c:val>
            <c:numRef>
              <c:f>'GAAP Analysis'!$AM$26:$AX$26</c:f>
              <c:numCache/>
            </c:numRef>
          </c:val>
        </c:ser>
        <c:axId val="317417131"/>
        <c:axId val="1253921541"/>
      </c:barChart>
      <c:catAx>
        <c:axId val="317417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3921541"/>
      </c:catAx>
      <c:valAx>
        <c:axId val="1253921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74171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YoY Bookings- FY26 vs. FY25 vs. FY24 vs. FY23</a:t>
            </a:r>
          </a:p>
        </c:rich>
      </c:tx>
      <c:layout>
        <c:manualLayout>
          <c:xMode val="edge"/>
          <c:yMode val="edge"/>
          <c:x val="0.010897435897435899"/>
          <c:y val="0.0476635514018691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FY26</c:v>
          </c:tx>
          <c:spPr>
            <a:solidFill>
              <a:srgbClr val="CFE2F3"/>
            </a:solidFill>
            <a:ln cmpd="sng">
              <a:noFill/>
            </a:ln>
          </c:spPr>
          <c:cat>
            <c:strRef>
              <c:f>'GAAP Analysis'!$BW$3:$CH$3</c:f>
            </c:strRef>
          </c:cat>
          <c:val>
            <c:numRef>
              <c:f>'GAAP Analysis'!$BW$7:$CH$7</c:f>
              <c:numCache/>
            </c:numRef>
          </c:val>
        </c:ser>
        <c:ser>
          <c:idx val="1"/>
          <c:order val="1"/>
          <c:tx>
            <c:v>FY25</c:v>
          </c:tx>
          <c:spPr>
            <a:solidFill>
              <a:srgbClr val="0B5394"/>
            </a:solidFill>
            <a:ln cmpd="sng">
              <a:noFill/>
            </a:ln>
          </c:spPr>
          <c:cat>
            <c:strRef>
              <c:f>'GAAP Analysis'!$BW$3:$CH$3</c:f>
            </c:strRef>
          </c:cat>
          <c:val>
            <c:numRef>
              <c:f>'GAAP Analysis'!$BW$12:$CH$12</c:f>
              <c:numCache/>
            </c:numRef>
          </c:val>
        </c:ser>
        <c:ser>
          <c:idx val="2"/>
          <c:order val="2"/>
          <c:tx>
            <c:v>FY24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'GAAP Analysis'!$BW$3:$CH$3</c:f>
            </c:strRef>
          </c:cat>
          <c:val>
            <c:numRef>
              <c:f>'GAAP Analysis'!$BK$7:$BV$7</c:f>
              <c:numCache/>
            </c:numRef>
          </c:val>
        </c:ser>
        <c:ser>
          <c:idx val="3"/>
          <c:order val="3"/>
          <c:tx>
            <c:v>FY23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'GAAP Analysis'!$BW$3:$CH$3</c:f>
            </c:strRef>
          </c:cat>
          <c:val>
            <c:numRef>
              <c:f>'GAAP Analysis'!$BK$12:$BV$12</c:f>
              <c:numCache/>
            </c:numRef>
          </c:val>
        </c:ser>
        <c:ser>
          <c:idx val="4"/>
          <c:order val="4"/>
          <c:cat>
            <c:strRef>
              <c:f>'GAAP Analysis'!$BW$3:$CH$3</c:f>
            </c:strRef>
          </c:cat>
          <c:val>
            <c:numRef>
              <c:f>'GAAP Analysis'!$AY$7:$BJ$7</c:f>
              <c:numCache/>
            </c:numRef>
          </c:val>
        </c:ser>
        <c:ser>
          <c:idx val="5"/>
          <c:order val="5"/>
          <c:cat>
            <c:strRef>
              <c:f>'GAAP Analysis'!$BW$3:$CH$3</c:f>
            </c:strRef>
          </c:cat>
          <c:val>
            <c:numRef>
              <c:f>'GAAP Analysis'!$AY$12:$BJ$12</c:f>
              <c:numCache/>
            </c:numRef>
          </c:val>
        </c:ser>
        <c:ser>
          <c:idx val="6"/>
          <c:order val="6"/>
          <c:cat>
            <c:strRef>
              <c:f>'GAAP Analysis'!$BW$3:$CH$3</c:f>
            </c:strRef>
          </c:cat>
          <c:val>
            <c:numRef>
              <c:f>'GAAP Analysis'!$AM$7:$AX$7</c:f>
              <c:numCache/>
            </c:numRef>
          </c:val>
        </c:ser>
        <c:ser>
          <c:idx val="7"/>
          <c:order val="7"/>
          <c:cat>
            <c:strRef>
              <c:f>'GAAP Analysis'!$BW$3:$CH$3</c:f>
            </c:strRef>
          </c:cat>
          <c:val>
            <c:numRef>
              <c:f>'GAAP Analysis'!$AM$12:$AX$12</c:f>
              <c:numCache/>
            </c:numRef>
          </c:val>
        </c:ser>
        <c:axId val="978206514"/>
        <c:axId val="385959871"/>
      </c:barChart>
      <c:catAx>
        <c:axId val="978206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5959871"/>
      </c:catAx>
      <c:valAx>
        <c:axId val="385959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Bookings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82065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Bookings &amp; Revenue</a:t>
            </a:r>
          </a:p>
        </c:rich>
      </c:tx>
      <c:overlay val="0"/>
    </c:title>
    <c:plotArea>
      <c:layout/>
      <c:lineChart>
        <c:ser>
          <c:idx val="0"/>
          <c:order val="0"/>
          <c:tx>
            <c:v>Bookings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'GAAP Analysis'!$BP$3:$CB$3</c:f>
            </c:strRef>
          </c:cat>
          <c:val>
            <c:numRef>
              <c:f>'GAAP Analysis'!$BP$7:$CB$7</c:f>
              <c:numCache/>
            </c:numRef>
          </c:val>
          <c:smooth val="0"/>
        </c:ser>
        <c:ser>
          <c:idx val="1"/>
          <c:order val="1"/>
          <c:tx>
            <c:v>Revenue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'GAAP Analysis'!$BP$3:$CB$3</c:f>
            </c:strRef>
          </c:cat>
          <c:val>
            <c:numRef>
              <c:f>'GAAP Analysis'!$BP$13:$CB$13</c:f>
              <c:numCache/>
            </c:numRef>
          </c:val>
          <c:smooth val="0"/>
        </c:ser>
        <c:axId val="1892540225"/>
        <c:axId val="32047520"/>
      </c:lineChart>
      <c:catAx>
        <c:axId val="1892540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047520"/>
      </c:catAx>
      <c:valAx>
        <c:axId val="32047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25402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Quarterly Revenue- FVA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Actuals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#,##0_);(#,##0)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Analysis'!$CM$3:$CP$3</c:f>
            </c:strRef>
          </c:cat>
          <c:val>
            <c:numRef>
              <c:f>'GAAP Analysis'!$CM$13:$CP$13</c:f>
              <c:numCache/>
            </c:numRef>
          </c:val>
        </c:ser>
        <c:ser>
          <c:idx val="1"/>
          <c:order val="1"/>
          <c:tx>
            <c:v>Forecast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Analysis'!$CM$3:$CP$3</c:f>
            </c:strRef>
          </c:cat>
          <c:val>
            <c:numRef>
              <c:f>'GAAP Analysis'!$CM$146:$CP$146</c:f>
              <c:numCache/>
            </c:numRef>
          </c:val>
        </c:ser>
        <c:axId val="1729493851"/>
        <c:axId val="91499528"/>
      </c:barChart>
      <c:catAx>
        <c:axId val="17294938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499528"/>
      </c:catAx>
      <c:valAx>
        <c:axId val="91499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94938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Quarterly Gross Profit- FVA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Actuals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#,##0_);(#,##0)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Analysis'!$CM$3:$CP$3</c:f>
            </c:strRef>
          </c:cat>
          <c:val>
            <c:numRef>
              <c:f>'GAAP Analysis'!$CM$106:$CP$106</c:f>
              <c:numCache/>
            </c:numRef>
          </c:val>
        </c:ser>
        <c:ser>
          <c:idx val="1"/>
          <c:order val="1"/>
          <c:tx>
            <c:v>Forecast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Analysis'!$CM$3:$CP$3</c:f>
            </c:strRef>
          </c:cat>
          <c:val>
            <c:numRef>
              <c:f>'GAAP Analysis'!$CM$161:$CP$161</c:f>
              <c:numCache/>
            </c:numRef>
          </c:val>
        </c:ser>
        <c:axId val="1644378068"/>
        <c:axId val="1142846271"/>
      </c:barChart>
      <c:catAx>
        <c:axId val="1644378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2846271"/>
      </c:catAx>
      <c:valAx>
        <c:axId val="11428462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4378068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Quarterly Expenses- FVA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COGS</c:v>
          </c:tx>
          <c:spPr>
            <a:solidFill>
              <a:srgbClr val="B7E1CD"/>
            </a:solidFill>
            <a:ln cmpd="sng">
              <a:noFill/>
            </a:ln>
          </c:spPr>
          <c:dPt>
            <c:idx val="0"/>
          </c:dPt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Analysis'!$CM$3:$CP$3</c:f>
            </c:strRef>
          </c:cat>
          <c:val>
            <c:numRef>
              <c:f>'GAAP Analysis'!$CM$28:$CP$28</c:f>
              <c:numCache/>
            </c:numRef>
          </c:val>
        </c:ser>
        <c:ser>
          <c:idx val="1"/>
          <c:order val="1"/>
          <c:tx>
            <c:v>G&amp;A</c:v>
          </c:tx>
          <c:spPr>
            <a:solidFill>
              <a:srgbClr val="33475B"/>
            </a:solidFill>
            <a:ln cmpd="sng">
              <a:noFill/>
            </a:ln>
          </c:spPr>
          <c:dPt>
            <c:idx val="6"/>
          </c:dPt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Analysis'!$CM$3:$CP$3</c:f>
            </c:strRef>
          </c:cat>
          <c:val>
            <c:numRef>
              <c:f>'GAAP Analysis'!$CM$70:$CP$70</c:f>
              <c:numCache/>
            </c:numRef>
          </c:val>
        </c:ser>
        <c:ser>
          <c:idx val="2"/>
          <c:order val="2"/>
          <c:tx>
            <c:v>S&amp;M</c:v>
          </c:tx>
          <c:spPr>
            <a:solidFill>
              <a:srgbClr val="93C47D"/>
            </a:solidFill>
            <a:ln cmpd="sng">
              <a:noFill/>
            </a:ln>
          </c:spPr>
          <c:dPt>
            <c:idx val="0"/>
          </c:dPt>
          <c:dPt>
            <c:idx val="3"/>
          </c:dPt>
          <c:dPt>
            <c:idx val="4"/>
          </c:dPt>
          <c:dPt>
            <c:idx val="6"/>
          </c:dPt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Analysis'!$CM$3:$CP$3</c:f>
            </c:strRef>
          </c:cat>
          <c:val>
            <c:numRef>
              <c:f>'GAAP Analysis'!$CM$78:$CP$78</c:f>
              <c:numCache/>
            </c:numRef>
          </c:val>
        </c:ser>
        <c:overlap val="100"/>
        <c:axId val="364393063"/>
        <c:axId val="1533039383"/>
      </c:barChart>
      <c:catAx>
        <c:axId val="364393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3039383"/>
      </c:catAx>
      <c:valAx>
        <c:axId val="1533039383"/>
        <c:scaling>
          <c:orientation val="minMax"/>
          <c:max val="1.5E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4393063"/>
      </c:valAx>
      <c:barChart>
        <c:barDir val="col"/>
        <c:grouping val="stacked"/>
        <c:ser>
          <c:idx val="3"/>
          <c:order val="3"/>
          <c:tx>
            <c:v>Fcst COGS</c:v>
          </c:tx>
          <c:spPr>
            <a:solidFill>
              <a:schemeClr val="accent4"/>
            </a:solidFill>
            <a:ln cmpd="sng">
              <a:noFill/>
            </a:ln>
          </c:spPr>
          <c:dPt>
            <c:idx val="0"/>
          </c:dPt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Analysis'!$CM$3:$CP$3</c:f>
            </c:strRef>
          </c:cat>
          <c:val>
            <c:numRef>
              <c:f>'GAAP Analysis'!$CM$159:$CP$159</c:f>
              <c:numCache/>
            </c:numRef>
          </c:val>
        </c:ser>
        <c:ser>
          <c:idx val="4"/>
          <c:order val="4"/>
          <c:tx>
            <c:v>Fcst G&amp;A</c:v>
          </c:tx>
          <c:spPr>
            <a:solidFill>
              <a:schemeClr val="accent5"/>
            </a:solidFill>
            <a:ln cmpd="sng">
              <a:noFill/>
            </a:ln>
          </c:spPr>
          <c:dPt>
            <c:idx val="0"/>
          </c:dPt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Analysis'!$CM$3:$CP$3</c:f>
            </c:strRef>
          </c:cat>
          <c:val>
            <c:numRef>
              <c:f>'GAAP Analysis'!$CM$165:$CP$165</c:f>
              <c:numCache/>
            </c:numRef>
          </c:val>
        </c:ser>
        <c:ser>
          <c:idx val="5"/>
          <c:order val="5"/>
          <c:tx>
            <c:v>Fcst S&amp;M</c:v>
          </c:tx>
          <c:spPr>
            <a:solidFill>
              <a:schemeClr val="accent6"/>
            </a:solidFill>
            <a:ln cmpd="sng">
              <a:noFill/>
            </a:ln>
          </c:spPr>
          <c:dPt>
            <c:idx val="0"/>
          </c:dPt>
          <c:dLbls>
            <c:numFmt formatCode="#,##0" sourceLinked="0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Analysis'!$CM$3:$CP$3</c:f>
            </c:strRef>
          </c:cat>
          <c:val>
            <c:numRef>
              <c:f>'GAAP Analysis'!$CM$166:$CP$166</c:f>
              <c:numCache/>
            </c:numRef>
          </c:val>
        </c:ser>
        <c:overlap val="100"/>
        <c:axId val="1683387915"/>
        <c:axId val="1528844294"/>
      </c:barChart>
      <c:catAx>
        <c:axId val="16833879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8844294"/>
      </c:catAx>
      <c:valAx>
        <c:axId val="1528844294"/>
        <c:scaling>
          <c:orientation val="minMax"/>
          <c:max val="1.5E7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683387915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Quarterly EBITDA- FVA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Actuals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#,##0_);(#,##0)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Analysis'!$CM$3:$CP$3</c:f>
            </c:strRef>
          </c:cat>
          <c:val>
            <c:numRef>
              <c:f>'GAAP Analysis'!$CM$91:$CP$91</c:f>
              <c:numCache/>
            </c:numRef>
          </c:val>
        </c:ser>
        <c:ser>
          <c:idx val="1"/>
          <c:order val="1"/>
          <c:tx>
            <c:v>Forecast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Analysis'!$CM$3:$CP$3</c:f>
            </c:strRef>
          </c:cat>
          <c:val>
            <c:numRef>
              <c:f>'GAAP Analysis'!$CM$178:$CP$178</c:f>
              <c:numCache/>
            </c:numRef>
          </c:val>
        </c:ser>
        <c:axId val="148274156"/>
        <c:axId val="1401916230"/>
      </c:barChart>
      <c:catAx>
        <c:axId val="148274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916230"/>
      </c:catAx>
      <c:valAx>
        <c:axId val="14019162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2741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TTM Revenue</a:t>
            </a:r>
          </a:p>
        </c:rich>
      </c:tx>
      <c:layout>
        <c:manualLayout>
          <c:xMode val="edge"/>
          <c:yMode val="edge"/>
          <c:x val="0.015110410094637225"/>
          <c:y val="0.04782135076252724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v>Total Revenue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'GAAP Analysis'!$EQ$3:$GF$3</c:f>
            </c:strRef>
          </c:cat>
          <c:val>
            <c:numRef>
              <c:f>'GAAP Analysis'!$EQ$13:$GF$13</c:f>
              <c:numCache/>
            </c:numRef>
          </c:val>
          <c:smooth val="0"/>
        </c:ser>
        <c:axId val="335113318"/>
        <c:axId val="2083995871"/>
      </c:lineChart>
      <c:catAx>
        <c:axId val="3351133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3995871"/>
      </c:catAx>
      <c:valAx>
        <c:axId val="2083995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5113318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TTM EBITDA</a:t>
            </a:r>
          </a:p>
        </c:rich>
      </c:tx>
      <c:layout>
        <c:manualLayout>
          <c:xMode val="edge"/>
          <c:yMode val="edge"/>
          <c:x val="0.015667823695529087"/>
          <c:y val="0.04782135076252724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v>EBITDA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'GAAP Analysis'!$EQ$3:$GF$3</c:f>
            </c:strRef>
          </c:cat>
          <c:val>
            <c:numRef>
              <c:f>'GAAP Analysis'!$EQ$91:$GF$91</c:f>
              <c:numCache/>
            </c:numRef>
          </c:val>
          <c:smooth val="0"/>
        </c:ser>
        <c:axId val="1872735615"/>
        <c:axId val="730368901"/>
      </c:lineChart>
      <c:catAx>
        <c:axId val="1872735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0368901"/>
      </c:catAx>
      <c:valAx>
        <c:axId val="730368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273561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TTM Bookings, Revenue &amp; EBITDA</a:t>
            </a:r>
          </a:p>
        </c:rich>
      </c:tx>
      <c:layout>
        <c:manualLayout>
          <c:xMode val="edge"/>
          <c:yMode val="edge"/>
          <c:x val="0.015667823695529087"/>
          <c:y val="0.04782135076252724"/>
        </c:manualLayout>
      </c:layout>
      <c:overlay val="0"/>
    </c:title>
    <c:plotArea>
      <c:layout/>
      <c:lineChart>
        <c:ser>
          <c:idx val="0"/>
          <c:order val="0"/>
          <c:tx>
            <c:v>Bookings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'GAAP Analysis'!$EQ$3:$GF$3</c:f>
            </c:strRef>
          </c:cat>
          <c:val>
            <c:numRef>
              <c:f>'GAAP Analysis'!$EQ$7:$GF$7</c:f>
              <c:numCache/>
            </c:numRef>
          </c:val>
          <c:smooth val="0"/>
        </c:ser>
        <c:ser>
          <c:idx val="1"/>
          <c:order val="1"/>
          <c:tx>
            <c:v>Revenue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'GAAP Analysis'!$EQ$3:$GF$3</c:f>
            </c:strRef>
          </c:cat>
          <c:val>
            <c:numRef>
              <c:f>'GAAP Analysis'!$EQ$13:$GF$13</c:f>
              <c:numCache/>
            </c:numRef>
          </c:val>
          <c:smooth val="0"/>
        </c:ser>
        <c:ser>
          <c:idx val="2"/>
          <c:order val="2"/>
          <c:tx>
            <c:v>EBITDA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'GAAP Analysis'!$EQ$3:$GF$3</c:f>
            </c:strRef>
          </c:cat>
          <c:val>
            <c:numRef>
              <c:f>'GAAP Analysis'!$EQ$91:$GF$91</c:f>
              <c:numCache/>
            </c:numRef>
          </c:val>
          <c:smooth val="0"/>
        </c:ser>
        <c:axId val="1807335527"/>
        <c:axId val="1001267660"/>
      </c:lineChart>
      <c:catAx>
        <c:axId val="18073355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1267660"/>
      </c:catAx>
      <c:valAx>
        <c:axId val="10012676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73355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YoY Revenue by Quarter</a:t>
            </a:r>
          </a:p>
        </c:rich>
      </c:tx>
      <c:layout>
        <c:manualLayout>
          <c:xMode val="edge"/>
          <c:yMode val="edge"/>
          <c:x val="0.010897435897435899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CY26</c:v>
          </c:tx>
          <c:spPr>
            <a:solidFill>
              <a:srgbClr val="CFE2F3"/>
            </a:solidFill>
            <a:ln cmpd="sng">
              <a:noFill/>
            </a:ln>
          </c:spPr>
          <c:dPt>
            <c:idx val="0"/>
          </c:dPt>
          <c:cat>
            <c:strRef>
              <c:f>'GAAP Analysis'!$CM$3:$CP$3</c:f>
            </c:strRef>
          </c:cat>
          <c:val>
            <c:numRef>
              <c:f>'GAAP Analysis'!$DK$26:$DN$26</c:f>
              <c:numCache/>
            </c:numRef>
          </c:val>
        </c:ser>
        <c:ser>
          <c:idx val="1"/>
          <c:order val="1"/>
          <c:tx>
            <c:v>CY25</c:v>
          </c:tx>
          <c:spPr>
            <a:solidFill>
              <a:srgbClr val="0B5394"/>
            </a:solidFill>
            <a:ln cmpd="sng">
              <a:noFill/>
            </a:ln>
          </c:spPr>
          <c:dPt>
            <c:idx val="0"/>
          </c:dPt>
          <c:dPt>
            <c:idx val="1"/>
          </c:dPt>
          <c:cat>
            <c:strRef>
              <c:f>'GAAP Analysis'!$CM$3:$CP$3</c:f>
            </c:strRef>
          </c:cat>
          <c:val>
            <c:numRef>
              <c:f>'GAAP Analysis'!$CM$13:$CP$13</c:f>
              <c:numCache/>
            </c:numRef>
          </c:val>
        </c:ser>
        <c:ser>
          <c:idx val="2"/>
          <c:order val="2"/>
          <c:tx>
            <c:v>CY24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'GAAP Analysis'!$CM$3:$CP$3</c:f>
            </c:strRef>
          </c:cat>
          <c:val>
            <c:numRef>
              <c:f>'GAAP Analysis'!$CM$26:$CP$26</c:f>
              <c:numCache/>
            </c:numRef>
          </c:val>
        </c:ser>
        <c:ser>
          <c:idx val="3"/>
          <c:order val="3"/>
          <c:tx>
            <c:v>CY23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'GAAP Analysis'!$CM$3:$CP$3</c:f>
            </c:strRef>
          </c:cat>
          <c:val>
            <c:numRef>
              <c:f>'GAAP Analysis'!$CS$13:$CV$13</c:f>
              <c:numCache/>
            </c:numRef>
          </c:val>
        </c:ser>
        <c:ser>
          <c:idx val="4"/>
          <c:order val="4"/>
          <c:cat>
            <c:strRef>
              <c:f>'GAAP Analysis'!$CM$3:$CP$3</c:f>
            </c:strRef>
          </c:cat>
          <c:val>
            <c:numRef>
              <c:f>'GAAP Analysis'!$CS$26:$CV$26</c:f>
              <c:numCache/>
            </c:numRef>
          </c:val>
        </c:ser>
        <c:ser>
          <c:idx val="5"/>
          <c:order val="5"/>
          <c:cat>
            <c:strRef>
              <c:f>'GAAP Analysis'!$CM$3:$CP$3</c:f>
            </c:strRef>
          </c:cat>
          <c:val>
            <c:numRef>
              <c:f>'GAAP Analysis'!$CY$13:$DB$13</c:f>
              <c:numCache/>
            </c:numRef>
          </c:val>
        </c:ser>
        <c:ser>
          <c:idx val="6"/>
          <c:order val="6"/>
          <c:cat>
            <c:strRef>
              <c:f>'GAAP Analysis'!$CM$3:$CP$3</c:f>
            </c:strRef>
          </c:cat>
          <c:val>
            <c:numRef>
              <c:f>'GAAP Analysis'!$CY$26:$DB$26</c:f>
              <c:numCache/>
            </c:numRef>
          </c:val>
        </c:ser>
        <c:ser>
          <c:idx val="7"/>
          <c:order val="7"/>
          <c:cat>
            <c:strRef>
              <c:f>'GAAP Analysis'!$CM$3:$CP$3</c:f>
            </c:strRef>
          </c:cat>
          <c:val>
            <c:numRef>
              <c:f>'GAAP Analysis'!$DE$13:$DH$13</c:f>
              <c:numCache/>
            </c:numRef>
          </c:val>
        </c:ser>
        <c:ser>
          <c:idx val="8"/>
          <c:order val="8"/>
          <c:cat>
            <c:strRef>
              <c:f>'GAAP Analysis'!$CM$3:$CP$3</c:f>
            </c:strRef>
          </c:cat>
          <c:val>
            <c:numRef>
              <c:f>'GAAP Analysis'!$DE$26:$DH$26</c:f>
              <c:numCache/>
            </c:numRef>
          </c:val>
        </c:ser>
        <c:axId val="1500773171"/>
        <c:axId val="1154538542"/>
      </c:barChart>
      <c:catAx>
        <c:axId val="1500773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4538542"/>
      </c:catAx>
      <c:valAx>
        <c:axId val="11545385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0773171"/>
      </c:valAx>
    </c:plotArea>
    <c:legend>
      <c:legendPos val="r"/>
      <c:layout>
        <c:manualLayout>
          <c:xMode val="edge"/>
          <c:yMode val="edge"/>
          <c:x val="0.40764524586139167"/>
          <c:y val="0.1312949640287769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YoY Gross Profit by Quarter</a:t>
            </a:r>
          </a:p>
        </c:rich>
      </c:tx>
      <c:layout>
        <c:manualLayout>
          <c:xMode val="edge"/>
          <c:yMode val="edge"/>
          <c:x val="0.010897435897435899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CY26</c:v>
          </c:tx>
          <c:spPr>
            <a:solidFill>
              <a:srgbClr val="CFE2F3"/>
            </a:solidFill>
            <a:ln cmpd="sng">
              <a:noFill/>
            </a:ln>
          </c:spPr>
          <c:cat>
            <c:strRef>
              <c:f>'GAAP Analysis'!$CM$3:$CP$3</c:f>
            </c:strRef>
          </c:cat>
          <c:val>
            <c:numRef>
              <c:f>'GAAP Analysis'!$CM$106:$CP$106</c:f>
              <c:numCache/>
            </c:numRef>
          </c:val>
        </c:ser>
        <c:ser>
          <c:idx val="1"/>
          <c:order val="1"/>
          <c:tx>
            <c:v>CY25</c:v>
          </c:tx>
          <c:spPr>
            <a:solidFill>
              <a:srgbClr val="0B5394"/>
            </a:solidFill>
            <a:ln cmpd="sng">
              <a:noFill/>
            </a:ln>
          </c:spPr>
          <c:dPt>
            <c:idx val="0"/>
          </c:dPt>
          <c:dPt>
            <c:idx val="1"/>
          </c:dPt>
          <c:cat>
            <c:strRef>
              <c:f>'GAAP Analysis'!$CM$3:$CP$3</c:f>
            </c:strRef>
          </c:cat>
          <c:val>
            <c:numRef>
              <c:f>'GAAP Analysis'!$CM$108:$CP$108</c:f>
              <c:numCache/>
            </c:numRef>
          </c:val>
        </c:ser>
        <c:ser>
          <c:idx val="2"/>
          <c:order val="2"/>
          <c:tx>
            <c:v>CY24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'GAAP Analysis'!$CM$3:$CP$3</c:f>
            </c:strRef>
          </c:cat>
          <c:val>
            <c:numRef>
              <c:f>'GAAP Analysis'!$CS$106:$CV$106</c:f>
              <c:numCache/>
            </c:numRef>
          </c:val>
        </c:ser>
        <c:ser>
          <c:idx val="3"/>
          <c:order val="3"/>
          <c:tx>
            <c:v>CY23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'GAAP Analysis'!$CM$3:$CP$3</c:f>
            </c:strRef>
          </c:cat>
          <c:val>
            <c:numRef>
              <c:f>'GAAP Analysis'!$CS$108:$CV$108</c:f>
              <c:numCache/>
            </c:numRef>
          </c:val>
        </c:ser>
        <c:ser>
          <c:idx val="4"/>
          <c:order val="4"/>
          <c:cat>
            <c:strRef>
              <c:f>'GAAP Analysis'!$CM$3:$CP$3</c:f>
            </c:strRef>
          </c:cat>
          <c:val>
            <c:numRef>
              <c:f>'GAAP Analysis'!$CY$106:$DB$106</c:f>
              <c:numCache/>
            </c:numRef>
          </c:val>
        </c:ser>
        <c:ser>
          <c:idx val="5"/>
          <c:order val="5"/>
          <c:cat>
            <c:strRef>
              <c:f>'GAAP Analysis'!$CM$3:$CP$3</c:f>
            </c:strRef>
          </c:cat>
          <c:val>
            <c:numRef>
              <c:f>'GAAP Analysis'!$CY$108:$DB$108</c:f>
              <c:numCache/>
            </c:numRef>
          </c:val>
        </c:ser>
        <c:ser>
          <c:idx val="6"/>
          <c:order val="6"/>
          <c:cat>
            <c:strRef>
              <c:f>'GAAP Analysis'!$CM$3:$CP$3</c:f>
            </c:strRef>
          </c:cat>
          <c:val>
            <c:numRef>
              <c:f>'GAAP Analysis'!$DE$106:$DH$106</c:f>
              <c:numCache/>
            </c:numRef>
          </c:val>
        </c:ser>
        <c:ser>
          <c:idx val="7"/>
          <c:order val="7"/>
          <c:cat>
            <c:strRef>
              <c:f>'GAAP Analysis'!$CM$3:$CP$3</c:f>
            </c:strRef>
          </c:cat>
          <c:val>
            <c:numRef>
              <c:f>'GAAP Analysis'!$DE$108:$DH$108</c:f>
              <c:numCache/>
            </c:numRef>
          </c:val>
        </c:ser>
        <c:axId val="1055947405"/>
        <c:axId val="491049668"/>
      </c:barChart>
      <c:catAx>
        <c:axId val="1055947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1049668"/>
      </c:catAx>
      <c:valAx>
        <c:axId val="4910496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Gross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5947405"/>
      </c:valAx>
    </c:plotArea>
    <c:legend>
      <c:legendPos val="r"/>
      <c:layout>
        <c:manualLayout>
          <c:xMode val="edge"/>
          <c:yMode val="edge"/>
          <c:x val="0.40574102412657503"/>
          <c:y val="0.1312949640287769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YoY Expenses (COGS + Opex) by Quarter</a:t>
            </a:r>
          </a:p>
        </c:rich>
      </c:tx>
      <c:layout>
        <c:manualLayout>
          <c:xMode val="edge"/>
          <c:yMode val="edge"/>
          <c:x val="0.010897435897435899"/>
          <c:y val="0.052398081534772184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CY26</c:v>
          </c:tx>
          <c:spPr>
            <a:solidFill>
              <a:srgbClr val="CFE2F3"/>
            </a:solidFill>
            <a:ln cmpd="sng">
              <a:noFill/>
            </a:ln>
          </c:spPr>
          <c:cat>
            <c:strRef>
              <c:f>'GAAP Analysis'!$CM$3:$CP$3</c:f>
            </c:strRef>
          </c:cat>
          <c:val>
            <c:numRef>
              <c:f>'GAAP Analysis'!$CM$110:$CP$110</c:f>
              <c:numCache/>
            </c:numRef>
          </c:val>
        </c:ser>
        <c:ser>
          <c:idx val="1"/>
          <c:order val="1"/>
          <c:tx>
            <c:v>CY25</c:v>
          </c:tx>
          <c:spPr>
            <a:solidFill>
              <a:srgbClr val="0B5394"/>
            </a:solidFill>
            <a:ln cmpd="sng">
              <a:noFill/>
            </a:ln>
          </c:spPr>
          <c:dPt>
            <c:idx val="0"/>
          </c:dPt>
          <c:dPt>
            <c:idx val="1"/>
          </c:dPt>
          <c:cat>
            <c:strRef>
              <c:f>'GAAP Analysis'!$CM$3:$CP$3</c:f>
            </c:strRef>
          </c:cat>
          <c:val>
            <c:numRef>
              <c:f>'GAAP Analysis'!$CM$112:$CP$112</c:f>
              <c:numCache/>
            </c:numRef>
          </c:val>
        </c:ser>
        <c:ser>
          <c:idx val="2"/>
          <c:order val="2"/>
          <c:tx>
            <c:v>CY24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'GAAP Analysis'!$CM$3:$CP$3</c:f>
            </c:strRef>
          </c:cat>
          <c:val>
            <c:numRef>
              <c:f>'GAAP Analysis'!$CS$110:$CV$110</c:f>
              <c:numCache/>
            </c:numRef>
          </c:val>
        </c:ser>
        <c:ser>
          <c:idx val="3"/>
          <c:order val="3"/>
          <c:tx>
            <c:v>CY23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'GAAP Analysis'!$CM$3:$CP$3</c:f>
            </c:strRef>
          </c:cat>
          <c:val>
            <c:numRef>
              <c:f>'GAAP Analysis'!$CS$112:$CV$112</c:f>
              <c:numCache/>
            </c:numRef>
          </c:val>
        </c:ser>
        <c:ser>
          <c:idx val="4"/>
          <c:order val="4"/>
          <c:cat>
            <c:strRef>
              <c:f>'GAAP Analysis'!$CM$3:$CP$3</c:f>
            </c:strRef>
          </c:cat>
          <c:val>
            <c:numRef>
              <c:f>'GAAP Analysis'!$CY$110:$DB$110</c:f>
              <c:numCache/>
            </c:numRef>
          </c:val>
        </c:ser>
        <c:ser>
          <c:idx val="5"/>
          <c:order val="5"/>
          <c:cat>
            <c:strRef>
              <c:f>'GAAP Analysis'!$CM$3:$CP$3</c:f>
            </c:strRef>
          </c:cat>
          <c:val>
            <c:numRef>
              <c:f>'GAAP Analysis'!$CY$112:$DB$112</c:f>
              <c:numCache/>
            </c:numRef>
          </c:val>
        </c:ser>
        <c:ser>
          <c:idx val="6"/>
          <c:order val="6"/>
          <c:cat>
            <c:strRef>
              <c:f>'GAAP Analysis'!$CM$3:$CP$3</c:f>
            </c:strRef>
          </c:cat>
          <c:val>
            <c:numRef>
              <c:f>'GAAP Analysis'!$DK$110:$DN$110</c:f>
              <c:numCache/>
            </c:numRef>
          </c:val>
        </c:ser>
        <c:ser>
          <c:idx val="7"/>
          <c:order val="7"/>
          <c:cat>
            <c:strRef>
              <c:f>'GAAP Analysis'!$CM$3:$CP$3</c:f>
            </c:strRef>
          </c:cat>
          <c:val>
            <c:numRef>
              <c:f>'GAAP Analysis'!$DE$110:$DH$110</c:f>
              <c:numCache/>
            </c:numRef>
          </c:val>
        </c:ser>
        <c:ser>
          <c:idx val="8"/>
          <c:order val="8"/>
          <c:cat>
            <c:strRef>
              <c:f>'GAAP Analysis'!$CM$3:$CP$3</c:f>
            </c:strRef>
          </c:cat>
          <c:val>
            <c:numRef>
              <c:f>'GAAP Analysis'!$DE$112:$DH$112</c:f>
              <c:numCache/>
            </c:numRef>
          </c:val>
        </c:ser>
        <c:axId val="364935541"/>
        <c:axId val="1179243073"/>
      </c:barChart>
      <c:catAx>
        <c:axId val="364935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9243073"/>
      </c:catAx>
      <c:valAx>
        <c:axId val="11792430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49355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YoY EBITDA by Quarter</a:t>
            </a:r>
          </a:p>
        </c:rich>
      </c:tx>
      <c:layout>
        <c:manualLayout>
          <c:xMode val="edge"/>
          <c:yMode val="edge"/>
          <c:x val="0.0108974358974359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CY26</c:v>
          </c:tx>
          <c:spPr>
            <a:solidFill>
              <a:srgbClr val="CFE2F3"/>
            </a:solidFill>
            <a:ln cmpd="sng">
              <a:noFill/>
            </a:ln>
          </c:spPr>
          <c:cat>
            <c:strRef>
              <c:f>'GAAP Analysis'!$CM$3:$CP$3</c:f>
            </c:strRef>
          </c:cat>
          <c:val>
            <c:numRef>
              <c:f>'GAAP Analysis'!$CM$91:$CP$91</c:f>
              <c:numCache/>
            </c:numRef>
          </c:val>
        </c:ser>
        <c:ser>
          <c:idx val="1"/>
          <c:order val="1"/>
          <c:tx>
            <c:v>CY25</c:v>
          </c:tx>
          <c:spPr>
            <a:solidFill>
              <a:srgbClr val="0B5394"/>
            </a:solidFill>
            <a:ln cmpd="sng">
              <a:noFill/>
            </a:ln>
          </c:spPr>
          <c:dPt>
            <c:idx val="0"/>
          </c:dPt>
          <c:dPt>
            <c:idx val="1"/>
          </c:dPt>
          <c:cat>
            <c:strRef>
              <c:f>'GAAP Analysis'!$CM$3:$CP$3</c:f>
            </c:strRef>
          </c:cat>
          <c:val>
            <c:numRef>
              <c:f>'GAAP Analysis'!$CM$93:$CP$93</c:f>
              <c:numCache/>
            </c:numRef>
          </c:val>
        </c:ser>
        <c:ser>
          <c:idx val="2"/>
          <c:order val="2"/>
          <c:tx>
            <c:v>CY24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'GAAP Analysis'!$CM$3:$CP$3</c:f>
            </c:strRef>
          </c:cat>
          <c:val>
            <c:numRef>
              <c:f>'GAAP Analysis'!$CS$91:$CV$91</c:f>
              <c:numCache/>
            </c:numRef>
          </c:val>
        </c:ser>
        <c:ser>
          <c:idx val="3"/>
          <c:order val="3"/>
          <c:tx>
            <c:v>CY23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'GAAP Analysis'!$CM$3:$CP$3</c:f>
            </c:strRef>
          </c:cat>
          <c:val>
            <c:numRef>
              <c:f>'GAAP Analysis'!$CS$93:$CV$93</c:f>
              <c:numCache/>
            </c:numRef>
          </c:val>
        </c:ser>
        <c:ser>
          <c:idx val="4"/>
          <c:order val="4"/>
          <c:cat>
            <c:strRef>
              <c:f>'GAAP Analysis'!$CM$3:$CP$3</c:f>
            </c:strRef>
          </c:cat>
          <c:val>
            <c:numRef>
              <c:f>'GAAP Analysis'!$CY$91:$DB$91</c:f>
              <c:numCache/>
            </c:numRef>
          </c:val>
        </c:ser>
        <c:ser>
          <c:idx val="5"/>
          <c:order val="5"/>
          <c:cat>
            <c:strRef>
              <c:f>'GAAP Analysis'!$CM$3:$CP$3</c:f>
            </c:strRef>
          </c:cat>
          <c:val>
            <c:numRef>
              <c:f>'GAAP Analysis'!$CY$93:$DB$93</c:f>
              <c:numCache/>
            </c:numRef>
          </c:val>
        </c:ser>
        <c:ser>
          <c:idx val="6"/>
          <c:order val="6"/>
          <c:cat>
            <c:strRef>
              <c:f>'GAAP Analysis'!$CM$3:$CP$3</c:f>
            </c:strRef>
          </c:cat>
          <c:val>
            <c:numRef>
              <c:f>'GAAP Analysis'!$DE$91:$DH$91</c:f>
              <c:numCache/>
            </c:numRef>
          </c:val>
        </c:ser>
        <c:ser>
          <c:idx val="7"/>
          <c:order val="7"/>
          <c:cat>
            <c:strRef>
              <c:f>'GAAP Analysis'!$CM$3:$CP$3</c:f>
            </c:strRef>
          </c:cat>
          <c:val>
            <c:numRef>
              <c:f>'GAAP Analysis'!$DE$93:$DH$93</c:f>
              <c:numCache/>
            </c:numRef>
          </c:val>
        </c:ser>
        <c:axId val="129531000"/>
        <c:axId val="218545641"/>
      </c:barChart>
      <c:catAx>
        <c:axId val="129531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8545641"/>
      </c:catAx>
      <c:valAx>
        <c:axId val="2185456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EBITDA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531000"/>
      </c:valAx>
    </c:plotArea>
    <c:legend>
      <c:legendPos val="r"/>
      <c:layout>
        <c:manualLayout>
          <c:xMode val="edge"/>
          <c:yMode val="edge"/>
          <c:x val="0.39428627040378006"/>
          <c:y val="0.1312949640287769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Base - Monthly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COGS</c:v>
          </c:tx>
          <c:spPr>
            <a:solidFill>
              <a:srgbClr val="B7E1C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Analysis'!$BP$3:$CB$3</c:f>
            </c:strRef>
          </c:cat>
          <c:val>
            <c:numRef>
              <c:f>'GAAP Analysis'!$BP$28:$CB$28</c:f>
              <c:numCache/>
            </c:numRef>
          </c:val>
        </c:ser>
        <c:ser>
          <c:idx val="1"/>
          <c:order val="1"/>
          <c:tx>
            <c:v>Personnel</c:v>
          </c:tx>
          <c:spPr>
            <a:solidFill>
              <a:srgbClr val="33475B"/>
            </a:solidFill>
            <a:ln cmpd="sng">
              <a:noFill/>
            </a:ln>
          </c:spPr>
          <c:dPt>
            <c:idx val="6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Analysis'!$BP$3:$CB$3</c:f>
            </c:strRef>
          </c:cat>
          <c:val>
            <c:numRef>
              <c:f>'GAAP Analysis'!$BP$74:$CB$74</c:f>
              <c:numCache/>
            </c:numRef>
          </c:val>
        </c:ser>
        <c:ser>
          <c:idx val="2"/>
          <c:order val="2"/>
          <c:tx>
            <c:v>S&amp;M</c:v>
          </c:tx>
          <c:spPr>
            <a:solidFill>
              <a:srgbClr val="0091AE"/>
            </a:solidFill>
            <a:ln cmpd="sng">
              <a:noFill/>
            </a:ln>
          </c:spPr>
          <c:dPt>
            <c:idx val="3"/>
          </c:dPt>
          <c:dPt>
            <c:idx val="4"/>
          </c:dPt>
          <c:dPt>
            <c:idx val="6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Analysis'!$BP$3:$CB$3</c:f>
            </c:strRef>
          </c:cat>
          <c:val>
            <c:numRef>
              <c:f>'GAAP Analysis'!$BP$78:$CB$78</c:f>
              <c:numCache/>
            </c:numRef>
          </c:val>
        </c:ser>
        <c:ser>
          <c:idx val="3"/>
          <c:order val="3"/>
          <c:tx>
            <c:v>G&amp;A</c:v>
          </c:tx>
          <c:spPr>
            <a:solidFill>
              <a:schemeClr val="accent4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Analysis'!$BP$3:$CB$3</c:f>
            </c:strRef>
          </c:cat>
          <c:val>
            <c:numRef>
              <c:f>'GAAP Analysis'!$BP$70:$CB$70</c:f>
              <c:numCache/>
            </c:numRef>
          </c:val>
        </c:ser>
        <c:overlap val="100"/>
        <c:axId val="1745786211"/>
        <c:axId val="1563118147"/>
      </c:barChart>
      <c:catAx>
        <c:axId val="17457862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3118147"/>
      </c:catAx>
      <c:valAx>
        <c:axId val="1563118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5786211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2024 Quarterly Expenses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COGS</c:v>
          </c:tx>
          <c:spPr>
            <a:solidFill>
              <a:srgbClr val="B7E1CD"/>
            </a:solidFill>
            <a:ln cmpd="sng">
              <a:noFill/>
            </a:ln>
          </c:spPr>
          <c:dPt>
            <c:idx val="0"/>
          </c:dPt>
          <c:cat>
            <c:strRef>
              <c:f>'GAAP Analysis'!$CY$3:$DB$3</c:f>
            </c:strRef>
          </c:cat>
          <c:val>
            <c:numRef>
              <c:f>'GAAP Analysis'!$CY$28:$DB$28</c:f>
              <c:numCache/>
            </c:numRef>
          </c:val>
        </c:ser>
        <c:ser>
          <c:idx val="1"/>
          <c:order val="1"/>
          <c:tx>
            <c:v>Personnel</c:v>
          </c:tx>
          <c:spPr>
            <a:solidFill>
              <a:srgbClr val="33475B"/>
            </a:solidFill>
            <a:ln cmpd="sng">
              <a:noFill/>
            </a:ln>
          </c:spPr>
          <c:dPt>
            <c:idx val="6"/>
          </c:dPt>
          <c:cat>
            <c:strRef>
              <c:f>'GAAP Analysis'!$CY$3:$DB$3</c:f>
            </c:strRef>
          </c:cat>
          <c:val>
            <c:numRef>
              <c:f>'GAAP Analysis'!$CY$182:$DB$182</c:f>
              <c:numCache/>
            </c:numRef>
          </c:val>
        </c:ser>
        <c:ser>
          <c:idx val="2"/>
          <c:order val="2"/>
          <c:tx>
            <c:v>Travel</c:v>
          </c:tx>
          <c:spPr>
            <a:solidFill>
              <a:srgbClr val="0091AE"/>
            </a:solidFill>
            <a:ln cmpd="sng">
              <a:noFill/>
            </a:ln>
          </c:spPr>
          <c:dPt>
            <c:idx val="3"/>
          </c:dPt>
          <c:dPt>
            <c:idx val="4"/>
          </c:dPt>
          <c:dPt>
            <c:idx val="6"/>
          </c:dPt>
          <c:cat>
            <c:strRef>
              <c:f>'GAAP Analysis'!$CY$3:$DB$3</c:f>
            </c:strRef>
          </c:cat>
          <c:val>
            <c:numRef>
              <c:f>'GAAP Analysis'!$CY$183:$DB$183</c:f>
              <c:numCache/>
            </c:numRef>
          </c:val>
        </c:ser>
        <c:ser>
          <c:idx val="3"/>
          <c:order val="3"/>
          <c:tx>
            <c:v>G&amp;A</c:v>
          </c:tx>
          <c:spPr>
            <a:solidFill>
              <a:schemeClr val="accent4"/>
            </a:solidFill>
            <a:ln cmpd="sng">
              <a:noFill/>
            </a:ln>
          </c:spPr>
          <c:dPt>
            <c:idx val="0"/>
          </c:dPt>
          <c:cat>
            <c:strRef>
              <c:f>'GAAP Analysis'!$CY$3:$DB$3</c:f>
            </c:strRef>
          </c:cat>
          <c:val>
            <c:numRef>
              <c:f>'GAAP Analysis'!$CY$74:$DB$74</c:f>
              <c:numCache/>
            </c:numRef>
          </c:val>
        </c:ser>
        <c:ser>
          <c:idx val="4"/>
          <c:order val="4"/>
          <c:tx>
            <c:v>Marketing</c:v>
          </c:tx>
          <c:spPr>
            <a:solidFill>
              <a:srgbClr val="EAD1DC"/>
            </a:solidFill>
            <a:ln cmpd="sng">
              <a:noFill/>
            </a:ln>
          </c:spPr>
          <c:dPt>
            <c:idx val="0"/>
          </c:dPt>
          <c:cat>
            <c:strRef>
              <c:f>'GAAP Analysis'!$CY$3:$DB$3</c:f>
            </c:strRef>
          </c:cat>
          <c:val>
            <c:numRef>
              <c:f>'GAAP Analysis'!$CY$183:$DB$183</c:f>
              <c:numCache/>
            </c:numRef>
          </c:val>
        </c:ser>
        <c:ser>
          <c:idx val="5"/>
          <c:order val="5"/>
          <c:cat>
            <c:strRef>
              <c:f>'GAAP Analysis'!$CY$3:$DB$3</c:f>
            </c:strRef>
          </c:cat>
          <c:val>
            <c:numRef>
              <c:f>'GAAP Analysis'!$CY$70:$DB$70</c:f>
              <c:numCache/>
            </c:numRef>
          </c:val>
        </c:ser>
        <c:ser>
          <c:idx val="6"/>
          <c:order val="6"/>
          <c:cat>
            <c:strRef>
              <c:f>'GAAP Analysis'!$CY$3:$DB$3</c:f>
            </c:strRef>
          </c:cat>
          <c:val>
            <c:numRef>
              <c:f>'GAAP Analysis'!$CY$184:$DB$184</c:f>
              <c:numCache/>
            </c:numRef>
          </c:val>
        </c:ser>
        <c:ser>
          <c:idx val="7"/>
          <c:order val="7"/>
          <c:cat>
            <c:strRef>
              <c:f>'GAAP Analysis'!$CY$3:$DB$3</c:f>
            </c:strRef>
          </c:cat>
          <c:val>
            <c:numRef>
              <c:f>'GAAP Analysis'!$CY$95:$DB$95</c:f>
              <c:numCache/>
            </c:numRef>
          </c:val>
        </c:ser>
        <c:ser>
          <c:idx val="8"/>
          <c:order val="8"/>
          <c:cat>
            <c:strRef>
              <c:f>'GAAP Analysis'!$CY$3:$DB$3</c:f>
            </c:strRef>
          </c:cat>
          <c:val>
            <c:numRef>
              <c:f>'GAAP Analysis'!$CY$185:$DB$185</c:f>
              <c:numCache/>
            </c:numRef>
          </c:val>
        </c:ser>
        <c:ser>
          <c:idx val="9"/>
          <c:order val="9"/>
          <c:cat>
            <c:strRef>
              <c:f>'GAAP Analysis'!$CY$3:$DB$3</c:f>
            </c:strRef>
          </c:cat>
          <c:val>
            <c:numRef>
              <c:f>'GAAP Analysis'!$CY$94:$DB$94</c:f>
              <c:numCache/>
            </c:numRef>
          </c:val>
        </c:ser>
        <c:ser>
          <c:idx val="10"/>
          <c:order val="10"/>
          <c:cat>
            <c:strRef>
              <c:f>'GAAP Analysis'!$CY$3:$DB$3</c:f>
            </c:strRef>
          </c:cat>
          <c:val>
            <c:numRef>
              <c:f>'GAAP Analysis'!$CY$186:$DB$186</c:f>
              <c:numCache/>
            </c:numRef>
          </c:val>
        </c:ser>
        <c:overlap val="100"/>
        <c:axId val="1620993858"/>
        <c:axId val="547733359"/>
      </c:barChart>
      <c:catAx>
        <c:axId val="16209938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7733359"/>
      </c:catAx>
      <c:valAx>
        <c:axId val="547733359"/>
        <c:scaling>
          <c:orientation val="minMax"/>
          <c:max val="80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993858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2026 GAAP Revenue &amp; EBITDA by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Revenue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Analysis'!$CL$3:$CP$3</c:f>
            </c:strRef>
          </c:cat>
          <c:val>
            <c:numRef>
              <c:f>'GAAP Analysis'!$CL$13:$CP$13</c:f>
              <c:numCache/>
            </c:numRef>
          </c:val>
        </c:ser>
        <c:ser>
          <c:idx val="1"/>
          <c:order val="1"/>
          <c:tx>
            <c:v>EBITDA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Analysis'!$CL$3:$CP$3</c:f>
            </c:strRef>
          </c:cat>
          <c:val>
            <c:numRef>
              <c:f>'GAAP Analysis'!$CL$91:$CP$91</c:f>
              <c:numCache/>
            </c:numRef>
          </c:val>
        </c:ser>
        <c:axId val="739844744"/>
        <c:axId val="752131638"/>
      </c:barChart>
      <c:catAx>
        <c:axId val="739844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752131638"/>
      </c:catAx>
      <c:valAx>
        <c:axId val="752131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$#,##0_);[Red]($#,##0)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9844744"/>
      </c:valAx>
    </c:plotArea>
    <c:legend>
      <c:legendPos val="r"/>
      <c:layout>
        <c:manualLayout>
          <c:xMode val="edge"/>
          <c:yMode val="edge"/>
          <c:x val="0.3564376488929372"/>
          <c:y val="0.1245098039215686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2025 Forecasted Expenses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COGS</c:v>
          </c:tx>
          <c:spPr>
            <a:solidFill>
              <a:srgbClr val="B7E1CD"/>
            </a:solidFill>
            <a:ln cmpd="sng">
              <a:noFill/>
            </a:ln>
          </c:spPr>
          <c:dPt>
            <c:idx val="0"/>
          </c:dPt>
          <c:cat>
            <c:strRef>
              <c:f>'GAAP Analysis'!$CS$3:$CV$3</c:f>
            </c:strRef>
          </c:cat>
          <c:val>
            <c:numRef>
              <c:f>'GAAP Analysis'!$CS$159:$CV$159</c:f>
              <c:numCache/>
            </c:numRef>
          </c:val>
        </c:ser>
        <c:ser>
          <c:idx val="1"/>
          <c:order val="1"/>
          <c:tx>
            <c:v>Personnel</c:v>
          </c:tx>
          <c:spPr>
            <a:solidFill>
              <a:srgbClr val="33475B"/>
            </a:solidFill>
            <a:ln cmpd="sng">
              <a:noFill/>
            </a:ln>
          </c:spPr>
          <c:dPt>
            <c:idx val="6"/>
          </c:dPt>
          <c:cat>
            <c:strRef>
              <c:f>'GAAP Analysis'!$CS$3:$CV$3</c:f>
            </c:strRef>
          </c:cat>
          <c:val>
            <c:numRef>
              <c:f>'GAAP Analysis'!$CS$182:$CV$182</c:f>
              <c:numCache/>
            </c:numRef>
          </c:val>
        </c:ser>
        <c:ser>
          <c:idx val="2"/>
          <c:order val="2"/>
          <c:tx>
            <c:v>Travel</c:v>
          </c:tx>
          <c:spPr>
            <a:solidFill>
              <a:srgbClr val="0091AE"/>
            </a:solidFill>
            <a:ln cmpd="sng">
              <a:noFill/>
            </a:ln>
          </c:spPr>
          <c:dPt>
            <c:idx val="3"/>
          </c:dPt>
          <c:dPt>
            <c:idx val="4"/>
          </c:dPt>
          <c:dPt>
            <c:idx val="6"/>
          </c:dPt>
          <c:cat>
            <c:strRef>
              <c:f>'GAAP Analysis'!$CS$3:$CV$3</c:f>
            </c:strRef>
          </c:cat>
          <c:val>
            <c:numRef>
              <c:f>'GAAP Analysis'!$CS$182:$CV$182</c:f>
              <c:numCache/>
            </c:numRef>
          </c:val>
        </c:ser>
        <c:ser>
          <c:idx val="3"/>
          <c:order val="3"/>
          <c:tx>
            <c:v>G&amp;A</c:v>
          </c:tx>
          <c:spPr>
            <a:solidFill>
              <a:schemeClr val="accent4"/>
            </a:solidFill>
            <a:ln cmpd="sng">
              <a:noFill/>
            </a:ln>
          </c:spPr>
          <c:dPt>
            <c:idx val="0"/>
          </c:dPt>
          <c:cat>
            <c:strRef>
              <c:f>'GAAP Analysis'!$CS$3:$CV$3</c:f>
            </c:strRef>
          </c:cat>
          <c:val>
            <c:numRef>
              <c:f>'GAAP Analysis'!$CS$164:$CV$164</c:f>
              <c:numCache/>
            </c:numRef>
          </c:val>
        </c:ser>
        <c:ser>
          <c:idx val="4"/>
          <c:order val="4"/>
          <c:tx>
            <c:v>Marketing</c:v>
          </c:tx>
          <c:spPr>
            <a:solidFill>
              <a:srgbClr val="EAD1DC"/>
            </a:solidFill>
            <a:ln cmpd="sng">
              <a:noFill/>
            </a:ln>
          </c:spPr>
          <c:dPt>
            <c:idx val="0"/>
          </c:dPt>
          <c:cat>
            <c:strRef>
              <c:f>'GAAP Analysis'!$CS$3:$CV$3</c:f>
            </c:strRef>
          </c:cat>
          <c:val>
            <c:numRef>
              <c:f>'GAAP Analysis'!$CS$183:$CV$183</c:f>
              <c:numCache/>
            </c:numRef>
          </c:val>
        </c:ser>
        <c:ser>
          <c:idx val="5"/>
          <c:order val="5"/>
          <c:cat>
            <c:strRef>
              <c:f>'GAAP Analysis'!$CS$3:$CV$3</c:f>
            </c:strRef>
          </c:cat>
          <c:val>
            <c:numRef>
              <c:f>'GAAP Analysis'!$CS$184:$CV$184</c:f>
              <c:numCache/>
            </c:numRef>
          </c:val>
        </c:ser>
        <c:ser>
          <c:idx val="6"/>
          <c:order val="6"/>
          <c:cat>
            <c:strRef>
              <c:f>'GAAP Analysis'!$CS$3:$CV$3</c:f>
            </c:strRef>
          </c:cat>
          <c:val>
            <c:numRef>
              <c:f>'GAAP Analysis'!$CS$185:$CV$185</c:f>
              <c:numCache/>
            </c:numRef>
          </c:val>
        </c:ser>
        <c:ser>
          <c:idx val="7"/>
          <c:order val="7"/>
          <c:cat>
            <c:strRef>
              <c:f>'GAAP Analysis'!$CS$3:$CV$3</c:f>
            </c:strRef>
          </c:cat>
          <c:val>
            <c:numRef>
              <c:f>'GAAP Analysis'!$CS$185:$CV$185</c:f>
              <c:numCache/>
            </c:numRef>
          </c:val>
        </c:ser>
        <c:ser>
          <c:idx val="8"/>
          <c:order val="8"/>
          <c:cat>
            <c:strRef>
              <c:f>'GAAP Analysis'!$CS$3:$CV$3</c:f>
            </c:strRef>
          </c:cat>
          <c:val>
            <c:numRef>
              <c:f>'GAAP Analysis'!$CS$168:$CV$168</c:f>
              <c:numCache/>
            </c:numRef>
          </c:val>
        </c:ser>
        <c:ser>
          <c:idx val="9"/>
          <c:order val="9"/>
          <c:cat>
            <c:strRef>
              <c:f>'GAAP Analysis'!$CS$3:$CV$3</c:f>
            </c:strRef>
          </c:cat>
          <c:val>
            <c:numRef>
              <c:f>'GAAP Analysis'!$CS$185:$CV$185</c:f>
              <c:numCache/>
            </c:numRef>
          </c:val>
        </c:ser>
        <c:ser>
          <c:idx val="10"/>
          <c:order val="10"/>
          <c:cat>
            <c:strRef>
              <c:f>'GAAP Analysis'!$CS$3:$CV$3</c:f>
            </c:strRef>
          </c:cat>
          <c:val>
            <c:numRef>
              <c:f>'GAAP Analysis'!$CS$165:$CV$165</c:f>
              <c:numCache/>
            </c:numRef>
          </c:val>
        </c:ser>
        <c:ser>
          <c:idx val="11"/>
          <c:order val="11"/>
          <c:cat>
            <c:strRef>
              <c:f>'GAAP Analysis'!$CS$3:$CV$3</c:f>
            </c:strRef>
          </c:cat>
          <c:val>
            <c:numRef>
              <c:f>'GAAP Analysis'!$CS$184:$CV$184</c:f>
              <c:numCache/>
            </c:numRef>
          </c:val>
        </c:ser>
        <c:ser>
          <c:idx val="12"/>
          <c:order val="12"/>
          <c:cat>
            <c:strRef>
              <c:f>'GAAP Analysis'!$CS$3:$CV$3</c:f>
            </c:strRef>
          </c:cat>
          <c:val>
            <c:numRef>
              <c:f>'GAAP Analysis'!$CS$167:$CV$167</c:f>
              <c:numCache/>
            </c:numRef>
          </c:val>
        </c:ser>
        <c:ser>
          <c:idx val="13"/>
          <c:order val="13"/>
          <c:cat>
            <c:strRef>
              <c:f>'GAAP Analysis'!$CS$3:$CV$3</c:f>
            </c:strRef>
          </c:cat>
          <c:val>
            <c:numRef>
              <c:f>'GAAP Analysis'!$CS$186:$CV$186</c:f>
              <c:numCache/>
            </c:numRef>
          </c:val>
        </c:ser>
        <c:overlap val="100"/>
        <c:axId val="465222823"/>
        <c:axId val="2057689915"/>
      </c:barChart>
      <c:catAx>
        <c:axId val="465222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7689915"/>
      </c:catAx>
      <c:valAx>
        <c:axId val="2057689915"/>
        <c:scaling>
          <c:orientation val="minMax"/>
          <c:max val="80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5222823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2026 Forecasted GAAP Revenue &amp; EBITDA by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Revenue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Analysis'!$CM$3:$CP$3</c:f>
            </c:strRef>
          </c:cat>
          <c:val>
            <c:numRef>
              <c:f>'GAAP Analysis'!$CM$146:$CP$146</c:f>
              <c:numCache/>
            </c:numRef>
          </c:val>
        </c:ser>
        <c:ser>
          <c:idx val="1"/>
          <c:order val="1"/>
          <c:tx>
            <c:v>EBITDA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Analysis'!$CM$3:$CP$3</c:f>
            </c:strRef>
          </c:cat>
          <c:val>
            <c:numRef>
              <c:f>'GAAP Analysis'!$CM$178:$CP$178</c:f>
              <c:numCache/>
            </c:numRef>
          </c:val>
        </c:ser>
        <c:axId val="1409299977"/>
        <c:axId val="1604362451"/>
      </c:barChart>
      <c:catAx>
        <c:axId val="1409299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4362451"/>
      </c:catAx>
      <c:valAx>
        <c:axId val="1604362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$#,##0_);[Red]($#,##0)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9299977"/>
      </c:valAx>
    </c:plotArea>
    <c:legend>
      <c:legendPos val="r"/>
      <c:layout>
        <c:manualLayout>
          <c:xMode val="edge"/>
          <c:yMode val="edge"/>
          <c:x val="0.3564376488929372"/>
          <c:y val="0.1245098039215686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2026 Forecasted Expenses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COGS</c:v>
          </c:tx>
          <c:spPr>
            <a:solidFill>
              <a:srgbClr val="B7E1CD"/>
            </a:solidFill>
            <a:ln cmpd="sng">
              <a:noFill/>
            </a:ln>
          </c:spPr>
          <c:dPt>
            <c:idx val="0"/>
          </c:dPt>
          <c:cat>
            <c:strRef>
              <c:f>Sheet15!$A$116:$D$116</c:f>
            </c:strRef>
          </c:cat>
          <c:val>
            <c:numRef>
              <c:f>'GAAP Analysis'!$CM$159:$CP$159</c:f>
              <c:numCache/>
            </c:numRef>
          </c:val>
        </c:ser>
        <c:ser>
          <c:idx val="1"/>
          <c:order val="1"/>
          <c:tx>
            <c:v>Personnel</c:v>
          </c:tx>
          <c:spPr>
            <a:solidFill>
              <a:srgbClr val="33475B"/>
            </a:solidFill>
            <a:ln cmpd="sng">
              <a:noFill/>
            </a:ln>
          </c:spPr>
          <c:dPt>
            <c:idx val="6"/>
          </c:dPt>
          <c:cat>
            <c:strRef>
              <c:f>Sheet15!$A$116:$D$116</c:f>
            </c:strRef>
          </c:cat>
          <c:val>
            <c:numRef>
              <c:f>'GAAP Analysis'!$CM$164:$CP$164</c:f>
              <c:numCache/>
            </c:numRef>
          </c:val>
        </c:ser>
        <c:ser>
          <c:idx val="2"/>
          <c:order val="2"/>
          <c:tx>
            <c:v>Travel</c:v>
          </c:tx>
          <c:spPr>
            <a:solidFill>
              <a:srgbClr val="0091AE"/>
            </a:solidFill>
            <a:ln cmpd="sng">
              <a:noFill/>
            </a:ln>
          </c:spPr>
          <c:dPt>
            <c:idx val="3"/>
          </c:dPt>
          <c:dPt>
            <c:idx val="4"/>
          </c:dPt>
          <c:dPt>
            <c:idx val="6"/>
          </c:dPt>
          <c:cat>
            <c:strRef>
              <c:f>Sheet15!$A$116:$D$116</c:f>
            </c:strRef>
          </c:cat>
          <c:val>
            <c:numRef>
              <c:f>'GAAP Analysis'!$CM$168:$CP$168</c:f>
              <c:numCache/>
            </c:numRef>
          </c:val>
        </c:ser>
        <c:ser>
          <c:idx val="3"/>
          <c:order val="3"/>
          <c:tx>
            <c:v>G&amp;A</c:v>
          </c:tx>
          <c:spPr>
            <a:solidFill>
              <a:schemeClr val="accent4"/>
            </a:solidFill>
            <a:ln cmpd="sng">
              <a:noFill/>
            </a:ln>
          </c:spPr>
          <c:dPt>
            <c:idx val="0"/>
          </c:dPt>
          <c:cat>
            <c:strRef>
              <c:f>Sheet15!$A$116:$D$116</c:f>
            </c:strRef>
          </c:cat>
          <c:val>
            <c:numRef>
              <c:f>'GAAP Analysis'!$CM$165:$CP$165</c:f>
              <c:numCache/>
            </c:numRef>
          </c:val>
        </c:ser>
        <c:ser>
          <c:idx val="4"/>
          <c:order val="4"/>
          <c:cat>
            <c:strRef>
              <c:f>Sheet15!$A$116:$D$116</c:f>
            </c:strRef>
          </c:cat>
          <c:val>
            <c:numRef>
              <c:f>'GAAP Analysis'!$CM$167:$CP$167</c:f>
              <c:numCache/>
            </c:numRef>
          </c:val>
        </c:ser>
        <c:overlap val="100"/>
        <c:axId val="67750047"/>
        <c:axId val="674879797"/>
      </c:barChart>
      <c:catAx>
        <c:axId val="67750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4879797"/>
      </c:catAx>
      <c:valAx>
        <c:axId val="674879797"/>
        <c:scaling>
          <c:orientation val="minMax"/>
          <c:max val="80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75004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TTM Bookings</a:t>
            </a:r>
          </a:p>
        </c:rich>
      </c:tx>
      <c:layout>
        <c:manualLayout>
          <c:xMode val="edge"/>
          <c:yMode val="edge"/>
          <c:x val="0.015667823695529083"/>
          <c:y val="0.04782135076252724"/>
        </c:manualLayout>
      </c:layout>
      <c:overlay val="0"/>
    </c:title>
    <c:plotArea>
      <c:layout/>
      <c:lineChart>
        <c:ser>
          <c:idx val="0"/>
          <c:order val="0"/>
          <c:tx>
            <c:v>Total Bookings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cat>
            <c:strRef>
              <c:f>'GAAP Analysis'!$EQ$3:$GF$3</c:f>
            </c:strRef>
          </c:cat>
          <c:val>
            <c:numRef>
              <c:f>'GAAP Analysis'!$EQ$7:$GF$7</c:f>
              <c:numCache/>
            </c:numRef>
          </c:val>
          <c:smooth val="0"/>
        </c:ser>
        <c:ser>
          <c:idx val="1"/>
          <c:order val="1"/>
          <c:tx>
            <c:v>DD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'GAAP Analysis'!$EQ$3:$GF$3</c:f>
            </c:strRef>
          </c:cat>
          <c:val>
            <c:numRef>
              <c:f>'GAAP Analysis'!$EQ$8:$GF$8</c:f>
              <c:numCache/>
            </c:numRef>
          </c:val>
          <c:smooth val="0"/>
        </c:ser>
        <c:ser>
          <c:idx val="2"/>
          <c:order val="2"/>
          <c:tx>
            <c:v>SN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'GAAP Analysis'!$EQ$3:$GF$3</c:f>
            </c:strRef>
          </c:cat>
          <c:val>
            <c:numRef>
              <c:f>'GAAP Analysis'!$EQ$9:$GF$9</c:f>
              <c:numCache/>
            </c:numRef>
          </c:val>
          <c:smooth val="0"/>
        </c:ser>
        <c:ser>
          <c:idx val="3"/>
          <c:order val="3"/>
          <c:tx>
            <c:v>SW</c:v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'GAAP Analysis'!$EQ$3:$GF$3</c:f>
            </c:strRef>
          </c:cat>
          <c:val>
            <c:numRef>
              <c:f>'GAAP Analysis'!$EQ$10:$GF$10</c:f>
              <c:numCache/>
            </c:numRef>
          </c:val>
          <c:smooth val="0"/>
        </c:ser>
        <c:ser>
          <c:idx val="4"/>
          <c:order val="4"/>
          <c:tx>
            <c:v>MSP</c:v>
          </c:tx>
          <c:spPr>
            <a:ln cmpd="sng">
              <a:solidFill>
                <a:srgbClr val="F1C23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'GAAP Analysis'!$EQ$3:$GF$3</c:f>
            </c:strRef>
          </c:cat>
          <c:val>
            <c:numRef>
              <c:f>'GAAP Analysis'!$EQ$11:$GF$11</c:f>
              <c:numCache/>
            </c:numRef>
          </c:val>
          <c:smooth val="0"/>
        </c:ser>
        <c:axId val="598953730"/>
        <c:axId val="82805952"/>
      </c:lineChart>
      <c:catAx>
        <c:axId val="598953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805952"/>
      </c:catAx>
      <c:valAx>
        <c:axId val="828059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8953730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TTM Services Revenue vs Billings</a:t>
            </a:r>
          </a:p>
        </c:rich>
      </c:tx>
      <c:layout>
        <c:manualLayout>
          <c:xMode val="edge"/>
          <c:yMode val="edge"/>
          <c:x val="0.015110410094637225"/>
          <c:y val="0.04782135076252724"/>
        </c:manualLayout>
      </c:layout>
      <c:overlay val="0"/>
    </c:title>
    <c:plotArea>
      <c:layout/>
      <c:lineChart>
        <c:ser>
          <c:idx val="0"/>
          <c:order val="0"/>
          <c:tx>
            <c:v>TTM Services Rev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'GAAP Analysis'!$EQ$3:$GF$3</c:f>
            </c:strRef>
          </c:cat>
          <c:val>
            <c:numRef>
              <c:f>'GAAP Analysis'!$EQ$23:$GF$23</c:f>
              <c:numCache/>
            </c:numRef>
          </c:val>
          <c:smooth val="0"/>
        </c:ser>
        <c:ser>
          <c:idx val="1"/>
          <c:order val="1"/>
          <c:tx>
            <c:v>TTM Services Billing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'GAAP Analysis'!$EQ$3:$GF$3</c:f>
            </c:strRef>
          </c:cat>
          <c:val>
            <c:numRef>
              <c:f>'GAAP Analysis'!$EQ$138:$GF$138</c:f>
              <c:numCache/>
            </c:numRef>
          </c:val>
          <c:smooth val="0"/>
        </c:ser>
        <c:axId val="1413732552"/>
        <c:axId val="1798571192"/>
      </c:lineChart>
      <c:catAx>
        <c:axId val="1413732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8571192"/>
      </c:catAx>
      <c:valAx>
        <c:axId val="1798571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373255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Gross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Revenue</c:v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dPt>
            <c:idx val="1"/>
          </c:dPt>
          <c:dPt>
            <c:idx val="3"/>
          </c:dPt>
          <c:dPt>
            <c:idx val="5"/>
          </c:dPt>
          <c:dPt>
            <c:idx val="6"/>
          </c:dPt>
          <c:dPt>
            <c:idx val="8"/>
          </c:dPt>
          <c:dPt>
            <c:idx val="10"/>
          </c:dPt>
          <c:dPt>
            <c:idx val="11"/>
          </c:dPt>
          <c:dLbls>
            <c:dLbl>
              <c:idx val="0"/>
              <c:layout>
                <c:manualLayout>
                  <c:xMode val="edge"/>
                  <c:yMode val="edge"/>
                  <c:x val="-0.003733848271545674"/>
                  <c:y val="0.7256686707675813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Mode val="edge"/>
                  <c:yMode val="edge"/>
                  <c:x val="0.07746089859748763"/>
                  <c:y val="0.6745632847813035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Mode val="edge"/>
                  <c:yMode val="edge"/>
                  <c:x val="0.24526337546015645"/>
                  <c:y val="0.5508165914708404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>
                <c:manualLayout>
                  <c:xMode val="edge"/>
                  <c:yMode val="edge"/>
                  <c:x val="0.3995333945113197"/>
                  <c:y val="0.5886172624571182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layout>
                <c:manualLayout>
                  <c:xMode val="edge"/>
                  <c:yMode val="edge"/>
                  <c:x val="0.48208138716150356"/>
                  <c:y val="0.6084376699571181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layout>
                <c:manualLayout>
                  <c:xMode val="edge"/>
                  <c:yMode val="edge"/>
                  <c:x val="0.6444708808995702"/>
                  <c:y val="0.535685085132933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0"/>
              <c:layout>
                <c:manualLayout>
                  <c:xMode val="edge"/>
                  <c:yMode val="edge"/>
                  <c:x val="0.8055071288564862"/>
                  <c:y val="0.5379389976329331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1"/>
              <c:layout>
                <c:manualLayout>
                  <c:xMode val="edge"/>
                  <c:yMode val="edge"/>
                  <c:x val="0.8867018757255195"/>
                  <c:y val="0.6392487705917665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Analysis'!$BP$3:$CB$3</c:f>
            </c:strRef>
          </c:cat>
          <c:val>
            <c:numRef>
              <c:f>'GAAP Analysis'!$BP$13:$CB$13</c:f>
              <c:numCache/>
            </c:numRef>
          </c:val>
        </c:ser>
        <c:ser>
          <c:idx val="1"/>
          <c:order val="1"/>
          <c:tx>
            <c:v>Gross Profit</c:v>
          </c:tx>
          <c:spPr>
            <a:solidFill>
              <a:schemeClr val="accent2"/>
            </a:solidFill>
            <a:ln cmpd="sng">
              <a:noFill/>
            </a:ln>
          </c:spPr>
          <c:dPt>
            <c:idx val="11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Analysis'!$BP$3:$CB$3</c:f>
            </c:strRef>
          </c:cat>
          <c:val>
            <c:numRef>
              <c:f>'GAAP Analysis'!$BP$106:$CB$106</c:f>
              <c:numCache/>
            </c:numRef>
          </c:val>
        </c:ser>
        <c:axId val="1901393185"/>
        <c:axId val="810983431"/>
      </c:barChart>
      <c:catAx>
        <c:axId val="19013931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0983431"/>
      </c:catAx>
      <c:valAx>
        <c:axId val="8109834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1393185"/>
      </c:valAx>
      <c:lineChart>
        <c:varyColors val="0"/>
        <c:ser>
          <c:idx val="2"/>
          <c:order val="2"/>
          <c:tx>
            <c:v>GP %</c:v>
          </c:tx>
          <c:spPr>
            <a:ln cmpd="sng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8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'GAAP Analysis'!$BP$3:$CB$3</c:f>
            </c:strRef>
          </c:cat>
          <c:val>
            <c:numRef>
              <c:f>'GAAP Analysis'!$BP$107:$CB$107</c:f>
              <c:numCache/>
            </c:numRef>
          </c:val>
          <c:smooth val="0"/>
        </c:ser>
        <c:axId val="460807916"/>
        <c:axId val="826957980"/>
      </c:lineChart>
      <c:catAx>
        <c:axId val="4608079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6957980"/>
      </c:catAx>
      <c:valAx>
        <c:axId val="826957980"/>
        <c:scaling>
          <c:orientation val="minMax"/>
          <c:max val="1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460807916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YoY Bookings by Quarter</a:t>
            </a:r>
          </a:p>
        </c:rich>
      </c:tx>
      <c:layout>
        <c:manualLayout>
          <c:xMode val="edge"/>
          <c:yMode val="edge"/>
          <c:x val="0.010897435897435899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CY26</c:v>
          </c:tx>
          <c:spPr>
            <a:solidFill>
              <a:srgbClr val="CFE2F3"/>
            </a:solidFill>
            <a:ln cmpd="sng">
              <a:noFill/>
            </a:ln>
          </c:spPr>
          <c:dPt>
            <c:idx val="0"/>
          </c:dPt>
          <c:cat>
            <c:strRef>
              <c:f>'GAAP Analysis'!$CM$3:$CP$3</c:f>
            </c:strRef>
          </c:cat>
          <c:val>
            <c:numRef>
              <c:f>'GAAP Analysis'!$DK$12:$DN$12</c:f>
              <c:numCache/>
            </c:numRef>
          </c:val>
        </c:ser>
        <c:ser>
          <c:idx val="1"/>
          <c:order val="1"/>
          <c:tx>
            <c:v>CY25</c:v>
          </c:tx>
          <c:spPr>
            <a:solidFill>
              <a:srgbClr val="0B5394"/>
            </a:solidFill>
            <a:ln cmpd="sng">
              <a:noFill/>
            </a:ln>
          </c:spPr>
          <c:dPt>
            <c:idx val="0"/>
          </c:dPt>
          <c:dPt>
            <c:idx val="1"/>
          </c:dPt>
          <c:cat>
            <c:strRef>
              <c:f>'GAAP Analysis'!$CM$3:$CP$3</c:f>
            </c:strRef>
          </c:cat>
          <c:val>
            <c:numRef>
              <c:f>'GAAP Analysis'!$CM$7:$CP$7</c:f>
              <c:numCache/>
            </c:numRef>
          </c:val>
        </c:ser>
        <c:ser>
          <c:idx val="2"/>
          <c:order val="2"/>
          <c:tx>
            <c:v>CY24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'GAAP Analysis'!$CM$3:$CP$3</c:f>
            </c:strRef>
          </c:cat>
          <c:val>
            <c:numRef>
              <c:f>'GAAP Analysis'!$CM$7:$CP$7</c:f>
              <c:numCache/>
            </c:numRef>
          </c:val>
        </c:ser>
        <c:ser>
          <c:idx val="3"/>
          <c:order val="3"/>
          <c:tx>
            <c:v>CY23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'GAAP Analysis'!$CM$3:$CP$3</c:f>
            </c:strRef>
          </c:cat>
          <c:val>
            <c:numRef>
              <c:f>'GAAP Analysis'!$CM$12:$CP$12</c:f>
              <c:numCache/>
            </c:numRef>
          </c:val>
        </c:ser>
        <c:ser>
          <c:idx val="4"/>
          <c:order val="4"/>
          <c:cat>
            <c:strRef>
              <c:f>'GAAP Analysis'!$CM$3:$CP$3</c:f>
            </c:strRef>
          </c:cat>
          <c:val>
            <c:numRef>
              <c:f>'GAAP Analysis'!$CS$7:$CV$7</c:f>
              <c:numCache/>
            </c:numRef>
          </c:val>
        </c:ser>
        <c:ser>
          <c:idx val="5"/>
          <c:order val="5"/>
          <c:cat>
            <c:strRef>
              <c:f>'GAAP Analysis'!$CM$3:$CP$3</c:f>
            </c:strRef>
          </c:cat>
          <c:val>
            <c:numRef>
              <c:f>'GAAP Analysis'!$CS$12:$CV$12</c:f>
              <c:numCache/>
            </c:numRef>
          </c:val>
        </c:ser>
        <c:ser>
          <c:idx val="6"/>
          <c:order val="6"/>
          <c:cat>
            <c:strRef>
              <c:f>'GAAP Analysis'!$CM$3:$CP$3</c:f>
            </c:strRef>
          </c:cat>
          <c:val>
            <c:numRef>
              <c:f>'GAAP Analysis'!$CY$7:$DB$7</c:f>
              <c:numCache/>
            </c:numRef>
          </c:val>
        </c:ser>
        <c:ser>
          <c:idx val="7"/>
          <c:order val="7"/>
          <c:cat>
            <c:strRef>
              <c:f>'GAAP Analysis'!$CM$3:$CP$3</c:f>
            </c:strRef>
          </c:cat>
          <c:val>
            <c:numRef>
              <c:f>'GAAP Analysis'!$CY$12:$DB$12</c:f>
              <c:numCache/>
            </c:numRef>
          </c:val>
        </c:ser>
        <c:ser>
          <c:idx val="8"/>
          <c:order val="8"/>
          <c:cat>
            <c:strRef>
              <c:f>'GAAP Analysis'!$CM$3:$CP$3</c:f>
            </c:strRef>
          </c:cat>
          <c:val>
            <c:numRef>
              <c:f>'GAAP Analysis'!$DE$12:$DH$12</c:f>
              <c:numCache/>
            </c:numRef>
          </c:val>
        </c:ser>
        <c:axId val="1057128893"/>
        <c:axId val="2139431802"/>
      </c:barChart>
      <c:catAx>
        <c:axId val="1057128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9431802"/>
      </c:catAx>
      <c:valAx>
        <c:axId val="2139431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7128893"/>
      </c:valAx>
    </c:plotArea>
    <c:legend>
      <c:legendPos val="r"/>
      <c:layout>
        <c:manualLayout>
          <c:xMode val="edge"/>
          <c:yMode val="edge"/>
          <c:x val="0.40764524586139167"/>
          <c:y val="0.1312949640287769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TTM EBITDA 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Sandbox!$C$78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Sandbox!$B$79:$B$93</c:f>
            </c:strRef>
          </c:cat>
          <c:val>
            <c:numRef>
              <c:f>Sandbox!$C$79:$C$93</c:f>
              <c:numCache/>
            </c:numRef>
          </c:val>
          <c:smooth val="0"/>
        </c:ser>
        <c:axId val="2119690978"/>
        <c:axId val="1852916511"/>
      </c:lineChart>
      <c:catAx>
        <c:axId val="2119690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As of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2916511"/>
      </c:catAx>
      <c:valAx>
        <c:axId val="18529165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6909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TTM EBITDA ,  Bookings  and  Revenue 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tx>
            <c:strRef>
              <c:f>Sandbox!$D$78</c:f>
            </c:strRef>
          </c:tx>
          <c:spPr>
            <a:solidFill>
              <a:srgbClr val="674EA7"/>
            </a:solidFill>
            <a:ln cmpd="sng">
              <a:noFill/>
            </a:ln>
          </c:spPr>
          <c:cat>
            <c:strRef>
              <c:f>Sandbox!$B$79:$B$93</c:f>
            </c:strRef>
          </c:cat>
          <c:val>
            <c:numRef>
              <c:f>Sandbox!$D$79:$D$93</c:f>
              <c:numCache/>
            </c:numRef>
          </c:val>
        </c:ser>
        <c:ser>
          <c:idx val="2"/>
          <c:order val="2"/>
          <c:tx>
            <c:strRef>
              <c:f>Sandbox!$E$78</c:f>
            </c:strRef>
          </c:tx>
          <c:spPr>
            <a:solidFill>
              <a:srgbClr val="6AA84F"/>
            </a:solidFill>
            <a:ln cmpd="sng">
              <a:noFill/>
            </a:ln>
          </c:spPr>
          <c:cat>
            <c:strRef>
              <c:f>Sandbox!$B$79:$B$93</c:f>
            </c:strRef>
          </c:cat>
          <c:val>
            <c:numRef>
              <c:f>Sandbox!$E$79:$E$93</c:f>
              <c:numCache/>
            </c:numRef>
          </c:val>
        </c:ser>
        <c:axId val="1262904067"/>
        <c:axId val="2124419635"/>
      </c:barChart>
      <c:lineChart>
        <c:varyColors val="0"/>
        <c:ser>
          <c:idx val="0"/>
          <c:order val="0"/>
          <c:tx>
            <c:strRef>
              <c:f>Sandbox!$C$78</c:f>
            </c:strRef>
          </c:tx>
          <c:spPr>
            <a:ln cmpd="sng">
              <a:solidFill>
                <a:srgbClr val="4A86E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Sandbox!$B$79:$B$93</c:f>
            </c:strRef>
          </c:cat>
          <c:val>
            <c:numRef>
              <c:f>Sandbox!$C$79:$C$93</c:f>
              <c:numCache/>
            </c:numRef>
          </c:val>
          <c:smooth val="0"/>
        </c:ser>
        <c:axId val="1262904067"/>
        <c:axId val="2124419635"/>
      </c:lineChart>
      <c:catAx>
        <c:axId val="12629040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As of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4419635"/>
      </c:catAx>
      <c:valAx>
        <c:axId val="21244196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29040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TTM EBITDA  vs. As of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Sandbox!$C$78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Sandbox!$B$79:$B$93</c:f>
            </c:strRef>
          </c:cat>
          <c:val>
            <c:numRef>
              <c:f>Sandbox!$C$79:$C$93</c:f>
              <c:numCache/>
            </c:numRef>
          </c:val>
          <c:smooth val="0"/>
        </c:ser>
        <c:ser>
          <c:idx val="1"/>
          <c:order val="1"/>
          <c:tx>
            <c:strRef>
              <c:f>Sandbox!$H$78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Sandbox!$B$79:$B$93</c:f>
            </c:strRef>
          </c:cat>
          <c:val>
            <c:numRef>
              <c:f>Sandbox!$H$79:$H$93</c:f>
              <c:numCache/>
            </c:numRef>
          </c:val>
          <c:smooth val="0"/>
        </c:ser>
        <c:axId val="172064509"/>
        <c:axId val="174439395"/>
      </c:lineChart>
      <c:catAx>
        <c:axId val="1720645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As of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439395"/>
      </c:catAx>
      <c:valAx>
        <c:axId val="1744393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 TTM EBITDA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0645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COGS % of Revenue,   G&amp;A % of Revenue,   Personnel % of Revenue ,   S&amp;M % of Revenue  and   Net Operating Income Margin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Sandbox!$D$223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Sandbox!$E$222:$P$222</c:f>
            </c:strRef>
          </c:cat>
          <c:val>
            <c:numRef>
              <c:f>Sandbox!$E$223:$P$223</c:f>
              <c:numCache/>
            </c:numRef>
          </c:val>
          <c:smooth val="0"/>
        </c:ser>
        <c:ser>
          <c:idx val="1"/>
          <c:order val="1"/>
          <c:tx>
            <c:strRef>
              <c:f>Sandbox!$D$224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Sandbox!$E$222:$P$222</c:f>
            </c:strRef>
          </c:cat>
          <c:val>
            <c:numRef>
              <c:f>Sandbox!$E$224:$P$224</c:f>
              <c:numCache/>
            </c:numRef>
          </c:val>
          <c:smooth val="0"/>
        </c:ser>
        <c:ser>
          <c:idx val="2"/>
          <c:order val="2"/>
          <c:tx>
            <c:strRef>
              <c:f>Sandbox!$D$225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Sandbox!$E$222:$P$222</c:f>
            </c:strRef>
          </c:cat>
          <c:val>
            <c:numRef>
              <c:f>Sandbox!$E$225:$P$225</c:f>
              <c:numCache/>
            </c:numRef>
          </c:val>
          <c:smooth val="0"/>
        </c:ser>
        <c:ser>
          <c:idx val="3"/>
          <c:order val="3"/>
          <c:tx>
            <c:strRef>
              <c:f>Sandbox!$D$226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Sandbox!$E$222:$P$222</c:f>
            </c:strRef>
          </c:cat>
          <c:val>
            <c:numRef>
              <c:f>Sandbox!$E$226:$P$226</c:f>
              <c:numCache/>
            </c:numRef>
          </c:val>
          <c:smooth val="0"/>
        </c:ser>
        <c:ser>
          <c:idx val="4"/>
          <c:order val="4"/>
          <c:tx>
            <c:strRef>
              <c:f>Sandbox!$D$227</c:f>
            </c:strRef>
          </c:tx>
          <c:spPr>
            <a:ln cmpd="sng">
              <a:solidFill>
                <a:srgbClr val="4BACC6"/>
              </a:solidFill>
            </a:ln>
          </c:spPr>
          <c:marker>
            <c:symbol val="none"/>
          </c:marker>
          <c:cat>
            <c:strRef>
              <c:f>Sandbox!$E$222:$P$222</c:f>
            </c:strRef>
          </c:cat>
          <c:val>
            <c:numRef>
              <c:f>Sandbox!$E$227:$P$227</c:f>
              <c:numCache/>
            </c:numRef>
          </c:val>
          <c:smooth val="0"/>
        </c:ser>
        <c:axId val="2023067119"/>
        <c:axId val="1122800417"/>
      </c:lineChart>
      <c:catAx>
        <c:axId val="2023067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2800417"/>
      </c:catAx>
      <c:valAx>
        <c:axId val="11228004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30671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Sandbox!$B$307</c:f>
            </c:strRef>
          </c:tx>
          <c:spPr>
            <a:solidFill>
              <a:srgbClr val="063760"/>
            </a:solidFill>
            <a:ln cmpd="sng">
              <a:noFill/>
            </a:ln>
          </c:spPr>
          <c:cat>
            <c:strRef>
              <c:f>Sandbox!$C$306:$J$306</c:f>
            </c:strRef>
          </c:cat>
          <c:val>
            <c:numRef>
              <c:f>Sandbox!$C$307:$J$307</c:f>
              <c:numCache/>
            </c:numRef>
          </c:val>
        </c:ser>
        <c:axId val="1787776587"/>
        <c:axId val="1813385557"/>
      </c:barChart>
      <c:catAx>
        <c:axId val="17877765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813385557"/>
      </c:catAx>
      <c:valAx>
        <c:axId val="18133855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787776587"/>
      </c:valAx>
    </c:plotArea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Managed Services</a:t>
            </a:r>
          </a:p>
        </c:rich>
      </c:tx>
      <c:overlay val="0"/>
    </c:title>
    <c:plotArea>
      <c:layout/>
      <c:lineChart>
        <c:ser>
          <c:idx val="0"/>
          <c:order val="0"/>
          <c:tx>
            <c:v>MDD Forecast</c:v>
          </c:tx>
          <c:spPr>
            <a:ln cmpd="sng">
              <a:solidFill>
                <a:srgbClr val="04375D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Sandbox!$G$306:$J$306</c:f>
            </c:strRef>
          </c:cat>
          <c:val>
            <c:numRef>
              <c:f>Sandbox!$G$311:$J$311</c:f>
              <c:numCache/>
            </c:numRef>
          </c:val>
          <c:smooth val="0"/>
        </c:ser>
        <c:ser>
          <c:idx val="1"/>
          <c:order val="1"/>
          <c:tx>
            <c:v>MSOC Forecast</c:v>
          </c:tx>
          <c:spPr>
            <a:ln cmpd="sng">
              <a:solidFill>
                <a:srgbClr val="BF9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Sandbox!$G$306:$J$306</c:f>
            </c:strRef>
          </c:cat>
          <c:val>
            <c:numRef>
              <c:f>Sandbox!$G$312:$J$312</c:f>
              <c:numCache/>
            </c:numRef>
          </c:val>
          <c:smooth val="0"/>
        </c:ser>
        <c:ser>
          <c:idx val="2"/>
          <c:order val="2"/>
          <c:tx>
            <c:strRef>
              <c:f>Sandbox!$F$315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Sandbox!$G$306:$J$306</c:f>
            </c:strRef>
          </c:cat>
          <c:val>
            <c:numRef>
              <c:f>Sandbox!$G$315:$I$315</c:f>
              <c:numCache/>
            </c:numRef>
          </c:val>
          <c:smooth val="0"/>
        </c:ser>
        <c:ser>
          <c:idx val="3"/>
          <c:order val="3"/>
          <c:tx>
            <c:strRef>
              <c:f>Sandbox!$F$320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Sandbox!$G$306:$J$306</c:f>
            </c:strRef>
          </c:cat>
          <c:val>
            <c:numRef>
              <c:f>Sandbox!$G$320:$I$320</c:f>
              <c:numCache/>
            </c:numRef>
          </c:val>
          <c:smooth val="0"/>
        </c:ser>
        <c:axId val="2029050281"/>
        <c:axId val="375608939"/>
      </c:lineChart>
      <c:catAx>
        <c:axId val="20290502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Period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5608939"/>
      </c:catAx>
      <c:valAx>
        <c:axId val="375608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90502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Managed Datadog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Revenue</c:v>
          </c:tx>
          <c:spPr>
            <a:solidFill>
              <a:srgbClr val="04375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Sandbox!$C$345:$F$345</c:f>
            </c:strRef>
          </c:cat>
          <c:val>
            <c:numRef>
              <c:f>Sandbox!$C$346:$F$346</c:f>
              <c:numCache/>
            </c:numRef>
          </c:val>
        </c:ser>
        <c:ser>
          <c:idx val="1"/>
          <c:order val="1"/>
          <c:tx>
            <c:v>Gross Profit</c:v>
          </c:tx>
          <c:spPr>
            <a:solidFill>
              <a:srgbClr val="D7F879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Sandbox!$C$345:$F$345</c:f>
            </c:strRef>
          </c:cat>
          <c:val>
            <c:numRef>
              <c:f>Sandbox!$C$348:$F$348</c:f>
              <c:numCache/>
            </c:numRef>
          </c:val>
        </c:ser>
        <c:axId val="313020920"/>
        <c:axId val="502007823"/>
      </c:barChart>
      <c:catAx>
        <c:axId val="313020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2007823"/>
      </c:catAx>
      <c:valAx>
        <c:axId val="5020078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3020920"/>
      </c:valAx>
      <c:lineChart>
        <c:varyColors val="0"/>
        <c:ser>
          <c:idx val="2"/>
          <c:order val="2"/>
          <c:tx>
            <c:v>Gross Profit %</c:v>
          </c:tx>
          <c:spPr>
            <a:ln cmpd="sng">
              <a:solidFill>
                <a:srgbClr val="980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Sandbox!$C$345:$F$345</c:f>
            </c:strRef>
          </c:cat>
          <c:val>
            <c:numRef>
              <c:f>Sandbox!$C$349:$F$349</c:f>
              <c:numCache/>
            </c:numRef>
          </c:val>
          <c:smooth val="0"/>
        </c:ser>
        <c:axId val="1026115522"/>
        <c:axId val="2104624005"/>
      </c:lineChart>
      <c:catAx>
        <c:axId val="102611552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4624005"/>
      </c:catAx>
      <c:valAx>
        <c:axId val="210462400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611552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Managed Security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Revenue</c:v>
          </c:tx>
          <c:spPr>
            <a:solidFill>
              <a:srgbClr val="04375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Sandbox!$C$345:$E$345</c:f>
            </c:strRef>
          </c:cat>
          <c:val>
            <c:numRef>
              <c:f>Sandbox!$C$351:$F$351</c:f>
              <c:numCache/>
            </c:numRef>
          </c:val>
        </c:ser>
        <c:ser>
          <c:idx val="1"/>
          <c:order val="1"/>
          <c:tx>
            <c:v>Gross Profit</c:v>
          </c:tx>
          <c:spPr>
            <a:solidFill>
              <a:srgbClr val="D7F879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Sandbox!$C$345:$E$345</c:f>
            </c:strRef>
          </c:cat>
          <c:val>
            <c:numRef>
              <c:f>Sandbox!$C$353:$F$353</c:f>
              <c:numCache/>
            </c:numRef>
          </c:val>
        </c:ser>
        <c:axId val="112469643"/>
        <c:axId val="1190617402"/>
      </c:barChart>
      <c:catAx>
        <c:axId val="1124696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0617402"/>
      </c:catAx>
      <c:valAx>
        <c:axId val="11906174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469643"/>
      </c:valAx>
      <c:lineChart>
        <c:varyColors val="0"/>
        <c:ser>
          <c:idx val="2"/>
          <c:order val="2"/>
          <c:tx>
            <c:v>Gross Profit %</c:v>
          </c:tx>
          <c:spPr>
            <a:ln cmpd="sng">
              <a:solidFill>
                <a:srgbClr val="980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Sandbox!$C$345:$E$345</c:f>
            </c:strRef>
          </c:cat>
          <c:val>
            <c:numRef>
              <c:f>Sandbox!$C$354:$F$354</c:f>
              <c:numCache/>
            </c:numRef>
          </c:val>
          <c:smooth val="0"/>
        </c:ser>
        <c:axId val="780247556"/>
        <c:axId val="1333098589"/>
      </c:lineChart>
      <c:catAx>
        <c:axId val="7802475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098589"/>
      </c:catAx>
      <c:valAx>
        <c:axId val="133309858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24755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Sandbox!$F$310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Sandbox!$G$306:$J$306</c:f>
            </c:strRef>
          </c:cat>
          <c:val>
            <c:numRef>
              <c:f>Sandbox!$G$310:$J$310</c:f>
              <c:numCache/>
            </c:numRef>
          </c:val>
          <c:smooth val="0"/>
        </c:ser>
        <c:ser>
          <c:idx val="1"/>
          <c:order val="1"/>
          <c:tx>
            <c:strRef>
              <c:f>Sandbox!$F$313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Sandbox!$G$306:$J$306</c:f>
            </c:strRef>
          </c:cat>
          <c:val>
            <c:numRef>
              <c:f>Sandbox!$G$313:$J$313</c:f>
              <c:numCache/>
            </c:numRef>
          </c:val>
          <c:smooth val="0"/>
        </c:ser>
        <c:axId val="427473213"/>
        <c:axId val="2055206420"/>
      </c:lineChart>
      <c:catAx>
        <c:axId val="4274732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2055206420"/>
      </c:catAx>
      <c:valAx>
        <c:axId val="2055206420"/>
        <c:scaling>
          <c:orientation val="minMax"/>
          <c:max val="10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42747321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TTM EBITDA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Sheet15!$A$9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Sheet15!$B$8:$I$8</c:f>
            </c:strRef>
          </c:cat>
          <c:val>
            <c:numRef>
              <c:f>Sheet15!$B$9:$I$9</c:f>
              <c:numCache/>
            </c:numRef>
          </c:val>
        </c:ser>
        <c:axId val="269377798"/>
        <c:axId val="1007641624"/>
      </c:barChart>
      <c:catAx>
        <c:axId val="269377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7641624"/>
      </c:catAx>
      <c:valAx>
        <c:axId val="1007641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93777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'SOTU Chart'!$C$4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'SOTU Chart'!$D$3:$I$3</c:f>
            </c:strRef>
          </c:cat>
          <c:val>
            <c:numRef>
              <c:f>'SOTU Chart'!$D$4:$I$4</c:f>
              <c:numCache/>
            </c:numRef>
          </c:val>
          <c:smooth val="0"/>
        </c:ser>
        <c:ser>
          <c:idx val="1"/>
          <c:order val="1"/>
          <c:tx>
            <c:strRef>
              <c:f>'SOTU Chart'!$C$5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'SOTU Chart'!$D$3:$I$3</c:f>
            </c:strRef>
          </c:cat>
          <c:val>
            <c:numRef>
              <c:f>'SOTU Chart'!$D$5:$I$5</c:f>
              <c:numCache/>
            </c:numRef>
          </c:val>
          <c:smooth val="0"/>
        </c:ser>
        <c:ser>
          <c:idx val="2"/>
          <c:order val="2"/>
          <c:tx>
            <c:strRef>
              <c:f>'SOTU Chart'!$C$6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'SOTU Chart'!$D$3:$I$3</c:f>
            </c:strRef>
          </c:cat>
          <c:val>
            <c:numRef>
              <c:f>'SOTU Chart'!$D$6:$I$6</c:f>
              <c:numCache/>
            </c:numRef>
          </c:val>
          <c:smooth val="0"/>
        </c:ser>
        <c:axId val="682700715"/>
        <c:axId val="82841558"/>
      </c:lineChart>
      <c:catAx>
        <c:axId val="682700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841558"/>
      </c:catAx>
      <c:valAx>
        <c:axId val="82841558"/>
        <c:scaling>
          <c:orientation val="minMax"/>
          <c:max val="3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27007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Bookings, Revenue, EBITDA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Bookings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'QBO Analysis'!$AU$3:$BF$3</c:f>
            </c:strRef>
          </c:cat>
          <c:val>
            <c:numRef>
              <c:f>'QBO Analysis'!$AU$7:$BF$7</c:f>
              <c:numCache/>
            </c:numRef>
          </c:val>
        </c:ser>
        <c:axId val="1158613692"/>
        <c:axId val="709087215"/>
      </c:barChart>
      <c:lineChart>
        <c:ser>
          <c:idx val="1"/>
          <c:order val="1"/>
          <c:tx>
            <c:v>Revenue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'QBO Analysis'!$AU$3:$BF$3</c:f>
            </c:strRef>
          </c:cat>
          <c:val>
            <c:numRef>
              <c:f>'QBO Analysis'!$AU$13:$BF$13</c:f>
              <c:numCache/>
            </c:numRef>
          </c:val>
          <c:smooth val="0"/>
        </c:ser>
        <c:ser>
          <c:idx val="2"/>
          <c:order val="2"/>
          <c:tx>
            <c:v>EBITDA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'QBO Analysis'!$AU$3:$BF$3</c:f>
            </c:strRef>
          </c:cat>
          <c:val>
            <c:numRef>
              <c:f>'QBO Analysis'!$AU$45:$BF$45</c:f>
              <c:numCache/>
            </c:numRef>
          </c:val>
          <c:smooth val="0"/>
        </c:ser>
        <c:axId val="1158613692"/>
        <c:axId val="709087215"/>
      </c:lineChart>
      <c:catAx>
        <c:axId val="11586136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9087215"/>
      </c:catAx>
      <c:valAx>
        <c:axId val="709087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$#,##0_);[Red]($#,##0)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8613692"/>
      </c:valAx>
    </c:plotArea>
    <c:legend>
      <c:legendPos val="r"/>
      <c:layout>
        <c:manualLayout>
          <c:xMode val="edge"/>
          <c:yMode val="edge"/>
          <c:x val="0.3564376488929372"/>
          <c:y val="0.1245098039215686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Base - Monthly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COGS</c:v>
          </c:tx>
          <c:spPr>
            <a:solidFill>
              <a:srgbClr val="B7E1C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Analysis'!$AU$3:$BF$3</c:f>
            </c:strRef>
          </c:cat>
          <c:val>
            <c:numRef>
              <c:f>'QBO Analysis'!$AU$27:$BF$27</c:f>
              <c:numCache/>
            </c:numRef>
          </c:val>
        </c:ser>
        <c:ser>
          <c:idx val="1"/>
          <c:order val="1"/>
          <c:tx>
            <c:v>Personnel</c:v>
          </c:tx>
          <c:spPr>
            <a:solidFill>
              <a:srgbClr val="33475B"/>
            </a:solidFill>
            <a:ln cmpd="sng">
              <a:noFill/>
            </a:ln>
          </c:spPr>
          <c:dPt>
            <c:idx val="6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Analysis'!$AU$3:$BF$3</c:f>
            </c:strRef>
          </c:cat>
          <c:val>
            <c:numRef>
              <c:f>'QBO Analysis'!$AU$36:$BF$36</c:f>
              <c:numCache/>
            </c:numRef>
          </c:val>
        </c:ser>
        <c:ser>
          <c:idx val="2"/>
          <c:order val="2"/>
          <c:tx>
            <c:v>S&amp;M</c:v>
          </c:tx>
          <c:spPr>
            <a:solidFill>
              <a:srgbClr val="0091AE"/>
            </a:solidFill>
            <a:ln cmpd="sng">
              <a:noFill/>
            </a:ln>
          </c:spPr>
          <c:dPt>
            <c:idx val="3"/>
          </c:dPt>
          <c:dPt>
            <c:idx val="4"/>
          </c:dPt>
          <c:dPt>
            <c:idx val="6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Analysis'!$AU$3:$BF$3</c:f>
            </c:strRef>
          </c:cat>
          <c:val>
            <c:numRef>
              <c:f>'QBO Analysis'!$AU$40:$BF$40</c:f>
              <c:numCache/>
            </c:numRef>
          </c:val>
        </c:ser>
        <c:ser>
          <c:idx val="3"/>
          <c:order val="3"/>
          <c:tx>
            <c:v>G&amp;A</c:v>
          </c:tx>
          <c:spPr>
            <a:solidFill>
              <a:schemeClr val="accent4"/>
            </a:solidFill>
            <a:ln cmpd="sng">
              <a:noFill/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Analysis'!$AU$3:$BF$3</c:f>
            </c:strRef>
          </c:cat>
          <c:val>
            <c:numRef>
              <c:f>'QBO Analysis'!$AU$32:$BF$32</c:f>
              <c:numCache/>
            </c:numRef>
          </c:val>
        </c:ser>
        <c:overlap val="100"/>
        <c:axId val="1551464347"/>
        <c:axId val="649506871"/>
      </c:barChart>
      <c:catAx>
        <c:axId val="1551464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9506871"/>
      </c:catAx>
      <c:valAx>
        <c:axId val="649506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1464347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Hours Billed per Resource vs. Padding</a:t>
            </a:r>
          </a:p>
        </c:rich>
      </c:tx>
      <c:layout>
        <c:manualLayout>
          <c:xMode val="edge"/>
          <c:yMode val="edge"/>
          <c:x val="0.010897435897435899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Hrs Billed per resource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Analysis'!$AA$3:$BF$3</c:f>
            </c:strRef>
          </c:cat>
          <c:val>
            <c:numRef>
              <c:f>'QBO Analysis'!$AA$76:$BF$76</c:f>
              <c:numCache/>
            </c:numRef>
          </c:val>
        </c:ser>
        <c:axId val="30079501"/>
        <c:axId val="789316800"/>
      </c:barChart>
      <c:catAx>
        <c:axId val="30079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9316800"/>
      </c:catAx>
      <c:valAx>
        <c:axId val="7893168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 billed per resource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079501"/>
      </c:valAx>
      <c:lineChart>
        <c:varyColors val="0"/>
        <c:ser>
          <c:idx val="1"/>
          <c:order val="1"/>
          <c:tx>
            <c:v>Padding %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'QBO Analysis'!$AA$3:$BF$3</c:f>
            </c:strRef>
          </c:cat>
          <c:val>
            <c:numRef>
              <c:f>'QBO Analysis'!$AA$77:$BF$77</c:f>
              <c:numCache/>
            </c:numRef>
          </c:val>
          <c:smooth val="0"/>
        </c:ser>
        <c:axId val="798791514"/>
        <c:axId val="1045046973"/>
      </c:lineChart>
      <c:catAx>
        <c:axId val="79879151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046973"/>
      </c:catAx>
      <c:valAx>
        <c:axId val="104504697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879151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DD Share of Bookings and SN Share of Bookings</a:t>
            </a:r>
          </a:p>
        </c:rich>
      </c:tx>
      <c:overlay val="0"/>
    </c:title>
    <c:plotArea>
      <c:layout/>
      <c:areaChart>
        <c:ser>
          <c:idx val="0"/>
          <c:order val="0"/>
          <c:tx>
            <c:v>Datadog</c:v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cat>
            <c:strRef>
              <c:f>'QBO Analysis'!$AU$3:$BF$3</c:f>
            </c:strRef>
          </c:cat>
          <c:val>
            <c:numRef>
              <c:f>'QBO Analysis'!$AU$51:$BF$51</c:f>
              <c:numCache/>
            </c:numRef>
          </c:val>
        </c:ser>
        <c:ser>
          <c:idx val="1"/>
          <c:order val="1"/>
          <c:tx>
            <c:v>ServiceNow</c:v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cat>
            <c:strRef>
              <c:f>'QBO Analysis'!$AU$3:$BF$3</c:f>
            </c:strRef>
          </c:cat>
          <c:val>
            <c:numRef>
              <c:f>'QBO Analysis'!$AU$52:$BF$52</c:f>
              <c:numCache/>
            </c:numRef>
          </c:val>
        </c:ser>
        <c:axId val="1231725427"/>
        <c:axId val="1052362163"/>
      </c:areaChart>
      <c:catAx>
        <c:axId val="1231725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362163"/>
      </c:catAx>
      <c:valAx>
        <c:axId val="1052362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17254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'Real' rate vs. Net Income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'Real' rate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Analysis'!$AA$3:$BF$3</c:f>
            </c:strRef>
          </c:cat>
          <c:val>
            <c:numRef>
              <c:f>'QBO Analysis'!$AA$82:$BF$82</c:f>
              <c:numCache/>
            </c:numRef>
          </c:val>
          <c:smooth val="0"/>
        </c:ser>
        <c:axId val="1731563728"/>
        <c:axId val="1783461615"/>
      </c:lineChart>
      <c:catAx>
        <c:axId val="173156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3461615"/>
      </c:catAx>
      <c:valAx>
        <c:axId val="17834616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1563728"/>
      </c:valAx>
      <c:lineChart>
        <c:varyColors val="0"/>
        <c:ser>
          <c:idx val="1"/>
          <c:order val="1"/>
          <c:tx>
            <c:v>Net Income (EBITDA) </c:v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Lbls>
            <c:dLbl>
              <c:idx val="10"/>
              <c:layout>
                <c:manualLayout>
                  <c:xMode val="edge"/>
                  <c:yMode val="edge"/>
                  <c:x val="0.939482449027549"/>
                  <c:y val="0.07459319036259968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Analysis'!$AA$3:$BF$3</c:f>
            </c:strRef>
          </c:cat>
          <c:val>
            <c:numRef>
              <c:f>'QBO Analysis'!$AA$45:$BF$45</c:f>
              <c:numCache/>
            </c:numRef>
          </c:val>
          <c:smooth val="0"/>
        </c:ser>
        <c:axId val="1409516685"/>
        <c:axId val="2060568036"/>
      </c:lineChart>
      <c:catAx>
        <c:axId val="140951668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0568036"/>
      </c:catAx>
      <c:valAx>
        <c:axId val="206056803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951668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Billable vs. Non-Billable Headcount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Billable</c:v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</c:dPt>
          <c:cat>
            <c:strRef>
              <c:f>'QBO Analysis'!$AA$3:$BF$3</c:f>
            </c:strRef>
          </c:cat>
          <c:val>
            <c:numRef>
              <c:f>'QBO Analysis'!$AA$69:$BF$69</c:f>
              <c:numCache/>
            </c:numRef>
          </c:val>
        </c:ser>
        <c:ser>
          <c:idx val="1"/>
          <c:order val="1"/>
          <c:tx>
            <c:v>Non-Billable</c:v>
          </c:tx>
          <c:spPr>
            <a:solidFill>
              <a:schemeClr val="accent2"/>
            </a:solidFill>
            <a:ln cmpd="sng">
              <a:noFill/>
            </a:ln>
          </c:spPr>
          <c:dPt>
            <c:idx val="0"/>
          </c:dPt>
          <c:cat>
            <c:strRef>
              <c:f>'QBO Analysis'!$AA$3:$BF$3</c:f>
            </c:strRef>
          </c:cat>
          <c:val>
            <c:numRef>
              <c:f>'QBO Analysis'!$AA$71:$BF$71</c:f>
              <c:numCache/>
            </c:numRef>
          </c:val>
        </c:ser>
        <c:ser>
          <c:idx val="2"/>
          <c:order val="2"/>
          <c:cat>
            <c:strRef>
              <c:f>'QBO Analysis'!$AA$3:$BF$3</c:f>
            </c:strRef>
          </c:cat>
          <c:val>
            <c:numRef>
              <c:f>'QBO Analysis'!$AA$68:$BF$68</c:f>
              <c:numCache/>
            </c:numRef>
          </c:val>
        </c:ser>
        <c:ser>
          <c:idx val="3"/>
          <c:order val="3"/>
          <c:cat>
            <c:strRef>
              <c:f>'QBO Analysis'!$AA$3:$BF$3</c:f>
            </c:strRef>
          </c:cat>
          <c:val>
            <c:numRef>
              <c:f>'QBO Analysis'!$AA$70:$BF$70</c:f>
              <c:numCache/>
            </c:numRef>
          </c:val>
        </c:ser>
        <c:overlap val="100"/>
        <c:axId val="871860886"/>
        <c:axId val="373273374"/>
      </c:barChart>
      <c:catAx>
        <c:axId val="871860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3273374"/>
      </c:catAx>
      <c:valAx>
        <c:axId val="3732733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18608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DD Gross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Revenue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Analysis'!$AU$3:$BF$3</c:f>
            </c:strRef>
          </c:cat>
          <c:val>
            <c:numRef>
              <c:f>'QBO Analysis'!$AU$14:$BF$14</c:f>
              <c:numCache/>
            </c:numRef>
          </c:val>
        </c:ser>
        <c:ser>
          <c:idx val="1"/>
          <c:order val="1"/>
          <c:tx>
            <c:v>Gross Profit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Analysis'!$AU$3:$BF$3</c:f>
            </c:strRef>
          </c:cat>
          <c:val>
            <c:numRef>
              <c:f>'QBO Analysis'!$AU$55:$BF$55</c:f>
              <c:numCache/>
            </c:numRef>
          </c:val>
        </c:ser>
        <c:axId val="320513184"/>
        <c:axId val="1551406261"/>
      </c:barChart>
      <c:catAx>
        <c:axId val="320513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1406261"/>
      </c:catAx>
      <c:valAx>
        <c:axId val="15514062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0513184"/>
      </c:valAx>
      <c:lineChart>
        <c:varyColors val="0"/>
        <c:ser>
          <c:idx val="2"/>
          <c:order val="2"/>
          <c:tx>
            <c:v>GP %</c:v>
          </c:tx>
          <c:spPr>
            <a:ln cmpd="sng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Analysis'!$AU$3:$BF$3</c:f>
            </c:strRef>
          </c:cat>
          <c:val>
            <c:numRef>
              <c:f>'QBO Analysis'!$AU$56:$BF$56</c:f>
              <c:numCache/>
            </c:numRef>
          </c:val>
          <c:smooth val="0"/>
        </c:ser>
        <c:axId val="1029661756"/>
        <c:axId val="323929192"/>
      </c:lineChart>
      <c:catAx>
        <c:axId val="10296617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3929192"/>
      </c:catAx>
      <c:valAx>
        <c:axId val="32392919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966175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SN Gross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Revenue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Analysis'!$AU$3:$BF$3</c:f>
            </c:strRef>
          </c:cat>
          <c:val>
            <c:numRef>
              <c:f>'QBO Analysis'!$AU$20:$BF$20</c:f>
              <c:numCache/>
            </c:numRef>
          </c:val>
        </c:ser>
        <c:ser>
          <c:idx val="1"/>
          <c:order val="1"/>
          <c:tx>
            <c:v>Gross Profit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Analysis'!$AU$3:$BF$3</c:f>
            </c:strRef>
          </c:cat>
          <c:val>
            <c:numRef>
              <c:f>'QBO Analysis'!$AU$57:$BF$57</c:f>
              <c:numCache/>
            </c:numRef>
          </c:val>
        </c:ser>
        <c:axId val="423189239"/>
        <c:axId val="2079301055"/>
      </c:barChart>
      <c:catAx>
        <c:axId val="423189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9301055"/>
      </c:catAx>
      <c:valAx>
        <c:axId val="20793010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3189239"/>
      </c:valAx>
      <c:lineChart>
        <c:varyColors val="0"/>
        <c:ser>
          <c:idx val="2"/>
          <c:order val="2"/>
          <c:tx>
            <c:v>GP %</c:v>
          </c:tx>
          <c:spPr>
            <a:ln cmpd="sng">
              <a:solidFill>
                <a:srgbClr val="000000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Analysis'!$AU$3:$BF$3</c:f>
            </c:strRef>
          </c:cat>
          <c:val>
            <c:numRef>
              <c:f>'QBO Analysis'!$AU$58:$BF$58</c:f>
              <c:numCache/>
            </c:numRef>
          </c:val>
          <c:smooth val="0"/>
        </c:ser>
        <c:axId val="1462689404"/>
        <c:axId val="581544653"/>
      </c:lineChart>
      <c:catAx>
        <c:axId val="14626894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1544653"/>
      </c:catAx>
      <c:valAx>
        <c:axId val="58154465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268940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Datadog Revenue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Deposits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'QBO Analysis'!$AU$3:$BF$3</c:f>
            </c:strRef>
          </c:cat>
          <c:val>
            <c:numRef>
              <c:f>'QBO Analysis'!$AU$15:$BF$15</c:f>
              <c:numCache/>
            </c:numRef>
          </c:val>
        </c:ser>
        <c:ser>
          <c:idx val="1"/>
          <c:order val="1"/>
          <c:tx>
            <c:v>Fixed Fee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'QBO Analysis'!$AU$3:$BF$3</c:f>
            </c:strRef>
          </c:cat>
          <c:val>
            <c:numRef>
              <c:f>'QBO Analysis'!$AU$16:$BF$16</c:f>
              <c:numCache/>
            </c:numRef>
          </c:val>
        </c:ser>
        <c:ser>
          <c:idx val="2"/>
          <c:order val="2"/>
          <c:tx>
            <c:v>T&amp;M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'QBO Analysis'!$AU$3:$BF$3</c:f>
            </c:strRef>
          </c:cat>
          <c:val>
            <c:numRef>
              <c:f>'QBO Analysis'!$AU$17:$BF$17</c:f>
              <c:numCache/>
            </c:numRef>
          </c:val>
        </c:ser>
        <c:ser>
          <c:idx val="3"/>
          <c:order val="3"/>
          <c:tx>
            <c:v>Software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'QBO Analysis'!$AU$3:$BF$3</c:f>
            </c:strRef>
          </c:cat>
          <c:val>
            <c:numRef>
              <c:f>'QBO Analysis'!$AU$18:$BF$18</c:f>
              <c:numCache/>
            </c:numRef>
          </c:val>
        </c:ser>
        <c:overlap val="100"/>
        <c:axId val="2116853285"/>
        <c:axId val="1612370939"/>
      </c:barChart>
      <c:catAx>
        <c:axId val="21168532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2370939"/>
      </c:catAx>
      <c:valAx>
        <c:axId val="1612370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68532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ServiceNow Revenue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Deposits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'QBO Analysis'!$AU$3:$BF$3</c:f>
            </c:strRef>
          </c:cat>
          <c:val>
            <c:numRef>
              <c:f>'QBO Analysis'!$AU$21:$BF$21</c:f>
              <c:numCache/>
            </c:numRef>
          </c:val>
        </c:ser>
        <c:ser>
          <c:idx val="1"/>
          <c:order val="1"/>
          <c:tx>
            <c:v>Fixed Fee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'QBO Analysis'!$AU$3:$BF$3</c:f>
            </c:strRef>
          </c:cat>
          <c:val>
            <c:numRef>
              <c:f>'QBO Analysis'!$AU$22:$BF$22</c:f>
              <c:numCache/>
            </c:numRef>
          </c:val>
        </c:ser>
        <c:ser>
          <c:idx val="2"/>
          <c:order val="2"/>
          <c:tx>
            <c:v>T&amp;M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'QBO Analysis'!$AU$3:$BF$3</c:f>
            </c:strRef>
          </c:cat>
          <c:val>
            <c:numRef>
              <c:f>'QBO Analysis'!$AU$23:$BF$23</c:f>
              <c:numCache/>
            </c:numRef>
          </c:val>
        </c:ser>
        <c:ser>
          <c:idx val="3"/>
          <c:order val="3"/>
          <c:tx>
            <c:v>Software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'QBO Analysis'!$AU$3:$BF$3</c:f>
            </c:strRef>
          </c:cat>
          <c:val>
            <c:numRef>
              <c:f>'QBO Analysis'!$AU$24:$BF$24</c:f>
              <c:numCache/>
            </c:numRef>
          </c:val>
        </c:ser>
        <c:overlap val="100"/>
        <c:axId val="1802036536"/>
        <c:axId val="932724532"/>
      </c:barChart>
      <c:catAx>
        <c:axId val="1802036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2724532"/>
      </c:catAx>
      <c:valAx>
        <c:axId val="932724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20365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YoY Revenue - FY24 vs. FY23 vs. FY22</a:t>
            </a:r>
          </a:p>
        </c:rich>
      </c:tx>
      <c:layout>
        <c:manualLayout>
          <c:xMode val="edge"/>
          <c:yMode val="edge"/>
          <c:x val="0.010897435897435899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FY24</c:v>
          </c:tx>
          <c:spPr>
            <a:solidFill>
              <a:srgbClr val="CFE2F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Analysis'!$AY$3:$BJ$3</c:f>
            </c:strRef>
          </c:cat>
          <c:val>
            <c:numRef>
              <c:f>'QBO Analysis'!$AY$13:$BJ$13</c:f>
              <c:numCache/>
            </c:numRef>
          </c:val>
        </c:ser>
        <c:ser>
          <c:idx val="1"/>
          <c:order val="1"/>
          <c:tx>
            <c:v>FY23</c:v>
          </c:tx>
          <c:spPr>
            <a:solidFill>
              <a:srgbClr val="0B539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Analysis'!$AY$3:$BJ$3</c:f>
            </c:strRef>
          </c:cat>
          <c:val>
            <c:numRef>
              <c:f>'QBO Analysis'!$AM$13:$AX$13</c:f>
              <c:numCache/>
            </c:numRef>
          </c:val>
        </c:ser>
        <c:ser>
          <c:idx val="2"/>
          <c:order val="2"/>
          <c:tx>
            <c:v>FY22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Analysis'!$AY$3:$BJ$3</c:f>
            </c:strRef>
          </c:cat>
          <c:val>
            <c:numRef>
              <c:f>'QBO Analysis'!$AA$13:$AL$13</c:f>
              <c:numCache/>
            </c:numRef>
          </c:val>
        </c:ser>
        <c:axId val="629744200"/>
        <c:axId val="701556996"/>
      </c:barChart>
      <c:catAx>
        <c:axId val="629744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1556996"/>
      </c:catAx>
      <c:valAx>
        <c:axId val="701556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97442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YoY Bookings- FY24 vs. FY23 vs. FY22</a:t>
            </a:r>
          </a:p>
        </c:rich>
      </c:tx>
      <c:layout>
        <c:manualLayout>
          <c:xMode val="edge"/>
          <c:yMode val="edge"/>
          <c:x val="0.010897435897435899"/>
          <c:y val="0.04766355140186916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FY24</c:v>
          </c:tx>
          <c:spPr>
            <a:solidFill>
              <a:srgbClr val="CFE2F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Analysis'!$AY$3:$BJ$3</c:f>
            </c:strRef>
          </c:cat>
          <c:val>
            <c:numRef>
              <c:f>'QBO Analysis'!$AY$7:$BJ$7</c:f>
              <c:numCache/>
            </c:numRef>
          </c:val>
        </c:ser>
        <c:ser>
          <c:idx val="1"/>
          <c:order val="1"/>
          <c:tx>
            <c:v>FY23</c:v>
          </c:tx>
          <c:spPr>
            <a:solidFill>
              <a:srgbClr val="0B539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Analysis'!$AY$3:$BJ$3</c:f>
            </c:strRef>
          </c:cat>
          <c:val>
            <c:numRef>
              <c:f>'QBO Analysis'!$AM$7:$AX$7</c:f>
              <c:numCache/>
            </c:numRef>
          </c:val>
        </c:ser>
        <c:ser>
          <c:idx val="2"/>
          <c:order val="2"/>
          <c:tx>
            <c:v>FY22</c:v>
          </c:tx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Analysis'!$AY$3:$BJ$3</c:f>
            </c:strRef>
          </c:cat>
          <c:val>
            <c:numRef>
              <c:f>'QBO Analysis'!$AA$7:$AL$7</c:f>
              <c:numCache/>
            </c:numRef>
          </c:val>
        </c:ser>
        <c:axId val="1064058568"/>
        <c:axId val="1061976362"/>
      </c:barChart>
      <c:catAx>
        <c:axId val="1064058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1976362"/>
      </c:catAx>
      <c:valAx>
        <c:axId val="1061976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Bookings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40585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Bookings &amp; Revenue</a:t>
            </a:r>
          </a:p>
        </c:rich>
      </c:tx>
      <c:overlay val="0"/>
    </c:title>
    <c:plotArea>
      <c:layout/>
      <c:lineChart>
        <c:ser>
          <c:idx val="0"/>
          <c:order val="0"/>
          <c:tx>
            <c:v>Bookings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'QBO Analysis'!$AU$3:$BF$3</c:f>
            </c:strRef>
          </c:cat>
          <c:val>
            <c:numRef>
              <c:f>'QBO Analysis'!$AU$7:$BF$7</c:f>
              <c:numCache/>
            </c:numRef>
          </c:val>
          <c:smooth val="0"/>
        </c:ser>
        <c:ser>
          <c:idx val="1"/>
          <c:order val="1"/>
          <c:tx>
            <c:v>Revenue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'QBO Analysis'!$AU$3:$BF$3</c:f>
            </c:strRef>
          </c:cat>
          <c:val>
            <c:numRef>
              <c:f>'QBO Analysis'!$AU$13:$BF$13</c:f>
              <c:numCache/>
            </c:numRef>
          </c:val>
          <c:smooth val="0"/>
        </c:ser>
        <c:axId val="1879484142"/>
        <c:axId val="1378021071"/>
      </c:lineChart>
      <c:catAx>
        <c:axId val="1879484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8021071"/>
      </c:catAx>
      <c:valAx>
        <c:axId val="1378021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94841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Quarterly Revenue- FVA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Actuals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#,##0_);(#,##0)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Analysis'!$BN$3:$BQ$3</c:f>
            </c:strRef>
          </c:cat>
          <c:val>
            <c:numRef>
              <c:f>'QBO Analysis'!$BN$13:$BQ$13</c:f>
              <c:numCache/>
            </c:numRef>
          </c:val>
        </c:ser>
        <c:ser>
          <c:idx val="1"/>
          <c:order val="1"/>
          <c:tx>
            <c:v>Forecast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Analysis'!$BN$3:$BQ$3</c:f>
            </c:strRef>
          </c:cat>
          <c:val>
            <c:numRef>
              <c:f>'QBO Analysis'!$BN$91:$BQ$91</c:f>
              <c:numCache/>
            </c:numRef>
          </c:val>
        </c:ser>
        <c:axId val="2036512758"/>
        <c:axId val="184726814"/>
      </c:barChart>
      <c:catAx>
        <c:axId val="2036512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726814"/>
      </c:catAx>
      <c:valAx>
        <c:axId val="184726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65127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Quarterly Gross Profit- FVA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Actuals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#,##0_);(#,##0)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Analysis'!$BN$3:$BQ$3</c:f>
            </c:strRef>
          </c:cat>
          <c:val>
            <c:numRef>
              <c:f>'QBO Analysis'!$BN$54:$BQ$54</c:f>
              <c:numCache/>
            </c:numRef>
          </c:val>
        </c:ser>
        <c:ser>
          <c:idx val="1"/>
          <c:order val="1"/>
          <c:tx>
            <c:v>Forecast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Analysis'!$BN$3:$BQ$3</c:f>
            </c:strRef>
          </c:cat>
          <c:val>
            <c:numRef>
              <c:f>'QBO Analysis'!$BN$97:$BQ$97</c:f>
              <c:numCache/>
            </c:numRef>
          </c:val>
        </c:ser>
        <c:axId val="1309477573"/>
        <c:axId val="1578272146"/>
      </c:barChart>
      <c:catAx>
        <c:axId val="13094775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8272146"/>
      </c:catAx>
      <c:valAx>
        <c:axId val="15782721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94775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Quarterly Expenses- FVA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COGS</c:v>
          </c:tx>
          <c:spPr>
            <a:solidFill>
              <a:srgbClr val="B7E1CD"/>
            </a:solidFill>
            <a:ln cmpd="sng">
              <a:noFill/>
            </a:ln>
          </c:spPr>
          <c:dPt>
            <c:idx val="0"/>
          </c:dPt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Analysis'!$BN$3:$BQ$3</c:f>
            </c:strRef>
          </c:cat>
          <c:val>
            <c:numRef>
              <c:f>'QBO Analysis'!$BN$27:$BQ$27</c:f>
              <c:numCache/>
            </c:numRef>
          </c:val>
        </c:ser>
        <c:ser>
          <c:idx val="1"/>
          <c:order val="1"/>
          <c:tx>
            <c:v>Personnel</c:v>
          </c:tx>
          <c:spPr>
            <a:solidFill>
              <a:srgbClr val="33475B"/>
            </a:solidFill>
            <a:ln cmpd="sng">
              <a:noFill/>
            </a:ln>
          </c:spPr>
          <c:dPt>
            <c:idx val="6"/>
          </c:dPt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Analysis'!$BN$3:$BQ$3</c:f>
            </c:strRef>
          </c:cat>
          <c:val>
            <c:numRef>
              <c:f>'QBO Analysis'!$BN$36:$BQ$36</c:f>
              <c:numCache/>
            </c:numRef>
          </c:val>
        </c:ser>
        <c:ser>
          <c:idx val="2"/>
          <c:order val="2"/>
          <c:tx>
            <c:v>S&amp;M</c:v>
          </c:tx>
          <c:spPr>
            <a:solidFill>
              <a:srgbClr val="0091AE"/>
            </a:solidFill>
            <a:ln cmpd="sng">
              <a:noFill/>
            </a:ln>
          </c:spPr>
          <c:dPt>
            <c:idx val="3"/>
          </c:dPt>
          <c:dPt>
            <c:idx val="4"/>
          </c:dPt>
          <c:dPt>
            <c:idx val="6"/>
          </c:dPt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Analysis'!$BN$3:$BQ$3</c:f>
            </c:strRef>
          </c:cat>
          <c:val>
            <c:numRef>
              <c:f>'QBO Analysis'!$BN$40:$BQ$40</c:f>
              <c:numCache/>
            </c:numRef>
          </c:val>
        </c:ser>
        <c:ser>
          <c:idx val="3"/>
          <c:order val="3"/>
          <c:tx>
            <c:v>G&amp;A</c:v>
          </c:tx>
          <c:spPr>
            <a:solidFill>
              <a:schemeClr val="accent4"/>
            </a:solidFill>
            <a:ln cmpd="sng">
              <a:noFill/>
            </a:ln>
          </c:spPr>
          <c:dPt>
            <c:idx val="0"/>
          </c:dPt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Analysis'!$BN$3:$BQ$3</c:f>
            </c:strRef>
          </c:cat>
          <c:val>
            <c:numRef>
              <c:f>'QBO Analysis'!$BN$32:$BQ$32</c:f>
              <c:numCache/>
            </c:numRef>
          </c:val>
        </c:ser>
        <c:overlap val="100"/>
        <c:axId val="460016323"/>
        <c:axId val="943550222"/>
      </c:barChart>
      <c:catAx>
        <c:axId val="460016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3550222"/>
      </c:catAx>
      <c:valAx>
        <c:axId val="943550222"/>
        <c:scaling>
          <c:orientation val="minMax"/>
          <c:max val="800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0016323"/>
      </c:valAx>
      <c:barChart>
        <c:barDir val="col"/>
        <c:grouping val="stacked"/>
        <c:ser>
          <c:idx val="4"/>
          <c:order val="4"/>
          <c:tx>
            <c:v>Fcst COGS</c:v>
          </c:tx>
          <c:spPr>
            <a:solidFill>
              <a:schemeClr val="accent5"/>
            </a:solidFill>
            <a:ln cmpd="sng">
              <a:noFill/>
            </a:ln>
          </c:spPr>
          <c:dPt>
            <c:idx val="0"/>
          </c:dPt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Analysis'!$BN$3:$BQ$3</c:f>
            </c:strRef>
          </c:cat>
          <c:val>
            <c:numRef>
              <c:f>'QBO Analysis'!$BN$95:$BQ$95</c:f>
              <c:numCache/>
            </c:numRef>
          </c:val>
        </c:ser>
        <c:ser>
          <c:idx val="5"/>
          <c:order val="5"/>
          <c:tx>
            <c:v>Fcst Personnel</c:v>
          </c:tx>
          <c:spPr>
            <a:solidFill>
              <a:schemeClr val="accent6"/>
            </a:solidFill>
            <a:ln cmpd="sng">
              <a:noFill/>
            </a:ln>
          </c:spPr>
          <c:dPt>
            <c:idx val="0"/>
          </c:dPt>
          <c:dLbls>
            <c:numFmt formatCode="#,##0" sourceLinked="0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Analysis'!$BN$3:$BQ$3</c:f>
            </c:strRef>
          </c:cat>
          <c:val>
            <c:numRef>
              <c:f>'QBO Analysis'!$BN$100:$BQ$100</c:f>
              <c:numCache/>
            </c:numRef>
          </c:val>
        </c:ser>
        <c:ser>
          <c:idx val="6"/>
          <c:order val="6"/>
          <c:tx>
            <c:v>Fcst S&amp;M</c:v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Analysis'!$BN$3:$BQ$3</c:f>
            </c:strRef>
          </c:cat>
          <c:val>
            <c:numRef>
              <c:f>'QBO Analysis'!$BN$102:$BQ$102</c:f>
              <c:numCache/>
            </c:numRef>
          </c:val>
        </c:ser>
        <c:ser>
          <c:idx val="7"/>
          <c:order val="7"/>
          <c:tx>
            <c:v>Fcst G&amp;A</c:v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Analysis'!$BN$3:$BQ$3</c:f>
            </c:strRef>
          </c:cat>
          <c:val>
            <c:numRef>
              <c:f>'QBO Analysis'!$BN$101:$BQ$101</c:f>
              <c:numCache/>
            </c:numRef>
          </c:val>
        </c:ser>
        <c:overlap val="100"/>
        <c:axId val="67125857"/>
        <c:axId val="1570288827"/>
      </c:barChart>
      <c:catAx>
        <c:axId val="671258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0288827"/>
      </c:catAx>
      <c:valAx>
        <c:axId val="1570288827"/>
        <c:scaling>
          <c:orientation val="minMax"/>
          <c:max val="800000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125857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Quarterly EBITDA- FVA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Actuals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#,##0_);(#,##0)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Analysis'!$BN$3:$BQ$3</c:f>
            </c:strRef>
          </c:cat>
          <c:val>
            <c:numRef>
              <c:f>'QBO Analysis'!$BN$45:$BQ$45</c:f>
              <c:numCache/>
            </c:numRef>
          </c:val>
        </c:ser>
        <c:ser>
          <c:idx val="1"/>
          <c:order val="1"/>
          <c:tx>
            <c:v>Forecast</c:v>
          </c:tx>
          <c:spPr>
            <a:solidFill>
              <a:schemeClr val="accent2"/>
            </a:solidFill>
            <a:ln cmpd="sng">
              <a:noFill/>
            </a:ln>
          </c:spPr>
          <c:dLbls>
            <c:numFmt formatCode="#,##0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'QBO Analysis'!$BN$3:$BQ$3</c:f>
            </c:strRef>
          </c:cat>
          <c:val>
            <c:numRef>
              <c:f>'QBO Analysis'!$BN$104:$BQ$104</c:f>
              <c:numCache/>
            </c:numRef>
          </c:val>
        </c:ser>
        <c:axId val="804076925"/>
        <c:axId val="147570575"/>
      </c:barChart>
      <c:catAx>
        <c:axId val="8040769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570575"/>
      </c:catAx>
      <c:valAx>
        <c:axId val="147570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40769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TTM Revenue</a:t>
            </a:r>
          </a:p>
        </c:rich>
      </c:tx>
      <c:layout>
        <c:manualLayout>
          <c:xMode val="edge"/>
          <c:yMode val="edge"/>
          <c:x val="0.015110410094637226"/>
          <c:y val="0.04782135076252724"/>
        </c:manualLayout>
      </c:layout>
      <c:overlay val="0"/>
    </c:title>
    <c:plotArea>
      <c:layout/>
      <c:lineChart>
        <c:ser>
          <c:idx val="0"/>
          <c:order val="0"/>
          <c:tx>
            <c:v>Total Revenue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'QBO Analysis'!$CT$3:$DY$3</c:f>
            </c:strRef>
          </c:cat>
          <c:val>
            <c:numRef>
              <c:f>'QBO Analysis'!$CT$13:$DY$13</c:f>
              <c:numCache/>
            </c:numRef>
          </c:val>
          <c:smooth val="0"/>
        </c:ser>
        <c:ser>
          <c:idx val="1"/>
          <c:order val="1"/>
          <c:tx>
            <c:v>DD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'QBO Analysis'!$CT$3:$DY$3</c:f>
            </c:strRef>
          </c:cat>
          <c:val>
            <c:numRef>
              <c:f>'QBO Analysis'!$CT$14:$DY$14</c:f>
              <c:numCache/>
            </c:numRef>
          </c:val>
          <c:smooth val="0"/>
        </c:ser>
        <c:ser>
          <c:idx val="2"/>
          <c:order val="2"/>
          <c:tx>
            <c:v>SN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'QBO Analysis'!$CT$3:$DY$3</c:f>
            </c:strRef>
          </c:cat>
          <c:val>
            <c:numRef>
              <c:f>'QBO Analysis'!$CT$20:$DY$20</c:f>
              <c:numCache/>
            </c:numRef>
          </c:val>
          <c:smooth val="0"/>
        </c:ser>
        <c:axId val="1676650189"/>
        <c:axId val="478809999"/>
      </c:lineChart>
      <c:catAx>
        <c:axId val="1676650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8809999"/>
      </c:catAx>
      <c:valAx>
        <c:axId val="4788099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665018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TTM Bookings</a:t>
            </a:r>
          </a:p>
        </c:rich>
      </c:tx>
      <c:layout>
        <c:manualLayout>
          <c:xMode val="edge"/>
          <c:yMode val="edge"/>
          <c:x val="0.015667823695529083"/>
          <c:y val="0.04782135076252724"/>
        </c:manualLayout>
      </c:layout>
      <c:overlay val="0"/>
    </c:title>
    <c:plotArea>
      <c:layout/>
      <c:lineChart>
        <c:ser>
          <c:idx val="0"/>
          <c:order val="0"/>
          <c:tx>
            <c:v>Total Bookings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'QBO Analysis'!$CT$3:$DY$3</c:f>
            </c:strRef>
          </c:cat>
          <c:val>
            <c:numRef>
              <c:f>'QBO Analysis'!$CT$7:$DY$7</c:f>
              <c:numCache/>
            </c:numRef>
          </c:val>
          <c:smooth val="0"/>
        </c:ser>
        <c:ser>
          <c:idx val="1"/>
          <c:order val="1"/>
          <c:tx>
            <c:v>DD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'QBO Analysis'!$CT$3:$DY$3</c:f>
            </c:strRef>
          </c:cat>
          <c:val>
            <c:numRef>
              <c:f>'QBO Analysis'!$CT$8:$DY$8</c:f>
              <c:numCache/>
            </c:numRef>
          </c:val>
          <c:smooth val="0"/>
        </c:ser>
        <c:ser>
          <c:idx val="2"/>
          <c:order val="2"/>
          <c:tx>
            <c:v>SN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'QBO Analysis'!$CT$3:$DY$3</c:f>
            </c:strRef>
          </c:cat>
          <c:val>
            <c:numRef>
              <c:f>'QBO Analysis'!$CT$9:$DY$9</c:f>
              <c:numCache/>
            </c:numRef>
          </c:val>
          <c:smooth val="0"/>
        </c:ser>
        <c:ser>
          <c:idx val="3"/>
          <c:order val="3"/>
          <c:tx>
            <c:v>SW</c:v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cat>
            <c:strRef>
              <c:f>'QBO Analysis'!$CT$3:$DY$3</c:f>
            </c:strRef>
          </c:cat>
          <c:val>
            <c:numRef>
              <c:f>'QBO Analysis'!$CT$10:$DY$10</c:f>
              <c:numCache/>
            </c:numRef>
          </c:val>
          <c:smooth val="0"/>
        </c:ser>
        <c:axId val="423859012"/>
        <c:axId val="790756201"/>
      </c:lineChart>
      <c:catAx>
        <c:axId val="423859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0756201"/>
      </c:catAx>
      <c:valAx>
        <c:axId val="7907562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385901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TTM EBITDA</a:t>
            </a:r>
          </a:p>
        </c:rich>
      </c:tx>
      <c:layout>
        <c:manualLayout>
          <c:xMode val="edge"/>
          <c:yMode val="edge"/>
          <c:x val="0.015667823695529087"/>
          <c:y val="0.04782135076252724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v>EBITDA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'QBO Analysis'!$CT$3:$DY$3</c:f>
            </c:strRef>
          </c:cat>
          <c:val>
            <c:numRef>
              <c:f>'QBO Analysis'!$CT$45:$DY$45</c:f>
              <c:numCache/>
            </c:numRef>
          </c:val>
          <c:smooth val="0"/>
        </c:ser>
        <c:axId val="2007900193"/>
        <c:axId val="383063674"/>
      </c:lineChart>
      <c:catAx>
        <c:axId val="2007900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3063674"/>
      </c:catAx>
      <c:valAx>
        <c:axId val="3830636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900193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TTM Bookings, Revenue &amp; EBITDA</a:t>
            </a:r>
          </a:p>
        </c:rich>
      </c:tx>
      <c:layout>
        <c:manualLayout>
          <c:xMode val="edge"/>
          <c:yMode val="edge"/>
          <c:x val="0.015667823695529087"/>
          <c:y val="0.04782135076252724"/>
        </c:manualLayout>
      </c:layout>
      <c:overlay val="0"/>
    </c:title>
    <c:plotArea>
      <c:layout/>
      <c:lineChart>
        <c:ser>
          <c:idx val="0"/>
          <c:order val="0"/>
          <c:tx>
            <c:v>Bookings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'QBO Analysis'!$CT$3:$DY$3</c:f>
            </c:strRef>
          </c:cat>
          <c:val>
            <c:numRef>
              <c:f>'QBO Analysis'!$CT$7:$DY$7</c:f>
              <c:numCache/>
            </c:numRef>
          </c:val>
          <c:smooth val="0"/>
        </c:ser>
        <c:ser>
          <c:idx val="1"/>
          <c:order val="1"/>
          <c:tx>
            <c:v>Revenue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'QBO Analysis'!$CT$3:$DY$3</c:f>
            </c:strRef>
          </c:cat>
          <c:val>
            <c:numRef>
              <c:f>'QBO Analysis'!$CT$13:$DY$13</c:f>
              <c:numCache/>
            </c:numRef>
          </c:val>
          <c:smooth val="0"/>
        </c:ser>
        <c:ser>
          <c:idx val="2"/>
          <c:order val="2"/>
          <c:tx>
            <c:v>EBITDA</c:v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'QBO Analysis'!$CT$3:$DY$3</c:f>
            </c:strRef>
          </c:cat>
          <c:val>
            <c:numRef>
              <c:f>'QBO Analysis'!$CT$45:$DY$45</c:f>
              <c:numCache/>
            </c:numRef>
          </c:val>
          <c:smooth val="0"/>
        </c:ser>
        <c:axId val="1743983372"/>
        <c:axId val="825558495"/>
      </c:lineChart>
      <c:catAx>
        <c:axId val="17439833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5558495"/>
      </c:catAx>
      <c:valAx>
        <c:axId val="8255584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39833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'06.23 All Hands'!$B$5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'06.23 All Hands'!$C$4:$W$4</c:f>
            </c:strRef>
          </c:cat>
          <c:val>
            <c:numRef>
              <c:f>'06.23 All Hands'!$C$5:$W$5</c:f>
              <c:numCache/>
            </c:numRef>
          </c:val>
        </c:ser>
        <c:axId val="924394585"/>
        <c:axId val="798647579"/>
      </c:barChart>
      <c:lineChart>
        <c:varyColors val="0"/>
        <c:ser>
          <c:idx val="1"/>
          <c:order val="1"/>
          <c:tx>
            <c:strRef>
              <c:f>'06.23 All Hands'!$B$6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'06.23 All Hands'!$C$4:$W$4</c:f>
            </c:strRef>
          </c:cat>
          <c:val>
            <c:numRef>
              <c:f>'06.23 All Hands'!$C$6:$W$6</c:f>
              <c:numCache/>
            </c:numRef>
          </c:val>
          <c:smooth val="0"/>
        </c:ser>
        <c:axId val="924394585"/>
        <c:axId val="798647579"/>
      </c:lineChart>
      <c:catAx>
        <c:axId val="924394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8647579"/>
      </c:catAx>
      <c:valAx>
        <c:axId val="7986475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43945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666666"/>
              </a:solidFill>
              <a:latin typeface="+mn-lt"/>
            </a:defRPr>
          </a:pPr>
        </a:p>
      </c:txPr>
    </c:legend>
    <c:plotVisOnly val="1"/>
  </c:chart>
</c:chartSpace>
</file>

<file path=xl/charts/chart6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'06.23 All Hands'!$B$45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'06.23 All Hands'!$C$44:$J$44</c:f>
            </c:strRef>
          </c:cat>
          <c:val>
            <c:numRef>
              <c:f>'06.23 All Hands'!$C$45:$J$45</c:f>
              <c:numCache/>
            </c:numRef>
          </c:val>
        </c:ser>
        <c:axId val="1803951456"/>
        <c:axId val="1743356410"/>
      </c:barChart>
      <c:lineChart>
        <c:varyColors val="0"/>
        <c:ser>
          <c:idx val="1"/>
          <c:order val="1"/>
          <c:tx>
            <c:strRef>
              <c:f>'06.23 All Hands'!$B$46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'06.23 All Hands'!$C$44:$J$44</c:f>
            </c:strRef>
          </c:cat>
          <c:val>
            <c:numRef>
              <c:f>'06.23 All Hands'!$C$46:$J$46</c:f>
              <c:numCache/>
            </c:numRef>
          </c:val>
          <c:smooth val="0"/>
        </c:ser>
        <c:axId val="1803951456"/>
        <c:axId val="1743356410"/>
      </c:lineChart>
      <c:catAx>
        <c:axId val="1803951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3356410"/>
      </c:catAx>
      <c:valAx>
        <c:axId val="1743356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39514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Investing our EBITDA for Growth!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Revenue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'06.23 All Hands'!$J$4:$W$4</c:f>
            </c:strRef>
          </c:cat>
          <c:val>
            <c:numRef>
              <c:f>'06.23 All Hands'!$J$5:$W$5</c:f>
              <c:numCache/>
            </c:numRef>
          </c:val>
        </c:ser>
        <c:axId val="163426566"/>
        <c:axId val="69937864"/>
      </c:barChart>
      <c:catAx>
        <c:axId val="163426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937864"/>
      </c:catAx>
      <c:valAx>
        <c:axId val="69937864"/>
        <c:scaling>
          <c:orientation val="minMax"/>
          <c:min val="2000000.0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426566"/>
      </c:valAx>
      <c:lineChart>
        <c:varyColors val="0"/>
        <c:ser>
          <c:idx val="1"/>
          <c:order val="1"/>
          <c:tx>
            <c:v>EBITDA</c:v>
          </c:tx>
          <c:spPr>
            <a:ln cmpd="sng">
              <a:solidFill>
                <a:srgbClr val="C0504D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C0504D"/>
              </a:solidFill>
              <a:ln cmpd="sng">
                <a:solidFill>
                  <a:srgbClr val="C0504D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2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'06.23 All Hands'!$J$4:$W$4</c:f>
            </c:strRef>
          </c:cat>
          <c:val>
            <c:numRef>
              <c:f>'06.23 All Hands'!$J$8:$W$8</c:f>
              <c:numCache/>
            </c:numRef>
          </c:val>
          <c:smooth val="0"/>
        </c:ser>
        <c:axId val="1144863786"/>
        <c:axId val="658636346"/>
      </c:lineChart>
      <c:catAx>
        <c:axId val="114486378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8636346"/>
      </c:catAx>
      <c:valAx>
        <c:axId val="65863634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486378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666666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0.xml"/><Relationship Id="rId22" Type="http://schemas.openxmlformats.org/officeDocument/2006/relationships/chart" Target="../charts/chart22.xml"/><Relationship Id="rId21" Type="http://schemas.openxmlformats.org/officeDocument/2006/relationships/chart" Target="../charts/chart21.xml"/><Relationship Id="rId24" Type="http://schemas.openxmlformats.org/officeDocument/2006/relationships/chart" Target="../charts/chart24.xml"/><Relationship Id="rId23" Type="http://schemas.openxmlformats.org/officeDocument/2006/relationships/chart" Target="../charts/chart23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26" Type="http://schemas.openxmlformats.org/officeDocument/2006/relationships/chart" Target="../charts/chart26.xml"/><Relationship Id="rId25" Type="http://schemas.openxmlformats.org/officeDocument/2006/relationships/chart" Target="../charts/chart25.xml"/><Relationship Id="rId28" Type="http://schemas.openxmlformats.org/officeDocument/2006/relationships/chart" Target="../charts/chart28.xml"/><Relationship Id="rId27" Type="http://schemas.openxmlformats.org/officeDocument/2006/relationships/chart" Target="../charts/chart27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29" Type="http://schemas.openxmlformats.org/officeDocument/2006/relationships/chart" Target="../charts/chart29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31" Type="http://schemas.openxmlformats.org/officeDocument/2006/relationships/chart" Target="../charts/chart31.xml"/><Relationship Id="rId30" Type="http://schemas.openxmlformats.org/officeDocument/2006/relationships/chart" Target="../charts/chart30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32" Type="http://schemas.openxmlformats.org/officeDocument/2006/relationships/chart" Target="../charts/chart32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19" Type="http://schemas.openxmlformats.org/officeDocument/2006/relationships/chart" Target="../charts/chart19.xml"/><Relationship Id="rId18" Type="http://schemas.openxmlformats.org/officeDocument/2006/relationships/chart" Target="../charts/chart1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Relationship Id="rId3" Type="http://schemas.openxmlformats.org/officeDocument/2006/relationships/chart" Target="../charts/chart35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Relationship Id="rId5" Type="http://schemas.openxmlformats.org/officeDocument/2006/relationships/chart" Target="../charts/chart37.xml"/><Relationship Id="rId6" Type="http://schemas.openxmlformats.org/officeDocument/2006/relationships/chart" Target="../charts/chart38.xml"/><Relationship Id="rId7" Type="http://schemas.openxmlformats.org/officeDocument/2006/relationships/chart" Target="../charts/chart39.xml"/><Relationship Id="rId8" Type="http://schemas.openxmlformats.org/officeDocument/2006/relationships/chart" Target="../charts/chart40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8.xml.rels><?xml version="1.0" encoding="UTF-8" standalone="yes"?><Relationships xmlns="http://schemas.openxmlformats.org/package/2006/relationships"><Relationship Id="rId20" Type="http://schemas.openxmlformats.org/officeDocument/2006/relationships/chart" Target="../charts/chart63.xml"/><Relationship Id="rId21" Type="http://schemas.openxmlformats.org/officeDocument/2006/relationships/chart" Target="../charts/chart64.xml"/><Relationship Id="rId1" Type="http://schemas.openxmlformats.org/officeDocument/2006/relationships/chart" Target="../charts/chart44.xml"/><Relationship Id="rId2" Type="http://schemas.openxmlformats.org/officeDocument/2006/relationships/chart" Target="../charts/chart45.xml"/><Relationship Id="rId3" Type="http://schemas.openxmlformats.org/officeDocument/2006/relationships/chart" Target="../charts/chart46.xml"/><Relationship Id="rId4" Type="http://schemas.openxmlformats.org/officeDocument/2006/relationships/chart" Target="../charts/chart47.xml"/><Relationship Id="rId9" Type="http://schemas.openxmlformats.org/officeDocument/2006/relationships/chart" Target="../charts/chart52.xml"/><Relationship Id="rId5" Type="http://schemas.openxmlformats.org/officeDocument/2006/relationships/chart" Target="../charts/chart48.xml"/><Relationship Id="rId6" Type="http://schemas.openxmlformats.org/officeDocument/2006/relationships/chart" Target="../charts/chart49.xml"/><Relationship Id="rId7" Type="http://schemas.openxmlformats.org/officeDocument/2006/relationships/chart" Target="../charts/chart50.xml"/><Relationship Id="rId8" Type="http://schemas.openxmlformats.org/officeDocument/2006/relationships/chart" Target="../charts/chart51.xml"/><Relationship Id="rId11" Type="http://schemas.openxmlformats.org/officeDocument/2006/relationships/chart" Target="../charts/chart54.xml"/><Relationship Id="rId10" Type="http://schemas.openxmlformats.org/officeDocument/2006/relationships/chart" Target="../charts/chart53.xml"/><Relationship Id="rId13" Type="http://schemas.openxmlformats.org/officeDocument/2006/relationships/chart" Target="../charts/chart56.xml"/><Relationship Id="rId12" Type="http://schemas.openxmlformats.org/officeDocument/2006/relationships/chart" Target="../charts/chart55.xml"/><Relationship Id="rId15" Type="http://schemas.openxmlformats.org/officeDocument/2006/relationships/chart" Target="../charts/chart58.xml"/><Relationship Id="rId14" Type="http://schemas.openxmlformats.org/officeDocument/2006/relationships/chart" Target="../charts/chart57.xml"/><Relationship Id="rId17" Type="http://schemas.openxmlformats.org/officeDocument/2006/relationships/chart" Target="../charts/chart60.xml"/><Relationship Id="rId16" Type="http://schemas.openxmlformats.org/officeDocument/2006/relationships/chart" Target="../charts/chart59.xml"/><Relationship Id="rId19" Type="http://schemas.openxmlformats.org/officeDocument/2006/relationships/chart" Target="../charts/chart62.xml"/><Relationship Id="rId18" Type="http://schemas.openxmlformats.org/officeDocument/2006/relationships/chart" Target="../charts/chart61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5.xml"/><Relationship Id="rId2" Type="http://schemas.openxmlformats.org/officeDocument/2006/relationships/chart" Target="../charts/chart66.xml"/><Relationship Id="rId3" Type="http://schemas.openxmlformats.org/officeDocument/2006/relationships/chart" Target="../charts/chart6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15</xdr:row>
      <xdr:rowOff>66675</xdr:rowOff>
    </xdr:from>
    <xdr:ext cx="8496300" cy="4857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57150</xdr:colOff>
      <xdr:row>234</xdr:row>
      <xdr:rowOff>152400</xdr:rowOff>
    </xdr:from>
    <xdr:ext cx="17087850" cy="36480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57150</xdr:colOff>
      <xdr:row>319</xdr:row>
      <xdr:rowOff>47625</xdr:rowOff>
    </xdr:from>
    <xdr:ext cx="17164050" cy="33909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9525</xdr:colOff>
      <xdr:row>189</xdr:row>
      <xdr:rowOff>19050</xdr:rowOff>
    </xdr:from>
    <xdr:ext cx="1708785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123825</xdr:colOff>
      <xdr:row>340</xdr:row>
      <xdr:rowOff>171450</xdr:rowOff>
    </xdr:from>
    <xdr:ext cx="17021175" cy="39814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57150</xdr:colOff>
      <xdr:row>297</xdr:row>
      <xdr:rowOff>114300</xdr:rowOff>
    </xdr:from>
    <xdr:ext cx="17002125" cy="33909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9</xdr:col>
      <xdr:colOff>457200</xdr:colOff>
      <xdr:row>211</xdr:row>
      <xdr:rowOff>38100</xdr:rowOff>
    </xdr:from>
    <xdr:ext cx="8362950" cy="397192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</xdr:col>
      <xdr:colOff>57150</xdr:colOff>
      <xdr:row>211</xdr:row>
      <xdr:rowOff>38100</xdr:rowOff>
    </xdr:from>
    <xdr:ext cx="8401050" cy="397192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47625</xdr:colOff>
      <xdr:row>69</xdr:row>
      <xdr:rowOff>28575</xdr:rowOff>
    </xdr:from>
    <xdr:ext cx="17087850" cy="397192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</xdr:col>
      <xdr:colOff>47625</xdr:colOff>
      <xdr:row>44</xdr:row>
      <xdr:rowOff>142875</xdr:rowOff>
    </xdr:from>
    <xdr:ext cx="17087850" cy="4076700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9</xdr:col>
      <xdr:colOff>514350</xdr:colOff>
      <xdr:row>15</xdr:row>
      <xdr:rowOff>66675</xdr:rowOff>
    </xdr:from>
    <xdr:ext cx="8382000" cy="485775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</xdr:col>
      <xdr:colOff>66675</xdr:colOff>
      <xdr:row>256</xdr:row>
      <xdr:rowOff>161925</xdr:rowOff>
    </xdr:from>
    <xdr:ext cx="8362950" cy="3533775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9</xdr:col>
      <xdr:colOff>371475</xdr:colOff>
      <xdr:row>256</xdr:row>
      <xdr:rowOff>161925</xdr:rowOff>
    </xdr:from>
    <xdr:ext cx="8362950" cy="35337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</xdr:col>
      <xdr:colOff>66675</xdr:colOff>
      <xdr:row>276</xdr:row>
      <xdr:rowOff>104775</xdr:rowOff>
    </xdr:from>
    <xdr:ext cx="8362950" cy="35337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9</xdr:col>
      <xdr:colOff>371475</xdr:colOff>
      <xdr:row>276</xdr:row>
      <xdr:rowOff>104775</xdr:rowOff>
    </xdr:from>
    <xdr:ext cx="8362950" cy="353377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9</xdr:col>
      <xdr:colOff>352425</xdr:colOff>
      <xdr:row>138</xdr:row>
      <xdr:rowOff>114300</xdr:rowOff>
    </xdr:from>
    <xdr:ext cx="8296275" cy="4400550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1</xdr:col>
      <xdr:colOff>57150</xdr:colOff>
      <xdr:row>162</xdr:row>
      <xdr:rowOff>161925</xdr:rowOff>
    </xdr:from>
    <xdr:ext cx="8477250" cy="43719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9</xdr:col>
      <xdr:colOff>352425</xdr:colOff>
      <xdr:row>162</xdr:row>
      <xdr:rowOff>161925</xdr:rowOff>
    </xdr:from>
    <xdr:ext cx="8315325" cy="437197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1</xdr:col>
      <xdr:colOff>57150</xdr:colOff>
      <xdr:row>92</xdr:row>
      <xdr:rowOff>190500</xdr:rowOff>
    </xdr:from>
    <xdr:ext cx="8486775" cy="3971925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9</xdr:col>
      <xdr:colOff>352425</xdr:colOff>
      <xdr:row>93</xdr:row>
      <xdr:rowOff>0</xdr:rowOff>
    </xdr:from>
    <xdr:ext cx="8315325" cy="3971925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1</xdr:col>
      <xdr:colOff>57150</xdr:colOff>
      <xdr:row>115</xdr:row>
      <xdr:rowOff>0</xdr:rowOff>
    </xdr:from>
    <xdr:ext cx="8486775" cy="3971925"/>
    <xdr:graphicFrame>
      <xdr:nvGraphicFramePr>
        <xdr:cNvPr id="30" name="Chart 3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9</xdr:col>
      <xdr:colOff>352425</xdr:colOff>
      <xdr:row>114</xdr:row>
      <xdr:rowOff>190500</xdr:rowOff>
    </xdr:from>
    <xdr:ext cx="8315325" cy="3971925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  <xdr:oneCellAnchor>
    <xdr:from>
      <xdr:col>18</xdr:col>
      <xdr:colOff>552450</xdr:colOff>
      <xdr:row>234</xdr:row>
      <xdr:rowOff>152400</xdr:rowOff>
    </xdr:from>
    <xdr:ext cx="6410325" cy="3829050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3"/>
        </a:graphicData>
      </a:graphic>
    </xdr:graphicFrame>
    <xdr:clientData fLocksWithSheet="0"/>
  </xdr:oneCellAnchor>
  <xdr:oneCellAnchor>
    <xdr:from>
      <xdr:col>19</xdr:col>
      <xdr:colOff>57150</xdr:colOff>
      <xdr:row>276</xdr:row>
      <xdr:rowOff>104775</xdr:rowOff>
    </xdr:from>
    <xdr:ext cx="5438775" cy="3533775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4"/>
        </a:graphicData>
      </a:graphic>
    </xdr:graphicFrame>
    <xdr:clientData fLocksWithSheet="0"/>
  </xdr:oneCellAnchor>
  <xdr:oneCellAnchor>
    <xdr:from>
      <xdr:col>19</xdr:col>
      <xdr:colOff>57150</xdr:colOff>
      <xdr:row>16</xdr:row>
      <xdr:rowOff>66675</xdr:rowOff>
    </xdr:from>
    <xdr:ext cx="6400800" cy="4857750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5"/>
        </a:graphicData>
      </a:graphic>
    </xdr:graphicFrame>
    <xdr:clientData fLocksWithSheet="0"/>
  </xdr:oneCellAnchor>
  <xdr:oneCellAnchor>
    <xdr:from>
      <xdr:col>19</xdr:col>
      <xdr:colOff>57150</xdr:colOff>
      <xdr:row>295</xdr:row>
      <xdr:rowOff>152400</xdr:rowOff>
    </xdr:from>
    <xdr:ext cx="5438775" cy="3533775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6"/>
        </a:graphicData>
      </a:graphic>
    </xdr:graphicFrame>
    <xdr:clientData fLocksWithSheet="0"/>
  </xdr:oneCellAnchor>
  <xdr:oneCellAnchor>
    <xdr:from>
      <xdr:col>18</xdr:col>
      <xdr:colOff>962025</xdr:colOff>
      <xdr:row>43</xdr:row>
      <xdr:rowOff>47625</xdr:rowOff>
    </xdr:from>
    <xdr:ext cx="6457950" cy="4857750"/>
    <xdr:graphicFrame>
      <xdr:nvGraphicFramePr>
        <xdr:cNvPr id="36" name="Chart 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7"/>
        </a:graphicData>
      </a:graphic>
    </xdr:graphicFrame>
    <xdr:clientData fLocksWithSheet="0"/>
  </xdr:oneCellAnchor>
  <xdr:oneCellAnchor>
    <xdr:from>
      <xdr:col>25</xdr:col>
      <xdr:colOff>781050</xdr:colOff>
      <xdr:row>43</xdr:row>
      <xdr:rowOff>47625</xdr:rowOff>
    </xdr:from>
    <xdr:ext cx="6457950" cy="4857750"/>
    <xdr:graphicFrame>
      <xdr:nvGraphicFramePr>
        <xdr:cNvPr id="37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8"/>
        </a:graphicData>
      </a:graphic>
    </xdr:graphicFrame>
    <xdr:clientData fLocksWithSheet="0"/>
  </xdr:oneCellAnchor>
  <xdr:oneCellAnchor>
    <xdr:from>
      <xdr:col>1</xdr:col>
      <xdr:colOff>66675</xdr:colOff>
      <xdr:row>138</xdr:row>
      <xdr:rowOff>114300</xdr:rowOff>
    </xdr:from>
    <xdr:ext cx="8477250" cy="4371975"/>
    <xdr:graphicFrame>
      <xdr:nvGraphicFramePr>
        <xdr:cNvPr id="38" name="Chart 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9"/>
        </a:graphicData>
      </a:graphic>
    </xdr:graphicFrame>
    <xdr:clientData fLocksWithSheet="0"/>
  </xdr:oneCellAnchor>
  <xdr:oneCellAnchor>
    <xdr:from>
      <xdr:col>18</xdr:col>
      <xdr:colOff>847725</xdr:colOff>
      <xdr:row>140</xdr:row>
      <xdr:rowOff>104775</xdr:rowOff>
    </xdr:from>
    <xdr:ext cx="8296275" cy="4400550"/>
    <xdr:graphicFrame>
      <xdr:nvGraphicFramePr>
        <xdr:cNvPr id="39" name="Chart 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0"/>
        </a:graphicData>
      </a:graphic>
    </xdr:graphicFrame>
    <xdr:clientData fLocksWithSheet="0"/>
  </xdr:oneCellAnchor>
  <xdr:oneCellAnchor>
    <xdr:from>
      <xdr:col>18</xdr:col>
      <xdr:colOff>552450</xdr:colOff>
      <xdr:row>210</xdr:row>
      <xdr:rowOff>142875</xdr:rowOff>
    </xdr:from>
    <xdr:ext cx="8362950" cy="3971925"/>
    <xdr:graphicFrame>
      <xdr:nvGraphicFramePr>
        <xdr:cNvPr id="40" name="Chart 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1"/>
        </a:graphicData>
      </a:graphic>
    </xdr:graphicFrame>
    <xdr:clientData fLocksWithSheet="0"/>
  </xdr:oneCellAnchor>
  <xdr:oneCellAnchor>
    <xdr:from>
      <xdr:col>19</xdr:col>
      <xdr:colOff>57150</xdr:colOff>
      <xdr:row>92</xdr:row>
      <xdr:rowOff>190500</xdr:rowOff>
    </xdr:from>
    <xdr:ext cx="8486775" cy="3971925"/>
    <xdr:graphicFrame>
      <xdr:nvGraphicFramePr>
        <xdr:cNvPr id="41" name="Chart 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485775</xdr:colOff>
      <xdr:row>92</xdr:row>
      <xdr:rowOff>133350</xdr:rowOff>
    </xdr:from>
    <xdr:ext cx="9563100" cy="27241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485775</xdr:colOff>
      <xdr:row>109</xdr:row>
      <xdr:rowOff>0</xdr:rowOff>
    </xdr:from>
    <xdr:ext cx="9563100" cy="27241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485775</xdr:colOff>
      <xdr:row>125</xdr:row>
      <xdr:rowOff>9525</xdr:rowOff>
    </xdr:from>
    <xdr:ext cx="9563100" cy="27241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0</xdr:colOff>
      <xdr:row>227</xdr:row>
      <xdr:rowOff>161925</xdr:rowOff>
    </xdr:from>
    <xdr:ext cx="14182725" cy="87630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85725</xdr:colOff>
      <xdr:row>323</xdr:row>
      <xdr:rowOff>180975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1628775</xdr:colOff>
      <xdr:row>323</xdr:row>
      <xdr:rowOff>180975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85725</xdr:colOff>
      <xdr:row>355</xdr:row>
      <xdr:rowOff>28575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</xdr:col>
      <xdr:colOff>85725</xdr:colOff>
      <xdr:row>355</xdr:row>
      <xdr:rowOff>28575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85725</xdr:colOff>
      <xdr:row>374</xdr:row>
      <xdr:rowOff>85725</xdr:rowOff>
    </xdr:from>
    <xdr:ext cx="5715000" cy="3533775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685800</xdr:colOff>
      <xdr:row>12</xdr:row>
      <xdr:rowOff>171450</xdr:rowOff>
    </xdr:from>
    <xdr:ext cx="5724525" cy="3543300"/>
    <xdr:graphicFrame>
      <xdr:nvGraphicFramePr>
        <xdr:cNvPr id="42" name="Chart 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6</xdr:row>
      <xdr:rowOff>9525</xdr:rowOff>
    </xdr:from>
    <xdr:ext cx="8496300" cy="5257800"/>
    <xdr:graphicFrame>
      <xdr:nvGraphicFramePr>
        <xdr:cNvPr id="43" name="Chart 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15</xdr:row>
      <xdr:rowOff>66675</xdr:rowOff>
    </xdr:from>
    <xdr:ext cx="8496300" cy="4857750"/>
    <xdr:graphicFrame>
      <xdr:nvGraphicFramePr>
        <xdr:cNvPr id="44" name="Chart 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57150</xdr:colOff>
      <xdr:row>209</xdr:row>
      <xdr:rowOff>152400</xdr:rowOff>
    </xdr:from>
    <xdr:ext cx="17087850" cy="3533775"/>
    <xdr:graphicFrame>
      <xdr:nvGraphicFramePr>
        <xdr:cNvPr id="45" name="Chart 4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57150</xdr:colOff>
      <xdr:row>294</xdr:row>
      <xdr:rowOff>47625</xdr:rowOff>
    </xdr:from>
    <xdr:ext cx="17087850" cy="3533775"/>
    <xdr:graphicFrame>
      <xdr:nvGraphicFramePr>
        <xdr:cNvPr id="46" name="Chart 4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9525</xdr:colOff>
      <xdr:row>142</xdr:row>
      <xdr:rowOff>19050</xdr:rowOff>
    </xdr:from>
    <xdr:ext cx="17087850" cy="3533775"/>
    <xdr:graphicFrame>
      <xdr:nvGraphicFramePr>
        <xdr:cNvPr id="47" name="Chart 4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47625</xdr:colOff>
      <xdr:row>315</xdr:row>
      <xdr:rowOff>171450</xdr:rowOff>
    </xdr:from>
    <xdr:ext cx="17021175" cy="3981450"/>
    <xdr:graphicFrame>
      <xdr:nvGraphicFramePr>
        <xdr:cNvPr id="48" name="Chart 4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57150</xdr:colOff>
      <xdr:row>272</xdr:row>
      <xdr:rowOff>114300</xdr:rowOff>
    </xdr:from>
    <xdr:ext cx="17087850" cy="3533775"/>
    <xdr:graphicFrame>
      <xdr:nvGraphicFramePr>
        <xdr:cNvPr id="49" name="Chart 4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57150</xdr:colOff>
      <xdr:row>187</xdr:row>
      <xdr:rowOff>180975</xdr:rowOff>
    </xdr:from>
    <xdr:ext cx="8362950" cy="3533775"/>
    <xdr:graphicFrame>
      <xdr:nvGraphicFramePr>
        <xdr:cNvPr id="50" name="Chart 5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9</xdr:col>
      <xdr:colOff>466725</xdr:colOff>
      <xdr:row>187</xdr:row>
      <xdr:rowOff>180975</xdr:rowOff>
    </xdr:from>
    <xdr:ext cx="8362950" cy="3533775"/>
    <xdr:graphicFrame>
      <xdr:nvGraphicFramePr>
        <xdr:cNvPr id="51" name="Chart 5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57150</xdr:colOff>
      <xdr:row>164</xdr:row>
      <xdr:rowOff>38100</xdr:rowOff>
    </xdr:from>
    <xdr:ext cx="8401050" cy="3971925"/>
    <xdr:graphicFrame>
      <xdr:nvGraphicFramePr>
        <xdr:cNvPr id="52" name="Chart 5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9</xdr:col>
      <xdr:colOff>419100</xdr:colOff>
      <xdr:row>164</xdr:row>
      <xdr:rowOff>38100</xdr:rowOff>
    </xdr:from>
    <xdr:ext cx="8401050" cy="3971925"/>
    <xdr:graphicFrame>
      <xdr:nvGraphicFramePr>
        <xdr:cNvPr id="53" name="Chart 5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</xdr:col>
      <xdr:colOff>57150</xdr:colOff>
      <xdr:row>69</xdr:row>
      <xdr:rowOff>0</xdr:rowOff>
    </xdr:from>
    <xdr:ext cx="17087850" cy="3971925"/>
    <xdr:graphicFrame>
      <xdr:nvGraphicFramePr>
        <xdr:cNvPr id="54" name="Chart 5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</xdr:col>
      <xdr:colOff>47625</xdr:colOff>
      <xdr:row>44</xdr:row>
      <xdr:rowOff>142875</xdr:rowOff>
    </xdr:from>
    <xdr:ext cx="17087850" cy="4076700"/>
    <xdr:graphicFrame>
      <xdr:nvGraphicFramePr>
        <xdr:cNvPr id="55" name="Chart 5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9</xdr:col>
      <xdr:colOff>514350</xdr:colOff>
      <xdr:row>15</xdr:row>
      <xdr:rowOff>66675</xdr:rowOff>
    </xdr:from>
    <xdr:ext cx="8382000" cy="4857750"/>
    <xdr:graphicFrame>
      <xdr:nvGraphicFramePr>
        <xdr:cNvPr id="56" name="Chart 5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</xdr:col>
      <xdr:colOff>66675</xdr:colOff>
      <xdr:row>231</xdr:row>
      <xdr:rowOff>161925</xdr:rowOff>
    </xdr:from>
    <xdr:ext cx="8362950" cy="3533775"/>
    <xdr:graphicFrame>
      <xdr:nvGraphicFramePr>
        <xdr:cNvPr id="57" name="Chart 5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9</xdr:col>
      <xdr:colOff>419100</xdr:colOff>
      <xdr:row>231</xdr:row>
      <xdr:rowOff>161925</xdr:rowOff>
    </xdr:from>
    <xdr:ext cx="8362950" cy="3533775"/>
    <xdr:graphicFrame>
      <xdr:nvGraphicFramePr>
        <xdr:cNvPr id="58" name="Chart 5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</xdr:col>
      <xdr:colOff>57150</xdr:colOff>
      <xdr:row>251</xdr:row>
      <xdr:rowOff>104775</xdr:rowOff>
    </xdr:from>
    <xdr:ext cx="8362950" cy="3533775"/>
    <xdr:graphicFrame>
      <xdr:nvGraphicFramePr>
        <xdr:cNvPr id="59" name="Chart 5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9</xdr:col>
      <xdr:colOff>419100</xdr:colOff>
      <xdr:row>251</xdr:row>
      <xdr:rowOff>104775</xdr:rowOff>
    </xdr:from>
    <xdr:ext cx="8362950" cy="3533775"/>
    <xdr:graphicFrame>
      <xdr:nvGraphicFramePr>
        <xdr:cNvPr id="60" name="Chart 6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9</xdr:col>
      <xdr:colOff>352425</xdr:colOff>
      <xdr:row>92</xdr:row>
      <xdr:rowOff>114300</xdr:rowOff>
    </xdr:from>
    <xdr:ext cx="8315325" cy="4371975"/>
    <xdr:graphicFrame>
      <xdr:nvGraphicFramePr>
        <xdr:cNvPr id="61" name="Chart 6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1</xdr:col>
      <xdr:colOff>66675</xdr:colOff>
      <xdr:row>92</xdr:row>
      <xdr:rowOff>114300</xdr:rowOff>
    </xdr:from>
    <xdr:ext cx="8477250" cy="4371975"/>
    <xdr:graphicFrame>
      <xdr:nvGraphicFramePr>
        <xdr:cNvPr id="62" name="Chart 6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1</xdr:col>
      <xdr:colOff>57150</xdr:colOff>
      <xdr:row>116</xdr:row>
      <xdr:rowOff>161925</xdr:rowOff>
    </xdr:from>
    <xdr:ext cx="8477250" cy="4371975"/>
    <xdr:graphicFrame>
      <xdr:nvGraphicFramePr>
        <xdr:cNvPr id="63" name="Chart 6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9</xdr:col>
      <xdr:colOff>352425</xdr:colOff>
      <xdr:row>116</xdr:row>
      <xdr:rowOff>161925</xdr:rowOff>
    </xdr:from>
    <xdr:ext cx="8315325" cy="4371975"/>
    <xdr:graphicFrame>
      <xdr:nvGraphicFramePr>
        <xdr:cNvPr id="64" name="Chart 6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13</xdr:row>
      <xdr:rowOff>66675</xdr:rowOff>
    </xdr:from>
    <xdr:ext cx="8591550" cy="4914900"/>
    <xdr:graphicFrame>
      <xdr:nvGraphicFramePr>
        <xdr:cNvPr id="65" name="Chart 6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428625</xdr:colOff>
      <xdr:row>48</xdr:row>
      <xdr:rowOff>76200</xdr:rowOff>
    </xdr:from>
    <xdr:ext cx="9163050" cy="3038475"/>
    <xdr:graphicFrame>
      <xdr:nvGraphicFramePr>
        <xdr:cNvPr id="66" name="Chart 6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1057275</xdr:colOff>
      <xdr:row>13</xdr:row>
      <xdr:rowOff>66675</xdr:rowOff>
    </xdr:from>
    <xdr:ext cx="13268325" cy="4914900"/>
    <xdr:graphicFrame>
      <xdr:nvGraphicFramePr>
        <xdr:cNvPr id="67" name="Chart 6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Ayaan Israni" id="{e2a9b153-7bc0-4636-9c3f-160ae55bad09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6" dT="2023-07-17T20:54:03.00" personId="{e2a9b153-7bc0-4636-9c3f-160ae55bad09}" id="{5086032d-bf42-4693-b790-d8bf6c1b3662}" done="0">
    <x18tc:text xml:space="preserve">This does not look right.  Have to reconcile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showGridLines="0" workbookViewId="0"/>
  </sheetViews>
  <sheetFormatPr customHeight="1" defaultColWidth="14.43" defaultRowHeight="15.0" outlineLevelRow="1"/>
  <cols>
    <col customWidth="1" min="1" max="1" width="3.43"/>
    <col customWidth="1" min="2" max="2" width="24.57"/>
    <col customWidth="1" min="3" max="3" width="17.14"/>
    <col customWidth="1" min="4" max="4" width="16.29"/>
    <col customWidth="1" min="5" max="5" width="16.43"/>
    <col customWidth="1" min="6" max="6" width="4.57"/>
    <col customWidth="1" min="8" max="8" width="16.86"/>
    <col customWidth="1" min="16" max="16" width="20.57"/>
    <col customWidth="1" min="17" max="17" width="18.71"/>
    <col customWidth="1" min="18" max="18" width="8.29"/>
  </cols>
  <sheetData>
    <row r="1">
      <c r="B1" s="148" t="s">
        <v>92</v>
      </c>
    </row>
    <row r="2">
      <c r="B2" s="149">
        <v>46174.0</v>
      </c>
    </row>
    <row r="3" ht="3.0" customHeight="1"/>
    <row r="4" ht="20.25" customHeight="1">
      <c r="B4" s="150" t="s">
        <v>93</v>
      </c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</row>
    <row r="6">
      <c r="B6" s="152" t="s">
        <v>94</v>
      </c>
      <c r="C6" s="153" t="s">
        <v>95</v>
      </c>
      <c r="D6" s="154" t="s">
        <v>96</v>
      </c>
      <c r="E6" s="155" t="s">
        <v>97</v>
      </c>
      <c r="G6" s="156" t="s">
        <v>98</v>
      </c>
      <c r="H6" s="157"/>
      <c r="I6" s="157"/>
      <c r="J6" s="156" t="s">
        <v>99</v>
      </c>
      <c r="K6" s="157"/>
      <c r="L6" s="157"/>
      <c r="M6" s="158"/>
      <c r="Q6" s="159" t="s">
        <v>100</v>
      </c>
      <c r="R6" s="160"/>
    </row>
    <row r="7" collapsed="1">
      <c r="B7" s="161" t="s">
        <v>69</v>
      </c>
      <c r="C7" s="162">
        <f>'GAAP Analysis'!DN13</f>
        <v>4885562</v>
      </c>
      <c r="D7" s="163">
        <f>'GAAP Analysis'!DH13</f>
        <v>5095749</v>
      </c>
      <c r="E7" s="164">
        <f>6700000/1000/1000</f>
        <v>6.7</v>
      </c>
      <c r="G7" s="165">
        <f>(E7-E8)*1000000/R10/R9/3</f>
        <v>134.4135802</v>
      </c>
      <c r="H7" s="166" t="s">
        <v>102</v>
      </c>
      <c r="I7" s="167"/>
      <c r="J7" s="169"/>
      <c r="K7" s="170"/>
      <c r="L7" s="167"/>
      <c r="M7" s="167"/>
      <c r="Q7" s="171" t="s">
        <v>104</v>
      </c>
      <c r="R7" s="172">
        <v>0.22</v>
      </c>
    </row>
    <row r="8" outlineLevel="1">
      <c r="B8" s="173" t="s">
        <v>111</v>
      </c>
      <c r="C8" s="162"/>
      <c r="D8" s="163"/>
      <c r="E8" s="174">
        <f>E7*R7</f>
        <v>1.474</v>
      </c>
      <c r="G8" s="175"/>
      <c r="H8" s="167"/>
      <c r="I8" s="167"/>
      <c r="J8" s="169"/>
      <c r="K8" s="170"/>
      <c r="L8" s="167"/>
      <c r="M8" s="167"/>
      <c r="Q8" s="171" t="s">
        <v>118</v>
      </c>
      <c r="R8" s="172">
        <v>0.2</v>
      </c>
    </row>
    <row r="9" outlineLevel="1">
      <c r="B9" s="173" t="s">
        <v>119</v>
      </c>
      <c r="C9" s="176"/>
      <c r="D9" s="167"/>
      <c r="E9" s="174">
        <f>E7-E8</f>
        <v>5.226</v>
      </c>
      <c r="G9" s="177"/>
      <c r="H9" s="167"/>
      <c r="I9" s="167"/>
      <c r="J9" s="167"/>
      <c r="K9" s="167"/>
      <c r="L9" s="167"/>
      <c r="M9" s="167"/>
      <c r="Q9" s="171" t="s">
        <v>36</v>
      </c>
      <c r="R9" s="178">
        <v>270.0</v>
      </c>
    </row>
    <row r="10">
      <c r="B10" s="161" t="s">
        <v>30</v>
      </c>
      <c r="C10" s="162">
        <f>'GAAP Analysis'!DN7</f>
        <v>7894608.16</v>
      </c>
      <c r="D10" s="163">
        <f>'GAAP Analysis'!DH7</f>
        <v>8144285.32</v>
      </c>
      <c r="E10" s="174">
        <f>E8/R8</f>
        <v>7.37</v>
      </c>
      <c r="G10" s="179">
        <f>E10/R11*1000000/3</f>
        <v>223333.3333</v>
      </c>
      <c r="H10" s="166" t="s">
        <v>122</v>
      </c>
      <c r="I10" s="167"/>
      <c r="J10" s="169"/>
      <c r="K10" s="170"/>
      <c r="L10" s="167"/>
      <c r="M10" s="167"/>
      <c r="Q10" s="171" t="s">
        <v>50</v>
      </c>
      <c r="R10" s="171">
        <v>48.0</v>
      </c>
    </row>
    <row r="11">
      <c r="B11" s="167"/>
      <c r="C11" s="181"/>
      <c r="E11" s="181"/>
      <c r="F11" s="170"/>
      <c r="G11" s="167"/>
      <c r="H11" s="167"/>
      <c r="I11" s="169"/>
      <c r="J11" s="170"/>
      <c r="K11" s="167"/>
      <c r="L11" s="182"/>
      <c r="Q11" s="171" t="s">
        <v>123</v>
      </c>
      <c r="R11" s="171">
        <v>11.0</v>
      </c>
    </row>
    <row r="12">
      <c r="G12" s="106"/>
    </row>
    <row r="14" ht="20.25" customHeight="1">
      <c r="B14" s="183" t="s">
        <v>124</v>
      </c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</row>
    <row r="29">
      <c r="S29" s="185"/>
    </row>
    <row r="44">
      <c r="A44" s="2"/>
      <c r="B44" s="186" t="s">
        <v>127</v>
      </c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2"/>
      <c r="T44" s="2"/>
      <c r="U44" s="2"/>
      <c r="V44" s="2"/>
      <c r="W44" s="2"/>
      <c r="X44" s="2"/>
      <c r="Y44" s="2"/>
      <c r="Z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6">
      <c r="A46" s="2"/>
      <c r="B46" s="188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>
      <c r="A47" s="2"/>
      <c r="B47" s="188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>
      <c r="A48" s="2"/>
      <c r="B48" s="188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>
      <c r="A49" s="2"/>
      <c r="B49" s="188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>
      <c r="A50" s="2"/>
      <c r="B50" s="188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>
      <c r="A51" s="2"/>
      <c r="B51" s="188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>
      <c r="A52" s="2"/>
      <c r="B52" s="188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>
      <c r="A53" s="2"/>
      <c r="B53" s="188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>
      <c r="A54" s="2"/>
      <c r="B54" s="188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>
      <c r="A55" s="2"/>
      <c r="B55" s="188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>
      <c r="A56" s="2"/>
      <c r="B56" s="188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>
      <c r="A57" s="2"/>
      <c r="B57" s="188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>
      <c r="A58" s="2"/>
      <c r="B58" s="188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>
      <c r="A59" s="2"/>
      <c r="B59" s="188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>
      <c r="A60" s="2"/>
      <c r="B60" s="188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>
      <c r="A61" s="2"/>
      <c r="B61" s="188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>
      <c r="A62" s="2"/>
      <c r="B62" s="188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>
      <c r="A63" s="2"/>
      <c r="B63" s="188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>
      <c r="A64" s="2"/>
      <c r="B64" s="188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>
      <c r="A65" s="2"/>
      <c r="B65" s="188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>
      <c r="A66" s="2"/>
      <c r="B66" s="188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>
      <c r="A67" s="2"/>
      <c r="B67" s="188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>
      <c r="A68" s="2"/>
      <c r="B68" s="186" t="s">
        <v>147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92">
      <c r="A92" s="2"/>
      <c r="B92" s="186" t="s">
        <v>148</v>
      </c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138">
      <c r="A138" s="2"/>
      <c r="B138" s="186" t="s">
        <v>149</v>
      </c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88">
      <c r="A188" s="2"/>
      <c r="B188" s="186" t="s">
        <v>150</v>
      </c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>
      <c r="AD189" s="1" t="s">
        <v>151</v>
      </c>
    </row>
    <row r="190">
      <c r="AC190" s="1">
        <v>65.0</v>
      </c>
      <c r="AD190" s="104">
        <f t="shared" ref="AD190:AD201" si="1">AC190*1.15</f>
        <v>74.75</v>
      </c>
      <c r="AE190" s="104">
        <v>74.75</v>
      </c>
    </row>
    <row r="191">
      <c r="AC191" s="1">
        <v>61.0</v>
      </c>
      <c r="AD191" s="104">
        <f t="shared" si="1"/>
        <v>70.15</v>
      </c>
      <c r="AE191" s="104">
        <v>70.14999999999999</v>
      </c>
    </row>
    <row r="192">
      <c r="AC192" s="1">
        <v>67.0</v>
      </c>
      <c r="AD192" s="104">
        <f t="shared" si="1"/>
        <v>77.05</v>
      </c>
      <c r="AE192" s="104">
        <v>77.05</v>
      </c>
    </row>
    <row r="193">
      <c r="AC193" s="1">
        <v>62.0</v>
      </c>
      <c r="AD193" s="104">
        <f t="shared" si="1"/>
        <v>71.3</v>
      </c>
      <c r="AE193" s="104">
        <v>71.3</v>
      </c>
    </row>
    <row r="194">
      <c r="AC194" s="1">
        <v>57.0</v>
      </c>
      <c r="AD194" s="104">
        <f t="shared" si="1"/>
        <v>65.55</v>
      </c>
      <c r="AE194" s="104">
        <v>65.55</v>
      </c>
    </row>
    <row r="195">
      <c r="AC195" s="1">
        <v>57.0</v>
      </c>
      <c r="AD195" s="104">
        <f t="shared" si="1"/>
        <v>65.55</v>
      </c>
      <c r="AE195" s="104">
        <v>65.55</v>
      </c>
    </row>
    <row r="196">
      <c r="AC196" s="1">
        <v>58.0</v>
      </c>
      <c r="AD196" s="104">
        <f t="shared" si="1"/>
        <v>66.7</v>
      </c>
      <c r="AE196" s="104">
        <v>66.69999999999999</v>
      </c>
    </row>
    <row r="197">
      <c r="AC197" s="1">
        <v>57.0</v>
      </c>
      <c r="AD197" s="104">
        <f t="shared" si="1"/>
        <v>65.55</v>
      </c>
      <c r="AE197" s="104">
        <v>65.55</v>
      </c>
    </row>
    <row r="198">
      <c r="AC198" s="1">
        <v>62.0</v>
      </c>
      <c r="AD198" s="104">
        <f t="shared" si="1"/>
        <v>71.3</v>
      </c>
      <c r="AE198" s="104">
        <v>71.3</v>
      </c>
    </row>
    <row r="199">
      <c r="AC199" s="1">
        <v>58.0</v>
      </c>
      <c r="AD199" s="104">
        <f t="shared" si="1"/>
        <v>66.7</v>
      </c>
      <c r="AE199" s="104">
        <v>66.69999999999999</v>
      </c>
    </row>
    <row r="200">
      <c r="AC200" s="1">
        <v>59.0</v>
      </c>
      <c r="AD200" s="104">
        <f t="shared" si="1"/>
        <v>67.85</v>
      </c>
      <c r="AE200" s="104">
        <v>67.85</v>
      </c>
    </row>
    <row r="201">
      <c r="AC201" s="1">
        <v>61.0</v>
      </c>
      <c r="AD201" s="104">
        <f t="shared" si="1"/>
        <v>70.15</v>
      </c>
      <c r="AE201" s="104">
        <v>70.14999999999999</v>
      </c>
    </row>
    <row r="202">
      <c r="AC202" s="84">
        <f t="shared" ref="AC202:AN202" si="2">AC203/100</f>
        <v>0.007475</v>
      </c>
      <c r="AD202" s="84">
        <f t="shared" si="2"/>
        <v>0.007015</v>
      </c>
      <c r="AE202" s="84">
        <f t="shared" si="2"/>
        <v>0.007705</v>
      </c>
      <c r="AF202" s="84">
        <f t="shared" si="2"/>
        <v>0.00713</v>
      </c>
      <c r="AG202" s="84">
        <f t="shared" si="2"/>
        <v>0.006555</v>
      </c>
      <c r="AH202" s="84">
        <f t="shared" si="2"/>
        <v>0.006555</v>
      </c>
      <c r="AI202" s="84">
        <f t="shared" si="2"/>
        <v>0.00667</v>
      </c>
      <c r="AJ202" s="84">
        <f t="shared" si="2"/>
        <v>0.006555</v>
      </c>
      <c r="AK202" s="84">
        <f t="shared" si="2"/>
        <v>0.00713</v>
      </c>
      <c r="AL202" s="84">
        <f t="shared" si="2"/>
        <v>0.00667</v>
      </c>
      <c r="AM202" s="84">
        <f t="shared" si="2"/>
        <v>0.006785</v>
      </c>
      <c r="AN202" s="84">
        <f t="shared" si="2"/>
        <v>0.007015</v>
      </c>
    </row>
    <row r="203">
      <c r="AC203" s="107">
        <v>0.7475</v>
      </c>
      <c r="AD203" s="107">
        <v>0.7014999999999999</v>
      </c>
      <c r="AE203" s="107">
        <v>0.7705</v>
      </c>
      <c r="AF203" s="107">
        <v>0.713</v>
      </c>
      <c r="AG203" s="107">
        <v>0.6555</v>
      </c>
      <c r="AH203" s="107">
        <v>0.6555</v>
      </c>
      <c r="AI203" s="107">
        <v>0.6669999999999999</v>
      </c>
      <c r="AJ203" s="107">
        <v>0.6555</v>
      </c>
      <c r="AK203" s="107">
        <v>0.713</v>
      </c>
      <c r="AL203" s="107">
        <v>0.6669999999999999</v>
      </c>
      <c r="AM203" s="107">
        <v>0.6785</v>
      </c>
      <c r="AN203" s="107">
        <v>0.7014999999999999</v>
      </c>
    </row>
    <row r="210">
      <c r="A210" s="2"/>
      <c r="B210" s="186" t="s">
        <v>152</v>
      </c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34">
      <c r="A234" s="2"/>
      <c r="B234" s="186" t="s">
        <v>153</v>
      </c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56">
      <c r="A256" s="2"/>
      <c r="B256" s="186" t="s">
        <v>154</v>
      </c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97">
      <c r="A297" s="2"/>
      <c r="B297" s="186" t="s">
        <v>155</v>
      </c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9">
      <c r="B299" s="193"/>
    </row>
    <row r="300">
      <c r="G300" s="193"/>
    </row>
    <row r="318">
      <c r="A318" s="2"/>
      <c r="B318" s="186" t="s">
        <v>156</v>
      </c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40">
      <c r="A340" s="2"/>
      <c r="B340" s="186" t="s">
        <v>158</v>
      </c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</sheetData>
  <printOptions horizontalCentered="1"/>
  <pageMargins bottom="0.75" footer="0.0" header="0.0" left="0.25" right="0.25" top="0.75"/>
  <pageSetup fitToHeight="0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 outlineLevelRow="1"/>
  <cols>
    <col customWidth="1" min="1" max="1" width="6.86"/>
    <col customWidth="1" min="2" max="2" width="27.29"/>
    <col customWidth="1" min="3" max="3" width="14.71" outlineLevel="2"/>
    <col customWidth="1" hidden="1" min="4" max="4" width="14.71" outlineLevel="2"/>
    <col customWidth="1" min="5" max="14" width="14.71" outlineLevel="2"/>
    <col customWidth="1" min="15" max="15" width="14.57" outlineLevel="2"/>
    <col customWidth="1" min="16" max="25" width="14.71" outlineLevel="2"/>
    <col customWidth="1" min="26" max="26" width="10.0" outlineLevel="2"/>
    <col customWidth="1" min="27" max="37" width="14.71" outlineLevel="1"/>
    <col customWidth="1" min="38" max="38" width="16.29" outlineLevel="1"/>
    <col customWidth="1" min="39" max="50" width="14.71" outlineLevel="1"/>
    <col customWidth="1" min="51" max="86" width="14.71"/>
    <col customWidth="1" min="87" max="88" width="5.71"/>
    <col customWidth="1" min="89" max="89" width="15.57"/>
    <col customWidth="1" min="90" max="90" width="4.43"/>
    <col min="91" max="94" width="14.43" outlineLevel="1"/>
    <col customWidth="1" min="96" max="96" width="6.29"/>
    <col min="97" max="100" width="14.43" outlineLevel="1"/>
    <col customWidth="1" min="102" max="102" width="4.43"/>
    <col min="103" max="106" width="14.43" outlineLevel="1"/>
    <col customWidth="1" min="108" max="108" width="5.57"/>
    <col min="109" max="112" width="14.43" outlineLevel="1"/>
    <col customWidth="1" min="114" max="114" width="5.57"/>
    <col min="115" max="118" width="14.43" outlineLevel="1"/>
    <col customWidth="1" min="120" max="120" width="5.57"/>
    <col collapsed="1" min="122" max="122" width="14.43"/>
    <col customWidth="1" hidden="1" min="123" max="133" width="14.71" outlineLevel="1"/>
    <col customWidth="1" hidden="1" min="134" max="134" width="10.0" outlineLevel="1"/>
    <col customWidth="1" min="135" max="145" width="14.71"/>
    <col customWidth="1" min="146" max="146" width="16.29"/>
    <col customWidth="1" min="147" max="160" width="14.71"/>
    <col customWidth="1" min="161" max="161" width="10.86"/>
    <col customWidth="1" min="162" max="172" width="14.71"/>
    <col customWidth="1" min="173" max="173" width="10.86"/>
    <col customWidth="1" min="174" max="195" width="14.71"/>
  </cols>
  <sheetData>
    <row r="1" ht="7.5" customHeight="1">
      <c r="A1" s="1" t="s">
        <v>0</v>
      </c>
      <c r="DK1" s="2"/>
      <c r="DL1" s="2"/>
      <c r="DM1" s="2"/>
      <c r="DN1" s="2"/>
      <c r="FB1" s="3"/>
    </row>
    <row r="2">
      <c r="C2" s="4">
        <v>2020.0</v>
      </c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4">
        <v>2021.0</v>
      </c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4">
        <v>2022.0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4">
        <v>2023.0</v>
      </c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DK2" s="7"/>
      <c r="DL2" s="7"/>
      <c r="DM2" s="7"/>
      <c r="DN2" s="7"/>
      <c r="DS2" s="8" t="s">
        <v>1</v>
      </c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10"/>
      <c r="GM2" s="11"/>
    </row>
    <row r="3">
      <c r="B3" s="12"/>
      <c r="C3" s="13">
        <v>43831.0</v>
      </c>
      <c r="D3" s="13">
        <v>43862.0</v>
      </c>
      <c r="E3" s="13">
        <v>43891.0</v>
      </c>
      <c r="F3" s="13">
        <v>43922.0</v>
      </c>
      <c r="G3" s="13">
        <v>43952.0</v>
      </c>
      <c r="H3" s="13">
        <v>43983.0</v>
      </c>
      <c r="I3" s="13">
        <v>44013.0</v>
      </c>
      <c r="J3" s="13">
        <v>44044.0</v>
      </c>
      <c r="K3" s="13">
        <v>44075.0</v>
      </c>
      <c r="L3" s="13">
        <v>44105.0</v>
      </c>
      <c r="M3" s="13">
        <v>44136.0</v>
      </c>
      <c r="N3" s="13">
        <v>44166.0</v>
      </c>
      <c r="O3" s="13">
        <v>44197.0</v>
      </c>
      <c r="P3" s="13">
        <v>44228.0</v>
      </c>
      <c r="Q3" s="13">
        <v>44256.0</v>
      </c>
      <c r="R3" s="13">
        <v>44287.0</v>
      </c>
      <c r="S3" s="13">
        <v>44317.0</v>
      </c>
      <c r="T3" s="13">
        <v>44348.0</v>
      </c>
      <c r="U3" s="13">
        <v>44378.0</v>
      </c>
      <c r="V3" s="13">
        <v>44409.0</v>
      </c>
      <c r="W3" s="13">
        <v>44440.0</v>
      </c>
      <c r="X3" s="13">
        <v>44470.0</v>
      </c>
      <c r="Y3" s="13">
        <v>44501.0</v>
      </c>
      <c r="Z3" s="13">
        <v>44531.0</v>
      </c>
      <c r="AA3" s="13">
        <v>44562.0</v>
      </c>
      <c r="AB3" s="13">
        <v>44593.0</v>
      </c>
      <c r="AC3" s="13">
        <v>44621.0</v>
      </c>
      <c r="AD3" s="13">
        <v>44652.0</v>
      </c>
      <c r="AE3" s="13">
        <v>44682.0</v>
      </c>
      <c r="AF3" s="13">
        <v>44713.0</v>
      </c>
      <c r="AG3" s="13">
        <v>44743.0</v>
      </c>
      <c r="AH3" s="13">
        <v>44774.0</v>
      </c>
      <c r="AI3" s="13">
        <v>44805.0</v>
      </c>
      <c r="AJ3" s="13">
        <v>44835.0</v>
      </c>
      <c r="AK3" s="13">
        <v>44866.0</v>
      </c>
      <c r="AL3" s="13">
        <v>44896.0</v>
      </c>
      <c r="AM3" s="13">
        <v>44927.0</v>
      </c>
      <c r="AN3" s="13">
        <v>44958.0</v>
      </c>
      <c r="AO3" s="13">
        <v>44986.0</v>
      </c>
      <c r="AP3" s="13">
        <v>45017.0</v>
      </c>
      <c r="AQ3" s="13">
        <v>45047.0</v>
      </c>
      <c r="AR3" s="13">
        <v>45078.0</v>
      </c>
      <c r="AS3" s="13">
        <v>45108.0</v>
      </c>
      <c r="AT3" s="13">
        <v>45139.0</v>
      </c>
      <c r="AU3" s="13">
        <v>45170.0</v>
      </c>
      <c r="AV3" s="13">
        <v>45200.0</v>
      </c>
      <c r="AW3" s="13">
        <v>45231.0</v>
      </c>
      <c r="AX3" s="13">
        <v>45261.0</v>
      </c>
      <c r="AY3" s="13">
        <v>45292.0</v>
      </c>
      <c r="AZ3" s="13">
        <v>45323.0</v>
      </c>
      <c r="BA3" s="13">
        <v>45352.0</v>
      </c>
      <c r="BB3" s="13">
        <v>45383.0</v>
      </c>
      <c r="BC3" s="14">
        <v>45413.0</v>
      </c>
      <c r="BD3" s="13">
        <v>45444.0</v>
      </c>
      <c r="BE3" s="13">
        <v>45474.0</v>
      </c>
      <c r="BF3" s="13">
        <v>45505.0</v>
      </c>
      <c r="BG3" s="13">
        <v>45536.0</v>
      </c>
      <c r="BH3" s="13">
        <v>45566.0</v>
      </c>
      <c r="BI3" s="13">
        <v>45597.0</v>
      </c>
      <c r="BJ3" s="13">
        <v>45627.0</v>
      </c>
      <c r="BK3" s="13">
        <v>45658.0</v>
      </c>
      <c r="BL3" s="13">
        <v>45689.0</v>
      </c>
      <c r="BM3" s="13">
        <v>45717.0</v>
      </c>
      <c r="BN3" s="13">
        <v>45748.0</v>
      </c>
      <c r="BO3" s="13">
        <v>45778.0</v>
      </c>
      <c r="BP3" s="13">
        <v>45809.0</v>
      </c>
      <c r="BQ3" s="13">
        <v>45839.0</v>
      </c>
      <c r="BR3" s="13">
        <v>45870.0</v>
      </c>
      <c r="BS3" s="13">
        <v>45901.0</v>
      </c>
      <c r="BT3" s="13">
        <v>45931.0</v>
      </c>
      <c r="BU3" s="13">
        <v>45962.0</v>
      </c>
      <c r="BV3" s="13">
        <v>45992.0</v>
      </c>
      <c r="BW3" s="19">
        <v>46023.0</v>
      </c>
      <c r="BX3" s="19">
        <v>46054.0</v>
      </c>
      <c r="BY3" s="19">
        <v>46082.0</v>
      </c>
      <c r="BZ3" s="19">
        <v>46113.0</v>
      </c>
      <c r="CA3" s="19">
        <v>46143.0</v>
      </c>
      <c r="CB3" s="19">
        <v>46174.0</v>
      </c>
      <c r="CC3" s="19">
        <v>46204.0</v>
      </c>
      <c r="CD3" s="19">
        <v>46235.0</v>
      </c>
      <c r="CE3" s="19">
        <v>46266.0</v>
      </c>
      <c r="CF3" s="19">
        <v>46296.0</v>
      </c>
      <c r="CG3" s="19">
        <v>46327.0</v>
      </c>
      <c r="CH3" s="19">
        <v>46357.0</v>
      </c>
      <c r="CI3" s="15"/>
      <c r="CJ3" s="15"/>
      <c r="CK3" s="21" t="str">
        <f>"TTM as of "&amp;TEXT('GAAP Summary'!B2,"MMM 'YY")</f>
        <v>TTM as of Jun '26</v>
      </c>
      <c r="CL3" s="17"/>
      <c r="CM3" s="22" t="s">
        <v>5</v>
      </c>
      <c r="CN3" s="22" t="s">
        <v>17</v>
      </c>
      <c r="CO3" s="22" t="s">
        <v>19</v>
      </c>
      <c r="CP3" s="25" t="s">
        <v>21</v>
      </c>
      <c r="CQ3" s="27" t="s">
        <v>24</v>
      </c>
      <c r="CR3" s="29"/>
      <c r="CS3" s="22" t="s">
        <v>10</v>
      </c>
      <c r="CT3" s="22" t="s">
        <v>2</v>
      </c>
      <c r="CU3" s="22" t="s">
        <v>3</v>
      </c>
      <c r="CV3" s="22" t="s">
        <v>4</v>
      </c>
      <c r="CW3" s="16" t="s">
        <v>27</v>
      </c>
      <c r="CX3" s="17"/>
      <c r="CY3" s="20" t="s">
        <v>15</v>
      </c>
      <c r="CZ3" s="18" t="s">
        <v>7</v>
      </c>
      <c r="DA3" s="18" t="s">
        <v>8</v>
      </c>
      <c r="DB3" s="18" t="s">
        <v>9</v>
      </c>
      <c r="DC3" s="16" t="s">
        <v>11</v>
      </c>
      <c r="DD3" s="17"/>
      <c r="DE3" s="18" t="s">
        <v>23</v>
      </c>
      <c r="DF3" s="18" t="s">
        <v>12</v>
      </c>
      <c r="DG3" s="18" t="s">
        <v>13</v>
      </c>
      <c r="DH3" s="18" t="s">
        <v>14</v>
      </c>
      <c r="DI3" s="16" t="s">
        <v>16</v>
      </c>
      <c r="DK3" s="23" t="s">
        <v>28</v>
      </c>
      <c r="DL3" s="23" t="s">
        <v>18</v>
      </c>
      <c r="DM3" s="24" t="s">
        <v>20</v>
      </c>
      <c r="DN3" s="24" t="s">
        <v>22</v>
      </c>
      <c r="DO3" s="28" t="s">
        <v>25</v>
      </c>
      <c r="DP3" s="30"/>
      <c r="DQ3" s="28" t="s">
        <v>26</v>
      </c>
      <c r="DR3" s="30"/>
      <c r="DS3" s="13">
        <v>44197.0</v>
      </c>
      <c r="DT3" s="13">
        <v>44228.0</v>
      </c>
      <c r="DU3" s="13">
        <v>44256.0</v>
      </c>
      <c r="DV3" s="13">
        <v>44287.0</v>
      </c>
      <c r="DW3" s="13">
        <v>44317.0</v>
      </c>
      <c r="DX3" s="13">
        <v>44348.0</v>
      </c>
      <c r="DY3" s="13">
        <v>44378.0</v>
      </c>
      <c r="DZ3" s="13">
        <v>44409.0</v>
      </c>
      <c r="EA3" s="13">
        <v>44440.0</v>
      </c>
      <c r="EB3" s="13">
        <v>44470.0</v>
      </c>
      <c r="EC3" s="13">
        <v>44501.0</v>
      </c>
      <c r="ED3" s="13">
        <v>44531.0</v>
      </c>
      <c r="EE3" s="13">
        <v>44562.0</v>
      </c>
      <c r="EF3" s="13">
        <v>44593.0</v>
      </c>
      <c r="EG3" s="13">
        <v>44621.0</v>
      </c>
      <c r="EH3" s="13">
        <v>44652.0</v>
      </c>
      <c r="EI3" s="13">
        <v>44682.0</v>
      </c>
      <c r="EJ3" s="13">
        <v>44713.0</v>
      </c>
      <c r="EK3" s="13">
        <v>44743.0</v>
      </c>
      <c r="EL3" s="13">
        <v>44774.0</v>
      </c>
      <c r="EM3" s="13">
        <v>44805.0</v>
      </c>
      <c r="EN3" s="13">
        <v>44835.0</v>
      </c>
      <c r="EO3" s="13">
        <v>44866.0</v>
      </c>
      <c r="EP3" s="13">
        <v>44896.0</v>
      </c>
      <c r="EQ3" s="13">
        <v>44927.0</v>
      </c>
      <c r="ER3" s="13">
        <v>44958.0</v>
      </c>
      <c r="ES3" s="13">
        <v>44986.0</v>
      </c>
      <c r="ET3" s="13">
        <v>45017.0</v>
      </c>
      <c r="EU3" s="13">
        <v>45047.0</v>
      </c>
      <c r="EV3" s="13">
        <v>45078.0</v>
      </c>
      <c r="EW3" s="13">
        <v>45108.0</v>
      </c>
      <c r="EX3" s="13">
        <v>45139.0</v>
      </c>
      <c r="EY3" s="13">
        <v>45170.0</v>
      </c>
      <c r="EZ3" s="13">
        <v>45200.0</v>
      </c>
      <c r="FA3" s="13">
        <v>45231.0</v>
      </c>
      <c r="FB3" s="13">
        <v>45261.0</v>
      </c>
      <c r="FC3" s="13">
        <v>45292.0</v>
      </c>
      <c r="FD3" s="13">
        <v>45323.0</v>
      </c>
      <c r="FE3" s="13">
        <v>45352.0</v>
      </c>
      <c r="FF3" s="13">
        <v>45383.0</v>
      </c>
      <c r="FG3" s="14">
        <v>45413.0</v>
      </c>
      <c r="FH3" s="13">
        <v>45444.0</v>
      </c>
      <c r="FI3" s="13">
        <v>45474.0</v>
      </c>
      <c r="FJ3" s="13">
        <v>45505.0</v>
      </c>
      <c r="FK3" s="13">
        <v>45536.0</v>
      </c>
      <c r="FL3" s="13">
        <v>45566.0</v>
      </c>
      <c r="FM3" s="13">
        <v>45597.0</v>
      </c>
      <c r="FN3" s="13">
        <v>45627.0</v>
      </c>
      <c r="FO3" s="13">
        <v>45658.0</v>
      </c>
      <c r="FP3" s="13">
        <v>45689.0</v>
      </c>
      <c r="FQ3" s="13">
        <v>45717.0</v>
      </c>
      <c r="FR3" s="13">
        <v>45748.0</v>
      </c>
      <c r="FS3" s="14">
        <v>45778.0</v>
      </c>
      <c r="FT3" s="13">
        <v>45809.0</v>
      </c>
      <c r="FU3" s="13">
        <v>45839.0</v>
      </c>
      <c r="FV3" s="13">
        <v>45870.0</v>
      </c>
      <c r="FW3" s="13">
        <v>45901.0</v>
      </c>
      <c r="FX3" s="13">
        <v>45931.0</v>
      </c>
      <c r="FY3" s="13">
        <v>45962.0</v>
      </c>
      <c r="FZ3" s="13">
        <v>45992.0</v>
      </c>
      <c r="GA3" s="13">
        <v>46023.0</v>
      </c>
      <c r="GB3" s="13">
        <v>46054.0</v>
      </c>
      <c r="GC3" s="13">
        <v>46082.0</v>
      </c>
      <c r="GD3" s="13">
        <v>46113.0</v>
      </c>
      <c r="GE3" s="13">
        <v>46143.0</v>
      </c>
      <c r="GF3" s="13">
        <v>46174.0</v>
      </c>
      <c r="GG3" s="13">
        <v>46204.0</v>
      </c>
      <c r="GH3" s="13">
        <v>46235.0</v>
      </c>
      <c r="GI3" s="13">
        <v>46266.0</v>
      </c>
      <c r="GJ3" s="13">
        <v>46296.0</v>
      </c>
      <c r="GK3" s="13">
        <v>46327.0</v>
      </c>
      <c r="GL3" s="13">
        <v>46357.0</v>
      </c>
      <c r="GM3" s="31"/>
    </row>
    <row r="4" ht="4.5" customHeight="1">
      <c r="B4" s="3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33"/>
      <c r="CJ4" s="33"/>
      <c r="CK4" s="42"/>
      <c r="CM4" s="2"/>
      <c r="CN4" s="2"/>
      <c r="CO4" s="2"/>
      <c r="CP4" s="2"/>
      <c r="CQ4" s="43"/>
      <c r="CW4" s="34"/>
      <c r="DC4" s="34"/>
      <c r="DI4" s="34"/>
      <c r="DK4" s="2"/>
      <c r="DL4" s="2"/>
      <c r="DM4" s="2"/>
      <c r="DN4" s="2"/>
      <c r="DO4" s="34"/>
      <c r="DQ4" s="34"/>
      <c r="FB4" s="3"/>
    </row>
    <row r="5">
      <c r="A5" s="35"/>
      <c r="B5" s="36" t="s">
        <v>29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39"/>
      <c r="CJ5" s="39"/>
      <c r="CK5" s="47"/>
      <c r="CL5" s="41"/>
      <c r="CM5" s="46"/>
      <c r="CN5" s="46"/>
      <c r="CO5" s="46"/>
      <c r="CP5" s="46"/>
      <c r="CQ5" s="48"/>
      <c r="CR5" s="37"/>
      <c r="CS5" s="37"/>
      <c r="CT5" s="37"/>
      <c r="CU5" s="37"/>
      <c r="CV5" s="37"/>
      <c r="CW5" s="40"/>
      <c r="CX5" s="41"/>
      <c r="CY5" s="37"/>
      <c r="CZ5" s="37"/>
      <c r="DA5" s="37"/>
      <c r="DB5" s="37"/>
      <c r="DC5" s="40"/>
      <c r="DD5" s="37"/>
      <c r="DE5" s="37"/>
      <c r="DF5" s="37"/>
      <c r="DG5" s="37"/>
      <c r="DH5" s="37"/>
      <c r="DI5" s="40"/>
      <c r="DJ5" s="37"/>
      <c r="DK5" s="37"/>
      <c r="DL5" s="37"/>
      <c r="DM5" s="37"/>
      <c r="DN5" s="37"/>
      <c r="DO5" s="40"/>
      <c r="DP5" s="37"/>
      <c r="DQ5" s="40"/>
      <c r="DR5" s="44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/>
      <c r="EJ5" s="37"/>
      <c r="EK5" s="37"/>
      <c r="EL5" s="37"/>
      <c r="EM5" s="37"/>
      <c r="EN5" s="37"/>
      <c r="EO5" s="37"/>
      <c r="EP5" s="37"/>
      <c r="EQ5" s="37"/>
      <c r="ER5" s="37"/>
      <c r="ES5" s="37"/>
      <c r="ET5" s="37"/>
      <c r="EU5" s="37"/>
      <c r="EV5" s="37"/>
      <c r="EW5" s="37"/>
      <c r="EX5" s="37"/>
      <c r="EY5" s="37"/>
      <c r="EZ5" s="37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</row>
    <row r="6" ht="15.75" customHeight="1">
      <c r="B6" s="53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54"/>
      <c r="BX6" s="54"/>
      <c r="BY6" s="55"/>
      <c r="BZ6" s="54"/>
      <c r="CA6" s="54"/>
      <c r="CB6" s="54"/>
      <c r="CC6" s="54"/>
      <c r="CD6" s="54"/>
      <c r="CE6" s="54"/>
      <c r="CF6" s="54"/>
      <c r="CG6" s="54"/>
      <c r="CH6" s="54"/>
      <c r="CI6" s="50"/>
      <c r="CJ6" s="50"/>
      <c r="CK6" s="56"/>
      <c r="CL6" s="49"/>
      <c r="CM6" s="57">
        <f>CM7/CM13</f>
        <v>1.130355564</v>
      </c>
      <c r="CN6" s="58"/>
      <c r="CO6" s="55"/>
      <c r="CP6" s="54"/>
      <c r="CQ6" s="59"/>
      <c r="CR6" s="49"/>
      <c r="CS6" s="57">
        <f t="shared" ref="CS6:CV6" si="1">CS7/CS13</f>
        <v>1.130725189</v>
      </c>
      <c r="CT6" s="57">
        <f t="shared" si="1"/>
        <v>1.539162347</v>
      </c>
      <c r="CU6" s="57">
        <f t="shared" si="1"/>
        <v>1.300661859</v>
      </c>
      <c r="CV6" s="57">
        <f t="shared" si="1"/>
        <v>1.626552926</v>
      </c>
      <c r="CW6" s="60"/>
      <c r="CX6" s="49"/>
      <c r="CY6" s="57">
        <f t="shared" ref="CY6:DB6" si="2">CY7/CY13</f>
        <v>1.076555363</v>
      </c>
      <c r="CZ6" s="57">
        <f t="shared" si="2"/>
        <v>1.138087346</v>
      </c>
      <c r="DA6" s="57">
        <f t="shared" si="2"/>
        <v>0.9670945873</v>
      </c>
      <c r="DB6" s="57">
        <f t="shared" si="2"/>
        <v>1.234055235</v>
      </c>
      <c r="DC6" s="61"/>
      <c r="DD6" s="49"/>
      <c r="DE6" s="62">
        <f t="shared" ref="DE6:DH6" si="3">DE7/DE13</f>
        <v>0.4456187772</v>
      </c>
      <c r="DF6" s="62">
        <f t="shared" si="3"/>
        <v>0.6767401778</v>
      </c>
      <c r="DG6" s="62">
        <f t="shared" si="3"/>
        <v>0.8358685702</v>
      </c>
      <c r="DH6" s="62">
        <f t="shared" si="3"/>
        <v>1.598250879</v>
      </c>
      <c r="DI6" s="60"/>
      <c r="DJ6" s="49"/>
      <c r="DK6" s="49"/>
      <c r="DL6" s="49"/>
      <c r="DM6" s="49"/>
      <c r="DN6" s="57"/>
      <c r="DO6" s="60"/>
      <c r="DP6" s="49"/>
      <c r="DQ6" s="60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57"/>
      <c r="GF6" s="49"/>
      <c r="GG6" s="49"/>
      <c r="GH6" s="49"/>
      <c r="GI6" s="49"/>
      <c r="GJ6" s="49"/>
      <c r="GK6" s="49"/>
      <c r="GL6" s="49"/>
      <c r="GM6" s="49"/>
    </row>
    <row r="7">
      <c r="B7" s="63" t="s">
        <v>30</v>
      </c>
      <c r="C7" s="64">
        <f t="shared" ref="C7:CH7" si="4">sum(C8:C11)</f>
        <v>0</v>
      </c>
      <c r="D7" s="64">
        <f t="shared" si="4"/>
        <v>0</v>
      </c>
      <c r="E7" s="64">
        <f t="shared" si="4"/>
        <v>0</v>
      </c>
      <c r="F7" s="64">
        <f t="shared" si="4"/>
        <v>0</v>
      </c>
      <c r="G7" s="64">
        <f t="shared" si="4"/>
        <v>0</v>
      </c>
      <c r="H7" s="64">
        <f t="shared" si="4"/>
        <v>0</v>
      </c>
      <c r="I7" s="64">
        <f t="shared" si="4"/>
        <v>0</v>
      </c>
      <c r="J7" s="64">
        <f t="shared" si="4"/>
        <v>0</v>
      </c>
      <c r="K7" s="64">
        <f t="shared" si="4"/>
        <v>0</v>
      </c>
      <c r="L7" s="64">
        <f t="shared" si="4"/>
        <v>0</v>
      </c>
      <c r="M7" s="64">
        <f t="shared" si="4"/>
        <v>0</v>
      </c>
      <c r="N7" s="64">
        <f t="shared" si="4"/>
        <v>0</v>
      </c>
      <c r="O7" s="64">
        <f t="shared" si="4"/>
        <v>0</v>
      </c>
      <c r="P7" s="64">
        <f t="shared" si="4"/>
        <v>0</v>
      </c>
      <c r="Q7" s="64">
        <f t="shared" si="4"/>
        <v>0</v>
      </c>
      <c r="R7" s="64">
        <f t="shared" si="4"/>
        <v>0</v>
      </c>
      <c r="S7" s="64">
        <f t="shared" si="4"/>
        <v>0</v>
      </c>
      <c r="T7" s="64">
        <f t="shared" si="4"/>
        <v>0</v>
      </c>
      <c r="U7" s="64">
        <f t="shared" si="4"/>
        <v>0</v>
      </c>
      <c r="V7" s="64">
        <f t="shared" si="4"/>
        <v>0</v>
      </c>
      <c r="W7" s="64">
        <f t="shared" si="4"/>
        <v>0</v>
      </c>
      <c r="X7" s="64">
        <f t="shared" si="4"/>
        <v>0</v>
      </c>
      <c r="Y7" s="64">
        <f t="shared" si="4"/>
        <v>0</v>
      </c>
      <c r="Z7" s="64">
        <f t="shared" si="4"/>
        <v>0</v>
      </c>
      <c r="AA7" s="64">
        <f t="shared" si="4"/>
        <v>144820</v>
      </c>
      <c r="AB7" s="64">
        <f t="shared" si="4"/>
        <v>235440</v>
      </c>
      <c r="AC7" s="64">
        <f t="shared" si="4"/>
        <v>3111130</v>
      </c>
      <c r="AD7" s="64">
        <f t="shared" si="4"/>
        <v>664960</v>
      </c>
      <c r="AE7" s="64">
        <f t="shared" si="4"/>
        <v>4043265</v>
      </c>
      <c r="AF7" s="64">
        <f t="shared" si="4"/>
        <v>2799443</v>
      </c>
      <c r="AG7" s="64">
        <f t="shared" si="4"/>
        <v>3135342</v>
      </c>
      <c r="AH7" s="64">
        <f t="shared" si="4"/>
        <v>327020</v>
      </c>
      <c r="AI7" s="64">
        <f t="shared" si="4"/>
        <v>2247442.4</v>
      </c>
      <c r="AJ7" s="64">
        <f t="shared" si="4"/>
        <v>2640608</v>
      </c>
      <c r="AK7" s="64">
        <f t="shared" si="4"/>
        <v>991898.8</v>
      </c>
      <c r="AL7" s="64">
        <f t="shared" si="4"/>
        <v>4262101.36</v>
      </c>
      <c r="AM7" s="64">
        <f t="shared" si="4"/>
        <v>134400</v>
      </c>
      <c r="AN7" s="64">
        <f t="shared" si="4"/>
        <v>846864</v>
      </c>
      <c r="AO7" s="64">
        <f t="shared" si="4"/>
        <v>1827624</v>
      </c>
      <c r="AP7" s="64">
        <f t="shared" si="4"/>
        <v>552923.41</v>
      </c>
      <c r="AQ7" s="64">
        <f t="shared" si="4"/>
        <v>857590</v>
      </c>
      <c r="AR7" s="64">
        <f t="shared" si="4"/>
        <v>2370127.4</v>
      </c>
      <c r="AS7" s="64">
        <f t="shared" si="4"/>
        <v>1015910</v>
      </c>
      <c r="AT7" s="64">
        <f t="shared" si="4"/>
        <v>2102478</v>
      </c>
      <c r="AU7" s="64">
        <f t="shared" si="4"/>
        <v>1227118</v>
      </c>
      <c r="AV7" s="64">
        <f t="shared" si="4"/>
        <v>1426203</v>
      </c>
      <c r="AW7" s="64">
        <f t="shared" si="4"/>
        <v>3399512.32</v>
      </c>
      <c r="AX7" s="64">
        <f t="shared" si="4"/>
        <v>3318570</v>
      </c>
      <c r="AY7" s="64">
        <f t="shared" si="4"/>
        <v>57000</v>
      </c>
      <c r="AZ7" s="64">
        <f t="shared" si="4"/>
        <v>383850</v>
      </c>
      <c r="BA7" s="64">
        <f t="shared" si="4"/>
        <v>5440973</v>
      </c>
      <c r="BB7" s="64">
        <f t="shared" si="4"/>
        <v>1612652</v>
      </c>
      <c r="BC7" s="64">
        <f t="shared" si="4"/>
        <v>3867754</v>
      </c>
      <c r="BD7" s="64">
        <f t="shared" si="4"/>
        <v>1064496</v>
      </c>
      <c r="BE7" s="64">
        <f t="shared" si="4"/>
        <v>1406220</v>
      </c>
      <c r="BF7" s="64">
        <f t="shared" si="4"/>
        <v>2487957</v>
      </c>
      <c r="BG7" s="64">
        <f t="shared" si="4"/>
        <v>2307330</v>
      </c>
      <c r="BH7" s="64">
        <f t="shared" si="4"/>
        <v>2618159.4</v>
      </c>
      <c r="BI7" s="64">
        <f t="shared" si="4"/>
        <v>3091804.77</v>
      </c>
      <c r="BJ7" s="64">
        <f t="shared" si="4"/>
        <v>3826914.9</v>
      </c>
      <c r="BK7" s="64">
        <f t="shared" si="4"/>
        <v>1131126.1</v>
      </c>
      <c r="BL7" s="64">
        <f t="shared" si="4"/>
        <v>3388620</v>
      </c>
      <c r="BM7" s="64">
        <f t="shared" si="4"/>
        <v>3874317.85</v>
      </c>
      <c r="BN7" s="64">
        <f t="shared" si="4"/>
        <v>5658371</v>
      </c>
      <c r="BO7" s="64">
        <f t="shared" si="4"/>
        <v>2939886</v>
      </c>
      <c r="BP7" s="64">
        <f t="shared" si="4"/>
        <v>3780756.5</v>
      </c>
      <c r="BQ7" s="64">
        <f t="shared" si="4"/>
        <v>4707768</v>
      </c>
      <c r="BR7" s="64">
        <f t="shared" si="4"/>
        <v>2809304</v>
      </c>
      <c r="BS7" s="64">
        <f t="shared" si="4"/>
        <v>4837562.96</v>
      </c>
      <c r="BT7" s="64">
        <f t="shared" si="4"/>
        <v>6375710.17</v>
      </c>
      <c r="BU7" s="64">
        <f t="shared" si="4"/>
        <v>3993142</v>
      </c>
      <c r="BV7" s="64">
        <f t="shared" si="4"/>
        <v>7442360.47</v>
      </c>
      <c r="BW7" s="65">
        <f t="shared" si="4"/>
        <v>1005206</v>
      </c>
      <c r="BX7" s="65">
        <f t="shared" si="4"/>
        <v>4472753</v>
      </c>
      <c r="BY7" s="65">
        <f t="shared" si="4"/>
        <v>8735404</v>
      </c>
      <c r="BZ7" s="65">
        <f t="shared" si="4"/>
        <v>1437672</v>
      </c>
      <c r="CA7" s="65">
        <f t="shared" si="4"/>
        <v>4480286.32</v>
      </c>
      <c r="CB7" s="65">
        <f t="shared" si="4"/>
        <v>2847037</v>
      </c>
      <c r="CC7" s="65">
        <f t="shared" si="4"/>
        <v>0</v>
      </c>
      <c r="CD7" s="65">
        <f t="shared" si="4"/>
        <v>0</v>
      </c>
      <c r="CE7" s="65">
        <f t="shared" si="4"/>
        <v>0</v>
      </c>
      <c r="CF7" s="65">
        <f t="shared" si="4"/>
        <v>0</v>
      </c>
      <c r="CG7" s="65">
        <f t="shared" si="4"/>
        <v>0</v>
      </c>
      <c r="CH7" s="65">
        <f t="shared" si="4"/>
        <v>0</v>
      </c>
      <c r="CI7" s="52"/>
      <c r="CJ7" s="52"/>
      <c r="CK7" s="69">
        <f t="array" ref="CK7">SUM(INDIRECT(XLOOKUP('GAAP Summary'!$B$2,'TTM Dates'!$B:$B,'TTM Dates'!$E:$E)&amp;ROW($CJ7)&amp;":"&amp;XLOOKUP('GAAP Summary'!$B$2,'TTM Dates'!$B:$B,'TTM Dates'!$C:$C)&amp;ROW($CJ7)))</f>
        <v>53144205.92</v>
      </c>
      <c r="CL7" s="70"/>
      <c r="CM7" s="65">
        <f t="shared" ref="CM7:CM11" si="5">sum(BW7:BY7)</f>
        <v>14213363</v>
      </c>
      <c r="CN7" s="72">
        <f t="shared" ref="CN7:CN11" si="6">sum(BZ7:CB7)</f>
        <v>8764995.32</v>
      </c>
      <c r="CO7" s="72">
        <v>0.0</v>
      </c>
      <c r="CP7" s="72">
        <v>0.0</v>
      </c>
      <c r="CQ7" s="73">
        <f>sum(CM7:CP7)</f>
        <v>22978358.32</v>
      </c>
      <c r="CR7" s="64"/>
      <c r="CS7" s="64">
        <f t="shared" ref="CS7:CS11" si="7">sum(BK7:BM7)</f>
        <v>8394063.95</v>
      </c>
      <c r="CT7" s="64">
        <f t="shared" ref="CT7:CT11" si="8">sum(BN7:BP7)</f>
        <v>12379013.5</v>
      </c>
      <c r="CU7" s="64">
        <f t="shared" ref="CU7:CU11" si="9">sum(BQ7:BS7)</f>
        <v>12354634.96</v>
      </c>
      <c r="CV7" s="64">
        <f t="shared" ref="CV7:CV11" si="10">sum(BT7:BV7)</f>
        <v>17811212.64</v>
      </c>
      <c r="CW7" s="77">
        <f t="shared" ref="CW7:CW11" si="11">sum(BK7:BV7)</f>
        <v>50938925.05</v>
      </c>
      <c r="CX7" s="79">
        <f t="shared" ref="CX7:CX11" si="12">sum(CT7:CV7)/sum(CZ7:DB7)-1</f>
        <v>0.90927214</v>
      </c>
      <c r="CY7" s="64">
        <f t="shared" ref="CY7:CY11" si="13">sum(AY7:BA7)</f>
        <v>5881823</v>
      </c>
      <c r="CZ7" s="64">
        <f t="shared" ref="CZ7:CZ11" si="14">sum(BB7:BD7)</f>
        <v>6544902</v>
      </c>
      <c r="DA7" s="64">
        <f t="shared" ref="DA7:DA11" si="15">sum(BE7:BG7)</f>
        <v>6201507</v>
      </c>
      <c r="DB7" s="64">
        <f t="shared" ref="DB7:DB11" si="16">sum(BH7:BJ7)</f>
        <v>9536879.07</v>
      </c>
      <c r="DC7" s="77">
        <f t="shared" ref="DC7:DC11" si="17">sum(AY7:BJ7)</f>
        <v>28165111.07</v>
      </c>
      <c r="DD7" s="57"/>
      <c r="DE7" s="64">
        <f t="shared" ref="DE7:DE10" si="18">sum(AM7:AO7)</f>
        <v>2808888</v>
      </c>
      <c r="DF7" s="64">
        <f t="shared" ref="DF7:DF10" si="19">sum(AP7:AR7)</f>
        <v>3780640.81</v>
      </c>
      <c r="DG7" s="64">
        <f t="shared" ref="DG7:DG10" si="20">sum(AS7:AU7)</f>
        <v>4345506</v>
      </c>
      <c r="DH7" s="64">
        <f t="shared" ref="DH7:DH10" si="21">sum(AV7:AX7)</f>
        <v>8144285.32</v>
      </c>
      <c r="DI7" s="77">
        <f>sum(DE8:DH10)</f>
        <v>19079320.13</v>
      </c>
      <c r="DJ7" s="44"/>
      <c r="DK7" s="64">
        <f t="shared" ref="DK7:DK11" si="22">sum(AA7:AC7)</f>
        <v>3491390</v>
      </c>
      <c r="DL7" s="64">
        <f t="shared" ref="DL7:DL11" si="23">sum(AD7:AF7)</f>
        <v>7507668</v>
      </c>
      <c r="DM7" s="64">
        <f t="shared" ref="DM7:DM11" si="24">sum(AG7:AI7)</f>
        <v>5709804.4</v>
      </c>
      <c r="DN7" s="64">
        <f t="shared" ref="DN7:DN11" si="25">sum(AJ7:AL7)</f>
        <v>7894608.16</v>
      </c>
      <c r="DO7" s="77">
        <f t="shared" ref="DO7:DO11" si="26">sum(AA7:AL7)</f>
        <v>24603470.56</v>
      </c>
      <c r="DP7" s="44"/>
      <c r="DQ7" s="77">
        <f>sum(O7:Z7)</f>
        <v>0</v>
      </c>
      <c r="DR7" s="44"/>
      <c r="DS7" s="64">
        <f t="array" ref="DS7">IF(DS$3&gt;'GAAP Summary'!$B$2,0,SUM(INDIRECT(XLOOKUP(DS$3,'TTM Dates'!$B:$B,'TTM Dates'!$E:$E)&amp;ROW($CJ7)&amp;":"&amp;XLOOKUP(DS$3,'TTM Dates'!$B:$B,'TTM Dates'!$C:$C)&amp;ROW($CJ7))))</f>
        <v>0</v>
      </c>
      <c r="DT7" s="64">
        <f t="array" ref="DT7">IF(DT$3&gt;'GAAP Summary'!$B$2,0,SUM(INDIRECT(XLOOKUP(DT$3,'TTM Dates'!$B:$B,'TTM Dates'!$E:$E)&amp;ROW($CJ7)&amp;":"&amp;XLOOKUP(DT$3,'TTM Dates'!$B:$B,'TTM Dates'!$C:$C)&amp;ROW($CJ7))))</f>
        <v>0</v>
      </c>
      <c r="DU7" s="64">
        <f t="array" ref="DU7">IF(DU$3&gt;'GAAP Summary'!$B$2,0,SUM(INDIRECT(XLOOKUP(DU$3,'TTM Dates'!$B:$B,'TTM Dates'!$E:$E)&amp;ROW($CJ7)&amp;":"&amp;XLOOKUP(DU$3,'TTM Dates'!$B:$B,'TTM Dates'!$C:$C)&amp;ROW($CJ7))))</f>
        <v>0</v>
      </c>
      <c r="DV7" s="64">
        <f t="array" ref="DV7">IF(DV$3&gt;'GAAP Summary'!$B$2,0,SUM(INDIRECT(XLOOKUP(DV$3,'TTM Dates'!$B:$B,'TTM Dates'!$E:$E)&amp;ROW($CJ7)&amp;":"&amp;XLOOKUP(DV$3,'TTM Dates'!$B:$B,'TTM Dates'!$C:$C)&amp;ROW($CJ7))))</f>
        <v>0</v>
      </c>
      <c r="DW7" s="64">
        <f t="array" ref="DW7">IF(DW$3&gt;'GAAP Summary'!$B$2,0,SUM(INDIRECT(XLOOKUP(DW$3,'TTM Dates'!$B:$B,'TTM Dates'!$E:$E)&amp;ROW($CJ7)&amp;":"&amp;XLOOKUP(DW$3,'TTM Dates'!$B:$B,'TTM Dates'!$C:$C)&amp;ROW($CJ7))))</f>
        <v>0</v>
      </c>
      <c r="DX7" s="64">
        <f t="array" ref="DX7">IF(DX$3&gt;'GAAP Summary'!$B$2,0,SUM(INDIRECT(XLOOKUP(DX$3,'TTM Dates'!$B:$B,'TTM Dates'!$E:$E)&amp;ROW($CJ7)&amp;":"&amp;XLOOKUP(DX$3,'TTM Dates'!$B:$B,'TTM Dates'!$C:$C)&amp;ROW($CJ7))))</f>
        <v>0</v>
      </c>
      <c r="DY7" s="64">
        <f t="array" ref="DY7">IF(DY$3&gt;'GAAP Summary'!$B$2,0,SUM(INDIRECT(XLOOKUP(DY$3,'TTM Dates'!$B:$B,'TTM Dates'!$E:$E)&amp;ROW($CJ7)&amp;":"&amp;XLOOKUP(DY$3,'TTM Dates'!$B:$B,'TTM Dates'!$C:$C)&amp;ROW($CJ7))))</f>
        <v>0</v>
      </c>
      <c r="DZ7" s="64">
        <f t="array" ref="DZ7">IF(DZ$3&gt;'GAAP Summary'!$B$2,0,SUM(INDIRECT(XLOOKUP(DZ$3,'TTM Dates'!$B:$B,'TTM Dates'!$E:$E)&amp;ROW($CJ7)&amp;":"&amp;XLOOKUP(DZ$3,'TTM Dates'!$B:$B,'TTM Dates'!$C:$C)&amp;ROW($CJ7))))</f>
        <v>0</v>
      </c>
      <c r="EA7" s="64">
        <f t="array" ref="EA7">IF(EA$3&gt;'GAAP Summary'!$B$2,0,SUM(INDIRECT(XLOOKUP(EA$3,'TTM Dates'!$B:$B,'TTM Dates'!$E:$E)&amp;ROW($CJ7)&amp;":"&amp;XLOOKUP(EA$3,'TTM Dates'!$B:$B,'TTM Dates'!$C:$C)&amp;ROW($CJ7))))</f>
        <v>0</v>
      </c>
      <c r="EB7" s="64">
        <f t="array" ref="EB7">IF(EB$3&gt;'GAAP Summary'!$B$2,0,SUM(INDIRECT(XLOOKUP(EB$3,'TTM Dates'!$B:$B,'TTM Dates'!$E:$E)&amp;ROW($CJ7)&amp;":"&amp;XLOOKUP(EB$3,'TTM Dates'!$B:$B,'TTM Dates'!$C:$C)&amp;ROW($CJ7))))</f>
        <v>0</v>
      </c>
      <c r="EC7" s="64">
        <f t="array" ref="EC7">IF(EC$3&gt;'GAAP Summary'!$B$2,0,SUM(INDIRECT(XLOOKUP(EC$3,'TTM Dates'!$B:$B,'TTM Dates'!$E:$E)&amp;ROW($CJ7)&amp;":"&amp;XLOOKUP(EC$3,'TTM Dates'!$B:$B,'TTM Dates'!$C:$C)&amp;ROW($CJ7))))</f>
        <v>0</v>
      </c>
      <c r="ED7" s="64">
        <f t="array" ref="ED7">IF(ED$3&gt;'GAAP Summary'!$B$2,0,SUM(INDIRECT(XLOOKUP(ED$3,'TTM Dates'!$B:$B,'TTM Dates'!$E:$E)&amp;ROW($CJ7)&amp;":"&amp;XLOOKUP(ED$3,'TTM Dates'!$B:$B,'TTM Dates'!$C:$C)&amp;ROW($CJ7))))</f>
        <v>0</v>
      </c>
      <c r="EE7" s="64">
        <f t="array" ref="EE7">IF(EE$3&gt;'GAAP Summary'!$B$2,0,SUM(INDIRECT(XLOOKUP(EE$3,'TTM Dates'!$B:$B,'TTM Dates'!$E:$E)&amp;ROW($CJ7)&amp;":"&amp;XLOOKUP(EE$3,'TTM Dates'!$B:$B,'TTM Dates'!$C:$C)&amp;ROW($CJ7))))</f>
        <v>144820</v>
      </c>
      <c r="EF7" s="64">
        <f t="array" ref="EF7">IF(EF$3&gt;'GAAP Summary'!$B$2,0,SUM(INDIRECT(XLOOKUP(EF$3,'TTM Dates'!$B:$B,'TTM Dates'!$E:$E)&amp;ROW($CJ7)&amp;":"&amp;XLOOKUP(EF$3,'TTM Dates'!$B:$B,'TTM Dates'!$C:$C)&amp;ROW($CJ7))))</f>
        <v>380260</v>
      </c>
      <c r="EG7" s="64">
        <f t="array" ref="EG7">IF(EG$3&gt;'GAAP Summary'!$B$2,0,SUM(INDIRECT(XLOOKUP(EG$3,'TTM Dates'!$B:$B,'TTM Dates'!$E:$E)&amp;ROW($CJ7)&amp;":"&amp;XLOOKUP(EG$3,'TTM Dates'!$B:$B,'TTM Dates'!$C:$C)&amp;ROW($CJ7))))</f>
        <v>3491390</v>
      </c>
      <c r="EH7" s="64">
        <f t="array" ref="EH7">IF(EH$3&gt;'GAAP Summary'!$B$2,0,SUM(INDIRECT(XLOOKUP(EH$3,'TTM Dates'!$B:$B,'TTM Dates'!$E:$E)&amp;ROW($CJ7)&amp;":"&amp;XLOOKUP(EH$3,'TTM Dates'!$B:$B,'TTM Dates'!$C:$C)&amp;ROW($CJ7))))</f>
        <v>4156350</v>
      </c>
      <c r="EI7" s="64">
        <f t="array" ref="EI7">IF(EI$3&gt;'GAAP Summary'!$B$2,0,SUM(INDIRECT(XLOOKUP(EI$3,'TTM Dates'!$B:$B,'TTM Dates'!$E:$E)&amp;ROW($CJ7)&amp;":"&amp;XLOOKUP(EI$3,'TTM Dates'!$B:$B,'TTM Dates'!$C:$C)&amp;ROW($CJ7))))</f>
        <v>8199615</v>
      </c>
      <c r="EJ7" s="64">
        <f t="array" ref="EJ7">IF(EJ$3&gt;'GAAP Summary'!$B$2,0,SUM(INDIRECT(XLOOKUP(EJ$3,'TTM Dates'!$B:$B,'TTM Dates'!$E:$E)&amp;ROW($CJ7)&amp;":"&amp;XLOOKUP(EJ$3,'TTM Dates'!$B:$B,'TTM Dates'!$C:$C)&amp;ROW($CJ7))))</f>
        <v>10999058</v>
      </c>
      <c r="EK7" s="64">
        <f t="array" ref="EK7">IF(EK$3&gt;'GAAP Summary'!$B$2,0,SUM(INDIRECT(XLOOKUP(EK$3,'TTM Dates'!$B:$B,'TTM Dates'!$E:$E)&amp;ROW($CJ7)&amp;":"&amp;XLOOKUP(EK$3,'TTM Dates'!$B:$B,'TTM Dates'!$C:$C)&amp;ROW($CJ7))))</f>
        <v>14134400</v>
      </c>
      <c r="EL7" s="64">
        <f t="array" ref="EL7">IF(EL$3&gt;'GAAP Summary'!$B$2,0,SUM(INDIRECT(XLOOKUP(EL$3,'TTM Dates'!$B:$B,'TTM Dates'!$E:$E)&amp;ROW($CJ7)&amp;":"&amp;XLOOKUP(EL$3,'TTM Dates'!$B:$B,'TTM Dates'!$C:$C)&amp;ROW($CJ7))))</f>
        <v>14461420</v>
      </c>
      <c r="EM7" s="64">
        <f t="array" ref="EM7">IF(EM$3&gt;'GAAP Summary'!$B$2,0,SUM(INDIRECT(XLOOKUP(EM$3,'TTM Dates'!$B:$B,'TTM Dates'!$E:$E)&amp;ROW($CJ7)&amp;":"&amp;XLOOKUP(EM$3,'TTM Dates'!$B:$B,'TTM Dates'!$C:$C)&amp;ROW($CJ7))))</f>
        <v>16708862.4</v>
      </c>
      <c r="EN7" s="64">
        <f t="array" ref="EN7">IF(EN$3&gt;'GAAP Summary'!$B$2,0,SUM(INDIRECT(XLOOKUP(EN$3,'TTM Dates'!$B:$B,'TTM Dates'!$E:$E)&amp;ROW($CJ7)&amp;":"&amp;XLOOKUP(EN$3,'TTM Dates'!$B:$B,'TTM Dates'!$C:$C)&amp;ROW($CJ7))))</f>
        <v>19349470.4</v>
      </c>
      <c r="EO7" s="64">
        <f t="array" ref="EO7">IF(EO$3&gt;'GAAP Summary'!$B$2,0,SUM(INDIRECT(XLOOKUP(EO$3,'TTM Dates'!$B:$B,'TTM Dates'!$E:$E)&amp;ROW($CJ7)&amp;":"&amp;XLOOKUP(EO$3,'TTM Dates'!$B:$B,'TTM Dates'!$C:$C)&amp;ROW($CJ7))))</f>
        <v>20341369.2</v>
      </c>
      <c r="EP7" s="64">
        <f t="array" ref="EP7">IF(EP$3&gt;'GAAP Summary'!$B$2,0,SUM(INDIRECT(XLOOKUP(EP$3,'TTM Dates'!$B:$B,'TTM Dates'!$E:$E)&amp;ROW($CJ7)&amp;":"&amp;XLOOKUP(EP$3,'TTM Dates'!$B:$B,'TTM Dates'!$C:$C)&amp;ROW($CJ7))))</f>
        <v>24603470.56</v>
      </c>
      <c r="EQ7" s="64">
        <f t="array" ref="EQ7">IF(EQ$3&gt;'GAAP Summary'!$B$2,0,SUM(INDIRECT(XLOOKUP(EQ$3,'TTM Dates'!$B:$B,'TTM Dates'!$E:$E)&amp;ROW($CJ7)&amp;":"&amp;XLOOKUP(EQ$3,'TTM Dates'!$B:$B,'TTM Dates'!$C:$C)&amp;ROW($CJ7))))</f>
        <v>24593050.56</v>
      </c>
      <c r="ER7" s="64">
        <f t="array" ref="ER7">IF(ER$3&gt;'GAAP Summary'!$B$2,0,SUM(INDIRECT(XLOOKUP(ER$3,'TTM Dates'!$B:$B,'TTM Dates'!$E:$E)&amp;ROW($CJ7)&amp;":"&amp;XLOOKUP(ER$3,'TTM Dates'!$B:$B,'TTM Dates'!$C:$C)&amp;ROW($CJ7))))</f>
        <v>25204474.56</v>
      </c>
      <c r="ES7" s="64">
        <f t="array" ref="ES7">IF(ES$3&gt;'GAAP Summary'!$B$2,0,SUM(INDIRECT(XLOOKUP(ES$3,'TTM Dates'!$B:$B,'TTM Dates'!$E:$E)&amp;ROW($CJ7)&amp;":"&amp;XLOOKUP(ES$3,'TTM Dates'!$B:$B,'TTM Dates'!$C:$C)&amp;ROW($CJ7))))</f>
        <v>23920968.56</v>
      </c>
      <c r="ET7" s="64">
        <f t="array" ref="ET7">IF(ET$3&gt;'GAAP Summary'!$B$2,0,SUM(INDIRECT(XLOOKUP(ET$3,'TTM Dates'!$B:$B,'TTM Dates'!$E:$E)&amp;ROW($CJ7)&amp;":"&amp;XLOOKUP(ET$3,'TTM Dates'!$B:$B,'TTM Dates'!$C:$C)&amp;ROW($CJ7))))</f>
        <v>23808931.97</v>
      </c>
      <c r="EU7" s="64">
        <f t="array" ref="EU7">IF(EU$3&gt;'GAAP Summary'!$B$2,0,SUM(INDIRECT(XLOOKUP(EU$3,'TTM Dates'!$B:$B,'TTM Dates'!$E:$E)&amp;ROW($CJ7)&amp;":"&amp;XLOOKUP(EU$3,'TTM Dates'!$B:$B,'TTM Dates'!$C:$C)&amp;ROW($CJ7))))</f>
        <v>20623256.97</v>
      </c>
      <c r="EV7" s="64">
        <f t="array" ref="EV7">IF(EV$3&gt;'GAAP Summary'!$B$2,0,SUM(INDIRECT(XLOOKUP(EV$3,'TTM Dates'!$B:$B,'TTM Dates'!$E:$E)&amp;ROW($CJ7)&amp;":"&amp;XLOOKUP(EV$3,'TTM Dates'!$B:$B,'TTM Dates'!$C:$C)&amp;ROW($CJ7))))</f>
        <v>20193941.37</v>
      </c>
      <c r="EW7" s="64">
        <f t="array" ref="EW7">IF(EW$3&gt;'GAAP Summary'!$B$2,0,SUM(INDIRECT(XLOOKUP(EW$3,'TTM Dates'!$B:$B,'TTM Dates'!$E:$E)&amp;ROW($CJ7)&amp;":"&amp;XLOOKUP(EW$3,'TTM Dates'!$B:$B,'TTM Dates'!$C:$C)&amp;ROW($CJ7))))</f>
        <v>18074509.37</v>
      </c>
      <c r="EX7" s="64">
        <f t="array" ref="EX7">IF(EX$3&gt;'GAAP Summary'!$B$2,0,SUM(INDIRECT(XLOOKUP(EX$3,'TTM Dates'!$B:$B,'TTM Dates'!$E:$E)&amp;ROW($CJ7)&amp;":"&amp;XLOOKUP(EX$3,'TTM Dates'!$B:$B,'TTM Dates'!$C:$C)&amp;ROW($CJ7))))</f>
        <v>19849967.37</v>
      </c>
      <c r="EY7" s="64">
        <f t="array" ref="EY7">IF(EY$3&gt;'GAAP Summary'!$B$2,0,SUM(INDIRECT(XLOOKUP(EY$3,'TTM Dates'!$B:$B,'TTM Dates'!$E:$E)&amp;ROW($CJ7)&amp;":"&amp;XLOOKUP(EY$3,'TTM Dates'!$B:$B,'TTM Dates'!$C:$C)&amp;ROW($CJ7))))</f>
        <v>18829642.97</v>
      </c>
      <c r="EZ7" s="64">
        <f t="array" ref="EZ7">IF(EZ$3&gt;'GAAP Summary'!$B$2,0,SUM(INDIRECT(XLOOKUP(EZ$3,'TTM Dates'!$B:$B,'TTM Dates'!$E:$E)&amp;ROW($CJ7)&amp;":"&amp;XLOOKUP(EZ$3,'TTM Dates'!$B:$B,'TTM Dates'!$C:$C)&amp;ROW($CJ7))))</f>
        <v>17615237.97</v>
      </c>
      <c r="FA7" s="64">
        <f t="array" ref="FA7">IF(FA$3&gt;'GAAP Summary'!$B$2,0,SUM(INDIRECT(XLOOKUP(FA$3,'TTM Dates'!$B:$B,'TTM Dates'!$E:$E)&amp;ROW($CJ7)&amp;":"&amp;XLOOKUP(FA$3,'TTM Dates'!$B:$B,'TTM Dates'!$C:$C)&amp;ROW($CJ7))))</f>
        <v>20022851.49</v>
      </c>
      <c r="FB7" s="64">
        <f t="array" ref="FB7">IF(FB$3&gt;'GAAP Summary'!$B$2,0,SUM(INDIRECT(XLOOKUP(FB$3,'TTM Dates'!$B:$B,'TTM Dates'!$E:$E)&amp;ROW($CJ7)&amp;":"&amp;XLOOKUP(FB$3,'TTM Dates'!$B:$B,'TTM Dates'!$C:$C)&amp;ROW($CJ7))))</f>
        <v>19079320.13</v>
      </c>
      <c r="FC7" s="64">
        <f t="array" ref="FC7">IF(FC$3&gt;'GAAP Summary'!$B$2,0,SUM(INDIRECT(XLOOKUP(FC$3,'TTM Dates'!$B:$B,'TTM Dates'!$E:$E)&amp;ROW($CJ7)&amp;":"&amp;XLOOKUP(FC$3,'TTM Dates'!$B:$B,'TTM Dates'!$C:$C)&amp;ROW($CJ7))))</f>
        <v>19001920.13</v>
      </c>
      <c r="FD7" s="64">
        <f t="array" ref="FD7">IF(FD$3&gt;'GAAP Summary'!$B$2,0,SUM(INDIRECT(XLOOKUP(FD$3,'TTM Dates'!$B:$B,'TTM Dates'!$E:$E)&amp;ROW($CJ7)&amp;":"&amp;XLOOKUP(FD$3,'TTM Dates'!$B:$B,'TTM Dates'!$C:$C)&amp;ROW($CJ7))))</f>
        <v>18538906.13</v>
      </c>
      <c r="FE7" s="64">
        <f t="array" ref="FE7">IF(FE$3&gt;'GAAP Summary'!$B$2,0,SUM(INDIRECT(XLOOKUP(FE$3,'TTM Dates'!$B:$B,'TTM Dates'!$E:$E)&amp;ROW($CJ7)&amp;":"&amp;XLOOKUP(FE$3,'TTM Dates'!$B:$B,'TTM Dates'!$C:$C)&amp;ROW($CJ7))))</f>
        <v>22152255.13</v>
      </c>
      <c r="FF7" s="64">
        <f t="array" ref="FF7">IF(FF$3&gt;'GAAP Summary'!$B$2,0,SUM(INDIRECT(XLOOKUP(FF$3,'TTM Dates'!$B:$B,'TTM Dates'!$E:$E)&amp;ROW($CJ7)&amp;":"&amp;XLOOKUP(FF$3,'TTM Dates'!$B:$B,'TTM Dates'!$C:$C)&amp;ROW($CJ7))))</f>
        <v>23211983.72</v>
      </c>
      <c r="FG7" s="64">
        <f t="array" ref="FG7">IF(FG$3&gt;'GAAP Summary'!$B$2,0,SUM(INDIRECT(XLOOKUP(FG$3,'TTM Dates'!$B:$B,'TTM Dates'!$E:$E)&amp;ROW($CJ7)&amp;":"&amp;XLOOKUP(FG$3,'TTM Dates'!$B:$B,'TTM Dates'!$C:$C)&amp;ROW($CJ7))))</f>
        <v>26222147.72</v>
      </c>
      <c r="FH7" s="64">
        <f t="array" ref="FH7">IF(FH$3&gt;'GAAP Summary'!$B$2,0,SUM(INDIRECT(XLOOKUP(FH$3,'TTM Dates'!$B:$B,'TTM Dates'!$E:$E)&amp;ROW($CJ7)&amp;":"&amp;XLOOKUP(FH$3,'TTM Dates'!$B:$B,'TTM Dates'!$C:$C)&amp;ROW($CJ7))))</f>
        <v>24916516.32</v>
      </c>
      <c r="FI7" s="64">
        <f t="array" ref="FI7">IF(FI$3&gt;'GAAP Summary'!$B$2,0,SUM(INDIRECT(XLOOKUP(FI$3,'TTM Dates'!$B:$B,'TTM Dates'!$E:$E)&amp;ROW($CJ7)&amp;":"&amp;XLOOKUP(FI$3,'TTM Dates'!$B:$B,'TTM Dates'!$C:$C)&amp;ROW($CJ7))))</f>
        <v>25306826.32</v>
      </c>
      <c r="FJ7" s="64">
        <f t="array" ref="FJ7">IF(FJ$3&gt;'GAAP Summary'!$B$2,0,SUM(INDIRECT(XLOOKUP(FJ$3,'TTM Dates'!$B:$B,'TTM Dates'!$E:$E)&amp;ROW($CJ7)&amp;":"&amp;XLOOKUP(FJ$3,'TTM Dates'!$B:$B,'TTM Dates'!$C:$C)&amp;ROW($CJ7))))</f>
        <v>25692305.32</v>
      </c>
      <c r="FK7" s="64">
        <f t="array" ref="FK7">IF(FK$3&gt;'GAAP Summary'!$B$2,0,SUM(INDIRECT(XLOOKUP(FK$3,'TTM Dates'!$B:$B,'TTM Dates'!$E:$E)&amp;ROW($CJ7)&amp;":"&amp;XLOOKUP(FK$3,'TTM Dates'!$B:$B,'TTM Dates'!$C:$C)&amp;ROW($CJ7))))</f>
        <v>26772517.32</v>
      </c>
      <c r="FL7" s="64">
        <f t="array" ref="FL7">IF(FL$3&gt;'GAAP Summary'!$B$2,0,SUM(INDIRECT(XLOOKUP(FL$3,'TTM Dates'!$B:$B,'TTM Dates'!$E:$E)&amp;ROW($CJ7)&amp;":"&amp;XLOOKUP(FL$3,'TTM Dates'!$B:$B,'TTM Dates'!$C:$C)&amp;ROW($CJ7))))</f>
        <v>27964473.72</v>
      </c>
      <c r="FM7" s="64">
        <f t="array" ref="FM7">IF(FM$3&gt;'GAAP Summary'!$B$2,0,SUM(INDIRECT(XLOOKUP(FM$3,'TTM Dates'!$B:$B,'TTM Dates'!$E:$E)&amp;ROW($CJ7)&amp;":"&amp;XLOOKUP(FM$3,'TTM Dates'!$B:$B,'TTM Dates'!$C:$C)&amp;ROW($CJ7))))</f>
        <v>27656766.17</v>
      </c>
      <c r="FN7" s="64">
        <f t="array" ref="FN7">IF(FN$3&gt;'GAAP Summary'!$B$2,0,SUM(INDIRECT(XLOOKUP(FN$3,'TTM Dates'!$B:$B,'TTM Dates'!$E:$E)&amp;ROW($CJ7)&amp;":"&amp;XLOOKUP(FN$3,'TTM Dates'!$B:$B,'TTM Dates'!$C:$C)&amp;ROW($CJ7))))</f>
        <v>28165111.07</v>
      </c>
      <c r="FO7" s="64">
        <f t="array" ref="FO7">IF(FO$3&gt;'GAAP Summary'!$B$2,0,SUM(INDIRECT(XLOOKUP(FO$3,'TTM Dates'!$B:$B,'TTM Dates'!$E:$E)&amp;ROW($CJ7)&amp;":"&amp;XLOOKUP(FO$3,'TTM Dates'!$B:$B,'TTM Dates'!$C:$C)&amp;ROW($CJ7))))</f>
        <v>29239237.17</v>
      </c>
      <c r="FP7" s="64">
        <f t="array" ref="FP7">IF(FP$3&gt;'GAAP Summary'!$B$2,0,SUM(INDIRECT(XLOOKUP(FP$3,'TTM Dates'!$B:$B,'TTM Dates'!$E:$E)&amp;ROW($CJ7)&amp;":"&amp;XLOOKUP(FP$3,'TTM Dates'!$B:$B,'TTM Dates'!$C:$C)&amp;ROW($CJ7))))</f>
        <v>32244007.17</v>
      </c>
      <c r="FQ7" s="64">
        <f t="array" ref="FQ7">IF(FQ$3&gt;'GAAP Summary'!$B$2,0,SUM(INDIRECT(XLOOKUP(FQ$3,'TTM Dates'!$B:$B,'TTM Dates'!$E:$E)&amp;ROW($CJ7)&amp;":"&amp;XLOOKUP(FQ$3,'TTM Dates'!$B:$B,'TTM Dates'!$C:$C)&amp;ROW($CJ7))))</f>
        <v>30677352.02</v>
      </c>
      <c r="FR7" s="64">
        <f t="array" ref="FR7">IF(FR$3&gt;'GAAP Summary'!$B$2,0,SUM(INDIRECT(XLOOKUP(FR$3,'TTM Dates'!$B:$B,'TTM Dates'!$E:$E)&amp;ROW($CJ7)&amp;":"&amp;XLOOKUP(FR$3,'TTM Dates'!$B:$B,'TTM Dates'!$C:$C)&amp;ROW($CJ7))))</f>
        <v>34723071.02</v>
      </c>
      <c r="FS7" s="64">
        <f t="array" ref="FS7">IF(FS$3&gt;'GAAP Summary'!$B$2,0,SUM(INDIRECT(XLOOKUP(FS$3,'TTM Dates'!$B:$B,'TTM Dates'!$E:$E)&amp;ROW($CJ7)&amp;":"&amp;XLOOKUP(FS$3,'TTM Dates'!$B:$B,'TTM Dates'!$C:$C)&amp;ROW($CJ7))))</f>
        <v>33795203.02</v>
      </c>
      <c r="FT7" s="64">
        <f t="array" ref="FT7">IF(FT$3&gt;'GAAP Summary'!$B$2,0,SUM(INDIRECT(XLOOKUP(FT$3,'TTM Dates'!$B:$B,'TTM Dates'!$E:$E)&amp;ROW($CJ7)&amp;":"&amp;XLOOKUP(FT$3,'TTM Dates'!$B:$B,'TTM Dates'!$C:$C)&amp;ROW($CJ7))))</f>
        <v>36511463.52</v>
      </c>
      <c r="FU7" s="64">
        <f t="array" ref="FU7">IF(FU$3&gt;'GAAP Summary'!$B$2,0,SUM(INDIRECT(XLOOKUP(FU$3,'TTM Dates'!$B:$B,'TTM Dates'!$E:$E)&amp;ROW($CJ7)&amp;":"&amp;XLOOKUP(FU$3,'TTM Dates'!$B:$B,'TTM Dates'!$C:$C)&amp;ROW($CJ7))))</f>
        <v>39813011.52</v>
      </c>
      <c r="FV7" s="64">
        <f t="array" ref="FV7">IF(FV$3&gt;'GAAP Summary'!$B$2,0,SUM(INDIRECT(XLOOKUP(FV$3,'TTM Dates'!$B:$B,'TTM Dates'!$E:$E)&amp;ROW($CJ7)&amp;":"&amp;XLOOKUP(FV$3,'TTM Dates'!$B:$B,'TTM Dates'!$C:$C)&amp;ROW($CJ7))))</f>
        <v>40134358.52</v>
      </c>
      <c r="FW7" s="64">
        <f t="array" ref="FW7">IF(FW$3&gt;'GAAP Summary'!$B$2,0,SUM(INDIRECT(XLOOKUP(FW$3,'TTM Dates'!$B:$B,'TTM Dates'!$E:$E)&amp;ROW($CJ7)&amp;":"&amp;XLOOKUP(FW$3,'TTM Dates'!$B:$B,'TTM Dates'!$C:$C)&amp;ROW($CJ7))))</f>
        <v>42664591.48</v>
      </c>
      <c r="FX7" s="64">
        <f t="array" ref="FX7">IF(FX$3&gt;'GAAP Summary'!$B$2,0,SUM(INDIRECT(XLOOKUP(FX$3,'TTM Dates'!$B:$B,'TTM Dates'!$E:$E)&amp;ROW($CJ7)&amp;":"&amp;XLOOKUP(FX$3,'TTM Dates'!$B:$B,'TTM Dates'!$C:$C)&amp;ROW($CJ7))))</f>
        <v>46422142.25</v>
      </c>
      <c r="FY7" s="64">
        <f t="array" ref="FY7">IF(FY$3&gt;'GAAP Summary'!$B$2,0,SUM(INDIRECT(XLOOKUP(FY$3,'TTM Dates'!$B:$B,'TTM Dates'!$E:$E)&amp;ROW($CJ7)&amp;":"&amp;XLOOKUP(FY$3,'TTM Dates'!$B:$B,'TTM Dates'!$C:$C)&amp;ROW($CJ7))))</f>
        <v>47323479.48</v>
      </c>
      <c r="FZ7" s="64">
        <f t="array" ref="FZ7">IF(FZ$3&gt;'GAAP Summary'!$B$2,0,SUM(INDIRECT(XLOOKUP(FZ$3,'TTM Dates'!$B:$B,'TTM Dates'!$E:$E)&amp;ROW($CJ7)&amp;":"&amp;XLOOKUP(FZ$3,'TTM Dates'!$B:$B,'TTM Dates'!$C:$C)&amp;ROW($CJ7))))</f>
        <v>50938925.05</v>
      </c>
      <c r="GA7" s="64">
        <f t="array" ref="GA7">IF(GA$3&gt;'GAAP Summary'!$B$2,0,SUM(INDIRECT(XLOOKUP(GA$3,'TTM Dates'!$B:$B,'TTM Dates'!$E:$E)&amp;ROW($CJ7)&amp;":"&amp;XLOOKUP(GA$3,'TTM Dates'!$B:$B,'TTM Dates'!$C:$C)&amp;ROW($CJ7))))</f>
        <v>50813004.95</v>
      </c>
      <c r="GB7" s="64">
        <f t="array" ref="GB7">IF(GB$3&gt;'GAAP Summary'!$B$2,0,SUM(INDIRECT(XLOOKUP(GB$3,'TTM Dates'!$B:$B,'TTM Dates'!$E:$E)&amp;ROW($CJ7)&amp;":"&amp;XLOOKUP(GB$3,'TTM Dates'!$B:$B,'TTM Dates'!$C:$C)&amp;ROW($CJ7))))</f>
        <v>51897137.95</v>
      </c>
      <c r="GC7" s="64">
        <f t="array" ref="GC7">IF(GC$3&gt;'GAAP Summary'!$B$2,0,SUM(INDIRECT(XLOOKUP(GC$3,'TTM Dates'!$B:$B,'TTM Dates'!$E:$E)&amp;ROW($CJ7)&amp;":"&amp;XLOOKUP(GC$3,'TTM Dates'!$B:$B,'TTM Dates'!$C:$C)&amp;ROW($CJ7))))</f>
        <v>56758224.1</v>
      </c>
      <c r="GD7" s="64">
        <f t="array" ref="GD7">IF(GD$3&gt;'GAAP Summary'!$B$2,0,SUM(INDIRECT(XLOOKUP(GD$3,'TTM Dates'!$B:$B,'TTM Dates'!$E:$E)&amp;ROW($CJ7)&amp;":"&amp;XLOOKUP(GD$3,'TTM Dates'!$B:$B,'TTM Dates'!$C:$C)&amp;ROW($CJ7))))</f>
        <v>52537525.1</v>
      </c>
      <c r="GE7" s="64">
        <f t="array" ref="GE7">IF(GE$3&gt;'GAAP Summary'!$B$2,0,SUM(INDIRECT(XLOOKUP(GE$3,'TTM Dates'!$B:$B,'TTM Dates'!$E:$E)&amp;ROW($CJ7)&amp;":"&amp;XLOOKUP(GE$3,'TTM Dates'!$B:$B,'TTM Dates'!$C:$C)&amp;ROW($CJ7))))</f>
        <v>54077925.42</v>
      </c>
      <c r="GF7" s="64">
        <f t="array" ref="GF7">IF(GF$3&gt;'GAAP Summary'!$B$2,0,SUM(INDIRECT(XLOOKUP(GF$3,'TTM Dates'!$B:$B,'TTM Dates'!$E:$E)&amp;ROW($CJ7)&amp;":"&amp;XLOOKUP(GF$3,'TTM Dates'!$B:$B,'TTM Dates'!$C:$C)&amp;ROW($CJ7))))</f>
        <v>53144205.92</v>
      </c>
      <c r="GG7" s="64">
        <f t="array" ref="GG7">IF(GG$3&gt;'GAAP Summary'!$B$2,0,SUM(INDIRECT(XLOOKUP(GG$3,'TTM Dates'!$B:$B,'TTM Dates'!$E:$E)&amp;ROW($CJ7)&amp;":"&amp;XLOOKUP(GG$3,'TTM Dates'!$B:$B,'TTM Dates'!$C:$C)&amp;ROW($CJ7))))</f>
        <v>0</v>
      </c>
      <c r="GH7" s="64">
        <f t="array" ref="GH7">IF(GH$3&gt;'GAAP Summary'!$B$2,0,SUM(INDIRECT(XLOOKUP(GH$3,'TTM Dates'!$B:$B,'TTM Dates'!$E:$E)&amp;ROW($CJ7)&amp;":"&amp;XLOOKUP(GH$3,'TTM Dates'!$B:$B,'TTM Dates'!$C:$C)&amp;ROW($CJ7))))</f>
        <v>0</v>
      </c>
      <c r="GI7" s="64">
        <f t="array" ref="GI7">IF(GI$3&gt;'GAAP Summary'!$B$2,0,SUM(INDIRECT(XLOOKUP(GI$3,'TTM Dates'!$B:$B,'TTM Dates'!$E:$E)&amp;ROW($CJ7)&amp;":"&amp;XLOOKUP(GI$3,'TTM Dates'!$B:$B,'TTM Dates'!$C:$C)&amp;ROW($CJ7))))</f>
        <v>0</v>
      </c>
      <c r="GJ7" s="64">
        <f t="array" ref="GJ7">IF(GJ$3&gt;'GAAP Summary'!$B$2,0,SUM(INDIRECT(XLOOKUP(GJ$3,'TTM Dates'!$B:$B,'TTM Dates'!$E:$E)&amp;ROW($CJ7)&amp;":"&amp;XLOOKUP(GJ$3,'TTM Dates'!$B:$B,'TTM Dates'!$C:$C)&amp;ROW($CJ7))))</f>
        <v>0</v>
      </c>
      <c r="GK7" s="64">
        <f t="array" ref="GK7">IF(GK$3&gt;'GAAP Summary'!$B$2,0,SUM(INDIRECT(XLOOKUP(GK$3,'TTM Dates'!$B:$B,'TTM Dates'!$E:$E)&amp;ROW($CJ7)&amp;":"&amp;XLOOKUP(GK$3,'TTM Dates'!$B:$B,'TTM Dates'!$C:$C)&amp;ROW($CJ7))))</f>
        <v>0</v>
      </c>
      <c r="GL7" s="64">
        <f t="array" ref="GL7">IF(GL$3&gt;'GAAP Summary'!$B$2,0,SUM(INDIRECT(XLOOKUP(GL$3,'TTM Dates'!$B:$B,'TTM Dates'!$E:$E)&amp;ROW($CJ7)&amp;":"&amp;XLOOKUP(GL$3,'TTM Dates'!$B:$B,'TTM Dates'!$C:$C)&amp;ROW($CJ7))))</f>
        <v>0</v>
      </c>
      <c r="GM7" s="64"/>
    </row>
    <row r="8">
      <c r="B8" s="135" t="s">
        <v>89</v>
      </c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7"/>
      <c r="R8" s="137"/>
      <c r="S8" s="136"/>
      <c r="T8" s="137"/>
      <c r="U8" s="137"/>
      <c r="V8" s="136"/>
      <c r="W8" s="137"/>
      <c r="X8" s="136"/>
      <c r="Y8" s="137"/>
      <c r="Z8" s="137"/>
      <c r="AA8" s="136">
        <v>99720.0</v>
      </c>
      <c r="AB8" s="137">
        <v>80640.0</v>
      </c>
      <c r="AC8" s="136">
        <v>204640.0</v>
      </c>
      <c r="AD8" s="136">
        <v>415440.0</v>
      </c>
      <c r="AE8" s="136">
        <v>586400.0</v>
      </c>
      <c r="AF8" s="136">
        <v>1074960.0</v>
      </c>
      <c r="AG8" s="137">
        <v>1328420.0</v>
      </c>
      <c r="AH8" s="137">
        <v>79040.0</v>
      </c>
      <c r="AI8" s="137">
        <v>922672.0</v>
      </c>
      <c r="AJ8" s="137">
        <v>1649000.0</v>
      </c>
      <c r="AK8" s="136">
        <v>427800.0</v>
      </c>
      <c r="AL8" s="137">
        <v>813970.0</v>
      </c>
      <c r="AM8" s="136">
        <v>134400.0</v>
      </c>
      <c r="AN8" s="136">
        <v>349104.0</v>
      </c>
      <c r="AO8" s="137">
        <v>801544.0</v>
      </c>
      <c r="AP8" s="136">
        <v>331413.01</v>
      </c>
      <c r="AQ8" s="136">
        <v>732202.0</v>
      </c>
      <c r="AR8" s="137">
        <v>985245.0</v>
      </c>
      <c r="AS8" s="137">
        <v>111000.0</v>
      </c>
      <c r="AT8" s="137">
        <v>1120200.0</v>
      </c>
      <c r="AU8" s="137">
        <v>293440.0</v>
      </c>
      <c r="AV8" s="137">
        <f>57600+216000+87680+106880+25000+345900</f>
        <v>839060</v>
      </c>
      <c r="AW8" s="137">
        <v>2468100.0</v>
      </c>
      <c r="AX8" s="137">
        <v>1607072.0</v>
      </c>
      <c r="AY8" s="137">
        <v>0.0</v>
      </c>
      <c r="AZ8" s="137">
        <f>60700+34560</f>
        <v>95260</v>
      </c>
      <c r="BA8" s="137">
        <v>664160.0</v>
      </c>
      <c r="BB8" s="137">
        <v>245840.0</v>
      </c>
      <c r="BC8" s="137">
        <v>1070080.0</v>
      </c>
      <c r="BD8" s="137">
        <v>595296.0</v>
      </c>
      <c r="BE8" s="137">
        <v>710760.0</v>
      </c>
      <c r="BF8" s="137">
        <v>1387561.0</v>
      </c>
      <c r="BG8" s="137">
        <v>286700.0</v>
      </c>
      <c r="BH8" s="137">
        <v>436906.0</v>
      </c>
      <c r="BI8" s="137">
        <v>2447618.0</v>
      </c>
      <c r="BJ8" s="137">
        <v>1341556.0</v>
      </c>
      <c r="BK8" s="137">
        <v>119460.0</v>
      </c>
      <c r="BL8" s="137">
        <v>115760.0</v>
      </c>
      <c r="BM8" s="137">
        <v>404780.0</v>
      </c>
      <c r="BN8" s="137">
        <v>1148000.0</v>
      </c>
      <c r="BO8" s="137">
        <v>433500.0</v>
      </c>
      <c r="BP8" s="137">
        <v>1071080.0</v>
      </c>
      <c r="BQ8" s="137">
        <v>825056.0</v>
      </c>
      <c r="BR8" s="137">
        <v>951820.0</v>
      </c>
      <c r="BS8" s="137">
        <v>610240.0</v>
      </c>
      <c r="BT8" s="137">
        <v>555824.0</v>
      </c>
      <c r="BU8" s="137">
        <v>2429600.0</v>
      </c>
      <c r="BV8" s="137">
        <v>2964830.0</v>
      </c>
      <c r="BW8" s="137">
        <v>109440.0</v>
      </c>
      <c r="BX8" s="138">
        <v>718652.0</v>
      </c>
      <c r="BY8" s="138">
        <v>2704916.0</v>
      </c>
      <c r="BZ8" s="138">
        <v>106832.0</v>
      </c>
      <c r="CA8" s="138">
        <v>551080.0</v>
      </c>
      <c r="CB8" s="138">
        <v>328016.0</v>
      </c>
      <c r="CC8" s="54"/>
      <c r="CD8" s="54"/>
      <c r="CE8" s="54"/>
      <c r="CF8" s="54"/>
      <c r="CG8" s="54"/>
      <c r="CH8" s="54"/>
      <c r="CI8" s="50"/>
      <c r="CJ8" s="50"/>
      <c r="CK8" s="140">
        <f t="array" ref="CK8">SUM(INDIRECT(XLOOKUP('GAAP Summary'!$B$2,'TTM Dates'!$B:$B,'TTM Dates'!$E:$E)&amp;ROW($CJ8)&amp;":"&amp;XLOOKUP('GAAP Summary'!$B$2,'TTM Dates'!$B:$B,'TTM Dates'!$C:$C)&amp;ROW($CJ8)))</f>
        <v>12856306</v>
      </c>
      <c r="CL8" s="70"/>
      <c r="CM8" s="141">
        <f t="shared" si="5"/>
        <v>3533008</v>
      </c>
      <c r="CN8" s="141">
        <f t="shared" si="6"/>
        <v>985928</v>
      </c>
      <c r="CO8" s="141">
        <f t="shared" ref="CO8:CO11" si="27">sum(CC8:CE8)</f>
        <v>0</v>
      </c>
      <c r="CP8" s="141">
        <f t="shared" ref="CP8:CP11" si="28">sum(CF8:CH8)</f>
        <v>0</v>
      </c>
      <c r="CQ8" s="140">
        <f t="shared" ref="CQ8:CQ11" si="29">sum(BW8:CH8)</f>
        <v>4518936</v>
      </c>
      <c r="CR8" s="137"/>
      <c r="CS8" s="137">
        <f t="shared" si="7"/>
        <v>640000</v>
      </c>
      <c r="CT8" s="137">
        <f t="shared" si="8"/>
        <v>2652580</v>
      </c>
      <c r="CU8" s="137">
        <f t="shared" si="9"/>
        <v>2387116</v>
      </c>
      <c r="CV8" s="137">
        <f t="shared" si="10"/>
        <v>5950254</v>
      </c>
      <c r="CW8" s="142">
        <f t="shared" si="11"/>
        <v>11629950</v>
      </c>
      <c r="CX8" s="79">
        <f t="shared" si="12"/>
        <v>0.2895495439</v>
      </c>
      <c r="CY8" s="137">
        <f t="shared" si="13"/>
        <v>759420</v>
      </c>
      <c r="CZ8" s="137">
        <f t="shared" si="14"/>
        <v>1911216</v>
      </c>
      <c r="DA8" s="137">
        <f t="shared" si="15"/>
        <v>2385021</v>
      </c>
      <c r="DB8" s="137">
        <f t="shared" si="16"/>
        <v>4226080</v>
      </c>
      <c r="DC8" s="142">
        <f t="shared" si="17"/>
        <v>9281737</v>
      </c>
      <c r="DD8" s="137"/>
      <c r="DE8" s="137">
        <f t="shared" si="18"/>
        <v>1285048</v>
      </c>
      <c r="DF8" s="137">
        <f t="shared" si="19"/>
        <v>2048860.01</v>
      </c>
      <c r="DG8" s="137">
        <f t="shared" si="20"/>
        <v>1524640</v>
      </c>
      <c r="DH8" s="137">
        <f t="shared" si="21"/>
        <v>4914232</v>
      </c>
      <c r="DI8" s="142">
        <f t="shared" ref="DI8:DI10" si="30">sum(AM8:AX8)</f>
        <v>9772780.01</v>
      </c>
      <c r="DJ8" s="137"/>
      <c r="DK8" s="137">
        <f t="shared" si="22"/>
        <v>385000</v>
      </c>
      <c r="DL8" s="137">
        <f t="shared" si="23"/>
        <v>2076800</v>
      </c>
      <c r="DM8" s="137">
        <f t="shared" si="24"/>
        <v>2330132</v>
      </c>
      <c r="DN8" s="137">
        <f t="shared" si="25"/>
        <v>2890770</v>
      </c>
      <c r="DO8" s="142">
        <f t="shared" si="26"/>
        <v>7682702</v>
      </c>
      <c r="DP8" s="137"/>
      <c r="DQ8" s="142">
        <f t="shared" ref="DQ8:DQ9" si="31">SUM(O8:Z8)</f>
        <v>0</v>
      </c>
      <c r="DR8" s="44"/>
      <c r="DS8" s="136">
        <f t="array" ref="DS8">IF(DS$3&gt;'GAAP Summary'!$B$2,0,SUM(INDIRECT(XLOOKUP(DS$3,'TTM Dates'!$B:$B,'TTM Dates'!$E:$E)&amp;ROW($CJ8)&amp;":"&amp;XLOOKUP(DS$3,'TTM Dates'!$B:$B,'TTM Dates'!$C:$C)&amp;ROW($CJ8))))</f>
        <v>0</v>
      </c>
      <c r="DT8" s="136">
        <f t="array" ref="DT8">IF(DT$3&gt;'GAAP Summary'!$B$2,0,SUM(INDIRECT(XLOOKUP(DT$3,'TTM Dates'!$B:$B,'TTM Dates'!$E:$E)&amp;ROW($CJ8)&amp;":"&amp;XLOOKUP(DT$3,'TTM Dates'!$B:$B,'TTM Dates'!$C:$C)&amp;ROW($CJ8))))</f>
        <v>0</v>
      </c>
      <c r="DU8" s="136">
        <f t="array" ref="DU8">IF(DU$3&gt;'GAAP Summary'!$B$2,0,SUM(INDIRECT(XLOOKUP(DU$3,'TTM Dates'!$B:$B,'TTM Dates'!$E:$E)&amp;ROW($CJ8)&amp;":"&amp;XLOOKUP(DU$3,'TTM Dates'!$B:$B,'TTM Dates'!$C:$C)&amp;ROW($CJ8))))</f>
        <v>0</v>
      </c>
      <c r="DV8" s="136">
        <f t="array" ref="DV8">IF(DV$3&gt;'GAAP Summary'!$B$2,0,SUM(INDIRECT(XLOOKUP(DV$3,'TTM Dates'!$B:$B,'TTM Dates'!$E:$E)&amp;ROW($CJ8)&amp;":"&amp;XLOOKUP(DV$3,'TTM Dates'!$B:$B,'TTM Dates'!$C:$C)&amp;ROW($CJ8))))</f>
        <v>0</v>
      </c>
      <c r="DW8" s="136">
        <f t="array" ref="DW8">IF(DW$3&gt;'GAAP Summary'!$B$2,0,SUM(INDIRECT(XLOOKUP(DW$3,'TTM Dates'!$B:$B,'TTM Dates'!$E:$E)&amp;ROW($CJ8)&amp;":"&amp;XLOOKUP(DW$3,'TTM Dates'!$B:$B,'TTM Dates'!$C:$C)&amp;ROW($CJ8))))</f>
        <v>0</v>
      </c>
      <c r="DX8" s="136">
        <f t="array" ref="DX8">IF(DX$3&gt;'GAAP Summary'!$B$2,0,SUM(INDIRECT(XLOOKUP(DX$3,'TTM Dates'!$B:$B,'TTM Dates'!$E:$E)&amp;ROW($CJ8)&amp;":"&amp;XLOOKUP(DX$3,'TTM Dates'!$B:$B,'TTM Dates'!$C:$C)&amp;ROW($CJ8))))</f>
        <v>0</v>
      </c>
      <c r="DY8" s="136">
        <f t="array" ref="DY8">IF(DY$3&gt;'GAAP Summary'!$B$2,0,SUM(INDIRECT(XLOOKUP(DY$3,'TTM Dates'!$B:$B,'TTM Dates'!$E:$E)&amp;ROW($CJ8)&amp;":"&amp;XLOOKUP(DY$3,'TTM Dates'!$B:$B,'TTM Dates'!$C:$C)&amp;ROW($CJ8))))</f>
        <v>0</v>
      </c>
      <c r="DZ8" s="136">
        <f t="array" ref="DZ8">IF(DZ$3&gt;'GAAP Summary'!$B$2,0,SUM(INDIRECT(XLOOKUP(DZ$3,'TTM Dates'!$B:$B,'TTM Dates'!$E:$E)&amp;ROW($CJ8)&amp;":"&amp;XLOOKUP(DZ$3,'TTM Dates'!$B:$B,'TTM Dates'!$C:$C)&amp;ROW($CJ8))))</f>
        <v>0</v>
      </c>
      <c r="EA8" s="136">
        <f t="array" ref="EA8">IF(EA$3&gt;'GAAP Summary'!$B$2,0,SUM(INDIRECT(XLOOKUP(EA$3,'TTM Dates'!$B:$B,'TTM Dates'!$E:$E)&amp;ROW($CJ8)&amp;":"&amp;XLOOKUP(EA$3,'TTM Dates'!$B:$B,'TTM Dates'!$C:$C)&amp;ROW($CJ8))))</f>
        <v>0</v>
      </c>
      <c r="EB8" s="136">
        <f t="array" ref="EB8">IF(EB$3&gt;'GAAP Summary'!$B$2,0,SUM(INDIRECT(XLOOKUP(EB$3,'TTM Dates'!$B:$B,'TTM Dates'!$E:$E)&amp;ROW($CJ8)&amp;":"&amp;XLOOKUP(EB$3,'TTM Dates'!$B:$B,'TTM Dates'!$C:$C)&amp;ROW($CJ8))))</f>
        <v>0</v>
      </c>
      <c r="EC8" s="136">
        <f t="array" ref="EC8">IF(EC$3&gt;'GAAP Summary'!$B$2,0,SUM(INDIRECT(XLOOKUP(EC$3,'TTM Dates'!$B:$B,'TTM Dates'!$E:$E)&amp;ROW($CJ8)&amp;":"&amp;XLOOKUP(EC$3,'TTM Dates'!$B:$B,'TTM Dates'!$C:$C)&amp;ROW($CJ8))))</f>
        <v>0</v>
      </c>
      <c r="ED8" s="136">
        <f t="array" ref="ED8">IF(ED$3&gt;'GAAP Summary'!$B$2,0,SUM(INDIRECT(XLOOKUP(ED$3,'TTM Dates'!$B:$B,'TTM Dates'!$E:$E)&amp;ROW($CJ8)&amp;":"&amp;XLOOKUP(ED$3,'TTM Dates'!$B:$B,'TTM Dates'!$C:$C)&amp;ROW($CJ8))))</f>
        <v>0</v>
      </c>
      <c r="EE8" s="136">
        <f t="array" ref="EE8">IF(EE$3&gt;'GAAP Summary'!$B$2,0,SUM(INDIRECT(XLOOKUP(EE$3,'TTM Dates'!$B:$B,'TTM Dates'!$E:$E)&amp;ROW($CJ8)&amp;":"&amp;XLOOKUP(EE$3,'TTM Dates'!$B:$B,'TTM Dates'!$C:$C)&amp;ROW($CJ8))))</f>
        <v>99720</v>
      </c>
      <c r="EF8" s="136">
        <f t="array" ref="EF8">IF(EF$3&gt;'GAAP Summary'!$B$2,0,SUM(INDIRECT(XLOOKUP(EF$3,'TTM Dates'!$B:$B,'TTM Dates'!$E:$E)&amp;ROW($CJ8)&amp;":"&amp;XLOOKUP(EF$3,'TTM Dates'!$B:$B,'TTM Dates'!$C:$C)&amp;ROW($CJ8))))</f>
        <v>180360</v>
      </c>
      <c r="EG8" s="136">
        <f t="array" ref="EG8">IF(EG$3&gt;'GAAP Summary'!$B$2,0,SUM(INDIRECT(XLOOKUP(EG$3,'TTM Dates'!$B:$B,'TTM Dates'!$E:$E)&amp;ROW($CJ8)&amp;":"&amp;XLOOKUP(EG$3,'TTM Dates'!$B:$B,'TTM Dates'!$C:$C)&amp;ROW($CJ8))))</f>
        <v>385000</v>
      </c>
      <c r="EH8" s="136">
        <f t="array" ref="EH8">IF(EH$3&gt;'GAAP Summary'!$B$2,0,SUM(INDIRECT(XLOOKUP(EH$3,'TTM Dates'!$B:$B,'TTM Dates'!$E:$E)&amp;ROW($CJ8)&amp;":"&amp;XLOOKUP(EH$3,'TTM Dates'!$B:$B,'TTM Dates'!$C:$C)&amp;ROW($CJ8))))</f>
        <v>800440</v>
      </c>
      <c r="EI8" s="136">
        <f t="array" ref="EI8">IF(EI$3&gt;'GAAP Summary'!$B$2,0,SUM(INDIRECT(XLOOKUP(EI$3,'TTM Dates'!$B:$B,'TTM Dates'!$E:$E)&amp;ROW($CJ8)&amp;":"&amp;XLOOKUP(EI$3,'TTM Dates'!$B:$B,'TTM Dates'!$C:$C)&amp;ROW($CJ8))))</f>
        <v>1386840</v>
      </c>
      <c r="EJ8" s="136">
        <f t="array" ref="EJ8">IF(EJ$3&gt;'GAAP Summary'!$B$2,0,SUM(INDIRECT(XLOOKUP(EJ$3,'TTM Dates'!$B:$B,'TTM Dates'!$E:$E)&amp;ROW($CJ8)&amp;":"&amp;XLOOKUP(EJ$3,'TTM Dates'!$B:$B,'TTM Dates'!$C:$C)&amp;ROW($CJ8))))</f>
        <v>2461800</v>
      </c>
      <c r="EK8" s="136">
        <f t="array" ref="EK8">IF(EK$3&gt;'GAAP Summary'!$B$2,0,SUM(INDIRECT(XLOOKUP(EK$3,'TTM Dates'!$B:$B,'TTM Dates'!$E:$E)&amp;ROW($CJ8)&amp;":"&amp;XLOOKUP(EK$3,'TTM Dates'!$B:$B,'TTM Dates'!$C:$C)&amp;ROW($CJ8))))</f>
        <v>3790220</v>
      </c>
      <c r="EL8" s="136">
        <f t="array" ref="EL8">IF(EL$3&gt;'GAAP Summary'!$B$2,0,SUM(INDIRECT(XLOOKUP(EL$3,'TTM Dates'!$B:$B,'TTM Dates'!$E:$E)&amp;ROW($CJ8)&amp;":"&amp;XLOOKUP(EL$3,'TTM Dates'!$B:$B,'TTM Dates'!$C:$C)&amp;ROW($CJ8))))</f>
        <v>3869260</v>
      </c>
      <c r="EM8" s="136">
        <f t="array" ref="EM8">IF(EM$3&gt;'GAAP Summary'!$B$2,0,SUM(INDIRECT(XLOOKUP(EM$3,'TTM Dates'!$B:$B,'TTM Dates'!$E:$E)&amp;ROW($CJ8)&amp;":"&amp;XLOOKUP(EM$3,'TTM Dates'!$B:$B,'TTM Dates'!$C:$C)&amp;ROW($CJ8))))</f>
        <v>4791932</v>
      </c>
      <c r="EN8" s="136">
        <f t="array" ref="EN8">IF(EN$3&gt;'GAAP Summary'!$B$2,0,SUM(INDIRECT(XLOOKUP(EN$3,'TTM Dates'!$B:$B,'TTM Dates'!$E:$E)&amp;ROW($CJ8)&amp;":"&amp;XLOOKUP(EN$3,'TTM Dates'!$B:$B,'TTM Dates'!$C:$C)&amp;ROW($CJ8))))</f>
        <v>6440932</v>
      </c>
      <c r="EO8" s="136">
        <f t="array" ref="EO8">IF(EO$3&gt;'GAAP Summary'!$B$2,0,SUM(INDIRECT(XLOOKUP(EO$3,'TTM Dates'!$B:$B,'TTM Dates'!$E:$E)&amp;ROW($CJ8)&amp;":"&amp;XLOOKUP(EO$3,'TTM Dates'!$B:$B,'TTM Dates'!$C:$C)&amp;ROW($CJ8))))</f>
        <v>6868732</v>
      </c>
      <c r="EP8" s="136">
        <f t="array" ref="EP8">IF(EP$3&gt;'GAAP Summary'!$B$2,0,SUM(INDIRECT(XLOOKUP(EP$3,'TTM Dates'!$B:$B,'TTM Dates'!$E:$E)&amp;ROW($CJ8)&amp;":"&amp;XLOOKUP(EP$3,'TTM Dates'!$B:$B,'TTM Dates'!$C:$C)&amp;ROW($CJ8))))</f>
        <v>7682702</v>
      </c>
      <c r="EQ8" s="136">
        <f t="array" ref="EQ8">IF(EQ$3&gt;'GAAP Summary'!$B$2,0,SUM(INDIRECT(XLOOKUP(EQ$3,'TTM Dates'!$B:$B,'TTM Dates'!$E:$E)&amp;ROW($CJ8)&amp;":"&amp;XLOOKUP(EQ$3,'TTM Dates'!$B:$B,'TTM Dates'!$C:$C)&amp;ROW($CJ8))))</f>
        <v>7717382</v>
      </c>
      <c r="ER8" s="136">
        <f t="array" ref="ER8">IF(ER$3&gt;'GAAP Summary'!$B$2,0,SUM(INDIRECT(XLOOKUP(ER$3,'TTM Dates'!$B:$B,'TTM Dates'!$E:$E)&amp;ROW($CJ8)&amp;":"&amp;XLOOKUP(ER$3,'TTM Dates'!$B:$B,'TTM Dates'!$C:$C)&amp;ROW($CJ8))))</f>
        <v>7985846</v>
      </c>
      <c r="ES8" s="136">
        <f t="array" ref="ES8">IF(ES$3&gt;'GAAP Summary'!$B$2,0,SUM(INDIRECT(XLOOKUP(ES$3,'TTM Dates'!$B:$B,'TTM Dates'!$E:$E)&amp;ROW($CJ8)&amp;":"&amp;XLOOKUP(ES$3,'TTM Dates'!$B:$B,'TTM Dates'!$C:$C)&amp;ROW($CJ8))))</f>
        <v>8582750</v>
      </c>
      <c r="ET8" s="136">
        <f t="array" ref="ET8">IF(ET$3&gt;'GAAP Summary'!$B$2,0,SUM(INDIRECT(XLOOKUP(ET$3,'TTM Dates'!$B:$B,'TTM Dates'!$E:$E)&amp;ROW($CJ8)&amp;":"&amp;XLOOKUP(ET$3,'TTM Dates'!$B:$B,'TTM Dates'!$C:$C)&amp;ROW($CJ8))))</f>
        <v>8498723.01</v>
      </c>
      <c r="EU8" s="136">
        <f t="array" ref="EU8">IF(EU$3&gt;'GAAP Summary'!$B$2,0,SUM(INDIRECT(XLOOKUP(EU$3,'TTM Dates'!$B:$B,'TTM Dates'!$E:$E)&amp;ROW($CJ8)&amp;":"&amp;XLOOKUP(EU$3,'TTM Dates'!$B:$B,'TTM Dates'!$C:$C)&amp;ROW($CJ8))))</f>
        <v>8644525.01</v>
      </c>
      <c r="EV8" s="136">
        <f t="array" ref="EV8">IF(EV$3&gt;'GAAP Summary'!$B$2,0,SUM(INDIRECT(XLOOKUP(EV$3,'TTM Dates'!$B:$B,'TTM Dates'!$E:$E)&amp;ROW($CJ8)&amp;":"&amp;XLOOKUP(EV$3,'TTM Dates'!$B:$B,'TTM Dates'!$C:$C)&amp;ROW($CJ8))))</f>
        <v>8554810.01</v>
      </c>
      <c r="EW8" s="136">
        <f t="array" ref="EW8">IF(EW$3&gt;'GAAP Summary'!$B$2,0,SUM(INDIRECT(XLOOKUP(EW$3,'TTM Dates'!$B:$B,'TTM Dates'!$E:$E)&amp;ROW($CJ8)&amp;":"&amp;XLOOKUP(EW$3,'TTM Dates'!$B:$B,'TTM Dates'!$C:$C)&amp;ROW($CJ8))))</f>
        <v>7337390.01</v>
      </c>
      <c r="EX8" s="136">
        <f t="array" ref="EX8">IF(EX$3&gt;'GAAP Summary'!$B$2,0,SUM(INDIRECT(XLOOKUP(EX$3,'TTM Dates'!$B:$B,'TTM Dates'!$E:$E)&amp;ROW($CJ8)&amp;":"&amp;XLOOKUP(EX$3,'TTM Dates'!$B:$B,'TTM Dates'!$C:$C)&amp;ROW($CJ8))))</f>
        <v>8378550.01</v>
      </c>
      <c r="EY8" s="136">
        <f t="array" ref="EY8">IF(EY$3&gt;'GAAP Summary'!$B$2,0,SUM(INDIRECT(XLOOKUP(EY$3,'TTM Dates'!$B:$B,'TTM Dates'!$E:$E)&amp;ROW($CJ8)&amp;":"&amp;XLOOKUP(EY$3,'TTM Dates'!$B:$B,'TTM Dates'!$C:$C)&amp;ROW($CJ8))))</f>
        <v>7749318.01</v>
      </c>
      <c r="EZ8" s="136">
        <f t="array" ref="EZ8">IF(EZ$3&gt;'GAAP Summary'!$B$2,0,SUM(INDIRECT(XLOOKUP(EZ$3,'TTM Dates'!$B:$B,'TTM Dates'!$E:$E)&amp;ROW($CJ8)&amp;":"&amp;XLOOKUP(EZ$3,'TTM Dates'!$B:$B,'TTM Dates'!$C:$C)&amp;ROW($CJ8))))</f>
        <v>6939378.01</v>
      </c>
      <c r="FA8" s="136">
        <f t="array" ref="FA8">IF(FA$3&gt;'GAAP Summary'!$B$2,0,SUM(INDIRECT(XLOOKUP(FA$3,'TTM Dates'!$B:$B,'TTM Dates'!$E:$E)&amp;ROW($CJ8)&amp;":"&amp;XLOOKUP(FA$3,'TTM Dates'!$B:$B,'TTM Dates'!$C:$C)&amp;ROW($CJ8))))</f>
        <v>8979678.01</v>
      </c>
      <c r="FB8" s="136">
        <f t="array" ref="FB8">IF(FB$3&gt;'GAAP Summary'!$B$2,0,SUM(INDIRECT(XLOOKUP(FB$3,'TTM Dates'!$B:$B,'TTM Dates'!$E:$E)&amp;ROW($CJ8)&amp;":"&amp;XLOOKUP(FB$3,'TTM Dates'!$B:$B,'TTM Dates'!$C:$C)&amp;ROW($CJ8))))</f>
        <v>9772780.01</v>
      </c>
      <c r="FC8" s="136">
        <f t="array" ref="FC8">IF(FC$3&gt;'GAAP Summary'!$B$2,0,SUM(INDIRECT(XLOOKUP(FC$3,'TTM Dates'!$B:$B,'TTM Dates'!$E:$E)&amp;ROW($CJ8)&amp;":"&amp;XLOOKUP(FC$3,'TTM Dates'!$B:$B,'TTM Dates'!$C:$C)&amp;ROW($CJ8))))</f>
        <v>9638380.01</v>
      </c>
      <c r="FD8" s="136">
        <f t="array" ref="FD8">IF(FD$3&gt;'GAAP Summary'!$B$2,0,SUM(INDIRECT(XLOOKUP(FD$3,'TTM Dates'!$B:$B,'TTM Dates'!$E:$E)&amp;ROW($CJ8)&amp;":"&amp;XLOOKUP(FD$3,'TTM Dates'!$B:$B,'TTM Dates'!$C:$C)&amp;ROW($CJ8))))</f>
        <v>9384536.01</v>
      </c>
      <c r="FE8" s="136">
        <f t="array" ref="FE8">IF(FE$3&gt;'GAAP Summary'!$B$2,0,SUM(INDIRECT(XLOOKUP(FE$3,'TTM Dates'!$B:$B,'TTM Dates'!$E:$E)&amp;ROW($CJ8)&amp;":"&amp;XLOOKUP(FE$3,'TTM Dates'!$B:$B,'TTM Dates'!$C:$C)&amp;ROW($CJ8))))</f>
        <v>9247152.01</v>
      </c>
      <c r="FF8" s="136">
        <f t="array" ref="FF8">IF(FF$3&gt;'GAAP Summary'!$B$2,0,SUM(INDIRECT(XLOOKUP(FF$3,'TTM Dates'!$B:$B,'TTM Dates'!$E:$E)&amp;ROW($CJ8)&amp;":"&amp;XLOOKUP(FF$3,'TTM Dates'!$B:$B,'TTM Dates'!$C:$C)&amp;ROW($CJ8))))</f>
        <v>9161579</v>
      </c>
      <c r="FG8" s="136">
        <f t="array" ref="FG8">IF(FG$3&gt;'GAAP Summary'!$B$2,0,SUM(INDIRECT(XLOOKUP(FG$3,'TTM Dates'!$B:$B,'TTM Dates'!$E:$E)&amp;ROW($CJ8)&amp;":"&amp;XLOOKUP(FG$3,'TTM Dates'!$B:$B,'TTM Dates'!$C:$C)&amp;ROW($CJ8))))</f>
        <v>9499457</v>
      </c>
      <c r="FH8" s="136">
        <f t="array" ref="FH8">IF(FH$3&gt;'GAAP Summary'!$B$2,0,SUM(INDIRECT(XLOOKUP(FH$3,'TTM Dates'!$B:$B,'TTM Dates'!$E:$E)&amp;ROW($CJ8)&amp;":"&amp;XLOOKUP(FH$3,'TTM Dates'!$B:$B,'TTM Dates'!$C:$C)&amp;ROW($CJ8))))</f>
        <v>9109508</v>
      </c>
      <c r="FI8" s="136">
        <f t="array" ref="FI8">IF(FI$3&gt;'GAAP Summary'!$B$2,0,SUM(INDIRECT(XLOOKUP(FI$3,'TTM Dates'!$B:$B,'TTM Dates'!$E:$E)&amp;ROW($CJ8)&amp;":"&amp;XLOOKUP(FI$3,'TTM Dates'!$B:$B,'TTM Dates'!$C:$C)&amp;ROW($CJ8))))</f>
        <v>9709268</v>
      </c>
      <c r="FJ8" s="136">
        <f t="array" ref="FJ8">IF(FJ$3&gt;'GAAP Summary'!$B$2,0,SUM(INDIRECT(XLOOKUP(FJ$3,'TTM Dates'!$B:$B,'TTM Dates'!$E:$E)&amp;ROW($CJ8)&amp;":"&amp;XLOOKUP(FJ$3,'TTM Dates'!$B:$B,'TTM Dates'!$C:$C)&amp;ROW($CJ8))))</f>
        <v>9976629</v>
      </c>
      <c r="FK8" s="136">
        <f t="array" ref="FK8">IF(FK$3&gt;'GAAP Summary'!$B$2,0,SUM(INDIRECT(XLOOKUP(FK$3,'TTM Dates'!$B:$B,'TTM Dates'!$E:$E)&amp;ROW($CJ8)&amp;":"&amp;XLOOKUP(FK$3,'TTM Dates'!$B:$B,'TTM Dates'!$C:$C)&amp;ROW($CJ8))))</f>
        <v>9969889</v>
      </c>
      <c r="FL8" s="136">
        <f t="array" ref="FL8">IF(FL$3&gt;'GAAP Summary'!$B$2,0,SUM(INDIRECT(XLOOKUP(FL$3,'TTM Dates'!$B:$B,'TTM Dates'!$E:$E)&amp;ROW($CJ8)&amp;":"&amp;XLOOKUP(FL$3,'TTM Dates'!$B:$B,'TTM Dates'!$C:$C)&amp;ROW($CJ8))))</f>
        <v>9567735</v>
      </c>
      <c r="FM8" s="136">
        <f t="array" ref="FM8">IF(FM$3&gt;'GAAP Summary'!$B$2,0,SUM(INDIRECT(XLOOKUP(FM$3,'TTM Dates'!$B:$B,'TTM Dates'!$E:$E)&amp;ROW($CJ8)&amp;":"&amp;XLOOKUP(FM$3,'TTM Dates'!$B:$B,'TTM Dates'!$C:$C)&amp;ROW($CJ8))))</f>
        <v>9547253</v>
      </c>
      <c r="FN8" s="136">
        <f t="array" ref="FN8">IF(FN$3&gt;'GAAP Summary'!$B$2,0,SUM(INDIRECT(XLOOKUP(FN$3,'TTM Dates'!$B:$B,'TTM Dates'!$E:$E)&amp;ROW($CJ8)&amp;":"&amp;XLOOKUP(FN$3,'TTM Dates'!$B:$B,'TTM Dates'!$C:$C)&amp;ROW($CJ8))))</f>
        <v>9281737</v>
      </c>
      <c r="FO8" s="136">
        <f t="array" ref="FO8">IF(FO$3&gt;'GAAP Summary'!$B$2,0,SUM(INDIRECT(XLOOKUP(FO$3,'TTM Dates'!$B:$B,'TTM Dates'!$E:$E)&amp;ROW($CJ8)&amp;":"&amp;XLOOKUP(FO$3,'TTM Dates'!$B:$B,'TTM Dates'!$C:$C)&amp;ROW($CJ8))))</f>
        <v>9401197</v>
      </c>
      <c r="FP8" s="136">
        <f t="array" ref="FP8">IF(FP$3&gt;'GAAP Summary'!$B$2,0,SUM(INDIRECT(XLOOKUP(FP$3,'TTM Dates'!$B:$B,'TTM Dates'!$E:$E)&amp;ROW($CJ8)&amp;":"&amp;XLOOKUP(FP$3,'TTM Dates'!$B:$B,'TTM Dates'!$C:$C)&amp;ROW($CJ8))))</f>
        <v>9421697</v>
      </c>
      <c r="FQ8" s="136">
        <f t="array" ref="FQ8">IF(FQ$3&gt;'GAAP Summary'!$B$2,0,SUM(INDIRECT(XLOOKUP(FQ$3,'TTM Dates'!$B:$B,'TTM Dates'!$E:$E)&amp;ROW($CJ8)&amp;":"&amp;XLOOKUP(FQ$3,'TTM Dates'!$B:$B,'TTM Dates'!$C:$C)&amp;ROW($CJ8))))</f>
        <v>9162317</v>
      </c>
      <c r="FR8" s="136">
        <f t="array" ref="FR8">IF(FR$3&gt;'GAAP Summary'!$B$2,0,SUM(INDIRECT(XLOOKUP(FR$3,'TTM Dates'!$B:$B,'TTM Dates'!$E:$E)&amp;ROW($CJ8)&amp;":"&amp;XLOOKUP(FR$3,'TTM Dates'!$B:$B,'TTM Dates'!$C:$C)&amp;ROW($CJ8))))</f>
        <v>10064477</v>
      </c>
      <c r="FS8" s="136">
        <f t="array" ref="FS8">IF(FS$3&gt;'GAAP Summary'!$B$2,0,SUM(INDIRECT(XLOOKUP(FS$3,'TTM Dates'!$B:$B,'TTM Dates'!$E:$E)&amp;ROW($CJ8)&amp;":"&amp;XLOOKUP(FS$3,'TTM Dates'!$B:$B,'TTM Dates'!$C:$C)&amp;ROW($CJ8))))</f>
        <v>9427897</v>
      </c>
      <c r="FT8" s="136">
        <f t="array" ref="FT8">IF(FT$3&gt;'GAAP Summary'!$B$2,0,SUM(INDIRECT(XLOOKUP(FT$3,'TTM Dates'!$B:$B,'TTM Dates'!$E:$E)&amp;ROW($CJ8)&amp;":"&amp;XLOOKUP(FT$3,'TTM Dates'!$B:$B,'TTM Dates'!$C:$C)&amp;ROW($CJ8))))</f>
        <v>9903681</v>
      </c>
      <c r="FU8" s="136">
        <f t="array" ref="FU8">IF(FU$3&gt;'GAAP Summary'!$B$2,0,SUM(INDIRECT(XLOOKUP(FU$3,'TTM Dates'!$B:$B,'TTM Dates'!$E:$E)&amp;ROW($CJ8)&amp;":"&amp;XLOOKUP(FU$3,'TTM Dates'!$B:$B,'TTM Dates'!$C:$C)&amp;ROW($CJ8))))</f>
        <v>10017977</v>
      </c>
      <c r="FV8" s="136">
        <f t="array" ref="FV8">IF(FV$3&gt;'GAAP Summary'!$B$2,0,SUM(INDIRECT(XLOOKUP(FV$3,'TTM Dates'!$B:$B,'TTM Dates'!$E:$E)&amp;ROW($CJ8)&amp;":"&amp;XLOOKUP(FV$3,'TTM Dates'!$B:$B,'TTM Dates'!$C:$C)&amp;ROW($CJ8))))</f>
        <v>9582236</v>
      </c>
      <c r="FW8" s="136">
        <f t="array" ref="FW8">IF(FW$3&gt;'GAAP Summary'!$B$2,0,SUM(INDIRECT(XLOOKUP(FW$3,'TTM Dates'!$B:$B,'TTM Dates'!$E:$E)&amp;ROW($CJ8)&amp;":"&amp;XLOOKUP(FW$3,'TTM Dates'!$B:$B,'TTM Dates'!$C:$C)&amp;ROW($CJ8))))</f>
        <v>9905776</v>
      </c>
      <c r="FX8" s="136">
        <f t="array" ref="FX8">IF(FX$3&gt;'GAAP Summary'!$B$2,0,SUM(INDIRECT(XLOOKUP(FX$3,'TTM Dates'!$B:$B,'TTM Dates'!$E:$E)&amp;ROW($CJ8)&amp;":"&amp;XLOOKUP(FX$3,'TTM Dates'!$B:$B,'TTM Dates'!$C:$C)&amp;ROW($CJ8))))</f>
        <v>10024694</v>
      </c>
      <c r="FY8" s="136">
        <f t="array" ref="FY8">IF(FY$3&gt;'GAAP Summary'!$B$2,0,SUM(INDIRECT(XLOOKUP(FY$3,'TTM Dates'!$B:$B,'TTM Dates'!$E:$E)&amp;ROW($CJ8)&amp;":"&amp;XLOOKUP(FY$3,'TTM Dates'!$B:$B,'TTM Dates'!$C:$C)&amp;ROW($CJ8))))</f>
        <v>10006676</v>
      </c>
      <c r="FZ8" s="136">
        <f t="array" ref="FZ8">IF(FZ$3&gt;'GAAP Summary'!$B$2,0,SUM(INDIRECT(XLOOKUP(FZ$3,'TTM Dates'!$B:$B,'TTM Dates'!$E:$E)&amp;ROW($CJ8)&amp;":"&amp;XLOOKUP(FZ$3,'TTM Dates'!$B:$B,'TTM Dates'!$C:$C)&amp;ROW($CJ8))))</f>
        <v>11629950</v>
      </c>
      <c r="GA8" s="136">
        <f t="array" ref="GA8">IF(GA$3&gt;'GAAP Summary'!$B$2,0,SUM(INDIRECT(XLOOKUP(GA$3,'TTM Dates'!$B:$B,'TTM Dates'!$E:$E)&amp;ROW($CJ8)&amp;":"&amp;XLOOKUP(GA$3,'TTM Dates'!$B:$B,'TTM Dates'!$C:$C)&amp;ROW($CJ8))))</f>
        <v>11619930</v>
      </c>
      <c r="GB8" s="136">
        <f t="array" ref="GB8">IF(GB$3&gt;'GAAP Summary'!$B$2,0,SUM(INDIRECT(XLOOKUP(GB$3,'TTM Dates'!$B:$B,'TTM Dates'!$E:$E)&amp;ROW($CJ8)&amp;":"&amp;XLOOKUP(GB$3,'TTM Dates'!$B:$B,'TTM Dates'!$C:$C)&amp;ROW($CJ8))))</f>
        <v>12222822</v>
      </c>
      <c r="GC8" s="136">
        <f t="array" ref="GC8">IF(GC$3&gt;'GAAP Summary'!$B$2,0,SUM(INDIRECT(XLOOKUP(GC$3,'TTM Dates'!$B:$B,'TTM Dates'!$E:$E)&amp;ROW($CJ8)&amp;":"&amp;XLOOKUP(GC$3,'TTM Dates'!$B:$B,'TTM Dates'!$C:$C)&amp;ROW($CJ8))))</f>
        <v>14522958</v>
      </c>
      <c r="GD8" s="136">
        <f t="array" ref="GD8">IF(GD$3&gt;'GAAP Summary'!$B$2,0,SUM(INDIRECT(XLOOKUP(GD$3,'TTM Dates'!$B:$B,'TTM Dates'!$E:$E)&amp;ROW($CJ8)&amp;":"&amp;XLOOKUP(GD$3,'TTM Dates'!$B:$B,'TTM Dates'!$C:$C)&amp;ROW($CJ8))))</f>
        <v>13481790</v>
      </c>
      <c r="GE8" s="136">
        <f t="array" ref="GE8">IF(GE$3&gt;'GAAP Summary'!$B$2,0,SUM(INDIRECT(XLOOKUP(GE$3,'TTM Dates'!$B:$B,'TTM Dates'!$E:$E)&amp;ROW($CJ8)&amp;":"&amp;XLOOKUP(GE$3,'TTM Dates'!$B:$B,'TTM Dates'!$C:$C)&amp;ROW($CJ8))))</f>
        <v>13599370</v>
      </c>
      <c r="GF8" s="136">
        <f t="array" ref="GF8">IF(GF$3&gt;'GAAP Summary'!$B$2,0,SUM(INDIRECT(XLOOKUP(GF$3,'TTM Dates'!$B:$B,'TTM Dates'!$E:$E)&amp;ROW($CJ8)&amp;":"&amp;XLOOKUP(GF$3,'TTM Dates'!$B:$B,'TTM Dates'!$C:$C)&amp;ROW($CJ8))))</f>
        <v>12856306</v>
      </c>
      <c r="GG8" s="136">
        <f t="array" ref="GG8">IF(GG$3&gt;'GAAP Summary'!$B$2,0,SUM(INDIRECT(XLOOKUP(GG$3,'TTM Dates'!$B:$B,'TTM Dates'!$E:$E)&amp;ROW($CJ8)&amp;":"&amp;XLOOKUP(GG$3,'TTM Dates'!$B:$B,'TTM Dates'!$C:$C)&amp;ROW($CJ8))))</f>
        <v>0</v>
      </c>
      <c r="GH8" s="136">
        <f t="array" ref="GH8">IF(GH$3&gt;'GAAP Summary'!$B$2,0,SUM(INDIRECT(XLOOKUP(GH$3,'TTM Dates'!$B:$B,'TTM Dates'!$E:$E)&amp;ROW($CJ8)&amp;":"&amp;XLOOKUP(GH$3,'TTM Dates'!$B:$B,'TTM Dates'!$C:$C)&amp;ROW($CJ8))))</f>
        <v>0</v>
      </c>
      <c r="GI8" s="136">
        <f t="array" ref="GI8">IF(GI$3&gt;'GAAP Summary'!$B$2,0,SUM(INDIRECT(XLOOKUP(GI$3,'TTM Dates'!$B:$B,'TTM Dates'!$E:$E)&amp;ROW($CJ8)&amp;":"&amp;XLOOKUP(GI$3,'TTM Dates'!$B:$B,'TTM Dates'!$C:$C)&amp;ROW($CJ8))))</f>
        <v>0</v>
      </c>
      <c r="GJ8" s="136">
        <f t="array" ref="GJ8">IF(GJ$3&gt;'GAAP Summary'!$B$2,0,SUM(INDIRECT(XLOOKUP(GJ$3,'TTM Dates'!$B:$B,'TTM Dates'!$E:$E)&amp;ROW($CJ8)&amp;":"&amp;XLOOKUP(GJ$3,'TTM Dates'!$B:$B,'TTM Dates'!$C:$C)&amp;ROW($CJ8))))</f>
        <v>0</v>
      </c>
      <c r="GK8" s="136">
        <f t="array" ref="GK8">IF(GK$3&gt;'GAAP Summary'!$B$2,0,SUM(INDIRECT(XLOOKUP(GK$3,'TTM Dates'!$B:$B,'TTM Dates'!$E:$E)&amp;ROW($CJ8)&amp;":"&amp;XLOOKUP(GK$3,'TTM Dates'!$B:$B,'TTM Dates'!$C:$C)&amp;ROW($CJ8))))</f>
        <v>0</v>
      </c>
      <c r="GL8" s="136">
        <f t="array" ref="GL8">IF(GL$3&gt;'GAAP Summary'!$B$2,0,SUM(INDIRECT(XLOOKUP(GL$3,'TTM Dates'!$B:$B,'TTM Dates'!$E:$E)&amp;ROW($CJ8)&amp;":"&amp;XLOOKUP(GL$3,'TTM Dates'!$B:$B,'TTM Dates'!$C:$C)&amp;ROW($CJ8))))</f>
        <v>0</v>
      </c>
      <c r="GM8" s="136"/>
    </row>
    <row r="9">
      <c r="B9" s="53" t="s">
        <v>157</v>
      </c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>
        <v>45100.0</v>
      </c>
      <c r="AB9" s="136">
        <v>34560.0</v>
      </c>
      <c r="AC9" s="136">
        <v>2906490.0</v>
      </c>
      <c r="AD9" s="136">
        <v>240400.0</v>
      </c>
      <c r="AE9" s="136">
        <v>3445490.0</v>
      </c>
      <c r="AF9" s="136">
        <v>1705200.0</v>
      </c>
      <c r="AG9" s="136">
        <v>1642900.0</v>
      </c>
      <c r="AH9" s="136">
        <v>240000.0</v>
      </c>
      <c r="AI9" s="136">
        <v>1323460.0</v>
      </c>
      <c r="AJ9" s="136">
        <v>977400.0</v>
      </c>
      <c r="AK9" s="136">
        <v>459420.0</v>
      </c>
      <c r="AL9" s="136">
        <v>3326280.0</v>
      </c>
      <c r="AM9" s="136">
        <v>0.0</v>
      </c>
      <c r="AN9" s="136">
        <v>245760.0</v>
      </c>
      <c r="AO9" s="137">
        <v>1007040.0</v>
      </c>
      <c r="AP9" s="136">
        <v>220200.0</v>
      </c>
      <c r="AQ9" s="136">
        <v>103200.0</v>
      </c>
      <c r="AR9" s="136">
        <v>1237328.0</v>
      </c>
      <c r="AS9" s="137">
        <v>796400.0</v>
      </c>
      <c r="AT9" s="137">
        <v>968070.0</v>
      </c>
      <c r="AU9" s="137">
        <v>929178.0</v>
      </c>
      <c r="AV9" s="137">
        <f>249600+81000+40500+20025+103200</f>
        <v>494325</v>
      </c>
      <c r="AW9" s="137">
        <v>874546.0</v>
      </c>
      <c r="AX9" s="137">
        <v>1259600.0</v>
      </c>
      <c r="AY9" s="137">
        <v>57000.0</v>
      </c>
      <c r="AZ9" s="137">
        <v>235790.0</v>
      </c>
      <c r="BA9" s="137">
        <v>4709700.0</v>
      </c>
      <c r="BB9" s="137">
        <v>1366812.0</v>
      </c>
      <c r="BC9" s="137">
        <v>2795784.0</v>
      </c>
      <c r="BD9" s="137">
        <v>395700.0</v>
      </c>
      <c r="BE9" s="137">
        <v>689600.0</v>
      </c>
      <c r="BF9" s="137">
        <v>685920.0</v>
      </c>
      <c r="BG9" s="137">
        <v>2020630.0</v>
      </c>
      <c r="BH9" s="137">
        <v>2156205.2</v>
      </c>
      <c r="BI9" s="137">
        <v>479693.52</v>
      </c>
      <c r="BJ9" s="137">
        <v>2235526.2</v>
      </c>
      <c r="BK9" s="137">
        <v>919568.5</v>
      </c>
      <c r="BL9" s="137">
        <v>2372860.0</v>
      </c>
      <c r="BM9" s="137">
        <v>3187678.0</v>
      </c>
      <c r="BN9" s="137">
        <v>4195676.0</v>
      </c>
      <c r="BO9" s="137">
        <v>2326386.0</v>
      </c>
      <c r="BP9" s="137">
        <v>2388176.5</v>
      </c>
      <c r="BQ9" s="137">
        <v>3882712.0</v>
      </c>
      <c r="BR9" s="137">
        <v>1782484.0</v>
      </c>
      <c r="BS9" s="137">
        <v>3813550.0</v>
      </c>
      <c r="BT9" s="137">
        <v>5355617.0</v>
      </c>
      <c r="BU9" s="137">
        <v>947810.0</v>
      </c>
      <c r="BV9" s="202">
        <v>4188499.0</v>
      </c>
      <c r="BW9" s="137">
        <v>888340.0</v>
      </c>
      <c r="BX9" s="138">
        <v>3672409.0</v>
      </c>
      <c r="BY9" s="138">
        <v>5681048.0</v>
      </c>
      <c r="BZ9" s="138">
        <v>1330840.0</v>
      </c>
      <c r="CA9" s="138">
        <v>3464011.0</v>
      </c>
      <c r="CB9" s="138">
        <v>2354221.0</v>
      </c>
      <c r="CC9" s="54"/>
      <c r="CD9" s="54"/>
      <c r="CE9" s="54"/>
      <c r="CF9" s="54"/>
      <c r="CG9" s="54"/>
      <c r="CH9" s="54"/>
      <c r="CI9" s="50"/>
      <c r="CJ9" s="50"/>
      <c r="CK9" s="140">
        <f t="array" ref="CK9">SUM(INDIRECT(XLOOKUP('GAAP Summary'!$B$2,'TTM Dates'!$B:$B,'TTM Dates'!$E:$E)&amp;ROW($CJ9)&amp;":"&amp;XLOOKUP('GAAP Summary'!$B$2,'TTM Dates'!$B:$B,'TTM Dates'!$C:$C)&amp;ROW($CJ9)))</f>
        <v>37361541</v>
      </c>
      <c r="CL9" s="79"/>
      <c r="CM9" s="141">
        <f t="shared" si="5"/>
        <v>10241797</v>
      </c>
      <c r="CN9" s="141">
        <f t="shared" si="6"/>
        <v>7149072</v>
      </c>
      <c r="CO9" s="141">
        <f t="shared" si="27"/>
        <v>0</v>
      </c>
      <c r="CP9" s="141">
        <f t="shared" si="28"/>
        <v>0</v>
      </c>
      <c r="CQ9" s="140">
        <f t="shared" si="29"/>
        <v>17390869</v>
      </c>
      <c r="CR9" s="137"/>
      <c r="CS9" s="137">
        <f t="shared" si="7"/>
        <v>6480106.5</v>
      </c>
      <c r="CT9" s="137">
        <f t="shared" si="8"/>
        <v>8910238.5</v>
      </c>
      <c r="CU9" s="137">
        <f t="shared" si="9"/>
        <v>9478746</v>
      </c>
      <c r="CV9" s="137">
        <f t="shared" si="10"/>
        <v>10491926</v>
      </c>
      <c r="CW9" s="142">
        <f t="shared" si="11"/>
        <v>35361017</v>
      </c>
      <c r="CX9" s="79">
        <f t="shared" si="12"/>
        <v>1.251769933</v>
      </c>
      <c r="CY9" s="137">
        <f t="shared" si="13"/>
        <v>5002490</v>
      </c>
      <c r="CZ9" s="137">
        <f t="shared" si="14"/>
        <v>4558296</v>
      </c>
      <c r="DA9" s="137">
        <f t="shared" si="15"/>
        <v>3396150</v>
      </c>
      <c r="DB9" s="137">
        <f t="shared" si="16"/>
        <v>4871424.92</v>
      </c>
      <c r="DC9" s="142">
        <f t="shared" si="17"/>
        <v>17828360.92</v>
      </c>
      <c r="DD9" s="203"/>
      <c r="DE9" s="137">
        <f t="shared" si="18"/>
        <v>1252800</v>
      </c>
      <c r="DF9" s="137">
        <f t="shared" si="19"/>
        <v>1560728</v>
      </c>
      <c r="DG9" s="137">
        <f t="shared" si="20"/>
        <v>2693648</v>
      </c>
      <c r="DH9" s="137">
        <f t="shared" si="21"/>
        <v>2628471</v>
      </c>
      <c r="DI9" s="142">
        <f t="shared" si="30"/>
        <v>8135647</v>
      </c>
      <c r="DJ9" s="137"/>
      <c r="DK9" s="137">
        <f t="shared" si="22"/>
        <v>2986150</v>
      </c>
      <c r="DL9" s="137">
        <f t="shared" si="23"/>
        <v>5391090</v>
      </c>
      <c r="DM9" s="137">
        <f t="shared" si="24"/>
        <v>3206360</v>
      </c>
      <c r="DN9" s="137">
        <f t="shared" si="25"/>
        <v>4763100</v>
      </c>
      <c r="DO9" s="142">
        <f t="shared" si="26"/>
        <v>16346700</v>
      </c>
      <c r="DP9" s="137"/>
      <c r="DQ9" s="142">
        <f t="shared" si="31"/>
        <v>0</v>
      </c>
      <c r="DR9" s="44"/>
      <c r="DS9" s="136">
        <f t="array" ref="DS9">IF(DS$3&gt;'GAAP Summary'!$B$2,0,SUM(INDIRECT(XLOOKUP(DS$3,'TTM Dates'!$B:$B,'TTM Dates'!$E:$E)&amp;ROW($CJ9)&amp;":"&amp;XLOOKUP(DS$3,'TTM Dates'!$B:$B,'TTM Dates'!$C:$C)&amp;ROW($CJ9))))</f>
        <v>0</v>
      </c>
      <c r="DT9" s="136">
        <f t="array" ref="DT9">IF(DT$3&gt;'GAAP Summary'!$B$2,0,SUM(INDIRECT(XLOOKUP(DT$3,'TTM Dates'!$B:$B,'TTM Dates'!$E:$E)&amp;ROW($CJ9)&amp;":"&amp;XLOOKUP(DT$3,'TTM Dates'!$B:$B,'TTM Dates'!$C:$C)&amp;ROW($CJ9))))</f>
        <v>0</v>
      </c>
      <c r="DU9" s="136">
        <f t="array" ref="DU9">IF(DU$3&gt;'GAAP Summary'!$B$2,0,SUM(INDIRECT(XLOOKUP(DU$3,'TTM Dates'!$B:$B,'TTM Dates'!$E:$E)&amp;ROW($CJ9)&amp;":"&amp;XLOOKUP(DU$3,'TTM Dates'!$B:$B,'TTM Dates'!$C:$C)&amp;ROW($CJ9))))</f>
        <v>0</v>
      </c>
      <c r="DV9" s="136">
        <f t="array" ref="DV9">IF(DV$3&gt;'GAAP Summary'!$B$2,0,SUM(INDIRECT(XLOOKUP(DV$3,'TTM Dates'!$B:$B,'TTM Dates'!$E:$E)&amp;ROW($CJ9)&amp;":"&amp;XLOOKUP(DV$3,'TTM Dates'!$B:$B,'TTM Dates'!$C:$C)&amp;ROW($CJ9))))</f>
        <v>0</v>
      </c>
      <c r="DW9" s="136">
        <f t="array" ref="DW9">IF(DW$3&gt;'GAAP Summary'!$B$2,0,SUM(INDIRECT(XLOOKUP(DW$3,'TTM Dates'!$B:$B,'TTM Dates'!$E:$E)&amp;ROW($CJ9)&amp;":"&amp;XLOOKUP(DW$3,'TTM Dates'!$B:$B,'TTM Dates'!$C:$C)&amp;ROW($CJ9))))</f>
        <v>0</v>
      </c>
      <c r="DX9" s="136">
        <f t="array" ref="DX9">IF(DX$3&gt;'GAAP Summary'!$B$2,0,SUM(INDIRECT(XLOOKUP(DX$3,'TTM Dates'!$B:$B,'TTM Dates'!$E:$E)&amp;ROW($CJ9)&amp;":"&amp;XLOOKUP(DX$3,'TTM Dates'!$B:$B,'TTM Dates'!$C:$C)&amp;ROW($CJ9))))</f>
        <v>0</v>
      </c>
      <c r="DY9" s="136">
        <f t="array" ref="DY9">IF(DY$3&gt;'GAAP Summary'!$B$2,0,SUM(INDIRECT(XLOOKUP(DY$3,'TTM Dates'!$B:$B,'TTM Dates'!$E:$E)&amp;ROW($CJ9)&amp;":"&amp;XLOOKUP(DY$3,'TTM Dates'!$B:$B,'TTM Dates'!$C:$C)&amp;ROW($CJ9))))</f>
        <v>0</v>
      </c>
      <c r="DZ9" s="136">
        <f t="array" ref="DZ9">IF(DZ$3&gt;'GAAP Summary'!$B$2,0,SUM(INDIRECT(XLOOKUP(DZ$3,'TTM Dates'!$B:$B,'TTM Dates'!$E:$E)&amp;ROW($CJ9)&amp;":"&amp;XLOOKUP(DZ$3,'TTM Dates'!$B:$B,'TTM Dates'!$C:$C)&amp;ROW($CJ9))))</f>
        <v>0</v>
      </c>
      <c r="EA9" s="136">
        <f t="array" ref="EA9">IF(EA$3&gt;'GAAP Summary'!$B$2,0,SUM(INDIRECT(XLOOKUP(EA$3,'TTM Dates'!$B:$B,'TTM Dates'!$E:$E)&amp;ROW($CJ9)&amp;":"&amp;XLOOKUP(EA$3,'TTM Dates'!$B:$B,'TTM Dates'!$C:$C)&amp;ROW($CJ9))))</f>
        <v>0</v>
      </c>
      <c r="EB9" s="136">
        <f t="array" ref="EB9">IF(EB$3&gt;'GAAP Summary'!$B$2,0,SUM(INDIRECT(XLOOKUP(EB$3,'TTM Dates'!$B:$B,'TTM Dates'!$E:$E)&amp;ROW($CJ9)&amp;":"&amp;XLOOKUP(EB$3,'TTM Dates'!$B:$B,'TTM Dates'!$C:$C)&amp;ROW($CJ9))))</f>
        <v>0</v>
      </c>
      <c r="EC9" s="136">
        <f t="array" ref="EC9">IF(EC$3&gt;'GAAP Summary'!$B$2,0,SUM(INDIRECT(XLOOKUP(EC$3,'TTM Dates'!$B:$B,'TTM Dates'!$E:$E)&amp;ROW($CJ9)&amp;":"&amp;XLOOKUP(EC$3,'TTM Dates'!$B:$B,'TTM Dates'!$C:$C)&amp;ROW($CJ9))))</f>
        <v>0</v>
      </c>
      <c r="ED9" s="136">
        <f t="array" ref="ED9">IF(ED$3&gt;'GAAP Summary'!$B$2,0,SUM(INDIRECT(XLOOKUP(ED$3,'TTM Dates'!$B:$B,'TTM Dates'!$E:$E)&amp;ROW($CJ9)&amp;":"&amp;XLOOKUP(ED$3,'TTM Dates'!$B:$B,'TTM Dates'!$C:$C)&amp;ROW($CJ9))))</f>
        <v>0</v>
      </c>
      <c r="EE9" s="136">
        <f t="array" ref="EE9">IF(EE$3&gt;'GAAP Summary'!$B$2,0,SUM(INDIRECT(XLOOKUP(EE$3,'TTM Dates'!$B:$B,'TTM Dates'!$E:$E)&amp;ROW($CJ9)&amp;":"&amp;XLOOKUP(EE$3,'TTM Dates'!$B:$B,'TTM Dates'!$C:$C)&amp;ROW($CJ9))))</f>
        <v>45100</v>
      </c>
      <c r="EF9" s="136">
        <f t="array" ref="EF9">IF(EF$3&gt;'GAAP Summary'!$B$2,0,SUM(INDIRECT(XLOOKUP(EF$3,'TTM Dates'!$B:$B,'TTM Dates'!$E:$E)&amp;ROW($CJ9)&amp;":"&amp;XLOOKUP(EF$3,'TTM Dates'!$B:$B,'TTM Dates'!$C:$C)&amp;ROW($CJ9))))</f>
        <v>79660</v>
      </c>
      <c r="EG9" s="136">
        <f t="array" ref="EG9">IF(EG$3&gt;'GAAP Summary'!$B$2,0,SUM(INDIRECT(XLOOKUP(EG$3,'TTM Dates'!$B:$B,'TTM Dates'!$E:$E)&amp;ROW($CJ9)&amp;":"&amp;XLOOKUP(EG$3,'TTM Dates'!$B:$B,'TTM Dates'!$C:$C)&amp;ROW($CJ9))))</f>
        <v>2986150</v>
      </c>
      <c r="EH9" s="136">
        <f t="array" ref="EH9">IF(EH$3&gt;'GAAP Summary'!$B$2,0,SUM(INDIRECT(XLOOKUP(EH$3,'TTM Dates'!$B:$B,'TTM Dates'!$E:$E)&amp;ROW($CJ9)&amp;":"&amp;XLOOKUP(EH$3,'TTM Dates'!$B:$B,'TTM Dates'!$C:$C)&amp;ROW($CJ9))))</f>
        <v>3226550</v>
      </c>
      <c r="EI9" s="136">
        <f t="array" ref="EI9">IF(EI$3&gt;'GAAP Summary'!$B$2,0,SUM(INDIRECT(XLOOKUP(EI$3,'TTM Dates'!$B:$B,'TTM Dates'!$E:$E)&amp;ROW($CJ9)&amp;":"&amp;XLOOKUP(EI$3,'TTM Dates'!$B:$B,'TTM Dates'!$C:$C)&amp;ROW($CJ9))))</f>
        <v>6672040</v>
      </c>
      <c r="EJ9" s="136">
        <f t="array" ref="EJ9">IF(EJ$3&gt;'GAAP Summary'!$B$2,0,SUM(INDIRECT(XLOOKUP(EJ$3,'TTM Dates'!$B:$B,'TTM Dates'!$E:$E)&amp;ROW($CJ9)&amp;":"&amp;XLOOKUP(EJ$3,'TTM Dates'!$B:$B,'TTM Dates'!$C:$C)&amp;ROW($CJ9))))</f>
        <v>8377240</v>
      </c>
      <c r="EK9" s="136">
        <f t="array" ref="EK9">IF(EK$3&gt;'GAAP Summary'!$B$2,0,SUM(INDIRECT(XLOOKUP(EK$3,'TTM Dates'!$B:$B,'TTM Dates'!$E:$E)&amp;ROW($CJ9)&amp;":"&amp;XLOOKUP(EK$3,'TTM Dates'!$B:$B,'TTM Dates'!$C:$C)&amp;ROW($CJ9))))</f>
        <v>10020140</v>
      </c>
      <c r="EL9" s="136">
        <f t="array" ref="EL9">IF(EL$3&gt;'GAAP Summary'!$B$2,0,SUM(INDIRECT(XLOOKUP(EL$3,'TTM Dates'!$B:$B,'TTM Dates'!$E:$E)&amp;ROW($CJ9)&amp;":"&amp;XLOOKUP(EL$3,'TTM Dates'!$B:$B,'TTM Dates'!$C:$C)&amp;ROW($CJ9))))</f>
        <v>10260140</v>
      </c>
      <c r="EM9" s="136">
        <f t="array" ref="EM9">IF(EM$3&gt;'GAAP Summary'!$B$2,0,SUM(INDIRECT(XLOOKUP(EM$3,'TTM Dates'!$B:$B,'TTM Dates'!$E:$E)&amp;ROW($CJ9)&amp;":"&amp;XLOOKUP(EM$3,'TTM Dates'!$B:$B,'TTM Dates'!$C:$C)&amp;ROW($CJ9))))</f>
        <v>11583600</v>
      </c>
      <c r="EN9" s="136">
        <f t="array" ref="EN9">IF(EN$3&gt;'GAAP Summary'!$B$2,0,SUM(INDIRECT(XLOOKUP(EN$3,'TTM Dates'!$B:$B,'TTM Dates'!$E:$E)&amp;ROW($CJ9)&amp;":"&amp;XLOOKUP(EN$3,'TTM Dates'!$B:$B,'TTM Dates'!$C:$C)&amp;ROW($CJ9))))</f>
        <v>12561000</v>
      </c>
      <c r="EO9" s="136">
        <f t="array" ref="EO9">IF(EO$3&gt;'GAAP Summary'!$B$2,0,SUM(INDIRECT(XLOOKUP(EO$3,'TTM Dates'!$B:$B,'TTM Dates'!$E:$E)&amp;ROW($CJ9)&amp;":"&amp;XLOOKUP(EO$3,'TTM Dates'!$B:$B,'TTM Dates'!$C:$C)&amp;ROW($CJ9))))</f>
        <v>13020420</v>
      </c>
      <c r="EP9" s="136">
        <f t="array" ref="EP9">IF(EP$3&gt;'GAAP Summary'!$B$2,0,SUM(INDIRECT(XLOOKUP(EP$3,'TTM Dates'!$B:$B,'TTM Dates'!$E:$E)&amp;ROW($CJ9)&amp;":"&amp;XLOOKUP(EP$3,'TTM Dates'!$B:$B,'TTM Dates'!$C:$C)&amp;ROW($CJ9))))</f>
        <v>16346700</v>
      </c>
      <c r="EQ9" s="136">
        <f t="array" ref="EQ9">IF(EQ$3&gt;'GAAP Summary'!$B$2,0,SUM(INDIRECT(XLOOKUP(EQ$3,'TTM Dates'!$B:$B,'TTM Dates'!$E:$E)&amp;ROW($CJ9)&amp;":"&amp;XLOOKUP(EQ$3,'TTM Dates'!$B:$B,'TTM Dates'!$C:$C)&amp;ROW($CJ9))))</f>
        <v>16301600</v>
      </c>
      <c r="ER9" s="136">
        <f t="array" ref="ER9">IF(ER$3&gt;'GAAP Summary'!$B$2,0,SUM(INDIRECT(XLOOKUP(ER$3,'TTM Dates'!$B:$B,'TTM Dates'!$E:$E)&amp;ROW($CJ9)&amp;":"&amp;XLOOKUP(ER$3,'TTM Dates'!$B:$B,'TTM Dates'!$C:$C)&amp;ROW($CJ9))))</f>
        <v>16512800</v>
      </c>
      <c r="ES9" s="136">
        <f t="array" ref="ES9">IF(ES$3&gt;'GAAP Summary'!$B$2,0,SUM(INDIRECT(XLOOKUP(ES$3,'TTM Dates'!$B:$B,'TTM Dates'!$E:$E)&amp;ROW($CJ9)&amp;":"&amp;XLOOKUP(ES$3,'TTM Dates'!$B:$B,'TTM Dates'!$C:$C)&amp;ROW($CJ9))))</f>
        <v>14613350</v>
      </c>
      <c r="ET9" s="136">
        <f t="array" ref="ET9">IF(ET$3&gt;'GAAP Summary'!$B$2,0,SUM(INDIRECT(XLOOKUP(ET$3,'TTM Dates'!$B:$B,'TTM Dates'!$E:$E)&amp;ROW($CJ9)&amp;":"&amp;XLOOKUP(ET$3,'TTM Dates'!$B:$B,'TTM Dates'!$C:$C)&amp;ROW($CJ9))))</f>
        <v>14593150</v>
      </c>
      <c r="EU9" s="136">
        <f t="array" ref="EU9">IF(EU$3&gt;'GAAP Summary'!$B$2,0,SUM(INDIRECT(XLOOKUP(EU$3,'TTM Dates'!$B:$B,'TTM Dates'!$E:$E)&amp;ROW($CJ9)&amp;":"&amp;XLOOKUP(EU$3,'TTM Dates'!$B:$B,'TTM Dates'!$C:$C)&amp;ROW($CJ9))))</f>
        <v>11250860</v>
      </c>
      <c r="EV9" s="136">
        <f t="array" ref="EV9">IF(EV$3&gt;'GAAP Summary'!$B$2,0,SUM(INDIRECT(XLOOKUP(EV$3,'TTM Dates'!$B:$B,'TTM Dates'!$E:$E)&amp;ROW($CJ9)&amp;":"&amp;XLOOKUP(EV$3,'TTM Dates'!$B:$B,'TTM Dates'!$C:$C)&amp;ROW($CJ9))))</f>
        <v>10782988</v>
      </c>
      <c r="EW9" s="136">
        <f t="array" ref="EW9">IF(EW$3&gt;'GAAP Summary'!$B$2,0,SUM(INDIRECT(XLOOKUP(EW$3,'TTM Dates'!$B:$B,'TTM Dates'!$E:$E)&amp;ROW($CJ9)&amp;":"&amp;XLOOKUP(EW$3,'TTM Dates'!$B:$B,'TTM Dates'!$C:$C)&amp;ROW($CJ9))))</f>
        <v>9936488</v>
      </c>
      <c r="EX9" s="136">
        <f t="array" ref="EX9">IF(EX$3&gt;'GAAP Summary'!$B$2,0,SUM(INDIRECT(XLOOKUP(EX$3,'TTM Dates'!$B:$B,'TTM Dates'!$E:$E)&amp;ROW($CJ9)&amp;":"&amp;XLOOKUP(EX$3,'TTM Dates'!$B:$B,'TTM Dates'!$C:$C)&amp;ROW($CJ9))))</f>
        <v>10664558</v>
      </c>
      <c r="EY9" s="136">
        <f t="array" ref="EY9">IF(EY$3&gt;'GAAP Summary'!$B$2,0,SUM(INDIRECT(XLOOKUP(EY$3,'TTM Dates'!$B:$B,'TTM Dates'!$E:$E)&amp;ROW($CJ9)&amp;":"&amp;XLOOKUP(EY$3,'TTM Dates'!$B:$B,'TTM Dates'!$C:$C)&amp;ROW($CJ9))))</f>
        <v>10270276</v>
      </c>
      <c r="EZ9" s="136">
        <f t="array" ref="EZ9">IF(EZ$3&gt;'GAAP Summary'!$B$2,0,SUM(INDIRECT(XLOOKUP(EZ$3,'TTM Dates'!$B:$B,'TTM Dates'!$E:$E)&amp;ROW($CJ9)&amp;":"&amp;XLOOKUP(EZ$3,'TTM Dates'!$B:$B,'TTM Dates'!$C:$C)&amp;ROW($CJ9))))</f>
        <v>9787201</v>
      </c>
      <c r="FA9" s="136">
        <f t="array" ref="FA9">IF(FA$3&gt;'GAAP Summary'!$B$2,0,SUM(INDIRECT(XLOOKUP(FA$3,'TTM Dates'!$B:$B,'TTM Dates'!$E:$E)&amp;ROW($CJ9)&amp;":"&amp;XLOOKUP(FA$3,'TTM Dates'!$B:$B,'TTM Dates'!$C:$C)&amp;ROW($CJ9))))</f>
        <v>10202327</v>
      </c>
      <c r="FB9" s="136">
        <f t="array" ref="FB9">IF(FB$3&gt;'GAAP Summary'!$B$2,0,SUM(INDIRECT(XLOOKUP(FB$3,'TTM Dates'!$B:$B,'TTM Dates'!$E:$E)&amp;ROW($CJ9)&amp;":"&amp;XLOOKUP(FB$3,'TTM Dates'!$B:$B,'TTM Dates'!$C:$C)&amp;ROW($CJ9))))</f>
        <v>8135647</v>
      </c>
      <c r="FC9" s="136">
        <f t="array" ref="FC9">IF(FC$3&gt;'GAAP Summary'!$B$2,0,SUM(INDIRECT(XLOOKUP(FC$3,'TTM Dates'!$B:$B,'TTM Dates'!$E:$E)&amp;ROW($CJ9)&amp;":"&amp;XLOOKUP(FC$3,'TTM Dates'!$B:$B,'TTM Dates'!$C:$C)&amp;ROW($CJ9))))</f>
        <v>8192647</v>
      </c>
      <c r="FD9" s="136">
        <f t="array" ref="FD9">IF(FD$3&gt;'GAAP Summary'!$B$2,0,SUM(INDIRECT(XLOOKUP(FD$3,'TTM Dates'!$B:$B,'TTM Dates'!$E:$E)&amp;ROW($CJ9)&amp;":"&amp;XLOOKUP(FD$3,'TTM Dates'!$B:$B,'TTM Dates'!$C:$C)&amp;ROW($CJ9))))</f>
        <v>8182677</v>
      </c>
      <c r="FE9" s="136">
        <f t="array" ref="FE9">IF(FE$3&gt;'GAAP Summary'!$B$2,0,SUM(INDIRECT(XLOOKUP(FE$3,'TTM Dates'!$B:$B,'TTM Dates'!$E:$E)&amp;ROW($CJ9)&amp;":"&amp;XLOOKUP(FE$3,'TTM Dates'!$B:$B,'TTM Dates'!$C:$C)&amp;ROW($CJ9))))</f>
        <v>11885337</v>
      </c>
      <c r="FF9" s="136">
        <f t="array" ref="FF9">IF(FF$3&gt;'GAAP Summary'!$B$2,0,SUM(INDIRECT(XLOOKUP(FF$3,'TTM Dates'!$B:$B,'TTM Dates'!$E:$E)&amp;ROW($CJ9)&amp;":"&amp;XLOOKUP(FF$3,'TTM Dates'!$B:$B,'TTM Dates'!$C:$C)&amp;ROW($CJ9))))</f>
        <v>13031949</v>
      </c>
      <c r="FG9" s="136">
        <f t="array" ref="FG9">IF(FG$3&gt;'GAAP Summary'!$B$2,0,SUM(INDIRECT(XLOOKUP(FG$3,'TTM Dates'!$B:$B,'TTM Dates'!$E:$E)&amp;ROW($CJ9)&amp;":"&amp;XLOOKUP(FG$3,'TTM Dates'!$B:$B,'TTM Dates'!$C:$C)&amp;ROW($CJ9))))</f>
        <v>15724533</v>
      </c>
      <c r="FH9" s="136">
        <f t="array" ref="FH9">IF(FH$3&gt;'GAAP Summary'!$B$2,0,SUM(INDIRECT(XLOOKUP(FH$3,'TTM Dates'!$B:$B,'TTM Dates'!$E:$E)&amp;ROW($CJ9)&amp;":"&amp;XLOOKUP(FH$3,'TTM Dates'!$B:$B,'TTM Dates'!$C:$C)&amp;ROW($CJ9))))</f>
        <v>14882905</v>
      </c>
      <c r="FI9" s="136">
        <f t="array" ref="FI9">IF(FI$3&gt;'GAAP Summary'!$B$2,0,SUM(INDIRECT(XLOOKUP(FI$3,'TTM Dates'!$B:$B,'TTM Dates'!$E:$E)&amp;ROW($CJ9)&amp;":"&amp;XLOOKUP(FI$3,'TTM Dates'!$B:$B,'TTM Dates'!$C:$C)&amp;ROW($CJ9))))</f>
        <v>14776105</v>
      </c>
      <c r="FJ9" s="136">
        <f t="array" ref="FJ9">IF(FJ$3&gt;'GAAP Summary'!$B$2,0,SUM(INDIRECT(XLOOKUP(FJ$3,'TTM Dates'!$B:$B,'TTM Dates'!$E:$E)&amp;ROW($CJ9)&amp;":"&amp;XLOOKUP(FJ$3,'TTM Dates'!$B:$B,'TTM Dates'!$C:$C)&amp;ROW($CJ9))))</f>
        <v>14493955</v>
      </c>
      <c r="FK9" s="136">
        <f t="array" ref="FK9">IF(FK$3&gt;'GAAP Summary'!$B$2,0,SUM(INDIRECT(XLOOKUP(FK$3,'TTM Dates'!$B:$B,'TTM Dates'!$E:$E)&amp;ROW($CJ9)&amp;":"&amp;XLOOKUP(FK$3,'TTM Dates'!$B:$B,'TTM Dates'!$C:$C)&amp;ROW($CJ9))))</f>
        <v>15585407</v>
      </c>
      <c r="FL9" s="136">
        <f t="array" ref="FL9">IF(FL$3&gt;'GAAP Summary'!$B$2,0,SUM(INDIRECT(XLOOKUP(FL$3,'TTM Dates'!$B:$B,'TTM Dates'!$E:$E)&amp;ROW($CJ9)&amp;":"&amp;XLOOKUP(FL$3,'TTM Dates'!$B:$B,'TTM Dates'!$C:$C)&amp;ROW($CJ9))))</f>
        <v>17247287.2</v>
      </c>
      <c r="FM9" s="136">
        <f t="array" ref="FM9">IF(FM$3&gt;'GAAP Summary'!$B$2,0,SUM(INDIRECT(XLOOKUP(FM$3,'TTM Dates'!$B:$B,'TTM Dates'!$E:$E)&amp;ROW($CJ9)&amp;":"&amp;XLOOKUP(FM$3,'TTM Dates'!$B:$B,'TTM Dates'!$C:$C)&amp;ROW($CJ9))))</f>
        <v>16852434.72</v>
      </c>
      <c r="FN9" s="136">
        <f t="array" ref="FN9">IF(FN$3&gt;'GAAP Summary'!$B$2,0,SUM(INDIRECT(XLOOKUP(FN$3,'TTM Dates'!$B:$B,'TTM Dates'!$E:$E)&amp;ROW($CJ9)&amp;":"&amp;XLOOKUP(FN$3,'TTM Dates'!$B:$B,'TTM Dates'!$C:$C)&amp;ROW($CJ9))))</f>
        <v>17828360.92</v>
      </c>
      <c r="FO9" s="136">
        <f t="array" ref="FO9">IF(FO$3&gt;'GAAP Summary'!$B$2,0,SUM(INDIRECT(XLOOKUP(FO$3,'TTM Dates'!$B:$B,'TTM Dates'!$E:$E)&amp;ROW($CJ9)&amp;":"&amp;XLOOKUP(FO$3,'TTM Dates'!$B:$B,'TTM Dates'!$C:$C)&amp;ROW($CJ9))))</f>
        <v>18690929.42</v>
      </c>
      <c r="FP9" s="136">
        <f t="array" ref="FP9">IF(FP$3&gt;'GAAP Summary'!$B$2,0,SUM(INDIRECT(XLOOKUP(FP$3,'TTM Dates'!$B:$B,'TTM Dates'!$E:$E)&amp;ROW($CJ9)&amp;":"&amp;XLOOKUP(FP$3,'TTM Dates'!$B:$B,'TTM Dates'!$C:$C)&amp;ROW($CJ9))))</f>
        <v>20827999.42</v>
      </c>
      <c r="FQ9" s="136">
        <f t="array" ref="FQ9">IF(FQ$3&gt;'GAAP Summary'!$B$2,0,SUM(INDIRECT(XLOOKUP(FQ$3,'TTM Dates'!$B:$B,'TTM Dates'!$E:$E)&amp;ROW($CJ9)&amp;":"&amp;XLOOKUP(FQ$3,'TTM Dates'!$B:$B,'TTM Dates'!$C:$C)&amp;ROW($CJ9))))</f>
        <v>19305977.42</v>
      </c>
      <c r="FR9" s="136">
        <f t="array" ref="FR9">IF(FR$3&gt;'GAAP Summary'!$B$2,0,SUM(INDIRECT(XLOOKUP(FR$3,'TTM Dates'!$B:$B,'TTM Dates'!$E:$E)&amp;ROW($CJ9)&amp;":"&amp;XLOOKUP(FR$3,'TTM Dates'!$B:$B,'TTM Dates'!$C:$C)&amp;ROW($CJ9))))</f>
        <v>22134841.42</v>
      </c>
      <c r="FS9" s="136">
        <f t="array" ref="FS9">IF(FS$3&gt;'GAAP Summary'!$B$2,0,SUM(INDIRECT(XLOOKUP(FS$3,'TTM Dates'!$B:$B,'TTM Dates'!$E:$E)&amp;ROW($CJ9)&amp;":"&amp;XLOOKUP(FS$3,'TTM Dates'!$B:$B,'TTM Dates'!$C:$C)&amp;ROW($CJ9))))</f>
        <v>21665443.42</v>
      </c>
      <c r="FT9" s="136">
        <f t="array" ref="FT9">IF(FT$3&gt;'GAAP Summary'!$B$2,0,SUM(INDIRECT(XLOOKUP(FT$3,'TTM Dates'!$B:$B,'TTM Dates'!$E:$E)&amp;ROW($CJ9)&amp;":"&amp;XLOOKUP(FT$3,'TTM Dates'!$B:$B,'TTM Dates'!$C:$C)&amp;ROW($CJ9))))</f>
        <v>23657919.92</v>
      </c>
      <c r="FU9" s="136">
        <f t="array" ref="FU9">IF(FU$3&gt;'GAAP Summary'!$B$2,0,SUM(INDIRECT(XLOOKUP(FU$3,'TTM Dates'!$B:$B,'TTM Dates'!$E:$E)&amp;ROW($CJ9)&amp;":"&amp;XLOOKUP(FU$3,'TTM Dates'!$B:$B,'TTM Dates'!$C:$C)&amp;ROW($CJ9))))</f>
        <v>26851031.92</v>
      </c>
      <c r="FV9" s="136">
        <f t="array" ref="FV9">IF(FV$3&gt;'GAAP Summary'!$B$2,0,SUM(INDIRECT(XLOOKUP(FV$3,'TTM Dates'!$B:$B,'TTM Dates'!$E:$E)&amp;ROW($CJ9)&amp;":"&amp;XLOOKUP(FV$3,'TTM Dates'!$B:$B,'TTM Dates'!$C:$C)&amp;ROW($CJ9))))</f>
        <v>27947595.92</v>
      </c>
      <c r="FW9" s="136">
        <f t="array" ref="FW9">IF(FW$3&gt;'GAAP Summary'!$B$2,0,SUM(INDIRECT(XLOOKUP(FW$3,'TTM Dates'!$B:$B,'TTM Dates'!$E:$E)&amp;ROW($CJ9)&amp;":"&amp;XLOOKUP(FW$3,'TTM Dates'!$B:$B,'TTM Dates'!$C:$C)&amp;ROW($CJ9))))</f>
        <v>29740515.92</v>
      </c>
      <c r="FX9" s="136">
        <f t="array" ref="FX9">IF(FX$3&gt;'GAAP Summary'!$B$2,0,SUM(INDIRECT(XLOOKUP(FX$3,'TTM Dates'!$B:$B,'TTM Dates'!$E:$E)&amp;ROW($CJ9)&amp;":"&amp;XLOOKUP(FX$3,'TTM Dates'!$B:$B,'TTM Dates'!$C:$C)&amp;ROW($CJ9))))</f>
        <v>32939927.72</v>
      </c>
      <c r="FY9" s="136">
        <f t="array" ref="FY9">IF(FY$3&gt;'GAAP Summary'!$B$2,0,SUM(INDIRECT(XLOOKUP(FY$3,'TTM Dates'!$B:$B,'TTM Dates'!$E:$E)&amp;ROW($CJ9)&amp;":"&amp;XLOOKUP(FY$3,'TTM Dates'!$B:$B,'TTM Dates'!$C:$C)&amp;ROW($CJ9))))</f>
        <v>33408044.2</v>
      </c>
      <c r="FZ9" s="136">
        <f t="array" ref="FZ9">IF(FZ$3&gt;'GAAP Summary'!$B$2,0,SUM(INDIRECT(XLOOKUP(FZ$3,'TTM Dates'!$B:$B,'TTM Dates'!$E:$E)&amp;ROW($CJ9)&amp;":"&amp;XLOOKUP(FZ$3,'TTM Dates'!$B:$B,'TTM Dates'!$C:$C)&amp;ROW($CJ9))))</f>
        <v>35361017</v>
      </c>
      <c r="GA9" s="136">
        <f t="array" ref="GA9">IF(GA$3&gt;'GAAP Summary'!$B$2,0,SUM(INDIRECT(XLOOKUP(GA$3,'TTM Dates'!$B:$B,'TTM Dates'!$E:$E)&amp;ROW($CJ9)&amp;":"&amp;XLOOKUP(GA$3,'TTM Dates'!$B:$B,'TTM Dates'!$C:$C)&amp;ROW($CJ9))))</f>
        <v>35329788.5</v>
      </c>
      <c r="GB9" s="136">
        <f t="array" ref="GB9">IF(GB$3&gt;'GAAP Summary'!$B$2,0,SUM(INDIRECT(XLOOKUP(GB$3,'TTM Dates'!$B:$B,'TTM Dates'!$E:$E)&amp;ROW($CJ9)&amp;":"&amp;XLOOKUP(GB$3,'TTM Dates'!$B:$B,'TTM Dates'!$C:$C)&amp;ROW($CJ9))))</f>
        <v>36629337.5</v>
      </c>
      <c r="GC9" s="136">
        <f t="array" ref="GC9">IF(GC$3&gt;'GAAP Summary'!$B$2,0,SUM(INDIRECT(XLOOKUP(GC$3,'TTM Dates'!$B:$B,'TTM Dates'!$E:$E)&amp;ROW($CJ9)&amp;":"&amp;XLOOKUP(GC$3,'TTM Dates'!$B:$B,'TTM Dates'!$C:$C)&amp;ROW($CJ9))))</f>
        <v>39122707.5</v>
      </c>
      <c r="GD9" s="136">
        <f t="array" ref="GD9">IF(GD$3&gt;'GAAP Summary'!$B$2,0,SUM(INDIRECT(XLOOKUP(GD$3,'TTM Dates'!$B:$B,'TTM Dates'!$E:$E)&amp;ROW($CJ9)&amp;":"&amp;XLOOKUP(GD$3,'TTM Dates'!$B:$B,'TTM Dates'!$C:$C)&amp;ROW($CJ9))))</f>
        <v>36257871.5</v>
      </c>
      <c r="GE9" s="136">
        <f t="array" ref="GE9">IF(GE$3&gt;'GAAP Summary'!$B$2,0,SUM(INDIRECT(XLOOKUP(GE$3,'TTM Dates'!$B:$B,'TTM Dates'!$E:$E)&amp;ROW($CJ9)&amp;":"&amp;XLOOKUP(GE$3,'TTM Dates'!$B:$B,'TTM Dates'!$C:$C)&amp;ROW($CJ9))))</f>
        <v>37395496.5</v>
      </c>
      <c r="GF9" s="136">
        <f t="array" ref="GF9">IF(GF$3&gt;'GAAP Summary'!$B$2,0,SUM(INDIRECT(XLOOKUP(GF$3,'TTM Dates'!$B:$B,'TTM Dates'!$E:$E)&amp;ROW($CJ9)&amp;":"&amp;XLOOKUP(GF$3,'TTM Dates'!$B:$B,'TTM Dates'!$C:$C)&amp;ROW($CJ9))))</f>
        <v>37361541</v>
      </c>
      <c r="GG9" s="136">
        <f t="array" ref="GG9">IF(GG$3&gt;'GAAP Summary'!$B$2,0,SUM(INDIRECT(XLOOKUP(GG$3,'TTM Dates'!$B:$B,'TTM Dates'!$E:$E)&amp;ROW($CJ9)&amp;":"&amp;XLOOKUP(GG$3,'TTM Dates'!$B:$B,'TTM Dates'!$C:$C)&amp;ROW($CJ9))))</f>
        <v>0</v>
      </c>
      <c r="GH9" s="136">
        <f t="array" ref="GH9">IF(GH$3&gt;'GAAP Summary'!$B$2,0,SUM(INDIRECT(XLOOKUP(GH$3,'TTM Dates'!$B:$B,'TTM Dates'!$E:$E)&amp;ROW($CJ9)&amp;":"&amp;XLOOKUP(GH$3,'TTM Dates'!$B:$B,'TTM Dates'!$C:$C)&amp;ROW($CJ9))))</f>
        <v>0</v>
      </c>
      <c r="GI9" s="136">
        <f t="array" ref="GI9">IF(GI$3&gt;'GAAP Summary'!$B$2,0,SUM(INDIRECT(XLOOKUP(GI$3,'TTM Dates'!$B:$B,'TTM Dates'!$E:$E)&amp;ROW($CJ9)&amp;":"&amp;XLOOKUP(GI$3,'TTM Dates'!$B:$B,'TTM Dates'!$C:$C)&amp;ROW($CJ9))))</f>
        <v>0</v>
      </c>
      <c r="GJ9" s="136">
        <f t="array" ref="GJ9">IF(GJ$3&gt;'GAAP Summary'!$B$2,0,SUM(INDIRECT(XLOOKUP(GJ$3,'TTM Dates'!$B:$B,'TTM Dates'!$E:$E)&amp;ROW($CJ9)&amp;":"&amp;XLOOKUP(GJ$3,'TTM Dates'!$B:$B,'TTM Dates'!$C:$C)&amp;ROW($CJ9))))</f>
        <v>0</v>
      </c>
      <c r="GK9" s="136">
        <f t="array" ref="GK9">IF(GK$3&gt;'GAAP Summary'!$B$2,0,SUM(INDIRECT(XLOOKUP(GK$3,'TTM Dates'!$B:$B,'TTM Dates'!$E:$E)&amp;ROW($CJ9)&amp;":"&amp;XLOOKUP(GK$3,'TTM Dates'!$B:$B,'TTM Dates'!$C:$C)&amp;ROW($CJ9))))</f>
        <v>0</v>
      </c>
      <c r="GL9" s="136">
        <f t="array" ref="GL9">IF(GL$3&gt;'GAAP Summary'!$B$2,0,SUM(INDIRECT(XLOOKUP(GL$3,'TTM Dates'!$B:$B,'TTM Dates'!$E:$E)&amp;ROW($CJ9)&amp;":"&amp;XLOOKUP(GL$3,'TTM Dates'!$B:$B,'TTM Dates'!$C:$C)&amp;ROW($CJ9))))</f>
        <v>0</v>
      </c>
      <c r="GM9" s="136"/>
    </row>
    <row r="10">
      <c r="B10" s="257" t="s">
        <v>193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136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>
        <v>0.0</v>
      </c>
      <c r="AB10" s="137">
        <v>120240.0</v>
      </c>
      <c r="AC10" s="137">
        <v>0.0</v>
      </c>
      <c r="AD10" s="137">
        <v>9120.0</v>
      </c>
      <c r="AE10" s="137">
        <v>11375.0</v>
      </c>
      <c r="AF10" s="137">
        <v>19283.0</v>
      </c>
      <c r="AG10" s="137">
        <v>164022.0</v>
      </c>
      <c r="AH10" s="137">
        <v>7980.0</v>
      </c>
      <c r="AI10" s="137">
        <v>1310.4</v>
      </c>
      <c r="AJ10" s="137">
        <v>14208.0</v>
      </c>
      <c r="AK10" s="137">
        <v>104678.8</v>
      </c>
      <c r="AL10" s="137">
        <v>121851.36</v>
      </c>
      <c r="AM10" s="137">
        <v>0.0</v>
      </c>
      <c r="AN10" s="137">
        <v>252000.0</v>
      </c>
      <c r="AO10" s="137">
        <v>19040.0</v>
      </c>
      <c r="AP10" s="137">
        <v>1310.4</v>
      </c>
      <c r="AQ10" s="137">
        <v>22188.0</v>
      </c>
      <c r="AR10" s="137">
        <v>147554.4</v>
      </c>
      <c r="AS10" s="137">
        <v>108510.0</v>
      </c>
      <c r="AT10" s="137">
        <v>14208.0</v>
      </c>
      <c r="AU10" s="137">
        <v>4500.0</v>
      </c>
      <c r="AV10" s="137">
        <v>92818.0</v>
      </c>
      <c r="AW10" s="137">
        <v>56866.32</v>
      </c>
      <c r="AX10" s="137">
        <v>451898.0</v>
      </c>
      <c r="AY10" s="137">
        <v>0.0</v>
      </c>
      <c r="AZ10" s="137">
        <v>52800.0</v>
      </c>
      <c r="BA10" s="137">
        <v>67113.0</v>
      </c>
      <c r="BB10" s="49"/>
      <c r="BC10" s="137">
        <v>1890.0</v>
      </c>
      <c r="BD10" s="137">
        <v>73500.0</v>
      </c>
      <c r="BE10" s="202">
        <v>5860.0</v>
      </c>
      <c r="BF10" s="202">
        <v>47660.0</v>
      </c>
      <c r="BG10" s="49"/>
      <c r="BH10" s="202">
        <v>3931.2</v>
      </c>
      <c r="BI10" s="202">
        <v>84511.25</v>
      </c>
      <c r="BJ10" s="202">
        <v>229832.7</v>
      </c>
      <c r="BK10" s="137">
        <v>92097.6</v>
      </c>
      <c r="BL10" s="137">
        <v>0.0</v>
      </c>
      <c r="BM10" s="137"/>
      <c r="BN10" s="137">
        <v>11088.0</v>
      </c>
      <c r="BO10" s="137"/>
      <c r="BP10" s="137">
        <v>73500.0</v>
      </c>
      <c r="BQ10" s="202">
        <v>0.0</v>
      </c>
      <c r="BR10" s="202"/>
      <c r="BS10" s="202">
        <v>258006.0</v>
      </c>
      <c r="BT10" s="202">
        <v>29269.17</v>
      </c>
      <c r="BU10" s="202">
        <v>80732.0</v>
      </c>
      <c r="BV10" s="202">
        <v>289031.47</v>
      </c>
      <c r="BW10" s="137">
        <v>7426.0</v>
      </c>
      <c r="BX10" s="138">
        <v>81692.0</v>
      </c>
      <c r="BY10" s="138">
        <v>19440.0</v>
      </c>
      <c r="BZ10" s="138">
        <v>0.0</v>
      </c>
      <c r="CA10" s="138"/>
      <c r="CB10" s="138">
        <v>64800.0</v>
      </c>
      <c r="CC10" s="54"/>
      <c r="CD10" s="54"/>
      <c r="CE10" s="54"/>
      <c r="CF10" s="54"/>
      <c r="CG10" s="54"/>
      <c r="CH10" s="54"/>
      <c r="CI10" s="50"/>
      <c r="CJ10" s="50"/>
      <c r="CK10" s="140">
        <f t="array" ref="CK10">SUM(INDIRECT(XLOOKUP('GAAP Summary'!$B$2,'TTM Dates'!$B:$B,'TTM Dates'!$E:$E)&amp;ROW($CJ10)&amp;":"&amp;XLOOKUP('GAAP Summary'!$B$2,'TTM Dates'!$B:$B,'TTM Dates'!$C:$C)&amp;ROW($CJ10)))</f>
        <v>830396.64</v>
      </c>
      <c r="CL10" s="70"/>
      <c r="CM10" s="141">
        <f t="shared" si="5"/>
        <v>108558</v>
      </c>
      <c r="CN10" s="141">
        <f t="shared" si="6"/>
        <v>64800</v>
      </c>
      <c r="CO10" s="141">
        <f t="shared" si="27"/>
        <v>0</v>
      </c>
      <c r="CP10" s="141">
        <f t="shared" si="28"/>
        <v>0</v>
      </c>
      <c r="CQ10" s="140">
        <f t="shared" si="29"/>
        <v>173358</v>
      </c>
      <c r="CR10" s="137"/>
      <c r="CS10" s="137">
        <f t="shared" si="7"/>
        <v>92097.6</v>
      </c>
      <c r="CT10" s="137">
        <f t="shared" si="8"/>
        <v>84588</v>
      </c>
      <c r="CU10" s="137">
        <f t="shared" si="9"/>
        <v>258006</v>
      </c>
      <c r="CV10" s="137">
        <f t="shared" si="10"/>
        <v>399032.64</v>
      </c>
      <c r="CW10" s="142">
        <f t="shared" si="11"/>
        <v>833724.24</v>
      </c>
      <c r="CX10" s="79">
        <f t="shared" si="12"/>
        <v>0.6584330674</v>
      </c>
      <c r="CY10" s="137">
        <f t="shared" si="13"/>
        <v>119913</v>
      </c>
      <c r="CZ10" s="137">
        <f t="shared" si="14"/>
        <v>75390</v>
      </c>
      <c r="DA10" s="137">
        <f t="shared" si="15"/>
        <v>53520</v>
      </c>
      <c r="DB10" s="137">
        <f t="shared" si="16"/>
        <v>318275.15</v>
      </c>
      <c r="DC10" s="142">
        <f t="shared" si="17"/>
        <v>567098.15</v>
      </c>
      <c r="DD10" s="49"/>
      <c r="DE10" s="137">
        <f t="shared" si="18"/>
        <v>271040</v>
      </c>
      <c r="DF10" s="137">
        <f t="shared" si="19"/>
        <v>171052.8</v>
      </c>
      <c r="DG10" s="137">
        <f t="shared" si="20"/>
        <v>127218</v>
      </c>
      <c r="DH10" s="137">
        <f t="shared" si="21"/>
        <v>601582.32</v>
      </c>
      <c r="DI10" s="142">
        <f t="shared" si="30"/>
        <v>1170893.12</v>
      </c>
      <c r="DJ10" s="49"/>
      <c r="DK10" s="137">
        <f t="shared" si="22"/>
        <v>120240</v>
      </c>
      <c r="DL10" s="137">
        <f t="shared" si="23"/>
        <v>39778</v>
      </c>
      <c r="DM10" s="137">
        <f t="shared" si="24"/>
        <v>173312.4</v>
      </c>
      <c r="DN10" s="137">
        <f t="shared" si="25"/>
        <v>240738.16</v>
      </c>
      <c r="DO10" s="142">
        <f t="shared" si="26"/>
        <v>574068.56</v>
      </c>
      <c r="DP10" s="49"/>
      <c r="DQ10" s="60"/>
      <c r="DS10" s="136">
        <f t="array" ref="DS10">IF(DS$3&gt;'GAAP Summary'!$B$2,0,SUM(INDIRECT(XLOOKUP(DS$3,'TTM Dates'!$B:$B,'TTM Dates'!$E:$E)&amp;ROW($CJ10)&amp;":"&amp;XLOOKUP(DS$3,'TTM Dates'!$B:$B,'TTM Dates'!$C:$C)&amp;ROW($CJ10))))</f>
        <v>0</v>
      </c>
      <c r="DT10" s="136">
        <f t="array" ref="DT10">IF(DT$3&gt;'GAAP Summary'!$B$2,0,SUM(INDIRECT(XLOOKUP(DT$3,'TTM Dates'!$B:$B,'TTM Dates'!$E:$E)&amp;ROW($CJ10)&amp;":"&amp;XLOOKUP(DT$3,'TTM Dates'!$B:$B,'TTM Dates'!$C:$C)&amp;ROW($CJ10))))</f>
        <v>0</v>
      </c>
      <c r="DU10" s="136">
        <f t="array" ref="DU10">IF(DU$3&gt;'GAAP Summary'!$B$2,0,SUM(INDIRECT(XLOOKUP(DU$3,'TTM Dates'!$B:$B,'TTM Dates'!$E:$E)&amp;ROW($CJ10)&amp;":"&amp;XLOOKUP(DU$3,'TTM Dates'!$B:$B,'TTM Dates'!$C:$C)&amp;ROW($CJ10))))</f>
        <v>0</v>
      </c>
      <c r="DV10" s="136">
        <f t="array" ref="DV10">IF(DV$3&gt;'GAAP Summary'!$B$2,0,SUM(INDIRECT(XLOOKUP(DV$3,'TTM Dates'!$B:$B,'TTM Dates'!$E:$E)&amp;ROW($CJ10)&amp;":"&amp;XLOOKUP(DV$3,'TTM Dates'!$B:$B,'TTM Dates'!$C:$C)&amp;ROW($CJ10))))</f>
        <v>0</v>
      </c>
      <c r="DW10" s="136">
        <f t="array" ref="DW10">IF(DW$3&gt;'GAAP Summary'!$B$2,0,SUM(INDIRECT(XLOOKUP(DW$3,'TTM Dates'!$B:$B,'TTM Dates'!$E:$E)&amp;ROW($CJ10)&amp;":"&amp;XLOOKUP(DW$3,'TTM Dates'!$B:$B,'TTM Dates'!$C:$C)&amp;ROW($CJ10))))</f>
        <v>0</v>
      </c>
      <c r="DX10" s="136">
        <f t="array" ref="DX10">IF(DX$3&gt;'GAAP Summary'!$B$2,0,SUM(INDIRECT(XLOOKUP(DX$3,'TTM Dates'!$B:$B,'TTM Dates'!$E:$E)&amp;ROW($CJ10)&amp;":"&amp;XLOOKUP(DX$3,'TTM Dates'!$B:$B,'TTM Dates'!$C:$C)&amp;ROW($CJ10))))</f>
        <v>0</v>
      </c>
      <c r="DY10" s="136">
        <f t="array" ref="DY10">IF(DY$3&gt;'GAAP Summary'!$B$2,0,SUM(INDIRECT(XLOOKUP(DY$3,'TTM Dates'!$B:$B,'TTM Dates'!$E:$E)&amp;ROW($CJ10)&amp;":"&amp;XLOOKUP(DY$3,'TTM Dates'!$B:$B,'TTM Dates'!$C:$C)&amp;ROW($CJ10))))</f>
        <v>0</v>
      </c>
      <c r="DZ10" s="136">
        <f t="array" ref="DZ10">IF(DZ$3&gt;'GAAP Summary'!$B$2,0,SUM(INDIRECT(XLOOKUP(DZ$3,'TTM Dates'!$B:$B,'TTM Dates'!$E:$E)&amp;ROW($CJ10)&amp;":"&amp;XLOOKUP(DZ$3,'TTM Dates'!$B:$B,'TTM Dates'!$C:$C)&amp;ROW($CJ10))))</f>
        <v>0</v>
      </c>
      <c r="EA10" s="136">
        <f t="array" ref="EA10">IF(EA$3&gt;'GAAP Summary'!$B$2,0,SUM(INDIRECT(XLOOKUP(EA$3,'TTM Dates'!$B:$B,'TTM Dates'!$E:$E)&amp;ROW($CJ10)&amp;":"&amp;XLOOKUP(EA$3,'TTM Dates'!$B:$B,'TTM Dates'!$C:$C)&amp;ROW($CJ10))))</f>
        <v>0</v>
      </c>
      <c r="EB10" s="136">
        <f t="array" ref="EB10">IF(EB$3&gt;'GAAP Summary'!$B$2,0,SUM(INDIRECT(XLOOKUP(EB$3,'TTM Dates'!$B:$B,'TTM Dates'!$E:$E)&amp;ROW($CJ10)&amp;":"&amp;XLOOKUP(EB$3,'TTM Dates'!$B:$B,'TTM Dates'!$C:$C)&amp;ROW($CJ10))))</f>
        <v>0</v>
      </c>
      <c r="EC10" s="136">
        <f t="array" ref="EC10">IF(EC$3&gt;'GAAP Summary'!$B$2,0,SUM(INDIRECT(XLOOKUP(EC$3,'TTM Dates'!$B:$B,'TTM Dates'!$E:$E)&amp;ROW($CJ10)&amp;":"&amp;XLOOKUP(EC$3,'TTM Dates'!$B:$B,'TTM Dates'!$C:$C)&amp;ROW($CJ10))))</f>
        <v>0</v>
      </c>
      <c r="ED10" s="136">
        <f t="array" ref="ED10">IF(ED$3&gt;'GAAP Summary'!$B$2,0,SUM(INDIRECT(XLOOKUP(ED$3,'TTM Dates'!$B:$B,'TTM Dates'!$E:$E)&amp;ROW($CJ10)&amp;":"&amp;XLOOKUP(ED$3,'TTM Dates'!$B:$B,'TTM Dates'!$C:$C)&amp;ROW($CJ10))))</f>
        <v>0</v>
      </c>
      <c r="EE10" s="136">
        <f t="array" ref="EE10">IF(EE$3&gt;'GAAP Summary'!$B$2,0,SUM(INDIRECT(XLOOKUP(EE$3,'TTM Dates'!$B:$B,'TTM Dates'!$E:$E)&amp;ROW($CJ10)&amp;":"&amp;XLOOKUP(EE$3,'TTM Dates'!$B:$B,'TTM Dates'!$C:$C)&amp;ROW($CJ10))))</f>
        <v>0</v>
      </c>
      <c r="EF10" s="136">
        <f t="array" ref="EF10">IF(EF$3&gt;'GAAP Summary'!$B$2,0,SUM(INDIRECT(XLOOKUP(EF$3,'TTM Dates'!$B:$B,'TTM Dates'!$E:$E)&amp;ROW($CJ10)&amp;":"&amp;XLOOKUP(EF$3,'TTM Dates'!$B:$B,'TTM Dates'!$C:$C)&amp;ROW($CJ10))))</f>
        <v>120240</v>
      </c>
      <c r="EG10" s="136">
        <f t="array" ref="EG10">IF(EG$3&gt;'GAAP Summary'!$B$2,0,SUM(INDIRECT(XLOOKUP(EG$3,'TTM Dates'!$B:$B,'TTM Dates'!$E:$E)&amp;ROW($CJ10)&amp;":"&amp;XLOOKUP(EG$3,'TTM Dates'!$B:$B,'TTM Dates'!$C:$C)&amp;ROW($CJ10))))</f>
        <v>120240</v>
      </c>
      <c r="EH10" s="136">
        <f t="array" ref="EH10">IF(EH$3&gt;'GAAP Summary'!$B$2,0,SUM(INDIRECT(XLOOKUP(EH$3,'TTM Dates'!$B:$B,'TTM Dates'!$E:$E)&amp;ROW($CJ10)&amp;":"&amp;XLOOKUP(EH$3,'TTM Dates'!$B:$B,'TTM Dates'!$C:$C)&amp;ROW($CJ10))))</f>
        <v>129360</v>
      </c>
      <c r="EI10" s="136">
        <f t="array" ref="EI10">IF(EI$3&gt;'GAAP Summary'!$B$2,0,SUM(INDIRECT(XLOOKUP(EI$3,'TTM Dates'!$B:$B,'TTM Dates'!$E:$E)&amp;ROW($CJ10)&amp;":"&amp;XLOOKUP(EI$3,'TTM Dates'!$B:$B,'TTM Dates'!$C:$C)&amp;ROW($CJ10))))</f>
        <v>140735</v>
      </c>
      <c r="EJ10" s="136">
        <f t="array" ref="EJ10">IF(EJ$3&gt;'GAAP Summary'!$B$2,0,SUM(INDIRECT(XLOOKUP(EJ$3,'TTM Dates'!$B:$B,'TTM Dates'!$E:$E)&amp;ROW($CJ10)&amp;":"&amp;XLOOKUP(EJ$3,'TTM Dates'!$B:$B,'TTM Dates'!$C:$C)&amp;ROW($CJ10))))</f>
        <v>160018</v>
      </c>
      <c r="EK10" s="136">
        <f t="array" ref="EK10">IF(EK$3&gt;'GAAP Summary'!$B$2,0,SUM(INDIRECT(XLOOKUP(EK$3,'TTM Dates'!$B:$B,'TTM Dates'!$E:$E)&amp;ROW($CJ10)&amp;":"&amp;XLOOKUP(EK$3,'TTM Dates'!$B:$B,'TTM Dates'!$C:$C)&amp;ROW($CJ10))))</f>
        <v>324040</v>
      </c>
      <c r="EL10" s="136">
        <f t="array" ref="EL10">IF(EL$3&gt;'GAAP Summary'!$B$2,0,SUM(INDIRECT(XLOOKUP(EL$3,'TTM Dates'!$B:$B,'TTM Dates'!$E:$E)&amp;ROW($CJ10)&amp;":"&amp;XLOOKUP(EL$3,'TTM Dates'!$B:$B,'TTM Dates'!$C:$C)&amp;ROW($CJ10))))</f>
        <v>332020</v>
      </c>
      <c r="EM10" s="136">
        <f t="array" ref="EM10">IF(EM$3&gt;'GAAP Summary'!$B$2,0,SUM(INDIRECT(XLOOKUP(EM$3,'TTM Dates'!$B:$B,'TTM Dates'!$E:$E)&amp;ROW($CJ10)&amp;":"&amp;XLOOKUP(EM$3,'TTM Dates'!$B:$B,'TTM Dates'!$C:$C)&amp;ROW($CJ10))))</f>
        <v>333330.4</v>
      </c>
      <c r="EN10" s="136">
        <f t="array" ref="EN10">IF(EN$3&gt;'GAAP Summary'!$B$2,0,SUM(INDIRECT(XLOOKUP(EN$3,'TTM Dates'!$B:$B,'TTM Dates'!$E:$E)&amp;ROW($CJ10)&amp;":"&amp;XLOOKUP(EN$3,'TTM Dates'!$B:$B,'TTM Dates'!$C:$C)&amp;ROW($CJ10))))</f>
        <v>347538.4</v>
      </c>
      <c r="EO10" s="136">
        <f t="array" ref="EO10">IF(EO$3&gt;'GAAP Summary'!$B$2,0,SUM(INDIRECT(XLOOKUP(EO$3,'TTM Dates'!$B:$B,'TTM Dates'!$E:$E)&amp;ROW($CJ10)&amp;":"&amp;XLOOKUP(EO$3,'TTM Dates'!$B:$B,'TTM Dates'!$C:$C)&amp;ROW($CJ10))))</f>
        <v>452217.2</v>
      </c>
      <c r="EP10" s="136">
        <f t="array" ref="EP10">IF(EP$3&gt;'GAAP Summary'!$B$2,0,SUM(INDIRECT(XLOOKUP(EP$3,'TTM Dates'!$B:$B,'TTM Dates'!$E:$E)&amp;ROW($CJ10)&amp;":"&amp;XLOOKUP(EP$3,'TTM Dates'!$B:$B,'TTM Dates'!$C:$C)&amp;ROW($CJ10))))</f>
        <v>574068.56</v>
      </c>
      <c r="EQ10" s="136">
        <f t="array" ref="EQ10">IF(EQ$3&gt;'GAAP Summary'!$B$2,0,SUM(INDIRECT(XLOOKUP(EQ$3,'TTM Dates'!$B:$B,'TTM Dates'!$E:$E)&amp;ROW($CJ10)&amp;":"&amp;XLOOKUP(EQ$3,'TTM Dates'!$B:$B,'TTM Dates'!$C:$C)&amp;ROW($CJ10))))</f>
        <v>574068.56</v>
      </c>
      <c r="ER10" s="136">
        <f t="array" ref="ER10">IF(ER$3&gt;'GAAP Summary'!$B$2,0,SUM(INDIRECT(XLOOKUP(ER$3,'TTM Dates'!$B:$B,'TTM Dates'!$E:$E)&amp;ROW($CJ10)&amp;":"&amp;XLOOKUP(ER$3,'TTM Dates'!$B:$B,'TTM Dates'!$C:$C)&amp;ROW($CJ10))))</f>
        <v>705828.56</v>
      </c>
      <c r="ES10" s="136">
        <f t="array" ref="ES10">IF(ES$3&gt;'GAAP Summary'!$B$2,0,SUM(INDIRECT(XLOOKUP(ES$3,'TTM Dates'!$B:$B,'TTM Dates'!$E:$E)&amp;ROW($CJ10)&amp;":"&amp;XLOOKUP(ES$3,'TTM Dates'!$B:$B,'TTM Dates'!$C:$C)&amp;ROW($CJ10))))</f>
        <v>724868.56</v>
      </c>
      <c r="ET10" s="136">
        <f t="array" ref="ET10">IF(ET$3&gt;'GAAP Summary'!$B$2,0,SUM(INDIRECT(XLOOKUP(ET$3,'TTM Dates'!$B:$B,'TTM Dates'!$E:$E)&amp;ROW($CJ10)&amp;":"&amp;XLOOKUP(ET$3,'TTM Dates'!$B:$B,'TTM Dates'!$C:$C)&amp;ROW($CJ10))))</f>
        <v>717058.96</v>
      </c>
      <c r="EU10" s="136">
        <f t="array" ref="EU10">IF(EU$3&gt;'GAAP Summary'!$B$2,0,SUM(INDIRECT(XLOOKUP(EU$3,'TTM Dates'!$B:$B,'TTM Dates'!$E:$E)&amp;ROW($CJ10)&amp;":"&amp;XLOOKUP(EU$3,'TTM Dates'!$B:$B,'TTM Dates'!$C:$C)&amp;ROW($CJ10))))</f>
        <v>727871.96</v>
      </c>
      <c r="EV10" s="136">
        <f t="array" ref="EV10">IF(EV$3&gt;'GAAP Summary'!$B$2,0,SUM(INDIRECT(XLOOKUP(EV$3,'TTM Dates'!$B:$B,'TTM Dates'!$E:$E)&amp;ROW($CJ10)&amp;":"&amp;XLOOKUP(EV$3,'TTM Dates'!$B:$B,'TTM Dates'!$C:$C)&amp;ROW($CJ10))))</f>
        <v>856143.36</v>
      </c>
      <c r="EW10" s="136">
        <f t="array" ref="EW10">IF(EW$3&gt;'GAAP Summary'!$B$2,0,SUM(INDIRECT(XLOOKUP(EW$3,'TTM Dates'!$B:$B,'TTM Dates'!$E:$E)&amp;ROW($CJ10)&amp;":"&amp;XLOOKUP(EW$3,'TTM Dates'!$B:$B,'TTM Dates'!$C:$C)&amp;ROW($CJ10))))</f>
        <v>800631.36</v>
      </c>
      <c r="EX10" s="136">
        <f t="array" ref="EX10">IF(EX$3&gt;'GAAP Summary'!$B$2,0,SUM(INDIRECT(XLOOKUP(EX$3,'TTM Dates'!$B:$B,'TTM Dates'!$E:$E)&amp;ROW($CJ10)&amp;":"&amp;XLOOKUP(EX$3,'TTM Dates'!$B:$B,'TTM Dates'!$C:$C)&amp;ROW($CJ10))))</f>
        <v>806859.36</v>
      </c>
      <c r="EY10" s="136">
        <f t="array" ref="EY10">IF(EY$3&gt;'GAAP Summary'!$B$2,0,SUM(INDIRECT(XLOOKUP(EY$3,'TTM Dates'!$B:$B,'TTM Dates'!$E:$E)&amp;ROW($CJ10)&amp;":"&amp;XLOOKUP(EY$3,'TTM Dates'!$B:$B,'TTM Dates'!$C:$C)&amp;ROW($CJ10))))</f>
        <v>810048.96</v>
      </c>
      <c r="EZ10" s="136">
        <f t="array" ref="EZ10">IF(EZ$3&gt;'GAAP Summary'!$B$2,0,SUM(INDIRECT(XLOOKUP(EZ$3,'TTM Dates'!$B:$B,'TTM Dates'!$E:$E)&amp;ROW($CJ10)&amp;":"&amp;XLOOKUP(EZ$3,'TTM Dates'!$B:$B,'TTM Dates'!$C:$C)&amp;ROW($CJ10))))</f>
        <v>888658.96</v>
      </c>
      <c r="FA10" s="136">
        <f t="array" ref="FA10">IF(FA$3&gt;'GAAP Summary'!$B$2,0,SUM(INDIRECT(XLOOKUP(FA$3,'TTM Dates'!$B:$B,'TTM Dates'!$E:$E)&amp;ROW($CJ10)&amp;":"&amp;XLOOKUP(FA$3,'TTM Dates'!$B:$B,'TTM Dates'!$C:$C)&amp;ROW($CJ10))))</f>
        <v>840846.48</v>
      </c>
      <c r="FB10" s="136">
        <f t="array" ref="FB10">IF(FB$3&gt;'GAAP Summary'!$B$2,0,SUM(INDIRECT(XLOOKUP(FB$3,'TTM Dates'!$B:$B,'TTM Dates'!$E:$E)&amp;ROW($CJ10)&amp;":"&amp;XLOOKUP(FB$3,'TTM Dates'!$B:$B,'TTM Dates'!$C:$C)&amp;ROW($CJ10))))</f>
        <v>1170893.12</v>
      </c>
      <c r="FC10" s="136">
        <f t="array" ref="FC10">IF(FC$3&gt;'GAAP Summary'!$B$2,0,SUM(INDIRECT(XLOOKUP(FC$3,'TTM Dates'!$B:$B,'TTM Dates'!$E:$E)&amp;ROW($CJ10)&amp;":"&amp;XLOOKUP(FC$3,'TTM Dates'!$B:$B,'TTM Dates'!$C:$C)&amp;ROW($CJ10))))</f>
        <v>1170893.12</v>
      </c>
      <c r="FD10" s="136">
        <f t="array" ref="FD10">IF(FD$3&gt;'GAAP Summary'!$B$2,0,SUM(INDIRECT(XLOOKUP(FD$3,'TTM Dates'!$B:$B,'TTM Dates'!$E:$E)&amp;ROW($CJ10)&amp;":"&amp;XLOOKUP(FD$3,'TTM Dates'!$B:$B,'TTM Dates'!$C:$C)&amp;ROW($CJ10))))</f>
        <v>971693.12</v>
      </c>
      <c r="FE10" s="136">
        <f t="array" ref="FE10">IF(FE$3&gt;'GAAP Summary'!$B$2,0,SUM(INDIRECT(XLOOKUP(FE$3,'TTM Dates'!$B:$B,'TTM Dates'!$E:$E)&amp;ROW($CJ10)&amp;":"&amp;XLOOKUP(FE$3,'TTM Dates'!$B:$B,'TTM Dates'!$C:$C)&amp;ROW($CJ10))))</f>
        <v>1019766.12</v>
      </c>
      <c r="FF10" s="136">
        <f t="array" ref="FF10">IF(FF$3&gt;'GAAP Summary'!$B$2,0,SUM(INDIRECT(XLOOKUP(FF$3,'TTM Dates'!$B:$B,'TTM Dates'!$E:$E)&amp;ROW($CJ10)&amp;":"&amp;XLOOKUP(FF$3,'TTM Dates'!$B:$B,'TTM Dates'!$C:$C)&amp;ROW($CJ10))))</f>
        <v>1018455.72</v>
      </c>
      <c r="FG10" s="136">
        <f t="array" ref="FG10">IF(FG$3&gt;'GAAP Summary'!$B$2,0,SUM(INDIRECT(XLOOKUP(FG$3,'TTM Dates'!$B:$B,'TTM Dates'!$E:$E)&amp;ROW($CJ10)&amp;":"&amp;XLOOKUP(FG$3,'TTM Dates'!$B:$B,'TTM Dates'!$C:$C)&amp;ROW($CJ10))))</f>
        <v>998157.72</v>
      </c>
      <c r="FH10" s="136">
        <f t="array" ref="FH10">IF(FH$3&gt;'GAAP Summary'!$B$2,0,SUM(INDIRECT(XLOOKUP(FH$3,'TTM Dates'!$B:$B,'TTM Dates'!$E:$E)&amp;ROW($CJ10)&amp;":"&amp;XLOOKUP(FH$3,'TTM Dates'!$B:$B,'TTM Dates'!$C:$C)&amp;ROW($CJ10))))</f>
        <v>924103.32</v>
      </c>
      <c r="FI10" s="136">
        <f t="array" ref="FI10">IF(FI$3&gt;'GAAP Summary'!$B$2,0,SUM(INDIRECT(XLOOKUP(FI$3,'TTM Dates'!$B:$B,'TTM Dates'!$E:$E)&amp;ROW($CJ10)&amp;":"&amp;XLOOKUP(FI$3,'TTM Dates'!$B:$B,'TTM Dates'!$C:$C)&amp;ROW($CJ10))))</f>
        <v>821453.32</v>
      </c>
      <c r="FJ10" s="136">
        <f t="array" ref="FJ10">IF(FJ$3&gt;'GAAP Summary'!$B$2,0,SUM(INDIRECT(XLOOKUP(FJ$3,'TTM Dates'!$B:$B,'TTM Dates'!$E:$E)&amp;ROW($CJ10)&amp;":"&amp;XLOOKUP(FJ$3,'TTM Dates'!$B:$B,'TTM Dates'!$C:$C)&amp;ROW($CJ10))))</f>
        <v>854905.32</v>
      </c>
      <c r="FK10" s="136">
        <f t="array" ref="FK10">IF(FK$3&gt;'GAAP Summary'!$B$2,0,SUM(INDIRECT(XLOOKUP(FK$3,'TTM Dates'!$B:$B,'TTM Dates'!$E:$E)&amp;ROW($CJ10)&amp;":"&amp;XLOOKUP(FK$3,'TTM Dates'!$B:$B,'TTM Dates'!$C:$C)&amp;ROW($CJ10))))</f>
        <v>850405.32</v>
      </c>
      <c r="FL10" s="136">
        <f t="array" ref="FL10">IF(FL$3&gt;'GAAP Summary'!$B$2,0,SUM(INDIRECT(XLOOKUP(FL$3,'TTM Dates'!$B:$B,'TTM Dates'!$E:$E)&amp;ROW($CJ10)&amp;":"&amp;XLOOKUP(FL$3,'TTM Dates'!$B:$B,'TTM Dates'!$C:$C)&amp;ROW($CJ10))))</f>
        <v>761518.52</v>
      </c>
      <c r="FM10" s="136">
        <f t="array" ref="FM10">IF(FM$3&gt;'GAAP Summary'!$B$2,0,SUM(INDIRECT(XLOOKUP(FM$3,'TTM Dates'!$B:$B,'TTM Dates'!$E:$E)&amp;ROW($CJ10)&amp;":"&amp;XLOOKUP(FM$3,'TTM Dates'!$B:$B,'TTM Dates'!$C:$C)&amp;ROW($CJ10))))</f>
        <v>789163.45</v>
      </c>
      <c r="FN10" s="136">
        <f t="array" ref="FN10">IF(FN$3&gt;'GAAP Summary'!$B$2,0,SUM(INDIRECT(XLOOKUP(FN$3,'TTM Dates'!$B:$B,'TTM Dates'!$E:$E)&amp;ROW($CJ10)&amp;":"&amp;XLOOKUP(FN$3,'TTM Dates'!$B:$B,'TTM Dates'!$C:$C)&amp;ROW($CJ10))))</f>
        <v>567098.15</v>
      </c>
      <c r="FO10" s="136">
        <f t="array" ref="FO10">IF(FO$3&gt;'GAAP Summary'!$B$2,0,SUM(INDIRECT(XLOOKUP(FO$3,'TTM Dates'!$B:$B,'TTM Dates'!$E:$E)&amp;ROW($CJ10)&amp;":"&amp;XLOOKUP(FO$3,'TTM Dates'!$B:$B,'TTM Dates'!$C:$C)&amp;ROW($CJ10))))</f>
        <v>659195.75</v>
      </c>
      <c r="FP10" s="136">
        <f t="array" ref="FP10">IF(FP$3&gt;'GAAP Summary'!$B$2,0,SUM(INDIRECT(XLOOKUP(FP$3,'TTM Dates'!$B:$B,'TTM Dates'!$E:$E)&amp;ROW($CJ10)&amp;":"&amp;XLOOKUP(FP$3,'TTM Dates'!$B:$B,'TTM Dates'!$C:$C)&amp;ROW($CJ10))))</f>
        <v>606395.75</v>
      </c>
      <c r="FQ10" s="136">
        <f t="array" ref="FQ10">IF(FQ$3&gt;'GAAP Summary'!$B$2,0,SUM(INDIRECT(XLOOKUP(FQ$3,'TTM Dates'!$B:$B,'TTM Dates'!$E:$E)&amp;ROW($CJ10)&amp;":"&amp;XLOOKUP(FQ$3,'TTM Dates'!$B:$B,'TTM Dates'!$C:$C)&amp;ROW($CJ10))))</f>
        <v>539282.75</v>
      </c>
      <c r="FR10" s="136">
        <f t="array" ref="FR10">IF(FR$3&gt;'GAAP Summary'!$B$2,0,SUM(INDIRECT(XLOOKUP(FR$3,'TTM Dates'!$B:$B,'TTM Dates'!$E:$E)&amp;ROW($CJ10)&amp;":"&amp;XLOOKUP(FR$3,'TTM Dates'!$B:$B,'TTM Dates'!$C:$C)&amp;ROW($CJ10))))</f>
        <v>550370.75</v>
      </c>
      <c r="FS10" s="136">
        <f t="array" ref="FS10">IF(FS$3&gt;'GAAP Summary'!$B$2,0,SUM(INDIRECT(XLOOKUP(FS$3,'TTM Dates'!$B:$B,'TTM Dates'!$E:$E)&amp;ROW($CJ10)&amp;":"&amp;XLOOKUP(FS$3,'TTM Dates'!$B:$B,'TTM Dates'!$C:$C)&amp;ROW($CJ10))))</f>
        <v>548480.75</v>
      </c>
      <c r="FT10" s="136">
        <f t="array" ref="FT10">IF(FT$3&gt;'GAAP Summary'!$B$2,0,SUM(INDIRECT(XLOOKUP(FT$3,'TTM Dates'!$B:$B,'TTM Dates'!$E:$E)&amp;ROW($CJ10)&amp;":"&amp;XLOOKUP(FT$3,'TTM Dates'!$B:$B,'TTM Dates'!$C:$C)&amp;ROW($CJ10))))</f>
        <v>548480.75</v>
      </c>
      <c r="FU10" s="136">
        <f t="array" ref="FU10">IF(FU$3&gt;'GAAP Summary'!$B$2,0,SUM(INDIRECT(XLOOKUP(FU$3,'TTM Dates'!$B:$B,'TTM Dates'!$E:$E)&amp;ROW($CJ10)&amp;":"&amp;XLOOKUP(FU$3,'TTM Dates'!$B:$B,'TTM Dates'!$C:$C)&amp;ROW($CJ10))))</f>
        <v>542620.75</v>
      </c>
      <c r="FV10" s="136">
        <f t="array" ref="FV10">IF(FV$3&gt;'GAAP Summary'!$B$2,0,SUM(INDIRECT(XLOOKUP(FV$3,'TTM Dates'!$B:$B,'TTM Dates'!$E:$E)&amp;ROW($CJ10)&amp;":"&amp;XLOOKUP(FV$3,'TTM Dates'!$B:$B,'TTM Dates'!$C:$C)&amp;ROW($CJ10))))</f>
        <v>494960.75</v>
      </c>
      <c r="FW10" s="136">
        <f t="array" ref="FW10">IF(FW$3&gt;'GAAP Summary'!$B$2,0,SUM(INDIRECT(XLOOKUP(FW$3,'TTM Dates'!$B:$B,'TTM Dates'!$E:$E)&amp;ROW($CJ10)&amp;":"&amp;XLOOKUP(FW$3,'TTM Dates'!$B:$B,'TTM Dates'!$C:$C)&amp;ROW($CJ10))))</f>
        <v>752966.75</v>
      </c>
      <c r="FX10" s="136">
        <f t="array" ref="FX10">IF(FX$3&gt;'GAAP Summary'!$B$2,0,SUM(INDIRECT(XLOOKUP(FX$3,'TTM Dates'!$B:$B,'TTM Dates'!$E:$E)&amp;ROW($CJ10)&amp;":"&amp;XLOOKUP(FX$3,'TTM Dates'!$B:$B,'TTM Dates'!$C:$C)&amp;ROW($CJ10))))</f>
        <v>778304.72</v>
      </c>
      <c r="FY10" s="136">
        <f t="array" ref="FY10">IF(FY$3&gt;'GAAP Summary'!$B$2,0,SUM(INDIRECT(XLOOKUP(FY$3,'TTM Dates'!$B:$B,'TTM Dates'!$E:$E)&amp;ROW($CJ10)&amp;":"&amp;XLOOKUP(FY$3,'TTM Dates'!$B:$B,'TTM Dates'!$C:$C)&amp;ROW($CJ10))))</f>
        <v>774525.47</v>
      </c>
      <c r="FZ10" s="136">
        <f t="array" ref="FZ10">IF(FZ$3&gt;'GAAP Summary'!$B$2,0,SUM(INDIRECT(XLOOKUP(FZ$3,'TTM Dates'!$B:$B,'TTM Dates'!$E:$E)&amp;ROW($CJ10)&amp;":"&amp;XLOOKUP(FZ$3,'TTM Dates'!$B:$B,'TTM Dates'!$C:$C)&amp;ROW($CJ10))))</f>
        <v>833724.24</v>
      </c>
      <c r="GA10" s="136">
        <f t="array" ref="GA10">IF(GA$3&gt;'GAAP Summary'!$B$2,0,SUM(INDIRECT(XLOOKUP(GA$3,'TTM Dates'!$B:$B,'TTM Dates'!$E:$E)&amp;ROW($CJ10)&amp;":"&amp;XLOOKUP(GA$3,'TTM Dates'!$B:$B,'TTM Dates'!$C:$C)&amp;ROW($CJ10))))</f>
        <v>749052.64</v>
      </c>
      <c r="GB10" s="136">
        <f t="array" ref="GB10">IF(GB$3&gt;'GAAP Summary'!$B$2,0,SUM(INDIRECT(XLOOKUP(GB$3,'TTM Dates'!$B:$B,'TTM Dates'!$E:$E)&amp;ROW($CJ10)&amp;":"&amp;XLOOKUP(GB$3,'TTM Dates'!$B:$B,'TTM Dates'!$C:$C)&amp;ROW($CJ10))))</f>
        <v>830744.64</v>
      </c>
      <c r="GC10" s="136">
        <f t="array" ref="GC10">IF(GC$3&gt;'GAAP Summary'!$B$2,0,SUM(INDIRECT(XLOOKUP(GC$3,'TTM Dates'!$B:$B,'TTM Dates'!$E:$E)&amp;ROW($CJ10)&amp;":"&amp;XLOOKUP(GC$3,'TTM Dates'!$B:$B,'TTM Dates'!$C:$C)&amp;ROW($CJ10))))</f>
        <v>850184.64</v>
      </c>
      <c r="GD10" s="136">
        <f t="array" ref="GD10">IF(GD$3&gt;'GAAP Summary'!$B$2,0,SUM(INDIRECT(XLOOKUP(GD$3,'TTM Dates'!$B:$B,'TTM Dates'!$E:$E)&amp;ROW($CJ10)&amp;":"&amp;XLOOKUP(GD$3,'TTM Dates'!$B:$B,'TTM Dates'!$C:$C)&amp;ROW($CJ10))))</f>
        <v>839096.64</v>
      </c>
      <c r="GE10" s="136">
        <f t="array" ref="GE10">IF(GE$3&gt;'GAAP Summary'!$B$2,0,SUM(INDIRECT(XLOOKUP(GE$3,'TTM Dates'!$B:$B,'TTM Dates'!$E:$E)&amp;ROW($CJ10)&amp;":"&amp;XLOOKUP(GE$3,'TTM Dates'!$B:$B,'TTM Dates'!$C:$C)&amp;ROW($CJ10))))</f>
        <v>839096.64</v>
      </c>
      <c r="GF10" s="136">
        <f t="array" ref="GF10">IF(GF$3&gt;'GAAP Summary'!$B$2,0,SUM(INDIRECT(XLOOKUP(GF$3,'TTM Dates'!$B:$B,'TTM Dates'!$E:$E)&amp;ROW($CJ10)&amp;":"&amp;XLOOKUP(GF$3,'TTM Dates'!$B:$B,'TTM Dates'!$C:$C)&amp;ROW($CJ10))))</f>
        <v>830396.64</v>
      </c>
      <c r="GG10" s="136">
        <f t="array" ref="GG10">IF(GG$3&gt;'GAAP Summary'!$B$2,0,SUM(INDIRECT(XLOOKUP(GG$3,'TTM Dates'!$B:$B,'TTM Dates'!$E:$E)&amp;ROW($CJ10)&amp;":"&amp;XLOOKUP(GG$3,'TTM Dates'!$B:$B,'TTM Dates'!$C:$C)&amp;ROW($CJ10))))</f>
        <v>0</v>
      </c>
      <c r="GH10" s="136">
        <f t="array" ref="GH10">IF(GH$3&gt;'GAAP Summary'!$B$2,0,SUM(INDIRECT(XLOOKUP(GH$3,'TTM Dates'!$B:$B,'TTM Dates'!$E:$E)&amp;ROW($CJ10)&amp;":"&amp;XLOOKUP(GH$3,'TTM Dates'!$B:$B,'TTM Dates'!$C:$C)&amp;ROW($CJ10))))</f>
        <v>0</v>
      </c>
      <c r="GI10" s="136">
        <f t="array" ref="GI10">IF(GI$3&gt;'GAAP Summary'!$B$2,0,SUM(INDIRECT(XLOOKUP(GI$3,'TTM Dates'!$B:$B,'TTM Dates'!$E:$E)&amp;ROW($CJ10)&amp;":"&amp;XLOOKUP(GI$3,'TTM Dates'!$B:$B,'TTM Dates'!$C:$C)&amp;ROW($CJ10))))</f>
        <v>0</v>
      </c>
      <c r="GJ10" s="136">
        <f t="array" ref="GJ10">IF(GJ$3&gt;'GAAP Summary'!$B$2,0,SUM(INDIRECT(XLOOKUP(GJ$3,'TTM Dates'!$B:$B,'TTM Dates'!$E:$E)&amp;ROW($CJ10)&amp;":"&amp;XLOOKUP(GJ$3,'TTM Dates'!$B:$B,'TTM Dates'!$C:$C)&amp;ROW($CJ10))))</f>
        <v>0</v>
      </c>
      <c r="GK10" s="136">
        <f t="array" ref="GK10">IF(GK$3&gt;'GAAP Summary'!$B$2,0,SUM(INDIRECT(XLOOKUP(GK$3,'TTM Dates'!$B:$B,'TTM Dates'!$E:$E)&amp;ROW($CJ10)&amp;":"&amp;XLOOKUP(GK$3,'TTM Dates'!$B:$B,'TTM Dates'!$C:$C)&amp;ROW($CJ10))))</f>
        <v>0</v>
      </c>
      <c r="GL10" s="136">
        <f t="array" ref="GL10">IF(GL$3&gt;'GAAP Summary'!$B$2,0,SUM(INDIRECT(XLOOKUP(GL$3,'TTM Dates'!$B:$B,'TTM Dates'!$E:$E)&amp;ROW($CJ10)&amp;":"&amp;XLOOKUP(GL$3,'TTM Dates'!$B:$B,'TTM Dates'!$C:$C)&amp;ROW($CJ10))))</f>
        <v>0</v>
      </c>
      <c r="GM10" s="136"/>
    </row>
    <row r="11">
      <c r="B11" s="267" t="s">
        <v>216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202">
        <v>366816.0</v>
      </c>
      <c r="BG11" s="49"/>
      <c r="BH11" s="202">
        <v>21117.0</v>
      </c>
      <c r="BI11" s="202">
        <v>79982.0</v>
      </c>
      <c r="BJ11" s="202">
        <v>20000.0</v>
      </c>
      <c r="BK11" s="49"/>
      <c r="BL11" s="202">
        <v>900000.0</v>
      </c>
      <c r="BM11" s="202">
        <v>281859.85</v>
      </c>
      <c r="BN11" s="202">
        <v>303607.0</v>
      </c>
      <c r="BO11" s="202">
        <v>180000.0</v>
      </c>
      <c r="BP11" s="202">
        <v>248000.0</v>
      </c>
      <c r="BQ11" s="202">
        <v>0.0</v>
      </c>
      <c r="BR11" s="202">
        <v>75000.0</v>
      </c>
      <c r="BS11" s="202">
        <f>148962.96+6804</f>
        <v>155766.96</v>
      </c>
      <c r="BT11" s="202">
        <v>435000.0</v>
      </c>
      <c r="BU11" s="202">
        <v>535000.0</v>
      </c>
      <c r="BV11" s="202">
        <v>0.0</v>
      </c>
      <c r="BW11" s="54"/>
      <c r="BX11" s="54"/>
      <c r="BY11" s="202">
        <v>330000.0</v>
      </c>
      <c r="BZ11" s="202">
        <v>0.0</v>
      </c>
      <c r="CA11" s="202">
        <v>465195.32</v>
      </c>
      <c r="CB11" s="202">
        <v>100000.0</v>
      </c>
      <c r="CC11" s="54"/>
      <c r="CD11" s="54"/>
      <c r="CE11" s="54"/>
      <c r="CF11" s="54"/>
      <c r="CG11" s="54"/>
      <c r="CH11" s="54"/>
      <c r="CI11" s="50"/>
      <c r="CJ11" s="50"/>
      <c r="CK11" s="140">
        <f t="array" ref="CK11">SUM(INDIRECT(XLOOKUP('GAAP Summary'!$B$2,'TTM Dates'!$B:$B,'TTM Dates'!$E:$E)&amp;ROW($CJ11)&amp;":"&amp;XLOOKUP('GAAP Summary'!$B$2,'TTM Dates'!$B:$B,'TTM Dates'!$C:$C)&amp;ROW($CJ11)))</f>
        <v>2095962.28</v>
      </c>
      <c r="CL11" s="49"/>
      <c r="CM11" s="141">
        <f t="shared" si="5"/>
        <v>330000</v>
      </c>
      <c r="CN11" s="141">
        <f t="shared" si="6"/>
        <v>565195.32</v>
      </c>
      <c r="CO11" s="141">
        <f t="shared" si="27"/>
        <v>0</v>
      </c>
      <c r="CP11" s="141">
        <f t="shared" si="28"/>
        <v>0</v>
      </c>
      <c r="CQ11" s="140">
        <f t="shared" si="29"/>
        <v>895195.32</v>
      </c>
      <c r="CR11" s="137"/>
      <c r="CS11" s="137">
        <f t="shared" si="7"/>
        <v>1181859.85</v>
      </c>
      <c r="CT11" s="137">
        <f t="shared" si="8"/>
        <v>731607</v>
      </c>
      <c r="CU11" s="137">
        <f t="shared" si="9"/>
        <v>230766.96</v>
      </c>
      <c r="CV11" s="137">
        <f t="shared" si="10"/>
        <v>970000</v>
      </c>
      <c r="CW11" s="142">
        <f t="shared" si="11"/>
        <v>3114233.81</v>
      </c>
      <c r="CX11" s="79">
        <f t="shared" si="12"/>
        <v>2.960472541</v>
      </c>
      <c r="CY11" s="137">
        <f t="shared" si="13"/>
        <v>0</v>
      </c>
      <c r="CZ11" s="137">
        <f t="shared" si="14"/>
        <v>0</v>
      </c>
      <c r="DA11" s="137">
        <f t="shared" si="15"/>
        <v>366816</v>
      </c>
      <c r="DB11" s="137">
        <f t="shared" si="16"/>
        <v>121099</v>
      </c>
      <c r="DC11" s="142">
        <f t="shared" si="17"/>
        <v>487915</v>
      </c>
      <c r="DD11" s="49"/>
      <c r="DE11" s="137"/>
      <c r="DF11" s="137"/>
      <c r="DG11" s="137"/>
      <c r="DH11" s="137"/>
      <c r="DI11" s="60"/>
      <c r="DJ11" s="49"/>
      <c r="DK11" s="137">
        <f t="shared" si="22"/>
        <v>0</v>
      </c>
      <c r="DL11" s="137">
        <f t="shared" si="23"/>
        <v>0</v>
      </c>
      <c r="DM11" s="137">
        <f t="shared" si="24"/>
        <v>0</v>
      </c>
      <c r="DN11" s="137">
        <f t="shared" si="25"/>
        <v>0</v>
      </c>
      <c r="DO11" s="142">
        <f t="shared" si="26"/>
        <v>0</v>
      </c>
      <c r="DP11" s="49"/>
      <c r="DQ11" s="60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136">
        <f t="array" ref="EE11">IF(EE$3&gt;'GAAP Summary'!$B$2,0,SUM(INDIRECT(XLOOKUP(EE$3,'TTM Dates'!$B:$B,'TTM Dates'!$E:$E)&amp;ROW($CJ11)&amp;":"&amp;XLOOKUP(EE$3,'TTM Dates'!$B:$B,'TTM Dates'!$C:$C)&amp;ROW($CJ11))))</f>
        <v>0</v>
      </c>
      <c r="EF11" s="136">
        <f t="array" ref="EF11">IF(EF$3&gt;'GAAP Summary'!$B$2,0,SUM(INDIRECT(XLOOKUP(EF$3,'TTM Dates'!$B:$B,'TTM Dates'!$E:$E)&amp;ROW($CJ11)&amp;":"&amp;XLOOKUP(EF$3,'TTM Dates'!$B:$B,'TTM Dates'!$C:$C)&amp;ROW($CJ11))))</f>
        <v>0</v>
      </c>
      <c r="EG11" s="136">
        <f t="array" ref="EG11">IF(EG$3&gt;'GAAP Summary'!$B$2,0,SUM(INDIRECT(XLOOKUP(EG$3,'TTM Dates'!$B:$B,'TTM Dates'!$E:$E)&amp;ROW($CJ11)&amp;":"&amp;XLOOKUP(EG$3,'TTM Dates'!$B:$B,'TTM Dates'!$C:$C)&amp;ROW($CJ11))))</f>
        <v>0</v>
      </c>
      <c r="EH11" s="136">
        <f t="array" ref="EH11">IF(EH$3&gt;'GAAP Summary'!$B$2,0,SUM(INDIRECT(XLOOKUP(EH$3,'TTM Dates'!$B:$B,'TTM Dates'!$E:$E)&amp;ROW($CJ11)&amp;":"&amp;XLOOKUP(EH$3,'TTM Dates'!$B:$B,'TTM Dates'!$C:$C)&amp;ROW($CJ11))))</f>
        <v>0</v>
      </c>
      <c r="EI11" s="136">
        <f t="array" ref="EI11">IF(EI$3&gt;'GAAP Summary'!$B$2,0,SUM(INDIRECT(XLOOKUP(EI$3,'TTM Dates'!$B:$B,'TTM Dates'!$E:$E)&amp;ROW($CJ11)&amp;":"&amp;XLOOKUP(EI$3,'TTM Dates'!$B:$B,'TTM Dates'!$C:$C)&amp;ROW($CJ11))))</f>
        <v>0</v>
      </c>
      <c r="EJ11" s="136">
        <f t="array" ref="EJ11">IF(EJ$3&gt;'GAAP Summary'!$B$2,0,SUM(INDIRECT(XLOOKUP(EJ$3,'TTM Dates'!$B:$B,'TTM Dates'!$E:$E)&amp;ROW($CJ11)&amp;":"&amp;XLOOKUP(EJ$3,'TTM Dates'!$B:$B,'TTM Dates'!$C:$C)&amp;ROW($CJ11))))</f>
        <v>0</v>
      </c>
      <c r="EK11" s="136">
        <f t="array" ref="EK11">IF(EK$3&gt;'GAAP Summary'!$B$2,0,SUM(INDIRECT(XLOOKUP(EK$3,'TTM Dates'!$B:$B,'TTM Dates'!$E:$E)&amp;ROW($CJ11)&amp;":"&amp;XLOOKUP(EK$3,'TTM Dates'!$B:$B,'TTM Dates'!$C:$C)&amp;ROW($CJ11))))</f>
        <v>0</v>
      </c>
      <c r="EL11" s="136">
        <f t="array" ref="EL11">IF(EL$3&gt;'GAAP Summary'!$B$2,0,SUM(INDIRECT(XLOOKUP(EL$3,'TTM Dates'!$B:$B,'TTM Dates'!$E:$E)&amp;ROW($CJ11)&amp;":"&amp;XLOOKUP(EL$3,'TTM Dates'!$B:$B,'TTM Dates'!$C:$C)&amp;ROW($CJ11))))</f>
        <v>0</v>
      </c>
      <c r="EM11" s="136">
        <f t="array" ref="EM11">IF(EM$3&gt;'GAAP Summary'!$B$2,0,SUM(INDIRECT(XLOOKUP(EM$3,'TTM Dates'!$B:$B,'TTM Dates'!$E:$E)&amp;ROW($CJ11)&amp;":"&amp;XLOOKUP(EM$3,'TTM Dates'!$B:$B,'TTM Dates'!$C:$C)&amp;ROW($CJ11))))</f>
        <v>0</v>
      </c>
      <c r="EN11" s="136">
        <f t="array" ref="EN11">IF(EN$3&gt;'GAAP Summary'!$B$2,0,SUM(INDIRECT(XLOOKUP(EN$3,'TTM Dates'!$B:$B,'TTM Dates'!$E:$E)&amp;ROW($CJ11)&amp;":"&amp;XLOOKUP(EN$3,'TTM Dates'!$B:$B,'TTM Dates'!$C:$C)&amp;ROW($CJ11))))</f>
        <v>0</v>
      </c>
      <c r="EO11" s="136">
        <f t="array" ref="EO11">IF(EO$3&gt;'GAAP Summary'!$B$2,0,SUM(INDIRECT(XLOOKUP(EO$3,'TTM Dates'!$B:$B,'TTM Dates'!$E:$E)&amp;ROW($CJ11)&amp;":"&amp;XLOOKUP(EO$3,'TTM Dates'!$B:$B,'TTM Dates'!$C:$C)&amp;ROW($CJ11))))</f>
        <v>0</v>
      </c>
      <c r="EP11" s="136">
        <f t="array" ref="EP11">IF(EP$3&gt;'GAAP Summary'!$B$2,0,SUM(INDIRECT(XLOOKUP(EP$3,'TTM Dates'!$B:$B,'TTM Dates'!$E:$E)&amp;ROW($CJ11)&amp;":"&amp;XLOOKUP(EP$3,'TTM Dates'!$B:$B,'TTM Dates'!$C:$C)&amp;ROW($CJ11))))</f>
        <v>0</v>
      </c>
      <c r="EQ11" s="136">
        <f t="array" ref="EQ11">IF(EQ$3&gt;'GAAP Summary'!$B$2,0,SUM(INDIRECT(XLOOKUP(EQ$3,'TTM Dates'!$B:$B,'TTM Dates'!$E:$E)&amp;ROW($CJ11)&amp;":"&amp;XLOOKUP(EQ$3,'TTM Dates'!$B:$B,'TTM Dates'!$C:$C)&amp;ROW($CJ11))))</f>
        <v>0</v>
      </c>
      <c r="ER11" s="136">
        <f t="array" ref="ER11">IF(ER$3&gt;'GAAP Summary'!$B$2,0,SUM(INDIRECT(XLOOKUP(ER$3,'TTM Dates'!$B:$B,'TTM Dates'!$E:$E)&amp;ROW($CJ11)&amp;":"&amp;XLOOKUP(ER$3,'TTM Dates'!$B:$B,'TTM Dates'!$C:$C)&amp;ROW($CJ11))))</f>
        <v>0</v>
      </c>
      <c r="ES11" s="136">
        <f t="array" ref="ES11">IF(ES$3&gt;'GAAP Summary'!$B$2,0,SUM(INDIRECT(XLOOKUP(ES$3,'TTM Dates'!$B:$B,'TTM Dates'!$E:$E)&amp;ROW($CJ11)&amp;":"&amp;XLOOKUP(ES$3,'TTM Dates'!$B:$B,'TTM Dates'!$C:$C)&amp;ROW($CJ11))))</f>
        <v>0</v>
      </c>
      <c r="ET11" s="136">
        <f t="array" ref="ET11">IF(ET$3&gt;'GAAP Summary'!$B$2,0,SUM(INDIRECT(XLOOKUP(ET$3,'TTM Dates'!$B:$B,'TTM Dates'!$E:$E)&amp;ROW($CJ11)&amp;":"&amp;XLOOKUP(ET$3,'TTM Dates'!$B:$B,'TTM Dates'!$C:$C)&amp;ROW($CJ11))))</f>
        <v>0</v>
      </c>
      <c r="EU11" s="136">
        <f t="array" ref="EU11">IF(EU$3&gt;'GAAP Summary'!$B$2,0,SUM(INDIRECT(XLOOKUP(EU$3,'TTM Dates'!$B:$B,'TTM Dates'!$E:$E)&amp;ROW($CJ11)&amp;":"&amp;XLOOKUP(EU$3,'TTM Dates'!$B:$B,'TTM Dates'!$C:$C)&amp;ROW($CJ11))))</f>
        <v>0</v>
      </c>
      <c r="EV11" s="136">
        <f t="array" ref="EV11">IF(EV$3&gt;'GAAP Summary'!$B$2,0,SUM(INDIRECT(XLOOKUP(EV$3,'TTM Dates'!$B:$B,'TTM Dates'!$E:$E)&amp;ROW($CJ11)&amp;":"&amp;XLOOKUP(EV$3,'TTM Dates'!$B:$B,'TTM Dates'!$C:$C)&amp;ROW($CJ11))))</f>
        <v>0</v>
      </c>
      <c r="EW11" s="136">
        <f t="array" ref="EW11">IF(EW$3&gt;'GAAP Summary'!$B$2,0,SUM(INDIRECT(XLOOKUP(EW$3,'TTM Dates'!$B:$B,'TTM Dates'!$E:$E)&amp;ROW($CJ11)&amp;":"&amp;XLOOKUP(EW$3,'TTM Dates'!$B:$B,'TTM Dates'!$C:$C)&amp;ROW($CJ11))))</f>
        <v>0</v>
      </c>
      <c r="EX11" s="136">
        <f t="array" ref="EX11">IF(EX$3&gt;'GAAP Summary'!$B$2,0,SUM(INDIRECT(XLOOKUP(EX$3,'TTM Dates'!$B:$B,'TTM Dates'!$E:$E)&amp;ROW($CJ11)&amp;":"&amp;XLOOKUP(EX$3,'TTM Dates'!$B:$B,'TTM Dates'!$C:$C)&amp;ROW($CJ11))))</f>
        <v>0</v>
      </c>
      <c r="EY11" s="136">
        <f t="array" ref="EY11">IF(EY$3&gt;'GAAP Summary'!$B$2,0,SUM(INDIRECT(XLOOKUP(EY$3,'TTM Dates'!$B:$B,'TTM Dates'!$E:$E)&amp;ROW($CJ11)&amp;":"&amp;XLOOKUP(EY$3,'TTM Dates'!$B:$B,'TTM Dates'!$C:$C)&amp;ROW($CJ11))))</f>
        <v>0</v>
      </c>
      <c r="EZ11" s="136">
        <f t="array" ref="EZ11">IF(EZ$3&gt;'GAAP Summary'!$B$2,0,SUM(INDIRECT(XLOOKUP(EZ$3,'TTM Dates'!$B:$B,'TTM Dates'!$E:$E)&amp;ROW($CJ11)&amp;":"&amp;XLOOKUP(EZ$3,'TTM Dates'!$B:$B,'TTM Dates'!$C:$C)&amp;ROW($CJ11))))</f>
        <v>0</v>
      </c>
      <c r="FA11" s="136">
        <f t="array" ref="FA11">IF(FA$3&gt;'GAAP Summary'!$B$2,0,SUM(INDIRECT(XLOOKUP(FA$3,'TTM Dates'!$B:$B,'TTM Dates'!$E:$E)&amp;ROW($CJ11)&amp;":"&amp;XLOOKUP(FA$3,'TTM Dates'!$B:$B,'TTM Dates'!$C:$C)&amp;ROW($CJ11))))</f>
        <v>0</v>
      </c>
      <c r="FB11" s="136">
        <f t="array" ref="FB11">IF(FB$3&gt;'GAAP Summary'!$B$2,0,SUM(INDIRECT(XLOOKUP(FB$3,'TTM Dates'!$B:$B,'TTM Dates'!$E:$E)&amp;ROW($CJ11)&amp;":"&amp;XLOOKUP(FB$3,'TTM Dates'!$B:$B,'TTM Dates'!$C:$C)&amp;ROW($CJ11))))</f>
        <v>0</v>
      </c>
      <c r="FC11" s="136">
        <f t="array" ref="FC11">IF(FC$3&gt;'GAAP Summary'!$B$2,0,SUM(INDIRECT(XLOOKUP(FC$3,'TTM Dates'!$B:$B,'TTM Dates'!$E:$E)&amp;ROW($CJ11)&amp;":"&amp;XLOOKUP(FC$3,'TTM Dates'!$B:$B,'TTM Dates'!$C:$C)&amp;ROW($CJ11))))</f>
        <v>0</v>
      </c>
      <c r="FD11" s="136">
        <f t="array" ref="FD11">IF(FD$3&gt;'GAAP Summary'!$B$2,0,SUM(INDIRECT(XLOOKUP(FD$3,'TTM Dates'!$B:$B,'TTM Dates'!$E:$E)&amp;ROW($CJ11)&amp;":"&amp;XLOOKUP(FD$3,'TTM Dates'!$B:$B,'TTM Dates'!$C:$C)&amp;ROW($CJ11))))</f>
        <v>0</v>
      </c>
      <c r="FE11" s="136">
        <f t="array" ref="FE11">IF(FE$3&gt;'GAAP Summary'!$B$2,0,SUM(INDIRECT(XLOOKUP(FE$3,'TTM Dates'!$B:$B,'TTM Dates'!$E:$E)&amp;ROW($CJ11)&amp;":"&amp;XLOOKUP(FE$3,'TTM Dates'!$B:$B,'TTM Dates'!$C:$C)&amp;ROW($CJ11))))</f>
        <v>0</v>
      </c>
      <c r="FF11" s="136">
        <f t="array" ref="FF11">IF(FF$3&gt;'GAAP Summary'!$B$2,0,SUM(INDIRECT(XLOOKUP(FF$3,'TTM Dates'!$B:$B,'TTM Dates'!$E:$E)&amp;ROW($CJ11)&amp;":"&amp;XLOOKUP(FF$3,'TTM Dates'!$B:$B,'TTM Dates'!$C:$C)&amp;ROW($CJ11))))</f>
        <v>0</v>
      </c>
      <c r="FG11" s="136">
        <f t="array" ref="FG11">IF(FG$3&gt;'GAAP Summary'!$B$2,0,SUM(INDIRECT(XLOOKUP(FG$3,'TTM Dates'!$B:$B,'TTM Dates'!$E:$E)&amp;ROW($CJ11)&amp;":"&amp;XLOOKUP(FG$3,'TTM Dates'!$B:$B,'TTM Dates'!$C:$C)&amp;ROW($CJ11))))</f>
        <v>0</v>
      </c>
      <c r="FH11" s="136">
        <f t="array" ref="FH11">IF(FH$3&gt;'GAAP Summary'!$B$2,0,SUM(INDIRECT(XLOOKUP(FH$3,'TTM Dates'!$B:$B,'TTM Dates'!$E:$E)&amp;ROW($CJ11)&amp;":"&amp;XLOOKUP(FH$3,'TTM Dates'!$B:$B,'TTM Dates'!$C:$C)&amp;ROW($CJ11))))</f>
        <v>0</v>
      </c>
      <c r="FI11" s="136">
        <f t="array" ref="FI11">IF(FI$3&gt;'GAAP Summary'!$B$2,0,SUM(INDIRECT(XLOOKUP(FI$3,'TTM Dates'!$B:$B,'TTM Dates'!$E:$E)&amp;ROW($CJ11)&amp;":"&amp;XLOOKUP(FI$3,'TTM Dates'!$B:$B,'TTM Dates'!$C:$C)&amp;ROW($CJ11))))</f>
        <v>0</v>
      </c>
      <c r="FJ11" s="136">
        <f t="array" ref="FJ11">IF(FJ$3&gt;'GAAP Summary'!$B$2,0,SUM(INDIRECT(XLOOKUP(FJ$3,'TTM Dates'!$B:$B,'TTM Dates'!$E:$E)&amp;ROW($CJ11)&amp;":"&amp;XLOOKUP(FJ$3,'TTM Dates'!$B:$B,'TTM Dates'!$C:$C)&amp;ROW($CJ11))))</f>
        <v>366816</v>
      </c>
      <c r="FK11" s="136">
        <f t="array" ref="FK11">IF(FK$3&gt;'GAAP Summary'!$B$2,0,SUM(INDIRECT(XLOOKUP(FK$3,'TTM Dates'!$B:$B,'TTM Dates'!$E:$E)&amp;ROW($CJ11)&amp;":"&amp;XLOOKUP(FK$3,'TTM Dates'!$B:$B,'TTM Dates'!$C:$C)&amp;ROW($CJ11))))</f>
        <v>366816</v>
      </c>
      <c r="FL11" s="136">
        <f t="array" ref="FL11">IF(FL$3&gt;'GAAP Summary'!$B$2,0,SUM(INDIRECT(XLOOKUP(FL$3,'TTM Dates'!$B:$B,'TTM Dates'!$E:$E)&amp;ROW($CJ11)&amp;":"&amp;XLOOKUP(FL$3,'TTM Dates'!$B:$B,'TTM Dates'!$C:$C)&amp;ROW($CJ11))))</f>
        <v>387933</v>
      </c>
      <c r="FM11" s="136">
        <f t="array" ref="FM11">IF(FM$3&gt;'GAAP Summary'!$B$2,0,SUM(INDIRECT(XLOOKUP(FM$3,'TTM Dates'!$B:$B,'TTM Dates'!$E:$E)&amp;ROW($CJ11)&amp;":"&amp;XLOOKUP(FM$3,'TTM Dates'!$B:$B,'TTM Dates'!$C:$C)&amp;ROW($CJ11))))</f>
        <v>467915</v>
      </c>
      <c r="FN11" s="136">
        <f t="array" ref="FN11">IF(FN$3&gt;'GAAP Summary'!$B$2,0,SUM(INDIRECT(XLOOKUP(FN$3,'TTM Dates'!$B:$B,'TTM Dates'!$E:$E)&amp;ROW($CJ11)&amp;":"&amp;XLOOKUP(FN$3,'TTM Dates'!$B:$B,'TTM Dates'!$C:$C)&amp;ROW($CJ11))))</f>
        <v>487915</v>
      </c>
      <c r="FO11" s="136">
        <f t="array" ref="FO11">IF(FO$3&gt;'GAAP Summary'!$B$2,0,SUM(INDIRECT(XLOOKUP(FO$3,'TTM Dates'!$B:$B,'TTM Dates'!$E:$E)&amp;ROW($CJ11)&amp;":"&amp;XLOOKUP(FO$3,'TTM Dates'!$B:$B,'TTM Dates'!$C:$C)&amp;ROW($CJ11))))</f>
        <v>487915</v>
      </c>
      <c r="FP11" s="136">
        <f t="array" ref="FP11">IF(FP$3&gt;'GAAP Summary'!$B$2,0,SUM(INDIRECT(XLOOKUP(FP$3,'TTM Dates'!$B:$B,'TTM Dates'!$E:$E)&amp;ROW($CJ11)&amp;":"&amp;XLOOKUP(FP$3,'TTM Dates'!$B:$B,'TTM Dates'!$C:$C)&amp;ROW($CJ11))))</f>
        <v>1387915</v>
      </c>
      <c r="FQ11" s="136">
        <f t="array" ref="FQ11">IF(FQ$3&gt;'GAAP Summary'!$B$2,0,SUM(INDIRECT(XLOOKUP(FQ$3,'TTM Dates'!$B:$B,'TTM Dates'!$E:$E)&amp;ROW($CJ11)&amp;":"&amp;XLOOKUP(FQ$3,'TTM Dates'!$B:$B,'TTM Dates'!$C:$C)&amp;ROW($CJ11))))</f>
        <v>1669774.85</v>
      </c>
      <c r="FR11" s="136">
        <f t="array" ref="FR11">IF(FR$3&gt;'GAAP Summary'!$B$2,0,SUM(INDIRECT(XLOOKUP(FR$3,'TTM Dates'!$B:$B,'TTM Dates'!$E:$E)&amp;ROW($CJ11)&amp;":"&amp;XLOOKUP(FR$3,'TTM Dates'!$B:$B,'TTM Dates'!$C:$C)&amp;ROW($CJ11))))</f>
        <v>1973381.85</v>
      </c>
      <c r="FS11" s="136">
        <f t="array" ref="FS11">IF(FS$3&gt;'GAAP Summary'!$B$2,0,SUM(INDIRECT(XLOOKUP(FS$3,'TTM Dates'!$B:$B,'TTM Dates'!$E:$E)&amp;ROW($CJ11)&amp;":"&amp;XLOOKUP(FS$3,'TTM Dates'!$B:$B,'TTM Dates'!$C:$C)&amp;ROW($CJ11))))</f>
        <v>2153381.85</v>
      </c>
      <c r="FT11" s="136">
        <f t="array" ref="FT11">IF(FT$3&gt;'GAAP Summary'!$B$2,0,SUM(INDIRECT(XLOOKUP(FT$3,'TTM Dates'!$B:$B,'TTM Dates'!$E:$E)&amp;ROW($CJ11)&amp;":"&amp;XLOOKUP(FT$3,'TTM Dates'!$B:$B,'TTM Dates'!$C:$C)&amp;ROW($CJ11))))</f>
        <v>2401381.85</v>
      </c>
      <c r="FU11" s="136">
        <f t="array" ref="FU11">IF(FU$3&gt;'GAAP Summary'!$B$2,0,SUM(INDIRECT(XLOOKUP(FU$3,'TTM Dates'!$B:$B,'TTM Dates'!$E:$E)&amp;ROW($CJ11)&amp;":"&amp;XLOOKUP(FU$3,'TTM Dates'!$B:$B,'TTM Dates'!$C:$C)&amp;ROW($CJ11))))</f>
        <v>2401381.85</v>
      </c>
      <c r="FV11" s="136">
        <f t="array" ref="FV11">IF(FV$3&gt;'GAAP Summary'!$B$2,0,SUM(INDIRECT(XLOOKUP(FV$3,'TTM Dates'!$B:$B,'TTM Dates'!$E:$E)&amp;ROW($CJ11)&amp;":"&amp;XLOOKUP(FV$3,'TTM Dates'!$B:$B,'TTM Dates'!$C:$C)&amp;ROW($CJ11))))</f>
        <v>2109565.85</v>
      </c>
      <c r="FW11" s="136">
        <f t="array" ref="FW11">IF(FW$3&gt;'GAAP Summary'!$B$2,0,SUM(INDIRECT(XLOOKUP(FW$3,'TTM Dates'!$B:$B,'TTM Dates'!$E:$E)&amp;ROW($CJ11)&amp;":"&amp;XLOOKUP(FW$3,'TTM Dates'!$B:$B,'TTM Dates'!$C:$C)&amp;ROW($CJ11))))</f>
        <v>2265332.81</v>
      </c>
      <c r="FX11" s="136">
        <f t="array" ref="FX11">IF(FX$3&gt;'GAAP Summary'!$B$2,0,SUM(INDIRECT(XLOOKUP(FX$3,'TTM Dates'!$B:$B,'TTM Dates'!$E:$E)&amp;ROW($CJ11)&amp;":"&amp;XLOOKUP(FX$3,'TTM Dates'!$B:$B,'TTM Dates'!$C:$C)&amp;ROW($CJ11))))</f>
        <v>2679215.81</v>
      </c>
      <c r="FY11" s="136">
        <f t="array" ref="FY11">IF(FY$3&gt;'GAAP Summary'!$B$2,0,SUM(INDIRECT(XLOOKUP(FY$3,'TTM Dates'!$B:$B,'TTM Dates'!$E:$E)&amp;ROW($CJ11)&amp;":"&amp;XLOOKUP(FY$3,'TTM Dates'!$B:$B,'TTM Dates'!$C:$C)&amp;ROW($CJ11))))</f>
        <v>3134233.81</v>
      </c>
      <c r="FZ11" s="136">
        <f t="array" ref="FZ11">IF(FZ$3&gt;'GAAP Summary'!$B$2,0,SUM(INDIRECT(XLOOKUP(FZ$3,'TTM Dates'!$B:$B,'TTM Dates'!$E:$E)&amp;ROW($CJ11)&amp;":"&amp;XLOOKUP(FZ$3,'TTM Dates'!$B:$B,'TTM Dates'!$C:$C)&amp;ROW($CJ11))))</f>
        <v>3114233.81</v>
      </c>
      <c r="GA11" s="136">
        <f t="array" ref="GA11">IF(GA$3&gt;'GAAP Summary'!$B$2,0,SUM(INDIRECT(XLOOKUP(GA$3,'TTM Dates'!$B:$B,'TTM Dates'!$E:$E)&amp;ROW($CJ11)&amp;":"&amp;XLOOKUP(GA$3,'TTM Dates'!$B:$B,'TTM Dates'!$C:$C)&amp;ROW($CJ11))))</f>
        <v>3114233.81</v>
      </c>
      <c r="GB11" s="136">
        <f t="array" ref="GB11">IF(GB$3&gt;'GAAP Summary'!$B$2,0,SUM(INDIRECT(XLOOKUP(GB$3,'TTM Dates'!$B:$B,'TTM Dates'!$E:$E)&amp;ROW($CJ11)&amp;":"&amp;XLOOKUP(GB$3,'TTM Dates'!$B:$B,'TTM Dates'!$C:$C)&amp;ROW($CJ11))))</f>
        <v>2214233.81</v>
      </c>
      <c r="GC11" s="136">
        <f t="array" ref="GC11">IF(GC$3&gt;'GAAP Summary'!$B$2,0,SUM(INDIRECT(XLOOKUP(GC$3,'TTM Dates'!$B:$B,'TTM Dates'!$E:$E)&amp;ROW($CJ11)&amp;":"&amp;XLOOKUP(GC$3,'TTM Dates'!$B:$B,'TTM Dates'!$C:$C)&amp;ROW($CJ11))))</f>
        <v>2262373.96</v>
      </c>
      <c r="GD11" s="136">
        <f t="array" ref="GD11">IF(GD$3&gt;'GAAP Summary'!$B$2,0,SUM(INDIRECT(XLOOKUP(GD$3,'TTM Dates'!$B:$B,'TTM Dates'!$E:$E)&amp;ROW($CJ11)&amp;":"&amp;XLOOKUP(GD$3,'TTM Dates'!$B:$B,'TTM Dates'!$C:$C)&amp;ROW($CJ11))))</f>
        <v>1958766.96</v>
      </c>
      <c r="GE11" s="136">
        <f t="array" ref="GE11">IF(GE$3&gt;'GAAP Summary'!$B$2,0,SUM(INDIRECT(XLOOKUP(GE$3,'TTM Dates'!$B:$B,'TTM Dates'!$E:$E)&amp;ROW($CJ11)&amp;":"&amp;XLOOKUP(GE$3,'TTM Dates'!$B:$B,'TTM Dates'!$C:$C)&amp;ROW($CJ11))))</f>
        <v>2243962.28</v>
      </c>
      <c r="GF11" s="136">
        <f t="array" ref="GF11">IF(GF$3&gt;'GAAP Summary'!$B$2,0,SUM(INDIRECT(XLOOKUP(GF$3,'TTM Dates'!$B:$B,'TTM Dates'!$E:$E)&amp;ROW($CJ11)&amp;":"&amp;XLOOKUP(GF$3,'TTM Dates'!$B:$B,'TTM Dates'!$C:$C)&amp;ROW($CJ11))))</f>
        <v>2095962.28</v>
      </c>
      <c r="GG11" s="136">
        <f t="array" ref="GG11">IF(GG$3&gt;'GAAP Summary'!$B$2,0,SUM(INDIRECT(XLOOKUP(GG$3,'TTM Dates'!$B:$B,'TTM Dates'!$E:$E)&amp;ROW($CJ11)&amp;":"&amp;XLOOKUP(GG$3,'TTM Dates'!$B:$B,'TTM Dates'!$C:$C)&amp;ROW($CJ11))))</f>
        <v>0</v>
      </c>
      <c r="GH11" s="136">
        <f t="array" ref="GH11">IF(GH$3&gt;'GAAP Summary'!$B$2,0,SUM(INDIRECT(XLOOKUP(GH$3,'TTM Dates'!$B:$B,'TTM Dates'!$E:$E)&amp;ROW($CJ11)&amp;":"&amp;XLOOKUP(GH$3,'TTM Dates'!$B:$B,'TTM Dates'!$C:$C)&amp;ROW($CJ11))))</f>
        <v>0</v>
      </c>
      <c r="GI11" s="136">
        <f t="array" ref="GI11">IF(GI$3&gt;'GAAP Summary'!$B$2,0,SUM(INDIRECT(XLOOKUP(GI$3,'TTM Dates'!$B:$B,'TTM Dates'!$E:$E)&amp;ROW($CJ11)&amp;":"&amp;XLOOKUP(GI$3,'TTM Dates'!$B:$B,'TTM Dates'!$C:$C)&amp;ROW($CJ11))))</f>
        <v>0</v>
      </c>
      <c r="GJ11" s="136">
        <f t="array" ref="GJ11">IF(GJ$3&gt;'GAAP Summary'!$B$2,0,SUM(INDIRECT(XLOOKUP(GJ$3,'TTM Dates'!$B:$B,'TTM Dates'!$E:$E)&amp;ROW($CJ11)&amp;":"&amp;XLOOKUP(GJ$3,'TTM Dates'!$B:$B,'TTM Dates'!$C:$C)&amp;ROW($CJ11))))</f>
        <v>0</v>
      </c>
      <c r="GK11" s="136">
        <f t="array" ref="GK11">IF(GK$3&gt;'GAAP Summary'!$B$2,0,SUM(INDIRECT(XLOOKUP(GK$3,'TTM Dates'!$B:$B,'TTM Dates'!$E:$E)&amp;ROW($CJ11)&amp;":"&amp;XLOOKUP(GK$3,'TTM Dates'!$B:$B,'TTM Dates'!$C:$C)&amp;ROW($CJ11))))</f>
        <v>0</v>
      </c>
      <c r="GL11" s="136">
        <f t="array" ref="GL11">IF(GL$3&gt;'GAAP Summary'!$B$2,0,SUM(INDIRECT(XLOOKUP(GL$3,'TTM Dates'!$B:$B,'TTM Dates'!$E:$E)&amp;ROW($CJ11)&amp;":"&amp;XLOOKUP(GL$3,'TTM Dates'!$B:$B,'TTM Dates'!$C:$C)&amp;ROW($CJ11))))</f>
        <v>0</v>
      </c>
      <c r="GM11" s="136"/>
    </row>
    <row r="12">
      <c r="B12" s="135" t="s">
        <v>268</v>
      </c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269" t="str">
        <f t="shared" ref="AM12:CH12" si="32">IF(AM7=0,"", TEXT(AM7,"0,000")&amp;" "&amp;"("&amp;TEXT((AM7-AA7)/AA7,"0%")&amp;" YoY)")</f>
        <v>134,400 (-7% YoY)</v>
      </c>
      <c r="AN12" s="269" t="str">
        <f t="shared" si="32"/>
        <v>846,864 (260% YoY)</v>
      </c>
      <c r="AO12" s="269" t="str">
        <f t="shared" si="32"/>
        <v>1,827,624 (-41% YoY)</v>
      </c>
      <c r="AP12" s="269" t="str">
        <f t="shared" si="32"/>
        <v>552,923 (-17% YoY)</v>
      </c>
      <c r="AQ12" s="269" t="str">
        <f t="shared" si="32"/>
        <v>857,590 (-79% YoY)</v>
      </c>
      <c r="AR12" s="269" t="str">
        <f t="shared" si="32"/>
        <v>2,370,127 (-15% YoY)</v>
      </c>
      <c r="AS12" s="269" t="str">
        <f t="shared" si="32"/>
        <v>1,015,910 (-68% YoY)</v>
      </c>
      <c r="AT12" s="269" t="str">
        <f t="shared" si="32"/>
        <v>2,102,478 (543% YoY)</v>
      </c>
      <c r="AU12" s="269" t="str">
        <f t="shared" si="32"/>
        <v>1,227,118 (-45% YoY)</v>
      </c>
      <c r="AV12" s="269" t="str">
        <f t="shared" si="32"/>
        <v>1,426,203 (-46% YoY)</v>
      </c>
      <c r="AW12" s="269" t="str">
        <f t="shared" si="32"/>
        <v>3,399,512 (243% YoY)</v>
      </c>
      <c r="AX12" s="269" t="str">
        <f t="shared" si="32"/>
        <v>3,318,570 (-22% YoY)</v>
      </c>
      <c r="AY12" s="269" t="str">
        <f t="shared" si="32"/>
        <v>57,000 (-58% YoY)</v>
      </c>
      <c r="AZ12" s="269" t="str">
        <f t="shared" si="32"/>
        <v>383,850 (-55% YoY)</v>
      </c>
      <c r="BA12" s="269" t="str">
        <f t="shared" si="32"/>
        <v>5,440,973 (198% YoY)</v>
      </c>
      <c r="BB12" s="269" t="str">
        <f t="shared" si="32"/>
        <v>1,612,652 (192% YoY)</v>
      </c>
      <c r="BC12" s="269" t="str">
        <f t="shared" si="32"/>
        <v>3,867,754 (351% YoY)</v>
      </c>
      <c r="BD12" s="269" t="str">
        <f t="shared" si="32"/>
        <v>1,064,496 (-55% YoY)</v>
      </c>
      <c r="BE12" s="269" t="str">
        <f t="shared" si="32"/>
        <v>1,406,220 (38% YoY)</v>
      </c>
      <c r="BF12" s="269" t="str">
        <f t="shared" si="32"/>
        <v>2,487,957 (18% YoY)</v>
      </c>
      <c r="BG12" s="269" t="str">
        <f t="shared" si="32"/>
        <v>2,307,330 (88% YoY)</v>
      </c>
      <c r="BH12" s="269" t="str">
        <f t="shared" si="32"/>
        <v>2,618,159 (84% YoY)</v>
      </c>
      <c r="BI12" s="269" t="str">
        <f t="shared" si="32"/>
        <v>3,091,805 (-9% YoY)</v>
      </c>
      <c r="BJ12" s="269" t="str">
        <f t="shared" si="32"/>
        <v>3,826,915 (15% YoY)</v>
      </c>
      <c r="BK12" s="269" t="str">
        <f t="shared" si="32"/>
        <v>1,131,126 (1884% YoY)</v>
      </c>
      <c r="BL12" s="269" t="str">
        <f t="shared" si="32"/>
        <v>3,388,620 (783% YoY)</v>
      </c>
      <c r="BM12" s="269" t="str">
        <f t="shared" si="32"/>
        <v>3,874,318 (-29% YoY)</v>
      </c>
      <c r="BN12" s="269" t="str">
        <f t="shared" si="32"/>
        <v>5,658,371 (251% YoY)</v>
      </c>
      <c r="BO12" s="269" t="str">
        <f t="shared" si="32"/>
        <v>2,939,886 (-24% YoY)</v>
      </c>
      <c r="BP12" s="269" t="str">
        <f t="shared" si="32"/>
        <v>3,780,757 (255% YoY)</v>
      </c>
      <c r="BQ12" s="269" t="str">
        <f t="shared" si="32"/>
        <v>4,707,768 (235% YoY)</v>
      </c>
      <c r="BR12" s="269" t="str">
        <f t="shared" si="32"/>
        <v>2,809,304 (13% YoY)</v>
      </c>
      <c r="BS12" s="269" t="str">
        <f t="shared" si="32"/>
        <v>4,837,563 (110% YoY)</v>
      </c>
      <c r="BT12" s="269" t="str">
        <f t="shared" si="32"/>
        <v>6,375,710 (144% YoY)</v>
      </c>
      <c r="BU12" s="269" t="str">
        <f t="shared" si="32"/>
        <v>3,993,142 (29% YoY)</v>
      </c>
      <c r="BV12" s="269" t="str">
        <f t="shared" si="32"/>
        <v>7,442,360 (94% YoY)</v>
      </c>
      <c r="BW12" s="269" t="str">
        <f t="shared" si="32"/>
        <v>1,005,206 (-11% YoY)</v>
      </c>
      <c r="BX12" s="269" t="str">
        <f t="shared" si="32"/>
        <v>4,472,753 (32% YoY)</v>
      </c>
      <c r="BY12" s="269" t="str">
        <f t="shared" si="32"/>
        <v>8,735,404 (125% YoY)</v>
      </c>
      <c r="BZ12" s="269" t="str">
        <f t="shared" si="32"/>
        <v>1,437,672 (-75% YoY)</v>
      </c>
      <c r="CA12" s="269" t="str">
        <f t="shared" si="32"/>
        <v>4,480,286 (52% YoY)</v>
      </c>
      <c r="CB12" s="269" t="str">
        <f t="shared" si="32"/>
        <v>2,847,037 (-25% YoY)</v>
      </c>
      <c r="CC12" s="269" t="str">
        <f t="shared" si="32"/>
        <v/>
      </c>
      <c r="CD12" s="269" t="str">
        <f t="shared" si="32"/>
        <v/>
      </c>
      <c r="CE12" s="269" t="str">
        <f t="shared" si="32"/>
        <v/>
      </c>
      <c r="CF12" s="269" t="str">
        <f t="shared" si="32"/>
        <v/>
      </c>
      <c r="CG12" s="269" t="str">
        <f t="shared" si="32"/>
        <v/>
      </c>
      <c r="CH12" s="269" t="str">
        <f t="shared" si="32"/>
        <v/>
      </c>
      <c r="CI12" s="50"/>
      <c r="CJ12" s="50"/>
      <c r="CK12" s="276"/>
      <c r="CL12" s="49"/>
      <c r="CM12" s="277" t="str">
        <f t="shared" ref="CM12:CN12" si="33">IF(CM7=0,"", TEXT(CM7,"0,000")&amp;" "&amp;"("&amp;TEXT((CM7-CS7)/CS7,"0%")&amp;" YoY)")</f>
        <v>14,213,363 (69% YoY)</v>
      </c>
      <c r="CN12" s="277" t="str">
        <f t="shared" si="33"/>
        <v>8,764,995 (-29% YoY)</v>
      </c>
      <c r="CO12" s="54"/>
      <c r="CP12" s="54"/>
      <c r="CQ12" s="278"/>
      <c r="CR12" s="62"/>
      <c r="CS12" s="277" t="str">
        <f t="shared" ref="CS12:CV12" si="34">IF(CS7=0,"", TEXT(CS7,"0,000")&amp;" "&amp;"("&amp;TEXT((CS7-CY7)/CY7,"0%")&amp;" YoY)")</f>
        <v>8,394,064 (43% YoY)</v>
      </c>
      <c r="CT12" s="277" t="str">
        <f t="shared" si="34"/>
        <v>12,379,014 (89% YoY)</v>
      </c>
      <c r="CU12" s="277" t="str">
        <f t="shared" si="34"/>
        <v>12,354,635 (99% YoY)</v>
      </c>
      <c r="CV12" s="277" t="str">
        <f t="shared" si="34"/>
        <v>17,811,213 (87% YoY)</v>
      </c>
      <c r="CW12" s="279"/>
      <c r="CX12" s="49"/>
      <c r="CY12" s="277" t="str">
        <f t="shared" ref="CY12:DB12" si="35">IF(CY7=0,"", TEXT(CY7,"0,000")&amp;" "&amp;"("&amp;TEXT((CY7-DE7)/DE7,"0%")&amp;" YoY)")</f>
        <v>5,881,823 (109% YoY)</v>
      </c>
      <c r="CZ12" s="277" t="str">
        <f t="shared" si="35"/>
        <v>6,544,902 (73% YoY)</v>
      </c>
      <c r="DA12" s="277" t="str">
        <f t="shared" si="35"/>
        <v>6,201,507 (43% YoY)</v>
      </c>
      <c r="DB12" s="277" t="str">
        <f t="shared" si="35"/>
        <v>9,536,879 (17% YoY)</v>
      </c>
      <c r="DC12" s="61"/>
      <c r="DD12" s="49"/>
      <c r="DE12" s="49"/>
      <c r="DF12" s="49">
        <f>DF13*1.25</f>
        <v>6983183.75</v>
      </c>
      <c r="DG12" s="49">
        <f>DG13*1.35</f>
        <v>7018367.85</v>
      </c>
      <c r="DH12" s="49">
        <f>DH13*1.25</f>
        <v>6369686.25</v>
      </c>
      <c r="DI12" s="60"/>
      <c r="DJ12" s="49"/>
      <c r="DK12" s="49"/>
      <c r="DL12" s="49"/>
      <c r="DM12" s="49"/>
      <c r="DN12" s="49"/>
      <c r="DO12" s="60"/>
      <c r="DP12" s="49"/>
      <c r="DQ12" s="60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/>
      <c r="GM12" s="44"/>
    </row>
    <row r="13">
      <c r="B13" s="63" t="s">
        <v>101</v>
      </c>
      <c r="C13" s="270">
        <f t="shared" ref="C13:Z13" si="36">C14+C19</f>
        <v>0</v>
      </c>
      <c r="D13" s="270">
        <f t="shared" si="36"/>
        <v>0</v>
      </c>
      <c r="E13" s="270">
        <f t="shared" si="36"/>
        <v>0</v>
      </c>
      <c r="F13" s="270">
        <f t="shared" si="36"/>
        <v>0</v>
      </c>
      <c r="G13" s="270">
        <f t="shared" si="36"/>
        <v>0</v>
      </c>
      <c r="H13" s="270">
        <f t="shared" si="36"/>
        <v>0</v>
      </c>
      <c r="I13" s="270">
        <f t="shared" si="36"/>
        <v>0</v>
      </c>
      <c r="J13" s="270">
        <f t="shared" si="36"/>
        <v>0</v>
      </c>
      <c r="K13" s="270">
        <f t="shared" si="36"/>
        <v>0</v>
      </c>
      <c r="L13" s="270">
        <f t="shared" si="36"/>
        <v>0</v>
      </c>
      <c r="M13" s="270">
        <f t="shared" si="36"/>
        <v>0</v>
      </c>
      <c r="N13" s="270">
        <f t="shared" si="36"/>
        <v>0</v>
      </c>
      <c r="O13" s="270">
        <f t="shared" si="36"/>
        <v>0</v>
      </c>
      <c r="P13" s="270">
        <f t="shared" si="36"/>
        <v>0</v>
      </c>
      <c r="Q13" s="270">
        <f t="shared" si="36"/>
        <v>0</v>
      </c>
      <c r="R13" s="270">
        <f t="shared" si="36"/>
        <v>0</v>
      </c>
      <c r="S13" s="270">
        <f t="shared" si="36"/>
        <v>0</v>
      </c>
      <c r="T13" s="270">
        <f t="shared" si="36"/>
        <v>0</v>
      </c>
      <c r="U13" s="270">
        <f t="shared" si="36"/>
        <v>0</v>
      </c>
      <c r="V13" s="270">
        <f t="shared" si="36"/>
        <v>0</v>
      </c>
      <c r="W13" s="270">
        <f t="shared" si="36"/>
        <v>0</v>
      </c>
      <c r="X13" s="270">
        <f t="shared" si="36"/>
        <v>0</v>
      </c>
      <c r="Y13" s="270">
        <f t="shared" si="36"/>
        <v>0</v>
      </c>
      <c r="Z13" s="270">
        <f t="shared" si="36"/>
        <v>0</v>
      </c>
      <c r="AA13" s="270">
        <v>1174821.0</v>
      </c>
      <c r="AB13" s="270">
        <v>1058642.0</v>
      </c>
      <c r="AC13" s="270">
        <v>1382675.0</v>
      </c>
      <c r="AD13" s="270">
        <v>1197302.0</v>
      </c>
      <c r="AE13" s="270">
        <v>1277152.0</v>
      </c>
      <c r="AF13" s="270">
        <v>1539826.0</v>
      </c>
      <c r="AG13" s="270">
        <v>1326478.0</v>
      </c>
      <c r="AH13" s="270">
        <v>1933412.0</v>
      </c>
      <c r="AI13" s="270">
        <v>1626732.0</v>
      </c>
      <c r="AJ13" s="270">
        <v>1863172.0</v>
      </c>
      <c r="AK13" s="270">
        <v>1785275.0</v>
      </c>
      <c r="AL13" s="270">
        <v>1237115.0</v>
      </c>
      <c r="AM13" s="270">
        <v>2132202.0</v>
      </c>
      <c r="AN13" s="270">
        <v>1943840.0</v>
      </c>
      <c r="AO13" s="270">
        <v>2227301.0</v>
      </c>
      <c r="AP13" s="270">
        <v>1844526.0</v>
      </c>
      <c r="AQ13" s="270">
        <v>1900795.0</v>
      </c>
      <c r="AR13" s="270">
        <v>1841226.0</v>
      </c>
      <c r="AS13" s="270">
        <v>1634207.0</v>
      </c>
      <c r="AT13" s="270">
        <v>1985443.0</v>
      </c>
      <c r="AU13" s="270">
        <v>1579141.0</v>
      </c>
      <c r="AV13" s="270">
        <v>1868299.0</v>
      </c>
      <c r="AW13" s="270">
        <v>1657348.0</v>
      </c>
      <c r="AX13" s="270">
        <v>1570102.0</v>
      </c>
      <c r="AY13" s="270">
        <f t="shared" ref="AY13:CH13" si="37">AY14+AY19</f>
        <v>1682341.92</v>
      </c>
      <c r="AZ13" s="270">
        <f t="shared" si="37"/>
        <v>1868928.87</v>
      </c>
      <c r="BA13" s="270">
        <f t="shared" si="37"/>
        <v>1912287.52</v>
      </c>
      <c r="BB13" s="270">
        <f t="shared" si="37"/>
        <v>2003722.65</v>
      </c>
      <c r="BC13" s="270">
        <f t="shared" si="37"/>
        <v>1916051.23</v>
      </c>
      <c r="BD13" s="270">
        <f t="shared" si="37"/>
        <v>1831016.71</v>
      </c>
      <c r="BE13" s="270">
        <f t="shared" si="37"/>
        <v>2080921.36</v>
      </c>
      <c r="BF13" s="270">
        <f t="shared" si="37"/>
        <v>2167206.38</v>
      </c>
      <c r="BG13" s="270">
        <f t="shared" si="37"/>
        <v>2164385.66</v>
      </c>
      <c r="BH13" s="270">
        <f t="shared" si="37"/>
        <v>2831144.66</v>
      </c>
      <c r="BI13" s="270">
        <f t="shared" si="37"/>
        <v>2468252.86</v>
      </c>
      <c r="BJ13" s="270">
        <f t="shared" si="37"/>
        <v>2428683.69</v>
      </c>
      <c r="BK13" s="270">
        <f t="shared" si="37"/>
        <v>2578096</v>
      </c>
      <c r="BL13" s="270">
        <f t="shared" si="37"/>
        <v>2417466</v>
      </c>
      <c r="BM13" s="270">
        <f t="shared" si="37"/>
        <v>2428049</v>
      </c>
      <c r="BN13" s="270">
        <f t="shared" si="37"/>
        <v>2709800.32</v>
      </c>
      <c r="BO13" s="270">
        <f t="shared" si="37"/>
        <v>2648433.9</v>
      </c>
      <c r="BP13" s="270">
        <f t="shared" si="37"/>
        <v>2684460.9</v>
      </c>
      <c r="BQ13" s="270">
        <f t="shared" si="37"/>
        <v>3109356.83</v>
      </c>
      <c r="BR13" s="270">
        <f t="shared" si="37"/>
        <v>2924213.59</v>
      </c>
      <c r="BS13" s="270">
        <f t="shared" si="37"/>
        <v>3465158.92</v>
      </c>
      <c r="BT13" s="270">
        <f t="shared" si="37"/>
        <v>4021091.72</v>
      </c>
      <c r="BU13" s="270">
        <f t="shared" si="37"/>
        <v>3287831.78</v>
      </c>
      <c r="BV13" s="270">
        <f t="shared" si="37"/>
        <v>3641358.14</v>
      </c>
      <c r="BW13" s="65">
        <f t="shared" si="37"/>
        <v>4081578.71</v>
      </c>
      <c r="BX13" s="65">
        <f t="shared" si="37"/>
        <v>4044561.43</v>
      </c>
      <c r="BY13" s="65">
        <f t="shared" si="37"/>
        <v>4448100.62</v>
      </c>
      <c r="BZ13" s="65">
        <f t="shared" si="37"/>
        <v>4587407.57</v>
      </c>
      <c r="CA13" s="65">
        <f t="shared" si="37"/>
        <v>4354971.51</v>
      </c>
      <c r="CB13" s="65">
        <f t="shared" si="37"/>
        <v>4702074.87</v>
      </c>
      <c r="CC13" s="65">
        <f t="shared" si="37"/>
        <v>0</v>
      </c>
      <c r="CD13" s="65">
        <f t="shared" si="37"/>
        <v>0</v>
      </c>
      <c r="CE13" s="65">
        <f t="shared" si="37"/>
        <v>0</v>
      </c>
      <c r="CF13" s="65">
        <f t="shared" si="37"/>
        <v>0</v>
      </c>
      <c r="CG13" s="65">
        <f t="shared" si="37"/>
        <v>0</v>
      </c>
      <c r="CH13" s="65">
        <f t="shared" si="37"/>
        <v>0</v>
      </c>
      <c r="CI13" s="50"/>
      <c r="CJ13" s="50"/>
      <c r="CK13" s="69">
        <f t="array" ref="CK13">SUM(INDIRECT(XLOOKUP('GAAP Summary'!$B$2,'TTM Dates'!$B:$B,'TTM Dates'!$E:$E)&amp;ROW($CJ13)&amp;":"&amp;XLOOKUP('GAAP Summary'!$B$2,'TTM Dates'!$B:$B,'TTM Dates'!$C:$C)&amp;ROW($CJ13)))</f>
        <v>46667705.69</v>
      </c>
      <c r="CL13" s="49"/>
      <c r="CM13" s="65">
        <f t="shared" ref="CM13:CM25" si="39">sum(BW13:BY13)</f>
        <v>12574240.76</v>
      </c>
      <c r="CN13" s="65">
        <f t="shared" ref="CN13:CN25" si="40">sum(BZ13:CB13)</f>
        <v>13644453.95</v>
      </c>
      <c r="CO13" s="65">
        <f t="shared" ref="CO13:CO25" si="41">sum(CC13:CE13)</f>
        <v>0</v>
      </c>
      <c r="CP13" s="65">
        <f t="shared" ref="CP13:CP25" si="42">sum(CF13:CH13)</f>
        <v>0</v>
      </c>
      <c r="CQ13" s="69">
        <f t="shared" ref="CQ13:CQ25" si="43">sum(BW13:CH13)</f>
        <v>26218694.71</v>
      </c>
      <c r="CR13" s="270"/>
      <c r="CS13" s="270">
        <f t="shared" ref="CS13:CS25" si="44">sum(BK13:BM13)</f>
        <v>7423611</v>
      </c>
      <c r="CT13" s="270">
        <f t="shared" ref="CT13:CT25" si="45">sum(BN13:BP13)</f>
        <v>8042695.12</v>
      </c>
      <c r="CU13" s="270">
        <f t="shared" ref="CU13:CU25" si="46">sum(BQ13:BS13)</f>
        <v>9498729.34</v>
      </c>
      <c r="CV13" s="270">
        <f t="shared" ref="CV13:CV25" si="47">sum(BT13:BV13)</f>
        <v>10950281.64</v>
      </c>
      <c r="CW13" s="121">
        <f t="shared" ref="CW13:CW25" si="48">sum(BK13:BV13)</f>
        <v>35915317.1</v>
      </c>
      <c r="CX13" s="52"/>
      <c r="CY13" s="270">
        <f t="shared" ref="CY13:CY25" si="49">sum(AY13:BA13)</f>
        <v>5463558.31</v>
      </c>
      <c r="CZ13" s="270">
        <f t="shared" ref="CZ13:CZ25" si="50">sum(BB13:BD13)</f>
        <v>5750790.59</v>
      </c>
      <c r="DA13" s="270">
        <f t="shared" ref="DA13:DA25" si="51">sum(BE13:BG13)</f>
        <v>6412513.4</v>
      </c>
      <c r="DB13" s="270">
        <f t="shared" ref="DB13:DB25" si="52">sum(BH13:BJ13)</f>
        <v>7728081.21</v>
      </c>
      <c r="DC13" s="121">
        <f t="shared" ref="DC13:DC25" si="53">sum(AY13:BJ13)</f>
        <v>25354943.51</v>
      </c>
      <c r="DD13" s="57"/>
      <c r="DE13" s="270">
        <f t="shared" ref="DE13:DE25" si="54">sum(AM13:AO13)</f>
        <v>6303343</v>
      </c>
      <c r="DF13" s="270">
        <f t="shared" ref="DF13:DF25" si="55">sum(AP13:AR13)</f>
        <v>5586547</v>
      </c>
      <c r="DG13" s="270">
        <f t="shared" ref="DG13:DG25" si="56">sum(AS13:AU13)</f>
        <v>5198791</v>
      </c>
      <c r="DH13" s="270">
        <f t="shared" ref="DH13:DH25" si="57">sum(AV13:AX13)</f>
        <v>5095749</v>
      </c>
      <c r="DI13" s="121">
        <f t="shared" ref="DI13:DI25" si="58">sum(AM13:AX13)</f>
        <v>22184430</v>
      </c>
      <c r="DJ13" s="57"/>
      <c r="DK13" s="270">
        <f t="shared" ref="DK13:DK18" si="59">sum(AA13:AC13)</f>
        <v>3616138</v>
      </c>
      <c r="DL13" s="270">
        <f t="shared" ref="DL13:DL18" si="60">sum(AD13:AF13)</f>
        <v>4014280</v>
      </c>
      <c r="DM13" s="270">
        <f t="shared" ref="DM13:DM18" si="61">sum(AG13:AI13)</f>
        <v>4886622</v>
      </c>
      <c r="DN13" s="270">
        <f t="shared" ref="DN13:DN18" si="62">sum(AJ13:AL13)</f>
        <v>4885562</v>
      </c>
      <c r="DO13" s="121">
        <f t="shared" ref="DO13:DO18" si="63">sum(AA13:AL13)</f>
        <v>17402602</v>
      </c>
      <c r="DP13" s="57"/>
      <c r="DQ13" s="121">
        <f>SUM(O13:Z13)</f>
        <v>0</v>
      </c>
      <c r="DR13" s="44"/>
      <c r="DS13" s="64">
        <f t="array" ref="DS13">IF(DS$3&gt;'GAAP Summary'!$B$2,0,SUM(INDIRECT(XLOOKUP(DS$3,'TTM Dates'!$B:$B,'TTM Dates'!$E:$E)&amp;ROW($CJ13)&amp;":"&amp;XLOOKUP(DS$3,'TTM Dates'!$B:$B,'TTM Dates'!$C:$C)&amp;ROW($CJ13))))</f>
        <v>0</v>
      </c>
      <c r="DT13" s="64">
        <f t="array" ref="DT13">IF(DT$3&gt;'GAAP Summary'!$B$2,0,SUM(INDIRECT(XLOOKUP(DT$3,'TTM Dates'!$B:$B,'TTM Dates'!$E:$E)&amp;ROW($CJ13)&amp;":"&amp;XLOOKUP(DT$3,'TTM Dates'!$B:$B,'TTM Dates'!$C:$C)&amp;ROW($CJ13))))</f>
        <v>0</v>
      </c>
      <c r="DU13" s="64">
        <f t="array" ref="DU13">IF(DU$3&gt;'GAAP Summary'!$B$2,0,SUM(INDIRECT(XLOOKUP(DU$3,'TTM Dates'!$B:$B,'TTM Dates'!$E:$E)&amp;ROW($CJ13)&amp;":"&amp;XLOOKUP(DU$3,'TTM Dates'!$B:$B,'TTM Dates'!$C:$C)&amp;ROW($CJ13))))</f>
        <v>0</v>
      </c>
      <c r="DV13" s="64">
        <f t="array" ref="DV13">IF(DV$3&gt;'GAAP Summary'!$B$2,0,SUM(INDIRECT(XLOOKUP(DV$3,'TTM Dates'!$B:$B,'TTM Dates'!$E:$E)&amp;ROW($CJ13)&amp;":"&amp;XLOOKUP(DV$3,'TTM Dates'!$B:$B,'TTM Dates'!$C:$C)&amp;ROW($CJ13))))</f>
        <v>0</v>
      </c>
      <c r="DW13" s="64">
        <f t="array" ref="DW13">IF(DW$3&gt;'GAAP Summary'!$B$2,0,SUM(INDIRECT(XLOOKUP(DW$3,'TTM Dates'!$B:$B,'TTM Dates'!$E:$E)&amp;ROW($CJ13)&amp;":"&amp;XLOOKUP(DW$3,'TTM Dates'!$B:$B,'TTM Dates'!$C:$C)&amp;ROW($CJ13))))</f>
        <v>0</v>
      </c>
      <c r="DX13" s="64">
        <f t="array" ref="DX13">IF(DX$3&gt;'GAAP Summary'!$B$2,0,SUM(INDIRECT(XLOOKUP(DX$3,'TTM Dates'!$B:$B,'TTM Dates'!$E:$E)&amp;ROW($CJ13)&amp;":"&amp;XLOOKUP(DX$3,'TTM Dates'!$B:$B,'TTM Dates'!$C:$C)&amp;ROW($CJ13))))</f>
        <v>0</v>
      </c>
      <c r="DY13" s="64">
        <f t="array" ref="DY13">IF(DY$3&gt;'GAAP Summary'!$B$2,0,SUM(INDIRECT(XLOOKUP(DY$3,'TTM Dates'!$B:$B,'TTM Dates'!$E:$E)&amp;ROW($CJ13)&amp;":"&amp;XLOOKUP(DY$3,'TTM Dates'!$B:$B,'TTM Dates'!$C:$C)&amp;ROW($CJ13))))</f>
        <v>0</v>
      </c>
      <c r="DZ13" s="64">
        <f t="array" ref="DZ13">IF(DZ$3&gt;'GAAP Summary'!$B$2,0,SUM(INDIRECT(XLOOKUP(DZ$3,'TTM Dates'!$B:$B,'TTM Dates'!$E:$E)&amp;ROW($CJ13)&amp;":"&amp;XLOOKUP(DZ$3,'TTM Dates'!$B:$B,'TTM Dates'!$C:$C)&amp;ROW($CJ13))))</f>
        <v>0</v>
      </c>
      <c r="EA13" s="64">
        <f t="array" ref="EA13">IF(EA$3&gt;'GAAP Summary'!$B$2,0,SUM(INDIRECT(XLOOKUP(EA$3,'TTM Dates'!$B:$B,'TTM Dates'!$E:$E)&amp;ROW($CJ13)&amp;":"&amp;XLOOKUP(EA$3,'TTM Dates'!$B:$B,'TTM Dates'!$C:$C)&amp;ROW($CJ13))))</f>
        <v>0</v>
      </c>
      <c r="EB13" s="64">
        <f t="array" ref="EB13">IF(EB$3&gt;'GAAP Summary'!$B$2,0,SUM(INDIRECT(XLOOKUP(EB$3,'TTM Dates'!$B:$B,'TTM Dates'!$E:$E)&amp;ROW($CJ13)&amp;":"&amp;XLOOKUP(EB$3,'TTM Dates'!$B:$B,'TTM Dates'!$C:$C)&amp;ROW($CJ13))))</f>
        <v>0</v>
      </c>
      <c r="EC13" s="64">
        <f t="array" ref="EC13">IF(EC$3&gt;'GAAP Summary'!$B$2,0,SUM(INDIRECT(XLOOKUP(EC$3,'TTM Dates'!$B:$B,'TTM Dates'!$E:$E)&amp;ROW($CJ13)&amp;":"&amp;XLOOKUP(EC$3,'TTM Dates'!$B:$B,'TTM Dates'!$C:$C)&amp;ROW($CJ13))))</f>
        <v>0</v>
      </c>
      <c r="ED13" s="64">
        <f t="array" ref="ED13">IF(ED$3&gt;'GAAP Summary'!$B$2,0,SUM(INDIRECT(XLOOKUP(ED$3,'TTM Dates'!$B:$B,'TTM Dates'!$E:$E)&amp;ROW($CJ13)&amp;":"&amp;XLOOKUP(ED$3,'TTM Dates'!$B:$B,'TTM Dates'!$C:$C)&amp;ROW($CJ13))))</f>
        <v>0</v>
      </c>
      <c r="EE13" s="64">
        <f t="array" ref="EE13">IF(EE$3&gt;'GAAP Summary'!$B$2,0,SUM(INDIRECT(XLOOKUP(EE$3,'TTM Dates'!$B:$B,'TTM Dates'!$E:$E)&amp;ROW($CJ13)&amp;":"&amp;XLOOKUP(EE$3,'TTM Dates'!$B:$B,'TTM Dates'!$C:$C)&amp;ROW($CJ13))))</f>
        <v>1174821</v>
      </c>
      <c r="EF13" s="64">
        <f t="array" ref="EF13">IF(EF$3&gt;'GAAP Summary'!$B$2,0,SUM(INDIRECT(XLOOKUP(EF$3,'TTM Dates'!$B:$B,'TTM Dates'!$E:$E)&amp;ROW($CJ13)&amp;":"&amp;XLOOKUP(EF$3,'TTM Dates'!$B:$B,'TTM Dates'!$C:$C)&amp;ROW($CJ13))))</f>
        <v>2233463</v>
      </c>
      <c r="EG13" s="64">
        <f t="array" ref="EG13">IF(EG$3&gt;'GAAP Summary'!$B$2,0,SUM(INDIRECT(XLOOKUP(EG$3,'TTM Dates'!$B:$B,'TTM Dates'!$E:$E)&amp;ROW($CJ13)&amp;":"&amp;XLOOKUP(EG$3,'TTM Dates'!$B:$B,'TTM Dates'!$C:$C)&amp;ROW($CJ13))))</f>
        <v>3616138</v>
      </c>
      <c r="EH13" s="64">
        <f t="array" ref="EH13">IF(EH$3&gt;'GAAP Summary'!$B$2,0,SUM(INDIRECT(XLOOKUP(EH$3,'TTM Dates'!$B:$B,'TTM Dates'!$E:$E)&amp;ROW($CJ13)&amp;":"&amp;XLOOKUP(EH$3,'TTM Dates'!$B:$B,'TTM Dates'!$C:$C)&amp;ROW($CJ13))))</f>
        <v>4813440</v>
      </c>
      <c r="EI13" s="64">
        <f t="array" ref="EI13">IF(EI$3&gt;'GAAP Summary'!$B$2,0,SUM(INDIRECT(XLOOKUP(EI$3,'TTM Dates'!$B:$B,'TTM Dates'!$E:$E)&amp;ROW($CJ13)&amp;":"&amp;XLOOKUP(EI$3,'TTM Dates'!$B:$B,'TTM Dates'!$C:$C)&amp;ROW($CJ13))))</f>
        <v>6090592</v>
      </c>
      <c r="EJ13" s="64">
        <f t="array" ref="EJ13">IF(EJ$3&gt;'GAAP Summary'!$B$2,0,SUM(INDIRECT(XLOOKUP(EJ$3,'TTM Dates'!$B:$B,'TTM Dates'!$E:$E)&amp;ROW($CJ13)&amp;":"&amp;XLOOKUP(EJ$3,'TTM Dates'!$B:$B,'TTM Dates'!$C:$C)&amp;ROW($CJ13))))</f>
        <v>7630418</v>
      </c>
      <c r="EK13" s="64">
        <f t="array" ref="EK13">IF(EK$3&gt;'GAAP Summary'!$B$2,0,SUM(INDIRECT(XLOOKUP(EK$3,'TTM Dates'!$B:$B,'TTM Dates'!$E:$E)&amp;ROW($CJ13)&amp;":"&amp;XLOOKUP(EK$3,'TTM Dates'!$B:$B,'TTM Dates'!$C:$C)&amp;ROW($CJ13))))</f>
        <v>8956896</v>
      </c>
      <c r="EL13" s="64">
        <f t="array" ref="EL13">IF(EL$3&gt;'GAAP Summary'!$B$2,0,SUM(INDIRECT(XLOOKUP(EL$3,'TTM Dates'!$B:$B,'TTM Dates'!$E:$E)&amp;ROW($CJ13)&amp;":"&amp;XLOOKUP(EL$3,'TTM Dates'!$B:$B,'TTM Dates'!$C:$C)&amp;ROW($CJ13))))</f>
        <v>10890308</v>
      </c>
      <c r="EM13" s="64">
        <f t="array" ref="EM13">IF(EM$3&gt;'GAAP Summary'!$B$2,0,SUM(INDIRECT(XLOOKUP(EM$3,'TTM Dates'!$B:$B,'TTM Dates'!$E:$E)&amp;ROW($CJ13)&amp;":"&amp;XLOOKUP(EM$3,'TTM Dates'!$B:$B,'TTM Dates'!$C:$C)&amp;ROW($CJ13))))</f>
        <v>12517040</v>
      </c>
      <c r="EN13" s="64">
        <f t="array" ref="EN13">IF(EN$3&gt;'GAAP Summary'!$B$2,0,SUM(INDIRECT(XLOOKUP(EN$3,'TTM Dates'!$B:$B,'TTM Dates'!$E:$E)&amp;ROW($CJ13)&amp;":"&amp;XLOOKUP(EN$3,'TTM Dates'!$B:$B,'TTM Dates'!$C:$C)&amp;ROW($CJ13))))</f>
        <v>14380212</v>
      </c>
      <c r="EO13" s="64">
        <f t="array" ref="EO13">IF(EO$3&gt;'GAAP Summary'!$B$2,0,SUM(INDIRECT(XLOOKUP(EO$3,'TTM Dates'!$B:$B,'TTM Dates'!$E:$E)&amp;ROW($CJ13)&amp;":"&amp;XLOOKUP(EO$3,'TTM Dates'!$B:$B,'TTM Dates'!$C:$C)&amp;ROW($CJ13))))</f>
        <v>16165487</v>
      </c>
      <c r="EP13" s="64">
        <f t="array" ref="EP13">IF(EP$3&gt;'GAAP Summary'!$B$2,0,SUM(INDIRECT(XLOOKUP(EP$3,'TTM Dates'!$B:$B,'TTM Dates'!$E:$E)&amp;ROW($CJ13)&amp;":"&amp;XLOOKUP(EP$3,'TTM Dates'!$B:$B,'TTM Dates'!$C:$C)&amp;ROW($CJ13))))</f>
        <v>17402602</v>
      </c>
      <c r="EQ13" s="64">
        <f t="array" ref="EQ13">IF(EQ$3&gt;'GAAP Summary'!$B$2,0,SUM(INDIRECT(XLOOKUP(EQ$3,'TTM Dates'!$B:$B,'TTM Dates'!$E:$E)&amp;ROW($CJ13)&amp;":"&amp;XLOOKUP(EQ$3,'TTM Dates'!$B:$B,'TTM Dates'!$C:$C)&amp;ROW($CJ13))))</f>
        <v>18359983</v>
      </c>
      <c r="ER13" s="64">
        <f t="array" ref="ER13">IF(ER$3&gt;'GAAP Summary'!$B$2,0,SUM(INDIRECT(XLOOKUP(ER$3,'TTM Dates'!$B:$B,'TTM Dates'!$E:$E)&amp;ROW($CJ13)&amp;":"&amp;XLOOKUP(ER$3,'TTM Dates'!$B:$B,'TTM Dates'!$C:$C)&amp;ROW($CJ13))))</f>
        <v>19245181</v>
      </c>
      <c r="ES13" s="64">
        <f t="array" ref="ES13">IF(ES$3&gt;'GAAP Summary'!$B$2,0,SUM(INDIRECT(XLOOKUP(ES$3,'TTM Dates'!$B:$B,'TTM Dates'!$E:$E)&amp;ROW($CJ13)&amp;":"&amp;XLOOKUP(ES$3,'TTM Dates'!$B:$B,'TTM Dates'!$C:$C)&amp;ROW($CJ13))))</f>
        <v>20089807</v>
      </c>
      <c r="ET13" s="64">
        <f t="array" ref="ET13">IF(ET$3&gt;'GAAP Summary'!$B$2,0,SUM(INDIRECT(XLOOKUP(ET$3,'TTM Dates'!$B:$B,'TTM Dates'!$E:$E)&amp;ROW($CJ13)&amp;":"&amp;XLOOKUP(ET$3,'TTM Dates'!$B:$B,'TTM Dates'!$C:$C)&amp;ROW($CJ13))))</f>
        <v>20737031</v>
      </c>
      <c r="EU13" s="64">
        <f t="array" ref="EU13">IF(EU$3&gt;'GAAP Summary'!$B$2,0,SUM(INDIRECT(XLOOKUP(EU$3,'TTM Dates'!$B:$B,'TTM Dates'!$E:$E)&amp;ROW($CJ13)&amp;":"&amp;XLOOKUP(EU$3,'TTM Dates'!$B:$B,'TTM Dates'!$C:$C)&amp;ROW($CJ13))))</f>
        <v>21360674</v>
      </c>
      <c r="EV13" s="64">
        <f t="array" ref="EV13">IF(EV$3&gt;'GAAP Summary'!$B$2,0,SUM(INDIRECT(XLOOKUP(EV$3,'TTM Dates'!$B:$B,'TTM Dates'!$E:$E)&amp;ROW($CJ13)&amp;":"&amp;XLOOKUP(EV$3,'TTM Dates'!$B:$B,'TTM Dates'!$C:$C)&amp;ROW($CJ13))))</f>
        <v>21662074</v>
      </c>
      <c r="EW13" s="64">
        <f t="array" ref="EW13">IF(EW$3&gt;'GAAP Summary'!$B$2,0,SUM(INDIRECT(XLOOKUP(EW$3,'TTM Dates'!$B:$B,'TTM Dates'!$E:$E)&amp;ROW($CJ13)&amp;":"&amp;XLOOKUP(EW$3,'TTM Dates'!$B:$B,'TTM Dates'!$C:$C)&amp;ROW($CJ13))))</f>
        <v>21969803</v>
      </c>
      <c r="EX13" s="64">
        <f t="array" ref="EX13">IF(EX$3&gt;'GAAP Summary'!$B$2,0,SUM(INDIRECT(XLOOKUP(EX$3,'TTM Dates'!$B:$B,'TTM Dates'!$E:$E)&amp;ROW($CJ13)&amp;":"&amp;XLOOKUP(EX$3,'TTM Dates'!$B:$B,'TTM Dates'!$C:$C)&amp;ROW($CJ13))))</f>
        <v>22021834</v>
      </c>
      <c r="EY13" s="64">
        <f t="array" ref="EY13">IF(EY$3&gt;'GAAP Summary'!$B$2,0,SUM(INDIRECT(XLOOKUP(EY$3,'TTM Dates'!$B:$B,'TTM Dates'!$E:$E)&amp;ROW($CJ13)&amp;":"&amp;XLOOKUP(EY$3,'TTM Dates'!$B:$B,'TTM Dates'!$C:$C)&amp;ROW($CJ13))))</f>
        <v>21974243</v>
      </c>
      <c r="EZ13" s="64">
        <f t="array" ref="EZ13">IF(EZ$3&gt;'GAAP Summary'!$B$2,0,SUM(INDIRECT(XLOOKUP(EZ$3,'TTM Dates'!$B:$B,'TTM Dates'!$E:$E)&amp;ROW($CJ13)&amp;":"&amp;XLOOKUP(EZ$3,'TTM Dates'!$B:$B,'TTM Dates'!$C:$C)&amp;ROW($CJ13))))</f>
        <v>21979370</v>
      </c>
      <c r="FA13" s="64">
        <f t="array" ref="FA13">IF(FA$3&gt;'GAAP Summary'!$B$2,0,SUM(INDIRECT(XLOOKUP(FA$3,'TTM Dates'!$B:$B,'TTM Dates'!$E:$E)&amp;ROW($CJ13)&amp;":"&amp;XLOOKUP(FA$3,'TTM Dates'!$B:$B,'TTM Dates'!$C:$C)&amp;ROW($CJ13))))</f>
        <v>21851443</v>
      </c>
      <c r="FB13" s="64">
        <f t="array" ref="FB13">IF(FB$3&gt;'GAAP Summary'!$B$2,0,SUM(INDIRECT(XLOOKUP(FB$3,'TTM Dates'!$B:$B,'TTM Dates'!$E:$E)&amp;ROW($CJ13)&amp;":"&amp;XLOOKUP(FB$3,'TTM Dates'!$B:$B,'TTM Dates'!$C:$C)&amp;ROW($CJ13))))</f>
        <v>22184430</v>
      </c>
      <c r="FC13" s="64">
        <f t="array" ref="FC13">IF(FC$3&gt;'GAAP Summary'!$B$2,0,SUM(INDIRECT(XLOOKUP(FC$3,'TTM Dates'!$B:$B,'TTM Dates'!$E:$E)&amp;ROW($CJ13)&amp;":"&amp;XLOOKUP(FC$3,'TTM Dates'!$B:$B,'TTM Dates'!$C:$C)&amp;ROW($CJ13))))</f>
        <v>21734569.92</v>
      </c>
      <c r="FD13" s="64">
        <f t="array" ref="FD13">IF(FD$3&gt;'GAAP Summary'!$B$2,0,SUM(INDIRECT(XLOOKUP(FD$3,'TTM Dates'!$B:$B,'TTM Dates'!$E:$E)&amp;ROW($CJ13)&amp;":"&amp;XLOOKUP(FD$3,'TTM Dates'!$B:$B,'TTM Dates'!$C:$C)&amp;ROW($CJ13))))</f>
        <v>21659658.79</v>
      </c>
      <c r="FE13" s="64">
        <f t="array" ref="FE13">IF(FE$3&gt;'GAAP Summary'!$B$2,0,SUM(INDIRECT(XLOOKUP(FE$3,'TTM Dates'!$B:$B,'TTM Dates'!$E:$E)&amp;ROW($CJ13)&amp;":"&amp;XLOOKUP(FE$3,'TTM Dates'!$B:$B,'TTM Dates'!$C:$C)&amp;ROW($CJ13))))</f>
        <v>21344645.31</v>
      </c>
      <c r="FF13" s="64">
        <f t="array" ref="FF13">IF(FF$3&gt;'GAAP Summary'!$B$2,0,SUM(INDIRECT(XLOOKUP(FF$3,'TTM Dates'!$B:$B,'TTM Dates'!$E:$E)&amp;ROW($CJ13)&amp;":"&amp;XLOOKUP(FF$3,'TTM Dates'!$B:$B,'TTM Dates'!$C:$C)&amp;ROW($CJ13))))</f>
        <v>21503841.96</v>
      </c>
      <c r="FG13" s="64">
        <f t="array" ref="FG13">IF(FG$3&gt;'GAAP Summary'!$B$2,0,SUM(INDIRECT(XLOOKUP(FG$3,'TTM Dates'!$B:$B,'TTM Dates'!$E:$E)&amp;ROW($CJ13)&amp;":"&amp;XLOOKUP(FG$3,'TTM Dates'!$B:$B,'TTM Dates'!$C:$C)&amp;ROW($CJ13))))</f>
        <v>21519098.19</v>
      </c>
      <c r="FH13" s="64">
        <f t="array" ref="FH13">IF(FH$3&gt;'GAAP Summary'!$B$2,0,SUM(INDIRECT(XLOOKUP(FH$3,'TTM Dates'!$B:$B,'TTM Dates'!$E:$E)&amp;ROW($CJ13)&amp;":"&amp;XLOOKUP(FH$3,'TTM Dates'!$B:$B,'TTM Dates'!$C:$C)&amp;ROW($CJ13))))</f>
        <v>21508888.9</v>
      </c>
      <c r="FI13" s="64">
        <f t="array" ref="FI13">IF(FI$3&gt;'GAAP Summary'!$B$2,0,SUM(INDIRECT(XLOOKUP(FI$3,'TTM Dates'!$B:$B,'TTM Dates'!$E:$E)&amp;ROW($CJ13)&amp;":"&amp;XLOOKUP(FI$3,'TTM Dates'!$B:$B,'TTM Dates'!$C:$C)&amp;ROW($CJ13))))</f>
        <v>21955603.26</v>
      </c>
      <c r="FJ13" s="64">
        <f t="array" ref="FJ13">IF(FJ$3&gt;'GAAP Summary'!$B$2,0,SUM(INDIRECT(XLOOKUP(FJ$3,'TTM Dates'!$B:$B,'TTM Dates'!$E:$E)&amp;ROW($CJ13)&amp;":"&amp;XLOOKUP(FJ$3,'TTM Dates'!$B:$B,'TTM Dates'!$C:$C)&amp;ROW($CJ13))))</f>
        <v>22137366.64</v>
      </c>
      <c r="FK13" s="64">
        <f t="array" ref="FK13">IF(FK$3&gt;'GAAP Summary'!$B$2,0,SUM(INDIRECT(XLOOKUP(FK$3,'TTM Dates'!$B:$B,'TTM Dates'!$E:$E)&amp;ROW($CJ13)&amp;":"&amp;XLOOKUP(FK$3,'TTM Dates'!$B:$B,'TTM Dates'!$C:$C)&amp;ROW($CJ13))))</f>
        <v>22722611.3</v>
      </c>
      <c r="FL13" s="64">
        <f t="array" ref="FL13">IF(FL$3&gt;'GAAP Summary'!$B$2,0,SUM(INDIRECT(XLOOKUP(FL$3,'TTM Dates'!$B:$B,'TTM Dates'!$E:$E)&amp;ROW($CJ13)&amp;":"&amp;XLOOKUP(FL$3,'TTM Dates'!$B:$B,'TTM Dates'!$C:$C)&amp;ROW($CJ13))))</f>
        <v>23685456.96</v>
      </c>
      <c r="FM13" s="64">
        <f t="array" ref="FM13">IF(FM$3&gt;'GAAP Summary'!$B$2,0,SUM(INDIRECT(XLOOKUP(FM$3,'TTM Dates'!$B:$B,'TTM Dates'!$E:$E)&amp;ROW($CJ13)&amp;":"&amp;XLOOKUP(FM$3,'TTM Dates'!$B:$B,'TTM Dates'!$C:$C)&amp;ROW($CJ13))))</f>
        <v>24496361.82</v>
      </c>
      <c r="FN13" s="64">
        <f t="array" ref="FN13">IF(FN$3&gt;'GAAP Summary'!$B$2,0,SUM(INDIRECT(XLOOKUP(FN$3,'TTM Dates'!$B:$B,'TTM Dates'!$E:$E)&amp;ROW($CJ13)&amp;":"&amp;XLOOKUP(FN$3,'TTM Dates'!$B:$B,'TTM Dates'!$C:$C)&amp;ROW($CJ13))))</f>
        <v>25354943.51</v>
      </c>
      <c r="FO13" s="64">
        <f t="array" ref="FO13">IF(FO$3&gt;'GAAP Summary'!$B$2,0,SUM(INDIRECT(XLOOKUP(FO$3,'TTM Dates'!$B:$B,'TTM Dates'!$E:$E)&amp;ROW($CJ13)&amp;":"&amp;XLOOKUP(FO$3,'TTM Dates'!$B:$B,'TTM Dates'!$C:$C)&amp;ROW($CJ13))))</f>
        <v>26250697.59</v>
      </c>
      <c r="FP13" s="64">
        <f t="array" ref="FP13">IF(FP$3&gt;'GAAP Summary'!$B$2,0,SUM(INDIRECT(XLOOKUP(FP$3,'TTM Dates'!$B:$B,'TTM Dates'!$E:$E)&amp;ROW($CJ13)&amp;":"&amp;XLOOKUP(FP$3,'TTM Dates'!$B:$B,'TTM Dates'!$C:$C)&amp;ROW($CJ13))))</f>
        <v>26799234.72</v>
      </c>
      <c r="FQ13" s="64">
        <f t="array" ref="FQ13">IF(FQ$3&gt;'GAAP Summary'!$B$2,0,SUM(INDIRECT(XLOOKUP(FQ$3,'TTM Dates'!$B:$B,'TTM Dates'!$E:$E)&amp;ROW($CJ13)&amp;":"&amp;XLOOKUP(FQ$3,'TTM Dates'!$B:$B,'TTM Dates'!$C:$C)&amp;ROW($CJ13))))</f>
        <v>27314996.2</v>
      </c>
      <c r="FR13" s="64">
        <f t="array" ref="FR13">IF(FR$3&gt;'GAAP Summary'!$B$2,0,SUM(INDIRECT(XLOOKUP(FR$3,'TTM Dates'!$B:$B,'TTM Dates'!$E:$E)&amp;ROW($CJ13)&amp;":"&amp;XLOOKUP(FR$3,'TTM Dates'!$B:$B,'TTM Dates'!$C:$C)&amp;ROW($CJ13))))</f>
        <v>28021073.87</v>
      </c>
      <c r="FS13" s="64">
        <f t="array" ref="FS13">IF(FS$3&gt;'GAAP Summary'!$B$2,0,SUM(INDIRECT(XLOOKUP(FS$3,'TTM Dates'!$B:$B,'TTM Dates'!$E:$E)&amp;ROW($CJ13)&amp;":"&amp;XLOOKUP(FS$3,'TTM Dates'!$B:$B,'TTM Dates'!$C:$C)&amp;ROW($CJ13))))</f>
        <v>28753456.54</v>
      </c>
      <c r="FT13" s="64">
        <f t="array" ref="FT13">IF(FT$3&gt;'GAAP Summary'!$B$2,0,SUM(INDIRECT(XLOOKUP(FT$3,'TTM Dates'!$B:$B,'TTM Dates'!$E:$E)&amp;ROW($CJ13)&amp;":"&amp;XLOOKUP(FT$3,'TTM Dates'!$B:$B,'TTM Dates'!$C:$C)&amp;ROW($CJ13))))</f>
        <v>29606900.73</v>
      </c>
      <c r="FU13" s="64">
        <f t="array" ref="FU13">IF(FU$3&gt;'GAAP Summary'!$B$2,0,SUM(INDIRECT(XLOOKUP(FU$3,'TTM Dates'!$B:$B,'TTM Dates'!$E:$E)&amp;ROW($CJ13)&amp;":"&amp;XLOOKUP(FU$3,'TTM Dates'!$B:$B,'TTM Dates'!$C:$C)&amp;ROW($CJ13))))</f>
        <v>30635336.2</v>
      </c>
      <c r="FV13" s="64">
        <f t="array" ref="FV13">IF(FV$3&gt;'GAAP Summary'!$B$2,0,SUM(INDIRECT(XLOOKUP(FV$3,'TTM Dates'!$B:$B,'TTM Dates'!$E:$E)&amp;ROW($CJ13)&amp;":"&amp;XLOOKUP(FV$3,'TTM Dates'!$B:$B,'TTM Dates'!$C:$C)&amp;ROW($CJ13))))</f>
        <v>31392343.41</v>
      </c>
      <c r="FW13" s="64">
        <f t="array" ref="FW13">IF(FW$3&gt;'GAAP Summary'!$B$2,0,SUM(INDIRECT(XLOOKUP(FW$3,'TTM Dates'!$B:$B,'TTM Dates'!$E:$E)&amp;ROW($CJ13)&amp;":"&amp;XLOOKUP(FW$3,'TTM Dates'!$B:$B,'TTM Dates'!$C:$C)&amp;ROW($CJ13))))</f>
        <v>32693116.67</v>
      </c>
      <c r="FX13" s="64">
        <f t="array" ref="FX13">IF(FX$3&gt;'GAAP Summary'!$B$2,0,SUM(INDIRECT(XLOOKUP(FX$3,'TTM Dates'!$B:$B,'TTM Dates'!$E:$E)&amp;ROW($CJ13)&amp;":"&amp;XLOOKUP(FX$3,'TTM Dates'!$B:$B,'TTM Dates'!$C:$C)&amp;ROW($CJ13))))</f>
        <v>33883063.73</v>
      </c>
      <c r="FY13" s="64">
        <f t="array" ref="FY13">IF(FY$3&gt;'GAAP Summary'!$B$2,0,SUM(INDIRECT(XLOOKUP(FY$3,'TTM Dates'!$B:$B,'TTM Dates'!$E:$E)&amp;ROW($CJ13)&amp;":"&amp;XLOOKUP(FY$3,'TTM Dates'!$B:$B,'TTM Dates'!$C:$C)&amp;ROW($CJ13))))</f>
        <v>34702642.65</v>
      </c>
      <c r="FZ13" s="64">
        <f t="array" ref="FZ13">IF(FZ$3&gt;'GAAP Summary'!$B$2,0,SUM(INDIRECT(XLOOKUP(FZ$3,'TTM Dates'!$B:$B,'TTM Dates'!$E:$E)&amp;ROW($CJ13)&amp;":"&amp;XLOOKUP(FZ$3,'TTM Dates'!$B:$B,'TTM Dates'!$C:$C)&amp;ROW($CJ13))))</f>
        <v>35915317.1</v>
      </c>
      <c r="GA13" s="64">
        <f t="array" ref="GA13">IF(GA$3&gt;'GAAP Summary'!$B$2,0,SUM(INDIRECT(XLOOKUP(GA$3,'TTM Dates'!$B:$B,'TTM Dates'!$E:$E)&amp;ROW($CJ13)&amp;":"&amp;XLOOKUP(GA$3,'TTM Dates'!$B:$B,'TTM Dates'!$C:$C)&amp;ROW($CJ13))))</f>
        <v>37418799.81</v>
      </c>
      <c r="GB13" s="64">
        <f t="array" ref="GB13">IF(GB$3&gt;'GAAP Summary'!$B$2,0,SUM(INDIRECT(XLOOKUP(GB$3,'TTM Dates'!$B:$B,'TTM Dates'!$E:$E)&amp;ROW($CJ13)&amp;":"&amp;XLOOKUP(GB$3,'TTM Dates'!$B:$B,'TTM Dates'!$C:$C)&amp;ROW($CJ13))))</f>
        <v>39045895.24</v>
      </c>
      <c r="GC13" s="64">
        <f t="array" ref="GC13">IF(GC$3&gt;'GAAP Summary'!$B$2,0,SUM(INDIRECT(XLOOKUP(GC$3,'TTM Dates'!$B:$B,'TTM Dates'!$E:$E)&amp;ROW($CJ13)&amp;":"&amp;XLOOKUP(GC$3,'TTM Dates'!$B:$B,'TTM Dates'!$C:$C)&amp;ROW($CJ13))))</f>
        <v>41065946.86</v>
      </c>
      <c r="GD13" s="64">
        <f t="array" ref="GD13">IF(GD$3&gt;'GAAP Summary'!$B$2,0,SUM(INDIRECT(XLOOKUP(GD$3,'TTM Dates'!$B:$B,'TTM Dates'!$E:$E)&amp;ROW($CJ13)&amp;":"&amp;XLOOKUP(GD$3,'TTM Dates'!$B:$B,'TTM Dates'!$C:$C)&amp;ROW($CJ13))))</f>
        <v>42943554.11</v>
      </c>
      <c r="GE13" s="64">
        <f t="array" ref="GE13">IF(GE$3&gt;'GAAP Summary'!$B$2,0,SUM(INDIRECT(XLOOKUP(GE$3,'TTM Dates'!$B:$B,'TTM Dates'!$E:$E)&amp;ROW($CJ13)&amp;":"&amp;XLOOKUP(GE$3,'TTM Dates'!$B:$B,'TTM Dates'!$C:$C)&amp;ROW($CJ13))))</f>
        <v>44650091.72</v>
      </c>
      <c r="GF13" s="64">
        <f t="array" ref="GF13">IF(GF$3&gt;'GAAP Summary'!$B$2,0,SUM(INDIRECT(XLOOKUP(GF$3,'TTM Dates'!$B:$B,'TTM Dates'!$E:$E)&amp;ROW($CJ13)&amp;":"&amp;XLOOKUP(GF$3,'TTM Dates'!$B:$B,'TTM Dates'!$C:$C)&amp;ROW($CJ13))))</f>
        <v>46667705.69</v>
      </c>
      <c r="GG13" s="64">
        <f t="array" ref="GG13">IF(GG$3&gt;'GAAP Summary'!$B$2,0,SUM(INDIRECT(XLOOKUP(GG$3,'TTM Dates'!$B:$B,'TTM Dates'!$E:$E)&amp;ROW($CJ13)&amp;":"&amp;XLOOKUP(GG$3,'TTM Dates'!$B:$B,'TTM Dates'!$C:$C)&amp;ROW($CJ13))))</f>
        <v>0</v>
      </c>
      <c r="GH13" s="64">
        <f t="array" ref="GH13">IF(GH$3&gt;'GAAP Summary'!$B$2,0,SUM(INDIRECT(XLOOKUP(GH$3,'TTM Dates'!$B:$B,'TTM Dates'!$E:$E)&amp;ROW($CJ13)&amp;":"&amp;XLOOKUP(GH$3,'TTM Dates'!$B:$B,'TTM Dates'!$C:$C)&amp;ROW($CJ13))))</f>
        <v>0</v>
      </c>
      <c r="GI13" s="64">
        <f t="array" ref="GI13">IF(GI$3&gt;'GAAP Summary'!$B$2,0,SUM(INDIRECT(XLOOKUP(GI$3,'TTM Dates'!$B:$B,'TTM Dates'!$E:$E)&amp;ROW($CJ13)&amp;":"&amp;XLOOKUP(GI$3,'TTM Dates'!$B:$B,'TTM Dates'!$C:$C)&amp;ROW($CJ13))))</f>
        <v>0</v>
      </c>
      <c r="GJ13" s="64">
        <f t="array" ref="GJ13">IF(GJ$3&gt;'GAAP Summary'!$B$2,0,SUM(INDIRECT(XLOOKUP(GJ$3,'TTM Dates'!$B:$B,'TTM Dates'!$E:$E)&amp;ROW($CJ13)&amp;":"&amp;XLOOKUP(GJ$3,'TTM Dates'!$B:$B,'TTM Dates'!$C:$C)&amp;ROW($CJ13))))</f>
        <v>0</v>
      </c>
      <c r="GK13" s="64">
        <f t="array" ref="GK13">IF(GK$3&gt;'GAAP Summary'!$B$2,0,SUM(INDIRECT(XLOOKUP(GK$3,'TTM Dates'!$B:$B,'TTM Dates'!$E:$E)&amp;ROW($CJ13)&amp;":"&amp;XLOOKUP(GK$3,'TTM Dates'!$B:$B,'TTM Dates'!$C:$C)&amp;ROW($CJ13))))</f>
        <v>0</v>
      </c>
      <c r="GL13" s="64">
        <f t="array" ref="GL13">IF(GL$3&gt;'GAAP Summary'!$B$2,0,SUM(INDIRECT(XLOOKUP(GL$3,'TTM Dates'!$B:$B,'TTM Dates'!$E:$E)&amp;ROW($CJ13)&amp;":"&amp;XLOOKUP(GL$3,'TTM Dates'!$B:$B,'TTM Dates'!$C:$C)&amp;ROW($CJ13))))</f>
        <v>0</v>
      </c>
      <c r="GM13" s="64"/>
    </row>
    <row r="14">
      <c r="B14" s="280" t="s">
        <v>89</v>
      </c>
      <c r="C14" s="108">
        <f t="shared" ref="C14:CH14" si="38">SUM(C15:C18)</f>
        <v>0</v>
      </c>
      <c r="D14" s="108">
        <f t="shared" si="38"/>
        <v>0</v>
      </c>
      <c r="E14" s="108">
        <f t="shared" si="38"/>
        <v>0</v>
      </c>
      <c r="F14" s="108">
        <f t="shared" si="38"/>
        <v>0</v>
      </c>
      <c r="G14" s="108">
        <f t="shared" si="38"/>
        <v>0</v>
      </c>
      <c r="H14" s="108">
        <f t="shared" si="38"/>
        <v>0</v>
      </c>
      <c r="I14" s="108">
        <f t="shared" si="38"/>
        <v>0</v>
      </c>
      <c r="J14" s="108">
        <f t="shared" si="38"/>
        <v>0</v>
      </c>
      <c r="K14" s="108">
        <f t="shared" si="38"/>
        <v>0</v>
      </c>
      <c r="L14" s="108">
        <f t="shared" si="38"/>
        <v>0</v>
      </c>
      <c r="M14" s="108">
        <f t="shared" si="38"/>
        <v>0</v>
      </c>
      <c r="N14" s="108">
        <f t="shared" si="38"/>
        <v>0</v>
      </c>
      <c r="O14" s="108">
        <f t="shared" si="38"/>
        <v>0</v>
      </c>
      <c r="P14" s="108">
        <f t="shared" si="38"/>
        <v>0</v>
      </c>
      <c r="Q14" s="108">
        <f t="shared" si="38"/>
        <v>0</v>
      </c>
      <c r="R14" s="108">
        <f t="shared" si="38"/>
        <v>0</v>
      </c>
      <c r="S14" s="108">
        <f t="shared" si="38"/>
        <v>0</v>
      </c>
      <c r="T14" s="108">
        <f t="shared" si="38"/>
        <v>0</v>
      </c>
      <c r="U14" s="108">
        <f t="shared" si="38"/>
        <v>0</v>
      </c>
      <c r="V14" s="108">
        <f t="shared" si="38"/>
        <v>0</v>
      </c>
      <c r="W14" s="108">
        <f t="shared" si="38"/>
        <v>0</v>
      </c>
      <c r="X14" s="108">
        <f t="shared" si="38"/>
        <v>0</v>
      </c>
      <c r="Y14" s="108">
        <f t="shared" si="38"/>
        <v>0</v>
      </c>
      <c r="Z14" s="108">
        <f t="shared" si="38"/>
        <v>0</v>
      </c>
      <c r="AA14" s="108">
        <f t="shared" si="38"/>
        <v>0</v>
      </c>
      <c r="AB14" s="108">
        <f t="shared" si="38"/>
        <v>0</v>
      </c>
      <c r="AC14" s="108">
        <f t="shared" si="38"/>
        <v>0</v>
      </c>
      <c r="AD14" s="108">
        <f t="shared" si="38"/>
        <v>0</v>
      </c>
      <c r="AE14" s="108">
        <f t="shared" si="38"/>
        <v>0</v>
      </c>
      <c r="AF14" s="108">
        <f t="shared" si="38"/>
        <v>0</v>
      </c>
      <c r="AG14" s="108">
        <f t="shared" si="38"/>
        <v>0</v>
      </c>
      <c r="AH14" s="108">
        <f t="shared" si="38"/>
        <v>0</v>
      </c>
      <c r="AI14" s="108">
        <f t="shared" si="38"/>
        <v>0</v>
      </c>
      <c r="AJ14" s="108">
        <f t="shared" si="38"/>
        <v>0</v>
      </c>
      <c r="AK14" s="108">
        <f t="shared" si="38"/>
        <v>0</v>
      </c>
      <c r="AL14" s="108">
        <f t="shared" si="38"/>
        <v>0</v>
      </c>
      <c r="AM14" s="108">
        <f t="shared" si="38"/>
        <v>0</v>
      </c>
      <c r="AN14" s="108">
        <f t="shared" si="38"/>
        <v>0</v>
      </c>
      <c r="AO14" s="108">
        <f t="shared" si="38"/>
        <v>0</v>
      </c>
      <c r="AP14" s="108">
        <f t="shared" si="38"/>
        <v>0</v>
      </c>
      <c r="AQ14" s="108">
        <f t="shared" si="38"/>
        <v>0</v>
      </c>
      <c r="AR14" s="108">
        <f t="shared" si="38"/>
        <v>0</v>
      </c>
      <c r="AS14" s="108">
        <f t="shared" si="38"/>
        <v>0</v>
      </c>
      <c r="AT14" s="108">
        <f t="shared" si="38"/>
        <v>0</v>
      </c>
      <c r="AU14" s="108">
        <f t="shared" si="38"/>
        <v>0</v>
      </c>
      <c r="AV14" s="108">
        <f t="shared" si="38"/>
        <v>0</v>
      </c>
      <c r="AW14" s="108">
        <f t="shared" si="38"/>
        <v>0</v>
      </c>
      <c r="AX14" s="108">
        <f t="shared" si="38"/>
        <v>0</v>
      </c>
      <c r="AY14" s="108">
        <f t="shared" si="38"/>
        <v>911260.09</v>
      </c>
      <c r="AZ14" s="108">
        <f t="shared" si="38"/>
        <v>1046385.28</v>
      </c>
      <c r="BA14" s="108">
        <f t="shared" si="38"/>
        <v>1105121.68</v>
      </c>
      <c r="BB14" s="108">
        <f t="shared" si="38"/>
        <v>952348.33</v>
      </c>
      <c r="BC14" s="108">
        <f t="shared" si="38"/>
        <v>758335.87</v>
      </c>
      <c r="BD14" s="108">
        <f t="shared" si="38"/>
        <v>701159.96</v>
      </c>
      <c r="BE14" s="108">
        <f t="shared" si="38"/>
        <v>817553.73</v>
      </c>
      <c r="BF14" s="108">
        <f t="shared" si="38"/>
        <v>805291.54</v>
      </c>
      <c r="BG14" s="108">
        <f t="shared" si="38"/>
        <v>862119.54</v>
      </c>
      <c r="BH14" s="108">
        <f t="shared" si="38"/>
        <v>1209692.26</v>
      </c>
      <c r="BI14" s="108">
        <f t="shared" si="38"/>
        <v>1014296.27</v>
      </c>
      <c r="BJ14" s="108">
        <f t="shared" si="38"/>
        <v>933913.62</v>
      </c>
      <c r="BK14" s="108">
        <f t="shared" si="38"/>
        <v>1038791</v>
      </c>
      <c r="BL14" s="108">
        <f t="shared" si="38"/>
        <v>874682</v>
      </c>
      <c r="BM14" s="108">
        <f t="shared" si="38"/>
        <v>740055</v>
      </c>
      <c r="BN14" s="108">
        <f t="shared" si="38"/>
        <v>904972.32</v>
      </c>
      <c r="BO14" s="108">
        <f t="shared" si="38"/>
        <v>860628.9</v>
      </c>
      <c r="BP14" s="108">
        <f t="shared" si="38"/>
        <v>824678.9</v>
      </c>
      <c r="BQ14" s="108">
        <f t="shared" si="38"/>
        <v>840984.83</v>
      </c>
      <c r="BR14" s="108">
        <f t="shared" si="38"/>
        <v>884212.59</v>
      </c>
      <c r="BS14" s="108">
        <f t="shared" si="38"/>
        <v>997339.57</v>
      </c>
      <c r="BT14" s="108">
        <f t="shared" si="38"/>
        <v>990682.74</v>
      </c>
      <c r="BU14" s="108">
        <f t="shared" si="38"/>
        <v>984891.87</v>
      </c>
      <c r="BV14" s="108">
        <f t="shared" si="38"/>
        <v>1022359.38</v>
      </c>
      <c r="BW14" s="289">
        <f t="shared" si="38"/>
        <v>1138746.89</v>
      </c>
      <c r="BX14" s="289">
        <f t="shared" si="38"/>
        <v>1163612.31</v>
      </c>
      <c r="BY14" s="289">
        <f t="shared" si="38"/>
        <v>1166135.92</v>
      </c>
      <c r="BZ14" s="289">
        <f t="shared" si="38"/>
        <v>1439814.16</v>
      </c>
      <c r="CA14" s="289">
        <f t="shared" si="38"/>
        <v>1681279.97</v>
      </c>
      <c r="CB14" s="289">
        <f t="shared" si="38"/>
        <v>1267049.81</v>
      </c>
      <c r="CC14" s="289">
        <f t="shared" si="38"/>
        <v>0</v>
      </c>
      <c r="CD14" s="289">
        <f t="shared" si="38"/>
        <v>0</v>
      </c>
      <c r="CE14" s="289">
        <f t="shared" si="38"/>
        <v>0</v>
      </c>
      <c r="CF14" s="289">
        <f t="shared" si="38"/>
        <v>0</v>
      </c>
      <c r="CG14" s="289">
        <f t="shared" si="38"/>
        <v>0</v>
      </c>
      <c r="CH14" s="289">
        <f t="shared" si="38"/>
        <v>0</v>
      </c>
      <c r="CI14" s="33"/>
      <c r="CJ14" s="33"/>
      <c r="CK14" s="290">
        <f t="array" ref="CK14">SUM(INDIRECT(XLOOKUP('GAAP Summary'!$B$2,'TTM Dates'!$B:$B,'TTM Dates'!$E:$E)&amp;ROW($CJ14)&amp;":"&amp;XLOOKUP('GAAP Summary'!$B$2,'TTM Dates'!$B:$B,'TTM Dates'!$C:$C)&amp;ROW($CJ14)))</f>
        <v>13577110.04</v>
      </c>
      <c r="CL14" s="291"/>
      <c r="CM14" s="289">
        <f t="shared" si="39"/>
        <v>3468495.12</v>
      </c>
      <c r="CN14" s="289">
        <f t="shared" si="40"/>
        <v>4388143.94</v>
      </c>
      <c r="CO14" s="289">
        <f t="shared" si="41"/>
        <v>0</v>
      </c>
      <c r="CP14" s="289">
        <f t="shared" si="42"/>
        <v>0</v>
      </c>
      <c r="CQ14" s="290">
        <f t="shared" si="43"/>
        <v>7856639.06</v>
      </c>
      <c r="CR14" s="108"/>
      <c r="CS14" s="108">
        <f t="shared" si="44"/>
        <v>2653528</v>
      </c>
      <c r="CT14" s="108">
        <f t="shared" si="45"/>
        <v>2590280.12</v>
      </c>
      <c r="CU14" s="108">
        <f t="shared" si="46"/>
        <v>2722536.99</v>
      </c>
      <c r="CV14" s="108">
        <f t="shared" si="47"/>
        <v>2997933.99</v>
      </c>
      <c r="CW14" s="282">
        <f t="shared" si="48"/>
        <v>10964279.1</v>
      </c>
      <c r="CX14" s="283"/>
      <c r="CY14" s="108">
        <f t="shared" si="49"/>
        <v>3062767.05</v>
      </c>
      <c r="CZ14" s="108">
        <f t="shared" si="50"/>
        <v>2411844.16</v>
      </c>
      <c r="DA14" s="108">
        <f t="shared" si="51"/>
        <v>2484964.81</v>
      </c>
      <c r="DB14" s="108">
        <f t="shared" si="52"/>
        <v>3157902.15</v>
      </c>
      <c r="DC14" s="282">
        <f t="shared" si="53"/>
        <v>11117478.17</v>
      </c>
      <c r="DD14" s="283"/>
      <c r="DE14" s="108">
        <f t="shared" si="54"/>
        <v>0</v>
      </c>
      <c r="DF14" s="108">
        <f t="shared" si="55"/>
        <v>0</v>
      </c>
      <c r="DG14" s="108">
        <f t="shared" si="56"/>
        <v>0</v>
      </c>
      <c r="DH14" s="108">
        <f t="shared" si="57"/>
        <v>0</v>
      </c>
      <c r="DI14" s="282">
        <f t="shared" si="58"/>
        <v>0</v>
      </c>
      <c r="DJ14" s="284"/>
      <c r="DK14" s="137">
        <f t="shared" si="59"/>
        <v>0</v>
      </c>
      <c r="DL14" s="137">
        <f t="shared" si="60"/>
        <v>0</v>
      </c>
      <c r="DM14" s="137">
        <f t="shared" si="61"/>
        <v>0</v>
      </c>
      <c r="DN14" s="137">
        <f t="shared" si="62"/>
        <v>0</v>
      </c>
      <c r="DO14" s="142">
        <f t="shared" si="63"/>
        <v>0</v>
      </c>
      <c r="DP14" s="284"/>
      <c r="DQ14" s="285"/>
      <c r="DR14" s="44"/>
      <c r="DS14" s="286">
        <f t="array" ref="DS14">IF(DS$3&gt;'GAAP Summary'!$B$2,0,SUM(INDIRECT(XLOOKUP(DS$3,'TTM Dates'!$B:$B,'TTM Dates'!$E:$E)&amp;ROW($CJ14)&amp;":"&amp;XLOOKUP(DS$3,'TTM Dates'!$B:$B,'TTM Dates'!$C:$C)&amp;ROW($CJ14))))</f>
        <v>0</v>
      </c>
      <c r="DT14" s="286">
        <f t="array" ref="DT14">IF(DT$3&gt;'GAAP Summary'!$B$2,0,SUM(INDIRECT(XLOOKUP(DT$3,'TTM Dates'!$B:$B,'TTM Dates'!$E:$E)&amp;ROW($CJ14)&amp;":"&amp;XLOOKUP(DT$3,'TTM Dates'!$B:$B,'TTM Dates'!$C:$C)&amp;ROW($CJ14))))</f>
        <v>0</v>
      </c>
      <c r="DU14" s="286">
        <f t="array" ref="DU14">IF(DU$3&gt;'GAAP Summary'!$B$2,0,SUM(INDIRECT(XLOOKUP(DU$3,'TTM Dates'!$B:$B,'TTM Dates'!$E:$E)&amp;ROW($CJ14)&amp;":"&amp;XLOOKUP(DU$3,'TTM Dates'!$B:$B,'TTM Dates'!$C:$C)&amp;ROW($CJ14))))</f>
        <v>0</v>
      </c>
      <c r="DV14" s="286">
        <f t="array" ref="DV14">IF(DV$3&gt;'GAAP Summary'!$B$2,0,SUM(INDIRECT(XLOOKUP(DV$3,'TTM Dates'!$B:$B,'TTM Dates'!$E:$E)&amp;ROW($CJ14)&amp;":"&amp;XLOOKUP(DV$3,'TTM Dates'!$B:$B,'TTM Dates'!$C:$C)&amp;ROW($CJ14))))</f>
        <v>0</v>
      </c>
      <c r="DW14" s="286">
        <f t="array" ref="DW14">IF(DW$3&gt;'GAAP Summary'!$B$2,0,SUM(INDIRECT(XLOOKUP(DW$3,'TTM Dates'!$B:$B,'TTM Dates'!$E:$E)&amp;ROW($CJ14)&amp;":"&amp;XLOOKUP(DW$3,'TTM Dates'!$B:$B,'TTM Dates'!$C:$C)&amp;ROW($CJ14))))</f>
        <v>0</v>
      </c>
      <c r="DX14" s="286">
        <f t="array" ref="DX14">IF(DX$3&gt;'GAAP Summary'!$B$2,0,SUM(INDIRECT(XLOOKUP(DX$3,'TTM Dates'!$B:$B,'TTM Dates'!$E:$E)&amp;ROW($CJ14)&amp;":"&amp;XLOOKUP(DX$3,'TTM Dates'!$B:$B,'TTM Dates'!$C:$C)&amp;ROW($CJ14))))</f>
        <v>0</v>
      </c>
      <c r="DY14" s="286">
        <f t="array" ref="DY14">IF(DY$3&gt;'GAAP Summary'!$B$2,0,SUM(INDIRECT(XLOOKUP(DY$3,'TTM Dates'!$B:$B,'TTM Dates'!$E:$E)&amp;ROW($CJ14)&amp;":"&amp;XLOOKUP(DY$3,'TTM Dates'!$B:$B,'TTM Dates'!$C:$C)&amp;ROW($CJ14))))</f>
        <v>0</v>
      </c>
      <c r="DZ14" s="286">
        <f t="array" ref="DZ14">IF(DZ$3&gt;'GAAP Summary'!$B$2,0,SUM(INDIRECT(XLOOKUP(DZ$3,'TTM Dates'!$B:$B,'TTM Dates'!$E:$E)&amp;ROW($CJ14)&amp;":"&amp;XLOOKUP(DZ$3,'TTM Dates'!$B:$B,'TTM Dates'!$C:$C)&amp;ROW($CJ14))))</f>
        <v>0</v>
      </c>
      <c r="EA14" s="286">
        <f t="array" ref="EA14">IF(EA$3&gt;'GAAP Summary'!$B$2,0,SUM(INDIRECT(XLOOKUP(EA$3,'TTM Dates'!$B:$B,'TTM Dates'!$E:$E)&amp;ROW($CJ14)&amp;":"&amp;XLOOKUP(EA$3,'TTM Dates'!$B:$B,'TTM Dates'!$C:$C)&amp;ROW($CJ14))))</f>
        <v>0</v>
      </c>
      <c r="EB14" s="286">
        <f t="array" ref="EB14">IF(EB$3&gt;'GAAP Summary'!$B$2,0,SUM(INDIRECT(XLOOKUP(EB$3,'TTM Dates'!$B:$B,'TTM Dates'!$E:$E)&amp;ROW($CJ14)&amp;":"&amp;XLOOKUP(EB$3,'TTM Dates'!$B:$B,'TTM Dates'!$C:$C)&amp;ROW($CJ14))))</f>
        <v>0</v>
      </c>
      <c r="EC14" s="286">
        <f t="array" ref="EC14">IF(EC$3&gt;'GAAP Summary'!$B$2,0,SUM(INDIRECT(XLOOKUP(EC$3,'TTM Dates'!$B:$B,'TTM Dates'!$E:$E)&amp;ROW($CJ14)&amp;":"&amp;XLOOKUP(EC$3,'TTM Dates'!$B:$B,'TTM Dates'!$C:$C)&amp;ROW($CJ14))))</f>
        <v>0</v>
      </c>
      <c r="ED14" s="286">
        <f t="array" ref="ED14">IF(ED$3&gt;'GAAP Summary'!$B$2,0,SUM(INDIRECT(XLOOKUP(ED$3,'TTM Dates'!$B:$B,'TTM Dates'!$E:$E)&amp;ROW($CJ14)&amp;":"&amp;XLOOKUP(ED$3,'TTM Dates'!$B:$B,'TTM Dates'!$C:$C)&amp;ROW($CJ14))))</f>
        <v>0</v>
      </c>
      <c r="EE14" s="286">
        <f t="array" ref="EE14">IF(EE$3&gt;'GAAP Summary'!$B$2,0,SUM(INDIRECT(XLOOKUP(EE$3,'TTM Dates'!$B:$B,'TTM Dates'!$E:$E)&amp;ROW($CJ14)&amp;":"&amp;XLOOKUP(EE$3,'TTM Dates'!$B:$B,'TTM Dates'!$C:$C)&amp;ROW($CJ14))))</f>
        <v>0</v>
      </c>
      <c r="EF14" s="286">
        <f t="array" ref="EF14">IF(EF$3&gt;'GAAP Summary'!$B$2,0,SUM(INDIRECT(XLOOKUP(EF$3,'TTM Dates'!$B:$B,'TTM Dates'!$E:$E)&amp;ROW($CJ14)&amp;":"&amp;XLOOKUP(EF$3,'TTM Dates'!$B:$B,'TTM Dates'!$C:$C)&amp;ROW($CJ14))))</f>
        <v>0</v>
      </c>
      <c r="EG14" s="286">
        <f t="array" ref="EG14">IF(EG$3&gt;'GAAP Summary'!$B$2,0,SUM(INDIRECT(XLOOKUP(EG$3,'TTM Dates'!$B:$B,'TTM Dates'!$E:$E)&amp;ROW($CJ14)&amp;":"&amp;XLOOKUP(EG$3,'TTM Dates'!$B:$B,'TTM Dates'!$C:$C)&amp;ROW($CJ14))))</f>
        <v>0</v>
      </c>
      <c r="EH14" s="286">
        <f t="array" ref="EH14">IF(EH$3&gt;'GAAP Summary'!$B$2,0,SUM(INDIRECT(XLOOKUP(EH$3,'TTM Dates'!$B:$B,'TTM Dates'!$E:$E)&amp;ROW($CJ14)&amp;":"&amp;XLOOKUP(EH$3,'TTM Dates'!$B:$B,'TTM Dates'!$C:$C)&amp;ROW($CJ14))))</f>
        <v>0</v>
      </c>
      <c r="EI14" s="286">
        <f t="array" ref="EI14">IF(EI$3&gt;'GAAP Summary'!$B$2,0,SUM(INDIRECT(XLOOKUP(EI$3,'TTM Dates'!$B:$B,'TTM Dates'!$E:$E)&amp;ROW($CJ14)&amp;":"&amp;XLOOKUP(EI$3,'TTM Dates'!$B:$B,'TTM Dates'!$C:$C)&amp;ROW($CJ14))))</f>
        <v>0</v>
      </c>
      <c r="EJ14" s="286">
        <f t="array" ref="EJ14">IF(EJ$3&gt;'GAAP Summary'!$B$2,0,SUM(INDIRECT(XLOOKUP(EJ$3,'TTM Dates'!$B:$B,'TTM Dates'!$E:$E)&amp;ROW($CJ14)&amp;":"&amp;XLOOKUP(EJ$3,'TTM Dates'!$B:$B,'TTM Dates'!$C:$C)&amp;ROW($CJ14))))</f>
        <v>0</v>
      </c>
      <c r="EK14" s="286">
        <f t="array" ref="EK14">IF(EK$3&gt;'GAAP Summary'!$B$2,0,SUM(INDIRECT(XLOOKUP(EK$3,'TTM Dates'!$B:$B,'TTM Dates'!$E:$E)&amp;ROW($CJ14)&amp;":"&amp;XLOOKUP(EK$3,'TTM Dates'!$B:$B,'TTM Dates'!$C:$C)&amp;ROW($CJ14))))</f>
        <v>0</v>
      </c>
      <c r="EL14" s="286">
        <f t="array" ref="EL14">IF(EL$3&gt;'GAAP Summary'!$B$2,0,SUM(INDIRECT(XLOOKUP(EL$3,'TTM Dates'!$B:$B,'TTM Dates'!$E:$E)&amp;ROW($CJ14)&amp;":"&amp;XLOOKUP(EL$3,'TTM Dates'!$B:$B,'TTM Dates'!$C:$C)&amp;ROW($CJ14))))</f>
        <v>0</v>
      </c>
      <c r="EM14" s="286">
        <f t="array" ref="EM14">IF(EM$3&gt;'GAAP Summary'!$B$2,0,SUM(INDIRECT(XLOOKUP(EM$3,'TTM Dates'!$B:$B,'TTM Dates'!$E:$E)&amp;ROW($CJ14)&amp;":"&amp;XLOOKUP(EM$3,'TTM Dates'!$B:$B,'TTM Dates'!$C:$C)&amp;ROW($CJ14))))</f>
        <v>0</v>
      </c>
      <c r="EN14" s="286">
        <f t="array" ref="EN14">IF(EN$3&gt;'GAAP Summary'!$B$2,0,SUM(INDIRECT(XLOOKUP(EN$3,'TTM Dates'!$B:$B,'TTM Dates'!$E:$E)&amp;ROW($CJ14)&amp;":"&amp;XLOOKUP(EN$3,'TTM Dates'!$B:$B,'TTM Dates'!$C:$C)&amp;ROW($CJ14))))</f>
        <v>0</v>
      </c>
      <c r="EO14" s="286">
        <f t="array" ref="EO14">IF(EO$3&gt;'GAAP Summary'!$B$2,0,SUM(INDIRECT(XLOOKUP(EO$3,'TTM Dates'!$B:$B,'TTM Dates'!$E:$E)&amp;ROW($CJ14)&amp;":"&amp;XLOOKUP(EO$3,'TTM Dates'!$B:$B,'TTM Dates'!$C:$C)&amp;ROW($CJ14))))</f>
        <v>0</v>
      </c>
      <c r="EP14" s="286">
        <f t="array" ref="EP14">IF(EP$3&gt;'GAAP Summary'!$B$2,0,SUM(INDIRECT(XLOOKUP(EP$3,'TTM Dates'!$B:$B,'TTM Dates'!$E:$E)&amp;ROW($CJ14)&amp;":"&amp;XLOOKUP(EP$3,'TTM Dates'!$B:$B,'TTM Dates'!$C:$C)&amp;ROW($CJ14))))</f>
        <v>0</v>
      </c>
      <c r="EQ14" s="286">
        <f t="array" ref="EQ14">IF(EQ$3&gt;'GAAP Summary'!$B$2,0,SUM(INDIRECT(XLOOKUP(EQ$3,'TTM Dates'!$B:$B,'TTM Dates'!$E:$E)&amp;ROW($CJ14)&amp;":"&amp;XLOOKUP(EQ$3,'TTM Dates'!$B:$B,'TTM Dates'!$C:$C)&amp;ROW($CJ14))))</f>
        <v>0</v>
      </c>
      <c r="ER14" s="286">
        <f t="array" ref="ER14">IF(ER$3&gt;'GAAP Summary'!$B$2,0,SUM(INDIRECT(XLOOKUP(ER$3,'TTM Dates'!$B:$B,'TTM Dates'!$E:$E)&amp;ROW($CJ14)&amp;":"&amp;XLOOKUP(ER$3,'TTM Dates'!$B:$B,'TTM Dates'!$C:$C)&amp;ROW($CJ14))))</f>
        <v>0</v>
      </c>
      <c r="ES14" s="286">
        <f t="array" ref="ES14">IF(ES$3&gt;'GAAP Summary'!$B$2,0,SUM(INDIRECT(XLOOKUP(ES$3,'TTM Dates'!$B:$B,'TTM Dates'!$E:$E)&amp;ROW($CJ14)&amp;":"&amp;XLOOKUP(ES$3,'TTM Dates'!$B:$B,'TTM Dates'!$C:$C)&amp;ROW($CJ14))))</f>
        <v>0</v>
      </c>
      <c r="ET14" s="286">
        <f t="array" ref="ET14">IF(ET$3&gt;'GAAP Summary'!$B$2,0,SUM(INDIRECT(XLOOKUP(ET$3,'TTM Dates'!$B:$B,'TTM Dates'!$E:$E)&amp;ROW($CJ14)&amp;":"&amp;XLOOKUP(ET$3,'TTM Dates'!$B:$B,'TTM Dates'!$C:$C)&amp;ROW($CJ14))))</f>
        <v>0</v>
      </c>
      <c r="EU14" s="286">
        <f t="array" ref="EU14">IF(EU$3&gt;'GAAP Summary'!$B$2,0,SUM(INDIRECT(XLOOKUP(EU$3,'TTM Dates'!$B:$B,'TTM Dates'!$E:$E)&amp;ROW($CJ14)&amp;":"&amp;XLOOKUP(EU$3,'TTM Dates'!$B:$B,'TTM Dates'!$C:$C)&amp;ROW($CJ14))))</f>
        <v>0</v>
      </c>
      <c r="EV14" s="286">
        <f t="array" ref="EV14">IF(EV$3&gt;'GAAP Summary'!$B$2,0,SUM(INDIRECT(XLOOKUP(EV$3,'TTM Dates'!$B:$B,'TTM Dates'!$E:$E)&amp;ROW($CJ14)&amp;":"&amp;XLOOKUP(EV$3,'TTM Dates'!$B:$B,'TTM Dates'!$C:$C)&amp;ROW($CJ14))))</f>
        <v>0</v>
      </c>
      <c r="EW14" s="286">
        <f t="array" ref="EW14">IF(EW$3&gt;'GAAP Summary'!$B$2,0,SUM(INDIRECT(XLOOKUP(EW$3,'TTM Dates'!$B:$B,'TTM Dates'!$E:$E)&amp;ROW($CJ14)&amp;":"&amp;XLOOKUP(EW$3,'TTM Dates'!$B:$B,'TTM Dates'!$C:$C)&amp;ROW($CJ14))))</f>
        <v>0</v>
      </c>
      <c r="EX14" s="286">
        <f t="array" ref="EX14">IF(EX$3&gt;'GAAP Summary'!$B$2,0,SUM(INDIRECT(XLOOKUP(EX$3,'TTM Dates'!$B:$B,'TTM Dates'!$E:$E)&amp;ROW($CJ14)&amp;":"&amp;XLOOKUP(EX$3,'TTM Dates'!$B:$B,'TTM Dates'!$C:$C)&amp;ROW($CJ14))))</f>
        <v>0</v>
      </c>
      <c r="EY14" s="286">
        <f t="array" ref="EY14">IF(EY$3&gt;'GAAP Summary'!$B$2,0,SUM(INDIRECT(XLOOKUP(EY$3,'TTM Dates'!$B:$B,'TTM Dates'!$E:$E)&amp;ROW($CJ14)&amp;":"&amp;XLOOKUP(EY$3,'TTM Dates'!$B:$B,'TTM Dates'!$C:$C)&amp;ROW($CJ14))))</f>
        <v>0</v>
      </c>
      <c r="EZ14" s="286">
        <f t="array" ref="EZ14">IF(EZ$3&gt;'GAAP Summary'!$B$2,0,SUM(INDIRECT(XLOOKUP(EZ$3,'TTM Dates'!$B:$B,'TTM Dates'!$E:$E)&amp;ROW($CJ14)&amp;":"&amp;XLOOKUP(EZ$3,'TTM Dates'!$B:$B,'TTM Dates'!$C:$C)&amp;ROW($CJ14))))</f>
        <v>0</v>
      </c>
      <c r="FA14" s="286">
        <f t="array" ref="FA14">IF(FA$3&gt;'GAAP Summary'!$B$2,0,SUM(INDIRECT(XLOOKUP(FA$3,'TTM Dates'!$B:$B,'TTM Dates'!$E:$E)&amp;ROW($CJ14)&amp;":"&amp;XLOOKUP(FA$3,'TTM Dates'!$B:$B,'TTM Dates'!$C:$C)&amp;ROW($CJ14))))</f>
        <v>0</v>
      </c>
      <c r="FB14" s="286">
        <f t="array" ref="FB14">IF(FB$3&gt;'GAAP Summary'!$B$2,0,SUM(INDIRECT(XLOOKUP(FB$3,'TTM Dates'!$B:$B,'TTM Dates'!$E:$E)&amp;ROW($CJ14)&amp;":"&amp;XLOOKUP(FB$3,'TTM Dates'!$B:$B,'TTM Dates'!$C:$C)&amp;ROW($CJ14))))</f>
        <v>0</v>
      </c>
      <c r="FC14" s="286">
        <f t="array" ref="FC14">IF(FC$3&gt;'GAAP Summary'!$B$2,0,SUM(INDIRECT(XLOOKUP(FC$3,'TTM Dates'!$B:$B,'TTM Dates'!$E:$E)&amp;ROW($CJ14)&amp;":"&amp;XLOOKUP(FC$3,'TTM Dates'!$B:$B,'TTM Dates'!$C:$C)&amp;ROW($CJ14))))</f>
        <v>911260.09</v>
      </c>
      <c r="FD14" s="286">
        <f t="array" ref="FD14">IF(FD$3&gt;'GAAP Summary'!$B$2,0,SUM(INDIRECT(XLOOKUP(FD$3,'TTM Dates'!$B:$B,'TTM Dates'!$E:$E)&amp;ROW($CJ14)&amp;":"&amp;XLOOKUP(FD$3,'TTM Dates'!$B:$B,'TTM Dates'!$C:$C)&amp;ROW($CJ14))))</f>
        <v>1957645.37</v>
      </c>
      <c r="FE14" s="286">
        <f t="array" ref="FE14">IF(FE$3&gt;'GAAP Summary'!$B$2,0,SUM(INDIRECT(XLOOKUP(FE$3,'TTM Dates'!$B:$B,'TTM Dates'!$E:$E)&amp;ROW($CJ14)&amp;":"&amp;XLOOKUP(FE$3,'TTM Dates'!$B:$B,'TTM Dates'!$C:$C)&amp;ROW($CJ14))))</f>
        <v>3062767.05</v>
      </c>
      <c r="FF14" s="286">
        <f t="array" ref="FF14">IF(FF$3&gt;'GAAP Summary'!$B$2,0,SUM(INDIRECT(XLOOKUP(FF$3,'TTM Dates'!$B:$B,'TTM Dates'!$E:$E)&amp;ROW($CJ14)&amp;":"&amp;XLOOKUP(FF$3,'TTM Dates'!$B:$B,'TTM Dates'!$C:$C)&amp;ROW($CJ14))))</f>
        <v>4015115.38</v>
      </c>
      <c r="FG14" s="286">
        <f t="array" ref="FG14">IF(FG$3&gt;'GAAP Summary'!$B$2,0,SUM(INDIRECT(XLOOKUP(FG$3,'TTM Dates'!$B:$B,'TTM Dates'!$E:$E)&amp;ROW($CJ14)&amp;":"&amp;XLOOKUP(FG$3,'TTM Dates'!$B:$B,'TTM Dates'!$C:$C)&amp;ROW($CJ14))))</f>
        <v>4773451.25</v>
      </c>
      <c r="FH14" s="286">
        <f t="array" ref="FH14">IF(FH$3&gt;'GAAP Summary'!$B$2,0,SUM(INDIRECT(XLOOKUP(FH$3,'TTM Dates'!$B:$B,'TTM Dates'!$E:$E)&amp;ROW($CJ14)&amp;":"&amp;XLOOKUP(FH$3,'TTM Dates'!$B:$B,'TTM Dates'!$C:$C)&amp;ROW($CJ14))))</f>
        <v>5474611.21</v>
      </c>
      <c r="FI14" s="286">
        <f t="array" ref="FI14">IF(FI$3&gt;'GAAP Summary'!$B$2,0,SUM(INDIRECT(XLOOKUP(FI$3,'TTM Dates'!$B:$B,'TTM Dates'!$E:$E)&amp;ROW($CJ14)&amp;":"&amp;XLOOKUP(FI$3,'TTM Dates'!$B:$B,'TTM Dates'!$C:$C)&amp;ROW($CJ14))))</f>
        <v>6292164.94</v>
      </c>
      <c r="FJ14" s="286">
        <f t="array" ref="FJ14">IF(FJ$3&gt;'GAAP Summary'!$B$2,0,SUM(INDIRECT(XLOOKUP(FJ$3,'TTM Dates'!$B:$B,'TTM Dates'!$E:$E)&amp;ROW($CJ14)&amp;":"&amp;XLOOKUP(FJ$3,'TTM Dates'!$B:$B,'TTM Dates'!$C:$C)&amp;ROW($CJ14))))</f>
        <v>7097456.48</v>
      </c>
      <c r="FK14" s="286">
        <f t="array" ref="FK14">IF(FK$3&gt;'GAAP Summary'!$B$2,0,SUM(INDIRECT(XLOOKUP(FK$3,'TTM Dates'!$B:$B,'TTM Dates'!$E:$E)&amp;ROW($CJ14)&amp;":"&amp;XLOOKUP(FK$3,'TTM Dates'!$B:$B,'TTM Dates'!$C:$C)&amp;ROW($CJ14))))</f>
        <v>7959576.02</v>
      </c>
      <c r="FL14" s="286">
        <f t="array" ref="FL14">IF(FL$3&gt;'GAAP Summary'!$B$2,0,SUM(INDIRECT(XLOOKUP(FL$3,'TTM Dates'!$B:$B,'TTM Dates'!$E:$E)&amp;ROW($CJ14)&amp;":"&amp;XLOOKUP(FL$3,'TTM Dates'!$B:$B,'TTM Dates'!$C:$C)&amp;ROW($CJ14))))</f>
        <v>9169268.28</v>
      </c>
      <c r="FM14" s="286">
        <f t="array" ref="FM14">IF(FM$3&gt;'GAAP Summary'!$B$2,0,SUM(INDIRECT(XLOOKUP(FM$3,'TTM Dates'!$B:$B,'TTM Dates'!$E:$E)&amp;ROW($CJ14)&amp;":"&amp;XLOOKUP(FM$3,'TTM Dates'!$B:$B,'TTM Dates'!$C:$C)&amp;ROW($CJ14))))</f>
        <v>10183564.55</v>
      </c>
      <c r="FN14" s="286">
        <f t="array" ref="FN14">IF(FN$3&gt;'GAAP Summary'!$B$2,0,SUM(INDIRECT(XLOOKUP(FN$3,'TTM Dates'!$B:$B,'TTM Dates'!$E:$E)&amp;ROW($CJ14)&amp;":"&amp;XLOOKUP(FN$3,'TTM Dates'!$B:$B,'TTM Dates'!$C:$C)&amp;ROW($CJ14))))</f>
        <v>11117478.17</v>
      </c>
      <c r="FO14" s="286">
        <f t="array" ref="FO14">IF(FO$3&gt;'GAAP Summary'!$B$2,0,SUM(INDIRECT(XLOOKUP(FO$3,'TTM Dates'!$B:$B,'TTM Dates'!$E:$E)&amp;ROW($CJ14)&amp;":"&amp;XLOOKUP(FO$3,'TTM Dates'!$B:$B,'TTM Dates'!$C:$C)&amp;ROW($CJ14))))</f>
        <v>11245009.08</v>
      </c>
      <c r="FP14" s="286">
        <f t="array" ref="FP14">IF(FP$3&gt;'GAAP Summary'!$B$2,0,SUM(INDIRECT(XLOOKUP(FP$3,'TTM Dates'!$B:$B,'TTM Dates'!$E:$E)&amp;ROW($CJ14)&amp;":"&amp;XLOOKUP(FP$3,'TTM Dates'!$B:$B,'TTM Dates'!$C:$C)&amp;ROW($CJ14))))</f>
        <v>11073305.8</v>
      </c>
      <c r="FQ14" s="286">
        <f t="array" ref="FQ14">IF(FQ$3&gt;'GAAP Summary'!$B$2,0,SUM(INDIRECT(XLOOKUP(FQ$3,'TTM Dates'!$B:$B,'TTM Dates'!$E:$E)&amp;ROW($CJ14)&amp;":"&amp;XLOOKUP(FQ$3,'TTM Dates'!$B:$B,'TTM Dates'!$C:$C)&amp;ROW($CJ14))))</f>
        <v>10708239.12</v>
      </c>
      <c r="FR14" s="286">
        <f t="array" ref="FR14">IF(FR$3&gt;'GAAP Summary'!$B$2,0,SUM(INDIRECT(XLOOKUP(FR$3,'TTM Dates'!$B:$B,'TTM Dates'!$E:$E)&amp;ROW($CJ14)&amp;":"&amp;XLOOKUP(FR$3,'TTM Dates'!$B:$B,'TTM Dates'!$C:$C)&amp;ROW($CJ14))))</f>
        <v>10660863.11</v>
      </c>
      <c r="FS14" s="286">
        <f t="array" ref="FS14">IF(FS$3&gt;'GAAP Summary'!$B$2,0,SUM(INDIRECT(XLOOKUP(FS$3,'TTM Dates'!$B:$B,'TTM Dates'!$E:$E)&amp;ROW($CJ14)&amp;":"&amp;XLOOKUP(FS$3,'TTM Dates'!$B:$B,'TTM Dates'!$C:$C)&amp;ROW($CJ14))))</f>
        <v>10763156.14</v>
      </c>
      <c r="FT14" s="286">
        <f t="array" ref="FT14">IF(FT$3&gt;'GAAP Summary'!$B$2,0,SUM(INDIRECT(XLOOKUP(FT$3,'TTM Dates'!$B:$B,'TTM Dates'!$E:$E)&amp;ROW($CJ14)&amp;":"&amp;XLOOKUP(FT$3,'TTM Dates'!$B:$B,'TTM Dates'!$C:$C)&amp;ROW($CJ14))))</f>
        <v>10886675.08</v>
      </c>
      <c r="FU14" s="286">
        <f t="array" ref="FU14">IF(FU$3&gt;'GAAP Summary'!$B$2,0,SUM(INDIRECT(XLOOKUP(FU$3,'TTM Dates'!$B:$B,'TTM Dates'!$E:$E)&amp;ROW($CJ14)&amp;":"&amp;XLOOKUP(FU$3,'TTM Dates'!$B:$B,'TTM Dates'!$C:$C)&amp;ROW($CJ14))))</f>
        <v>10910106.18</v>
      </c>
      <c r="FV14" s="286">
        <f t="array" ref="FV14">IF(FV$3&gt;'GAAP Summary'!$B$2,0,SUM(INDIRECT(XLOOKUP(FV$3,'TTM Dates'!$B:$B,'TTM Dates'!$E:$E)&amp;ROW($CJ14)&amp;":"&amp;XLOOKUP(FV$3,'TTM Dates'!$B:$B,'TTM Dates'!$C:$C)&amp;ROW($CJ14))))</f>
        <v>10989027.23</v>
      </c>
      <c r="FW14" s="286">
        <f t="array" ref="FW14">IF(FW$3&gt;'GAAP Summary'!$B$2,0,SUM(INDIRECT(XLOOKUP(FW$3,'TTM Dates'!$B:$B,'TTM Dates'!$E:$E)&amp;ROW($CJ14)&amp;":"&amp;XLOOKUP(FW$3,'TTM Dates'!$B:$B,'TTM Dates'!$C:$C)&amp;ROW($CJ14))))</f>
        <v>11124247.26</v>
      </c>
      <c r="FX14" s="286">
        <f t="array" ref="FX14">IF(FX$3&gt;'GAAP Summary'!$B$2,0,SUM(INDIRECT(XLOOKUP(FX$3,'TTM Dates'!$B:$B,'TTM Dates'!$E:$E)&amp;ROW($CJ14)&amp;":"&amp;XLOOKUP(FX$3,'TTM Dates'!$B:$B,'TTM Dates'!$C:$C)&amp;ROW($CJ14))))</f>
        <v>10905237.74</v>
      </c>
      <c r="FY14" s="286">
        <f t="array" ref="FY14">IF(FY$3&gt;'GAAP Summary'!$B$2,0,SUM(INDIRECT(XLOOKUP(FY$3,'TTM Dates'!$B:$B,'TTM Dates'!$E:$E)&amp;ROW($CJ14)&amp;":"&amp;XLOOKUP(FY$3,'TTM Dates'!$B:$B,'TTM Dates'!$C:$C)&amp;ROW($CJ14))))</f>
        <v>10875833.34</v>
      </c>
      <c r="FZ14" s="286">
        <f t="array" ref="FZ14">IF(FZ$3&gt;'GAAP Summary'!$B$2,0,SUM(INDIRECT(XLOOKUP(FZ$3,'TTM Dates'!$B:$B,'TTM Dates'!$E:$E)&amp;ROW($CJ14)&amp;":"&amp;XLOOKUP(FZ$3,'TTM Dates'!$B:$B,'TTM Dates'!$C:$C)&amp;ROW($CJ14))))</f>
        <v>10964279.1</v>
      </c>
      <c r="GA14" s="286">
        <f t="array" ref="GA14">IF(GA$3&gt;'GAAP Summary'!$B$2,0,SUM(INDIRECT(XLOOKUP(GA$3,'TTM Dates'!$B:$B,'TTM Dates'!$E:$E)&amp;ROW($CJ14)&amp;":"&amp;XLOOKUP(GA$3,'TTM Dates'!$B:$B,'TTM Dates'!$C:$C)&amp;ROW($CJ14))))</f>
        <v>11064234.99</v>
      </c>
      <c r="GB14" s="286">
        <f t="array" ref="GB14">IF(GB$3&gt;'GAAP Summary'!$B$2,0,SUM(INDIRECT(XLOOKUP(GB$3,'TTM Dates'!$B:$B,'TTM Dates'!$E:$E)&amp;ROW($CJ14)&amp;":"&amp;XLOOKUP(GB$3,'TTM Dates'!$B:$B,'TTM Dates'!$C:$C)&amp;ROW($CJ14))))</f>
        <v>11353165.3</v>
      </c>
      <c r="GC14" s="286">
        <f t="array" ref="GC14">IF(GC$3&gt;'GAAP Summary'!$B$2,0,SUM(INDIRECT(XLOOKUP(GC$3,'TTM Dates'!$B:$B,'TTM Dates'!$E:$E)&amp;ROW($CJ14)&amp;":"&amp;XLOOKUP(GC$3,'TTM Dates'!$B:$B,'TTM Dates'!$C:$C)&amp;ROW($CJ14))))</f>
        <v>11779246.22</v>
      </c>
      <c r="GD14" s="286">
        <f t="array" ref="GD14">IF(GD$3&gt;'GAAP Summary'!$B$2,0,SUM(INDIRECT(XLOOKUP(GD$3,'TTM Dates'!$B:$B,'TTM Dates'!$E:$E)&amp;ROW($CJ14)&amp;":"&amp;XLOOKUP(GD$3,'TTM Dates'!$B:$B,'TTM Dates'!$C:$C)&amp;ROW($CJ14))))</f>
        <v>12314088.06</v>
      </c>
      <c r="GE14" s="286">
        <f t="array" ref="GE14">IF(GE$3&gt;'GAAP Summary'!$B$2,0,SUM(INDIRECT(XLOOKUP(GE$3,'TTM Dates'!$B:$B,'TTM Dates'!$E:$E)&amp;ROW($CJ14)&amp;":"&amp;XLOOKUP(GE$3,'TTM Dates'!$B:$B,'TTM Dates'!$C:$C)&amp;ROW($CJ14))))</f>
        <v>13134739.13</v>
      </c>
      <c r="GF14" s="286">
        <f t="array" ref="GF14">IF(GF$3&gt;'GAAP Summary'!$B$2,0,SUM(INDIRECT(XLOOKUP(GF$3,'TTM Dates'!$B:$B,'TTM Dates'!$E:$E)&amp;ROW($CJ14)&amp;":"&amp;XLOOKUP(GF$3,'TTM Dates'!$B:$B,'TTM Dates'!$C:$C)&amp;ROW($CJ14))))</f>
        <v>13577110.04</v>
      </c>
      <c r="GG14" s="286">
        <f t="array" ref="GG14">IF(GG$3&gt;'GAAP Summary'!$B$2,0,SUM(INDIRECT(XLOOKUP(GG$3,'TTM Dates'!$B:$B,'TTM Dates'!$E:$E)&amp;ROW($CJ14)&amp;":"&amp;XLOOKUP(GG$3,'TTM Dates'!$B:$B,'TTM Dates'!$C:$C)&amp;ROW($CJ14))))</f>
        <v>0</v>
      </c>
      <c r="GH14" s="286">
        <f t="array" ref="GH14">IF(GH$3&gt;'GAAP Summary'!$B$2,0,SUM(INDIRECT(XLOOKUP(GH$3,'TTM Dates'!$B:$B,'TTM Dates'!$E:$E)&amp;ROW($CJ14)&amp;":"&amp;XLOOKUP(GH$3,'TTM Dates'!$B:$B,'TTM Dates'!$C:$C)&amp;ROW($CJ14))))</f>
        <v>0</v>
      </c>
      <c r="GI14" s="286">
        <f t="array" ref="GI14">IF(GI$3&gt;'GAAP Summary'!$B$2,0,SUM(INDIRECT(XLOOKUP(GI$3,'TTM Dates'!$B:$B,'TTM Dates'!$E:$E)&amp;ROW($CJ14)&amp;":"&amp;XLOOKUP(GI$3,'TTM Dates'!$B:$B,'TTM Dates'!$C:$C)&amp;ROW($CJ14))))</f>
        <v>0</v>
      </c>
      <c r="GJ14" s="286">
        <f t="array" ref="GJ14">IF(GJ$3&gt;'GAAP Summary'!$B$2,0,SUM(INDIRECT(XLOOKUP(GJ$3,'TTM Dates'!$B:$B,'TTM Dates'!$E:$E)&amp;ROW($CJ14)&amp;":"&amp;XLOOKUP(GJ$3,'TTM Dates'!$B:$B,'TTM Dates'!$C:$C)&amp;ROW($CJ14))))</f>
        <v>0</v>
      </c>
      <c r="GK14" s="286">
        <f t="array" ref="GK14">IF(GK$3&gt;'GAAP Summary'!$B$2,0,SUM(INDIRECT(XLOOKUP(GK$3,'TTM Dates'!$B:$B,'TTM Dates'!$E:$E)&amp;ROW($CJ14)&amp;":"&amp;XLOOKUP(GK$3,'TTM Dates'!$B:$B,'TTM Dates'!$C:$C)&amp;ROW($CJ14))))</f>
        <v>0</v>
      </c>
      <c r="GL14" s="286">
        <f t="array" ref="GL14">IF(GL$3&gt;'GAAP Summary'!$B$2,0,SUM(INDIRECT(XLOOKUP(GL$3,'TTM Dates'!$B:$B,'TTM Dates'!$E:$E)&amp;ROW($CJ14)&amp;":"&amp;XLOOKUP(GL$3,'TTM Dates'!$B:$B,'TTM Dates'!$C:$C)&amp;ROW($CJ14))))</f>
        <v>0</v>
      </c>
      <c r="GM14" s="286"/>
    </row>
    <row r="15" outlineLevel="1">
      <c r="B15" s="135" t="s">
        <v>305</v>
      </c>
      <c r="C15" s="281"/>
      <c r="D15" s="281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  <c r="AG15" s="281"/>
      <c r="AH15" s="281"/>
      <c r="AI15" s="281"/>
      <c r="AJ15" s="281"/>
      <c r="AK15" s="281"/>
      <c r="AL15" s="281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>
        <v>830517.09</v>
      </c>
      <c r="AZ15" s="137">
        <v>966762.28</v>
      </c>
      <c r="BA15" s="145">
        <v>1023745.68</v>
      </c>
      <c r="BB15" s="137">
        <v>879742.33</v>
      </c>
      <c r="BC15" s="137">
        <v>672022.87</v>
      </c>
      <c r="BD15" s="137">
        <v>621978.96</v>
      </c>
      <c r="BE15" s="137">
        <v>736704.73</v>
      </c>
      <c r="BF15" s="137">
        <v>730984.54</v>
      </c>
      <c r="BG15" s="137">
        <v>781523.54</v>
      </c>
      <c r="BH15" s="137">
        <v>1033979.26</v>
      </c>
      <c r="BI15" s="137">
        <v>839033.27</v>
      </c>
      <c r="BJ15" s="137">
        <v>753392.62</v>
      </c>
      <c r="BK15" s="137">
        <v>875394.0</v>
      </c>
      <c r="BL15" s="137">
        <v>757328.0</v>
      </c>
      <c r="BM15" s="145">
        <v>612975.0</v>
      </c>
      <c r="BN15" s="145">
        <v>779274.0</v>
      </c>
      <c r="BO15" s="287">
        <v>723585.0</v>
      </c>
      <c r="BP15" s="137">
        <v>690883.0</v>
      </c>
      <c r="BQ15" s="137">
        <v>696347.0</v>
      </c>
      <c r="BR15" s="137">
        <v>724050.0</v>
      </c>
      <c r="BS15" s="137">
        <v>827944.01</v>
      </c>
      <c r="BT15" s="137">
        <v>758558.2</v>
      </c>
      <c r="BU15" s="137">
        <v>715157.84</v>
      </c>
      <c r="BV15" s="137">
        <v>775176.62</v>
      </c>
      <c r="BW15" s="137">
        <v>876689.99</v>
      </c>
      <c r="BX15" s="137">
        <v>930965.7</v>
      </c>
      <c r="BY15" s="137">
        <v>934939.53</v>
      </c>
      <c r="BZ15" s="137">
        <f>1178761.51+28660.75</f>
        <v>1207422.26</v>
      </c>
      <c r="CA15" s="137">
        <f>1398699.17-10982.96+36137.21</f>
        <v>1423853.42</v>
      </c>
      <c r="CB15" s="137">
        <f>972695.35+36035.57</f>
        <v>1008730.92</v>
      </c>
      <c r="CC15" s="54"/>
      <c r="CD15" s="54"/>
      <c r="CE15" s="54"/>
      <c r="CF15" s="54"/>
      <c r="CG15" s="54"/>
      <c r="CH15" s="54"/>
      <c r="CI15" s="33"/>
      <c r="CJ15" s="33"/>
      <c r="CK15" s="303">
        <f t="array" ref="CK15">SUM(INDIRECT(XLOOKUP('GAAP Summary'!$B$2,'TTM Dates'!$B:$B,'TTM Dates'!$E:$E)&amp;ROW($CJ15)&amp;":"&amp;XLOOKUP('GAAP Summary'!$B$2,'TTM Dates'!$B:$B,'TTM Dates'!$C:$C)&amp;ROW($CJ15)))</f>
        <v>10879835.49</v>
      </c>
      <c r="CL15" s="284"/>
      <c r="CM15" s="141">
        <f t="shared" si="39"/>
        <v>2742595.22</v>
      </c>
      <c r="CN15" s="141">
        <f t="shared" si="40"/>
        <v>3640006.6</v>
      </c>
      <c r="CO15" s="289">
        <f t="shared" si="41"/>
        <v>0</v>
      </c>
      <c r="CP15" s="141">
        <f t="shared" si="42"/>
        <v>0</v>
      </c>
      <c r="CQ15" s="140">
        <f t="shared" si="43"/>
        <v>6382601.82</v>
      </c>
      <c r="CR15" s="137"/>
      <c r="CS15" s="137">
        <f t="shared" si="44"/>
        <v>2245697</v>
      </c>
      <c r="CT15" s="137">
        <f t="shared" si="45"/>
        <v>2193742</v>
      </c>
      <c r="CU15" s="137">
        <f t="shared" si="46"/>
        <v>2248341.01</v>
      </c>
      <c r="CV15" s="137">
        <f t="shared" si="47"/>
        <v>2248892.66</v>
      </c>
      <c r="CW15" s="142">
        <f t="shared" si="48"/>
        <v>8936672.67</v>
      </c>
      <c r="CX15" s="136"/>
      <c r="CY15" s="137">
        <f t="shared" si="49"/>
        <v>2821025.05</v>
      </c>
      <c r="CZ15" s="137">
        <f t="shared" si="50"/>
        <v>2173744.16</v>
      </c>
      <c r="DA15" s="137">
        <f t="shared" si="51"/>
        <v>2249212.81</v>
      </c>
      <c r="DB15" s="137">
        <f t="shared" si="52"/>
        <v>2626405.15</v>
      </c>
      <c r="DC15" s="142">
        <f t="shared" si="53"/>
        <v>9870387.17</v>
      </c>
      <c r="DD15" s="136"/>
      <c r="DE15" s="136">
        <f t="shared" si="54"/>
        <v>0</v>
      </c>
      <c r="DF15" s="136">
        <f t="shared" si="55"/>
        <v>0</v>
      </c>
      <c r="DG15" s="136">
        <f t="shared" si="56"/>
        <v>0</v>
      </c>
      <c r="DH15" s="136">
        <f t="shared" si="57"/>
        <v>0</v>
      </c>
      <c r="DI15" s="292">
        <f t="shared" si="58"/>
        <v>0</v>
      </c>
      <c r="DJ15" s="284"/>
      <c r="DK15" s="137">
        <f t="shared" si="59"/>
        <v>0</v>
      </c>
      <c r="DL15" s="137">
        <f t="shared" si="60"/>
        <v>0</v>
      </c>
      <c r="DM15" s="137">
        <f t="shared" si="61"/>
        <v>0</v>
      </c>
      <c r="DN15" s="137">
        <f t="shared" si="62"/>
        <v>0</v>
      </c>
      <c r="DO15" s="142">
        <f t="shared" si="63"/>
        <v>0</v>
      </c>
      <c r="DP15" s="284"/>
      <c r="DQ15" s="292"/>
      <c r="DR15" s="284"/>
      <c r="DS15" s="136">
        <f t="array" ref="DS15">IF(DS$3&gt;'GAAP Summary'!$B$2,0,SUM(INDIRECT(XLOOKUP(DS$3,'TTM Dates'!$B:$B,'TTM Dates'!$E:$E)&amp;ROW($CJ15)&amp;":"&amp;XLOOKUP(DS$3,'TTM Dates'!$B:$B,'TTM Dates'!$C:$C)&amp;ROW($CJ15))))</f>
        <v>0</v>
      </c>
      <c r="DT15" s="136">
        <f t="array" ref="DT15">IF(DT$3&gt;'GAAP Summary'!$B$2,0,SUM(INDIRECT(XLOOKUP(DT$3,'TTM Dates'!$B:$B,'TTM Dates'!$E:$E)&amp;ROW($CJ15)&amp;":"&amp;XLOOKUP(DT$3,'TTM Dates'!$B:$B,'TTM Dates'!$C:$C)&amp;ROW($CJ15))))</f>
        <v>0</v>
      </c>
      <c r="DU15" s="136">
        <f t="array" ref="DU15">IF(DU$3&gt;'GAAP Summary'!$B$2,0,SUM(INDIRECT(XLOOKUP(DU$3,'TTM Dates'!$B:$B,'TTM Dates'!$E:$E)&amp;ROW($CJ15)&amp;":"&amp;XLOOKUP(DU$3,'TTM Dates'!$B:$B,'TTM Dates'!$C:$C)&amp;ROW($CJ15))))</f>
        <v>0</v>
      </c>
      <c r="DV15" s="136">
        <f t="array" ref="DV15">IF(DV$3&gt;'GAAP Summary'!$B$2,0,SUM(INDIRECT(XLOOKUP(DV$3,'TTM Dates'!$B:$B,'TTM Dates'!$E:$E)&amp;ROW($CJ15)&amp;":"&amp;XLOOKUP(DV$3,'TTM Dates'!$B:$B,'TTM Dates'!$C:$C)&amp;ROW($CJ15))))</f>
        <v>0</v>
      </c>
      <c r="DW15" s="136">
        <f t="array" ref="DW15">IF(DW$3&gt;'GAAP Summary'!$B$2,0,SUM(INDIRECT(XLOOKUP(DW$3,'TTM Dates'!$B:$B,'TTM Dates'!$E:$E)&amp;ROW($CJ15)&amp;":"&amp;XLOOKUP(DW$3,'TTM Dates'!$B:$B,'TTM Dates'!$C:$C)&amp;ROW($CJ15))))</f>
        <v>0</v>
      </c>
      <c r="DX15" s="136">
        <f t="array" ref="DX15">IF(DX$3&gt;'GAAP Summary'!$B$2,0,SUM(INDIRECT(XLOOKUP(DX$3,'TTM Dates'!$B:$B,'TTM Dates'!$E:$E)&amp;ROW($CJ15)&amp;":"&amp;XLOOKUP(DX$3,'TTM Dates'!$B:$B,'TTM Dates'!$C:$C)&amp;ROW($CJ15))))</f>
        <v>0</v>
      </c>
      <c r="DY15" s="136">
        <f t="array" ref="DY15">IF(DY$3&gt;'GAAP Summary'!$B$2,0,SUM(INDIRECT(XLOOKUP(DY$3,'TTM Dates'!$B:$B,'TTM Dates'!$E:$E)&amp;ROW($CJ15)&amp;":"&amp;XLOOKUP(DY$3,'TTM Dates'!$B:$B,'TTM Dates'!$C:$C)&amp;ROW($CJ15))))</f>
        <v>0</v>
      </c>
      <c r="DZ15" s="136">
        <f t="array" ref="DZ15">IF(DZ$3&gt;'GAAP Summary'!$B$2,0,SUM(INDIRECT(XLOOKUP(DZ$3,'TTM Dates'!$B:$B,'TTM Dates'!$E:$E)&amp;ROW($CJ15)&amp;":"&amp;XLOOKUP(DZ$3,'TTM Dates'!$B:$B,'TTM Dates'!$C:$C)&amp;ROW($CJ15))))</f>
        <v>0</v>
      </c>
      <c r="EA15" s="136">
        <f t="array" ref="EA15">IF(EA$3&gt;'GAAP Summary'!$B$2,0,SUM(INDIRECT(XLOOKUP(EA$3,'TTM Dates'!$B:$B,'TTM Dates'!$E:$E)&amp;ROW($CJ15)&amp;":"&amp;XLOOKUP(EA$3,'TTM Dates'!$B:$B,'TTM Dates'!$C:$C)&amp;ROW($CJ15))))</f>
        <v>0</v>
      </c>
      <c r="EB15" s="136">
        <f t="array" ref="EB15">IF(EB$3&gt;'GAAP Summary'!$B$2,0,SUM(INDIRECT(XLOOKUP(EB$3,'TTM Dates'!$B:$B,'TTM Dates'!$E:$E)&amp;ROW($CJ15)&amp;":"&amp;XLOOKUP(EB$3,'TTM Dates'!$B:$B,'TTM Dates'!$C:$C)&amp;ROW($CJ15))))</f>
        <v>0</v>
      </c>
      <c r="EC15" s="136">
        <f t="array" ref="EC15">IF(EC$3&gt;'GAAP Summary'!$B$2,0,SUM(INDIRECT(XLOOKUP(EC$3,'TTM Dates'!$B:$B,'TTM Dates'!$E:$E)&amp;ROW($CJ15)&amp;":"&amp;XLOOKUP(EC$3,'TTM Dates'!$B:$B,'TTM Dates'!$C:$C)&amp;ROW($CJ15))))</f>
        <v>0</v>
      </c>
      <c r="ED15" s="136">
        <f t="array" ref="ED15">IF(ED$3&gt;'GAAP Summary'!$B$2,0,SUM(INDIRECT(XLOOKUP(ED$3,'TTM Dates'!$B:$B,'TTM Dates'!$E:$E)&amp;ROW($CJ15)&amp;":"&amp;XLOOKUP(ED$3,'TTM Dates'!$B:$B,'TTM Dates'!$C:$C)&amp;ROW($CJ15))))</f>
        <v>0</v>
      </c>
      <c r="EE15" s="136">
        <f t="array" ref="EE15">IF(EE$3&gt;'GAAP Summary'!$B$2,0,SUM(INDIRECT(XLOOKUP(EE$3,'TTM Dates'!$B:$B,'TTM Dates'!$E:$E)&amp;ROW($CJ15)&amp;":"&amp;XLOOKUP(EE$3,'TTM Dates'!$B:$B,'TTM Dates'!$C:$C)&amp;ROW($CJ15))))</f>
        <v>0</v>
      </c>
      <c r="EF15" s="136">
        <f t="array" ref="EF15">IF(EF$3&gt;'GAAP Summary'!$B$2,0,SUM(INDIRECT(XLOOKUP(EF$3,'TTM Dates'!$B:$B,'TTM Dates'!$E:$E)&amp;ROW($CJ15)&amp;":"&amp;XLOOKUP(EF$3,'TTM Dates'!$B:$B,'TTM Dates'!$C:$C)&amp;ROW($CJ15))))</f>
        <v>0</v>
      </c>
      <c r="EG15" s="136">
        <f t="array" ref="EG15">IF(EG$3&gt;'GAAP Summary'!$B$2,0,SUM(INDIRECT(XLOOKUP(EG$3,'TTM Dates'!$B:$B,'TTM Dates'!$E:$E)&amp;ROW($CJ15)&amp;":"&amp;XLOOKUP(EG$3,'TTM Dates'!$B:$B,'TTM Dates'!$C:$C)&amp;ROW($CJ15))))</f>
        <v>0</v>
      </c>
      <c r="EH15" s="136">
        <f t="array" ref="EH15">IF(EH$3&gt;'GAAP Summary'!$B$2,0,SUM(INDIRECT(XLOOKUP(EH$3,'TTM Dates'!$B:$B,'TTM Dates'!$E:$E)&amp;ROW($CJ15)&amp;":"&amp;XLOOKUP(EH$3,'TTM Dates'!$B:$B,'TTM Dates'!$C:$C)&amp;ROW($CJ15))))</f>
        <v>0</v>
      </c>
      <c r="EI15" s="136">
        <f t="array" ref="EI15">IF(EI$3&gt;'GAAP Summary'!$B$2,0,SUM(INDIRECT(XLOOKUP(EI$3,'TTM Dates'!$B:$B,'TTM Dates'!$E:$E)&amp;ROW($CJ15)&amp;":"&amp;XLOOKUP(EI$3,'TTM Dates'!$B:$B,'TTM Dates'!$C:$C)&amp;ROW($CJ15))))</f>
        <v>0</v>
      </c>
      <c r="EJ15" s="136">
        <f t="array" ref="EJ15">IF(EJ$3&gt;'GAAP Summary'!$B$2,0,SUM(INDIRECT(XLOOKUP(EJ$3,'TTM Dates'!$B:$B,'TTM Dates'!$E:$E)&amp;ROW($CJ15)&amp;":"&amp;XLOOKUP(EJ$3,'TTM Dates'!$B:$B,'TTM Dates'!$C:$C)&amp;ROW($CJ15))))</f>
        <v>0</v>
      </c>
      <c r="EK15" s="136">
        <f t="array" ref="EK15">IF(EK$3&gt;'GAAP Summary'!$B$2,0,SUM(INDIRECT(XLOOKUP(EK$3,'TTM Dates'!$B:$B,'TTM Dates'!$E:$E)&amp;ROW($CJ15)&amp;":"&amp;XLOOKUP(EK$3,'TTM Dates'!$B:$B,'TTM Dates'!$C:$C)&amp;ROW($CJ15))))</f>
        <v>0</v>
      </c>
      <c r="EL15" s="136">
        <f t="array" ref="EL15">IF(EL$3&gt;'GAAP Summary'!$B$2,0,SUM(INDIRECT(XLOOKUP(EL$3,'TTM Dates'!$B:$B,'TTM Dates'!$E:$E)&amp;ROW($CJ15)&amp;":"&amp;XLOOKUP(EL$3,'TTM Dates'!$B:$B,'TTM Dates'!$C:$C)&amp;ROW($CJ15))))</f>
        <v>0</v>
      </c>
      <c r="EM15" s="136">
        <f t="array" ref="EM15">IF(EM$3&gt;'GAAP Summary'!$B$2,0,SUM(INDIRECT(XLOOKUP(EM$3,'TTM Dates'!$B:$B,'TTM Dates'!$E:$E)&amp;ROW($CJ15)&amp;":"&amp;XLOOKUP(EM$3,'TTM Dates'!$B:$B,'TTM Dates'!$C:$C)&amp;ROW($CJ15))))</f>
        <v>0</v>
      </c>
      <c r="EN15" s="136">
        <f t="array" ref="EN15">IF(EN$3&gt;'GAAP Summary'!$B$2,0,SUM(INDIRECT(XLOOKUP(EN$3,'TTM Dates'!$B:$B,'TTM Dates'!$E:$E)&amp;ROW($CJ15)&amp;":"&amp;XLOOKUP(EN$3,'TTM Dates'!$B:$B,'TTM Dates'!$C:$C)&amp;ROW($CJ15))))</f>
        <v>0</v>
      </c>
      <c r="EO15" s="136">
        <f t="array" ref="EO15">IF(EO$3&gt;'GAAP Summary'!$B$2,0,SUM(INDIRECT(XLOOKUP(EO$3,'TTM Dates'!$B:$B,'TTM Dates'!$E:$E)&amp;ROW($CJ15)&amp;":"&amp;XLOOKUP(EO$3,'TTM Dates'!$B:$B,'TTM Dates'!$C:$C)&amp;ROW($CJ15))))</f>
        <v>0</v>
      </c>
      <c r="EP15" s="136">
        <f t="array" ref="EP15">IF(EP$3&gt;'GAAP Summary'!$B$2,0,SUM(INDIRECT(XLOOKUP(EP$3,'TTM Dates'!$B:$B,'TTM Dates'!$E:$E)&amp;ROW($CJ15)&amp;":"&amp;XLOOKUP(EP$3,'TTM Dates'!$B:$B,'TTM Dates'!$C:$C)&amp;ROW($CJ15))))</f>
        <v>0</v>
      </c>
      <c r="EQ15" s="136">
        <f t="array" ref="EQ15">IF(EQ$3&gt;'GAAP Summary'!$B$2,0,SUM(INDIRECT(XLOOKUP(EQ$3,'TTM Dates'!$B:$B,'TTM Dates'!$E:$E)&amp;ROW($CJ15)&amp;":"&amp;XLOOKUP(EQ$3,'TTM Dates'!$B:$B,'TTM Dates'!$C:$C)&amp;ROW($CJ15))))</f>
        <v>0</v>
      </c>
      <c r="ER15" s="136">
        <f t="array" ref="ER15">IF(ER$3&gt;'GAAP Summary'!$B$2,0,SUM(INDIRECT(XLOOKUP(ER$3,'TTM Dates'!$B:$B,'TTM Dates'!$E:$E)&amp;ROW($CJ15)&amp;":"&amp;XLOOKUP(ER$3,'TTM Dates'!$B:$B,'TTM Dates'!$C:$C)&amp;ROW($CJ15))))</f>
        <v>0</v>
      </c>
      <c r="ES15" s="136">
        <f t="array" ref="ES15">IF(ES$3&gt;'GAAP Summary'!$B$2,0,SUM(INDIRECT(XLOOKUP(ES$3,'TTM Dates'!$B:$B,'TTM Dates'!$E:$E)&amp;ROW($CJ15)&amp;":"&amp;XLOOKUP(ES$3,'TTM Dates'!$B:$B,'TTM Dates'!$C:$C)&amp;ROW($CJ15))))</f>
        <v>0</v>
      </c>
      <c r="ET15" s="136">
        <f t="array" ref="ET15">IF(ET$3&gt;'GAAP Summary'!$B$2,0,SUM(INDIRECT(XLOOKUP(ET$3,'TTM Dates'!$B:$B,'TTM Dates'!$E:$E)&amp;ROW($CJ15)&amp;":"&amp;XLOOKUP(ET$3,'TTM Dates'!$B:$B,'TTM Dates'!$C:$C)&amp;ROW($CJ15))))</f>
        <v>0</v>
      </c>
      <c r="EU15" s="136">
        <f t="array" ref="EU15">IF(EU$3&gt;'GAAP Summary'!$B$2,0,SUM(INDIRECT(XLOOKUP(EU$3,'TTM Dates'!$B:$B,'TTM Dates'!$E:$E)&amp;ROW($CJ15)&amp;":"&amp;XLOOKUP(EU$3,'TTM Dates'!$B:$B,'TTM Dates'!$C:$C)&amp;ROW($CJ15))))</f>
        <v>0</v>
      </c>
      <c r="EV15" s="136">
        <f t="array" ref="EV15">IF(EV$3&gt;'GAAP Summary'!$B$2,0,SUM(INDIRECT(XLOOKUP(EV$3,'TTM Dates'!$B:$B,'TTM Dates'!$E:$E)&amp;ROW($CJ15)&amp;":"&amp;XLOOKUP(EV$3,'TTM Dates'!$B:$B,'TTM Dates'!$C:$C)&amp;ROW($CJ15))))</f>
        <v>0</v>
      </c>
      <c r="EW15" s="136">
        <f t="array" ref="EW15">IF(EW$3&gt;'GAAP Summary'!$B$2,0,SUM(INDIRECT(XLOOKUP(EW$3,'TTM Dates'!$B:$B,'TTM Dates'!$E:$E)&amp;ROW($CJ15)&amp;":"&amp;XLOOKUP(EW$3,'TTM Dates'!$B:$B,'TTM Dates'!$C:$C)&amp;ROW($CJ15))))</f>
        <v>0</v>
      </c>
      <c r="EX15" s="136">
        <f t="array" ref="EX15">IF(EX$3&gt;'GAAP Summary'!$B$2,0,SUM(INDIRECT(XLOOKUP(EX$3,'TTM Dates'!$B:$B,'TTM Dates'!$E:$E)&amp;ROW($CJ15)&amp;":"&amp;XLOOKUP(EX$3,'TTM Dates'!$B:$B,'TTM Dates'!$C:$C)&amp;ROW($CJ15))))</f>
        <v>0</v>
      </c>
      <c r="EY15" s="136">
        <f t="array" ref="EY15">IF(EY$3&gt;'GAAP Summary'!$B$2,0,SUM(INDIRECT(XLOOKUP(EY$3,'TTM Dates'!$B:$B,'TTM Dates'!$E:$E)&amp;ROW($CJ15)&amp;":"&amp;XLOOKUP(EY$3,'TTM Dates'!$B:$B,'TTM Dates'!$C:$C)&amp;ROW($CJ15))))</f>
        <v>0</v>
      </c>
      <c r="EZ15" s="136">
        <f t="array" ref="EZ15">IF(EZ$3&gt;'GAAP Summary'!$B$2,0,SUM(INDIRECT(XLOOKUP(EZ$3,'TTM Dates'!$B:$B,'TTM Dates'!$E:$E)&amp;ROW($CJ15)&amp;":"&amp;XLOOKUP(EZ$3,'TTM Dates'!$B:$B,'TTM Dates'!$C:$C)&amp;ROW($CJ15))))</f>
        <v>0</v>
      </c>
      <c r="FA15" s="136">
        <f t="array" ref="FA15">IF(FA$3&gt;'GAAP Summary'!$B$2,0,SUM(INDIRECT(XLOOKUP(FA$3,'TTM Dates'!$B:$B,'TTM Dates'!$E:$E)&amp;ROW($CJ15)&amp;":"&amp;XLOOKUP(FA$3,'TTM Dates'!$B:$B,'TTM Dates'!$C:$C)&amp;ROW($CJ15))))</f>
        <v>0</v>
      </c>
      <c r="FB15" s="136">
        <f t="array" ref="FB15">IF(FB$3&gt;'GAAP Summary'!$B$2,0,SUM(INDIRECT(XLOOKUP(FB$3,'TTM Dates'!$B:$B,'TTM Dates'!$E:$E)&amp;ROW($CJ15)&amp;":"&amp;XLOOKUP(FB$3,'TTM Dates'!$B:$B,'TTM Dates'!$C:$C)&amp;ROW($CJ15))))</f>
        <v>0</v>
      </c>
      <c r="FC15" s="136">
        <f t="array" ref="FC15">IF(FC$3&gt;'GAAP Summary'!$B$2,0,SUM(INDIRECT(XLOOKUP(FC$3,'TTM Dates'!$B:$B,'TTM Dates'!$E:$E)&amp;ROW($CJ15)&amp;":"&amp;XLOOKUP(FC$3,'TTM Dates'!$B:$B,'TTM Dates'!$C:$C)&amp;ROW($CJ15))))</f>
        <v>830517.09</v>
      </c>
      <c r="FD15" s="136">
        <f t="array" ref="FD15">IF(FD$3&gt;'GAAP Summary'!$B$2,0,SUM(INDIRECT(XLOOKUP(FD$3,'TTM Dates'!$B:$B,'TTM Dates'!$E:$E)&amp;ROW($CJ15)&amp;":"&amp;XLOOKUP(FD$3,'TTM Dates'!$B:$B,'TTM Dates'!$C:$C)&amp;ROW($CJ15))))</f>
        <v>1797279.37</v>
      </c>
      <c r="FE15" s="136">
        <f t="array" ref="FE15">IF(FE$3&gt;'GAAP Summary'!$B$2,0,SUM(INDIRECT(XLOOKUP(FE$3,'TTM Dates'!$B:$B,'TTM Dates'!$E:$E)&amp;ROW($CJ15)&amp;":"&amp;XLOOKUP(FE$3,'TTM Dates'!$B:$B,'TTM Dates'!$C:$C)&amp;ROW($CJ15))))</f>
        <v>2821025.05</v>
      </c>
      <c r="FF15" s="136">
        <f t="array" ref="FF15">IF(FF$3&gt;'GAAP Summary'!$B$2,0,SUM(INDIRECT(XLOOKUP(FF$3,'TTM Dates'!$B:$B,'TTM Dates'!$E:$E)&amp;ROW($CJ15)&amp;":"&amp;XLOOKUP(FF$3,'TTM Dates'!$B:$B,'TTM Dates'!$C:$C)&amp;ROW($CJ15))))</f>
        <v>3700767.38</v>
      </c>
      <c r="FG15" s="136">
        <f t="array" ref="FG15">IF(FG$3&gt;'GAAP Summary'!$B$2,0,SUM(INDIRECT(XLOOKUP(FG$3,'TTM Dates'!$B:$B,'TTM Dates'!$E:$E)&amp;ROW($CJ15)&amp;":"&amp;XLOOKUP(FG$3,'TTM Dates'!$B:$B,'TTM Dates'!$C:$C)&amp;ROW($CJ15))))</f>
        <v>4372790.25</v>
      </c>
      <c r="FH15" s="136">
        <f t="array" ref="FH15">IF(FH$3&gt;'GAAP Summary'!$B$2,0,SUM(INDIRECT(XLOOKUP(FH$3,'TTM Dates'!$B:$B,'TTM Dates'!$E:$E)&amp;ROW($CJ15)&amp;":"&amp;XLOOKUP(FH$3,'TTM Dates'!$B:$B,'TTM Dates'!$C:$C)&amp;ROW($CJ15))))</f>
        <v>4994769.21</v>
      </c>
      <c r="FI15" s="136">
        <f t="array" ref="FI15">IF(FI$3&gt;'GAAP Summary'!$B$2,0,SUM(INDIRECT(XLOOKUP(FI$3,'TTM Dates'!$B:$B,'TTM Dates'!$E:$E)&amp;ROW($CJ15)&amp;":"&amp;XLOOKUP(FI$3,'TTM Dates'!$B:$B,'TTM Dates'!$C:$C)&amp;ROW($CJ15))))</f>
        <v>5731473.94</v>
      </c>
      <c r="FJ15" s="136">
        <f t="array" ref="FJ15">IF(FJ$3&gt;'GAAP Summary'!$B$2,0,SUM(INDIRECT(XLOOKUP(FJ$3,'TTM Dates'!$B:$B,'TTM Dates'!$E:$E)&amp;ROW($CJ15)&amp;":"&amp;XLOOKUP(FJ$3,'TTM Dates'!$B:$B,'TTM Dates'!$C:$C)&amp;ROW($CJ15))))</f>
        <v>6462458.48</v>
      </c>
      <c r="FK15" s="136">
        <f t="array" ref="FK15">IF(FK$3&gt;'GAAP Summary'!$B$2,0,SUM(INDIRECT(XLOOKUP(FK$3,'TTM Dates'!$B:$B,'TTM Dates'!$E:$E)&amp;ROW($CJ15)&amp;":"&amp;XLOOKUP(FK$3,'TTM Dates'!$B:$B,'TTM Dates'!$C:$C)&amp;ROW($CJ15))))</f>
        <v>7243982.02</v>
      </c>
      <c r="FL15" s="136">
        <f t="array" ref="FL15">IF(FL$3&gt;'GAAP Summary'!$B$2,0,SUM(INDIRECT(XLOOKUP(FL$3,'TTM Dates'!$B:$B,'TTM Dates'!$E:$E)&amp;ROW($CJ15)&amp;":"&amp;XLOOKUP(FL$3,'TTM Dates'!$B:$B,'TTM Dates'!$C:$C)&amp;ROW($CJ15))))</f>
        <v>8277961.28</v>
      </c>
      <c r="FM15" s="136">
        <f t="array" ref="FM15">IF(FM$3&gt;'GAAP Summary'!$B$2,0,SUM(INDIRECT(XLOOKUP(FM$3,'TTM Dates'!$B:$B,'TTM Dates'!$E:$E)&amp;ROW($CJ15)&amp;":"&amp;XLOOKUP(FM$3,'TTM Dates'!$B:$B,'TTM Dates'!$C:$C)&amp;ROW($CJ15))))</f>
        <v>9116994.55</v>
      </c>
      <c r="FN15" s="136">
        <f t="array" ref="FN15">IF(FN$3&gt;'GAAP Summary'!$B$2,0,SUM(INDIRECT(XLOOKUP(FN$3,'TTM Dates'!$B:$B,'TTM Dates'!$E:$E)&amp;ROW($CJ15)&amp;":"&amp;XLOOKUP(FN$3,'TTM Dates'!$B:$B,'TTM Dates'!$C:$C)&amp;ROW($CJ15))))</f>
        <v>9870387.17</v>
      </c>
      <c r="FO15" s="136">
        <f t="array" ref="FO15">IF(FO$3&gt;'GAAP Summary'!$B$2,0,SUM(INDIRECT(XLOOKUP(FO$3,'TTM Dates'!$B:$B,'TTM Dates'!$E:$E)&amp;ROW($CJ15)&amp;":"&amp;XLOOKUP(FO$3,'TTM Dates'!$B:$B,'TTM Dates'!$C:$C)&amp;ROW($CJ15))))</f>
        <v>9915264.08</v>
      </c>
      <c r="FP15" s="136">
        <f t="array" ref="FP15">IF(FP$3&gt;'GAAP Summary'!$B$2,0,SUM(INDIRECT(XLOOKUP(FP$3,'TTM Dates'!$B:$B,'TTM Dates'!$E:$E)&amp;ROW($CJ15)&amp;":"&amp;XLOOKUP(FP$3,'TTM Dates'!$B:$B,'TTM Dates'!$C:$C)&amp;ROW($CJ15))))</f>
        <v>9705829.8</v>
      </c>
      <c r="FQ15" s="136">
        <f t="array" ref="FQ15">IF(FQ$3&gt;'GAAP Summary'!$B$2,0,SUM(INDIRECT(XLOOKUP(FQ$3,'TTM Dates'!$B:$B,'TTM Dates'!$E:$E)&amp;ROW($CJ15)&amp;":"&amp;XLOOKUP(FQ$3,'TTM Dates'!$B:$B,'TTM Dates'!$C:$C)&amp;ROW($CJ15))))</f>
        <v>9295059.12</v>
      </c>
      <c r="FR15" s="136">
        <f t="array" ref="FR15">IF(FR$3&gt;'GAAP Summary'!$B$2,0,SUM(INDIRECT(XLOOKUP(FR$3,'TTM Dates'!$B:$B,'TTM Dates'!$E:$E)&amp;ROW($CJ15)&amp;":"&amp;XLOOKUP(FR$3,'TTM Dates'!$B:$B,'TTM Dates'!$C:$C)&amp;ROW($CJ15))))</f>
        <v>9194590.79</v>
      </c>
      <c r="FS15" s="136">
        <f t="array" ref="FS15">IF(FS$3&gt;'GAAP Summary'!$B$2,0,SUM(INDIRECT(XLOOKUP(FS$3,'TTM Dates'!$B:$B,'TTM Dates'!$E:$E)&amp;ROW($CJ15)&amp;":"&amp;XLOOKUP(FS$3,'TTM Dates'!$B:$B,'TTM Dates'!$C:$C)&amp;ROW($CJ15))))</f>
        <v>9246152.92</v>
      </c>
      <c r="FT15" s="136">
        <f t="array" ref="FT15">IF(FT$3&gt;'GAAP Summary'!$B$2,0,SUM(INDIRECT(XLOOKUP(FT$3,'TTM Dates'!$B:$B,'TTM Dates'!$E:$E)&amp;ROW($CJ15)&amp;":"&amp;XLOOKUP(FT$3,'TTM Dates'!$B:$B,'TTM Dates'!$C:$C)&amp;ROW($CJ15))))</f>
        <v>9315056.96</v>
      </c>
      <c r="FU15" s="136">
        <f t="array" ref="FU15">IF(FU$3&gt;'GAAP Summary'!$B$2,0,SUM(INDIRECT(XLOOKUP(FU$3,'TTM Dates'!$B:$B,'TTM Dates'!$E:$E)&amp;ROW($CJ15)&amp;":"&amp;XLOOKUP(FU$3,'TTM Dates'!$B:$B,'TTM Dates'!$C:$C)&amp;ROW($CJ15))))</f>
        <v>9274699.23</v>
      </c>
      <c r="FV15" s="136">
        <f t="array" ref="FV15">IF(FV$3&gt;'GAAP Summary'!$B$2,0,SUM(INDIRECT(XLOOKUP(FV$3,'TTM Dates'!$B:$B,'TTM Dates'!$E:$E)&amp;ROW($CJ15)&amp;":"&amp;XLOOKUP(FV$3,'TTM Dates'!$B:$B,'TTM Dates'!$C:$C)&amp;ROW($CJ15))))</f>
        <v>9267764.69</v>
      </c>
      <c r="FW15" s="136">
        <f t="array" ref="FW15">IF(FW$3&gt;'GAAP Summary'!$B$2,0,SUM(INDIRECT(XLOOKUP(FW$3,'TTM Dates'!$B:$B,'TTM Dates'!$E:$E)&amp;ROW($CJ15)&amp;":"&amp;XLOOKUP(FW$3,'TTM Dates'!$B:$B,'TTM Dates'!$C:$C)&amp;ROW($CJ15))))</f>
        <v>9314185.16</v>
      </c>
      <c r="FX15" s="136">
        <f t="array" ref="FX15">IF(FX$3&gt;'GAAP Summary'!$B$2,0,SUM(INDIRECT(XLOOKUP(FX$3,'TTM Dates'!$B:$B,'TTM Dates'!$E:$E)&amp;ROW($CJ15)&amp;":"&amp;XLOOKUP(FX$3,'TTM Dates'!$B:$B,'TTM Dates'!$C:$C)&amp;ROW($CJ15))))</f>
        <v>9038764.1</v>
      </c>
      <c r="FY15" s="136">
        <f t="array" ref="FY15">IF(FY$3&gt;'GAAP Summary'!$B$2,0,SUM(INDIRECT(XLOOKUP(FY$3,'TTM Dates'!$B:$B,'TTM Dates'!$E:$E)&amp;ROW($CJ15)&amp;":"&amp;XLOOKUP(FY$3,'TTM Dates'!$B:$B,'TTM Dates'!$C:$C)&amp;ROW($CJ15))))</f>
        <v>8914888.67</v>
      </c>
      <c r="FZ15" s="136">
        <f t="array" ref="FZ15">IF(FZ$3&gt;'GAAP Summary'!$B$2,0,SUM(INDIRECT(XLOOKUP(FZ$3,'TTM Dates'!$B:$B,'TTM Dates'!$E:$E)&amp;ROW($CJ15)&amp;":"&amp;XLOOKUP(FZ$3,'TTM Dates'!$B:$B,'TTM Dates'!$C:$C)&amp;ROW($CJ15))))</f>
        <v>8936672.67</v>
      </c>
      <c r="GA15" s="136">
        <f t="array" ref="GA15">IF(GA$3&gt;'GAAP Summary'!$B$2,0,SUM(INDIRECT(XLOOKUP(GA$3,'TTM Dates'!$B:$B,'TTM Dates'!$E:$E)&amp;ROW($CJ15)&amp;":"&amp;XLOOKUP(GA$3,'TTM Dates'!$B:$B,'TTM Dates'!$C:$C)&amp;ROW($CJ15))))</f>
        <v>8937968.66</v>
      </c>
      <c r="GB15" s="136">
        <f t="array" ref="GB15">IF(GB$3&gt;'GAAP Summary'!$B$2,0,SUM(INDIRECT(XLOOKUP(GB$3,'TTM Dates'!$B:$B,'TTM Dates'!$E:$E)&amp;ROW($CJ15)&amp;":"&amp;XLOOKUP(GB$3,'TTM Dates'!$B:$B,'TTM Dates'!$C:$C)&amp;ROW($CJ15))))</f>
        <v>9111606.36</v>
      </c>
      <c r="GC15" s="136">
        <f t="array" ref="GC15">IF(GC$3&gt;'GAAP Summary'!$B$2,0,SUM(INDIRECT(XLOOKUP(GC$3,'TTM Dates'!$B:$B,'TTM Dates'!$E:$E)&amp;ROW($CJ15)&amp;":"&amp;XLOOKUP(GC$3,'TTM Dates'!$B:$B,'TTM Dates'!$C:$C)&amp;ROW($CJ15))))</f>
        <v>9433570.89</v>
      </c>
      <c r="GD15" s="136">
        <f t="array" ref="GD15">IF(GD$3&gt;'GAAP Summary'!$B$2,0,SUM(INDIRECT(XLOOKUP(GD$3,'TTM Dates'!$B:$B,'TTM Dates'!$E:$E)&amp;ROW($CJ15)&amp;":"&amp;XLOOKUP(GD$3,'TTM Dates'!$B:$B,'TTM Dates'!$C:$C)&amp;ROW($CJ15))))</f>
        <v>9861719.15</v>
      </c>
      <c r="GE15" s="136">
        <f t="array" ref="GE15">IF(GE$3&gt;'GAAP Summary'!$B$2,0,SUM(INDIRECT(XLOOKUP(GE$3,'TTM Dates'!$B:$B,'TTM Dates'!$E:$E)&amp;ROW($CJ15)&amp;":"&amp;XLOOKUP(GE$3,'TTM Dates'!$B:$B,'TTM Dates'!$C:$C)&amp;ROW($CJ15))))</f>
        <v>10561987.57</v>
      </c>
      <c r="GF15" s="136">
        <f t="array" ref="GF15">IF(GF$3&gt;'GAAP Summary'!$B$2,0,SUM(INDIRECT(XLOOKUP(GF$3,'TTM Dates'!$B:$B,'TTM Dates'!$E:$E)&amp;ROW($CJ15)&amp;":"&amp;XLOOKUP(GF$3,'TTM Dates'!$B:$B,'TTM Dates'!$C:$C)&amp;ROW($CJ15))))</f>
        <v>10879835.49</v>
      </c>
      <c r="GG15" s="136">
        <f t="array" ref="GG15">IF(GG$3&gt;'GAAP Summary'!$B$2,0,SUM(INDIRECT(XLOOKUP(GG$3,'TTM Dates'!$B:$B,'TTM Dates'!$E:$E)&amp;ROW($CJ15)&amp;":"&amp;XLOOKUP(GG$3,'TTM Dates'!$B:$B,'TTM Dates'!$C:$C)&amp;ROW($CJ15))))</f>
        <v>0</v>
      </c>
      <c r="GH15" s="136">
        <f t="array" ref="GH15">IF(GH$3&gt;'GAAP Summary'!$B$2,0,SUM(INDIRECT(XLOOKUP(GH$3,'TTM Dates'!$B:$B,'TTM Dates'!$E:$E)&amp;ROW($CJ15)&amp;":"&amp;XLOOKUP(GH$3,'TTM Dates'!$B:$B,'TTM Dates'!$C:$C)&amp;ROW($CJ15))))</f>
        <v>0</v>
      </c>
      <c r="GI15" s="136">
        <f t="array" ref="GI15">IF(GI$3&gt;'GAAP Summary'!$B$2,0,SUM(INDIRECT(XLOOKUP(GI$3,'TTM Dates'!$B:$B,'TTM Dates'!$E:$E)&amp;ROW($CJ15)&amp;":"&amp;XLOOKUP(GI$3,'TTM Dates'!$B:$B,'TTM Dates'!$C:$C)&amp;ROW($CJ15))))</f>
        <v>0</v>
      </c>
      <c r="GJ15" s="136">
        <f t="array" ref="GJ15">IF(GJ$3&gt;'GAAP Summary'!$B$2,0,SUM(INDIRECT(XLOOKUP(GJ$3,'TTM Dates'!$B:$B,'TTM Dates'!$E:$E)&amp;ROW($CJ15)&amp;":"&amp;XLOOKUP(GJ$3,'TTM Dates'!$B:$B,'TTM Dates'!$C:$C)&amp;ROW($CJ15))))</f>
        <v>0</v>
      </c>
      <c r="GK15" s="136">
        <f t="array" ref="GK15">IF(GK$3&gt;'GAAP Summary'!$B$2,0,SUM(INDIRECT(XLOOKUP(GK$3,'TTM Dates'!$B:$B,'TTM Dates'!$E:$E)&amp;ROW($CJ15)&amp;":"&amp;XLOOKUP(GK$3,'TTM Dates'!$B:$B,'TTM Dates'!$C:$C)&amp;ROW($CJ15))))</f>
        <v>0</v>
      </c>
      <c r="GL15" s="136">
        <f t="array" ref="GL15">IF(GL$3&gt;'GAAP Summary'!$B$2,0,SUM(INDIRECT(XLOOKUP(GL$3,'TTM Dates'!$B:$B,'TTM Dates'!$E:$E)&amp;ROW($CJ15)&amp;":"&amp;XLOOKUP(GL$3,'TTM Dates'!$B:$B,'TTM Dates'!$C:$C)&amp;ROW($CJ15))))</f>
        <v>0</v>
      </c>
      <c r="GM15" s="136"/>
    </row>
    <row r="16" outlineLevel="1">
      <c r="B16" s="135" t="s">
        <v>322</v>
      </c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>
        <v>80743.0</v>
      </c>
      <c r="AZ16" s="294">
        <v>79623.0</v>
      </c>
      <c r="BA16" s="145">
        <v>81376.0</v>
      </c>
      <c r="BB16" s="137">
        <v>72606.0</v>
      </c>
      <c r="BC16" s="137">
        <v>79646.0</v>
      </c>
      <c r="BD16" s="137">
        <v>72514.0</v>
      </c>
      <c r="BE16" s="137">
        <v>74182.0</v>
      </c>
      <c r="BF16" s="137">
        <v>74307.0</v>
      </c>
      <c r="BG16" s="137">
        <v>75211.0</v>
      </c>
      <c r="BH16" s="137">
        <v>87133.0</v>
      </c>
      <c r="BI16" s="137">
        <v>86683.0</v>
      </c>
      <c r="BJ16" s="137">
        <v>86797.0</v>
      </c>
      <c r="BK16" s="295">
        <v>127809.0</v>
      </c>
      <c r="BL16" s="294">
        <v>84064.0</v>
      </c>
      <c r="BM16" s="145">
        <v>93790.0</v>
      </c>
      <c r="BN16" s="145">
        <v>77607.0</v>
      </c>
      <c r="BO16" s="137">
        <v>48652.0</v>
      </c>
      <c r="BP16" s="137">
        <v>45404.0</v>
      </c>
      <c r="BQ16" s="295">
        <v>50745.93</v>
      </c>
      <c r="BR16" s="137">
        <v>66270.69</v>
      </c>
      <c r="BS16" s="137">
        <v>69253.69</v>
      </c>
      <c r="BT16" s="145">
        <v>69413.5</v>
      </c>
      <c r="BU16" s="137">
        <v>95773.09</v>
      </c>
      <c r="BV16" s="137">
        <v>70032.69</v>
      </c>
      <c r="BW16" s="137">
        <v>84906.83</v>
      </c>
      <c r="BX16" s="137">
        <v>89329.83</v>
      </c>
      <c r="BY16" s="137">
        <v>87046.32</v>
      </c>
      <c r="BZ16" s="137">
        <v>81991.83</v>
      </c>
      <c r="CA16" s="137">
        <v>86060.79</v>
      </c>
      <c r="CB16" s="137">
        <v>78619.8</v>
      </c>
      <c r="CC16" s="54"/>
      <c r="CD16" s="54"/>
      <c r="CE16" s="54"/>
      <c r="CF16" s="54"/>
      <c r="CG16" s="54"/>
      <c r="CH16" s="54"/>
      <c r="CI16" s="33"/>
      <c r="CJ16" s="33"/>
      <c r="CK16" s="303">
        <f t="array" ref="CK16">SUM(INDIRECT(XLOOKUP('GAAP Summary'!$B$2,'TTM Dates'!$B:$B,'TTM Dates'!$E:$E)&amp;ROW($CJ16)&amp;":"&amp;XLOOKUP('GAAP Summary'!$B$2,'TTM Dates'!$B:$B,'TTM Dates'!$C:$C)&amp;ROW($CJ16)))</f>
        <v>929444.99</v>
      </c>
      <c r="CL16" s="136"/>
      <c r="CM16" s="141">
        <f t="shared" si="39"/>
        <v>261282.98</v>
      </c>
      <c r="CN16" s="141">
        <f t="shared" si="40"/>
        <v>246672.42</v>
      </c>
      <c r="CO16" s="141">
        <f t="shared" si="41"/>
        <v>0</v>
      </c>
      <c r="CP16" s="141">
        <f t="shared" si="42"/>
        <v>0</v>
      </c>
      <c r="CQ16" s="140">
        <f t="shared" si="43"/>
        <v>507955.4</v>
      </c>
      <c r="CR16" s="137"/>
      <c r="CS16" s="137">
        <f t="shared" si="44"/>
        <v>305663</v>
      </c>
      <c r="CT16" s="137">
        <f t="shared" si="45"/>
        <v>171663</v>
      </c>
      <c r="CU16" s="137">
        <f t="shared" si="46"/>
        <v>186270.31</v>
      </c>
      <c r="CV16" s="137">
        <f t="shared" si="47"/>
        <v>235219.28</v>
      </c>
      <c r="CW16" s="142">
        <f t="shared" si="48"/>
        <v>898815.59</v>
      </c>
      <c r="CX16" s="136"/>
      <c r="CY16" s="137">
        <f t="shared" si="49"/>
        <v>241742</v>
      </c>
      <c r="CZ16" s="137">
        <f t="shared" si="50"/>
        <v>224766</v>
      </c>
      <c r="DA16" s="137">
        <f t="shared" si="51"/>
        <v>223700</v>
      </c>
      <c r="DB16" s="137">
        <f t="shared" si="52"/>
        <v>260613</v>
      </c>
      <c r="DC16" s="142">
        <f t="shared" si="53"/>
        <v>950821</v>
      </c>
      <c r="DD16" s="136"/>
      <c r="DE16" s="136">
        <f t="shared" si="54"/>
        <v>0</v>
      </c>
      <c r="DF16" s="136">
        <f t="shared" si="55"/>
        <v>0</v>
      </c>
      <c r="DG16" s="136">
        <f t="shared" si="56"/>
        <v>0</v>
      </c>
      <c r="DH16" s="136">
        <f t="shared" si="57"/>
        <v>0</v>
      </c>
      <c r="DI16" s="292">
        <f t="shared" si="58"/>
        <v>0</v>
      </c>
      <c r="DJ16" s="284"/>
      <c r="DK16" s="137">
        <f t="shared" si="59"/>
        <v>0</v>
      </c>
      <c r="DL16" s="137">
        <f t="shared" si="60"/>
        <v>0</v>
      </c>
      <c r="DM16" s="137">
        <f t="shared" si="61"/>
        <v>0</v>
      </c>
      <c r="DN16" s="137">
        <f t="shared" si="62"/>
        <v>0</v>
      </c>
      <c r="DO16" s="142">
        <f t="shared" si="63"/>
        <v>0</v>
      </c>
      <c r="DP16" s="284"/>
      <c r="DQ16" s="292"/>
      <c r="DR16" s="284"/>
      <c r="DS16" s="136">
        <f t="array" ref="DS16">IF(DS$3&gt;'GAAP Summary'!$B$2,0,SUM(INDIRECT(XLOOKUP(DS$3,'TTM Dates'!$B:$B,'TTM Dates'!$E:$E)&amp;ROW($CJ16)&amp;":"&amp;XLOOKUP(DS$3,'TTM Dates'!$B:$B,'TTM Dates'!$C:$C)&amp;ROW($CJ16))))</f>
        <v>0</v>
      </c>
      <c r="DT16" s="136">
        <f t="array" ref="DT16">IF(DT$3&gt;'GAAP Summary'!$B$2,0,SUM(INDIRECT(XLOOKUP(DT$3,'TTM Dates'!$B:$B,'TTM Dates'!$E:$E)&amp;ROW($CJ16)&amp;":"&amp;XLOOKUP(DT$3,'TTM Dates'!$B:$B,'TTM Dates'!$C:$C)&amp;ROW($CJ16))))</f>
        <v>0</v>
      </c>
      <c r="DU16" s="136">
        <f t="array" ref="DU16">IF(DU$3&gt;'GAAP Summary'!$B$2,0,SUM(INDIRECT(XLOOKUP(DU$3,'TTM Dates'!$B:$B,'TTM Dates'!$E:$E)&amp;ROW($CJ16)&amp;":"&amp;XLOOKUP(DU$3,'TTM Dates'!$B:$B,'TTM Dates'!$C:$C)&amp;ROW($CJ16))))</f>
        <v>0</v>
      </c>
      <c r="DV16" s="136">
        <f t="array" ref="DV16">IF(DV$3&gt;'GAAP Summary'!$B$2,0,SUM(INDIRECT(XLOOKUP(DV$3,'TTM Dates'!$B:$B,'TTM Dates'!$E:$E)&amp;ROW($CJ16)&amp;":"&amp;XLOOKUP(DV$3,'TTM Dates'!$B:$B,'TTM Dates'!$C:$C)&amp;ROW($CJ16))))</f>
        <v>0</v>
      </c>
      <c r="DW16" s="136">
        <f t="array" ref="DW16">IF(DW$3&gt;'GAAP Summary'!$B$2,0,SUM(INDIRECT(XLOOKUP(DW$3,'TTM Dates'!$B:$B,'TTM Dates'!$E:$E)&amp;ROW($CJ16)&amp;":"&amp;XLOOKUP(DW$3,'TTM Dates'!$B:$B,'TTM Dates'!$C:$C)&amp;ROW($CJ16))))</f>
        <v>0</v>
      </c>
      <c r="DX16" s="136">
        <f t="array" ref="DX16">IF(DX$3&gt;'GAAP Summary'!$B$2,0,SUM(INDIRECT(XLOOKUP(DX$3,'TTM Dates'!$B:$B,'TTM Dates'!$E:$E)&amp;ROW($CJ16)&amp;":"&amp;XLOOKUP(DX$3,'TTM Dates'!$B:$B,'TTM Dates'!$C:$C)&amp;ROW($CJ16))))</f>
        <v>0</v>
      </c>
      <c r="DY16" s="136">
        <f t="array" ref="DY16">IF(DY$3&gt;'GAAP Summary'!$B$2,0,SUM(INDIRECT(XLOOKUP(DY$3,'TTM Dates'!$B:$B,'TTM Dates'!$E:$E)&amp;ROW($CJ16)&amp;":"&amp;XLOOKUP(DY$3,'TTM Dates'!$B:$B,'TTM Dates'!$C:$C)&amp;ROW($CJ16))))</f>
        <v>0</v>
      </c>
      <c r="DZ16" s="136">
        <f t="array" ref="DZ16">IF(DZ$3&gt;'GAAP Summary'!$B$2,0,SUM(INDIRECT(XLOOKUP(DZ$3,'TTM Dates'!$B:$B,'TTM Dates'!$E:$E)&amp;ROW($CJ16)&amp;":"&amp;XLOOKUP(DZ$3,'TTM Dates'!$B:$B,'TTM Dates'!$C:$C)&amp;ROW($CJ16))))</f>
        <v>0</v>
      </c>
      <c r="EA16" s="136">
        <f t="array" ref="EA16">IF(EA$3&gt;'GAAP Summary'!$B$2,0,SUM(INDIRECT(XLOOKUP(EA$3,'TTM Dates'!$B:$B,'TTM Dates'!$E:$E)&amp;ROW($CJ16)&amp;":"&amp;XLOOKUP(EA$3,'TTM Dates'!$B:$B,'TTM Dates'!$C:$C)&amp;ROW($CJ16))))</f>
        <v>0</v>
      </c>
      <c r="EB16" s="136">
        <f t="array" ref="EB16">IF(EB$3&gt;'GAAP Summary'!$B$2,0,SUM(INDIRECT(XLOOKUP(EB$3,'TTM Dates'!$B:$B,'TTM Dates'!$E:$E)&amp;ROW($CJ16)&amp;":"&amp;XLOOKUP(EB$3,'TTM Dates'!$B:$B,'TTM Dates'!$C:$C)&amp;ROW($CJ16))))</f>
        <v>0</v>
      </c>
      <c r="EC16" s="136">
        <f t="array" ref="EC16">IF(EC$3&gt;'GAAP Summary'!$B$2,0,SUM(INDIRECT(XLOOKUP(EC$3,'TTM Dates'!$B:$B,'TTM Dates'!$E:$E)&amp;ROW($CJ16)&amp;":"&amp;XLOOKUP(EC$3,'TTM Dates'!$B:$B,'TTM Dates'!$C:$C)&amp;ROW($CJ16))))</f>
        <v>0</v>
      </c>
      <c r="ED16" s="136">
        <f t="array" ref="ED16">IF(ED$3&gt;'GAAP Summary'!$B$2,0,SUM(INDIRECT(XLOOKUP(ED$3,'TTM Dates'!$B:$B,'TTM Dates'!$E:$E)&amp;ROW($CJ16)&amp;":"&amp;XLOOKUP(ED$3,'TTM Dates'!$B:$B,'TTM Dates'!$C:$C)&amp;ROW($CJ16))))</f>
        <v>0</v>
      </c>
      <c r="EE16" s="136">
        <f t="array" ref="EE16">IF(EE$3&gt;'GAAP Summary'!$B$2,0,SUM(INDIRECT(XLOOKUP(EE$3,'TTM Dates'!$B:$B,'TTM Dates'!$E:$E)&amp;ROW($CJ16)&amp;":"&amp;XLOOKUP(EE$3,'TTM Dates'!$B:$B,'TTM Dates'!$C:$C)&amp;ROW($CJ16))))</f>
        <v>0</v>
      </c>
      <c r="EF16" s="136">
        <f t="array" ref="EF16">IF(EF$3&gt;'GAAP Summary'!$B$2,0,SUM(INDIRECT(XLOOKUP(EF$3,'TTM Dates'!$B:$B,'TTM Dates'!$E:$E)&amp;ROW($CJ16)&amp;":"&amp;XLOOKUP(EF$3,'TTM Dates'!$B:$B,'TTM Dates'!$C:$C)&amp;ROW($CJ16))))</f>
        <v>0</v>
      </c>
      <c r="EG16" s="136">
        <f t="array" ref="EG16">IF(EG$3&gt;'GAAP Summary'!$B$2,0,SUM(INDIRECT(XLOOKUP(EG$3,'TTM Dates'!$B:$B,'TTM Dates'!$E:$E)&amp;ROW($CJ16)&amp;":"&amp;XLOOKUP(EG$3,'TTM Dates'!$B:$B,'TTM Dates'!$C:$C)&amp;ROW($CJ16))))</f>
        <v>0</v>
      </c>
      <c r="EH16" s="136">
        <f t="array" ref="EH16">IF(EH$3&gt;'GAAP Summary'!$B$2,0,SUM(INDIRECT(XLOOKUP(EH$3,'TTM Dates'!$B:$B,'TTM Dates'!$E:$E)&amp;ROW($CJ16)&amp;":"&amp;XLOOKUP(EH$3,'TTM Dates'!$B:$B,'TTM Dates'!$C:$C)&amp;ROW($CJ16))))</f>
        <v>0</v>
      </c>
      <c r="EI16" s="136">
        <f t="array" ref="EI16">IF(EI$3&gt;'GAAP Summary'!$B$2,0,SUM(INDIRECT(XLOOKUP(EI$3,'TTM Dates'!$B:$B,'TTM Dates'!$E:$E)&amp;ROW($CJ16)&amp;":"&amp;XLOOKUP(EI$3,'TTM Dates'!$B:$B,'TTM Dates'!$C:$C)&amp;ROW($CJ16))))</f>
        <v>0</v>
      </c>
      <c r="EJ16" s="136">
        <f t="array" ref="EJ16">IF(EJ$3&gt;'GAAP Summary'!$B$2,0,SUM(INDIRECT(XLOOKUP(EJ$3,'TTM Dates'!$B:$B,'TTM Dates'!$E:$E)&amp;ROW($CJ16)&amp;":"&amp;XLOOKUP(EJ$3,'TTM Dates'!$B:$B,'TTM Dates'!$C:$C)&amp;ROW($CJ16))))</f>
        <v>0</v>
      </c>
      <c r="EK16" s="136">
        <f t="array" ref="EK16">IF(EK$3&gt;'GAAP Summary'!$B$2,0,SUM(INDIRECT(XLOOKUP(EK$3,'TTM Dates'!$B:$B,'TTM Dates'!$E:$E)&amp;ROW($CJ16)&amp;":"&amp;XLOOKUP(EK$3,'TTM Dates'!$B:$B,'TTM Dates'!$C:$C)&amp;ROW($CJ16))))</f>
        <v>0</v>
      </c>
      <c r="EL16" s="136">
        <f t="array" ref="EL16">IF(EL$3&gt;'GAAP Summary'!$B$2,0,SUM(INDIRECT(XLOOKUP(EL$3,'TTM Dates'!$B:$B,'TTM Dates'!$E:$E)&amp;ROW($CJ16)&amp;":"&amp;XLOOKUP(EL$3,'TTM Dates'!$B:$B,'TTM Dates'!$C:$C)&amp;ROW($CJ16))))</f>
        <v>0</v>
      </c>
      <c r="EM16" s="136">
        <f t="array" ref="EM16">IF(EM$3&gt;'GAAP Summary'!$B$2,0,SUM(INDIRECT(XLOOKUP(EM$3,'TTM Dates'!$B:$B,'TTM Dates'!$E:$E)&amp;ROW($CJ16)&amp;":"&amp;XLOOKUP(EM$3,'TTM Dates'!$B:$B,'TTM Dates'!$C:$C)&amp;ROW($CJ16))))</f>
        <v>0</v>
      </c>
      <c r="EN16" s="136">
        <f t="array" ref="EN16">IF(EN$3&gt;'GAAP Summary'!$B$2,0,SUM(INDIRECT(XLOOKUP(EN$3,'TTM Dates'!$B:$B,'TTM Dates'!$E:$E)&amp;ROW($CJ16)&amp;":"&amp;XLOOKUP(EN$3,'TTM Dates'!$B:$B,'TTM Dates'!$C:$C)&amp;ROW($CJ16))))</f>
        <v>0</v>
      </c>
      <c r="EO16" s="136">
        <f t="array" ref="EO16">IF(EO$3&gt;'GAAP Summary'!$B$2,0,SUM(INDIRECT(XLOOKUP(EO$3,'TTM Dates'!$B:$B,'TTM Dates'!$E:$E)&amp;ROW($CJ16)&amp;":"&amp;XLOOKUP(EO$3,'TTM Dates'!$B:$B,'TTM Dates'!$C:$C)&amp;ROW($CJ16))))</f>
        <v>0</v>
      </c>
      <c r="EP16" s="136">
        <f t="array" ref="EP16">IF(EP$3&gt;'GAAP Summary'!$B$2,0,SUM(INDIRECT(XLOOKUP(EP$3,'TTM Dates'!$B:$B,'TTM Dates'!$E:$E)&amp;ROW($CJ16)&amp;":"&amp;XLOOKUP(EP$3,'TTM Dates'!$B:$B,'TTM Dates'!$C:$C)&amp;ROW($CJ16))))</f>
        <v>0</v>
      </c>
      <c r="EQ16" s="136">
        <f t="array" ref="EQ16">IF(EQ$3&gt;'GAAP Summary'!$B$2,0,SUM(INDIRECT(XLOOKUP(EQ$3,'TTM Dates'!$B:$B,'TTM Dates'!$E:$E)&amp;ROW($CJ16)&amp;":"&amp;XLOOKUP(EQ$3,'TTM Dates'!$B:$B,'TTM Dates'!$C:$C)&amp;ROW($CJ16))))</f>
        <v>0</v>
      </c>
      <c r="ER16" s="136">
        <f t="array" ref="ER16">IF(ER$3&gt;'GAAP Summary'!$B$2,0,SUM(INDIRECT(XLOOKUP(ER$3,'TTM Dates'!$B:$B,'TTM Dates'!$E:$E)&amp;ROW($CJ16)&amp;":"&amp;XLOOKUP(ER$3,'TTM Dates'!$B:$B,'TTM Dates'!$C:$C)&amp;ROW($CJ16))))</f>
        <v>0</v>
      </c>
      <c r="ES16" s="136">
        <f t="array" ref="ES16">IF(ES$3&gt;'GAAP Summary'!$B$2,0,SUM(INDIRECT(XLOOKUP(ES$3,'TTM Dates'!$B:$B,'TTM Dates'!$E:$E)&amp;ROW($CJ16)&amp;":"&amp;XLOOKUP(ES$3,'TTM Dates'!$B:$B,'TTM Dates'!$C:$C)&amp;ROW($CJ16))))</f>
        <v>0</v>
      </c>
      <c r="ET16" s="136">
        <f t="array" ref="ET16">IF(ET$3&gt;'GAAP Summary'!$B$2,0,SUM(INDIRECT(XLOOKUP(ET$3,'TTM Dates'!$B:$B,'TTM Dates'!$E:$E)&amp;ROW($CJ16)&amp;":"&amp;XLOOKUP(ET$3,'TTM Dates'!$B:$B,'TTM Dates'!$C:$C)&amp;ROW($CJ16))))</f>
        <v>0</v>
      </c>
      <c r="EU16" s="136">
        <f t="array" ref="EU16">IF(EU$3&gt;'GAAP Summary'!$B$2,0,SUM(INDIRECT(XLOOKUP(EU$3,'TTM Dates'!$B:$B,'TTM Dates'!$E:$E)&amp;ROW($CJ16)&amp;":"&amp;XLOOKUP(EU$3,'TTM Dates'!$B:$B,'TTM Dates'!$C:$C)&amp;ROW($CJ16))))</f>
        <v>0</v>
      </c>
      <c r="EV16" s="136">
        <f t="array" ref="EV16">IF(EV$3&gt;'GAAP Summary'!$B$2,0,SUM(INDIRECT(XLOOKUP(EV$3,'TTM Dates'!$B:$B,'TTM Dates'!$E:$E)&amp;ROW($CJ16)&amp;":"&amp;XLOOKUP(EV$3,'TTM Dates'!$B:$B,'TTM Dates'!$C:$C)&amp;ROW($CJ16))))</f>
        <v>0</v>
      </c>
      <c r="EW16" s="136">
        <f t="array" ref="EW16">IF(EW$3&gt;'GAAP Summary'!$B$2,0,SUM(INDIRECT(XLOOKUP(EW$3,'TTM Dates'!$B:$B,'TTM Dates'!$E:$E)&amp;ROW($CJ16)&amp;":"&amp;XLOOKUP(EW$3,'TTM Dates'!$B:$B,'TTM Dates'!$C:$C)&amp;ROW($CJ16))))</f>
        <v>0</v>
      </c>
      <c r="EX16" s="136">
        <f t="array" ref="EX16">IF(EX$3&gt;'GAAP Summary'!$B$2,0,SUM(INDIRECT(XLOOKUP(EX$3,'TTM Dates'!$B:$B,'TTM Dates'!$E:$E)&amp;ROW($CJ16)&amp;":"&amp;XLOOKUP(EX$3,'TTM Dates'!$B:$B,'TTM Dates'!$C:$C)&amp;ROW($CJ16))))</f>
        <v>0</v>
      </c>
      <c r="EY16" s="136">
        <f t="array" ref="EY16">IF(EY$3&gt;'GAAP Summary'!$B$2,0,SUM(INDIRECT(XLOOKUP(EY$3,'TTM Dates'!$B:$B,'TTM Dates'!$E:$E)&amp;ROW($CJ16)&amp;":"&amp;XLOOKUP(EY$3,'TTM Dates'!$B:$B,'TTM Dates'!$C:$C)&amp;ROW($CJ16))))</f>
        <v>0</v>
      </c>
      <c r="EZ16" s="136">
        <f t="array" ref="EZ16">IF(EZ$3&gt;'GAAP Summary'!$B$2,0,SUM(INDIRECT(XLOOKUP(EZ$3,'TTM Dates'!$B:$B,'TTM Dates'!$E:$E)&amp;ROW($CJ16)&amp;":"&amp;XLOOKUP(EZ$3,'TTM Dates'!$B:$B,'TTM Dates'!$C:$C)&amp;ROW($CJ16))))</f>
        <v>0</v>
      </c>
      <c r="FA16" s="136">
        <f t="array" ref="FA16">IF(FA$3&gt;'GAAP Summary'!$B$2,0,SUM(INDIRECT(XLOOKUP(FA$3,'TTM Dates'!$B:$B,'TTM Dates'!$E:$E)&amp;ROW($CJ16)&amp;":"&amp;XLOOKUP(FA$3,'TTM Dates'!$B:$B,'TTM Dates'!$C:$C)&amp;ROW($CJ16))))</f>
        <v>0</v>
      </c>
      <c r="FB16" s="136">
        <f t="array" ref="FB16">IF(FB$3&gt;'GAAP Summary'!$B$2,0,SUM(INDIRECT(XLOOKUP(FB$3,'TTM Dates'!$B:$B,'TTM Dates'!$E:$E)&amp;ROW($CJ16)&amp;":"&amp;XLOOKUP(FB$3,'TTM Dates'!$B:$B,'TTM Dates'!$C:$C)&amp;ROW($CJ16))))</f>
        <v>0</v>
      </c>
      <c r="FC16" s="136">
        <f t="array" ref="FC16">IF(FC$3&gt;'GAAP Summary'!$B$2,0,SUM(INDIRECT(XLOOKUP(FC$3,'TTM Dates'!$B:$B,'TTM Dates'!$E:$E)&amp;ROW($CJ16)&amp;":"&amp;XLOOKUP(FC$3,'TTM Dates'!$B:$B,'TTM Dates'!$C:$C)&amp;ROW($CJ16))))</f>
        <v>80743</v>
      </c>
      <c r="FD16" s="136">
        <f t="array" ref="FD16">IF(FD$3&gt;'GAAP Summary'!$B$2,0,SUM(INDIRECT(XLOOKUP(FD$3,'TTM Dates'!$B:$B,'TTM Dates'!$E:$E)&amp;ROW($CJ16)&amp;":"&amp;XLOOKUP(FD$3,'TTM Dates'!$B:$B,'TTM Dates'!$C:$C)&amp;ROW($CJ16))))</f>
        <v>160366</v>
      </c>
      <c r="FE16" s="136">
        <f t="array" ref="FE16">IF(FE$3&gt;'GAAP Summary'!$B$2,0,SUM(INDIRECT(XLOOKUP(FE$3,'TTM Dates'!$B:$B,'TTM Dates'!$E:$E)&amp;ROW($CJ16)&amp;":"&amp;XLOOKUP(FE$3,'TTM Dates'!$B:$B,'TTM Dates'!$C:$C)&amp;ROW($CJ16))))</f>
        <v>241742</v>
      </c>
      <c r="FF16" s="136">
        <f t="array" ref="FF16">IF(FF$3&gt;'GAAP Summary'!$B$2,0,SUM(INDIRECT(XLOOKUP(FF$3,'TTM Dates'!$B:$B,'TTM Dates'!$E:$E)&amp;ROW($CJ16)&amp;":"&amp;XLOOKUP(FF$3,'TTM Dates'!$B:$B,'TTM Dates'!$C:$C)&amp;ROW($CJ16))))</f>
        <v>314348</v>
      </c>
      <c r="FG16" s="136">
        <f t="array" ref="FG16">IF(FG$3&gt;'GAAP Summary'!$B$2,0,SUM(INDIRECT(XLOOKUP(FG$3,'TTM Dates'!$B:$B,'TTM Dates'!$E:$E)&amp;ROW($CJ16)&amp;":"&amp;XLOOKUP(FG$3,'TTM Dates'!$B:$B,'TTM Dates'!$C:$C)&amp;ROW($CJ16))))</f>
        <v>393994</v>
      </c>
      <c r="FH16" s="136">
        <f t="array" ref="FH16">IF(FH$3&gt;'GAAP Summary'!$B$2,0,SUM(INDIRECT(XLOOKUP(FH$3,'TTM Dates'!$B:$B,'TTM Dates'!$E:$E)&amp;ROW($CJ16)&amp;":"&amp;XLOOKUP(FH$3,'TTM Dates'!$B:$B,'TTM Dates'!$C:$C)&amp;ROW($CJ16))))</f>
        <v>466508</v>
      </c>
      <c r="FI16" s="136">
        <f t="array" ref="FI16">IF(FI$3&gt;'GAAP Summary'!$B$2,0,SUM(INDIRECT(XLOOKUP(FI$3,'TTM Dates'!$B:$B,'TTM Dates'!$E:$E)&amp;ROW($CJ16)&amp;":"&amp;XLOOKUP(FI$3,'TTM Dates'!$B:$B,'TTM Dates'!$C:$C)&amp;ROW($CJ16))))</f>
        <v>540690</v>
      </c>
      <c r="FJ16" s="136">
        <f t="array" ref="FJ16">IF(FJ$3&gt;'GAAP Summary'!$B$2,0,SUM(INDIRECT(XLOOKUP(FJ$3,'TTM Dates'!$B:$B,'TTM Dates'!$E:$E)&amp;ROW($CJ16)&amp;":"&amp;XLOOKUP(FJ$3,'TTM Dates'!$B:$B,'TTM Dates'!$C:$C)&amp;ROW($CJ16))))</f>
        <v>614997</v>
      </c>
      <c r="FK16" s="136">
        <f t="array" ref="FK16">IF(FK$3&gt;'GAAP Summary'!$B$2,0,SUM(INDIRECT(XLOOKUP(FK$3,'TTM Dates'!$B:$B,'TTM Dates'!$E:$E)&amp;ROW($CJ16)&amp;":"&amp;XLOOKUP(FK$3,'TTM Dates'!$B:$B,'TTM Dates'!$C:$C)&amp;ROW($CJ16))))</f>
        <v>690208</v>
      </c>
      <c r="FL16" s="136">
        <f t="array" ref="FL16">IF(FL$3&gt;'GAAP Summary'!$B$2,0,SUM(INDIRECT(XLOOKUP(FL$3,'TTM Dates'!$B:$B,'TTM Dates'!$E:$E)&amp;ROW($CJ16)&amp;":"&amp;XLOOKUP(FL$3,'TTM Dates'!$B:$B,'TTM Dates'!$C:$C)&amp;ROW($CJ16))))</f>
        <v>777341</v>
      </c>
      <c r="FM16" s="136">
        <f t="array" ref="FM16">IF(FM$3&gt;'GAAP Summary'!$B$2,0,SUM(INDIRECT(XLOOKUP(FM$3,'TTM Dates'!$B:$B,'TTM Dates'!$E:$E)&amp;ROW($CJ16)&amp;":"&amp;XLOOKUP(FM$3,'TTM Dates'!$B:$B,'TTM Dates'!$C:$C)&amp;ROW($CJ16))))</f>
        <v>864024</v>
      </c>
      <c r="FN16" s="136">
        <f t="array" ref="FN16">IF(FN$3&gt;'GAAP Summary'!$B$2,0,SUM(INDIRECT(XLOOKUP(FN$3,'TTM Dates'!$B:$B,'TTM Dates'!$E:$E)&amp;ROW($CJ16)&amp;":"&amp;XLOOKUP(FN$3,'TTM Dates'!$B:$B,'TTM Dates'!$C:$C)&amp;ROW($CJ16))))</f>
        <v>950821</v>
      </c>
      <c r="FO16" s="136">
        <f t="array" ref="FO16">IF(FO$3&gt;'GAAP Summary'!$B$2,0,SUM(INDIRECT(XLOOKUP(FO$3,'TTM Dates'!$B:$B,'TTM Dates'!$E:$E)&amp;ROW($CJ16)&amp;":"&amp;XLOOKUP(FO$3,'TTM Dates'!$B:$B,'TTM Dates'!$C:$C)&amp;ROW($CJ16))))</f>
        <v>997887</v>
      </c>
      <c r="FP16" s="136">
        <f t="array" ref="FP16">IF(FP$3&gt;'GAAP Summary'!$B$2,0,SUM(INDIRECT(XLOOKUP(FP$3,'TTM Dates'!$B:$B,'TTM Dates'!$E:$E)&amp;ROW($CJ16)&amp;":"&amp;XLOOKUP(FP$3,'TTM Dates'!$B:$B,'TTM Dates'!$C:$C)&amp;ROW($CJ16))))</f>
        <v>1002328</v>
      </c>
      <c r="FQ16" s="136">
        <f t="array" ref="FQ16">IF(FQ$3&gt;'GAAP Summary'!$B$2,0,SUM(INDIRECT(XLOOKUP(FQ$3,'TTM Dates'!$B:$B,'TTM Dates'!$E:$E)&amp;ROW($CJ16)&amp;":"&amp;XLOOKUP(FQ$3,'TTM Dates'!$B:$B,'TTM Dates'!$C:$C)&amp;ROW($CJ16))))</f>
        <v>1014742</v>
      </c>
      <c r="FR16" s="136">
        <f t="array" ref="FR16">IF(FR$3&gt;'GAAP Summary'!$B$2,0,SUM(INDIRECT(XLOOKUP(FR$3,'TTM Dates'!$B:$B,'TTM Dates'!$E:$E)&amp;ROW($CJ16)&amp;":"&amp;XLOOKUP(FR$3,'TTM Dates'!$B:$B,'TTM Dates'!$C:$C)&amp;ROW($CJ16))))</f>
        <v>1019743</v>
      </c>
      <c r="FS16" s="136">
        <f t="array" ref="FS16">IF(FS$3&gt;'GAAP Summary'!$B$2,0,SUM(INDIRECT(XLOOKUP(FS$3,'TTM Dates'!$B:$B,'TTM Dates'!$E:$E)&amp;ROW($CJ16)&amp;":"&amp;XLOOKUP(FS$3,'TTM Dates'!$B:$B,'TTM Dates'!$C:$C)&amp;ROW($CJ16))))</f>
        <v>988749</v>
      </c>
      <c r="FT16" s="136">
        <f t="array" ref="FT16">IF(FT$3&gt;'GAAP Summary'!$B$2,0,SUM(INDIRECT(XLOOKUP(FT$3,'TTM Dates'!$B:$B,'TTM Dates'!$E:$E)&amp;ROW($CJ16)&amp;":"&amp;XLOOKUP(FT$3,'TTM Dates'!$B:$B,'TTM Dates'!$C:$C)&amp;ROW($CJ16))))</f>
        <v>961639</v>
      </c>
      <c r="FU16" s="136">
        <f t="array" ref="FU16">IF(FU$3&gt;'GAAP Summary'!$B$2,0,SUM(INDIRECT(XLOOKUP(FU$3,'TTM Dates'!$B:$B,'TTM Dates'!$E:$E)&amp;ROW($CJ16)&amp;":"&amp;XLOOKUP(FU$3,'TTM Dates'!$B:$B,'TTM Dates'!$C:$C)&amp;ROW($CJ16))))</f>
        <v>938202.93</v>
      </c>
      <c r="FV16" s="136">
        <f t="array" ref="FV16">IF(FV$3&gt;'GAAP Summary'!$B$2,0,SUM(INDIRECT(XLOOKUP(FV$3,'TTM Dates'!$B:$B,'TTM Dates'!$E:$E)&amp;ROW($CJ16)&amp;":"&amp;XLOOKUP(FV$3,'TTM Dates'!$B:$B,'TTM Dates'!$C:$C)&amp;ROW($CJ16))))</f>
        <v>930166.62</v>
      </c>
      <c r="FW16" s="136">
        <f t="array" ref="FW16">IF(FW$3&gt;'GAAP Summary'!$B$2,0,SUM(INDIRECT(XLOOKUP(FW$3,'TTM Dates'!$B:$B,'TTM Dates'!$E:$E)&amp;ROW($CJ16)&amp;":"&amp;XLOOKUP(FW$3,'TTM Dates'!$B:$B,'TTM Dates'!$C:$C)&amp;ROW($CJ16))))</f>
        <v>924209.31</v>
      </c>
      <c r="FX16" s="136">
        <f t="array" ref="FX16">IF(FX$3&gt;'GAAP Summary'!$B$2,0,SUM(INDIRECT(XLOOKUP(FX$3,'TTM Dates'!$B:$B,'TTM Dates'!$E:$E)&amp;ROW($CJ16)&amp;":"&amp;XLOOKUP(FX$3,'TTM Dates'!$B:$B,'TTM Dates'!$C:$C)&amp;ROW($CJ16))))</f>
        <v>906489.81</v>
      </c>
      <c r="FY16" s="136">
        <f t="array" ref="FY16">IF(FY$3&gt;'GAAP Summary'!$B$2,0,SUM(INDIRECT(XLOOKUP(FY$3,'TTM Dates'!$B:$B,'TTM Dates'!$E:$E)&amp;ROW($CJ16)&amp;":"&amp;XLOOKUP(FY$3,'TTM Dates'!$B:$B,'TTM Dates'!$C:$C)&amp;ROW($CJ16))))</f>
        <v>915579.9</v>
      </c>
      <c r="FZ16" s="136">
        <f t="array" ref="FZ16">IF(FZ$3&gt;'GAAP Summary'!$B$2,0,SUM(INDIRECT(XLOOKUP(FZ$3,'TTM Dates'!$B:$B,'TTM Dates'!$E:$E)&amp;ROW($CJ16)&amp;":"&amp;XLOOKUP(FZ$3,'TTM Dates'!$B:$B,'TTM Dates'!$C:$C)&amp;ROW($CJ16))))</f>
        <v>898815.59</v>
      </c>
      <c r="GA16" s="136">
        <f t="array" ref="GA16">IF(GA$3&gt;'GAAP Summary'!$B$2,0,SUM(INDIRECT(XLOOKUP(GA$3,'TTM Dates'!$B:$B,'TTM Dates'!$E:$E)&amp;ROW($CJ16)&amp;":"&amp;XLOOKUP(GA$3,'TTM Dates'!$B:$B,'TTM Dates'!$C:$C)&amp;ROW($CJ16))))</f>
        <v>855913.42</v>
      </c>
      <c r="GB16" s="136">
        <f t="array" ref="GB16">IF(GB$3&gt;'GAAP Summary'!$B$2,0,SUM(INDIRECT(XLOOKUP(GB$3,'TTM Dates'!$B:$B,'TTM Dates'!$E:$E)&amp;ROW($CJ16)&amp;":"&amp;XLOOKUP(GB$3,'TTM Dates'!$B:$B,'TTM Dates'!$C:$C)&amp;ROW($CJ16))))</f>
        <v>861179.25</v>
      </c>
      <c r="GC16" s="136">
        <f t="array" ref="GC16">IF(GC$3&gt;'GAAP Summary'!$B$2,0,SUM(INDIRECT(XLOOKUP(GC$3,'TTM Dates'!$B:$B,'TTM Dates'!$E:$E)&amp;ROW($CJ16)&amp;":"&amp;XLOOKUP(GC$3,'TTM Dates'!$B:$B,'TTM Dates'!$C:$C)&amp;ROW($CJ16))))</f>
        <v>854435.57</v>
      </c>
      <c r="GD16" s="136">
        <f t="array" ref="GD16">IF(GD$3&gt;'GAAP Summary'!$B$2,0,SUM(INDIRECT(XLOOKUP(GD$3,'TTM Dates'!$B:$B,'TTM Dates'!$E:$E)&amp;ROW($CJ16)&amp;":"&amp;XLOOKUP(GD$3,'TTM Dates'!$B:$B,'TTM Dates'!$C:$C)&amp;ROW($CJ16))))</f>
        <v>858820.4</v>
      </c>
      <c r="GE16" s="136">
        <f t="array" ref="GE16">IF(GE$3&gt;'GAAP Summary'!$B$2,0,SUM(INDIRECT(XLOOKUP(GE$3,'TTM Dates'!$B:$B,'TTM Dates'!$E:$E)&amp;ROW($CJ16)&amp;":"&amp;XLOOKUP(GE$3,'TTM Dates'!$B:$B,'TTM Dates'!$C:$C)&amp;ROW($CJ16))))</f>
        <v>896229.19</v>
      </c>
      <c r="GF16" s="136">
        <f t="array" ref="GF16">IF(GF$3&gt;'GAAP Summary'!$B$2,0,SUM(INDIRECT(XLOOKUP(GF$3,'TTM Dates'!$B:$B,'TTM Dates'!$E:$E)&amp;ROW($CJ16)&amp;":"&amp;XLOOKUP(GF$3,'TTM Dates'!$B:$B,'TTM Dates'!$C:$C)&amp;ROW($CJ16))))</f>
        <v>929444.99</v>
      </c>
      <c r="GG16" s="136">
        <f t="array" ref="GG16">IF(GG$3&gt;'GAAP Summary'!$B$2,0,SUM(INDIRECT(XLOOKUP(GG$3,'TTM Dates'!$B:$B,'TTM Dates'!$E:$E)&amp;ROW($CJ16)&amp;":"&amp;XLOOKUP(GG$3,'TTM Dates'!$B:$B,'TTM Dates'!$C:$C)&amp;ROW($CJ16))))</f>
        <v>0</v>
      </c>
      <c r="GH16" s="136">
        <f t="array" ref="GH16">IF(GH$3&gt;'GAAP Summary'!$B$2,0,SUM(INDIRECT(XLOOKUP(GH$3,'TTM Dates'!$B:$B,'TTM Dates'!$E:$E)&amp;ROW($CJ16)&amp;":"&amp;XLOOKUP(GH$3,'TTM Dates'!$B:$B,'TTM Dates'!$C:$C)&amp;ROW($CJ16))))</f>
        <v>0</v>
      </c>
      <c r="GI16" s="136">
        <f t="array" ref="GI16">IF(GI$3&gt;'GAAP Summary'!$B$2,0,SUM(INDIRECT(XLOOKUP(GI$3,'TTM Dates'!$B:$B,'TTM Dates'!$E:$E)&amp;ROW($CJ16)&amp;":"&amp;XLOOKUP(GI$3,'TTM Dates'!$B:$B,'TTM Dates'!$C:$C)&amp;ROW($CJ16))))</f>
        <v>0</v>
      </c>
      <c r="GJ16" s="136">
        <f t="array" ref="GJ16">IF(GJ$3&gt;'GAAP Summary'!$B$2,0,SUM(INDIRECT(XLOOKUP(GJ$3,'TTM Dates'!$B:$B,'TTM Dates'!$E:$E)&amp;ROW($CJ16)&amp;":"&amp;XLOOKUP(GJ$3,'TTM Dates'!$B:$B,'TTM Dates'!$C:$C)&amp;ROW($CJ16))))</f>
        <v>0</v>
      </c>
      <c r="GK16" s="136">
        <f t="array" ref="GK16">IF(GK$3&gt;'GAAP Summary'!$B$2,0,SUM(INDIRECT(XLOOKUP(GK$3,'TTM Dates'!$B:$B,'TTM Dates'!$E:$E)&amp;ROW($CJ16)&amp;":"&amp;XLOOKUP(GK$3,'TTM Dates'!$B:$B,'TTM Dates'!$C:$C)&amp;ROW($CJ16))))</f>
        <v>0</v>
      </c>
      <c r="GL16" s="136">
        <f t="array" ref="GL16">IF(GL$3&gt;'GAAP Summary'!$B$2,0,SUM(INDIRECT(XLOOKUP(GL$3,'TTM Dates'!$B:$B,'TTM Dates'!$E:$E)&amp;ROW($CJ16)&amp;":"&amp;XLOOKUP(GL$3,'TTM Dates'!$B:$B,'TTM Dates'!$C:$C)&amp;ROW($CJ16))))</f>
        <v>0</v>
      </c>
      <c r="GM16" s="136"/>
    </row>
    <row r="17" outlineLevel="1">
      <c r="B17" s="311" t="s">
        <v>466</v>
      </c>
      <c r="C17" s="281"/>
      <c r="D17" s="281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  <c r="AI17" s="281"/>
      <c r="AJ17" s="281"/>
      <c r="AK17" s="281"/>
      <c r="AL17" s="281"/>
      <c r="AM17" s="281"/>
      <c r="AN17" s="281"/>
      <c r="AO17" s="281"/>
      <c r="AP17" s="281"/>
      <c r="AQ17" s="281"/>
      <c r="AR17" s="281"/>
      <c r="AS17" s="281"/>
      <c r="AT17" s="281"/>
      <c r="AU17" s="281"/>
      <c r="AV17" s="281"/>
      <c r="AW17" s="281"/>
      <c r="AX17" s="281"/>
      <c r="AY17" s="281">
        <v>0.0</v>
      </c>
      <c r="AZ17" s="281">
        <v>0.0</v>
      </c>
      <c r="BA17" s="281">
        <v>0.0</v>
      </c>
      <c r="BB17" s="281">
        <v>0.0</v>
      </c>
      <c r="BC17" s="281">
        <v>6667.0</v>
      </c>
      <c r="BD17" s="281">
        <v>6667.0</v>
      </c>
      <c r="BE17" s="281">
        <v>6667.0</v>
      </c>
      <c r="BF17" s="281">
        <v>0.0</v>
      </c>
      <c r="BG17" s="281">
        <v>5385.0</v>
      </c>
      <c r="BH17" s="281">
        <v>88580.0</v>
      </c>
      <c r="BI17" s="281">
        <v>88580.0</v>
      </c>
      <c r="BJ17" s="281">
        <v>93724.0</v>
      </c>
      <c r="BK17" s="312">
        <v>35588.0</v>
      </c>
      <c r="BL17" s="281">
        <v>33290.0</v>
      </c>
      <c r="BM17" s="281">
        <v>33290.0</v>
      </c>
      <c r="BN17" s="281">
        <v>33290.15</v>
      </c>
      <c r="BO17" s="281">
        <v>48290.15</v>
      </c>
      <c r="BP17" s="281">
        <v>48290.15</v>
      </c>
      <c r="BQ17" s="312">
        <v>48290.15</v>
      </c>
      <c r="BR17" s="312">
        <v>48290.15</v>
      </c>
      <c r="BS17" s="281">
        <v>54540.12</v>
      </c>
      <c r="BT17" s="281">
        <v>92612.38</v>
      </c>
      <c r="BU17" s="281">
        <v>103862.28</v>
      </c>
      <c r="BV17" s="281">
        <v>98718.08</v>
      </c>
      <c r="BW17" s="281">
        <v>98718.08</v>
      </c>
      <c r="BX17" s="281">
        <v>57884.79</v>
      </c>
      <c r="BY17" s="281">
        <v>58718.08</v>
      </c>
      <c r="BZ17" s="281">
        <v>64968.08</v>
      </c>
      <c r="CA17" s="281">
        <v>72468.07</v>
      </c>
      <c r="CB17" s="281">
        <v>72468.07</v>
      </c>
      <c r="CC17" s="333"/>
      <c r="CD17" s="333"/>
      <c r="CE17" s="333"/>
      <c r="CF17" s="333"/>
      <c r="CG17" s="333"/>
      <c r="CH17" s="333"/>
      <c r="CI17" s="313"/>
      <c r="CJ17" s="313"/>
      <c r="CK17" s="334">
        <f t="array" ref="CK17">SUM(INDIRECT(XLOOKUP('GAAP Summary'!$B$2,'TTM Dates'!$B:$B,'TTM Dates'!$E:$E)&amp;ROW($CJ17)&amp;":"&amp;XLOOKUP('GAAP Summary'!$B$2,'TTM Dates'!$B:$B,'TTM Dates'!$C:$C)&amp;ROW($CJ17)))</f>
        <v>871538.33</v>
      </c>
      <c r="CL17" s="315"/>
      <c r="CM17" s="335">
        <f t="shared" si="39"/>
        <v>215320.95</v>
      </c>
      <c r="CN17" s="335">
        <f t="shared" si="40"/>
        <v>209904.22</v>
      </c>
      <c r="CO17" s="335">
        <f t="shared" si="41"/>
        <v>0</v>
      </c>
      <c r="CP17" s="335">
        <f t="shared" si="42"/>
        <v>0</v>
      </c>
      <c r="CQ17" s="336">
        <f t="shared" si="43"/>
        <v>425225.17</v>
      </c>
      <c r="CR17" s="281"/>
      <c r="CS17" s="281">
        <f t="shared" si="44"/>
        <v>102168</v>
      </c>
      <c r="CT17" s="281">
        <f t="shared" si="45"/>
        <v>129870.45</v>
      </c>
      <c r="CU17" s="281">
        <f t="shared" si="46"/>
        <v>151120.42</v>
      </c>
      <c r="CV17" s="281">
        <f t="shared" si="47"/>
        <v>295192.74</v>
      </c>
      <c r="CW17" s="316">
        <f t="shared" si="48"/>
        <v>678351.61</v>
      </c>
      <c r="CX17" s="315"/>
      <c r="CY17" s="281">
        <f t="shared" si="49"/>
        <v>0</v>
      </c>
      <c r="CZ17" s="281">
        <f t="shared" si="50"/>
        <v>13334</v>
      </c>
      <c r="DA17" s="281">
        <f t="shared" si="51"/>
        <v>12052</v>
      </c>
      <c r="DB17" s="281">
        <f t="shared" si="52"/>
        <v>270884</v>
      </c>
      <c r="DC17" s="316">
        <f t="shared" si="53"/>
        <v>296270</v>
      </c>
      <c r="DD17" s="315"/>
      <c r="DE17" s="315">
        <f t="shared" si="54"/>
        <v>0</v>
      </c>
      <c r="DF17" s="315">
        <f t="shared" si="55"/>
        <v>0</v>
      </c>
      <c r="DG17" s="315">
        <f t="shared" si="56"/>
        <v>0</v>
      </c>
      <c r="DH17" s="315">
        <f t="shared" si="57"/>
        <v>0</v>
      </c>
      <c r="DI17" s="314">
        <f t="shared" si="58"/>
        <v>0</v>
      </c>
      <c r="DJ17" s="317"/>
      <c r="DK17" s="281">
        <f t="shared" si="59"/>
        <v>0</v>
      </c>
      <c r="DL17" s="281">
        <f t="shared" si="60"/>
        <v>0</v>
      </c>
      <c r="DM17" s="281">
        <f t="shared" si="61"/>
        <v>0</v>
      </c>
      <c r="DN17" s="281">
        <f t="shared" si="62"/>
        <v>0</v>
      </c>
      <c r="DO17" s="316">
        <f t="shared" si="63"/>
        <v>0</v>
      </c>
      <c r="DP17" s="317"/>
      <c r="DQ17" s="314"/>
      <c r="DR17" s="317"/>
      <c r="DS17" s="315">
        <f t="array" ref="DS17">IF(DS$3&gt;'GAAP Summary'!$B$2,0,SUM(INDIRECT(XLOOKUP(DS$3,'TTM Dates'!$B:$B,'TTM Dates'!$E:$E)&amp;ROW($CJ17)&amp;":"&amp;XLOOKUP(DS$3,'TTM Dates'!$B:$B,'TTM Dates'!$C:$C)&amp;ROW($CJ17))))</f>
        <v>0</v>
      </c>
      <c r="DT17" s="315">
        <f t="array" ref="DT17">IF(DT$3&gt;'GAAP Summary'!$B$2,0,SUM(INDIRECT(XLOOKUP(DT$3,'TTM Dates'!$B:$B,'TTM Dates'!$E:$E)&amp;ROW($CJ17)&amp;":"&amp;XLOOKUP(DT$3,'TTM Dates'!$B:$B,'TTM Dates'!$C:$C)&amp;ROW($CJ17))))</f>
        <v>0</v>
      </c>
      <c r="DU17" s="315">
        <f t="array" ref="DU17">IF(DU$3&gt;'GAAP Summary'!$B$2,0,SUM(INDIRECT(XLOOKUP(DU$3,'TTM Dates'!$B:$B,'TTM Dates'!$E:$E)&amp;ROW($CJ17)&amp;":"&amp;XLOOKUP(DU$3,'TTM Dates'!$B:$B,'TTM Dates'!$C:$C)&amp;ROW($CJ17))))</f>
        <v>0</v>
      </c>
      <c r="DV17" s="315">
        <f t="array" ref="DV17">IF(DV$3&gt;'GAAP Summary'!$B$2,0,SUM(INDIRECT(XLOOKUP(DV$3,'TTM Dates'!$B:$B,'TTM Dates'!$E:$E)&amp;ROW($CJ17)&amp;":"&amp;XLOOKUP(DV$3,'TTM Dates'!$B:$B,'TTM Dates'!$C:$C)&amp;ROW($CJ17))))</f>
        <v>0</v>
      </c>
      <c r="DW17" s="315">
        <f t="array" ref="DW17">IF(DW$3&gt;'GAAP Summary'!$B$2,0,SUM(INDIRECT(XLOOKUP(DW$3,'TTM Dates'!$B:$B,'TTM Dates'!$E:$E)&amp;ROW($CJ17)&amp;":"&amp;XLOOKUP(DW$3,'TTM Dates'!$B:$B,'TTM Dates'!$C:$C)&amp;ROW($CJ17))))</f>
        <v>0</v>
      </c>
      <c r="DX17" s="315">
        <f t="array" ref="DX17">IF(DX$3&gt;'GAAP Summary'!$B$2,0,SUM(INDIRECT(XLOOKUP(DX$3,'TTM Dates'!$B:$B,'TTM Dates'!$E:$E)&amp;ROW($CJ17)&amp;":"&amp;XLOOKUP(DX$3,'TTM Dates'!$B:$B,'TTM Dates'!$C:$C)&amp;ROW($CJ17))))</f>
        <v>0</v>
      </c>
      <c r="DY17" s="315">
        <f t="array" ref="DY17">IF(DY$3&gt;'GAAP Summary'!$B$2,0,SUM(INDIRECT(XLOOKUP(DY$3,'TTM Dates'!$B:$B,'TTM Dates'!$E:$E)&amp;ROW($CJ17)&amp;":"&amp;XLOOKUP(DY$3,'TTM Dates'!$B:$B,'TTM Dates'!$C:$C)&amp;ROW($CJ17))))</f>
        <v>0</v>
      </c>
      <c r="DZ17" s="315">
        <f t="array" ref="DZ17">IF(DZ$3&gt;'GAAP Summary'!$B$2,0,SUM(INDIRECT(XLOOKUP(DZ$3,'TTM Dates'!$B:$B,'TTM Dates'!$E:$E)&amp;ROW($CJ17)&amp;":"&amp;XLOOKUP(DZ$3,'TTM Dates'!$B:$B,'TTM Dates'!$C:$C)&amp;ROW($CJ17))))</f>
        <v>0</v>
      </c>
      <c r="EA17" s="315">
        <f t="array" ref="EA17">IF(EA$3&gt;'GAAP Summary'!$B$2,0,SUM(INDIRECT(XLOOKUP(EA$3,'TTM Dates'!$B:$B,'TTM Dates'!$E:$E)&amp;ROW($CJ17)&amp;":"&amp;XLOOKUP(EA$3,'TTM Dates'!$B:$B,'TTM Dates'!$C:$C)&amp;ROW($CJ17))))</f>
        <v>0</v>
      </c>
      <c r="EB17" s="315">
        <f t="array" ref="EB17">IF(EB$3&gt;'GAAP Summary'!$B$2,0,SUM(INDIRECT(XLOOKUP(EB$3,'TTM Dates'!$B:$B,'TTM Dates'!$E:$E)&amp;ROW($CJ17)&amp;":"&amp;XLOOKUP(EB$3,'TTM Dates'!$B:$B,'TTM Dates'!$C:$C)&amp;ROW($CJ17))))</f>
        <v>0</v>
      </c>
      <c r="EC17" s="315">
        <f t="array" ref="EC17">IF(EC$3&gt;'GAAP Summary'!$B$2,0,SUM(INDIRECT(XLOOKUP(EC$3,'TTM Dates'!$B:$B,'TTM Dates'!$E:$E)&amp;ROW($CJ17)&amp;":"&amp;XLOOKUP(EC$3,'TTM Dates'!$B:$B,'TTM Dates'!$C:$C)&amp;ROW($CJ17))))</f>
        <v>0</v>
      </c>
      <c r="ED17" s="315">
        <f t="array" ref="ED17">IF(ED$3&gt;'GAAP Summary'!$B$2,0,SUM(INDIRECT(XLOOKUP(ED$3,'TTM Dates'!$B:$B,'TTM Dates'!$E:$E)&amp;ROW($CJ17)&amp;":"&amp;XLOOKUP(ED$3,'TTM Dates'!$B:$B,'TTM Dates'!$C:$C)&amp;ROW($CJ17))))</f>
        <v>0</v>
      </c>
      <c r="EE17" s="315">
        <f t="array" ref="EE17">IF(EE$3&gt;'GAAP Summary'!$B$2,0,SUM(INDIRECT(XLOOKUP(EE$3,'TTM Dates'!$B:$B,'TTM Dates'!$E:$E)&amp;ROW($CJ17)&amp;":"&amp;XLOOKUP(EE$3,'TTM Dates'!$B:$B,'TTM Dates'!$C:$C)&amp;ROW($CJ17))))</f>
        <v>0</v>
      </c>
      <c r="EF17" s="315">
        <f t="array" ref="EF17">IF(EF$3&gt;'GAAP Summary'!$B$2,0,SUM(INDIRECT(XLOOKUP(EF$3,'TTM Dates'!$B:$B,'TTM Dates'!$E:$E)&amp;ROW($CJ17)&amp;":"&amp;XLOOKUP(EF$3,'TTM Dates'!$B:$B,'TTM Dates'!$C:$C)&amp;ROW($CJ17))))</f>
        <v>0</v>
      </c>
      <c r="EG17" s="315">
        <f t="array" ref="EG17">IF(EG$3&gt;'GAAP Summary'!$B$2,0,SUM(INDIRECT(XLOOKUP(EG$3,'TTM Dates'!$B:$B,'TTM Dates'!$E:$E)&amp;ROW($CJ17)&amp;":"&amp;XLOOKUP(EG$3,'TTM Dates'!$B:$B,'TTM Dates'!$C:$C)&amp;ROW($CJ17))))</f>
        <v>0</v>
      </c>
      <c r="EH17" s="315">
        <f t="array" ref="EH17">IF(EH$3&gt;'GAAP Summary'!$B$2,0,SUM(INDIRECT(XLOOKUP(EH$3,'TTM Dates'!$B:$B,'TTM Dates'!$E:$E)&amp;ROW($CJ17)&amp;":"&amp;XLOOKUP(EH$3,'TTM Dates'!$B:$B,'TTM Dates'!$C:$C)&amp;ROW($CJ17))))</f>
        <v>0</v>
      </c>
      <c r="EI17" s="315">
        <f t="array" ref="EI17">IF(EI$3&gt;'GAAP Summary'!$B$2,0,SUM(INDIRECT(XLOOKUP(EI$3,'TTM Dates'!$B:$B,'TTM Dates'!$E:$E)&amp;ROW($CJ17)&amp;":"&amp;XLOOKUP(EI$3,'TTM Dates'!$B:$B,'TTM Dates'!$C:$C)&amp;ROW($CJ17))))</f>
        <v>0</v>
      </c>
      <c r="EJ17" s="315">
        <f t="array" ref="EJ17">IF(EJ$3&gt;'GAAP Summary'!$B$2,0,SUM(INDIRECT(XLOOKUP(EJ$3,'TTM Dates'!$B:$B,'TTM Dates'!$E:$E)&amp;ROW($CJ17)&amp;":"&amp;XLOOKUP(EJ$3,'TTM Dates'!$B:$B,'TTM Dates'!$C:$C)&amp;ROW($CJ17))))</f>
        <v>0</v>
      </c>
      <c r="EK17" s="315">
        <f t="array" ref="EK17">IF(EK$3&gt;'GAAP Summary'!$B$2,0,SUM(INDIRECT(XLOOKUP(EK$3,'TTM Dates'!$B:$B,'TTM Dates'!$E:$E)&amp;ROW($CJ17)&amp;":"&amp;XLOOKUP(EK$3,'TTM Dates'!$B:$B,'TTM Dates'!$C:$C)&amp;ROW($CJ17))))</f>
        <v>0</v>
      </c>
      <c r="EL17" s="315">
        <f t="array" ref="EL17">IF(EL$3&gt;'GAAP Summary'!$B$2,0,SUM(INDIRECT(XLOOKUP(EL$3,'TTM Dates'!$B:$B,'TTM Dates'!$E:$E)&amp;ROW($CJ17)&amp;":"&amp;XLOOKUP(EL$3,'TTM Dates'!$B:$B,'TTM Dates'!$C:$C)&amp;ROW($CJ17))))</f>
        <v>0</v>
      </c>
      <c r="EM17" s="315">
        <f t="array" ref="EM17">IF(EM$3&gt;'GAAP Summary'!$B$2,0,SUM(INDIRECT(XLOOKUP(EM$3,'TTM Dates'!$B:$B,'TTM Dates'!$E:$E)&amp;ROW($CJ17)&amp;":"&amp;XLOOKUP(EM$3,'TTM Dates'!$B:$B,'TTM Dates'!$C:$C)&amp;ROW($CJ17))))</f>
        <v>0</v>
      </c>
      <c r="EN17" s="315">
        <f t="array" ref="EN17">IF(EN$3&gt;'GAAP Summary'!$B$2,0,SUM(INDIRECT(XLOOKUP(EN$3,'TTM Dates'!$B:$B,'TTM Dates'!$E:$E)&amp;ROW($CJ17)&amp;":"&amp;XLOOKUP(EN$3,'TTM Dates'!$B:$B,'TTM Dates'!$C:$C)&amp;ROW($CJ17))))</f>
        <v>0</v>
      </c>
      <c r="EO17" s="315">
        <f t="array" ref="EO17">IF(EO$3&gt;'GAAP Summary'!$B$2,0,SUM(INDIRECT(XLOOKUP(EO$3,'TTM Dates'!$B:$B,'TTM Dates'!$E:$E)&amp;ROW($CJ17)&amp;":"&amp;XLOOKUP(EO$3,'TTM Dates'!$B:$B,'TTM Dates'!$C:$C)&amp;ROW($CJ17))))</f>
        <v>0</v>
      </c>
      <c r="EP17" s="315">
        <f t="array" ref="EP17">IF(EP$3&gt;'GAAP Summary'!$B$2,0,SUM(INDIRECT(XLOOKUP(EP$3,'TTM Dates'!$B:$B,'TTM Dates'!$E:$E)&amp;ROW($CJ17)&amp;":"&amp;XLOOKUP(EP$3,'TTM Dates'!$B:$B,'TTM Dates'!$C:$C)&amp;ROW($CJ17))))</f>
        <v>0</v>
      </c>
      <c r="EQ17" s="315">
        <f t="array" ref="EQ17">IF(EQ$3&gt;'GAAP Summary'!$B$2,0,SUM(INDIRECT(XLOOKUP(EQ$3,'TTM Dates'!$B:$B,'TTM Dates'!$E:$E)&amp;ROW($CJ17)&amp;":"&amp;XLOOKUP(EQ$3,'TTM Dates'!$B:$B,'TTM Dates'!$C:$C)&amp;ROW($CJ17))))</f>
        <v>0</v>
      </c>
      <c r="ER17" s="315">
        <f t="array" ref="ER17">IF(ER$3&gt;'GAAP Summary'!$B$2,0,SUM(INDIRECT(XLOOKUP(ER$3,'TTM Dates'!$B:$B,'TTM Dates'!$E:$E)&amp;ROW($CJ17)&amp;":"&amp;XLOOKUP(ER$3,'TTM Dates'!$B:$B,'TTM Dates'!$C:$C)&amp;ROW($CJ17))))</f>
        <v>0</v>
      </c>
      <c r="ES17" s="315">
        <f t="array" ref="ES17">IF(ES$3&gt;'GAAP Summary'!$B$2,0,SUM(INDIRECT(XLOOKUP(ES$3,'TTM Dates'!$B:$B,'TTM Dates'!$E:$E)&amp;ROW($CJ17)&amp;":"&amp;XLOOKUP(ES$3,'TTM Dates'!$B:$B,'TTM Dates'!$C:$C)&amp;ROW($CJ17))))</f>
        <v>0</v>
      </c>
      <c r="ET17" s="315">
        <f t="array" ref="ET17">IF(ET$3&gt;'GAAP Summary'!$B$2,0,SUM(INDIRECT(XLOOKUP(ET$3,'TTM Dates'!$B:$B,'TTM Dates'!$E:$E)&amp;ROW($CJ17)&amp;":"&amp;XLOOKUP(ET$3,'TTM Dates'!$B:$B,'TTM Dates'!$C:$C)&amp;ROW($CJ17))))</f>
        <v>0</v>
      </c>
      <c r="EU17" s="315">
        <f t="array" ref="EU17">IF(EU$3&gt;'GAAP Summary'!$B$2,0,SUM(INDIRECT(XLOOKUP(EU$3,'TTM Dates'!$B:$B,'TTM Dates'!$E:$E)&amp;ROW($CJ17)&amp;":"&amp;XLOOKUP(EU$3,'TTM Dates'!$B:$B,'TTM Dates'!$C:$C)&amp;ROW($CJ17))))</f>
        <v>0</v>
      </c>
      <c r="EV17" s="315">
        <f t="array" ref="EV17">IF(EV$3&gt;'GAAP Summary'!$B$2,0,SUM(INDIRECT(XLOOKUP(EV$3,'TTM Dates'!$B:$B,'TTM Dates'!$E:$E)&amp;ROW($CJ17)&amp;":"&amp;XLOOKUP(EV$3,'TTM Dates'!$B:$B,'TTM Dates'!$C:$C)&amp;ROW($CJ17))))</f>
        <v>0</v>
      </c>
      <c r="EW17" s="315">
        <f t="array" ref="EW17">IF(EW$3&gt;'GAAP Summary'!$B$2,0,SUM(INDIRECT(XLOOKUP(EW$3,'TTM Dates'!$B:$B,'TTM Dates'!$E:$E)&amp;ROW($CJ17)&amp;":"&amp;XLOOKUP(EW$3,'TTM Dates'!$B:$B,'TTM Dates'!$C:$C)&amp;ROW($CJ17))))</f>
        <v>0</v>
      </c>
      <c r="EX17" s="315">
        <f t="array" ref="EX17">IF(EX$3&gt;'GAAP Summary'!$B$2,0,SUM(INDIRECT(XLOOKUP(EX$3,'TTM Dates'!$B:$B,'TTM Dates'!$E:$E)&amp;ROW($CJ17)&amp;":"&amp;XLOOKUP(EX$3,'TTM Dates'!$B:$B,'TTM Dates'!$C:$C)&amp;ROW($CJ17))))</f>
        <v>0</v>
      </c>
      <c r="EY17" s="315">
        <f t="array" ref="EY17">IF(EY$3&gt;'GAAP Summary'!$B$2,0,SUM(INDIRECT(XLOOKUP(EY$3,'TTM Dates'!$B:$B,'TTM Dates'!$E:$E)&amp;ROW($CJ17)&amp;":"&amp;XLOOKUP(EY$3,'TTM Dates'!$B:$B,'TTM Dates'!$C:$C)&amp;ROW($CJ17))))</f>
        <v>0</v>
      </c>
      <c r="EZ17" s="315">
        <f t="array" ref="EZ17">IF(EZ$3&gt;'GAAP Summary'!$B$2,0,SUM(INDIRECT(XLOOKUP(EZ$3,'TTM Dates'!$B:$B,'TTM Dates'!$E:$E)&amp;ROW($CJ17)&amp;":"&amp;XLOOKUP(EZ$3,'TTM Dates'!$B:$B,'TTM Dates'!$C:$C)&amp;ROW($CJ17))))</f>
        <v>0</v>
      </c>
      <c r="FA17" s="315">
        <f t="array" ref="FA17">IF(FA$3&gt;'GAAP Summary'!$B$2,0,SUM(INDIRECT(XLOOKUP(FA$3,'TTM Dates'!$B:$B,'TTM Dates'!$E:$E)&amp;ROW($CJ17)&amp;":"&amp;XLOOKUP(FA$3,'TTM Dates'!$B:$B,'TTM Dates'!$C:$C)&amp;ROW($CJ17))))</f>
        <v>0</v>
      </c>
      <c r="FB17" s="315">
        <f t="array" ref="FB17">IF(FB$3&gt;'GAAP Summary'!$B$2,0,SUM(INDIRECT(XLOOKUP(FB$3,'TTM Dates'!$B:$B,'TTM Dates'!$E:$E)&amp;ROW($CJ17)&amp;":"&amp;XLOOKUP(FB$3,'TTM Dates'!$B:$B,'TTM Dates'!$C:$C)&amp;ROW($CJ17))))</f>
        <v>0</v>
      </c>
      <c r="FC17" s="315">
        <f t="array" ref="FC17">IF(FC$3&gt;'GAAP Summary'!$B$2,0,SUM(INDIRECT(XLOOKUP(FC$3,'TTM Dates'!$B:$B,'TTM Dates'!$E:$E)&amp;ROW($CJ17)&amp;":"&amp;XLOOKUP(FC$3,'TTM Dates'!$B:$B,'TTM Dates'!$C:$C)&amp;ROW($CJ17))))</f>
        <v>0</v>
      </c>
      <c r="FD17" s="315">
        <f t="array" ref="FD17">IF(FD$3&gt;'GAAP Summary'!$B$2,0,SUM(INDIRECT(XLOOKUP(FD$3,'TTM Dates'!$B:$B,'TTM Dates'!$E:$E)&amp;ROW($CJ17)&amp;":"&amp;XLOOKUP(FD$3,'TTM Dates'!$B:$B,'TTM Dates'!$C:$C)&amp;ROW($CJ17))))</f>
        <v>0</v>
      </c>
      <c r="FE17" s="315">
        <f t="array" ref="FE17">IF(FE$3&gt;'GAAP Summary'!$B$2,0,SUM(INDIRECT(XLOOKUP(FE$3,'TTM Dates'!$B:$B,'TTM Dates'!$E:$E)&amp;ROW($CJ17)&amp;":"&amp;XLOOKUP(FE$3,'TTM Dates'!$B:$B,'TTM Dates'!$C:$C)&amp;ROW($CJ17))))</f>
        <v>0</v>
      </c>
      <c r="FF17" s="315">
        <f t="array" ref="FF17">IF(FF$3&gt;'GAAP Summary'!$B$2,0,SUM(INDIRECT(XLOOKUP(FF$3,'TTM Dates'!$B:$B,'TTM Dates'!$E:$E)&amp;ROW($CJ17)&amp;":"&amp;XLOOKUP(FF$3,'TTM Dates'!$B:$B,'TTM Dates'!$C:$C)&amp;ROW($CJ17))))</f>
        <v>0</v>
      </c>
      <c r="FG17" s="315">
        <f t="array" ref="FG17">IF(FG$3&gt;'GAAP Summary'!$B$2,0,SUM(INDIRECT(XLOOKUP(FG$3,'TTM Dates'!$B:$B,'TTM Dates'!$E:$E)&amp;ROW($CJ17)&amp;":"&amp;XLOOKUP(FG$3,'TTM Dates'!$B:$B,'TTM Dates'!$C:$C)&amp;ROW($CJ17))))</f>
        <v>6667</v>
      </c>
      <c r="FH17" s="315">
        <f t="array" ref="FH17">IF(FH$3&gt;'GAAP Summary'!$B$2,0,SUM(INDIRECT(XLOOKUP(FH$3,'TTM Dates'!$B:$B,'TTM Dates'!$E:$E)&amp;ROW($CJ17)&amp;":"&amp;XLOOKUP(FH$3,'TTM Dates'!$B:$B,'TTM Dates'!$C:$C)&amp;ROW($CJ17))))</f>
        <v>13334</v>
      </c>
      <c r="FI17" s="315">
        <f t="array" ref="FI17">IF(FI$3&gt;'GAAP Summary'!$B$2,0,SUM(INDIRECT(XLOOKUP(FI$3,'TTM Dates'!$B:$B,'TTM Dates'!$E:$E)&amp;ROW($CJ17)&amp;":"&amp;XLOOKUP(FI$3,'TTM Dates'!$B:$B,'TTM Dates'!$C:$C)&amp;ROW($CJ17))))</f>
        <v>20001</v>
      </c>
      <c r="FJ17" s="315">
        <f t="array" ref="FJ17">IF(FJ$3&gt;'GAAP Summary'!$B$2,0,SUM(INDIRECT(XLOOKUP(FJ$3,'TTM Dates'!$B:$B,'TTM Dates'!$E:$E)&amp;ROW($CJ17)&amp;":"&amp;XLOOKUP(FJ$3,'TTM Dates'!$B:$B,'TTM Dates'!$C:$C)&amp;ROW($CJ17))))</f>
        <v>20001</v>
      </c>
      <c r="FK17" s="315">
        <f t="array" ref="FK17">IF(FK$3&gt;'GAAP Summary'!$B$2,0,SUM(INDIRECT(XLOOKUP(FK$3,'TTM Dates'!$B:$B,'TTM Dates'!$E:$E)&amp;ROW($CJ17)&amp;":"&amp;XLOOKUP(FK$3,'TTM Dates'!$B:$B,'TTM Dates'!$C:$C)&amp;ROW($CJ17))))</f>
        <v>25386</v>
      </c>
      <c r="FL17" s="315">
        <f t="array" ref="FL17">IF(FL$3&gt;'GAAP Summary'!$B$2,0,SUM(INDIRECT(XLOOKUP(FL$3,'TTM Dates'!$B:$B,'TTM Dates'!$E:$E)&amp;ROW($CJ17)&amp;":"&amp;XLOOKUP(FL$3,'TTM Dates'!$B:$B,'TTM Dates'!$C:$C)&amp;ROW($CJ17))))</f>
        <v>113966</v>
      </c>
      <c r="FM17" s="315">
        <f t="array" ref="FM17">IF(FM$3&gt;'GAAP Summary'!$B$2,0,SUM(INDIRECT(XLOOKUP(FM$3,'TTM Dates'!$B:$B,'TTM Dates'!$E:$E)&amp;ROW($CJ17)&amp;":"&amp;XLOOKUP(FM$3,'TTM Dates'!$B:$B,'TTM Dates'!$C:$C)&amp;ROW($CJ17))))</f>
        <v>202546</v>
      </c>
      <c r="FN17" s="315">
        <f t="array" ref="FN17">IF(FN$3&gt;'GAAP Summary'!$B$2,0,SUM(INDIRECT(XLOOKUP(FN$3,'TTM Dates'!$B:$B,'TTM Dates'!$E:$E)&amp;ROW($CJ17)&amp;":"&amp;XLOOKUP(FN$3,'TTM Dates'!$B:$B,'TTM Dates'!$C:$C)&amp;ROW($CJ17))))</f>
        <v>296270</v>
      </c>
      <c r="FO17" s="315">
        <f t="array" ref="FO17">IF(FO$3&gt;'GAAP Summary'!$B$2,0,SUM(INDIRECT(XLOOKUP(FO$3,'TTM Dates'!$B:$B,'TTM Dates'!$E:$E)&amp;ROW($CJ17)&amp;":"&amp;XLOOKUP(FO$3,'TTM Dates'!$B:$B,'TTM Dates'!$C:$C)&amp;ROW($CJ17))))</f>
        <v>331858</v>
      </c>
      <c r="FP17" s="315">
        <f t="array" ref="FP17">IF(FP$3&gt;'GAAP Summary'!$B$2,0,SUM(INDIRECT(XLOOKUP(FP$3,'TTM Dates'!$B:$B,'TTM Dates'!$E:$E)&amp;ROW($CJ17)&amp;":"&amp;XLOOKUP(FP$3,'TTM Dates'!$B:$B,'TTM Dates'!$C:$C)&amp;ROW($CJ17))))</f>
        <v>365148</v>
      </c>
      <c r="FQ17" s="315">
        <f t="array" ref="FQ17">IF(FQ$3&gt;'GAAP Summary'!$B$2,0,SUM(INDIRECT(XLOOKUP(FQ$3,'TTM Dates'!$B:$B,'TTM Dates'!$E:$E)&amp;ROW($CJ17)&amp;":"&amp;XLOOKUP(FQ$3,'TTM Dates'!$B:$B,'TTM Dates'!$C:$C)&amp;ROW($CJ17))))</f>
        <v>398438</v>
      </c>
      <c r="FR17" s="315">
        <f t="array" ref="FR17">IF(FR$3&gt;'GAAP Summary'!$B$2,0,SUM(INDIRECT(XLOOKUP(FR$3,'TTM Dates'!$B:$B,'TTM Dates'!$E:$E)&amp;ROW($CJ17)&amp;":"&amp;XLOOKUP(FR$3,'TTM Dates'!$B:$B,'TTM Dates'!$C:$C)&amp;ROW($CJ17))))</f>
        <v>431728.15</v>
      </c>
      <c r="FS17" s="315">
        <f t="array" ref="FS17">IF(FS$3&gt;'GAAP Summary'!$B$2,0,SUM(INDIRECT(XLOOKUP(FS$3,'TTM Dates'!$B:$B,'TTM Dates'!$E:$E)&amp;ROW($CJ17)&amp;":"&amp;XLOOKUP(FS$3,'TTM Dates'!$B:$B,'TTM Dates'!$C:$C)&amp;ROW($CJ17))))</f>
        <v>473351.3</v>
      </c>
      <c r="FT17" s="315">
        <f t="array" ref="FT17">IF(FT$3&gt;'GAAP Summary'!$B$2,0,SUM(INDIRECT(XLOOKUP(FT$3,'TTM Dates'!$B:$B,'TTM Dates'!$E:$E)&amp;ROW($CJ17)&amp;":"&amp;XLOOKUP(FT$3,'TTM Dates'!$B:$B,'TTM Dates'!$C:$C)&amp;ROW($CJ17))))</f>
        <v>514974.45</v>
      </c>
      <c r="FU17" s="315">
        <f t="array" ref="FU17">IF(FU$3&gt;'GAAP Summary'!$B$2,0,SUM(INDIRECT(XLOOKUP(FU$3,'TTM Dates'!$B:$B,'TTM Dates'!$E:$E)&amp;ROW($CJ17)&amp;":"&amp;XLOOKUP(FU$3,'TTM Dates'!$B:$B,'TTM Dates'!$C:$C)&amp;ROW($CJ17))))</f>
        <v>556597.6</v>
      </c>
      <c r="FV17" s="315">
        <f t="array" ref="FV17">IF(FV$3&gt;'GAAP Summary'!$B$2,0,SUM(INDIRECT(XLOOKUP(FV$3,'TTM Dates'!$B:$B,'TTM Dates'!$E:$E)&amp;ROW($CJ17)&amp;":"&amp;XLOOKUP(FV$3,'TTM Dates'!$B:$B,'TTM Dates'!$C:$C)&amp;ROW($CJ17))))</f>
        <v>604887.75</v>
      </c>
      <c r="FW17" s="315">
        <f t="array" ref="FW17">IF(FW$3&gt;'GAAP Summary'!$B$2,0,SUM(INDIRECT(XLOOKUP(FW$3,'TTM Dates'!$B:$B,'TTM Dates'!$E:$E)&amp;ROW($CJ17)&amp;":"&amp;XLOOKUP(FW$3,'TTM Dates'!$B:$B,'TTM Dates'!$C:$C)&amp;ROW($CJ17))))</f>
        <v>654042.87</v>
      </c>
      <c r="FX17" s="315">
        <f t="array" ref="FX17">IF(FX$3&gt;'GAAP Summary'!$B$2,0,SUM(INDIRECT(XLOOKUP(FX$3,'TTM Dates'!$B:$B,'TTM Dates'!$E:$E)&amp;ROW($CJ17)&amp;":"&amp;XLOOKUP(FX$3,'TTM Dates'!$B:$B,'TTM Dates'!$C:$C)&amp;ROW($CJ17))))</f>
        <v>658075.25</v>
      </c>
      <c r="FY17" s="315">
        <f t="array" ref="FY17">IF(FY$3&gt;'GAAP Summary'!$B$2,0,SUM(INDIRECT(XLOOKUP(FY$3,'TTM Dates'!$B:$B,'TTM Dates'!$E:$E)&amp;ROW($CJ17)&amp;":"&amp;XLOOKUP(FY$3,'TTM Dates'!$B:$B,'TTM Dates'!$C:$C)&amp;ROW($CJ17))))</f>
        <v>673357.53</v>
      </c>
      <c r="FZ17" s="315">
        <f t="array" ref="FZ17">IF(FZ$3&gt;'GAAP Summary'!$B$2,0,SUM(INDIRECT(XLOOKUP(FZ$3,'TTM Dates'!$B:$B,'TTM Dates'!$E:$E)&amp;ROW($CJ17)&amp;":"&amp;XLOOKUP(FZ$3,'TTM Dates'!$B:$B,'TTM Dates'!$C:$C)&amp;ROW($CJ17))))</f>
        <v>678351.61</v>
      </c>
      <c r="GA17" s="315">
        <f t="array" ref="GA17">IF(GA$3&gt;'GAAP Summary'!$B$2,0,SUM(INDIRECT(XLOOKUP(GA$3,'TTM Dates'!$B:$B,'TTM Dates'!$E:$E)&amp;ROW($CJ17)&amp;":"&amp;XLOOKUP(GA$3,'TTM Dates'!$B:$B,'TTM Dates'!$C:$C)&amp;ROW($CJ17))))</f>
        <v>741481.69</v>
      </c>
      <c r="GB17" s="315">
        <f t="array" ref="GB17">IF(GB$3&gt;'GAAP Summary'!$B$2,0,SUM(INDIRECT(XLOOKUP(GB$3,'TTM Dates'!$B:$B,'TTM Dates'!$E:$E)&amp;ROW($CJ17)&amp;":"&amp;XLOOKUP(GB$3,'TTM Dates'!$B:$B,'TTM Dates'!$C:$C)&amp;ROW($CJ17))))</f>
        <v>766076.48</v>
      </c>
      <c r="GC17" s="315">
        <f t="array" ref="GC17">IF(GC$3&gt;'GAAP Summary'!$B$2,0,SUM(INDIRECT(XLOOKUP(GC$3,'TTM Dates'!$B:$B,'TTM Dates'!$E:$E)&amp;ROW($CJ17)&amp;":"&amp;XLOOKUP(GC$3,'TTM Dates'!$B:$B,'TTM Dates'!$C:$C)&amp;ROW($CJ17))))</f>
        <v>791504.56</v>
      </c>
      <c r="GD17" s="315">
        <f t="array" ref="GD17">IF(GD$3&gt;'GAAP Summary'!$B$2,0,SUM(INDIRECT(XLOOKUP(GD$3,'TTM Dates'!$B:$B,'TTM Dates'!$E:$E)&amp;ROW($CJ17)&amp;":"&amp;XLOOKUP(GD$3,'TTM Dates'!$B:$B,'TTM Dates'!$C:$C)&amp;ROW($CJ17))))</f>
        <v>823182.49</v>
      </c>
      <c r="GE17" s="315">
        <f t="array" ref="GE17">IF(GE$3&gt;'GAAP Summary'!$B$2,0,SUM(INDIRECT(XLOOKUP(GE$3,'TTM Dates'!$B:$B,'TTM Dates'!$E:$E)&amp;ROW($CJ17)&amp;":"&amp;XLOOKUP(GE$3,'TTM Dates'!$B:$B,'TTM Dates'!$C:$C)&amp;ROW($CJ17))))</f>
        <v>847360.41</v>
      </c>
      <c r="GF17" s="315">
        <f t="array" ref="GF17">IF(GF$3&gt;'GAAP Summary'!$B$2,0,SUM(INDIRECT(XLOOKUP(GF$3,'TTM Dates'!$B:$B,'TTM Dates'!$E:$E)&amp;ROW($CJ17)&amp;":"&amp;XLOOKUP(GF$3,'TTM Dates'!$B:$B,'TTM Dates'!$C:$C)&amp;ROW($CJ17))))</f>
        <v>871538.33</v>
      </c>
      <c r="GG17" s="315">
        <f t="array" ref="GG17">IF(GG$3&gt;'GAAP Summary'!$B$2,0,SUM(INDIRECT(XLOOKUP(GG$3,'TTM Dates'!$B:$B,'TTM Dates'!$E:$E)&amp;ROW($CJ17)&amp;":"&amp;XLOOKUP(GG$3,'TTM Dates'!$B:$B,'TTM Dates'!$C:$C)&amp;ROW($CJ17))))</f>
        <v>0</v>
      </c>
      <c r="GH17" s="315">
        <f t="array" ref="GH17">IF(GH$3&gt;'GAAP Summary'!$B$2,0,SUM(INDIRECT(XLOOKUP(GH$3,'TTM Dates'!$B:$B,'TTM Dates'!$E:$E)&amp;ROW($CJ17)&amp;":"&amp;XLOOKUP(GH$3,'TTM Dates'!$B:$B,'TTM Dates'!$C:$C)&amp;ROW($CJ17))))</f>
        <v>0</v>
      </c>
      <c r="GI17" s="315">
        <f t="array" ref="GI17">IF(GI$3&gt;'GAAP Summary'!$B$2,0,SUM(INDIRECT(XLOOKUP(GI$3,'TTM Dates'!$B:$B,'TTM Dates'!$E:$E)&amp;ROW($CJ17)&amp;":"&amp;XLOOKUP(GI$3,'TTM Dates'!$B:$B,'TTM Dates'!$C:$C)&amp;ROW($CJ17))))</f>
        <v>0</v>
      </c>
      <c r="GJ17" s="315">
        <f t="array" ref="GJ17">IF(GJ$3&gt;'GAAP Summary'!$B$2,0,SUM(INDIRECT(XLOOKUP(GJ$3,'TTM Dates'!$B:$B,'TTM Dates'!$E:$E)&amp;ROW($CJ17)&amp;":"&amp;XLOOKUP(GJ$3,'TTM Dates'!$B:$B,'TTM Dates'!$C:$C)&amp;ROW($CJ17))))</f>
        <v>0</v>
      </c>
      <c r="GK17" s="315">
        <f t="array" ref="GK17">IF(GK$3&gt;'GAAP Summary'!$B$2,0,SUM(INDIRECT(XLOOKUP(GK$3,'TTM Dates'!$B:$B,'TTM Dates'!$E:$E)&amp;ROW($CJ17)&amp;":"&amp;XLOOKUP(GK$3,'TTM Dates'!$B:$B,'TTM Dates'!$C:$C)&amp;ROW($CJ17))))</f>
        <v>0</v>
      </c>
      <c r="GL17" s="315">
        <f t="array" ref="GL17">IF(GL$3&gt;'GAAP Summary'!$B$2,0,SUM(INDIRECT(XLOOKUP(GL$3,'TTM Dates'!$B:$B,'TTM Dates'!$E:$E)&amp;ROW($CJ17)&amp;":"&amp;XLOOKUP(GL$3,'TTM Dates'!$B:$B,'TTM Dates'!$C:$C)&amp;ROW($CJ17))))</f>
        <v>0</v>
      </c>
      <c r="GM17" s="315"/>
    </row>
    <row r="18" outlineLevel="1">
      <c r="B18" s="310" t="s">
        <v>501</v>
      </c>
      <c r="C18" s="281"/>
      <c r="D18" s="281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1"/>
      <c r="R18" s="281"/>
      <c r="S18" s="281"/>
      <c r="T18" s="281"/>
      <c r="U18" s="281"/>
      <c r="V18" s="281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  <c r="AG18" s="281"/>
      <c r="AH18" s="281"/>
      <c r="AI18" s="281"/>
      <c r="AJ18" s="281"/>
      <c r="AK18" s="281"/>
      <c r="AL18" s="281"/>
      <c r="AM18" s="281"/>
      <c r="AN18" s="281"/>
      <c r="AO18" s="281"/>
      <c r="AP18" s="281"/>
      <c r="AQ18" s="281"/>
      <c r="AR18" s="281"/>
      <c r="AS18" s="281"/>
      <c r="AT18" s="281"/>
      <c r="AU18" s="281"/>
      <c r="AV18" s="281"/>
      <c r="AW18" s="281"/>
      <c r="AX18" s="281"/>
      <c r="AY18" s="281"/>
      <c r="AZ18" s="281"/>
      <c r="BA18" s="281"/>
      <c r="BB18" s="281"/>
      <c r="BC18" s="281"/>
      <c r="BD18" s="281"/>
      <c r="BE18" s="281"/>
      <c r="BF18" s="281"/>
      <c r="BG18" s="281"/>
      <c r="BH18" s="281"/>
      <c r="BI18" s="281"/>
      <c r="BJ18" s="281"/>
      <c r="BK18" s="312"/>
      <c r="BL18" s="281"/>
      <c r="BM18" s="281"/>
      <c r="BN18" s="281">
        <v>14801.17</v>
      </c>
      <c r="BO18" s="281">
        <v>40101.75</v>
      </c>
      <c r="BP18" s="281">
        <v>40101.75</v>
      </c>
      <c r="BQ18" s="312">
        <v>45601.75</v>
      </c>
      <c r="BR18" s="312">
        <v>45601.75</v>
      </c>
      <c r="BS18" s="281">
        <v>45601.75</v>
      </c>
      <c r="BT18" s="281">
        <v>70098.66</v>
      </c>
      <c r="BU18" s="281">
        <v>70098.66</v>
      </c>
      <c r="BV18" s="281">
        <v>78431.99</v>
      </c>
      <c r="BW18" s="281">
        <v>78431.99</v>
      </c>
      <c r="BX18" s="281">
        <v>85431.99</v>
      </c>
      <c r="BY18" s="281">
        <v>85431.99</v>
      </c>
      <c r="BZ18" s="281">
        <v>85431.99</v>
      </c>
      <c r="CA18" s="281">
        <v>98897.69</v>
      </c>
      <c r="CB18" s="281">
        <v>107231.02</v>
      </c>
      <c r="CC18" s="333"/>
      <c r="CD18" s="333"/>
      <c r="CE18" s="333"/>
      <c r="CF18" s="333"/>
      <c r="CG18" s="333"/>
      <c r="CH18" s="333"/>
      <c r="CI18" s="313"/>
      <c r="CJ18" s="313"/>
      <c r="CK18" s="334">
        <f t="array" ref="CK18">SUM(INDIRECT(XLOOKUP('GAAP Summary'!$B$2,'TTM Dates'!$B:$B,'TTM Dates'!$E:$E)&amp;ROW($CJ18)&amp;":"&amp;XLOOKUP('GAAP Summary'!$B$2,'TTM Dates'!$B:$B,'TTM Dates'!$C:$C)&amp;ROW($CJ18)))</f>
        <v>896291.23</v>
      </c>
      <c r="CL18" s="315"/>
      <c r="CM18" s="335">
        <f t="shared" si="39"/>
        <v>249295.97</v>
      </c>
      <c r="CN18" s="335">
        <f t="shared" si="40"/>
        <v>291560.7</v>
      </c>
      <c r="CO18" s="335">
        <f t="shared" si="41"/>
        <v>0</v>
      </c>
      <c r="CP18" s="335">
        <f t="shared" si="42"/>
        <v>0</v>
      </c>
      <c r="CQ18" s="336">
        <f t="shared" si="43"/>
        <v>540856.67</v>
      </c>
      <c r="CR18" s="281"/>
      <c r="CS18" s="281">
        <f t="shared" si="44"/>
        <v>0</v>
      </c>
      <c r="CT18" s="281">
        <f t="shared" si="45"/>
        <v>95004.67</v>
      </c>
      <c r="CU18" s="281">
        <f t="shared" si="46"/>
        <v>136805.25</v>
      </c>
      <c r="CV18" s="281">
        <f t="shared" si="47"/>
        <v>218629.31</v>
      </c>
      <c r="CW18" s="316">
        <f t="shared" si="48"/>
        <v>450439.23</v>
      </c>
      <c r="CX18" s="315"/>
      <c r="CY18" s="281">
        <f t="shared" si="49"/>
        <v>0</v>
      </c>
      <c r="CZ18" s="281">
        <f t="shared" si="50"/>
        <v>0</v>
      </c>
      <c r="DA18" s="281">
        <f t="shared" si="51"/>
        <v>0</v>
      </c>
      <c r="DB18" s="281">
        <f t="shared" si="52"/>
        <v>0</v>
      </c>
      <c r="DC18" s="316">
        <f t="shared" si="53"/>
        <v>0</v>
      </c>
      <c r="DD18" s="315"/>
      <c r="DE18" s="315">
        <f t="shared" si="54"/>
        <v>0</v>
      </c>
      <c r="DF18" s="315">
        <f t="shared" si="55"/>
        <v>0</v>
      </c>
      <c r="DG18" s="315">
        <f t="shared" si="56"/>
        <v>0</v>
      </c>
      <c r="DH18" s="315">
        <f t="shared" si="57"/>
        <v>0</v>
      </c>
      <c r="DI18" s="314">
        <f t="shared" si="58"/>
        <v>0</v>
      </c>
      <c r="DJ18" s="317"/>
      <c r="DK18" s="281">
        <f t="shared" si="59"/>
        <v>0</v>
      </c>
      <c r="DL18" s="281">
        <f t="shared" si="60"/>
        <v>0</v>
      </c>
      <c r="DM18" s="281">
        <f t="shared" si="61"/>
        <v>0</v>
      </c>
      <c r="DN18" s="281">
        <f t="shared" si="62"/>
        <v>0</v>
      </c>
      <c r="DO18" s="316">
        <f t="shared" si="63"/>
        <v>0</v>
      </c>
      <c r="DP18" s="317"/>
      <c r="DQ18" s="314"/>
      <c r="DR18" s="317"/>
      <c r="DS18" s="315"/>
      <c r="DT18" s="315"/>
      <c r="DU18" s="315"/>
      <c r="DV18" s="315"/>
      <c r="DW18" s="315"/>
      <c r="DX18" s="315"/>
      <c r="DY18" s="315"/>
      <c r="DZ18" s="315"/>
      <c r="EA18" s="315"/>
      <c r="EB18" s="315"/>
      <c r="EC18" s="315"/>
      <c r="ED18" s="315"/>
      <c r="EE18" s="315"/>
      <c r="EF18" s="315"/>
      <c r="EG18" s="315"/>
      <c r="EH18" s="315"/>
      <c r="EI18" s="315"/>
      <c r="EJ18" s="315"/>
      <c r="EK18" s="315"/>
      <c r="EL18" s="315"/>
      <c r="EM18" s="315"/>
      <c r="EN18" s="315"/>
      <c r="EO18" s="315"/>
      <c r="EP18" s="315"/>
      <c r="EQ18" s="315"/>
      <c r="ER18" s="315"/>
      <c r="ES18" s="315"/>
      <c r="ET18" s="315"/>
      <c r="EU18" s="315"/>
      <c r="EV18" s="315"/>
      <c r="EW18" s="315"/>
      <c r="EX18" s="315"/>
      <c r="EY18" s="315"/>
      <c r="EZ18" s="315"/>
      <c r="FA18" s="315"/>
      <c r="FB18" s="315"/>
      <c r="FC18" s="315"/>
      <c r="FD18" s="315"/>
      <c r="FE18" s="315"/>
      <c r="FF18" s="315"/>
      <c r="FG18" s="315"/>
      <c r="FH18" s="315"/>
      <c r="FI18" s="315"/>
      <c r="FJ18" s="315"/>
      <c r="FK18" s="315"/>
      <c r="FL18" s="315"/>
      <c r="FM18" s="315"/>
      <c r="FN18" s="315"/>
      <c r="FO18" s="315"/>
      <c r="FP18" s="315"/>
      <c r="FQ18" s="315"/>
      <c r="FR18" s="315"/>
      <c r="FS18" s="315"/>
      <c r="FT18" s="315"/>
      <c r="FU18" s="315"/>
      <c r="FV18" s="315"/>
      <c r="FW18" s="315"/>
      <c r="FX18" s="315"/>
      <c r="FY18" s="315"/>
      <c r="FZ18" s="315"/>
      <c r="GA18" s="315"/>
      <c r="GB18" s="315"/>
      <c r="GC18" s="315"/>
      <c r="GD18" s="315"/>
      <c r="GE18" s="315"/>
      <c r="GF18" s="315"/>
      <c r="GG18" s="315"/>
      <c r="GH18" s="315"/>
      <c r="GI18" s="315"/>
      <c r="GJ18" s="315"/>
      <c r="GK18" s="315"/>
      <c r="GL18" s="315"/>
      <c r="GM18" s="315"/>
    </row>
    <row r="19">
      <c r="B19" s="280" t="s">
        <v>502</v>
      </c>
      <c r="C19" s="108">
        <f t="shared" ref="C19:CH19" si="64">SUM(C20:C22)</f>
        <v>0</v>
      </c>
      <c r="D19" s="108">
        <f t="shared" si="64"/>
        <v>0</v>
      </c>
      <c r="E19" s="108">
        <f t="shared" si="64"/>
        <v>0</v>
      </c>
      <c r="F19" s="108">
        <f t="shared" si="64"/>
        <v>0</v>
      </c>
      <c r="G19" s="108">
        <f t="shared" si="64"/>
        <v>0</v>
      </c>
      <c r="H19" s="108">
        <f t="shared" si="64"/>
        <v>0</v>
      </c>
      <c r="I19" s="108">
        <f t="shared" si="64"/>
        <v>0</v>
      </c>
      <c r="J19" s="108">
        <f t="shared" si="64"/>
        <v>0</v>
      </c>
      <c r="K19" s="108">
        <f t="shared" si="64"/>
        <v>0</v>
      </c>
      <c r="L19" s="108">
        <f t="shared" si="64"/>
        <v>0</v>
      </c>
      <c r="M19" s="108">
        <f t="shared" si="64"/>
        <v>0</v>
      </c>
      <c r="N19" s="108">
        <f t="shared" si="64"/>
        <v>0</v>
      </c>
      <c r="O19" s="108">
        <f t="shared" si="64"/>
        <v>0</v>
      </c>
      <c r="P19" s="108">
        <f t="shared" si="64"/>
        <v>0</v>
      </c>
      <c r="Q19" s="108">
        <f t="shared" si="64"/>
        <v>0</v>
      </c>
      <c r="R19" s="108">
        <f t="shared" si="64"/>
        <v>0</v>
      </c>
      <c r="S19" s="108">
        <f t="shared" si="64"/>
        <v>0</v>
      </c>
      <c r="T19" s="108">
        <f t="shared" si="64"/>
        <v>0</v>
      </c>
      <c r="U19" s="108">
        <f t="shared" si="64"/>
        <v>0</v>
      </c>
      <c r="V19" s="108">
        <f t="shared" si="64"/>
        <v>0</v>
      </c>
      <c r="W19" s="108">
        <f t="shared" si="64"/>
        <v>0</v>
      </c>
      <c r="X19" s="108">
        <f t="shared" si="64"/>
        <v>0</v>
      </c>
      <c r="Y19" s="108">
        <f t="shared" si="64"/>
        <v>0</v>
      </c>
      <c r="Z19" s="108">
        <f t="shared" si="64"/>
        <v>0</v>
      </c>
      <c r="AA19" s="108">
        <f t="shared" si="64"/>
        <v>0</v>
      </c>
      <c r="AB19" s="108">
        <f t="shared" si="64"/>
        <v>0</v>
      </c>
      <c r="AC19" s="108">
        <f t="shared" si="64"/>
        <v>0</v>
      </c>
      <c r="AD19" s="108">
        <f t="shared" si="64"/>
        <v>0</v>
      </c>
      <c r="AE19" s="108">
        <f t="shared" si="64"/>
        <v>0</v>
      </c>
      <c r="AF19" s="108">
        <f t="shared" si="64"/>
        <v>0</v>
      </c>
      <c r="AG19" s="108">
        <f t="shared" si="64"/>
        <v>0</v>
      </c>
      <c r="AH19" s="108">
        <f t="shared" si="64"/>
        <v>0</v>
      </c>
      <c r="AI19" s="108">
        <f t="shared" si="64"/>
        <v>0</v>
      </c>
      <c r="AJ19" s="108">
        <f t="shared" si="64"/>
        <v>0</v>
      </c>
      <c r="AK19" s="108">
        <f t="shared" si="64"/>
        <v>0</v>
      </c>
      <c r="AL19" s="108">
        <f t="shared" si="64"/>
        <v>0</v>
      </c>
      <c r="AM19" s="108">
        <f t="shared" si="64"/>
        <v>0</v>
      </c>
      <c r="AN19" s="108">
        <f t="shared" si="64"/>
        <v>0</v>
      </c>
      <c r="AO19" s="108">
        <f t="shared" si="64"/>
        <v>0</v>
      </c>
      <c r="AP19" s="108">
        <f t="shared" si="64"/>
        <v>0</v>
      </c>
      <c r="AQ19" s="108">
        <f t="shared" si="64"/>
        <v>0</v>
      </c>
      <c r="AR19" s="108">
        <f t="shared" si="64"/>
        <v>0</v>
      </c>
      <c r="AS19" s="108">
        <f t="shared" si="64"/>
        <v>0</v>
      </c>
      <c r="AT19" s="108">
        <f t="shared" si="64"/>
        <v>0</v>
      </c>
      <c r="AU19" s="108">
        <f t="shared" si="64"/>
        <v>0</v>
      </c>
      <c r="AV19" s="108">
        <f t="shared" si="64"/>
        <v>0</v>
      </c>
      <c r="AW19" s="108">
        <f t="shared" si="64"/>
        <v>0</v>
      </c>
      <c r="AX19" s="108">
        <f t="shared" si="64"/>
        <v>0</v>
      </c>
      <c r="AY19" s="108">
        <f t="shared" si="64"/>
        <v>771081.83</v>
      </c>
      <c r="AZ19" s="108">
        <f t="shared" si="64"/>
        <v>822543.59</v>
      </c>
      <c r="BA19" s="108">
        <f t="shared" si="64"/>
        <v>807165.84</v>
      </c>
      <c r="BB19" s="108">
        <f t="shared" si="64"/>
        <v>1051374.32</v>
      </c>
      <c r="BC19" s="108">
        <f t="shared" si="64"/>
        <v>1157715.36</v>
      </c>
      <c r="BD19" s="108">
        <f t="shared" si="64"/>
        <v>1129856.75</v>
      </c>
      <c r="BE19" s="108">
        <f t="shared" si="64"/>
        <v>1263367.63</v>
      </c>
      <c r="BF19" s="108">
        <f t="shared" si="64"/>
        <v>1361914.84</v>
      </c>
      <c r="BG19" s="108">
        <f t="shared" si="64"/>
        <v>1302266.12</v>
      </c>
      <c r="BH19" s="108">
        <f t="shared" si="64"/>
        <v>1621452.4</v>
      </c>
      <c r="BI19" s="108">
        <f t="shared" si="64"/>
        <v>1453956.59</v>
      </c>
      <c r="BJ19" s="108">
        <f t="shared" si="64"/>
        <v>1494770.07</v>
      </c>
      <c r="BK19" s="108">
        <f t="shared" si="64"/>
        <v>1539305</v>
      </c>
      <c r="BL19" s="108">
        <f t="shared" si="64"/>
        <v>1542784</v>
      </c>
      <c r="BM19" s="108">
        <f t="shared" si="64"/>
        <v>1687994</v>
      </c>
      <c r="BN19" s="108">
        <f t="shared" si="64"/>
        <v>1804828</v>
      </c>
      <c r="BO19" s="108">
        <f t="shared" si="64"/>
        <v>1787805</v>
      </c>
      <c r="BP19" s="108">
        <f t="shared" si="64"/>
        <v>1859782</v>
      </c>
      <c r="BQ19" s="108">
        <f t="shared" si="64"/>
        <v>2268372</v>
      </c>
      <c r="BR19" s="108">
        <f t="shared" si="64"/>
        <v>2040001</v>
      </c>
      <c r="BS19" s="108">
        <f t="shared" si="64"/>
        <v>2467819.35</v>
      </c>
      <c r="BT19" s="108">
        <f t="shared" si="64"/>
        <v>3030408.98</v>
      </c>
      <c r="BU19" s="108">
        <f t="shared" si="64"/>
        <v>2302939.91</v>
      </c>
      <c r="BV19" s="108">
        <f t="shared" si="64"/>
        <v>2618998.76</v>
      </c>
      <c r="BW19" s="289">
        <f t="shared" si="64"/>
        <v>2942831.82</v>
      </c>
      <c r="BX19" s="289">
        <f t="shared" si="64"/>
        <v>2880949.12</v>
      </c>
      <c r="BY19" s="289">
        <f t="shared" si="64"/>
        <v>3281964.7</v>
      </c>
      <c r="BZ19" s="289">
        <f t="shared" si="64"/>
        <v>3147593.41</v>
      </c>
      <c r="CA19" s="289">
        <f t="shared" si="64"/>
        <v>2673691.54</v>
      </c>
      <c r="CB19" s="289">
        <f t="shared" si="64"/>
        <v>3435025.06</v>
      </c>
      <c r="CC19" s="289">
        <f t="shared" si="64"/>
        <v>0</v>
      </c>
      <c r="CD19" s="289">
        <f t="shared" si="64"/>
        <v>0</v>
      </c>
      <c r="CE19" s="289">
        <f t="shared" si="64"/>
        <v>0</v>
      </c>
      <c r="CF19" s="289">
        <f t="shared" si="64"/>
        <v>0</v>
      </c>
      <c r="CG19" s="289">
        <f t="shared" si="64"/>
        <v>0</v>
      </c>
      <c r="CH19" s="289">
        <f t="shared" si="64"/>
        <v>0</v>
      </c>
      <c r="CI19" s="33"/>
      <c r="CJ19" s="33"/>
      <c r="CK19" s="290">
        <f t="array" ref="CK19">SUM(INDIRECT(XLOOKUP('GAAP Summary'!$B$2,'TTM Dates'!$B:$B,'TTM Dates'!$E:$E)&amp;ROW($CJ19)&amp;":"&amp;XLOOKUP('GAAP Summary'!$B$2,'TTM Dates'!$B:$B,'TTM Dates'!$C:$C)&amp;ROW($CJ19)))</f>
        <v>33090595.65</v>
      </c>
      <c r="CL19" s="291"/>
      <c r="CM19" s="289">
        <f t="shared" si="39"/>
        <v>9105745.64</v>
      </c>
      <c r="CN19" s="289">
        <f t="shared" si="40"/>
        <v>9256310.01</v>
      </c>
      <c r="CO19" s="289">
        <f t="shared" si="41"/>
        <v>0</v>
      </c>
      <c r="CP19" s="289">
        <f t="shared" si="42"/>
        <v>0</v>
      </c>
      <c r="CQ19" s="290">
        <f t="shared" si="43"/>
        <v>18362055.65</v>
      </c>
      <c r="CR19" s="108"/>
      <c r="CS19" s="108">
        <f t="shared" si="44"/>
        <v>4770083</v>
      </c>
      <c r="CT19" s="108">
        <f t="shared" si="45"/>
        <v>5452415</v>
      </c>
      <c r="CU19" s="108">
        <f t="shared" si="46"/>
        <v>6776192.35</v>
      </c>
      <c r="CV19" s="108">
        <f t="shared" si="47"/>
        <v>7952347.65</v>
      </c>
      <c r="CW19" s="282">
        <f t="shared" si="48"/>
        <v>24951038</v>
      </c>
      <c r="CX19" s="283"/>
      <c r="CY19" s="108">
        <f t="shared" si="49"/>
        <v>2400791.26</v>
      </c>
      <c r="CZ19" s="108">
        <f t="shared" si="50"/>
        <v>3338946.43</v>
      </c>
      <c r="DA19" s="108">
        <f t="shared" si="51"/>
        <v>3927548.59</v>
      </c>
      <c r="DB19" s="108">
        <f t="shared" si="52"/>
        <v>4570179.06</v>
      </c>
      <c r="DC19" s="282">
        <f t="shared" si="53"/>
        <v>14237465.34</v>
      </c>
      <c r="DD19" s="283"/>
      <c r="DE19" s="108">
        <f t="shared" si="54"/>
        <v>0</v>
      </c>
      <c r="DF19" s="108">
        <f t="shared" si="55"/>
        <v>0</v>
      </c>
      <c r="DG19" s="108">
        <f t="shared" si="56"/>
        <v>0</v>
      </c>
      <c r="DH19" s="108">
        <f t="shared" si="57"/>
        <v>0</v>
      </c>
      <c r="DI19" s="282">
        <f t="shared" si="58"/>
        <v>0</v>
      </c>
      <c r="DJ19" s="284"/>
      <c r="DK19" s="108"/>
      <c r="DL19" s="108"/>
      <c r="DM19" s="108"/>
      <c r="DN19" s="108"/>
      <c r="DO19" s="282"/>
      <c r="DP19" s="284"/>
      <c r="DQ19" s="285"/>
      <c r="DR19" s="44"/>
      <c r="DS19" s="136">
        <f t="array" ref="DS19">IF(DS$3&gt;'GAAP Summary'!$B$2,0,SUM(INDIRECT(XLOOKUP(DS$3,'TTM Dates'!$B:$B,'TTM Dates'!$E:$E)&amp;ROW($CJ19)&amp;":"&amp;XLOOKUP(DS$3,'TTM Dates'!$B:$B,'TTM Dates'!$C:$C)&amp;ROW($CJ19))))</f>
        <v>0</v>
      </c>
      <c r="DT19" s="286">
        <f t="array" ref="DT19">IF(DT$3&gt;'GAAP Summary'!$B$2,0,SUM(INDIRECT(XLOOKUP(DT$3,'TTM Dates'!$B:$B,'TTM Dates'!$E:$E)&amp;ROW($CJ19)&amp;":"&amp;XLOOKUP(DT$3,'TTM Dates'!$B:$B,'TTM Dates'!$C:$C)&amp;ROW($CJ19))))</f>
        <v>0</v>
      </c>
      <c r="DU19" s="286">
        <f t="array" ref="DU19">IF(DU$3&gt;'GAAP Summary'!$B$2,0,SUM(INDIRECT(XLOOKUP(DU$3,'TTM Dates'!$B:$B,'TTM Dates'!$E:$E)&amp;ROW($CJ19)&amp;":"&amp;XLOOKUP(DU$3,'TTM Dates'!$B:$B,'TTM Dates'!$C:$C)&amp;ROW($CJ19))))</f>
        <v>0</v>
      </c>
      <c r="DV19" s="286">
        <f t="array" ref="DV19">IF(DV$3&gt;'GAAP Summary'!$B$2,0,SUM(INDIRECT(XLOOKUP(DV$3,'TTM Dates'!$B:$B,'TTM Dates'!$E:$E)&amp;ROW($CJ19)&amp;":"&amp;XLOOKUP(DV$3,'TTM Dates'!$B:$B,'TTM Dates'!$C:$C)&amp;ROW($CJ19))))</f>
        <v>0</v>
      </c>
      <c r="DW19" s="286">
        <f t="array" ref="DW19">IF(DW$3&gt;'GAAP Summary'!$B$2,0,SUM(INDIRECT(XLOOKUP(DW$3,'TTM Dates'!$B:$B,'TTM Dates'!$E:$E)&amp;ROW($CJ19)&amp;":"&amp;XLOOKUP(DW$3,'TTM Dates'!$B:$B,'TTM Dates'!$C:$C)&amp;ROW($CJ19))))</f>
        <v>0</v>
      </c>
      <c r="DX19" s="286">
        <f t="array" ref="DX19">IF(DX$3&gt;'GAAP Summary'!$B$2,0,SUM(INDIRECT(XLOOKUP(DX$3,'TTM Dates'!$B:$B,'TTM Dates'!$E:$E)&amp;ROW($CJ19)&amp;":"&amp;XLOOKUP(DX$3,'TTM Dates'!$B:$B,'TTM Dates'!$C:$C)&amp;ROW($CJ19))))</f>
        <v>0</v>
      </c>
      <c r="DY19" s="286">
        <f t="array" ref="DY19">IF(DY$3&gt;'GAAP Summary'!$B$2,0,SUM(INDIRECT(XLOOKUP(DY$3,'TTM Dates'!$B:$B,'TTM Dates'!$E:$E)&amp;ROW($CJ19)&amp;":"&amp;XLOOKUP(DY$3,'TTM Dates'!$B:$B,'TTM Dates'!$C:$C)&amp;ROW($CJ19))))</f>
        <v>0</v>
      </c>
      <c r="DZ19" s="286">
        <f t="array" ref="DZ19">IF(DZ$3&gt;'GAAP Summary'!$B$2,0,SUM(INDIRECT(XLOOKUP(DZ$3,'TTM Dates'!$B:$B,'TTM Dates'!$E:$E)&amp;ROW($CJ19)&amp;":"&amp;XLOOKUP(DZ$3,'TTM Dates'!$B:$B,'TTM Dates'!$C:$C)&amp;ROW($CJ19))))</f>
        <v>0</v>
      </c>
      <c r="EA19" s="286">
        <f t="array" ref="EA19">IF(EA$3&gt;'GAAP Summary'!$B$2,0,SUM(INDIRECT(XLOOKUP(EA$3,'TTM Dates'!$B:$B,'TTM Dates'!$E:$E)&amp;ROW($CJ19)&amp;":"&amp;XLOOKUP(EA$3,'TTM Dates'!$B:$B,'TTM Dates'!$C:$C)&amp;ROW($CJ19))))</f>
        <v>0</v>
      </c>
      <c r="EB19" s="286">
        <f t="array" ref="EB19">IF(EB$3&gt;'GAAP Summary'!$B$2,0,SUM(INDIRECT(XLOOKUP(EB$3,'TTM Dates'!$B:$B,'TTM Dates'!$E:$E)&amp;ROW($CJ19)&amp;":"&amp;XLOOKUP(EB$3,'TTM Dates'!$B:$B,'TTM Dates'!$C:$C)&amp;ROW($CJ19))))</f>
        <v>0</v>
      </c>
      <c r="EC19" s="286">
        <f t="array" ref="EC19">IF(EC$3&gt;'GAAP Summary'!$B$2,0,SUM(INDIRECT(XLOOKUP(EC$3,'TTM Dates'!$B:$B,'TTM Dates'!$E:$E)&amp;ROW($CJ19)&amp;":"&amp;XLOOKUP(EC$3,'TTM Dates'!$B:$B,'TTM Dates'!$C:$C)&amp;ROW($CJ19))))</f>
        <v>0</v>
      </c>
      <c r="ED19" s="286">
        <f t="array" ref="ED19">IF(ED$3&gt;'GAAP Summary'!$B$2,0,SUM(INDIRECT(XLOOKUP(ED$3,'TTM Dates'!$B:$B,'TTM Dates'!$E:$E)&amp;ROW($CJ19)&amp;":"&amp;XLOOKUP(ED$3,'TTM Dates'!$B:$B,'TTM Dates'!$C:$C)&amp;ROW($CJ19))))</f>
        <v>0</v>
      </c>
      <c r="EE19" s="286">
        <f t="array" ref="EE19">IF(EE$3&gt;'GAAP Summary'!$B$2,0,SUM(INDIRECT(XLOOKUP(EE$3,'TTM Dates'!$B:$B,'TTM Dates'!$E:$E)&amp;ROW($CJ19)&amp;":"&amp;XLOOKUP(EE$3,'TTM Dates'!$B:$B,'TTM Dates'!$C:$C)&amp;ROW($CJ19))))</f>
        <v>0</v>
      </c>
      <c r="EF19" s="286">
        <f t="array" ref="EF19">IF(EF$3&gt;'GAAP Summary'!$B$2,0,SUM(INDIRECT(XLOOKUP(EF$3,'TTM Dates'!$B:$B,'TTM Dates'!$E:$E)&amp;ROW($CJ19)&amp;":"&amp;XLOOKUP(EF$3,'TTM Dates'!$B:$B,'TTM Dates'!$C:$C)&amp;ROW($CJ19))))</f>
        <v>0</v>
      </c>
      <c r="EG19" s="286">
        <f t="array" ref="EG19">IF(EG$3&gt;'GAAP Summary'!$B$2,0,SUM(INDIRECT(XLOOKUP(EG$3,'TTM Dates'!$B:$B,'TTM Dates'!$E:$E)&amp;ROW($CJ19)&amp;":"&amp;XLOOKUP(EG$3,'TTM Dates'!$B:$B,'TTM Dates'!$C:$C)&amp;ROW($CJ19))))</f>
        <v>0</v>
      </c>
      <c r="EH19" s="286">
        <f t="array" ref="EH19">IF(EH$3&gt;'GAAP Summary'!$B$2,0,SUM(INDIRECT(XLOOKUP(EH$3,'TTM Dates'!$B:$B,'TTM Dates'!$E:$E)&amp;ROW($CJ19)&amp;":"&amp;XLOOKUP(EH$3,'TTM Dates'!$B:$B,'TTM Dates'!$C:$C)&amp;ROW($CJ19))))</f>
        <v>0</v>
      </c>
      <c r="EI19" s="286">
        <f t="array" ref="EI19">IF(EI$3&gt;'GAAP Summary'!$B$2,0,SUM(INDIRECT(XLOOKUP(EI$3,'TTM Dates'!$B:$B,'TTM Dates'!$E:$E)&amp;ROW($CJ19)&amp;":"&amp;XLOOKUP(EI$3,'TTM Dates'!$B:$B,'TTM Dates'!$C:$C)&amp;ROW($CJ19))))</f>
        <v>0</v>
      </c>
      <c r="EJ19" s="286">
        <f t="array" ref="EJ19">IF(EJ$3&gt;'GAAP Summary'!$B$2,0,SUM(INDIRECT(XLOOKUP(EJ$3,'TTM Dates'!$B:$B,'TTM Dates'!$E:$E)&amp;ROW($CJ19)&amp;":"&amp;XLOOKUP(EJ$3,'TTM Dates'!$B:$B,'TTM Dates'!$C:$C)&amp;ROW($CJ19))))</f>
        <v>0</v>
      </c>
      <c r="EK19" s="286">
        <f t="array" ref="EK19">IF(EK$3&gt;'GAAP Summary'!$B$2,0,SUM(INDIRECT(XLOOKUP(EK$3,'TTM Dates'!$B:$B,'TTM Dates'!$E:$E)&amp;ROW($CJ19)&amp;":"&amp;XLOOKUP(EK$3,'TTM Dates'!$B:$B,'TTM Dates'!$C:$C)&amp;ROW($CJ19))))</f>
        <v>0</v>
      </c>
      <c r="EL19" s="286">
        <f t="array" ref="EL19">IF(EL$3&gt;'GAAP Summary'!$B$2,0,SUM(INDIRECT(XLOOKUP(EL$3,'TTM Dates'!$B:$B,'TTM Dates'!$E:$E)&amp;ROW($CJ19)&amp;":"&amp;XLOOKUP(EL$3,'TTM Dates'!$B:$B,'TTM Dates'!$C:$C)&amp;ROW($CJ19))))</f>
        <v>0</v>
      </c>
      <c r="EM19" s="286">
        <f t="array" ref="EM19">IF(EM$3&gt;'GAAP Summary'!$B$2,0,SUM(INDIRECT(XLOOKUP(EM$3,'TTM Dates'!$B:$B,'TTM Dates'!$E:$E)&amp;ROW($CJ19)&amp;":"&amp;XLOOKUP(EM$3,'TTM Dates'!$B:$B,'TTM Dates'!$C:$C)&amp;ROW($CJ19))))</f>
        <v>0</v>
      </c>
      <c r="EN19" s="286">
        <f t="array" ref="EN19">IF(EN$3&gt;'GAAP Summary'!$B$2,0,SUM(INDIRECT(XLOOKUP(EN$3,'TTM Dates'!$B:$B,'TTM Dates'!$E:$E)&amp;ROW($CJ19)&amp;":"&amp;XLOOKUP(EN$3,'TTM Dates'!$B:$B,'TTM Dates'!$C:$C)&amp;ROW($CJ19))))</f>
        <v>0</v>
      </c>
      <c r="EO19" s="286">
        <f t="array" ref="EO19">IF(EO$3&gt;'GAAP Summary'!$B$2,0,SUM(INDIRECT(XLOOKUP(EO$3,'TTM Dates'!$B:$B,'TTM Dates'!$E:$E)&amp;ROW($CJ19)&amp;":"&amp;XLOOKUP(EO$3,'TTM Dates'!$B:$B,'TTM Dates'!$C:$C)&amp;ROW($CJ19))))</f>
        <v>0</v>
      </c>
      <c r="EP19" s="286">
        <f t="array" ref="EP19">IF(EP$3&gt;'GAAP Summary'!$B$2,0,SUM(INDIRECT(XLOOKUP(EP$3,'TTM Dates'!$B:$B,'TTM Dates'!$E:$E)&amp;ROW($CJ19)&amp;":"&amp;XLOOKUP(EP$3,'TTM Dates'!$B:$B,'TTM Dates'!$C:$C)&amp;ROW($CJ19))))</f>
        <v>0</v>
      </c>
      <c r="EQ19" s="286">
        <f t="array" ref="EQ19">IF(EQ$3&gt;'GAAP Summary'!$B$2,0,SUM(INDIRECT(XLOOKUP(EQ$3,'TTM Dates'!$B:$B,'TTM Dates'!$E:$E)&amp;ROW($CJ19)&amp;":"&amp;XLOOKUP(EQ$3,'TTM Dates'!$B:$B,'TTM Dates'!$C:$C)&amp;ROW($CJ19))))</f>
        <v>0</v>
      </c>
      <c r="ER19" s="286">
        <f t="array" ref="ER19">IF(ER$3&gt;'GAAP Summary'!$B$2,0,SUM(INDIRECT(XLOOKUP(ER$3,'TTM Dates'!$B:$B,'TTM Dates'!$E:$E)&amp;ROW($CJ19)&amp;":"&amp;XLOOKUP(ER$3,'TTM Dates'!$B:$B,'TTM Dates'!$C:$C)&amp;ROW($CJ19))))</f>
        <v>0</v>
      </c>
      <c r="ES19" s="286">
        <f t="array" ref="ES19">IF(ES$3&gt;'GAAP Summary'!$B$2,0,SUM(INDIRECT(XLOOKUP(ES$3,'TTM Dates'!$B:$B,'TTM Dates'!$E:$E)&amp;ROW($CJ19)&amp;":"&amp;XLOOKUP(ES$3,'TTM Dates'!$B:$B,'TTM Dates'!$C:$C)&amp;ROW($CJ19))))</f>
        <v>0</v>
      </c>
      <c r="ET19" s="286">
        <f t="array" ref="ET19">IF(ET$3&gt;'GAAP Summary'!$B$2,0,SUM(INDIRECT(XLOOKUP(ET$3,'TTM Dates'!$B:$B,'TTM Dates'!$E:$E)&amp;ROW($CJ19)&amp;":"&amp;XLOOKUP(ET$3,'TTM Dates'!$B:$B,'TTM Dates'!$C:$C)&amp;ROW($CJ19))))</f>
        <v>0</v>
      </c>
      <c r="EU19" s="286">
        <f t="array" ref="EU19">IF(EU$3&gt;'GAAP Summary'!$B$2,0,SUM(INDIRECT(XLOOKUP(EU$3,'TTM Dates'!$B:$B,'TTM Dates'!$E:$E)&amp;ROW($CJ19)&amp;":"&amp;XLOOKUP(EU$3,'TTM Dates'!$B:$B,'TTM Dates'!$C:$C)&amp;ROW($CJ19))))</f>
        <v>0</v>
      </c>
      <c r="EV19" s="286">
        <f t="array" ref="EV19">IF(EV$3&gt;'GAAP Summary'!$B$2,0,SUM(INDIRECT(XLOOKUP(EV$3,'TTM Dates'!$B:$B,'TTM Dates'!$E:$E)&amp;ROW($CJ19)&amp;":"&amp;XLOOKUP(EV$3,'TTM Dates'!$B:$B,'TTM Dates'!$C:$C)&amp;ROW($CJ19))))</f>
        <v>0</v>
      </c>
      <c r="EW19" s="286">
        <f t="array" ref="EW19">IF(EW$3&gt;'GAAP Summary'!$B$2,0,SUM(INDIRECT(XLOOKUP(EW$3,'TTM Dates'!$B:$B,'TTM Dates'!$E:$E)&amp;ROW($CJ19)&amp;":"&amp;XLOOKUP(EW$3,'TTM Dates'!$B:$B,'TTM Dates'!$C:$C)&amp;ROW($CJ19))))</f>
        <v>0</v>
      </c>
      <c r="EX19" s="286">
        <f t="array" ref="EX19">IF(EX$3&gt;'GAAP Summary'!$B$2,0,SUM(INDIRECT(XLOOKUP(EX$3,'TTM Dates'!$B:$B,'TTM Dates'!$E:$E)&amp;ROW($CJ19)&amp;":"&amp;XLOOKUP(EX$3,'TTM Dates'!$B:$B,'TTM Dates'!$C:$C)&amp;ROW($CJ19))))</f>
        <v>0</v>
      </c>
      <c r="EY19" s="286">
        <f t="array" ref="EY19">IF(EY$3&gt;'GAAP Summary'!$B$2,0,SUM(INDIRECT(XLOOKUP(EY$3,'TTM Dates'!$B:$B,'TTM Dates'!$E:$E)&amp;ROW($CJ19)&amp;":"&amp;XLOOKUP(EY$3,'TTM Dates'!$B:$B,'TTM Dates'!$C:$C)&amp;ROW($CJ19))))</f>
        <v>0</v>
      </c>
      <c r="EZ19" s="286">
        <f t="array" ref="EZ19">IF(EZ$3&gt;'GAAP Summary'!$B$2,0,SUM(INDIRECT(XLOOKUP(EZ$3,'TTM Dates'!$B:$B,'TTM Dates'!$E:$E)&amp;ROW($CJ19)&amp;":"&amp;XLOOKUP(EZ$3,'TTM Dates'!$B:$B,'TTM Dates'!$C:$C)&amp;ROW($CJ19))))</f>
        <v>0</v>
      </c>
      <c r="FA19" s="286">
        <f t="array" ref="FA19">IF(FA$3&gt;'GAAP Summary'!$B$2,0,SUM(INDIRECT(XLOOKUP(FA$3,'TTM Dates'!$B:$B,'TTM Dates'!$E:$E)&amp;ROW($CJ19)&amp;":"&amp;XLOOKUP(FA$3,'TTM Dates'!$B:$B,'TTM Dates'!$C:$C)&amp;ROW($CJ19))))</f>
        <v>0</v>
      </c>
      <c r="FB19" s="286">
        <f t="array" ref="FB19">IF(FB$3&gt;'GAAP Summary'!$B$2,0,SUM(INDIRECT(XLOOKUP(FB$3,'TTM Dates'!$B:$B,'TTM Dates'!$E:$E)&amp;ROW($CJ19)&amp;":"&amp;XLOOKUP(FB$3,'TTM Dates'!$B:$B,'TTM Dates'!$C:$C)&amp;ROW($CJ19))))</f>
        <v>0</v>
      </c>
      <c r="FC19" s="286">
        <f t="array" ref="FC19">IF(FC$3&gt;'GAAP Summary'!$B$2,0,SUM(INDIRECT(XLOOKUP(FC$3,'TTM Dates'!$B:$B,'TTM Dates'!$E:$E)&amp;ROW($CJ19)&amp;":"&amp;XLOOKUP(FC$3,'TTM Dates'!$B:$B,'TTM Dates'!$C:$C)&amp;ROW($CJ19))))</f>
        <v>771081.83</v>
      </c>
      <c r="FD19" s="286">
        <f t="array" ref="FD19">IF(FD$3&gt;'GAAP Summary'!$B$2,0,SUM(INDIRECT(XLOOKUP(FD$3,'TTM Dates'!$B:$B,'TTM Dates'!$E:$E)&amp;ROW($CJ19)&amp;":"&amp;XLOOKUP(FD$3,'TTM Dates'!$B:$B,'TTM Dates'!$C:$C)&amp;ROW($CJ19))))</f>
        <v>1593625.42</v>
      </c>
      <c r="FE19" s="286">
        <f t="array" ref="FE19">IF(FE$3&gt;'GAAP Summary'!$B$2,0,SUM(INDIRECT(XLOOKUP(FE$3,'TTM Dates'!$B:$B,'TTM Dates'!$E:$E)&amp;ROW($CJ19)&amp;":"&amp;XLOOKUP(FE$3,'TTM Dates'!$B:$B,'TTM Dates'!$C:$C)&amp;ROW($CJ19))))</f>
        <v>2400791.26</v>
      </c>
      <c r="FF19" s="286">
        <f t="array" ref="FF19">IF(FF$3&gt;'GAAP Summary'!$B$2,0,SUM(INDIRECT(XLOOKUP(FF$3,'TTM Dates'!$B:$B,'TTM Dates'!$E:$E)&amp;ROW($CJ19)&amp;":"&amp;XLOOKUP(FF$3,'TTM Dates'!$B:$B,'TTM Dates'!$C:$C)&amp;ROW($CJ19))))</f>
        <v>3452165.58</v>
      </c>
      <c r="FG19" s="286">
        <f t="array" ref="FG19">IF(FG$3&gt;'GAAP Summary'!$B$2,0,SUM(INDIRECT(XLOOKUP(FG$3,'TTM Dates'!$B:$B,'TTM Dates'!$E:$E)&amp;ROW($CJ19)&amp;":"&amp;XLOOKUP(FG$3,'TTM Dates'!$B:$B,'TTM Dates'!$C:$C)&amp;ROW($CJ19))))</f>
        <v>4609880.94</v>
      </c>
      <c r="FH19" s="286">
        <f t="array" ref="FH19">IF(FH$3&gt;'GAAP Summary'!$B$2,0,SUM(INDIRECT(XLOOKUP(FH$3,'TTM Dates'!$B:$B,'TTM Dates'!$E:$E)&amp;ROW($CJ19)&amp;":"&amp;XLOOKUP(FH$3,'TTM Dates'!$B:$B,'TTM Dates'!$C:$C)&amp;ROW($CJ19))))</f>
        <v>5739737.69</v>
      </c>
      <c r="FI19" s="286">
        <f t="array" ref="FI19">IF(FI$3&gt;'GAAP Summary'!$B$2,0,SUM(INDIRECT(XLOOKUP(FI$3,'TTM Dates'!$B:$B,'TTM Dates'!$E:$E)&amp;ROW($CJ19)&amp;":"&amp;XLOOKUP(FI$3,'TTM Dates'!$B:$B,'TTM Dates'!$C:$C)&amp;ROW($CJ19))))</f>
        <v>7003105.32</v>
      </c>
      <c r="FJ19" s="286">
        <f t="array" ref="FJ19">IF(FJ$3&gt;'GAAP Summary'!$B$2,0,SUM(INDIRECT(XLOOKUP(FJ$3,'TTM Dates'!$B:$B,'TTM Dates'!$E:$E)&amp;ROW($CJ19)&amp;":"&amp;XLOOKUP(FJ$3,'TTM Dates'!$B:$B,'TTM Dates'!$C:$C)&amp;ROW($CJ19))))</f>
        <v>8365020.16</v>
      </c>
      <c r="FK19" s="286">
        <f t="array" ref="FK19">IF(FK$3&gt;'GAAP Summary'!$B$2,0,SUM(INDIRECT(XLOOKUP(FK$3,'TTM Dates'!$B:$B,'TTM Dates'!$E:$E)&amp;ROW($CJ19)&amp;":"&amp;XLOOKUP(FK$3,'TTM Dates'!$B:$B,'TTM Dates'!$C:$C)&amp;ROW($CJ19))))</f>
        <v>9667286.28</v>
      </c>
      <c r="FL19" s="286">
        <f t="array" ref="FL19">IF(FL$3&gt;'GAAP Summary'!$B$2,0,SUM(INDIRECT(XLOOKUP(FL$3,'TTM Dates'!$B:$B,'TTM Dates'!$E:$E)&amp;ROW($CJ19)&amp;":"&amp;XLOOKUP(FL$3,'TTM Dates'!$B:$B,'TTM Dates'!$C:$C)&amp;ROW($CJ19))))</f>
        <v>11288738.68</v>
      </c>
      <c r="FM19" s="286">
        <f t="array" ref="FM19">IF(FM$3&gt;'GAAP Summary'!$B$2,0,SUM(INDIRECT(XLOOKUP(FM$3,'TTM Dates'!$B:$B,'TTM Dates'!$E:$E)&amp;ROW($CJ19)&amp;":"&amp;XLOOKUP(FM$3,'TTM Dates'!$B:$B,'TTM Dates'!$C:$C)&amp;ROW($CJ19))))</f>
        <v>12742695.27</v>
      </c>
      <c r="FN19" s="286">
        <f t="array" ref="FN19">IF(FN$3&gt;'GAAP Summary'!$B$2,0,SUM(INDIRECT(XLOOKUP(FN$3,'TTM Dates'!$B:$B,'TTM Dates'!$E:$E)&amp;ROW($CJ19)&amp;":"&amp;XLOOKUP(FN$3,'TTM Dates'!$B:$B,'TTM Dates'!$C:$C)&amp;ROW($CJ19))))</f>
        <v>14237465.34</v>
      </c>
      <c r="FO19" s="286">
        <f t="array" ref="FO19">IF(FO$3&gt;'GAAP Summary'!$B$2,0,SUM(INDIRECT(XLOOKUP(FO$3,'TTM Dates'!$B:$B,'TTM Dates'!$E:$E)&amp;ROW($CJ19)&amp;":"&amp;XLOOKUP(FO$3,'TTM Dates'!$B:$B,'TTM Dates'!$C:$C)&amp;ROW($CJ19))))</f>
        <v>15005688.51</v>
      </c>
      <c r="FP19" s="286">
        <f t="array" ref="FP19">IF(FP$3&gt;'GAAP Summary'!$B$2,0,SUM(INDIRECT(XLOOKUP(FP$3,'TTM Dates'!$B:$B,'TTM Dates'!$E:$E)&amp;ROW($CJ19)&amp;":"&amp;XLOOKUP(FP$3,'TTM Dates'!$B:$B,'TTM Dates'!$C:$C)&amp;ROW($CJ19))))</f>
        <v>15725928.92</v>
      </c>
      <c r="FQ19" s="286">
        <f t="array" ref="FQ19">IF(FQ$3&gt;'GAAP Summary'!$B$2,0,SUM(INDIRECT(XLOOKUP(FQ$3,'TTM Dates'!$B:$B,'TTM Dates'!$E:$E)&amp;ROW($CJ19)&amp;":"&amp;XLOOKUP(FQ$3,'TTM Dates'!$B:$B,'TTM Dates'!$C:$C)&amp;ROW($CJ19))))</f>
        <v>16606757.08</v>
      </c>
      <c r="FR19" s="286">
        <f t="array" ref="FR19">IF(FR$3&gt;'GAAP Summary'!$B$2,0,SUM(INDIRECT(XLOOKUP(FR$3,'TTM Dates'!$B:$B,'TTM Dates'!$E:$E)&amp;ROW($CJ19)&amp;":"&amp;XLOOKUP(FR$3,'TTM Dates'!$B:$B,'TTM Dates'!$C:$C)&amp;ROW($CJ19))))</f>
        <v>17360210.76</v>
      </c>
      <c r="FS19" s="286">
        <f t="array" ref="FS19">IF(FS$3&gt;'GAAP Summary'!$B$2,0,SUM(INDIRECT(XLOOKUP(FS$3,'TTM Dates'!$B:$B,'TTM Dates'!$E:$E)&amp;ROW($CJ19)&amp;":"&amp;XLOOKUP(FS$3,'TTM Dates'!$B:$B,'TTM Dates'!$C:$C)&amp;ROW($CJ19))))</f>
        <v>17990300.4</v>
      </c>
      <c r="FT19" s="286">
        <f t="array" ref="FT19">IF(FT$3&gt;'GAAP Summary'!$B$2,0,SUM(INDIRECT(XLOOKUP(FT$3,'TTM Dates'!$B:$B,'TTM Dates'!$E:$E)&amp;ROW($CJ19)&amp;":"&amp;XLOOKUP(FT$3,'TTM Dates'!$B:$B,'TTM Dates'!$C:$C)&amp;ROW($CJ19))))</f>
        <v>18720225.65</v>
      </c>
      <c r="FU19" s="286">
        <f t="array" ref="FU19">IF(FU$3&gt;'GAAP Summary'!$B$2,0,SUM(INDIRECT(XLOOKUP(FU$3,'TTM Dates'!$B:$B,'TTM Dates'!$E:$E)&amp;ROW($CJ19)&amp;":"&amp;XLOOKUP(FU$3,'TTM Dates'!$B:$B,'TTM Dates'!$C:$C)&amp;ROW($CJ19))))</f>
        <v>19725230.02</v>
      </c>
      <c r="FV19" s="286">
        <f t="array" ref="FV19">IF(FV$3&gt;'GAAP Summary'!$B$2,0,SUM(INDIRECT(XLOOKUP(FV$3,'TTM Dates'!$B:$B,'TTM Dates'!$E:$E)&amp;ROW($CJ19)&amp;":"&amp;XLOOKUP(FV$3,'TTM Dates'!$B:$B,'TTM Dates'!$C:$C)&amp;ROW($CJ19))))</f>
        <v>20403316.18</v>
      </c>
      <c r="FW19" s="286">
        <f t="array" ref="FW19">IF(FW$3&gt;'GAAP Summary'!$B$2,0,SUM(INDIRECT(XLOOKUP(FW$3,'TTM Dates'!$B:$B,'TTM Dates'!$E:$E)&amp;ROW($CJ19)&amp;":"&amp;XLOOKUP(FW$3,'TTM Dates'!$B:$B,'TTM Dates'!$C:$C)&amp;ROW($CJ19))))</f>
        <v>21568869.41</v>
      </c>
      <c r="FX19" s="286">
        <f t="array" ref="FX19">IF(FX$3&gt;'GAAP Summary'!$B$2,0,SUM(INDIRECT(XLOOKUP(FX$3,'TTM Dates'!$B:$B,'TTM Dates'!$E:$E)&amp;ROW($CJ19)&amp;":"&amp;XLOOKUP(FX$3,'TTM Dates'!$B:$B,'TTM Dates'!$C:$C)&amp;ROW($CJ19))))</f>
        <v>22977825.99</v>
      </c>
      <c r="FY19" s="286">
        <f t="array" ref="FY19">IF(FY$3&gt;'GAAP Summary'!$B$2,0,SUM(INDIRECT(XLOOKUP(FY$3,'TTM Dates'!$B:$B,'TTM Dates'!$E:$E)&amp;ROW($CJ19)&amp;":"&amp;XLOOKUP(FY$3,'TTM Dates'!$B:$B,'TTM Dates'!$C:$C)&amp;ROW($CJ19))))</f>
        <v>23826809.31</v>
      </c>
      <c r="FZ19" s="286">
        <f t="array" ref="FZ19">IF(FZ$3&gt;'GAAP Summary'!$B$2,0,SUM(INDIRECT(XLOOKUP(FZ$3,'TTM Dates'!$B:$B,'TTM Dates'!$E:$E)&amp;ROW($CJ19)&amp;":"&amp;XLOOKUP(FZ$3,'TTM Dates'!$B:$B,'TTM Dates'!$C:$C)&amp;ROW($CJ19))))</f>
        <v>24951038</v>
      </c>
      <c r="GA19" s="286">
        <f t="array" ref="GA19">IF(GA$3&gt;'GAAP Summary'!$B$2,0,SUM(INDIRECT(XLOOKUP(GA$3,'TTM Dates'!$B:$B,'TTM Dates'!$E:$E)&amp;ROW($CJ19)&amp;":"&amp;XLOOKUP(GA$3,'TTM Dates'!$B:$B,'TTM Dates'!$C:$C)&amp;ROW($CJ19))))</f>
        <v>26354564.82</v>
      </c>
      <c r="GB19" s="286">
        <f t="array" ref="GB19">IF(GB$3&gt;'GAAP Summary'!$B$2,0,SUM(INDIRECT(XLOOKUP(GB$3,'TTM Dates'!$B:$B,'TTM Dates'!$E:$E)&amp;ROW($CJ19)&amp;":"&amp;XLOOKUP(GB$3,'TTM Dates'!$B:$B,'TTM Dates'!$C:$C)&amp;ROW($CJ19))))</f>
        <v>27692729.94</v>
      </c>
      <c r="GC19" s="286">
        <f t="array" ref="GC19">IF(GC$3&gt;'GAAP Summary'!$B$2,0,SUM(INDIRECT(XLOOKUP(GC$3,'TTM Dates'!$B:$B,'TTM Dates'!$E:$E)&amp;ROW($CJ19)&amp;":"&amp;XLOOKUP(GC$3,'TTM Dates'!$B:$B,'TTM Dates'!$C:$C)&amp;ROW($CJ19))))</f>
        <v>29286700.64</v>
      </c>
      <c r="GD19" s="286">
        <f t="array" ref="GD19">IF(GD$3&gt;'GAAP Summary'!$B$2,0,SUM(INDIRECT(XLOOKUP(GD$3,'TTM Dates'!$B:$B,'TTM Dates'!$E:$E)&amp;ROW($CJ19)&amp;":"&amp;XLOOKUP(GD$3,'TTM Dates'!$B:$B,'TTM Dates'!$C:$C)&amp;ROW($CJ19))))</f>
        <v>30629466.05</v>
      </c>
      <c r="GE19" s="286">
        <f t="array" ref="GE19">IF(GE$3&gt;'GAAP Summary'!$B$2,0,SUM(INDIRECT(XLOOKUP(GE$3,'TTM Dates'!$B:$B,'TTM Dates'!$E:$E)&amp;ROW($CJ19)&amp;":"&amp;XLOOKUP(GE$3,'TTM Dates'!$B:$B,'TTM Dates'!$C:$C)&amp;ROW($CJ19))))</f>
        <v>31515352.59</v>
      </c>
      <c r="GF19" s="286">
        <f t="array" ref="GF19">IF(GF$3&gt;'GAAP Summary'!$B$2,0,SUM(INDIRECT(XLOOKUP(GF$3,'TTM Dates'!$B:$B,'TTM Dates'!$E:$E)&amp;ROW($CJ19)&amp;":"&amp;XLOOKUP(GF$3,'TTM Dates'!$B:$B,'TTM Dates'!$C:$C)&amp;ROW($CJ19))))</f>
        <v>33090595.65</v>
      </c>
      <c r="GG19" s="286">
        <f t="array" ref="GG19">IF(GG$3&gt;'GAAP Summary'!$B$2,0,SUM(INDIRECT(XLOOKUP(GG$3,'TTM Dates'!$B:$B,'TTM Dates'!$E:$E)&amp;ROW($CJ19)&amp;":"&amp;XLOOKUP(GG$3,'TTM Dates'!$B:$B,'TTM Dates'!$C:$C)&amp;ROW($CJ19))))</f>
        <v>0</v>
      </c>
      <c r="GH19" s="286">
        <f t="array" ref="GH19">IF(GH$3&gt;'GAAP Summary'!$B$2,0,SUM(INDIRECT(XLOOKUP(GH$3,'TTM Dates'!$B:$B,'TTM Dates'!$E:$E)&amp;ROW($CJ19)&amp;":"&amp;XLOOKUP(GH$3,'TTM Dates'!$B:$B,'TTM Dates'!$C:$C)&amp;ROW($CJ19))))</f>
        <v>0</v>
      </c>
      <c r="GI19" s="286">
        <f t="array" ref="GI19">IF(GI$3&gt;'GAAP Summary'!$B$2,0,SUM(INDIRECT(XLOOKUP(GI$3,'TTM Dates'!$B:$B,'TTM Dates'!$E:$E)&amp;ROW($CJ19)&amp;":"&amp;XLOOKUP(GI$3,'TTM Dates'!$B:$B,'TTM Dates'!$C:$C)&amp;ROW($CJ19))))</f>
        <v>0</v>
      </c>
      <c r="GJ19" s="286">
        <f t="array" ref="GJ19">IF(GJ$3&gt;'GAAP Summary'!$B$2,0,SUM(INDIRECT(XLOOKUP(GJ$3,'TTM Dates'!$B:$B,'TTM Dates'!$E:$E)&amp;ROW($CJ19)&amp;":"&amp;XLOOKUP(GJ$3,'TTM Dates'!$B:$B,'TTM Dates'!$C:$C)&amp;ROW($CJ19))))</f>
        <v>0</v>
      </c>
      <c r="GK19" s="286">
        <f t="array" ref="GK19">IF(GK$3&gt;'GAAP Summary'!$B$2,0,SUM(INDIRECT(XLOOKUP(GK$3,'TTM Dates'!$B:$B,'TTM Dates'!$E:$E)&amp;ROW($CJ19)&amp;":"&amp;XLOOKUP(GK$3,'TTM Dates'!$B:$B,'TTM Dates'!$C:$C)&amp;ROW($CJ19))))</f>
        <v>0</v>
      </c>
      <c r="GL19" s="286">
        <f t="array" ref="GL19">IF(GL$3&gt;'GAAP Summary'!$B$2,0,SUM(INDIRECT(XLOOKUP(GL$3,'TTM Dates'!$B:$B,'TTM Dates'!$E:$E)&amp;ROW($CJ19)&amp;":"&amp;XLOOKUP(GL$3,'TTM Dates'!$B:$B,'TTM Dates'!$C:$C)&amp;ROW($CJ19))))</f>
        <v>0</v>
      </c>
      <c r="GM19" s="286"/>
    </row>
    <row r="20" outlineLevel="1">
      <c r="B20" s="135" t="s">
        <v>305</v>
      </c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>
        <v>771081.83</v>
      </c>
      <c r="AZ20" s="137">
        <v>769743.59</v>
      </c>
      <c r="BA20" s="145">
        <v>807165.84</v>
      </c>
      <c r="BB20" s="137">
        <v>1051374.32</v>
      </c>
      <c r="BC20" s="137">
        <v>1157715.36</v>
      </c>
      <c r="BD20" s="137">
        <v>1129856.75</v>
      </c>
      <c r="BE20" s="137">
        <v>1257534.63</v>
      </c>
      <c r="BF20" s="137">
        <v>1356081.84</v>
      </c>
      <c r="BG20" s="137">
        <v>1296433.12</v>
      </c>
      <c r="BH20" s="137">
        <v>1615619.4</v>
      </c>
      <c r="BI20" s="137">
        <v>1448123.59</v>
      </c>
      <c r="BJ20" s="137">
        <v>1488937.07</v>
      </c>
      <c r="BK20" s="137">
        <v>1533472.0</v>
      </c>
      <c r="BL20" s="137">
        <v>1536951.0</v>
      </c>
      <c r="BM20" s="145">
        <v>1682161.0</v>
      </c>
      <c r="BN20" s="145">
        <v>1798995.0</v>
      </c>
      <c r="BO20" s="287">
        <v>1781972.0</v>
      </c>
      <c r="BP20" s="137">
        <v>1853949.0</v>
      </c>
      <c r="BQ20" s="137">
        <v>2268372.0</v>
      </c>
      <c r="BR20" s="137">
        <v>2040001.0</v>
      </c>
      <c r="BS20" s="137">
        <v>2467819.35</v>
      </c>
      <c r="BT20" s="338">
        <v>3001139.81</v>
      </c>
      <c r="BU20" s="137">
        <v>2302939.91</v>
      </c>
      <c r="BV20" s="137">
        <v>2467373.72</v>
      </c>
      <c r="BW20" s="137">
        <v>2942831.82</v>
      </c>
      <c r="BX20" s="137">
        <v>2880949.12</v>
      </c>
      <c r="BY20" s="137">
        <v>3280298.03</v>
      </c>
      <c r="BZ20" s="137">
        <f>2585543.06+560383.68</f>
        <v>3145926.74</v>
      </c>
      <c r="CA20" s="137">
        <f>2457304.79+216386.75</f>
        <v>2673691.54</v>
      </c>
      <c r="CB20" s="137">
        <f>3393716.51+29780.3+9861.58</f>
        <v>3433358.39</v>
      </c>
      <c r="CC20" s="54"/>
      <c r="CD20" s="54"/>
      <c r="CE20" s="54"/>
      <c r="CF20" s="54"/>
      <c r="CG20" s="54"/>
      <c r="CH20" s="54"/>
      <c r="CI20" s="33"/>
      <c r="CJ20" s="33"/>
      <c r="CK20" s="303">
        <f t="array" ref="CK20">SUM(INDIRECT(XLOOKUP('GAAP Summary'!$B$2,'TTM Dates'!$B:$B,'TTM Dates'!$E:$E)&amp;ROW($CJ20)&amp;":"&amp;XLOOKUP('GAAP Summary'!$B$2,'TTM Dates'!$B:$B,'TTM Dates'!$C:$C)&amp;ROW($CJ20)))</f>
        <v>32904701.43</v>
      </c>
      <c r="CL20" s="136"/>
      <c r="CM20" s="141">
        <f t="shared" si="39"/>
        <v>9104078.97</v>
      </c>
      <c r="CN20" s="141">
        <f t="shared" si="40"/>
        <v>9252976.67</v>
      </c>
      <c r="CO20" s="141">
        <f t="shared" si="41"/>
        <v>0</v>
      </c>
      <c r="CP20" s="141">
        <f t="shared" si="42"/>
        <v>0</v>
      </c>
      <c r="CQ20" s="339">
        <f t="shared" si="43"/>
        <v>18357055.64</v>
      </c>
      <c r="CR20" s="136"/>
      <c r="CS20" s="136">
        <f t="shared" si="44"/>
        <v>4752584</v>
      </c>
      <c r="CT20" s="136">
        <f t="shared" si="45"/>
        <v>5434916</v>
      </c>
      <c r="CU20" s="136">
        <f t="shared" si="46"/>
        <v>6776192.35</v>
      </c>
      <c r="CV20" s="136">
        <f t="shared" si="47"/>
        <v>7771453.44</v>
      </c>
      <c r="CW20" s="292">
        <f t="shared" si="48"/>
        <v>24735145.79</v>
      </c>
      <c r="CX20" s="136"/>
      <c r="CY20" s="136">
        <f t="shared" si="49"/>
        <v>2347991.26</v>
      </c>
      <c r="CZ20" s="136">
        <f t="shared" si="50"/>
        <v>3338946.43</v>
      </c>
      <c r="DA20" s="136">
        <f t="shared" si="51"/>
        <v>3910049.59</v>
      </c>
      <c r="DB20" s="136">
        <f t="shared" si="52"/>
        <v>4552680.06</v>
      </c>
      <c r="DC20" s="292">
        <f t="shared" si="53"/>
        <v>14149667.34</v>
      </c>
      <c r="DD20" s="136"/>
      <c r="DE20" s="136">
        <f t="shared" si="54"/>
        <v>0</v>
      </c>
      <c r="DF20" s="136">
        <f t="shared" si="55"/>
        <v>0</v>
      </c>
      <c r="DG20" s="136">
        <f t="shared" si="56"/>
        <v>0</v>
      </c>
      <c r="DH20" s="136">
        <f t="shared" si="57"/>
        <v>0</v>
      </c>
      <c r="DI20" s="292">
        <f t="shared" si="58"/>
        <v>0</v>
      </c>
      <c r="DJ20" s="136"/>
      <c r="DK20" s="137">
        <f t="shared" ref="DK20:DK25" si="65">sum(AA20:AC20)</f>
        <v>0</v>
      </c>
      <c r="DL20" s="137">
        <f t="shared" ref="DL20:DL25" si="66">sum(AD20:AF20)</f>
        <v>0</v>
      </c>
      <c r="DM20" s="137">
        <f t="shared" ref="DM20:DM25" si="67">sum(AG20:AI20)</f>
        <v>0</v>
      </c>
      <c r="DN20" s="137">
        <f t="shared" ref="DN20:DN25" si="68">sum(AJ20:AL20)</f>
        <v>0</v>
      </c>
      <c r="DO20" s="142">
        <f t="shared" ref="DO20:DO25" si="69">sum(AA20:AL20)</f>
        <v>0</v>
      </c>
      <c r="DP20" s="136"/>
      <c r="DQ20" s="292"/>
      <c r="DR20" s="136"/>
      <c r="DS20" s="136">
        <f t="array" ref="DS20">IF(DS$3&gt;'GAAP Summary'!$B$2,0,SUM(INDIRECT(XLOOKUP(DS$3,'TTM Dates'!$B:$B,'TTM Dates'!$E:$E)&amp;ROW($CJ20)&amp;":"&amp;XLOOKUP(DS$3,'TTM Dates'!$B:$B,'TTM Dates'!$C:$C)&amp;ROW($CJ20))))</f>
        <v>0</v>
      </c>
      <c r="DT20" s="136">
        <f t="array" ref="DT20">IF(DT$3&gt;'GAAP Summary'!$B$2,0,SUM(INDIRECT(XLOOKUP(DT$3,'TTM Dates'!$B:$B,'TTM Dates'!$E:$E)&amp;ROW($CJ20)&amp;":"&amp;XLOOKUP(DT$3,'TTM Dates'!$B:$B,'TTM Dates'!$C:$C)&amp;ROW($CJ20))))</f>
        <v>0</v>
      </c>
      <c r="DU20" s="136">
        <f t="array" ref="DU20">IF(DU$3&gt;'GAAP Summary'!$B$2,0,SUM(INDIRECT(XLOOKUP(DU$3,'TTM Dates'!$B:$B,'TTM Dates'!$E:$E)&amp;ROW($CJ20)&amp;":"&amp;XLOOKUP(DU$3,'TTM Dates'!$B:$B,'TTM Dates'!$C:$C)&amp;ROW($CJ20))))</f>
        <v>0</v>
      </c>
      <c r="DV20" s="136">
        <f t="array" ref="DV20">IF(DV$3&gt;'GAAP Summary'!$B$2,0,SUM(INDIRECT(XLOOKUP(DV$3,'TTM Dates'!$B:$B,'TTM Dates'!$E:$E)&amp;ROW($CJ20)&amp;":"&amp;XLOOKUP(DV$3,'TTM Dates'!$B:$B,'TTM Dates'!$C:$C)&amp;ROW($CJ20))))</f>
        <v>0</v>
      </c>
      <c r="DW20" s="136">
        <f t="array" ref="DW20">IF(DW$3&gt;'GAAP Summary'!$B$2,0,SUM(INDIRECT(XLOOKUP(DW$3,'TTM Dates'!$B:$B,'TTM Dates'!$E:$E)&amp;ROW($CJ20)&amp;":"&amp;XLOOKUP(DW$3,'TTM Dates'!$B:$B,'TTM Dates'!$C:$C)&amp;ROW($CJ20))))</f>
        <v>0</v>
      </c>
      <c r="DX20" s="136">
        <f t="array" ref="DX20">IF(DX$3&gt;'GAAP Summary'!$B$2,0,SUM(INDIRECT(XLOOKUP(DX$3,'TTM Dates'!$B:$B,'TTM Dates'!$E:$E)&amp;ROW($CJ20)&amp;":"&amp;XLOOKUP(DX$3,'TTM Dates'!$B:$B,'TTM Dates'!$C:$C)&amp;ROW($CJ20))))</f>
        <v>0</v>
      </c>
      <c r="DY20" s="136">
        <f t="array" ref="DY20">IF(DY$3&gt;'GAAP Summary'!$B$2,0,SUM(INDIRECT(XLOOKUP(DY$3,'TTM Dates'!$B:$B,'TTM Dates'!$E:$E)&amp;ROW($CJ20)&amp;":"&amp;XLOOKUP(DY$3,'TTM Dates'!$B:$B,'TTM Dates'!$C:$C)&amp;ROW($CJ20))))</f>
        <v>0</v>
      </c>
      <c r="DZ20" s="136">
        <f t="array" ref="DZ20">IF(DZ$3&gt;'GAAP Summary'!$B$2,0,SUM(INDIRECT(XLOOKUP(DZ$3,'TTM Dates'!$B:$B,'TTM Dates'!$E:$E)&amp;ROW($CJ20)&amp;":"&amp;XLOOKUP(DZ$3,'TTM Dates'!$B:$B,'TTM Dates'!$C:$C)&amp;ROW($CJ20))))</f>
        <v>0</v>
      </c>
      <c r="EA20" s="136">
        <f t="array" ref="EA20">IF(EA$3&gt;'GAAP Summary'!$B$2,0,SUM(INDIRECT(XLOOKUP(EA$3,'TTM Dates'!$B:$B,'TTM Dates'!$E:$E)&amp;ROW($CJ20)&amp;":"&amp;XLOOKUP(EA$3,'TTM Dates'!$B:$B,'TTM Dates'!$C:$C)&amp;ROW($CJ20))))</f>
        <v>0</v>
      </c>
      <c r="EB20" s="136">
        <f t="array" ref="EB20">IF(EB$3&gt;'GAAP Summary'!$B$2,0,SUM(INDIRECT(XLOOKUP(EB$3,'TTM Dates'!$B:$B,'TTM Dates'!$E:$E)&amp;ROW($CJ20)&amp;":"&amp;XLOOKUP(EB$3,'TTM Dates'!$B:$B,'TTM Dates'!$C:$C)&amp;ROW($CJ20))))</f>
        <v>0</v>
      </c>
      <c r="EC20" s="136">
        <f t="array" ref="EC20">IF(EC$3&gt;'GAAP Summary'!$B$2,0,SUM(INDIRECT(XLOOKUP(EC$3,'TTM Dates'!$B:$B,'TTM Dates'!$E:$E)&amp;ROW($CJ20)&amp;":"&amp;XLOOKUP(EC$3,'TTM Dates'!$B:$B,'TTM Dates'!$C:$C)&amp;ROW($CJ20))))</f>
        <v>0</v>
      </c>
      <c r="ED20" s="136">
        <f t="array" ref="ED20">IF(ED$3&gt;'GAAP Summary'!$B$2,0,SUM(INDIRECT(XLOOKUP(ED$3,'TTM Dates'!$B:$B,'TTM Dates'!$E:$E)&amp;ROW($CJ20)&amp;":"&amp;XLOOKUP(ED$3,'TTM Dates'!$B:$B,'TTM Dates'!$C:$C)&amp;ROW($CJ20))))</f>
        <v>0</v>
      </c>
      <c r="EE20" s="136">
        <f t="array" ref="EE20">IF(EE$3&gt;'GAAP Summary'!$B$2,0,SUM(INDIRECT(XLOOKUP(EE$3,'TTM Dates'!$B:$B,'TTM Dates'!$E:$E)&amp;ROW($CJ20)&amp;":"&amp;XLOOKUP(EE$3,'TTM Dates'!$B:$B,'TTM Dates'!$C:$C)&amp;ROW($CJ20))))</f>
        <v>0</v>
      </c>
      <c r="EF20" s="136">
        <f t="array" ref="EF20">IF(EF$3&gt;'GAAP Summary'!$B$2,0,SUM(INDIRECT(XLOOKUP(EF$3,'TTM Dates'!$B:$B,'TTM Dates'!$E:$E)&amp;ROW($CJ20)&amp;":"&amp;XLOOKUP(EF$3,'TTM Dates'!$B:$B,'TTM Dates'!$C:$C)&amp;ROW($CJ20))))</f>
        <v>0</v>
      </c>
      <c r="EG20" s="136">
        <f t="array" ref="EG20">IF(EG$3&gt;'GAAP Summary'!$B$2,0,SUM(INDIRECT(XLOOKUP(EG$3,'TTM Dates'!$B:$B,'TTM Dates'!$E:$E)&amp;ROW($CJ20)&amp;":"&amp;XLOOKUP(EG$3,'TTM Dates'!$B:$B,'TTM Dates'!$C:$C)&amp;ROW($CJ20))))</f>
        <v>0</v>
      </c>
      <c r="EH20" s="136">
        <f t="array" ref="EH20">IF(EH$3&gt;'GAAP Summary'!$B$2,0,SUM(INDIRECT(XLOOKUP(EH$3,'TTM Dates'!$B:$B,'TTM Dates'!$E:$E)&amp;ROW($CJ20)&amp;":"&amp;XLOOKUP(EH$3,'TTM Dates'!$B:$B,'TTM Dates'!$C:$C)&amp;ROW($CJ20))))</f>
        <v>0</v>
      </c>
      <c r="EI20" s="136">
        <f t="array" ref="EI20">IF(EI$3&gt;'GAAP Summary'!$B$2,0,SUM(INDIRECT(XLOOKUP(EI$3,'TTM Dates'!$B:$B,'TTM Dates'!$E:$E)&amp;ROW($CJ20)&amp;":"&amp;XLOOKUP(EI$3,'TTM Dates'!$B:$B,'TTM Dates'!$C:$C)&amp;ROW($CJ20))))</f>
        <v>0</v>
      </c>
      <c r="EJ20" s="136">
        <f t="array" ref="EJ20">IF(EJ$3&gt;'GAAP Summary'!$B$2,0,SUM(INDIRECT(XLOOKUP(EJ$3,'TTM Dates'!$B:$B,'TTM Dates'!$E:$E)&amp;ROW($CJ20)&amp;":"&amp;XLOOKUP(EJ$3,'TTM Dates'!$B:$B,'TTM Dates'!$C:$C)&amp;ROW($CJ20))))</f>
        <v>0</v>
      </c>
      <c r="EK20" s="136">
        <f t="array" ref="EK20">IF(EK$3&gt;'GAAP Summary'!$B$2,0,SUM(INDIRECT(XLOOKUP(EK$3,'TTM Dates'!$B:$B,'TTM Dates'!$E:$E)&amp;ROW($CJ20)&amp;":"&amp;XLOOKUP(EK$3,'TTM Dates'!$B:$B,'TTM Dates'!$C:$C)&amp;ROW($CJ20))))</f>
        <v>0</v>
      </c>
      <c r="EL20" s="136">
        <f t="array" ref="EL20">IF(EL$3&gt;'GAAP Summary'!$B$2,0,SUM(INDIRECT(XLOOKUP(EL$3,'TTM Dates'!$B:$B,'TTM Dates'!$E:$E)&amp;ROW($CJ20)&amp;":"&amp;XLOOKUP(EL$3,'TTM Dates'!$B:$B,'TTM Dates'!$C:$C)&amp;ROW($CJ20))))</f>
        <v>0</v>
      </c>
      <c r="EM20" s="136">
        <f t="array" ref="EM20">IF(EM$3&gt;'GAAP Summary'!$B$2,0,SUM(INDIRECT(XLOOKUP(EM$3,'TTM Dates'!$B:$B,'TTM Dates'!$E:$E)&amp;ROW($CJ20)&amp;":"&amp;XLOOKUP(EM$3,'TTM Dates'!$B:$B,'TTM Dates'!$C:$C)&amp;ROW($CJ20))))</f>
        <v>0</v>
      </c>
      <c r="EN20" s="136">
        <f t="array" ref="EN20">IF(EN$3&gt;'GAAP Summary'!$B$2,0,SUM(INDIRECT(XLOOKUP(EN$3,'TTM Dates'!$B:$B,'TTM Dates'!$E:$E)&amp;ROW($CJ20)&amp;":"&amp;XLOOKUP(EN$3,'TTM Dates'!$B:$B,'TTM Dates'!$C:$C)&amp;ROW($CJ20))))</f>
        <v>0</v>
      </c>
      <c r="EO20" s="136">
        <f t="array" ref="EO20">IF(EO$3&gt;'GAAP Summary'!$B$2,0,SUM(INDIRECT(XLOOKUP(EO$3,'TTM Dates'!$B:$B,'TTM Dates'!$E:$E)&amp;ROW($CJ20)&amp;":"&amp;XLOOKUP(EO$3,'TTM Dates'!$B:$B,'TTM Dates'!$C:$C)&amp;ROW($CJ20))))</f>
        <v>0</v>
      </c>
      <c r="EP20" s="136">
        <f t="array" ref="EP20">IF(EP$3&gt;'GAAP Summary'!$B$2,0,SUM(INDIRECT(XLOOKUP(EP$3,'TTM Dates'!$B:$B,'TTM Dates'!$E:$E)&amp;ROW($CJ20)&amp;":"&amp;XLOOKUP(EP$3,'TTM Dates'!$B:$B,'TTM Dates'!$C:$C)&amp;ROW($CJ20))))</f>
        <v>0</v>
      </c>
      <c r="EQ20" s="136">
        <f t="array" ref="EQ20">IF(EQ$3&gt;'GAAP Summary'!$B$2,0,SUM(INDIRECT(XLOOKUP(EQ$3,'TTM Dates'!$B:$B,'TTM Dates'!$E:$E)&amp;ROW($CJ20)&amp;":"&amp;XLOOKUP(EQ$3,'TTM Dates'!$B:$B,'TTM Dates'!$C:$C)&amp;ROW($CJ20))))</f>
        <v>0</v>
      </c>
      <c r="ER20" s="136">
        <f t="array" ref="ER20">IF(ER$3&gt;'GAAP Summary'!$B$2,0,SUM(INDIRECT(XLOOKUP(ER$3,'TTM Dates'!$B:$B,'TTM Dates'!$E:$E)&amp;ROW($CJ20)&amp;":"&amp;XLOOKUP(ER$3,'TTM Dates'!$B:$B,'TTM Dates'!$C:$C)&amp;ROW($CJ20))))</f>
        <v>0</v>
      </c>
      <c r="ES20" s="136">
        <f t="array" ref="ES20">IF(ES$3&gt;'GAAP Summary'!$B$2,0,SUM(INDIRECT(XLOOKUP(ES$3,'TTM Dates'!$B:$B,'TTM Dates'!$E:$E)&amp;ROW($CJ20)&amp;":"&amp;XLOOKUP(ES$3,'TTM Dates'!$B:$B,'TTM Dates'!$C:$C)&amp;ROW($CJ20))))</f>
        <v>0</v>
      </c>
      <c r="ET20" s="136">
        <f t="array" ref="ET20">IF(ET$3&gt;'GAAP Summary'!$B$2,0,SUM(INDIRECT(XLOOKUP(ET$3,'TTM Dates'!$B:$B,'TTM Dates'!$E:$E)&amp;ROW($CJ20)&amp;":"&amp;XLOOKUP(ET$3,'TTM Dates'!$B:$B,'TTM Dates'!$C:$C)&amp;ROW($CJ20))))</f>
        <v>0</v>
      </c>
      <c r="EU20" s="136">
        <f t="array" ref="EU20">IF(EU$3&gt;'GAAP Summary'!$B$2,0,SUM(INDIRECT(XLOOKUP(EU$3,'TTM Dates'!$B:$B,'TTM Dates'!$E:$E)&amp;ROW($CJ20)&amp;":"&amp;XLOOKUP(EU$3,'TTM Dates'!$B:$B,'TTM Dates'!$C:$C)&amp;ROW($CJ20))))</f>
        <v>0</v>
      </c>
      <c r="EV20" s="136">
        <f t="array" ref="EV20">IF(EV$3&gt;'GAAP Summary'!$B$2,0,SUM(INDIRECT(XLOOKUP(EV$3,'TTM Dates'!$B:$B,'TTM Dates'!$E:$E)&amp;ROW($CJ20)&amp;":"&amp;XLOOKUP(EV$3,'TTM Dates'!$B:$B,'TTM Dates'!$C:$C)&amp;ROW($CJ20))))</f>
        <v>0</v>
      </c>
      <c r="EW20" s="136">
        <f t="array" ref="EW20">IF(EW$3&gt;'GAAP Summary'!$B$2,0,SUM(INDIRECT(XLOOKUP(EW$3,'TTM Dates'!$B:$B,'TTM Dates'!$E:$E)&amp;ROW($CJ20)&amp;":"&amp;XLOOKUP(EW$3,'TTM Dates'!$B:$B,'TTM Dates'!$C:$C)&amp;ROW($CJ20))))</f>
        <v>0</v>
      </c>
      <c r="EX20" s="136">
        <f t="array" ref="EX20">IF(EX$3&gt;'GAAP Summary'!$B$2,0,SUM(INDIRECT(XLOOKUP(EX$3,'TTM Dates'!$B:$B,'TTM Dates'!$E:$E)&amp;ROW($CJ20)&amp;":"&amp;XLOOKUP(EX$3,'TTM Dates'!$B:$B,'TTM Dates'!$C:$C)&amp;ROW($CJ20))))</f>
        <v>0</v>
      </c>
      <c r="EY20" s="136">
        <f t="array" ref="EY20">IF(EY$3&gt;'GAAP Summary'!$B$2,0,SUM(INDIRECT(XLOOKUP(EY$3,'TTM Dates'!$B:$B,'TTM Dates'!$E:$E)&amp;ROW($CJ20)&amp;":"&amp;XLOOKUP(EY$3,'TTM Dates'!$B:$B,'TTM Dates'!$C:$C)&amp;ROW($CJ20))))</f>
        <v>0</v>
      </c>
      <c r="EZ20" s="136">
        <f t="array" ref="EZ20">IF(EZ$3&gt;'GAAP Summary'!$B$2,0,SUM(INDIRECT(XLOOKUP(EZ$3,'TTM Dates'!$B:$B,'TTM Dates'!$E:$E)&amp;ROW($CJ20)&amp;":"&amp;XLOOKUP(EZ$3,'TTM Dates'!$B:$B,'TTM Dates'!$C:$C)&amp;ROW($CJ20))))</f>
        <v>0</v>
      </c>
      <c r="FA20" s="136">
        <f t="array" ref="FA20">IF(FA$3&gt;'GAAP Summary'!$B$2,0,SUM(INDIRECT(XLOOKUP(FA$3,'TTM Dates'!$B:$B,'TTM Dates'!$E:$E)&amp;ROW($CJ20)&amp;":"&amp;XLOOKUP(FA$3,'TTM Dates'!$B:$B,'TTM Dates'!$C:$C)&amp;ROW($CJ20))))</f>
        <v>0</v>
      </c>
      <c r="FB20" s="136">
        <f t="array" ref="FB20">IF(FB$3&gt;'GAAP Summary'!$B$2,0,SUM(INDIRECT(XLOOKUP(FB$3,'TTM Dates'!$B:$B,'TTM Dates'!$E:$E)&amp;ROW($CJ20)&amp;":"&amp;XLOOKUP(FB$3,'TTM Dates'!$B:$B,'TTM Dates'!$C:$C)&amp;ROW($CJ20))))</f>
        <v>0</v>
      </c>
      <c r="FC20" s="136">
        <f t="array" ref="FC20">IF(FC$3&gt;'GAAP Summary'!$B$2,0,SUM(INDIRECT(XLOOKUP(FC$3,'TTM Dates'!$B:$B,'TTM Dates'!$E:$E)&amp;ROW($CJ20)&amp;":"&amp;XLOOKUP(FC$3,'TTM Dates'!$B:$B,'TTM Dates'!$C:$C)&amp;ROW($CJ20))))</f>
        <v>771081.83</v>
      </c>
      <c r="FD20" s="136">
        <f t="array" ref="FD20">IF(FD$3&gt;'GAAP Summary'!$B$2,0,SUM(INDIRECT(XLOOKUP(FD$3,'TTM Dates'!$B:$B,'TTM Dates'!$E:$E)&amp;ROW($CJ20)&amp;":"&amp;XLOOKUP(FD$3,'TTM Dates'!$B:$B,'TTM Dates'!$C:$C)&amp;ROW($CJ20))))</f>
        <v>1540825.42</v>
      </c>
      <c r="FE20" s="136">
        <f t="array" ref="FE20">IF(FE$3&gt;'GAAP Summary'!$B$2,0,SUM(INDIRECT(XLOOKUP(FE$3,'TTM Dates'!$B:$B,'TTM Dates'!$E:$E)&amp;ROW($CJ20)&amp;":"&amp;XLOOKUP(FE$3,'TTM Dates'!$B:$B,'TTM Dates'!$C:$C)&amp;ROW($CJ20))))</f>
        <v>2347991.26</v>
      </c>
      <c r="FF20" s="136">
        <f t="array" ref="FF20">IF(FF$3&gt;'GAAP Summary'!$B$2,0,SUM(INDIRECT(XLOOKUP(FF$3,'TTM Dates'!$B:$B,'TTM Dates'!$E:$E)&amp;ROW($CJ20)&amp;":"&amp;XLOOKUP(FF$3,'TTM Dates'!$B:$B,'TTM Dates'!$C:$C)&amp;ROW($CJ20))))</f>
        <v>3399365.58</v>
      </c>
      <c r="FG20" s="136">
        <f t="array" ref="FG20">IF(FG$3&gt;'GAAP Summary'!$B$2,0,SUM(INDIRECT(XLOOKUP(FG$3,'TTM Dates'!$B:$B,'TTM Dates'!$E:$E)&amp;ROW($CJ20)&amp;":"&amp;XLOOKUP(FG$3,'TTM Dates'!$B:$B,'TTM Dates'!$C:$C)&amp;ROW($CJ20))))</f>
        <v>4557080.94</v>
      </c>
      <c r="FH20" s="136">
        <f t="array" ref="FH20">IF(FH$3&gt;'GAAP Summary'!$B$2,0,SUM(INDIRECT(XLOOKUP(FH$3,'TTM Dates'!$B:$B,'TTM Dates'!$E:$E)&amp;ROW($CJ20)&amp;":"&amp;XLOOKUP(FH$3,'TTM Dates'!$B:$B,'TTM Dates'!$C:$C)&amp;ROW($CJ20))))</f>
        <v>5686937.69</v>
      </c>
      <c r="FI20" s="136">
        <f t="array" ref="FI20">IF(FI$3&gt;'GAAP Summary'!$B$2,0,SUM(INDIRECT(XLOOKUP(FI$3,'TTM Dates'!$B:$B,'TTM Dates'!$E:$E)&amp;ROW($CJ20)&amp;":"&amp;XLOOKUP(FI$3,'TTM Dates'!$B:$B,'TTM Dates'!$C:$C)&amp;ROW($CJ20))))</f>
        <v>6944472.32</v>
      </c>
      <c r="FJ20" s="136">
        <f t="array" ref="FJ20">IF(FJ$3&gt;'GAAP Summary'!$B$2,0,SUM(INDIRECT(XLOOKUP(FJ$3,'TTM Dates'!$B:$B,'TTM Dates'!$E:$E)&amp;ROW($CJ20)&amp;":"&amp;XLOOKUP(FJ$3,'TTM Dates'!$B:$B,'TTM Dates'!$C:$C)&amp;ROW($CJ20))))</f>
        <v>8300554.16</v>
      </c>
      <c r="FK20" s="136">
        <f t="array" ref="FK20">IF(FK$3&gt;'GAAP Summary'!$B$2,0,SUM(INDIRECT(XLOOKUP(FK$3,'TTM Dates'!$B:$B,'TTM Dates'!$E:$E)&amp;ROW($CJ20)&amp;":"&amp;XLOOKUP(FK$3,'TTM Dates'!$B:$B,'TTM Dates'!$C:$C)&amp;ROW($CJ20))))</f>
        <v>9596987.28</v>
      </c>
      <c r="FL20" s="136">
        <f t="array" ref="FL20">IF(FL$3&gt;'GAAP Summary'!$B$2,0,SUM(INDIRECT(XLOOKUP(FL$3,'TTM Dates'!$B:$B,'TTM Dates'!$E:$E)&amp;ROW($CJ20)&amp;":"&amp;XLOOKUP(FL$3,'TTM Dates'!$B:$B,'TTM Dates'!$C:$C)&amp;ROW($CJ20))))</f>
        <v>11212606.68</v>
      </c>
      <c r="FM20" s="136">
        <f t="array" ref="FM20">IF(FM$3&gt;'GAAP Summary'!$B$2,0,SUM(INDIRECT(XLOOKUP(FM$3,'TTM Dates'!$B:$B,'TTM Dates'!$E:$E)&amp;ROW($CJ20)&amp;":"&amp;XLOOKUP(FM$3,'TTM Dates'!$B:$B,'TTM Dates'!$C:$C)&amp;ROW($CJ20))))</f>
        <v>12660730.27</v>
      </c>
      <c r="FN20" s="136">
        <f t="array" ref="FN20">IF(FN$3&gt;'GAAP Summary'!$B$2,0,SUM(INDIRECT(XLOOKUP(FN$3,'TTM Dates'!$B:$B,'TTM Dates'!$E:$E)&amp;ROW($CJ20)&amp;":"&amp;XLOOKUP(FN$3,'TTM Dates'!$B:$B,'TTM Dates'!$C:$C)&amp;ROW($CJ20))))</f>
        <v>14149667.34</v>
      </c>
      <c r="FO20" s="136">
        <f t="array" ref="FO20">IF(FO$3&gt;'GAAP Summary'!$B$2,0,SUM(INDIRECT(XLOOKUP(FO$3,'TTM Dates'!$B:$B,'TTM Dates'!$E:$E)&amp;ROW($CJ20)&amp;":"&amp;XLOOKUP(FO$3,'TTM Dates'!$B:$B,'TTM Dates'!$C:$C)&amp;ROW($CJ20))))</f>
        <v>14912057.51</v>
      </c>
      <c r="FP20" s="136">
        <f t="array" ref="FP20">IF(FP$3&gt;'GAAP Summary'!$B$2,0,SUM(INDIRECT(XLOOKUP(FP$3,'TTM Dates'!$B:$B,'TTM Dates'!$E:$E)&amp;ROW($CJ20)&amp;":"&amp;XLOOKUP(FP$3,'TTM Dates'!$B:$B,'TTM Dates'!$C:$C)&amp;ROW($CJ20))))</f>
        <v>15679264.92</v>
      </c>
      <c r="FQ20" s="136">
        <f t="array" ref="FQ20">IF(FQ$3&gt;'GAAP Summary'!$B$2,0,SUM(INDIRECT(XLOOKUP(FQ$3,'TTM Dates'!$B:$B,'TTM Dates'!$E:$E)&amp;ROW($CJ20)&amp;":"&amp;XLOOKUP(FQ$3,'TTM Dates'!$B:$B,'TTM Dates'!$C:$C)&amp;ROW($CJ20))))</f>
        <v>16554260.08</v>
      </c>
      <c r="FR20" s="136">
        <f t="array" ref="FR20">IF(FR$3&gt;'GAAP Summary'!$B$2,0,SUM(INDIRECT(XLOOKUP(FR$3,'TTM Dates'!$B:$B,'TTM Dates'!$E:$E)&amp;ROW($CJ20)&amp;":"&amp;XLOOKUP(FR$3,'TTM Dates'!$B:$B,'TTM Dates'!$C:$C)&amp;ROW($CJ20))))</f>
        <v>17301880.76</v>
      </c>
      <c r="FS20" s="136">
        <f t="array" ref="FS20">IF(FS$3&gt;'GAAP Summary'!$B$2,0,SUM(INDIRECT(XLOOKUP(FS$3,'TTM Dates'!$B:$B,'TTM Dates'!$E:$E)&amp;ROW($CJ20)&amp;":"&amp;XLOOKUP(FS$3,'TTM Dates'!$B:$B,'TTM Dates'!$C:$C)&amp;ROW($CJ20))))</f>
        <v>17926137.4</v>
      </c>
      <c r="FT20" s="136">
        <f t="array" ref="FT20">IF(FT$3&gt;'GAAP Summary'!$B$2,0,SUM(INDIRECT(XLOOKUP(FT$3,'TTM Dates'!$B:$B,'TTM Dates'!$E:$E)&amp;ROW($CJ20)&amp;":"&amp;XLOOKUP(FT$3,'TTM Dates'!$B:$B,'TTM Dates'!$C:$C)&amp;ROW($CJ20))))</f>
        <v>18650229.65</v>
      </c>
      <c r="FU20" s="136">
        <f t="array" ref="FU20">IF(FU$3&gt;'GAAP Summary'!$B$2,0,SUM(INDIRECT(XLOOKUP(FU$3,'TTM Dates'!$B:$B,'TTM Dates'!$E:$E)&amp;ROW($CJ20)&amp;":"&amp;XLOOKUP(FU$3,'TTM Dates'!$B:$B,'TTM Dates'!$C:$C)&amp;ROW($CJ20))))</f>
        <v>19661067.02</v>
      </c>
      <c r="FV20" s="136">
        <f t="array" ref="FV20">IF(FV$3&gt;'GAAP Summary'!$B$2,0,SUM(INDIRECT(XLOOKUP(FV$3,'TTM Dates'!$B:$B,'TTM Dates'!$E:$E)&amp;ROW($CJ20)&amp;":"&amp;XLOOKUP(FV$3,'TTM Dates'!$B:$B,'TTM Dates'!$C:$C)&amp;ROW($CJ20))))</f>
        <v>20344986.18</v>
      </c>
      <c r="FW20" s="136">
        <f t="array" ref="FW20">IF(FW$3&gt;'GAAP Summary'!$B$2,0,SUM(INDIRECT(XLOOKUP(FW$3,'TTM Dates'!$B:$B,'TTM Dates'!$E:$E)&amp;ROW($CJ20)&amp;":"&amp;XLOOKUP(FW$3,'TTM Dates'!$B:$B,'TTM Dates'!$C:$C)&amp;ROW($CJ20))))</f>
        <v>21516372.41</v>
      </c>
      <c r="FX20" s="136">
        <f t="array" ref="FX20">IF(FX$3&gt;'GAAP Summary'!$B$2,0,SUM(INDIRECT(XLOOKUP(FX$3,'TTM Dates'!$B:$B,'TTM Dates'!$E:$E)&amp;ROW($CJ20)&amp;":"&amp;XLOOKUP(FX$3,'TTM Dates'!$B:$B,'TTM Dates'!$C:$C)&amp;ROW($CJ20))))</f>
        <v>22901892.82</v>
      </c>
      <c r="FY20" s="136">
        <f t="array" ref="FY20">IF(FY$3&gt;'GAAP Summary'!$B$2,0,SUM(INDIRECT(XLOOKUP(FY$3,'TTM Dates'!$B:$B,'TTM Dates'!$E:$E)&amp;ROW($CJ20)&amp;":"&amp;XLOOKUP(FY$3,'TTM Dates'!$B:$B,'TTM Dates'!$C:$C)&amp;ROW($CJ20))))</f>
        <v>23756709.14</v>
      </c>
      <c r="FZ20" s="136">
        <f t="array" ref="FZ20">IF(FZ$3&gt;'GAAP Summary'!$B$2,0,SUM(INDIRECT(XLOOKUP(FZ$3,'TTM Dates'!$B:$B,'TTM Dates'!$E:$E)&amp;ROW($CJ20)&amp;":"&amp;XLOOKUP(FZ$3,'TTM Dates'!$B:$B,'TTM Dates'!$C:$C)&amp;ROW($CJ20))))</f>
        <v>24735145.79</v>
      </c>
      <c r="GA20" s="136">
        <f t="array" ref="GA20">IF(GA$3&gt;'GAAP Summary'!$B$2,0,SUM(INDIRECT(XLOOKUP(GA$3,'TTM Dates'!$B:$B,'TTM Dates'!$E:$E)&amp;ROW($CJ20)&amp;":"&amp;XLOOKUP(GA$3,'TTM Dates'!$B:$B,'TTM Dates'!$C:$C)&amp;ROW($CJ20))))</f>
        <v>26144505.61</v>
      </c>
      <c r="GB20" s="136">
        <f t="array" ref="GB20">IF(GB$3&gt;'GAAP Summary'!$B$2,0,SUM(INDIRECT(XLOOKUP(GB$3,'TTM Dates'!$B:$B,'TTM Dates'!$E:$E)&amp;ROW($CJ20)&amp;":"&amp;XLOOKUP(GB$3,'TTM Dates'!$B:$B,'TTM Dates'!$C:$C)&amp;ROW($CJ20))))</f>
        <v>27488503.73</v>
      </c>
      <c r="GC20" s="136">
        <f t="array" ref="GC20">IF(GC$3&gt;'GAAP Summary'!$B$2,0,SUM(INDIRECT(XLOOKUP(GC$3,'TTM Dates'!$B:$B,'TTM Dates'!$E:$E)&amp;ROW($CJ20)&amp;":"&amp;XLOOKUP(GC$3,'TTM Dates'!$B:$B,'TTM Dates'!$C:$C)&amp;ROW($CJ20))))</f>
        <v>29086640.76</v>
      </c>
      <c r="GD20" s="136">
        <f t="array" ref="GD20">IF(GD$3&gt;'GAAP Summary'!$B$2,0,SUM(INDIRECT(XLOOKUP(GD$3,'TTM Dates'!$B:$B,'TTM Dates'!$E:$E)&amp;ROW($CJ20)&amp;":"&amp;XLOOKUP(GD$3,'TTM Dates'!$B:$B,'TTM Dates'!$C:$C)&amp;ROW($CJ20))))</f>
        <v>30433572.5</v>
      </c>
      <c r="GE20" s="136">
        <f t="array" ref="GE20">IF(GE$3&gt;'GAAP Summary'!$B$2,0,SUM(INDIRECT(XLOOKUP(GE$3,'TTM Dates'!$B:$B,'TTM Dates'!$E:$E)&amp;ROW($CJ20)&amp;":"&amp;XLOOKUP(GE$3,'TTM Dates'!$B:$B,'TTM Dates'!$C:$C)&amp;ROW($CJ20))))</f>
        <v>31325292.04</v>
      </c>
      <c r="GF20" s="136">
        <f t="array" ref="GF20">IF(GF$3&gt;'GAAP Summary'!$B$2,0,SUM(INDIRECT(XLOOKUP(GF$3,'TTM Dates'!$B:$B,'TTM Dates'!$E:$E)&amp;ROW($CJ20)&amp;":"&amp;XLOOKUP(GF$3,'TTM Dates'!$B:$B,'TTM Dates'!$C:$C)&amp;ROW($CJ20))))</f>
        <v>32904701.43</v>
      </c>
      <c r="GG20" s="136">
        <f t="array" ref="GG20">IF(GG$3&gt;'GAAP Summary'!$B$2,0,SUM(INDIRECT(XLOOKUP(GG$3,'TTM Dates'!$B:$B,'TTM Dates'!$E:$E)&amp;ROW($CJ20)&amp;":"&amp;XLOOKUP(GG$3,'TTM Dates'!$B:$B,'TTM Dates'!$C:$C)&amp;ROW($CJ20))))</f>
        <v>0</v>
      </c>
      <c r="GH20" s="136">
        <f t="array" ref="GH20">IF(GH$3&gt;'GAAP Summary'!$B$2,0,SUM(INDIRECT(XLOOKUP(GH$3,'TTM Dates'!$B:$B,'TTM Dates'!$E:$E)&amp;ROW($CJ20)&amp;":"&amp;XLOOKUP(GH$3,'TTM Dates'!$B:$B,'TTM Dates'!$C:$C)&amp;ROW($CJ20))))</f>
        <v>0</v>
      </c>
      <c r="GI20" s="136">
        <f t="array" ref="GI20">IF(GI$3&gt;'GAAP Summary'!$B$2,0,SUM(INDIRECT(XLOOKUP(GI$3,'TTM Dates'!$B:$B,'TTM Dates'!$E:$E)&amp;ROW($CJ20)&amp;":"&amp;XLOOKUP(GI$3,'TTM Dates'!$B:$B,'TTM Dates'!$C:$C)&amp;ROW($CJ20))))</f>
        <v>0</v>
      </c>
      <c r="GJ20" s="136">
        <f t="array" ref="GJ20">IF(GJ$3&gt;'GAAP Summary'!$B$2,0,SUM(INDIRECT(XLOOKUP(GJ$3,'TTM Dates'!$B:$B,'TTM Dates'!$E:$E)&amp;ROW($CJ20)&amp;":"&amp;XLOOKUP(GJ$3,'TTM Dates'!$B:$B,'TTM Dates'!$C:$C)&amp;ROW($CJ20))))</f>
        <v>0</v>
      </c>
      <c r="GK20" s="136">
        <f t="array" ref="GK20">IF(GK$3&gt;'GAAP Summary'!$B$2,0,SUM(INDIRECT(XLOOKUP(GK$3,'TTM Dates'!$B:$B,'TTM Dates'!$E:$E)&amp;ROW($CJ20)&amp;":"&amp;XLOOKUP(GK$3,'TTM Dates'!$B:$B,'TTM Dates'!$C:$C)&amp;ROW($CJ20))))</f>
        <v>0</v>
      </c>
      <c r="GL20" s="136">
        <f t="array" ref="GL20">IF(GL$3&gt;'GAAP Summary'!$B$2,0,SUM(INDIRECT(XLOOKUP(GL$3,'TTM Dates'!$B:$B,'TTM Dates'!$E:$E)&amp;ROW($CJ20)&amp;":"&amp;XLOOKUP(GL$3,'TTM Dates'!$B:$B,'TTM Dates'!$C:$C)&amp;ROW($CJ20))))</f>
        <v>0</v>
      </c>
      <c r="GM20" s="136"/>
    </row>
    <row r="21" outlineLevel="1">
      <c r="B21" s="135" t="s">
        <v>322</v>
      </c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7"/>
      <c r="AN21" s="137"/>
      <c r="AO21" s="137"/>
      <c r="AP21" s="137"/>
      <c r="AQ21" s="137"/>
      <c r="AR21" s="137"/>
      <c r="AS21" s="137"/>
      <c r="AT21" s="137"/>
      <c r="AU21" s="136"/>
      <c r="AV21" s="137"/>
      <c r="AW21" s="137"/>
      <c r="AX21" s="137"/>
      <c r="AY21" s="137">
        <v>0.0</v>
      </c>
      <c r="AZ21" s="137">
        <v>52800.0</v>
      </c>
      <c r="BA21" s="137">
        <v>0.0</v>
      </c>
      <c r="BB21" s="137">
        <v>0.0</v>
      </c>
      <c r="BC21" s="137">
        <v>0.0</v>
      </c>
      <c r="BD21" s="137">
        <v>0.0</v>
      </c>
      <c r="BE21" s="137">
        <v>5833.0</v>
      </c>
      <c r="BF21" s="137">
        <v>5833.0</v>
      </c>
      <c r="BG21" s="137">
        <v>5833.0</v>
      </c>
      <c r="BH21" s="137">
        <v>5833.0</v>
      </c>
      <c r="BI21" s="137">
        <v>5833.0</v>
      </c>
      <c r="BJ21" s="137">
        <v>5833.0</v>
      </c>
      <c r="BK21" s="137">
        <v>5833.0</v>
      </c>
      <c r="BL21" s="137">
        <v>5833.0</v>
      </c>
      <c r="BM21" s="137">
        <v>5833.0</v>
      </c>
      <c r="BN21" s="137">
        <v>5833.0</v>
      </c>
      <c r="BO21" s="137">
        <v>5833.0</v>
      </c>
      <c r="BP21" s="137">
        <v>5833.0</v>
      </c>
      <c r="BQ21" s="137">
        <v>0.0</v>
      </c>
      <c r="BR21" s="137"/>
      <c r="BS21" s="137">
        <v>0.0</v>
      </c>
      <c r="BT21" s="345">
        <v>29269.17</v>
      </c>
      <c r="BU21" s="137"/>
      <c r="BV21" s="137">
        <v>151625.04</v>
      </c>
      <c r="BW21" s="54"/>
      <c r="BX21" s="54"/>
      <c r="BY21" s="137">
        <v>1666.67</v>
      </c>
      <c r="BZ21" s="137">
        <v>1666.67</v>
      </c>
      <c r="CA21" s="137"/>
      <c r="CB21" s="137">
        <v>1666.67</v>
      </c>
      <c r="CC21" s="54"/>
      <c r="CD21" s="54"/>
      <c r="CE21" s="54"/>
      <c r="CF21" s="54"/>
      <c r="CG21" s="54"/>
      <c r="CH21" s="54"/>
      <c r="CI21" s="33"/>
      <c r="CJ21" s="33"/>
      <c r="CK21" s="303">
        <f t="array" ref="CK21">SUM(INDIRECT(XLOOKUP('GAAP Summary'!$B$2,'TTM Dates'!$B:$B,'TTM Dates'!$E:$E)&amp;ROW($CJ21)&amp;":"&amp;XLOOKUP('GAAP Summary'!$B$2,'TTM Dates'!$B:$B,'TTM Dates'!$C:$C)&amp;ROW($CJ21)))</f>
        <v>185894.22</v>
      </c>
      <c r="CL21" s="136"/>
      <c r="CM21" s="141">
        <f t="shared" si="39"/>
        <v>1666.67</v>
      </c>
      <c r="CN21" s="141">
        <f t="shared" si="40"/>
        <v>3333.34</v>
      </c>
      <c r="CO21" s="141">
        <f t="shared" si="41"/>
        <v>0</v>
      </c>
      <c r="CP21" s="141">
        <f t="shared" si="42"/>
        <v>0</v>
      </c>
      <c r="CQ21" s="339">
        <f t="shared" si="43"/>
        <v>5000.01</v>
      </c>
      <c r="CR21" s="136"/>
      <c r="CS21" s="136">
        <f t="shared" si="44"/>
        <v>17499</v>
      </c>
      <c r="CT21" s="136">
        <f t="shared" si="45"/>
        <v>17499</v>
      </c>
      <c r="CU21" s="136">
        <f t="shared" si="46"/>
        <v>0</v>
      </c>
      <c r="CV21" s="136">
        <f t="shared" si="47"/>
        <v>180894.21</v>
      </c>
      <c r="CW21" s="292">
        <f t="shared" si="48"/>
        <v>215892.21</v>
      </c>
      <c r="CX21" s="136"/>
      <c r="CY21" s="136">
        <f t="shared" si="49"/>
        <v>52800</v>
      </c>
      <c r="CZ21" s="136">
        <f t="shared" si="50"/>
        <v>0</v>
      </c>
      <c r="DA21" s="136">
        <f t="shared" si="51"/>
        <v>17499</v>
      </c>
      <c r="DB21" s="136">
        <f t="shared" si="52"/>
        <v>17499</v>
      </c>
      <c r="DC21" s="292">
        <f t="shared" si="53"/>
        <v>87798</v>
      </c>
      <c r="DD21" s="136"/>
      <c r="DE21" s="136">
        <f t="shared" si="54"/>
        <v>0</v>
      </c>
      <c r="DF21" s="136">
        <f t="shared" si="55"/>
        <v>0</v>
      </c>
      <c r="DG21" s="136">
        <f t="shared" si="56"/>
        <v>0</v>
      </c>
      <c r="DH21" s="136">
        <f t="shared" si="57"/>
        <v>0</v>
      </c>
      <c r="DI21" s="292">
        <f t="shared" si="58"/>
        <v>0</v>
      </c>
      <c r="DJ21" s="136"/>
      <c r="DK21" s="137">
        <f t="shared" si="65"/>
        <v>0</v>
      </c>
      <c r="DL21" s="137">
        <f t="shared" si="66"/>
        <v>0</v>
      </c>
      <c r="DM21" s="137">
        <f t="shared" si="67"/>
        <v>0</v>
      </c>
      <c r="DN21" s="137">
        <f t="shared" si="68"/>
        <v>0</v>
      </c>
      <c r="DO21" s="142">
        <f t="shared" si="69"/>
        <v>0</v>
      </c>
      <c r="DP21" s="136"/>
      <c r="DQ21" s="292"/>
      <c r="DR21" s="136"/>
      <c r="DS21" s="136">
        <f t="array" ref="DS21">IF(DS$3&gt;'GAAP Summary'!$B$2,0,SUM(INDIRECT(XLOOKUP(DS$3,'TTM Dates'!$B:$B,'TTM Dates'!$E:$E)&amp;ROW($CJ21)&amp;":"&amp;XLOOKUP(DS$3,'TTM Dates'!$B:$B,'TTM Dates'!$C:$C)&amp;ROW($CJ21))))</f>
        <v>0</v>
      </c>
      <c r="DT21" s="136">
        <f t="array" ref="DT21">IF(DT$3&gt;'GAAP Summary'!$B$2,0,SUM(INDIRECT(XLOOKUP(DT$3,'TTM Dates'!$B:$B,'TTM Dates'!$E:$E)&amp;ROW($CJ21)&amp;":"&amp;XLOOKUP(DT$3,'TTM Dates'!$B:$B,'TTM Dates'!$C:$C)&amp;ROW($CJ21))))</f>
        <v>0</v>
      </c>
      <c r="DU21" s="136">
        <f t="array" ref="DU21">IF(DU$3&gt;'GAAP Summary'!$B$2,0,SUM(INDIRECT(XLOOKUP(DU$3,'TTM Dates'!$B:$B,'TTM Dates'!$E:$E)&amp;ROW($CJ21)&amp;":"&amp;XLOOKUP(DU$3,'TTM Dates'!$B:$B,'TTM Dates'!$C:$C)&amp;ROW($CJ21))))</f>
        <v>0</v>
      </c>
      <c r="DV21" s="136">
        <f t="array" ref="DV21">IF(DV$3&gt;'GAAP Summary'!$B$2,0,SUM(INDIRECT(XLOOKUP(DV$3,'TTM Dates'!$B:$B,'TTM Dates'!$E:$E)&amp;ROW($CJ21)&amp;":"&amp;XLOOKUP(DV$3,'TTM Dates'!$B:$B,'TTM Dates'!$C:$C)&amp;ROW($CJ21))))</f>
        <v>0</v>
      </c>
      <c r="DW21" s="136">
        <f t="array" ref="DW21">IF(DW$3&gt;'GAAP Summary'!$B$2,0,SUM(INDIRECT(XLOOKUP(DW$3,'TTM Dates'!$B:$B,'TTM Dates'!$E:$E)&amp;ROW($CJ21)&amp;":"&amp;XLOOKUP(DW$3,'TTM Dates'!$B:$B,'TTM Dates'!$C:$C)&amp;ROW($CJ21))))</f>
        <v>0</v>
      </c>
      <c r="DX21" s="136">
        <f t="array" ref="DX21">IF(DX$3&gt;'GAAP Summary'!$B$2,0,SUM(INDIRECT(XLOOKUP(DX$3,'TTM Dates'!$B:$B,'TTM Dates'!$E:$E)&amp;ROW($CJ21)&amp;":"&amp;XLOOKUP(DX$3,'TTM Dates'!$B:$B,'TTM Dates'!$C:$C)&amp;ROW($CJ21))))</f>
        <v>0</v>
      </c>
      <c r="DY21" s="136">
        <f t="array" ref="DY21">IF(DY$3&gt;'GAAP Summary'!$B$2,0,SUM(INDIRECT(XLOOKUP(DY$3,'TTM Dates'!$B:$B,'TTM Dates'!$E:$E)&amp;ROW($CJ21)&amp;":"&amp;XLOOKUP(DY$3,'TTM Dates'!$B:$B,'TTM Dates'!$C:$C)&amp;ROW($CJ21))))</f>
        <v>0</v>
      </c>
      <c r="DZ21" s="136">
        <f t="array" ref="DZ21">IF(DZ$3&gt;'GAAP Summary'!$B$2,0,SUM(INDIRECT(XLOOKUP(DZ$3,'TTM Dates'!$B:$B,'TTM Dates'!$E:$E)&amp;ROW($CJ21)&amp;":"&amp;XLOOKUP(DZ$3,'TTM Dates'!$B:$B,'TTM Dates'!$C:$C)&amp;ROW($CJ21))))</f>
        <v>0</v>
      </c>
      <c r="EA21" s="136">
        <f t="array" ref="EA21">IF(EA$3&gt;'GAAP Summary'!$B$2,0,SUM(INDIRECT(XLOOKUP(EA$3,'TTM Dates'!$B:$B,'TTM Dates'!$E:$E)&amp;ROW($CJ21)&amp;":"&amp;XLOOKUP(EA$3,'TTM Dates'!$B:$B,'TTM Dates'!$C:$C)&amp;ROW($CJ21))))</f>
        <v>0</v>
      </c>
      <c r="EB21" s="136">
        <f t="array" ref="EB21">IF(EB$3&gt;'GAAP Summary'!$B$2,0,SUM(INDIRECT(XLOOKUP(EB$3,'TTM Dates'!$B:$B,'TTM Dates'!$E:$E)&amp;ROW($CJ21)&amp;":"&amp;XLOOKUP(EB$3,'TTM Dates'!$B:$B,'TTM Dates'!$C:$C)&amp;ROW($CJ21))))</f>
        <v>0</v>
      </c>
      <c r="EC21" s="136">
        <f t="array" ref="EC21">IF(EC$3&gt;'GAAP Summary'!$B$2,0,SUM(INDIRECT(XLOOKUP(EC$3,'TTM Dates'!$B:$B,'TTM Dates'!$E:$E)&amp;ROW($CJ21)&amp;":"&amp;XLOOKUP(EC$3,'TTM Dates'!$B:$B,'TTM Dates'!$C:$C)&amp;ROW($CJ21))))</f>
        <v>0</v>
      </c>
      <c r="ED21" s="136">
        <f t="array" ref="ED21">IF(ED$3&gt;'GAAP Summary'!$B$2,0,SUM(INDIRECT(XLOOKUP(ED$3,'TTM Dates'!$B:$B,'TTM Dates'!$E:$E)&amp;ROW($CJ21)&amp;":"&amp;XLOOKUP(ED$3,'TTM Dates'!$B:$B,'TTM Dates'!$C:$C)&amp;ROW($CJ21))))</f>
        <v>0</v>
      </c>
      <c r="EE21" s="136">
        <f t="array" ref="EE21">IF(EE$3&gt;'GAAP Summary'!$B$2,0,SUM(INDIRECT(XLOOKUP(EE$3,'TTM Dates'!$B:$B,'TTM Dates'!$E:$E)&amp;ROW($CJ21)&amp;":"&amp;XLOOKUP(EE$3,'TTM Dates'!$B:$B,'TTM Dates'!$C:$C)&amp;ROW($CJ21))))</f>
        <v>0</v>
      </c>
      <c r="EF21" s="136">
        <f t="array" ref="EF21">IF(EF$3&gt;'GAAP Summary'!$B$2,0,SUM(INDIRECT(XLOOKUP(EF$3,'TTM Dates'!$B:$B,'TTM Dates'!$E:$E)&amp;ROW($CJ21)&amp;":"&amp;XLOOKUP(EF$3,'TTM Dates'!$B:$B,'TTM Dates'!$C:$C)&amp;ROW($CJ21))))</f>
        <v>0</v>
      </c>
      <c r="EG21" s="136">
        <f t="array" ref="EG21">IF(EG$3&gt;'GAAP Summary'!$B$2,0,SUM(INDIRECT(XLOOKUP(EG$3,'TTM Dates'!$B:$B,'TTM Dates'!$E:$E)&amp;ROW($CJ21)&amp;":"&amp;XLOOKUP(EG$3,'TTM Dates'!$B:$B,'TTM Dates'!$C:$C)&amp;ROW($CJ21))))</f>
        <v>0</v>
      </c>
      <c r="EH21" s="136">
        <f t="array" ref="EH21">IF(EH$3&gt;'GAAP Summary'!$B$2,0,SUM(INDIRECT(XLOOKUP(EH$3,'TTM Dates'!$B:$B,'TTM Dates'!$E:$E)&amp;ROW($CJ21)&amp;":"&amp;XLOOKUP(EH$3,'TTM Dates'!$B:$B,'TTM Dates'!$C:$C)&amp;ROW($CJ21))))</f>
        <v>0</v>
      </c>
      <c r="EI21" s="136">
        <f t="array" ref="EI21">IF(EI$3&gt;'GAAP Summary'!$B$2,0,SUM(INDIRECT(XLOOKUP(EI$3,'TTM Dates'!$B:$B,'TTM Dates'!$E:$E)&amp;ROW($CJ21)&amp;":"&amp;XLOOKUP(EI$3,'TTM Dates'!$B:$B,'TTM Dates'!$C:$C)&amp;ROW($CJ21))))</f>
        <v>0</v>
      </c>
      <c r="EJ21" s="136">
        <f t="array" ref="EJ21">IF(EJ$3&gt;'GAAP Summary'!$B$2,0,SUM(INDIRECT(XLOOKUP(EJ$3,'TTM Dates'!$B:$B,'TTM Dates'!$E:$E)&amp;ROW($CJ21)&amp;":"&amp;XLOOKUP(EJ$3,'TTM Dates'!$B:$B,'TTM Dates'!$C:$C)&amp;ROW($CJ21))))</f>
        <v>0</v>
      </c>
      <c r="EK21" s="136">
        <f t="array" ref="EK21">IF(EK$3&gt;'GAAP Summary'!$B$2,0,SUM(INDIRECT(XLOOKUP(EK$3,'TTM Dates'!$B:$B,'TTM Dates'!$E:$E)&amp;ROW($CJ21)&amp;":"&amp;XLOOKUP(EK$3,'TTM Dates'!$B:$B,'TTM Dates'!$C:$C)&amp;ROW($CJ21))))</f>
        <v>0</v>
      </c>
      <c r="EL21" s="136">
        <f t="array" ref="EL21">IF(EL$3&gt;'GAAP Summary'!$B$2,0,SUM(INDIRECT(XLOOKUP(EL$3,'TTM Dates'!$B:$B,'TTM Dates'!$E:$E)&amp;ROW($CJ21)&amp;":"&amp;XLOOKUP(EL$3,'TTM Dates'!$B:$B,'TTM Dates'!$C:$C)&amp;ROW($CJ21))))</f>
        <v>0</v>
      </c>
      <c r="EM21" s="136">
        <f t="array" ref="EM21">IF(EM$3&gt;'GAAP Summary'!$B$2,0,SUM(INDIRECT(XLOOKUP(EM$3,'TTM Dates'!$B:$B,'TTM Dates'!$E:$E)&amp;ROW($CJ21)&amp;":"&amp;XLOOKUP(EM$3,'TTM Dates'!$B:$B,'TTM Dates'!$C:$C)&amp;ROW($CJ21))))</f>
        <v>0</v>
      </c>
      <c r="EN21" s="136">
        <f t="array" ref="EN21">IF(EN$3&gt;'GAAP Summary'!$B$2,0,SUM(INDIRECT(XLOOKUP(EN$3,'TTM Dates'!$B:$B,'TTM Dates'!$E:$E)&amp;ROW($CJ21)&amp;":"&amp;XLOOKUP(EN$3,'TTM Dates'!$B:$B,'TTM Dates'!$C:$C)&amp;ROW($CJ21))))</f>
        <v>0</v>
      </c>
      <c r="EO21" s="136">
        <f t="array" ref="EO21">IF(EO$3&gt;'GAAP Summary'!$B$2,0,SUM(INDIRECT(XLOOKUP(EO$3,'TTM Dates'!$B:$B,'TTM Dates'!$E:$E)&amp;ROW($CJ21)&amp;":"&amp;XLOOKUP(EO$3,'TTM Dates'!$B:$B,'TTM Dates'!$C:$C)&amp;ROW($CJ21))))</f>
        <v>0</v>
      </c>
      <c r="EP21" s="136">
        <f t="array" ref="EP21">IF(EP$3&gt;'GAAP Summary'!$B$2,0,SUM(INDIRECT(XLOOKUP(EP$3,'TTM Dates'!$B:$B,'TTM Dates'!$E:$E)&amp;ROW($CJ21)&amp;":"&amp;XLOOKUP(EP$3,'TTM Dates'!$B:$B,'TTM Dates'!$C:$C)&amp;ROW($CJ21))))</f>
        <v>0</v>
      </c>
      <c r="EQ21" s="136">
        <f t="array" ref="EQ21">IF(EQ$3&gt;'GAAP Summary'!$B$2,0,SUM(INDIRECT(XLOOKUP(EQ$3,'TTM Dates'!$B:$B,'TTM Dates'!$E:$E)&amp;ROW($CJ21)&amp;":"&amp;XLOOKUP(EQ$3,'TTM Dates'!$B:$B,'TTM Dates'!$C:$C)&amp;ROW($CJ21))))</f>
        <v>0</v>
      </c>
      <c r="ER21" s="136">
        <f t="array" ref="ER21">IF(ER$3&gt;'GAAP Summary'!$B$2,0,SUM(INDIRECT(XLOOKUP(ER$3,'TTM Dates'!$B:$B,'TTM Dates'!$E:$E)&amp;ROW($CJ21)&amp;":"&amp;XLOOKUP(ER$3,'TTM Dates'!$B:$B,'TTM Dates'!$C:$C)&amp;ROW($CJ21))))</f>
        <v>0</v>
      </c>
      <c r="ES21" s="136">
        <f t="array" ref="ES21">IF(ES$3&gt;'GAAP Summary'!$B$2,0,SUM(INDIRECT(XLOOKUP(ES$3,'TTM Dates'!$B:$B,'TTM Dates'!$E:$E)&amp;ROW($CJ21)&amp;":"&amp;XLOOKUP(ES$3,'TTM Dates'!$B:$B,'TTM Dates'!$C:$C)&amp;ROW($CJ21))))</f>
        <v>0</v>
      </c>
      <c r="ET21" s="136">
        <f t="array" ref="ET21">IF(ET$3&gt;'GAAP Summary'!$B$2,0,SUM(INDIRECT(XLOOKUP(ET$3,'TTM Dates'!$B:$B,'TTM Dates'!$E:$E)&amp;ROW($CJ21)&amp;":"&amp;XLOOKUP(ET$3,'TTM Dates'!$B:$B,'TTM Dates'!$C:$C)&amp;ROW($CJ21))))</f>
        <v>0</v>
      </c>
      <c r="EU21" s="136">
        <f t="array" ref="EU21">IF(EU$3&gt;'GAAP Summary'!$B$2,0,SUM(INDIRECT(XLOOKUP(EU$3,'TTM Dates'!$B:$B,'TTM Dates'!$E:$E)&amp;ROW($CJ21)&amp;":"&amp;XLOOKUP(EU$3,'TTM Dates'!$B:$B,'TTM Dates'!$C:$C)&amp;ROW($CJ21))))</f>
        <v>0</v>
      </c>
      <c r="EV21" s="136">
        <f t="array" ref="EV21">IF(EV$3&gt;'GAAP Summary'!$B$2,0,SUM(INDIRECT(XLOOKUP(EV$3,'TTM Dates'!$B:$B,'TTM Dates'!$E:$E)&amp;ROW($CJ21)&amp;":"&amp;XLOOKUP(EV$3,'TTM Dates'!$B:$B,'TTM Dates'!$C:$C)&amp;ROW($CJ21))))</f>
        <v>0</v>
      </c>
      <c r="EW21" s="136">
        <f t="array" ref="EW21">IF(EW$3&gt;'GAAP Summary'!$B$2,0,SUM(INDIRECT(XLOOKUP(EW$3,'TTM Dates'!$B:$B,'TTM Dates'!$E:$E)&amp;ROW($CJ21)&amp;":"&amp;XLOOKUP(EW$3,'TTM Dates'!$B:$B,'TTM Dates'!$C:$C)&amp;ROW($CJ21))))</f>
        <v>0</v>
      </c>
      <c r="EX21" s="136">
        <f t="array" ref="EX21">IF(EX$3&gt;'GAAP Summary'!$B$2,0,SUM(INDIRECT(XLOOKUP(EX$3,'TTM Dates'!$B:$B,'TTM Dates'!$E:$E)&amp;ROW($CJ21)&amp;":"&amp;XLOOKUP(EX$3,'TTM Dates'!$B:$B,'TTM Dates'!$C:$C)&amp;ROW($CJ21))))</f>
        <v>0</v>
      </c>
      <c r="EY21" s="136">
        <f t="array" ref="EY21">IF(EY$3&gt;'GAAP Summary'!$B$2,0,SUM(INDIRECT(XLOOKUP(EY$3,'TTM Dates'!$B:$B,'TTM Dates'!$E:$E)&amp;ROW($CJ21)&amp;":"&amp;XLOOKUP(EY$3,'TTM Dates'!$B:$B,'TTM Dates'!$C:$C)&amp;ROW($CJ21))))</f>
        <v>0</v>
      </c>
      <c r="EZ21" s="136">
        <f t="array" ref="EZ21">IF(EZ$3&gt;'GAAP Summary'!$B$2,0,SUM(INDIRECT(XLOOKUP(EZ$3,'TTM Dates'!$B:$B,'TTM Dates'!$E:$E)&amp;ROW($CJ21)&amp;":"&amp;XLOOKUP(EZ$3,'TTM Dates'!$B:$B,'TTM Dates'!$C:$C)&amp;ROW($CJ21))))</f>
        <v>0</v>
      </c>
      <c r="FA21" s="136">
        <f t="array" ref="FA21">IF(FA$3&gt;'GAAP Summary'!$B$2,0,SUM(INDIRECT(XLOOKUP(FA$3,'TTM Dates'!$B:$B,'TTM Dates'!$E:$E)&amp;ROW($CJ21)&amp;":"&amp;XLOOKUP(FA$3,'TTM Dates'!$B:$B,'TTM Dates'!$C:$C)&amp;ROW($CJ21))))</f>
        <v>0</v>
      </c>
      <c r="FB21" s="136">
        <f t="array" ref="FB21">IF(FB$3&gt;'GAAP Summary'!$B$2,0,SUM(INDIRECT(XLOOKUP(FB$3,'TTM Dates'!$B:$B,'TTM Dates'!$E:$E)&amp;ROW($CJ21)&amp;":"&amp;XLOOKUP(FB$3,'TTM Dates'!$B:$B,'TTM Dates'!$C:$C)&amp;ROW($CJ21))))</f>
        <v>0</v>
      </c>
      <c r="FC21" s="136">
        <f t="array" ref="FC21">IF(FC$3&gt;'GAAP Summary'!$B$2,0,SUM(INDIRECT(XLOOKUP(FC$3,'TTM Dates'!$B:$B,'TTM Dates'!$E:$E)&amp;ROW($CJ21)&amp;":"&amp;XLOOKUP(FC$3,'TTM Dates'!$B:$B,'TTM Dates'!$C:$C)&amp;ROW($CJ21))))</f>
        <v>0</v>
      </c>
      <c r="FD21" s="136">
        <f t="array" ref="FD21">IF(FD$3&gt;'GAAP Summary'!$B$2,0,SUM(INDIRECT(XLOOKUP(FD$3,'TTM Dates'!$B:$B,'TTM Dates'!$E:$E)&amp;ROW($CJ21)&amp;":"&amp;XLOOKUP(FD$3,'TTM Dates'!$B:$B,'TTM Dates'!$C:$C)&amp;ROW($CJ21))))</f>
        <v>52800</v>
      </c>
      <c r="FE21" s="136">
        <f t="array" ref="FE21">IF(FE$3&gt;'GAAP Summary'!$B$2,0,SUM(INDIRECT(XLOOKUP(FE$3,'TTM Dates'!$B:$B,'TTM Dates'!$E:$E)&amp;ROW($CJ21)&amp;":"&amp;XLOOKUP(FE$3,'TTM Dates'!$B:$B,'TTM Dates'!$C:$C)&amp;ROW($CJ21))))</f>
        <v>52800</v>
      </c>
      <c r="FF21" s="136">
        <f t="array" ref="FF21">IF(FF$3&gt;'GAAP Summary'!$B$2,0,SUM(INDIRECT(XLOOKUP(FF$3,'TTM Dates'!$B:$B,'TTM Dates'!$E:$E)&amp;ROW($CJ21)&amp;":"&amp;XLOOKUP(FF$3,'TTM Dates'!$B:$B,'TTM Dates'!$C:$C)&amp;ROW($CJ21))))</f>
        <v>52800</v>
      </c>
      <c r="FG21" s="136">
        <f t="array" ref="FG21">IF(FG$3&gt;'GAAP Summary'!$B$2,0,SUM(INDIRECT(XLOOKUP(FG$3,'TTM Dates'!$B:$B,'TTM Dates'!$E:$E)&amp;ROW($CJ21)&amp;":"&amp;XLOOKUP(FG$3,'TTM Dates'!$B:$B,'TTM Dates'!$C:$C)&amp;ROW($CJ21))))</f>
        <v>52800</v>
      </c>
      <c r="FH21" s="136">
        <f t="array" ref="FH21">IF(FH$3&gt;'GAAP Summary'!$B$2,0,SUM(INDIRECT(XLOOKUP(FH$3,'TTM Dates'!$B:$B,'TTM Dates'!$E:$E)&amp;ROW($CJ21)&amp;":"&amp;XLOOKUP(FH$3,'TTM Dates'!$B:$B,'TTM Dates'!$C:$C)&amp;ROW($CJ21))))</f>
        <v>52800</v>
      </c>
      <c r="FI21" s="136">
        <f t="array" ref="FI21">IF(FI$3&gt;'GAAP Summary'!$B$2,0,SUM(INDIRECT(XLOOKUP(FI$3,'TTM Dates'!$B:$B,'TTM Dates'!$E:$E)&amp;ROW($CJ21)&amp;":"&amp;XLOOKUP(FI$3,'TTM Dates'!$B:$B,'TTM Dates'!$C:$C)&amp;ROW($CJ21))))</f>
        <v>58633</v>
      </c>
      <c r="FJ21" s="136">
        <f t="array" ref="FJ21">IF(FJ$3&gt;'GAAP Summary'!$B$2,0,SUM(INDIRECT(XLOOKUP(FJ$3,'TTM Dates'!$B:$B,'TTM Dates'!$E:$E)&amp;ROW($CJ21)&amp;":"&amp;XLOOKUP(FJ$3,'TTM Dates'!$B:$B,'TTM Dates'!$C:$C)&amp;ROW($CJ21))))</f>
        <v>64466</v>
      </c>
      <c r="FK21" s="136">
        <f t="array" ref="FK21">IF(FK$3&gt;'GAAP Summary'!$B$2,0,SUM(INDIRECT(XLOOKUP(FK$3,'TTM Dates'!$B:$B,'TTM Dates'!$E:$E)&amp;ROW($CJ21)&amp;":"&amp;XLOOKUP(FK$3,'TTM Dates'!$B:$B,'TTM Dates'!$C:$C)&amp;ROW($CJ21))))</f>
        <v>70299</v>
      </c>
      <c r="FL21" s="136">
        <f t="array" ref="FL21">IF(FL$3&gt;'GAAP Summary'!$B$2,0,SUM(INDIRECT(XLOOKUP(FL$3,'TTM Dates'!$B:$B,'TTM Dates'!$E:$E)&amp;ROW($CJ21)&amp;":"&amp;XLOOKUP(FL$3,'TTM Dates'!$B:$B,'TTM Dates'!$C:$C)&amp;ROW($CJ21))))</f>
        <v>76132</v>
      </c>
      <c r="FM21" s="136">
        <f t="array" ref="FM21">IF(FM$3&gt;'GAAP Summary'!$B$2,0,SUM(INDIRECT(XLOOKUP(FM$3,'TTM Dates'!$B:$B,'TTM Dates'!$E:$E)&amp;ROW($CJ21)&amp;":"&amp;XLOOKUP(FM$3,'TTM Dates'!$B:$B,'TTM Dates'!$C:$C)&amp;ROW($CJ21))))</f>
        <v>81965</v>
      </c>
      <c r="FN21" s="136">
        <f t="array" ref="FN21">IF(FN$3&gt;'GAAP Summary'!$B$2,0,SUM(INDIRECT(XLOOKUP(FN$3,'TTM Dates'!$B:$B,'TTM Dates'!$E:$E)&amp;ROW($CJ21)&amp;":"&amp;XLOOKUP(FN$3,'TTM Dates'!$B:$B,'TTM Dates'!$C:$C)&amp;ROW($CJ21))))</f>
        <v>87798</v>
      </c>
      <c r="FO21" s="136">
        <f t="array" ref="FO21">IF(FO$3&gt;'GAAP Summary'!$B$2,0,SUM(INDIRECT(XLOOKUP(FO$3,'TTM Dates'!$B:$B,'TTM Dates'!$E:$E)&amp;ROW($CJ21)&amp;":"&amp;XLOOKUP(FO$3,'TTM Dates'!$B:$B,'TTM Dates'!$C:$C)&amp;ROW($CJ21))))</f>
        <v>93631</v>
      </c>
      <c r="FP21" s="136">
        <f t="array" ref="FP21">IF(FP$3&gt;'GAAP Summary'!$B$2,0,SUM(INDIRECT(XLOOKUP(FP$3,'TTM Dates'!$B:$B,'TTM Dates'!$E:$E)&amp;ROW($CJ21)&amp;":"&amp;XLOOKUP(FP$3,'TTM Dates'!$B:$B,'TTM Dates'!$C:$C)&amp;ROW($CJ21))))</f>
        <v>46664</v>
      </c>
      <c r="FQ21" s="136">
        <f t="array" ref="FQ21">IF(FQ$3&gt;'GAAP Summary'!$B$2,0,SUM(INDIRECT(XLOOKUP(FQ$3,'TTM Dates'!$B:$B,'TTM Dates'!$E:$E)&amp;ROW($CJ21)&amp;":"&amp;XLOOKUP(FQ$3,'TTM Dates'!$B:$B,'TTM Dates'!$C:$C)&amp;ROW($CJ21))))</f>
        <v>52497</v>
      </c>
      <c r="FR21" s="136">
        <f t="array" ref="FR21">IF(FR$3&gt;'GAAP Summary'!$B$2,0,SUM(INDIRECT(XLOOKUP(FR$3,'TTM Dates'!$B:$B,'TTM Dates'!$E:$E)&amp;ROW($CJ21)&amp;":"&amp;XLOOKUP(FR$3,'TTM Dates'!$B:$B,'TTM Dates'!$C:$C)&amp;ROW($CJ21))))</f>
        <v>58330</v>
      </c>
      <c r="FS21" s="136">
        <f t="array" ref="FS21">IF(FS$3&gt;'GAAP Summary'!$B$2,0,SUM(INDIRECT(XLOOKUP(FS$3,'TTM Dates'!$B:$B,'TTM Dates'!$E:$E)&amp;ROW($CJ21)&amp;":"&amp;XLOOKUP(FS$3,'TTM Dates'!$B:$B,'TTM Dates'!$C:$C)&amp;ROW($CJ21))))</f>
        <v>64163</v>
      </c>
      <c r="FT21" s="136">
        <f t="array" ref="FT21">IF(FT$3&gt;'GAAP Summary'!$B$2,0,SUM(INDIRECT(XLOOKUP(FT$3,'TTM Dates'!$B:$B,'TTM Dates'!$E:$E)&amp;ROW($CJ21)&amp;":"&amp;XLOOKUP(FT$3,'TTM Dates'!$B:$B,'TTM Dates'!$C:$C)&amp;ROW($CJ21))))</f>
        <v>69996</v>
      </c>
      <c r="FU21" s="136">
        <f t="array" ref="FU21">IF(FU$3&gt;'GAAP Summary'!$B$2,0,SUM(INDIRECT(XLOOKUP(FU$3,'TTM Dates'!$B:$B,'TTM Dates'!$E:$E)&amp;ROW($CJ21)&amp;":"&amp;XLOOKUP(FU$3,'TTM Dates'!$B:$B,'TTM Dates'!$C:$C)&amp;ROW($CJ21))))</f>
        <v>64163</v>
      </c>
      <c r="FV21" s="136">
        <f t="array" ref="FV21">IF(FV$3&gt;'GAAP Summary'!$B$2,0,SUM(INDIRECT(XLOOKUP(FV$3,'TTM Dates'!$B:$B,'TTM Dates'!$E:$E)&amp;ROW($CJ21)&amp;":"&amp;XLOOKUP(FV$3,'TTM Dates'!$B:$B,'TTM Dates'!$C:$C)&amp;ROW($CJ21))))</f>
        <v>58330</v>
      </c>
      <c r="FW21" s="136">
        <f t="array" ref="FW21">IF(FW$3&gt;'GAAP Summary'!$B$2,0,SUM(INDIRECT(XLOOKUP(FW$3,'TTM Dates'!$B:$B,'TTM Dates'!$E:$E)&amp;ROW($CJ21)&amp;":"&amp;XLOOKUP(FW$3,'TTM Dates'!$B:$B,'TTM Dates'!$C:$C)&amp;ROW($CJ21))))</f>
        <v>52497</v>
      </c>
      <c r="FX21" s="136">
        <f t="array" ref="FX21">IF(FX$3&gt;'GAAP Summary'!$B$2,0,SUM(INDIRECT(XLOOKUP(FX$3,'TTM Dates'!$B:$B,'TTM Dates'!$E:$E)&amp;ROW($CJ21)&amp;":"&amp;XLOOKUP(FX$3,'TTM Dates'!$B:$B,'TTM Dates'!$C:$C)&amp;ROW($CJ21))))</f>
        <v>75933.17</v>
      </c>
      <c r="FY21" s="136">
        <f t="array" ref="FY21">IF(FY$3&gt;'GAAP Summary'!$B$2,0,SUM(INDIRECT(XLOOKUP(FY$3,'TTM Dates'!$B:$B,'TTM Dates'!$E:$E)&amp;ROW($CJ21)&amp;":"&amp;XLOOKUP(FY$3,'TTM Dates'!$B:$B,'TTM Dates'!$C:$C)&amp;ROW($CJ21))))</f>
        <v>70100.17</v>
      </c>
      <c r="FZ21" s="136">
        <f t="array" ref="FZ21">IF(FZ$3&gt;'GAAP Summary'!$B$2,0,SUM(INDIRECT(XLOOKUP(FZ$3,'TTM Dates'!$B:$B,'TTM Dates'!$E:$E)&amp;ROW($CJ21)&amp;":"&amp;XLOOKUP(FZ$3,'TTM Dates'!$B:$B,'TTM Dates'!$C:$C)&amp;ROW($CJ21))))</f>
        <v>215892.21</v>
      </c>
      <c r="GA21" s="136">
        <f t="array" ref="GA21">IF(GA$3&gt;'GAAP Summary'!$B$2,0,SUM(INDIRECT(XLOOKUP(GA$3,'TTM Dates'!$B:$B,'TTM Dates'!$E:$E)&amp;ROW($CJ21)&amp;":"&amp;XLOOKUP(GA$3,'TTM Dates'!$B:$B,'TTM Dates'!$C:$C)&amp;ROW($CJ21))))</f>
        <v>210059.21</v>
      </c>
      <c r="GB21" s="136">
        <f t="array" ref="GB21">IF(GB$3&gt;'GAAP Summary'!$B$2,0,SUM(INDIRECT(XLOOKUP(GB$3,'TTM Dates'!$B:$B,'TTM Dates'!$E:$E)&amp;ROW($CJ21)&amp;":"&amp;XLOOKUP(GB$3,'TTM Dates'!$B:$B,'TTM Dates'!$C:$C)&amp;ROW($CJ21))))</f>
        <v>204226.21</v>
      </c>
      <c r="GC21" s="136">
        <f t="array" ref="GC21">IF(GC$3&gt;'GAAP Summary'!$B$2,0,SUM(INDIRECT(XLOOKUP(GC$3,'TTM Dates'!$B:$B,'TTM Dates'!$E:$E)&amp;ROW($CJ21)&amp;":"&amp;XLOOKUP(GC$3,'TTM Dates'!$B:$B,'TTM Dates'!$C:$C)&amp;ROW($CJ21))))</f>
        <v>200059.88</v>
      </c>
      <c r="GD21" s="136">
        <f t="array" ref="GD21">IF(GD$3&gt;'GAAP Summary'!$B$2,0,SUM(INDIRECT(XLOOKUP(GD$3,'TTM Dates'!$B:$B,'TTM Dates'!$E:$E)&amp;ROW($CJ21)&amp;":"&amp;XLOOKUP(GD$3,'TTM Dates'!$B:$B,'TTM Dates'!$C:$C)&amp;ROW($CJ21))))</f>
        <v>195893.55</v>
      </c>
      <c r="GE21" s="136">
        <f t="array" ref="GE21">IF(GE$3&gt;'GAAP Summary'!$B$2,0,SUM(INDIRECT(XLOOKUP(GE$3,'TTM Dates'!$B:$B,'TTM Dates'!$E:$E)&amp;ROW($CJ21)&amp;":"&amp;XLOOKUP(GE$3,'TTM Dates'!$B:$B,'TTM Dates'!$C:$C)&amp;ROW($CJ21))))</f>
        <v>190060.55</v>
      </c>
      <c r="GF21" s="136">
        <f t="array" ref="GF21">IF(GF$3&gt;'GAAP Summary'!$B$2,0,SUM(INDIRECT(XLOOKUP(GF$3,'TTM Dates'!$B:$B,'TTM Dates'!$E:$E)&amp;ROW($CJ21)&amp;":"&amp;XLOOKUP(GF$3,'TTM Dates'!$B:$B,'TTM Dates'!$C:$C)&amp;ROW($CJ21))))</f>
        <v>185894.22</v>
      </c>
      <c r="GG21" s="136">
        <f t="array" ref="GG21">IF(GG$3&gt;'GAAP Summary'!$B$2,0,SUM(INDIRECT(XLOOKUP(GG$3,'TTM Dates'!$B:$B,'TTM Dates'!$E:$E)&amp;ROW($CJ21)&amp;":"&amp;XLOOKUP(GG$3,'TTM Dates'!$B:$B,'TTM Dates'!$C:$C)&amp;ROW($CJ21))))</f>
        <v>0</v>
      </c>
      <c r="GH21" s="136">
        <f t="array" ref="GH21">IF(GH$3&gt;'GAAP Summary'!$B$2,0,SUM(INDIRECT(XLOOKUP(GH$3,'TTM Dates'!$B:$B,'TTM Dates'!$E:$E)&amp;ROW($CJ21)&amp;":"&amp;XLOOKUP(GH$3,'TTM Dates'!$B:$B,'TTM Dates'!$C:$C)&amp;ROW($CJ21))))</f>
        <v>0</v>
      </c>
      <c r="GI21" s="136">
        <f t="array" ref="GI21">IF(GI$3&gt;'GAAP Summary'!$B$2,0,SUM(INDIRECT(XLOOKUP(GI$3,'TTM Dates'!$B:$B,'TTM Dates'!$E:$E)&amp;ROW($CJ21)&amp;":"&amp;XLOOKUP(GI$3,'TTM Dates'!$B:$B,'TTM Dates'!$C:$C)&amp;ROW($CJ21))))</f>
        <v>0</v>
      </c>
      <c r="GJ21" s="136">
        <f t="array" ref="GJ21">IF(GJ$3&gt;'GAAP Summary'!$B$2,0,SUM(INDIRECT(XLOOKUP(GJ$3,'TTM Dates'!$B:$B,'TTM Dates'!$E:$E)&amp;ROW($CJ21)&amp;":"&amp;XLOOKUP(GJ$3,'TTM Dates'!$B:$B,'TTM Dates'!$C:$C)&amp;ROW($CJ21))))</f>
        <v>0</v>
      </c>
      <c r="GK21" s="136">
        <f t="array" ref="GK21">IF(GK$3&gt;'GAAP Summary'!$B$2,0,SUM(INDIRECT(XLOOKUP(GK$3,'TTM Dates'!$B:$B,'TTM Dates'!$E:$E)&amp;ROW($CJ21)&amp;":"&amp;XLOOKUP(GK$3,'TTM Dates'!$B:$B,'TTM Dates'!$C:$C)&amp;ROW($CJ21))))</f>
        <v>0</v>
      </c>
      <c r="GL21" s="136">
        <f t="array" ref="GL21">IF(GL$3&gt;'GAAP Summary'!$B$2,0,SUM(INDIRECT(XLOOKUP(GL$3,'TTM Dates'!$B:$B,'TTM Dates'!$E:$E)&amp;ROW($CJ21)&amp;":"&amp;XLOOKUP(GL$3,'TTM Dates'!$B:$B,'TTM Dates'!$C:$C)&amp;ROW($CJ21))))</f>
        <v>0</v>
      </c>
      <c r="GM21" s="136"/>
    </row>
    <row r="22" outlineLevel="1">
      <c r="B22" s="135" t="s">
        <v>467</v>
      </c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7"/>
      <c r="BE22" s="137"/>
      <c r="BF22" s="137"/>
      <c r="BG22" s="137"/>
      <c r="BH22" s="137"/>
      <c r="BI22" s="137"/>
      <c r="BJ22" s="137"/>
      <c r="BK22" s="137"/>
      <c r="BL22" s="137"/>
      <c r="BM22" s="137"/>
      <c r="BN22" s="137"/>
      <c r="BO22" s="137"/>
      <c r="BP22" s="137"/>
      <c r="BQ22" s="137"/>
      <c r="BR22" s="137"/>
      <c r="BS22" s="137">
        <v>0.0</v>
      </c>
      <c r="BT22" s="137"/>
      <c r="BU22" s="137"/>
      <c r="BV22" s="137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4"/>
      <c r="CH22" s="54"/>
      <c r="CI22" s="33"/>
      <c r="CJ22" s="33"/>
      <c r="CK22" s="303">
        <f t="array" ref="CK22">SUM(INDIRECT(XLOOKUP('GAAP Summary'!$B$2,'TTM Dates'!$B:$B,'TTM Dates'!$E:$E)&amp;ROW($CJ22)&amp;":"&amp;XLOOKUP('GAAP Summary'!$B$2,'TTM Dates'!$B:$B,'TTM Dates'!$C:$C)&amp;ROW($CJ22)))</f>
        <v>0</v>
      </c>
      <c r="CL22" s="136"/>
      <c r="CM22" s="141">
        <f t="shared" si="39"/>
        <v>0</v>
      </c>
      <c r="CN22" s="141">
        <f t="shared" si="40"/>
        <v>0</v>
      </c>
      <c r="CO22" s="141">
        <f t="shared" si="41"/>
        <v>0</v>
      </c>
      <c r="CP22" s="141">
        <f t="shared" si="42"/>
        <v>0</v>
      </c>
      <c r="CQ22" s="339">
        <f t="shared" si="43"/>
        <v>0</v>
      </c>
      <c r="CR22" s="136"/>
      <c r="CS22" s="136">
        <f t="shared" si="44"/>
        <v>0</v>
      </c>
      <c r="CT22" s="136">
        <f t="shared" si="45"/>
        <v>0</v>
      </c>
      <c r="CU22" s="136">
        <f t="shared" si="46"/>
        <v>0</v>
      </c>
      <c r="CV22" s="136">
        <f t="shared" si="47"/>
        <v>0</v>
      </c>
      <c r="CW22" s="292">
        <f t="shared" si="48"/>
        <v>0</v>
      </c>
      <c r="CX22" s="136"/>
      <c r="CY22" s="136">
        <f t="shared" si="49"/>
        <v>0</v>
      </c>
      <c r="CZ22" s="136">
        <f t="shared" si="50"/>
        <v>0</v>
      </c>
      <c r="DA22" s="136">
        <f t="shared" si="51"/>
        <v>0</v>
      </c>
      <c r="DB22" s="136">
        <f t="shared" si="52"/>
        <v>0</v>
      </c>
      <c r="DC22" s="292">
        <f t="shared" si="53"/>
        <v>0</v>
      </c>
      <c r="DD22" s="136"/>
      <c r="DE22" s="136">
        <f t="shared" si="54"/>
        <v>0</v>
      </c>
      <c r="DF22" s="136">
        <f t="shared" si="55"/>
        <v>0</v>
      </c>
      <c r="DG22" s="136">
        <f t="shared" si="56"/>
        <v>0</v>
      </c>
      <c r="DH22" s="136">
        <f t="shared" si="57"/>
        <v>0</v>
      </c>
      <c r="DI22" s="292">
        <f t="shared" si="58"/>
        <v>0</v>
      </c>
      <c r="DJ22" s="136"/>
      <c r="DK22" s="137">
        <f t="shared" si="65"/>
        <v>0</v>
      </c>
      <c r="DL22" s="137">
        <f t="shared" si="66"/>
        <v>0</v>
      </c>
      <c r="DM22" s="137">
        <f t="shared" si="67"/>
        <v>0</v>
      </c>
      <c r="DN22" s="137">
        <f t="shared" si="68"/>
        <v>0</v>
      </c>
      <c r="DO22" s="142">
        <f t="shared" si="69"/>
        <v>0</v>
      </c>
      <c r="DP22" s="136"/>
      <c r="DQ22" s="292"/>
      <c r="DR22" s="136"/>
      <c r="DS22" s="136">
        <f t="array" ref="DS22">IF(DS$3&gt;'GAAP Summary'!$B$2,0,SUM(INDIRECT(XLOOKUP(DS$3,'TTM Dates'!$B:$B,'TTM Dates'!$E:$E)&amp;ROW($CJ22)&amp;":"&amp;XLOOKUP(DS$3,'TTM Dates'!$B:$B,'TTM Dates'!$C:$C)&amp;ROW($CJ22))))</f>
        <v>0</v>
      </c>
      <c r="DT22" s="136">
        <f t="array" ref="DT22">IF(DT$3&gt;'GAAP Summary'!$B$2,0,SUM(INDIRECT(XLOOKUP(DT$3,'TTM Dates'!$B:$B,'TTM Dates'!$E:$E)&amp;ROW($CJ22)&amp;":"&amp;XLOOKUP(DT$3,'TTM Dates'!$B:$B,'TTM Dates'!$C:$C)&amp;ROW($CJ22))))</f>
        <v>0</v>
      </c>
      <c r="DU22" s="136">
        <f t="array" ref="DU22">IF(DU$3&gt;'GAAP Summary'!$B$2,0,SUM(INDIRECT(XLOOKUP(DU$3,'TTM Dates'!$B:$B,'TTM Dates'!$E:$E)&amp;ROW($CJ22)&amp;":"&amp;XLOOKUP(DU$3,'TTM Dates'!$B:$B,'TTM Dates'!$C:$C)&amp;ROW($CJ22))))</f>
        <v>0</v>
      </c>
      <c r="DV22" s="136">
        <f t="array" ref="DV22">IF(DV$3&gt;'GAAP Summary'!$B$2,0,SUM(INDIRECT(XLOOKUP(DV$3,'TTM Dates'!$B:$B,'TTM Dates'!$E:$E)&amp;ROW($CJ22)&amp;":"&amp;XLOOKUP(DV$3,'TTM Dates'!$B:$B,'TTM Dates'!$C:$C)&amp;ROW($CJ22))))</f>
        <v>0</v>
      </c>
      <c r="DW22" s="136">
        <f t="array" ref="DW22">IF(DW$3&gt;'GAAP Summary'!$B$2,0,SUM(INDIRECT(XLOOKUP(DW$3,'TTM Dates'!$B:$B,'TTM Dates'!$E:$E)&amp;ROW($CJ22)&amp;":"&amp;XLOOKUP(DW$3,'TTM Dates'!$B:$B,'TTM Dates'!$C:$C)&amp;ROW($CJ22))))</f>
        <v>0</v>
      </c>
      <c r="DX22" s="136">
        <f t="array" ref="DX22">IF(DX$3&gt;'GAAP Summary'!$B$2,0,SUM(INDIRECT(XLOOKUP(DX$3,'TTM Dates'!$B:$B,'TTM Dates'!$E:$E)&amp;ROW($CJ22)&amp;":"&amp;XLOOKUP(DX$3,'TTM Dates'!$B:$B,'TTM Dates'!$C:$C)&amp;ROW($CJ22))))</f>
        <v>0</v>
      </c>
      <c r="DY22" s="136">
        <f t="array" ref="DY22">IF(DY$3&gt;'GAAP Summary'!$B$2,0,SUM(INDIRECT(XLOOKUP(DY$3,'TTM Dates'!$B:$B,'TTM Dates'!$E:$E)&amp;ROW($CJ22)&amp;":"&amp;XLOOKUP(DY$3,'TTM Dates'!$B:$B,'TTM Dates'!$C:$C)&amp;ROW($CJ22))))</f>
        <v>0</v>
      </c>
      <c r="DZ22" s="136">
        <f t="array" ref="DZ22">IF(DZ$3&gt;'GAAP Summary'!$B$2,0,SUM(INDIRECT(XLOOKUP(DZ$3,'TTM Dates'!$B:$B,'TTM Dates'!$E:$E)&amp;ROW($CJ22)&amp;":"&amp;XLOOKUP(DZ$3,'TTM Dates'!$B:$B,'TTM Dates'!$C:$C)&amp;ROW($CJ22))))</f>
        <v>0</v>
      </c>
      <c r="EA22" s="136">
        <f t="array" ref="EA22">IF(EA$3&gt;'GAAP Summary'!$B$2,0,SUM(INDIRECT(XLOOKUP(EA$3,'TTM Dates'!$B:$B,'TTM Dates'!$E:$E)&amp;ROW($CJ22)&amp;":"&amp;XLOOKUP(EA$3,'TTM Dates'!$B:$B,'TTM Dates'!$C:$C)&amp;ROW($CJ22))))</f>
        <v>0</v>
      </c>
      <c r="EB22" s="136">
        <f t="array" ref="EB22">IF(EB$3&gt;'GAAP Summary'!$B$2,0,SUM(INDIRECT(XLOOKUP(EB$3,'TTM Dates'!$B:$B,'TTM Dates'!$E:$E)&amp;ROW($CJ22)&amp;":"&amp;XLOOKUP(EB$3,'TTM Dates'!$B:$B,'TTM Dates'!$C:$C)&amp;ROW($CJ22))))</f>
        <v>0</v>
      </c>
      <c r="EC22" s="136">
        <f t="array" ref="EC22">IF(EC$3&gt;'GAAP Summary'!$B$2,0,SUM(INDIRECT(XLOOKUP(EC$3,'TTM Dates'!$B:$B,'TTM Dates'!$E:$E)&amp;ROW($CJ22)&amp;":"&amp;XLOOKUP(EC$3,'TTM Dates'!$B:$B,'TTM Dates'!$C:$C)&amp;ROW($CJ22))))</f>
        <v>0</v>
      </c>
      <c r="ED22" s="136">
        <f t="array" ref="ED22">IF(ED$3&gt;'GAAP Summary'!$B$2,0,SUM(INDIRECT(XLOOKUP(ED$3,'TTM Dates'!$B:$B,'TTM Dates'!$E:$E)&amp;ROW($CJ22)&amp;":"&amp;XLOOKUP(ED$3,'TTM Dates'!$B:$B,'TTM Dates'!$C:$C)&amp;ROW($CJ22))))</f>
        <v>0</v>
      </c>
      <c r="EE22" s="136">
        <f t="array" ref="EE22">IF(EE$3&gt;'GAAP Summary'!$B$2,0,SUM(INDIRECT(XLOOKUP(EE$3,'TTM Dates'!$B:$B,'TTM Dates'!$E:$E)&amp;ROW($CJ22)&amp;":"&amp;XLOOKUP(EE$3,'TTM Dates'!$B:$B,'TTM Dates'!$C:$C)&amp;ROW($CJ22))))</f>
        <v>0</v>
      </c>
      <c r="EF22" s="136">
        <f t="array" ref="EF22">IF(EF$3&gt;'GAAP Summary'!$B$2,0,SUM(INDIRECT(XLOOKUP(EF$3,'TTM Dates'!$B:$B,'TTM Dates'!$E:$E)&amp;ROW($CJ22)&amp;":"&amp;XLOOKUP(EF$3,'TTM Dates'!$B:$B,'TTM Dates'!$C:$C)&amp;ROW($CJ22))))</f>
        <v>0</v>
      </c>
      <c r="EG22" s="136">
        <f t="array" ref="EG22">IF(EG$3&gt;'GAAP Summary'!$B$2,0,SUM(INDIRECT(XLOOKUP(EG$3,'TTM Dates'!$B:$B,'TTM Dates'!$E:$E)&amp;ROW($CJ22)&amp;":"&amp;XLOOKUP(EG$3,'TTM Dates'!$B:$B,'TTM Dates'!$C:$C)&amp;ROW($CJ22))))</f>
        <v>0</v>
      </c>
      <c r="EH22" s="136">
        <f t="array" ref="EH22">IF(EH$3&gt;'GAAP Summary'!$B$2,0,SUM(INDIRECT(XLOOKUP(EH$3,'TTM Dates'!$B:$B,'TTM Dates'!$E:$E)&amp;ROW($CJ22)&amp;":"&amp;XLOOKUP(EH$3,'TTM Dates'!$B:$B,'TTM Dates'!$C:$C)&amp;ROW($CJ22))))</f>
        <v>0</v>
      </c>
      <c r="EI22" s="136">
        <f t="array" ref="EI22">IF(EI$3&gt;'GAAP Summary'!$B$2,0,SUM(INDIRECT(XLOOKUP(EI$3,'TTM Dates'!$B:$B,'TTM Dates'!$E:$E)&amp;ROW($CJ22)&amp;":"&amp;XLOOKUP(EI$3,'TTM Dates'!$B:$B,'TTM Dates'!$C:$C)&amp;ROW($CJ22))))</f>
        <v>0</v>
      </c>
      <c r="EJ22" s="136">
        <f t="array" ref="EJ22">IF(EJ$3&gt;'GAAP Summary'!$B$2,0,SUM(INDIRECT(XLOOKUP(EJ$3,'TTM Dates'!$B:$B,'TTM Dates'!$E:$E)&amp;ROW($CJ22)&amp;":"&amp;XLOOKUP(EJ$3,'TTM Dates'!$B:$B,'TTM Dates'!$C:$C)&amp;ROW($CJ22))))</f>
        <v>0</v>
      </c>
      <c r="EK22" s="136">
        <f t="array" ref="EK22">IF(EK$3&gt;'GAAP Summary'!$B$2,0,SUM(INDIRECT(XLOOKUP(EK$3,'TTM Dates'!$B:$B,'TTM Dates'!$E:$E)&amp;ROW($CJ22)&amp;":"&amp;XLOOKUP(EK$3,'TTM Dates'!$B:$B,'TTM Dates'!$C:$C)&amp;ROW($CJ22))))</f>
        <v>0</v>
      </c>
      <c r="EL22" s="136">
        <f t="array" ref="EL22">IF(EL$3&gt;'GAAP Summary'!$B$2,0,SUM(INDIRECT(XLOOKUP(EL$3,'TTM Dates'!$B:$B,'TTM Dates'!$E:$E)&amp;ROW($CJ22)&amp;":"&amp;XLOOKUP(EL$3,'TTM Dates'!$B:$B,'TTM Dates'!$C:$C)&amp;ROW($CJ22))))</f>
        <v>0</v>
      </c>
      <c r="EM22" s="136">
        <f t="array" ref="EM22">IF(EM$3&gt;'GAAP Summary'!$B$2,0,SUM(INDIRECT(XLOOKUP(EM$3,'TTM Dates'!$B:$B,'TTM Dates'!$E:$E)&amp;ROW($CJ22)&amp;":"&amp;XLOOKUP(EM$3,'TTM Dates'!$B:$B,'TTM Dates'!$C:$C)&amp;ROW($CJ22))))</f>
        <v>0</v>
      </c>
      <c r="EN22" s="136">
        <f t="array" ref="EN22">IF(EN$3&gt;'GAAP Summary'!$B$2,0,SUM(INDIRECT(XLOOKUP(EN$3,'TTM Dates'!$B:$B,'TTM Dates'!$E:$E)&amp;ROW($CJ22)&amp;":"&amp;XLOOKUP(EN$3,'TTM Dates'!$B:$B,'TTM Dates'!$C:$C)&amp;ROW($CJ22))))</f>
        <v>0</v>
      </c>
      <c r="EO22" s="136">
        <f t="array" ref="EO22">IF(EO$3&gt;'GAAP Summary'!$B$2,0,SUM(INDIRECT(XLOOKUP(EO$3,'TTM Dates'!$B:$B,'TTM Dates'!$E:$E)&amp;ROW($CJ22)&amp;":"&amp;XLOOKUP(EO$3,'TTM Dates'!$B:$B,'TTM Dates'!$C:$C)&amp;ROW($CJ22))))</f>
        <v>0</v>
      </c>
      <c r="EP22" s="136">
        <f t="array" ref="EP22">IF(EP$3&gt;'GAAP Summary'!$B$2,0,SUM(INDIRECT(XLOOKUP(EP$3,'TTM Dates'!$B:$B,'TTM Dates'!$E:$E)&amp;ROW($CJ22)&amp;":"&amp;XLOOKUP(EP$3,'TTM Dates'!$B:$B,'TTM Dates'!$C:$C)&amp;ROW($CJ22))))</f>
        <v>0</v>
      </c>
      <c r="EQ22" s="136">
        <f t="array" ref="EQ22">IF(EQ$3&gt;'GAAP Summary'!$B$2,0,SUM(INDIRECT(XLOOKUP(EQ$3,'TTM Dates'!$B:$B,'TTM Dates'!$E:$E)&amp;ROW($CJ22)&amp;":"&amp;XLOOKUP(EQ$3,'TTM Dates'!$B:$B,'TTM Dates'!$C:$C)&amp;ROW($CJ22))))</f>
        <v>0</v>
      </c>
      <c r="ER22" s="136">
        <f t="array" ref="ER22">IF(ER$3&gt;'GAAP Summary'!$B$2,0,SUM(INDIRECT(XLOOKUP(ER$3,'TTM Dates'!$B:$B,'TTM Dates'!$E:$E)&amp;ROW($CJ22)&amp;":"&amp;XLOOKUP(ER$3,'TTM Dates'!$B:$B,'TTM Dates'!$C:$C)&amp;ROW($CJ22))))</f>
        <v>0</v>
      </c>
      <c r="ES22" s="136">
        <f t="array" ref="ES22">IF(ES$3&gt;'GAAP Summary'!$B$2,0,SUM(INDIRECT(XLOOKUP(ES$3,'TTM Dates'!$B:$B,'TTM Dates'!$E:$E)&amp;ROW($CJ22)&amp;":"&amp;XLOOKUP(ES$3,'TTM Dates'!$B:$B,'TTM Dates'!$C:$C)&amp;ROW($CJ22))))</f>
        <v>0</v>
      </c>
      <c r="ET22" s="136">
        <f t="array" ref="ET22">IF(ET$3&gt;'GAAP Summary'!$B$2,0,SUM(INDIRECT(XLOOKUP(ET$3,'TTM Dates'!$B:$B,'TTM Dates'!$E:$E)&amp;ROW($CJ22)&amp;":"&amp;XLOOKUP(ET$3,'TTM Dates'!$B:$B,'TTM Dates'!$C:$C)&amp;ROW($CJ22))))</f>
        <v>0</v>
      </c>
      <c r="EU22" s="136">
        <f t="array" ref="EU22">IF(EU$3&gt;'GAAP Summary'!$B$2,0,SUM(INDIRECT(XLOOKUP(EU$3,'TTM Dates'!$B:$B,'TTM Dates'!$E:$E)&amp;ROW($CJ22)&amp;":"&amp;XLOOKUP(EU$3,'TTM Dates'!$B:$B,'TTM Dates'!$C:$C)&amp;ROW($CJ22))))</f>
        <v>0</v>
      </c>
      <c r="EV22" s="136">
        <f t="array" ref="EV22">IF(EV$3&gt;'GAAP Summary'!$B$2,0,SUM(INDIRECT(XLOOKUP(EV$3,'TTM Dates'!$B:$B,'TTM Dates'!$E:$E)&amp;ROW($CJ22)&amp;":"&amp;XLOOKUP(EV$3,'TTM Dates'!$B:$B,'TTM Dates'!$C:$C)&amp;ROW($CJ22))))</f>
        <v>0</v>
      </c>
      <c r="EW22" s="136">
        <f t="array" ref="EW22">IF(EW$3&gt;'GAAP Summary'!$B$2,0,SUM(INDIRECT(XLOOKUP(EW$3,'TTM Dates'!$B:$B,'TTM Dates'!$E:$E)&amp;ROW($CJ22)&amp;":"&amp;XLOOKUP(EW$3,'TTM Dates'!$B:$B,'TTM Dates'!$C:$C)&amp;ROW($CJ22))))</f>
        <v>0</v>
      </c>
      <c r="EX22" s="136">
        <f t="array" ref="EX22">IF(EX$3&gt;'GAAP Summary'!$B$2,0,SUM(INDIRECT(XLOOKUP(EX$3,'TTM Dates'!$B:$B,'TTM Dates'!$E:$E)&amp;ROW($CJ22)&amp;":"&amp;XLOOKUP(EX$3,'TTM Dates'!$B:$B,'TTM Dates'!$C:$C)&amp;ROW($CJ22))))</f>
        <v>0</v>
      </c>
      <c r="EY22" s="136">
        <f t="array" ref="EY22">IF(EY$3&gt;'GAAP Summary'!$B$2,0,SUM(INDIRECT(XLOOKUP(EY$3,'TTM Dates'!$B:$B,'TTM Dates'!$E:$E)&amp;ROW($CJ22)&amp;":"&amp;XLOOKUP(EY$3,'TTM Dates'!$B:$B,'TTM Dates'!$C:$C)&amp;ROW($CJ22))))</f>
        <v>0</v>
      </c>
      <c r="EZ22" s="136">
        <f t="array" ref="EZ22">IF(EZ$3&gt;'GAAP Summary'!$B$2,0,SUM(INDIRECT(XLOOKUP(EZ$3,'TTM Dates'!$B:$B,'TTM Dates'!$E:$E)&amp;ROW($CJ22)&amp;":"&amp;XLOOKUP(EZ$3,'TTM Dates'!$B:$B,'TTM Dates'!$C:$C)&amp;ROW($CJ22))))</f>
        <v>0</v>
      </c>
      <c r="FA22" s="136">
        <f t="array" ref="FA22">IF(FA$3&gt;'GAAP Summary'!$B$2,0,SUM(INDIRECT(XLOOKUP(FA$3,'TTM Dates'!$B:$B,'TTM Dates'!$E:$E)&amp;ROW($CJ22)&amp;":"&amp;XLOOKUP(FA$3,'TTM Dates'!$B:$B,'TTM Dates'!$C:$C)&amp;ROW($CJ22))))</f>
        <v>0</v>
      </c>
      <c r="FB22" s="136">
        <f t="array" ref="FB22">IF(FB$3&gt;'GAAP Summary'!$B$2,0,SUM(INDIRECT(XLOOKUP(FB$3,'TTM Dates'!$B:$B,'TTM Dates'!$E:$E)&amp;ROW($CJ22)&amp;":"&amp;XLOOKUP(FB$3,'TTM Dates'!$B:$B,'TTM Dates'!$C:$C)&amp;ROW($CJ22))))</f>
        <v>0</v>
      </c>
      <c r="FC22" s="136">
        <f t="array" ref="FC22">IF(FC$3&gt;'GAAP Summary'!$B$2,0,SUM(INDIRECT(XLOOKUP(FC$3,'TTM Dates'!$B:$B,'TTM Dates'!$E:$E)&amp;ROW($CJ22)&amp;":"&amp;XLOOKUP(FC$3,'TTM Dates'!$B:$B,'TTM Dates'!$C:$C)&amp;ROW($CJ22))))</f>
        <v>0</v>
      </c>
      <c r="FD22" s="136">
        <f t="array" ref="FD22">IF(FD$3&gt;'GAAP Summary'!$B$2,0,SUM(INDIRECT(XLOOKUP(FD$3,'TTM Dates'!$B:$B,'TTM Dates'!$E:$E)&amp;ROW($CJ22)&amp;":"&amp;XLOOKUP(FD$3,'TTM Dates'!$B:$B,'TTM Dates'!$C:$C)&amp;ROW($CJ22))))</f>
        <v>0</v>
      </c>
      <c r="FE22" s="136">
        <f t="array" ref="FE22">IF(FE$3&gt;'GAAP Summary'!$B$2,0,SUM(INDIRECT(XLOOKUP(FE$3,'TTM Dates'!$B:$B,'TTM Dates'!$E:$E)&amp;ROW($CJ22)&amp;":"&amp;XLOOKUP(FE$3,'TTM Dates'!$B:$B,'TTM Dates'!$C:$C)&amp;ROW($CJ22))))</f>
        <v>0</v>
      </c>
      <c r="FF22" s="136">
        <f t="array" ref="FF22">IF(FF$3&gt;'GAAP Summary'!$B$2,0,SUM(INDIRECT(XLOOKUP(FF$3,'TTM Dates'!$B:$B,'TTM Dates'!$E:$E)&amp;ROW($CJ22)&amp;":"&amp;XLOOKUP(FF$3,'TTM Dates'!$B:$B,'TTM Dates'!$C:$C)&amp;ROW($CJ22))))</f>
        <v>0</v>
      </c>
      <c r="FG22" s="136">
        <f t="array" ref="FG22">IF(FG$3&gt;'GAAP Summary'!$B$2,0,SUM(INDIRECT(XLOOKUP(FG$3,'TTM Dates'!$B:$B,'TTM Dates'!$E:$E)&amp;ROW($CJ22)&amp;":"&amp;XLOOKUP(FG$3,'TTM Dates'!$B:$B,'TTM Dates'!$C:$C)&amp;ROW($CJ22))))</f>
        <v>0</v>
      </c>
      <c r="FH22" s="136">
        <f t="array" ref="FH22">IF(FH$3&gt;'GAAP Summary'!$B$2,0,SUM(INDIRECT(XLOOKUP(FH$3,'TTM Dates'!$B:$B,'TTM Dates'!$E:$E)&amp;ROW($CJ22)&amp;":"&amp;XLOOKUP(FH$3,'TTM Dates'!$B:$B,'TTM Dates'!$C:$C)&amp;ROW($CJ22))))</f>
        <v>0</v>
      </c>
      <c r="FI22" s="136">
        <f t="array" ref="FI22">IF(FI$3&gt;'GAAP Summary'!$B$2,0,SUM(INDIRECT(XLOOKUP(FI$3,'TTM Dates'!$B:$B,'TTM Dates'!$E:$E)&amp;ROW($CJ22)&amp;":"&amp;XLOOKUP(FI$3,'TTM Dates'!$B:$B,'TTM Dates'!$C:$C)&amp;ROW($CJ22))))</f>
        <v>0</v>
      </c>
      <c r="FJ22" s="136">
        <f t="array" ref="FJ22">IF(FJ$3&gt;'GAAP Summary'!$B$2,0,SUM(INDIRECT(XLOOKUP(FJ$3,'TTM Dates'!$B:$B,'TTM Dates'!$E:$E)&amp;ROW($CJ22)&amp;":"&amp;XLOOKUP(FJ$3,'TTM Dates'!$B:$B,'TTM Dates'!$C:$C)&amp;ROW($CJ22))))</f>
        <v>0</v>
      </c>
      <c r="FK22" s="136">
        <f t="array" ref="FK22">IF(FK$3&gt;'GAAP Summary'!$B$2,0,SUM(INDIRECT(XLOOKUP(FK$3,'TTM Dates'!$B:$B,'TTM Dates'!$E:$E)&amp;ROW($CJ22)&amp;":"&amp;XLOOKUP(FK$3,'TTM Dates'!$B:$B,'TTM Dates'!$C:$C)&amp;ROW($CJ22))))</f>
        <v>0</v>
      </c>
      <c r="FL22" s="136">
        <f t="array" ref="FL22">IF(FL$3&gt;'GAAP Summary'!$B$2,0,SUM(INDIRECT(XLOOKUP(FL$3,'TTM Dates'!$B:$B,'TTM Dates'!$E:$E)&amp;ROW($CJ22)&amp;":"&amp;XLOOKUP(FL$3,'TTM Dates'!$B:$B,'TTM Dates'!$C:$C)&amp;ROW($CJ22))))</f>
        <v>0</v>
      </c>
      <c r="FM22" s="136">
        <f t="array" ref="FM22">IF(FM$3&gt;'GAAP Summary'!$B$2,0,SUM(INDIRECT(XLOOKUP(FM$3,'TTM Dates'!$B:$B,'TTM Dates'!$E:$E)&amp;ROW($CJ22)&amp;":"&amp;XLOOKUP(FM$3,'TTM Dates'!$B:$B,'TTM Dates'!$C:$C)&amp;ROW($CJ22))))</f>
        <v>0</v>
      </c>
      <c r="FN22" s="136">
        <f t="array" ref="FN22">IF(FN$3&gt;'GAAP Summary'!$B$2,0,SUM(INDIRECT(XLOOKUP(FN$3,'TTM Dates'!$B:$B,'TTM Dates'!$E:$E)&amp;ROW($CJ22)&amp;":"&amp;XLOOKUP(FN$3,'TTM Dates'!$B:$B,'TTM Dates'!$C:$C)&amp;ROW($CJ22))))</f>
        <v>0</v>
      </c>
      <c r="FO22" s="136">
        <f t="array" ref="FO22">IF(FO$3&gt;'GAAP Summary'!$B$2,0,SUM(INDIRECT(XLOOKUP(FO$3,'TTM Dates'!$B:$B,'TTM Dates'!$E:$E)&amp;ROW($CJ22)&amp;":"&amp;XLOOKUP(FO$3,'TTM Dates'!$B:$B,'TTM Dates'!$C:$C)&amp;ROW($CJ22))))</f>
        <v>0</v>
      </c>
      <c r="FP22" s="136">
        <f t="array" ref="FP22">IF(FP$3&gt;'GAAP Summary'!$B$2,0,SUM(INDIRECT(XLOOKUP(FP$3,'TTM Dates'!$B:$B,'TTM Dates'!$E:$E)&amp;ROW($CJ22)&amp;":"&amp;XLOOKUP(FP$3,'TTM Dates'!$B:$B,'TTM Dates'!$C:$C)&amp;ROW($CJ22))))</f>
        <v>0</v>
      </c>
      <c r="FQ22" s="136">
        <f t="array" ref="FQ22">IF(FQ$3&gt;'GAAP Summary'!$B$2,0,SUM(INDIRECT(XLOOKUP(FQ$3,'TTM Dates'!$B:$B,'TTM Dates'!$E:$E)&amp;ROW($CJ22)&amp;":"&amp;XLOOKUP(FQ$3,'TTM Dates'!$B:$B,'TTM Dates'!$C:$C)&amp;ROW($CJ22))))</f>
        <v>0</v>
      </c>
      <c r="FR22" s="136">
        <f t="array" ref="FR22">IF(FR$3&gt;'GAAP Summary'!$B$2,0,SUM(INDIRECT(XLOOKUP(FR$3,'TTM Dates'!$B:$B,'TTM Dates'!$E:$E)&amp;ROW($CJ22)&amp;":"&amp;XLOOKUP(FR$3,'TTM Dates'!$B:$B,'TTM Dates'!$C:$C)&amp;ROW($CJ22))))</f>
        <v>0</v>
      </c>
      <c r="FS22" s="136">
        <f t="array" ref="FS22">IF(FS$3&gt;'GAAP Summary'!$B$2,0,SUM(INDIRECT(XLOOKUP(FS$3,'TTM Dates'!$B:$B,'TTM Dates'!$E:$E)&amp;ROW($CJ22)&amp;":"&amp;XLOOKUP(FS$3,'TTM Dates'!$B:$B,'TTM Dates'!$C:$C)&amp;ROW($CJ22))))</f>
        <v>0</v>
      </c>
      <c r="FT22" s="136">
        <f t="array" ref="FT22">IF(FT$3&gt;'GAAP Summary'!$B$2,0,SUM(INDIRECT(XLOOKUP(FT$3,'TTM Dates'!$B:$B,'TTM Dates'!$E:$E)&amp;ROW($CJ22)&amp;":"&amp;XLOOKUP(FT$3,'TTM Dates'!$B:$B,'TTM Dates'!$C:$C)&amp;ROW($CJ22))))</f>
        <v>0</v>
      </c>
      <c r="FU22" s="136">
        <f t="array" ref="FU22">IF(FU$3&gt;'GAAP Summary'!$B$2,0,SUM(INDIRECT(XLOOKUP(FU$3,'TTM Dates'!$B:$B,'TTM Dates'!$E:$E)&amp;ROW($CJ22)&amp;":"&amp;XLOOKUP(FU$3,'TTM Dates'!$B:$B,'TTM Dates'!$C:$C)&amp;ROW($CJ22))))</f>
        <v>0</v>
      </c>
      <c r="FV22" s="136">
        <f t="array" ref="FV22">IF(FV$3&gt;'GAAP Summary'!$B$2,0,SUM(INDIRECT(XLOOKUP(FV$3,'TTM Dates'!$B:$B,'TTM Dates'!$E:$E)&amp;ROW($CJ22)&amp;":"&amp;XLOOKUP(FV$3,'TTM Dates'!$B:$B,'TTM Dates'!$C:$C)&amp;ROW($CJ22))))</f>
        <v>0</v>
      </c>
      <c r="FW22" s="136">
        <f t="array" ref="FW22">IF(FW$3&gt;'GAAP Summary'!$B$2,0,SUM(INDIRECT(XLOOKUP(FW$3,'TTM Dates'!$B:$B,'TTM Dates'!$E:$E)&amp;ROW($CJ22)&amp;":"&amp;XLOOKUP(FW$3,'TTM Dates'!$B:$B,'TTM Dates'!$C:$C)&amp;ROW($CJ22))))</f>
        <v>0</v>
      </c>
      <c r="FX22" s="136">
        <f t="array" ref="FX22">IF(FX$3&gt;'GAAP Summary'!$B$2,0,SUM(INDIRECT(XLOOKUP(FX$3,'TTM Dates'!$B:$B,'TTM Dates'!$E:$E)&amp;ROW($CJ22)&amp;":"&amp;XLOOKUP(FX$3,'TTM Dates'!$B:$B,'TTM Dates'!$C:$C)&amp;ROW($CJ22))))</f>
        <v>0</v>
      </c>
      <c r="FY22" s="136">
        <f t="array" ref="FY22">IF(FY$3&gt;'GAAP Summary'!$B$2,0,SUM(INDIRECT(XLOOKUP(FY$3,'TTM Dates'!$B:$B,'TTM Dates'!$E:$E)&amp;ROW($CJ22)&amp;":"&amp;XLOOKUP(FY$3,'TTM Dates'!$B:$B,'TTM Dates'!$C:$C)&amp;ROW($CJ22))))</f>
        <v>0</v>
      </c>
      <c r="FZ22" s="136">
        <f t="array" ref="FZ22">IF(FZ$3&gt;'GAAP Summary'!$B$2,0,SUM(INDIRECT(XLOOKUP(FZ$3,'TTM Dates'!$B:$B,'TTM Dates'!$E:$E)&amp;ROW($CJ22)&amp;":"&amp;XLOOKUP(FZ$3,'TTM Dates'!$B:$B,'TTM Dates'!$C:$C)&amp;ROW($CJ22))))</f>
        <v>0</v>
      </c>
      <c r="GA22" s="136">
        <f t="array" ref="GA22">IF(GA$3&gt;'GAAP Summary'!$B$2,0,SUM(INDIRECT(XLOOKUP(GA$3,'TTM Dates'!$B:$B,'TTM Dates'!$E:$E)&amp;ROW($CJ22)&amp;":"&amp;XLOOKUP(GA$3,'TTM Dates'!$B:$B,'TTM Dates'!$C:$C)&amp;ROW($CJ22))))</f>
        <v>0</v>
      </c>
      <c r="GB22" s="136">
        <f t="array" ref="GB22">IF(GB$3&gt;'GAAP Summary'!$B$2,0,SUM(INDIRECT(XLOOKUP(GB$3,'TTM Dates'!$B:$B,'TTM Dates'!$E:$E)&amp;ROW($CJ22)&amp;":"&amp;XLOOKUP(GB$3,'TTM Dates'!$B:$B,'TTM Dates'!$C:$C)&amp;ROW($CJ22))))</f>
        <v>0</v>
      </c>
      <c r="GC22" s="136">
        <f t="array" ref="GC22">IF(GC$3&gt;'GAAP Summary'!$B$2,0,SUM(INDIRECT(XLOOKUP(GC$3,'TTM Dates'!$B:$B,'TTM Dates'!$E:$E)&amp;ROW($CJ22)&amp;":"&amp;XLOOKUP(GC$3,'TTM Dates'!$B:$B,'TTM Dates'!$C:$C)&amp;ROW($CJ22))))</f>
        <v>0</v>
      </c>
      <c r="GD22" s="136">
        <f t="array" ref="GD22">IF(GD$3&gt;'GAAP Summary'!$B$2,0,SUM(INDIRECT(XLOOKUP(GD$3,'TTM Dates'!$B:$B,'TTM Dates'!$E:$E)&amp;ROW($CJ22)&amp;":"&amp;XLOOKUP(GD$3,'TTM Dates'!$B:$B,'TTM Dates'!$C:$C)&amp;ROW($CJ22))))</f>
        <v>0</v>
      </c>
      <c r="GE22" s="136">
        <f t="array" ref="GE22">IF(GE$3&gt;'GAAP Summary'!$B$2,0,SUM(INDIRECT(XLOOKUP(GE$3,'TTM Dates'!$B:$B,'TTM Dates'!$E:$E)&amp;ROW($CJ22)&amp;":"&amp;XLOOKUP(GE$3,'TTM Dates'!$B:$B,'TTM Dates'!$C:$C)&amp;ROW($CJ22))))</f>
        <v>0</v>
      </c>
      <c r="GF22" s="136">
        <f t="array" ref="GF22">IF(GF$3&gt;'GAAP Summary'!$B$2,0,SUM(INDIRECT(XLOOKUP(GF$3,'TTM Dates'!$B:$B,'TTM Dates'!$E:$E)&amp;ROW($CJ22)&amp;":"&amp;XLOOKUP(GF$3,'TTM Dates'!$B:$B,'TTM Dates'!$C:$C)&amp;ROW($CJ22))))</f>
        <v>0</v>
      </c>
      <c r="GG22" s="136">
        <f t="array" ref="GG22">IF(GG$3&gt;'GAAP Summary'!$B$2,0,SUM(INDIRECT(XLOOKUP(GG$3,'TTM Dates'!$B:$B,'TTM Dates'!$E:$E)&amp;ROW($CJ22)&amp;":"&amp;XLOOKUP(GG$3,'TTM Dates'!$B:$B,'TTM Dates'!$C:$C)&amp;ROW($CJ22))))</f>
        <v>0</v>
      </c>
      <c r="GH22" s="136">
        <f t="array" ref="GH22">IF(GH$3&gt;'GAAP Summary'!$B$2,0,SUM(INDIRECT(XLOOKUP(GH$3,'TTM Dates'!$B:$B,'TTM Dates'!$E:$E)&amp;ROW($CJ22)&amp;":"&amp;XLOOKUP(GH$3,'TTM Dates'!$B:$B,'TTM Dates'!$C:$C)&amp;ROW($CJ22))))</f>
        <v>0</v>
      </c>
      <c r="GI22" s="136">
        <f t="array" ref="GI22">IF(GI$3&gt;'GAAP Summary'!$B$2,0,SUM(INDIRECT(XLOOKUP(GI$3,'TTM Dates'!$B:$B,'TTM Dates'!$E:$E)&amp;ROW($CJ22)&amp;":"&amp;XLOOKUP(GI$3,'TTM Dates'!$B:$B,'TTM Dates'!$C:$C)&amp;ROW($CJ22))))</f>
        <v>0</v>
      </c>
      <c r="GJ22" s="136">
        <f t="array" ref="GJ22">IF(GJ$3&gt;'GAAP Summary'!$B$2,0,SUM(INDIRECT(XLOOKUP(GJ$3,'TTM Dates'!$B:$B,'TTM Dates'!$E:$E)&amp;ROW($CJ22)&amp;":"&amp;XLOOKUP(GJ$3,'TTM Dates'!$B:$B,'TTM Dates'!$C:$C)&amp;ROW($CJ22))))</f>
        <v>0</v>
      </c>
      <c r="GK22" s="136">
        <f t="array" ref="GK22">IF(GK$3&gt;'GAAP Summary'!$B$2,0,SUM(INDIRECT(XLOOKUP(GK$3,'TTM Dates'!$B:$B,'TTM Dates'!$E:$E)&amp;ROW($CJ22)&amp;":"&amp;XLOOKUP(GK$3,'TTM Dates'!$B:$B,'TTM Dates'!$C:$C)&amp;ROW($CJ22))))</f>
        <v>0</v>
      </c>
      <c r="GL22" s="136">
        <f t="array" ref="GL22">IF(GL$3&gt;'GAAP Summary'!$B$2,0,SUM(INDIRECT(XLOOKUP(GL$3,'TTM Dates'!$B:$B,'TTM Dates'!$E:$E)&amp;ROW($CJ22)&amp;":"&amp;XLOOKUP(GL$3,'TTM Dates'!$B:$B,'TTM Dates'!$C:$C)&amp;ROW($CJ22))))</f>
        <v>0</v>
      </c>
      <c r="GM22" s="136"/>
    </row>
    <row r="23">
      <c r="A23" s="101"/>
      <c r="B23" s="340" t="s">
        <v>504</v>
      </c>
      <c r="C23" s="283"/>
      <c r="D23" s="283"/>
      <c r="E23" s="283"/>
      <c r="F23" s="283"/>
      <c r="G23" s="283"/>
      <c r="H23" s="283"/>
      <c r="I23" s="283"/>
      <c r="J23" s="283"/>
      <c r="K23" s="283"/>
      <c r="L23" s="283"/>
      <c r="M23" s="283"/>
      <c r="N23" s="283"/>
      <c r="O23" s="283"/>
      <c r="P23" s="283"/>
      <c r="Q23" s="283"/>
      <c r="R23" s="283"/>
      <c r="S23" s="283"/>
      <c r="T23" s="283"/>
      <c r="U23" s="283"/>
      <c r="V23" s="283"/>
      <c r="W23" s="283"/>
      <c r="X23" s="283"/>
      <c r="Y23" s="283"/>
      <c r="Z23" s="283"/>
      <c r="AA23" s="341">
        <v>1143669.0</v>
      </c>
      <c r="AB23" s="341">
        <v>1028683.0</v>
      </c>
      <c r="AC23" s="341">
        <v>1352064.0</v>
      </c>
      <c r="AD23" s="341">
        <v>1147004.0</v>
      </c>
      <c r="AE23" s="341">
        <v>1244549.0</v>
      </c>
      <c r="AF23" s="341">
        <v>1491129.0</v>
      </c>
      <c r="AG23" s="341">
        <v>1287410.0</v>
      </c>
      <c r="AH23" s="341">
        <v>1888401.0</v>
      </c>
      <c r="AI23" s="341">
        <v>1579699.0</v>
      </c>
      <c r="AJ23" s="341">
        <v>1828195.0</v>
      </c>
      <c r="AK23" s="341">
        <v>1724117.0</v>
      </c>
      <c r="AL23" s="341">
        <v>1178549.0</v>
      </c>
      <c r="AM23" s="341">
        <v>2070143.0</v>
      </c>
      <c r="AN23" s="341">
        <v>1837048.0</v>
      </c>
      <c r="AO23" s="341">
        <v>2158000.0</v>
      </c>
      <c r="AP23" s="341">
        <v>1764880.0</v>
      </c>
      <c r="AQ23" s="341">
        <v>1839846.0</v>
      </c>
      <c r="AR23" s="341">
        <v>1763751.0</v>
      </c>
      <c r="AS23" s="341">
        <v>1526951.0</v>
      </c>
      <c r="AT23" s="341">
        <v>1895072.0</v>
      </c>
      <c r="AU23" s="341">
        <v>1506266.0</v>
      </c>
      <c r="AV23" s="341">
        <v>1727134.0</v>
      </c>
      <c r="AW23" s="341">
        <v>1582123.0</v>
      </c>
      <c r="AX23" s="341">
        <v>1495367.0</v>
      </c>
      <c r="AY23" s="341">
        <f t="shared" ref="AY23:CH23" si="70">AY15+AY20</f>
        <v>1601598.92</v>
      </c>
      <c r="AZ23" s="341">
        <f t="shared" si="70"/>
        <v>1736505.87</v>
      </c>
      <c r="BA23" s="341">
        <f t="shared" si="70"/>
        <v>1830911.52</v>
      </c>
      <c r="BB23" s="341">
        <f t="shared" si="70"/>
        <v>1931116.65</v>
      </c>
      <c r="BC23" s="341">
        <f t="shared" si="70"/>
        <v>1829738.23</v>
      </c>
      <c r="BD23" s="341">
        <f t="shared" si="70"/>
        <v>1751835.71</v>
      </c>
      <c r="BE23" s="341">
        <f t="shared" si="70"/>
        <v>1994239.36</v>
      </c>
      <c r="BF23" s="341">
        <f t="shared" si="70"/>
        <v>2087066.38</v>
      </c>
      <c r="BG23" s="341">
        <f t="shared" si="70"/>
        <v>2077956.66</v>
      </c>
      <c r="BH23" s="341">
        <f t="shared" si="70"/>
        <v>2649598.66</v>
      </c>
      <c r="BI23" s="341">
        <f t="shared" si="70"/>
        <v>2287156.86</v>
      </c>
      <c r="BJ23" s="341">
        <f t="shared" si="70"/>
        <v>2242329.69</v>
      </c>
      <c r="BK23" s="341">
        <f t="shared" si="70"/>
        <v>2408866</v>
      </c>
      <c r="BL23" s="341">
        <f t="shared" si="70"/>
        <v>2294279</v>
      </c>
      <c r="BM23" s="341">
        <f t="shared" si="70"/>
        <v>2295136</v>
      </c>
      <c r="BN23" s="341">
        <f t="shared" si="70"/>
        <v>2578269</v>
      </c>
      <c r="BO23" s="341">
        <f t="shared" si="70"/>
        <v>2505557</v>
      </c>
      <c r="BP23" s="341">
        <f t="shared" si="70"/>
        <v>2544832</v>
      </c>
      <c r="BQ23" s="341">
        <f t="shared" si="70"/>
        <v>2964719</v>
      </c>
      <c r="BR23" s="341">
        <f t="shared" si="70"/>
        <v>2764051</v>
      </c>
      <c r="BS23" s="341">
        <f t="shared" si="70"/>
        <v>3295763.36</v>
      </c>
      <c r="BT23" s="341">
        <f t="shared" si="70"/>
        <v>3759698.01</v>
      </c>
      <c r="BU23" s="341">
        <f t="shared" si="70"/>
        <v>3018097.75</v>
      </c>
      <c r="BV23" s="341">
        <f t="shared" si="70"/>
        <v>3242550.34</v>
      </c>
      <c r="BW23" s="348">
        <f t="shared" si="70"/>
        <v>3819521.81</v>
      </c>
      <c r="BX23" s="348">
        <f t="shared" si="70"/>
        <v>3811914.82</v>
      </c>
      <c r="BY23" s="348">
        <f t="shared" si="70"/>
        <v>4215237.56</v>
      </c>
      <c r="BZ23" s="348">
        <f t="shared" si="70"/>
        <v>4353349</v>
      </c>
      <c r="CA23" s="348">
        <f t="shared" si="70"/>
        <v>4097544.96</v>
      </c>
      <c r="CB23" s="348">
        <f t="shared" si="70"/>
        <v>4442089.31</v>
      </c>
      <c r="CC23" s="348">
        <f t="shared" si="70"/>
        <v>0</v>
      </c>
      <c r="CD23" s="348">
        <f t="shared" si="70"/>
        <v>0</v>
      </c>
      <c r="CE23" s="348">
        <f t="shared" si="70"/>
        <v>0</v>
      </c>
      <c r="CF23" s="348">
        <f t="shared" si="70"/>
        <v>0</v>
      </c>
      <c r="CG23" s="348">
        <f t="shared" si="70"/>
        <v>0</v>
      </c>
      <c r="CH23" s="348">
        <f t="shared" si="70"/>
        <v>0</v>
      </c>
      <c r="CI23" s="342"/>
      <c r="CJ23" s="342"/>
      <c r="CK23" s="290">
        <f t="array" ref="CK23">SUM(INDIRECT(XLOOKUP('GAAP Summary'!$B$2,'TTM Dates'!$B:$B,'TTM Dates'!$E:$E)&amp;ROW($CJ23)&amp;":"&amp;XLOOKUP('GAAP Summary'!$B$2,'TTM Dates'!$B:$B,'TTM Dates'!$C:$C)&amp;ROW($CJ23)))</f>
        <v>43784536.92</v>
      </c>
      <c r="CL23" s="283"/>
      <c r="CM23" s="348">
        <f t="shared" si="39"/>
        <v>11846674.19</v>
      </c>
      <c r="CN23" s="348">
        <f t="shared" si="40"/>
        <v>12892983.27</v>
      </c>
      <c r="CO23" s="348">
        <f t="shared" si="41"/>
        <v>0</v>
      </c>
      <c r="CP23" s="348">
        <f t="shared" si="42"/>
        <v>0</v>
      </c>
      <c r="CQ23" s="349">
        <f t="shared" si="43"/>
        <v>24739657.46</v>
      </c>
      <c r="CR23" s="283"/>
      <c r="CS23" s="283">
        <f t="shared" si="44"/>
        <v>6998281</v>
      </c>
      <c r="CT23" s="283">
        <f t="shared" si="45"/>
        <v>7628658</v>
      </c>
      <c r="CU23" s="283">
        <f t="shared" si="46"/>
        <v>9024533.36</v>
      </c>
      <c r="CV23" s="283">
        <f t="shared" si="47"/>
        <v>10020346.1</v>
      </c>
      <c r="CW23" s="343">
        <f t="shared" si="48"/>
        <v>33671818.46</v>
      </c>
      <c r="CX23" s="283"/>
      <c r="CY23" s="283">
        <f t="shared" si="49"/>
        <v>5169016.31</v>
      </c>
      <c r="CZ23" s="283">
        <f t="shared" si="50"/>
        <v>5512690.59</v>
      </c>
      <c r="DA23" s="283">
        <f t="shared" si="51"/>
        <v>6159262.4</v>
      </c>
      <c r="DB23" s="283">
        <f t="shared" si="52"/>
        <v>7179085.21</v>
      </c>
      <c r="DC23" s="343">
        <f t="shared" si="53"/>
        <v>24020054.51</v>
      </c>
      <c r="DD23" s="283"/>
      <c r="DE23" s="283">
        <f t="shared" si="54"/>
        <v>6065191</v>
      </c>
      <c r="DF23" s="283">
        <f t="shared" si="55"/>
        <v>5368477</v>
      </c>
      <c r="DG23" s="283">
        <f t="shared" si="56"/>
        <v>4928289</v>
      </c>
      <c r="DH23" s="283">
        <f t="shared" si="57"/>
        <v>4804624</v>
      </c>
      <c r="DI23" s="343">
        <f t="shared" si="58"/>
        <v>21166581</v>
      </c>
      <c r="DJ23" s="283"/>
      <c r="DK23" s="341">
        <f t="shared" si="65"/>
        <v>3524416</v>
      </c>
      <c r="DL23" s="341">
        <f t="shared" si="66"/>
        <v>3882682</v>
      </c>
      <c r="DM23" s="341">
        <f t="shared" si="67"/>
        <v>4755510</v>
      </c>
      <c r="DN23" s="341">
        <f t="shared" si="68"/>
        <v>4730861</v>
      </c>
      <c r="DO23" s="344">
        <f t="shared" si="69"/>
        <v>16893469</v>
      </c>
      <c r="DP23" s="283"/>
      <c r="DQ23" s="343"/>
      <c r="DR23" s="283"/>
      <c r="DS23" s="283">
        <f t="array" ref="DS23">IF(DS$3&gt;'GAAP Summary'!$B$2,0,SUM(INDIRECT(XLOOKUP(DS$3,'TTM Dates'!$B:$B,'TTM Dates'!$E:$E)&amp;ROW($CJ23)&amp;":"&amp;XLOOKUP(DS$3,'TTM Dates'!$B:$B,'TTM Dates'!$C:$C)&amp;ROW($CJ23))))</f>
        <v>0</v>
      </c>
      <c r="DT23" s="283">
        <f t="array" ref="DT23">IF(DT$3&gt;'GAAP Summary'!$B$2,0,SUM(INDIRECT(XLOOKUP(DT$3,'TTM Dates'!$B:$B,'TTM Dates'!$E:$E)&amp;ROW($CJ23)&amp;":"&amp;XLOOKUP(DT$3,'TTM Dates'!$B:$B,'TTM Dates'!$C:$C)&amp;ROW($CJ23))))</f>
        <v>0</v>
      </c>
      <c r="DU23" s="283">
        <f t="array" ref="DU23">IF(DU$3&gt;'GAAP Summary'!$B$2,0,SUM(INDIRECT(XLOOKUP(DU$3,'TTM Dates'!$B:$B,'TTM Dates'!$E:$E)&amp;ROW($CJ23)&amp;":"&amp;XLOOKUP(DU$3,'TTM Dates'!$B:$B,'TTM Dates'!$C:$C)&amp;ROW($CJ23))))</f>
        <v>0</v>
      </c>
      <c r="DV23" s="283">
        <f t="array" ref="DV23">IF(DV$3&gt;'GAAP Summary'!$B$2,0,SUM(INDIRECT(XLOOKUP(DV$3,'TTM Dates'!$B:$B,'TTM Dates'!$E:$E)&amp;ROW($CJ23)&amp;":"&amp;XLOOKUP(DV$3,'TTM Dates'!$B:$B,'TTM Dates'!$C:$C)&amp;ROW($CJ23))))</f>
        <v>0</v>
      </c>
      <c r="DW23" s="283">
        <f t="array" ref="DW23">IF(DW$3&gt;'GAAP Summary'!$B$2,0,SUM(INDIRECT(XLOOKUP(DW$3,'TTM Dates'!$B:$B,'TTM Dates'!$E:$E)&amp;ROW($CJ23)&amp;":"&amp;XLOOKUP(DW$3,'TTM Dates'!$B:$B,'TTM Dates'!$C:$C)&amp;ROW($CJ23))))</f>
        <v>0</v>
      </c>
      <c r="DX23" s="283">
        <f t="array" ref="DX23">IF(DX$3&gt;'GAAP Summary'!$B$2,0,SUM(INDIRECT(XLOOKUP(DX$3,'TTM Dates'!$B:$B,'TTM Dates'!$E:$E)&amp;ROW($CJ23)&amp;":"&amp;XLOOKUP(DX$3,'TTM Dates'!$B:$B,'TTM Dates'!$C:$C)&amp;ROW($CJ23))))</f>
        <v>0</v>
      </c>
      <c r="DY23" s="283">
        <f t="array" ref="DY23">IF(DY$3&gt;'GAAP Summary'!$B$2,0,SUM(INDIRECT(XLOOKUP(DY$3,'TTM Dates'!$B:$B,'TTM Dates'!$E:$E)&amp;ROW($CJ23)&amp;":"&amp;XLOOKUP(DY$3,'TTM Dates'!$B:$B,'TTM Dates'!$C:$C)&amp;ROW($CJ23))))</f>
        <v>0</v>
      </c>
      <c r="DZ23" s="283">
        <f t="array" ref="DZ23">IF(DZ$3&gt;'GAAP Summary'!$B$2,0,SUM(INDIRECT(XLOOKUP(DZ$3,'TTM Dates'!$B:$B,'TTM Dates'!$E:$E)&amp;ROW($CJ23)&amp;":"&amp;XLOOKUP(DZ$3,'TTM Dates'!$B:$B,'TTM Dates'!$C:$C)&amp;ROW($CJ23))))</f>
        <v>0</v>
      </c>
      <c r="EA23" s="283">
        <f t="array" ref="EA23">IF(EA$3&gt;'GAAP Summary'!$B$2,0,SUM(INDIRECT(XLOOKUP(EA$3,'TTM Dates'!$B:$B,'TTM Dates'!$E:$E)&amp;ROW($CJ23)&amp;":"&amp;XLOOKUP(EA$3,'TTM Dates'!$B:$B,'TTM Dates'!$C:$C)&amp;ROW($CJ23))))</f>
        <v>0</v>
      </c>
      <c r="EB23" s="283">
        <f t="array" ref="EB23">IF(EB$3&gt;'GAAP Summary'!$B$2,0,SUM(INDIRECT(XLOOKUP(EB$3,'TTM Dates'!$B:$B,'TTM Dates'!$E:$E)&amp;ROW($CJ23)&amp;":"&amp;XLOOKUP(EB$3,'TTM Dates'!$B:$B,'TTM Dates'!$C:$C)&amp;ROW($CJ23))))</f>
        <v>0</v>
      </c>
      <c r="EC23" s="283">
        <f t="array" ref="EC23">IF(EC$3&gt;'GAAP Summary'!$B$2,0,SUM(INDIRECT(XLOOKUP(EC$3,'TTM Dates'!$B:$B,'TTM Dates'!$E:$E)&amp;ROW($CJ23)&amp;":"&amp;XLOOKUP(EC$3,'TTM Dates'!$B:$B,'TTM Dates'!$C:$C)&amp;ROW($CJ23))))</f>
        <v>0</v>
      </c>
      <c r="ED23" s="283">
        <f t="array" ref="ED23">IF(ED$3&gt;'GAAP Summary'!$B$2,0,SUM(INDIRECT(XLOOKUP(ED$3,'TTM Dates'!$B:$B,'TTM Dates'!$E:$E)&amp;ROW($CJ23)&amp;":"&amp;XLOOKUP(ED$3,'TTM Dates'!$B:$B,'TTM Dates'!$C:$C)&amp;ROW($CJ23))))</f>
        <v>0</v>
      </c>
      <c r="EE23" s="283">
        <f t="array" ref="EE23">IF(EE$3&gt;'GAAP Summary'!$B$2,0,SUM(INDIRECT(XLOOKUP(EE$3,'TTM Dates'!$B:$B,'TTM Dates'!$E:$E)&amp;ROW($CJ23)&amp;":"&amp;XLOOKUP(EE$3,'TTM Dates'!$B:$B,'TTM Dates'!$C:$C)&amp;ROW($CJ23))))</f>
        <v>1143669</v>
      </c>
      <c r="EF23" s="283">
        <f t="array" ref="EF23">IF(EF$3&gt;'GAAP Summary'!$B$2,0,SUM(INDIRECT(XLOOKUP(EF$3,'TTM Dates'!$B:$B,'TTM Dates'!$E:$E)&amp;ROW($CJ23)&amp;":"&amp;XLOOKUP(EF$3,'TTM Dates'!$B:$B,'TTM Dates'!$C:$C)&amp;ROW($CJ23))))</f>
        <v>2172352</v>
      </c>
      <c r="EG23" s="283">
        <f t="array" ref="EG23">IF(EG$3&gt;'GAAP Summary'!$B$2,0,SUM(INDIRECT(XLOOKUP(EG$3,'TTM Dates'!$B:$B,'TTM Dates'!$E:$E)&amp;ROW($CJ23)&amp;":"&amp;XLOOKUP(EG$3,'TTM Dates'!$B:$B,'TTM Dates'!$C:$C)&amp;ROW($CJ23))))</f>
        <v>3524416</v>
      </c>
      <c r="EH23" s="283">
        <f t="array" ref="EH23">IF(EH$3&gt;'GAAP Summary'!$B$2,0,SUM(INDIRECT(XLOOKUP(EH$3,'TTM Dates'!$B:$B,'TTM Dates'!$E:$E)&amp;ROW($CJ23)&amp;":"&amp;XLOOKUP(EH$3,'TTM Dates'!$B:$B,'TTM Dates'!$C:$C)&amp;ROW($CJ23))))</f>
        <v>4671420</v>
      </c>
      <c r="EI23" s="283">
        <f t="array" ref="EI23">IF(EI$3&gt;'GAAP Summary'!$B$2,0,SUM(INDIRECT(XLOOKUP(EI$3,'TTM Dates'!$B:$B,'TTM Dates'!$E:$E)&amp;ROW($CJ23)&amp;":"&amp;XLOOKUP(EI$3,'TTM Dates'!$B:$B,'TTM Dates'!$C:$C)&amp;ROW($CJ23))))</f>
        <v>5915969</v>
      </c>
      <c r="EJ23" s="283">
        <f t="array" ref="EJ23">IF(EJ$3&gt;'GAAP Summary'!$B$2,0,SUM(INDIRECT(XLOOKUP(EJ$3,'TTM Dates'!$B:$B,'TTM Dates'!$E:$E)&amp;ROW($CJ23)&amp;":"&amp;XLOOKUP(EJ$3,'TTM Dates'!$B:$B,'TTM Dates'!$C:$C)&amp;ROW($CJ23))))</f>
        <v>7407098</v>
      </c>
      <c r="EK23" s="283">
        <f t="array" ref="EK23">IF(EK$3&gt;'GAAP Summary'!$B$2,0,SUM(INDIRECT(XLOOKUP(EK$3,'TTM Dates'!$B:$B,'TTM Dates'!$E:$E)&amp;ROW($CJ23)&amp;":"&amp;XLOOKUP(EK$3,'TTM Dates'!$B:$B,'TTM Dates'!$C:$C)&amp;ROW($CJ23))))</f>
        <v>8694508</v>
      </c>
      <c r="EL23" s="283">
        <f t="array" ref="EL23">IF(EL$3&gt;'GAAP Summary'!$B$2,0,SUM(INDIRECT(XLOOKUP(EL$3,'TTM Dates'!$B:$B,'TTM Dates'!$E:$E)&amp;ROW($CJ23)&amp;":"&amp;XLOOKUP(EL$3,'TTM Dates'!$B:$B,'TTM Dates'!$C:$C)&amp;ROW($CJ23))))</f>
        <v>10582909</v>
      </c>
      <c r="EM23" s="283">
        <f t="array" ref="EM23">IF(EM$3&gt;'GAAP Summary'!$B$2,0,SUM(INDIRECT(XLOOKUP(EM$3,'TTM Dates'!$B:$B,'TTM Dates'!$E:$E)&amp;ROW($CJ23)&amp;":"&amp;XLOOKUP(EM$3,'TTM Dates'!$B:$B,'TTM Dates'!$C:$C)&amp;ROW($CJ23))))</f>
        <v>12162608</v>
      </c>
      <c r="EN23" s="283">
        <f t="array" ref="EN23">IF(EN$3&gt;'GAAP Summary'!$B$2,0,SUM(INDIRECT(XLOOKUP(EN$3,'TTM Dates'!$B:$B,'TTM Dates'!$E:$E)&amp;ROW($CJ23)&amp;":"&amp;XLOOKUP(EN$3,'TTM Dates'!$B:$B,'TTM Dates'!$C:$C)&amp;ROW($CJ23))))</f>
        <v>13990803</v>
      </c>
      <c r="EO23" s="283">
        <f t="array" ref="EO23">IF(EO$3&gt;'GAAP Summary'!$B$2,0,SUM(INDIRECT(XLOOKUP(EO$3,'TTM Dates'!$B:$B,'TTM Dates'!$E:$E)&amp;ROW($CJ23)&amp;":"&amp;XLOOKUP(EO$3,'TTM Dates'!$B:$B,'TTM Dates'!$C:$C)&amp;ROW($CJ23))))</f>
        <v>15714920</v>
      </c>
      <c r="EP23" s="283">
        <f t="array" ref="EP23">IF(EP$3&gt;'GAAP Summary'!$B$2,0,SUM(INDIRECT(XLOOKUP(EP$3,'TTM Dates'!$B:$B,'TTM Dates'!$E:$E)&amp;ROW($CJ23)&amp;":"&amp;XLOOKUP(EP$3,'TTM Dates'!$B:$B,'TTM Dates'!$C:$C)&amp;ROW($CJ23))))</f>
        <v>16893469</v>
      </c>
      <c r="EQ23" s="283">
        <f t="array" ref="EQ23">IF(EQ$3&gt;'GAAP Summary'!$B$2,0,SUM(INDIRECT(XLOOKUP(EQ$3,'TTM Dates'!$B:$B,'TTM Dates'!$E:$E)&amp;ROW($CJ23)&amp;":"&amp;XLOOKUP(EQ$3,'TTM Dates'!$B:$B,'TTM Dates'!$C:$C)&amp;ROW($CJ23))))</f>
        <v>17819943</v>
      </c>
      <c r="ER23" s="283">
        <f t="array" ref="ER23">IF(ER$3&gt;'GAAP Summary'!$B$2,0,SUM(INDIRECT(XLOOKUP(ER$3,'TTM Dates'!$B:$B,'TTM Dates'!$E:$E)&amp;ROW($CJ23)&amp;":"&amp;XLOOKUP(ER$3,'TTM Dates'!$B:$B,'TTM Dates'!$C:$C)&amp;ROW($CJ23))))</f>
        <v>18628308</v>
      </c>
      <c r="ES23" s="283">
        <f t="array" ref="ES23">IF(ES$3&gt;'GAAP Summary'!$B$2,0,SUM(INDIRECT(XLOOKUP(ES$3,'TTM Dates'!$B:$B,'TTM Dates'!$E:$E)&amp;ROW($CJ23)&amp;":"&amp;XLOOKUP(ES$3,'TTM Dates'!$B:$B,'TTM Dates'!$C:$C)&amp;ROW($CJ23))))</f>
        <v>19434244</v>
      </c>
      <c r="ET23" s="283">
        <f t="array" ref="ET23">IF(ET$3&gt;'GAAP Summary'!$B$2,0,SUM(INDIRECT(XLOOKUP(ET$3,'TTM Dates'!$B:$B,'TTM Dates'!$E:$E)&amp;ROW($CJ23)&amp;":"&amp;XLOOKUP(ET$3,'TTM Dates'!$B:$B,'TTM Dates'!$C:$C)&amp;ROW($CJ23))))</f>
        <v>20052120</v>
      </c>
      <c r="EU23" s="283">
        <f t="array" ref="EU23">IF(EU$3&gt;'GAAP Summary'!$B$2,0,SUM(INDIRECT(XLOOKUP(EU$3,'TTM Dates'!$B:$B,'TTM Dates'!$E:$E)&amp;ROW($CJ23)&amp;":"&amp;XLOOKUP(EU$3,'TTM Dates'!$B:$B,'TTM Dates'!$C:$C)&amp;ROW($CJ23))))</f>
        <v>20647417</v>
      </c>
      <c r="EV23" s="283">
        <f t="array" ref="EV23">IF(EV$3&gt;'GAAP Summary'!$B$2,0,SUM(INDIRECT(XLOOKUP(EV$3,'TTM Dates'!$B:$B,'TTM Dates'!$E:$E)&amp;ROW($CJ23)&amp;":"&amp;XLOOKUP(EV$3,'TTM Dates'!$B:$B,'TTM Dates'!$C:$C)&amp;ROW($CJ23))))</f>
        <v>20920039</v>
      </c>
      <c r="EW23" s="283">
        <f t="array" ref="EW23">IF(EW$3&gt;'GAAP Summary'!$B$2,0,SUM(INDIRECT(XLOOKUP(EW$3,'TTM Dates'!$B:$B,'TTM Dates'!$E:$E)&amp;ROW($CJ23)&amp;":"&amp;XLOOKUP(EW$3,'TTM Dates'!$B:$B,'TTM Dates'!$C:$C)&amp;ROW($CJ23))))</f>
        <v>21159580</v>
      </c>
      <c r="EX23" s="283">
        <f t="array" ref="EX23">IF(EX$3&gt;'GAAP Summary'!$B$2,0,SUM(INDIRECT(XLOOKUP(EX$3,'TTM Dates'!$B:$B,'TTM Dates'!$E:$E)&amp;ROW($CJ23)&amp;":"&amp;XLOOKUP(EX$3,'TTM Dates'!$B:$B,'TTM Dates'!$C:$C)&amp;ROW($CJ23))))</f>
        <v>21166251</v>
      </c>
      <c r="EY23" s="283">
        <f t="array" ref="EY23">IF(EY$3&gt;'GAAP Summary'!$B$2,0,SUM(INDIRECT(XLOOKUP(EY$3,'TTM Dates'!$B:$B,'TTM Dates'!$E:$E)&amp;ROW($CJ23)&amp;":"&amp;XLOOKUP(EY$3,'TTM Dates'!$B:$B,'TTM Dates'!$C:$C)&amp;ROW($CJ23))))</f>
        <v>21092818</v>
      </c>
      <c r="EZ23" s="283">
        <f t="array" ref="EZ23">IF(EZ$3&gt;'GAAP Summary'!$B$2,0,SUM(INDIRECT(XLOOKUP(EZ$3,'TTM Dates'!$B:$B,'TTM Dates'!$E:$E)&amp;ROW($CJ23)&amp;":"&amp;XLOOKUP(EZ$3,'TTM Dates'!$B:$B,'TTM Dates'!$C:$C)&amp;ROW($CJ23))))</f>
        <v>20991757</v>
      </c>
      <c r="FA23" s="283">
        <f t="array" ref="FA23">IF(FA$3&gt;'GAAP Summary'!$B$2,0,SUM(INDIRECT(XLOOKUP(FA$3,'TTM Dates'!$B:$B,'TTM Dates'!$E:$E)&amp;ROW($CJ23)&amp;":"&amp;XLOOKUP(FA$3,'TTM Dates'!$B:$B,'TTM Dates'!$C:$C)&amp;ROW($CJ23))))</f>
        <v>20849763</v>
      </c>
      <c r="FB23" s="283">
        <f t="array" ref="FB23">IF(FB$3&gt;'GAAP Summary'!$B$2,0,SUM(INDIRECT(XLOOKUP(FB$3,'TTM Dates'!$B:$B,'TTM Dates'!$E:$E)&amp;ROW($CJ23)&amp;":"&amp;XLOOKUP(FB$3,'TTM Dates'!$B:$B,'TTM Dates'!$C:$C)&amp;ROW($CJ23))))</f>
        <v>21166581</v>
      </c>
      <c r="FC23" s="283">
        <f t="array" ref="FC23">IF(FC$3&gt;'GAAP Summary'!$B$2,0,SUM(INDIRECT(XLOOKUP(FC$3,'TTM Dates'!$B:$B,'TTM Dates'!$E:$E)&amp;ROW($CJ23)&amp;":"&amp;XLOOKUP(FC$3,'TTM Dates'!$B:$B,'TTM Dates'!$C:$C)&amp;ROW($CJ23))))</f>
        <v>20698036.92</v>
      </c>
      <c r="FD23" s="283">
        <f t="array" ref="FD23">IF(FD$3&gt;'GAAP Summary'!$B$2,0,SUM(INDIRECT(XLOOKUP(FD$3,'TTM Dates'!$B:$B,'TTM Dates'!$E:$E)&amp;ROW($CJ23)&amp;":"&amp;XLOOKUP(FD$3,'TTM Dates'!$B:$B,'TTM Dates'!$C:$C)&amp;ROW($CJ23))))</f>
        <v>20597494.79</v>
      </c>
      <c r="FE23" s="283">
        <f t="array" ref="FE23">IF(FE$3&gt;'GAAP Summary'!$B$2,0,SUM(INDIRECT(XLOOKUP(FE$3,'TTM Dates'!$B:$B,'TTM Dates'!$E:$E)&amp;ROW($CJ23)&amp;":"&amp;XLOOKUP(FE$3,'TTM Dates'!$B:$B,'TTM Dates'!$C:$C)&amp;ROW($CJ23))))</f>
        <v>20270406.31</v>
      </c>
      <c r="FF23" s="283">
        <f t="array" ref="FF23">IF(FF$3&gt;'GAAP Summary'!$B$2,0,SUM(INDIRECT(XLOOKUP(FF$3,'TTM Dates'!$B:$B,'TTM Dates'!$E:$E)&amp;ROW($CJ23)&amp;":"&amp;XLOOKUP(FF$3,'TTM Dates'!$B:$B,'TTM Dates'!$C:$C)&amp;ROW($CJ23))))</f>
        <v>20436642.96</v>
      </c>
      <c r="FG23" s="283">
        <f t="array" ref="FG23">IF(FG$3&gt;'GAAP Summary'!$B$2,0,SUM(INDIRECT(XLOOKUP(FG$3,'TTM Dates'!$B:$B,'TTM Dates'!$E:$E)&amp;ROW($CJ23)&amp;":"&amp;XLOOKUP(FG$3,'TTM Dates'!$B:$B,'TTM Dates'!$C:$C)&amp;ROW($CJ23))))</f>
        <v>20426535.19</v>
      </c>
      <c r="FH23" s="283">
        <f t="array" ref="FH23">IF(FH$3&gt;'GAAP Summary'!$B$2,0,SUM(INDIRECT(XLOOKUP(FH$3,'TTM Dates'!$B:$B,'TTM Dates'!$E:$E)&amp;ROW($CJ23)&amp;":"&amp;XLOOKUP(FH$3,'TTM Dates'!$B:$B,'TTM Dates'!$C:$C)&amp;ROW($CJ23))))</f>
        <v>20414619.9</v>
      </c>
      <c r="FI23" s="283">
        <f t="array" ref="FI23">IF(FI$3&gt;'GAAP Summary'!$B$2,0,SUM(INDIRECT(XLOOKUP(FI$3,'TTM Dates'!$B:$B,'TTM Dates'!$E:$E)&amp;ROW($CJ23)&amp;":"&amp;XLOOKUP(FI$3,'TTM Dates'!$B:$B,'TTM Dates'!$C:$C)&amp;ROW($CJ23))))</f>
        <v>20881908.26</v>
      </c>
      <c r="FJ23" s="283">
        <f t="array" ref="FJ23">IF(FJ$3&gt;'GAAP Summary'!$B$2,0,SUM(INDIRECT(XLOOKUP(FJ$3,'TTM Dates'!$B:$B,'TTM Dates'!$E:$E)&amp;ROW($CJ23)&amp;":"&amp;XLOOKUP(FJ$3,'TTM Dates'!$B:$B,'TTM Dates'!$C:$C)&amp;ROW($CJ23))))</f>
        <v>21073902.64</v>
      </c>
      <c r="FK23" s="283">
        <f t="array" ref="FK23">IF(FK$3&gt;'GAAP Summary'!$B$2,0,SUM(INDIRECT(XLOOKUP(FK$3,'TTM Dates'!$B:$B,'TTM Dates'!$E:$E)&amp;ROW($CJ23)&amp;":"&amp;XLOOKUP(FK$3,'TTM Dates'!$B:$B,'TTM Dates'!$C:$C)&amp;ROW($CJ23))))</f>
        <v>21645593.3</v>
      </c>
      <c r="FL23" s="283">
        <f t="array" ref="FL23">IF(FL$3&gt;'GAAP Summary'!$B$2,0,SUM(INDIRECT(XLOOKUP(FL$3,'TTM Dates'!$B:$B,'TTM Dates'!$E:$E)&amp;ROW($CJ23)&amp;":"&amp;XLOOKUP(FL$3,'TTM Dates'!$B:$B,'TTM Dates'!$C:$C)&amp;ROW($CJ23))))</f>
        <v>22568057.96</v>
      </c>
      <c r="FM23" s="283">
        <f t="array" ref="FM23">IF(FM$3&gt;'GAAP Summary'!$B$2,0,SUM(INDIRECT(XLOOKUP(FM$3,'TTM Dates'!$B:$B,'TTM Dates'!$E:$E)&amp;ROW($CJ23)&amp;":"&amp;XLOOKUP(FM$3,'TTM Dates'!$B:$B,'TTM Dates'!$C:$C)&amp;ROW($CJ23))))</f>
        <v>23273091.82</v>
      </c>
      <c r="FN23" s="283">
        <f t="array" ref="FN23">IF(FN$3&gt;'GAAP Summary'!$B$2,0,SUM(INDIRECT(XLOOKUP(FN$3,'TTM Dates'!$B:$B,'TTM Dates'!$E:$E)&amp;ROW($CJ23)&amp;":"&amp;XLOOKUP(FN$3,'TTM Dates'!$B:$B,'TTM Dates'!$C:$C)&amp;ROW($CJ23))))</f>
        <v>24020054.51</v>
      </c>
      <c r="FO23" s="283">
        <f t="array" ref="FO23">IF(FO$3&gt;'GAAP Summary'!$B$2,0,SUM(INDIRECT(XLOOKUP(FO$3,'TTM Dates'!$B:$B,'TTM Dates'!$E:$E)&amp;ROW($CJ23)&amp;":"&amp;XLOOKUP(FO$3,'TTM Dates'!$B:$B,'TTM Dates'!$C:$C)&amp;ROW($CJ23))))</f>
        <v>24827321.59</v>
      </c>
      <c r="FP23" s="283">
        <f t="array" ref="FP23">IF(FP$3&gt;'GAAP Summary'!$B$2,0,SUM(INDIRECT(XLOOKUP(FP$3,'TTM Dates'!$B:$B,'TTM Dates'!$E:$E)&amp;ROW($CJ23)&amp;":"&amp;XLOOKUP(FP$3,'TTM Dates'!$B:$B,'TTM Dates'!$C:$C)&amp;ROW($CJ23))))</f>
        <v>25385094.72</v>
      </c>
      <c r="FQ23" s="283">
        <f t="array" ref="FQ23">IF(FQ$3&gt;'GAAP Summary'!$B$2,0,SUM(INDIRECT(XLOOKUP(FQ$3,'TTM Dates'!$B:$B,'TTM Dates'!$E:$E)&amp;ROW($CJ23)&amp;":"&amp;XLOOKUP(FQ$3,'TTM Dates'!$B:$B,'TTM Dates'!$C:$C)&amp;ROW($CJ23))))</f>
        <v>25849319.2</v>
      </c>
      <c r="FR23" s="283">
        <f t="array" ref="FR23">IF(FR$3&gt;'GAAP Summary'!$B$2,0,SUM(INDIRECT(XLOOKUP(FR$3,'TTM Dates'!$B:$B,'TTM Dates'!$E:$E)&amp;ROW($CJ23)&amp;":"&amp;XLOOKUP(FR$3,'TTM Dates'!$B:$B,'TTM Dates'!$C:$C)&amp;ROW($CJ23))))</f>
        <v>26496471.55</v>
      </c>
      <c r="FS23" s="283">
        <f t="array" ref="FS23">IF(FS$3&gt;'GAAP Summary'!$B$2,0,SUM(INDIRECT(XLOOKUP(FS$3,'TTM Dates'!$B:$B,'TTM Dates'!$E:$E)&amp;ROW($CJ23)&amp;":"&amp;XLOOKUP(FS$3,'TTM Dates'!$B:$B,'TTM Dates'!$C:$C)&amp;ROW($CJ23))))</f>
        <v>27172290.32</v>
      </c>
      <c r="FT23" s="283">
        <f t="array" ref="FT23">IF(FT$3&gt;'GAAP Summary'!$B$2,0,SUM(INDIRECT(XLOOKUP(FT$3,'TTM Dates'!$B:$B,'TTM Dates'!$E:$E)&amp;ROW($CJ23)&amp;":"&amp;XLOOKUP(FT$3,'TTM Dates'!$B:$B,'TTM Dates'!$C:$C)&amp;ROW($CJ23))))</f>
        <v>27965286.61</v>
      </c>
      <c r="FU23" s="283">
        <f t="array" ref="FU23">IF(FU$3&gt;'GAAP Summary'!$B$2,0,SUM(INDIRECT(XLOOKUP(FU$3,'TTM Dates'!$B:$B,'TTM Dates'!$E:$E)&amp;ROW($CJ23)&amp;":"&amp;XLOOKUP(FU$3,'TTM Dates'!$B:$B,'TTM Dates'!$C:$C)&amp;ROW($CJ23))))</f>
        <v>28935766.25</v>
      </c>
      <c r="FV23" s="283">
        <f t="array" ref="FV23">IF(FV$3&gt;'GAAP Summary'!$B$2,0,SUM(INDIRECT(XLOOKUP(FV$3,'TTM Dates'!$B:$B,'TTM Dates'!$E:$E)&amp;ROW($CJ23)&amp;":"&amp;XLOOKUP(FV$3,'TTM Dates'!$B:$B,'TTM Dates'!$C:$C)&amp;ROW($CJ23))))</f>
        <v>29612750.87</v>
      </c>
      <c r="FW23" s="283">
        <f t="array" ref="FW23">IF(FW$3&gt;'GAAP Summary'!$B$2,0,SUM(INDIRECT(XLOOKUP(FW$3,'TTM Dates'!$B:$B,'TTM Dates'!$E:$E)&amp;ROW($CJ23)&amp;":"&amp;XLOOKUP(FW$3,'TTM Dates'!$B:$B,'TTM Dates'!$C:$C)&amp;ROW($CJ23))))</f>
        <v>30830557.57</v>
      </c>
      <c r="FX23" s="283">
        <f t="array" ref="FX23">IF(FX$3&gt;'GAAP Summary'!$B$2,0,SUM(INDIRECT(XLOOKUP(FX$3,'TTM Dates'!$B:$B,'TTM Dates'!$E:$E)&amp;ROW($CJ23)&amp;":"&amp;XLOOKUP(FX$3,'TTM Dates'!$B:$B,'TTM Dates'!$C:$C)&amp;ROW($CJ23))))</f>
        <v>31940656.92</v>
      </c>
      <c r="FY23" s="283">
        <f t="array" ref="FY23">IF(FY$3&gt;'GAAP Summary'!$B$2,0,SUM(INDIRECT(XLOOKUP(FY$3,'TTM Dates'!$B:$B,'TTM Dates'!$E:$E)&amp;ROW($CJ23)&amp;":"&amp;XLOOKUP(FY$3,'TTM Dates'!$B:$B,'TTM Dates'!$C:$C)&amp;ROW($CJ23))))</f>
        <v>32671597.81</v>
      </c>
      <c r="FZ23" s="283">
        <f t="array" ref="FZ23">IF(FZ$3&gt;'GAAP Summary'!$B$2,0,SUM(INDIRECT(XLOOKUP(FZ$3,'TTM Dates'!$B:$B,'TTM Dates'!$E:$E)&amp;ROW($CJ23)&amp;":"&amp;XLOOKUP(FZ$3,'TTM Dates'!$B:$B,'TTM Dates'!$C:$C)&amp;ROW($CJ23))))</f>
        <v>33671818.46</v>
      </c>
      <c r="GA23" s="283">
        <f t="array" ref="GA23">IF(GA$3&gt;'GAAP Summary'!$B$2,0,SUM(INDIRECT(XLOOKUP(GA$3,'TTM Dates'!$B:$B,'TTM Dates'!$E:$E)&amp;ROW($CJ23)&amp;":"&amp;XLOOKUP(GA$3,'TTM Dates'!$B:$B,'TTM Dates'!$C:$C)&amp;ROW($CJ23))))</f>
        <v>35082474.27</v>
      </c>
      <c r="GB23" s="283">
        <f t="array" ref="GB23">IF(GB$3&gt;'GAAP Summary'!$B$2,0,SUM(INDIRECT(XLOOKUP(GB$3,'TTM Dates'!$B:$B,'TTM Dates'!$E:$E)&amp;ROW($CJ23)&amp;":"&amp;XLOOKUP(GB$3,'TTM Dates'!$B:$B,'TTM Dates'!$C:$C)&amp;ROW($CJ23))))</f>
        <v>36600110.09</v>
      </c>
      <c r="GC23" s="283">
        <f t="array" ref="GC23">IF(GC$3&gt;'GAAP Summary'!$B$2,0,SUM(INDIRECT(XLOOKUP(GC$3,'TTM Dates'!$B:$B,'TTM Dates'!$E:$E)&amp;ROW($CJ23)&amp;":"&amp;XLOOKUP(GC$3,'TTM Dates'!$B:$B,'TTM Dates'!$C:$C)&amp;ROW($CJ23))))</f>
        <v>38520211.65</v>
      </c>
      <c r="GD23" s="283">
        <f t="array" ref="GD23">IF(GD$3&gt;'GAAP Summary'!$B$2,0,SUM(INDIRECT(XLOOKUP(GD$3,'TTM Dates'!$B:$B,'TTM Dates'!$E:$E)&amp;ROW($CJ23)&amp;":"&amp;XLOOKUP(GD$3,'TTM Dates'!$B:$B,'TTM Dates'!$C:$C)&amp;ROW($CJ23))))</f>
        <v>40295291.65</v>
      </c>
      <c r="GE23" s="283">
        <f t="array" ref="GE23">IF(GE$3&gt;'GAAP Summary'!$B$2,0,SUM(INDIRECT(XLOOKUP(GE$3,'TTM Dates'!$B:$B,'TTM Dates'!$E:$E)&amp;ROW($CJ23)&amp;":"&amp;XLOOKUP(GE$3,'TTM Dates'!$B:$B,'TTM Dates'!$C:$C)&amp;ROW($CJ23))))</f>
        <v>41887279.61</v>
      </c>
      <c r="GF23" s="283">
        <f t="array" ref="GF23">IF(GF$3&gt;'GAAP Summary'!$B$2,0,SUM(INDIRECT(XLOOKUP(GF$3,'TTM Dates'!$B:$B,'TTM Dates'!$E:$E)&amp;ROW($CJ23)&amp;":"&amp;XLOOKUP(GF$3,'TTM Dates'!$B:$B,'TTM Dates'!$C:$C)&amp;ROW($CJ23))))</f>
        <v>43784536.92</v>
      </c>
      <c r="GG23" s="283">
        <f t="array" ref="GG23">IF(GG$3&gt;'GAAP Summary'!$B$2,0,SUM(INDIRECT(XLOOKUP(GG$3,'TTM Dates'!$B:$B,'TTM Dates'!$E:$E)&amp;ROW($CJ23)&amp;":"&amp;XLOOKUP(GG$3,'TTM Dates'!$B:$B,'TTM Dates'!$C:$C)&amp;ROW($CJ23))))</f>
        <v>0</v>
      </c>
      <c r="GH23" s="283">
        <f t="array" ref="GH23">IF(GH$3&gt;'GAAP Summary'!$B$2,0,SUM(INDIRECT(XLOOKUP(GH$3,'TTM Dates'!$B:$B,'TTM Dates'!$E:$E)&amp;ROW($CJ23)&amp;":"&amp;XLOOKUP(GH$3,'TTM Dates'!$B:$B,'TTM Dates'!$C:$C)&amp;ROW($CJ23))))</f>
        <v>0</v>
      </c>
      <c r="GI23" s="283">
        <f t="array" ref="GI23">IF(GI$3&gt;'GAAP Summary'!$B$2,0,SUM(INDIRECT(XLOOKUP(GI$3,'TTM Dates'!$B:$B,'TTM Dates'!$E:$E)&amp;ROW($CJ23)&amp;":"&amp;XLOOKUP(GI$3,'TTM Dates'!$B:$B,'TTM Dates'!$C:$C)&amp;ROW($CJ23))))</f>
        <v>0</v>
      </c>
      <c r="GJ23" s="283">
        <f t="array" ref="GJ23">IF(GJ$3&gt;'GAAP Summary'!$B$2,0,SUM(INDIRECT(XLOOKUP(GJ$3,'TTM Dates'!$B:$B,'TTM Dates'!$E:$E)&amp;ROW($CJ23)&amp;":"&amp;XLOOKUP(GJ$3,'TTM Dates'!$B:$B,'TTM Dates'!$C:$C)&amp;ROW($CJ23))))</f>
        <v>0</v>
      </c>
      <c r="GK23" s="283">
        <f t="array" ref="GK23">IF(GK$3&gt;'GAAP Summary'!$B$2,0,SUM(INDIRECT(XLOOKUP(GK$3,'TTM Dates'!$B:$B,'TTM Dates'!$E:$E)&amp;ROW($CJ23)&amp;":"&amp;XLOOKUP(GK$3,'TTM Dates'!$B:$B,'TTM Dates'!$C:$C)&amp;ROW($CJ23))))</f>
        <v>0</v>
      </c>
      <c r="GL23" s="283">
        <f t="array" ref="GL23">IF(GL$3&gt;'GAAP Summary'!$B$2,0,SUM(INDIRECT(XLOOKUP(GL$3,'TTM Dates'!$B:$B,'TTM Dates'!$E:$E)&amp;ROW($CJ23)&amp;":"&amp;XLOOKUP(GL$3,'TTM Dates'!$B:$B,'TTM Dates'!$C:$C)&amp;ROW($CJ23))))</f>
        <v>0</v>
      </c>
      <c r="GM23" s="283"/>
    </row>
    <row r="24">
      <c r="A24" s="101"/>
      <c r="B24" s="340" t="s">
        <v>507</v>
      </c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  <c r="O24" s="283"/>
      <c r="P24" s="283"/>
      <c r="Q24" s="283"/>
      <c r="R24" s="283"/>
      <c r="S24" s="283"/>
      <c r="T24" s="283"/>
      <c r="U24" s="283"/>
      <c r="V24" s="283"/>
      <c r="W24" s="283"/>
      <c r="X24" s="283"/>
      <c r="Y24" s="283"/>
      <c r="Z24" s="283"/>
      <c r="AA24" s="341">
        <v>31151.0</v>
      </c>
      <c r="AB24" s="341">
        <v>29959.0</v>
      </c>
      <c r="AC24" s="341">
        <v>30610.0</v>
      </c>
      <c r="AD24" s="341">
        <v>50298.0</v>
      </c>
      <c r="AE24" s="341">
        <v>32603.0</v>
      </c>
      <c r="AF24" s="341">
        <v>48697.0</v>
      </c>
      <c r="AG24" s="341">
        <v>39067.0</v>
      </c>
      <c r="AH24" s="341">
        <v>45011.0</v>
      </c>
      <c r="AI24" s="341">
        <v>47033.0</v>
      </c>
      <c r="AJ24" s="341">
        <v>34977.0</v>
      </c>
      <c r="AK24" s="341">
        <v>61158.0</v>
      </c>
      <c r="AL24" s="341">
        <v>58566.0</v>
      </c>
      <c r="AM24" s="341">
        <v>62059.0</v>
      </c>
      <c r="AN24" s="341">
        <v>106792.0</v>
      </c>
      <c r="AO24" s="341">
        <v>69301.0</v>
      </c>
      <c r="AP24" s="341">
        <v>79646.0</v>
      </c>
      <c r="AQ24" s="341">
        <v>60949.0</v>
      </c>
      <c r="AR24" s="341">
        <v>77475.0</v>
      </c>
      <c r="AS24" s="341">
        <v>107256.0</v>
      </c>
      <c r="AT24" s="341">
        <v>90370.0</v>
      </c>
      <c r="AU24" s="341">
        <v>72875.0</v>
      </c>
      <c r="AV24" s="341">
        <v>141165.0</v>
      </c>
      <c r="AW24" s="341">
        <v>75225.0</v>
      </c>
      <c r="AX24" s="341">
        <v>74735.0</v>
      </c>
      <c r="AY24" s="341">
        <f t="shared" ref="AY24:CH24" si="71">AY16+AY21</f>
        <v>80743</v>
      </c>
      <c r="AZ24" s="341">
        <f t="shared" si="71"/>
        <v>132423</v>
      </c>
      <c r="BA24" s="341">
        <f t="shared" si="71"/>
        <v>81376</v>
      </c>
      <c r="BB24" s="341">
        <f t="shared" si="71"/>
        <v>72606</v>
      </c>
      <c r="BC24" s="341">
        <f t="shared" si="71"/>
        <v>79646</v>
      </c>
      <c r="BD24" s="341">
        <f t="shared" si="71"/>
        <v>72514</v>
      </c>
      <c r="BE24" s="341">
        <f t="shared" si="71"/>
        <v>80015</v>
      </c>
      <c r="BF24" s="341">
        <f t="shared" si="71"/>
        <v>80140</v>
      </c>
      <c r="BG24" s="341">
        <f t="shared" si="71"/>
        <v>81044</v>
      </c>
      <c r="BH24" s="341">
        <f t="shared" si="71"/>
        <v>92966</v>
      </c>
      <c r="BI24" s="341">
        <f t="shared" si="71"/>
        <v>92516</v>
      </c>
      <c r="BJ24" s="341">
        <f t="shared" si="71"/>
        <v>92630</v>
      </c>
      <c r="BK24" s="341">
        <f t="shared" si="71"/>
        <v>133642</v>
      </c>
      <c r="BL24" s="341">
        <f t="shared" si="71"/>
        <v>89897</v>
      </c>
      <c r="BM24" s="341">
        <f t="shared" si="71"/>
        <v>99623</v>
      </c>
      <c r="BN24" s="341">
        <f t="shared" si="71"/>
        <v>83440</v>
      </c>
      <c r="BO24" s="341">
        <f t="shared" si="71"/>
        <v>54485</v>
      </c>
      <c r="BP24" s="341">
        <f t="shared" si="71"/>
        <v>51237</v>
      </c>
      <c r="BQ24" s="341">
        <f t="shared" si="71"/>
        <v>50745.93</v>
      </c>
      <c r="BR24" s="341">
        <f t="shared" si="71"/>
        <v>66270.69</v>
      </c>
      <c r="BS24" s="341">
        <f t="shared" si="71"/>
        <v>69253.69</v>
      </c>
      <c r="BT24" s="341">
        <f t="shared" si="71"/>
        <v>98682.67</v>
      </c>
      <c r="BU24" s="341">
        <f t="shared" si="71"/>
        <v>95773.09</v>
      </c>
      <c r="BV24" s="341">
        <f t="shared" si="71"/>
        <v>221657.73</v>
      </c>
      <c r="BW24" s="348">
        <f t="shared" si="71"/>
        <v>84906.83</v>
      </c>
      <c r="BX24" s="348">
        <f t="shared" si="71"/>
        <v>89329.83</v>
      </c>
      <c r="BY24" s="348">
        <f t="shared" si="71"/>
        <v>88712.99</v>
      </c>
      <c r="BZ24" s="348">
        <f t="shared" si="71"/>
        <v>83658.5</v>
      </c>
      <c r="CA24" s="348">
        <f t="shared" si="71"/>
        <v>86060.79</v>
      </c>
      <c r="CB24" s="348">
        <f t="shared" si="71"/>
        <v>80286.47</v>
      </c>
      <c r="CC24" s="348">
        <f t="shared" si="71"/>
        <v>0</v>
      </c>
      <c r="CD24" s="348">
        <f t="shared" si="71"/>
        <v>0</v>
      </c>
      <c r="CE24" s="348">
        <f t="shared" si="71"/>
        <v>0</v>
      </c>
      <c r="CF24" s="348">
        <f t="shared" si="71"/>
        <v>0</v>
      </c>
      <c r="CG24" s="348">
        <f t="shared" si="71"/>
        <v>0</v>
      </c>
      <c r="CH24" s="348">
        <f t="shared" si="71"/>
        <v>0</v>
      </c>
      <c r="CI24" s="346"/>
      <c r="CJ24" s="346"/>
      <c r="CK24" s="290">
        <f t="array" ref="CK24">SUM(INDIRECT(XLOOKUP('GAAP Summary'!$B$2,'TTM Dates'!$B:$B,'TTM Dates'!$E:$E)&amp;ROW($CJ24)&amp;":"&amp;XLOOKUP('GAAP Summary'!$B$2,'TTM Dates'!$B:$B,'TTM Dates'!$C:$C)&amp;ROW($CJ24)))</f>
        <v>1115339.21</v>
      </c>
      <c r="CL24" s="283"/>
      <c r="CM24" s="348">
        <f t="shared" si="39"/>
        <v>262949.65</v>
      </c>
      <c r="CN24" s="348">
        <f t="shared" si="40"/>
        <v>250005.76</v>
      </c>
      <c r="CO24" s="348">
        <f t="shared" si="41"/>
        <v>0</v>
      </c>
      <c r="CP24" s="348">
        <f t="shared" si="42"/>
        <v>0</v>
      </c>
      <c r="CQ24" s="349">
        <f t="shared" si="43"/>
        <v>512955.41</v>
      </c>
      <c r="CR24" s="283"/>
      <c r="CS24" s="283">
        <f t="shared" si="44"/>
        <v>323162</v>
      </c>
      <c r="CT24" s="283">
        <f t="shared" si="45"/>
        <v>189162</v>
      </c>
      <c r="CU24" s="283">
        <f t="shared" si="46"/>
        <v>186270.31</v>
      </c>
      <c r="CV24" s="283">
        <f t="shared" si="47"/>
        <v>416113.49</v>
      </c>
      <c r="CW24" s="343">
        <f t="shared" si="48"/>
        <v>1114707.8</v>
      </c>
      <c r="CX24" s="283"/>
      <c r="CY24" s="283">
        <f t="shared" si="49"/>
        <v>294542</v>
      </c>
      <c r="CZ24" s="283">
        <f t="shared" si="50"/>
        <v>224766</v>
      </c>
      <c r="DA24" s="283">
        <f t="shared" si="51"/>
        <v>241199</v>
      </c>
      <c r="DB24" s="283">
        <f t="shared" si="52"/>
        <v>278112</v>
      </c>
      <c r="DC24" s="343">
        <f t="shared" si="53"/>
        <v>1038619</v>
      </c>
      <c r="DD24" s="283"/>
      <c r="DE24" s="283">
        <f t="shared" si="54"/>
        <v>238152</v>
      </c>
      <c r="DF24" s="283">
        <f t="shared" si="55"/>
        <v>218070</v>
      </c>
      <c r="DG24" s="283">
        <f t="shared" si="56"/>
        <v>270501</v>
      </c>
      <c r="DH24" s="283">
        <f t="shared" si="57"/>
        <v>291125</v>
      </c>
      <c r="DI24" s="343">
        <f t="shared" si="58"/>
        <v>1017848</v>
      </c>
      <c r="DJ24" s="283"/>
      <c r="DK24" s="341">
        <f t="shared" si="65"/>
        <v>91720</v>
      </c>
      <c r="DL24" s="341">
        <f t="shared" si="66"/>
        <v>131598</v>
      </c>
      <c r="DM24" s="341">
        <f t="shared" si="67"/>
        <v>131111</v>
      </c>
      <c r="DN24" s="341">
        <f t="shared" si="68"/>
        <v>154701</v>
      </c>
      <c r="DO24" s="344">
        <f t="shared" si="69"/>
        <v>509130</v>
      </c>
      <c r="DP24" s="283"/>
      <c r="DQ24" s="343"/>
      <c r="DR24" s="283"/>
      <c r="DS24" s="283">
        <f t="array" ref="DS24">IF(DS$3&gt;'GAAP Summary'!$B$2,0,SUM(INDIRECT(XLOOKUP(DS$3,'TTM Dates'!$B:$B,'TTM Dates'!$E:$E)&amp;ROW($CJ24)&amp;":"&amp;XLOOKUP(DS$3,'TTM Dates'!$B:$B,'TTM Dates'!$C:$C)&amp;ROW($CJ24))))</f>
        <v>0</v>
      </c>
      <c r="DT24" s="283">
        <f t="array" ref="DT24">IF(DT$3&gt;'GAAP Summary'!$B$2,0,SUM(INDIRECT(XLOOKUP(DT$3,'TTM Dates'!$B:$B,'TTM Dates'!$E:$E)&amp;ROW($CJ24)&amp;":"&amp;XLOOKUP(DT$3,'TTM Dates'!$B:$B,'TTM Dates'!$C:$C)&amp;ROW($CJ24))))</f>
        <v>0</v>
      </c>
      <c r="DU24" s="283">
        <f t="array" ref="DU24">IF(DU$3&gt;'GAAP Summary'!$B$2,0,SUM(INDIRECT(XLOOKUP(DU$3,'TTM Dates'!$B:$B,'TTM Dates'!$E:$E)&amp;ROW($CJ24)&amp;":"&amp;XLOOKUP(DU$3,'TTM Dates'!$B:$B,'TTM Dates'!$C:$C)&amp;ROW($CJ24))))</f>
        <v>0</v>
      </c>
      <c r="DV24" s="283">
        <f t="array" ref="DV24">IF(DV$3&gt;'GAAP Summary'!$B$2,0,SUM(INDIRECT(XLOOKUP(DV$3,'TTM Dates'!$B:$B,'TTM Dates'!$E:$E)&amp;ROW($CJ24)&amp;":"&amp;XLOOKUP(DV$3,'TTM Dates'!$B:$B,'TTM Dates'!$C:$C)&amp;ROW($CJ24))))</f>
        <v>0</v>
      </c>
      <c r="DW24" s="283">
        <f t="array" ref="DW24">IF(DW$3&gt;'GAAP Summary'!$B$2,0,SUM(INDIRECT(XLOOKUP(DW$3,'TTM Dates'!$B:$B,'TTM Dates'!$E:$E)&amp;ROW($CJ24)&amp;":"&amp;XLOOKUP(DW$3,'TTM Dates'!$B:$B,'TTM Dates'!$C:$C)&amp;ROW($CJ24))))</f>
        <v>0</v>
      </c>
      <c r="DX24" s="283">
        <f t="array" ref="DX24">IF(DX$3&gt;'GAAP Summary'!$B$2,0,SUM(INDIRECT(XLOOKUP(DX$3,'TTM Dates'!$B:$B,'TTM Dates'!$E:$E)&amp;ROW($CJ24)&amp;":"&amp;XLOOKUP(DX$3,'TTM Dates'!$B:$B,'TTM Dates'!$C:$C)&amp;ROW($CJ24))))</f>
        <v>0</v>
      </c>
      <c r="DY24" s="283">
        <f t="array" ref="DY24">IF(DY$3&gt;'GAAP Summary'!$B$2,0,SUM(INDIRECT(XLOOKUP(DY$3,'TTM Dates'!$B:$B,'TTM Dates'!$E:$E)&amp;ROW($CJ24)&amp;":"&amp;XLOOKUP(DY$3,'TTM Dates'!$B:$B,'TTM Dates'!$C:$C)&amp;ROW($CJ24))))</f>
        <v>0</v>
      </c>
      <c r="DZ24" s="283">
        <f t="array" ref="DZ24">IF(DZ$3&gt;'GAAP Summary'!$B$2,0,SUM(INDIRECT(XLOOKUP(DZ$3,'TTM Dates'!$B:$B,'TTM Dates'!$E:$E)&amp;ROW($CJ24)&amp;":"&amp;XLOOKUP(DZ$3,'TTM Dates'!$B:$B,'TTM Dates'!$C:$C)&amp;ROW($CJ24))))</f>
        <v>0</v>
      </c>
      <c r="EA24" s="283">
        <f t="array" ref="EA24">IF(EA$3&gt;'GAAP Summary'!$B$2,0,SUM(INDIRECT(XLOOKUP(EA$3,'TTM Dates'!$B:$B,'TTM Dates'!$E:$E)&amp;ROW($CJ24)&amp;":"&amp;XLOOKUP(EA$3,'TTM Dates'!$B:$B,'TTM Dates'!$C:$C)&amp;ROW($CJ24))))</f>
        <v>0</v>
      </c>
      <c r="EB24" s="283">
        <f t="array" ref="EB24">IF(EB$3&gt;'GAAP Summary'!$B$2,0,SUM(INDIRECT(XLOOKUP(EB$3,'TTM Dates'!$B:$B,'TTM Dates'!$E:$E)&amp;ROW($CJ24)&amp;":"&amp;XLOOKUP(EB$3,'TTM Dates'!$B:$B,'TTM Dates'!$C:$C)&amp;ROW($CJ24))))</f>
        <v>0</v>
      </c>
      <c r="EC24" s="283">
        <f t="array" ref="EC24">IF(EC$3&gt;'GAAP Summary'!$B$2,0,SUM(INDIRECT(XLOOKUP(EC$3,'TTM Dates'!$B:$B,'TTM Dates'!$E:$E)&amp;ROW($CJ24)&amp;":"&amp;XLOOKUP(EC$3,'TTM Dates'!$B:$B,'TTM Dates'!$C:$C)&amp;ROW($CJ24))))</f>
        <v>0</v>
      </c>
      <c r="ED24" s="283">
        <f t="array" ref="ED24">IF(ED$3&gt;'GAAP Summary'!$B$2,0,SUM(INDIRECT(XLOOKUP(ED$3,'TTM Dates'!$B:$B,'TTM Dates'!$E:$E)&amp;ROW($CJ24)&amp;":"&amp;XLOOKUP(ED$3,'TTM Dates'!$B:$B,'TTM Dates'!$C:$C)&amp;ROW($CJ24))))</f>
        <v>0</v>
      </c>
      <c r="EE24" s="283">
        <f t="array" ref="EE24">IF(EE$3&gt;'GAAP Summary'!$B$2,0,SUM(INDIRECT(XLOOKUP(EE$3,'TTM Dates'!$B:$B,'TTM Dates'!$E:$E)&amp;ROW($CJ24)&amp;":"&amp;XLOOKUP(EE$3,'TTM Dates'!$B:$B,'TTM Dates'!$C:$C)&amp;ROW($CJ24))))</f>
        <v>31151</v>
      </c>
      <c r="EF24" s="283">
        <f t="array" ref="EF24">IF(EF$3&gt;'GAAP Summary'!$B$2,0,SUM(INDIRECT(XLOOKUP(EF$3,'TTM Dates'!$B:$B,'TTM Dates'!$E:$E)&amp;ROW($CJ24)&amp;":"&amp;XLOOKUP(EF$3,'TTM Dates'!$B:$B,'TTM Dates'!$C:$C)&amp;ROW($CJ24))))</f>
        <v>61110</v>
      </c>
      <c r="EG24" s="283">
        <f t="array" ref="EG24">IF(EG$3&gt;'GAAP Summary'!$B$2,0,SUM(INDIRECT(XLOOKUP(EG$3,'TTM Dates'!$B:$B,'TTM Dates'!$E:$E)&amp;ROW($CJ24)&amp;":"&amp;XLOOKUP(EG$3,'TTM Dates'!$B:$B,'TTM Dates'!$C:$C)&amp;ROW($CJ24))))</f>
        <v>91720</v>
      </c>
      <c r="EH24" s="283">
        <f t="array" ref="EH24">IF(EH$3&gt;'GAAP Summary'!$B$2,0,SUM(INDIRECT(XLOOKUP(EH$3,'TTM Dates'!$B:$B,'TTM Dates'!$E:$E)&amp;ROW($CJ24)&amp;":"&amp;XLOOKUP(EH$3,'TTM Dates'!$B:$B,'TTM Dates'!$C:$C)&amp;ROW($CJ24))))</f>
        <v>142018</v>
      </c>
      <c r="EI24" s="283">
        <f t="array" ref="EI24">IF(EI$3&gt;'GAAP Summary'!$B$2,0,SUM(INDIRECT(XLOOKUP(EI$3,'TTM Dates'!$B:$B,'TTM Dates'!$E:$E)&amp;ROW($CJ24)&amp;":"&amp;XLOOKUP(EI$3,'TTM Dates'!$B:$B,'TTM Dates'!$C:$C)&amp;ROW($CJ24))))</f>
        <v>174621</v>
      </c>
      <c r="EJ24" s="283">
        <f t="array" ref="EJ24">IF(EJ$3&gt;'GAAP Summary'!$B$2,0,SUM(INDIRECT(XLOOKUP(EJ$3,'TTM Dates'!$B:$B,'TTM Dates'!$E:$E)&amp;ROW($CJ24)&amp;":"&amp;XLOOKUP(EJ$3,'TTM Dates'!$B:$B,'TTM Dates'!$C:$C)&amp;ROW($CJ24))))</f>
        <v>223318</v>
      </c>
      <c r="EK24" s="283">
        <f t="array" ref="EK24">IF(EK$3&gt;'GAAP Summary'!$B$2,0,SUM(INDIRECT(XLOOKUP(EK$3,'TTM Dates'!$B:$B,'TTM Dates'!$E:$E)&amp;ROW($CJ24)&amp;":"&amp;XLOOKUP(EK$3,'TTM Dates'!$B:$B,'TTM Dates'!$C:$C)&amp;ROW($CJ24))))</f>
        <v>262385</v>
      </c>
      <c r="EL24" s="283">
        <f t="array" ref="EL24">IF(EL$3&gt;'GAAP Summary'!$B$2,0,SUM(INDIRECT(XLOOKUP(EL$3,'TTM Dates'!$B:$B,'TTM Dates'!$E:$E)&amp;ROW($CJ24)&amp;":"&amp;XLOOKUP(EL$3,'TTM Dates'!$B:$B,'TTM Dates'!$C:$C)&amp;ROW($CJ24))))</f>
        <v>307396</v>
      </c>
      <c r="EM24" s="283">
        <f t="array" ref="EM24">IF(EM$3&gt;'GAAP Summary'!$B$2,0,SUM(INDIRECT(XLOOKUP(EM$3,'TTM Dates'!$B:$B,'TTM Dates'!$E:$E)&amp;ROW($CJ24)&amp;":"&amp;XLOOKUP(EM$3,'TTM Dates'!$B:$B,'TTM Dates'!$C:$C)&amp;ROW($CJ24))))</f>
        <v>354429</v>
      </c>
      <c r="EN24" s="283">
        <f t="array" ref="EN24">IF(EN$3&gt;'GAAP Summary'!$B$2,0,SUM(INDIRECT(XLOOKUP(EN$3,'TTM Dates'!$B:$B,'TTM Dates'!$E:$E)&amp;ROW($CJ24)&amp;":"&amp;XLOOKUP(EN$3,'TTM Dates'!$B:$B,'TTM Dates'!$C:$C)&amp;ROW($CJ24))))</f>
        <v>389406</v>
      </c>
      <c r="EO24" s="283">
        <f t="array" ref="EO24">IF(EO$3&gt;'GAAP Summary'!$B$2,0,SUM(INDIRECT(XLOOKUP(EO$3,'TTM Dates'!$B:$B,'TTM Dates'!$E:$E)&amp;ROW($CJ24)&amp;":"&amp;XLOOKUP(EO$3,'TTM Dates'!$B:$B,'TTM Dates'!$C:$C)&amp;ROW($CJ24))))</f>
        <v>450564</v>
      </c>
      <c r="EP24" s="283">
        <f t="array" ref="EP24">IF(EP$3&gt;'GAAP Summary'!$B$2,0,SUM(INDIRECT(XLOOKUP(EP$3,'TTM Dates'!$B:$B,'TTM Dates'!$E:$E)&amp;ROW($CJ24)&amp;":"&amp;XLOOKUP(EP$3,'TTM Dates'!$B:$B,'TTM Dates'!$C:$C)&amp;ROW($CJ24))))</f>
        <v>509130</v>
      </c>
      <c r="EQ24" s="283">
        <f t="array" ref="EQ24">IF(EQ$3&gt;'GAAP Summary'!$B$2,0,SUM(INDIRECT(XLOOKUP(EQ$3,'TTM Dates'!$B:$B,'TTM Dates'!$E:$E)&amp;ROW($CJ24)&amp;":"&amp;XLOOKUP(EQ$3,'TTM Dates'!$B:$B,'TTM Dates'!$C:$C)&amp;ROW($CJ24))))</f>
        <v>540038</v>
      </c>
      <c r="ER24" s="283">
        <f t="array" ref="ER24">IF(ER$3&gt;'GAAP Summary'!$B$2,0,SUM(INDIRECT(XLOOKUP(ER$3,'TTM Dates'!$B:$B,'TTM Dates'!$E:$E)&amp;ROW($CJ24)&amp;":"&amp;XLOOKUP(ER$3,'TTM Dates'!$B:$B,'TTM Dates'!$C:$C)&amp;ROW($CJ24))))</f>
        <v>616871</v>
      </c>
      <c r="ES24" s="283">
        <f t="array" ref="ES24">IF(ES$3&gt;'GAAP Summary'!$B$2,0,SUM(INDIRECT(XLOOKUP(ES$3,'TTM Dates'!$B:$B,'TTM Dates'!$E:$E)&amp;ROW($CJ24)&amp;":"&amp;XLOOKUP(ES$3,'TTM Dates'!$B:$B,'TTM Dates'!$C:$C)&amp;ROW($CJ24))))</f>
        <v>655562</v>
      </c>
      <c r="ET24" s="283">
        <f t="array" ref="ET24">IF(ET$3&gt;'GAAP Summary'!$B$2,0,SUM(INDIRECT(XLOOKUP(ET$3,'TTM Dates'!$B:$B,'TTM Dates'!$E:$E)&amp;ROW($CJ24)&amp;":"&amp;XLOOKUP(ET$3,'TTM Dates'!$B:$B,'TTM Dates'!$C:$C)&amp;ROW($CJ24))))</f>
        <v>684910</v>
      </c>
      <c r="EU24" s="283">
        <f t="array" ref="EU24">IF(EU$3&gt;'GAAP Summary'!$B$2,0,SUM(INDIRECT(XLOOKUP(EU$3,'TTM Dates'!$B:$B,'TTM Dates'!$E:$E)&amp;ROW($CJ24)&amp;":"&amp;XLOOKUP(EU$3,'TTM Dates'!$B:$B,'TTM Dates'!$C:$C)&amp;ROW($CJ24))))</f>
        <v>713256</v>
      </c>
      <c r="EV24" s="283">
        <f t="array" ref="EV24">IF(EV$3&gt;'GAAP Summary'!$B$2,0,SUM(INDIRECT(XLOOKUP(EV$3,'TTM Dates'!$B:$B,'TTM Dates'!$E:$E)&amp;ROW($CJ24)&amp;":"&amp;XLOOKUP(EV$3,'TTM Dates'!$B:$B,'TTM Dates'!$C:$C)&amp;ROW($CJ24))))</f>
        <v>742034</v>
      </c>
      <c r="EW24" s="283">
        <f t="array" ref="EW24">IF(EW$3&gt;'GAAP Summary'!$B$2,0,SUM(INDIRECT(XLOOKUP(EW$3,'TTM Dates'!$B:$B,'TTM Dates'!$E:$E)&amp;ROW($CJ24)&amp;":"&amp;XLOOKUP(EW$3,'TTM Dates'!$B:$B,'TTM Dates'!$C:$C)&amp;ROW($CJ24))))</f>
        <v>810223</v>
      </c>
      <c r="EX24" s="283">
        <f t="array" ref="EX24">IF(EX$3&gt;'GAAP Summary'!$B$2,0,SUM(INDIRECT(XLOOKUP(EX$3,'TTM Dates'!$B:$B,'TTM Dates'!$E:$E)&amp;ROW($CJ24)&amp;":"&amp;XLOOKUP(EX$3,'TTM Dates'!$B:$B,'TTM Dates'!$C:$C)&amp;ROW($CJ24))))</f>
        <v>855582</v>
      </c>
      <c r="EY24" s="283">
        <f t="array" ref="EY24">IF(EY$3&gt;'GAAP Summary'!$B$2,0,SUM(INDIRECT(XLOOKUP(EY$3,'TTM Dates'!$B:$B,'TTM Dates'!$E:$E)&amp;ROW($CJ24)&amp;":"&amp;XLOOKUP(EY$3,'TTM Dates'!$B:$B,'TTM Dates'!$C:$C)&amp;ROW($CJ24))))</f>
        <v>881424</v>
      </c>
      <c r="EZ24" s="283">
        <f t="array" ref="EZ24">IF(EZ$3&gt;'GAAP Summary'!$B$2,0,SUM(INDIRECT(XLOOKUP(EZ$3,'TTM Dates'!$B:$B,'TTM Dates'!$E:$E)&amp;ROW($CJ24)&amp;":"&amp;XLOOKUP(EZ$3,'TTM Dates'!$B:$B,'TTM Dates'!$C:$C)&amp;ROW($CJ24))))</f>
        <v>987612</v>
      </c>
      <c r="FA24" s="283">
        <f t="array" ref="FA24">IF(FA$3&gt;'GAAP Summary'!$B$2,0,SUM(INDIRECT(XLOOKUP(FA$3,'TTM Dates'!$B:$B,'TTM Dates'!$E:$E)&amp;ROW($CJ24)&amp;":"&amp;XLOOKUP(FA$3,'TTM Dates'!$B:$B,'TTM Dates'!$C:$C)&amp;ROW($CJ24))))</f>
        <v>1001679</v>
      </c>
      <c r="FB24" s="283">
        <f t="array" ref="FB24">IF(FB$3&gt;'GAAP Summary'!$B$2,0,SUM(INDIRECT(XLOOKUP(FB$3,'TTM Dates'!$B:$B,'TTM Dates'!$E:$E)&amp;ROW($CJ24)&amp;":"&amp;XLOOKUP(FB$3,'TTM Dates'!$B:$B,'TTM Dates'!$C:$C)&amp;ROW($CJ24))))</f>
        <v>1017848</v>
      </c>
      <c r="FC24" s="283">
        <f t="array" ref="FC24">IF(FC$3&gt;'GAAP Summary'!$B$2,0,SUM(INDIRECT(XLOOKUP(FC$3,'TTM Dates'!$B:$B,'TTM Dates'!$E:$E)&amp;ROW($CJ24)&amp;":"&amp;XLOOKUP(FC$3,'TTM Dates'!$B:$B,'TTM Dates'!$C:$C)&amp;ROW($CJ24))))</f>
        <v>1036532</v>
      </c>
      <c r="FD24" s="283">
        <f t="array" ref="FD24">IF(FD$3&gt;'GAAP Summary'!$B$2,0,SUM(INDIRECT(XLOOKUP(FD$3,'TTM Dates'!$B:$B,'TTM Dates'!$E:$E)&amp;ROW($CJ24)&amp;":"&amp;XLOOKUP(FD$3,'TTM Dates'!$B:$B,'TTM Dates'!$C:$C)&amp;ROW($CJ24))))</f>
        <v>1062163</v>
      </c>
      <c r="FE24" s="283">
        <f t="array" ref="FE24">IF(FE$3&gt;'GAAP Summary'!$B$2,0,SUM(INDIRECT(XLOOKUP(FE$3,'TTM Dates'!$B:$B,'TTM Dates'!$E:$E)&amp;ROW($CJ24)&amp;":"&amp;XLOOKUP(FE$3,'TTM Dates'!$B:$B,'TTM Dates'!$C:$C)&amp;ROW($CJ24))))</f>
        <v>1074238</v>
      </c>
      <c r="FF24" s="283">
        <f t="array" ref="FF24">IF(FF$3&gt;'GAAP Summary'!$B$2,0,SUM(INDIRECT(XLOOKUP(FF$3,'TTM Dates'!$B:$B,'TTM Dates'!$E:$E)&amp;ROW($CJ24)&amp;":"&amp;XLOOKUP(FF$3,'TTM Dates'!$B:$B,'TTM Dates'!$C:$C)&amp;ROW($CJ24))))</f>
        <v>1067198</v>
      </c>
      <c r="FG24" s="283">
        <f t="array" ref="FG24">IF(FG$3&gt;'GAAP Summary'!$B$2,0,SUM(INDIRECT(XLOOKUP(FG$3,'TTM Dates'!$B:$B,'TTM Dates'!$E:$E)&amp;ROW($CJ24)&amp;":"&amp;XLOOKUP(FG$3,'TTM Dates'!$B:$B,'TTM Dates'!$C:$C)&amp;ROW($CJ24))))</f>
        <v>1085895</v>
      </c>
      <c r="FH24" s="283">
        <f t="array" ref="FH24">IF(FH$3&gt;'GAAP Summary'!$B$2,0,SUM(INDIRECT(XLOOKUP(FH$3,'TTM Dates'!$B:$B,'TTM Dates'!$E:$E)&amp;ROW($CJ24)&amp;":"&amp;XLOOKUP(FH$3,'TTM Dates'!$B:$B,'TTM Dates'!$C:$C)&amp;ROW($CJ24))))</f>
        <v>1080934</v>
      </c>
      <c r="FI24" s="283">
        <f t="array" ref="FI24">IF(FI$3&gt;'GAAP Summary'!$B$2,0,SUM(INDIRECT(XLOOKUP(FI$3,'TTM Dates'!$B:$B,'TTM Dates'!$E:$E)&amp;ROW($CJ24)&amp;":"&amp;XLOOKUP(FI$3,'TTM Dates'!$B:$B,'TTM Dates'!$C:$C)&amp;ROW($CJ24))))</f>
        <v>1053693</v>
      </c>
      <c r="FJ24" s="283">
        <f t="array" ref="FJ24">IF(FJ$3&gt;'GAAP Summary'!$B$2,0,SUM(INDIRECT(XLOOKUP(FJ$3,'TTM Dates'!$B:$B,'TTM Dates'!$E:$E)&amp;ROW($CJ24)&amp;":"&amp;XLOOKUP(FJ$3,'TTM Dates'!$B:$B,'TTM Dates'!$C:$C)&amp;ROW($CJ24))))</f>
        <v>1043463</v>
      </c>
      <c r="FK24" s="283">
        <f t="array" ref="FK24">IF(FK$3&gt;'GAAP Summary'!$B$2,0,SUM(INDIRECT(XLOOKUP(FK$3,'TTM Dates'!$B:$B,'TTM Dates'!$E:$E)&amp;ROW($CJ24)&amp;":"&amp;XLOOKUP(FK$3,'TTM Dates'!$B:$B,'TTM Dates'!$C:$C)&amp;ROW($CJ24))))</f>
        <v>1051632</v>
      </c>
      <c r="FL24" s="283">
        <f t="array" ref="FL24">IF(FL$3&gt;'GAAP Summary'!$B$2,0,SUM(INDIRECT(XLOOKUP(FL$3,'TTM Dates'!$B:$B,'TTM Dates'!$E:$E)&amp;ROW($CJ24)&amp;":"&amp;XLOOKUP(FL$3,'TTM Dates'!$B:$B,'TTM Dates'!$C:$C)&amp;ROW($CJ24))))</f>
        <v>1003433</v>
      </c>
      <c r="FM24" s="283">
        <f t="array" ref="FM24">IF(FM$3&gt;'GAAP Summary'!$B$2,0,SUM(INDIRECT(XLOOKUP(FM$3,'TTM Dates'!$B:$B,'TTM Dates'!$E:$E)&amp;ROW($CJ24)&amp;":"&amp;XLOOKUP(FM$3,'TTM Dates'!$B:$B,'TTM Dates'!$C:$C)&amp;ROW($CJ24))))</f>
        <v>1020724</v>
      </c>
      <c r="FN24" s="283">
        <f t="array" ref="FN24">IF(FN$3&gt;'GAAP Summary'!$B$2,0,SUM(INDIRECT(XLOOKUP(FN$3,'TTM Dates'!$B:$B,'TTM Dates'!$E:$E)&amp;ROW($CJ24)&amp;":"&amp;XLOOKUP(FN$3,'TTM Dates'!$B:$B,'TTM Dates'!$C:$C)&amp;ROW($CJ24))))</f>
        <v>1038619</v>
      </c>
      <c r="FO24" s="283">
        <f t="array" ref="FO24">IF(FO$3&gt;'GAAP Summary'!$B$2,0,SUM(INDIRECT(XLOOKUP(FO$3,'TTM Dates'!$B:$B,'TTM Dates'!$E:$E)&amp;ROW($CJ24)&amp;":"&amp;XLOOKUP(FO$3,'TTM Dates'!$B:$B,'TTM Dates'!$C:$C)&amp;ROW($CJ24))))</f>
        <v>1091518</v>
      </c>
      <c r="FP24" s="283">
        <f t="array" ref="FP24">IF(FP$3&gt;'GAAP Summary'!$B$2,0,SUM(INDIRECT(XLOOKUP(FP$3,'TTM Dates'!$B:$B,'TTM Dates'!$E:$E)&amp;ROW($CJ24)&amp;":"&amp;XLOOKUP(FP$3,'TTM Dates'!$B:$B,'TTM Dates'!$C:$C)&amp;ROW($CJ24))))</f>
        <v>1048992</v>
      </c>
      <c r="FQ24" s="283">
        <f t="array" ref="FQ24">IF(FQ$3&gt;'GAAP Summary'!$B$2,0,SUM(INDIRECT(XLOOKUP(FQ$3,'TTM Dates'!$B:$B,'TTM Dates'!$E:$E)&amp;ROW($CJ24)&amp;":"&amp;XLOOKUP(FQ$3,'TTM Dates'!$B:$B,'TTM Dates'!$C:$C)&amp;ROW($CJ24))))</f>
        <v>1067239</v>
      </c>
      <c r="FR24" s="283">
        <f t="array" ref="FR24">IF(FR$3&gt;'GAAP Summary'!$B$2,0,SUM(INDIRECT(XLOOKUP(FR$3,'TTM Dates'!$B:$B,'TTM Dates'!$E:$E)&amp;ROW($CJ24)&amp;":"&amp;XLOOKUP(FR$3,'TTM Dates'!$B:$B,'TTM Dates'!$C:$C)&amp;ROW($CJ24))))</f>
        <v>1078073</v>
      </c>
      <c r="FS24" s="283">
        <f t="array" ref="FS24">IF(FS$3&gt;'GAAP Summary'!$B$2,0,SUM(INDIRECT(XLOOKUP(FS$3,'TTM Dates'!$B:$B,'TTM Dates'!$E:$E)&amp;ROW($CJ24)&amp;":"&amp;XLOOKUP(FS$3,'TTM Dates'!$B:$B,'TTM Dates'!$C:$C)&amp;ROW($CJ24))))</f>
        <v>1052912</v>
      </c>
      <c r="FT24" s="283">
        <f t="array" ref="FT24">IF(FT$3&gt;'GAAP Summary'!$B$2,0,SUM(INDIRECT(XLOOKUP(FT$3,'TTM Dates'!$B:$B,'TTM Dates'!$E:$E)&amp;ROW($CJ24)&amp;":"&amp;XLOOKUP(FT$3,'TTM Dates'!$B:$B,'TTM Dates'!$C:$C)&amp;ROW($CJ24))))</f>
        <v>1031635</v>
      </c>
      <c r="FU24" s="283">
        <f t="array" ref="FU24">IF(FU$3&gt;'GAAP Summary'!$B$2,0,SUM(INDIRECT(XLOOKUP(FU$3,'TTM Dates'!$B:$B,'TTM Dates'!$E:$E)&amp;ROW($CJ24)&amp;":"&amp;XLOOKUP(FU$3,'TTM Dates'!$B:$B,'TTM Dates'!$C:$C)&amp;ROW($CJ24))))</f>
        <v>1002365.93</v>
      </c>
      <c r="FV24" s="283">
        <f t="array" ref="FV24">IF(FV$3&gt;'GAAP Summary'!$B$2,0,SUM(INDIRECT(XLOOKUP(FV$3,'TTM Dates'!$B:$B,'TTM Dates'!$E:$E)&amp;ROW($CJ24)&amp;":"&amp;XLOOKUP(FV$3,'TTM Dates'!$B:$B,'TTM Dates'!$C:$C)&amp;ROW($CJ24))))</f>
        <v>988496.62</v>
      </c>
      <c r="FW24" s="283">
        <f t="array" ref="FW24">IF(FW$3&gt;'GAAP Summary'!$B$2,0,SUM(INDIRECT(XLOOKUP(FW$3,'TTM Dates'!$B:$B,'TTM Dates'!$E:$E)&amp;ROW($CJ24)&amp;":"&amp;XLOOKUP(FW$3,'TTM Dates'!$B:$B,'TTM Dates'!$C:$C)&amp;ROW($CJ24))))</f>
        <v>976706.31</v>
      </c>
      <c r="FX24" s="283">
        <f t="array" ref="FX24">IF(FX$3&gt;'GAAP Summary'!$B$2,0,SUM(INDIRECT(XLOOKUP(FX$3,'TTM Dates'!$B:$B,'TTM Dates'!$E:$E)&amp;ROW($CJ24)&amp;":"&amp;XLOOKUP(FX$3,'TTM Dates'!$B:$B,'TTM Dates'!$C:$C)&amp;ROW($CJ24))))</f>
        <v>982422.98</v>
      </c>
      <c r="FY24" s="283">
        <f t="array" ref="FY24">IF(FY$3&gt;'GAAP Summary'!$B$2,0,SUM(INDIRECT(XLOOKUP(FY$3,'TTM Dates'!$B:$B,'TTM Dates'!$E:$E)&amp;ROW($CJ24)&amp;":"&amp;XLOOKUP(FY$3,'TTM Dates'!$B:$B,'TTM Dates'!$C:$C)&amp;ROW($CJ24))))</f>
        <v>985680.07</v>
      </c>
      <c r="FZ24" s="283">
        <f t="array" ref="FZ24">IF(FZ$3&gt;'GAAP Summary'!$B$2,0,SUM(INDIRECT(XLOOKUP(FZ$3,'TTM Dates'!$B:$B,'TTM Dates'!$E:$E)&amp;ROW($CJ24)&amp;":"&amp;XLOOKUP(FZ$3,'TTM Dates'!$B:$B,'TTM Dates'!$C:$C)&amp;ROW($CJ24))))</f>
        <v>1114707.8</v>
      </c>
      <c r="GA24" s="283">
        <f t="array" ref="GA24">IF(GA$3&gt;'GAAP Summary'!$B$2,0,SUM(INDIRECT(XLOOKUP(GA$3,'TTM Dates'!$B:$B,'TTM Dates'!$E:$E)&amp;ROW($CJ24)&amp;":"&amp;XLOOKUP(GA$3,'TTM Dates'!$B:$B,'TTM Dates'!$C:$C)&amp;ROW($CJ24))))</f>
        <v>1065972.63</v>
      </c>
      <c r="GB24" s="283">
        <f t="array" ref="GB24">IF(GB$3&gt;'GAAP Summary'!$B$2,0,SUM(INDIRECT(XLOOKUP(GB$3,'TTM Dates'!$B:$B,'TTM Dates'!$E:$E)&amp;ROW($CJ24)&amp;":"&amp;XLOOKUP(GB$3,'TTM Dates'!$B:$B,'TTM Dates'!$C:$C)&amp;ROW($CJ24))))</f>
        <v>1065405.46</v>
      </c>
      <c r="GC24" s="283">
        <f t="array" ref="GC24">IF(GC$3&gt;'GAAP Summary'!$B$2,0,SUM(INDIRECT(XLOOKUP(GC$3,'TTM Dates'!$B:$B,'TTM Dates'!$E:$E)&amp;ROW($CJ24)&amp;":"&amp;XLOOKUP(GC$3,'TTM Dates'!$B:$B,'TTM Dates'!$C:$C)&amp;ROW($CJ24))))</f>
        <v>1054495.45</v>
      </c>
      <c r="GD24" s="283">
        <f t="array" ref="GD24">IF(GD$3&gt;'GAAP Summary'!$B$2,0,SUM(INDIRECT(XLOOKUP(GD$3,'TTM Dates'!$B:$B,'TTM Dates'!$E:$E)&amp;ROW($CJ24)&amp;":"&amp;XLOOKUP(GD$3,'TTM Dates'!$B:$B,'TTM Dates'!$C:$C)&amp;ROW($CJ24))))</f>
        <v>1054713.95</v>
      </c>
      <c r="GE24" s="283">
        <f t="array" ref="GE24">IF(GE$3&gt;'GAAP Summary'!$B$2,0,SUM(INDIRECT(XLOOKUP(GE$3,'TTM Dates'!$B:$B,'TTM Dates'!$E:$E)&amp;ROW($CJ24)&amp;":"&amp;XLOOKUP(GE$3,'TTM Dates'!$B:$B,'TTM Dates'!$C:$C)&amp;ROW($CJ24))))</f>
        <v>1086289.74</v>
      </c>
      <c r="GF24" s="283">
        <f t="array" ref="GF24">IF(GF$3&gt;'GAAP Summary'!$B$2,0,SUM(INDIRECT(XLOOKUP(GF$3,'TTM Dates'!$B:$B,'TTM Dates'!$E:$E)&amp;ROW($CJ24)&amp;":"&amp;XLOOKUP(GF$3,'TTM Dates'!$B:$B,'TTM Dates'!$C:$C)&amp;ROW($CJ24))))</f>
        <v>1115339.21</v>
      </c>
      <c r="GG24" s="283">
        <f t="array" ref="GG24">IF(GG$3&gt;'GAAP Summary'!$B$2,0,SUM(INDIRECT(XLOOKUP(GG$3,'TTM Dates'!$B:$B,'TTM Dates'!$E:$E)&amp;ROW($CJ24)&amp;":"&amp;XLOOKUP(GG$3,'TTM Dates'!$B:$B,'TTM Dates'!$C:$C)&amp;ROW($CJ24))))</f>
        <v>0</v>
      </c>
      <c r="GH24" s="283">
        <f t="array" ref="GH24">IF(GH$3&gt;'GAAP Summary'!$B$2,0,SUM(INDIRECT(XLOOKUP(GH$3,'TTM Dates'!$B:$B,'TTM Dates'!$E:$E)&amp;ROW($CJ24)&amp;":"&amp;XLOOKUP(GH$3,'TTM Dates'!$B:$B,'TTM Dates'!$C:$C)&amp;ROW($CJ24))))</f>
        <v>0</v>
      </c>
      <c r="GI24" s="283">
        <f t="array" ref="GI24">IF(GI$3&gt;'GAAP Summary'!$B$2,0,SUM(INDIRECT(XLOOKUP(GI$3,'TTM Dates'!$B:$B,'TTM Dates'!$E:$E)&amp;ROW($CJ24)&amp;":"&amp;XLOOKUP(GI$3,'TTM Dates'!$B:$B,'TTM Dates'!$C:$C)&amp;ROW($CJ24))))</f>
        <v>0</v>
      </c>
      <c r="GJ24" s="283">
        <f t="array" ref="GJ24">IF(GJ$3&gt;'GAAP Summary'!$B$2,0,SUM(INDIRECT(XLOOKUP(GJ$3,'TTM Dates'!$B:$B,'TTM Dates'!$E:$E)&amp;ROW($CJ24)&amp;":"&amp;XLOOKUP(GJ$3,'TTM Dates'!$B:$B,'TTM Dates'!$C:$C)&amp;ROW($CJ24))))</f>
        <v>0</v>
      </c>
      <c r="GK24" s="283">
        <f t="array" ref="GK24">IF(GK$3&gt;'GAAP Summary'!$B$2,0,SUM(INDIRECT(XLOOKUP(GK$3,'TTM Dates'!$B:$B,'TTM Dates'!$E:$E)&amp;ROW($CJ24)&amp;":"&amp;XLOOKUP(GK$3,'TTM Dates'!$B:$B,'TTM Dates'!$C:$C)&amp;ROW($CJ24))))</f>
        <v>0</v>
      </c>
      <c r="GL24" s="283">
        <f t="array" ref="GL24">IF(GL$3&gt;'GAAP Summary'!$B$2,0,SUM(INDIRECT(XLOOKUP(GL$3,'TTM Dates'!$B:$B,'TTM Dates'!$E:$E)&amp;ROW($CJ24)&amp;":"&amp;XLOOKUP(GL$3,'TTM Dates'!$B:$B,'TTM Dates'!$C:$C)&amp;ROW($CJ24))))</f>
        <v>0</v>
      </c>
      <c r="GM24" s="283"/>
    </row>
    <row r="25">
      <c r="A25" s="101"/>
      <c r="B25" s="340" t="s">
        <v>509</v>
      </c>
      <c r="C25" s="283"/>
      <c r="D25" s="283"/>
      <c r="E25" s="283"/>
      <c r="F25" s="283"/>
      <c r="G25" s="283"/>
      <c r="H25" s="283"/>
      <c r="I25" s="283"/>
      <c r="J25" s="283"/>
      <c r="K25" s="283"/>
      <c r="L25" s="283"/>
      <c r="M25" s="283"/>
      <c r="N25" s="283"/>
      <c r="O25" s="283"/>
      <c r="P25" s="283"/>
      <c r="Q25" s="283"/>
      <c r="R25" s="283"/>
      <c r="S25" s="283"/>
      <c r="T25" s="283"/>
      <c r="U25" s="283"/>
      <c r="V25" s="283"/>
      <c r="W25" s="283"/>
      <c r="X25" s="283"/>
      <c r="Y25" s="283"/>
      <c r="Z25" s="283"/>
      <c r="AA25" s="341">
        <f t="shared" ref="AA25:CH25" si="72">AA17+AA18+AA22</f>
        <v>0</v>
      </c>
      <c r="AB25" s="341">
        <f t="shared" si="72"/>
        <v>0</v>
      </c>
      <c r="AC25" s="341">
        <f t="shared" si="72"/>
        <v>0</v>
      </c>
      <c r="AD25" s="341">
        <f t="shared" si="72"/>
        <v>0</v>
      </c>
      <c r="AE25" s="341">
        <f t="shared" si="72"/>
        <v>0</v>
      </c>
      <c r="AF25" s="341">
        <f t="shared" si="72"/>
        <v>0</v>
      </c>
      <c r="AG25" s="341">
        <f t="shared" si="72"/>
        <v>0</v>
      </c>
      <c r="AH25" s="341">
        <f t="shared" si="72"/>
        <v>0</v>
      </c>
      <c r="AI25" s="341">
        <f t="shared" si="72"/>
        <v>0</v>
      </c>
      <c r="AJ25" s="341">
        <f t="shared" si="72"/>
        <v>0</v>
      </c>
      <c r="AK25" s="341">
        <f t="shared" si="72"/>
        <v>0</v>
      </c>
      <c r="AL25" s="341">
        <f t="shared" si="72"/>
        <v>0</v>
      </c>
      <c r="AM25" s="341">
        <f t="shared" si="72"/>
        <v>0</v>
      </c>
      <c r="AN25" s="341">
        <f t="shared" si="72"/>
        <v>0</v>
      </c>
      <c r="AO25" s="341">
        <f t="shared" si="72"/>
        <v>0</v>
      </c>
      <c r="AP25" s="341">
        <f t="shared" si="72"/>
        <v>0</v>
      </c>
      <c r="AQ25" s="341">
        <f t="shared" si="72"/>
        <v>0</v>
      </c>
      <c r="AR25" s="341">
        <f t="shared" si="72"/>
        <v>0</v>
      </c>
      <c r="AS25" s="341">
        <f t="shared" si="72"/>
        <v>0</v>
      </c>
      <c r="AT25" s="341">
        <f t="shared" si="72"/>
        <v>0</v>
      </c>
      <c r="AU25" s="341">
        <f t="shared" si="72"/>
        <v>0</v>
      </c>
      <c r="AV25" s="341">
        <f t="shared" si="72"/>
        <v>0</v>
      </c>
      <c r="AW25" s="341">
        <f t="shared" si="72"/>
        <v>0</v>
      </c>
      <c r="AX25" s="341">
        <f t="shared" si="72"/>
        <v>0</v>
      </c>
      <c r="AY25" s="341">
        <f t="shared" si="72"/>
        <v>0</v>
      </c>
      <c r="AZ25" s="341">
        <f t="shared" si="72"/>
        <v>0</v>
      </c>
      <c r="BA25" s="341">
        <f t="shared" si="72"/>
        <v>0</v>
      </c>
      <c r="BB25" s="341">
        <f t="shared" si="72"/>
        <v>0</v>
      </c>
      <c r="BC25" s="341">
        <f t="shared" si="72"/>
        <v>6667</v>
      </c>
      <c r="BD25" s="341">
        <f t="shared" si="72"/>
        <v>6667</v>
      </c>
      <c r="BE25" s="341">
        <f t="shared" si="72"/>
        <v>6667</v>
      </c>
      <c r="BF25" s="341">
        <f t="shared" si="72"/>
        <v>0</v>
      </c>
      <c r="BG25" s="341">
        <f t="shared" si="72"/>
        <v>5385</v>
      </c>
      <c r="BH25" s="341">
        <f t="shared" si="72"/>
        <v>88580</v>
      </c>
      <c r="BI25" s="341">
        <f t="shared" si="72"/>
        <v>88580</v>
      </c>
      <c r="BJ25" s="341">
        <f t="shared" si="72"/>
        <v>93724</v>
      </c>
      <c r="BK25" s="341">
        <f t="shared" si="72"/>
        <v>35588</v>
      </c>
      <c r="BL25" s="341">
        <f t="shared" si="72"/>
        <v>33290</v>
      </c>
      <c r="BM25" s="341">
        <f t="shared" si="72"/>
        <v>33290</v>
      </c>
      <c r="BN25" s="341">
        <f t="shared" si="72"/>
        <v>48091.32</v>
      </c>
      <c r="BO25" s="341">
        <f t="shared" si="72"/>
        <v>88391.9</v>
      </c>
      <c r="BP25" s="341">
        <f t="shared" si="72"/>
        <v>88391.9</v>
      </c>
      <c r="BQ25" s="341">
        <f t="shared" si="72"/>
        <v>93891.9</v>
      </c>
      <c r="BR25" s="341">
        <f t="shared" si="72"/>
        <v>93891.9</v>
      </c>
      <c r="BS25" s="341">
        <f t="shared" si="72"/>
        <v>100141.87</v>
      </c>
      <c r="BT25" s="341">
        <f t="shared" si="72"/>
        <v>162711.04</v>
      </c>
      <c r="BU25" s="341">
        <f t="shared" si="72"/>
        <v>173960.94</v>
      </c>
      <c r="BV25" s="341">
        <f t="shared" si="72"/>
        <v>177150.07</v>
      </c>
      <c r="BW25" s="348">
        <f t="shared" si="72"/>
        <v>177150.07</v>
      </c>
      <c r="BX25" s="348">
        <f t="shared" si="72"/>
        <v>143316.78</v>
      </c>
      <c r="BY25" s="348">
        <f t="shared" si="72"/>
        <v>144150.07</v>
      </c>
      <c r="BZ25" s="348">
        <f t="shared" si="72"/>
        <v>150400.07</v>
      </c>
      <c r="CA25" s="348">
        <f t="shared" si="72"/>
        <v>171365.76</v>
      </c>
      <c r="CB25" s="348">
        <f t="shared" si="72"/>
        <v>179699.09</v>
      </c>
      <c r="CC25" s="348">
        <f t="shared" si="72"/>
        <v>0</v>
      </c>
      <c r="CD25" s="348">
        <f t="shared" si="72"/>
        <v>0</v>
      </c>
      <c r="CE25" s="348">
        <f t="shared" si="72"/>
        <v>0</v>
      </c>
      <c r="CF25" s="348">
        <f t="shared" si="72"/>
        <v>0</v>
      </c>
      <c r="CG25" s="348">
        <f t="shared" si="72"/>
        <v>0</v>
      </c>
      <c r="CH25" s="348">
        <f t="shared" si="72"/>
        <v>0</v>
      </c>
      <c r="CI25" s="342"/>
      <c r="CJ25" s="342"/>
      <c r="CK25" s="290">
        <f t="array" ref="CK25">SUM(INDIRECT(XLOOKUP('GAAP Summary'!$B$2,'TTM Dates'!$B:$B,'TTM Dates'!$E:$E)&amp;ROW($CJ25)&amp;":"&amp;XLOOKUP('GAAP Summary'!$B$2,'TTM Dates'!$B:$B,'TTM Dates'!$C:$C)&amp;ROW($CJ25)))</f>
        <v>1767829.56</v>
      </c>
      <c r="CL25" s="283"/>
      <c r="CM25" s="348">
        <f t="shared" si="39"/>
        <v>464616.92</v>
      </c>
      <c r="CN25" s="348">
        <f t="shared" si="40"/>
        <v>501464.92</v>
      </c>
      <c r="CO25" s="348">
        <f t="shared" si="41"/>
        <v>0</v>
      </c>
      <c r="CP25" s="348">
        <f t="shared" si="42"/>
        <v>0</v>
      </c>
      <c r="CQ25" s="349">
        <f t="shared" si="43"/>
        <v>966081.84</v>
      </c>
      <c r="CR25" s="283"/>
      <c r="CS25" s="283">
        <f t="shared" si="44"/>
        <v>102168</v>
      </c>
      <c r="CT25" s="283">
        <f t="shared" si="45"/>
        <v>224875.12</v>
      </c>
      <c r="CU25" s="283">
        <f t="shared" si="46"/>
        <v>287925.67</v>
      </c>
      <c r="CV25" s="283">
        <f t="shared" si="47"/>
        <v>513822.05</v>
      </c>
      <c r="CW25" s="343">
        <f t="shared" si="48"/>
        <v>1128790.84</v>
      </c>
      <c r="CX25" s="283"/>
      <c r="CY25" s="283">
        <f t="shared" si="49"/>
        <v>0</v>
      </c>
      <c r="CZ25" s="283">
        <f t="shared" si="50"/>
        <v>13334</v>
      </c>
      <c r="DA25" s="283">
        <f t="shared" si="51"/>
        <v>12052</v>
      </c>
      <c r="DB25" s="283">
        <f t="shared" si="52"/>
        <v>270884</v>
      </c>
      <c r="DC25" s="343">
        <f t="shared" si="53"/>
        <v>296270</v>
      </c>
      <c r="DD25" s="283"/>
      <c r="DE25" s="283">
        <f t="shared" si="54"/>
        <v>0</v>
      </c>
      <c r="DF25" s="283">
        <f t="shared" si="55"/>
        <v>0</v>
      </c>
      <c r="DG25" s="283">
        <f t="shared" si="56"/>
        <v>0</v>
      </c>
      <c r="DH25" s="283">
        <f t="shared" si="57"/>
        <v>0</v>
      </c>
      <c r="DI25" s="343">
        <f t="shared" si="58"/>
        <v>0</v>
      </c>
      <c r="DJ25" s="283"/>
      <c r="DK25" s="341">
        <f t="shared" si="65"/>
        <v>0</v>
      </c>
      <c r="DL25" s="341">
        <f t="shared" si="66"/>
        <v>0</v>
      </c>
      <c r="DM25" s="341">
        <f t="shared" si="67"/>
        <v>0</v>
      </c>
      <c r="DN25" s="341">
        <f t="shared" si="68"/>
        <v>0</v>
      </c>
      <c r="DO25" s="344">
        <f t="shared" si="69"/>
        <v>0</v>
      </c>
      <c r="DP25" s="283"/>
      <c r="DQ25" s="343"/>
      <c r="DR25" s="283"/>
      <c r="DS25" s="283">
        <f t="array" ref="DS25">IF(DS$3&gt;'GAAP Summary'!$B$2,0,SUM(INDIRECT(XLOOKUP(DS$3,'TTM Dates'!$B:$B,'TTM Dates'!$E:$E)&amp;ROW($CJ25)&amp;":"&amp;XLOOKUP(DS$3,'TTM Dates'!$B:$B,'TTM Dates'!$C:$C)&amp;ROW($CJ25))))</f>
        <v>0</v>
      </c>
      <c r="DT25" s="283">
        <f t="array" ref="DT25">IF(DT$3&gt;'GAAP Summary'!$B$2,0,SUM(INDIRECT(XLOOKUP(DT$3,'TTM Dates'!$B:$B,'TTM Dates'!$E:$E)&amp;ROW($CJ25)&amp;":"&amp;XLOOKUP(DT$3,'TTM Dates'!$B:$B,'TTM Dates'!$C:$C)&amp;ROW($CJ25))))</f>
        <v>0</v>
      </c>
      <c r="DU25" s="283">
        <f t="array" ref="DU25">IF(DU$3&gt;'GAAP Summary'!$B$2,0,SUM(INDIRECT(XLOOKUP(DU$3,'TTM Dates'!$B:$B,'TTM Dates'!$E:$E)&amp;ROW($CJ25)&amp;":"&amp;XLOOKUP(DU$3,'TTM Dates'!$B:$B,'TTM Dates'!$C:$C)&amp;ROW($CJ25))))</f>
        <v>0</v>
      </c>
      <c r="DV25" s="283">
        <f t="array" ref="DV25">IF(DV$3&gt;'GAAP Summary'!$B$2,0,SUM(INDIRECT(XLOOKUP(DV$3,'TTM Dates'!$B:$B,'TTM Dates'!$E:$E)&amp;ROW($CJ25)&amp;":"&amp;XLOOKUP(DV$3,'TTM Dates'!$B:$B,'TTM Dates'!$C:$C)&amp;ROW($CJ25))))</f>
        <v>0</v>
      </c>
      <c r="DW25" s="283">
        <f t="array" ref="DW25">IF(DW$3&gt;'GAAP Summary'!$B$2,0,SUM(INDIRECT(XLOOKUP(DW$3,'TTM Dates'!$B:$B,'TTM Dates'!$E:$E)&amp;ROW($CJ25)&amp;":"&amp;XLOOKUP(DW$3,'TTM Dates'!$B:$B,'TTM Dates'!$C:$C)&amp;ROW($CJ25))))</f>
        <v>0</v>
      </c>
      <c r="DX25" s="283">
        <f t="array" ref="DX25">IF(DX$3&gt;'GAAP Summary'!$B$2,0,SUM(INDIRECT(XLOOKUP(DX$3,'TTM Dates'!$B:$B,'TTM Dates'!$E:$E)&amp;ROW($CJ25)&amp;":"&amp;XLOOKUP(DX$3,'TTM Dates'!$B:$B,'TTM Dates'!$C:$C)&amp;ROW($CJ25))))</f>
        <v>0</v>
      </c>
      <c r="DY25" s="283">
        <f t="array" ref="DY25">IF(DY$3&gt;'GAAP Summary'!$B$2,0,SUM(INDIRECT(XLOOKUP(DY$3,'TTM Dates'!$B:$B,'TTM Dates'!$E:$E)&amp;ROW($CJ25)&amp;":"&amp;XLOOKUP(DY$3,'TTM Dates'!$B:$B,'TTM Dates'!$C:$C)&amp;ROW($CJ25))))</f>
        <v>0</v>
      </c>
      <c r="DZ25" s="283">
        <f t="array" ref="DZ25">IF(DZ$3&gt;'GAAP Summary'!$B$2,0,SUM(INDIRECT(XLOOKUP(DZ$3,'TTM Dates'!$B:$B,'TTM Dates'!$E:$E)&amp;ROW($CJ25)&amp;":"&amp;XLOOKUP(DZ$3,'TTM Dates'!$B:$B,'TTM Dates'!$C:$C)&amp;ROW($CJ25))))</f>
        <v>0</v>
      </c>
      <c r="EA25" s="283">
        <f t="array" ref="EA25">IF(EA$3&gt;'GAAP Summary'!$B$2,0,SUM(INDIRECT(XLOOKUP(EA$3,'TTM Dates'!$B:$B,'TTM Dates'!$E:$E)&amp;ROW($CJ25)&amp;":"&amp;XLOOKUP(EA$3,'TTM Dates'!$B:$B,'TTM Dates'!$C:$C)&amp;ROW($CJ25))))</f>
        <v>0</v>
      </c>
      <c r="EB25" s="283">
        <f t="array" ref="EB25">IF(EB$3&gt;'GAAP Summary'!$B$2,0,SUM(INDIRECT(XLOOKUP(EB$3,'TTM Dates'!$B:$B,'TTM Dates'!$E:$E)&amp;ROW($CJ25)&amp;":"&amp;XLOOKUP(EB$3,'TTM Dates'!$B:$B,'TTM Dates'!$C:$C)&amp;ROW($CJ25))))</f>
        <v>0</v>
      </c>
      <c r="EC25" s="283">
        <f t="array" ref="EC25">IF(EC$3&gt;'GAAP Summary'!$B$2,0,SUM(INDIRECT(XLOOKUP(EC$3,'TTM Dates'!$B:$B,'TTM Dates'!$E:$E)&amp;ROW($CJ25)&amp;":"&amp;XLOOKUP(EC$3,'TTM Dates'!$B:$B,'TTM Dates'!$C:$C)&amp;ROW($CJ25))))</f>
        <v>0</v>
      </c>
      <c r="ED25" s="283">
        <f t="array" ref="ED25">IF(ED$3&gt;'GAAP Summary'!$B$2,0,SUM(INDIRECT(XLOOKUP(ED$3,'TTM Dates'!$B:$B,'TTM Dates'!$E:$E)&amp;ROW($CJ25)&amp;":"&amp;XLOOKUP(ED$3,'TTM Dates'!$B:$B,'TTM Dates'!$C:$C)&amp;ROW($CJ25))))</f>
        <v>0</v>
      </c>
      <c r="EE25" s="283">
        <f t="array" ref="EE25">IF(EE$3&gt;'GAAP Summary'!$B$2,0,SUM(INDIRECT(XLOOKUP(EE$3,'TTM Dates'!$B:$B,'TTM Dates'!$E:$E)&amp;ROW($CJ25)&amp;":"&amp;XLOOKUP(EE$3,'TTM Dates'!$B:$B,'TTM Dates'!$C:$C)&amp;ROW($CJ25))))</f>
        <v>0</v>
      </c>
      <c r="EF25" s="283">
        <f t="array" ref="EF25">IF(EF$3&gt;'GAAP Summary'!$B$2,0,SUM(INDIRECT(XLOOKUP(EF$3,'TTM Dates'!$B:$B,'TTM Dates'!$E:$E)&amp;ROW($CJ25)&amp;":"&amp;XLOOKUP(EF$3,'TTM Dates'!$B:$B,'TTM Dates'!$C:$C)&amp;ROW($CJ25))))</f>
        <v>0</v>
      </c>
      <c r="EG25" s="283">
        <f t="array" ref="EG25">IF(EG$3&gt;'GAAP Summary'!$B$2,0,SUM(INDIRECT(XLOOKUP(EG$3,'TTM Dates'!$B:$B,'TTM Dates'!$E:$E)&amp;ROW($CJ25)&amp;":"&amp;XLOOKUP(EG$3,'TTM Dates'!$B:$B,'TTM Dates'!$C:$C)&amp;ROW($CJ25))))</f>
        <v>0</v>
      </c>
      <c r="EH25" s="283">
        <f t="array" ref="EH25">IF(EH$3&gt;'GAAP Summary'!$B$2,0,SUM(INDIRECT(XLOOKUP(EH$3,'TTM Dates'!$B:$B,'TTM Dates'!$E:$E)&amp;ROW($CJ25)&amp;":"&amp;XLOOKUP(EH$3,'TTM Dates'!$B:$B,'TTM Dates'!$C:$C)&amp;ROW($CJ25))))</f>
        <v>0</v>
      </c>
      <c r="EI25" s="283">
        <f t="array" ref="EI25">IF(EI$3&gt;'GAAP Summary'!$B$2,0,SUM(INDIRECT(XLOOKUP(EI$3,'TTM Dates'!$B:$B,'TTM Dates'!$E:$E)&amp;ROW($CJ25)&amp;":"&amp;XLOOKUP(EI$3,'TTM Dates'!$B:$B,'TTM Dates'!$C:$C)&amp;ROW($CJ25))))</f>
        <v>0</v>
      </c>
      <c r="EJ25" s="283">
        <f t="array" ref="EJ25">IF(EJ$3&gt;'GAAP Summary'!$B$2,0,SUM(INDIRECT(XLOOKUP(EJ$3,'TTM Dates'!$B:$B,'TTM Dates'!$E:$E)&amp;ROW($CJ25)&amp;":"&amp;XLOOKUP(EJ$3,'TTM Dates'!$B:$B,'TTM Dates'!$C:$C)&amp;ROW($CJ25))))</f>
        <v>0</v>
      </c>
      <c r="EK25" s="283">
        <f t="array" ref="EK25">IF(EK$3&gt;'GAAP Summary'!$B$2,0,SUM(INDIRECT(XLOOKUP(EK$3,'TTM Dates'!$B:$B,'TTM Dates'!$E:$E)&amp;ROW($CJ25)&amp;":"&amp;XLOOKUP(EK$3,'TTM Dates'!$B:$B,'TTM Dates'!$C:$C)&amp;ROW($CJ25))))</f>
        <v>0</v>
      </c>
      <c r="EL25" s="283">
        <f t="array" ref="EL25">IF(EL$3&gt;'GAAP Summary'!$B$2,0,SUM(INDIRECT(XLOOKUP(EL$3,'TTM Dates'!$B:$B,'TTM Dates'!$E:$E)&amp;ROW($CJ25)&amp;":"&amp;XLOOKUP(EL$3,'TTM Dates'!$B:$B,'TTM Dates'!$C:$C)&amp;ROW($CJ25))))</f>
        <v>0</v>
      </c>
      <c r="EM25" s="283">
        <f t="array" ref="EM25">IF(EM$3&gt;'GAAP Summary'!$B$2,0,SUM(INDIRECT(XLOOKUP(EM$3,'TTM Dates'!$B:$B,'TTM Dates'!$E:$E)&amp;ROW($CJ25)&amp;":"&amp;XLOOKUP(EM$3,'TTM Dates'!$B:$B,'TTM Dates'!$C:$C)&amp;ROW($CJ25))))</f>
        <v>0</v>
      </c>
      <c r="EN25" s="283">
        <f t="array" ref="EN25">IF(EN$3&gt;'GAAP Summary'!$B$2,0,SUM(INDIRECT(XLOOKUP(EN$3,'TTM Dates'!$B:$B,'TTM Dates'!$E:$E)&amp;ROW($CJ25)&amp;":"&amp;XLOOKUP(EN$3,'TTM Dates'!$B:$B,'TTM Dates'!$C:$C)&amp;ROW($CJ25))))</f>
        <v>0</v>
      </c>
      <c r="EO25" s="283">
        <f t="array" ref="EO25">IF(EO$3&gt;'GAAP Summary'!$B$2,0,SUM(INDIRECT(XLOOKUP(EO$3,'TTM Dates'!$B:$B,'TTM Dates'!$E:$E)&amp;ROW($CJ25)&amp;":"&amp;XLOOKUP(EO$3,'TTM Dates'!$B:$B,'TTM Dates'!$C:$C)&amp;ROW($CJ25))))</f>
        <v>0</v>
      </c>
      <c r="EP25" s="283">
        <f t="array" ref="EP25">IF(EP$3&gt;'GAAP Summary'!$B$2,0,SUM(INDIRECT(XLOOKUP(EP$3,'TTM Dates'!$B:$B,'TTM Dates'!$E:$E)&amp;ROW($CJ25)&amp;":"&amp;XLOOKUP(EP$3,'TTM Dates'!$B:$B,'TTM Dates'!$C:$C)&amp;ROW($CJ25))))</f>
        <v>0</v>
      </c>
      <c r="EQ25" s="283">
        <f t="array" ref="EQ25">IF(EQ$3&gt;'GAAP Summary'!$B$2,0,SUM(INDIRECT(XLOOKUP(EQ$3,'TTM Dates'!$B:$B,'TTM Dates'!$E:$E)&amp;ROW($CJ25)&amp;":"&amp;XLOOKUP(EQ$3,'TTM Dates'!$B:$B,'TTM Dates'!$C:$C)&amp;ROW($CJ25))))</f>
        <v>0</v>
      </c>
      <c r="ER25" s="283">
        <f t="array" ref="ER25">IF(ER$3&gt;'GAAP Summary'!$B$2,0,SUM(INDIRECT(XLOOKUP(ER$3,'TTM Dates'!$B:$B,'TTM Dates'!$E:$E)&amp;ROW($CJ25)&amp;":"&amp;XLOOKUP(ER$3,'TTM Dates'!$B:$B,'TTM Dates'!$C:$C)&amp;ROW($CJ25))))</f>
        <v>0</v>
      </c>
      <c r="ES25" s="283">
        <f t="array" ref="ES25">IF(ES$3&gt;'GAAP Summary'!$B$2,0,SUM(INDIRECT(XLOOKUP(ES$3,'TTM Dates'!$B:$B,'TTM Dates'!$E:$E)&amp;ROW($CJ25)&amp;":"&amp;XLOOKUP(ES$3,'TTM Dates'!$B:$B,'TTM Dates'!$C:$C)&amp;ROW($CJ25))))</f>
        <v>0</v>
      </c>
      <c r="ET25" s="283">
        <f t="array" ref="ET25">IF(ET$3&gt;'GAAP Summary'!$B$2,0,SUM(INDIRECT(XLOOKUP(ET$3,'TTM Dates'!$B:$B,'TTM Dates'!$E:$E)&amp;ROW($CJ25)&amp;":"&amp;XLOOKUP(ET$3,'TTM Dates'!$B:$B,'TTM Dates'!$C:$C)&amp;ROW($CJ25))))</f>
        <v>0</v>
      </c>
      <c r="EU25" s="283">
        <f t="array" ref="EU25">IF(EU$3&gt;'GAAP Summary'!$B$2,0,SUM(INDIRECT(XLOOKUP(EU$3,'TTM Dates'!$B:$B,'TTM Dates'!$E:$E)&amp;ROW($CJ25)&amp;":"&amp;XLOOKUP(EU$3,'TTM Dates'!$B:$B,'TTM Dates'!$C:$C)&amp;ROW($CJ25))))</f>
        <v>0</v>
      </c>
      <c r="EV25" s="283">
        <f t="array" ref="EV25">IF(EV$3&gt;'GAAP Summary'!$B$2,0,SUM(INDIRECT(XLOOKUP(EV$3,'TTM Dates'!$B:$B,'TTM Dates'!$E:$E)&amp;ROW($CJ25)&amp;":"&amp;XLOOKUP(EV$3,'TTM Dates'!$B:$B,'TTM Dates'!$C:$C)&amp;ROW($CJ25))))</f>
        <v>0</v>
      </c>
      <c r="EW25" s="283">
        <f t="array" ref="EW25">IF(EW$3&gt;'GAAP Summary'!$B$2,0,SUM(INDIRECT(XLOOKUP(EW$3,'TTM Dates'!$B:$B,'TTM Dates'!$E:$E)&amp;ROW($CJ25)&amp;":"&amp;XLOOKUP(EW$3,'TTM Dates'!$B:$B,'TTM Dates'!$C:$C)&amp;ROW($CJ25))))</f>
        <v>0</v>
      </c>
      <c r="EX25" s="283">
        <f t="array" ref="EX25">IF(EX$3&gt;'GAAP Summary'!$B$2,0,SUM(INDIRECT(XLOOKUP(EX$3,'TTM Dates'!$B:$B,'TTM Dates'!$E:$E)&amp;ROW($CJ25)&amp;":"&amp;XLOOKUP(EX$3,'TTM Dates'!$B:$B,'TTM Dates'!$C:$C)&amp;ROW($CJ25))))</f>
        <v>0</v>
      </c>
      <c r="EY25" s="283">
        <f t="array" ref="EY25">IF(EY$3&gt;'GAAP Summary'!$B$2,0,SUM(INDIRECT(XLOOKUP(EY$3,'TTM Dates'!$B:$B,'TTM Dates'!$E:$E)&amp;ROW($CJ25)&amp;":"&amp;XLOOKUP(EY$3,'TTM Dates'!$B:$B,'TTM Dates'!$C:$C)&amp;ROW($CJ25))))</f>
        <v>0</v>
      </c>
      <c r="EZ25" s="283">
        <f t="array" ref="EZ25">IF(EZ$3&gt;'GAAP Summary'!$B$2,0,SUM(INDIRECT(XLOOKUP(EZ$3,'TTM Dates'!$B:$B,'TTM Dates'!$E:$E)&amp;ROW($CJ25)&amp;":"&amp;XLOOKUP(EZ$3,'TTM Dates'!$B:$B,'TTM Dates'!$C:$C)&amp;ROW($CJ25))))</f>
        <v>0</v>
      </c>
      <c r="FA25" s="283">
        <f t="array" ref="FA25">IF(FA$3&gt;'GAAP Summary'!$B$2,0,SUM(INDIRECT(XLOOKUP(FA$3,'TTM Dates'!$B:$B,'TTM Dates'!$E:$E)&amp;ROW($CJ25)&amp;":"&amp;XLOOKUP(FA$3,'TTM Dates'!$B:$B,'TTM Dates'!$C:$C)&amp;ROW($CJ25))))</f>
        <v>0</v>
      </c>
      <c r="FB25" s="283">
        <f t="array" ref="FB25">IF(FB$3&gt;'GAAP Summary'!$B$2,0,SUM(INDIRECT(XLOOKUP(FB$3,'TTM Dates'!$B:$B,'TTM Dates'!$E:$E)&amp;ROW($CJ25)&amp;":"&amp;XLOOKUP(FB$3,'TTM Dates'!$B:$B,'TTM Dates'!$C:$C)&amp;ROW($CJ25))))</f>
        <v>0</v>
      </c>
      <c r="FC25" s="283">
        <f t="array" ref="FC25">IF(FC$3&gt;'GAAP Summary'!$B$2,0,SUM(INDIRECT(XLOOKUP(FC$3,'TTM Dates'!$B:$B,'TTM Dates'!$E:$E)&amp;ROW($CJ25)&amp;":"&amp;XLOOKUP(FC$3,'TTM Dates'!$B:$B,'TTM Dates'!$C:$C)&amp;ROW($CJ25))))</f>
        <v>0</v>
      </c>
      <c r="FD25" s="283">
        <f t="array" ref="FD25">IF(FD$3&gt;'GAAP Summary'!$B$2,0,SUM(INDIRECT(XLOOKUP(FD$3,'TTM Dates'!$B:$B,'TTM Dates'!$E:$E)&amp;ROW($CJ25)&amp;":"&amp;XLOOKUP(FD$3,'TTM Dates'!$B:$B,'TTM Dates'!$C:$C)&amp;ROW($CJ25))))</f>
        <v>0</v>
      </c>
      <c r="FE25" s="283">
        <f t="array" ref="FE25">IF(FE$3&gt;'GAAP Summary'!$B$2,0,SUM(INDIRECT(XLOOKUP(FE$3,'TTM Dates'!$B:$B,'TTM Dates'!$E:$E)&amp;ROW($CJ25)&amp;":"&amp;XLOOKUP(FE$3,'TTM Dates'!$B:$B,'TTM Dates'!$C:$C)&amp;ROW($CJ25))))</f>
        <v>0</v>
      </c>
      <c r="FF25" s="283">
        <f t="array" ref="FF25">IF(FF$3&gt;'GAAP Summary'!$B$2,0,SUM(INDIRECT(XLOOKUP(FF$3,'TTM Dates'!$B:$B,'TTM Dates'!$E:$E)&amp;ROW($CJ25)&amp;":"&amp;XLOOKUP(FF$3,'TTM Dates'!$B:$B,'TTM Dates'!$C:$C)&amp;ROW($CJ25))))</f>
        <v>0</v>
      </c>
      <c r="FG25" s="283">
        <f t="array" ref="FG25">IF(FG$3&gt;'GAAP Summary'!$B$2,0,SUM(INDIRECT(XLOOKUP(FG$3,'TTM Dates'!$B:$B,'TTM Dates'!$E:$E)&amp;ROW($CJ25)&amp;":"&amp;XLOOKUP(FG$3,'TTM Dates'!$B:$B,'TTM Dates'!$C:$C)&amp;ROW($CJ25))))</f>
        <v>6667</v>
      </c>
      <c r="FH25" s="283">
        <f t="array" ref="FH25">IF(FH$3&gt;'GAAP Summary'!$B$2,0,SUM(INDIRECT(XLOOKUP(FH$3,'TTM Dates'!$B:$B,'TTM Dates'!$E:$E)&amp;ROW($CJ25)&amp;":"&amp;XLOOKUP(FH$3,'TTM Dates'!$B:$B,'TTM Dates'!$C:$C)&amp;ROW($CJ25))))</f>
        <v>13334</v>
      </c>
      <c r="FI25" s="283">
        <f t="array" ref="FI25">IF(FI$3&gt;'GAAP Summary'!$B$2,0,SUM(INDIRECT(XLOOKUP(FI$3,'TTM Dates'!$B:$B,'TTM Dates'!$E:$E)&amp;ROW($CJ25)&amp;":"&amp;XLOOKUP(FI$3,'TTM Dates'!$B:$B,'TTM Dates'!$C:$C)&amp;ROW($CJ25))))</f>
        <v>20001</v>
      </c>
      <c r="FJ25" s="283">
        <f t="array" ref="FJ25">IF(FJ$3&gt;'GAAP Summary'!$B$2,0,SUM(INDIRECT(XLOOKUP(FJ$3,'TTM Dates'!$B:$B,'TTM Dates'!$E:$E)&amp;ROW($CJ25)&amp;":"&amp;XLOOKUP(FJ$3,'TTM Dates'!$B:$B,'TTM Dates'!$C:$C)&amp;ROW($CJ25))))</f>
        <v>20001</v>
      </c>
      <c r="FK25" s="283">
        <f t="array" ref="FK25">IF(FK$3&gt;'GAAP Summary'!$B$2,0,SUM(INDIRECT(XLOOKUP(FK$3,'TTM Dates'!$B:$B,'TTM Dates'!$E:$E)&amp;ROW($CJ25)&amp;":"&amp;XLOOKUP(FK$3,'TTM Dates'!$B:$B,'TTM Dates'!$C:$C)&amp;ROW($CJ25))))</f>
        <v>25386</v>
      </c>
      <c r="FL25" s="283">
        <f t="array" ref="FL25">IF(FL$3&gt;'GAAP Summary'!$B$2,0,SUM(INDIRECT(XLOOKUP(FL$3,'TTM Dates'!$B:$B,'TTM Dates'!$E:$E)&amp;ROW($CJ25)&amp;":"&amp;XLOOKUP(FL$3,'TTM Dates'!$B:$B,'TTM Dates'!$C:$C)&amp;ROW($CJ25))))</f>
        <v>113966</v>
      </c>
      <c r="FM25" s="283">
        <f t="array" ref="FM25">IF(FM$3&gt;'GAAP Summary'!$B$2,0,SUM(INDIRECT(XLOOKUP(FM$3,'TTM Dates'!$B:$B,'TTM Dates'!$E:$E)&amp;ROW($CJ25)&amp;":"&amp;XLOOKUP(FM$3,'TTM Dates'!$B:$B,'TTM Dates'!$C:$C)&amp;ROW($CJ25))))</f>
        <v>202546</v>
      </c>
      <c r="FN25" s="283">
        <f t="array" ref="FN25">IF(FN$3&gt;'GAAP Summary'!$B$2,0,SUM(INDIRECT(XLOOKUP(FN$3,'TTM Dates'!$B:$B,'TTM Dates'!$E:$E)&amp;ROW($CJ25)&amp;":"&amp;XLOOKUP(FN$3,'TTM Dates'!$B:$B,'TTM Dates'!$C:$C)&amp;ROW($CJ25))))</f>
        <v>296270</v>
      </c>
      <c r="FO25" s="283">
        <f t="array" ref="FO25">IF(FO$3&gt;'GAAP Summary'!$B$2,0,SUM(INDIRECT(XLOOKUP(FO$3,'TTM Dates'!$B:$B,'TTM Dates'!$E:$E)&amp;ROW($CJ25)&amp;":"&amp;XLOOKUP(FO$3,'TTM Dates'!$B:$B,'TTM Dates'!$C:$C)&amp;ROW($CJ25))))</f>
        <v>331858</v>
      </c>
      <c r="FP25" s="283">
        <f t="array" ref="FP25">IF(FP$3&gt;'GAAP Summary'!$B$2,0,SUM(INDIRECT(XLOOKUP(FP$3,'TTM Dates'!$B:$B,'TTM Dates'!$E:$E)&amp;ROW($CJ25)&amp;":"&amp;XLOOKUP(FP$3,'TTM Dates'!$B:$B,'TTM Dates'!$C:$C)&amp;ROW($CJ25))))</f>
        <v>365148</v>
      </c>
      <c r="FQ25" s="283">
        <f t="array" ref="FQ25">IF(FQ$3&gt;'GAAP Summary'!$B$2,0,SUM(INDIRECT(XLOOKUP(FQ$3,'TTM Dates'!$B:$B,'TTM Dates'!$E:$E)&amp;ROW($CJ25)&amp;":"&amp;XLOOKUP(FQ$3,'TTM Dates'!$B:$B,'TTM Dates'!$C:$C)&amp;ROW($CJ25))))</f>
        <v>398438</v>
      </c>
      <c r="FR25" s="283">
        <f t="array" ref="FR25">IF(FR$3&gt;'GAAP Summary'!$B$2,0,SUM(INDIRECT(XLOOKUP(FR$3,'TTM Dates'!$B:$B,'TTM Dates'!$E:$E)&amp;ROW($CJ25)&amp;":"&amp;XLOOKUP(FR$3,'TTM Dates'!$B:$B,'TTM Dates'!$C:$C)&amp;ROW($CJ25))))</f>
        <v>446529.32</v>
      </c>
      <c r="FS25" s="283">
        <f t="array" ref="FS25">IF(FS$3&gt;'GAAP Summary'!$B$2,0,SUM(INDIRECT(XLOOKUP(FS$3,'TTM Dates'!$B:$B,'TTM Dates'!$E:$E)&amp;ROW($CJ25)&amp;":"&amp;XLOOKUP(FS$3,'TTM Dates'!$B:$B,'TTM Dates'!$C:$C)&amp;ROW($CJ25))))</f>
        <v>528254.22</v>
      </c>
      <c r="FT25" s="283">
        <f t="array" ref="FT25">IF(FT$3&gt;'GAAP Summary'!$B$2,0,SUM(INDIRECT(XLOOKUP(FT$3,'TTM Dates'!$B:$B,'TTM Dates'!$E:$E)&amp;ROW($CJ25)&amp;":"&amp;XLOOKUP(FT$3,'TTM Dates'!$B:$B,'TTM Dates'!$C:$C)&amp;ROW($CJ25))))</f>
        <v>609979.12</v>
      </c>
      <c r="FU25" s="283">
        <f t="array" ref="FU25">IF(FU$3&gt;'GAAP Summary'!$B$2,0,SUM(INDIRECT(XLOOKUP(FU$3,'TTM Dates'!$B:$B,'TTM Dates'!$E:$E)&amp;ROW($CJ25)&amp;":"&amp;XLOOKUP(FU$3,'TTM Dates'!$B:$B,'TTM Dates'!$C:$C)&amp;ROW($CJ25))))</f>
        <v>697204.02</v>
      </c>
      <c r="FV25" s="283">
        <f t="array" ref="FV25">IF(FV$3&gt;'GAAP Summary'!$B$2,0,SUM(INDIRECT(XLOOKUP(FV$3,'TTM Dates'!$B:$B,'TTM Dates'!$E:$E)&amp;ROW($CJ25)&amp;":"&amp;XLOOKUP(FV$3,'TTM Dates'!$B:$B,'TTM Dates'!$C:$C)&amp;ROW($CJ25))))</f>
        <v>791095.92</v>
      </c>
      <c r="FW25" s="283">
        <f t="array" ref="FW25">IF(FW$3&gt;'GAAP Summary'!$B$2,0,SUM(INDIRECT(XLOOKUP(FW$3,'TTM Dates'!$B:$B,'TTM Dates'!$E:$E)&amp;ROW($CJ25)&amp;":"&amp;XLOOKUP(FW$3,'TTM Dates'!$B:$B,'TTM Dates'!$C:$C)&amp;ROW($CJ25))))</f>
        <v>885852.79</v>
      </c>
      <c r="FX25" s="283">
        <f t="array" ref="FX25">IF(FX$3&gt;'GAAP Summary'!$B$2,0,SUM(INDIRECT(XLOOKUP(FX$3,'TTM Dates'!$B:$B,'TTM Dates'!$E:$E)&amp;ROW($CJ25)&amp;":"&amp;XLOOKUP(FX$3,'TTM Dates'!$B:$B,'TTM Dates'!$C:$C)&amp;ROW($CJ25))))</f>
        <v>959983.83</v>
      </c>
      <c r="FY25" s="283">
        <f t="array" ref="FY25">IF(FY$3&gt;'GAAP Summary'!$B$2,0,SUM(INDIRECT(XLOOKUP(FY$3,'TTM Dates'!$B:$B,'TTM Dates'!$E:$E)&amp;ROW($CJ25)&amp;":"&amp;XLOOKUP(FY$3,'TTM Dates'!$B:$B,'TTM Dates'!$C:$C)&amp;ROW($CJ25))))</f>
        <v>1045364.77</v>
      </c>
      <c r="FZ25" s="283">
        <f t="array" ref="FZ25">IF(FZ$3&gt;'GAAP Summary'!$B$2,0,SUM(INDIRECT(XLOOKUP(FZ$3,'TTM Dates'!$B:$B,'TTM Dates'!$E:$E)&amp;ROW($CJ25)&amp;":"&amp;XLOOKUP(FZ$3,'TTM Dates'!$B:$B,'TTM Dates'!$C:$C)&amp;ROW($CJ25))))</f>
        <v>1128790.84</v>
      </c>
      <c r="GA25" s="283">
        <f t="array" ref="GA25">IF(GA$3&gt;'GAAP Summary'!$B$2,0,SUM(INDIRECT(XLOOKUP(GA$3,'TTM Dates'!$B:$B,'TTM Dates'!$E:$E)&amp;ROW($CJ25)&amp;":"&amp;XLOOKUP(GA$3,'TTM Dates'!$B:$B,'TTM Dates'!$C:$C)&amp;ROW($CJ25))))</f>
        <v>1270352.91</v>
      </c>
      <c r="GB25" s="283">
        <f t="array" ref="GB25">IF(GB$3&gt;'GAAP Summary'!$B$2,0,SUM(INDIRECT(XLOOKUP(GB$3,'TTM Dates'!$B:$B,'TTM Dates'!$E:$E)&amp;ROW($CJ25)&amp;":"&amp;XLOOKUP(GB$3,'TTM Dates'!$B:$B,'TTM Dates'!$C:$C)&amp;ROW($CJ25))))</f>
        <v>1380379.69</v>
      </c>
      <c r="GC25" s="283">
        <f t="array" ref="GC25">IF(GC$3&gt;'GAAP Summary'!$B$2,0,SUM(INDIRECT(XLOOKUP(GC$3,'TTM Dates'!$B:$B,'TTM Dates'!$E:$E)&amp;ROW($CJ25)&amp;":"&amp;XLOOKUP(GC$3,'TTM Dates'!$B:$B,'TTM Dates'!$C:$C)&amp;ROW($CJ25))))</f>
        <v>1491239.76</v>
      </c>
      <c r="GD25" s="283">
        <f t="array" ref="GD25">IF(GD$3&gt;'GAAP Summary'!$B$2,0,SUM(INDIRECT(XLOOKUP(GD$3,'TTM Dates'!$B:$B,'TTM Dates'!$E:$E)&amp;ROW($CJ25)&amp;":"&amp;XLOOKUP(GD$3,'TTM Dates'!$B:$B,'TTM Dates'!$C:$C)&amp;ROW($CJ25))))</f>
        <v>1593548.51</v>
      </c>
      <c r="GE25" s="283">
        <f t="array" ref="GE25">IF(GE$3&gt;'GAAP Summary'!$B$2,0,SUM(INDIRECT(XLOOKUP(GE$3,'TTM Dates'!$B:$B,'TTM Dates'!$E:$E)&amp;ROW($CJ25)&amp;":"&amp;XLOOKUP(GE$3,'TTM Dates'!$B:$B,'TTM Dates'!$C:$C)&amp;ROW($CJ25))))</f>
        <v>1676522.37</v>
      </c>
      <c r="GF25" s="283">
        <f t="array" ref="GF25">IF(GF$3&gt;'GAAP Summary'!$B$2,0,SUM(INDIRECT(XLOOKUP(GF$3,'TTM Dates'!$B:$B,'TTM Dates'!$E:$E)&amp;ROW($CJ25)&amp;":"&amp;XLOOKUP(GF$3,'TTM Dates'!$B:$B,'TTM Dates'!$C:$C)&amp;ROW($CJ25))))</f>
        <v>1767829.56</v>
      </c>
      <c r="GG25" s="283">
        <f t="array" ref="GG25">IF(GG$3&gt;'GAAP Summary'!$B$2,0,SUM(INDIRECT(XLOOKUP(GG$3,'TTM Dates'!$B:$B,'TTM Dates'!$E:$E)&amp;ROW($CJ25)&amp;":"&amp;XLOOKUP(GG$3,'TTM Dates'!$B:$B,'TTM Dates'!$C:$C)&amp;ROW($CJ25))))</f>
        <v>0</v>
      </c>
      <c r="GH25" s="283">
        <f t="array" ref="GH25">IF(GH$3&gt;'GAAP Summary'!$B$2,0,SUM(INDIRECT(XLOOKUP(GH$3,'TTM Dates'!$B:$B,'TTM Dates'!$E:$E)&amp;ROW($CJ25)&amp;":"&amp;XLOOKUP(GH$3,'TTM Dates'!$B:$B,'TTM Dates'!$C:$C)&amp;ROW($CJ25))))</f>
        <v>0</v>
      </c>
      <c r="GI25" s="283">
        <f t="array" ref="GI25">IF(GI$3&gt;'GAAP Summary'!$B$2,0,SUM(INDIRECT(XLOOKUP(GI$3,'TTM Dates'!$B:$B,'TTM Dates'!$E:$E)&amp;ROW($CJ25)&amp;":"&amp;XLOOKUP(GI$3,'TTM Dates'!$B:$B,'TTM Dates'!$C:$C)&amp;ROW($CJ25))))</f>
        <v>0</v>
      </c>
      <c r="GJ25" s="283">
        <f t="array" ref="GJ25">IF(GJ$3&gt;'GAAP Summary'!$B$2,0,SUM(INDIRECT(XLOOKUP(GJ$3,'TTM Dates'!$B:$B,'TTM Dates'!$E:$E)&amp;ROW($CJ25)&amp;":"&amp;XLOOKUP(GJ$3,'TTM Dates'!$B:$B,'TTM Dates'!$C:$C)&amp;ROW($CJ25))))</f>
        <v>0</v>
      </c>
      <c r="GK25" s="283">
        <f t="array" ref="GK25">IF(GK$3&gt;'GAAP Summary'!$B$2,0,SUM(INDIRECT(XLOOKUP(GK$3,'TTM Dates'!$B:$B,'TTM Dates'!$E:$E)&amp;ROW($CJ25)&amp;":"&amp;XLOOKUP(GK$3,'TTM Dates'!$B:$B,'TTM Dates'!$C:$C)&amp;ROW($CJ25))))</f>
        <v>0</v>
      </c>
      <c r="GL25" s="283">
        <f t="array" ref="GL25">IF(GL$3&gt;'GAAP Summary'!$B$2,0,SUM(INDIRECT(XLOOKUP(GL$3,'TTM Dates'!$B:$B,'TTM Dates'!$E:$E)&amp;ROW($CJ25)&amp;":"&amp;XLOOKUP(GL$3,'TTM Dates'!$B:$B,'TTM Dates'!$C:$C)&amp;ROW($CJ25))))</f>
        <v>0</v>
      </c>
      <c r="GM25" s="283"/>
    </row>
    <row r="26">
      <c r="B26" s="135" t="s">
        <v>268</v>
      </c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350">
        <f t="shared" ref="AA26:AL26" si="73">AA13-SUM(AA23:AA25)</f>
        <v>1</v>
      </c>
      <c r="AB26" s="350">
        <f t="shared" si="73"/>
        <v>0</v>
      </c>
      <c r="AC26" s="350">
        <f t="shared" si="73"/>
        <v>1</v>
      </c>
      <c r="AD26" s="350">
        <f t="shared" si="73"/>
        <v>0</v>
      </c>
      <c r="AE26" s="350">
        <f t="shared" si="73"/>
        <v>0</v>
      </c>
      <c r="AF26" s="350">
        <f t="shared" si="73"/>
        <v>0</v>
      </c>
      <c r="AG26" s="350">
        <f t="shared" si="73"/>
        <v>1</v>
      </c>
      <c r="AH26" s="350">
        <f t="shared" si="73"/>
        <v>0</v>
      </c>
      <c r="AI26" s="350">
        <f t="shared" si="73"/>
        <v>0</v>
      </c>
      <c r="AJ26" s="350">
        <f t="shared" si="73"/>
        <v>0</v>
      </c>
      <c r="AK26" s="350">
        <f t="shared" si="73"/>
        <v>0</v>
      </c>
      <c r="AL26" s="350">
        <f t="shared" si="73"/>
        <v>0</v>
      </c>
      <c r="AM26" s="269" t="str">
        <f t="shared" ref="AM26:CH26" si="74">IF(AM13=0,"", TEXT(AM13,"0,000")&amp;" "&amp;"("&amp;TEXT((AM13-AA13)/AA13,"0%")&amp;" YoY)")</f>
        <v>2,132,202 (81% YoY)</v>
      </c>
      <c r="AN26" s="269" t="str">
        <f t="shared" si="74"/>
        <v>1,943,840 (84% YoY)</v>
      </c>
      <c r="AO26" s="269" t="str">
        <f t="shared" si="74"/>
        <v>2,227,301 (61% YoY)</v>
      </c>
      <c r="AP26" s="269" t="str">
        <f t="shared" si="74"/>
        <v>1,844,526 (54% YoY)</v>
      </c>
      <c r="AQ26" s="269" t="str">
        <f t="shared" si="74"/>
        <v>1,900,795 (49% YoY)</v>
      </c>
      <c r="AR26" s="269" t="str">
        <f t="shared" si="74"/>
        <v>1,841,226 (20% YoY)</v>
      </c>
      <c r="AS26" s="269" t="str">
        <f t="shared" si="74"/>
        <v>1,634,207 (23% YoY)</v>
      </c>
      <c r="AT26" s="269" t="str">
        <f t="shared" si="74"/>
        <v>1,985,443 (3% YoY)</v>
      </c>
      <c r="AU26" s="269" t="str">
        <f t="shared" si="74"/>
        <v>1,579,141 (-3% YoY)</v>
      </c>
      <c r="AV26" s="269" t="str">
        <f t="shared" si="74"/>
        <v>1,868,299 (0% YoY)</v>
      </c>
      <c r="AW26" s="269" t="str">
        <f t="shared" si="74"/>
        <v>1,657,348 (-7% YoY)</v>
      </c>
      <c r="AX26" s="269" t="str">
        <f t="shared" si="74"/>
        <v>1,570,102 (27% YoY)</v>
      </c>
      <c r="AY26" s="269" t="str">
        <f t="shared" si="74"/>
        <v>1,682,342 (-21% YoY)</v>
      </c>
      <c r="AZ26" s="269" t="str">
        <f t="shared" si="74"/>
        <v>1,868,929 (-4% YoY)</v>
      </c>
      <c r="BA26" s="269" t="str">
        <f t="shared" si="74"/>
        <v>1,912,288 (-14% YoY)</v>
      </c>
      <c r="BB26" s="269" t="str">
        <f t="shared" si="74"/>
        <v>2,003,723 (9% YoY)</v>
      </c>
      <c r="BC26" s="269" t="str">
        <f t="shared" si="74"/>
        <v>1,916,051 (1% YoY)</v>
      </c>
      <c r="BD26" s="269" t="str">
        <f t="shared" si="74"/>
        <v>1,831,017 (-1% YoY)</v>
      </c>
      <c r="BE26" s="269" t="str">
        <f t="shared" si="74"/>
        <v>2,080,921 (27% YoY)</v>
      </c>
      <c r="BF26" s="269" t="str">
        <f t="shared" si="74"/>
        <v>2,167,206 (9% YoY)</v>
      </c>
      <c r="BG26" s="269" t="str">
        <f t="shared" si="74"/>
        <v>2,164,386 (37% YoY)</v>
      </c>
      <c r="BH26" s="269" t="str">
        <f t="shared" si="74"/>
        <v>2,831,145 (52% YoY)</v>
      </c>
      <c r="BI26" s="269" t="str">
        <f t="shared" si="74"/>
        <v>2,468,253 (49% YoY)</v>
      </c>
      <c r="BJ26" s="269" t="str">
        <f t="shared" si="74"/>
        <v>2,428,684 (55% YoY)</v>
      </c>
      <c r="BK26" s="269" t="str">
        <f t="shared" si="74"/>
        <v>2,578,096 (53% YoY)</v>
      </c>
      <c r="BL26" s="269" t="str">
        <f t="shared" si="74"/>
        <v>2,417,466 (29% YoY)</v>
      </c>
      <c r="BM26" s="269" t="str">
        <f t="shared" si="74"/>
        <v>2,428,049 (27% YoY)</v>
      </c>
      <c r="BN26" s="269" t="str">
        <f t="shared" si="74"/>
        <v>2,709,800 (35% YoY)</v>
      </c>
      <c r="BO26" s="269" t="str">
        <f t="shared" si="74"/>
        <v>2,648,434 (38% YoY)</v>
      </c>
      <c r="BP26" s="269" t="str">
        <f t="shared" si="74"/>
        <v>2,684,461 (47% YoY)</v>
      </c>
      <c r="BQ26" s="269" t="str">
        <f t="shared" si="74"/>
        <v>3,109,357 (49% YoY)</v>
      </c>
      <c r="BR26" s="269" t="str">
        <f t="shared" si="74"/>
        <v>2,924,214 (35% YoY)</v>
      </c>
      <c r="BS26" s="269" t="str">
        <f t="shared" si="74"/>
        <v>3,465,159 (60% YoY)</v>
      </c>
      <c r="BT26" s="269" t="str">
        <f t="shared" si="74"/>
        <v>4,021,092 (42% YoY)</v>
      </c>
      <c r="BU26" s="269" t="str">
        <f t="shared" si="74"/>
        <v>3,287,832 (33% YoY)</v>
      </c>
      <c r="BV26" s="269" t="str">
        <f t="shared" si="74"/>
        <v>3,641,358 (50% YoY)</v>
      </c>
      <c r="BW26" s="269" t="str">
        <f t="shared" si="74"/>
        <v>4,081,579 (58% YoY)</v>
      </c>
      <c r="BX26" s="269" t="str">
        <f t="shared" si="74"/>
        <v>4,044,561 (67% YoY)</v>
      </c>
      <c r="BY26" s="269" t="str">
        <f t="shared" si="74"/>
        <v>4,448,101 (83% YoY)</v>
      </c>
      <c r="BZ26" s="269" t="str">
        <f t="shared" si="74"/>
        <v>4,587,408 (69% YoY)</v>
      </c>
      <c r="CA26" s="269" t="str">
        <f t="shared" si="74"/>
        <v>4,354,972 (64% YoY)</v>
      </c>
      <c r="CB26" s="269" t="str">
        <f t="shared" si="74"/>
        <v>4,702,075 (75% YoY)</v>
      </c>
      <c r="CC26" s="269" t="str">
        <f t="shared" si="74"/>
        <v/>
      </c>
      <c r="CD26" s="269" t="str">
        <f t="shared" si="74"/>
        <v/>
      </c>
      <c r="CE26" s="269" t="str">
        <f t="shared" si="74"/>
        <v/>
      </c>
      <c r="CF26" s="269" t="str">
        <f t="shared" si="74"/>
        <v/>
      </c>
      <c r="CG26" s="269" t="str">
        <f t="shared" si="74"/>
        <v/>
      </c>
      <c r="CH26" s="269" t="str">
        <f t="shared" si="74"/>
        <v/>
      </c>
      <c r="CI26" s="33"/>
      <c r="CJ26" s="33"/>
      <c r="CK26" s="339"/>
      <c r="CL26" s="136"/>
      <c r="CM26" s="277" t="str">
        <f t="shared" ref="CM26:CP26" si="75">IF(CM13=0,"", TEXT(CM13,"0,000")&amp;" "&amp;"("&amp;TEXT((CM13-CS13)/CS13,"0%")&amp;" YoY)")</f>
        <v>12,574,241 (69% YoY)</v>
      </c>
      <c r="CN26" s="277" t="str">
        <f t="shared" si="75"/>
        <v>13,644,454 (70% YoY)</v>
      </c>
      <c r="CO26" s="277" t="str">
        <f t="shared" si="75"/>
        <v/>
      </c>
      <c r="CP26" s="277" t="str">
        <f t="shared" si="75"/>
        <v/>
      </c>
      <c r="CQ26" s="356">
        <f>(CQ13-CW13)/CW13</f>
        <v>-0.2699857101</v>
      </c>
      <c r="CR26" s="269"/>
      <c r="CS26" s="269" t="str">
        <f t="shared" ref="CS26:CV26" si="76">IF(CS13=0,"", TEXT(CS13,"0,000")&amp;" "&amp;"("&amp;TEXT((CS13-CY13)/CY13,"0%")&amp;" YoY)")</f>
        <v>7,423,611 (36% YoY)</v>
      </c>
      <c r="CT26" s="269" t="str">
        <f t="shared" si="76"/>
        <v>8,042,695 (40% YoY)</v>
      </c>
      <c r="CU26" s="269" t="str">
        <f t="shared" si="76"/>
        <v>9,498,729 (48% YoY)</v>
      </c>
      <c r="CV26" s="269" t="str">
        <f t="shared" si="76"/>
        <v>10,950,282 (42% YoY)</v>
      </c>
      <c r="CW26" s="347">
        <f>(CW13-DC13)/DC13</f>
        <v>0.4165015625</v>
      </c>
      <c r="CX26" s="136"/>
      <c r="CY26" s="269" t="str">
        <f t="shared" ref="CY26:DB26" si="77">IF(CY13=0,"", TEXT(CY13,"0,000")&amp;" "&amp;"("&amp;TEXT((CY13-DE13)/DE13,"0%")&amp;" YoY)")</f>
        <v>5,463,558 (-13% YoY)</v>
      </c>
      <c r="CZ26" s="269" t="str">
        <f t="shared" si="77"/>
        <v>5,750,791 (3% YoY)</v>
      </c>
      <c r="DA26" s="269" t="str">
        <f t="shared" si="77"/>
        <v>6,412,513 (23% YoY)</v>
      </c>
      <c r="DB26" s="269" t="str">
        <f t="shared" si="77"/>
        <v>7,728,081 (52% YoY)</v>
      </c>
      <c r="DC26" s="347">
        <f>(DC13-DI13)/DI13</f>
        <v>0.1429161583</v>
      </c>
      <c r="DD26" s="136"/>
      <c r="DE26" s="269" t="str">
        <f t="shared" ref="DE26:DH26" si="78">IF(DE13=0,"", TEXT(DE13,"0,000")&amp;" "&amp;"("&amp;TEXT((DE13-DK13)/DK13,"0%")&amp;" YoY)")</f>
        <v>6,303,343 (74% YoY)</v>
      </c>
      <c r="DF26" s="269" t="str">
        <f t="shared" si="78"/>
        <v>5,586,547 (39% YoY)</v>
      </c>
      <c r="DG26" s="269" t="str">
        <f t="shared" si="78"/>
        <v>5,198,791 (6% YoY)</v>
      </c>
      <c r="DH26" s="269" t="str">
        <f t="shared" si="78"/>
        <v>5,095,749 (4% YoY)</v>
      </c>
      <c r="DI26" s="347">
        <f>(DI13-DO13)/DO13</f>
        <v>0.274776611</v>
      </c>
      <c r="DJ26" s="136"/>
      <c r="DK26" s="269"/>
      <c r="DL26" s="269"/>
      <c r="DM26" s="269"/>
      <c r="DN26" s="269"/>
      <c r="DO26" s="347"/>
      <c r="DP26" s="136"/>
      <c r="DQ26" s="292"/>
      <c r="DR26" s="136"/>
      <c r="DS26" s="136"/>
      <c r="DT26" s="136"/>
      <c r="DU26" s="136"/>
      <c r="DV26" s="136"/>
      <c r="DW26" s="136"/>
      <c r="DX26" s="136"/>
      <c r="DY26" s="136"/>
      <c r="DZ26" s="136"/>
      <c r="EA26" s="136"/>
      <c r="EB26" s="136"/>
      <c r="EC26" s="136"/>
      <c r="ED26" s="136"/>
      <c r="EE26" s="136"/>
      <c r="EF26" s="136"/>
      <c r="EG26" s="136"/>
      <c r="EH26" s="136"/>
      <c r="EI26" s="136"/>
      <c r="EJ26" s="136"/>
      <c r="EK26" s="136"/>
      <c r="EL26" s="136"/>
      <c r="EM26" s="136"/>
      <c r="EN26" s="136"/>
      <c r="EO26" s="136"/>
      <c r="EP26" s="136"/>
      <c r="EQ26" s="136"/>
      <c r="ER26" s="136"/>
      <c r="ES26" s="136"/>
      <c r="ET26" s="136"/>
      <c r="EU26" s="136"/>
      <c r="EV26" s="136"/>
      <c r="EW26" s="136"/>
      <c r="EX26" s="136"/>
      <c r="EY26" s="136"/>
      <c r="EZ26" s="136"/>
      <c r="FA26" s="136"/>
      <c r="FB26" s="136"/>
      <c r="FC26" s="136"/>
      <c r="FD26" s="136"/>
      <c r="FE26" s="136"/>
      <c r="FF26" s="136"/>
      <c r="FG26" s="136"/>
      <c r="FH26" s="136"/>
      <c r="FI26" s="136"/>
      <c r="FJ26" s="136"/>
      <c r="FK26" s="136"/>
      <c r="FL26" s="136"/>
      <c r="FM26" s="136"/>
      <c r="FN26" s="136"/>
      <c r="FO26" s="136"/>
      <c r="FP26" s="136"/>
      <c r="FQ26" s="136"/>
      <c r="FR26" s="136"/>
      <c r="FS26" s="136"/>
      <c r="FT26" s="136"/>
      <c r="FU26" s="136"/>
      <c r="FV26" s="136"/>
      <c r="FW26" s="136"/>
      <c r="FX26" s="136"/>
      <c r="FY26" s="136"/>
      <c r="FZ26" s="136"/>
      <c r="GA26" s="136"/>
      <c r="GB26" s="136"/>
      <c r="GC26" s="136"/>
      <c r="GD26" s="136"/>
      <c r="GE26" s="136"/>
      <c r="GF26" s="136"/>
      <c r="GG26" s="136"/>
      <c r="GH26" s="136"/>
      <c r="GI26" s="136"/>
      <c r="GJ26" s="136"/>
      <c r="GK26" s="136"/>
      <c r="GL26" s="136"/>
      <c r="GM26" s="136"/>
    </row>
    <row r="27" ht="14.25" customHeight="1"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K27" s="42"/>
      <c r="CM27" s="2"/>
      <c r="CN27" s="2"/>
      <c r="CO27" s="2"/>
      <c r="CP27" s="2"/>
      <c r="CQ27" s="43"/>
      <c r="DK27" s="2"/>
      <c r="DL27" s="2"/>
      <c r="DM27" s="2"/>
      <c r="DN27" s="2"/>
      <c r="FB27" s="3"/>
    </row>
    <row r="28">
      <c r="B28" s="63" t="s">
        <v>505</v>
      </c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>
        <v>285690.0</v>
      </c>
      <c r="AB28" s="64">
        <v>371270.0</v>
      </c>
      <c r="AC28" s="64">
        <v>361550.0</v>
      </c>
      <c r="AD28" s="64">
        <v>420980.0</v>
      </c>
      <c r="AE28" s="64">
        <v>391670.0</v>
      </c>
      <c r="AF28" s="64">
        <v>388050.0</v>
      </c>
      <c r="AG28" s="64">
        <v>448730.0</v>
      </c>
      <c r="AH28" s="64">
        <v>445170.0</v>
      </c>
      <c r="AI28" s="64">
        <v>459930.0</v>
      </c>
      <c r="AJ28" s="64">
        <v>435680.0</v>
      </c>
      <c r="AK28" s="64">
        <v>530320.0</v>
      </c>
      <c r="AL28" s="64">
        <v>496380.0</v>
      </c>
      <c r="AM28" s="270">
        <f t="shared" ref="AM28:BX28" si="79">AM29+AM39+AM42+AM43</f>
        <v>828508.74</v>
      </c>
      <c r="AN28" s="270">
        <f t="shared" si="79"/>
        <v>603747.44</v>
      </c>
      <c r="AO28" s="270">
        <f t="shared" si="79"/>
        <v>625311.64</v>
      </c>
      <c r="AP28" s="270">
        <f t="shared" si="79"/>
        <v>761722.62</v>
      </c>
      <c r="AQ28" s="270">
        <f t="shared" si="79"/>
        <v>636848.46</v>
      </c>
      <c r="AR28" s="270">
        <f t="shared" si="79"/>
        <v>592880.64</v>
      </c>
      <c r="AS28" s="270">
        <f t="shared" si="79"/>
        <v>650592.72</v>
      </c>
      <c r="AT28" s="270">
        <f t="shared" si="79"/>
        <v>961832.56</v>
      </c>
      <c r="AU28" s="270">
        <f t="shared" si="79"/>
        <v>719676.37</v>
      </c>
      <c r="AV28" s="270">
        <f t="shared" si="79"/>
        <v>683798.06</v>
      </c>
      <c r="AW28" s="270">
        <f t="shared" si="79"/>
        <v>705814.35</v>
      </c>
      <c r="AX28" s="270">
        <f t="shared" si="79"/>
        <v>761072.55</v>
      </c>
      <c r="AY28" s="270">
        <f t="shared" si="79"/>
        <v>789958.28</v>
      </c>
      <c r="AZ28" s="270">
        <f t="shared" si="79"/>
        <v>695628.02</v>
      </c>
      <c r="BA28" s="270">
        <f t="shared" si="79"/>
        <v>684119.8</v>
      </c>
      <c r="BB28" s="270">
        <f t="shared" si="79"/>
        <v>1015234.01</v>
      </c>
      <c r="BC28" s="270">
        <f t="shared" si="79"/>
        <v>739568.76</v>
      </c>
      <c r="BD28" s="270">
        <f t="shared" si="79"/>
        <v>713502.96</v>
      </c>
      <c r="BE28" s="270">
        <f t="shared" si="79"/>
        <v>723018.19</v>
      </c>
      <c r="BF28" s="270">
        <f t="shared" si="79"/>
        <v>1277498.93</v>
      </c>
      <c r="BG28" s="270">
        <f t="shared" si="79"/>
        <v>845997.9</v>
      </c>
      <c r="BH28" s="270">
        <f t="shared" si="79"/>
        <v>942044.01</v>
      </c>
      <c r="BI28" s="270">
        <f t="shared" si="79"/>
        <v>942468.49</v>
      </c>
      <c r="BJ28" s="270">
        <f t="shared" si="79"/>
        <v>1064555.38</v>
      </c>
      <c r="BK28" s="270">
        <f t="shared" si="79"/>
        <v>1119926.34</v>
      </c>
      <c r="BL28" s="270">
        <f t="shared" si="79"/>
        <v>1048344.9</v>
      </c>
      <c r="BM28" s="270">
        <f t="shared" si="79"/>
        <v>1057048.21</v>
      </c>
      <c r="BN28" s="270">
        <f t="shared" si="79"/>
        <v>1048328.78</v>
      </c>
      <c r="BO28" s="270">
        <f t="shared" si="79"/>
        <v>1159914.36</v>
      </c>
      <c r="BP28" s="270">
        <f t="shared" si="79"/>
        <v>1138086.55</v>
      </c>
      <c r="BQ28" s="270">
        <f t="shared" si="79"/>
        <v>1240606.57</v>
      </c>
      <c r="BR28" s="270">
        <f t="shared" si="79"/>
        <v>1303612.91</v>
      </c>
      <c r="BS28" s="270">
        <f t="shared" si="79"/>
        <v>1450485.98</v>
      </c>
      <c r="BT28" s="270">
        <f t="shared" si="79"/>
        <v>1603668.52</v>
      </c>
      <c r="BU28" s="270">
        <f t="shared" si="79"/>
        <v>1506889.89</v>
      </c>
      <c r="BV28" s="270">
        <f t="shared" si="79"/>
        <v>1694832.68</v>
      </c>
      <c r="BW28" s="65">
        <f t="shared" si="79"/>
        <v>1839262.32</v>
      </c>
      <c r="BX28" s="65">
        <f t="shared" si="79"/>
        <v>1685442.98</v>
      </c>
      <c r="BY28" s="65">
        <f>BY44+BY45</f>
        <v>1937350.72</v>
      </c>
      <c r="BZ28" s="65">
        <f>BZ29+BZ39</f>
        <v>1922012.28</v>
      </c>
      <c r="CA28" s="65">
        <f t="shared" ref="CA28:CH28" si="80">CA29+CA39+CA42+CA43</f>
        <v>1760059.63</v>
      </c>
      <c r="CB28" s="65">
        <f t="shared" si="80"/>
        <v>1851450.72</v>
      </c>
      <c r="CC28" s="65">
        <f t="shared" si="80"/>
        <v>0</v>
      </c>
      <c r="CD28" s="65">
        <f t="shared" si="80"/>
        <v>0</v>
      </c>
      <c r="CE28" s="65">
        <f t="shared" si="80"/>
        <v>0</v>
      </c>
      <c r="CF28" s="65">
        <f t="shared" si="80"/>
        <v>0</v>
      </c>
      <c r="CG28" s="65">
        <f t="shared" si="80"/>
        <v>0</v>
      </c>
      <c r="CH28" s="65">
        <f t="shared" si="80"/>
        <v>0</v>
      </c>
      <c r="CI28" s="270"/>
      <c r="CJ28" s="270"/>
      <c r="CK28" s="69">
        <f t="array" ref="CK28">SUM(INDIRECT(XLOOKUP('GAAP Summary'!$B$2,'TTM Dates'!$B:$B,'TTM Dates'!$E:$E)&amp;ROW($CJ28)&amp;":"&amp;XLOOKUP('GAAP Summary'!$B$2,'TTM Dates'!$B:$B,'TTM Dates'!$C:$C)&amp;ROW($CJ28)))</f>
        <v>19795675.2</v>
      </c>
      <c r="CL28" s="357"/>
      <c r="CM28" s="270">
        <f t="shared" ref="CM28:CM45" si="82">sum(BW28:BY28)</f>
        <v>5462056.02</v>
      </c>
      <c r="CN28" s="270">
        <f t="shared" ref="CN28:CN45" si="83">sum(BZ28:CB28)</f>
        <v>5533522.63</v>
      </c>
      <c r="CO28" s="270">
        <f t="shared" ref="CO28:CO45" si="84">sum(CC28:CE28)</f>
        <v>0</v>
      </c>
      <c r="CP28" s="270">
        <f t="shared" ref="CP28:CP45" si="85">sum(CF28:CH28)</f>
        <v>0</v>
      </c>
      <c r="CQ28" s="69">
        <f t="shared" ref="CQ28:CQ45" si="86">sum(BW28:CH28)</f>
        <v>10995578.65</v>
      </c>
      <c r="CR28" s="270"/>
      <c r="CS28" s="270">
        <f t="shared" ref="CS28:CS45" si="87">sum(BK28:BM28)</f>
        <v>3225319.45</v>
      </c>
      <c r="CT28" s="270">
        <f t="shared" ref="CT28:CT45" si="88">sum(BN28:BP28)</f>
        <v>3346329.69</v>
      </c>
      <c r="CU28" s="270">
        <f t="shared" ref="CU28:CU45" si="89">sum(BQ28:BS28)</f>
        <v>3994705.46</v>
      </c>
      <c r="CV28" s="270">
        <f t="shared" ref="CV28:CV45" si="90">sum(BT28:BV28)</f>
        <v>4805391.09</v>
      </c>
      <c r="CW28" s="121">
        <f t="shared" ref="CW28:CW45" si="91">sum(BK28:BV28)</f>
        <v>15371745.69</v>
      </c>
      <c r="CX28" s="108"/>
      <c r="CY28" s="270">
        <f>sum(AY28:BA28)</f>
        <v>2169706.1</v>
      </c>
      <c r="CZ28" s="270">
        <f>sum(BB28:BD28)</f>
        <v>2468305.73</v>
      </c>
      <c r="DA28" s="270">
        <f>sum(BE28:BG28)</f>
        <v>2846515.02</v>
      </c>
      <c r="DB28" s="270">
        <f>sum(BH28:BJ28)</f>
        <v>2949067.88</v>
      </c>
      <c r="DC28" s="121">
        <f>sum(AY28:BJ28)</f>
        <v>10433594.73</v>
      </c>
      <c r="DD28" s="49">
        <f>(DC13-DC28)/DC13</f>
        <v>0.5884986008</v>
      </c>
      <c r="DE28" s="270">
        <f>sum(AM28:AO28)</f>
        <v>2057567.82</v>
      </c>
      <c r="DF28" s="270">
        <f>sum(AP28:AR28)</f>
        <v>1991451.72</v>
      </c>
      <c r="DG28" s="270">
        <f>sum(AS28:AU28)</f>
        <v>2332101.65</v>
      </c>
      <c r="DH28" s="270">
        <f>sum(AV28:AX28)</f>
        <v>2150684.96</v>
      </c>
      <c r="DI28" s="121">
        <f>sum(AM28:AX28)</f>
        <v>8531806.15</v>
      </c>
      <c r="DJ28" s="49"/>
      <c r="DK28" s="270">
        <f>sum(AA28:AC28)</f>
        <v>1018510</v>
      </c>
      <c r="DL28" s="270">
        <f>sum(AD28:AF28)</f>
        <v>1200700</v>
      </c>
      <c r="DM28" s="270">
        <f>sum(AG28:AI28)</f>
        <v>1353830</v>
      </c>
      <c r="DN28" s="270">
        <f>sum(AJ28:AL28)</f>
        <v>1462380</v>
      </c>
      <c r="DO28" s="121">
        <f>sum(AA28:AL28)</f>
        <v>5035420</v>
      </c>
      <c r="DP28" s="49"/>
      <c r="DQ28" s="121"/>
      <c r="DR28" s="136"/>
      <c r="DS28" s="64">
        <f t="array" ref="DS28">IF(DS$3&gt;'GAAP Summary'!$B$2,0,SUM(INDIRECT(XLOOKUP(DS$3,'TTM Dates'!$B:$B,'TTM Dates'!$E:$E)&amp;ROW($CJ28)&amp;":"&amp;XLOOKUP(DS$3,'TTM Dates'!$B:$B,'TTM Dates'!$C:$C)&amp;ROW($CJ28))))</f>
        <v>0</v>
      </c>
      <c r="DT28" s="64">
        <f t="array" ref="DT28">IF(DT$3&gt;'GAAP Summary'!$B$2,0,SUM(INDIRECT(XLOOKUP(DT$3,'TTM Dates'!$B:$B,'TTM Dates'!$E:$E)&amp;ROW($CJ28)&amp;":"&amp;XLOOKUP(DT$3,'TTM Dates'!$B:$B,'TTM Dates'!$C:$C)&amp;ROW($CJ28))))</f>
        <v>0</v>
      </c>
      <c r="DU28" s="64">
        <f t="array" ref="DU28">IF(DU$3&gt;'GAAP Summary'!$B$2,0,SUM(INDIRECT(XLOOKUP(DU$3,'TTM Dates'!$B:$B,'TTM Dates'!$E:$E)&amp;ROW($CJ28)&amp;":"&amp;XLOOKUP(DU$3,'TTM Dates'!$B:$B,'TTM Dates'!$C:$C)&amp;ROW($CJ28))))</f>
        <v>0</v>
      </c>
      <c r="DV28" s="64">
        <f t="array" ref="DV28">IF(DV$3&gt;'GAAP Summary'!$B$2,0,SUM(INDIRECT(XLOOKUP(DV$3,'TTM Dates'!$B:$B,'TTM Dates'!$E:$E)&amp;ROW($CJ28)&amp;":"&amp;XLOOKUP(DV$3,'TTM Dates'!$B:$B,'TTM Dates'!$C:$C)&amp;ROW($CJ28))))</f>
        <v>0</v>
      </c>
      <c r="DW28" s="64">
        <f t="array" ref="DW28">IF(DW$3&gt;'GAAP Summary'!$B$2,0,SUM(INDIRECT(XLOOKUP(DW$3,'TTM Dates'!$B:$B,'TTM Dates'!$E:$E)&amp;ROW($CJ28)&amp;":"&amp;XLOOKUP(DW$3,'TTM Dates'!$B:$B,'TTM Dates'!$C:$C)&amp;ROW($CJ28))))</f>
        <v>0</v>
      </c>
      <c r="DX28" s="64">
        <f t="array" ref="DX28">IF(DX$3&gt;'GAAP Summary'!$B$2,0,SUM(INDIRECT(XLOOKUP(DX$3,'TTM Dates'!$B:$B,'TTM Dates'!$E:$E)&amp;ROW($CJ28)&amp;":"&amp;XLOOKUP(DX$3,'TTM Dates'!$B:$B,'TTM Dates'!$C:$C)&amp;ROW($CJ28))))</f>
        <v>0</v>
      </c>
      <c r="DY28" s="64">
        <f t="array" ref="DY28">IF(DY$3&gt;'GAAP Summary'!$B$2,0,SUM(INDIRECT(XLOOKUP(DY$3,'TTM Dates'!$B:$B,'TTM Dates'!$E:$E)&amp;ROW($CJ28)&amp;":"&amp;XLOOKUP(DY$3,'TTM Dates'!$B:$B,'TTM Dates'!$C:$C)&amp;ROW($CJ28))))</f>
        <v>0</v>
      </c>
      <c r="DZ28" s="64">
        <f t="array" ref="DZ28">IF(DZ$3&gt;'GAAP Summary'!$B$2,0,SUM(INDIRECT(XLOOKUP(DZ$3,'TTM Dates'!$B:$B,'TTM Dates'!$E:$E)&amp;ROW($CJ28)&amp;":"&amp;XLOOKUP(DZ$3,'TTM Dates'!$B:$B,'TTM Dates'!$C:$C)&amp;ROW($CJ28))))</f>
        <v>0</v>
      </c>
      <c r="EA28" s="64">
        <f t="array" ref="EA28">IF(EA$3&gt;'GAAP Summary'!$B$2,0,SUM(INDIRECT(XLOOKUP(EA$3,'TTM Dates'!$B:$B,'TTM Dates'!$E:$E)&amp;ROW($CJ28)&amp;":"&amp;XLOOKUP(EA$3,'TTM Dates'!$B:$B,'TTM Dates'!$C:$C)&amp;ROW($CJ28))))</f>
        <v>0</v>
      </c>
      <c r="EB28" s="64">
        <f t="array" ref="EB28">IF(EB$3&gt;'GAAP Summary'!$B$2,0,SUM(INDIRECT(XLOOKUP(EB$3,'TTM Dates'!$B:$B,'TTM Dates'!$E:$E)&amp;ROW($CJ28)&amp;":"&amp;XLOOKUP(EB$3,'TTM Dates'!$B:$B,'TTM Dates'!$C:$C)&amp;ROW($CJ28))))</f>
        <v>0</v>
      </c>
      <c r="EC28" s="64">
        <f t="array" ref="EC28">IF(EC$3&gt;'GAAP Summary'!$B$2,0,SUM(INDIRECT(XLOOKUP(EC$3,'TTM Dates'!$B:$B,'TTM Dates'!$E:$E)&amp;ROW($CJ28)&amp;":"&amp;XLOOKUP(EC$3,'TTM Dates'!$B:$B,'TTM Dates'!$C:$C)&amp;ROW($CJ28))))</f>
        <v>0</v>
      </c>
      <c r="ED28" s="64">
        <f t="array" ref="ED28">IF(ED$3&gt;'GAAP Summary'!$B$2,0,SUM(INDIRECT(XLOOKUP(ED$3,'TTM Dates'!$B:$B,'TTM Dates'!$E:$E)&amp;ROW($CJ28)&amp;":"&amp;XLOOKUP(ED$3,'TTM Dates'!$B:$B,'TTM Dates'!$C:$C)&amp;ROW($CJ28))))</f>
        <v>0</v>
      </c>
      <c r="EE28" s="64">
        <f t="array" ref="EE28">IF(EE$3&gt;'GAAP Summary'!$B$2,0,SUM(INDIRECT(XLOOKUP(EE$3,'TTM Dates'!$B:$B,'TTM Dates'!$E:$E)&amp;ROW($CJ28)&amp;":"&amp;XLOOKUP(EE$3,'TTM Dates'!$B:$B,'TTM Dates'!$C:$C)&amp;ROW($CJ28))))</f>
        <v>285690</v>
      </c>
      <c r="EF28" s="64">
        <f t="array" ref="EF28">IF(EF$3&gt;'GAAP Summary'!$B$2,0,SUM(INDIRECT(XLOOKUP(EF$3,'TTM Dates'!$B:$B,'TTM Dates'!$E:$E)&amp;ROW($CJ28)&amp;":"&amp;XLOOKUP(EF$3,'TTM Dates'!$B:$B,'TTM Dates'!$C:$C)&amp;ROW($CJ28))))</f>
        <v>656960</v>
      </c>
      <c r="EG28" s="64">
        <f t="array" ref="EG28">IF(EG$3&gt;'GAAP Summary'!$B$2,0,SUM(INDIRECT(XLOOKUP(EG$3,'TTM Dates'!$B:$B,'TTM Dates'!$E:$E)&amp;ROW($CJ28)&amp;":"&amp;XLOOKUP(EG$3,'TTM Dates'!$B:$B,'TTM Dates'!$C:$C)&amp;ROW($CJ28))))</f>
        <v>1018510</v>
      </c>
      <c r="EH28" s="64">
        <f t="array" ref="EH28">IF(EH$3&gt;'GAAP Summary'!$B$2,0,SUM(INDIRECT(XLOOKUP(EH$3,'TTM Dates'!$B:$B,'TTM Dates'!$E:$E)&amp;ROW($CJ28)&amp;":"&amp;XLOOKUP(EH$3,'TTM Dates'!$B:$B,'TTM Dates'!$C:$C)&amp;ROW($CJ28))))</f>
        <v>1439490</v>
      </c>
      <c r="EI28" s="64">
        <f t="array" ref="EI28">IF(EI$3&gt;'GAAP Summary'!$B$2,0,SUM(INDIRECT(XLOOKUP(EI$3,'TTM Dates'!$B:$B,'TTM Dates'!$E:$E)&amp;ROW($CJ28)&amp;":"&amp;XLOOKUP(EI$3,'TTM Dates'!$B:$B,'TTM Dates'!$C:$C)&amp;ROW($CJ28))))</f>
        <v>1831160</v>
      </c>
      <c r="EJ28" s="64">
        <f t="array" ref="EJ28">IF(EJ$3&gt;'GAAP Summary'!$B$2,0,SUM(INDIRECT(XLOOKUP(EJ$3,'TTM Dates'!$B:$B,'TTM Dates'!$E:$E)&amp;ROW($CJ28)&amp;":"&amp;XLOOKUP(EJ$3,'TTM Dates'!$B:$B,'TTM Dates'!$C:$C)&amp;ROW($CJ28))))</f>
        <v>2219210</v>
      </c>
      <c r="EK28" s="64">
        <f t="array" ref="EK28">IF(EK$3&gt;'GAAP Summary'!$B$2,0,SUM(INDIRECT(XLOOKUP(EK$3,'TTM Dates'!$B:$B,'TTM Dates'!$E:$E)&amp;ROW($CJ28)&amp;":"&amp;XLOOKUP(EK$3,'TTM Dates'!$B:$B,'TTM Dates'!$C:$C)&amp;ROW($CJ28))))</f>
        <v>2667940</v>
      </c>
      <c r="EL28" s="64">
        <f t="array" ref="EL28">IF(EL$3&gt;'GAAP Summary'!$B$2,0,SUM(INDIRECT(XLOOKUP(EL$3,'TTM Dates'!$B:$B,'TTM Dates'!$E:$E)&amp;ROW($CJ28)&amp;":"&amp;XLOOKUP(EL$3,'TTM Dates'!$B:$B,'TTM Dates'!$C:$C)&amp;ROW($CJ28))))</f>
        <v>3113110</v>
      </c>
      <c r="EM28" s="64">
        <f t="array" ref="EM28">IF(EM$3&gt;'GAAP Summary'!$B$2,0,SUM(INDIRECT(XLOOKUP(EM$3,'TTM Dates'!$B:$B,'TTM Dates'!$E:$E)&amp;ROW($CJ28)&amp;":"&amp;XLOOKUP(EM$3,'TTM Dates'!$B:$B,'TTM Dates'!$C:$C)&amp;ROW($CJ28))))</f>
        <v>3573040</v>
      </c>
      <c r="EN28" s="64">
        <f t="array" ref="EN28">IF(EN$3&gt;'GAAP Summary'!$B$2,0,SUM(INDIRECT(XLOOKUP(EN$3,'TTM Dates'!$B:$B,'TTM Dates'!$E:$E)&amp;ROW($CJ28)&amp;":"&amp;XLOOKUP(EN$3,'TTM Dates'!$B:$B,'TTM Dates'!$C:$C)&amp;ROW($CJ28))))</f>
        <v>4008720</v>
      </c>
      <c r="EO28" s="64">
        <f t="array" ref="EO28">IF(EO$3&gt;'GAAP Summary'!$B$2,0,SUM(INDIRECT(XLOOKUP(EO$3,'TTM Dates'!$B:$B,'TTM Dates'!$E:$E)&amp;ROW($CJ28)&amp;":"&amp;XLOOKUP(EO$3,'TTM Dates'!$B:$B,'TTM Dates'!$C:$C)&amp;ROW($CJ28))))</f>
        <v>4539040</v>
      </c>
      <c r="EP28" s="64">
        <f t="array" ref="EP28">IF(EP$3&gt;'GAAP Summary'!$B$2,0,SUM(INDIRECT(XLOOKUP(EP$3,'TTM Dates'!$B:$B,'TTM Dates'!$E:$E)&amp;ROW($CJ28)&amp;":"&amp;XLOOKUP(EP$3,'TTM Dates'!$B:$B,'TTM Dates'!$C:$C)&amp;ROW($CJ28))))</f>
        <v>5035420</v>
      </c>
      <c r="EQ28" s="64">
        <f t="array" ref="EQ28">IF(EQ$3&gt;'GAAP Summary'!$B$2,0,SUM(INDIRECT(XLOOKUP(EQ$3,'TTM Dates'!$B:$B,'TTM Dates'!$E:$E)&amp;ROW($CJ28)&amp;":"&amp;XLOOKUP(EQ$3,'TTM Dates'!$B:$B,'TTM Dates'!$C:$C)&amp;ROW($CJ28))))</f>
        <v>5578238.74</v>
      </c>
      <c r="ER28" s="64">
        <f t="array" ref="ER28">IF(ER$3&gt;'GAAP Summary'!$B$2,0,SUM(INDIRECT(XLOOKUP(ER$3,'TTM Dates'!$B:$B,'TTM Dates'!$E:$E)&amp;ROW($CJ28)&amp;":"&amp;XLOOKUP(ER$3,'TTM Dates'!$B:$B,'TTM Dates'!$C:$C)&amp;ROW($CJ28))))</f>
        <v>5810716.18</v>
      </c>
      <c r="ES28" s="64">
        <f t="array" ref="ES28">IF(ES$3&gt;'GAAP Summary'!$B$2,0,SUM(INDIRECT(XLOOKUP(ES$3,'TTM Dates'!$B:$B,'TTM Dates'!$E:$E)&amp;ROW($CJ28)&amp;":"&amp;XLOOKUP(ES$3,'TTM Dates'!$B:$B,'TTM Dates'!$C:$C)&amp;ROW($CJ28))))</f>
        <v>6074477.82</v>
      </c>
      <c r="ET28" s="64">
        <f t="array" ref="ET28">IF(ET$3&gt;'GAAP Summary'!$B$2,0,SUM(INDIRECT(XLOOKUP(ET$3,'TTM Dates'!$B:$B,'TTM Dates'!$E:$E)&amp;ROW($CJ28)&amp;":"&amp;XLOOKUP(ET$3,'TTM Dates'!$B:$B,'TTM Dates'!$C:$C)&amp;ROW($CJ28))))</f>
        <v>6415220.44</v>
      </c>
      <c r="EU28" s="64">
        <f t="array" ref="EU28">IF(EU$3&gt;'GAAP Summary'!$B$2,0,SUM(INDIRECT(XLOOKUP(EU$3,'TTM Dates'!$B:$B,'TTM Dates'!$E:$E)&amp;ROW($CJ28)&amp;":"&amp;XLOOKUP(EU$3,'TTM Dates'!$B:$B,'TTM Dates'!$C:$C)&amp;ROW($CJ28))))</f>
        <v>6660398.9</v>
      </c>
      <c r="EV28" s="64">
        <f t="array" ref="EV28">IF(EV$3&gt;'GAAP Summary'!$B$2,0,SUM(INDIRECT(XLOOKUP(EV$3,'TTM Dates'!$B:$B,'TTM Dates'!$E:$E)&amp;ROW($CJ28)&amp;":"&amp;XLOOKUP(EV$3,'TTM Dates'!$B:$B,'TTM Dates'!$C:$C)&amp;ROW($CJ28))))</f>
        <v>6865229.54</v>
      </c>
      <c r="EW28" s="64">
        <f t="array" ref="EW28">IF(EW$3&gt;'GAAP Summary'!$B$2,0,SUM(INDIRECT(XLOOKUP(EW$3,'TTM Dates'!$B:$B,'TTM Dates'!$E:$E)&amp;ROW($CJ28)&amp;":"&amp;XLOOKUP(EW$3,'TTM Dates'!$B:$B,'TTM Dates'!$C:$C)&amp;ROW($CJ28))))</f>
        <v>7067092.26</v>
      </c>
      <c r="EX28" s="64">
        <f t="array" ref="EX28">IF(EX$3&gt;'GAAP Summary'!$B$2,0,SUM(INDIRECT(XLOOKUP(EX$3,'TTM Dates'!$B:$B,'TTM Dates'!$E:$E)&amp;ROW($CJ28)&amp;":"&amp;XLOOKUP(EX$3,'TTM Dates'!$B:$B,'TTM Dates'!$C:$C)&amp;ROW($CJ28))))</f>
        <v>7583754.82</v>
      </c>
      <c r="EY28" s="64">
        <f t="array" ref="EY28">IF(EY$3&gt;'GAAP Summary'!$B$2,0,SUM(INDIRECT(XLOOKUP(EY$3,'TTM Dates'!$B:$B,'TTM Dates'!$E:$E)&amp;ROW($CJ28)&amp;":"&amp;XLOOKUP(EY$3,'TTM Dates'!$B:$B,'TTM Dates'!$C:$C)&amp;ROW($CJ28))))</f>
        <v>7843501.19</v>
      </c>
      <c r="EZ28" s="64">
        <f t="array" ref="EZ28">IF(EZ$3&gt;'GAAP Summary'!$B$2,0,SUM(INDIRECT(XLOOKUP(EZ$3,'TTM Dates'!$B:$B,'TTM Dates'!$E:$E)&amp;ROW($CJ28)&amp;":"&amp;XLOOKUP(EZ$3,'TTM Dates'!$B:$B,'TTM Dates'!$C:$C)&amp;ROW($CJ28))))</f>
        <v>8091619.25</v>
      </c>
      <c r="FA28" s="64">
        <f t="array" ref="FA28">IF(FA$3&gt;'GAAP Summary'!$B$2,0,SUM(INDIRECT(XLOOKUP(FA$3,'TTM Dates'!$B:$B,'TTM Dates'!$E:$E)&amp;ROW($CJ28)&amp;":"&amp;XLOOKUP(FA$3,'TTM Dates'!$B:$B,'TTM Dates'!$C:$C)&amp;ROW($CJ28))))</f>
        <v>8267113.6</v>
      </c>
      <c r="FB28" s="64">
        <f t="array" ref="FB28">IF(FB$3&gt;'GAAP Summary'!$B$2,0,SUM(INDIRECT(XLOOKUP(FB$3,'TTM Dates'!$B:$B,'TTM Dates'!$E:$E)&amp;ROW($CJ28)&amp;":"&amp;XLOOKUP(FB$3,'TTM Dates'!$B:$B,'TTM Dates'!$C:$C)&amp;ROW($CJ28))))</f>
        <v>8531806.15</v>
      </c>
      <c r="FC28" s="64">
        <f t="array" ref="FC28">IF(FC$3&gt;'GAAP Summary'!$B$2,0,SUM(INDIRECT(XLOOKUP(FC$3,'TTM Dates'!$B:$B,'TTM Dates'!$E:$E)&amp;ROW($CJ28)&amp;":"&amp;XLOOKUP(FC$3,'TTM Dates'!$B:$B,'TTM Dates'!$C:$C)&amp;ROW($CJ28))))</f>
        <v>8493255.69</v>
      </c>
      <c r="FD28" s="64">
        <f t="array" ref="FD28">IF(FD$3&gt;'GAAP Summary'!$B$2,0,SUM(INDIRECT(XLOOKUP(FD$3,'TTM Dates'!$B:$B,'TTM Dates'!$E:$E)&amp;ROW($CJ28)&amp;":"&amp;XLOOKUP(FD$3,'TTM Dates'!$B:$B,'TTM Dates'!$C:$C)&amp;ROW($CJ28))))</f>
        <v>8585136.27</v>
      </c>
      <c r="FE28" s="64">
        <f t="array" ref="FE28">IF(FE$3&gt;'GAAP Summary'!$B$2,0,SUM(INDIRECT(XLOOKUP(FE$3,'TTM Dates'!$B:$B,'TTM Dates'!$E:$E)&amp;ROW($CJ28)&amp;":"&amp;XLOOKUP(FE$3,'TTM Dates'!$B:$B,'TTM Dates'!$C:$C)&amp;ROW($CJ28))))</f>
        <v>8643944.43</v>
      </c>
      <c r="FF28" s="64">
        <f t="array" ref="FF28">IF(FF$3&gt;'GAAP Summary'!$B$2,0,SUM(INDIRECT(XLOOKUP(FF$3,'TTM Dates'!$B:$B,'TTM Dates'!$E:$E)&amp;ROW($CJ28)&amp;":"&amp;XLOOKUP(FF$3,'TTM Dates'!$B:$B,'TTM Dates'!$C:$C)&amp;ROW($CJ28))))</f>
        <v>8897455.82</v>
      </c>
      <c r="FG28" s="64">
        <f t="array" ref="FG28">IF(FG$3&gt;'GAAP Summary'!$B$2,0,SUM(INDIRECT(XLOOKUP(FG$3,'TTM Dates'!$B:$B,'TTM Dates'!$E:$E)&amp;ROW($CJ28)&amp;":"&amp;XLOOKUP(FG$3,'TTM Dates'!$B:$B,'TTM Dates'!$C:$C)&amp;ROW($CJ28))))</f>
        <v>9000176.12</v>
      </c>
      <c r="FH28" s="64">
        <f t="array" ref="FH28">IF(FH$3&gt;'GAAP Summary'!$B$2,0,SUM(INDIRECT(XLOOKUP(FH$3,'TTM Dates'!$B:$B,'TTM Dates'!$E:$E)&amp;ROW($CJ28)&amp;":"&amp;XLOOKUP(FH$3,'TTM Dates'!$B:$B,'TTM Dates'!$C:$C)&amp;ROW($CJ28))))</f>
        <v>9120798.44</v>
      </c>
      <c r="FI28" s="64">
        <f t="array" ref="FI28">IF(FI$3&gt;'GAAP Summary'!$B$2,0,SUM(INDIRECT(XLOOKUP(FI$3,'TTM Dates'!$B:$B,'TTM Dates'!$E:$E)&amp;ROW($CJ28)&amp;":"&amp;XLOOKUP(FI$3,'TTM Dates'!$B:$B,'TTM Dates'!$C:$C)&amp;ROW($CJ28))))</f>
        <v>9193223.91</v>
      </c>
      <c r="FJ28" s="64">
        <f t="array" ref="FJ28">IF(FJ$3&gt;'GAAP Summary'!$B$2,0,SUM(INDIRECT(XLOOKUP(FJ$3,'TTM Dates'!$B:$B,'TTM Dates'!$E:$E)&amp;ROW($CJ28)&amp;":"&amp;XLOOKUP(FJ$3,'TTM Dates'!$B:$B,'TTM Dates'!$C:$C)&amp;ROW($CJ28))))</f>
        <v>9508890.28</v>
      </c>
      <c r="FK28" s="64">
        <f t="array" ref="FK28">IF(FK$3&gt;'GAAP Summary'!$B$2,0,SUM(INDIRECT(XLOOKUP(FK$3,'TTM Dates'!$B:$B,'TTM Dates'!$E:$E)&amp;ROW($CJ28)&amp;":"&amp;XLOOKUP(FK$3,'TTM Dates'!$B:$B,'TTM Dates'!$C:$C)&amp;ROW($CJ28))))</f>
        <v>9635211.81</v>
      </c>
      <c r="FL28" s="64">
        <f t="array" ref="FL28">IF(FL$3&gt;'GAAP Summary'!$B$2,0,SUM(INDIRECT(XLOOKUP(FL$3,'TTM Dates'!$B:$B,'TTM Dates'!$E:$E)&amp;ROW($CJ28)&amp;":"&amp;XLOOKUP(FL$3,'TTM Dates'!$B:$B,'TTM Dates'!$C:$C)&amp;ROW($CJ28))))</f>
        <v>9893457.76</v>
      </c>
      <c r="FM28" s="64">
        <f t="array" ref="FM28">IF(FM$3&gt;'GAAP Summary'!$B$2,0,SUM(INDIRECT(XLOOKUP(FM$3,'TTM Dates'!$B:$B,'TTM Dates'!$E:$E)&amp;ROW($CJ28)&amp;":"&amp;XLOOKUP(FM$3,'TTM Dates'!$B:$B,'TTM Dates'!$C:$C)&amp;ROW($CJ28))))</f>
        <v>10130111.9</v>
      </c>
      <c r="FN28" s="64">
        <f t="array" ref="FN28">IF(FN$3&gt;'GAAP Summary'!$B$2,0,SUM(INDIRECT(XLOOKUP(FN$3,'TTM Dates'!$B:$B,'TTM Dates'!$E:$E)&amp;ROW($CJ28)&amp;":"&amp;XLOOKUP(FN$3,'TTM Dates'!$B:$B,'TTM Dates'!$C:$C)&amp;ROW($CJ28))))</f>
        <v>10433594.73</v>
      </c>
      <c r="FO28" s="64">
        <f t="array" ref="FO28">IF(FO$3&gt;'GAAP Summary'!$B$2,0,SUM(INDIRECT(XLOOKUP(FO$3,'TTM Dates'!$B:$B,'TTM Dates'!$E:$E)&amp;ROW($CJ28)&amp;":"&amp;XLOOKUP(FO$3,'TTM Dates'!$B:$B,'TTM Dates'!$C:$C)&amp;ROW($CJ28))))</f>
        <v>10763562.79</v>
      </c>
      <c r="FP28" s="64">
        <f t="array" ref="FP28">IF(FP$3&gt;'GAAP Summary'!$B$2,0,SUM(INDIRECT(XLOOKUP(FP$3,'TTM Dates'!$B:$B,'TTM Dates'!$E:$E)&amp;ROW($CJ28)&amp;":"&amp;XLOOKUP(FP$3,'TTM Dates'!$B:$B,'TTM Dates'!$C:$C)&amp;ROW($CJ28))))</f>
        <v>11116279.67</v>
      </c>
      <c r="FQ28" s="64">
        <f t="array" ref="FQ28">IF(FQ$3&gt;'GAAP Summary'!$B$2,0,SUM(INDIRECT(XLOOKUP(FQ$3,'TTM Dates'!$B:$B,'TTM Dates'!$E:$E)&amp;ROW($CJ28)&amp;":"&amp;XLOOKUP(FQ$3,'TTM Dates'!$B:$B,'TTM Dates'!$C:$C)&amp;ROW($CJ28))))</f>
        <v>11489208.08</v>
      </c>
      <c r="FR28" s="64">
        <f t="array" ref="FR28">IF(FR$3&gt;'GAAP Summary'!$B$2,0,SUM(INDIRECT(XLOOKUP(FR$3,'TTM Dates'!$B:$B,'TTM Dates'!$E:$E)&amp;ROW($CJ28)&amp;":"&amp;XLOOKUP(FR$3,'TTM Dates'!$B:$B,'TTM Dates'!$C:$C)&amp;ROW($CJ28))))</f>
        <v>11522302.85</v>
      </c>
      <c r="FS28" s="64">
        <f t="array" ref="FS28">IF(FS$3&gt;'GAAP Summary'!$B$2,0,SUM(INDIRECT(XLOOKUP(FS$3,'TTM Dates'!$B:$B,'TTM Dates'!$E:$E)&amp;ROW($CJ28)&amp;":"&amp;XLOOKUP(FS$3,'TTM Dates'!$B:$B,'TTM Dates'!$C:$C)&amp;ROW($CJ28))))</f>
        <v>11942648.45</v>
      </c>
      <c r="FT28" s="64">
        <f t="array" ref="FT28">IF(FT$3&gt;'GAAP Summary'!$B$2,0,SUM(INDIRECT(XLOOKUP(FT$3,'TTM Dates'!$B:$B,'TTM Dates'!$E:$E)&amp;ROW($CJ28)&amp;":"&amp;XLOOKUP(FT$3,'TTM Dates'!$B:$B,'TTM Dates'!$C:$C)&amp;ROW($CJ28))))</f>
        <v>12367232.04</v>
      </c>
      <c r="FU28" s="64">
        <f t="array" ref="FU28">IF(FU$3&gt;'GAAP Summary'!$B$2,0,SUM(INDIRECT(XLOOKUP(FU$3,'TTM Dates'!$B:$B,'TTM Dates'!$E:$E)&amp;ROW($CJ28)&amp;":"&amp;XLOOKUP(FU$3,'TTM Dates'!$B:$B,'TTM Dates'!$C:$C)&amp;ROW($CJ28))))</f>
        <v>12884820.42</v>
      </c>
      <c r="FV28" s="64">
        <f t="array" ref="FV28">IF(FV$3&gt;'GAAP Summary'!$B$2,0,SUM(INDIRECT(XLOOKUP(FV$3,'TTM Dates'!$B:$B,'TTM Dates'!$E:$E)&amp;ROW($CJ28)&amp;":"&amp;XLOOKUP(FV$3,'TTM Dates'!$B:$B,'TTM Dates'!$C:$C)&amp;ROW($CJ28))))</f>
        <v>12910934.4</v>
      </c>
      <c r="FW28" s="64">
        <f t="array" ref="FW28">IF(FW$3&gt;'GAAP Summary'!$B$2,0,SUM(INDIRECT(XLOOKUP(FW$3,'TTM Dates'!$B:$B,'TTM Dates'!$E:$E)&amp;ROW($CJ28)&amp;":"&amp;XLOOKUP(FW$3,'TTM Dates'!$B:$B,'TTM Dates'!$C:$C)&amp;ROW($CJ28))))</f>
        <v>13515422.48</v>
      </c>
      <c r="FX28" s="64">
        <f t="array" ref="FX28">IF(FX$3&gt;'GAAP Summary'!$B$2,0,SUM(INDIRECT(XLOOKUP(FX$3,'TTM Dates'!$B:$B,'TTM Dates'!$E:$E)&amp;ROW($CJ28)&amp;":"&amp;XLOOKUP(FX$3,'TTM Dates'!$B:$B,'TTM Dates'!$C:$C)&amp;ROW($CJ28))))</f>
        <v>14177046.99</v>
      </c>
      <c r="FY28" s="64">
        <f t="array" ref="FY28">IF(FY$3&gt;'GAAP Summary'!$B$2,0,SUM(INDIRECT(XLOOKUP(FY$3,'TTM Dates'!$B:$B,'TTM Dates'!$E:$E)&amp;ROW($CJ28)&amp;":"&amp;XLOOKUP(FY$3,'TTM Dates'!$B:$B,'TTM Dates'!$C:$C)&amp;ROW($CJ28))))</f>
        <v>14741468.39</v>
      </c>
      <c r="FZ28" s="64">
        <f t="array" ref="FZ28">IF(FZ$3&gt;'GAAP Summary'!$B$2,0,SUM(INDIRECT(XLOOKUP(FZ$3,'TTM Dates'!$B:$B,'TTM Dates'!$E:$E)&amp;ROW($CJ28)&amp;":"&amp;XLOOKUP(FZ$3,'TTM Dates'!$B:$B,'TTM Dates'!$C:$C)&amp;ROW($CJ28))))</f>
        <v>15371745.69</v>
      </c>
      <c r="GA28" s="64">
        <f t="array" ref="GA28">IF(GA$3&gt;'GAAP Summary'!$B$2,0,SUM(INDIRECT(XLOOKUP(GA$3,'TTM Dates'!$B:$B,'TTM Dates'!$E:$E)&amp;ROW($CJ28)&amp;":"&amp;XLOOKUP(GA$3,'TTM Dates'!$B:$B,'TTM Dates'!$C:$C)&amp;ROW($CJ28))))</f>
        <v>16091081.67</v>
      </c>
      <c r="GB28" s="64">
        <f t="array" ref="GB28">IF(GB$3&gt;'GAAP Summary'!$B$2,0,SUM(INDIRECT(XLOOKUP(GB$3,'TTM Dates'!$B:$B,'TTM Dates'!$E:$E)&amp;ROW($CJ28)&amp;":"&amp;XLOOKUP(GB$3,'TTM Dates'!$B:$B,'TTM Dates'!$C:$C)&amp;ROW($CJ28))))</f>
        <v>16728179.75</v>
      </c>
      <c r="GC28" s="64">
        <f t="array" ref="GC28">IF(GC$3&gt;'GAAP Summary'!$B$2,0,SUM(INDIRECT(XLOOKUP(GC$3,'TTM Dates'!$B:$B,'TTM Dates'!$E:$E)&amp;ROW($CJ28)&amp;":"&amp;XLOOKUP(GC$3,'TTM Dates'!$B:$B,'TTM Dates'!$C:$C)&amp;ROW($CJ28))))</f>
        <v>17608482.26</v>
      </c>
      <c r="GD28" s="64">
        <f t="array" ref="GD28">IF(GD$3&gt;'GAAP Summary'!$B$2,0,SUM(INDIRECT(XLOOKUP(GD$3,'TTM Dates'!$B:$B,'TTM Dates'!$E:$E)&amp;ROW($CJ28)&amp;":"&amp;XLOOKUP(GD$3,'TTM Dates'!$B:$B,'TTM Dates'!$C:$C)&amp;ROW($CJ28))))</f>
        <v>18482165.76</v>
      </c>
      <c r="GE28" s="64">
        <f t="array" ref="GE28">IF(GE$3&gt;'GAAP Summary'!$B$2,0,SUM(INDIRECT(XLOOKUP(GE$3,'TTM Dates'!$B:$B,'TTM Dates'!$E:$E)&amp;ROW($CJ28)&amp;":"&amp;XLOOKUP(GE$3,'TTM Dates'!$B:$B,'TTM Dates'!$C:$C)&amp;ROW($CJ28))))</f>
        <v>19082311.03</v>
      </c>
      <c r="GF28" s="64">
        <f t="array" ref="GF28">IF(GF$3&gt;'GAAP Summary'!$B$2,0,SUM(INDIRECT(XLOOKUP(GF$3,'TTM Dates'!$B:$B,'TTM Dates'!$E:$E)&amp;ROW($CJ28)&amp;":"&amp;XLOOKUP(GF$3,'TTM Dates'!$B:$B,'TTM Dates'!$C:$C)&amp;ROW($CJ28))))</f>
        <v>19795675.2</v>
      </c>
      <c r="GG28" s="64">
        <f t="array" ref="GG28">IF(GG$3&gt;'GAAP Summary'!$B$2,0,SUM(INDIRECT(XLOOKUP(GG$3,'TTM Dates'!$B:$B,'TTM Dates'!$E:$E)&amp;ROW($CJ28)&amp;":"&amp;XLOOKUP(GG$3,'TTM Dates'!$B:$B,'TTM Dates'!$C:$C)&amp;ROW($CJ28))))</f>
        <v>0</v>
      </c>
      <c r="GH28" s="64">
        <f t="array" ref="GH28">IF(GH$3&gt;'GAAP Summary'!$B$2,0,SUM(INDIRECT(XLOOKUP(GH$3,'TTM Dates'!$B:$B,'TTM Dates'!$E:$E)&amp;ROW($CJ28)&amp;":"&amp;XLOOKUP(GH$3,'TTM Dates'!$B:$B,'TTM Dates'!$C:$C)&amp;ROW($CJ28))))</f>
        <v>0</v>
      </c>
      <c r="GI28" s="64">
        <f t="array" ref="GI28">IF(GI$3&gt;'GAAP Summary'!$B$2,0,SUM(INDIRECT(XLOOKUP(GI$3,'TTM Dates'!$B:$B,'TTM Dates'!$E:$E)&amp;ROW($CJ28)&amp;":"&amp;XLOOKUP(GI$3,'TTM Dates'!$B:$B,'TTM Dates'!$C:$C)&amp;ROW($CJ28))))</f>
        <v>0</v>
      </c>
      <c r="GJ28" s="64">
        <f t="array" ref="GJ28">IF(GJ$3&gt;'GAAP Summary'!$B$2,0,SUM(INDIRECT(XLOOKUP(GJ$3,'TTM Dates'!$B:$B,'TTM Dates'!$E:$E)&amp;ROW($CJ28)&amp;":"&amp;XLOOKUP(GJ$3,'TTM Dates'!$B:$B,'TTM Dates'!$C:$C)&amp;ROW($CJ28))))</f>
        <v>0</v>
      </c>
      <c r="GK28" s="64">
        <f t="array" ref="GK28">IF(GK$3&gt;'GAAP Summary'!$B$2,0,SUM(INDIRECT(XLOOKUP(GK$3,'TTM Dates'!$B:$B,'TTM Dates'!$E:$E)&amp;ROW($CJ28)&amp;":"&amp;XLOOKUP(GK$3,'TTM Dates'!$B:$B,'TTM Dates'!$C:$C)&amp;ROW($CJ28))))</f>
        <v>0</v>
      </c>
      <c r="GL28" s="64">
        <f t="array" ref="GL28">IF(GL$3&gt;'GAAP Summary'!$B$2,0,SUM(INDIRECT(XLOOKUP(GL$3,'TTM Dates'!$B:$B,'TTM Dates'!$E:$E)&amp;ROW($CJ28)&amp;":"&amp;XLOOKUP(GL$3,'TTM Dates'!$B:$B,'TTM Dates'!$C:$C)&amp;ROW($CJ28))))</f>
        <v>0</v>
      </c>
      <c r="GM28" s="64"/>
    </row>
    <row r="29">
      <c r="B29" s="280" t="s">
        <v>511</v>
      </c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352">
        <v>828508.74</v>
      </c>
      <c r="AN29" s="352">
        <v>603717.91</v>
      </c>
      <c r="AO29" s="352">
        <v>625311.64</v>
      </c>
      <c r="AP29" s="352">
        <v>761722.62</v>
      </c>
      <c r="AQ29" s="352">
        <v>636848.46</v>
      </c>
      <c r="AR29" s="352">
        <v>592880.64</v>
      </c>
      <c r="AS29" s="352">
        <v>647258.9</v>
      </c>
      <c r="AT29" s="352">
        <v>941032.69</v>
      </c>
      <c r="AU29" s="352">
        <v>708524.58</v>
      </c>
      <c r="AV29" s="352">
        <v>679060.78</v>
      </c>
      <c r="AW29" s="352">
        <v>680053.75</v>
      </c>
      <c r="AX29" s="352">
        <v>742152.92</v>
      </c>
      <c r="AY29" s="352">
        <v>756742.61</v>
      </c>
      <c r="AZ29" s="352">
        <v>685393.08</v>
      </c>
      <c r="BA29" s="352">
        <v>678405.55</v>
      </c>
      <c r="BB29" s="352">
        <v>963966.16</v>
      </c>
      <c r="BC29" s="352">
        <v>668206.56</v>
      </c>
      <c r="BD29" s="352">
        <v>659582.9</v>
      </c>
      <c r="BE29" s="352">
        <v>679212.33</v>
      </c>
      <c r="BF29" s="352">
        <v>1189293.13</v>
      </c>
      <c r="BG29" s="352">
        <v>820289.67</v>
      </c>
      <c r="BH29" s="352">
        <v>911229.56</v>
      </c>
      <c r="BI29" s="352">
        <v>913595.35</v>
      </c>
      <c r="BJ29" s="352">
        <v>1019934.26</v>
      </c>
      <c r="BK29" s="352">
        <v>1072422.62</v>
      </c>
      <c r="BL29" s="352">
        <v>967878.36</v>
      </c>
      <c r="BM29" s="352">
        <v>1014416.49</v>
      </c>
      <c r="BN29" s="352">
        <v>1040436.14</v>
      </c>
      <c r="BO29" s="352">
        <v>1104830.93</v>
      </c>
      <c r="BP29" s="108">
        <v>1123883.16</v>
      </c>
      <c r="BQ29" s="108">
        <v>1223413.84</v>
      </c>
      <c r="BR29" s="352">
        <v>1182437.78</v>
      </c>
      <c r="BS29" s="352">
        <v>1412310.64</v>
      </c>
      <c r="BT29" s="352">
        <v>1564719.55</v>
      </c>
      <c r="BU29" s="352">
        <v>1453235.4</v>
      </c>
      <c r="BV29" s="352">
        <v>1666713.28</v>
      </c>
      <c r="BW29" s="352">
        <v>1766252.45</v>
      </c>
      <c r="BX29" s="352">
        <f t="shared" ref="BX29:CA29" si="81">SUM(BX30,BX35)</f>
        <v>1615595.62</v>
      </c>
      <c r="BY29" s="352">
        <f t="shared" si="81"/>
        <v>1924772.4</v>
      </c>
      <c r="BZ29" s="352">
        <f t="shared" si="81"/>
        <v>1897295.75</v>
      </c>
      <c r="CA29" s="352">
        <f t="shared" si="81"/>
        <v>1692237.64</v>
      </c>
      <c r="CB29" s="352">
        <f>1765551.64+14845.09</f>
        <v>1780396.73</v>
      </c>
      <c r="CC29" s="368"/>
      <c r="CD29" s="368"/>
      <c r="CE29" s="368"/>
      <c r="CF29" s="368"/>
      <c r="CG29" s="368"/>
      <c r="CH29" s="368"/>
      <c r="CI29" s="108"/>
      <c r="CJ29" s="108"/>
      <c r="CK29" s="290"/>
      <c r="CL29" s="369"/>
      <c r="CM29" s="108">
        <f t="shared" si="82"/>
        <v>5306620.47</v>
      </c>
      <c r="CN29" s="108">
        <f t="shared" si="83"/>
        <v>5369930.12</v>
      </c>
      <c r="CO29" s="108">
        <f t="shared" si="84"/>
        <v>0</v>
      </c>
      <c r="CP29" s="108">
        <f t="shared" si="85"/>
        <v>0</v>
      </c>
      <c r="CQ29" s="290">
        <f t="shared" si="86"/>
        <v>10676550.59</v>
      </c>
      <c r="CR29" s="108"/>
      <c r="CS29" s="108">
        <f t="shared" si="87"/>
        <v>3054717.47</v>
      </c>
      <c r="CT29" s="108">
        <f t="shared" si="88"/>
        <v>3269150.23</v>
      </c>
      <c r="CU29" s="108">
        <f t="shared" si="89"/>
        <v>3818162.26</v>
      </c>
      <c r="CV29" s="108">
        <f t="shared" si="90"/>
        <v>4684668.23</v>
      </c>
      <c r="CW29" s="282">
        <f t="shared" si="91"/>
        <v>14826698.19</v>
      </c>
      <c r="CX29" s="108"/>
      <c r="CY29" s="108"/>
      <c r="CZ29" s="108"/>
      <c r="DA29" s="108"/>
      <c r="DB29" s="108"/>
      <c r="DC29" s="282"/>
      <c r="DD29" s="283"/>
      <c r="DE29" s="108"/>
      <c r="DF29" s="108"/>
      <c r="DG29" s="108"/>
      <c r="DH29" s="108"/>
      <c r="DI29" s="282"/>
      <c r="DJ29" s="284"/>
      <c r="DK29" s="137"/>
      <c r="DL29" s="137"/>
      <c r="DM29" s="137"/>
      <c r="DN29" s="137"/>
      <c r="DO29" s="142"/>
      <c r="DP29" s="284"/>
      <c r="DQ29" s="285"/>
      <c r="DR29" s="44"/>
      <c r="DS29" s="286"/>
      <c r="DT29" s="286"/>
      <c r="DU29" s="286"/>
      <c r="DV29" s="286"/>
      <c r="DW29" s="286"/>
      <c r="DX29" s="286"/>
      <c r="DY29" s="286"/>
      <c r="DZ29" s="286"/>
      <c r="EA29" s="286"/>
      <c r="EB29" s="286"/>
      <c r="EC29" s="286"/>
      <c r="ED29" s="286"/>
      <c r="EE29" s="286"/>
      <c r="EF29" s="286"/>
      <c r="EG29" s="286"/>
      <c r="EH29" s="286"/>
      <c r="EI29" s="286"/>
      <c r="EJ29" s="286"/>
      <c r="EK29" s="286"/>
      <c r="EL29" s="286"/>
      <c r="EM29" s="286"/>
      <c r="EN29" s="286"/>
      <c r="EO29" s="286"/>
      <c r="EP29" s="286"/>
      <c r="EQ29" s="286"/>
      <c r="ER29" s="286"/>
      <c r="ES29" s="286"/>
      <c r="ET29" s="286"/>
      <c r="EU29" s="286"/>
      <c r="EV29" s="286"/>
      <c r="EW29" s="286"/>
      <c r="EX29" s="286"/>
      <c r="EY29" s="286"/>
      <c r="EZ29" s="286"/>
      <c r="FA29" s="286"/>
      <c r="FB29" s="286"/>
      <c r="FC29" s="286"/>
      <c r="FD29" s="286"/>
      <c r="FE29" s="286"/>
      <c r="FF29" s="286"/>
      <c r="FG29" s="286"/>
      <c r="FH29" s="286"/>
      <c r="FI29" s="286"/>
      <c r="FJ29" s="286"/>
      <c r="FK29" s="286"/>
      <c r="FL29" s="286"/>
      <c r="FM29" s="286"/>
      <c r="FN29" s="286"/>
      <c r="FO29" s="286"/>
      <c r="FP29" s="286"/>
      <c r="FQ29" s="286"/>
      <c r="FR29" s="286"/>
      <c r="FS29" s="286"/>
      <c r="FT29" s="286"/>
      <c r="FU29" s="286"/>
      <c r="FV29" s="286"/>
      <c r="FW29" s="286">
        <f>sum(BH29:BS29)</f>
        <v>12986789.13</v>
      </c>
      <c r="FX29" s="286"/>
      <c r="FY29" s="286"/>
      <c r="FZ29" s="286"/>
      <c r="GA29" s="286"/>
      <c r="GB29" s="286"/>
      <c r="GC29" s="286"/>
      <c r="GD29" s="286"/>
      <c r="GE29" s="286"/>
      <c r="GF29" s="286"/>
      <c r="GG29" s="286"/>
      <c r="GH29" s="286"/>
      <c r="GI29" s="286"/>
      <c r="GJ29" s="286"/>
      <c r="GK29" s="286"/>
      <c r="GL29" s="286"/>
      <c r="GM29" s="286"/>
    </row>
    <row r="30" outlineLevel="1">
      <c r="B30" s="135" t="s">
        <v>506</v>
      </c>
      <c r="C30" s="135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>
        <f t="shared" ref="AM30:BT30" si="92">SUM(AM31:AM34)</f>
        <v>306092.07</v>
      </c>
      <c r="AN30" s="108">
        <f t="shared" si="92"/>
        <v>215414.83</v>
      </c>
      <c r="AO30" s="108">
        <f t="shared" si="92"/>
        <v>237738.41</v>
      </c>
      <c r="AP30" s="108">
        <f t="shared" si="92"/>
        <v>232861.57</v>
      </c>
      <c r="AQ30" s="108">
        <f t="shared" si="92"/>
        <v>212231.63</v>
      </c>
      <c r="AR30" s="108">
        <f t="shared" si="92"/>
        <v>241697.47</v>
      </c>
      <c r="AS30" s="108">
        <f t="shared" si="92"/>
        <v>241093.83</v>
      </c>
      <c r="AT30" s="108">
        <f t="shared" si="92"/>
        <v>383792.6</v>
      </c>
      <c r="AU30" s="108">
        <f t="shared" si="92"/>
        <v>276480.29</v>
      </c>
      <c r="AV30" s="108">
        <f t="shared" si="92"/>
        <v>279900.6</v>
      </c>
      <c r="AW30" s="108">
        <f t="shared" si="92"/>
        <v>279835.8</v>
      </c>
      <c r="AX30" s="108">
        <f t="shared" si="92"/>
        <v>342440.65</v>
      </c>
      <c r="AY30" s="108">
        <f t="shared" si="92"/>
        <v>329785.06</v>
      </c>
      <c r="AZ30" s="108">
        <f t="shared" si="92"/>
        <v>305130.08</v>
      </c>
      <c r="BA30" s="108">
        <f t="shared" si="92"/>
        <v>286603.84</v>
      </c>
      <c r="BB30" s="108">
        <f t="shared" si="92"/>
        <v>408304.32</v>
      </c>
      <c r="BC30" s="108">
        <f t="shared" si="92"/>
        <v>261859.17</v>
      </c>
      <c r="BD30" s="108">
        <f t="shared" si="92"/>
        <v>262200.4</v>
      </c>
      <c r="BE30" s="108">
        <f t="shared" si="92"/>
        <v>267364.03</v>
      </c>
      <c r="BF30" s="108">
        <f t="shared" si="92"/>
        <v>458084.23</v>
      </c>
      <c r="BG30" s="108">
        <f t="shared" si="92"/>
        <v>339086.94</v>
      </c>
      <c r="BH30" s="108">
        <f t="shared" si="92"/>
        <v>384539.14</v>
      </c>
      <c r="BI30" s="108">
        <f t="shared" si="92"/>
        <v>361910.91</v>
      </c>
      <c r="BJ30" s="108">
        <f t="shared" si="92"/>
        <v>427883.27</v>
      </c>
      <c r="BK30" s="108">
        <f t="shared" si="92"/>
        <v>443810.08</v>
      </c>
      <c r="BL30" s="108">
        <f t="shared" si="92"/>
        <v>368024.6</v>
      </c>
      <c r="BM30" s="108">
        <f t="shared" si="92"/>
        <v>385583.26</v>
      </c>
      <c r="BN30" s="108">
        <f t="shared" si="92"/>
        <v>390049.18</v>
      </c>
      <c r="BO30" s="108">
        <f t="shared" si="92"/>
        <v>421539.11</v>
      </c>
      <c r="BP30" s="108">
        <f t="shared" si="92"/>
        <v>399994.31</v>
      </c>
      <c r="BQ30" s="108">
        <f t="shared" si="92"/>
        <v>437239.13</v>
      </c>
      <c r="BR30" s="108">
        <f t="shared" si="92"/>
        <v>404098.64</v>
      </c>
      <c r="BS30" s="108">
        <f t="shared" si="92"/>
        <v>467664.43</v>
      </c>
      <c r="BT30" s="108">
        <f t="shared" si="92"/>
        <v>552450</v>
      </c>
      <c r="BU30" s="108">
        <f t="shared" ref="BU30:BW30" si="93">SUM(BU31:BU34,BU40,BU42)</f>
        <v>532628.36</v>
      </c>
      <c r="BV30" s="108">
        <f t="shared" si="93"/>
        <v>604383.48</v>
      </c>
      <c r="BW30" s="289">
        <f t="shared" si="93"/>
        <v>606590.88</v>
      </c>
      <c r="BX30" s="289">
        <f>SUM(BX31:BX34)</f>
        <v>507460.14</v>
      </c>
      <c r="BY30" s="289">
        <f t="shared" ref="BY30:BZ30" si="94">SUM(BY31:BY34,BY40,BY42)</f>
        <v>676650.82</v>
      </c>
      <c r="BZ30" s="289">
        <f t="shared" si="94"/>
        <v>671450.94</v>
      </c>
      <c r="CA30" s="289">
        <f>SUM(CA31:CA34)</f>
        <v>553048.51</v>
      </c>
      <c r="CB30" s="289">
        <f t="shared" ref="CB30:CH30" si="95">SUM(CB31:CB34,CB40,CB42)</f>
        <v>571420.37</v>
      </c>
      <c r="CC30" s="289">
        <f t="shared" si="95"/>
        <v>0</v>
      </c>
      <c r="CD30" s="289">
        <f t="shared" si="95"/>
        <v>0</v>
      </c>
      <c r="CE30" s="289">
        <f t="shared" si="95"/>
        <v>0</v>
      </c>
      <c r="CF30" s="289">
        <f t="shared" si="95"/>
        <v>0</v>
      </c>
      <c r="CG30" s="289">
        <f t="shared" si="95"/>
        <v>0</v>
      </c>
      <c r="CH30" s="289">
        <f t="shared" si="95"/>
        <v>0</v>
      </c>
      <c r="CI30" s="108"/>
      <c r="CJ30" s="108"/>
      <c r="CK30" s="290"/>
      <c r="CL30" s="108"/>
      <c r="CM30" s="108">
        <f t="shared" si="82"/>
        <v>1790701.84</v>
      </c>
      <c r="CN30" s="108">
        <f t="shared" si="83"/>
        <v>1795919.82</v>
      </c>
      <c r="CO30" s="108">
        <f t="shared" si="84"/>
        <v>0</v>
      </c>
      <c r="CP30" s="108">
        <f t="shared" si="85"/>
        <v>0</v>
      </c>
      <c r="CQ30" s="290">
        <f t="shared" si="86"/>
        <v>3586621.66</v>
      </c>
      <c r="CR30" s="108"/>
      <c r="CS30" s="108">
        <f t="shared" si="87"/>
        <v>1197417.94</v>
      </c>
      <c r="CT30" s="108">
        <f t="shared" si="88"/>
        <v>1211582.6</v>
      </c>
      <c r="CU30" s="108">
        <f t="shared" si="89"/>
        <v>1309002.2</v>
      </c>
      <c r="CV30" s="108">
        <f t="shared" si="90"/>
        <v>1689461.84</v>
      </c>
      <c r="CW30" s="282">
        <f t="shared" si="91"/>
        <v>5407464.58</v>
      </c>
      <c r="CX30" s="108"/>
      <c r="CY30" s="108"/>
      <c r="CZ30" s="108"/>
      <c r="DA30" s="108"/>
      <c r="DB30" s="108"/>
      <c r="DC30" s="282"/>
      <c r="DD30" s="108"/>
      <c r="DE30" s="108"/>
      <c r="DF30" s="108"/>
      <c r="DG30" s="108"/>
      <c r="DH30" s="108"/>
      <c r="DI30" s="282"/>
      <c r="DJ30" s="108"/>
      <c r="DK30" s="108"/>
      <c r="DL30" s="108"/>
      <c r="DM30" s="108"/>
      <c r="DN30" s="108"/>
      <c r="DO30" s="282"/>
      <c r="DP30" s="108"/>
      <c r="DQ30" s="282"/>
      <c r="DR30" s="108"/>
      <c r="DS30" s="108"/>
      <c r="DT30" s="108"/>
      <c r="DU30" s="108"/>
      <c r="DV30" s="108"/>
      <c r="DW30" s="108"/>
      <c r="DX30" s="108"/>
      <c r="DY30" s="108"/>
      <c r="DZ30" s="108"/>
      <c r="EA30" s="108"/>
      <c r="EB30" s="108"/>
      <c r="EC30" s="108"/>
      <c r="ED30" s="108"/>
      <c r="EE30" s="108"/>
      <c r="EF30" s="108"/>
      <c r="EG30" s="108"/>
      <c r="EH30" s="108"/>
      <c r="EI30" s="108"/>
      <c r="EJ30" s="108"/>
      <c r="EK30" s="108"/>
      <c r="EL30" s="108"/>
      <c r="EM30" s="108"/>
      <c r="EN30" s="108"/>
      <c r="EO30" s="108"/>
      <c r="EP30" s="108"/>
      <c r="EQ30" s="108"/>
      <c r="ER30" s="108"/>
      <c r="ES30" s="108"/>
      <c r="ET30" s="108"/>
      <c r="EU30" s="108"/>
      <c r="EV30" s="108"/>
      <c r="EW30" s="108"/>
      <c r="EX30" s="108"/>
      <c r="EY30" s="108"/>
      <c r="EZ30" s="108"/>
      <c r="FA30" s="108"/>
      <c r="FB30" s="108"/>
      <c r="FC30" s="108"/>
      <c r="FD30" s="108"/>
      <c r="FE30" s="108"/>
      <c r="FF30" s="108"/>
      <c r="FG30" s="108"/>
      <c r="FH30" s="108"/>
      <c r="FI30" s="108"/>
      <c r="FJ30" s="108"/>
      <c r="FK30" s="108"/>
      <c r="FL30" s="108"/>
      <c r="FM30" s="108"/>
      <c r="FN30" s="108"/>
      <c r="FO30" s="108"/>
      <c r="FP30" s="108"/>
      <c r="FQ30" s="108"/>
      <c r="FR30" s="108"/>
      <c r="FS30" s="108"/>
      <c r="FT30" s="108"/>
      <c r="FU30" s="108"/>
      <c r="FV30" s="108"/>
      <c r="FW30" s="108"/>
      <c r="FX30" s="108"/>
      <c r="FY30" s="108"/>
      <c r="FZ30" s="108"/>
      <c r="GA30" s="108"/>
      <c r="GB30" s="108"/>
      <c r="GC30" s="108"/>
      <c r="GD30" s="108"/>
      <c r="GE30" s="108"/>
      <c r="GF30" s="108"/>
      <c r="GG30" s="108"/>
      <c r="GH30" s="108"/>
      <c r="GI30" s="108"/>
      <c r="GJ30" s="108"/>
      <c r="GK30" s="108"/>
      <c r="GL30" s="108"/>
      <c r="GM30" s="108"/>
    </row>
    <row r="31" outlineLevel="1">
      <c r="B31" s="135" t="s">
        <v>512</v>
      </c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295">
        <v>306092.07</v>
      </c>
      <c r="AN31" s="295">
        <v>215414.83</v>
      </c>
      <c r="AO31" s="295">
        <v>237738.41</v>
      </c>
      <c r="AP31" s="295">
        <v>232861.57</v>
      </c>
      <c r="AQ31" s="295">
        <v>212231.63</v>
      </c>
      <c r="AR31" s="295">
        <v>241697.47</v>
      </c>
      <c r="AS31" s="295">
        <v>241093.83</v>
      </c>
      <c r="AT31" s="295">
        <v>383792.6</v>
      </c>
      <c r="AU31" s="295">
        <v>276480.29</v>
      </c>
      <c r="AV31" s="295">
        <v>279900.6</v>
      </c>
      <c r="AW31" s="295">
        <v>279835.8</v>
      </c>
      <c r="AX31" s="295">
        <v>342440.65</v>
      </c>
      <c r="AY31" s="295">
        <v>329785.06</v>
      </c>
      <c r="AZ31" s="295">
        <v>305130.08</v>
      </c>
      <c r="BA31" s="295">
        <v>286603.84</v>
      </c>
      <c r="BB31" s="295">
        <v>408304.32</v>
      </c>
      <c r="BC31" s="295">
        <v>261859.17</v>
      </c>
      <c r="BD31" s="295">
        <v>262200.4</v>
      </c>
      <c r="BE31" s="295">
        <v>267364.03</v>
      </c>
      <c r="BF31" s="295">
        <v>458084.23</v>
      </c>
      <c r="BG31" s="295">
        <v>322098.08</v>
      </c>
      <c r="BH31" s="295">
        <v>341500.24</v>
      </c>
      <c r="BI31" s="295">
        <v>336556.42</v>
      </c>
      <c r="BJ31" s="295">
        <v>400658.11</v>
      </c>
      <c r="BK31" s="295">
        <v>415288.96</v>
      </c>
      <c r="BL31" s="295">
        <v>342495.35</v>
      </c>
      <c r="BM31" s="295">
        <v>349268.25</v>
      </c>
      <c r="BN31" s="295">
        <v>346977.75</v>
      </c>
      <c r="BO31" s="295">
        <v>379162.22</v>
      </c>
      <c r="BP31" s="137">
        <v>360402.88</v>
      </c>
      <c r="BQ31" s="137">
        <v>384013.17</v>
      </c>
      <c r="BR31" s="137">
        <v>339049.57</v>
      </c>
      <c r="BS31" s="137">
        <f>467664.43-BS33-BS34</f>
        <v>396494.95</v>
      </c>
      <c r="BT31" s="137">
        <f>552450-BT33-BT34</f>
        <v>460773.65</v>
      </c>
      <c r="BU31" s="137">
        <f>493213.39-BU33-BU34</f>
        <v>410933.23</v>
      </c>
      <c r="BV31" s="137">
        <f>581188.18-BV33-BV34</f>
        <v>491181.13</v>
      </c>
      <c r="BW31" s="137">
        <v>494421.14</v>
      </c>
      <c r="BX31" s="137">
        <f>507460.14-70536.89</f>
        <v>436923.25</v>
      </c>
      <c r="BY31" s="137">
        <f>636296.14-BY33-BY34</f>
        <v>559158.24</v>
      </c>
      <c r="BZ31" s="137">
        <f>637628.54-49770.03-28203.64</f>
        <v>559654.87</v>
      </c>
      <c r="CA31" s="137">
        <f>553048.51- 14027.1 - 48132.51 </f>
        <v>490888.9</v>
      </c>
      <c r="CB31" s="137">
        <f>536348.74-CB33-CB34</f>
        <v>454819.44</v>
      </c>
      <c r="CC31" s="54"/>
      <c r="CD31" s="54"/>
      <c r="CE31" s="54"/>
      <c r="CF31" s="54"/>
      <c r="CG31" s="54"/>
      <c r="CH31" s="54"/>
      <c r="CI31" s="33"/>
      <c r="CJ31" s="33"/>
      <c r="CK31" s="303"/>
      <c r="CL31" s="136"/>
      <c r="CM31" s="137">
        <f t="shared" si="82"/>
        <v>1490502.63</v>
      </c>
      <c r="CN31" s="137">
        <f t="shared" si="83"/>
        <v>1505363.21</v>
      </c>
      <c r="CO31" s="137">
        <f t="shared" si="84"/>
        <v>0</v>
      </c>
      <c r="CP31" s="137">
        <f t="shared" si="85"/>
        <v>0</v>
      </c>
      <c r="CQ31" s="140">
        <f t="shared" si="86"/>
        <v>2995865.84</v>
      </c>
      <c r="CR31" s="137"/>
      <c r="CS31" s="137">
        <f t="shared" si="87"/>
        <v>1107052.56</v>
      </c>
      <c r="CT31" s="137">
        <f t="shared" si="88"/>
        <v>1086542.85</v>
      </c>
      <c r="CU31" s="137">
        <f t="shared" si="89"/>
        <v>1119557.69</v>
      </c>
      <c r="CV31" s="137">
        <f t="shared" si="90"/>
        <v>1362888.01</v>
      </c>
      <c r="CW31" s="142">
        <f t="shared" si="91"/>
        <v>4676041.11</v>
      </c>
      <c r="CX31" s="137"/>
      <c r="CY31" s="137"/>
      <c r="CZ31" s="137"/>
      <c r="DA31" s="137"/>
      <c r="DB31" s="137"/>
      <c r="DC31" s="142"/>
      <c r="DD31" s="136"/>
      <c r="DE31" s="136"/>
      <c r="DF31" s="136"/>
      <c r="DG31" s="136"/>
      <c r="DH31" s="136"/>
      <c r="DI31" s="292"/>
      <c r="DJ31" s="284"/>
      <c r="DK31" s="137"/>
      <c r="DL31" s="137"/>
      <c r="DM31" s="137"/>
      <c r="DN31" s="137"/>
      <c r="DO31" s="142"/>
      <c r="DP31" s="284"/>
      <c r="DQ31" s="292"/>
      <c r="DR31" s="284"/>
      <c r="DS31" s="136"/>
      <c r="DT31" s="136"/>
      <c r="DU31" s="136"/>
      <c r="DV31" s="136"/>
      <c r="DW31" s="136"/>
      <c r="DX31" s="136"/>
      <c r="DY31" s="136"/>
      <c r="DZ31" s="136"/>
      <c r="EA31" s="136"/>
      <c r="EB31" s="136"/>
      <c r="EC31" s="136"/>
      <c r="ED31" s="136"/>
      <c r="EE31" s="136"/>
      <c r="EF31" s="136"/>
      <c r="EG31" s="136"/>
      <c r="EH31" s="136"/>
      <c r="EI31" s="136"/>
      <c r="EJ31" s="136"/>
      <c r="EK31" s="136"/>
      <c r="EL31" s="136"/>
      <c r="EM31" s="136"/>
      <c r="EN31" s="136"/>
      <c r="EO31" s="136"/>
      <c r="EP31" s="136"/>
      <c r="EQ31" s="136"/>
      <c r="ER31" s="136"/>
      <c r="ES31" s="136"/>
      <c r="ET31" s="136"/>
      <c r="EU31" s="136"/>
      <c r="EV31" s="136"/>
      <c r="EW31" s="136"/>
      <c r="EX31" s="136"/>
      <c r="EY31" s="136"/>
      <c r="EZ31" s="136"/>
      <c r="FA31" s="136"/>
      <c r="FB31" s="136"/>
      <c r="FC31" s="136"/>
      <c r="FD31" s="136"/>
      <c r="FE31" s="136"/>
      <c r="FF31" s="136"/>
      <c r="FG31" s="136"/>
      <c r="FH31" s="136"/>
      <c r="FI31" s="136"/>
      <c r="FJ31" s="136"/>
      <c r="FK31" s="136"/>
      <c r="FL31" s="136"/>
      <c r="FM31" s="136"/>
      <c r="FN31" s="136"/>
      <c r="FO31" s="136"/>
      <c r="FP31" s="136"/>
      <c r="FQ31" s="136"/>
      <c r="FR31" s="136"/>
      <c r="FS31" s="136"/>
      <c r="FT31" s="136"/>
      <c r="FU31" s="136"/>
      <c r="FV31" s="136"/>
      <c r="FW31" s="136"/>
      <c r="FX31" s="136"/>
      <c r="FY31" s="136"/>
      <c r="FZ31" s="136"/>
      <c r="GA31" s="136"/>
      <c r="GB31" s="136"/>
      <c r="GC31" s="136"/>
      <c r="GD31" s="136"/>
      <c r="GE31" s="136"/>
      <c r="GF31" s="136"/>
      <c r="GG31" s="136"/>
      <c r="GH31" s="136"/>
      <c r="GI31" s="136"/>
      <c r="GJ31" s="136"/>
      <c r="GK31" s="136"/>
      <c r="GL31" s="136"/>
      <c r="GM31" s="136"/>
    </row>
    <row r="32" outlineLevel="1">
      <c r="B32" s="135" t="s">
        <v>513</v>
      </c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294"/>
      <c r="BA32" s="145"/>
      <c r="BB32" s="137"/>
      <c r="BC32" s="137"/>
      <c r="BD32" s="137"/>
      <c r="BE32" s="137"/>
      <c r="BF32" s="137"/>
      <c r="BG32" s="137"/>
      <c r="BH32" s="137"/>
      <c r="BI32" s="137"/>
      <c r="BJ32" s="137"/>
      <c r="BK32" s="295"/>
      <c r="BL32" s="294"/>
      <c r="BM32" s="145"/>
      <c r="BN32" s="145"/>
      <c r="BO32" s="137"/>
      <c r="BP32" s="137"/>
      <c r="BQ32" s="137"/>
      <c r="BR32" s="137"/>
      <c r="BS32" s="137"/>
      <c r="BT32" s="137"/>
      <c r="BU32" s="137"/>
      <c r="BV32" s="137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  <c r="CI32" s="33"/>
      <c r="CJ32" s="33"/>
      <c r="CK32" s="303"/>
      <c r="CL32" s="136"/>
      <c r="CM32" s="137">
        <f t="shared" si="82"/>
        <v>0</v>
      </c>
      <c r="CN32" s="137">
        <f t="shared" si="83"/>
        <v>0</v>
      </c>
      <c r="CO32" s="137">
        <f t="shared" si="84"/>
        <v>0</v>
      </c>
      <c r="CP32" s="137">
        <f t="shared" si="85"/>
        <v>0</v>
      </c>
      <c r="CQ32" s="140">
        <f t="shared" si="86"/>
        <v>0</v>
      </c>
      <c r="CR32" s="137"/>
      <c r="CS32" s="137">
        <f t="shared" si="87"/>
        <v>0</v>
      </c>
      <c r="CT32" s="137">
        <f t="shared" si="88"/>
        <v>0</v>
      </c>
      <c r="CU32" s="137">
        <f t="shared" si="89"/>
        <v>0</v>
      </c>
      <c r="CV32" s="137">
        <f t="shared" si="90"/>
        <v>0</v>
      </c>
      <c r="CW32" s="142">
        <f t="shared" si="91"/>
        <v>0</v>
      </c>
      <c r="CX32" s="137"/>
      <c r="CY32" s="370"/>
      <c r="CZ32" s="137"/>
      <c r="DA32" s="137"/>
      <c r="DB32" s="137"/>
      <c r="DC32" s="142"/>
      <c r="DD32" s="136"/>
      <c r="DE32" s="136"/>
      <c r="DF32" s="136"/>
      <c r="DG32" s="136"/>
      <c r="DH32" s="136"/>
      <c r="DI32" s="292"/>
      <c r="DJ32" s="284"/>
      <c r="DK32" s="137"/>
      <c r="DL32" s="137"/>
      <c r="DM32" s="137"/>
      <c r="DN32" s="137"/>
      <c r="DO32" s="142"/>
      <c r="DP32" s="284"/>
      <c r="DQ32" s="292"/>
      <c r="DR32" s="284"/>
      <c r="DS32" s="136"/>
      <c r="DT32" s="136"/>
      <c r="DU32" s="136"/>
      <c r="DV32" s="136"/>
      <c r="DW32" s="136"/>
      <c r="DX32" s="136"/>
      <c r="DY32" s="136"/>
      <c r="DZ32" s="136"/>
      <c r="EA32" s="136"/>
      <c r="EB32" s="136"/>
      <c r="EC32" s="136"/>
      <c r="ED32" s="136"/>
      <c r="EE32" s="136"/>
      <c r="EF32" s="136"/>
      <c r="EG32" s="136"/>
      <c r="EH32" s="136"/>
      <c r="EI32" s="136"/>
      <c r="EJ32" s="136"/>
      <c r="EK32" s="136"/>
      <c r="EL32" s="136"/>
      <c r="EM32" s="136"/>
      <c r="EN32" s="136"/>
      <c r="EO32" s="136"/>
      <c r="EP32" s="136"/>
      <c r="EQ32" s="136"/>
      <c r="ER32" s="136"/>
      <c r="ES32" s="136"/>
      <c r="ET32" s="136"/>
      <c r="EU32" s="136"/>
      <c r="EV32" s="136"/>
      <c r="EW32" s="136"/>
      <c r="EX32" s="136"/>
      <c r="EY32" s="136"/>
      <c r="EZ32" s="136"/>
      <c r="FA32" s="136"/>
      <c r="FB32" s="136"/>
      <c r="FC32" s="136"/>
      <c r="FD32" s="136"/>
      <c r="FE32" s="136"/>
      <c r="FF32" s="136"/>
      <c r="FG32" s="136"/>
      <c r="FH32" s="136"/>
      <c r="FI32" s="136"/>
      <c r="FJ32" s="136"/>
      <c r="FK32" s="136"/>
      <c r="FL32" s="136"/>
      <c r="FM32" s="136"/>
      <c r="FN32" s="136"/>
      <c r="FO32" s="136"/>
      <c r="FP32" s="136"/>
      <c r="FQ32" s="136"/>
      <c r="FR32" s="136"/>
      <c r="FS32" s="136"/>
      <c r="FT32" s="136"/>
      <c r="FU32" s="136"/>
      <c r="FV32" s="136"/>
      <c r="FW32" s="136"/>
      <c r="FX32" s="136"/>
      <c r="FY32" s="136"/>
      <c r="FZ32" s="136"/>
      <c r="GA32" s="136"/>
      <c r="GB32" s="136"/>
      <c r="GC32" s="136"/>
      <c r="GD32" s="136"/>
      <c r="GE32" s="136"/>
      <c r="GF32" s="136"/>
      <c r="GG32" s="136"/>
      <c r="GH32" s="136"/>
      <c r="GI32" s="136"/>
      <c r="GJ32" s="136"/>
      <c r="GK32" s="136"/>
      <c r="GL32" s="136"/>
      <c r="GM32" s="136"/>
    </row>
    <row r="33" outlineLevel="1">
      <c r="B33" s="135" t="s">
        <v>514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>
        <v>0.0</v>
      </c>
      <c r="AZ33" s="137">
        <v>0.0</v>
      </c>
      <c r="BA33" s="137">
        <v>0.0</v>
      </c>
      <c r="BB33" s="137">
        <v>0.0</v>
      </c>
      <c r="BC33" s="137">
        <v>0.0</v>
      </c>
      <c r="BD33" s="137">
        <v>0.0</v>
      </c>
      <c r="BE33" s="137">
        <v>0.0</v>
      </c>
      <c r="BF33" s="137">
        <v>0.0</v>
      </c>
      <c r="BG33" s="295">
        <v>16988.86</v>
      </c>
      <c r="BH33" s="295">
        <v>43038.9</v>
      </c>
      <c r="BI33" s="295">
        <v>25354.49</v>
      </c>
      <c r="BJ33" s="295">
        <v>27225.16</v>
      </c>
      <c r="BK33" s="295">
        <v>28521.12</v>
      </c>
      <c r="BL33" s="295">
        <v>25529.25</v>
      </c>
      <c r="BM33" s="295">
        <v>24725.98</v>
      </c>
      <c r="BN33" s="295">
        <v>30567.51</v>
      </c>
      <c r="BO33" s="295">
        <v>30050.76</v>
      </c>
      <c r="BP33" s="137">
        <v>27746.5</v>
      </c>
      <c r="BQ33" s="137">
        <v>30163.5</v>
      </c>
      <c r="BR33" s="137">
        <v>36239.69</v>
      </c>
      <c r="BS33" s="137">
        <v>40348.09</v>
      </c>
      <c r="BT33" s="137">
        <v>60933.2</v>
      </c>
      <c r="BU33" s="137">
        <v>40539.48</v>
      </c>
      <c r="BV33" s="137">
        <v>39400.81</v>
      </c>
      <c r="BW33" s="137">
        <v>33246.44</v>
      </c>
      <c r="BX33" s="137">
        <v>26481.72</v>
      </c>
      <c r="BY33" s="137">
        <v>28164.73</v>
      </c>
      <c r="BZ33" s="137">
        <v>28203.64</v>
      </c>
      <c r="CA33" s="137">
        <v>14027.1</v>
      </c>
      <c r="CB33" s="137">
        <v>30805.01</v>
      </c>
      <c r="CC33" s="54"/>
      <c r="CD33" s="54"/>
      <c r="CE33" s="54"/>
      <c r="CF33" s="54"/>
      <c r="CG33" s="54"/>
      <c r="CH33" s="54"/>
      <c r="CI33" s="33"/>
      <c r="CJ33" s="33"/>
      <c r="CK33" s="303"/>
      <c r="CL33" s="136"/>
      <c r="CM33" s="137">
        <f t="shared" si="82"/>
        <v>87892.89</v>
      </c>
      <c r="CN33" s="137">
        <f t="shared" si="83"/>
        <v>73035.75</v>
      </c>
      <c r="CO33" s="137">
        <f t="shared" si="84"/>
        <v>0</v>
      </c>
      <c r="CP33" s="137">
        <f t="shared" si="85"/>
        <v>0</v>
      </c>
      <c r="CQ33" s="140">
        <f t="shared" si="86"/>
        <v>160928.64</v>
      </c>
      <c r="CR33" s="137"/>
      <c r="CS33" s="137">
        <f t="shared" si="87"/>
        <v>78776.35</v>
      </c>
      <c r="CT33" s="137">
        <f t="shared" si="88"/>
        <v>88364.77</v>
      </c>
      <c r="CU33" s="137">
        <f t="shared" si="89"/>
        <v>106751.28</v>
      </c>
      <c r="CV33" s="137">
        <f t="shared" si="90"/>
        <v>140873.49</v>
      </c>
      <c r="CW33" s="142">
        <f t="shared" si="91"/>
        <v>414765.89</v>
      </c>
      <c r="CX33" s="137"/>
      <c r="CY33" s="137"/>
      <c r="CZ33" s="137"/>
      <c r="DA33" s="137"/>
      <c r="DB33" s="137"/>
      <c r="DC33" s="142"/>
      <c r="DD33" s="136"/>
      <c r="DE33" s="136"/>
      <c r="DF33" s="136"/>
      <c r="DG33" s="136"/>
      <c r="DH33" s="136"/>
      <c r="DI33" s="292"/>
      <c r="DJ33" s="284"/>
      <c r="DK33" s="137"/>
      <c r="DL33" s="137"/>
      <c r="DM33" s="137"/>
      <c r="DN33" s="137"/>
      <c r="DO33" s="142"/>
      <c r="DP33" s="284"/>
      <c r="DQ33" s="292"/>
      <c r="DR33" s="284"/>
      <c r="DS33" s="136"/>
      <c r="DT33" s="136"/>
      <c r="DU33" s="136"/>
      <c r="DV33" s="136"/>
      <c r="DW33" s="136"/>
      <c r="DX33" s="136"/>
      <c r="DY33" s="136"/>
      <c r="DZ33" s="136"/>
      <c r="EA33" s="136"/>
      <c r="EB33" s="136"/>
      <c r="EC33" s="136"/>
      <c r="ED33" s="136"/>
      <c r="EE33" s="136"/>
      <c r="EF33" s="136"/>
      <c r="EG33" s="136"/>
      <c r="EH33" s="136"/>
      <c r="EI33" s="136"/>
      <c r="EJ33" s="136"/>
      <c r="EK33" s="136"/>
      <c r="EL33" s="136"/>
      <c r="EM33" s="136"/>
      <c r="EN33" s="136"/>
      <c r="EO33" s="136"/>
      <c r="EP33" s="136"/>
      <c r="EQ33" s="136"/>
      <c r="ER33" s="136"/>
      <c r="ES33" s="136"/>
      <c r="ET33" s="136"/>
      <c r="EU33" s="136"/>
      <c r="EV33" s="136"/>
      <c r="EW33" s="136"/>
      <c r="EX33" s="136"/>
      <c r="EY33" s="136"/>
      <c r="EZ33" s="136"/>
      <c r="FA33" s="136"/>
      <c r="FB33" s="136"/>
      <c r="FC33" s="136"/>
      <c r="FD33" s="136"/>
      <c r="FE33" s="136"/>
      <c r="FF33" s="136"/>
      <c r="FG33" s="136"/>
      <c r="FH33" s="136"/>
      <c r="FI33" s="136"/>
      <c r="FJ33" s="136"/>
      <c r="FK33" s="136"/>
      <c r="FL33" s="136"/>
      <c r="FM33" s="136"/>
      <c r="FN33" s="136"/>
      <c r="FO33" s="136"/>
      <c r="FP33" s="136"/>
      <c r="FQ33" s="136"/>
      <c r="FR33" s="136"/>
      <c r="FS33" s="136"/>
      <c r="FT33" s="136"/>
      <c r="FU33" s="136"/>
      <c r="FV33" s="136"/>
      <c r="FW33" s="136"/>
      <c r="FX33" s="136"/>
      <c r="FY33" s="136"/>
      <c r="FZ33" s="136"/>
      <c r="GA33" s="136"/>
      <c r="GB33" s="136"/>
      <c r="GC33" s="136"/>
      <c r="GD33" s="136"/>
      <c r="GE33" s="136"/>
      <c r="GF33" s="136"/>
      <c r="GG33" s="136"/>
      <c r="GH33" s="136"/>
      <c r="GI33" s="136"/>
      <c r="GJ33" s="136"/>
      <c r="GK33" s="136"/>
      <c r="GL33" s="136"/>
      <c r="GM33" s="136"/>
    </row>
    <row r="34" outlineLevel="1">
      <c r="B34" s="135" t="s">
        <v>515</v>
      </c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295">
        <v>0.0</v>
      </c>
      <c r="AZ34" s="295">
        <v>0.0</v>
      </c>
      <c r="BA34" s="295">
        <v>0.0</v>
      </c>
      <c r="BB34" s="295">
        <v>0.0</v>
      </c>
      <c r="BC34" s="295">
        <v>0.0</v>
      </c>
      <c r="BD34" s="295">
        <v>0.0</v>
      </c>
      <c r="BE34" s="295">
        <v>0.0</v>
      </c>
      <c r="BF34" s="295">
        <v>0.0</v>
      </c>
      <c r="BG34" s="295">
        <v>0.0</v>
      </c>
      <c r="BH34" s="295">
        <v>0.0</v>
      </c>
      <c r="BI34" s="295">
        <v>0.0</v>
      </c>
      <c r="BJ34" s="295">
        <v>0.0</v>
      </c>
      <c r="BK34" s="295">
        <v>0.0</v>
      </c>
      <c r="BL34" s="294">
        <v>0.0</v>
      </c>
      <c r="BM34" s="294">
        <v>11589.03</v>
      </c>
      <c r="BN34" s="294">
        <v>12503.92</v>
      </c>
      <c r="BO34" s="294">
        <v>12326.13</v>
      </c>
      <c r="BP34" s="137">
        <v>11844.93</v>
      </c>
      <c r="BQ34" s="137">
        <v>23062.46</v>
      </c>
      <c r="BR34" s="137">
        <v>28809.38</v>
      </c>
      <c r="BS34" s="137">
        <v>30821.39</v>
      </c>
      <c r="BT34" s="137">
        <v>30743.15</v>
      </c>
      <c r="BU34" s="137">
        <v>41740.68</v>
      </c>
      <c r="BV34" s="137">
        <v>50606.24</v>
      </c>
      <c r="BW34" s="137">
        <v>41852.0</v>
      </c>
      <c r="BX34" s="137">
        <v>44055.17</v>
      </c>
      <c r="BY34" s="137">
        <v>48973.17</v>
      </c>
      <c r="BZ34" s="137">
        <v>49770.03</v>
      </c>
      <c r="CA34" s="137">
        <v>48132.51</v>
      </c>
      <c r="CB34" s="137">
        <v>50724.29</v>
      </c>
      <c r="CC34" s="54"/>
      <c r="CD34" s="54"/>
      <c r="CE34" s="54"/>
      <c r="CF34" s="54"/>
      <c r="CG34" s="54"/>
      <c r="CH34" s="54"/>
      <c r="CI34" s="33"/>
      <c r="CJ34" s="33"/>
      <c r="CK34" s="303"/>
      <c r="CL34" s="136"/>
      <c r="CM34" s="137">
        <f t="shared" si="82"/>
        <v>134880.34</v>
      </c>
      <c r="CN34" s="137">
        <f t="shared" si="83"/>
        <v>148626.83</v>
      </c>
      <c r="CO34" s="137">
        <f t="shared" si="84"/>
        <v>0</v>
      </c>
      <c r="CP34" s="137">
        <f t="shared" si="85"/>
        <v>0</v>
      </c>
      <c r="CQ34" s="140">
        <f t="shared" si="86"/>
        <v>283507.17</v>
      </c>
      <c r="CR34" s="137"/>
      <c r="CS34" s="137">
        <f t="shared" si="87"/>
        <v>11589.03</v>
      </c>
      <c r="CT34" s="137">
        <f t="shared" si="88"/>
        <v>36674.98</v>
      </c>
      <c r="CU34" s="137">
        <f t="shared" si="89"/>
        <v>82693.23</v>
      </c>
      <c r="CV34" s="137">
        <f t="shared" si="90"/>
        <v>123090.07</v>
      </c>
      <c r="CW34" s="142">
        <f t="shared" si="91"/>
        <v>254047.31</v>
      </c>
      <c r="CX34" s="137"/>
      <c r="CY34" s="137"/>
      <c r="CZ34" s="137"/>
      <c r="DA34" s="137"/>
      <c r="DB34" s="137"/>
      <c r="DC34" s="142"/>
      <c r="DD34" s="136"/>
      <c r="DE34" s="136"/>
      <c r="DF34" s="136"/>
      <c r="DG34" s="136"/>
      <c r="DH34" s="136"/>
      <c r="DI34" s="292"/>
      <c r="DJ34" s="284"/>
      <c r="DK34" s="137"/>
      <c r="DL34" s="137"/>
      <c r="DM34" s="137"/>
      <c r="DN34" s="137"/>
      <c r="DO34" s="142"/>
      <c r="DP34" s="284"/>
      <c r="DQ34" s="292"/>
      <c r="DR34" s="284"/>
      <c r="DS34" s="136"/>
      <c r="DT34" s="136"/>
      <c r="DU34" s="136"/>
      <c r="DV34" s="136"/>
      <c r="DW34" s="136"/>
      <c r="DX34" s="136"/>
      <c r="DY34" s="136"/>
      <c r="DZ34" s="136"/>
      <c r="EA34" s="136"/>
      <c r="EB34" s="136"/>
      <c r="EC34" s="136"/>
      <c r="ED34" s="136"/>
      <c r="EE34" s="136"/>
      <c r="EF34" s="136"/>
      <c r="EG34" s="136"/>
      <c r="EH34" s="136"/>
      <c r="EI34" s="136"/>
      <c r="EJ34" s="136"/>
      <c r="EK34" s="136"/>
      <c r="EL34" s="136"/>
      <c r="EM34" s="136"/>
      <c r="EN34" s="136"/>
      <c r="EO34" s="136"/>
      <c r="EP34" s="136"/>
      <c r="EQ34" s="136"/>
      <c r="ER34" s="136"/>
      <c r="ES34" s="136"/>
      <c r="ET34" s="136"/>
      <c r="EU34" s="136"/>
      <c r="EV34" s="136"/>
      <c r="EW34" s="136"/>
      <c r="EX34" s="136"/>
      <c r="EY34" s="136"/>
      <c r="EZ34" s="136"/>
      <c r="FA34" s="136"/>
      <c r="FB34" s="136"/>
      <c r="FC34" s="136"/>
      <c r="FD34" s="136"/>
      <c r="FE34" s="136"/>
      <c r="FF34" s="136"/>
      <c r="FG34" s="136"/>
      <c r="FH34" s="136"/>
      <c r="FI34" s="136"/>
      <c r="FJ34" s="136"/>
      <c r="FK34" s="136"/>
      <c r="FL34" s="136"/>
      <c r="FM34" s="136"/>
      <c r="FN34" s="136"/>
      <c r="FO34" s="136"/>
      <c r="FP34" s="136"/>
      <c r="FQ34" s="136"/>
      <c r="FR34" s="136"/>
      <c r="FS34" s="136"/>
      <c r="FT34" s="136"/>
      <c r="FU34" s="136"/>
      <c r="FV34" s="136"/>
      <c r="FW34" s="136"/>
      <c r="FX34" s="136"/>
      <c r="FY34" s="136"/>
      <c r="FZ34" s="136"/>
      <c r="GA34" s="136"/>
      <c r="GB34" s="136"/>
      <c r="GC34" s="136"/>
      <c r="GD34" s="136"/>
      <c r="GE34" s="136"/>
      <c r="GF34" s="136"/>
      <c r="GG34" s="136"/>
      <c r="GH34" s="136"/>
      <c r="GI34" s="136"/>
      <c r="GJ34" s="136"/>
      <c r="GK34" s="136"/>
      <c r="GL34" s="136"/>
      <c r="GM34" s="136"/>
    </row>
    <row r="35" outlineLevel="1">
      <c r="B35" s="135" t="s">
        <v>508</v>
      </c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>
        <f t="shared" ref="AM35:BW35" si="96">SUM(AM36:AM38)</f>
        <v>522416.67</v>
      </c>
      <c r="AN35" s="108">
        <f t="shared" si="96"/>
        <v>388303.08</v>
      </c>
      <c r="AO35" s="108">
        <f t="shared" si="96"/>
        <v>387573.23</v>
      </c>
      <c r="AP35" s="108">
        <f t="shared" si="96"/>
        <v>528861.05</v>
      </c>
      <c r="AQ35" s="108">
        <f t="shared" si="96"/>
        <v>424616.83</v>
      </c>
      <c r="AR35" s="108">
        <f t="shared" si="96"/>
        <v>351183.17</v>
      </c>
      <c r="AS35" s="108">
        <f t="shared" si="96"/>
        <v>406165.07</v>
      </c>
      <c r="AT35" s="108">
        <f t="shared" si="96"/>
        <v>557240.09</v>
      </c>
      <c r="AU35" s="108">
        <f t="shared" si="96"/>
        <v>432044.29</v>
      </c>
      <c r="AV35" s="108">
        <f t="shared" si="96"/>
        <v>396408.74</v>
      </c>
      <c r="AW35" s="108">
        <f t="shared" si="96"/>
        <v>392995.41</v>
      </c>
      <c r="AX35" s="108">
        <f t="shared" si="96"/>
        <v>399712.27</v>
      </c>
      <c r="AY35" s="108">
        <f t="shared" si="96"/>
        <v>426958.15</v>
      </c>
      <c r="AZ35" s="108">
        <f t="shared" si="96"/>
        <v>380263</v>
      </c>
      <c r="BA35" s="108">
        <f t="shared" si="96"/>
        <v>391801.71</v>
      </c>
      <c r="BB35" s="108">
        <f t="shared" si="96"/>
        <v>555661.68</v>
      </c>
      <c r="BC35" s="108">
        <f t="shared" si="96"/>
        <v>406347.39</v>
      </c>
      <c r="BD35" s="108">
        <f t="shared" si="96"/>
        <v>397382.5</v>
      </c>
      <c r="BE35" s="108">
        <f t="shared" si="96"/>
        <v>411848.3</v>
      </c>
      <c r="BF35" s="108">
        <f t="shared" si="96"/>
        <v>731208.9</v>
      </c>
      <c r="BG35" s="108">
        <f t="shared" si="96"/>
        <v>481202.73</v>
      </c>
      <c r="BH35" s="108">
        <f t="shared" si="96"/>
        <v>538362.34</v>
      </c>
      <c r="BI35" s="108">
        <f t="shared" si="96"/>
        <v>551684.44</v>
      </c>
      <c r="BJ35" s="108">
        <f t="shared" si="96"/>
        <v>592050.37</v>
      </c>
      <c r="BK35" s="108">
        <f t="shared" si="96"/>
        <v>628612.92</v>
      </c>
      <c r="BL35" s="108">
        <f t="shared" si="96"/>
        <v>599853.4</v>
      </c>
      <c r="BM35" s="108">
        <f t="shared" si="96"/>
        <v>628832.74</v>
      </c>
      <c r="BN35" s="108">
        <f t="shared" si="96"/>
        <v>650386.82</v>
      </c>
      <c r="BO35" s="108">
        <f t="shared" si="96"/>
        <v>683291.89</v>
      </c>
      <c r="BP35" s="108">
        <f t="shared" si="96"/>
        <v>723888.69</v>
      </c>
      <c r="BQ35" s="108">
        <f t="shared" si="96"/>
        <v>786174.87</v>
      </c>
      <c r="BR35" s="108">
        <f t="shared" si="96"/>
        <v>778339.14</v>
      </c>
      <c r="BS35" s="108">
        <f t="shared" si="96"/>
        <v>944646.21</v>
      </c>
      <c r="BT35" s="108">
        <f t="shared" si="96"/>
        <v>1012269.55</v>
      </c>
      <c r="BU35" s="108">
        <f t="shared" si="96"/>
        <v>960022.01</v>
      </c>
      <c r="BV35" s="108">
        <f t="shared" si="96"/>
        <v>1085525.1</v>
      </c>
      <c r="BW35" s="289">
        <f t="shared" si="96"/>
        <v>1159661.51</v>
      </c>
      <c r="BX35" s="289">
        <f>SUM(BX36,BX38)</f>
        <v>1108135.48</v>
      </c>
      <c r="BY35" s="289">
        <f t="shared" ref="BY35:CH35" si="97">SUM(BY36:BY38)</f>
        <v>1248121.58</v>
      </c>
      <c r="BZ35" s="289">
        <f t="shared" si="97"/>
        <v>1225844.81</v>
      </c>
      <c r="CA35" s="289">
        <f t="shared" si="97"/>
        <v>1139189.13</v>
      </c>
      <c r="CB35" s="289">
        <f t="shared" si="97"/>
        <v>1244047.99</v>
      </c>
      <c r="CC35" s="289">
        <f t="shared" si="97"/>
        <v>0</v>
      </c>
      <c r="CD35" s="289">
        <f t="shared" si="97"/>
        <v>0</v>
      </c>
      <c r="CE35" s="289">
        <f t="shared" si="97"/>
        <v>0</v>
      </c>
      <c r="CF35" s="289">
        <f t="shared" si="97"/>
        <v>0</v>
      </c>
      <c r="CG35" s="289">
        <f t="shared" si="97"/>
        <v>0</v>
      </c>
      <c r="CH35" s="289">
        <f t="shared" si="97"/>
        <v>0</v>
      </c>
      <c r="CI35" s="108"/>
      <c r="CJ35" s="108"/>
      <c r="CK35" s="303"/>
      <c r="CL35" s="108"/>
      <c r="CM35" s="108">
        <f t="shared" si="82"/>
        <v>3515918.57</v>
      </c>
      <c r="CN35" s="108">
        <f t="shared" si="83"/>
        <v>3609081.93</v>
      </c>
      <c r="CO35" s="108">
        <f t="shared" si="84"/>
        <v>0</v>
      </c>
      <c r="CP35" s="108">
        <f t="shared" si="85"/>
        <v>0</v>
      </c>
      <c r="CQ35" s="290">
        <f t="shared" si="86"/>
        <v>7125000.5</v>
      </c>
      <c r="CR35" s="108"/>
      <c r="CS35" s="108">
        <f t="shared" si="87"/>
        <v>1857299.06</v>
      </c>
      <c r="CT35" s="108">
        <f t="shared" si="88"/>
        <v>2057567.4</v>
      </c>
      <c r="CU35" s="108">
        <f t="shared" si="89"/>
        <v>2509160.22</v>
      </c>
      <c r="CV35" s="108">
        <f t="shared" si="90"/>
        <v>3057816.66</v>
      </c>
      <c r="CW35" s="282">
        <f t="shared" si="91"/>
        <v>9481843.34</v>
      </c>
      <c r="CX35" s="108"/>
      <c r="CY35" s="108"/>
      <c r="CZ35" s="108"/>
      <c r="DA35" s="108"/>
      <c r="DB35" s="108"/>
      <c r="DC35" s="282"/>
      <c r="DD35" s="108"/>
      <c r="DE35" s="108"/>
      <c r="DF35" s="108"/>
      <c r="DG35" s="108"/>
      <c r="DH35" s="108"/>
      <c r="DI35" s="282"/>
      <c r="DJ35" s="108"/>
      <c r="DK35" s="108"/>
      <c r="DL35" s="108"/>
      <c r="DM35" s="108"/>
      <c r="DN35" s="108"/>
      <c r="DO35" s="282"/>
      <c r="DP35" s="108"/>
      <c r="DQ35" s="282"/>
      <c r="DR35" s="108"/>
      <c r="DS35" s="108"/>
      <c r="DT35" s="108"/>
      <c r="DU35" s="108"/>
      <c r="DV35" s="108"/>
      <c r="DW35" s="108"/>
      <c r="DX35" s="108"/>
      <c r="DY35" s="108"/>
      <c r="DZ35" s="108"/>
      <c r="EA35" s="108"/>
      <c r="EB35" s="108"/>
      <c r="EC35" s="108"/>
      <c r="ED35" s="108"/>
      <c r="EE35" s="108"/>
      <c r="EF35" s="108"/>
      <c r="EG35" s="108"/>
      <c r="EH35" s="108"/>
      <c r="EI35" s="108"/>
      <c r="EJ35" s="108"/>
      <c r="EK35" s="108"/>
      <c r="EL35" s="108"/>
      <c r="EM35" s="108"/>
      <c r="EN35" s="108"/>
      <c r="EO35" s="108"/>
      <c r="EP35" s="108"/>
      <c r="EQ35" s="108"/>
      <c r="ER35" s="108"/>
      <c r="ES35" s="108"/>
      <c r="ET35" s="108"/>
      <c r="EU35" s="108"/>
      <c r="EV35" s="108"/>
      <c r="EW35" s="108"/>
      <c r="EX35" s="108"/>
      <c r="EY35" s="108"/>
      <c r="EZ35" s="108"/>
      <c r="FA35" s="108"/>
      <c r="FB35" s="108"/>
      <c r="FC35" s="108"/>
      <c r="FD35" s="108"/>
      <c r="FE35" s="108"/>
      <c r="FF35" s="108"/>
      <c r="FG35" s="108"/>
      <c r="FH35" s="108"/>
      <c r="FI35" s="108"/>
      <c r="FJ35" s="108"/>
      <c r="FK35" s="108"/>
      <c r="FL35" s="108"/>
      <c r="FM35" s="108"/>
      <c r="FN35" s="108"/>
      <c r="FO35" s="108"/>
      <c r="FP35" s="108"/>
      <c r="FQ35" s="108"/>
      <c r="FR35" s="108"/>
      <c r="FS35" s="108"/>
      <c r="FT35" s="108"/>
      <c r="FU35" s="108"/>
      <c r="FV35" s="108"/>
      <c r="FW35" s="108"/>
      <c r="FX35" s="108"/>
      <c r="FY35" s="108"/>
      <c r="FZ35" s="108"/>
      <c r="GA35" s="108"/>
      <c r="GB35" s="108"/>
      <c r="GC35" s="108"/>
      <c r="GD35" s="108"/>
      <c r="GE35" s="108"/>
      <c r="GF35" s="108"/>
      <c r="GG35" s="108"/>
      <c r="GH35" s="108"/>
      <c r="GI35" s="108"/>
      <c r="GJ35" s="108"/>
      <c r="GK35" s="108"/>
      <c r="GL35" s="108"/>
      <c r="GM35" s="108"/>
    </row>
    <row r="36" outlineLevel="1">
      <c r="B36" s="135" t="s">
        <v>516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>
        <v>522416.67</v>
      </c>
      <c r="AN36" s="137">
        <v>388303.08</v>
      </c>
      <c r="AO36" s="137">
        <v>387573.23</v>
      </c>
      <c r="AP36" s="137">
        <v>528861.05</v>
      </c>
      <c r="AQ36" s="137">
        <v>424616.83</v>
      </c>
      <c r="AR36" s="137">
        <v>351183.17</v>
      </c>
      <c r="AS36" s="137">
        <v>406165.07</v>
      </c>
      <c r="AT36" s="137">
        <v>557240.09</v>
      </c>
      <c r="AU36" s="137">
        <v>432044.29</v>
      </c>
      <c r="AV36" s="137">
        <f>-1375.72+397784.46 
</f>
        <v>396408.74</v>
      </c>
      <c r="AW36" s="137">
        <f>-3611.77+396607.18 
</f>
        <v>392995.41</v>
      </c>
      <c r="AX36" s="137">
        <v>399712.27</v>
      </c>
      <c r="AY36" s="137">
        <f>-374.4+427332.55</f>
        <v>426958.15</v>
      </c>
      <c r="AZ36" s="137">
        <v>380263.0</v>
      </c>
      <c r="BA36" s="137">
        <f>-499+392300.71 
</f>
        <v>391801.71</v>
      </c>
      <c r="BB36" s="137">
        <f>-499.16+556160.84 
</f>
        <v>555661.68</v>
      </c>
      <c r="BC36" s="137">
        <f>-499+406846.39 
</f>
        <v>406347.39</v>
      </c>
      <c r="BD36" s="137">
        <f>-501.98+397884.48 
</f>
        <v>397382.5</v>
      </c>
      <c r="BE36" s="137">
        <v>411848.3</v>
      </c>
      <c r="BF36" s="137">
        <f>-4392.15+735601.05 
</f>
        <v>731208.9</v>
      </c>
      <c r="BG36" s="137">
        <f>12112.38+469090.35 
</f>
        <v>481202.73</v>
      </c>
      <c r="BH36" s="137">
        <f>5835.96+532526.38 
</f>
        <v>538362.34</v>
      </c>
      <c r="BI36" s="137">
        <f>23+551661.44 
</f>
        <v>551684.44</v>
      </c>
      <c r="BJ36" s="295">
        <f>589534.37+2516</f>
        <v>592050.37</v>
      </c>
      <c r="BK36" s="295">
        <f>-1649.62+630262.54 
</f>
        <v>628612.92</v>
      </c>
      <c r="BL36" s="294">
        <f>-4250.36+604103.76 
</f>
        <v>599853.4</v>
      </c>
      <c r="BM36" s="145">
        <f>-3390.61+632223.35 
</f>
        <v>628832.74</v>
      </c>
      <c r="BN36" s="145">
        <f>-1480.49+651867.31 
</f>
        <v>650386.82</v>
      </c>
      <c r="BO36" s="137">
        <f>7373.89+675918 
</f>
        <v>683291.89</v>
      </c>
      <c r="BP36" s="137">
        <f>7254.83+716633.86 
</f>
        <v>723888.69</v>
      </c>
      <c r="BQ36" s="137">
        <f>778388.99+7785.88</f>
        <v>786174.87</v>
      </c>
      <c r="BR36" s="137">
        <v>778339.14</v>
      </c>
      <c r="BS36" s="137">
        <v>944646.21</v>
      </c>
      <c r="BT36" s="137">
        <v>1012269.55</v>
      </c>
      <c r="BU36" s="137">
        <v>960022.01</v>
      </c>
      <c r="BV36" s="137">
        <v>1085525.1</v>
      </c>
      <c r="BW36" s="137">
        <f>1147986.56+11674.95</f>
        <v>1159661.51</v>
      </c>
      <c r="BX36" s="137">
        <f>1093718.13+14417.35</f>
        <v>1108135.48</v>
      </c>
      <c r="BY36" s="137">
        <f>1233785.64+14335.94</f>
        <v>1248121.58</v>
      </c>
      <c r="BZ36" s="137">
        <f>1211047.94+14796.87</f>
        <v>1225844.81</v>
      </c>
      <c r="CA36" s="137">
        <f>1124173.69+15015.44</f>
        <v>1139189.13</v>
      </c>
      <c r="CB36" s="137">
        <f>1229202.9+14845.09</f>
        <v>1244047.99</v>
      </c>
      <c r="CC36" s="54"/>
      <c r="CD36" s="54"/>
      <c r="CE36" s="54"/>
      <c r="CF36" s="54"/>
      <c r="CG36" s="54"/>
      <c r="CH36" s="54"/>
      <c r="CI36" s="33"/>
      <c r="CJ36" s="33"/>
      <c r="CK36" s="303"/>
      <c r="CL36" s="136"/>
      <c r="CM36" s="137">
        <f t="shared" si="82"/>
        <v>3515918.57</v>
      </c>
      <c r="CN36" s="137">
        <f t="shared" si="83"/>
        <v>3609081.93</v>
      </c>
      <c r="CO36" s="137">
        <f t="shared" si="84"/>
        <v>0</v>
      </c>
      <c r="CP36" s="137">
        <f t="shared" si="85"/>
        <v>0</v>
      </c>
      <c r="CQ36" s="140">
        <f t="shared" si="86"/>
        <v>7125000.5</v>
      </c>
      <c r="CR36" s="137"/>
      <c r="CS36" s="137">
        <f t="shared" si="87"/>
        <v>1857299.06</v>
      </c>
      <c r="CT36" s="137">
        <f t="shared" si="88"/>
        <v>2057567.4</v>
      </c>
      <c r="CU36" s="137">
        <f t="shared" si="89"/>
        <v>2509160.22</v>
      </c>
      <c r="CV36" s="137">
        <f t="shared" si="90"/>
        <v>3057816.66</v>
      </c>
      <c r="CW36" s="142">
        <f t="shared" si="91"/>
        <v>9481843.34</v>
      </c>
      <c r="CX36" s="137"/>
      <c r="CY36" s="137"/>
      <c r="CZ36" s="137"/>
      <c r="DA36" s="137"/>
      <c r="DB36" s="137"/>
      <c r="DC36" s="142"/>
      <c r="DD36" s="136"/>
      <c r="DE36" s="136"/>
      <c r="DF36" s="136"/>
      <c r="DG36" s="136"/>
      <c r="DH36" s="136"/>
      <c r="DI36" s="292"/>
      <c r="DJ36" s="284"/>
      <c r="DK36" s="137"/>
      <c r="DL36" s="137"/>
      <c r="DM36" s="137"/>
      <c r="DN36" s="137"/>
      <c r="DO36" s="142"/>
      <c r="DP36" s="284"/>
      <c r="DQ36" s="292"/>
      <c r="DR36" s="284"/>
      <c r="DS36" s="136"/>
      <c r="DT36" s="136"/>
      <c r="DU36" s="136"/>
      <c r="DV36" s="136"/>
      <c r="DW36" s="136"/>
      <c r="DX36" s="136"/>
      <c r="DY36" s="136"/>
      <c r="DZ36" s="136"/>
      <c r="EA36" s="136"/>
      <c r="EB36" s="136"/>
      <c r="EC36" s="136"/>
      <c r="ED36" s="136"/>
      <c r="EE36" s="136"/>
      <c r="EF36" s="136"/>
      <c r="EG36" s="136"/>
      <c r="EH36" s="136"/>
      <c r="EI36" s="136"/>
      <c r="EJ36" s="136"/>
      <c r="EK36" s="136"/>
      <c r="EL36" s="136"/>
      <c r="EM36" s="136"/>
      <c r="EN36" s="136"/>
      <c r="EO36" s="136"/>
      <c r="EP36" s="136"/>
      <c r="EQ36" s="136"/>
      <c r="ER36" s="136"/>
      <c r="ES36" s="136"/>
      <c r="ET36" s="136"/>
      <c r="EU36" s="136"/>
      <c r="EV36" s="136"/>
      <c r="EW36" s="136"/>
      <c r="EX36" s="136"/>
      <c r="EY36" s="136"/>
      <c r="EZ36" s="136"/>
      <c r="FA36" s="136"/>
      <c r="FB36" s="136"/>
      <c r="FC36" s="136"/>
      <c r="FD36" s="136"/>
      <c r="FE36" s="136"/>
      <c r="FF36" s="136"/>
      <c r="FG36" s="136"/>
      <c r="FH36" s="136"/>
      <c r="FI36" s="136"/>
      <c r="FJ36" s="136"/>
      <c r="FK36" s="136"/>
      <c r="FL36" s="136"/>
      <c r="FM36" s="136"/>
      <c r="FN36" s="136"/>
      <c r="FO36" s="136"/>
      <c r="FP36" s="136"/>
      <c r="FQ36" s="136"/>
      <c r="FR36" s="136"/>
      <c r="FS36" s="136"/>
      <c r="FT36" s="136"/>
      <c r="FU36" s="136"/>
      <c r="FV36" s="136"/>
      <c r="FW36" s="136"/>
      <c r="FX36" s="136"/>
      <c r="FY36" s="136"/>
      <c r="FZ36" s="136"/>
      <c r="GA36" s="136"/>
      <c r="GB36" s="136"/>
      <c r="GC36" s="136"/>
      <c r="GD36" s="136"/>
      <c r="GE36" s="136"/>
      <c r="GF36" s="136"/>
      <c r="GG36" s="136"/>
      <c r="GH36" s="136"/>
      <c r="GI36" s="136"/>
      <c r="GJ36" s="136"/>
      <c r="GK36" s="136"/>
      <c r="GL36" s="136"/>
      <c r="GM36" s="136"/>
    </row>
    <row r="37" outlineLevel="1">
      <c r="B37" s="135" t="s">
        <v>517</v>
      </c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294"/>
      <c r="BA37" s="145"/>
      <c r="BB37" s="137"/>
      <c r="BC37" s="137"/>
      <c r="BD37" s="137"/>
      <c r="BE37" s="137"/>
      <c r="BF37" s="137"/>
      <c r="BG37" s="137"/>
      <c r="BH37" s="137"/>
      <c r="BI37" s="137"/>
      <c r="BJ37" s="137"/>
      <c r="BK37" s="295"/>
      <c r="BL37" s="294"/>
      <c r="BM37" s="145"/>
      <c r="BN37" s="145"/>
      <c r="BO37" s="137"/>
      <c r="BP37" s="137"/>
      <c r="BQ37" s="295"/>
      <c r="BR37" s="137"/>
      <c r="BS37" s="137"/>
      <c r="BT37" s="137"/>
      <c r="BU37" s="137"/>
      <c r="BV37" s="137"/>
      <c r="BW37" s="54"/>
      <c r="BX37" s="54"/>
      <c r="BY37" s="54"/>
      <c r="BZ37" s="54"/>
      <c r="CA37" s="54"/>
      <c r="CB37" s="54"/>
      <c r="CC37" s="54"/>
      <c r="CD37" s="54"/>
      <c r="CE37" s="54"/>
      <c r="CF37" s="54"/>
      <c r="CG37" s="54"/>
      <c r="CH37" s="54"/>
      <c r="CI37" s="33"/>
      <c r="CJ37" s="33"/>
      <c r="CK37" s="303"/>
      <c r="CL37" s="136"/>
      <c r="CM37" s="137">
        <f t="shared" si="82"/>
        <v>0</v>
      </c>
      <c r="CN37" s="137">
        <f t="shared" si="83"/>
        <v>0</v>
      </c>
      <c r="CO37" s="137">
        <f t="shared" si="84"/>
        <v>0</v>
      </c>
      <c r="CP37" s="137">
        <f t="shared" si="85"/>
        <v>0</v>
      </c>
      <c r="CQ37" s="140">
        <f t="shared" si="86"/>
        <v>0</v>
      </c>
      <c r="CR37" s="137"/>
      <c r="CS37" s="137">
        <f t="shared" si="87"/>
        <v>0</v>
      </c>
      <c r="CT37" s="137">
        <f t="shared" si="88"/>
        <v>0</v>
      </c>
      <c r="CU37" s="137">
        <f t="shared" si="89"/>
        <v>0</v>
      </c>
      <c r="CV37" s="137">
        <f t="shared" si="90"/>
        <v>0</v>
      </c>
      <c r="CW37" s="142">
        <f t="shared" si="91"/>
        <v>0</v>
      </c>
      <c r="CX37" s="137"/>
      <c r="CY37" s="137"/>
      <c r="CZ37" s="137"/>
      <c r="DA37" s="137"/>
      <c r="DB37" s="137"/>
      <c r="DC37" s="142"/>
      <c r="DD37" s="136"/>
      <c r="DE37" s="136"/>
      <c r="DF37" s="136"/>
      <c r="DG37" s="136"/>
      <c r="DH37" s="136"/>
      <c r="DI37" s="292"/>
      <c r="DJ37" s="284"/>
      <c r="DK37" s="137"/>
      <c r="DL37" s="137"/>
      <c r="DM37" s="137"/>
      <c r="DN37" s="137"/>
      <c r="DO37" s="142"/>
      <c r="DP37" s="284"/>
      <c r="DQ37" s="292"/>
      <c r="DR37" s="284"/>
      <c r="DS37" s="136"/>
      <c r="DT37" s="136"/>
      <c r="DU37" s="136"/>
      <c r="DV37" s="136"/>
      <c r="DW37" s="136"/>
      <c r="DX37" s="136"/>
      <c r="DY37" s="136"/>
      <c r="DZ37" s="136"/>
      <c r="EA37" s="136"/>
      <c r="EB37" s="136"/>
      <c r="EC37" s="136"/>
      <c r="ED37" s="136"/>
      <c r="EE37" s="136"/>
      <c r="EF37" s="136"/>
      <c r="EG37" s="136"/>
      <c r="EH37" s="136"/>
      <c r="EI37" s="136"/>
      <c r="EJ37" s="136"/>
      <c r="EK37" s="136"/>
      <c r="EL37" s="136"/>
      <c r="EM37" s="136"/>
      <c r="EN37" s="136"/>
      <c r="EO37" s="136"/>
      <c r="EP37" s="136"/>
      <c r="EQ37" s="136"/>
      <c r="ER37" s="136"/>
      <c r="ES37" s="136"/>
      <c r="ET37" s="136"/>
      <c r="EU37" s="136"/>
      <c r="EV37" s="136"/>
      <c r="EW37" s="136"/>
      <c r="EX37" s="136"/>
      <c r="EY37" s="136"/>
      <c r="EZ37" s="136"/>
      <c r="FA37" s="136"/>
      <c r="FB37" s="136"/>
      <c r="FC37" s="136"/>
      <c r="FD37" s="136"/>
      <c r="FE37" s="136"/>
      <c r="FF37" s="136"/>
      <c r="FG37" s="136"/>
      <c r="FH37" s="136"/>
      <c r="FI37" s="136"/>
      <c r="FJ37" s="136"/>
      <c r="FK37" s="136"/>
      <c r="FL37" s="136"/>
      <c r="FM37" s="136"/>
      <c r="FN37" s="136"/>
      <c r="FO37" s="136"/>
      <c r="FP37" s="136"/>
      <c r="FQ37" s="136"/>
      <c r="FR37" s="136"/>
      <c r="FS37" s="136"/>
      <c r="FT37" s="136"/>
      <c r="FU37" s="136"/>
      <c r="FV37" s="136"/>
      <c r="FW37" s="136"/>
      <c r="FX37" s="136"/>
      <c r="FY37" s="136"/>
      <c r="FZ37" s="136"/>
      <c r="GA37" s="136"/>
      <c r="GB37" s="136"/>
      <c r="GC37" s="136"/>
      <c r="GD37" s="136"/>
      <c r="GE37" s="136"/>
      <c r="GF37" s="136"/>
      <c r="GG37" s="136"/>
      <c r="GH37" s="136"/>
      <c r="GI37" s="136"/>
      <c r="GJ37" s="136"/>
      <c r="GK37" s="136"/>
      <c r="GL37" s="136"/>
      <c r="GM37" s="136"/>
    </row>
    <row r="38" outlineLevel="1">
      <c r="B38" s="135" t="s">
        <v>518</v>
      </c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294"/>
      <c r="BA38" s="145"/>
      <c r="BB38" s="137"/>
      <c r="BC38" s="137"/>
      <c r="BD38" s="137"/>
      <c r="BE38" s="137"/>
      <c r="BF38" s="137"/>
      <c r="BG38" s="137"/>
      <c r="BH38" s="137"/>
      <c r="BI38" s="137"/>
      <c r="BJ38" s="137"/>
      <c r="BK38" s="295"/>
      <c r="BL38" s="294"/>
      <c r="BM38" s="145"/>
      <c r="BN38" s="145"/>
      <c r="BO38" s="137"/>
      <c r="BP38" s="137"/>
      <c r="BQ38" s="295"/>
      <c r="BR38" s="137"/>
      <c r="BS38" s="137"/>
      <c r="BT38" s="137"/>
      <c r="BU38" s="137"/>
      <c r="BV38" s="137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33"/>
      <c r="CJ38" s="33"/>
      <c r="CK38" s="303"/>
      <c r="CL38" s="136"/>
      <c r="CM38" s="137">
        <f t="shared" si="82"/>
        <v>0</v>
      </c>
      <c r="CN38" s="137">
        <f t="shared" si="83"/>
        <v>0</v>
      </c>
      <c r="CO38" s="137">
        <f t="shared" si="84"/>
        <v>0</v>
      </c>
      <c r="CP38" s="137">
        <f t="shared" si="85"/>
        <v>0</v>
      </c>
      <c r="CQ38" s="140">
        <f t="shared" si="86"/>
        <v>0</v>
      </c>
      <c r="CR38" s="137"/>
      <c r="CS38" s="137">
        <f t="shared" si="87"/>
        <v>0</v>
      </c>
      <c r="CT38" s="137">
        <f t="shared" si="88"/>
        <v>0</v>
      </c>
      <c r="CU38" s="137">
        <f t="shared" si="89"/>
        <v>0</v>
      </c>
      <c r="CV38" s="137">
        <f t="shared" si="90"/>
        <v>0</v>
      </c>
      <c r="CW38" s="142">
        <f t="shared" si="91"/>
        <v>0</v>
      </c>
      <c r="CX38" s="137"/>
      <c r="CY38" s="137"/>
      <c r="CZ38" s="137"/>
      <c r="DA38" s="137"/>
      <c r="DB38" s="137"/>
      <c r="DC38" s="142"/>
      <c r="DD38" s="136"/>
      <c r="DE38" s="136"/>
      <c r="DF38" s="136"/>
      <c r="DG38" s="136"/>
      <c r="DH38" s="136"/>
      <c r="DI38" s="292"/>
      <c r="DJ38" s="284"/>
      <c r="DK38" s="137"/>
      <c r="DL38" s="137"/>
      <c r="DM38" s="137"/>
      <c r="DN38" s="137"/>
      <c r="DO38" s="142"/>
      <c r="DP38" s="284"/>
      <c r="DQ38" s="292"/>
      <c r="DR38" s="284"/>
      <c r="DS38" s="136"/>
      <c r="DT38" s="136"/>
      <c r="DU38" s="136"/>
      <c r="DV38" s="136"/>
      <c r="DW38" s="136"/>
      <c r="DX38" s="136"/>
      <c r="DY38" s="136"/>
      <c r="DZ38" s="136"/>
      <c r="EA38" s="136"/>
      <c r="EB38" s="136"/>
      <c r="EC38" s="136"/>
      <c r="ED38" s="136"/>
      <c r="EE38" s="136"/>
      <c r="EF38" s="136"/>
      <c r="EG38" s="136"/>
      <c r="EH38" s="136"/>
      <c r="EI38" s="136"/>
      <c r="EJ38" s="136"/>
      <c r="EK38" s="136"/>
      <c r="EL38" s="136"/>
      <c r="EM38" s="136"/>
      <c r="EN38" s="136"/>
      <c r="EO38" s="136"/>
      <c r="EP38" s="136"/>
      <c r="EQ38" s="136"/>
      <c r="ER38" s="136"/>
      <c r="ES38" s="136"/>
      <c r="ET38" s="136"/>
      <c r="EU38" s="136"/>
      <c r="EV38" s="136"/>
      <c r="EW38" s="136"/>
      <c r="EX38" s="136"/>
      <c r="EY38" s="136"/>
      <c r="EZ38" s="136"/>
      <c r="FA38" s="136"/>
      <c r="FB38" s="136"/>
      <c r="FC38" s="136"/>
      <c r="FD38" s="136"/>
      <c r="FE38" s="136"/>
      <c r="FF38" s="136"/>
      <c r="FG38" s="136"/>
      <c r="FH38" s="136"/>
      <c r="FI38" s="136"/>
      <c r="FJ38" s="136"/>
      <c r="FK38" s="136"/>
      <c r="FL38" s="136"/>
      <c r="FM38" s="136"/>
      <c r="FN38" s="136"/>
      <c r="FO38" s="136"/>
      <c r="FP38" s="136"/>
      <c r="FQ38" s="136"/>
      <c r="FR38" s="136"/>
      <c r="FS38" s="136"/>
      <c r="FT38" s="136"/>
      <c r="FU38" s="136"/>
      <c r="FV38" s="136"/>
      <c r="FW38" s="136"/>
      <c r="FX38" s="136"/>
      <c r="FY38" s="136"/>
      <c r="FZ38" s="136"/>
      <c r="GA38" s="136"/>
      <c r="GB38" s="136"/>
      <c r="GC38" s="136"/>
      <c r="GD38" s="136"/>
      <c r="GE38" s="136"/>
      <c r="GF38" s="136"/>
      <c r="GG38" s="136"/>
      <c r="GH38" s="136"/>
      <c r="GI38" s="136"/>
      <c r="GJ38" s="136"/>
      <c r="GK38" s="136"/>
      <c r="GL38" s="136"/>
      <c r="GM38" s="136"/>
    </row>
    <row r="39" outlineLevel="1">
      <c r="B39" s="280" t="s">
        <v>519</v>
      </c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108"/>
      <c r="AH39" s="108"/>
      <c r="AI39" s="108"/>
      <c r="AJ39" s="108"/>
      <c r="AK39" s="108"/>
      <c r="AL39" s="108"/>
      <c r="AM39" s="352"/>
      <c r="AN39" s="352">
        <v>29.53</v>
      </c>
      <c r="AO39" s="352"/>
      <c r="AP39" s="352"/>
      <c r="AQ39" s="352"/>
      <c r="AR39" s="352"/>
      <c r="AS39" s="352">
        <v>3333.82</v>
      </c>
      <c r="AT39" s="352">
        <v>20799.87</v>
      </c>
      <c r="AU39" s="352">
        <v>11151.79</v>
      </c>
      <c r="AV39" s="352">
        <v>4737.28</v>
      </c>
      <c r="AW39" s="352">
        <v>25760.6</v>
      </c>
      <c r="AX39" s="352">
        <v>18919.63</v>
      </c>
      <c r="AY39" s="352">
        <v>33215.67</v>
      </c>
      <c r="AZ39" s="352">
        <v>10234.94</v>
      </c>
      <c r="BA39" s="352">
        <v>5714.25</v>
      </c>
      <c r="BB39" s="352">
        <v>21267.85</v>
      </c>
      <c r="BC39" s="352">
        <v>41362.2</v>
      </c>
      <c r="BD39" s="352">
        <v>23920.06</v>
      </c>
      <c r="BE39" s="352">
        <v>13805.86</v>
      </c>
      <c r="BF39" s="352">
        <v>48205.8</v>
      </c>
      <c r="BG39" s="352">
        <v>10708.23</v>
      </c>
      <c r="BH39" s="352">
        <v>5814.45</v>
      </c>
      <c r="BI39" s="352">
        <v>10713.14</v>
      </c>
      <c r="BJ39" s="352">
        <v>15901.12</v>
      </c>
      <c r="BK39" s="108">
        <f t="shared" ref="BK39:CH39" si="98">SUM(BK40:BK41)</f>
        <v>19663.72</v>
      </c>
      <c r="BL39" s="108">
        <f t="shared" si="98"/>
        <v>32386.54</v>
      </c>
      <c r="BM39" s="108">
        <f t="shared" si="98"/>
        <v>13031.72</v>
      </c>
      <c r="BN39" s="108">
        <f t="shared" si="98"/>
        <v>7012.64</v>
      </c>
      <c r="BO39" s="108">
        <f t="shared" si="98"/>
        <v>35723.43</v>
      </c>
      <c r="BP39" s="108">
        <f t="shared" si="98"/>
        <v>14203.39</v>
      </c>
      <c r="BQ39" s="108">
        <f t="shared" si="98"/>
        <v>17192.73</v>
      </c>
      <c r="BR39" s="108">
        <f t="shared" si="98"/>
        <v>103359.7</v>
      </c>
      <c r="BS39" s="108">
        <f t="shared" si="98"/>
        <v>19045.61</v>
      </c>
      <c r="BT39" s="108">
        <f t="shared" si="98"/>
        <v>19818.1</v>
      </c>
      <c r="BU39" s="108">
        <f t="shared" si="98"/>
        <v>26615.74</v>
      </c>
      <c r="BV39" s="108">
        <f t="shared" si="98"/>
        <v>8802.77</v>
      </c>
      <c r="BW39" s="289">
        <f t="shared" si="98"/>
        <v>47850.07</v>
      </c>
      <c r="BX39" s="289">
        <f t="shared" si="98"/>
        <v>43360.66</v>
      </c>
      <c r="BY39" s="289">
        <f t="shared" si="98"/>
        <v>27939.85</v>
      </c>
      <c r="BZ39" s="289">
        <f t="shared" si="98"/>
        <v>24716.53</v>
      </c>
      <c r="CA39" s="289">
        <f t="shared" si="98"/>
        <v>42816</v>
      </c>
      <c r="CB39" s="289">
        <f t="shared" si="98"/>
        <v>47780.3</v>
      </c>
      <c r="CC39" s="289">
        <f t="shared" si="98"/>
        <v>0</v>
      </c>
      <c r="CD39" s="289">
        <f t="shared" si="98"/>
        <v>0</v>
      </c>
      <c r="CE39" s="289">
        <f t="shared" si="98"/>
        <v>0</v>
      </c>
      <c r="CF39" s="289">
        <f t="shared" si="98"/>
        <v>0</v>
      </c>
      <c r="CG39" s="289">
        <f t="shared" si="98"/>
        <v>0</v>
      </c>
      <c r="CH39" s="289">
        <f t="shared" si="98"/>
        <v>0</v>
      </c>
      <c r="CI39" s="108"/>
      <c r="CJ39" s="108"/>
      <c r="CK39" s="290"/>
      <c r="CL39" s="108"/>
      <c r="CM39" s="108">
        <f t="shared" si="82"/>
        <v>119150.58</v>
      </c>
      <c r="CN39" s="108">
        <f t="shared" si="83"/>
        <v>115312.83</v>
      </c>
      <c r="CO39" s="108">
        <f t="shared" si="84"/>
        <v>0</v>
      </c>
      <c r="CP39" s="108">
        <f t="shared" si="85"/>
        <v>0</v>
      </c>
      <c r="CQ39" s="290">
        <f t="shared" si="86"/>
        <v>234463.41</v>
      </c>
      <c r="CR39" s="108"/>
      <c r="CS39" s="108">
        <f t="shared" si="87"/>
        <v>65081.98</v>
      </c>
      <c r="CT39" s="108">
        <f t="shared" si="88"/>
        <v>56939.46</v>
      </c>
      <c r="CU39" s="108">
        <f t="shared" si="89"/>
        <v>139598.04</v>
      </c>
      <c r="CV39" s="108">
        <f t="shared" si="90"/>
        <v>55236.61</v>
      </c>
      <c r="CW39" s="282">
        <f t="shared" si="91"/>
        <v>316856.09</v>
      </c>
      <c r="CX39" s="108"/>
      <c r="CY39" s="108"/>
      <c r="CZ39" s="108"/>
      <c r="DA39" s="108"/>
      <c r="DB39" s="108"/>
      <c r="DC39" s="282"/>
      <c r="DD39" s="108"/>
      <c r="DE39" s="108"/>
      <c r="DF39" s="108"/>
      <c r="DG39" s="108"/>
      <c r="DH39" s="108"/>
      <c r="DI39" s="282"/>
      <c r="DJ39" s="284"/>
      <c r="DK39" s="137"/>
      <c r="DL39" s="137"/>
      <c r="DM39" s="137"/>
      <c r="DN39" s="137"/>
      <c r="DO39" s="142"/>
      <c r="DP39" s="284"/>
      <c r="DQ39" s="285"/>
      <c r="DR39" s="44"/>
      <c r="DS39" s="286"/>
      <c r="DT39" s="286"/>
      <c r="DU39" s="286"/>
      <c r="DV39" s="286"/>
      <c r="DW39" s="286"/>
      <c r="DX39" s="286"/>
      <c r="DY39" s="286"/>
      <c r="DZ39" s="286"/>
      <c r="EA39" s="286"/>
      <c r="EB39" s="286"/>
      <c r="EC39" s="286"/>
      <c r="ED39" s="286"/>
      <c r="EE39" s="286"/>
      <c r="EF39" s="286"/>
      <c r="EG39" s="286"/>
      <c r="EH39" s="286"/>
      <c r="EI39" s="286"/>
      <c r="EJ39" s="286"/>
      <c r="EK39" s="286"/>
      <c r="EL39" s="286"/>
      <c r="EM39" s="286"/>
      <c r="EN39" s="286"/>
      <c r="EO39" s="286"/>
      <c r="EP39" s="286"/>
      <c r="EQ39" s="286"/>
      <c r="ER39" s="286"/>
      <c r="ES39" s="286"/>
      <c r="ET39" s="286"/>
      <c r="EU39" s="286"/>
      <c r="EV39" s="286"/>
      <c r="EW39" s="286"/>
      <c r="EX39" s="286"/>
      <c r="EY39" s="286"/>
      <c r="EZ39" s="286"/>
      <c r="FA39" s="286"/>
      <c r="FB39" s="286"/>
      <c r="FC39" s="286"/>
      <c r="FD39" s="286"/>
      <c r="FE39" s="286"/>
      <c r="FF39" s="286"/>
      <c r="FG39" s="286"/>
      <c r="FH39" s="286"/>
      <c r="FI39" s="286"/>
      <c r="FJ39" s="286"/>
      <c r="FK39" s="286"/>
      <c r="FL39" s="286"/>
      <c r="FM39" s="286"/>
      <c r="FN39" s="286"/>
      <c r="FO39" s="286"/>
      <c r="FP39" s="286"/>
      <c r="FQ39" s="286"/>
      <c r="FR39" s="286"/>
      <c r="FS39" s="286"/>
      <c r="FT39" s="286"/>
      <c r="FU39" s="286"/>
      <c r="FV39" s="286"/>
      <c r="FW39" s="286"/>
      <c r="FX39" s="286"/>
      <c r="FY39" s="286"/>
      <c r="FZ39" s="286"/>
      <c r="GA39" s="286"/>
      <c r="GB39" s="286"/>
      <c r="GC39" s="286"/>
      <c r="GD39" s="286"/>
      <c r="GE39" s="286"/>
      <c r="GF39" s="286"/>
      <c r="GG39" s="286"/>
      <c r="GH39" s="286"/>
      <c r="GI39" s="286"/>
      <c r="GJ39" s="286"/>
      <c r="GK39" s="286"/>
      <c r="GL39" s="286"/>
      <c r="GM39" s="286"/>
    </row>
    <row r="40" outlineLevel="1">
      <c r="B40" s="135" t="s">
        <v>520</v>
      </c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337"/>
      <c r="AY40" s="354">
        <v>11007.83</v>
      </c>
      <c r="AZ40" s="354">
        <v>1541.06</v>
      </c>
      <c r="BA40" s="354">
        <v>2157.48</v>
      </c>
      <c r="BB40" s="354">
        <v>9375.99</v>
      </c>
      <c r="BC40" s="354">
        <v>12447.67</v>
      </c>
      <c r="BD40" s="354">
        <v>4955.0</v>
      </c>
      <c r="BE40" s="354">
        <v>5690.34</v>
      </c>
      <c r="BF40" s="354">
        <v>7451.24</v>
      </c>
      <c r="BG40" s="354">
        <v>7096.92</v>
      </c>
      <c r="BH40" s="354">
        <v>2513.97</v>
      </c>
      <c r="BI40" s="354">
        <v>5288.27</v>
      </c>
      <c r="BJ40" s="354">
        <v>3039.37</v>
      </c>
      <c r="BK40" s="354">
        <v>10443.23</v>
      </c>
      <c r="BL40" s="354">
        <v>7763.67</v>
      </c>
      <c r="BM40" s="354">
        <v>3905.16</v>
      </c>
      <c r="BN40" s="354">
        <v>2158.4</v>
      </c>
      <c r="BO40" s="354">
        <v>16326.19</v>
      </c>
      <c r="BP40" s="354">
        <v>6450.11</v>
      </c>
      <c r="BQ40" s="354">
        <v>4621.4</v>
      </c>
      <c r="BR40" s="354">
        <v>26894.86</v>
      </c>
      <c r="BS40" s="337">
        <v>6057.61</v>
      </c>
      <c r="BT40" s="337">
        <v>7193.08</v>
      </c>
      <c r="BU40" s="337">
        <v>12376.22</v>
      </c>
      <c r="BV40" s="337">
        <v>3878.67</v>
      </c>
      <c r="BW40" s="337">
        <v>11911.5</v>
      </c>
      <c r="BX40" s="337">
        <v>17972.29</v>
      </c>
      <c r="BY40" s="337">
        <v>15361.53</v>
      </c>
      <c r="BZ40" s="337">
        <v>10345.6</v>
      </c>
      <c r="CA40" s="337">
        <v>10396.55</v>
      </c>
      <c r="CB40" s="337">
        <v>11797.94</v>
      </c>
      <c r="CC40" s="54"/>
      <c r="CD40" s="54"/>
      <c r="CE40" s="54"/>
      <c r="CF40" s="54"/>
      <c r="CG40" s="54"/>
      <c r="CH40" s="54"/>
      <c r="CI40" s="33"/>
      <c r="CJ40" s="33"/>
      <c r="CK40" s="339"/>
      <c r="CL40" s="49"/>
      <c r="CM40" s="136">
        <f t="shared" si="82"/>
        <v>45245.32</v>
      </c>
      <c r="CN40" s="136">
        <f t="shared" si="83"/>
        <v>32540.09</v>
      </c>
      <c r="CO40" s="136">
        <f t="shared" si="84"/>
        <v>0</v>
      </c>
      <c r="CP40" s="136">
        <f t="shared" si="85"/>
        <v>0</v>
      </c>
      <c r="CQ40" s="339">
        <f t="shared" si="86"/>
        <v>77785.41</v>
      </c>
      <c r="CR40" s="136"/>
      <c r="CS40" s="136">
        <f t="shared" si="87"/>
        <v>22112.06</v>
      </c>
      <c r="CT40" s="136">
        <f t="shared" si="88"/>
        <v>24934.7</v>
      </c>
      <c r="CU40" s="136">
        <f t="shared" si="89"/>
        <v>37573.87</v>
      </c>
      <c r="CV40" s="136">
        <f t="shared" si="90"/>
        <v>23447.97</v>
      </c>
      <c r="CW40" s="292">
        <f t="shared" si="91"/>
        <v>108068.6</v>
      </c>
      <c r="CX40" s="49"/>
      <c r="CY40" s="136"/>
      <c r="CZ40" s="136"/>
      <c r="DA40" s="136"/>
      <c r="DB40" s="136"/>
      <c r="DC40" s="292"/>
      <c r="DD40" s="136"/>
      <c r="DE40" s="136"/>
      <c r="DF40" s="136"/>
      <c r="DG40" s="136"/>
      <c r="DH40" s="136"/>
      <c r="DI40" s="292"/>
      <c r="DJ40" s="136"/>
      <c r="DK40" s="137"/>
      <c r="DL40" s="137"/>
      <c r="DM40" s="137"/>
      <c r="DN40" s="137"/>
      <c r="DO40" s="142"/>
      <c r="DP40" s="136"/>
      <c r="DQ40" s="292"/>
      <c r="DR40" s="136"/>
      <c r="DS40" s="136"/>
      <c r="DT40" s="136"/>
      <c r="DU40" s="136"/>
      <c r="DV40" s="136"/>
      <c r="DW40" s="136"/>
      <c r="DX40" s="136"/>
      <c r="DY40" s="136"/>
      <c r="DZ40" s="136"/>
      <c r="EA40" s="136"/>
      <c r="EB40" s="136"/>
      <c r="EC40" s="136"/>
      <c r="ED40" s="136"/>
      <c r="EE40" s="136"/>
      <c r="EF40" s="136"/>
      <c r="EG40" s="136"/>
      <c r="EH40" s="136"/>
      <c r="EI40" s="136"/>
      <c r="EJ40" s="136"/>
      <c r="EK40" s="136"/>
      <c r="EL40" s="136"/>
      <c r="EM40" s="136"/>
      <c r="EN40" s="136"/>
      <c r="EO40" s="136"/>
      <c r="EP40" s="136"/>
      <c r="EQ40" s="136"/>
      <c r="ER40" s="136"/>
      <c r="ES40" s="136"/>
      <c r="ET40" s="136"/>
      <c r="EU40" s="136"/>
      <c r="EV40" s="136"/>
      <c r="EW40" s="136"/>
      <c r="EX40" s="136"/>
      <c r="EY40" s="136"/>
      <c r="EZ40" s="136"/>
      <c r="FA40" s="136"/>
      <c r="FB40" s="136"/>
      <c r="FC40" s="136"/>
      <c r="FD40" s="136"/>
      <c r="FE40" s="136"/>
      <c r="FF40" s="136"/>
      <c r="FG40" s="136"/>
      <c r="FH40" s="136"/>
      <c r="FI40" s="136"/>
      <c r="FJ40" s="136"/>
      <c r="FK40" s="136"/>
      <c r="FL40" s="136"/>
      <c r="FM40" s="136"/>
      <c r="FN40" s="136"/>
      <c r="FO40" s="136"/>
      <c r="FP40" s="136"/>
      <c r="FQ40" s="136"/>
      <c r="FR40" s="136"/>
      <c r="FS40" s="136"/>
      <c r="FT40" s="136"/>
      <c r="FU40" s="136"/>
      <c r="FV40" s="136"/>
      <c r="FW40" s="136"/>
      <c r="FX40" s="136"/>
      <c r="FY40" s="136"/>
      <c r="FZ40" s="136"/>
      <c r="GA40" s="136"/>
      <c r="GB40" s="136"/>
      <c r="GC40" s="136"/>
      <c r="GD40" s="136"/>
      <c r="GE40" s="136"/>
      <c r="GF40" s="136"/>
      <c r="GG40" s="136"/>
      <c r="GH40" s="136"/>
      <c r="GI40" s="136"/>
      <c r="GJ40" s="136"/>
      <c r="GK40" s="136"/>
      <c r="GL40" s="136"/>
      <c r="GM40" s="136"/>
    </row>
    <row r="41" outlineLevel="1">
      <c r="B41" s="135" t="s">
        <v>521</v>
      </c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337"/>
      <c r="AY41" s="354">
        <v>22207.84</v>
      </c>
      <c r="AZ41" s="354">
        <v>8693.88</v>
      </c>
      <c r="BA41" s="354">
        <v>3556.77</v>
      </c>
      <c r="BB41" s="354">
        <v>11891.86</v>
      </c>
      <c r="BC41" s="354">
        <v>28914.53</v>
      </c>
      <c r="BD41" s="354">
        <v>18965.06</v>
      </c>
      <c r="BE41" s="354">
        <v>8115.52</v>
      </c>
      <c r="BF41" s="354">
        <v>40754.56</v>
      </c>
      <c r="BG41" s="354">
        <v>3611.31</v>
      </c>
      <c r="BH41" s="354">
        <v>3300.48</v>
      </c>
      <c r="BI41" s="354">
        <v>5424.87</v>
      </c>
      <c r="BJ41" s="354">
        <v>12861.75</v>
      </c>
      <c r="BK41" s="354">
        <v>9220.49</v>
      </c>
      <c r="BL41" s="354">
        <v>24622.87</v>
      </c>
      <c r="BM41" s="354">
        <v>9126.56</v>
      </c>
      <c r="BN41" s="354">
        <v>4854.24</v>
      </c>
      <c r="BO41" s="354">
        <v>19397.24</v>
      </c>
      <c r="BP41" s="354">
        <v>7753.28</v>
      </c>
      <c r="BQ41" s="354">
        <v>12571.33</v>
      </c>
      <c r="BR41" s="354">
        <v>76464.84</v>
      </c>
      <c r="BS41" s="337">
        <v>12988.0</v>
      </c>
      <c r="BT41" s="337">
        <v>12625.02</v>
      </c>
      <c r="BU41" s="337">
        <v>14239.52</v>
      </c>
      <c r="BV41" s="337">
        <v>4924.1</v>
      </c>
      <c r="BW41" s="337">
        <v>35938.57</v>
      </c>
      <c r="BX41" s="337">
        <v>25388.37</v>
      </c>
      <c r="BY41" s="137">
        <v>12578.32</v>
      </c>
      <c r="BZ41" s="137">
        <v>14370.93</v>
      </c>
      <c r="CA41" s="137">
        <v>32419.45</v>
      </c>
      <c r="CB41" s="137">
        <v>35982.36</v>
      </c>
      <c r="CC41" s="54"/>
      <c r="CD41" s="54"/>
      <c r="CE41" s="54"/>
      <c r="CF41" s="54"/>
      <c r="CG41" s="54"/>
      <c r="CH41" s="54"/>
      <c r="CI41" s="33"/>
      <c r="CJ41" s="33"/>
      <c r="CK41" s="339"/>
      <c r="CL41" s="49"/>
      <c r="CM41" s="136">
        <f t="shared" si="82"/>
        <v>73905.26</v>
      </c>
      <c r="CN41" s="136">
        <f t="shared" si="83"/>
        <v>82772.74</v>
      </c>
      <c r="CO41" s="136">
        <f t="shared" si="84"/>
        <v>0</v>
      </c>
      <c r="CP41" s="136">
        <f t="shared" si="85"/>
        <v>0</v>
      </c>
      <c r="CQ41" s="339">
        <f t="shared" si="86"/>
        <v>156678</v>
      </c>
      <c r="CR41" s="136"/>
      <c r="CS41" s="136">
        <f t="shared" si="87"/>
        <v>42969.92</v>
      </c>
      <c r="CT41" s="136">
        <f t="shared" si="88"/>
        <v>32004.76</v>
      </c>
      <c r="CU41" s="136">
        <f t="shared" si="89"/>
        <v>102024.17</v>
      </c>
      <c r="CV41" s="136">
        <f t="shared" si="90"/>
        <v>31788.64</v>
      </c>
      <c r="CW41" s="292">
        <f t="shared" si="91"/>
        <v>208787.49</v>
      </c>
      <c r="CX41" s="49"/>
      <c r="CY41" s="136"/>
      <c r="CZ41" s="136"/>
      <c r="DA41" s="136"/>
      <c r="DB41" s="136"/>
      <c r="DC41" s="292"/>
      <c r="DD41" s="136"/>
      <c r="DE41" s="136"/>
      <c r="DF41" s="136"/>
      <c r="DG41" s="136"/>
      <c r="DH41" s="136"/>
      <c r="DI41" s="292"/>
      <c r="DJ41" s="136"/>
      <c r="DK41" s="137"/>
      <c r="DL41" s="137"/>
      <c r="DM41" s="137"/>
      <c r="DN41" s="137"/>
      <c r="DO41" s="142"/>
      <c r="DP41" s="136"/>
      <c r="DQ41" s="292"/>
      <c r="DR41" s="136"/>
      <c r="DS41" s="136"/>
      <c r="DT41" s="136"/>
      <c r="DU41" s="136"/>
      <c r="DV41" s="136"/>
      <c r="DW41" s="136"/>
      <c r="DX41" s="136"/>
      <c r="DY41" s="136"/>
      <c r="DZ41" s="136"/>
      <c r="EA41" s="136"/>
      <c r="EB41" s="136"/>
      <c r="EC41" s="136"/>
      <c r="ED41" s="136"/>
      <c r="EE41" s="136"/>
      <c r="EF41" s="136"/>
      <c r="EG41" s="136"/>
      <c r="EH41" s="136"/>
      <c r="EI41" s="136"/>
      <c r="EJ41" s="136"/>
      <c r="EK41" s="136"/>
      <c r="EL41" s="136"/>
      <c r="EM41" s="136"/>
      <c r="EN41" s="136"/>
      <c r="EO41" s="136"/>
      <c r="EP41" s="136"/>
      <c r="EQ41" s="136"/>
      <c r="ER41" s="136"/>
      <c r="ES41" s="136"/>
      <c r="ET41" s="136"/>
      <c r="EU41" s="136"/>
      <c r="EV41" s="136"/>
      <c r="EW41" s="136"/>
      <c r="EX41" s="136"/>
      <c r="EY41" s="136"/>
      <c r="EZ41" s="136"/>
      <c r="FA41" s="136"/>
      <c r="FB41" s="136"/>
      <c r="FC41" s="136"/>
      <c r="FD41" s="136"/>
      <c r="FE41" s="136"/>
      <c r="FF41" s="136"/>
      <c r="FG41" s="136"/>
      <c r="FH41" s="136"/>
      <c r="FI41" s="136"/>
      <c r="FJ41" s="136"/>
      <c r="FK41" s="136"/>
      <c r="FL41" s="136"/>
      <c r="FM41" s="136"/>
      <c r="FN41" s="136"/>
      <c r="FO41" s="136"/>
      <c r="FP41" s="136"/>
      <c r="FQ41" s="136"/>
      <c r="FR41" s="136"/>
      <c r="FS41" s="136"/>
      <c r="FT41" s="136"/>
      <c r="FU41" s="136"/>
      <c r="FV41" s="136"/>
      <c r="FW41" s="136"/>
      <c r="FX41" s="136"/>
      <c r="FY41" s="136"/>
      <c r="FZ41" s="136"/>
      <c r="GA41" s="136"/>
      <c r="GB41" s="136"/>
      <c r="GC41" s="136"/>
      <c r="GD41" s="136"/>
      <c r="GE41" s="136"/>
      <c r="GF41" s="136"/>
      <c r="GG41" s="136"/>
      <c r="GH41" s="136"/>
      <c r="GI41" s="136"/>
      <c r="GJ41" s="136"/>
      <c r="GK41" s="136"/>
      <c r="GL41" s="136"/>
      <c r="GM41" s="136"/>
    </row>
    <row r="42" outlineLevel="1">
      <c r="B42" s="280" t="s">
        <v>522</v>
      </c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8"/>
      <c r="AX42" s="108"/>
      <c r="AY42" s="108"/>
      <c r="AZ42" s="108"/>
      <c r="BA42" s="108"/>
      <c r="BB42" s="108"/>
      <c r="BC42" s="108"/>
      <c r="BD42" s="108"/>
      <c r="BE42" s="108"/>
      <c r="BF42" s="108"/>
      <c r="BG42" s="108"/>
      <c r="BH42" s="108"/>
      <c r="BI42" s="108"/>
      <c r="BJ42" s="108"/>
      <c r="BK42" s="352">
        <v>0.0</v>
      </c>
      <c r="BL42" s="352">
        <v>0.0</v>
      </c>
      <c r="BM42" s="352">
        <v>0.0</v>
      </c>
      <c r="BN42" s="352">
        <v>0.0</v>
      </c>
      <c r="BO42" s="352">
        <v>0.0</v>
      </c>
      <c r="BP42" s="352">
        <v>0.0</v>
      </c>
      <c r="BQ42" s="352">
        <v>0.0</v>
      </c>
      <c r="BR42" s="352">
        <v>17815.43</v>
      </c>
      <c r="BS42" s="352">
        <v>19129.73</v>
      </c>
      <c r="BT42" s="352">
        <v>19130.87</v>
      </c>
      <c r="BU42" s="352">
        <v>27038.75</v>
      </c>
      <c r="BV42" s="352">
        <v>19316.63</v>
      </c>
      <c r="BW42" s="352">
        <v>25159.8</v>
      </c>
      <c r="BX42" s="352">
        <v>26486.7</v>
      </c>
      <c r="BY42" s="352">
        <v>24993.15</v>
      </c>
      <c r="BZ42" s="352">
        <v>23476.8</v>
      </c>
      <c r="CA42" s="352">
        <v>25005.99</v>
      </c>
      <c r="CB42" s="352">
        <v>23273.69</v>
      </c>
      <c r="CC42" s="368"/>
      <c r="CD42" s="368"/>
      <c r="CE42" s="368"/>
      <c r="CF42" s="368"/>
      <c r="CG42" s="368"/>
      <c r="CH42" s="368"/>
      <c r="CI42" s="108"/>
      <c r="CJ42" s="108"/>
      <c r="CK42" s="290"/>
      <c r="CL42" s="108"/>
      <c r="CM42" s="108">
        <f t="shared" si="82"/>
        <v>76639.65</v>
      </c>
      <c r="CN42" s="108">
        <f t="shared" si="83"/>
        <v>71756.48</v>
      </c>
      <c r="CO42" s="108">
        <f t="shared" si="84"/>
        <v>0</v>
      </c>
      <c r="CP42" s="108">
        <f t="shared" si="85"/>
        <v>0</v>
      </c>
      <c r="CQ42" s="290">
        <f t="shared" si="86"/>
        <v>148396.13</v>
      </c>
      <c r="CR42" s="108"/>
      <c r="CS42" s="108">
        <f t="shared" si="87"/>
        <v>0</v>
      </c>
      <c r="CT42" s="108">
        <f t="shared" si="88"/>
        <v>0</v>
      </c>
      <c r="CU42" s="108">
        <f t="shared" si="89"/>
        <v>36945.16</v>
      </c>
      <c r="CV42" s="108">
        <f t="shared" si="90"/>
        <v>65486.25</v>
      </c>
      <c r="CW42" s="282">
        <f t="shared" si="91"/>
        <v>102431.41</v>
      </c>
      <c r="CX42" s="108"/>
      <c r="CY42" s="108"/>
      <c r="CZ42" s="108"/>
      <c r="DA42" s="108"/>
      <c r="DB42" s="108"/>
      <c r="DC42" s="282"/>
      <c r="DD42" s="108"/>
      <c r="DE42" s="108"/>
      <c r="DF42" s="108"/>
      <c r="DG42" s="108"/>
      <c r="DH42" s="108"/>
      <c r="DI42" s="282"/>
      <c r="DJ42" s="284"/>
      <c r="DK42" s="137"/>
      <c r="DL42" s="137"/>
      <c r="DM42" s="137"/>
      <c r="DN42" s="137"/>
      <c r="DO42" s="142"/>
      <c r="DP42" s="284"/>
      <c r="DQ42" s="285"/>
      <c r="DR42" s="44"/>
      <c r="DS42" s="286"/>
      <c r="DT42" s="286"/>
      <c r="DU42" s="286"/>
      <c r="DV42" s="286"/>
      <c r="DW42" s="286"/>
      <c r="DX42" s="286"/>
      <c r="DY42" s="286"/>
      <c r="DZ42" s="286"/>
      <c r="EA42" s="286"/>
      <c r="EB42" s="286"/>
      <c r="EC42" s="286"/>
      <c r="ED42" s="286"/>
      <c r="EE42" s="286"/>
      <c r="EF42" s="286"/>
      <c r="EG42" s="286"/>
      <c r="EH42" s="286"/>
      <c r="EI42" s="286"/>
      <c r="EJ42" s="286"/>
      <c r="EK42" s="286"/>
      <c r="EL42" s="286"/>
      <c r="EM42" s="286"/>
      <c r="EN42" s="286"/>
      <c r="EO42" s="286"/>
      <c r="EP42" s="286"/>
      <c r="EQ42" s="286"/>
      <c r="ER42" s="286"/>
      <c r="ES42" s="286"/>
      <c r="ET42" s="286"/>
      <c r="EU42" s="286"/>
      <c r="EV42" s="286"/>
      <c r="EW42" s="286"/>
      <c r="EX42" s="286"/>
      <c r="EY42" s="286"/>
      <c r="EZ42" s="286"/>
      <c r="FA42" s="286"/>
      <c r="FB42" s="286"/>
      <c r="FC42" s="286"/>
      <c r="FD42" s="286"/>
      <c r="FE42" s="286"/>
      <c r="FF42" s="286"/>
      <c r="FG42" s="286"/>
      <c r="FH42" s="286"/>
      <c r="FI42" s="286"/>
      <c r="FJ42" s="286"/>
      <c r="FK42" s="286"/>
      <c r="FL42" s="286"/>
      <c r="FM42" s="286"/>
      <c r="FN42" s="286"/>
      <c r="FO42" s="286"/>
      <c r="FP42" s="286"/>
      <c r="FQ42" s="286"/>
      <c r="FR42" s="286"/>
      <c r="FS42" s="286"/>
      <c r="FT42" s="286"/>
      <c r="FU42" s="286"/>
      <c r="FV42" s="286"/>
      <c r="FW42" s="286"/>
      <c r="FX42" s="286"/>
      <c r="FY42" s="286"/>
      <c r="FZ42" s="286"/>
      <c r="GA42" s="286"/>
      <c r="GB42" s="286"/>
      <c r="GC42" s="286"/>
      <c r="GD42" s="286"/>
      <c r="GE42" s="286"/>
      <c r="GF42" s="286"/>
      <c r="GG42" s="286"/>
      <c r="GH42" s="286"/>
      <c r="GI42" s="286"/>
      <c r="GJ42" s="286"/>
      <c r="GK42" s="286"/>
      <c r="GL42" s="286"/>
      <c r="GM42" s="286"/>
    </row>
    <row r="43">
      <c r="B43" s="280" t="s">
        <v>523</v>
      </c>
      <c r="C43" s="280"/>
      <c r="D43" s="280"/>
      <c r="E43" s="280"/>
      <c r="F43" s="280"/>
      <c r="G43" s="280"/>
      <c r="H43" s="280"/>
      <c r="I43" s="280"/>
      <c r="J43" s="280"/>
      <c r="K43" s="280"/>
      <c r="L43" s="280"/>
      <c r="M43" s="280"/>
      <c r="N43" s="280"/>
      <c r="O43" s="280"/>
      <c r="P43" s="280"/>
      <c r="Q43" s="280"/>
      <c r="R43" s="280"/>
      <c r="S43" s="280"/>
      <c r="T43" s="280"/>
      <c r="U43" s="280"/>
      <c r="V43" s="280"/>
      <c r="W43" s="280"/>
      <c r="X43" s="280"/>
      <c r="Y43" s="280"/>
      <c r="Z43" s="280"/>
      <c r="AA43" s="280"/>
      <c r="AB43" s="280"/>
      <c r="AC43" s="280"/>
      <c r="AD43" s="280"/>
      <c r="AE43" s="280"/>
      <c r="AF43" s="280"/>
      <c r="AG43" s="280"/>
      <c r="AH43" s="280"/>
      <c r="AI43" s="280"/>
      <c r="AJ43" s="280"/>
      <c r="AK43" s="280"/>
      <c r="AL43" s="280"/>
      <c r="AM43" s="280"/>
      <c r="AN43" s="280"/>
      <c r="AO43" s="280"/>
      <c r="AP43" s="280"/>
      <c r="AQ43" s="280"/>
      <c r="AR43" s="280"/>
      <c r="AS43" s="280"/>
      <c r="AT43" s="280"/>
      <c r="AU43" s="280"/>
      <c r="AV43" s="280"/>
      <c r="AW43" s="280"/>
      <c r="AX43" s="280"/>
      <c r="AY43" s="280"/>
      <c r="AZ43" s="280"/>
      <c r="BA43" s="280"/>
      <c r="BB43" s="352">
        <v>30000.0</v>
      </c>
      <c r="BC43" s="352">
        <v>30000.0</v>
      </c>
      <c r="BD43" s="352">
        <v>30000.0</v>
      </c>
      <c r="BE43" s="352">
        <v>30000.0</v>
      </c>
      <c r="BF43" s="352">
        <v>40000.0</v>
      </c>
      <c r="BG43" s="352">
        <v>15000.0</v>
      </c>
      <c r="BH43" s="352">
        <v>25000.0</v>
      </c>
      <c r="BI43" s="352">
        <v>18160.0</v>
      </c>
      <c r="BJ43" s="352">
        <v>28720.0</v>
      </c>
      <c r="BK43" s="352">
        <v>27840.0</v>
      </c>
      <c r="BL43" s="352">
        <v>48080.0</v>
      </c>
      <c r="BM43" s="352">
        <v>29600.0</v>
      </c>
      <c r="BN43" s="352">
        <v>880.0</v>
      </c>
      <c r="BO43" s="352">
        <v>19360.0</v>
      </c>
      <c r="BP43" s="352">
        <v>0.0</v>
      </c>
      <c r="BQ43" s="352">
        <v>0.0</v>
      </c>
      <c r="BR43" s="352">
        <v>0.0</v>
      </c>
      <c r="BS43" s="352">
        <v>0.0</v>
      </c>
      <c r="BT43" s="352">
        <v>0.0</v>
      </c>
      <c r="BU43" s="352">
        <v>0.0</v>
      </c>
      <c r="BV43" s="352">
        <v>0.0</v>
      </c>
      <c r="BW43" s="368"/>
      <c r="BX43" s="368"/>
      <c r="BY43" s="368"/>
      <c r="BZ43" s="368"/>
      <c r="CA43" s="368"/>
      <c r="CB43" s="368"/>
      <c r="CC43" s="368"/>
      <c r="CD43" s="368"/>
      <c r="CE43" s="368"/>
      <c r="CF43" s="368"/>
      <c r="CG43" s="368"/>
      <c r="CH43" s="368"/>
      <c r="CI43" s="280"/>
      <c r="CJ43" s="280"/>
      <c r="CK43" s="290"/>
      <c r="CL43" s="108"/>
      <c r="CM43" s="108">
        <f t="shared" si="82"/>
        <v>0</v>
      </c>
      <c r="CN43" s="108">
        <f t="shared" si="83"/>
        <v>0</v>
      </c>
      <c r="CO43" s="108">
        <f t="shared" si="84"/>
        <v>0</v>
      </c>
      <c r="CP43" s="108">
        <f t="shared" si="85"/>
        <v>0</v>
      </c>
      <c r="CQ43" s="290">
        <f t="shared" si="86"/>
        <v>0</v>
      </c>
      <c r="CR43" s="108"/>
      <c r="CS43" s="108">
        <f t="shared" si="87"/>
        <v>105520</v>
      </c>
      <c r="CT43" s="108">
        <f t="shared" si="88"/>
        <v>20240</v>
      </c>
      <c r="CU43" s="108">
        <f t="shared" si="89"/>
        <v>0</v>
      </c>
      <c r="CV43" s="108">
        <f t="shared" si="90"/>
        <v>0</v>
      </c>
      <c r="CW43" s="282">
        <f t="shared" si="91"/>
        <v>125760</v>
      </c>
      <c r="CX43" s="108"/>
      <c r="CY43" s="108"/>
      <c r="CZ43" s="108"/>
      <c r="DA43" s="108"/>
      <c r="DB43" s="108"/>
      <c r="DC43" s="282"/>
      <c r="DD43" s="108"/>
      <c r="DE43" s="108"/>
      <c r="DF43" s="108"/>
      <c r="DG43" s="108"/>
      <c r="DH43" s="108"/>
      <c r="DI43" s="282"/>
      <c r="DJ43" s="284"/>
      <c r="DK43" s="137"/>
      <c r="DL43" s="137"/>
      <c r="DM43" s="137"/>
      <c r="DN43" s="137"/>
      <c r="DO43" s="282"/>
      <c r="DP43" s="49"/>
      <c r="DQ43" s="282"/>
      <c r="DR43" s="136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4"/>
      <c r="EK43" s="64"/>
      <c r="EL43" s="64"/>
      <c r="EM43" s="64"/>
      <c r="EN43" s="64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4"/>
      <c r="FH43" s="64"/>
      <c r="FI43" s="64"/>
      <c r="FJ43" s="64"/>
      <c r="FK43" s="64"/>
      <c r="FL43" s="64"/>
      <c r="FM43" s="64"/>
      <c r="FN43" s="64"/>
      <c r="FO43" s="64"/>
      <c r="FP43" s="64"/>
      <c r="FQ43" s="64"/>
      <c r="FR43" s="64"/>
      <c r="FS43" s="64"/>
      <c r="FT43" s="64"/>
      <c r="FU43" s="64"/>
      <c r="FV43" s="64"/>
      <c r="FW43" s="64"/>
      <c r="FX43" s="64"/>
      <c r="FY43" s="64"/>
      <c r="FZ43" s="64"/>
      <c r="GA43" s="64"/>
      <c r="GB43" s="64"/>
      <c r="GC43" s="64"/>
      <c r="GD43" s="64"/>
      <c r="GE43" s="64"/>
      <c r="GF43" s="64"/>
      <c r="GG43" s="64"/>
      <c r="GH43" s="64"/>
      <c r="GI43" s="64"/>
      <c r="GJ43" s="64"/>
      <c r="GK43" s="64"/>
      <c r="GL43" s="64"/>
      <c r="GM43" s="64"/>
    </row>
    <row r="44">
      <c r="A44" s="101"/>
      <c r="B44" s="340" t="s">
        <v>532</v>
      </c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  <c r="Z44" s="283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>
        <f t="shared" ref="AY44:BW44" si="99">AY42+AY40+AY30</f>
        <v>340792.89</v>
      </c>
      <c r="AZ44" s="341">
        <f t="shared" si="99"/>
        <v>306671.14</v>
      </c>
      <c r="BA44" s="341">
        <f t="shared" si="99"/>
        <v>288761.32</v>
      </c>
      <c r="BB44" s="341">
        <f t="shared" si="99"/>
        <v>417680.31</v>
      </c>
      <c r="BC44" s="341">
        <f t="shared" si="99"/>
        <v>274306.84</v>
      </c>
      <c r="BD44" s="341">
        <f t="shared" si="99"/>
        <v>267155.4</v>
      </c>
      <c r="BE44" s="341">
        <f t="shared" si="99"/>
        <v>273054.37</v>
      </c>
      <c r="BF44" s="341">
        <f t="shared" si="99"/>
        <v>465535.47</v>
      </c>
      <c r="BG44" s="341">
        <f t="shared" si="99"/>
        <v>346183.86</v>
      </c>
      <c r="BH44" s="341">
        <f t="shared" si="99"/>
        <v>387053.11</v>
      </c>
      <c r="BI44" s="341">
        <f t="shared" si="99"/>
        <v>367199.18</v>
      </c>
      <c r="BJ44" s="341">
        <f t="shared" si="99"/>
        <v>430922.64</v>
      </c>
      <c r="BK44" s="341">
        <f t="shared" si="99"/>
        <v>454253.31</v>
      </c>
      <c r="BL44" s="341">
        <f t="shared" si="99"/>
        <v>375788.27</v>
      </c>
      <c r="BM44" s="341">
        <f t="shared" si="99"/>
        <v>389488.42</v>
      </c>
      <c r="BN44" s="341">
        <f t="shared" si="99"/>
        <v>392207.58</v>
      </c>
      <c r="BO44" s="341">
        <f t="shared" si="99"/>
        <v>437865.3</v>
      </c>
      <c r="BP44" s="341">
        <f t="shared" si="99"/>
        <v>406444.42</v>
      </c>
      <c r="BQ44" s="341">
        <f t="shared" si="99"/>
        <v>441860.53</v>
      </c>
      <c r="BR44" s="341">
        <f t="shared" si="99"/>
        <v>448808.93</v>
      </c>
      <c r="BS44" s="341">
        <f t="shared" si="99"/>
        <v>492851.77</v>
      </c>
      <c r="BT44" s="341">
        <f t="shared" si="99"/>
        <v>578773.95</v>
      </c>
      <c r="BU44" s="341">
        <f t="shared" si="99"/>
        <v>572043.33</v>
      </c>
      <c r="BV44" s="341">
        <f t="shared" si="99"/>
        <v>627578.78</v>
      </c>
      <c r="BW44" s="348">
        <f t="shared" si="99"/>
        <v>643662.18</v>
      </c>
      <c r="BX44" s="348">
        <f t="shared" ref="BX44:BY44" si="100">BX30</f>
        <v>507460.14</v>
      </c>
      <c r="BY44" s="348">
        <f t="shared" si="100"/>
        <v>676650.82</v>
      </c>
      <c r="BZ44" s="348">
        <f t="shared" ref="BZ44:CH44" si="101">BZ42+BZ40+BZ30</f>
        <v>705273.34</v>
      </c>
      <c r="CA44" s="348">
        <f t="shared" si="101"/>
        <v>588451.05</v>
      </c>
      <c r="CB44" s="348">
        <f t="shared" si="101"/>
        <v>606492</v>
      </c>
      <c r="CC44" s="348">
        <f t="shared" si="101"/>
        <v>0</v>
      </c>
      <c r="CD44" s="348">
        <f t="shared" si="101"/>
        <v>0</v>
      </c>
      <c r="CE44" s="348">
        <f t="shared" si="101"/>
        <v>0</v>
      </c>
      <c r="CF44" s="348">
        <f t="shared" si="101"/>
        <v>0</v>
      </c>
      <c r="CG44" s="348">
        <f t="shared" si="101"/>
        <v>0</v>
      </c>
      <c r="CH44" s="348">
        <f t="shared" si="101"/>
        <v>0</v>
      </c>
      <c r="CI44" s="342"/>
      <c r="CJ44" s="342"/>
      <c r="CK44" s="290"/>
      <c r="CL44" s="283"/>
      <c r="CM44" s="283">
        <f t="shared" si="82"/>
        <v>1827773.14</v>
      </c>
      <c r="CN44" s="283">
        <f t="shared" si="83"/>
        <v>1900216.39</v>
      </c>
      <c r="CO44" s="283">
        <f t="shared" si="84"/>
        <v>0</v>
      </c>
      <c r="CP44" s="283">
        <f t="shared" si="85"/>
        <v>0</v>
      </c>
      <c r="CQ44" s="349">
        <f t="shared" si="86"/>
        <v>3727989.53</v>
      </c>
      <c r="CR44" s="283"/>
      <c r="CS44" s="283">
        <f t="shared" si="87"/>
        <v>1219530</v>
      </c>
      <c r="CT44" s="283">
        <f t="shared" si="88"/>
        <v>1236517.3</v>
      </c>
      <c r="CU44" s="283">
        <f t="shared" si="89"/>
        <v>1383521.23</v>
      </c>
      <c r="CV44" s="283">
        <f t="shared" si="90"/>
        <v>1778396.06</v>
      </c>
      <c r="CW44" s="343">
        <f t="shared" si="91"/>
        <v>5617964.59</v>
      </c>
      <c r="CX44" s="283"/>
      <c r="CY44" s="283"/>
      <c r="CZ44" s="283"/>
      <c r="DA44" s="283"/>
      <c r="DB44" s="283"/>
      <c r="DC44" s="343"/>
      <c r="DD44" s="283"/>
      <c r="DE44" s="283"/>
      <c r="DF44" s="283"/>
      <c r="DG44" s="283"/>
      <c r="DH44" s="283"/>
      <c r="DI44" s="343"/>
      <c r="DJ44" s="283"/>
      <c r="DK44" s="341"/>
      <c r="DL44" s="341"/>
      <c r="DM44" s="341"/>
      <c r="DN44" s="341"/>
      <c r="DO44" s="344"/>
      <c r="DP44" s="283"/>
      <c r="DQ44" s="343"/>
      <c r="DR44" s="283"/>
      <c r="DS44" s="283"/>
      <c r="DT44" s="283"/>
      <c r="DU44" s="283"/>
      <c r="DV44" s="283"/>
      <c r="DW44" s="283"/>
      <c r="DX44" s="283"/>
      <c r="DY44" s="283"/>
      <c r="DZ44" s="283"/>
      <c r="EA44" s="283"/>
      <c r="EB44" s="283"/>
      <c r="EC44" s="283"/>
      <c r="ED44" s="283"/>
      <c r="EE44" s="283"/>
      <c r="EF44" s="283"/>
      <c r="EG44" s="283"/>
      <c r="EH44" s="283"/>
      <c r="EI44" s="283"/>
      <c r="EJ44" s="283"/>
      <c r="EK44" s="283"/>
      <c r="EL44" s="283"/>
      <c r="EM44" s="283"/>
      <c r="EN44" s="283"/>
      <c r="EO44" s="283"/>
      <c r="EP44" s="283"/>
      <c r="EQ44" s="283"/>
      <c r="ER44" s="283"/>
      <c r="ES44" s="283"/>
      <c r="ET44" s="283"/>
      <c r="EU44" s="283"/>
      <c r="EV44" s="283"/>
      <c r="EW44" s="283"/>
      <c r="EX44" s="283"/>
      <c r="EY44" s="283"/>
      <c r="EZ44" s="283"/>
      <c r="FA44" s="283"/>
      <c r="FB44" s="283"/>
      <c r="FC44" s="283"/>
      <c r="FD44" s="283"/>
      <c r="FE44" s="283"/>
      <c r="FF44" s="283"/>
      <c r="FG44" s="283"/>
      <c r="FH44" s="283"/>
      <c r="FI44" s="283"/>
      <c r="FJ44" s="283"/>
      <c r="FK44" s="283"/>
      <c r="FL44" s="283"/>
      <c r="FM44" s="283"/>
      <c r="FN44" s="283"/>
      <c r="FO44" s="283"/>
      <c r="FP44" s="283"/>
      <c r="FQ44" s="283"/>
      <c r="FR44" s="283"/>
      <c r="FS44" s="283"/>
      <c r="FT44" s="283"/>
      <c r="FU44" s="283"/>
      <c r="FV44" s="283"/>
      <c r="FW44" s="283"/>
      <c r="FX44" s="283"/>
      <c r="FY44" s="283"/>
      <c r="FZ44" s="283"/>
      <c r="GA44" s="283"/>
      <c r="GB44" s="283"/>
      <c r="GC44" s="283"/>
      <c r="GD44" s="283"/>
      <c r="GE44" s="283"/>
      <c r="GF44" s="283"/>
      <c r="GG44" s="283"/>
      <c r="GH44" s="283"/>
      <c r="GI44" s="283"/>
      <c r="GJ44" s="283"/>
      <c r="GK44" s="283"/>
      <c r="GL44" s="283"/>
      <c r="GM44" s="283"/>
    </row>
    <row r="45">
      <c r="A45" s="101"/>
      <c r="B45" s="340" t="s">
        <v>534</v>
      </c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>
        <f t="shared" ref="AY45:CH45" si="102">AY43+AY41+AY35</f>
        <v>449165.99</v>
      </c>
      <c r="AZ45" s="341">
        <f t="shared" si="102"/>
        <v>388956.88</v>
      </c>
      <c r="BA45" s="341">
        <f t="shared" si="102"/>
        <v>395358.48</v>
      </c>
      <c r="BB45" s="341">
        <f t="shared" si="102"/>
        <v>597553.54</v>
      </c>
      <c r="BC45" s="341">
        <f t="shared" si="102"/>
        <v>465261.92</v>
      </c>
      <c r="BD45" s="341">
        <f t="shared" si="102"/>
        <v>446347.56</v>
      </c>
      <c r="BE45" s="341">
        <f t="shared" si="102"/>
        <v>449963.82</v>
      </c>
      <c r="BF45" s="341">
        <f t="shared" si="102"/>
        <v>811963.46</v>
      </c>
      <c r="BG45" s="341">
        <f t="shared" si="102"/>
        <v>499814.04</v>
      </c>
      <c r="BH45" s="341">
        <f t="shared" si="102"/>
        <v>566662.82</v>
      </c>
      <c r="BI45" s="341">
        <f t="shared" si="102"/>
        <v>575269.31</v>
      </c>
      <c r="BJ45" s="341">
        <f t="shared" si="102"/>
        <v>633632.12</v>
      </c>
      <c r="BK45" s="341">
        <f t="shared" si="102"/>
        <v>665673.41</v>
      </c>
      <c r="BL45" s="341">
        <f t="shared" si="102"/>
        <v>672556.27</v>
      </c>
      <c r="BM45" s="341">
        <f t="shared" si="102"/>
        <v>667559.3</v>
      </c>
      <c r="BN45" s="341">
        <f t="shared" si="102"/>
        <v>656121.06</v>
      </c>
      <c r="BO45" s="341">
        <f t="shared" si="102"/>
        <v>722049.13</v>
      </c>
      <c r="BP45" s="341">
        <f t="shared" si="102"/>
        <v>731641.97</v>
      </c>
      <c r="BQ45" s="341">
        <f t="shared" si="102"/>
        <v>798746.2</v>
      </c>
      <c r="BR45" s="341">
        <f t="shared" si="102"/>
        <v>854803.98</v>
      </c>
      <c r="BS45" s="341">
        <f t="shared" si="102"/>
        <v>957634.21</v>
      </c>
      <c r="BT45" s="341">
        <f t="shared" si="102"/>
        <v>1024894.57</v>
      </c>
      <c r="BU45" s="341">
        <f t="shared" si="102"/>
        <v>974261.53</v>
      </c>
      <c r="BV45" s="341">
        <f t="shared" si="102"/>
        <v>1090449.2</v>
      </c>
      <c r="BW45" s="348">
        <f t="shared" si="102"/>
        <v>1195600.08</v>
      </c>
      <c r="BX45" s="348">
        <f t="shared" si="102"/>
        <v>1133523.85</v>
      </c>
      <c r="BY45" s="348">
        <f t="shared" si="102"/>
        <v>1260699.9</v>
      </c>
      <c r="BZ45" s="348">
        <f t="shared" si="102"/>
        <v>1240215.74</v>
      </c>
      <c r="CA45" s="348">
        <f t="shared" si="102"/>
        <v>1171608.58</v>
      </c>
      <c r="CB45" s="348">
        <f t="shared" si="102"/>
        <v>1280030.35</v>
      </c>
      <c r="CC45" s="348">
        <f t="shared" si="102"/>
        <v>0</v>
      </c>
      <c r="CD45" s="348">
        <f t="shared" si="102"/>
        <v>0</v>
      </c>
      <c r="CE45" s="348">
        <f t="shared" si="102"/>
        <v>0</v>
      </c>
      <c r="CF45" s="348">
        <f t="shared" si="102"/>
        <v>0</v>
      </c>
      <c r="CG45" s="348">
        <f t="shared" si="102"/>
        <v>0</v>
      </c>
      <c r="CH45" s="348">
        <f t="shared" si="102"/>
        <v>0</v>
      </c>
      <c r="CI45" s="342"/>
      <c r="CJ45" s="342"/>
      <c r="CK45" s="290"/>
      <c r="CL45" s="283"/>
      <c r="CM45" s="283">
        <f t="shared" si="82"/>
        <v>3589823.83</v>
      </c>
      <c r="CN45" s="283">
        <f t="shared" si="83"/>
        <v>3691854.67</v>
      </c>
      <c r="CO45" s="283">
        <f t="shared" si="84"/>
        <v>0</v>
      </c>
      <c r="CP45" s="283">
        <f t="shared" si="85"/>
        <v>0</v>
      </c>
      <c r="CQ45" s="349">
        <f t="shared" si="86"/>
        <v>7281678.5</v>
      </c>
      <c r="CR45" s="283"/>
      <c r="CS45" s="283">
        <f t="shared" si="87"/>
        <v>2005788.98</v>
      </c>
      <c r="CT45" s="283">
        <f t="shared" si="88"/>
        <v>2109812.16</v>
      </c>
      <c r="CU45" s="283">
        <f t="shared" si="89"/>
        <v>2611184.39</v>
      </c>
      <c r="CV45" s="283">
        <f t="shared" si="90"/>
        <v>3089605.3</v>
      </c>
      <c r="CW45" s="343">
        <f t="shared" si="91"/>
        <v>9816390.83</v>
      </c>
      <c r="CX45" s="283"/>
      <c r="CY45" s="283"/>
      <c r="CZ45" s="283"/>
      <c r="DA45" s="283"/>
      <c r="DB45" s="283"/>
      <c r="DC45" s="343"/>
      <c r="DD45" s="283"/>
      <c r="DE45" s="283"/>
      <c r="DF45" s="283"/>
      <c r="DG45" s="283"/>
      <c r="DH45" s="283"/>
      <c r="DI45" s="343"/>
      <c r="DJ45" s="283"/>
      <c r="DK45" s="341"/>
      <c r="DL45" s="341"/>
      <c r="DM45" s="341"/>
      <c r="DN45" s="341"/>
      <c r="DO45" s="344"/>
      <c r="DP45" s="283"/>
      <c r="DQ45" s="343"/>
      <c r="DR45" s="283"/>
      <c r="DS45" s="283"/>
      <c r="DT45" s="283"/>
      <c r="DU45" s="283"/>
      <c r="DV45" s="283"/>
      <c r="DW45" s="283"/>
      <c r="DX45" s="283"/>
      <c r="DY45" s="283"/>
      <c r="DZ45" s="283"/>
      <c r="EA45" s="283"/>
      <c r="EB45" s="283"/>
      <c r="EC45" s="283"/>
      <c r="ED45" s="283"/>
      <c r="EE45" s="283"/>
      <c r="EF45" s="283"/>
      <c r="EG45" s="283"/>
      <c r="EH45" s="283"/>
      <c r="EI45" s="283"/>
      <c r="EJ45" s="283"/>
      <c r="EK45" s="283"/>
      <c r="EL45" s="283"/>
      <c r="EM45" s="283"/>
      <c r="EN45" s="283"/>
      <c r="EO45" s="283"/>
      <c r="EP45" s="283"/>
      <c r="EQ45" s="283"/>
      <c r="ER45" s="283"/>
      <c r="ES45" s="283"/>
      <c r="ET45" s="283"/>
      <c r="EU45" s="283"/>
      <c r="EV45" s="283"/>
      <c r="EW45" s="283"/>
      <c r="EX45" s="283"/>
      <c r="EY45" s="283"/>
      <c r="EZ45" s="283"/>
      <c r="FA45" s="283"/>
      <c r="FB45" s="283"/>
      <c r="FC45" s="283"/>
      <c r="FD45" s="283"/>
      <c r="FE45" s="283"/>
      <c r="FF45" s="283"/>
      <c r="FG45" s="283"/>
      <c r="FH45" s="283"/>
      <c r="FI45" s="283"/>
      <c r="FJ45" s="283"/>
      <c r="FK45" s="283"/>
      <c r="FL45" s="283"/>
      <c r="FM45" s="283"/>
      <c r="FN45" s="283"/>
      <c r="FO45" s="283"/>
      <c r="FP45" s="283"/>
      <c r="FQ45" s="283"/>
      <c r="FR45" s="283"/>
      <c r="FS45" s="283"/>
      <c r="FT45" s="283"/>
      <c r="FU45" s="283"/>
      <c r="FV45" s="283"/>
      <c r="FW45" s="283"/>
      <c r="FX45" s="283"/>
      <c r="FY45" s="283"/>
      <c r="FZ45" s="283"/>
      <c r="GA45" s="283"/>
      <c r="GB45" s="283"/>
      <c r="GC45" s="283"/>
      <c r="GD45" s="283"/>
      <c r="GE45" s="283"/>
      <c r="GF45" s="283"/>
      <c r="GG45" s="283"/>
      <c r="GH45" s="283"/>
      <c r="GI45" s="283"/>
      <c r="GJ45" s="283"/>
      <c r="GK45" s="283"/>
      <c r="GL45" s="283"/>
      <c r="GM45" s="283"/>
    </row>
    <row r="46">
      <c r="A46" s="101"/>
      <c r="B46" s="340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342"/>
      <c r="CJ46" s="342"/>
      <c r="CK46" s="290"/>
      <c r="CL46" s="283"/>
      <c r="CM46" s="283"/>
      <c r="CN46" s="283"/>
      <c r="CO46" s="283"/>
      <c r="CP46" s="283"/>
      <c r="CQ46" s="349"/>
      <c r="CR46" s="283"/>
      <c r="CS46" s="283"/>
      <c r="CT46" s="283"/>
      <c r="CU46" s="283"/>
      <c r="CV46" s="283"/>
      <c r="CW46" s="343"/>
      <c r="CX46" s="283"/>
      <c r="CY46" s="283"/>
      <c r="CZ46" s="283"/>
      <c r="DA46" s="283"/>
      <c r="DB46" s="283"/>
      <c r="DC46" s="343"/>
      <c r="DD46" s="283"/>
      <c r="DE46" s="283"/>
      <c r="DF46" s="283"/>
      <c r="DG46" s="283"/>
      <c r="DH46" s="283"/>
      <c r="DI46" s="343"/>
      <c r="DJ46" s="283"/>
      <c r="DK46" s="341"/>
      <c r="DL46" s="341"/>
      <c r="DM46" s="341"/>
      <c r="DN46" s="341"/>
      <c r="DO46" s="344"/>
      <c r="DP46" s="283"/>
      <c r="DQ46" s="343"/>
      <c r="DR46" s="283"/>
      <c r="DS46" s="283"/>
      <c r="DT46" s="283"/>
      <c r="DU46" s="283"/>
      <c r="DV46" s="283"/>
      <c r="DW46" s="283"/>
      <c r="DX46" s="283"/>
      <c r="DY46" s="283"/>
      <c r="DZ46" s="283"/>
      <c r="EA46" s="283"/>
      <c r="EB46" s="283"/>
      <c r="EC46" s="283"/>
      <c r="ED46" s="283"/>
      <c r="EE46" s="283"/>
      <c r="EF46" s="283"/>
      <c r="EG46" s="283"/>
      <c r="EH46" s="283"/>
      <c r="EI46" s="283"/>
      <c r="EJ46" s="283"/>
      <c r="EK46" s="283"/>
      <c r="EL46" s="283"/>
      <c r="EM46" s="283"/>
      <c r="EN46" s="283"/>
      <c r="EO46" s="283"/>
      <c r="EP46" s="283"/>
      <c r="EQ46" s="283"/>
      <c r="ER46" s="283"/>
      <c r="ES46" s="283"/>
      <c r="ET46" s="283"/>
      <c r="EU46" s="283"/>
      <c r="EV46" s="283"/>
      <c r="EW46" s="283"/>
      <c r="EX46" s="283"/>
      <c r="EY46" s="283"/>
      <c r="EZ46" s="283"/>
      <c r="FA46" s="283"/>
      <c r="FB46" s="283"/>
      <c r="FC46" s="283"/>
      <c r="FD46" s="283"/>
      <c r="FE46" s="283"/>
      <c r="FF46" s="283"/>
      <c r="FG46" s="283"/>
      <c r="FH46" s="283"/>
      <c r="FI46" s="283"/>
      <c r="FJ46" s="283"/>
      <c r="FK46" s="283"/>
      <c r="FL46" s="283"/>
      <c r="FM46" s="283"/>
      <c r="FN46" s="283"/>
      <c r="FO46" s="283"/>
      <c r="FP46" s="283"/>
      <c r="FQ46" s="283"/>
      <c r="FR46" s="283"/>
      <c r="FS46" s="283"/>
      <c r="FT46" s="283"/>
      <c r="FU46" s="283"/>
      <c r="FV46" s="283"/>
      <c r="FW46" s="283"/>
      <c r="FX46" s="283"/>
      <c r="FY46" s="283"/>
      <c r="FZ46" s="283"/>
      <c r="GA46" s="283"/>
      <c r="GB46" s="283"/>
      <c r="GC46" s="283"/>
      <c r="GD46" s="283"/>
      <c r="GE46" s="283"/>
      <c r="GF46" s="283"/>
      <c r="GG46" s="283"/>
      <c r="GH46" s="283"/>
      <c r="GI46" s="283"/>
      <c r="GJ46" s="283"/>
      <c r="GK46" s="283"/>
      <c r="GL46" s="283"/>
      <c r="GM46" s="283"/>
    </row>
    <row r="47">
      <c r="B47" s="63" t="s">
        <v>524</v>
      </c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270">
        <f t="shared" ref="AM47:CH47" si="103">AM13-AM28</f>
        <v>1303693.26</v>
      </c>
      <c r="AN47" s="270">
        <f t="shared" si="103"/>
        <v>1340092.56</v>
      </c>
      <c r="AO47" s="270">
        <f t="shared" si="103"/>
        <v>1601989.36</v>
      </c>
      <c r="AP47" s="270">
        <f t="shared" si="103"/>
        <v>1082803.38</v>
      </c>
      <c r="AQ47" s="270">
        <f t="shared" si="103"/>
        <v>1263946.54</v>
      </c>
      <c r="AR47" s="270">
        <f t="shared" si="103"/>
        <v>1248345.36</v>
      </c>
      <c r="AS47" s="270">
        <f t="shared" si="103"/>
        <v>983614.28</v>
      </c>
      <c r="AT47" s="270">
        <f t="shared" si="103"/>
        <v>1023610.44</v>
      </c>
      <c r="AU47" s="270">
        <f t="shared" si="103"/>
        <v>859464.63</v>
      </c>
      <c r="AV47" s="270">
        <f t="shared" si="103"/>
        <v>1184500.94</v>
      </c>
      <c r="AW47" s="270">
        <f t="shared" si="103"/>
        <v>951533.65</v>
      </c>
      <c r="AX47" s="270">
        <f t="shared" si="103"/>
        <v>809029.45</v>
      </c>
      <c r="AY47" s="270">
        <f t="shared" si="103"/>
        <v>892383.64</v>
      </c>
      <c r="AZ47" s="270">
        <f t="shared" si="103"/>
        <v>1173300.85</v>
      </c>
      <c r="BA47" s="270">
        <f t="shared" si="103"/>
        <v>1228167.72</v>
      </c>
      <c r="BB47" s="270">
        <f t="shared" si="103"/>
        <v>988488.64</v>
      </c>
      <c r="BC47" s="270">
        <f t="shared" si="103"/>
        <v>1176482.47</v>
      </c>
      <c r="BD47" s="270">
        <f t="shared" si="103"/>
        <v>1117513.75</v>
      </c>
      <c r="BE47" s="270">
        <f t="shared" si="103"/>
        <v>1357903.17</v>
      </c>
      <c r="BF47" s="270">
        <f t="shared" si="103"/>
        <v>889707.45</v>
      </c>
      <c r="BG47" s="270">
        <f t="shared" si="103"/>
        <v>1318387.76</v>
      </c>
      <c r="BH47" s="270">
        <f t="shared" si="103"/>
        <v>1889100.65</v>
      </c>
      <c r="BI47" s="270">
        <f t="shared" si="103"/>
        <v>1525784.37</v>
      </c>
      <c r="BJ47" s="270">
        <f t="shared" si="103"/>
        <v>1364128.31</v>
      </c>
      <c r="BK47" s="270">
        <f t="shared" si="103"/>
        <v>1458169.66</v>
      </c>
      <c r="BL47" s="270">
        <f t="shared" si="103"/>
        <v>1369121.1</v>
      </c>
      <c r="BM47" s="270">
        <f t="shared" si="103"/>
        <v>1371000.79</v>
      </c>
      <c r="BN47" s="270">
        <f t="shared" si="103"/>
        <v>1661471.54</v>
      </c>
      <c r="BO47" s="270">
        <f t="shared" si="103"/>
        <v>1488519.54</v>
      </c>
      <c r="BP47" s="270">
        <f t="shared" si="103"/>
        <v>1546374.35</v>
      </c>
      <c r="BQ47" s="270">
        <f t="shared" si="103"/>
        <v>1868750.26</v>
      </c>
      <c r="BR47" s="270">
        <f t="shared" si="103"/>
        <v>1620600.68</v>
      </c>
      <c r="BS47" s="270">
        <f t="shared" si="103"/>
        <v>2014672.94</v>
      </c>
      <c r="BT47" s="270">
        <f t="shared" si="103"/>
        <v>2417423.2</v>
      </c>
      <c r="BU47" s="270">
        <f t="shared" si="103"/>
        <v>1780941.89</v>
      </c>
      <c r="BV47" s="270">
        <f t="shared" si="103"/>
        <v>1946525.46</v>
      </c>
      <c r="BW47" s="65">
        <f t="shared" si="103"/>
        <v>2242316.39</v>
      </c>
      <c r="BX47" s="65">
        <f t="shared" si="103"/>
        <v>2359118.45</v>
      </c>
      <c r="BY47" s="65">
        <f t="shared" si="103"/>
        <v>2510749.9</v>
      </c>
      <c r="BZ47" s="65">
        <f t="shared" si="103"/>
        <v>2665395.29</v>
      </c>
      <c r="CA47" s="65">
        <f t="shared" si="103"/>
        <v>2594911.88</v>
      </c>
      <c r="CB47" s="65">
        <f t="shared" si="103"/>
        <v>2850624.15</v>
      </c>
      <c r="CC47" s="65">
        <f t="shared" si="103"/>
        <v>0</v>
      </c>
      <c r="CD47" s="65">
        <f t="shared" si="103"/>
        <v>0</v>
      </c>
      <c r="CE47" s="65">
        <f t="shared" si="103"/>
        <v>0</v>
      </c>
      <c r="CF47" s="65">
        <f t="shared" si="103"/>
        <v>0</v>
      </c>
      <c r="CG47" s="65">
        <f t="shared" si="103"/>
        <v>0</v>
      </c>
      <c r="CH47" s="65">
        <f t="shared" si="103"/>
        <v>0</v>
      </c>
      <c r="CI47" s="270"/>
      <c r="CJ47" s="270"/>
      <c r="CK47" s="69"/>
      <c r="CL47" s="270"/>
      <c r="CM47" s="270">
        <f>sum(BW47:BY47)</f>
        <v>7112184.74</v>
      </c>
      <c r="CN47" s="270">
        <f>sum(BZ47:CB47)</f>
        <v>8110931.32</v>
      </c>
      <c r="CO47" s="270"/>
      <c r="CP47" s="270"/>
      <c r="CQ47" s="69"/>
      <c r="CR47" s="270"/>
      <c r="CS47" s="121">
        <f t="shared" ref="CS47:CW47" si="104">CS13-CS28</f>
        <v>4198291.55</v>
      </c>
      <c r="CT47" s="121">
        <f t="shared" si="104"/>
        <v>4696365.43</v>
      </c>
      <c r="CU47" s="121">
        <f t="shared" si="104"/>
        <v>5504023.88</v>
      </c>
      <c r="CV47" s="121">
        <f t="shared" si="104"/>
        <v>6144890.55</v>
      </c>
      <c r="CW47" s="121">
        <f t="shared" si="104"/>
        <v>20543571.41</v>
      </c>
      <c r="CX47" s="270"/>
      <c r="CY47" s="121">
        <f t="shared" ref="CY47:DC47" si="105">CY13-CY28</f>
        <v>3293852.21</v>
      </c>
      <c r="CZ47" s="121">
        <f t="shared" si="105"/>
        <v>3282484.86</v>
      </c>
      <c r="DA47" s="121">
        <f t="shared" si="105"/>
        <v>3565998.38</v>
      </c>
      <c r="DB47" s="121">
        <f t="shared" si="105"/>
        <v>4779013.33</v>
      </c>
      <c r="DC47" s="121">
        <f t="shared" si="105"/>
        <v>14921348.78</v>
      </c>
      <c r="DD47" s="270"/>
      <c r="DE47" s="270"/>
      <c r="DF47" s="270"/>
      <c r="DG47" s="270"/>
      <c r="DH47" s="270"/>
      <c r="DI47" s="121"/>
      <c r="DJ47" s="270"/>
      <c r="DK47" s="270"/>
      <c r="DL47" s="270"/>
      <c r="DM47" s="270"/>
      <c r="DN47" s="270"/>
      <c r="DO47" s="121"/>
      <c r="DP47" s="49"/>
      <c r="DQ47" s="121"/>
      <c r="DR47" s="136"/>
      <c r="DS47" s="64"/>
      <c r="DT47" s="64"/>
      <c r="DU47" s="64"/>
      <c r="DV47" s="64"/>
      <c r="DW47" s="64"/>
      <c r="DX47" s="64"/>
      <c r="DY47" s="64"/>
      <c r="DZ47" s="64"/>
      <c r="EA47" s="64"/>
      <c r="EB47" s="64"/>
      <c r="EC47" s="64"/>
      <c r="ED47" s="64"/>
      <c r="EE47" s="64"/>
      <c r="EF47" s="64"/>
      <c r="EG47" s="64"/>
      <c r="EH47" s="64"/>
      <c r="EI47" s="64"/>
      <c r="EJ47" s="64"/>
      <c r="EK47" s="64"/>
      <c r="EL47" s="64"/>
      <c r="EM47" s="64"/>
      <c r="EN47" s="64"/>
      <c r="EO47" s="64"/>
      <c r="EP47" s="64"/>
      <c r="EQ47" s="64"/>
      <c r="ER47" s="64"/>
      <c r="ES47" s="64"/>
      <c r="ET47" s="64"/>
      <c r="EU47" s="64"/>
      <c r="EV47" s="64"/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4"/>
      <c r="FH47" s="64"/>
      <c r="FI47" s="64"/>
      <c r="FJ47" s="64"/>
      <c r="FK47" s="64"/>
      <c r="FL47" s="64"/>
      <c r="FM47" s="64"/>
      <c r="FN47" s="64"/>
      <c r="FO47" s="64"/>
      <c r="FP47" s="64"/>
      <c r="FQ47" s="64"/>
      <c r="FR47" s="64"/>
      <c r="FS47" s="64"/>
      <c r="FT47" s="64"/>
      <c r="FU47" s="64"/>
      <c r="FV47" s="64"/>
      <c r="FW47" s="64">
        <f>FW13-FW28</f>
        <v>19177694.19</v>
      </c>
      <c r="FX47" s="64"/>
      <c r="FY47" s="64"/>
      <c r="FZ47" s="64"/>
      <c r="GA47" s="64"/>
      <c r="GB47" s="64"/>
      <c r="GC47" s="64"/>
      <c r="GD47" s="64"/>
      <c r="GE47" s="64"/>
      <c r="GF47" s="64"/>
      <c r="GG47" s="64"/>
      <c r="GH47" s="64"/>
      <c r="GI47" s="64"/>
      <c r="GJ47" s="64"/>
      <c r="GK47" s="64"/>
      <c r="GL47" s="64"/>
      <c r="GM47" s="64"/>
    </row>
    <row r="48" outlineLevel="1">
      <c r="B48" s="355" t="s">
        <v>506</v>
      </c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8"/>
      <c r="AX48" s="108"/>
      <c r="AY48" s="108">
        <f t="shared" ref="AY48:BS48" si="106">AY14-AY30</f>
        <v>581475.03</v>
      </c>
      <c r="AZ48" s="108">
        <f t="shared" si="106"/>
        <v>741255.2</v>
      </c>
      <c r="BA48" s="108">
        <f t="shared" si="106"/>
        <v>818517.84</v>
      </c>
      <c r="BB48" s="108">
        <f t="shared" si="106"/>
        <v>544044.01</v>
      </c>
      <c r="BC48" s="108">
        <f t="shared" si="106"/>
        <v>496476.7</v>
      </c>
      <c r="BD48" s="108">
        <f t="shared" si="106"/>
        <v>438959.56</v>
      </c>
      <c r="BE48" s="108">
        <f t="shared" si="106"/>
        <v>550189.7</v>
      </c>
      <c r="BF48" s="108">
        <f t="shared" si="106"/>
        <v>347207.31</v>
      </c>
      <c r="BG48" s="108">
        <f t="shared" si="106"/>
        <v>523032.6</v>
      </c>
      <c r="BH48" s="108">
        <f t="shared" si="106"/>
        <v>825153.12</v>
      </c>
      <c r="BI48" s="108">
        <f t="shared" si="106"/>
        <v>652385.36</v>
      </c>
      <c r="BJ48" s="108">
        <f t="shared" si="106"/>
        <v>506030.35</v>
      </c>
      <c r="BK48" s="108">
        <f t="shared" si="106"/>
        <v>594980.92</v>
      </c>
      <c r="BL48" s="108">
        <f t="shared" si="106"/>
        <v>506657.4</v>
      </c>
      <c r="BM48" s="108">
        <f t="shared" si="106"/>
        <v>354471.74</v>
      </c>
      <c r="BN48" s="108">
        <f t="shared" si="106"/>
        <v>514923.14</v>
      </c>
      <c r="BO48" s="108">
        <f t="shared" si="106"/>
        <v>439089.79</v>
      </c>
      <c r="BP48" s="108">
        <f t="shared" si="106"/>
        <v>424684.59</v>
      </c>
      <c r="BQ48" s="108">
        <f t="shared" si="106"/>
        <v>403745.7</v>
      </c>
      <c r="BR48" s="108">
        <f t="shared" si="106"/>
        <v>480113.95</v>
      </c>
      <c r="BS48" s="108">
        <f t="shared" si="106"/>
        <v>529675.14</v>
      </c>
      <c r="BT48" s="108">
        <f>BT14-BT44</f>
        <v>411908.79</v>
      </c>
      <c r="BU48" s="108">
        <f t="shared" ref="BU48:CH48" si="107">BU14-BU30</f>
        <v>452263.51</v>
      </c>
      <c r="BV48" s="108">
        <f t="shared" si="107"/>
        <v>417975.9</v>
      </c>
      <c r="BW48" s="289">
        <f t="shared" si="107"/>
        <v>532156.01</v>
      </c>
      <c r="BX48" s="289">
        <f t="shared" si="107"/>
        <v>656152.17</v>
      </c>
      <c r="BY48" s="289">
        <f t="shared" si="107"/>
        <v>489485.1</v>
      </c>
      <c r="BZ48" s="289">
        <f t="shared" si="107"/>
        <v>768363.22</v>
      </c>
      <c r="CA48" s="289">
        <f t="shared" si="107"/>
        <v>1128231.46</v>
      </c>
      <c r="CB48" s="289">
        <f t="shared" si="107"/>
        <v>695629.44</v>
      </c>
      <c r="CC48" s="289">
        <f t="shared" si="107"/>
        <v>0</v>
      </c>
      <c r="CD48" s="289">
        <f t="shared" si="107"/>
        <v>0</v>
      </c>
      <c r="CE48" s="289">
        <f t="shared" si="107"/>
        <v>0</v>
      </c>
      <c r="CF48" s="289">
        <f t="shared" si="107"/>
        <v>0</v>
      </c>
      <c r="CG48" s="289">
        <f t="shared" si="107"/>
        <v>0</v>
      </c>
      <c r="CH48" s="289">
        <f t="shared" si="107"/>
        <v>0</v>
      </c>
      <c r="CI48" s="108"/>
      <c r="CJ48" s="108"/>
      <c r="CK48" s="290"/>
      <c r="CL48" s="108"/>
      <c r="CM48" s="108"/>
      <c r="CN48" s="108"/>
      <c r="CO48" s="108"/>
      <c r="CP48" s="108"/>
      <c r="CQ48" s="290"/>
      <c r="CR48" s="108"/>
      <c r="CS48" s="108"/>
      <c r="CT48" s="108"/>
      <c r="CU48" s="108"/>
      <c r="CV48" s="108"/>
      <c r="CW48" s="282"/>
      <c r="CX48" s="108"/>
      <c r="CY48" s="108"/>
      <c r="CZ48" s="108"/>
      <c r="DA48" s="108"/>
      <c r="DB48" s="108"/>
      <c r="DC48" s="282"/>
      <c r="DD48" s="108"/>
      <c r="DE48" s="108"/>
      <c r="DF48" s="108"/>
      <c r="DG48" s="108"/>
      <c r="DH48" s="108"/>
      <c r="DI48" s="282"/>
      <c r="DJ48" s="108"/>
      <c r="DK48" s="108"/>
      <c r="DL48" s="108"/>
      <c r="DM48" s="108"/>
      <c r="DN48" s="108"/>
      <c r="DO48" s="282"/>
      <c r="DP48" s="49"/>
      <c r="DQ48" s="285"/>
      <c r="DR48" s="108"/>
      <c r="DS48" s="108"/>
      <c r="DT48" s="108"/>
      <c r="DU48" s="108"/>
      <c r="DV48" s="108"/>
      <c r="DW48" s="108"/>
      <c r="DX48" s="108"/>
      <c r="DY48" s="108"/>
      <c r="DZ48" s="108"/>
      <c r="EA48" s="108"/>
      <c r="EB48" s="108"/>
      <c r="EC48" s="108"/>
      <c r="ED48" s="108"/>
      <c r="EE48" s="108"/>
      <c r="EF48" s="108"/>
      <c r="EG48" s="108"/>
      <c r="EH48" s="108"/>
      <c r="EI48" s="108"/>
      <c r="EJ48" s="108"/>
      <c r="EK48" s="108"/>
      <c r="EL48" s="108"/>
      <c r="EM48" s="108"/>
      <c r="EN48" s="108"/>
      <c r="EO48" s="108"/>
      <c r="EP48" s="108"/>
      <c r="EQ48" s="108"/>
      <c r="ER48" s="108"/>
      <c r="ES48" s="108"/>
      <c r="ET48" s="108"/>
      <c r="EU48" s="108"/>
      <c r="EV48" s="108"/>
      <c r="EW48" s="108"/>
      <c r="EX48" s="108"/>
      <c r="EY48" s="108"/>
      <c r="EZ48" s="108"/>
      <c r="FA48" s="108"/>
      <c r="FB48" s="108"/>
      <c r="FC48" s="108"/>
      <c r="FD48" s="108"/>
      <c r="FE48" s="108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108"/>
      <c r="GL48" s="108"/>
      <c r="GM48" s="108"/>
    </row>
    <row r="49" outlineLevel="1">
      <c r="B49" s="135" t="s">
        <v>512</v>
      </c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337"/>
      <c r="AY49" s="137">
        <f t="shared" ref="AY49:CH49" si="108">AY15-AY31-AY40</f>
        <v>489724.2</v>
      </c>
      <c r="AZ49" s="137">
        <f t="shared" si="108"/>
        <v>660091.14</v>
      </c>
      <c r="BA49" s="137">
        <f t="shared" si="108"/>
        <v>734984.36</v>
      </c>
      <c r="BB49" s="137">
        <f t="shared" si="108"/>
        <v>462062.02</v>
      </c>
      <c r="BC49" s="137">
        <f t="shared" si="108"/>
        <v>397716.03</v>
      </c>
      <c r="BD49" s="137">
        <f t="shared" si="108"/>
        <v>354823.56</v>
      </c>
      <c r="BE49" s="137">
        <f t="shared" si="108"/>
        <v>463650.36</v>
      </c>
      <c r="BF49" s="137">
        <f t="shared" si="108"/>
        <v>265449.07</v>
      </c>
      <c r="BG49" s="137">
        <f t="shared" si="108"/>
        <v>452328.54</v>
      </c>
      <c r="BH49" s="137">
        <f t="shared" si="108"/>
        <v>689965.05</v>
      </c>
      <c r="BI49" s="137">
        <f t="shared" si="108"/>
        <v>497188.58</v>
      </c>
      <c r="BJ49" s="137">
        <f t="shared" si="108"/>
        <v>349695.14</v>
      </c>
      <c r="BK49" s="137">
        <f t="shared" si="108"/>
        <v>449661.81</v>
      </c>
      <c r="BL49" s="137">
        <f t="shared" si="108"/>
        <v>407068.98</v>
      </c>
      <c r="BM49" s="137">
        <f t="shared" si="108"/>
        <v>259801.59</v>
      </c>
      <c r="BN49" s="137">
        <f t="shared" si="108"/>
        <v>430137.85</v>
      </c>
      <c r="BO49" s="137">
        <f t="shared" si="108"/>
        <v>328096.59</v>
      </c>
      <c r="BP49" s="137">
        <f t="shared" si="108"/>
        <v>324030.01</v>
      </c>
      <c r="BQ49" s="137">
        <f t="shared" si="108"/>
        <v>307712.43</v>
      </c>
      <c r="BR49" s="137">
        <f t="shared" si="108"/>
        <v>358105.57</v>
      </c>
      <c r="BS49" s="137">
        <f t="shared" si="108"/>
        <v>425391.45</v>
      </c>
      <c r="BT49" s="137">
        <f t="shared" si="108"/>
        <v>290591.47</v>
      </c>
      <c r="BU49" s="137">
        <f t="shared" si="108"/>
        <v>291848.39</v>
      </c>
      <c r="BV49" s="137">
        <f t="shared" si="108"/>
        <v>280116.82</v>
      </c>
      <c r="BW49" s="141">
        <f t="shared" si="108"/>
        <v>370357.35</v>
      </c>
      <c r="BX49" s="141">
        <f t="shared" si="108"/>
        <v>476070.16</v>
      </c>
      <c r="BY49" s="141">
        <f t="shared" si="108"/>
        <v>360419.76</v>
      </c>
      <c r="BZ49" s="141">
        <f t="shared" si="108"/>
        <v>637421.79</v>
      </c>
      <c r="CA49" s="141">
        <f t="shared" si="108"/>
        <v>922567.97</v>
      </c>
      <c r="CB49" s="141">
        <f t="shared" si="108"/>
        <v>542113.54</v>
      </c>
      <c r="CC49" s="141">
        <f t="shared" si="108"/>
        <v>0</v>
      </c>
      <c r="CD49" s="141">
        <f t="shared" si="108"/>
        <v>0</v>
      </c>
      <c r="CE49" s="141">
        <f t="shared" si="108"/>
        <v>0</v>
      </c>
      <c r="CF49" s="141">
        <f t="shared" si="108"/>
        <v>0</v>
      </c>
      <c r="CG49" s="141">
        <f t="shared" si="108"/>
        <v>0</v>
      </c>
      <c r="CH49" s="141">
        <f t="shared" si="108"/>
        <v>0</v>
      </c>
      <c r="CI49" s="33"/>
      <c r="CJ49" s="33"/>
      <c r="CK49" s="339"/>
      <c r="CL49" s="136"/>
      <c r="CM49" s="136"/>
      <c r="CN49" s="136"/>
      <c r="CO49" s="136"/>
      <c r="CP49" s="136"/>
      <c r="CQ49" s="339"/>
      <c r="CR49" s="136"/>
      <c r="CS49" s="136"/>
      <c r="CT49" s="136"/>
      <c r="CU49" s="136"/>
      <c r="CV49" s="136"/>
      <c r="CW49" s="292"/>
      <c r="CX49" s="49"/>
      <c r="CY49" s="136"/>
      <c r="CZ49" s="136"/>
      <c r="DA49" s="136"/>
      <c r="DB49" s="136"/>
      <c r="DC49" s="292"/>
      <c r="DD49" s="136"/>
      <c r="DE49" s="136"/>
      <c r="DF49" s="136"/>
      <c r="DG49" s="136"/>
      <c r="DH49" s="136"/>
      <c r="DI49" s="292"/>
      <c r="DJ49" s="136"/>
      <c r="DK49" s="137"/>
      <c r="DL49" s="137"/>
      <c r="DM49" s="137"/>
      <c r="DN49" s="137"/>
      <c r="DO49" s="142"/>
      <c r="DP49" s="136"/>
      <c r="DQ49" s="292"/>
      <c r="DR49" s="136"/>
      <c r="DS49" s="136"/>
      <c r="DT49" s="136"/>
      <c r="DU49" s="136"/>
      <c r="DV49" s="136"/>
      <c r="DW49" s="136"/>
      <c r="DX49" s="136"/>
      <c r="DY49" s="136"/>
      <c r="DZ49" s="136"/>
      <c r="EA49" s="136"/>
      <c r="EB49" s="136"/>
      <c r="EC49" s="136"/>
      <c r="ED49" s="136"/>
      <c r="EE49" s="136">
        <f t="array" ref="EE49">IF(EE$3&gt;'GAAP Summary'!$B$2,0,SUM(INDIRECT(XLOOKUP(EE$3,'TTM Dates'!$B:$B,'TTM Dates'!$E:$E)&amp;ROW($CJ49)&amp;":"&amp;XLOOKUP(EE$3,'TTM Dates'!$B:$B,'TTM Dates'!$C:$C)&amp;ROW($CJ49))))</f>
        <v>0</v>
      </c>
      <c r="EF49" s="136"/>
      <c r="EG49" s="136"/>
      <c r="EH49" s="136"/>
      <c r="EI49" s="136"/>
      <c r="EJ49" s="136"/>
      <c r="EK49" s="136"/>
      <c r="EL49" s="136"/>
      <c r="EM49" s="136"/>
      <c r="EN49" s="136"/>
      <c r="EO49" s="136"/>
      <c r="EP49" s="136"/>
      <c r="EQ49" s="136"/>
      <c r="ER49" s="136"/>
      <c r="ES49" s="136"/>
      <c r="ET49" s="136"/>
      <c r="EU49" s="136"/>
      <c r="EV49" s="136"/>
      <c r="EW49" s="136"/>
      <c r="EX49" s="136"/>
      <c r="EY49" s="136"/>
      <c r="EZ49" s="136"/>
      <c r="FA49" s="136"/>
      <c r="FB49" s="136"/>
      <c r="FC49" s="136"/>
      <c r="FD49" s="136"/>
      <c r="FE49" s="136"/>
      <c r="FF49" s="136"/>
      <c r="FG49" s="136"/>
      <c r="FH49" s="136"/>
      <c r="FI49" s="136"/>
      <c r="FJ49" s="136"/>
      <c r="FK49" s="136"/>
      <c r="FL49" s="136"/>
      <c r="FM49" s="136"/>
      <c r="FN49" s="136"/>
      <c r="FO49" s="136"/>
      <c r="FP49" s="136"/>
      <c r="FQ49" s="136"/>
      <c r="FR49" s="136"/>
      <c r="FS49" s="136"/>
      <c r="FT49" s="136"/>
      <c r="FU49" s="136"/>
      <c r="FV49" s="136"/>
      <c r="FW49" s="136"/>
      <c r="FX49" s="136"/>
      <c r="FY49" s="136"/>
      <c r="FZ49" s="136"/>
      <c r="GA49" s="136"/>
      <c r="GB49" s="136"/>
      <c r="GC49" s="136"/>
      <c r="GD49" s="136"/>
      <c r="GE49" s="136"/>
      <c r="GF49" s="136"/>
      <c r="GG49" s="136"/>
      <c r="GH49" s="136"/>
      <c r="GI49" s="136"/>
      <c r="GJ49" s="136"/>
      <c r="GK49" s="136"/>
      <c r="GL49" s="136"/>
      <c r="GM49" s="136"/>
    </row>
    <row r="50" outlineLevel="1">
      <c r="B50" s="135" t="s">
        <v>513</v>
      </c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337"/>
      <c r="AY50" s="353"/>
      <c r="AZ50" s="353"/>
      <c r="BA50" s="353"/>
      <c r="BB50" s="353"/>
      <c r="BC50" s="353"/>
      <c r="BD50" s="353"/>
      <c r="BE50" s="353"/>
      <c r="BF50" s="353"/>
      <c r="BG50" s="353"/>
      <c r="BH50" s="353"/>
      <c r="BI50" s="353"/>
      <c r="BJ50" s="353"/>
      <c r="BK50" s="137"/>
      <c r="BL50" s="137"/>
      <c r="BM50" s="137"/>
      <c r="BN50" s="137"/>
      <c r="BO50" s="137"/>
      <c r="BP50" s="137"/>
      <c r="BQ50" s="137"/>
      <c r="BR50" s="137">
        <f t="shared" ref="BR50:CH50" si="109">BR16-BR42</f>
        <v>48455.26</v>
      </c>
      <c r="BS50" s="137">
        <f t="shared" si="109"/>
        <v>50123.96</v>
      </c>
      <c r="BT50" s="137">
        <f t="shared" si="109"/>
        <v>50282.63</v>
      </c>
      <c r="BU50" s="137">
        <f t="shared" si="109"/>
        <v>68734.34</v>
      </c>
      <c r="BV50" s="137">
        <f t="shared" si="109"/>
        <v>50716.06</v>
      </c>
      <c r="BW50" s="141">
        <f t="shared" si="109"/>
        <v>59747.03</v>
      </c>
      <c r="BX50" s="141">
        <f t="shared" si="109"/>
        <v>62843.13</v>
      </c>
      <c r="BY50" s="141">
        <f t="shared" si="109"/>
        <v>62053.17</v>
      </c>
      <c r="BZ50" s="141">
        <f t="shared" si="109"/>
        <v>58515.03</v>
      </c>
      <c r="CA50" s="141">
        <f t="shared" si="109"/>
        <v>61054.8</v>
      </c>
      <c r="CB50" s="141">
        <f t="shared" si="109"/>
        <v>55346.11</v>
      </c>
      <c r="CC50" s="141">
        <f t="shared" si="109"/>
        <v>0</v>
      </c>
      <c r="CD50" s="141">
        <f t="shared" si="109"/>
        <v>0</v>
      </c>
      <c r="CE50" s="141">
        <f t="shared" si="109"/>
        <v>0</v>
      </c>
      <c r="CF50" s="141">
        <f t="shared" si="109"/>
        <v>0</v>
      </c>
      <c r="CG50" s="141">
        <f t="shared" si="109"/>
        <v>0</v>
      </c>
      <c r="CH50" s="141">
        <f t="shared" si="109"/>
        <v>0</v>
      </c>
      <c r="CI50" s="33"/>
      <c r="CJ50" s="33"/>
      <c r="CK50" s="339"/>
      <c r="CL50" s="136"/>
      <c r="CM50" s="136"/>
      <c r="CN50" s="136"/>
      <c r="CO50" s="136"/>
      <c r="CP50" s="136"/>
      <c r="CQ50" s="339"/>
      <c r="CR50" s="136"/>
      <c r="CS50" s="136"/>
      <c r="CT50" s="136"/>
      <c r="CU50" s="136"/>
      <c r="CV50" s="136"/>
      <c r="CW50" s="292"/>
      <c r="CX50" s="49"/>
      <c r="CY50" s="136"/>
      <c r="CZ50" s="136"/>
      <c r="DA50" s="136"/>
      <c r="DB50" s="136"/>
      <c r="DC50" s="292"/>
      <c r="DD50" s="136"/>
      <c r="DE50" s="136"/>
      <c r="DF50" s="136"/>
      <c r="DG50" s="136"/>
      <c r="DH50" s="136"/>
      <c r="DI50" s="292"/>
      <c r="DJ50" s="136"/>
      <c r="DK50" s="137"/>
      <c r="DL50" s="137"/>
      <c r="DM50" s="137"/>
      <c r="DN50" s="137"/>
      <c r="DO50" s="142"/>
      <c r="DP50" s="136"/>
      <c r="DQ50" s="292"/>
      <c r="DR50" s="136"/>
      <c r="DS50" s="136"/>
      <c r="DT50" s="136"/>
      <c r="DU50" s="136"/>
      <c r="DV50" s="136"/>
      <c r="DW50" s="136"/>
      <c r="DX50" s="136"/>
      <c r="DY50" s="136"/>
      <c r="DZ50" s="136"/>
      <c r="EA50" s="136"/>
      <c r="EB50" s="136"/>
      <c r="EC50" s="136"/>
      <c r="ED50" s="136"/>
      <c r="EE50" s="136">
        <f t="array" ref="EE50">IF(EE$3&gt;'GAAP Summary'!$B$2,0,SUM(INDIRECT(XLOOKUP(EE$3,'TTM Dates'!$B:$B,'TTM Dates'!$E:$E)&amp;ROW($CJ50)&amp;":"&amp;XLOOKUP(EE$3,'TTM Dates'!$B:$B,'TTM Dates'!$C:$C)&amp;ROW($CJ50))))</f>
        <v>0</v>
      </c>
      <c r="EF50" s="136"/>
      <c r="EG50" s="136"/>
      <c r="EH50" s="136"/>
      <c r="EI50" s="136"/>
      <c r="EJ50" s="136"/>
      <c r="EK50" s="136"/>
      <c r="EL50" s="136"/>
      <c r="EM50" s="136"/>
      <c r="EN50" s="136"/>
      <c r="EO50" s="136"/>
      <c r="EP50" s="136"/>
      <c r="EQ50" s="136"/>
      <c r="ER50" s="136"/>
      <c r="ES50" s="136"/>
      <c r="ET50" s="136"/>
      <c r="EU50" s="136"/>
      <c r="EV50" s="136"/>
      <c r="EW50" s="136"/>
      <c r="EX50" s="136"/>
      <c r="EY50" s="136"/>
      <c r="EZ50" s="136"/>
      <c r="FA50" s="136"/>
      <c r="FB50" s="136"/>
      <c r="FC50" s="136"/>
      <c r="FD50" s="136"/>
      <c r="FE50" s="136"/>
      <c r="FF50" s="136"/>
      <c r="FG50" s="136"/>
      <c r="FH50" s="136"/>
      <c r="FI50" s="136"/>
      <c r="FJ50" s="136"/>
      <c r="FK50" s="136"/>
      <c r="FL50" s="136"/>
      <c r="FM50" s="136"/>
      <c r="FN50" s="136"/>
      <c r="FO50" s="136"/>
      <c r="FP50" s="136"/>
      <c r="FQ50" s="136"/>
      <c r="FR50" s="136"/>
      <c r="FS50" s="136"/>
      <c r="FT50" s="136"/>
      <c r="FU50" s="136"/>
      <c r="FV50" s="136"/>
      <c r="FW50" s="136"/>
      <c r="FX50" s="136"/>
      <c r="FY50" s="136"/>
      <c r="FZ50" s="136"/>
      <c r="GA50" s="136"/>
      <c r="GB50" s="136"/>
      <c r="GC50" s="136"/>
      <c r="GD50" s="136"/>
      <c r="GE50" s="136"/>
      <c r="GF50" s="136"/>
      <c r="GG50" s="136"/>
      <c r="GH50" s="136"/>
      <c r="GI50" s="136"/>
      <c r="GJ50" s="136"/>
      <c r="GK50" s="136"/>
      <c r="GL50" s="136"/>
      <c r="GM50" s="136"/>
    </row>
    <row r="51" outlineLevel="1">
      <c r="B51" s="135" t="s">
        <v>514</v>
      </c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337"/>
      <c r="AY51" s="353"/>
      <c r="AZ51" s="353"/>
      <c r="BA51" s="353"/>
      <c r="BB51" s="353"/>
      <c r="BC51" s="137">
        <f t="shared" ref="BC51:CH51" si="110">BC17-BC33</f>
        <v>6667</v>
      </c>
      <c r="BD51" s="137">
        <f t="shared" si="110"/>
        <v>6667</v>
      </c>
      <c r="BE51" s="137">
        <f t="shared" si="110"/>
        <v>6667</v>
      </c>
      <c r="BF51" s="137">
        <f t="shared" si="110"/>
        <v>0</v>
      </c>
      <c r="BG51" s="137">
        <f t="shared" si="110"/>
        <v>-11603.86</v>
      </c>
      <c r="BH51" s="137">
        <f t="shared" si="110"/>
        <v>45541.1</v>
      </c>
      <c r="BI51" s="137">
        <f t="shared" si="110"/>
        <v>63225.51</v>
      </c>
      <c r="BJ51" s="137">
        <f t="shared" si="110"/>
        <v>66498.84</v>
      </c>
      <c r="BK51" s="137">
        <f t="shared" si="110"/>
        <v>7066.88</v>
      </c>
      <c r="BL51" s="137">
        <f t="shared" si="110"/>
        <v>7760.75</v>
      </c>
      <c r="BM51" s="137">
        <f t="shared" si="110"/>
        <v>8564.02</v>
      </c>
      <c r="BN51" s="137">
        <f t="shared" si="110"/>
        <v>2722.64</v>
      </c>
      <c r="BO51" s="137">
        <f t="shared" si="110"/>
        <v>18239.39</v>
      </c>
      <c r="BP51" s="137">
        <f t="shared" si="110"/>
        <v>20543.65</v>
      </c>
      <c r="BQ51" s="137">
        <f t="shared" si="110"/>
        <v>18126.65</v>
      </c>
      <c r="BR51" s="137">
        <f t="shared" si="110"/>
        <v>12050.46</v>
      </c>
      <c r="BS51" s="137">
        <f t="shared" si="110"/>
        <v>14192.03</v>
      </c>
      <c r="BT51" s="137">
        <f t="shared" si="110"/>
        <v>31679.18</v>
      </c>
      <c r="BU51" s="137">
        <f t="shared" si="110"/>
        <v>63322.8</v>
      </c>
      <c r="BV51" s="137">
        <f t="shared" si="110"/>
        <v>59317.27</v>
      </c>
      <c r="BW51" s="141">
        <f t="shared" si="110"/>
        <v>65471.64</v>
      </c>
      <c r="BX51" s="141">
        <f t="shared" si="110"/>
        <v>31403.07</v>
      </c>
      <c r="BY51" s="141">
        <f t="shared" si="110"/>
        <v>30553.35</v>
      </c>
      <c r="BZ51" s="141">
        <f t="shared" si="110"/>
        <v>36764.44</v>
      </c>
      <c r="CA51" s="141">
        <f t="shared" si="110"/>
        <v>58440.97</v>
      </c>
      <c r="CB51" s="141">
        <f t="shared" si="110"/>
        <v>41663.06</v>
      </c>
      <c r="CC51" s="141">
        <f t="shared" si="110"/>
        <v>0</v>
      </c>
      <c r="CD51" s="141">
        <f t="shared" si="110"/>
        <v>0</v>
      </c>
      <c r="CE51" s="141">
        <f t="shared" si="110"/>
        <v>0</v>
      </c>
      <c r="CF51" s="141">
        <f t="shared" si="110"/>
        <v>0</v>
      </c>
      <c r="CG51" s="141">
        <f t="shared" si="110"/>
        <v>0</v>
      </c>
      <c r="CH51" s="141">
        <f t="shared" si="110"/>
        <v>0</v>
      </c>
      <c r="CI51" s="33"/>
      <c r="CJ51" s="33"/>
      <c r="CK51" s="339"/>
      <c r="CL51" s="136"/>
      <c r="CM51" s="348">
        <f t="shared" ref="CM51:CM52" si="112">sum(BW51:BY51)</f>
        <v>127428.06</v>
      </c>
      <c r="CN51" s="348">
        <f t="shared" ref="CN51:CN52" si="113">sum(BZ51:CB51)</f>
        <v>136868.47</v>
      </c>
      <c r="CO51" s="348">
        <f t="shared" ref="CO51:CO52" si="114">sum(CC51:CE51)</f>
        <v>0</v>
      </c>
      <c r="CP51" s="348">
        <f t="shared" ref="CP51:CP52" si="115">sum(CF51:CH51)</f>
        <v>0</v>
      </c>
      <c r="CQ51" s="349">
        <f t="shared" ref="CQ51:CQ52" si="116">sum(BW51:CH51)</f>
        <v>264296.53</v>
      </c>
      <c r="CR51" s="137"/>
      <c r="CS51" s="137">
        <f t="shared" ref="CS51:CS52" si="117">sum(BK51:BM51)</f>
        <v>23391.65</v>
      </c>
      <c r="CT51" s="137">
        <f t="shared" ref="CT51:CT52" si="118">sum(BN51:BP51)</f>
        <v>41505.68</v>
      </c>
      <c r="CU51" s="137">
        <f t="shared" ref="CU51:CU52" si="119">sum(BQ51:BS51)</f>
        <v>44369.14</v>
      </c>
      <c r="CV51" s="137">
        <f t="shared" ref="CV51:CV52" si="120">sum(BT51:BV51)</f>
        <v>154319.25</v>
      </c>
      <c r="CW51" s="142">
        <f t="shared" ref="CW51:CW52" si="121">sum(BK51:BV51)</f>
        <v>263585.72</v>
      </c>
      <c r="CX51" s="49"/>
      <c r="CY51" s="136"/>
      <c r="CZ51" s="136"/>
      <c r="DA51" s="136"/>
      <c r="DB51" s="136"/>
      <c r="DC51" s="292"/>
      <c r="DD51" s="136"/>
      <c r="DE51" s="136"/>
      <c r="DF51" s="136"/>
      <c r="DG51" s="136"/>
      <c r="DH51" s="136"/>
      <c r="DI51" s="292"/>
      <c r="DJ51" s="136"/>
      <c r="DK51" s="137"/>
      <c r="DL51" s="137"/>
      <c r="DM51" s="137"/>
      <c r="DN51" s="137"/>
      <c r="DO51" s="142"/>
      <c r="DP51" s="136"/>
      <c r="DQ51" s="292"/>
      <c r="DR51" s="136"/>
      <c r="DS51" s="136"/>
      <c r="DT51" s="136"/>
      <c r="DU51" s="136"/>
      <c r="DV51" s="136"/>
      <c r="DW51" s="136"/>
      <c r="DX51" s="136"/>
      <c r="DY51" s="136"/>
      <c r="DZ51" s="136"/>
      <c r="EA51" s="136"/>
      <c r="EB51" s="136"/>
      <c r="EC51" s="136"/>
      <c r="ED51" s="136"/>
      <c r="EE51" s="136"/>
      <c r="EF51" s="136"/>
      <c r="EG51" s="136"/>
      <c r="EH51" s="136"/>
      <c r="EI51" s="136"/>
      <c r="EJ51" s="136"/>
      <c r="EK51" s="136"/>
      <c r="EL51" s="136"/>
      <c r="EM51" s="136"/>
      <c r="EN51" s="136"/>
      <c r="EO51" s="136"/>
      <c r="EP51" s="136"/>
      <c r="EQ51" s="136"/>
      <c r="ER51" s="136"/>
      <c r="ES51" s="136"/>
      <c r="ET51" s="136"/>
      <c r="EU51" s="136"/>
      <c r="EV51" s="136"/>
      <c r="EW51" s="136"/>
      <c r="EX51" s="136"/>
      <c r="EY51" s="136"/>
      <c r="EZ51" s="136"/>
      <c r="FA51" s="136"/>
      <c r="FB51" s="136"/>
      <c r="FC51" s="136"/>
      <c r="FD51" s="136"/>
      <c r="FE51" s="136"/>
      <c r="FF51" s="136"/>
      <c r="FG51" s="136"/>
      <c r="FH51" s="136"/>
      <c r="FI51" s="136"/>
      <c r="FJ51" s="136"/>
      <c r="FK51" s="136"/>
      <c r="FL51" s="136"/>
      <c r="FM51" s="136"/>
      <c r="FN51" s="136"/>
      <c r="FO51" s="136"/>
      <c r="FP51" s="136"/>
      <c r="FQ51" s="136"/>
      <c r="FR51" s="136"/>
      <c r="FS51" s="136"/>
      <c r="FT51" s="136"/>
      <c r="FU51" s="136"/>
      <c r="FV51" s="136"/>
      <c r="FW51" s="136"/>
      <c r="FX51" s="136"/>
      <c r="FY51" s="136"/>
      <c r="FZ51" s="136"/>
      <c r="GA51" s="136"/>
      <c r="GB51" s="136"/>
      <c r="GC51" s="136"/>
      <c r="GD51" s="136"/>
      <c r="GE51" s="136"/>
      <c r="GF51" s="136"/>
      <c r="GG51" s="136"/>
      <c r="GH51" s="136"/>
      <c r="GI51" s="136"/>
      <c r="GJ51" s="136"/>
      <c r="GK51" s="136"/>
      <c r="GL51" s="136"/>
      <c r="GM51" s="136"/>
    </row>
    <row r="52" outlineLevel="1">
      <c r="B52" s="135" t="s">
        <v>515</v>
      </c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337"/>
      <c r="AY52" s="353"/>
      <c r="AZ52" s="353"/>
      <c r="BA52" s="353"/>
      <c r="BB52" s="353"/>
      <c r="BC52" s="353"/>
      <c r="BD52" s="353"/>
      <c r="BE52" s="353"/>
      <c r="BF52" s="353"/>
      <c r="BG52" s="353"/>
      <c r="BH52" s="353"/>
      <c r="BI52" s="353"/>
      <c r="BJ52" s="353"/>
      <c r="BK52" s="137">
        <f t="shared" ref="BK52:CH52" si="111">BK18-BK34</f>
        <v>0</v>
      </c>
      <c r="BL52" s="137">
        <f t="shared" si="111"/>
        <v>0</v>
      </c>
      <c r="BM52" s="137">
        <f t="shared" si="111"/>
        <v>-11589.03</v>
      </c>
      <c r="BN52" s="137">
        <f t="shared" si="111"/>
        <v>2297.25</v>
      </c>
      <c r="BO52" s="137">
        <f t="shared" si="111"/>
        <v>27775.62</v>
      </c>
      <c r="BP52" s="137">
        <f t="shared" si="111"/>
        <v>28256.82</v>
      </c>
      <c r="BQ52" s="137">
        <f t="shared" si="111"/>
        <v>22539.29</v>
      </c>
      <c r="BR52" s="137">
        <f t="shared" si="111"/>
        <v>16792.37</v>
      </c>
      <c r="BS52" s="137">
        <f t="shared" si="111"/>
        <v>14780.36</v>
      </c>
      <c r="BT52" s="137">
        <f t="shared" si="111"/>
        <v>39355.51</v>
      </c>
      <c r="BU52" s="137">
        <f t="shared" si="111"/>
        <v>28357.98</v>
      </c>
      <c r="BV52" s="137">
        <f t="shared" si="111"/>
        <v>27825.75</v>
      </c>
      <c r="BW52" s="141">
        <f t="shared" si="111"/>
        <v>36579.99</v>
      </c>
      <c r="BX52" s="141">
        <f t="shared" si="111"/>
        <v>41376.82</v>
      </c>
      <c r="BY52" s="141">
        <f t="shared" si="111"/>
        <v>36458.82</v>
      </c>
      <c r="BZ52" s="141">
        <f t="shared" si="111"/>
        <v>35661.96</v>
      </c>
      <c r="CA52" s="141">
        <f t="shared" si="111"/>
        <v>50765.18</v>
      </c>
      <c r="CB52" s="141">
        <f t="shared" si="111"/>
        <v>56506.73</v>
      </c>
      <c r="CC52" s="141">
        <f t="shared" si="111"/>
        <v>0</v>
      </c>
      <c r="CD52" s="141">
        <f t="shared" si="111"/>
        <v>0</v>
      </c>
      <c r="CE52" s="141">
        <f t="shared" si="111"/>
        <v>0</v>
      </c>
      <c r="CF52" s="141">
        <f t="shared" si="111"/>
        <v>0</v>
      </c>
      <c r="CG52" s="141">
        <f t="shared" si="111"/>
        <v>0</v>
      </c>
      <c r="CH52" s="141">
        <f t="shared" si="111"/>
        <v>0</v>
      </c>
      <c r="CI52" s="33"/>
      <c r="CJ52" s="33"/>
      <c r="CK52" s="339"/>
      <c r="CL52" s="136"/>
      <c r="CM52" s="348">
        <f t="shared" si="112"/>
        <v>114415.63</v>
      </c>
      <c r="CN52" s="348">
        <f t="shared" si="113"/>
        <v>142933.87</v>
      </c>
      <c r="CO52" s="348">
        <f t="shared" si="114"/>
        <v>0</v>
      </c>
      <c r="CP52" s="348">
        <f t="shared" si="115"/>
        <v>0</v>
      </c>
      <c r="CQ52" s="349">
        <f t="shared" si="116"/>
        <v>257349.5</v>
      </c>
      <c r="CR52" s="137"/>
      <c r="CS52" s="137">
        <f t="shared" si="117"/>
        <v>-11589.03</v>
      </c>
      <c r="CT52" s="137">
        <f t="shared" si="118"/>
        <v>58329.69</v>
      </c>
      <c r="CU52" s="137">
        <f t="shared" si="119"/>
        <v>54112.02</v>
      </c>
      <c r="CV52" s="137">
        <f t="shared" si="120"/>
        <v>95539.24</v>
      </c>
      <c r="CW52" s="142">
        <f t="shared" si="121"/>
        <v>196391.92</v>
      </c>
      <c r="CX52" s="49"/>
      <c r="CY52" s="136"/>
      <c r="CZ52" s="136"/>
      <c r="DA52" s="136"/>
      <c r="DB52" s="136"/>
      <c r="DC52" s="292"/>
      <c r="DD52" s="136"/>
      <c r="DE52" s="136"/>
      <c r="DF52" s="136"/>
      <c r="DG52" s="136"/>
      <c r="DH52" s="136"/>
      <c r="DI52" s="292"/>
      <c r="DJ52" s="136"/>
      <c r="DK52" s="137"/>
      <c r="DL52" s="137"/>
      <c r="DM52" s="137"/>
      <c r="DN52" s="137"/>
      <c r="DO52" s="142"/>
      <c r="DP52" s="136"/>
      <c r="DQ52" s="292"/>
      <c r="DR52" s="136"/>
      <c r="DS52" s="136"/>
      <c r="DT52" s="136"/>
      <c r="DU52" s="136"/>
      <c r="DV52" s="136"/>
      <c r="DW52" s="136"/>
      <c r="DX52" s="136"/>
      <c r="DY52" s="136"/>
      <c r="DZ52" s="136"/>
      <c r="EA52" s="136"/>
      <c r="EB52" s="136"/>
      <c r="EC52" s="136"/>
      <c r="ED52" s="136"/>
      <c r="EE52" s="136"/>
      <c r="EF52" s="136"/>
      <c r="EG52" s="136"/>
      <c r="EH52" s="136"/>
      <c r="EI52" s="136"/>
      <c r="EJ52" s="136"/>
      <c r="EK52" s="136"/>
      <c r="EL52" s="136"/>
      <c r="EM52" s="136"/>
      <c r="EN52" s="136"/>
      <c r="EO52" s="136"/>
      <c r="EP52" s="136"/>
      <c r="EQ52" s="136"/>
      <c r="ER52" s="136"/>
      <c r="ES52" s="136"/>
      <c r="ET52" s="136"/>
      <c r="EU52" s="136"/>
      <c r="EV52" s="136"/>
      <c r="EW52" s="136"/>
      <c r="EX52" s="136"/>
      <c r="EY52" s="136"/>
      <c r="EZ52" s="136"/>
      <c r="FA52" s="136"/>
      <c r="FB52" s="136"/>
      <c r="FC52" s="136"/>
      <c r="FD52" s="136"/>
      <c r="FE52" s="136"/>
      <c r="FF52" s="136"/>
      <c r="FG52" s="136"/>
      <c r="FH52" s="136"/>
      <c r="FI52" s="136"/>
      <c r="FJ52" s="136"/>
      <c r="FK52" s="136"/>
      <c r="FL52" s="136"/>
      <c r="FM52" s="136"/>
      <c r="FN52" s="136"/>
      <c r="FO52" s="136"/>
      <c r="FP52" s="136"/>
      <c r="FQ52" s="136"/>
      <c r="FR52" s="136"/>
      <c r="FS52" s="136"/>
      <c r="FT52" s="136"/>
      <c r="FU52" s="136"/>
      <c r="FV52" s="136"/>
      <c r="FW52" s="136"/>
      <c r="FX52" s="136"/>
      <c r="FY52" s="136"/>
      <c r="FZ52" s="136"/>
      <c r="GA52" s="136"/>
      <c r="GB52" s="136"/>
      <c r="GC52" s="136"/>
      <c r="GD52" s="136"/>
      <c r="GE52" s="136"/>
      <c r="GF52" s="136"/>
      <c r="GG52" s="136"/>
      <c r="GH52" s="136"/>
      <c r="GI52" s="136"/>
      <c r="GJ52" s="136"/>
      <c r="GK52" s="136"/>
      <c r="GL52" s="136"/>
      <c r="GM52" s="136"/>
    </row>
    <row r="53" outlineLevel="1">
      <c r="B53" s="355" t="s">
        <v>508</v>
      </c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08"/>
      <c r="AH53" s="108"/>
      <c r="AI53" s="108"/>
      <c r="AJ53" s="108"/>
      <c r="AK53" s="108"/>
      <c r="AL53" s="108"/>
      <c r="AM53" s="108"/>
      <c r="AN53" s="108"/>
      <c r="AO53" s="108"/>
      <c r="AP53" s="108"/>
      <c r="AQ53" s="108"/>
      <c r="AR53" s="108"/>
      <c r="AS53" s="108"/>
      <c r="AT53" s="108"/>
      <c r="AU53" s="108"/>
      <c r="AV53" s="108"/>
      <c r="AW53" s="108"/>
      <c r="AX53" s="108"/>
      <c r="AY53" s="108">
        <f t="shared" ref="AY53:BS53" si="122">AY19-AY35</f>
        <v>344123.68</v>
      </c>
      <c r="AZ53" s="108">
        <f t="shared" si="122"/>
        <v>442280.59</v>
      </c>
      <c r="BA53" s="108">
        <f t="shared" si="122"/>
        <v>415364.13</v>
      </c>
      <c r="BB53" s="108">
        <f t="shared" si="122"/>
        <v>495712.64</v>
      </c>
      <c r="BC53" s="108">
        <f t="shared" si="122"/>
        <v>751367.97</v>
      </c>
      <c r="BD53" s="108">
        <f t="shared" si="122"/>
        <v>732474.25</v>
      </c>
      <c r="BE53" s="108">
        <f t="shared" si="122"/>
        <v>851519.33</v>
      </c>
      <c r="BF53" s="108">
        <f t="shared" si="122"/>
        <v>630705.94</v>
      </c>
      <c r="BG53" s="108">
        <f t="shared" si="122"/>
        <v>821063.39</v>
      </c>
      <c r="BH53" s="108">
        <f t="shared" si="122"/>
        <v>1083090.06</v>
      </c>
      <c r="BI53" s="108">
        <f t="shared" si="122"/>
        <v>902272.15</v>
      </c>
      <c r="BJ53" s="108">
        <f t="shared" si="122"/>
        <v>902719.7</v>
      </c>
      <c r="BK53" s="108">
        <f t="shared" si="122"/>
        <v>910692.08</v>
      </c>
      <c r="BL53" s="108">
        <f t="shared" si="122"/>
        <v>942930.6</v>
      </c>
      <c r="BM53" s="108">
        <f t="shared" si="122"/>
        <v>1059161.26</v>
      </c>
      <c r="BN53" s="108">
        <f t="shared" si="122"/>
        <v>1154441.18</v>
      </c>
      <c r="BO53" s="108">
        <f t="shared" si="122"/>
        <v>1104513.11</v>
      </c>
      <c r="BP53" s="108">
        <f t="shared" si="122"/>
        <v>1135893.31</v>
      </c>
      <c r="BQ53" s="108">
        <f t="shared" si="122"/>
        <v>1482197.13</v>
      </c>
      <c r="BR53" s="108">
        <f t="shared" si="122"/>
        <v>1261661.86</v>
      </c>
      <c r="BS53" s="108">
        <f t="shared" si="122"/>
        <v>1523173.14</v>
      </c>
      <c r="BT53" s="108">
        <f>BT19-BT45</f>
        <v>2005514.41</v>
      </c>
      <c r="BU53" s="108">
        <f t="shared" ref="BU53:CH53" si="123">BU19-BU35</f>
        <v>1342917.9</v>
      </c>
      <c r="BV53" s="108">
        <f t="shared" si="123"/>
        <v>1533473.66</v>
      </c>
      <c r="BW53" s="289">
        <f t="shared" si="123"/>
        <v>1783170.31</v>
      </c>
      <c r="BX53" s="289">
        <f t="shared" si="123"/>
        <v>1772813.64</v>
      </c>
      <c r="BY53" s="289">
        <f t="shared" si="123"/>
        <v>2033843.12</v>
      </c>
      <c r="BZ53" s="289">
        <f t="shared" si="123"/>
        <v>1921748.6</v>
      </c>
      <c r="CA53" s="289">
        <f t="shared" si="123"/>
        <v>1534502.41</v>
      </c>
      <c r="CB53" s="289">
        <f t="shared" si="123"/>
        <v>2190977.07</v>
      </c>
      <c r="CC53" s="289">
        <f t="shared" si="123"/>
        <v>0</v>
      </c>
      <c r="CD53" s="289">
        <f t="shared" si="123"/>
        <v>0</v>
      </c>
      <c r="CE53" s="289">
        <f t="shared" si="123"/>
        <v>0</v>
      </c>
      <c r="CF53" s="289">
        <f t="shared" si="123"/>
        <v>0</v>
      </c>
      <c r="CG53" s="289">
        <f t="shared" si="123"/>
        <v>0</v>
      </c>
      <c r="CH53" s="289">
        <f t="shared" si="123"/>
        <v>0</v>
      </c>
      <c r="CI53" s="108"/>
      <c r="CJ53" s="108"/>
      <c r="CK53" s="290"/>
      <c r="CL53" s="108"/>
      <c r="CM53" s="108"/>
      <c r="CN53" s="108"/>
      <c r="CO53" s="108"/>
      <c r="CP53" s="108"/>
      <c r="CQ53" s="290"/>
      <c r="CR53" s="108"/>
      <c r="CS53" s="108"/>
      <c r="CT53" s="108"/>
      <c r="CU53" s="108"/>
      <c r="CV53" s="108"/>
      <c r="CW53" s="288"/>
      <c r="CX53" s="108"/>
      <c r="CY53" s="108"/>
      <c r="CZ53" s="108"/>
      <c r="DA53" s="108"/>
      <c r="DB53" s="108"/>
      <c r="DC53" s="288"/>
      <c r="DD53" s="108"/>
      <c r="DE53" s="108"/>
      <c r="DF53" s="108"/>
      <c r="DG53" s="108"/>
      <c r="DH53" s="108"/>
      <c r="DI53" s="282"/>
      <c r="DJ53" s="108"/>
      <c r="DK53" s="108"/>
      <c r="DL53" s="108"/>
      <c r="DM53" s="108"/>
      <c r="DN53" s="108"/>
      <c r="DO53" s="108"/>
      <c r="DP53" s="108"/>
      <c r="DQ53" s="108"/>
      <c r="DR53" s="108"/>
      <c r="DS53" s="108"/>
      <c r="DT53" s="108"/>
      <c r="DU53" s="108"/>
      <c r="DV53" s="108"/>
      <c r="DW53" s="108"/>
      <c r="DX53" s="108"/>
      <c r="DY53" s="108"/>
      <c r="DZ53" s="108"/>
      <c r="EA53" s="108"/>
      <c r="EB53" s="108"/>
      <c r="EC53" s="108"/>
      <c r="ED53" s="108"/>
      <c r="EE53" s="108"/>
      <c r="EF53" s="108"/>
      <c r="EG53" s="108"/>
      <c r="EH53" s="108"/>
      <c r="EI53" s="108"/>
      <c r="EJ53" s="108"/>
      <c r="EK53" s="108"/>
      <c r="EL53" s="108"/>
      <c r="EM53" s="108"/>
      <c r="EN53" s="108"/>
      <c r="EO53" s="108"/>
      <c r="EP53" s="108"/>
      <c r="EQ53" s="108"/>
      <c r="ER53" s="108"/>
      <c r="ES53" s="108"/>
      <c r="ET53" s="108"/>
      <c r="EU53" s="108"/>
      <c r="EV53" s="108"/>
      <c r="EW53" s="108"/>
      <c r="EX53" s="108"/>
      <c r="EY53" s="108"/>
      <c r="EZ53" s="108"/>
      <c r="FA53" s="108"/>
      <c r="FB53" s="108"/>
      <c r="FC53" s="108"/>
      <c r="FD53" s="108"/>
      <c r="FE53" s="108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108"/>
      <c r="GL53" s="108"/>
      <c r="GM53" s="108"/>
    </row>
    <row r="54" outlineLevel="1">
      <c r="B54" s="135" t="s">
        <v>516</v>
      </c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337"/>
      <c r="AY54" s="137">
        <f t="shared" ref="AY54:CH54" si="124">AY20-AY36</f>
        <v>344123.68</v>
      </c>
      <c r="AZ54" s="137">
        <f t="shared" si="124"/>
        <v>389480.59</v>
      </c>
      <c r="BA54" s="137">
        <f t="shared" si="124"/>
        <v>415364.13</v>
      </c>
      <c r="BB54" s="137">
        <f t="shared" si="124"/>
        <v>495712.64</v>
      </c>
      <c r="BC54" s="137">
        <f t="shared" si="124"/>
        <v>751367.97</v>
      </c>
      <c r="BD54" s="137">
        <f t="shared" si="124"/>
        <v>732474.25</v>
      </c>
      <c r="BE54" s="137">
        <f t="shared" si="124"/>
        <v>845686.33</v>
      </c>
      <c r="BF54" s="137">
        <f t="shared" si="124"/>
        <v>624872.94</v>
      </c>
      <c r="BG54" s="137">
        <f t="shared" si="124"/>
        <v>815230.39</v>
      </c>
      <c r="BH54" s="137">
        <f t="shared" si="124"/>
        <v>1077257.06</v>
      </c>
      <c r="BI54" s="137">
        <f t="shared" si="124"/>
        <v>896439.15</v>
      </c>
      <c r="BJ54" s="137">
        <f t="shared" si="124"/>
        <v>896886.7</v>
      </c>
      <c r="BK54" s="137">
        <f t="shared" si="124"/>
        <v>904859.08</v>
      </c>
      <c r="BL54" s="137">
        <f t="shared" si="124"/>
        <v>937097.6</v>
      </c>
      <c r="BM54" s="137">
        <f t="shared" si="124"/>
        <v>1053328.26</v>
      </c>
      <c r="BN54" s="137">
        <f t="shared" si="124"/>
        <v>1148608.18</v>
      </c>
      <c r="BO54" s="137">
        <f t="shared" si="124"/>
        <v>1098680.11</v>
      </c>
      <c r="BP54" s="137">
        <f t="shared" si="124"/>
        <v>1130060.31</v>
      </c>
      <c r="BQ54" s="137">
        <f t="shared" si="124"/>
        <v>1482197.13</v>
      </c>
      <c r="BR54" s="137">
        <f t="shared" si="124"/>
        <v>1261661.86</v>
      </c>
      <c r="BS54" s="137">
        <f t="shared" si="124"/>
        <v>1523173.14</v>
      </c>
      <c r="BT54" s="137">
        <f t="shared" si="124"/>
        <v>1988870.26</v>
      </c>
      <c r="BU54" s="137">
        <f t="shared" si="124"/>
        <v>1342917.9</v>
      </c>
      <c r="BV54" s="137">
        <f t="shared" si="124"/>
        <v>1381848.62</v>
      </c>
      <c r="BW54" s="141">
        <f t="shared" si="124"/>
        <v>1783170.31</v>
      </c>
      <c r="BX54" s="141">
        <f t="shared" si="124"/>
        <v>1772813.64</v>
      </c>
      <c r="BY54" s="141">
        <f t="shared" si="124"/>
        <v>2032176.45</v>
      </c>
      <c r="BZ54" s="141">
        <f t="shared" si="124"/>
        <v>1920081.93</v>
      </c>
      <c r="CA54" s="141">
        <f t="shared" si="124"/>
        <v>1534502.41</v>
      </c>
      <c r="CB54" s="141">
        <f t="shared" si="124"/>
        <v>2189310.4</v>
      </c>
      <c r="CC54" s="141">
        <f t="shared" si="124"/>
        <v>0</v>
      </c>
      <c r="CD54" s="141">
        <f t="shared" si="124"/>
        <v>0</v>
      </c>
      <c r="CE54" s="141">
        <f t="shared" si="124"/>
        <v>0</v>
      </c>
      <c r="CF54" s="141">
        <f t="shared" si="124"/>
        <v>0</v>
      </c>
      <c r="CG54" s="141">
        <f t="shared" si="124"/>
        <v>0</v>
      </c>
      <c r="CH54" s="141">
        <f t="shared" si="124"/>
        <v>0</v>
      </c>
      <c r="CI54" s="337"/>
      <c r="CJ54" s="337"/>
      <c r="CK54" s="339"/>
      <c r="CL54" s="136"/>
      <c r="CM54" s="136"/>
      <c r="CN54" s="136"/>
      <c r="CO54" s="136"/>
      <c r="CP54" s="136"/>
      <c r="CQ54" s="339"/>
      <c r="CR54" s="136"/>
      <c r="CS54" s="136"/>
      <c r="CT54" s="136"/>
      <c r="CU54" s="136"/>
      <c r="CV54" s="136"/>
      <c r="CW54" s="292"/>
      <c r="CX54" s="49"/>
      <c r="CY54" s="136"/>
      <c r="CZ54" s="136"/>
      <c r="DA54" s="136"/>
      <c r="DB54" s="136"/>
      <c r="DC54" s="292"/>
      <c r="DD54" s="136"/>
      <c r="DE54" s="136"/>
      <c r="DF54" s="136"/>
      <c r="DG54" s="136"/>
      <c r="DH54" s="136"/>
      <c r="DI54" s="292"/>
      <c r="DJ54" s="136"/>
      <c r="DK54" s="137"/>
      <c r="DL54" s="137"/>
      <c r="DM54" s="137"/>
      <c r="DN54" s="137"/>
      <c r="DO54" s="142"/>
      <c r="DP54" s="136"/>
      <c r="DQ54" s="292"/>
      <c r="DR54" s="136"/>
      <c r="DS54" s="136"/>
      <c r="DT54" s="136"/>
      <c r="DU54" s="136"/>
      <c r="DV54" s="136"/>
      <c r="DW54" s="136"/>
      <c r="DX54" s="136"/>
      <c r="DY54" s="136"/>
      <c r="DZ54" s="136"/>
      <c r="EA54" s="136"/>
      <c r="EB54" s="136"/>
      <c r="EC54" s="136"/>
      <c r="ED54" s="136"/>
      <c r="EE54" s="136"/>
      <c r="EF54" s="136"/>
      <c r="EG54" s="136"/>
      <c r="EH54" s="136"/>
      <c r="EI54" s="136"/>
      <c r="EJ54" s="136"/>
      <c r="EK54" s="136"/>
      <c r="EL54" s="136"/>
      <c r="EM54" s="136"/>
      <c r="EN54" s="136"/>
      <c r="EO54" s="136"/>
      <c r="EP54" s="136"/>
      <c r="EQ54" s="136"/>
      <c r="ER54" s="136"/>
      <c r="ES54" s="136"/>
      <c r="ET54" s="136"/>
      <c r="EU54" s="136"/>
      <c r="EV54" s="136"/>
      <c r="EW54" s="136"/>
      <c r="EX54" s="136"/>
      <c r="EY54" s="136"/>
      <c r="EZ54" s="136"/>
      <c r="FA54" s="136"/>
      <c r="FB54" s="136"/>
      <c r="FC54" s="136"/>
      <c r="FD54" s="136"/>
      <c r="FE54" s="136"/>
      <c r="FF54" s="136"/>
      <c r="FG54" s="136"/>
      <c r="FH54" s="136"/>
      <c r="FI54" s="136"/>
      <c r="FJ54" s="136"/>
      <c r="FK54" s="136"/>
      <c r="FL54" s="136"/>
      <c r="FM54" s="136"/>
      <c r="FN54" s="136"/>
      <c r="FO54" s="136"/>
      <c r="FP54" s="136"/>
      <c r="FQ54" s="136"/>
      <c r="FR54" s="136"/>
      <c r="FS54" s="136"/>
      <c r="FT54" s="136"/>
      <c r="FU54" s="136"/>
      <c r="FV54" s="136"/>
      <c r="FW54" s="136"/>
      <c r="FX54" s="136"/>
      <c r="FY54" s="136"/>
      <c r="FZ54" s="136"/>
      <c r="GA54" s="136"/>
      <c r="GB54" s="136"/>
      <c r="GC54" s="136"/>
      <c r="GD54" s="136"/>
      <c r="GE54" s="136"/>
      <c r="GF54" s="136"/>
      <c r="GG54" s="136"/>
      <c r="GH54" s="136"/>
      <c r="GI54" s="136"/>
      <c r="GJ54" s="136"/>
      <c r="GK54" s="136"/>
      <c r="GL54" s="136"/>
      <c r="GM54" s="136"/>
    </row>
    <row r="55" outlineLevel="1">
      <c r="B55" s="135" t="s">
        <v>517</v>
      </c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337"/>
      <c r="AY55" s="353"/>
      <c r="AZ55" s="353"/>
      <c r="BA55" s="353"/>
      <c r="BB55" s="353"/>
      <c r="BC55" s="353"/>
      <c r="BD55" s="353"/>
      <c r="BE55" s="353"/>
      <c r="BF55" s="353"/>
      <c r="BG55" s="353"/>
      <c r="BH55" s="353"/>
      <c r="BI55" s="353"/>
      <c r="BJ55" s="353"/>
      <c r="BK55" s="353"/>
      <c r="BL55" s="353"/>
      <c r="BM55" s="353"/>
      <c r="BN55" s="353"/>
      <c r="BO55" s="353"/>
      <c r="BP55" s="353"/>
      <c r="BQ55" s="353"/>
      <c r="BR55" s="353"/>
      <c r="BS55" s="337"/>
      <c r="BT55" s="337"/>
      <c r="BU55" s="337"/>
      <c r="BV55" s="337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337"/>
      <c r="CJ55" s="337"/>
      <c r="CK55" s="339"/>
      <c r="CL55" s="136"/>
      <c r="CM55" s="136"/>
      <c r="CN55" s="136"/>
      <c r="CO55" s="136"/>
      <c r="CP55" s="136"/>
      <c r="CQ55" s="339"/>
      <c r="CR55" s="136"/>
      <c r="CS55" s="136"/>
      <c r="CT55" s="136"/>
      <c r="CU55" s="136"/>
      <c r="CV55" s="136"/>
      <c r="CW55" s="292"/>
      <c r="CX55" s="49"/>
      <c r="CY55" s="136"/>
      <c r="CZ55" s="136"/>
      <c r="DA55" s="136"/>
      <c r="DB55" s="136"/>
      <c r="DC55" s="292"/>
      <c r="DD55" s="136"/>
      <c r="DE55" s="136"/>
      <c r="DF55" s="136"/>
      <c r="DG55" s="136"/>
      <c r="DH55" s="136"/>
      <c r="DI55" s="292"/>
      <c r="DJ55" s="136"/>
      <c r="DK55" s="137"/>
      <c r="DL55" s="137"/>
      <c r="DM55" s="137"/>
      <c r="DN55" s="137"/>
      <c r="DO55" s="142"/>
      <c r="DP55" s="136"/>
      <c r="DQ55" s="292"/>
      <c r="DR55" s="136"/>
      <c r="DS55" s="136"/>
      <c r="DT55" s="136"/>
      <c r="DU55" s="136"/>
      <c r="DV55" s="136"/>
      <c r="DW55" s="136"/>
      <c r="DX55" s="136"/>
      <c r="DY55" s="136"/>
      <c r="DZ55" s="136"/>
      <c r="EA55" s="136"/>
      <c r="EB55" s="136"/>
      <c r="EC55" s="136"/>
      <c r="ED55" s="136"/>
      <c r="EE55" s="136"/>
      <c r="EF55" s="136"/>
      <c r="EG55" s="136"/>
      <c r="EH55" s="136"/>
      <c r="EI55" s="136"/>
      <c r="EJ55" s="136"/>
      <c r="EK55" s="136"/>
      <c r="EL55" s="136"/>
      <c r="EM55" s="136"/>
      <c r="EN55" s="136"/>
      <c r="EO55" s="136"/>
      <c r="EP55" s="136"/>
      <c r="EQ55" s="136"/>
      <c r="ER55" s="136"/>
      <c r="ES55" s="136"/>
      <c r="ET55" s="136"/>
      <c r="EU55" s="136"/>
      <c r="EV55" s="136"/>
      <c r="EW55" s="136"/>
      <c r="EX55" s="136"/>
      <c r="EY55" s="136"/>
      <c r="EZ55" s="136"/>
      <c r="FA55" s="136"/>
      <c r="FB55" s="136"/>
      <c r="FC55" s="136"/>
      <c r="FD55" s="136"/>
      <c r="FE55" s="136"/>
      <c r="FF55" s="136"/>
      <c r="FG55" s="136"/>
      <c r="FH55" s="136"/>
      <c r="FI55" s="136"/>
      <c r="FJ55" s="136"/>
      <c r="FK55" s="136"/>
      <c r="FL55" s="136"/>
      <c r="FM55" s="136"/>
      <c r="FN55" s="136"/>
      <c r="FO55" s="136"/>
      <c r="FP55" s="136"/>
      <c r="FQ55" s="136"/>
      <c r="FR55" s="136"/>
      <c r="FS55" s="136"/>
      <c r="FT55" s="136"/>
      <c r="FU55" s="136"/>
      <c r="FV55" s="136"/>
      <c r="FW55" s="136"/>
      <c r="FX55" s="136"/>
      <c r="FY55" s="136"/>
      <c r="FZ55" s="136"/>
      <c r="GA55" s="136"/>
      <c r="GB55" s="136"/>
      <c r="GC55" s="136"/>
      <c r="GD55" s="136"/>
      <c r="GE55" s="136"/>
      <c r="GF55" s="136"/>
      <c r="GG55" s="136"/>
      <c r="GH55" s="136"/>
      <c r="GI55" s="136"/>
      <c r="GJ55" s="136"/>
      <c r="GK55" s="136"/>
      <c r="GL55" s="136"/>
      <c r="GM55" s="136"/>
    </row>
    <row r="56" outlineLevel="1">
      <c r="B56" s="135" t="s">
        <v>518</v>
      </c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337"/>
      <c r="AY56" s="353"/>
      <c r="AZ56" s="353"/>
      <c r="BA56" s="353"/>
      <c r="BB56" s="353"/>
      <c r="BC56" s="353"/>
      <c r="BD56" s="353"/>
      <c r="BE56" s="353"/>
      <c r="BF56" s="353"/>
      <c r="BG56" s="353"/>
      <c r="BH56" s="353"/>
      <c r="BI56" s="353"/>
      <c r="BJ56" s="353"/>
      <c r="BK56" s="353"/>
      <c r="BL56" s="353"/>
      <c r="BM56" s="353"/>
      <c r="BN56" s="353"/>
      <c r="BO56" s="353"/>
      <c r="BP56" s="353"/>
      <c r="BQ56" s="353"/>
      <c r="BR56" s="353"/>
      <c r="BS56" s="337"/>
      <c r="BT56" s="337"/>
      <c r="BU56" s="337"/>
      <c r="BV56" s="337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337"/>
      <c r="CJ56" s="337"/>
      <c r="CK56" s="339"/>
      <c r="CL56" s="136"/>
      <c r="CM56" s="136"/>
      <c r="CN56" s="136"/>
      <c r="CO56" s="136"/>
      <c r="CP56" s="136"/>
      <c r="CQ56" s="339"/>
      <c r="CR56" s="136"/>
      <c r="CS56" s="136"/>
      <c r="CT56" s="136"/>
      <c r="CU56" s="136"/>
      <c r="CV56" s="136"/>
      <c r="CW56" s="292"/>
      <c r="CX56" s="49"/>
      <c r="CY56" s="136"/>
      <c r="CZ56" s="136"/>
      <c r="DA56" s="136"/>
      <c r="DB56" s="136"/>
      <c r="DC56" s="292"/>
      <c r="DD56" s="136"/>
      <c r="DE56" s="136"/>
      <c r="DF56" s="136"/>
      <c r="DG56" s="136"/>
      <c r="DH56" s="136"/>
      <c r="DI56" s="292"/>
      <c r="DJ56" s="136"/>
      <c r="DK56" s="137"/>
      <c r="DL56" s="137"/>
      <c r="DM56" s="137"/>
      <c r="DN56" s="137"/>
      <c r="DO56" s="142"/>
      <c r="DP56" s="136"/>
      <c r="DQ56" s="292"/>
      <c r="DR56" s="136"/>
      <c r="DS56" s="136"/>
      <c r="DT56" s="136"/>
      <c r="DU56" s="136"/>
      <c r="DV56" s="136"/>
      <c r="DW56" s="136"/>
      <c r="DX56" s="136"/>
      <c r="DY56" s="136"/>
      <c r="DZ56" s="136"/>
      <c r="EA56" s="136"/>
      <c r="EB56" s="136"/>
      <c r="EC56" s="136"/>
      <c r="ED56" s="136"/>
      <c r="EE56" s="136"/>
      <c r="EF56" s="136"/>
      <c r="EG56" s="136"/>
      <c r="EH56" s="136"/>
      <c r="EI56" s="136"/>
      <c r="EJ56" s="136"/>
      <c r="EK56" s="136"/>
      <c r="EL56" s="136"/>
      <c r="EM56" s="136"/>
      <c r="EN56" s="136"/>
      <c r="EO56" s="136"/>
      <c r="EP56" s="136"/>
      <c r="EQ56" s="136"/>
      <c r="ER56" s="136"/>
      <c r="ES56" s="136"/>
      <c r="ET56" s="136"/>
      <c r="EU56" s="136"/>
      <c r="EV56" s="136"/>
      <c r="EW56" s="136"/>
      <c r="EX56" s="136"/>
      <c r="EY56" s="136"/>
      <c r="EZ56" s="136"/>
      <c r="FA56" s="136"/>
      <c r="FB56" s="136"/>
      <c r="FC56" s="136"/>
      <c r="FD56" s="136"/>
      <c r="FE56" s="136"/>
      <c r="FF56" s="136"/>
      <c r="FG56" s="136"/>
      <c r="FH56" s="136"/>
      <c r="FI56" s="136"/>
      <c r="FJ56" s="136"/>
      <c r="FK56" s="136"/>
      <c r="FL56" s="136"/>
      <c r="FM56" s="136"/>
      <c r="FN56" s="136"/>
      <c r="FO56" s="136"/>
      <c r="FP56" s="136"/>
      <c r="FQ56" s="136"/>
      <c r="FR56" s="136"/>
      <c r="FS56" s="136"/>
      <c r="FT56" s="136"/>
      <c r="FU56" s="136"/>
      <c r="FV56" s="136"/>
      <c r="FW56" s="136"/>
      <c r="FX56" s="136"/>
      <c r="FY56" s="136"/>
      <c r="FZ56" s="136"/>
      <c r="GA56" s="136"/>
      <c r="GB56" s="136"/>
      <c r="GC56" s="136"/>
      <c r="GD56" s="136"/>
      <c r="GE56" s="136"/>
      <c r="GF56" s="136"/>
      <c r="GG56" s="136"/>
      <c r="GH56" s="136"/>
      <c r="GI56" s="136"/>
      <c r="GJ56" s="136"/>
      <c r="GK56" s="136"/>
      <c r="GL56" s="136"/>
      <c r="GM56" s="136"/>
    </row>
    <row r="57">
      <c r="B57" s="63" t="s">
        <v>525</v>
      </c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358">
        <f t="shared" ref="AM57:CH57" si="125">AM47/AM13</f>
        <v>0.6114304648</v>
      </c>
      <c r="AN57" s="358">
        <f t="shared" si="125"/>
        <v>0.6894047658</v>
      </c>
      <c r="AO57" s="358">
        <f t="shared" si="125"/>
        <v>0.7192513989</v>
      </c>
      <c r="AP57" s="358">
        <f t="shared" si="125"/>
        <v>0.5870361166</v>
      </c>
      <c r="AQ57" s="358">
        <f t="shared" si="125"/>
        <v>0.6649567891</v>
      </c>
      <c r="AR57" s="358">
        <f t="shared" si="125"/>
        <v>0.677996813</v>
      </c>
      <c r="AS57" s="358">
        <f t="shared" si="125"/>
        <v>0.6018908743</v>
      </c>
      <c r="AT57" s="358">
        <f t="shared" si="125"/>
        <v>0.5155577068</v>
      </c>
      <c r="AU57" s="358">
        <f t="shared" si="125"/>
        <v>0.5442608545</v>
      </c>
      <c r="AV57" s="358">
        <f t="shared" si="125"/>
        <v>0.6339996649</v>
      </c>
      <c r="AW57" s="358">
        <f t="shared" si="125"/>
        <v>0.5741302671</v>
      </c>
      <c r="AX57" s="358">
        <f t="shared" si="125"/>
        <v>0.5152719059</v>
      </c>
      <c r="AY57" s="358">
        <f t="shared" si="125"/>
        <v>0.5304413029</v>
      </c>
      <c r="AZ57" s="358">
        <f t="shared" si="125"/>
        <v>0.6277932076</v>
      </c>
      <c r="BA57" s="358">
        <f t="shared" si="125"/>
        <v>0.6422505545</v>
      </c>
      <c r="BB57" s="358">
        <f t="shared" si="125"/>
        <v>0.4933260798</v>
      </c>
      <c r="BC57" s="358">
        <f t="shared" si="125"/>
        <v>0.6140140992</v>
      </c>
      <c r="BD57" s="358">
        <f t="shared" si="125"/>
        <v>0.6103241679</v>
      </c>
      <c r="BE57" s="358">
        <f t="shared" si="125"/>
        <v>0.6525490084</v>
      </c>
      <c r="BF57" s="358">
        <f t="shared" si="125"/>
        <v>0.4105319448</v>
      </c>
      <c r="BG57" s="358">
        <f t="shared" si="125"/>
        <v>0.6091279315</v>
      </c>
      <c r="BH57" s="358">
        <f t="shared" si="125"/>
        <v>0.6672568437</v>
      </c>
      <c r="BI57" s="358">
        <f t="shared" si="125"/>
        <v>0.6181637201</v>
      </c>
      <c r="BJ57" s="358">
        <f t="shared" si="125"/>
        <v>0.5616739288</v>
      </c>
      <c r="BK57" s="358">
        <f t="shared" si="125"/>
        <v>0.5655994424</v>
      </c>
      <c r="BL57" s="358">
        <f t="shared" si="125"/>
        <v>0.5663455453</v>
      </c>
      <c r="BM57" s="358">
        <f t="shared" si="125"/>
        <v>0.5646512035</v>
      </c>
      <c r="BN57" s="358">
        <f t="shared" si="125"/>
        <v>0.6131343065</v>
      </c>
      <c r="BO57" s="358">
        <f t="shared" si="125"/>
        <v>0.5620376404</v>
      </c>
      <c r="BP57" s="358">
        <f t="shared" si="125"/>
        <v>0.5760465165</v>
      </c>
      <c r="BQ57" s="358">
        <f t="shared" si="125"/>
        <v>0.6010086208</v>
      </c>
      <c r="BR57" s="358">
        <f t="shared" si="125"/>
        <v>0.5542005158</v>
      </c>
      <c r="BS57" s="358">
        <f t="shared" si="125"/>
        <v>0.581408526</v>
      </c>
      <c r="BT57" s="358">
        <f t="shared" si="125"/>
        <v>0.6011857894</v>
      </c>
      <c r="BU57" s="358">
        <f t="shared" si="125"/>
        <v>0.5416767065</v>
      </c>
      <c r="BV57" s="358">
        <f t="shared" si="125"/>
        <v>0.5345602891</v>
      </c>
      <c r="BW57" s="431">
        <f t="shared" si="125"/>
        <v>0.5493747761</v>
      </c>
      <c r="BX57" s="431">
        <f t="shared" si="125"/>
        <v>0.5832816464</v>
      </c>
      <c r="BY57" s="431">
        <f t="shared" si="125"/>
        <v>0.564454385</v>
      </c>
      <c r="BZ57" s="431">
        <f t="shared" si="125"/>
        <v>0.5810243039</v>
      </c>
      <c r="CA57" s="431">
        <f t="shared" si="125"/>
        <v>0.5958504835</v>
      </c>
      <c r="CB57" s="431">
        <f t="shared" si="125"/>
        <v>0.6062481413</v>
      </c>
      <c r="CC57" s="431" t="str">
        <f t="shared" si="125"/>
        <v>#DIV/0!</v>
      </c>
      <c r="CD57" s="431" t="str">
        <f t="shared" si="125"/>
        <v>#DIV/0!</v>
      </c>
      <c r="CE57" s="431" t="str">
        <f t="shared" si="125"/>
        <v>#DIV/0!</v>
      </c>
      <c r="CF57" s="431" t="str">
        <f t="shared" si="125"/>
        <v>#DIV/0!</v>
      </c>
      <c r="CG57" s="431" t="str">
        <f t="shared" si="125"/>
        <v>#DIV/0!</v>
      </c>
      <c r="CH57" s="431" t="str">
        <f t="shared" si="125"/>
        <v>#DIV/0!</v>
      </c>
      <c r="CI57" s="270"/>
      <c r="CJ57" s="270"/>
      <c r="CK57" s="69"/>
      <c r="CL57" s="270"/>
      <c r="CM57" s="432">
        <f t="shared" ref="CM57:CP57" si="126">CM47/CM13</f>
        <v>0.5656154416</v>
      </c>
      <c r="CN57" s="432">
        <f t="shared" si="126"/>
        <v>0.5944489497</v>
      </c>
      <c r="CO57" s="432" t="str">
        <f t="shared" si="126"/>
        <v>#DIV/0!</v>
      </c>
      <c r="CP57" s="432" t="str">
        <f t="shared" si="126"/>
        <v>#DIV/0!</v>
      </c>
      <c r="CQ57" s="69"/>
      <c r="CR57" s="270"/>
      <c r="CS57" s="432">
        <f t="shared" ref="CS57:CW57" si="127">CS47/CS13</f>
        <v>0.5655322659</v>
      </c>
      <c r="CT57" s="432">
        <f t="shared" si="127"/>
        <v>0.5839293122</v>
      </c>
      <c r="CU57" s="432">
        <f t="shared" si="127"/>
        <v>0.5794484381</v>
      </c>
      <c r="CV57" s="432">
        <f t="shared" si="127"/>
        <v>0.5611627858</v>
      </c>
      <c r="CW57" s="432">
        <f t="shared" si="127"/>
        <v>0.5720002792</v>
      </c>
      <c r="CX57" s="270"/>
      <c r="CY57" s="432">
        <f t="shared" ref="CY57:DC57" si="128">CY47/CY13</f>
        <v>0.6028767377</v>
      </c>
      <c r="CZ57" s="432">
        <f t="shared" si="128"/>
        <v>0.5707884522</v>
      </c>
      <c r="DA57" s="432">
        <f t="shared" si="128"/>
        <v>0.5560999498</v>
      </c>
      <c r="DB57" s="432">
        <f t="shared" si="128"/>
        <v>0.6183958476</v>
      </c>
      <c r="DC57" s="432">
        <f t="shared" si="128"/>
        <v>0.5884986008</v>
      </c>
      <c r="DD57" s="270"/>
      <c r="DE57" s="270"/>
      <c r="DF57" s="270"/>
      <c r="DG57" s="270"/>
      <c r="DH57" s="270"/>
      <c r="DI57" s="121"/>
      <c r="DJ57" s="270"/>
      <c r="DK57" s="270"/>
      <c r="DL57" s="270"/>
      <c r="DM57" s="270"/>
      <c r="DN57" s="270"/>
      <c r="DO57" s="121"/>
      <c r="DP57" s="49"/>
      <c r="DQ57" s="121"/>
      <c r="DR57" s="136"/>
      <c r="DS57" s="64"/>
      <c r="DT57" s="64"/>
      <c r="DU57" s="64"/>
      <c r="DV57" s="64"/>
      <c r="DW57" s="64"/>
      <c r="DX57" s="64"/>
      <c r="DY57" s="64"/>
      <c r="DZ57" s="64"/>
      <c r="EA57" s="64"/>
      <c r="EB57" s="64"/>
      <c r="EC57" s="64"/>
      <c r="ED57" s="64"/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  <c r="FN57" s="64"/>
      <c r="FO57" s="64"/>
      <c r="FP57" s="64"/>
      <c r="FQ57" s="64"/>
      <c r="FR57" s="64"/>
      <c r="FS57" s="64"/>
      <c r="FT57" s="64"/>
      <c r="FU57" s="64"/>
      <c r="FV57" s="64"/>
      <c r="FW57" s="436">
        <f>FW47/FW13</f>
        <v>0.5865973068</v>
      </c>
      <c r="FX57" s="64"/>
      <c r="FY57" s="64"/>
      <c r="FZ57" s="64"/>
      <c r="GA57" s="64"/>
      <c r="GB57" s="64"/>
      <c r="GC57" s="64"/>
      <c r="GD57" s="64"/>
      <c r="GE57" s="64"/>
      <c r="GF57" s="64"/>
      <c r="GG57" s="64"/>
      <c r="GH57" s="64"/>
      <c r="GI57" s="64"/>
      <c r="GJ57" s="64"/>
      <c r="GK57" s="64"/>
      <c r="GL57" s="64"/>
      <c r="GM57" s="64"/>
    </row>
    <row r="58" outlineLevel="1">
      <c r="A58" s="359"/>
      <c r="B58" s="355" t="s">
        <v>506</v>
      </c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286"/>
      <c r="AB58" s="286"/>
      <c r="AC58" s="286"/>
      <c r="AD58" s="286"/>
      <c r="AE58" s="286"/>
      <c r="AF58" s="286"/>
      <c r="AG58" s="286"/>
      <c r="AH58" s="286"/>
      <c r="AI58" s="286"/>
      <c r="AJ58" s="286"/>
      <c r="AK58" s="286"/>
      <c r="AL58" s="286"/>
      <c r="AM58" s="360"/>
      <c r="AN58" s="360"/>
      <c r="AO58" s="360"/>
      <c r="AP58" s="360"/>
      <c r="AQ58" s="360"/>
      <c r="AR58" s="360"/>
      <c r="AS58" s="360"/>
      <c r="AT58" s="360"/>
      <c r="AU58" s="360"/>
      <c r="AV58" s="360"/>
      <c r="AW58" s="360"/>
      <c r="AX58" s="361"/>
      <c r="AY58" s="362">
        <f t="shared" ref="AY58:CH58" si="129">AY48/AY14</f>
        <v>0.6380999633</v>
      </c>
      <c r="AZ58" s="362">
        <f t="shared" si="129"/>
        <v>0.7083960508</v>
      </c>
      <c r="BA58" s="362">
        <f t="shared" si="129"/>
        <v>0.7406585671</v>
      </c>
      <c r="BB58" s="362">
        <f t="shared" si="129"/>
        <v>0.5712657784</v>
      </c>
      <c r="BC58" s="362">
        <f t="shared" si="129"/>
        <v>0.6546923595</v>
      </c>
      <c r="BD58" s="362">
        <f t="shared" si="129"/>
        <v>0.6260476711</v>
      </c>
      <c r="BE58" s="362">
        <f t="shared" si="129"/>
        <v>0.6729706927</v>
      </c>
      <c r="BF58" s="362">
        <f t="shared" si="129"/>
        <v>0.43115728</v>
      </c>
      <c r="BG58" s="362">
        <f t="shared" si="129"/>
        <v>0.6066822241</v>
      </c>
      <c r="BH58" s="362">
        <f t="shared" si="129"/>
        <v>0.6821182108</v>
      </c>
      <c r="BI58" s="362">
        <f t="shared" si="129"/>
        <v>0.6431901401</v>
      </c>
      <c r="BJ58" s="362">
        <f t="shared" si="129"/>
        <v>0.5418384947</v>
      </c>
      <c r="BK58" s="362">
        <f t="shared" si="129"/>
        <v>0.5727628753</v>
      </c>
      <c r="BL58" s="362">
        <f t="shared" si="129"/>
        <v>0.5792475437</v>
      </c>
      <c r="BM58" s="362">
        <f t="shared" si="129"/>
        <v>0.478980265</v>
      </c>
      <c r="BN58" s="362">
        <f t="shared" si="129"/>
        <v>0.5689932483</v>
      </c>
      <c r="BO58" s="362">
        <f t="shared" si="129"/>
        <v>0.5101964273</v>
      </c>
      <c r="BP58" s="362">
        <f t="shared" si="129"/>
        <v>0.5149696324</v>
      </c>
      <c r="BQ58" s="362">
        <f t="shared" si="129"/>
        <v>0.4800867811</v>
      </c>
      <c r="BR58" s="362">
        <f t="shared" si="129"/>
        <v>0.5429847476</v>
      </c>
      <c r="BS58" s="362">
        <f t="shared" si="129"/>
        <v>0.5310880626</v>
      </c>
      <c r="BT58" s="362">
        <f t="shared" si="129"/>
        <v>0.4157827459</v>
      </c>
      <c r="BU58" s="362">
        <f t="shared" si="129"/>
        <v>0.4592011811</v>
      </c>
      <c r="BV58" s="362">
        <f t="shared" si="129"/>
        <v>0.4088346116</v>
      </c>
      <c r="BW58" s="437">
        <f t="shared" si="129"/>
        <v>0.4673172016</v>
      </c>
      <c r="BX58" s="437">
        <f t="shared" si="129"/>
        <v>0.5638924274</v>
      </c>
      <c r="BY58" s="437">
        <f t="shared" si="129"/>
        <v>0.419749612</v>
      </c>
      <c r="BZ58" s="437">
        <f t="shared" si="129"/>
        <v>0.5336544405</v>
      </c>
      <c r="CA58" s="437">
        <f t="shared" si="129"/>
        <v>0.6710550772</v>
      </c>
      <c r="CB58" s="437">
        <f t="shared" si="129"/>
        <v>0.5490150699</v>
      </c>
      <c r="CC58" s="437" t="str">
        <f t="shared" si="129"/>
        <v>#DIV/0!</v>
      </c>
      <c r="CD58" s="437" t="str">
        <f t="shared" si="129"/>
        <v>#DIV/0!</v>
      </c>
      <c r="CE58" s="437" t="str">
        <f t="shared" si="129"/>
        <v>#DIV/0!</v>
      </c>
      <c r="CF58" s="437" t="str">
        <f t="shared" si="129"/>
        <v>#DIV/0!</v>
      </c>
      <c r="CG58" s="437" t="str">
        <f t="shared" si="129"/>
        <v>#DIV/0!</v>
      </c>
      <c r="CH58" s="437" t="str">
        <f t="shared" si="129"/>
        <v>#DIV/0!</v>
      </c>
      <c r="CI58" s="363"/>
      <c r="CJ58" s="363"/>
      <c r="CK58" s="303"/>
      <c r="CL58" s="286"/>
      <c r="CM58" s="286"/>
      <c r="CN58" s="286"/>
      <c r="CO58" s="286"/>
      <c r="CP58" s="286"/>
      <c r="CQ58" s="303"/>
      <c r="CR58" s="286"/>
      <c r="CS58" s="286"/>
      <c r="CT58" s="286"/>
      <c r="CU58" s="286"/>
      <c r="CV58" s="286"/>
      <c r="CW58" s="288"/>
      <c r="CX58" s="364"/>
      <c r="CY58" s="286"/>
      <c r="CZ58" s="286"/>
      <c r="DA58" s="286"/>
      <c r="DB58" s="286"/>
      <c r="DC58" s="288"/>
      <c r="DD58" s="286"/>
      <c r="DE58" s="286"/>
      <c r="DF58" s="286"/>
      <c r="DG58" s="286"/>
      <c r="DH58" s="286"/>
      <c r="DI58" s="288"/>
      <c r="DJ58" s="360"/>
      <c r="DK58" s="360"/>
      <c r="DL58" s="360"/>
      <c r="DM58" s="360"/>
      <c r="DN58" s="360"/>
      <c r="DO58" s="365"/>
      <c r="DP58" s="286"/>
      <c r="DQ58" s="288"/>
      <c r="DR58" s="286"/>
      <c r="DS58" s="286"/>
      <c r="DT58" s="286"/>
      <c r="DU58" s="286"/>
      <c r="DV58" s="286"/>
      <c r="DW58" s="286"/>
      <c r="DX58" s="286"/>
      <c r="DY58" s="286"/>
      <c r="DZ58" s="286"/>
      <c r="EA58" s="286"/>
      <c r="EB58" s="286"/>
      <c r="EC58" s="286"/>
      <c r="ED58" s="286"/>
      <c r="EE58" s="286"/>
      <c r="EF58" s="286"/>
      <c r="EG58" s="286"/>
      <c r="EH58" s="286"/>
      <c r="EI58" s="286"/>
      <c r="EJ58" s="286"/>
      <c r="EK58" s="286"/>
      <c r="EL58" s="286"/>
      <c r="EM58" s="286"/>
      <c r="EN58" s="286"/>
      <c r="EO58" s="286"/>
      <c r="EP58" s="286"/>
      <c r="EQ58" s="286"/>
      <c r="ER58" s="286"/>
      <c r="ES58" s="286"/>
      <c r="ET58" s="286"/>
      <c r="EU58" s="286"/>
      <c r="EV58" s="286"/>
      <c r="EW58" s="286"/>
      <c r="EX58" s="286"/>
      <c r="EY58" s="286"/>
      <c r="EZ58" s="286"/>
      <c r="FA58" s="286"/>
      <c r="FB58" s="286"/>
      <c r="FC58" s="286"/>
      <c r="FD58" s="286"/>
      <c r="FE58" s="286"/>
      <c r="FF58" s="286"/>
      <c r="FG58" s="286"/>
      <c r="FH58" s="286"/>
      <c r="FI58" s="286"/>
      <c r="FJ58" s="286"/>
      <c r="FK58" s="286"/>
      <c r="FL58" s="286"/>
      <c r="FM58" s="286"/>
      <c r="FN58" s="286"/>
      <c r="FO58" s="286"/>
      <c r="FP58" s="286"/>
      <c r="FQ58" s="286"/>
      <c r="FR58" s="286"/>
      <c r="FS58" s="286"/>
      <c r="FT58" s="286"/>
      <c r="FU58" s="286"/>
      <c r="FV58" s="286"/>
      <c r="FW58" s="286"/>
      <c r="FX58" s="286"/>
      <c r="FY58" s="286"/>
      <c r="FZ58" s="286"/>
      <c r="GA58" s="286"/>
      <c r="GB58" s="286"/>
      <c r="GC58" s="286"/>
      <c r="GD58" s="286"/>
      <c r="GE58" s="286"/>
      <c r="GF58" s="286"/>
      <c r="GG58" s="286"/>
      <c r="GH58" s="286"/>
      <c r="GI58" s="286"/>
      <c r="GJ58" s="286"/>
      <c r="GK58" s="286"/>
      <c r="GL58" s="286"/>
      <c r="GM58" s="286"/>
    </row>
    <row r="59" outlineLevel="1">
      <c r="B59" s="135" t="s">
        <v>512</v>
      </c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337"/>
      <c r="AY59" s="353">
        <f t="shared" ref="AY59:CH59" si="130">AY49/AY15</f>
        <v>0.5896617973</v>
      </c>
      <c r="AZ59" s="353">
        <f t="shared" si="130"/>
        <v>0.6827853689</v>
      </c>
      <c r="BA59" s="353">
        <f t="shared" si="130"/>
        <v>0.7179364703</v>
      </c>
      <c r="BB59" s="353">
        <f t="shared" si="130"/>
        <v>0.5252242665</v>
      </c>
      <c r="BC59" s="353">
        <f t="shared" si="130"/>
        <v>0.5918191891</v>
      </c>
      <c r="BD59" s="353">
        <f t="shared" si="130"/>
        <v>0.5704751813</v>
      </c>
      <c r="BE59" s="353">
        <f t="shared" si="130"/>
        <v>0.6293571103</v>
      </c>
      <c r="BF59" s="353">
        <f t="shared" si="130"/>
        <v>0.3631391028</v>
      </c>
      <c r="BG59" s="353">
        <f t="shared" si="130"/>
        <v>0.578777883</v>
      </c>
      <c r="BH59" s="353">
        <f t="shared" si="130"/>
        <v>0.6672909958</v>
      </c>
      <c r="BI59" s="353">
        <f t="shared" si="130"/>
        <v>0.5925731408</v>
      </c>
      <c r="BJ59" s="353">
        <f t="shared" si="130"/>
        <v>0.4641605595</v>
      </c>
      <c r="BK59" s="353">
        <f t="shared" si="130"/>
        <v>0.5136679141</v>
      </c>
      <c r="BL59" s="353">
        <f t="shared" si="130"/>
        <v>0.5375068398</v>
      </c>
      <c r="BM59" s="353">
        <f t="shared" si="130"/>
        <v>0.4238371712</v>
      </c>
      <c r="BN59" s="353">
        <f t="shared" si="130"/>
        <v>0.5519725411</v>
      </c>
      <c r="BO59" s="353">
        <f t="shared" si="130"/>
        <v>0.4534319949</v>
      </c>
      <c r="BP59" s="353">
        <f t="shared" si="130"/>
        <v>0.4690085152</v>
      </c>
      <c r="BQ59" s="353">
        <f t="shared" si="130"/>
        <v>0.4418952476</v>
      </c>
      <c r="BR59" s="353">
        <f t="shared" si="130"/>
        <v>0.4945867965</v>
      </c>
      <c r="BS59" s="353">
        <f t="shared" si="130"/>
        <v>0.5137925329</v>
      </c>
      <c r="BT59" s="353">
        <f t="shared" si="130"/>
        <v>0.3830839479</v>
      </c>
      <c r="BU59" s="353">
        <f t="shared" si="130"/>
        <v>0.4080894785</v>
      </c>
      <c r="BV59" s="353">
        <f t="shared" si="130"/>
        <v>0.3613587056</v>
      </c>
      <c r="BW59" s="438">
        <f t="shared" si="130"/>
        <v>0.4224496164</v>
      </c>
      <c r="BX59" s="438">
        <f t="shared" si="130"/>
        <v>0.5113723954</v>
      </c>
      <c r="BY59" s="438">
        <f t="shared" si="130"/>
        <v>0.3855006109</v>
      </c>
      <c r="BZ59" s="438">
        <f t="shared" si="130"/>
        <v>0.5279195283</v>
      </c>
      <c r="CA59" s="438">
        <f t="shared" si="130"/>
        <v>0.6479374611</v>
      </c>
      <c r="CB59" s="438">
        <f t="shared" si="130"/>
        <v>0.5374213571</v>
      </c>
      <c r="CC59" s="438" t="str">
        <f t="shared" si="130"/>
        <v>#DIV/0!</v>
      </c>
      <c r="CD59" s="438" t="str">
        <f t="shared" si="130"/>
        <v>#DIV/0!</v>
      </c>
      <c r="CE59" s="438" t="str">
        <f t="shared" si="130"/>
        <v>#DIV/0!</v>
      </c>
      <c r="CF59" s="438" t="str">
        <f t="shared" si="130"/>
        <v>#DIV/0!</v>
      </c>
      <c r="CG59" s="438" t="str">
        <f t="shared" si="130"/>
        <v>#DIV/0!</v>
      </c>
      <c r="CH59" s="438" t="str">
        <f t="shared" si="130"/>
        <v>#DIV/0!</v>
      </c>
      <c r="CI59" s="33"/>
      <c r="CJ59" s="33"/>
      <c r="CK59" s="339"/>
      <c r="CL59" s="49"/>
      <c r="CM59" s="136"/>
      <c r="CN59" s="136"/>
      <c r="CO59" s="136"/>
      <c r="CP59" s="136"/>
      <c r="CQ59" s="339"/>
      <c r="CR59" s="136"/>
      <c r="CS59" s="136"/>
      <c r="CT59" s="136"/>
      <c r="CU59" s="136"/>
      <c r="CV59" s="136"/>
      <c r="CW59" s="292"/>
      <c r="CX59" s="49"/>
      <c r="CY59" s="136"/>
      <c r="CZ59" s="136"/>
      <c r="DA59" s="136"/>
      <c r="DB59" s="136"/>
      <c r="DC59" s="292"/>
      <c r="DD59" s="136"/>
      <c r="DE59" s="136"/>
      <c r="DF59" s="136"/>
      <c r="DG59" s="136"/>
      <c r="DH59" s="136"/>
      <c r="DI59" s="292"/>
      <c r="DJ59" s="136"/>
      <c r="DK59" s="137"/>
      <c r="DL59" s="137"/>
      <c r="DM59" s="137"/>
      <c r="DN59" s="137"/>
      <c r="DO59" s="142"/>
      <c r="DP59" s="136"/>
      <c r="DQ59" s="292"/>
      <c r="DR59" s="136"/>
      <c r="DS59" s="136"/>
      <c r="DT59" s="136"/>
      <c r="DU59" s="136"/>
      <c r="DV59" s="136"/>
      <c r="DW59" s="136"/>
      <c r="DX59" s="136"/>
      <c r="DY59" s="136"/>
      <c r="DZ59" s="136"/>
      <c r="EA59" s="136"/>
      <c r="EB59" s="136"/>
      <c r="EC59" s="136"/>
      <c r="ED59" s="136"/>
      <c r="EE59" s="136"/>
      <c r="EF59" s="136"/>
      <c r="EG59" s="136"/>
      <c r="EH59" s="136"/>
      <c r="EI59" s="136"/>
      <c r="EJ59" s="136"/>
      <c r="EK59" s="136"/>
      <c r="EL59" s="136"/>
      <c r="EM59" s="136"/>
      <c r="EN59" s="136"/>
      <c r="EO59" s="136"/>
      <c r="EP59" s="136"/>
      <c r="EQ59" s="136"/>
      <c r="ER59" s="136"/>
      <c r="ES59" s="136"/>
      <c r="ET59" s="136"/>
      <c r="EU59" s="136"/>
      <c r="EV59" s="136"/>
      <c r="EW59" s="136"/>
      <c r="EX59" s="136"/>
      <c r="EY59" s="136"/>
      <c r="EZ59" s="136"/>
      <c r="FA59" s="136"/>
      <c r="FB59" s="136"/>
      <c r="FC59" s="136"/>
      <c r="FD59" s="136"/>
      <c r="FE59" s="136"/>
      <c r="FF59" s="136"/>
      <c r="FG59" s="136"/>
      <c r="FH59" s="136"/>
      <c r="FI59" s="136"/>
      <c r="FJ59" s="136"/>
      <c r="FK59" s="136"/>
      <c r="FL59" s="136"/>
      <c r="FM59" s="136"/>
      <c r="FN59" s="136"/>
      <c r="FO59" s="136"/>
      <c r="FP59" s="136"/>
      <c r="FQ59" s="136"/>
      <c r="FR59" s="136"/>
      <c r="FS59" s="136"/>
      <c r="FT59" s="136"/>
      <c r="FU59" s="136"/>
      <c r="FV59" s="136"/>
      <c r="FW59" s="136"/>
      <c r="FX59" s="136"/>
      <c r="FY59" s="136"/>
      <c r="FZ59" s="136"/>
      <c r="GA59" s="136"/>
      <c r="GB59" s="136"/>
      <c r="GC59" s="136"/>
      <c r="GD59" s="136"/>
      <c r="GE59" s="136"/>
      <c r="GF59" s="136"/>
      <c r="GG59" s="136"/>
      <c r="GH59" s="136"/>
      <c r="GI59" s="136"/>
      <c r="GJ59" s="136"/>
      <c r="GK59" s="136"/>
      <c r="GL59" s="136"/>
      <c r="GM59" s="136"/>
    </row>
    <row r="60" outlineLevel="1">
      <c r="B60" s="135" t="s">
        <v>513</v>
      </c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337"/>
      <c r="AY60" s="353"/>
      <c r="AZ60" s="353"/>
      <c r="BA60" s="353"/>
      <c r="BB60" s="353"/>
      <c r="BC60" s="353"/>
      <c r="BD60" s="353"/>
      <c r="BE60" s="353"/>
      <c r="BF60" s="353"/>
      <c r="BG60" s="353"/>
      <c r="BH60" s="353"/>
      <c r="BI60" s="353"/>
      <c r="BJ60" s="353"/>
      <c r="BK60" s="353"/>
      <c r="BL60" s="353"/>
      <c r="BM60" s="353"/>
      <c r="BN60" s="353"/>
      <c r="BO60" s="353"/>
      <c r="BP60" s="353"/>
      <c r="BQ60" s="353"/>
      <c r="BR60" s="353">
        <f t="shared" ref="BR60:CH60" si="131">BR50/BR16</f>
        <v>0.7311718046</v>
      </c>
      <c r="BS60" s="353">
        <f t="shared" si="131"/>
        <v>0.7237731304</v>
      </c>
      <c r="BT60" s="353">
        <f t="shared" si="131"/>
        <v>0.7243926614</v>
      </c>
      <c r="BU60" s="353">
        <f t="shared" si="131"/>
        <v>0.7176790474</v>
      </c>
      <c r="BV60" s="353">
        <f t="shared" si="131"/>
        <v>0.7241769522</v>
      </c>
      <c r="BW60" s="438">
        <f t="shared" si="131"/>
        <v>0.7036775487</v>
      </c>
      <c r="BX60" s="438">
        <f t="shared" si="131"/>
        <v>0.7034954617</v>
      </c>
      <c r="BY60" s="438">
        <f t="shared" si="131"/>
        <v>0.712875283</v>
      </c>
      <c r="BZ60" s="438">
        <f t="shared" si="131"/>
        <v>0.7136690326</v>
      </c>
      <c r="CA60" s="438">
        <f t="shared" si="131"/>
        <v>0.7094380612</v>
      </c>
      <c r="CB60" s="438">
        <f t="shared" si="131"/>
        <v>0.7039716458</v>
      </c>
      <c r="CC60" s="438" t="str">
        <f t="shared" si="131"/>
        <v>#DIV/0!</v>
      </c>
      <c r="CD60" s="438" t="str">
        <f t="shared" si="131"/>
        <v>#DIV/0!</v>
      </c>
      <c r="CE60" s="438" t="str">
        <f t="shared" si="131"/>
        <v>#DIV/0!</v>
      </c>
      <c r="CF60" s="438" t="str">
        <f t="shared" si="131"/>
        <v>#DIV/0!</v>
      </c>
      <c r="CG60" s="438" t="str">
        <f t="shared" si="131"/>
        <v>#DIV/0!</v>
      </c>
      <c r="CH60" s="438" t="str">
        <f t="shared" si="131"/>
        <v>#DIV/0!</v>
      </c>
      <c r="CI60" s="33"/>
      <c r="CJ60" s="33"/>
      <c r="CK60" s="339"/>
      <c r="CL60" s="49"/>
      <c r="CM60" s="136"/>
      <c r="CN60" s="136"/>
      <c r="CO60" s="136"/>
      <c r="CP60" s="136"/>
      <c r="CQ60" s="339"/>
      <c r="CR60" s="136"/>
      <c r="CS60" s="136"/>
      <c r="CT60" s="136"/>
      <c r="CU60" s="136"/>
      <c r="CV60" s="136"/>
      <c r="CW60" s="292"/>
      <c r="CX60" s="49"/>
      <c r="CY60" s="136"/>
      <c r="CZ60" s="136"/>
      <c r="DA60" s="136"/>
      <c r="DB60" s="136"/>
      <c r="DC60" s="292"/>
      <c r="DD60" s="136"/>
      <c r="DE60" s="136"/>
      <c r="DF60" s="136"/>
      <c r="DG60" s="136"/>
      <c r="DH60" s="136"/>
      <c r="DI60" s="292"/>
      <c r="DJ60" s="136"/>
      <c r="DK60" s="137"/>
      <c r="DL60" s="137"/>
      <c r="DM60" s="137"/>
      <c r="DN60" s="137"/>
      <c r="DO60" s="142"/>
      <c r="DP60" s="136"/>
      <c r="DQ60" s="292"/>
      <c r="DR60" s="136"/>
      <c r="DS60" s="136"/>
      <c r="DT60" s="136"/>
      <c r="DU60" s="136"/>
      <c r="DV60" s="136"/>
      <c r="DW60" s="136"/>
      <c r="DX60" s="136"/>
      <c r="DY60" s="136"/>
      <c r="DZ60" s="136"/>
      <c r="EA60" s="136"/>
      <c r="EB60" s="136"/>
      <c r="EC60" s="136"/>
      <c r="ED60" s="136"/>
      <c r="EE60" s="136"/>
      <c r="EF60" s="136"/>
      <c r="EG60" s="136"/>
      <c r="EH60" s="136"/>
      <c r="EI60" s="136"/>
      <c r="EJ60" s="136"/>
      <c r="EK60" s="136"/>
      <c r="EL60" s="136"/>
      <c r="EM60" s="136"/>
      <c r="EN60" s="136"/>
      <c r="EO60" s="136"/>
      <c r="EP60" s="136"/>
      <c r="EQ60" s="136"/>
      <c r="ER60" s="136"/>
      <c r="ES60" s="136"/>
      <c r="ET60" s="136"/>
      <c r="EU60" s="136"/>
      <c r="EV60" s="136"/>
      <c r="EW60" s="136"/>
      <c r="EX60" s="136"/>
      <c r="EY60" s="136"/>
      <c r="EZ60" s="136"/>
      <c r="FA60" s="136"/>
      <c r="FB60" s="136"/>
      <c r="FC60" s="136"/>
      <c r="FD60" s="136"/>
      <c r="FE60" s="136"/>
      <c r="FF60" s="136"/>
      <c r="FG60" s="136"/>
      <c r="FH60" s="136"/>
      <c r="FI60" s="136"/>
      <c r="FJ60" s="136"/>
      <c r="FK60" s="136"/>
      <c r="FL60" s="136"/>
      <c r="FM60" s="136"/>
      <c r="FN60" s="136"/>
      <c r="FO60" s="136"/>
      <c r="FP60" s="136"/>
      <c r="FQ60" s="136"/>
      <c r="FR60" s="136"/>
      <c r="FS60" s="136"/>
      <c r="FT60" s="136"/>
      <c r="FU60" s="136"/>
      <c r="FV60" s="136"/>
      <c r="FW60" s="136"/>
      <c r="FX60" s="136"/>
      <c r="FY60" s="136"/>
      <c r="FZ60" s="136"/>
      <c r="GA60" s="136"/>
      <c r="GB60" s="136"/>
      <c r="GC60" s="136"/>
      <c r="GD60" s="136"/>
      <c r="GE60" s="136"/>
      <c r="GF60" s="136"/>
      <c r="GG60" s="136"/>
      <c r="GH60" s="136"/>
      <c r="GI60" s="136"/>
      <c r="GJ60" s="136"/>
      <c r="GK60" s="136"/>
      <c r="GL60" s="136"/>
      <c r="GM60" s="136"/>
    </row>
    <row r="61" outlineLevel="1">
      <c r="B61" s="135" t="s">
        <v>514</v>
      </c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337"/>
      <c r="AY61" s="353"/>
      <c r="AZ61" s="353"/>
      <c r="BA61" s="353"/>
      <c r="BB61" s="353"/>
      <c r="BC61" s="353">
        <f t="shared" ref="BC61:BE61" si="132">BC51/BC17</f>
        <v>1</v>
      </c>
      <c r="BD61" s="353">
        <f t="shared" si="132"/>
        <v>1</v>
      </c>
      <c r="BE61" s="353">
        <f t="shared" si="132"/>
        <v>1</v>
      </c>
      <c r="BF61" s="353"/>
      <c r="BG61" s="353">
        <f t="shared" ref="BG61:CH61" si="133">BG51/BG17</f>
        <v>-2.154848654</v>
      </c>
      <c r="BH61" s="353">
        <f t="shared" si="133"/>
        <v>0.5141239557</v>
      </c>
      <c r="BI61" s="353">
        <f t="shared" si="133"/>
        <v>0.713767329</v>
      </c>
      <c r="BJ61" s="353">
        <f t="shared" si="133"/>
        <v>0.7095177329</v>
      </c>
      <c r="BK61" s="353">
        <f t="shared" si="133"/>
        <v>0.1985748005</v>
      </c>
      <c r="BL61" s="353">
        <f t="shared" si="133"/>
        <v>0.2331255632</v>
      </c>
      <c r="BM61" s="353">
        <f t="shared" si="133"/>
        <v>0.2572550315</v>
      </c>
      <c r="BN61" s="353">
        <f t="shared" si="133"/>
        <v>0.08178515267</v>
      </c>
      <c r="BO61" s="353">
        <f t="shared" si="133"/>
        <v>0.3777041488</v>
      </c>
      <c r="BP61" s="353">
        <f t="shared" si="133"/>
        <v>0.4254211263</v>
      </c>
      <c r="BQ61" s="353">
        <f t="shared" si="133"/>
        <v>0.3753695112</v>
      </c>
      <c r="BR61" s="353">
        <f t="shared" si="133"/>
        <v>0.2495428157</v>
      </c>
      <c r="BS61" s="353">
        <f t="shared" si="133"/>
        <v>0.2602126655</v>
      </c>
      <c r="BT61" s="353">
        <f t="shared" si="133"/>
        <v>0.342062044</v>
      </c>
      <c r="BU61" s="353">
        <f t="shared" si="133"/>
        <v>0.6096804345</v>
      </c>
      <c r="BV61" s="353">
        <f t="shared" si="133"/>
        <v>0.6008754425</v>
      </c>
      <c r="BW61" s="438">
        <f t="shared" si="133"/>
        <v>0.6632183284</v>
      </c>
      <c r="BX61" s="438">
        <f t="shared" si="133"/>
        <v>0.5425098718</v>
      </c>
      <c r="BY61" s="438">
        <f t="shared" si="133"/>
        <v>0.5203397318</v>
      </c>
      <c r="BZ61" s="438">
        <f t="shared" si="133"/>
        <v>0.5658846621</v>
      </c>
      <c r="CA61" s="438">
        <f t="shared" si="133"/>
        <v>0.806437511</v>
      </c>
      <c r="CB61" s="438">
        <f t="shared" si="133"/>
        <v>0.5749160975</v>
      </c>
      <c r="CC61" s="438" t="str">
        <f t="shared" si="133"/>
        <v>#DIV/0!</v>
      </c>
      <c r="CD61" s="438" t="str">
        <f t="shared" si="133"/>
        <v>#DIV/0!</v>
      </c>
      <c r="CE61" s="438" t="str">
        <f t="shared" si="133"/>
        <v>#DIV/0!</v>
      </c>
      <c r="CF61" s="438" t="str">
        <f t="shared" si="133"/>
        <v>#DIV/0!</v>
      </c>
      <c r="CG61" s="438" t="str">
        <f t="shared" si="133"/>
        <v>#DIV/0!</v>
      </c>
      <c r="CH61" s="438" t="str">
        <f t="shared" si="133"/>
        <v>#DIV/0!</v>
      </c>
      <c r="CI61" s="33"/>
      <c r="CJ61" s="33"/>
      <c r="CK61" s="339"/>
      <c r="CL61" s="49"/>
      <c r="CM61" s="353"/>
      <c r="CN61" s="353"/>
      <c r="CO61" s="353"/>
      <c r="CP61" s="353"/>
      <c r="CQ61" s="444"/>
      <c r="CR61" s="353"/>
      <c r="CS61" s="353">
        <f t="shared" ref="CS61:CV61" si="134">CS51/CS17</f>
        <v>0.2289528032</v>
      </c>
      <c r="CT61" s="353">
        <f t="shared" si="134"/>
        <v>0.3195929482</v>
      </c>
      <c r="CU61" s="353">
        <f t="shared" si="134"/>
        <v>0.2936012221</v>
      </c>
      <c r="CV61" s="353">
        <f t="shared" si="134"/>
        <v>0.5227745438</v>
      </c>
      <c r="CW61" s="292"/>
      <c r="CX61" s="49"/>
      <c r="CY61" s="136"/>
      <c r="CZ61" s="136"/>
      <c r="DA61" s="136"/>
      <c r="DB61" s="136"/>
      <c r="DC61" s="292"/>
      <c r="DD61" s="136"/>
      <c r="DE61" s="136"/>
      <c r="DF61" s="136"/>
      <c r="DG61" s="136"/>
      <c r="DH61" s="136"/>
      <c r="DI61" s="292"/>
      <c r="DJ61" s="136"/>
      <c r="DK61" s="137"/>
      <c r="DL61" s="137"/>
      <c r="DM61" s="137"/>
      <c r="DN61" s="137"/>
      <c r="DO61" s="142"/>
      <c r="DP61" s="136"/>
      <c r="DQ61" s="292"/>
      <c r="DR61" s="136"/>
      <c r="DS61" s="136"/>
      <c r="DT61" s="136"/>
      <c r="DU61" s="136"/>
      <c r="DV61" s="136"/>
      <c r="DW61" s="136"/>
      <c r="DX61" s="136"/>
      <c r="DY61" s="136"/>
      <c r="DZ61" s="136"/>
      <c r="EA61" s="136"/>
      <c r="EB61" s="136"/>
      <c r="EC61" s="136"/>
      <c r="ED61" s="136"/>
      <c r="EE61" s="136"/>
      <c r="EF61" s="136"/>
      <c r="EG61" s="136"/>
      <c r="EH61" s="136"/>
      <c r="EI61" s="136"/>
      <c r="EJ61" s="136"/>
      <c r="EK61" s="136"/>
      <c r="EL61" s="136"/>
      <c r="EM61" s="136"/>
      <c r="EN61" s="136"/>
      <c r="EO61" s="136"/>
      <c r="EP61" s="136"/>
      <c r="EQ61" s="136"/>
      <c r="ER61" s="136"/>
      <c r="ES61" s="136"/>
      <c r="ET61" s="136"/>
      <c r="EU61" s="136"/>
      <c r="EV61" s="136"/>
      <c r="EW61" s="136"/>
      <c r="EX61" s="136"/>
      <c r="EY61" s="136"/>
      <c r="EZ61" s="136"/>
      <c r="FA61" s="136"/>
      <c r="FB61" s="136"/>
      <c r="FC61" s="136"/>
      <c r="FD61" s="136"/>
      <c r="FE61" s="136"/>
      <c r="FF61" s="136"/>
      <c r="FG61" s="136"/>
      <c r="FH61" s="136"/>
      <c r="FI61" s="136"/>
      <c r="FJ61" s="136"/>
      <c r="FK61" s="136"/>
      <c r="FL61" s="136"/>
      <c r="FM61" s="136"/>
      <c r="FN61" s="136"/>
      <c r="FO61" s="136"/>
      <c r="FP61" s="136"/>
      <c r="FQ61" s="136"/>
      <c r="FR61" s="136"/>
      <c r="FS61" s="136"/>
      <c r="FT61" s="136"/>
      <c r="FU61" s="136"/>
      <c r="FV61" s="136"/>
      <c r="FW61" s="136"/>
      <c r="FX61" s="136"/>
      <c r="FY61" s="136"/>
      <c r="FZ61" s="136"/>
      <c r="GA61" s="136"/>
      <c r="GB61" s="136"/>
      <c r="GC61" s="136"/>
      <c r="GD61" s="136"/>
      <c r="GE61" s="136"/>
      <c r="GF61" s="136"/>
      <c r="GG61" s="136"/>
      <c r="GH61" s="136"/>
      <c r="GI61" s="136"/>
      <c r="GJ61" s="136"/>
      <c r="GK61" s="136"/>
      <c r="GL61" s="136"/>
      <c r="GM61" s="136"/>
    </row>
    <row r="62" outlineLevel="1">
      <c r="B62" s="135" t="s">
        <v>515</v>
      </c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337"/>
      <c r="AY62" s="353"/>
      <c r="AZ62" s="353"/>
      <c r="BA62" s="353"/>
      <c r="BB62" s="353"/>
      <c r="BC62" s="353"/>
      <c r="BD62" s="353"/>
      <c r="BE62" s="353"/>
      <c r="BF62" s="353"/>
      <c r="BG62" s="353"/>
      <c r="BH62" s="353"/>
      <c r="BI62" s="353"/>
      <c r="BJ62" s="353"/>
      <c r="BK62" s="353"/>
      <c r="BL62" s="353"/>
      <c r="BM62" s="353"/>
      <c r="BN62" s="353">
        <f t="shared" ref="BN62:CH62" si="135">BN52/BN18</f>
        <v>0.1552073248</v>
      </c>
      <c r="BO62" s="353">
        <f t="shared" si="135"/>
        <v>0.6926286259</v>
      </c>
      <c r="BP62" s="353">
        <f t="shared" si="135"/>
        <v>0.7046281023</v>
      </c>
      <c r="BQ62" s="353">
        <f t="shared" si="135"/>
        <v>0.494263707</v>
      </c>
      <c r="BR62" s="353">
        <f t="shared" si="135"/>
        <v>0.3682395961</v>
      </c>
      <c r="BS62" s="353">
        <f t="shared" si="135"/>
        <v>0.324118263</v>
      </c>
      <c r="BT62" s="353">
        <f t="shared" si="135"/>
        <v>0.5614302756</v>
      </c>
      <c r="BU62" s="353">
        <f t="shared" si="135"/>
        <v>0.4045438244</v>
      </c>
      <c r="BV62" s="353">
        <f t="shared" si="135"/>
        <v>0.3547755195</v>
      </c>
      <c r="BW62" s="438">
        <f t="shared" si="135"/>
        <v>0.4663912008</v>
      </c>
      <c r="BX62" s="438">
        <f t="shared" si="135"/>
        <v>0.4843246657</v>
      </c>
      <c r="BY62" s="438">
        <f t="shared" si="135"/>
        <v>0.4267584075</v>
      </c>
      <c r="BZ62" s="438">
        <f t="shared" si="135"/>
        <v>0.4174309881</v>
      </c>
      <c r="CA62" s="438">
        <f t="shared" si="135"/>
        <v>0.5133100682</v>
      </c>
      <c r="CB62" s="438">
        <f t="shared" si="135"/>
        <v>0.5269625338</v>
      </c>
      <c r="CC62" s="438" t="str">
        <f t="shared" si="135"/>
        <v>#DIV/0!</v>
      </c>
      <c r="CD62" s="438" t="str">
        <f t="shared" si="135"/>
        <v>#DIV/0!</v>
      </c>
      <c r="CE62" s="438" t="str">
        <f t="shared" si="135"/>
        <v>#DIV/0!</v>
      </c>
      <c r="CF62" s="438" t="str">
        <f t="shared" si="135"/>
        <v>#DIV/0!</v>
      </c>
      <c r="CG62" s="438" t="str">
        <f t="shared" si="135"/>
        <v>#DIV/0!</v>
      </c>
      <c r="CH62" s="438" t="str">
        <f t="shared" si="135"/>
        <v>#DIV/0!</v>
      </c>
      <c r="CI62" s="33"/>
      <c r="CJ62" s="33"/>
      <c r="CK62" s="339"/>
      <c r="CL62" s="49"/>
      <c r="CM62" s="353"/>
      <c r="CN62" s="353"/>
      <c r="CO62" s="353"/>
      <c r="CP62" s="353"/>
      <c r="CQ62" s="444"/>
      <c r="CR62" s="353"/>
      <c r="CS62" s="353" t="str">
        <f t="shared" ref="CS62:CV62" si="136">CS52/CS18</f>
        <v>#DIV/0!</v>
      </c>
      <c r="CT62" s="353">
        <f t="shared" si="136"/>
        <v>0.6139665555</v>
      </c>
      <c r="CU62" s="353">
        <f t="shared" si="136"/>
        <v>0.395540522</v>
      </c>
      <c r="CV62" s="353">
        <f t="shared" si="136"/>
        <v>0.4369919111</v>
      </c>
      <c r="CW62" s="292"/>
      <c r="CX62" s="49"/>
      <c r="CY62" s="136"/>
      <c r="CZ62" s="136"/>
      <c r="DA62" s="136"/>
      <c r="DB62" s="136"/>
      <c r="DC62" s="292"/>
      <c r="DD62" s="136"/>
      <c r="DE62" s="136"/>
      <c r="DF62" s="136"/>
      <c r="DG62" s="136"/>
      <c r="DH62" s="136"/>
      <c r="DI62" s="292"/>
      <c r="DJ62" s="136"/>
      <c r="DK62" s="137"/>
      <c r="DL62" s="137"/>
      <c r="DM62" s="137"/>
      <c r="DN62" s="137"/>
      <c r="DO62" s="142"/>
      <c r="DP62" s="136"/>
      <c r="DQ62" s="292"/>
      <c r="DR62" s="136"/>
      <c r="DS62" s="136"/>
      <c r="DT62" s="136"/>
      <c r="DU62" s="136"/>
      <c r="DV62" s="136"/>
      <c r="DW62" s="136"/>
      <c r="DX62" s="136"/>
      <c r="DY62" s="136"/>
      <c r="DZ62" s="136"/>
      <c r="EA62" s="136"/>
      <c r="EB62" s="136"/>
      <c r="EC62" s="136"/>
      <c r="ED62" s="136"/>
      <c r="EE62" s="136"/>
      <c r="EF62" s="136"/>
      <c r="EG62" s="136"/>
      <c r="EH62" s="136"/>
      <c r="EI62" s="136"/>
      <c r="EJ62" s="136"/>
      <c r="EK62" s="136"/>
      <c r="EL62" s="136"/>
      <c r="EM62" s="136"/>
      <c r="EN62" s="136"/>
      <c r="EO62" s="136"/>
      <c r="EP62" s="136"/>
      <c r="EQ62" s="136"/>
      <c r="ER62" s="136"/>
      <c r="ES62" s="136"/>
      <c r="ET62" s="136"/>
      <c r="EU62" s="136"/>
      <c r="EV62" s="136"/>
      <c r="EW62" s="136"/>
      <c r="EX62" s="136"/>
      <c r="EY62" s="136"/>
      <c r="EZ62" s="136"/>
      <c r="FA62" s="136"/>
      <c r="FB62" s="136"/>
      <c r="FC62" s="136"/>
      <c r="FD62" s="136"/>
      <c r="FE62" s="136"/>
      <c r="FF62" s="136"/>
      <c r="FG62" s="136"/>
      <c r="FH62" s="136"/>
      <c r="FI62" s="136"/>
      <c r="FJ62" s="136"/>
      <c r="FK62" s="136"/>
      <c r="FL62" s="136"/>
      <c r="FM62" s="136"/>
      <c r="FN62" s="136"/>
      <c r="FO62" s="136"/>
      <c r="FP62" s="136"/>
      <c r="FQ62" s="136"/>
      <c r="FR62" s="136"/>
      <c r="FS62" s="136"/>
      <c r="FT62" s="136"/>
      <c r="FU62" s="136"/>
      <c r="FV62" s="136"/>
      <c r="FW62" s="136"/>
      <c r="FX62" s="136"/>
      <c r="FY62" s="136"/>
      <c r="FZ62" s="136"/>
      <c r="GA62" s="136"/>
      <c r="GB62" s="136"/>
      <c r="GC62" s="136"/>
      <c r="GD62" s="136"/>
      <c r="GE62" s="136"/>
      <c r="GF62" s="136"/>
      <c r="GG62" s="136"/>
      <c r="GH62" s="136"/>
      <c r="GI62" s="136"/>
      <c r="GJ62" s="136"/>
      <c r="GK62" s="136"/>
      <c r="GL62" s="136"/>
      <c r="GM62" s="136"/>
    </row>
    <row r="63" outlineLevel="1">
      <c r="A63" s="359"/>
      <c r="B63" s="355" t="s">
        <v>508</v>
      </c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86"/>
      <c r="AB63" s="286"/>
      <c r="AC63" s="286"/>
      <c r="AD63" s="286"/>
      <c r="AE63" s="286"/>
      <c r="AF63" s="286"/>
      <c r="AG63" s="286"/>
      <c r="AH63" s="286"/>
      <c r="AI63" s="286"/>
      <c r="AJ63" s="286"/>
      <c r="AK63" s="286"/>
      <c r="AL63" s="286"/>
      <c r="AM63" s="360"/>
      <c r="AN63" s="360"/>
      <c r="AO63" s="360"/>
      <c r="AP63" s="360"/>
      <c r="AQ63" s="360"/>
      <c r="AR63" s="360"/>
      <c r="AS63" s="360"/>
      <c r="AT63" s="360"/>
      <c r="AU63" s="360"/>
      <c r="AV63" s="360"/>
      <c r="AW63" s="360"/>
      <c r="AX63" s="361"/>
      <c r="AY63" s="362">
        <f t="shared" ref="AY63:CH63" si="137">AY53/AY19</f>
        <v>0.4462868487</v>
      </c>
      <c r="AZ63" s="362">
        <f t="shared" si="137"/>
        <v>0.5376986647</v>
      </c>
      <c r="BA63" s="362">
        <f t="shared" si="137"/>
        <v>0.5145957738</v>
      </c>
      <c r="BB63" s="362">
        <f t="shared" si="137"/>
        <v>0.471490154</v>
      </c>
      <c r="BC63" s="362">
        <f t="shared" si="137"/>
        <v>0.6490092435</v>
      </c>
      <c r="BD63" s="362">
        <f t="shared" si="137"/>
        <v>0.6482894845</v>
      </c>
      <c r="BE63" s="362">
        <f t="shared" si="137"/>
        <v>0.6740075571</v>
      </c>
      <c r="BF63" s="362">
        <f t="shared" si="137"/>
        <v>0.4631023332</v>
      </c>
      <c r="BG63" s="362">
        <f t="shared" si="137"/>
        <v>0.6304881755</v>
      </c>
      <c r="BH63" s="362">
        <f t="shared" si="137"/>
        <v>0.6679752424</v>
      </c>
      <c r="BI63" s="362">
        <f t="shared" si="137"/>
        <v>0.6205633347</v>
      </c>
      <c r="BJ63" s="362">
        <f t="shared" si="137"/>
        <v>0.6039187686</v>
      </c>
      <c r="BK63" s="362">
        <f t="shared" si="137"/>
        <v>0.5916254933</v>
      </c>
      <c r="BL63" s="362">
        <f t="shared" si="137"/>
        <v>0.611187697</v>
      </c>
      <c r="BM63" s="362">
        <f t="shared" si="137"/>
        <v>0.6274674318</v>
      </c>
      <c r="BN63" s="362">
        <f t="shared" si="137"/>
        <v>0.639640553</v>
      </c>
      <c r="BO63" s="362">
        <f t="shared" si="137"/>
        <v>0.6178040167</v>
      </c>
      <c r="BP63" s="362">
        <f t="shared" si="137"/>
        <v>0.6107669125</v>
      </c>
      <c r="BQ63" s="362">
        <f t="shared" si="137"/>
        <v>0.6534188969</v>
      </c>
      <c r="BR63" s="362">
        <f t="shared" si="137"/>
        <v>0.6184613929</v>
      </c>
      <c r="BS63" s="362">
        <f t="shared" si="137"/>
        <v>0.6172141976</v>
      </c>
      <c r="BT63" s="362">
        <f t="shared" si="137"/>
        <v>0.6617966166</v>
      </c>
      <c r="BU63" s="362">
        <f t="shared" si="137"/>
        <v>0.5831319759</v>
      </c>
      <c r="BV63" s="362">
        <f t="shared" si="137"/>
        <v>0.5855190477</v>
      </c>
      <c r="BW63" s="437">
        <f t="shared" si="137"/>
        <v>0.6059368727</v>
      </c>
      <c r="BX63" s="437">
        <f t="shared" si="137"/>
        <v>0.6153574972</v>
      </c>
      <c r="BY63" s="437">
        <f t="shared" si="137"/>
        <v>0.6197029237</v>
      </c>
      <c r="BZ63" s="437">
        <f t="shared" si="137"/>
        <v>0.6105453754</v>
      </c>
      <c r="CA63" s="437">
        <f t="shared" si="137"/>
        <v>0.5739264934</v>
      </c>
      <c r="CB63" s="437">
        <f t="shared" si="137"/>
        <v>0.6378343773</v>
      </c>
      <c r="CC63" s="437" t="str">
        <f t="shared" si="137"/>
        <v>#DIV/0!</v>
      </c>
      <c r="CD63" s="437" t="str">
        <f t="shared" si="137"/>
        <v>#DIV/0!</v>
      </c>
      <c r="CE63" s="437" t="str">
        <f t="shared" si="137"/>
        <v>#DIV/0!</v>
      </c>
      <c r="CF63" s="437" t="str">
        <f t="shared" si="137"/>
        <v>#DIV/0!</v>
      </c>
      <c r="CG63" s="437" t="str">
        <f t="shared" si="137"/>
        <v>#DIV/0!</v>
      </c>
      <c r="CH63" s="437" t="str">
        <f t="shared" si="137"/>
        <v>#DIV/0!</v>
      </c>
      <c r="CI63" s="363"/>
      <c r="CJ63" s="363"/>
      <c r="CK63" s="303"/>
      <c r="CL63" s="364"/>
      <c r="CM63" s="286"/>
      <c r="CN63" s="286"/>
      <c r="CO63" s="286"/>
      <c r="CP63" s="286"/>
      <c r="CQ63" s="303"/>
      <c r="CR63" s="286"/>
      <c r="CS63" s="286"/>
      <c r="CT63" s="286"/>
      <c r="CU63" s="286"/>
      <c r="CV63" s="286"/>
      <c r="CW63" s="288"/>
      <c r="CX63" s="364"/>
      <c r="CY63" s="286"/>
      <c r="CZ63" s="286"/>
      <c r="DA63" s="286"/>
      <c r="DB63" s="286"/>
      <c r="DC63" s="288"/>
      <c r="DD63" s="286"/>
      <c r="DE63" s="286"/>
      <c r="DF63" s="286"/>
      <c r="DG63" s="286"/>
      <c r="DH63" s="286"/>
      <c r="DI63" s="288"/>
      <c r="DJ63" s="286"/>
      <c r="DK63" s="360"/>
      <c r="DL63" s="360"/>
      <c r="DM63" s="360"/>
      <c r="DN63" s="360"/>
      <c r="DO63" s="365"/>
      <c r="DP63" s="286"/>
      <c r="DQ63" s="288"/>
      <c r="DR63" s="286"/>
      <c r="DS63" s="286"/>
      <c r="DT63" s="286"/>
      <c r="DU63" s="286"/>
      <c r="DV63" s="286"/>
      <c r="DW63" s="286"/>
      <c r="DX63" s="286"/>
      <c r="DY63" s="286"/>
      <c r="DZ63" s="286"/>
      <c r="EA63" s="286"/>
      <c r="EB63" s="286"/>
      <c r="EC63" s="286"/>
      <c r="ED63" s="286"/>
      <c r="EE63" s="286"/>
      <c r="EF63" s="286"/>
      <c r="EG63" s="286"/>
      <c r="EH63" s="286"/>
      <c r="EI63" s="286"/>
      <c r="EJ63" s="286"/>
      <c r="EK63" s="286"/>
      <c r="EL63" s="286"/>
      <c r="EM63" s="286"/>
      <c r="EN63" s="286"/>
      <c r="EO63" s="286"/>
      <c r="EP63" s="286"/>
      <c r="EQ63" s="286"/>
      <c r="ER63" s="286"/>
      <c r="ES63" s="286"/>
      <c r="ET63" s="286"/>
      <c r="EU63" s="286"/>
      <c r="EV63" s="286"/>
      <c r="EW63" s="286"/>
      <c r="EX63" s="286"/>
      <c r="EY63" s="286"/>
      <c r="EZ63" s="286"/>
      <c r="FA63" s="286"/>
      <c r="FB63" s="286"/>
      <c r="FC63" s="286"/>
      <c r="FD63" s="286"/>
      <c r="FE63" s="286"/>
      <c r="FF63" s="286"/>
      <c r="FG63" s="286"/>
      <c r="FH63" s="286"/>
      <c r="FI63" s="286"/>
      <c r="FJ63" s="286"/>
      <c r="FK63" s="286"/>
      <c r="FL63" s="286"/>
      <c r="FM63" s="286"/>
      <c r="FN63" s="286"/>
      <c r="FO63" s="286"/>
      <c r="FP63" s="286"/>
      <c r="FQ63" s="286"/>
      <c r="FR63" s="286"/>
      <c r="FS63" s="286"/>
      <c r="FT63" s="286"/>
      <c r="FU63" s="286"/>
      <c r="FV63" s="286"/>
      <c r="FW63" s="286"/>
      <c r="FX63" s="286"/>
      <c r="FY63" s="286"/>
      <c r="FZ63" s="286"/>
      <c r="GA63" s="286"/>
      <c r="GB63" s="286"/>
      <c r="GC63" s="286"/>
      <c r="GD63" s="286"/>
      <c r="GE63" s="286"/>
      <c r="GF63" s="286"/>
      <c r="GG63" s="286"/>
      <c r="GH63" s="286"/>
      <c r="GI63" s="286"/>
      <c r="GJ63" s="286"/>
      <c r="GK63" s="286"/>
      <c r="GL63" s="286"/>
      <c r="GM63" s="286"/>
    </row>
    <row r="64" outlineLevel="1">
      <c r="B64" s="135" t="s">
        <v>516</v>
      </c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337"/>
      <c r="AY64" s="353">
        <f t="shared" ref="AY64:CH64" si="138">AY54/AY20</f>
        <v>0.4462868487</v>
      </c>
      <c r="AZ64" s="353">
        <f t="shared" si="138"/>
        <v>0.5059874419</v>
      </c>
      <c r="BA64" s="353">
        <f t="shared" si="138"/>
        <v>0.5145957738</v>
      </c>
      <c r="BB64" s="353">
        <f t="shared" si="138"/>
        <v>0.471490154</v>
      </c>
      <c r="BC64" s="353">
        <f t="shared" si="138"/>
        <v>0.6490092435</v>
      </c>
      <c r="BD64" s="353">
        <f t="shared" si="138"/>
        <v>0.6482894845</v>
      </c>
      <c r="BE64" s="353">
        <f t="shared" si="138"/>
        <v>0.6724954604</v>
      </c>
      <c r="BF64" s="353">
        <f t="shared" si="138"/>
        <v>0.4607929415</v>
      </c>
      <c r="BG64" s="353">
        <f t="shared" si="138"/>
        <v>0.6288256428</v>
      </c>
      <c r="BH64" s="353">
        <f t="shared" si="138"/>
        <v>0.6667765069</v>
      </c>
      <c r="BI64" s="353">
        <f t="shared" si="138"/>
        <v>0.6190349748</v>
      </c>
      <c r="BJ64" s="353">
        <f t="shared" si="138"/>
        <v>0.6023670967</v>
      </c>
      <c r="BK64" s="353">
        <f t="shared" si="138"/>
        <v>0.5900721239</v>
      </c>
      <c r="BL64" s="353">
        <f t="shared" si="138"/>
        <v>0.6097120858</v>
      </c>
      <c r="BM64" s="353">
        <f t="shared" si="138"/>
        <v>0.6261756514</v>
      </c>
      <c r="BN64" s="353">
        <f t="shared" si="138"/>
        <v>0.6384721358</v>
      </c>
      <c r="BO64" s="353">
        <f t="shared" si="138"/>
        <v>0.6165529593</v>
      </c>
      <c r="BP64" s="353">
        <f t="shared" si="138"/>
        <v>0.6095422851</v>
      </c>
      <c r="BQ64" s="353">
        <f t="shared" si="138"/>
        <v>0.6534188969</v>
      </c>
      <c r="BR64" s="353">
        <f t="shared" si="138"/>
        <v>0.6184613929</v>
      </c>
      <c r="BS64" s="353">
        <f t="shared" si="138"/>
        <v>0.6172141976</v>
      </c>
      <c r="BT64" s="353">
        <f t="shared" si="138"/>
        <v>0.6627049674</v>
      </c>
      <c r="BU64" s="353">
        <f t="shared" si="138"/>
        <v>0.5831319759</v>
      </c>
      <c r="BV64" s="353">
        <f t="shared" si="138"/>
        <v>0.5600483659</v>
      </c>
      <c r="BW64" s="438">
        <f t="shared" si="138"/>
        <v>0.6059368727</v>
      </c>
      <c r="BX64" s="438">
        <f t="shared" si="138"/>
        <v>0.6153574972</v>
      </c>
      <c r="BY64" s="438">
        <f t="shared" si="138"/>
        <v>0.6195097005</v>
      </c>
      <c r="BZ64" s="438">
        <f t="shared" si="138"/>
        <v>0.6103390475</v>
      </c>
      <c r="CA64" s="438">
        <f t="shared" si="138"/>
        <v>0.5739264934</v>
      </c>
      <c r="CB64" s="438">
        <f t="shared" si="138"/>
        <v>0.6376585696</v>
      </c>
      <c r="CC64" s="438" t="str">
        <f t="shared" si="138"/>
        <v>#DIV/0!</v>
      </c>
      <c r="CD64" s="438" t="str">
        <f t="shared" si="138"/>
        <v>#DIV/0!</v>
      </c>
      <c r="CE64" s="438" t="str">
        <f t="shared" si="138"/>
        <v>#DIV/0!</v>
      </c>
      <c r="CF64" s="438" t="str">
        <f t="shared" si="138"/>
        <v>#DIV/0!</v>
      </c>
      <c r="CG64" s="438" t="str">
        <f t="shared" si="138"/>
        <v>#DIV/0!</v>
      </c>
      <c r="CH64" s="438" t="str">
        <f t="shared" si="138"/>
        <v>#DIV/0!</v>
      </c>
      <c r="CI64" s="33"/>
      <c r="CJ64" s="33"/>
      <c r="CK64" s="339"/>
      <c r="CL64" s="49"/>
      <c r="CM64" s="136"/>
      <c r="CN64" s="136"/>
      <c r="CO64" s="136"/>
      <c r="CP64" s="136"/>
      <c r="CQ64" s="339"/>
      <c r="CR64" s="136"/>
      <c r="CS64" s="136"/>
      <c r="CT64" s="136"/>
      <c r="CU64" s="136"/>
      <c r="CV64" s="136"/>
      <c r="CW64" s="292"/>
      <c r="CX64" s="49"/>
      <c r="CY64" s="136"/>
      <c r="CZ64" s="136"/>
      <c r="DA64" s="136"/>
      <c r="DB64" s="136"/>
      <c r="DC64" s="292"/>
      <c r="DD64" s="136"/>
      <c r="DE64" s="136"/>
      <c r="DF64" s="136"/>
      <c r="DG64" s="136"/>
      <c r="DH64" s="136"/>
      <c r="DI64" s="292"/>
      <c r="DJ64" s="136"/>
      <c r="DK64" s="137"/>
      <c r="DL64" s="137"/>
      <c r="DM64" s="137"/>
      <c r="DN64" s="137"/>
      <c r="DO64" s="142"/>
      <c r="DP64" s="136"/>
      <c r="DQ64" s="292"/>
      <c r="DR64" s="136"/>
      <c r="DS64" s="136"/>
      <c r="DT64" s="136"/>
      <c r="DU64" s="136"/>
      <c r="DV64" s="136"/>
      <c r="DW64" s="136"/>
      <c r="DX64" s="136"/>
      <c r="DY64" s="136"/>
      <c r="DZ64" s="136"/>
      <c r="EA64" s="136"/>
      <c r="EB64" s="136"/>
      <c r="EC64" s="136"/>
      <c r="ED64" s="136"/>
      <c r="EE64" s="136"/>
      <c r="EF64" s="136"/>
      <c r="EG64" s="136"/>
      <c r="EH64" s="136"/>
      <c r="EI64" s="136"/>
      <c r="EJ64" s="136"/>
      <c r="EK64" s="136"/>
      <c r="EL64" s="136"/>
      <c r="EM64" s="136"/>
      <c r="EN64" s="136"/>
      <c r="EO64" s="136"/>
      <c r="EP64" s="136"/>
      <c r="EQ64" s="136"/>
      <c r="ER64" s="136"/>
      <c r="ES64" s="136"/>
      <c r="ET64" s="136"/>
      <c r="EU64" s="136"/>
      <c r="EV64" s="136"/>
      <c r="EW64" s="136"/>
      <c r="EX64" s="136"/>
      <c r="EY64" s="136"/>
      <c r="EZ64" s="136"/>
      <c r="FA64" s="136"/>
      <c r="FB64" s="136"/>
      <c r="FC64" s="136"/>
      <c r="FD64" s="136"/>
      <c r="FE64" s="136"/>
      <c r="FF64" s="136"/>
      <c r="FG64" s="136"/>
      <c r="FH64" s="136"/>
      <c r="FI64" s="136"/>
      <c r="FJ64" s="136"/>
      <c r="FK64" s="136"/>
      <c r="FL64" s="136"/>
      <c r="FM64" s="136"/>
      <c r="FN64" s="136"/>
      <c r="FO64" s="136"/>
      <c r="FP64" s="136"/>
      <c r="FQ64" s="136"/>
      <c r="FR64" s="136"/>
      <c r="FS64" s="136"/>
      <c r="FT64" s="136"/>
      <c r="FU64" s="136"/>
      <c r="FV64" s="136"/>
      <c r="FW64" s="136"/>
      <c r="FX64" s="136"/>
      <c r="FY64" s="136"/>
      <c r="FZ64" s="136"/>
      <c r="GA64" s="136"/>
      <c r="GB64" s="136"/>
      <c r="GC64" s="136"/>
      <c r="GD64" s="136"/>
      <c r="GE64" s="136"/>
      <c r="GF64" s="136"/>
      <c r="GG64" s="136"/>
      <c r="GH64" s="136"/>
      <c r="GI64" s="136"/>
      <c r="GJ64" s="136"/>
      <c r="GK64" s="136"/>
      <c r="GL64" s="136"/>
      <c r="GM64" s="136"/>
    </row>
    <row r="65" outlineLevel="1">
      <c r="B65" s="135" t="s">
        <v>517</v>
      </c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337"/>
      <c r="AY65" s="353"/>
      <c r="AZ65" s="353"/>
      <c r="BA65" s="353"/>
      <c r="BB65" s="353"/>
      <c r="BC65" s="353"/>
      <c r="BD65" s="353"/>
      <c r="BE65" s="353"/>
      <c r="BF65" s="353"/>
      <c r="BG65" s="353"/>
      <c r="BH65" s="353"/>
      <c r="BI65" s="353"/>
      <c r="BJ65" s="353"/>
      <c r="BK65" s="353"/>
      <c r="BL65" s="353"/>
      <c r="BM65" s="353"/>
      <c r="BN65" s="353"/>
      <c r="BO65" s="353"/>
      <c r="BP65" s="353"/>
      <c r="BQ65" s="353"/>
      <c r="BR65" s="353"/>
      <c r="BS65" s="337"/>
      <c r="BT65" s="337"/>
      <c r="BU65" s="337"/>
      <c r="BV65" s="337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33"/>
      <c r="CJ65" s="33"/>
      <c r="CK65" s="339"/>
      <c r="CL65" s="49"/>
      <c r="CM65" s="136"/>
      <c r="CN65" s="136"/>
      <c r="CO65" s="136"/>
      <c r="CP65" s="136"/>
      <c r="CQ65" s="339"/>
      <c r="CR65" s="136"/>
      <c r="CS65" s="136"/>
      <c r="CT65" s="136"/>
      <c r="CU65" s="136"/>
      <c r="CV65" s="136"/>
      <c r="CW65" s="292"/>
      <c r="CX65" s="49"/>
      <c r="CY65" s="136"/>
      <c r="CZ65" s="136"/>
      <c r="DA65" s="136"/>
      <c r="DB65" s="136"/>
      <c r="DC65" s="292"/>
      <c r="DD65" s="136"/>
      <c r="DE65" s="136"/>
      <c r="DF65" s="136"/>
      <c r="DG65" s="136"/>
      <c r="DH65" s="136"/>
      <c r="DI65" s="292"/>
      <c r="DJ65" s="136"/>
      <c r="DK65" s="137"/>
      <c r="DL65" s="137"/>
      <c r="DM65" s="137"/>
      <c r="DN65" s="137"/>
      <c r="DO65" s="142"/>
      <c r="DP65" s="136"/>
      <c r="DQ65" s="292"/>
      <c r="DR65" s="136"/>
      <c r="DS65" s="136"/>
      <c r="DT65" s="136"/>
      <c r="DU65" s="136"/>
      <c r="DV65" s="136"/>
      <c r="DW65" s="136"/>
      <c r="DX65" s="136"/>
      <c r="DY65" s="136"/>
      <c r="DZ65" s="136"/>
      <c r="EA65" s="136"/>
      <c r="EB65" s="136"/>
      <c r="EC65" s="136"/>
      <c r="ED65" s="136"/>
      <c r="EE65" s="136"/>
      <c r="EF65" s="136"/>
      <c r="EG65" s="136"/>
      <c r="EH65" s="136"/>
      <c r="EI65" s="136"/>
      <c r="EJ65" s="136"/>
      <c r="EK65" s="136"/>
      <c r="EL65" s="136"/>
      <c r="EM65" s="136"/>
      <c r="EN65" s="136"/>
      <c r="EO65" s="136"/>
      <c r="EP65" s="136"/>
      <c r="EQ65" s="136"/>
      <c r="ER65" s="136"/>
      <c r="ES65" s="136"/>
      <c r="ET65" s="136"/>
      <c r="EU65" s="136"/>
      <c r="EV65" s="136"/>
      <c r="EW65" s="136"/>
      <c r="EX65" s="136"/>
      <c r="EY65" s="136"/>
      <c r="EZ65" s="136"/>
      <c r="FA65" s="136"/>
      <c r="FB65" s="136"/>
      <c r="FC65" s="136"/>
      <c r="FD65" s="136"/>
      <c r="FE65" s="136"/>
      <c r="FF65" s="136"/>
      <c r="FG65" s="136"/>
      <c r="FH65" s="136"/>
      <c r="FI65" s="136"/>
      <c r="FJ65" s="136"/>
      <c r="FK65" s="136"/>
      <c r="FL65" s="136"/>
      <c r="FM65" s="136"/>
      <c r="FN65" s="136"/>
      <c r="FO65" s="136"/>
      <c r="FP65" s="136"/>
      <c r="FQ65" s="136"/>
      <c r="FR65" s="136"/>
      <c r="FS65" s="136"/>
      <c r="FT65" s="136"/>
      <c r="FU65" s="136"/>
      <c r="FV65" s="136"/>
      <c r="FW65" s="136"/>
      <c r="FX65" s="136"/>
      <c r="FY65" s="136"/>
      <c r="FZ65" s="136"/>
      <c r="GA65" s="136"/>
      <c r="GB65" s="136"/>
      <c r="GC65" s="136"/>
      <c r="GD65" s="136"/>
      <c r="GE65" s="136"/>
      <c r="GF65" s="136"/>
      <c r="GG65" s="136"/>
      <c r="GH65" s="136"/>
      <c r="GI65" s="136"/>
      <c r="GJ65" s="136"/>
      <c r="GK65" s="136"/>
      <c r="GL65" s="136"/>
      <c r="GM65" s="136"/>
    </row>
    <row r="66" outlineLevel="1">
      <c r="B66" s="135" t="s">
        <v>518</v>
      </c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337"/>
      <c r="AY66" s="353"/>
      <c r="AZ66" s="353"/>
      <c r="BA66" s="353"/>
      <c r="BB66" s="353"/>
      <c r="BC66" s="353"/>
      <c r="BD66" s="353"/>
      <c r="BE66" s="353"/>
      <c r="BF66" s="353"/>
      <c r="BG66" s="353"/>
      <c r="BH66" s="353"/>
      <c r="BI66" s="353"/>
      <c r="BJ66" s="353"/>
      <c r="BK66" s="353"/>
      <c r="BL66" s="353"/>
      <c r="BM66" s="353"/>
      <c r="BN66" s="353"/>
      <c r="BO66" s="353"/>
      <c r="BP66" s="353"/>
      <c r="BQ66" s="353"/>
      <c r="BR66" s="353"/>
      <c r="BS66" s="337"/>
      <c r="BT66" s="337"/>
      <c r="BU66" s="337"/>
      <c r="BV66" s="337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33"/>
      <c r="CJ66" s="33"/>
      <c r="CK66" s="339"/>
      <c r="CL66" s="49"/>
      <c r="CM66" s="136"/>
      <c r="CN66" s="136"/>
      <c r="CO66" s="136"/>
      <c r="CP66" s="136"/>
      <c r="CQ66" s="339"/>
      <c r="CR66" s="136"/>
      <c r="CS66" s="136"/>
      <c r="CT66" s="136"/>
      <c r="CU66" s="136"/>
      <c r="CV66" s="136"/>
      <c r="CW66" s="292"/>
      <c r="CX66" s="49"/>
      <c r="CY66" s="136"/>
      <c r="CZ66" s="136"/>
      <c r="DA66" s="136"/>
      <c r="DB66" s="136"/>
      <c r="DC66" s="292"/>
      <c r="DD66" s="136"/>
      <c r="DE66" s="136"/>
      <c r="DF66" s="136"/>
      <c r="DG66" s="136"/>
      <c r="DH66" s="136"/>
      <c r="DI66" s="292"/>
      <c r="DJ66" s="136"/>
      <c r="DK66" s="137"/>
      <c r="DL66" s="137"/>
      <c r="DM66" s="137"/>
      <c r="DN66" s="137"/>
      <c r="DO66" s="142"/>
      <c r="DP66" s="136"/>
      <c r="DQ66" s="292"/>
      <c r="DR66" s="136"/>
      <c r="DS66" s="136"/>
      <c r="DT66" s="136"/>
      <c r="DU66" s="136"/>
      <c r="DV66" s="136"/>
      <c r="DW66" s="136"/>
      <c r="DX66" s="136"/>
      <c r="DY66" s="136"/>
      <c r="DZ66" s="136"/>
      <c r="EA66" s="136"/>
      <c r="EB66" s="136"/>
      <c r="EC66" s="136"/>
      <c r="ED66" s="136"/>
      <c r="EE66" s="136"/>
      <c r="EF66" s="136"/>
      <c r="EG66" s="136"/>
      <c r="EH66" s="136"/>
      <c r="EI66" s="136"/>
      <c r="EJ66" s="136"/>
      <c r="EK66" s="136"/>
      <c r="EL66" s="136"/>
      <c r="EM66" s="136"/>
      <c r="EN66" s="136"/>
      <c r="EO66" s="136"/>
      <c r="EP66" s="136"/>
      <c r="EQ66" s="136"/>
      <c r="ER66" s="136"/>
      <c r="ES66" s="136"/>
      <c r="ET66" s="136"/>
      <c r="EU66" s="136"/>
      <c r="EV66" s="136"/>
      <c r="EW66" s="136"/>
      <c r="EX66" s="136"/>
      <c r="EY66" s="136"/>
      <c r="EZ66" s="136"/>
      <c r="FA66" s="136"/>
      <c r="FB66" s="136"/>
      <c r="FC66" s="136"/>
      <c r="FD66" s="136"/>
      <c r="FE66" s="136"/>
      <c r="FF66" s="136"/>
      <c r="FG66" s="136"/>
      <c r="FH66" s="136"/>
      <c r="FI66" s="136"/>
      <c r="FJ66" s="136"/>
      <c r="FK66" s="136"/>
      <c r="FL66" s="136"/>
      <c r="FM66" s="136"/>
      <c r="FN66" s="136"/>
      <c r="FO66" s="136"/>
      <c r="FP66" s="136"/>
      <c r="FQ66" s="136"/>
      <c r="FR66" s="136"/>
      <c r="FS66" s="136"/>
      <c r="FT66" s="136"/>
      <c r="FU66" s="136"/>
      <c r="FV66" s="136"/>
      <c r="FW66" s="136"/>
      <c r="FX66" s="136"/>
      <c r="FY66" s="136"/>
      <c r="FZ66" s="136"/>
      <c r="GA66" s="136"/>
      <c r="GB66" s="136"/>
      <c r="GC66" s="136"/>
      <c r="GD66" s="136"/>
      <c r="GE66" s="136"/>
      <c r="GF66" s="136"/>
      <c r="GG66" s="136"/>
      <c r="GH66" s="136"/>
      <c r="GI66" s="136"/>
      <c r="GJ66" s="136"/>
      <c r="GK66" s="136"/>
      <c r="GL66" s="136"/>
      <c r="GM66" s="136"/>
    </row>
    <row r="67">
      <c r="B67" s="135" t="s">
        <v>525</v>
      </c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269">
        <f t="shared" ref="AA67:CH67" si="139">1-IFERROR(AA28/AA13,0)</f>
        <v>0.7568225287</v>
      </c>
      <c r="AB67" s="269">
        <f t="shared" si="139"/>
        <v>0.6492959849</v>
      </c>
      <c r="AC67" s="269">
        <f t="shared" si="139"/>
        <v>0.7385141121</v>
      </c>
      <c r="AD67" s="269">
        <f t="shared" si="139"/>
        <v>0.6483928032</v>
      </c>
      <c r="AE67" s="269">
        <f t="shared" si="139"/>
        <v>0.6933254617</v>
      </c>
      <c r="AF67" s="269">
        <f t="shared" si="139"/>
        <v>0.7479910068</v>
      </c>
      <c r="AG67" s="269">
        <f t="shared" si="139"/>
        <v>0.6617131984</v>
      </c>
      <c r="AH67" s="269">
        <f t="shared" si="139"/>
        <v>0.769749024</v>
      </c>
      <c r="AI67" s="269">
        <f t="shared" si="139"/>
        <v>0.7172675032</v>
      </c>
      <c r="AJ67" s="269">
        <f t="shared" si="139"/>
        <v>0.7661622223</v>
      </c>
      <c r="AK67" s="269">
        <f t="shared" si="139"/>
        <v>0.7029477251</v>
      </c>
      <c r="AL67" s="269">
        <f t="shared" si="139"/>
        <v>0.5987600183</v>
      </c>
      <c r="AM67" s="269">
        <f t="shared" si="139"/>
        <v>0.6114304648</v>
      </c>
      <c r="AN67" s="269">
        <f t="shared" si="139"/>
        <v>0.6894047658</v>
      </c>
      <c r="AO67" s="269">
        <f t="shared" si="139"/>
        <v>0.7192513989</v>
      </c>
      <c r="AP67" s="269">
        <f t="shared" si="139"/>
        <v>0.5870361166</v>
      </c>
      <c r="AQ67" s="269">
        <f t="shared" si="139"/>
        <v>0.6649567891</v>
      </c>
      <c r="AR67" s="269">
        <f t="shared" si="139"/>
        <v>0.677996813</v>
      </c>
      <c r="AS67" s="269">
        <f t="shared" si="139"/>
        <v>0.6018908743</v>
      </c>
      <c r="AT67" s="269">
        <f t="shared" si="139"/>
        <v>0.5155577068</v>
      </c>
      <c r="AU67" s="269">
        <f t="shared" si="139"/>
        <v>0.5442608545</v>
      </c>
      <c r="AV67" s="269">
        <f t="shared" si="139"/>
        <v>0.6339996649</v>
      </c>
      <c r="AW67" s="269">
        <f t="shared" si="139"/>
        <v>0.5741302671</v>
      </c>
      <c r="AX67" s="269">
        <f t="shared" si="139"/>
        <v>0.5152719059</v>
      </c>
      <c r="AY67" s="269">
        <f t="shared" si="139"/>
        <v>0.5304413029</v>
      </c>
      <c r="AZ67" s="269">
        <f t="shared" si="139"/>
        <v>0.6277932076</v>
      </c>
      <c r="BA67" s="269">
        <f t="shared" si="139"/>
        <v>0.6422505545</v>
      </c>
      <c r="BB67" s="269">
        <f t="shared" si="139"/>
        <v>0.4933260798</v>
      </c>
      <c r="BC67" s="269">
        <f t="shared" si="139"/>
        <v>0.6140140992</v>
      </c>
      <c r="BD67" s="269">
        <f t="shared" si="139"/>
        <v>0.6103241679</v>
      </c>
      <c r="BE67" s="269">
        <f t="shared" si="139"/>
        <v>0.6525490084</v>
      </c>
      <c r="BF67" s="269">
        <f t="shared" si="139"/>
        <v>0.4105319448</v>
      </c>
      <c r="BG67" s="269">
        <f t="shared" si="139"/>
        <v>0.6091279315</v>
      </c>
      <c r="BH67" s="269">
        <f t="shared" si="139"/>
        <v>0.6672568437</v>
      </c>
      <c r="BI67" s="269">
        <f t="shared" si="139"/>
        <v>0.6181637201</v>
      </c>
      <c r="BJ67" s="269">
        <f t="shared" si="139"/>
        <v>0.5616739288</v>
      </c>
      <c r="BK67" s="269">
        <f t="shared" si="139"/>
        <v>0.5655994424</v>
      </c>
      <c r="BL67" s="269">
        <f t="shared" si="139"/>
        <v>0.5663455453</v>
      </c>
      <c r="BM67" s="269">
        <f t="shared" si="139"/>
        <v>0.5646512035</v>
      </c>
      <c r="BN67" s="269">
        <f t="shared" si="139"/>
        <v>0.6131343065</v>
      </c>
      <c r="BO67" s="269">
        <f t="shared" si="139"/>
        <v>0.5620376404</v>
      </c>
      <c r="BP67" s="269">
        <f t="shared" si="139"/>
        <v>0.5760465165</v>
      </c>
      <c r="BQ67" s="269">
        <f t="shared" si="139"/>
        <v>0.6010086208</v>
      </c>
      <c r="BR67" s="269">
        <f t="shared" si="139"/>
        <v>0.5542005158</v>
      </c>
      <c r="BS67" s="269">
        <f t="shared" si="139"/>
        <v>0.581408526</v>
      </c>
      <c r="BT67" s="269">
        <f t="shared" si="139"/>
        <v>0.6011857894</v>
      </c>
      <c r="BU67" s="269">
        <f t="shared" si="139"/>
        <v>0.5416767065</v>
      </c>
      <c r="BV67" s="269">
        <f t="shared" si="139"/>
        <v>0.5345602891</v>
      </c>
      <c r="BW67" s="277">
        <f t="shared" si="139"/>
        <v>0.5493747761</v>
      </c>
      <c r="BX67" s="277">
        <f t="shared" si="139"/>
        <v>0.5832816464</v>
      </c>
      <c r="BY67" s="277">
        <f t="shared" si="139"/>
        <v>0.564454385</v>
      </c>
      <c r="BZ67" s="277">
        <f t="shared" si="139"/>
        <v>0.5810243039</v>
      </c>
      <c r="CA67" s="277">
        <f t="shared" si="139"/>
        <v>0.5958504835</v>
      </c>
      <c r="CB67" s="277">
        <f t="shared" si="139"/>
        <v>0.6062481413</v>
      </c>
      <c r="CC67" s="277">
        <f t="shared" si="139"/>
        <v>1</v>
      </c>
      <c r="CD67" s="277">
        <f t="shared" si="139"/>
        <v>1</v>
      </c>
      <c r="CE67" s="277">
        <f t="shared" si="139"/>
        <v>1</v>
      </c>
      <c r="CF67" s="277">
        <f t="shared" si="139"/>
        <v>1</v>
      </c>
      <c r="CG67" s="277">
        <f t="shared" si="139"/>
        <v>1</v>
      </c>
      <c r="CH67" s="277">
        <f t="shared" si="139"/>
        <v>1</v>
      </c>
      <c r="CI67" s="33"/>
      <c r="CJ67" s="33"/>
      <c r="CK67" s="339"/>
      <c r="CL67" s="136"/>
      <c r="CM67" s="136"/>
      <c r="CN67" s="136"/>
      <c r="CO67" s="136"/>
      <c r="CP67" s="136"/>
      <c r="CQ67" s="339"/>
      <c r="CR67" s="136"/>
      <c r="CS67" s="136"/>
      <c r="CT67" s="136"/>
      <c r="CU67" s="136"/>
      <c r="CV67" s="136"/>
      <c r="CW67" s="269"/>
      <c r="CX67" s="136"/>
      <c r="CY67" s="136"/>
      <c r="CZ67" s="136"/>
      <c r="DA67" s="136"/>
      <c r="DB67" s="136"/>
      <c r="DC67" s="269"/>
      <c r="DD67" s="136"/>
      <c r="DE67" s="136"/>
      <c r="DF67" s="136"/>
      <c r="DG67" s="136"/>
      <c r="DH67" s="136"/>
      <c r="DI67" s="347"/>
      <c r="DJ67" s="136"/>
      <c r="DK67" s="136"/>
      <c r="DL67" s="136"/>
      <c r="DM67" s="136"/>
      <c r="DN67" s="136"/>
      <c r="DO67" s="347"/>
      <c r="DP67" s="136"/>
      <c r="DQ67" s="292"/>
      <c r="DR67" s="136"/>
      <c r="DS67" s="136"/>
      <c r="DT67" s="136"/>
      <c r="DU67" s="136"/>
      <c r="DV67" s="136"/>
      <c r="DW67" s="136"/>
      <c r="DX67" s="136"/>
      <c r="DY67" s="136"/>
      <c r="DZ67" s="136"/>
      <c r="EA67" s="136"/>
      <c r="EB67" s="136"/>
      <c r="EC67" s="136"/>
      <c r="ED67" s="136"/>
      <c r="EE67" s="136"/>
      <c r="EF67" s="136"/>
      <c r="EG67" s="136"/>
      <c r="EH67" s="136"/>
      <c r="EI67" s="136"/>
      <c r="EJ67" s="136"/>
      <c r="EK67" s="136"/>
      <c r="EL67" s="136"/>
      <c r="EM67" s="136"/>
      <c r="EN67" s="136"/>
      <c r="EO67" s="136"/>
      <c r="EP67" s="136"/>
      <c r="EQ67" s="136"/>
      <c r="ER67" s="136"/>
      <c r="ES67" s="136"/>
      <c r="ET67" s="136"/>
      <c r="EU67" s="136"/>
      <c r="EV67" s="136"/>
      <c r="EW67" s="136"/>
      <c r="EX67" s="136"/>
      <c r="EY67" s="136"/>
      <c r="EZ67" s="136"/>
      <c r="FA67" s="136"/>
      <c r="FB67" s="136"/>
      <c r="FC67" s="136"/>
      <c r="FD67" s="136"/>
      <c r="FE67" s="136"/>
      <c r="FF67" s="136"/>
      <c r="FG67" s="136"/>
      <c r="FH67" s="136"/>
      <c r="FI67" s="136"/>
      <c r="FJ67" s="136"/>
      <c r="FK67" s="136"/>
      <c r="FL67" s="136"/>
      <c r="FM67" s="136"/>
      <c r="FN67" s="136"/>
      <c r="FO67" s="136"/>
      <c r="FP67" s="136"/>
      <c r="FQ67" s="136"/>
      <c r="FR67" s="136"/>
      <c r="FS67" s="136"/>
      <c r="FT67" s="136"/>
      <c r="FU67" s="136"/>
      <c r="FV67" s="136"/>
      <c r="FW67" s="136"/>
      <c r="FX67" s="136"/>
      <c r="FY67" s="136"/>
      <c r="FZ67" s="136"/>
      <c r="GA67" s="136"/>
      <c r="GB67" s="136"/>
      <c r="GC67" s="136"/>
      <c r="GD67" s="136"/>
      <c r="GE67" s="136"/>
      <c r="GF67" s="136"/>
      <c r="GG67" s="136"/>
      <c r="GH67" s="136"/>
      <c r="GI67" s="136"/>
      <c r="GJ67" s="136"/>
      <c r="GK67" s="136"/>
      <c r="GL67" s="136"/>
      <c r="GM67" s="136"/>
    </row>
    <row r="68" ht="14.25" customHeight="1"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K68" s="42"/>
      <c r="CQ68" s="42"/>
      <c r="DK68" s="2"/>
      <c r="DL68" s="2"/>
      <c r="DM68" s="2"/>
      <c r="DN68" s="2"/>
      <c r="FB68" s="3"/>
    </row>
    <row r="69">
      <c r="B69" s="63" t="s">
        <v>198</v>
      </c>
      <c r="C69" s="64">
        <f t="shared" ref="C69:AL69" si="140">SUM(C70:C81)</f>
        <v>0</v>
      </c>
      <c r="D69" s="64">
        <f t="shared" si="140"/>
        <v>0</v>
      </c>
      <c r="E69" s="64">
        <f t="shared" si="140"/>
        <v>0</v>
      </c>
      <c r="F69" s="64">
        <f t="shared" si="140"/>
        <v>0</v>
      </c>
      <c r="G69" s="64">
        <f t="shared" si="140"/>
        <v>0</v>
      </c>
      <c r="H69" s="64">
        <f t="shared" si="140"/>
        <v>0</v>
      </c>
      <c r="I69" s="64">
        <f t="shared" si="140"/>
        <v>0</v>
      </c>
      <c r="J69" s="64">
        <f t="shared" si="140"/>
        <v>0</v>
      </c>
      <c r="K69" s="64">
        <f t="shared" si="140"/>
        <v>0</v>
      </c>
      <c r="L69" s="64">
        <f t="shared" si="140"/>
        <v>0</v>
      </c>
      <c r="M69" s="64">
        <f t="shared" si="140"/>
        <v>0</v>
      </c>
      <c r="N69" s="64">
        <f t="shared" si="140"/>
        <v>0</v>
      </c>
      <c r="O69" s="64">
        <f t="shared" si="140"/>
        <v>0</v>
      </c>
      <c r="P69" s="64">
        <f t="shared" si="140"/>
        <v>0</v>
      </c>
      <c r="Q69" s="64">
        <f t="shared" si="140"/>
        <v>0</v>
      </c>
      <c r="R69" s="64">
        <f t="shared" si="140"/>
        <v>0</v>
      </c>
      <c r="S69" s="64">
        <f t="shared" si="140"/>
        <v>0</v>
      </c>
      <c r="T69" s="64">
        <f t="shared" si="140"/>
        <v>0</v>
      </c>
      <c r="U69" s="64">
        <f t="shared" si="140"/>
        <v>0</v>
      </c>
      <c r="V69" s="64">
        <f t="shared" si="140"/>
        <v>0</v>
      </c>
      <c r="W69" s="64">
        <f t="shared" si="140"/>
        <v>0</v>
      </c>
      <c r="X69" s="64">
        <f t="shared" si="140"/>
        <v>0</v>
      </c>
      <c r="Y69" s="64">
        <f t="shared" si="140"/>
        <v>0</v>
      </c>
      <c r="Z69" s="64">
        <f t="shared" si="140"/>
        <v>0</v>
      </c>
      <c r="AA69" s="64">
        <f t="shared" si="140"/>
        <v>457303</v>
      </c>
      <c r="AB69" s="64">
        <f t="shared" si="140"/>
        <v>524328</v>
      </c>
      <c r="AC69" s="64">
        <f t="shared" si="140"/>
        <v>600753</v>
      </c>
      <c r="AD69" s="64">
        <f t="shared" si="140"/>
        <v>547611</v>
      </c>
      <c r="AE69" s="64">
        <f t="shared" si="140"/>
        <v>580864</v>
      </c>
      <c r="AF69" s="64">
        <f t="shared" si="140"/>
        <v>598656</v>
      </c>
      <c r="AG69" s="64">
        <f t="shared" si="140"/>
        <v>602459</v>
      </c>
      <c r="AH69" s="64">
        <f t="shared" si="140"/>
        <v>568237</v>
      </c>
      <c r="AI69" s="64">
        <f t="shared" si="140"/>
        <v>682650</v>
      </c>
      <c r="AJ69" s="64">
        <f t="shared" si="140"/>
        <v>851601</v>
      </c>
      <c r="AK69" s="64">
        <f t="shared" si="140"/>
        <v>759184</v>
      </c>
      <c r="AL69" s="64">
        <f t="shared" si="140"/>
        <v>806633</v>
      </c>
      <c r="AM69" s="270">
        <f t="shared" ref="AM69:AX69" si="141">SUM(AM70,AM74,AM78)</f>
        <v>750785</v>
      </c>
      <c r="AN69" s="270">
        <f t="shared" si="141"/>
        <v>807790</v>
      </c>
      <c r="AO69" s="270">
        <f t="shared" si="141"/>
        <v>833956</v>
      </c>
      <c r="AP69" s="270">
        <f t="shared" si="141"/>
        <v>1057484</v>
      </c>
      <c r="AQ69" s="270">
        <f t="shared" si="141"/>
        <v>935219</v>
      </c>
      <c r="AR69" s="270">
        <f t="shared" si="141"/>
        <v>975779</v>
      </c>
      <c r="AS69" s="270">
        <f t="shared" si="141"/>
        <v>1202190</v>
      </c>
      <c r="AT69" s="270">
        <f t="shared" si="141"/>
        <v>1006119</v>
      </c>
      <c r="AU69" s="270">
        <f t="shared" si="141"/>
        <v>1014548</v>
      </c>
      <c r="AV69" s="270">
        <f t="shared" si="141"/>
        <v>1054237</v>
      </c>
      <c r="AW69" s="270">
        <f t="shared" si="141"/>
        <v>1045399</v>
      </c>
      <c r="AX69" s="270">
        <f t="shared" si="141"/>
        <v>942178</v>
      </c>
      <c r="AY69" s="270">
        <v>1312056.86</v>
      </c>
      <c r="AZ69" s="270">
        <v>1056956.03</v>
      </c>
      <c r="BA69" s="270">
        <v>1205039.85</v>
      </c>
      <c r="BB69" s="270">
        <v>1159759.98</v>
      </c>
      <c r="BC69" s="270">
        <v>1264048.19</v>
      </c>
      <c r="BD69" s="270">
        <v>1325176.56</v>
      </c>
      <c r="BE69" s="270">
        <v>1148718.86</v>
      </c>
      <c r="BF69" s="270">
        <v>1082979.54</v>
      </c>
      <c r="BG69" s="270">
        <v>1177369.49</v>
      </c>
      <c r="BH69" s="270">
        <v>1174268.99</v>
      </c>
      <c r="BI69" s="270">
        <v>1110814.68</v>
      </c>
      <c r="BJ69" s="270">
        <v>1193483.08</v>
      </c>
      <c r="BK69" s="270">
        <v>1349799.03</v>
      </c>
      <c r="BL69" s="270">
        <v>1003637.85</v>
      </c>
      <c r="BM69" s="270">
        <v>1072361.86</v>
      </c>
      <c r="BN69" s="270">
        <v>1413998.25</v>
      </c>
      <c r="BO69" s="270">
        <v>1451019.69</v>
      </c>
      <c r="BP69" s="270">
        <v>1362210.55</v>
      </c>
      <c r="BQ69" s="270">
        <v>1337099.65</v>
      </c>
      <c r="BR69" s="270">
        <f t="shared" ref="BR69:CH69" si="142">SUM(BR70,BR74,BR78)</f>
        <v>1504466</v>
      </c>
      <c r="BS69" s="270">
        <f t="shared" si="142"/>
        <v>1743412.64</v>
      </c>
      <c r="BT69" s="270">
        <f t="shared" si="142"/>
        <v>1737967.51</v>
      </c>
      <c r="BU69" s="270">
        <f t="shared" si="142"/>
        <v>1469663.48</v>
      </c>
      <c r="BV69" s="270">
        <f t="shared" si="142"/>
        <v>828493.58</v>
      </c>
      <c r="BW69" s="65">
        <f t="shared" si="142"/>
        <v>1753777.22</v>
      </c>
      <c r="BX69" s="65">
        <f t="shared" si="142"/>
        <v>1757748.04</v>
      </c>
      <c r="BY69" s="65">
        <f t="shared" si="142"/>
        <v>1791395.33</v>
      </c>
      <c r="BZ69" s="65">
        <f t="shared" si="142"/>
        <v>1701466.52</v>
      </c>
      <c r="CA69" s="65">
        <f t="shared" si="142"/>
        <v>2034772.84</v>
      </c>
      <c r="CB69" s="65">
        <f t="shared" si="142"/>
        <v>2293445.62</v>
      </c>
      <c r="CC69" s="65">
        <f t="shared" si="142"/>
        <v>0</v>
      </c>
      <c r="CD69" s="65">
        <f t="shared" si="142"/>
        <v>0</v>
      </c>
      <c r="CE69" s="65">
        <f t="shared" si="142"/>
        <v>0</v>
      </c>
      <c r="CF69" s="65">
        <f t="shared" si="142"/>
        <v>0</v>
      </c>
      <c r="CG69" s="65">
        <f t="shared" si="142"/>
        <v>0</v>
      </c>
      <c r="CH69" s="65">
        <f t="shared" si="142"/>
        <v>0</v>
      </c>
      <c r="CI69" s="33"/>
      <c r="CJ69" s="33"/>
      <c r="CK69" s="69">
        <f t="array" ref="CK69">SUM(INDIRECT(XLOOKUP('GAAP Summary'!$B$2,'TTM Dates'!$B:$B,'TTM Dates'!$E:$E)&amp;ROW($CJ69)&amp;":"&amp;XLOOKUP('GAAP Summary'!$B$2,'TTM Dates'!$B:$B,'TTM Dates'!$C:$C)&amp;ROW($CJ69)))</f>
        <v>19953708.43</v>
      </c>
      <c r="CL69" s="49"/>
      <c r="CM69" s="270">
        <f t="shared" ref="CM69:CM81" si="144">sum(BW69:BY69)</f>
        <v>5302920.59</v>
      </c>
      <c r="CN69" s="270">
        <f t="shared" ref="CN69:CN81" si="145">sum(BZ69:CB69)</f>
        <v>6029684.98</v>
      </c>
      <c r="CO69" s="270">
        <f t="shared" ref="CO69:CO81" si="146">sum(CC69:CE69)</f>
        <v>0</v>
      </c>
      <c r="CP69" s="270">
        <f t="shared" ref="CP69:CP81" si="147">sum(CF69:CH69)</f>
        <v>0</v>
      </c>
      <c r="CQ69" s="69">
        <f t="shared" ref="CQ69:CQ81" si="148">sum(BW69:CH69)</f>
        <v>11332605.57</v>
      </c>
      <c r="CR69" s="270"/>
      <c r="CS69" s="270">
        <f t="shared" ref="CS69:CS81" si="149">sum(BK69:BM69)</f>
        <v>3425798.74</v>
      </c>
      <c r="CT69" s="270">
        <f t="shared" ref="CT69:CT81" si="150">sum(BN69:BP69)</f>
        <v>4227228.49</v>
      </c>
      <c r="CU69" s="270">
        <f t="shared" ref="CU69:CU81" si="151">sum(BQ69:BS69)</f>
        <v>4584978.29</v>
      </c>
      <c r="CV69" s="270">
        <f t="shared" ref="CV69:CV81" si="152">sum(BT69:BV69)</f>
        <v>4036124.57</v>
      </c>
      <c r="CW69" s="121">
        <f t="shared" ref="CW69:CW81" si="153">sum(BK69:BV69)</f>
        <v>16274130.09</v>
      </c>
      <c r="CX69" s="49"/>
      <c r="CY69" s="270">
        <f t="shared" ref="CY69:CY81" si="154">sum(AY69:BA69)</f>
        <v>3574052.74</v>
      </c>
      <c r="CZ69" s="270">
        <f t="shared" ref="CZ69:CZ81" si="155">sum(BB69:BD69)</f>
        <v>3748984.73</v>
      </c>
      <c r="DA69" s="270">
        <f t="shared" ref="DA69:DA81" si="156">sum(BE69:BG69)</f>
        <v>3409067.89</v>
      </c>
      <c r="DB69" s="270">
        <f t="shared" ref="DB69:DB81" si="157">sum(BH69:BJ69)</f>
        <v>3478566.75</v>
      </c>
      <c r="DC69" s="121">
        <f t="shared" ref="DC69:DC81" si="158">sum(AY69:BJ69)</f>
        <v>14210672.11</v>
      </c>
      <c r="DD69" s="49"/>
      <c r="DE69" s="270">
        <f t="shared" ref="DE69:DE81" si="159">sum(AM69:AO69)</f>
        <v>2392531</v>
      </c>
      <c r="DF69" s="270">
        <f t="shared" ref="DF69:DF81" si="160">sum(AP69:AR69)</f>
        <v>2968482</v>
      </c>
      <c r="DG69" s="270">
        <f t="shared" ref="DG69:DG81" si="161">sum(AS69:AU69)</f>
        <v>3222857</v>
      </c>
      <c r="DH69" s="270">
        <f t="shared" ref="DH69:DH81" si="162">sum(AV69:AX69)</f>
        <v>3041814</v>
      </c>
      <c r="DI69" s="121">
        <f t="shared" ref="DI69:DI81" si="163">sum(AM69:AX69)</f>
        <v>11625684</v>
      </c>
      <c r="DJ69" s="49"/>
      <c r="DK69" s="270">
        <f t="shared" ref="DK69:DK70" si="164">sum(AA69:AC69)</f>
        <v>1582384</v>
      </c>
      <c r="DL69" s="270">
        <f t="shared" ref="DL69:DL70" si="165">sum(AD69:AF69)</f>
        <v>1727131</v>
      </c>
      <c r="DM69" s="270">
        <f t="shared" ref="DM69:DM70" si="166">sum(AG69:AI69)</f>
        <v>1853346</v>
      </c>
      <c r="DN69" s="270">
        <f t="shared" ref="DN69:DN70" si="167">sum(AJ69:AL69)</f>
        <v>2417418</v>
      </c>
      <c r="DO69" s="121">
        <f>sum(DO70:DO78)</f>
        <v>7580279</v>
      </c>
      <c r="DP69" s="49"/>
      <c r="DQ69" s="121">
        <f>sum(DQ70:DQ78)</f>
        <v>0</v>
      </c>
      <c r="DR69" s="136"/>
      <c r="DS69" s="64">
        <f t="array" ref="DS69">IF(DS$3&gt;'GAAP Summary'!$B$2,0,SUM(INDIRECT(XLOOKUP(DS$3,'TTM Dates'!$B:$B,'TTM Dates'!$E:$E)&amp;ROW($CJ69)&amp;":"&amp;XLOOKUP(DS$3,'TTM Dates'!$B:$B,'TTM Dates'!$C:$C)&amp;ROW($CJ69))))</f>
        <v>0</v>
      </c>
      <c r="DT69" s="64">
        <f t="array" ref="DT69">IF(DT$3&gt;'GAAP Summary'!$B$2,0,SUM(INDIRECT(XLOOKUP(DT$3,'TTM Dates'!$B:$B,'TTM Dates'!$E:$E)&amp;ROW($CJ69)&amp;":"&amp;XLOOKUP(DT$3,'TTM Dates'!$B:$B,'TTM Dates'!$C:$C)&amp;ROW($CJ69))))</f>
        <v>0</v>
      </c>
      <c r="DU69" s="64">
        <f t="array" ref="DU69">IF(DU$3&gt;'GAAP Summary'!$B$2,0,SUM(INDIRECT(XLOOKUP(DU$3,'TTM Dates'!$B:$B,'TTM Dates'!$E:$E)&amp;ROW($CJ69)&amp;":"&amp;XLOOKUP(DU$3,'TTM Dates'!$B:$B,'TTM Dates'!$C:$C)&amp;ROW($CJ69))))</f>
        <v>0</v>
      </c>
      <c r="DV69" s="64">
        <f t="array" ref="DV69">IF(DV$3&gt;'GAAP Summary'!$B$2,0,SUM(INDIRECT(XLOOKUP(DV$3,'TTM Dates'!$B:$B,'TTM Dates'!$E:$E)&amp;ROW($CJ69)&amp;":"&amp;XLOOKUP(DV$3,'TTM Dates'!$B:$B,'TTM Dates'!$C:$C)&amp;ROW($CJ69))))</f>
        <v>0</v>
      </c>
      <c r="DW69" s="64">
        <f t="array" ref="DW69">IF(DW$3&gt;'GAAP Summary'!$B$2,0,SUM(INDIRECT(XLOOKUP(DW$3,'TTM Dates'!$B:$B,'TTM Dates'!$E:$E)&amp;ROW($CJ69)&amp;":"&amp;XLOOKUP(DW$3,'TTM Dates'!$B:$B,'TTM Dates'!$C:$C)&amp;ROW($CJ69))))</f>
        <v>0</v>
      </c>
      <c r="DX69" s="64">
        <f t="array" ref="DX69">IF(DX$3&gt;'GAAP Summary'!$B$2,0,SUM(INDIRECT(XLOOKUP(DX$3,'TTM Dates'!$B:$B,'TTM Dates'!$E:$E)&amp;ROW($CJ69)&amp;":"&amp;XLOOKUP(DX$3,'TTM Dates'!$B:$B,'TTM Dates'!$C:$C)&amp;ROW($CJ69))))</f>
        <v>0</v>
      </c>
      <c r="DY69" s="64">
        <f t="array" ref="DY69">IF(DY$3&gt;'GAAP Summary'!$B$2,0,SUM(INDIRECT(XLOOKUP(DY$3,'TTM Dates'!$B:$B,'TTM Dates'!$E:$E)&amp;ROW($CJ69)&amp;":"&amp;XLOOKUP(DY$3,'TTM Dates'!$B:$B,'TTM Dates'!$C:$C)&amp;ROW($CJ69))))</f>
        <v>0</v>
      </c>
      <c r="DZ69" s="64">
        <f t="array" ref="DZ69">IF(DZ$3&gt;'GAAP Summary'!$B$2,0,SUM(INDIRECT(XLOOKUP(DZ$3,'TTM Dates'!$B:$B,'TTM Dates'!$E:$E)&amp;ROW($CJ69)&amp;":"&amp;XLOOKUP(DZ$3,'TTM Dates'!$B:$B,'TTM Dates'!$C:$C)&amp;ROW($CJ69))))</f>
        <v>0</v>
      </c>
      <c r="EA69" s="64">
        <f t="array" ref="EA69">IF(EA$3&gt;'GAAP Summary'!$B$2,0,SUM(INDIRECT(XLOOKUP(EA$3,'TTM Dates'!$B:$B,'TTM Dates'!$E:$E)&amp;ROW($CJ69)&amp;":"&amp;XLOOKUP(EA$3,'TTM Dates'!$B:$B,'TTM Dates'!$C:$C)&amp;ROW($CJ69))))</f>
        <v>0</v>
      </c>
      <c r="EB69" s="64">
        <f t="array" ref="EB69">IF(EB$3&gt;'GAAP Summary'!$B$2,0,SUM(INDIRECT(XLOOKUP(EB$3,'TTM Dates'!$B:$B,'TTM Dates'!$E:$E)&amp;ROW($CJ69)&amp;":"&amp;XLOOKUP(EB$3,'TTM Dates'!$B:$B,'TTM Dates'!$C:$C)&amp;ROW($CJ69))))</f>
        <v>0</v>
      </c>
      <c r="EC69" s="64">
        <f t="array" ref="EC69">IF(EC$3&gt;'GAAP Summary'!$B$2,0,SUM(INDIRECT(XLOOKUP(EC$3,'TTM Dates'!$B:$B,'TTM Dates'!$E:$E)&amp;ROW($CJ69)&amp;":"&amp;XLOOKUP(EC$3,'TTM Dates'!$B:$B,'TTM Dates'!$C:$C)&amp;ROW($CJ69))))</f>
        <v>0</v>
      </c>
      <c r="ED69" s="64">
        <f t="array" ref="ED69">IF(ED$3&gt;'GAAP Summary'!$B$2,0,SUM(INDIRECT(XLOOKUP(ED$3,'TTM Dates'!$B:$B,'TTM Dates'!$E:$E)&amp;ROW($CJ69)&amp;":"&amp;XLOOKUP(ED$3,'TTM Dates'!$B:$B,'TTM Dates'!$C:$C)&amp;ROW($CJ69))))</f>
        <v>0</v>
      </c>
      <c r="EE69" s="64">
        <f t="array" ref="EE69">IF(EE$3&gt;'GAAP Summary'!$B$2,0,SUM(INDIRECT(XLOOKUP(EE$3,'TTM Dates'!$B:$B,'TTM Dates'!$E:$E)&amp;ROW($CJ69)&amp;":"&amp;XLOOKUP(EE$3,'TTM Dates'!$B:$B,'TTM Dates'!$C:$C)&amp;ROW($CJ69))))</f>
        <v>457303</v>
      </c>
      <c r="EF69" s="64">
        <f t="array" ref="EF69">IF(EF$3&gt;'GAAP Summary'!$B$2,0,SUM(INDIRECT(XLOOKUP(EF$3,'TTM Dates'!$B:$B,'TTM Dates'!$E:$E)&amp;ROW($CJ69)&amp;":"&amp;XLOOKUP(EF$3,'TTM Dates'!$B:$B,'TTM Dates'!$C:$C)&amp;ROW($CJ69))))</f>
        <v>981631</v>
      </c>
      <c r="EG69" s="64">
        <f t="array" ref="EG69">IF(EG$3&gt;'GAAP Summary'!$B$2,0,SUM(INDIRECT(XLOOKUP(EG$3,'TTM Dates'!$B:$B,'TTM Dates'!$E:$E)&amp;ROW($CJ69)&amp;":"&amp;XLOOKUP(EG$3,'TTM Dates'!$B:$B,'TTM Dates'!$C:$C)&amp;ROW($CJ69))))</f>
        <v>1582384</v>
      </c>
      <c r="EH69" s="64">
        <f t="array" ref="EH69">IF(EH$3&gt;'GAAP Summary'!$B$2,0,SUM(INDIRECT(XLOOKUP(EH$3,'TTM Dates'!$B:$B,'TTM Dates'!$E:$E)&amp;ROW($CJ69)&amp;":"&amp;XLOOKUP(EH$3,'TTM Dates'!$B:$B,'TTM Dates'!$C:$C)&amp;ROW($CJ69))))</f>
        <v>2129995</v>
      </c>
      <c r="EI69" s="64">
        <f t="array" ref="EI69">IF(EI$3&gt;'GAAP Summary'!$B$2,0,SUM(INDIRECT(XLOOKUP(EI$3,'TTM Dates'!$B:$B,'TTM Dates'!$E:$E)&amp;ROW($CJ69)&amp;":"&amp;XLOOKUP(EI$3,'TTM Dates'!$B:$B,'TTM Dates'!$C:$C)&amp;ROW($CJ69))))</f>
        <v>2710859</v>
      </c>
      <c r="EJ69" s="64">
        <f t="array" ref="EJ69">IF(EJ$3&gt;'GAAP Summary'!$B$2,0,SUM(INDIRECT(XLOOKUP(EJ$3,'TTM Dates'!$B:$B,'TTM Dates'!$E:$E)&amp;ROW($CJ69)&amp;":"&amp;XLOOKUP(EJ$3,'TTM Dates'!$B:$B,'TTM Dates'!$C:$C)&amp;ROW($CJ69))))</f>
        <v>3309515</v>
      </c>
      <c r="EK69" s="64">
        <f t="array" ref="EK69">IF(EK$3&gt;'GAAP Summary'!$B$2,0,SUM(INDIRECT(XLOOKUP(EK$3,'TTM Dates'!$B:$B,'TTM Dates'!$E:$E)&amp;ROW($CJ69)&amp;":"&amp;XLOOKUP(EK$3,'TTM Dates'!$B:$B,'TTM Dates'!$C:$C)&amp;ROW($CJ69))))</f>
        <v>3911974</v>
      </c>
      <c r="EL69" s="64">
        <f t="array" ref="EL69">IF(EL$3&gt;'GAAP Summary'!$B$2,0,SUM(INDIRECT(XLOOKUP(EL$3,'TTM Dates'!$B:$B,'TTM Dates'!$E:$E)&amp;ROW($CJ69)&amp;":"&amp;XLOOKUP(EL$3,'TTM Dates'!$B:$B,'TTM Dates'!$C:$C)&amp;ROW($CJ69))))</f>
        <v>4480211</v>
      </c>
      <c r="EM69" s="64">
        <f t="array" ref="EM69">IF(EM$3&gt;'GAAP Summary'!$B$2,0,SUM(INDIRECT(XLOOKUP(EM$3,'TTM Dates'!$B:$B,'TTM Dates'!$E:$E)&amp;ROW($CJ69)&amp;":"&amp;XLOOKUP(EM$3,'TTM Dates'!$B:$B,'TTM Dates'!$C:$C)&amp;ROW($CJ69))))</f>
        <v>5162861</v>
      </c>
      <c r="EN69" s="64">
        <f t="array" ref="EN69">IF(EN$3&gt;'GAAP Summary'!$B$2,0,SUM(INDIRECT(XLOOKUP(EN$3,'TTM Dates'!$B:$B,'TTM Dates'!$E:$E)&amp;ROW($CJ69)&amp;":"&amp;XLOOKUP(EN$3,'TTM Dates'!$B:$B,'TTM Dates'!$C:$C)&amp;ROW($CJ69))))</f>
        <v>6014462</v>
      </c>
      <c r="EO69" s="64">
        <f t="array" ref="EO69">IF(EO$3&gt;'GAAP Summary'!$B$2,0,SUM(INDIRECT(XLOOKUP(EO$3,'TTM Dates'!$B:$B,'TTM Dates'!$E:$E)&amp;ROW($CJ69)&amp;":"&amp;XLOOKUP(EO$3,'TTM Dates'!$B:$B,'TTM Dates'!$C:$C)&amp;ROW($CJ69))))</f>
        <v>6773646</v>
      </c>
      <c r="EP69" s="64">
        <f t="array" ref="EP69">IF(EP$3&gt;'GAAP Summary'!$B$2,0,SUM(INDIRECT(XLOOKUP(EP$3,'TTM Dates'!$B:$B,'TTM Dates'!$E:$E)&amp;ROW($CJ69)&amp;":"&amp;XLOOKUP(EP$3,'TTM Dates'!$B:$B,'TTM Dates'!$C:$C)&amp;ROW($CJ69))))</f>
        <v>7580279</v>
      </c>
      <c r="EQ69" s="64">
        <f t="array" ref="EQ69">IF(EQ$3&gt;'GAAP Summary'!$B$2,0,SUM(INDIRECT(XLOOKUP(EQ$3,'TTM Dates'!$B:$B,'TTM Dates'!$E:$E)&amp;ROW($CJ69)&amp;":"&amp;XLOOKUP(EQ$3,'TTM Dates'!$B:$B,'TTM Dates'!$C:$C)&amp;ROW($CJ69))))</f>
        <v>7873761</v>
      </c>
      <c r="ER69" s="64">
        <f t="array" ref="ER69">IF(ER$3&gt;'GAAP Summary'!$B$2,0,SUM(INDIRECT(XLOOKUP(ER$3,'TTM Dates'!$B:$B,'TTM Dates'!$E:$E)&amp;ROW($CJ69)&amp;":"&amp;XLOOKUP(ER$3,'TTM Dates'!$B:$B,'TTM Dates'!$C:$C)&amp;ROW($CJ69))))</f>
        <v>8157223</v>
      </c>
      <c r="ES69" s="64">
        <f t="array" ref="ES69">IF(ES$3&gt;'GAAP Summary'!$B$2,0,SUM(INDIRECT(XLOOKUP(ES$3,'TTM Dates'!$B:$B,'TTM Dates'!$E:$E)&amp;ROW($CJ69)&amp;":"&amp;XLOOKUP(ES$3,'TTM Dates'!$B:$B,'TTM Dates'!$C:$C)&amp;ROW($CJ69))))</f>
        <v>8390426</v>
      </c>
      <c r="ET69" s="64">
        <f t="array" ref="ET69">IF(ET$3&gt;'GAAP Summary'!$B$2,0,SUM(INDIRECT(XLOOKUP(ET$3,'TTM Dates'!$B:$B,'TTM Dates'!$E:$E)&amp;ROW($CJ69)&amp;":"&amp;XLOOKUP(ET$3,'TTM Dates'!$B:$B,'TTM Dates'!$C:$C)&amp;ROW($CJ69))))</f>
        <v>8900299</v>
      </c>
      <c r="EU69" s="64">
        <f t="array" ref="EU69">IF(EU$3&gt;'GAAP Summary'!$B$2,0,SUM(INDIRECT(XLOOKUP(EU$3,'TTM Dates'!$B:$B,'TTM Dates'!$E:$E)&amp;ROW($CJ69)&amp;":"&amp;XLOOKUP(EU$3,'TTM Dates'!$B:$B,'TTM Dates'!$C:$C)&amp;ROW($CJ69))))</f>
        <v>9254654</v>
      </c>
      <c r="EV69" s="64">
        <f t="array" ref="EV69">IF(EV$3&gt;'GAAP Summary'!$B$2,0,SUM(INDIRECT(XLOOKUP(EV$3,'TTM Dates'!$B:$B,'TTM Dates'!$E:$E)&amp;ROW($CJ69)&amp;":"&amp;XLOOKUP(EV$3,'TTM Dates'!$B:$B,'TTM Dates'!$C:$C)&amp;ROW($CJ69))))</f>
        <v>9631777</v>
      </c>
      <c r="EW69" s="64">
        <f t="array" ref="EW69">IF(EW$3&gt;'GAAP Summary'!$B$2,0,SUM(INDIRECT(XLOOKUP(EW$3,'TTM Dates'!$B:$B,'TTM Dates'!$E:$E)&amp;ROW($CJ69)&amp;":"&amp;XLOOKUP(EW$3,'TTM Dates'!$B:$B,'TTM Dates'!$C:$C)&amp;ROW($CJ69))))</f>
        <v>10231508</v>
      </c>
      <c r="EX69" s="64">
        <f t="array" ref="EX69">IF(EX$3&gt;'GAAP Summary'!$B$2,0,SUM(INDIRECT(XLOOKUP(EX$3,'TTM Dates'!$B:$B,'TTM Dates'!$E:$E)&amp;ROW($CJ69)&amp;":"&amp;XLOOKUP(EX$3,'TTM Dates'!$B:$B,'TTM Dates'!$C:$C)&amp;ROW($CJ69))))</f>
        <v>10669390</v>
      </c>
      <c r="EY69" s="64">
        <f t="array" ref="EY69">IF(EY$3&gt;'GAAP Summary'!$B$2,0,SUM(INDIRECT(XLOOKUP(EY$3,'TTM Dates'!$B:$B,'TTM Dates'!$E:$E)&amp;ROW($CJ69)&amp;":"&amp;XLOOKUP(EY$3,'TTM Dates'!$B:$B,'TTM Dates'!$C:$C)&amp;ROW($CJ69))))</f>
        <v>11001288</v>
      </c>
      <c r="EZ69" s="64">
        <f t="array" ref="EZ69">IF(EZ$3&gt;'GAAP Summary'!$B$2,0,SUM(INDIRECT(XLOOKUP(EZ$3,'TTM Dates'!$B:$B,'TTM Dates'!$E:$E)&amp;ROW($CJ69)&amp;":"&amp;XLOOKUP(EZ$3,'TTM Dates'!$B:$B,'TTM Dates'!$C:$C)&amp;ROW($CJ69))))</f>
        <v>11203924</v>
      </c>
      <c r="FA69" s="64">
        <f t="array" ref="FA69">IF(FA$3&gt;'GAAP Summary'!$B$2,0,SUM(INDIRECT(XLOOKUP(FA$3,'TTM Dates'!$B:$B,'TTM Dates'!$E:$E)&amp;ROW($CJ69)&amp;":"&amp;XLOOKUP(FA$3,'TTM Dates'!$B:$B,'TTM Dates'!$C:$C)&amp;ROW($CJ69))))</f>
        <v>11490139</v>
      </c>
      <c r="FB69" s="64">
        <f t="array" ref="FB69">IF(FB$3&gt;'GAAP Summary'!$B$2,0,SUM(INDIRECT(XLOOKUP(FB$3,'TTM Dates'!$B:$B,'TTM Dates'!$E:$E)&amp;ROW($CJ69)&amp;":"&amp;XLOOKUP(FB$3,'TTM Dates'!$B:$B,'TTM Dates'!$C:$C)&amp;ROW($CJ69))))</f>
        <v>11625684</v>
      </c>
      <c r="FC69" s="64">
        <f t="array" ref="FC69">IF(FC$3&gt;'GAAP Summary'!$B$2,0,SUM(INDIRECT(XLOOKUP(FC$3,'TTM Dates'!$B:$B,'TTM Dates'!$E:$E)&amp;ROW($CJ69)&amp;":"&amp;XLOOKUP(FC$3,'TTM Dates'!$B:$B,'TTM Dates'!$C:$C)&amp;ROW($CJ69))))</f>
        <v>12186955.86</v>
      </c>
      <c r="FD69" s="64">
        <f t="array" ref="FD69">IF(FD$3&gt;'GAAP Summary'!$B$2,0,SUM(INDIRECT(XLOOKUP(FD$3,'TTM Dates'!$B:$B,'TTM Dates'!$E:$E)&amp;ROW($CJ69)&amp;":"&amp;XLOOKUP(FD$3,'TTM Dates'!$B:$B,'TTM Dates'!$C:$C)&amp;ROW($CJ69))))</f>
        <v>12436121.89</v>
      </c>
      <c r="FE69" s="64">
        <f t="array" ref="FE69">IF(FE$3&gt;'GAAP Summary'!$B$2,0,SUM(INDIRECT(XLOOKUP(FE$3,'TTM Dates'!$B:$B,'TTM Dates'!$E:$E)&amp;ROW($CJ69)&amp;":"&amp;XLOOKUP(FE$3,'TTM Dates'!$B:$B,'TTM Dates'!$C:$C)&amp;ROW($CJ69))))</f>
        <v>12807205.74</v>
      </c>
      <c r="FF69" s="64">
        <f t="array" ref="FF69">IF(FF$3&gt;'GAAP Summary'!$B$2,0,SUM(INDIRECT(XLOOKUP(FF$3,'TTM Dates'!$B:$B,'TTM Dates'!$E:$E)&amp;ROW($CJ69)&amp;":"&amp;XLOOKUP(FF$3,'TTM Dates'!$B:$B,'TTM Dates'!$C:$C)&amp;ROW($CJ69))))</f>
        <v>12909481.72</v>
      </c>
      <c r="FG69" s="64">
        <f t="array" ref="FG69">IF(FG$3&gt;'GAAP Summary'!$B$2,0,SUM(INDIRECT(XLOOKUP(FG$3,'TTM Dates'!$B:$B,'TTM Dates'!$E:$E)&amp;ROW($CJ69)&amp;":"&amp;XLOOKUP(FG$3,'TTM Dates'!$B:$B,'TTM Dates'!$C:$C)&amp;ROW($CJ69))))</f>
        <v>13238310.91</v>
      </c>
      <c r="FH69" s="64">
        <f t="array" ref="FH69">IF(FH$3&gt;'GAAP Summary'!$B$2,0,SUM(INDIRECT(XLOOKUP(FH$3,'TTM Dates'!$B:$B,'TTM Dates'!$E:$E)&amp;ROW($CJ69)&amp;":"&amp;XLOOKUP(FH$3,'TTM Dates'!$B:$B,'TTM Dates'!$C:$C)&amp;ROW($CJ69))))</f>
        <v>13587708.47</v>
      </c>
      <c r="FI69" s="64">
        <f t="array" ref="FI69">IF(FI$3&gt;'GAAP Summary'!$B$2,0,SUM(INDIRECT(XLOOKUP(FI$3,'TTM Dates'!$B:$B,'TTM Dates'!$E:$E)&amp;ROW($CJ69)&amp;":"&amp;XLOOKUP(FI$3,'TTM Dates'!$B:$B,'TTM Dates'!$C:$C)&amp;ROW($CJ69))))</f>
        <v>13534237.33</v>
      </c>
      <c r="FJ69" s="64">
        <f t="array" ref="FJ69">IF(FJ$3&gt;'GAAP Summary'!$B$2,0,SUM(INDIRECT(XLOOKUP(FJ$3,'TTM Dates'!$B:$B,'TTM Dates'!$E:$E)&amp;ROW($CJ69)&amp;":"&amp;XLOOKUP(FJ$3,'TTM Dates'!$B:$B,'TTM Dates'!$C:$C)&amp;ROW($CJ69))))</f>
        <v>13611097.87</v>
      </c>
      <c r="FK69" s="64">
        <f t="array" ref="FK69">IF(FK$3&gt;'GAAP Summary'!$B$2,0,SUM(INDIRECT(XLOOKUP(FK$3,'TTM Dates'!$B:$B,'TTM Dates'!$E:$E)&amp;ROW($CJ69)&amp;":"&amp;XLOOKUP(FK$3,'TTM Dates'!$B:$B,'TTM Dates'!$C:$C)&amp;ROW($CJ69))))</f>
        <v>13773919.36</v>
      </c>
      <c r="FL69" s="64">
        <f t="array" ref="FL69">IF(FL$3&gt;'GAAP Summary'!$B$2,0,SUM(INDIRECT(XLOOKUP(FL$3,'TTM Dates'!$B:$B,'TTM Dates'!$E:$E)&amp;ROW($CJ69)&amp;":"&amp;XLOOKUP(FL$3,'TTM Dates'!$B:$B,'TTM Dates'!$C:$C)&amp;ROW($CJ69))))</f>
        <v>13893951.35</v>
      </c>
      <c r="FM69" s="64">
        <f t="array" ref="FM69">IF(FM$3&gt;'GAAP Summary'!$B$2,0,SUM(INDIRECT(XLOOKUP(FM$3,'TTM Dates'!$B:$B,'TTM Dates'!$E:$E)&amp;ROW($CJ69)&amp;":"&amp;XLOOKUP(FM$3,'TTM Dates'!$B:$B,'TTM Dates'!$C:$C)&amp;ROW($CJ69))))</f>
        <v>13959367.03</v>
      </c>
      <c r="FN69" s="64">
        <f t="array" ref="FN69">IF(FN$3&gt;'GAAP Summary'!$B$2,0,SUM(INDIRECT(XLOOKUP(FN$3,'TTM Dates'!$B:$B,'TTM Dates'!$E:$E)&amp;ROW($CJ69)&amp;":"&amp;XLOOKUP(FN$3,'TTM Dates'!$B:$B,'TTM Dates'!$C:$C)&amp;ROW($CJ69))))</f>
        <v>14210672.11</v>
      </c>
      <c r="FO69" s="64">
        <f t="array" ref="FO69">IF(FO$3&gt;'GAAP Summary'!$B$2,0,SUM(INDIRECT(XLOOKUP(FO$3,'TTM Dates'!$B:$B,'TTM Dates'!$E:$E)&amp;ROW($CJ69)&amp;":"&amp;XLOOKUP(FO$3,'TTM Dates'!$B:$B,'TTM Dates'!$C:$C)&amp;ROW($CJ69))))</f>
        <v>14248414.28</v>
      </c>
      <c r="FP69" s="64">
        <f t="array" ref="FP69">IF(FP$3&gt;'GAAP Summary'!$B$2,0,SUM(INDIRECT(XLOOKUP(FP$3,'TTM Dates'!$B:$B,'TTM Dates'!$E:$E)&amp;ROW($CJ69)&amp;":"&amp;XLOOKUP(FP$3,'TTM Dates'!$B:$B,'TTM Dates'!$C:$C)&amp;ROW($CJ69))))</f>
        <v>14195096.1</v>
      </c>
      <c r="FQ69" s="64">
        <f t="array" ref="FQ69">IF(FQ$3&gt;'GAAP Summary'!$B$2,0,SUM(INDIRECT(XLOOKUP(FQ$3,'TTM Dates'!$B:$B,'TTM Dates'!$E:$E)&amp;ROW($CJ69)&amp;":"&amp;XLOOKUP(FQ$3,'TTM Dates'!$B:$B,'TTM Dates'!$C:$C)&amp;ROW($CJ69))))</f>
        <v>14062418.11</v>
      </c>
      <c r="FR69" s="64">
        <f t="array" ref="FR69">IF(FR$3&gt;'GAAP Summary'!$B$2,0,SUM(INDIRECT(XLOOKUP(FR$3,'TTM Dates'!$B:$B,'TTM Dates'!$E:$E)&amp;ROW($CJ69)&amp;":"&amp;XLOOKUP(FR$3,'TTM Dates'!$B:$B,'TTM Dates'!$C:$C)&amp;ROW($CJ69))))</f>
        <v>14316656.38</v>
      </c>
      <c r="FS69" s="64">
        <f t="array" ref="FS69">IF(FS$3&gt;'GAAP Summary'!$B$2,0,SUM(INDIRECT(XLOOKUP(FS$3,'TTM Dates'!$B:$B,'TTM Dates'!$E:$E)&amp;ROW($CJ69)&amp;":"&amp;XLOOKUP(FS$3,'TTM Dates'!$B:$B,'TTM Dates'!$C:$C)&amp;ROW($CJ69))))</f>
        <v>14503627.88</v>
      </c>
      <c r="FT69" s="64">
        <f t="array" ref="FT69">IF(FT$3&gt;'GAAP Summary'!$B$2,0,SUM(INDIRECT(XLOOKUP(FT$3,'TTM Dates'!$B:$B,'TTM Dates'!$E:$E)&amp;ROW($CJ69)&amp;":"&amp;XLOOKUP(FT$3,'TTM Dates'!$B:$B,'TTM Dates'!$C:$C)&amp;ROW($CJ69))))</f>
        <v>14540661.87</v>
      </c>
      <c r="FU69" s="64">
        <f t="array" ref="FU69">IF(FU$3&gt;'GAAP Summary'!$B$2,0,SUM(INDIRECT(XLOOKUP(FU$3,'TTM Dates'!$B:$B,'TTM Dates'!$E:$E)&amp;ROW($CJ69)&amp;":"&amp;XLOOKUP(FU$3,'TTM Dates'!$B:$B,'TTM Dates'!$C:$C)&amp;ROW($CJ69))))</f>
        <v>14729042.66</v>
      </c>
      <c r="FV69" s="64">
        <f t="array" ref="FV69">IF(FV$3&gt;'GAAP Summary'!$B$2,0,SUM(INDIRECT(XLOOKUP(FV$3,'TTM Dates'!$B:$B,'TTM Dates'!$E:$E)&amp;ROW($CJ69)&amp;":"&amp;XLOOKUP(FV$3,'TTM Dates'!$B:$B,'TTM Dates'!$C:$C)&amp;ROW($CJ69))))</f>
        <v>15150529.12</v>
      </c>
      <c r="FW69" s="64">
        <f t="array" ref="FW69">IF(FW$3&gt;'GAAP Summary'!$B$2,0,SUM(INDIRECT(XLOOKUP(FW$3,'TTM Dates'!$B:$B,'TTM Dates'!$E:$E)&amp;ROW($CJ69)&amp;":"&amp;XLOOKUP(FW$3,'TTM Dates'!$B:$B,'TTM Dates'!$C:$C)&amp;ROW($CJ69))))</f>
        <v>15716572.27</v>
      </c>
      <c r="FX69" s="64">
        <f t="array" ref="FX69">IF(FX$3&gt;'GAAP Summary'!$B$2,0,SUM(INDIRECT(XLOOKUP(FX$3,'TTM Dates'!$B:$B,'TTM Dates'!$E:$E)&amp;ROW($CJ69)&amp;":"&amp;XLOOKUP(FX$3,'TTM Dates'!$B:$B,'TTM Dates'!$C:$C)&amp;ROW($CJ69))))</f>
        <v>16280270.79</v>
      </c>
      <c r="FY69" s="64">
        <f t="array" ref="FY69">IF(FY$3&gt;'GAAP Summary'!$B$2,0,SUM(INDIRECT(XLOOKUP(FY$3,'TTM Dates'!$B:$B,'TTM Dates'!$E:$E)&amp;ROW($CJ69)&amp;":"&amp;XLOOKUP(FY$3,'TTM Dates'!$B:$B,'TTM Dates'!$C:$C)&amp;ROW($CJ69))))</f>
        <v>16639119.59</v>
      </c>
      <c r="FZ69" s="64">
        <f t="array" ref="FZ69">IF(FZ$3&gt;'GAAP Summary'!$B$2,0,SUM(INDIRECT(XLOOKUP(FZ$3,'TTM Dates'!$B:$B,'TTM Dates'!$E:$E)&amp;ROW($CJ69)&amp;":"&amp;XLOOKUP(FZ$3,'TTM Dates'!$B:$B,'TTM Dates'!$C:$C)&amp;ROW($CJ69))))</f>
        <v>16274130.09</v>
      </c>
      <c r="GA69" s="64">
        <f t="array" ref="GA69">IF(GA$3&gt;'GAAP Summary'!$B$2,0,SUM(INDIRECT(XLOOKUP(GA$3,'TTM Dates'!$B:$B,'TTM Dates'!$E:$E)&amp;ROW($CJ69)&amp;":"&amp;XLOOKUP(GA$3,'TTM Dates'!$B:$B,'TTM Dates'!$C:$C)&amp;ROW($CJ69))))</f>
        <v>16678108.28</v>
      </c>
      <c r="GB69" s="64">
        <f t="array" ref="GB69">IF(GB$3&gt;'GAAP Summary'!$B$2,0,SUM(INDIRECT(XLOOKUP(GB$3,'TTM Dates'!$B:$B,'TTM Dates'!$E:$E)&amp;ROW($CJ69)&amp;":"&amp;XLOOKUP(GB$3,'TTM Dates'!$B:$B,'TTM Dates'!$C:$C)&amp;ROW($CJ69))))</f>
        <v>17432218.47</v>
      </c>
      <c r="GC69" s="64">
        <f t="array" ref="GC69">IF(GC$3&gt;'GAAP Summary'!$B$2,0,SUM(INDIRECT(XLOOKUP(GC$3,'TTM Dates'!$B:$B,'TTM Dates'!$E:$E)&amp;ROW($CJ69)&amp;":"&amp;XLOOKUP(GC$3,'TTM Dates'!$B:$B,'TTM Dates'!$C:$C)&amp;ROW($CJ69))))</f>
        <v>18151251.94</v>
      </c>
      <c r="GD69" s="64">
        <f t="array" ref="GD69">IF(GD$3&gt;'GAAP Summary'!$B$2,0,SUM(INDIRECT(XLOOKUP(GD$3,'TTM Dates'!$B:$B,'TTM Dates'!$E:$E)&amp;ROW($CJ69)&amp;":"&amp;XLOOKUP(GD$3,'TTM Dates'!$B:$B,'TTM Dates'!$C:$C)&amp;ROW($CJ69))))</f>
        <v>18438720.21</v>
      </c>
      <c r="GE69" s="64">
        <f t="array" ref="GE69">IF(GE$3&gt;'GAAP Summary'!$B$2,0,SUM(INDIRECT(XLOOKUP(GE$3,'TTM Dates'!$B:$B,'TTM Dates'!$E:$E)&amp;ROW($CJ69)&amp;":"&amp;XLOOKUP(GE$3,'TTM Dates'!$B:$B,'TTM Dates'!$C:$C)&amp;ROW($CJ69))))</f>
        <v>19022473.36</v>
      </c>
      <c r="GF69" s="64">
        <f t="array" ref="GF69">IF(GF$3&gt;'GAAP Summary'!$B$2,0,SUM(INDIRECT(XLOOKUP(GF$3,'TTM Dates'!$B:$B,'TTM Dates'!$E:$E)&amp;ROW($CJ69)&amp;":"&amp;XLOOKUP(GF$3,'TTM Dates'!$B:$B,'TTM Dates'!$C:$C)&amp;ROW($CJ69))))</f>
        <v>19953708.43</v>
      </c>
      <c r="GG69" s="64">
        <f t="array" ref="GG69">IF(GG$3&gt;'GAAP Summary'!$B$2,0,SUM(INDIRECT(XLOOKUP(GG$3,'TTM Dates'!$B:$B,'TTM Dates'!$E:$E)&amp;ROW($CJ69)&amp;":"&amp;XLOOKUP(GG$3,'TTM Dates'!$B:$B,'TTM Dates'!$C:$C)&amp;ROW($CJ69))))</f>
        <v>0</v>
      </c>
      <c r="GH69" s="64">
        <f t="array" ref="GH69">IF(GH$3&gt;'GAAP Summary'!$B$2,0,SUM(INDIRECT(XLOOKUP(GH$3,'TTM Dates'!$B:$B,'TTM Dates'!$E:$E)&amp;ROW($CJ69)&amp;":"&amp;XLOOKUP(GH$3,'TTM Dates'!$B:$B,'TTM Dates'!$C:$C)&amp;ROW($CJ69))))</f>
        <v>0</v>
      </c>
      <c r="GI69" s="64">
        <f t="array" ref="GI69">IF(GI$3&gt;'GAAP Summary'!$B$2,0,SUM(INDIRECT(XLOOKUP(GI$3,'TTM Dates'!$B:$B,'TTM Dates'!$E:$E)&amp;ROW($CJ69)&amp;":"&amp;XLOOKUP(GI$3,'TTM Dates'!$B:$B,'TTM Dates'!$C:$C)&amp;ROW($CJ69))))</f>
        <v>0</v>
      </c>
      <c r="GJ69" s="64">
        <f t="array" ref="GJ69">IF(GJ$3&gt;'GAAP Summary'!$B$2,0,SUM(INDIRECT(XLOOKUP(GJ$3,'TTM Dates'!$B:$B,'TTM Dates'!$E:$E)&amp;ROW($CJ69)&amp;":"&amp;XLOOKUP(GJ$3,'TTM Dates'!$B:$B,'TTM Dates'!$C:$C)&amp;ROW($CJ69))))</f>
        <v>0</v>
      </c>
      <c r="GK69" s="64">
        <f t="array" ref="GK69">IF(GK$3&gt;'GAAP Summary'!$B$2,0,SUM(INDIRECT(XLOOKUP(GK$3,'TTM Dates'!$B:$B,'TTM Dates'!$E:$E)&amp;ROW($CJ69)&amp;":"&amp;XLOOKUP(GK$3,'TTM Dates'!$B:$B,'TTM Dates'!$C:$C)&amp;ROW($CJ69))))</f>
        <v>0</v>
      </c>
      <c r="GL69" s="64">
        <f t="array" ref="GL69">IF(GL$3&gt;'GAAP Summary'!$B$2,0,SUM(INDIRECT(XLOOKUP(GL$3,'TTM Dates'!$B:$B,'TTM Dates'!$E:$E)&amp;ROW($CJ69)&amp;":"&amp;XLOOKUP(GL$3,'TTM Dates'!$B:$B,'TTM Dates'!$C:$C)&amp;ROW($CJ69))))</f>
        <v>0</v>
      </c>
      <c r="GM69" s="64"/>
    </row>
    <row r="70">
      <c r="B70" s="280" t="s">
        <v>294</v>
      </c>
      <c r="C70" s="108">
        <f t="shared" ref="C70:Z70" si="143">SUM(C71:C73)</f>
        <v>0</v>
      </c>
      <c r="D70" s="108">
        <f t="shared" si="143"/>
        <v>0</v>
      </c>
      <c r="E70" s="108">
        <f t="shared" si="143"/>
        <v>0</v>
      </c>
      <c r="F70" s="108">
        <f t="shared" si="143"/>
        <v>0</v>
      </c>
      <c r="G70" s="108">
        <f t="shared" si="143"/>
        <v>0</v>
      </c>
      <c r="H70" s="108">
        <f t="shared" si="143"/>
        <v>0</v>
      </c>
      <c r="I70" s="108">
        <f t="shared" si="143"/>
        <v>0</v>
      </c>
      <c r="J70" s="108">
        <f t="shared" si="143"/>
        <v>0</v>
      </c>
      <c r="K70" s="108">
        <f t="shared" si="143"/>
        <v>0</v>
      </c>
      <c r="L70" s="108">
        <f t="shared" si="143"/>
        <v>0</v>
      </c>
      <c r="M70" s="108">
        <f t="shared" si="143"/>
        <v>0</v>
      </c>
      <c r="N70" s="108">
        <f t="shared" si="143"/>
        <v>0</v>
      </c>
      <c r="O70" s="108">
        <f t="shared" si="143"/>
        <v>0</v>
      </c>
      <c r="P70" s="108">
        <f t="shared" si="143"/>
        <v>0</v>
      </c>
      <c r="Q70" s="108">
        <f t="shared" si="143"/>
        <v>0</v>
      </c>
      <c r="R70" s="108">
        <f t="shared" si="143"/>
        <v>0</v>
      </c>
      <c r="S70" s="108">
        <f t="shared" si="143"/>
        <v>0</v>
      </c>
      <c r="T70" s="108">
        <f t="shared" si="143"/>
        <v>0</v>
      </c>
      <c r="U70" s="108">
        <f t="shared" si="143"/>
        <v>0</v>
      </c>
      <c r="V70" s="108">
        <f t="shared" si="143"/>
        <v>0</v>
      </c>
      <c r="W70" s="108">
        <f t="shared" si="143"/>
        <v>0</v>
      </c>
      <c r="X70" s="108">
        <f t="shared" si="143"/>
        <v>0</v>
      </c>
      <c r="Y70" s="108">
        <f t="shared" si="143"/>
        <v>0</v>
      </c>
      <c r="Z70" s="108">
        <f t="shared" si="143"/>
        <v>0</v>
      </c>
      <c r="AA70" s="352">
        <v>88236.0</v>
      </c>
      <c r="AB70" s="352">
        <v>114630.0</v>
      </c>
      <c r="AC70" s="352">
        <v>102679.0</v>
      </c>
      <c r="AD70" s="352">
        <v>96679.0</v>
      </c>
      <c r="AE70" s="352">
        <v>101159.0</v>
      </c>
      <c r="AF70" s="352">
        <v>106891.0</v>
      </c>
      <c r="AG70" s="352">
        <v>115084.0</v>
      </c>
      <c r="AH70" s="352">
        <v>88548.0</v>
      </c>
      <c r="AI70" s="352">
        <v>150570.0</v>
      </c>
      <c r="AJ70" s="352">
        <v>159203.0</v>
      </c>
      <c r="AK70" s="352">
        <v>236348.0</v>
      </c>
      <c r="AL70" s="352">
        <v>169573.0</v>
      </c>
      <c r="AM70" s="352">
        <v>145164.0</v>
      </c>
      <c r="AN70" s="352">
        <v>131830.0</v>
      </c>
      <c r="AO70" s="352">
        <v>96082.0</v>
      </c>
      <c r="AP70" s="352">
        <v>158825.0</v>
      </c>
      <c r="AQ70" s="352">
        <v>100797.0</v>
      </c>
      <c r="AR70" s="352">
        <v>149868.0</v>
      </c>
      <c r="AS70" s="352">
        <v>130304.0</v>
      </c>
      <c r="AT70" s="352">
        <v>168903.0</v>
      </c>
      <c r="AU70" s="352">
        <v>155356.0</v>
      </c>
      <c r="AV70" s="352">
        <v>150802.0</v>
      </c>
      <c r="AW70" s="352">
        <v>132597.0</v>
      </c>
      <c r="AX70" s="352">
        <v>149474.0</v>
      </c>
      <c r="AY70" s="352">
        <v>156897.0</v>
      </c>
      <c r="AZ70" s="352">
        <v>182877.0</v>
      </c>
      <c r="BA70" s="352">
        <v>193516.0</v>
      </c>
      <c r="BB70" s="352">
        <v>169018.0</v>
      </c>
      <c r="BC70" s="352">
        <v>143886.0</v>
      </c>
      <c r="BD70" s="352">
        <v>130321.0</v>
      </c>
      <c r="BE70" s="352">
        <v>135692.0</v>
      </c>
      <c r="BF70" s="352">
        <v>139356.0</v>
      </c>
      <c r="BG70" s="352">
        <v>250729.0</v>
      </c>
      <c r="BH70" s="352">
        <v>143546.0</v>
      </c>
      <c r="BI70" s="352">
        <v>161291.0</v>
      </c>
      <c r="BJ70" s="352">
        <v>153253.0</v>
      </c>
      <c r="BK70" s="352">
        <v>194896.0</v>
      </c>
      <c r="BL70" s="352">
        <v>160730.0</v>
      </c>
      <c r="BM70" s="352">
        <v>168697.0</v>
      </c>
      <c r="BN70" s="352">
        <v>179355.0</v>
      </c>
      <c r="BO70" s="352">
        <v>170717.0</v>
      </c>
      <c r="BP70" s="352">
        <v>159610.0</v>
      </c>
      <c r="BQ70" s="352">
        <v>184811.0</v>
      </c>
      <c r="BR70" s="352">
        <v>253451.0</v>
      </c>
      <c r="BS70" s="352">
        <v>907972.77</v>
      </c>
      <c r="BT70" s="352">
        <v>728083.67</v>
      </c>
      <c r="BU70" s="352">
        <v>583065.15</v>
      </c>
      <c r="BV70" s="352">
        <v>622004.37</v>
      </c>
      <c r="BW70" s="446">
        <v>778978.06</v>
      </c>
      <c r="BX70" s="446">
        <v>866208.81</v>
      </c>
      <c r="BY70" s="446">
        <v>695908.27</v>
      </c>
      <c r="BZ70" s="446">
        <v>709332.27</v>
      </c>
      <c r="CA70" s="446">
        <v>831959.78</v>
      </c>
      <c r="CB70" s="446">
        <v>1039460.6</v>
      </c>
      <c r="CC70" s="289"/>
      <c r="CD70" s="289"/>
      <c r="CE70" s="289"/>
      <c r="CF70" s="289"/>
      <c r="CG70" s="289"/>
      <c r="CH70" s="289"/>
      <c r="CI70" s="33"/>
      <c r="CJ70" s="33"/>
      <c r="CK70" s="290">
        <f t="array" ref="CK70">SUM(INDIRECT(XLOOKUP('GAAP Summary'!$B$2,'TTM Dates'!$B:$B,'TTM Dates'!$E:$E)&amp;ROW($CJ70)&amp;":"&amp;XLOOKUP('GAAP Summary'!$B$2,'TTM Dates'!$B:$B,'TTM Dates'!$C:$C)&amp;ROW($CJ70)))</f>
        <v>8201235.75</v>
      </c>
      <c r="CL70" s="49"/>
      <c r="CM70" s="108">
        <f t="shared" si="144"/>
        <v>2341095.14</v>
      </c>
      <c r="CN70" s="108">
        <f t="shared" si="145"/>
        <v>2580752.65</v>
      </c>
      <c r="CO70" s="108">
        <f t="shared" si="146"/>
        <v>0</v>
      </c>
      <c r="CP70" s="108">
        <f t="shared" si="147"/>
        <v>0</v>
      </c>
      <c r="CQ70" s="290">
        <f t="shared" si="148"/>
        <v>4921847.79</v>
      </c>
      <c r="CR70" s="108"/>
      <c r="CS70" s="108">
        <f t="shared" si="149"/>
        <v>524323</v>
      </c>
      <c r="CT70" s="108">
        <f t="shared" si="150"/>
        <v>509682</v>
      </c>
      <c r="CU70" s="108">
        <f t="shared" si="151"/>
        <v>1346234.77</v>
      </c>
      <c r="CV70" s="108">
        <f t="shared" si="152"/>
        <v>1933153.19</v>
      </c>
      <c r="CW70" s="282">
        <f t="shared" si="153"/>
        <v>4313392.96</v>
      </c>
      <c r="CX70" s="49"/>
      <c r="CY70" s="108">
        <f t="shared" si="154"/>
        <v>533290</v>
      </c>
      <c r="CZ70" s="108">
        <f t="shared" si="155"/>
        <v>443225</v>
      </c>
      <c r="DA70" s="108">
        <f t="shared" si="156"/>
        <v>525777</v>
      </c>
      <c r="DB70" s="108">
        <f t="shared" si="157"/>
        <v>458090</v>
      </c>
      <c r="DC70" s="282">
        <f t="shared" si="158"/>
        <v>1960382</v>
      </c>
      <c r="DD70" s="283"/>
      <c r="DE70" s="108">
        <f t="shared" si="159"/>
        <v>373076</v>
      </c>
      <c r="DF70" s="108">
        <f t="shared" si="160"/>
        <v>409490</v>
      </c>
      <c r="DG70" s="108">
        <f t="shared" si="161"/>
        <v>454563</v>
      </c>
      <c r="DH70" s="108">
        <f t="shared" si="162"/>
        <v>432873</v>
      </c>
      <c r="DI70" s="282">
        <f t="shared" si="163"/>
        <v>1670002</v>
      </c>
      <c r="DJ70" s="283"/>
      <c r="DK70" s="108">
        <f t="shared" si="164"/>
        <v>305545</v>
      </c>
      <c r="DL70" s="108">
        <f t="shared" si="165"/>
        <v>304729</v>
      </c>
      <c r="DM70" s="108">
        <f t="shared" si="166"/>
        <v>354202</v>
      </c>
      <c r="DN70" s="108">
        <f t="shared" si="167"/>
        <v>565124</v>
      </c>
      <c r="DO70" s="282">
        <f>sum(AA70:AL70)</f>
        <v>1529600</v>
      </c>
      <c r="DP70" s="283"/>
      <c r="DQ70" s="282">
        <f>SUM(O70:Z70)</f>
        <v>0</v>
      </c>
      <c r="DR70" s="136"/>
      <c r="DS70" s="286">
        <f t="array" ref="DS70">IF(DS$3&gt;'GAAP Summary'!$B$2,0,SUM(INDIRECT(XLOOKUP(DS$3,'TTM Dates'!$B:$B,'TTM Dates'!$E:$E)&amp;ROW($CJ70)&amp;":"&amp;XLOOKUP(DS$3,'TTM Dates'!$B:$B,'TTM Dates'!$C:$C)&amp;ROW($CJ70))))</f>
        <v>0</v>
      </c>
      <c r="DT70" s="286">
        <f t="array" ref="DT70">IF(DT$3&gt;'GAAP Summary'!$B$2,0,SUM(INDIRECT(XLOOKUP(DT$3,'TTM Dates'!$B:$B,'TTM Dates'!$E:$E)&amp;ROW($CJ70)&amp;":"&amp;XLOOKUP(DT$3,'TTM Dates'!$B:$B,'TTM Dates'!$C:$C)&amp;ROW($CJ70))))</f>
        <v>0</v>
      </c>
      <c r="DU70" s="286">
        <f t="array" ref="DU70">IF(DU$3&gt;'GAAP Summary'!$B$2,0,SUM(INDIRECT(XLOOKUP(DU$3,'TTM Dates'!$B:$B,'TTM Dates'!$E:$E)&amp;ROW($CJ70)&amp;":"&amp;XLOOKUP(DU$3,'TTM Dates'!$B:$B,'TTM Dates'!$C:$C)&amp;ROW($CJ70))))</f>
        <v>0</v>
      </c>
      <c r="DV70" s="286">
        <f t="array" ref="DV70">IF(DV$3&gt;'GAAP Summary'!$B$2,0,SUM(INDIRECT(XLOOKUP(DV$3,'TTM Dates'!$B:$B,'TTM Dates'!$E:$E)&amp;ROW($CJ70)&amp;":"&amp;XLOOKUP(DV$3,'TTM Dates'!$B:$B,'TTM Dates'!$C:$C)&amp;ROW($CJ70))))</f>
        <v>0</v>
      </c>
      <c r="DW70" s="286">
        <f t="array" ref="DW70">IF(DW$3&gt;'GAAP Summary'!$B$2,0,SUM(INDIRECT(XLOOKUP(DW$3,'TTM Dates'!$B:$B,'TTM Dates'!$E:$E)&amp;ROW($CJ70)&amp;":"&amp;XLOOKUP(DW$3,'TTM Dates'!$B:$B,'TTM Dates'!$C:$C)&amp;ROW($CJ70))))</f>
        <v>0</v>
      </c>
      <c r="DX70" s="286">
        <f t="array" ref="DX70">IF(DX$3&gt;'GAAP Summary'!$B$2,0,SUM(INDIRECT(XLOOKUP(DX$3,'TTM Dates'!$B:$B,'TTM Dates'!$E:$E)&amp;ROW($CJ70)&amp;":"&amp;XLOOKUP(DX$3,'TTM Dates'!$B:$B,'TTM Dates'!$C:$C)&amp;ROW($CJ70))))</f>
        <v>0</v>
      </c>
      <c r="DY70" s="286">
        <f t="array" ref="DY70">IF(DY$3&gt;'GAAP Summary'!$B$2,0,SUM(INDIRECT(XLOOKUP(DY$3,'TTM Dates'!$B:$B,'TTM Dates'!$E:$E)&amp;ROW($CJ70)&amp;":"&amp;XLOOKUP(DY$3,'TTM Dates'!$B:$B,'TTM Dates'!$C:$C)&amp;ROW($CJ70))))</f>
        <v>0</v>
      </c>
      <c r="DZ70" s="286">
        <f t="array" ref="DZ70">IF(DZ$3&gt;'GAAP Summary'!$B$2,0,SUM(INDIRECT(XLOOKUP(DZ$3,'TTM Dates'!$B:$B,'TTM Dates'!$E:$E)&amp;ROW($CJ70)&amp;":"&amp;XLOOKUP(DZ$3,'TTM Dates'!$B:$B,'TTM Dates'!$C:$C)&amp;ROW($CJ70))))</f>
        <v>0</v>
      </c>
      <c r="EA70" s="286">
        <f t="array" ref="EA70">IF(EA$3&gt;'GAAP Summary'!$B$2,0,SUM(INDIRECT(XLOOKUP(EA$3,'TTM Dates'!$B:$B,'TTM Dates'!$E:$E)&amp;ROW($CJ70)&amp;":"&amp;XLOOKUP(EA$3,'TTM Dates'!$B:$B,'TTM Dates'!$C:$C)&amp;ROW($CJ70))))</f>
        <v>0</v>
      </c>
      <c r="EB70" s="286">
        <f t="array" ref="EB70">IF(EB$3&gt;'GAAP Summary'!$B$2,0,SUM(INDIRECT(XLOOKUP(EB$3,'TTM Dates'!$B:$B,'TTM Dates'!$E:$E)&amp;ROW($CJ70)&amp;":"&amp;XLOOKUP(EB$3,'TTM Dates'!$B:$B,'TTM Dates'!$C:$C)&amp;ROW($CJ70))))</f>
        <v>0</v>
      </c>
      <c r="EC70" s="286">
        <f t="array" ref="EC70">IF(EC$3&gt;'GAAP Summary'!$B$2,0,SUM(INDIRECT(XLOOKUP(EC$3,'TTM Dates'!$B:$B,'TTM Dates'!$E:$E)&amp;ROW($CJ70)&amp;":"&amp;XLOOKUP(EC$3,'TTM Dates'!$B:$B,'TTM Dates'!$C:$C)&amp;ROW($CJ70))))</f>
        <v>0</v>
      </c>
      <c r="ED70" s="286">
        <f t="array" ref="ED70">IF(ED$3&gt;'GAAP Summary'!$B$2,0,SUM(INDIRECT(XLOOKUP(ED$3,'TTM Dates'!$B:$B,'TTM Dates'!$E:$E)&amp;ROW($CJ70)&amp;":"&amp;XLOOKUP(ED$3,'TTM Dates'!$B:$B,'TTM Dates'!$C:$C)&amp;ROW($CJ70))))</f>
        <v>0</v>
      </c>
      <c r="EE70" s="286">
        <f t="array" ref="EE70">IF(EE$3&gt;'GAAP Summary'!$B$2,0,SUM(INDIRECT(XLOOKUP(EE$3,'TTM Dates'!$B:$B,'TTM Dates'!$E:$E)&amp;ROW($CJ70)&amp;":"&amp;XLOOKUP(EE$3,'TTM Dates'!$B:$B,'TTM Dates'!$C:$C)&amp;ROW($CJ70))))</f>
        <v>88236</v>
      </c>
      <c r="EF70" s="286">
        <f t="array" ref="EF70">IF(EF$3&gt;'GAAP Summary'!$B$2,0,SUM(INDIRECT(XLOOKUP(EF$3,'TTM Dates'!$B:$B,'TTM Dates'!$E:$E)&amp;ROW($CJ70)&amp;":"&amp;XLOOKUP(EF$3,'TTM Dates'!$B:$B,'TTM Dates'!$C:$C)&amp;ROW($CJ70))))</f>
        <v>202866</v>
      </c>
      <c r="EG70" s="286">
        <f t="array" ref="EG70">IF(EG$3&gt;'GAAP Summary'!$B$2,0,SUM(INDIRECT(XLOOKUP(EG$3,'TTM Dates'!$B:$B,'TTM Dates'!$E:$E)&amp;ROW($CJ70)&amp;":"&amp;XLOOKUP(EG$3,'TTM Dates'!$B:$B,'TTM Dates'!$C:$C)&amp;ROW($CJ70))))</f>
        <v>305545</v>
      </c>
      <c r="EH70" s="286">
        <f t="array" ref="EH70">IF(EH$3&gt;'GAAP Summary'!$B$2,0,SUM(INDIRECT(XLOOKUP(EH$3,'TTM Dates'!$B:$B,'TTM Dates'!$E:$E)&amp;ROW($CJ70)&amp;":"&amp;XLOOKUP(EH$3,'TTM Dates'!$B:$B,'TTM Dates'!$C:$C)&amp;ROW($CJ70))))</f>
        <v>402224</v>
      </c>
      <c r="EI70" s="286">
        <f t="array" ref="EI70">IF(EI$3&gt;'GAAP Summary'!$B$2,0,SUM(INDIRECT(XLOOKUP(EI$3,'TTM Dates'!$B:$B,'TTM Dates'!$E:$E)&amp;ROW($CJ70)&amp;":"&amp;XLOOKUP(EI$3,'TTM Dates'!$B:$B,'TTM Dates'!$C:$C)&amp;ROW($CJ70))))</f>
        <v>503383</v>
      </c>
      <c r="EJ70" s="286">
        <f t="array" ref="EJ70">IF(EJ$3&gt;'GAAP Summary'!$B$2,0,SUM(INDIRECT(XLOOKUP(EJ$3,'TTM Dates'!$B:$B,'TTM Dates'!$E:$E)&amp;ROW($CJ70)&amp;":"&amp;XLOOKUP(EJ$3,'TTM Dates'!$B:$B,'TTM Dates'!$C:$C)&amp;ROW($CJ70))))</f>
        <v>610274</v>
      </c>
      <c r="EK70" s="286">
        <f t="array" ref="EK70">IF(EK$3&gt;'GAAP Summary'!$B$2,0,SUM(INDIRECT(XLOOKUP(EK$3,'TTM Dates'!$B:$B,'TTM Dates'!$E:$E)&amp;ROW($CJ70)&amp;":"&amp;XLOOKUP(EK$3,'TTM Dates'!$B:$B,'TTM Dates'!$C:$C)&amp;ROW($CJ70))))</f>
        <v>725358</v>
      </c>
      <c r="EL70" s="286">
        <f t="array" ref="EL70">IF(EL$3&gt;'GAAP Summary'!$B$2,0,SUM(INDIRECT(XLOOKUP(EL$3,'TTM Dates'!$B:$B,'TTM Dates'!$E:$E)&amp;ROW($CJ70)&amp;":"&amp;XLOOKUP(EL$3,'TTM Dates'!$B:$B,'TTM Dates'!$C:$C)&amp;ROW($CJ70))))</f>
        <v>813906</v>
      </c>
      <c r="EM70" s="286">
        <f t="array" ref="EM70">IF(EM$3&gt;'GAAP Summary'!$B$2,0,SUM(INDIRECT(XLOOKUP(EM$3,'TTM Dates'!$B:$B,'TTM Dates'!$E:$E)&amp;ROW($CJ70)&amp;":"&amp;XLOOKUP(EM$3,'TTM Dates'!$B:$B,'TTM Dates'!$C:$C)&amp;ROW($CJ70))))</f>
        <v>964476</v>
      </c>
      <c r="EN70" s="286">
        <f t="array" ref="EN70">IF(EN$3&gt;'GAAP Summary'!$B$2,0,SUM(INDIRECT(XLOOKUP(EN$3,'TTM Dates'!$B:$B,'TTM Dates'!$E:$E)&amp;ROW($CJ70)&amp;":"&amp;XLOOKUP(EN$3,'TTM Dates'!$B:$B,'TTM Dates'!$C:$C)&amp;ROW($CJ70))))</f>
        <v>1123679</v>
      </c>
      <c r="EO70" s="286">
        <f t="array" ref="EO70">IF(EO$3&gt;'GAAP Summary'!$B$2,0,SUM(INDIRECT(XLOOKUP(EO$3,'TTM Dates'!$B:$B,'TTM Dates'!$E:$E)&amp;ROW($CJ70)&amp;":"&amp;XLOOKUP(EO$3,'TTM Dates'!$B:$B,'TTM Dates'!$C:$C)&amp;ROW($CJ70))))</f>
        <v>1360027</v>
      </c>
      <c r="EP70" s="286">
        <f t="array" ref="EP70">IF(EP$3&gt;'GAAP Summary'!$B$2,0,SUM(INDIRECT(XLOOKUP(EP$3,'TTM Dates'!$B:$B,'TTM Dates'!$E:$E)&amp;ROW($CJ70)&amp;":"&amp;XLOOKUP(EP$3,'TTM Dates'!$B:$B,'TTM Dates'!$C:$C)&amp;ROW($CJ70))))</f>
        <v>1529600</v>
      </c>
      <c r="EQ70" s="286">
        <f t="array" ref="EQ70">IF(EQ$3&gt;'GAAP Summary'!$B$2,0,SUM(INDIRECT(XLOOKUP(EQ$3,'TTM Dates'!$B:$B,'TTM Dates'!$E:$E)&amp;ROW($CJ70)&amp;":"&amp;XLOOKUP(EQ$3,'TTM Dates'!$B:$B,'TTM Dates'!$C:$C)&amp;ROW($CJ70))))</f>
        <v>1586528</v>
      </c>
      <c r="ER70" s="286">
        <f t="array" ref="ER70">IF(ER$3&gt;'GAAP Summary'!$B$2,0,SUM(INDIRECT(XLOOKUP(ER$3,'TTM Dates'!$B:$B,'TTM Dates'!$E:$E)&amp;ROW($CJ70)&amp;":"&amp;XLOOKUP(ER$3,'TTM Dates'!$B:$B,'TTM Dates'!$C:$C)&amp;ROW($CJ70))))</f>
        <v>1603728</v>
      </c>
      <c r="ES70" s="286">
        <f t="array" ref="ES70">IF(ES$3&gt;'GAAP Summary'!$B$2,0,SUM(INDIRECT(XLOOKUP(ES$3,'TTM Dates'!$B:$B,'TTM Dates'!$E:$E)&amp;ROW($CJ70)&amp;":"&amp;XLOOKUP(ES$3,'TTM Dates'!$B:$B,'TTM Dates'!$C:$C)&amp;ROW($CJ70))))</f>
        <v>1597131</v>
      </c>
      <c r="ET70" s="286">
        <f t="array" ref="ET70">IF(ET$3&gt;'GAAP Summary'!$B$2,0,SUM(INDIRECT(XLOOKUP(ET$3,'TTM Dates'!$B:$B,'TTM Dates'!$E:$E)&amp;ROW($CJ70)&amp;":"&amp;XLOOKUP(ET$3,'TTM Dates'!$B:$B,'TTM Dates'!$C:$C)&amp;ROW($CJ70))))</f>
        <v>1659277</v>
      </c>
      <c r="EU70" s="286">
        <f t="array" ref="EU70">IF(EU$3&gt;'GAAP Summary'!$B$2,0,SUM(INDIRECT(XLOOKUP(EU$3,'TTM Dates'!$B:$B,'TTM Dates'!$E:$E)&amp;ROW($CJ70)&amp;":"&amp;XLOOKUP(EU$3,'TTM Dates'!$B:$B,'TTM Dates'!$C:$C)&amp;ROW($CJ70))))</f>
        <v>1658915</v>
      </c>
      <c r="EV70" s="286">
        <f t="array" ref="EV70">IF(EV$3&gt;'GAAP Summary'!$B$2,0,SUM(INDIRECT(XLOOKUP(EV$3,'TTM Dates'!$B:$B,'TTM Dates'!$E:$E)&amp;ROW($CJ70)&amp;":"&amp;XLOOKUP(EV$3,'TTM Dates'!$B:$B,'TTM Dates'!$C:$C)&amp;ROW($CJ70))))</f>
        <v>1701892</v>
      </c>
      <c r="EW70" s="286">
        <f t="array" ref="EW70">IF(EW$3&gt;'GAAP Summary'!$B$2,0,SUM(INDIRECT(XLOOKUP(EW$3,'TTM Dates'!$B:$B,'TTM Dates'!$E:$E)&amp;ROW($CJ70)&amp;":"&amp;XLOOKUP(EW$3,'TTM Dates'!$B:$B,'TTM Dates'!$C:$C)&amp;ROW($CJ70))))</f>
        <v>1717112</v>
      </c>
      <c r="EX70" s="286">
        <f t="array" ref="EX70">IF(EX$3&gt;'GAAP Summary'!$B$2,0,SUM(INDIRECT(XLOOKUP(EX$3,'TTM Dates'!$B:$B,'TTM Dates'!$E:$E)&amp;ROW($CJ70)&amp;":"&amp;XLOOKUP(EX$3,'TTM Dates'!$B:$B,'TTM Dates'!$C:$C)&amp;ROW($CJ70))))</f>
        <v>1797467</v>
      </c>
      <c r="EY70" s="286">
        <f t="array" ref="EY70">IF(EY$3&gt;'GAAP Summary'!$B$2,0,SUM(INDIRECT(XLOOKUP(EY$3,'TTM Dates'!$B:$B,'TTM Dates'!$E:$E)&amp;ROW($CJ70)&amp;":"&amp;XLOOKUP(EY$3,'TTM Dates'!$B:$B,'TTM Dates'!$C:$C)&amp;ROW($CJ70))))</f>
        <v>1802253</v>
      </c>
      <c r="EZ70" s="286">
        <f t="array" ref="EZ70">IF(EZ$3&gt;'GAAP Summary'!$B$2,0,SUM(INDIRECT(XLOOKUP(EZ$3,'TTM Dates'!$B:$B,'TTM Dates'!$E:$E)&amp;ROW($CJ70)&amp;":"&amp;XLOOKUP(EZ$3,'TTM Dates'!$B:$B,'TTM Dates'!$C:$C)&amp;ROW($CJ70))))</f>
        <v>1793852</v>
      </c>
      <c r="FA70" s="286">
        <f t="array" ref="FA70">IF(FA$3&gt;'GAAP Summary'!$B$2,0,SUM(INDIRECT(XLOOKUP(FA$3,'TTM Dates'!$B:$B,'TTM Dates'!$E:$E)&amp;ROW($CJ70)&amp;":"&amp;XLOOKUP(FA$3,'TTM Dates'!$B:$B,'TTM Dates'!$C:$C)&amp;ROW($CJ70))))</f>
        <v>1690101</v>
      </c>
      <c r="FB70" s="286">
        <f t="array" ref="FB70">IF(FB$3&gt;'GAAP Summary'!$B$2,0,SUM(INDIRECT(XLOOKUP(FB$3,'TTM Dates'!$B:$B,'TTM Dates'!$E:$E)&amp;ROW($CJ70)&amp;":"&amp;XLOOKUP(FB$3,'TTM Dates'!$B:$B,'TTM Dates'!$C:$C)&amp;ROW($CJ70))))</f>
        <v>1670002</v>
      </c>
      <c r="FC70" s="286">
        <f t="array" ref="FC70">IF(FC$3&gt;'GAAP Summary'!$B$2,0,SUM(INDIRECT(XLOOKUP(FC$3,'TTM Dates'!$B:$B,'TTM Dates'!$E:$E)&amp;ROW($CJ70)&amp;":"&amp;XLOOKUP(FC$3,'TTM Dates'!$B:$B,'TTM Dates'!$C:$C)&amp;ROW($CJ70))))</f>
        <v>1681735</v>
      </c>
      <c r="FD70" s="286">
        <f t="array" ref="FD70">IF(FD$3&gt;'GAAP Summary'!$B$2,0,SUM(INDIRECT(XLOOKUP(FD$3,'TTM Dates'!$B:$B,'TTM Dates'!$E:$E)&amp;ROW($CJ70)&amp;":"&amp;XLOOKUP(FD$3,'TTM Dates'!$B:$B,'TTM Dates'!$C:$C)&amp;ROW($CJ70))))</f>
        <v>1732782</v>
      </c>
      <c r="FE70" s="286">
        <f t="array" ref="FE70">IF(FE$3&gt;'GAAP Summary'!$B$2,0,SUM(INDIRECT(XLOOKUP(FE$3,'TTM Dates'!$B:$B,'TTM Dates'!$E:$E)&amp;ROW($CJ70)&amp;":"&amp;XLOOKUP(FE$3,'TTM Dates'!$B:$B,'TTM Dates'!$C:$C)&amp;ROW($CJ70))))</f>
        <v>1830216</v>
      </c>
      <c r="FF70" s="286">
        <f t="array" ref="FF70">IF(FF$3&gt;'GAAP Summary'!$B$2,0,SUM(INDIRECT(XLOOKUP(FF$3,'TTM Dates'!$B:$B,'TTM Dates'!$E:$E)&amp;ROW($CJ70)&amp;":"&amp;XLOOKUP(FF$3,'TTM Dates'!$B:$B,'TTM Dates'!$C:$C)&amp;ROW($CJ70))))</f>
        <v>1840409</v>
      </c>
      <c r="FG70" s="286">
        <f t="array" ref="FG70">IF(FG$3&gt;'GAAP Summary'!$B$2,0,SUM(INDIRECT(XLOOKUP(FG$3,'TTM Dates'!$B:$B,'TTM Dates'!$E:$E)&amp;ROW($CJ70)&amp;":"&amp;XLOOKUP(FG$3,'TTM Dates'!$B:$B,'TTM Dates'!$C:$C)&amp;ROW($CJ70))))</f>
        <v>1883498</v>
      </c>
      <c r="FH70" s="286">
        <f t="array" ref="FH70">IF(FH$3&gt;'GAAP Summary'!$B$2,0,SUM(INDIRECT(XLOOKUP(FH$3,'TTM Dates'!$B:$B,'TTM Dates'!$E:$E)&amp;ROW($CJ70)&amp;":"&amp;XLOOKUP(FH$3,'TTM Dates'!$B:$B,'TTM Dates'!$C:$C)&amp;ROW($CJ70))))</f>
        <v>1863951</v>
      </c>
      <c r="FI70" s="286">
        <f t="array" ref="FI70">IF(FI$3&gt;'GAAP Summary'!$B$2,0,SUM(INDIRECT(XLOOKUP(FI$3,'TTM Dates'!$B:$B,'TTM Dates'!$E:$E)&amp;ROW($CJ70)&amp;":"&amp;XLOOKUP(FI$3,'TTM Dates'!$B:$B,'TTM Dates'!$C:$C)&amp;ROW($CJ70))))</f>
        <v>1869339</v>
      </c>
      <c r="FJ70" s="286">
        <f t="array" ref="FJ70">IF(FJ$3&gt;'GAAP Summary'!$B$2,0,SUM(INDIRECT(XLOOKUP(FJ$3,'TTM Dates'!$B:$B,'TTM Dates'!$E:$E)&amp;ROW($CJ70)&amp;":"&amp;XLOOKUP(FJ$3,'TTM Dates'!$B:$B,'TTM Dates'!$C:$C)&amp;ROW($CJ70))))</f>
        <v>1839792</v>
      </c>
      <c r="FK70" s="286">
        <f t="array" ref="FK70">IF(FK$3&gt;'GAAP Summary'!$B$2,0,SUM(INDIRECT(XLOOKUP(FK$3,'TTM Dates'!$B:$B,'TTM Dates'!$E:$E)&amp;ROW($CJ70)&amp;":"&amp;XLOOKUP(FK$3,'TTM Dates'!$B:$B,'TTM Dates'!$C:$C)&amp;ROW($CJ70))))</f>
        <v>1935165</v>
      </c>
      <c r="FL70" s="286">
        <f t="array" ref="FL70">IF(FL$3&gt;'GAAP Summary'!$B$2,0,SUM(INDIRECT(XLOOKUP(FL$3,'TTM Dates'!$B:$B,'TTM Dates'!$E:$E)&amp;ROW($CJ70)&amp;":"&amp;XLOOKUP(FL$3,'TTM Dates'!$B:$B,'TTM Dates'!$C:$C)&amp;ROW($CJ70))))</f>
        <v>1927909</v>
      </c>
      <c r="FM70" s="286">
        <f t="array" ref="FM70">IF(FM$3&gt;'GAAP Summary'!$B$2,0,SUM(INDIRECT(XLOOKUP(FM$3,'TTM Dates'!$B:$B,'TTM Dates'!$E:$E)&amp;ROW($CJ70)&amp;":"&amp;XLOOKUP(FM$3,'TTM Dates'!$B:$B,'TTM Dates'!$C:$C)&amp;ROW($CJ70))))</f>
        <v>1956603</v>
      </c>
      <c r="FN70" s="286">
        <f t="array" ref="FN70">IF(FN$3&gt;'GAAP Summary'!$B$2,0,SUM(INDIRECT(XLOOKUP(FN$3,'TTM Dates'!$B:$B,'TTM Dates'!$E:$E)&amp;ROW($CJ70)&amp;":"&amp;XLOOKUP(FN$3,'TTM Dates'!$B:$B,'TTM Dates'!$C:$C)&amp;ROW($CJ70))))</f>
        <v>1960382</v>
      </c>
      <c r="FO70" s="286">
        <f t="array" ref="FO70">IF(FO$3&gt;'GAAP Summary'!$B$2,0,SUM(INDIRECT(XLOOKUP(FO$3,'TTM Dates'!$B:$B,'TTM Dates'!$E:$E)&amp;ROW($CJ70)&amp;":"&amp;XLOOKUP(FO$3,'TTM Dates'!$B:$B,'TTM Dates'!$C:$C)&amp;ROW($CJ70))))</f>
        <v>1998381</v>
      </c>
      <c r="FP70" s="286">
        <f t="array" ref="FP70">IF(FP$3&gt;'GAAP Summary'!$B$2,0,SUM(INDIRECT(XLOOKUP(FP$3,'TTM Dates'!$B:$B,'TTM Dates'!$E:$E)&amp;ROW($CJ70)&amp;":"&amp;XLOOKUP(FP$3,'TTM Dates'!$B:$B,'TTM Dates'!$C:$C)&amp;ROW($CJ70))))</f>
        <v>1976234</v>
      </c>
      <c r="FQ70" s="286">
        <f t="array" ref="FQ70">IF(FQ$3&gt;'GAAP Summary'!$B$2,0,SUM(INDIRECT(XLOOKUP(FQ$3,'TTM Dates'!$B:$B,'TTM Dates'!$E:$E)&amp;ROW($CJ70)&amp;":"&amp;XLOOKUP(FQ$3,'TTM Dates'!$B:$B,'TTM Dates'!$C:$C)&amp;ROW($CJ70))))</f>
        <v>1951415</v>
      </c>
      <c r="FR70" s="286">
        <f t="array" ref="FR70">IF(FR$3&gt;'GAAP Summary'!$B$2,0,SUM(INDIRECT(XLOOKUP(FR$3,'TTM Dates'!$B:$B,'TTM Dates'!$E:$E)&amp;ROW($CJ70)&amp;":"&amp;XLOOKUP(FR$3,'TTM Dates'!$B:$B,'TTM Dates'!$C:$C)&amp;ROW($CJ70))))</f>
        <v>1961752</v>
      </c>
      <c r="FS70" s="286">
        <f t="array" ref="FS70">IF(FS$3&gt;'GAAP Summary'!$B$2,0,SUM(INDIRECT(XLOOKUP(FS$3,'TTM Dates'!$B:$B,'TTM Dates'!$E:$E)&amp;ROW($CJ70)&amp;":"&amp;XLOOKUP(FS$3,'TTM Dates'!$B:$B,'TTM Dates'!$C:$C)&amp;ROW($CJ70))))</f>
        <v>1988583</v>
      </c>
      <c r="FT70" s="286">
        <f t="array" ref="FT70">IF(FT$3&gt;'GAAP Summary'!$B$2,0,SUM(INDIRECT(XLOOKUP(FT$3,'TTM Dates'!$B:$B,'TTM Dates'!$E:$E)&amp;ROW($CJ70)&amp;":"&amp;XLOOKUP(FT$3,'TTM Dates'!$B:$B,'TTM Dates'!$C:$C)&amp;ROW($CJ70))))</f>
        <v>2017872</v>
      </c>
      <c r="FU70" s="286">
        <f t="array" ref="FU70">IF(FU$3&gt;'GAAP Summary'!$B$2,0,SUM(INDIRECT(XLOOKUP(FU$3,'TTM Dates'!$B:$B,'TTM Dates'!$E:$E)&amp;ROW($CJ70)&amp;":"&amp;XLOOKUP(FU$3,'TTM Dates'!$B:$B,'TTM Dates'!$C:$C)&amp;ROW($CJ70))))</f>
        <v>2066991</v>
      </c>
      <c r="FV70" s="286">
        <f t="array" ref="FV70">IF(FV$3&gt;'GAAP Summary'!$B$2,0,SUM(INDIRECT(XLOOKUP(FV$3,'TTM Dates'!$B:$B,'TTM Dates'!$E:$E)&amp;ROW($CJ70)&amp;":"&amp;XLOOKUP(FV$3,'TTM Dates'!$B:$B,'TTM Dates'!$C:$C)&amp;ROW($CJ70))))</f>
        <v>2181086</v>
      </c>
      <c r="FW70" s="286">
        <f t="array" ref="FW70">IF(FW$3&gt;'GAAP Summary'!$B$2,0,SUM(INDIRECT(XLOOKUP(FW$3,'TTM Dates'!$B:$B,'TTM Dates'!$E:$E)&amp;ROW($CJ70)&amp;":"&amp;XLOOKUP(FW$3,'TTM Dates'!$B:$B,'TTM Dates'!$C:$C)&amp;ROW($CJ70))))</f>
        <v>2838329.77</v>
      </c>
      <c r="FX70" s="286">
        <f t="array" ref="FX70">IF(FX$3&gt;'GAAP Summary'!$B$2,0,SUM(INDIRECT(XLOOKUP(FX$3,'TTM Dates'!$B:$B,'TTM Dates'!$E:$E)&amp;ROW($CJ70)&amp;":"&amp;XLOOKUP(FX$3,'TTM Dates'!$B:$B,'TTM Dates'!$C:$C)&amp;ROW($CJ70))))</f>
        <v>3422867.44</v>
      </c>
      <c r="FY70" s="286">
        <f t="array" ref="FY70">IF(FY$3&gt;'GAAP Summary'!$B$2,0,SUM(INDIRECT(XLOOKUP(FY$3,'TTM Dates'!$B:$B,'TTM Dates'!$E:$E)&amp;ROW($CJ70)&amp;":"&amp;XLOOKUP(FY$3,'TTM Dates'!$B:$B,'TTM Dates'!$C:$C)&amp;ROW($CJ70))))</f>
        <v>3844641.59</v>
      </c>
      <c r="FZ70" s="286">
        <f t="array" ref="FZ70">IF(FZ$3&gt;'GAAP Summary'!$B$2,0,SUM(INDIRECT(XLOOKUP(FZ$3,'TTM Dates'!$B:$B,'TTM Dates'!$E:$E)&amp;ROW($CJ70)&amp;":"&amp;XLOOKUP(FZ$3,'TTM Dates'!$B:$B,'TTM Dates'!$C:$C)&amp;ROW($CJ70))))</f>
        <v>4313392.96</v>
      </c>
      <c r="GA70" s="286">
        <f t="array" ref="GA70">IF(GA$3&gt;'GAAP Summary'!$B$2,0,SUM(INDIRECT(XLOOKUP(GA$3,'TTM Dates'!$B:$B,'TTM Dates'!$E:$E)&amp;ROW($CJ70)&amp;":"&amp;XLOOKUP(GA$3,'TTM Dates'!$B:$B,'TTM Dates'!$C:$C)&amp;ROW($CJ70))))</f>
        <v>4897475.02</v>
      </c>
      <c r="GB70" s="286">
        <f t="array" ref="GB70">IF(GB$3&gt;'GAAP Summary'!$B$2,0,SUM(INDIRECT(XLOOKUP(GB$3,'TTM Dates'!$B:$B,'TTM Dates'!$E:$E)&amp;ROW($CJ70)&amp;":"&amp;XLOOKUP(GB$3,'TTM Dates'!$B:$B,'TTM Dates'!$C:$C)&amp;ROW($CJ70))))</f>
        <v>5602953.83</v>
      </c>
      <c r="GC70" s="286">
        <f t="array" ref="GC70">IF(GC$3&gt;'GAAP Summary'!$B$2,0,SUM(INDIRECT(XLOOKUP(GC$3,'TTM Dates'!$B:$B,'TTM Dates'!$E:$E)&amp;ROW($CJ70)&amp;":"&amp;XLOOKUP(GC$3,'TTM Dates'!$B:$B,'TTM Dates'!$C:$C)&amp;ROW($CJ70))))</f>
        <v>6130165.1</v>
      </c>
      <c r="GD70" s="286">
        <f t="array" ref="GD70">IF(GD$3&gt;'GAAP Summary'!$B$2,0,SUM(INDIRECT(XLOOKUP(GD$3,'TTM Dates'!$B:$B,'TTM Dates'!$E:$E)&amp;ROW($CJ70)&amp;":"&amp;XLOOKUP(GD$3,'TTM Dates'!$B:$B,'TTM Dates'!$C:$C)&amp;ROW($CJ70))))</f>
        <v>6660142.37</v>
      </c>
      <c r="GE70" s="286">
        <f t="array" ref="GE70">IF(GE$3&gt;'GAAP Summary'!$B$2,0,SUM(INDIRECT(XLOOKUP(GE$3,'TTM Dates'!$B:$B,'TTM Dates'!$E:$E)&amp;ROW($CJ70)&amp;":"&amp;XLOOKUP(GE$3,'TTM Dates'!$B:$B,'TTM Dates'!$C:$C)&amp;ROW($CJ70))))</f>
        <v>7321385.15</v>
      </c>
      <c r="GF70" s="286">
        <f t="array" ref="GF70">IF(GF$3&gt;'GAAP Summary'!$B$2,0,SUM(INDIRECT(XLOOKUP(GF$3,'TTM Dates'!$B:$B,'TTM Dates'!$E:$E)&amp;ROW($CJ70)&amp;":"&amp;XLOOKUP(GF$3,'TTM Dates'!$B:$B,'TTM Dates'!$C:$C)&amp;ROW($CJ70))))</f>
        <v>8201235.75</v>
      </c>
      <c r="GG70" s="286">
        <f t="array" ref="GG70">IF(GG$3&gt;'GAAP Summary'!$B$2,0,SUM(INDIRECT(XLOOKUP(GG$3,'TTM Dates'!$B:$B,'TTM Dates'!$E:$E)&amp;ROW($CJ70)&amp;":"&amp;XLOOKUP(GG$3,'TTM Dates'!$B:$B,'TTM Dates'!$C:$C)&amp;ROW($CJ70))))</f>
        <v>0</v>
      </c>
      <c r="GH70" s="286">
        <f t="array" ref="GH70">IF(GH$3&gt;'GAAP Summary'!$B$2,0,SUM(INDIRECT(XLOOKUP(GH$3,'TTM Dates'!$B:$B,'TTM Dates'!$E:$E)&amp;ROW($CJ70)&amp;":"&amp;XLOOKUP(GH$3,'TTM Dates'!$B:$B,'TTM Dates'!$C:$C)&amp;ROW($CJ70))))</f>
        <v>0</v>
      </c>
      <c r="GI70" s="286">
        <f t="array" ref="GI70">IF(GI$3&gt;'GAAP Summary'!$B$2,0,SUM(INDIRECT(XLOOKUP(GI$3,'TTM Dates'!$B:$B,'TTM Dates'!$E:$E)&amp;ROW($CJ70)&amp;":"&amp;XLOOKUP(GI$3,'TTM Dates'!$B:$B,'TTM Dates'!$C:$C)&amp;ROW($CJ70))))</f>
        <v>0</v>
      </c>
      <c r="GJ70" s="286">
        <f t="array" ref="GJ70">IF(GJ$3&gt;'GAAP Summary'!$B$2,0,SUM(INDIRECT(XLOOKUP(GJ$3,'TTM Dates'!$B:$B,'TTM Dates'!$E:$E)&amp;ROW($CJ70)&amp;":"&amp;XLOOKUP(GJ$3,'TTM Dates'!$B:$B,'TTM Dates'!$C:$C)&amp;ROW($CJ70))))</f>
        <v>0</v>
      </c>
      <c r="GK70" s="286">
        <f t="array" ref="GK70">IF(GK$3&gt;'GAAP Summary'!$B$2,0,SUM(INDIRECT(XLOOKUP(GK$3,'TTM Dates'!$B:$B,'TTM Dates'!$E:$E)&amp;ROW($CJ70)&amp;":"&amp;XLOOKUP(GK$3,'TTM Dates'!$B:$B,'TTM Dates'!$C:$C)&amp;ROW($CJ70))))</f>
        <v>0</v>
      </c>
      <c r="GL70" s="286">
        <f t="array" ref="GL70">IF(GL$3&gt;'GAAP Summary'!$B$2,0,SUM(INDIRECT(XLOOKUP(GL$3,'TTM Dates'!$B:$B,'TTM Dates'!$E:$E)&amp;ROW($CJ70)&amp;":"&amp;XLOOKUP(GL$3,'TTM Dates'!$B:$B,'TTM Dates'!$C:$C)&amp;ROW($CJ70))))</f>
        <v>0</v>
      </c>
      <c r="GM70" s="286"/>
    </row>
    <row r="71" outlineLevel="1">
      <c r="B71" s="135" t="s">
        <v>506</v>
      </c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7"/>
      <c r="AN71" s="136"/>
      <c r="AO71" s="136"/>
      <c r="AP71" s="136"/>
      <c r="AQ71" s="136"/>
      <c r="AR71" s="136"/>
      <c r="AS71" s="136"/>
      <c r="AT71" s="137"/>
      <c r="AU71" s="137"/>
      <c r="AV71" s="137"/>
      <c r="AW71" s="137"/>
      <c r="AX71" s="337"/>
      <c r="AY71" s="337"/>
      <c r="AZ71" s="337"/>
      <c r="BA71" s="337"/>
      <c r="BB71" s="337"/>
      <c r="BC71" s="337"/>
      <c r="BD71" s="337"/>
      <c r="BE71" s="337"/>
      <c r="BF71" s="337"/>
      <c r="BG71" s="337"/>
      <c r="BH71" s="337"/>
      <c r="BI71" s="337"/>
      <c r="BJ71" s="337"/>
      <c r="BK71" s="337"/>
      <c r="BL71" s="337"/>
      <c r="BM71" s="337"/>
      <c r="BN71" s="337"/>
      <c r="BO71" s="337"/>
      <c r="BP71" s="337"/>
      <c r="BQ71" s="337"/>
      <c r="BR71" s="337"/>
      <c r="BS71" s="337"/>
      <c r="BT71" s="337"/>
      <c r="BU71" s="337"/>
      <c r="BV71" s="337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33"/>
      <c r="CJ71" s="33"/>
      <c r="CK71" s="303">
        <f t="array" ref="CK71">SUM(INDIRECT(XLOOKUP('GAAP Summary'!$B$2,'TTM Dates'!$B:$B,'TTM Dates'!$E:$E)&amp;ROW($CJ71)&amp;":"&amp;XLOOKUP('GAAP Summary'!$B$2,'TTM Dates'!$B:$B,'TTM Dates'!$C:$C)&amp;ROW($CJ71)))</f>
        <v>0</v>
      </c>
      <c r="CL71" s="49"/>
      <c r="CM71" s="136">
        <f t="shared" si="144"/>
        <v>0</v>
      </c>
      <c r="CN71" s="136">
        <f t="shared" si="145"/>
        <v>0</v>
      </c>
      <c r="CO71" s="136">
        <f t="shared" si="146"/>
        <v>0</v>
      </c>
      <c r="CP71" s="136">
        <f t="shared" si="147"/>
        <v>0</v>
      </c>
      <c r="CQ71" s="339">
        <f t="shared" si="148"/>
        <v>0</v>
      </c>
      <c r="CR71" s="136"/>
      <c r="CS71" s="136">
        <f t="shared" si="149"/>
        <v>0</v>
      </c>
      <c r="CT71" s="136">
        <f t="shared" si="150"/>
        <v>0</v>
      </c>
      <c r="CU71" s="136">
        <f t="shared" si="151"/>
        <v>0</v>
      </c>
      <c r="CV71" s="136">
        <f t="shared" si="152"/>
        <v>0</v>
      </c>
      <c r="CW71" s="292">
        <f t="shared" si="153"/>
        <v>0</v>
      </c>
      <c r="CX71" s="49"/>
      <c r="CY71" s="136">
        <f t="shared" si="154"/>
        <v>0</v>
      </c>
      <c r="CZ71" s="136">
        <f t="shared" si="155"/>
        <v>0</v>
      </c>
      <c r="DA71" s="136">
        <f t="shared" si="156"/>
        <v>0</v>
      </c>
      <c r="DB71" s="136">
        <f t="shared" si="157"/>
        <v>0</v>
      </c>
      <c r="DC71" s="292">
        <f t="shared" si="158"/>
        <v>0</v>
      </c>
      <c r="DD71" s="136"/>
      <c r="DE71" s="136">
        <f t="shared" si="159"/>
        <v>0</v>
      </c>
      <c r="DF71" s="136">
        <f t="shared" si="160"/>
        <v>0</v>
      </c>
      <c r="DG71" s="136">
        <f t="shared" si="161"/>
        <v>0</v>
      </c>
      <c r="DH71" s="136">
        <f t="shared" si="162"/>
        <v>0</v>
      </c>
      <c r="DI71" s="292">
        <f t="shared" si="163"/>
        <v>0</v>
      </c>
      <c r="DJ71" s="136"/>
      <c r="DK71" s="136"/>
      <c r="DL71" s="136"/>
      <c r="DM71" s="136"/>
      <c r="DN71" s="136"/>
      <c r="DO71" s="292"/>
      <c r="DP71" s="136"/>
      <c r="DQ71" s="292"/>
      <c r="DR71" s="136"/>
      <c r="DS71" s="136">
        <f t="array" ref="DS71">IF(DS$3&gt;'GAAP Summary'!$B$2,0,SUM(INDIRECT(XLOOKUP(DS$3,'TTM Dates'!$B:$B,'TTM Dates'!$E:$E)&amp;ROW($CJ71)&amp;":"&amp;XLOOKUP(DS$3,'TTM Dates'!$B:$B,'TTM Dates'!$C:$C)&amp;ROW($CJ71))))</f>
        <v>0</v>
      </c>
      <c r="DT71" s="136">
        <f t="array" ref="DT71">IF(DT$3&gt;'GAAP Summary'!$B$2,0,SUM(INDIRECT(XLOOKUP(DT$3,'TTM Dates'!$B:$B,'TTM Dates'!$E:$E)&amp;ROW($CJ71)&amp;":"&amp;XLOOKUP(DT$3,'TTM Dates'!$B:$B,'TTM Dates'!$C:$C)&amp;ROW($CJ71))))</f>
        <v>0</v>
      </c>
      <c r="DU71" s="136">
        <f t="array" ref="DU71">IF(DU$3&gt;'GAAP Summary'!$B$2,0,SUM(INDIRECT(XLOOKUP(DU$3,'TTM Dates'!$B:$B,'TTM Dates'!$E:$E)&amp;ROW($CJ71)&amp;":"&amp;XLOOKUP(DU$3,'TTM Dates'!$B:$B,'TTM Dates'!$C:$C)&amp;ROW($CJ71))))</f>
        <v>0</v>
      </c>
      <c r="DV71" s="136">
        <f t="array" ref="DV71">IF(DV$3&gt;'GAAP Summary'!$B$2,0,SUM(INDIRECT(XLOOKUP(DV$3,'TTM Dates'!$B:$B,'TTM Dates'!$E:$E)&amp;ROW($CJ71)&amp;":"&amp;XLOOKUP(DV$3,'TTM Dates'!$B:$B,'TTM Dates'!$C:$C)&amp;ROW($CJ71))))</f>
        <v>0</v>
      </c>
      <c r="DW71" s="136">
        <f t="array" ref="DW71">IF(DW$3&gt;'GAAP Summary'!$B$2,0,SUM(INDIRECT(XLOOKUP(DW$3,'TTM Dates'!$B:$B,'TTM Dates'!$E:$E)&amp;ROW($CJ71)&amp;":"&amp;XLOOKUP(DW$3,'TTM Dates'!$B:$B,'TTM Dates'!$C:$C)&amp;ROW($CJ71))))</f>
        <v>0</v>
      </c>
      <c r="DX71" s="136">
        <f t="array" ref="DX71">IF(DX$3&gt;'GAAP Summary'!$B$2,0,SUM(INDIRECT(XLOOKUP(DX$3,'TTM Dates'!$B:$B,'TTM Dates'!$E:$E)&amp;ROW($CJ71)&amp;":"&amp;XLOOKUP(DX$3,'TTM Dates'!$B:$B,'TTM Dates'!$C:$C)&amp;ROW($CJ71))))</f>
        <v>0</v>
      </c>
      <c r="DY71" s="136">
        <f t="array" ref="DY71">IF(DY$3&gt;'GAAP Summary'!$B$2,0,SUM(INDIRECT(XLOOKUP(DY$3,'TTM Dates'!$B:$B,'TTM Dates'!$E:$E)&amp;ROW($CJ71)&amp;":"&amp;XLOOKUP(DY$3,'TTM Dates'!$B:$B,'TTM Dates'!$C:$C)&amp;ROW($CJ71))))</f>
        <v>0</v>
      </c>
      <c r="DZ71" s="136">
        <f t="array" ref="DZ71">IF(DZ$3&gt;'GAAP Summary'!$B$2,0,SUM(INDIRECT(XLOOKUP(DZ$3,'TTM Dates'!$B:$B,'TTM Dates'!$E:$E)&amp;ROW($CJ71)&amp;":"&amp;XLOOKUP(DZ$3,'TTM Dates'!$B:$B,'TTM Dates'!$C:$C)&amp;ROW($CJ71))))</f>
        <v>0</v>
      </c>
      <c r="EA71" s="136">
        <f t="array" ref="EA71">IF(EA$3&gt;'GAAP Summary'!$B$2,0,SUM(INDIRECT(XLOOKUP(EA$3,'TTM Dates'!$B:$B,'TTM Dates'!$E:$E)&amp;ROW($CJ71)&amp;":"&amp;XLOOKUP(EA$3,'TTM Dates'!$B:$B,'TTM Dates'!$C:$C)&amp;ROW($CJ71))))</f>
        <v>0</v>
      </c>
      <c r="EB71" s="136">
        <f t="array" ref="EB71">IF(EB$3&gt;'GAAP Summary'!$B$2,0,SUM(INDIRECT(XLOOKUP(EB$3,'TTM Dates'!$B:$B,'TTM Dates'!$E:$E)&amp;ROW($CJ71)&amp;":"&amp;XLOOKUP(EB$3,'TTM Dates'!$B:$B,'TTM Dates'!$C:$C)&amp;ROW($CJ71))))</f>
        <v>0</v>
      </c>
      <c r="EC71" s="136">
        <f t="array" ref="EC71">IF(EC$3&gt;'GAAP Summary'!$B$2,0,SUM(INDIRECT(XLOOKUP(EC$3,'TTM Dates'!$B:$B,'TTM Dates'!$E:$E)&amp;ROW($CJ71)&amp;":"&amp;XLOOKUP(EC$3,'TTM Dates'!$B:$B,'TTM Dates'!$C:$C)&amp;ROW($CJ71))))</f>
        <v>0</v>
      </c>
      <c r="ED71" s="136">
        <f t="array" ref="ED71">IF(ED$3&gt;'GAAP Summary'!$B$2,0,SUM(INDIRECT(XLOOKUP(ED$3,'TTM Dates'!$B:$B,'TTM Dates'!$E:$E)&amp;ROW($CJ71)&amp;":"&amp;XLOOKUP(ED$3,'TTM Dates'!$B:$B,'TTM Dates'!$C:$C)&amp;ROW($CJ71))))</f>
        <v>0</v>
      </c>
      <c r="EE71" s="136">
        <f t="array" ref="EE71">IF(EE$3&gt;'GAAP Summary'!$B$2,0,SUM(INDIRECT(XLOOKUP(EE$3,'TTM Dates'!$B:$B,'TTM Dates'!$E:$E)&amp;ROW($CJ71)&amp;":"&amp;XLOOKUP(EE$3,'TTM Dates'!$B:$B,'TTM Dates'!$C:$C)&amp;ROW($CJ71))))</f>
        <v>0</v>
      </c>
      <c r="EF71" s="136">
        <f t="array" ref="EF71">IF(EF$3&gt;'GAAP Summary'!$B$2,0,SUM(INDIRECT(XLOOKUP(EF$3,'TTM Dates'!$B:$B,'TTM Dates'!$E:$E)&amp;ROW($CJ71)&amp;":"&amp;XLOOKUP(EF$3,'TTM Dates'!$B:$B,'TTM Dates'!$C:$C)&amp;ROW($CJ71))))</f>
        <v>0</v>
      </c>
      <c r="EG71" s="136">
        <f t="array" ref="EG71">IF(EG$3&gt;'GAAP Summary'!$B$2,0,SUM(INDIRECT(XLOOKUP(EG$3,'TTM Dates'!$B:$B,'TTM Dates'!$E:$E)&amp;ROW($CJ71)&amp;":"&amp;XLOOKUP(EG$3,'TTM Dates'!$B:$B,'TTM Dates'!$C:$C)&amp;ROW($CJ71))))</f>
        <v>0</v>
      </c>
      <c r="EH71" s="136">
        <f t="array" ref="EH71">IF(EH$3&gt;'GAAP Summary'!$B$2,0,SUM(INDIRECT(XLOOKUP(EH$3,'TTM Dates'!$B:$B,'TTM Dates'!$E:$E)&amp;ROW($CJ71)&amp;":"&amp;XLOOKUP(EH$3,'TTM Dates'!$B:$B,'TTM Dates'!$C:$C)&amp;ROW($CJ71))))</f>
        <v>0</v>
      </c>
      <c r="EI71" s="136">
        <f t="array" ref="EI71">IF(EI$3&gt;'GAAP Summary'!$B$2,0,SUM(INDIRECT(XLOOKUP(EI$3,'TTM Dates'!$B:$B,'TTM Dates'!$E:$E)&amp;ROW($CJ71)&amp;":"&amp;XLOOKUP(EI$3,'TTM Dates'!$B:$B,'TTM Dates'!$C:$C)&amp;ROW($CJ71))))</f>
        <v>0</v>
      </c>
      <c r="EJ71" s="136">
        <f t="array" ref="EJ71">IF(EJ$3&gt;'GAAP Summary'!$B$2,0,SUM(INDIRECT(XLOOKUP(EJ$3,'TTM Dates'!$B:$B,'TTM Dates'!$E:$E)&amp;ROW($CJ71)&amp;":"&amp;XLOOKUP(EJ$3,'TTM Dates'!$B:$B,'TTM Dates'!$C:$C)&amp;ROW($CJ71))))</f>
        <v>0</v>
      </c>
      <c r="EK71" s="136">
        <f t="array" ref="EK71">IF(EK$3&gt;'GAAP Summary'!$B$2,0,SUM(INDIRECT(XLOOKUP(EK$3,'TTM Dates'!$B:$B,'TTM Dates'!$E:$E)&amp;ROW($CJ71)&amp;":"&amp;XLOOKUP(EK$3,'TTM Dates'!$B:$B,'TTM Dates'!$C:$C)&amp;ROW($CJ71))))</f>
        <v>0</v>
      </c>
      <c r="EL71" s="136">
        <f t="array" ref="EL71">IF(EL$3&gt;'GAAP Summary'!$B$2,0,SUM(INDIRECT(XLOOKUP(EL$3,'TTM Dates'!$B:$B,'TTM Dates'!$E:$E)&amp;ROW($CJ71)&amp;":"&amp;XLOOKUP(EL$3,'TTM Dates'!$B:$B,'TTM Dates'!$C:$C)&amp;ROW($CJ71))))</f>
        <v>0</v>
      </c>
      <c r="EM71" s="136">
        <f t="array" ref="EM71">IF(EM$3&gt;'GAAP Summary'!$B$2,0,SUM(INDIRECT(XLOOKUP(EM$3,'TTM Dates'!$B:$B,'TTM Dates'!$E:$E)&amp;ROW($CJ71)&amp;":"&amp;XLOOKUP(EM$3,'TTM Dates'!$B:$B,'TTM Dates'!$C:$C)&amp;ROW($CJ71))))</f>
        <v>0</v>
      </c>
      <c r="EN71" s="136">
        <f t="array" ref="EN71">IF(EN$3&gt;'GAAP Summary'!$B$2,0,SUM(INDIRECT(XLOOKUP(EN$3,'TTM Dates'!$B:$B,'TTM Dates'!$E:$E)&amp;ROW($CJ71)&amp;":"&amp;XLOOKUP(EN$3,'TTM Dates'!$B:$B,'TTM Dates'!$C:$C)&amp;ROW($CJ71))))</f>
        <v>0</v>
      </c>
      <c r="EO71" s="136">
        <f t="array" ref="EO71">IF(EO$3&gt;'GAAP Summary'!$B$2,0,SUM(INDIRECT(XLOOKUP(EO$3,'TTM Dates'!$B:$B,'TTM Dates'!$E:$E)&amp;ROW($CJ71)&amp;":"&amp;XLOOKUP(EO$3,'TTM Dates'!$B:$B,'TTM Dates'!$C:$C)&amp;ROW($CJ71))))</f>
        <v>0</v>
      </c>
      <c r="EP71" s="136">
        <f t="array" ref="EP71">IF(EP$3&gt;'GAAP Summary'!$B$2,0,SUM(INDIRECT(XLOOKUP(EP$3,'TTM Dates'!$B:$B,'TTM Dates'!$E:$E)&amp;ROW($CJ71)&amp;":"&amp;XLOOKUP(EP$3,'TTM Dates'!$B:$B,'TTM Dates'!$C:$C)&amp;ROW($CJ71))))</f>
        <v>0</v>
      </c>
      <c r="EQ71" s="136">
        <f t="array" ref="EQ71">IF(EQ$3&gt;'GAAP Summary'!$B$2,0,SUM(INDIRECT(XLOOKUP(EQ$3,'TTM Dates'!$B:$B,'TTM Dates'!$E:$E)&amp;ROW($CJ71)&amp;":"&amp;XLOOKUP(EQ$3,'TTM Dates'!$B:$B,'TTM Dates'!$C:$C)&amp;ROW($CJ71))))</f>
        <v>0</v>
      </c>
      <c r="ER71" s="136">
        <f t="array" ref="ER71">IF(ER$3&gt;'GAAP Summary'!$B$2,0,SUM(INDIRECT(XLOOKUP(ER$3,'TTM Dates'!$B:$B,'TTM Dates'!$E:$E)&amp;ROW($CJ71)&amp;":"&amp;XLOOKUP(ER$3,'TTM Dates'!$B:$B,'TTM Dates'!$C:$C)&amp;ROW($CJ71))))</f>
        <v>0</v>
      </c>
      <c r="ES71" s="136">
        <f t="array" ref="ES71">IF(ES$3&gt;'GAAP Summary'!$B$2,0,SUM(INDIRECT(XLOOKUP(ES$3,'TTM Dates'!$B:$B,'TTM Dates'!$E:$E)&amp;ROW($CJ71)&amp;":"&amp;XLOOKUP(ES$3,'TTM Dates'!$B:$B,'TTM Dates'!$C:$C)&amp;ROW($CJ71))))</f>
        <v>0</v>
      </c>
      <c r="ET71" s="136">
        <f t="array" ref="ET71">IF(ET$3&gt;'GAAP Summary'!$B$2,0,SUM(INDIRECT(XLOOKUP(ET$3,'TTM Dates'!$B:$B,'TTM Dates'!$E:$E)&amp;ROW($CJ71)&amp;":"&amp;XLOOKUP(ET$3,'TTM Dates'!$B:$B,'TTM Dates'!$C:$C)&amp;ROW($CJ71))))</f>
        <v>0</v>
      </c>
      <c r="EU71" s="136">
        <f t="array" ref="EU71">IF(EU$3&gt;'GAAP Summary'!$B$2,0,SUM(INDIRECT(XLOOKUP(EU$3,'TTM Dates'!$B:$B,'TTM Dates'!$E:$E)&amp;ROW($CJ71)&amp;":"&amp;XLOOKUP(EU$3,'TTM Dates'!$B:$B,'TTM Dates'!$C:$C)&amp;ROW($CJ71))))</f>
        <v>0</v>
      </c>
      <c r="EV71" s="136">
        <f t="array" ref="EV71">IF(EV$3&gt;'GAAP Summary'!$B$2,0,SUM(INDIRECT(XLOOKUP(EV$3,'TTM Dates'!$B:$B,'TTM Dates'!$E:$E)&amp;ROW($CJ71)&amp;":"&amp;XLOOKUP(EV$3,'TTM Dates'!$B:$B,'TTM Dates'!$C:$C)&amp;ROW($CJ71))))</f>
        <v>0</v>
      </c>
      <c r="EW71" s="136">
        <f t="array" ref="EW71">IF(EW$3&gt;'GAAP Summary'!$B$2,0,SUM(INDIRECT(XLOOKUP(EW$3,'TTM Dates'!$B:$B,'TTM Dates'!$E:$E)&amp;ROW($CJ71)&amp;":"&amp;XLOOKUP(EW$3,'TTM Dates'!$B:$B,'TTM Dates'!$C:$C)&amp;ROW($CJ71))))</f>
        <v>0</v>
      </c>
      <c r="EX71" s="136">
        <f t="array" ref="EX71">IF(EX$3&gt;'GAAP Summary'!$B$2,0,SUM(INDIRECT(XLOOKUP(EX$3,'TTM Dates'!$B:$B,'TTM Dates'!$E:$E)&amp;ROW($CJ71)&amp;":"&amp;XLOOKUP(EX$3,'TTM Dates'!$B:$B,'TTM Dates'!$C:$C)&amp;ROW($CJ71))))</f>
        <v>0</v>
      </c>
      <c r="EY71" s="136">
        <f t="array" ref="EY71">IF(EY$3&gt;'GAAP Summary'!$B$2,0,SUM(INDIRECT(XLOOKUP(EY$3,'TTM Dates'!$B:$B,'TTM Dates'!$E:$E)&amp;ROW($CJ71)&amp;":"&amp;XLOOKUP(EY$3,'TTM Dates'!$B:$B,'TTM Dates'!$C:$C)&amp;ROW($CJ71))))</f>
        <v>0</v>
      </c>
      <c r="EZ71" s="136">
        <f t="array" ref="EZ71">IF(EZ$3&gt;'GAAP Summary'!$B$2,0,SUM(INDIRECT(XLOOKUP(EZ$3,'TTM Dates'!$B:$B,'TTM Dates'!$E:$E)&amp;ROW($CJ71)&amp;":"&amp;XLOOKUP(EZ$3,'TTM Dates'!$B:$B,'TTM Dates'!$C:$C)&amp;ROW($CJ71))))</f>
        <v>0</v>
      </c>
      <c r="FA71" s="136">
        <f t="array" ref="FA71">IF(FA$3&gt;'GAAP Summary'!$B$2,0,SUM(INDIRECT(XLOOKUP(FA$3,'TTM Dates'!$B:$B,'TTM Dates'!$E:$E)&amp;ROW($CJ71)&amp;":"&amp;XLOOKUP(FA$3,'TTM Dates'!$B:$B,'TTM Dates'!$C:$C)&amp;ROW($CJ71))))</f>
        <v>0</v>
      </c>
      <c r="FB71" s="136">
        <f t="array" ref="FB71">IF(FB$3&gt;'GAAP Summary'!$B$2,0,SUM(INDIRECT(XLOOKUP(FB$3,'TTM Dates'!$B:$B,'TTM Dates'!$E:$E)&amp;ROW($CJ71)&amp;":"&amp;XLOOKUP(FB$3,'TTM Dates'!$B:$B,'TTM Dates'!$C:$C)&amp;ROW($CJ71))))</f>
        <v>0</v>
      </c>
      <c r="FC71" s="136">
        <f t="array" ref="FC71">IF(FC$3&gt;'GAAP Summary'!$B$2,0,SUM(INDIRECT(XLOOKUP(FC$3,'TTM Dates'!$B:$B,'TTM Dates'!$E:$E)&amp;ROW($CJ71)&amp;":"&amp;XLOOKUP(FC$3,'TTM Dates'!$B:$B,'TTM Dates'!$C:$C)&amp;ROW($CJ71))))</f>
        <v>0</v>
      </c>
      <c r="FD71" s="136">
        <f t="array" ref="FD71">IF(FD$3&gt;'GAAP Summary'!$B$2,0,SUM(INDIRECT(XLOOKUP(FD$3,'TTM Dates'!$B:$B,'TTM Dates'!$E:$E)&amp;ROW($CJ71)&amp;":"&amp;XLOOKUP(FD$3,'TTM Dates'!$B:$B,'TTM Dates'!$C:$C)&amp;ROW($CJ71))))</f>
        <v>0</v>
      </c>
      <c r="FE71" s="136">
        <f t="array" ref="FE71">IF(FE$3&gt;'GAAP Summary'!$B$2,0,SUM(INDIRECT(XLOOKUP(FE$3,'TTM Dates'!$B:$B,'TTM Dates'!$E:$E)&amp;ROW($CJ71)&amp;":"&amp;XLOOKUP(FE$3,'TTM Dates'!$B:$B,'TTM Dates'!$C:$C)&amp;ROW($CJ71))))</f>
        <v>0</v>
      </c>
      <c r="FF71" s="136">
        <f t="array" ref="FF71">IF(FF$3&gt;'GAAP Summary'!$B$2,0,SUM(INDIRECT(XLOOKUP(FF$3,'TTM Dates'!$B:$B,'TTM Dates'!$E:$E)&amp;ROW($CJ71)&amp;":"&amp;XLOOKUP(FF$3,'TTM Dates'!$B:$B,'TTM Dates'!$C:$C)&amp;ROW($CJ71))))</f>
        <v>0</v>
      </c>
      <c r="FG71" s="136">
        <f t="array" ref="FG71">IF(FG$3&gt;'GAAP Summary'!$B$2,0,SUM(INDIRECT(XLOOKUP(FG$3,'TTM Dates'!$B:$B,'TTM Dates'!$E:$E)&amp;ROW($CJ71)&amp;":"&amp;XLOOKUP(FG$3,'TTM Dates'!$B:$B,'TTM Dates'!$C:$C)&amp;ROW($CJ71))))</f>
        <v>0</v>
      </c>
      <c r="FH71" s="136">
        <f t="array" ref="FH71">IF(FH$3&gt;'GAAP Summary'!$B$2,0,SUM(INDIRECT(XLOOKUP(FH$3,'TTM Dates'!$B:$B,'TTM Dates'!$E:$E)&amp;ROW($CJ71)&amp;":"&amp;XLOOKUP(FH$3,'TTM Dates'!$B:$B,'TTM Dates'!$C:$C)&amp;ROW($CJ71))))</f>
        <v>0</v>
      </c>
      <c r="FI71" s="136">
        <f t="array" ref="FI71">IF(FI$3&gt;'GAAP Summary'!$B$2,0,SUM(INDIRECT(XLOOKUP(FI$3,'TTM Dates'!$B:$B,'TTM Dates'!$E:$E)&amp;ROW($CJ71)&amp;":"&amp;XLOOKUP(FI$3,'TTM Dates'!$B:$B,'TTM Dates'!$C:$C)&amp;ROW($CJ71))))</f>
        <v>0</v>
      </c>
      <c r="FJ71" s="136">
        <f t="array" ref="FJ71">IF(FJ$3&gt;'GAAP Summary'!$B$2,0,SUM(INDIRECT(XLOOKUP(FJ$3,'TTM Dates'!$B:$B,'TTM Dates'!$E:$E)&amp;ROW($CJ71)&amp;":"&amp;XLOOKUP(FJ$3,'TTM Dates'!$B:$B,'TTM Dates'!$C:$C)&amp;ROW($CJ71))))</f>
        <v>0</v>
      </c>
      <c r="FK71" s="136">
        <f t="array" ref="FK71">IF(FK$3&gt;'GAAP Summary'!$B$2,0,SUM(INDIRECT(XLOOKUP(FK$3,'TTM Dates'!$B:$B,'TTM Dates'!$E:$E)&amp;ROW($CJ71)&amp;":"&amp;XLOOKUP(FK$3,'TTM Dates'!$B:$B,'TTM Dates'!$C:$C)&amp;ROW($CJ71))))</f>
        <v>0</v>
      </c>
      <c r="FL71" s="136">
        <f t="array" ref="FL71">IF(FL$3&gt;'GAAP Summary'!$B$2,0,SUM(INDIRECT(XLOOKUP(FL$3,'TTM Dates'!$B:$B,'TTM Dates'!$E:$E)&amp;ROW($CJ71)&amp;":"&amp;XLOOKUP(FL$3,'TTM Dates'!$B:$B,'TTM Dates'!$C:$C)&amp;ROW($CJ71))))</f>
        <v>0</v>
      </c>
      <c r="FM71" s="136">
        <f t="array" ref="FM71">IF(FM$3&gt;'GAAP Summary'!$B$2,0,SUM(INDIRECT(XLOOKUP(FM$3,'TTM Dates'!$B:$B,'TTM Dates'!$E:$E)&amp;ROW($CJ71)&amp;":"&amp;XLOOKUP(FM$3,'TTM Dates'!$B:$B,'TTM Dates'!$C:$C)&amp;ROW($CJ71))))</f>
        <v>0</v>
      </c>
      <c r="FN71" s="136">
        <f t="array" ref="FN71">IF(FN$3&gt;'GAAP Summary'!$B$2,0,SUM(INDIRECT(XLOOKUP(FN$3,'TTM Dates'!$B:$B,'TTM Dates'!$E:$E)&amp;ROW($CJ71)&amp;":"&amp;XLOOKUP(FN$3,'TTM Dates'!$B:$B,'TTM Dates'!$C:$C)&amp;ROW($CJ71))))</f>
        <v>0</v>
      </c>
      <c r="FO71" s="136">
        <f t="array" ref="FO71">IF(FO$3&gt;'GAAP Summary'!$B$2,0,SUM(INDIRECT(XLOOKUP(FO$3,'TTM Dates'!$B:$B,'TTM Dates'!$E:$E)&amp;ROW($CJ71)&amp;":"&amp;XLOOKUP(FO$3,'TTM Dates'!$B:$B,'TTM Dates'!$C:$C)&amp;ROW($CJ71))))</f>
        <v>0</v>
      </c>
      <c r="FP71" s="136">
        <f t="array" ref="FP71">IF(FP$3&gt;'GAAP Summary'!$B$2,0,SUM(INDIRECT(XLOOKUP(FP$3,'TTM Dates'!$B:$B,'TTM Dates'!$E:$E)&amp;ROW($CJ71)&amp;":"&amp;XLOOKUP(FP$3,'TTM Dates'!$B:$B,'TTM Dates'!$C:$C)&amp;ROW($CJ71))))</f>
        <v>0</v>
      </c>
      <c r="FQ71" s="136">
        <f t="array" ref="FQ71">IF(FQ$3&gt;'GAAP Summary'!$B$2,0,SUM(INDIRECT(XLOOKUP(FQ$3,'TTM Dates'!$B:$B,'TTM Dates'!$E:$E)&amp;ROW($CJ71)&amp;":"&amp;XLOOKUP(FQ$3,'TTM Dates'!$B:$B,'TTM Dates'!$C:$C)&amp;ROW($CJ71))))</f>
        <v>0</v>
      </c>
      <c r="FR71" s="136">
        <f t="array" ref="FR71">IF(FR$3&gt;'GAAP Summary'!$B$2,0,SUM(INDIRECT(XLOOKUP(FR$3,'TTM Dates'!$B:$B,'TTM Dates'!$E:$E)&amp;ROW($CJ71)&amp;":"&amp;XLOOKUP(FR$3,'TTM Dates'!$B:$B,'TTM Dates'!$C:$C)&amp;ROW($CJ71))))</f>
        <v>0</v>
      </c>
      <c r="FS71" s="136">
        <f t="array" ref="FS71">IF(FS$3&gt;'GAAP Summary'!$B$2,0,SUM(INDIRECT(XLOOKUP(FS$3,'TTM Dates'!$B:$B,'TTM Dates'!$E:$E)&amp;ROW($CJ71)&amp;":"&amp;XLOOKUP(FS$3,'TTM Dates'!$B:$B,'TTM Dates'!$C:$C)&amp;ROW($CJ71))))</f>
        <v>0</v>
      </c>
      <c r="FT71" s="136">
        <f t="array" ref="FT71">IF(FT$3&gt;'GAAP Summary'!$B$2,0,SUM(INDIRECT(XLOOKUP(FT$3,'TTM Dates'!$B:$B,'TTM Dates'!$E:$E)&amp;ROW($CJ71)&amp;":"&amp;XLOOKUP(FT$3,'TTM Dates'!$B:$B,'TTM Dates'!$C:$C)&amp;ROW($CJ71))))</f>
        <v>0</v>
      </c>
      <c r="FU71" s="136">
        <f t="array" ref="FU71">IF(FU$3&gt;'GAAP Summary'!$B$2,0,SUM(INDIRECT(XLOOKUP(FU$3,'TTM Dates'!$B:$B,'TTM Dates'!$E:$E)&amp;ROW($CJ71)&amp;":"&amp;XLOOKUP(FU$3,'TTM Dates'!$B:$B,'TTM Dates'!$C:$C)&amp;ROW($CJ71))))</f>
        <v>0</v>
      </c>
      <c r="FV71" s="136">
        <f t="array" ref="FV71">IF(FV$3&gt;'GAAP Summary'!$B$2,0,SUM(INDIRECT(XLOOKUP(FV$3,'TTM Dates'!$B:$B,'TTM Dates'!$E:$E)&amp;ROW($CJ71)&amp;":"&amp;XLOOKUP(FV$3,'TTM Dates'!$B:$B,'TTM Dates'!$C:$C)&amp;ROW($CJ71))))</f>
        <v>0</v>
      </c>
      <c r="FW71" s="136">
        <f t="array" ref="FW71">IF(FW$3&gt;'GAAP Summary'!$B$2,0,SUM(INDIRECT(XLOOKUP(FW$3,'TTM Dates'!$B:$B,'TTM Dates'!$E:$E)&amp;ROW($CJ71)&amp;":"&amp;XLOOKUP(FW$3,'TTM Dates'!$B:$B,'TTM Dates'!$C:$C)&amp;ROW($CJ71))))</f>
        <v>0</v>
      </c>
      <c r="FX71" s="136">
        <f t="array" ref="FX71">IF(FX$3&gt;'GAAP Summary'!$B$2,0,SUM(INDIRECT(XLOOKUP(FX$3,'TTM Dates'!$B:$B,'TTM Dates'!$E:$E)&amp;ROW($CJ71)&amp;":"&amp;XLOOKUP(FX$3,'TTM Dates'!$B:$B,'TTM Dates'!$C:$C)&amp;ROW($CJ71))))</f>
        <v>0</v>
      </c>
      <c r="FY71" s="136">
        <f t="array" ref="FY71">IF(FY$3&gt;'GAAP Summary'!$B$2,0,SUM(INDIRECT(XLOOKUP(FY$3,'TTM Dates'!$B:$B,'TTM Dates'!$E:$E)&amp;ROW($CJ71)&amp;":"&amp;XLOOKUP(FY$3,'TTM Dates'!$B:$B,'TTM Dates'!$C:$C)&amp;ROW($CJ71))))</f>
        <v>0</v>
      </c>
      <c r="FZ71" s="136">
        <f t="array" ref="FZ71">IF(FZ$3&gt;'GAAP Summary'!$B$2,0,SUM(INDIRECT(XLOOKUP(FZ$3,'TTM Dates'!$B:$B,'TTM Dates'!$E:$E)&amp;ROW($CJ71)&amp;":"&amp;XLOOKUP(FZ$3,'TTM Dates'!$B:$B,'TTM Dates'!$C:$C)&amp;ROW($CJ71))))</f>
        <v>0</v>
      </c>
      <c r="GA71" s="136">
        <f t="array" ref="GA71">IF(GA$3&gt;'GAAP Summary'!$B$2,0,SUM(INDIRECT(XLOOKUP(GA$3,'TTM Dates'!$B:$B,'TTM Dates'!$E:$E)&amp;ROW($CJ71)&amp;":"&amp;XLOOKUP(GA$3,'TTM Dates'!$B:$B,'TTM Dates'!$C:$C)&amp;ROW($CJ71))))</f>
        <v>0</v>
      </c>
      <c r="GB71" s="136">
        <f t="array" ref="GB71">IF(GB$3&gt;'GAAP Summary'!$B$2,0,SUM(INDIRECT(XLOOKUP(GB$3,'TTM Dates'!$B:$B,'TTM Dates'!$E:$E)&amp;ROW($CJ71)&amp;":"&amp;XLOOKUP(GB$3,'TTM Dates'!$B:$B,'TTM Dates'!$C:$C)&amp;ROW($CJ71))))</f>
        <v>0</v>
      </c>
      <c r="GC71" s="136">
        <f t="array" ref="GC71">IF(GC$3&gt;'GAAP Summary'!$B$2,0,SUM(INDIRECT(XLOOKUP(GC$3,'TTM Dates'!$B:$B,'TTM Dates'!$E:$E)&amp;ROW($CJ71)&amp;":"&amp;XLOOKUP(GC$3,'TTM Dates'!$B:$B,'TTM Dates'!$C:$C)&amp;ROW($CJ71))))</f>
        <v>0</v>
      </c>
      <c r="GD71" s="136">
        <f t="array" ref="GD71">IF(GD$3&gt;'GAAP Summary'!$B$2,0,SUM(INDIRECT(XLOOKUP(GD$3,'TTM Dates'!$B:$B,'TTM Dates'!$E:$E)&amp;ROW($CJ71)&amp;":"&amp;XLOOKUP(GD$3,'TTM Dates'!$B:$B,'TTM Dates'!$C:$C)&amp;ROW($CJ71))))</f>
        <v>0</v>
      </c>
      <c r="GE71" s="136">
        <f t="array" ref="GE71">IF(GE$3&gt;'GAAP Summary'!$B$2,0,SUM(INDIRECT(XLOOKUP(GE$3,'TTM Dates'!$B:$B,'TTM Dates'!$E:$E)&amp;ROW($CJ71)&amp;":"&amp;XLOOKUP(GE$3,'TTM Dates'!$B:$B,'TTM Dates'!$C:$C)&amp;ROW($CJ71))))</f>
        <v>0</v>
      </c>
      <c r="GF71" s="136">
        <f t="array" ref="GF71">IF(GF$3&gt;'GAAP Summary'!$B$2,0,SUM(INDIRECT(XLOOKUP(GF$3,'TTM Dates'!$B:$B,'TTM Dates'!$E:$E)&amp;ROW($CJ71)&amp;":"&amp;XLOOKUP(GF$3,'TTM Dates'!$B:$B,'TTM Dates'!$C:$C)&amp;ROW($CJ71))))</f>
        <v>0</v>
      </c>
      <c r="GG71" s="136">
        <f t="array" ref="GG71">IF(GG$3&gt;'GAAP Summary'!$B$2,0,SUM(INDIRECT(XLOOKUP(GG$3,'TTM Dates'!$B:$B,'TTM Dates'!$E:$E)&amp;ROW($CJ71)&amp;":"&amp;XLOOKUP(GG$3,'TTM Dates'!$B:$B,'TTM Dates'!$C:$C)&amp;ROW($CJ71))))</f>
        <v>0</v>
      </c>
      <c r="GH71" s="136">
        <f t="array" ref="GH71">IF(GH$3&gt;'GAAP Summary'!$B$2,0,SUM(INDIRECT(XLOOKUP(GH$3,'TTM Dates'!$B:$B,'TTM Dates'!$E:$E)&amp;ROW($CJ71)&amp;":"&amp;XLOOKUP(GH$3,'TTM Dates'!$B:$B,'TTM Dates'!$C:$C)&amp;ROW($CJ71))))</f>
        <v>0</v>
      </c>
      <c r="GI71" s="136">
        <f t="array" ref="GI71">IF(GI$3&gt;'GAAP Summary'!$B$2,0,SUM(INDIRECT(XLOOKUP(GI$3,'TTM Dates'!$B:$B,'TTM Dates'!$E:$E)&amp;ROW($CJ71)&amp;":"&amp;XLOOKUP(GI$3,'TTM Dates'!$B:$B,'TTM Dates'!$C:$C)&amp;ROW($CJ71))))</f>
        <v>0</v>
      </c>
      <c r="GJ71" s="136">
        <f t="array" ref="GJ71">IF(GJ$3&gt;'GAAP Summary'!$B$2,0,SUM(INDIRECT(XLOOKUP(GJ$3,'TTM Dates'!$B:$B,'TTM Dates'!$E:$E)&amp;ROW($CJ71)&amp;":"&amp;XLOOKUP(GJ$3,'TTM Dates'!$B:$B,'TTM Dates'!$C:$C)&amp;ROW($CJ71))))</f>
        <v>0</v>
      </c>
      <c r="GK71" s="136">
        <f t="array" ref="GK71">IF(GK$3&gt;'GAAP Summary'!$B$2,0,SUM(INDIRECT(XLOOKUP(GK$3,'TTM Dates'!$B:$B,'TTM Dates'!$E:$E)&amp;ROW($CJ71)&amp;":"&amp;XLOOKUP(GK$3,'TTM Dates'!$B:$B,'TTM Dates'!$C:$C)&amp;ROW($CJ71))))</f>
        <v>0</v>
      </c>
      <c r="GL71" s="136">
        <f t="array" ref="GL71">IF(GL$3&gt;'GAAP Summary'!$B$2,0,SUM(INDIRECT(XLOOKUP(GL$3,'TTM Dates'!$B:$B,'TTM Dates'!$E:$E)&amp;ROW($CJ71)&amp;":"&amp;XLOOKUP(GL$3,'TTM Dates'!$B:$B,'TTM Dates'!$C:$C)&amp;ROW($CJ71))))</f>
        <v>0</v>
      </c>
      <c r="GM71" s="136"/>
    </row>
    <row r="72" outlineLevel="1">
      <c r="B72" s="135" t="s">
        <v>508</v>
      </c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7"/>
      <c r="AN72" s="136"/>
      <c r="AO72" s="136"/>
      <c r="AP72" s="136"/>
      <c r="AQ72" s="136"/>
      <c r="AR72" s="136"/>
      <c r="AS72" s="136"/>
      <c r="AT72" s="137"/>
      <c r="AU72" s="137"/>
      <c r="AV72" s="137"/>
      <c r="AW72" s="137"/>
      <c r="AX72" s="337"/>
      <c r="AY72" s="337"/>
      <c r="AZ72" s="337"/>
      <c r="BA72" s="337"/>
      <c r="BB72" s="337"/>
      <c r="BC72" s="337"/>
      <c r="BD72" s="337"/>
      <c r="BE72" s="337"/>
      <c r="BF72" s="337"/>
      <c r="BG72" s="337"/>
      <c r="BH72" s="337"/>
      <c r="BI72" s="337"/>
      <c r="BJ72" s="337"/>
      <c r="BK72" s="337"/>
      <c r="BL72" s="337"/>
      <c r="BM72" s="337"/>
      <c r="BN72" s="337"/>
      <c r="BO72" s="337"/>
      <c r="BP72" s="337"/>
      <c r="BQ72" s="337"/>
      <c r="BR72" s="337"/>
      <c r="BS72" s="337"/>
      <c r="BT72" s="337"/>
      <c r="BU72" s="337"/>
      <c r="BV72" s="337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33"/>
      <c r="CJ72" s="33"/>
      <c r="CK72" s="303">
        <f t="array" ref="CK72">SUM(INDIRECT(XLOOKUP('GAAP Summary'!$B$2,'TTM Dates'!$B:$B,'TTM Dates'!$E:$E)&amp;ROW($CJ72)&amp;":"&amp;XLOOKUP('GAAP Summary'!$B$2,'TTM Dates'!$B:$B,'TTM Dates'!$C:$C)&amp;ROW($CJ72)))</f>
        <v>0</v>
      </c>
      <c r="CL72" s="351"/>
      <c r="CM72" s="136">
        <f t="shared" si="144"/>
        <v>0</v>
      </c>
      <c r="CN72" s="136">
        <f t="shared" si="145"/>
        <v>0</v>
      </c>
      <c r="CO72" s="136">
        <f t="shared" si="146"/>
        <v>0</v>
      </c>
      <c r="CP72" s="136">
        <f t="shared" si="147"/>
        <v>0</v>
      </c>
      <c r="CQ72" s="339">
        <f t="shared" si="148"/>
        <v>0</v>
      </c>
      <c r="CR72" s="136"/>
      <c r="CS72" s="136">
        <f t="shared" si="149"/>
        <v>0</v>
      </c>
      <c r="CT72" s="136">
        <f t="shared" si="150"/>
        <v>0</v>
      </c>
      <c r="CU72" s="136">
        <f t="shared" si="151"/>
        <v>0</v>
      </c>
      <c r="CV72" s="136">
        <f t="shared" si="152"/>
        <v>0</v>
      </c>
      <c r="CW72" s="292">
        <f t="shared" si="153"/>
        <v>0</v>
      </c>
      <c r="CX72" s="351"/>
      <c r="CY72" s="136">
        <f t="shared" si="154"/>
        <v>0</v>
      </c>
      <c r="CZ72" s="136">
        <f t="shared" si="155"/>
        <v>0</v>
      </c>
      <c r="DA72" s="136">
        <f t="shared" si="156"/>
        <v>0</v>
      </c>
      <c r="DB72" s="136">
        <f t="shared" si="157"/>
        <v>0</v>
      </c>
      <c r="DC72" s="292">
        <f t="shared" si="158"/>
        <v>0</v>
      </c>
      <c r="DD72" s="136"/>
      <c r="DE72" s="136">
        <f t="shared" si="159"/>
        <v>0</v>
      </c>
      <c r="DF72" s="136">
        <f t="shared" si="160"/>
        <v>0</v>
      </c>
      <c r="DG72" s="136">
        <f t="shared" si="161"/>
        <v>0</v>
      </c>
      <c r="DH72" s="136">
        <f t="shared" si="162"/>
        <v>0</v>
      </c>
      <c r="DI72" s="292">
        <f t="shared" si="163"/>
        <v>0</v>
      </c>
      <c r="DJ72" s="136"/>
      <c r="DK72" s="136"/>
      <c r="DL72" s="136"/>
      <c r="DM72" s="136"/>
      <c r="DN72" s="136"/>
      <c r="DO72" s="292"/>
      <c r="DP72" s="136"/>
      <c r="DQ72" s="292"/>
      <c r="DR72" s="136"/>
      <c r="DS72" s="136">
        <f t="array" ref="DS72">IF(DS$3&gt;'GAAP Summary'!$B$2,0,SUM(INDIRECT(XLOOKUP(DS$3,'TTM Dates'!$B:$B,'TTM Dates'!$E:$E)&amp;ROW($CJ72)&amp;":"&amp;XLOOKUP(DS$3,'TTM Dates'!$B:$B,'TTM Dates'!$C:$C)&amp;ROW($CJ72))))</f>
        <v>0</v>
      </c>
      <c r="DT72" s="136">
        <f t="array" ref="DT72">IF(DT$3&gt;'GAAP Summary'!$B$2,0,SUM(INDIRECT(XLOOKUP(DT$3,'TTM Dates'!$B:$B,'TTM Dates'!$E:$E)&amp;ROW($CJ72)&amp;":"&amp;XLOOKUP(DT$3,'TTM Dates'!$B:$B,'TTM Dates'!$C:$C)&amp;ROW($CJ72))))</f>
        <v>0</v>
      </c>
      <c r="DU72" s="136">
        <f t="array" ref="DU72">IF(DU$3&gt;'GAAP Summary'!$B$2,0,SUM(INDIRECT(XLOOKUP(DU$3,'TTM Dates'!$B:$B,'TTM Dates'!$E:$E)&amp;ROW($CJ72)&amp;":"&amp;XLOOKUP(DU$3,'TTM Dates'!$B:$B,'TTM Dates'!$C:$C)&amp;ROW($CJ72))))</f>
        <v>0</v>
      </c>
      <c r="DV72" s="136">
        <f t="array" ref="DV72">IF(DV$3&gt;'GAAP Summary'!$B$2,0,SUM(INDIRECT(XLOOKUP(DV$3,'TTM Dates'!$B:$B,'TTM Dates'!$E:$E)&amp;ROW($CJ72)&amp;":"&amp;XLOOKUP(DV$3,'TTM Dates'!$B:$B,'TTM Dates'!$C:$C)&amp;ROW($CJ72))))</f>
        <v>0</v>
      </c>
      <c r="DW72" s="136">
        <f t="array" ref="DW72">IF(DW$3&gt;'GAAP Summary'!$B$2,0,SUM(INDIRECT(XLOOKUP(DW$3,'TTM Dates'!$B:$B,'TTM Dates'!$E:$E)&amp;ROW($CJ72)&amp;":"&amp;XLOOKUP(DW$3,'TTM Dates'!$B:$B,'TTM Dates'!$C:$C)&amp;ROW($CJ72))))</f>
        <v>0</v>
      </c>
      <c r="DX72" s="136">
        <f t="array" ref="DX72">IF(DX$3&gt;'GAAP Summary'!$B$2,0,SUM(INDIRECT(XLOOKUP(DX$3,'TTM Dates'!$B:$B,'TTM Dates'!$E:$E)&amp;ROW($CJ72)&amp;":"&amp;XLOOKUP(DX$3,'TTM Dates'!$B:$B,'TTM Dates'!$C:$C)&amp;ROW($CJ72))))</f>
        <v>0</v>
      </c>
      <c r="DY72" s="136">
        <f t="array" ref="DY72">IF(DY$3&gt;'GAAP Summary'!$B$2,0,SUM(INDIRECT(XLOOKUP(DY$3,'TTM Dates'!$B:$B,'TTM Dates'!$E:$E)&amp;ROW($CJ72)&amp;":"&amp;XLOOKUP(DY$3,'TTM Dates'!$B:$B,'TTM Dates'!$C:$C)&amp;ROW($CJ72))))</f>
        <v>0</v>
      </c>
      <c r="DZ72" s="136">
        <f t="array" ref="DZ72">IF(DZ$3&gt;'GAAP Summary'!$B$2,0,SUM(INDIRECT(XLOOKUP(DZ$3,'TTM Dates'!$B:$B,'TTM Dates'!$E:$E)&amp;ROW($CJ72)&amp;":"&amp;XLOOKUP(DZ$3,'TTM Dates'!$B:$B,'TTM Dates'!$C:$C)&amp;ROW($CJ72))))</f>
        <v>0</v>
      </c>
      <c r="EA72" s="136">
        <f t="array" ref="EA72">IF(EA$3&gt;'GAAP Summary'!$B$2,0,SUM(INDIRECT(XLOOKUP(EA$3,'TTM Dates'!$B:$B,'TTM Dates'!$E:$E)&amp;ROW($CJ72)&amp;":"&amp;XLOOKUP(EA$3,'TTM Dates'!$B:$B,'TTM Dates'!$C:$C)&amp;ROW($CJ72))))</f>
        <v>0</v>
      </c>
      <c r="EB72" s="136">
        <f t="array" ref="EB72">IF(EB$3&gt;'GAAP Summary'!$B$2,0,SUM(INDIRECT(XLOOKUP(EB$3,'TTM Dates'!$B:$B,'TTM Dates'!$E:$E)&amp;ROW($CJ72)&amp;":"&amp;XLOOKUP(EB$3,'TTM Dates'!$B:$B,'TTM Dates'!$C:$C)&amp;ROW($CJ72))))</f>
        <v>0</v>
      </c>
      <c r="EC72" s="136">
        <f t="array" ref="EC72">IF(EC$3&gt;'GAAP Summary'!$B$2,0,SUM(INDIRECT(XLOOKUP(EC$3,'TTM Dates'!$B:$B,'TTM Dates'!$E:$E)&amp;ROW($CJ72)&amp;":"&amp;XLOOKUP(EC$3,'TTM Dates'!$B:$B,'TTM Dates'!$C:$C)&amp;ROW($CJ72))))</f>
        <v>0</v>
      </c>
      <c r="ED72" s="136">
        <f t="array" ref="ED72">IF(ED$3&gt;'GAAP Summary'!$B$2,0,SUM(INDIRECT(XLOOKUP(ED$3,'TTM Dates'!$B:$B,'TTM Dates'!$E:$E)&amp;ROW($CJ72)&amp;":"&amp;XLOOKUP(ED$3,'TTM Dates'!$B:$B,'TTM Dates'!$C:$C)&amp;ROW($CJ72))))</f>
        <v>0</v>
      </c>
      <c r="EE72" s="136">
        <f t="array" ref="EE72">IF(EE$3&gt;'GAAP Summary'!$B$2,0,SUM(INDIRECT(XLOOKUP(EE$3,'TTM Dates'!$B:$B,'TTM Dates'!$E:$E)&amp;ROW($CJ72)&amp;":"&amp;XLOOKUP(EE$3,'TTM Dates'!$B:$B,'TTM Dates'!$C:$C)&amp;ROW($CJ72))))</f>
        <v>0</v>
      </c>
      <c r="EF72" s="136">
        <f t="array" ref="EF72">IF(EF$3&gt;'GAAP Summary'!$B$2,0,SUM(INDIRECT(XLOOKUP(EF$3,'TTM Dates'!$B:$B,'TTM Dates'!$E:$E)&amp;ROW($CJ72)&amp;":"&amp;XLOOKUP(EF$3,'TTM Dates'!$B:$B,'TTM Dates'!$C:$C)&amp;ROW($CJ72))))</f>
        <v>0</v>
      </c>
      <c r="EG72" s="136">
        <f t="array" ref="EG72">IF(EG$3&gt;'GAAP Summary'!$B$2,0,SUM(INDIRECT(XLOOKUP(EG$3,'TTM Dates'!$B:$B,'TTM Dates'!$E:$E)&amp;ROW($CJ72)&amp;":"&amp;XLOOKUP(EG$3,'TTM Dates'!$B:$B,'TTM Dates'!$C:$C)&amp;ROW($CJ72))))</f>
        <v>0</v>
      </c>
      <c r="EH72" s="136">
        <f t="array" ref="EH72">IF(EH$3&gt;'GAAP Summary'!$B$2,0,SUM(INDIRECT(XLOOKUP(EH$3,'TTM Dates'!$B:$B,'TTM Dates'!$E:$E)&amp;ROW($CJ72)&amp;":"&amp;XLOOKUP(EH$3,'TTM Dates'!$B:$B,'TTM Dates'!$C:$C)&amp;ROW($CJ72))))</f>
        <v>0</v>
      </c>
      <c r="EI72" s="136">
        <f t="array" ref="EI72">IF(EI$3&gt;'GAAP Summary'!$B$2,0,SUM(INDIRECT(XLOOKUP(EI$3,'TTM Dates'!$B:$B,'TTM Dates'!$E:$E)&amp;ROW($CJ72)&amp;":"&amp;XLOOKUP(EI$3,'TTM Dates'!$B:$B,'TTM Dates'!$C:$C)&amp;ROW($CJ72))))</f>
        <v>0</v>
      </c>
      <c r="EJ72" s="136">
        <f t="array" ref="EJ72">IF(EJ$3&gt;'GAAP Summary'!$B$2,0,SUM(INDIRECT(XLOOKUP(EJ$3,'TTM Dates'!$B:$B,'TTM Dates'!$E:$E)&amp;ROW($CJ72)&amp;":"&amp;XLOOKUP(EJ$3,'TTM Dates'!$B:$B,'TTM Dates'!$C:$C)&amp;ROW($CJ72))))</f>
        <v>0</v>
      </c>
      <c r="EK72" s="136">
        <f t="array" ref="EK72">IF(EK$3&gt;'GAAP Summary'!$B$2,0,SUM(INDIRECT(XLOOKUP(EK$3,'TTM Dates'!$B:$B,'TTM Dates'!$E:$E)&amp;ROW($CJ72)&amp;":"&amp;XLOOKUP(EK$3,'TTM Dates'!$B:$B,'TTM Dates'!$C:$C)&amp;ROW($CJ72))))</f>
        <v>0</v>
      </c>
      <c r="EL72" s="136">
        <f t="array" ref="EL72">IF(EL$3&gt;'GAAP Summary'!$B$2,0,SUM(INDIRECT(XLOOKUP(EL$3,'TTM Dates'!$B:$B,'TTM Dates'!$E:$E)&amp;ROW($CJ72)&amp;":"&amp;XLOOKUP(EL$3,'TTM Dates'!$B:$B,'TTM Dates'!$C:$C)&amp;ROW($CJ72))))</f>
        <v>0</v>
      </c>
      <c r="EM72" s="136">
        <f t="array" ref="EM72">IF(EM$3&gt;'GAAP Summary'!$B$2,0,SUM(INDIRECT(XLOOKUP(EM$3,'TTM Dates'!$B:$B,'TTM Dates'!$E:$E)&amp;ROW($CJ72)&amp;":"&amp;XLOOKUP(EM$3,'TTM Dates'!$B:$B,'TTM Dates'!$C:$C)&amp;ROW($CJ72))))</f>
        <v>0</v>
      </c>
      <c r="EN72" s="136">
        <f t="array" ref="EN72">IF(EN$3&gt;'GAAP Summary'!$B$2,0,SUM(INDIRECT(XLOOKUP(EN$3,'TTM Dates'!$B:$B,'TTM Dates'!$E:$E)&amp;ROW($CJ72)&amp;":"&amp;XLOOKUP(EN$3,'TTM Dates'!$B:$B,'TTM Dates'!$C:$C)&amp;ROW($CJ72))))</f>
        <v>0</v>
      </c>
      <c r="EO72" s="136">
        <f t="array" ref="EO72">IF(EO$3&gt;'GAAP Summary'!$B$2,0,SUM(INDIRECT(XLOOKUP(EO$3,'TTM Dates'!$B:$B,'TTM Dates'!$E:$E)&amp;ROW($CJ72)&amp;":"&amp;XLOOKUP(EO$3,'TTM Dates'!$B:$B,'TTM Dates'!$C:$C)&amp;ROW($CJ72))))</f>
        <v>0</v>
      </c>
      <c r="EP72" s="136">
        <f t="array" ref="EP72">IF(EP$3&gt;'GAAP Summary'!$B$2,0,SUM(INDIRECT(XLOOKUP(EP$3,'TTM Dates'!$B:$B,'TTM Dates'!$E:$E)&amp;ROW($CJ72)&amp;":"&amp;XLOOKUP(EP$3,'TTM Dates'!$B:$B,'TTM Dates'!$C:$C)&amp;ROW($CJ72))))</f>
        <v>0</v>
      </c>
      <c r="EQ72" s="136">
        <f t="array" ref="EQ72">IF(EQ$3&gt;'GAAP Summary'!$B$2,0,SUM(INDIRECT(XLOOKUP(EQ$3,'TTM Dates'!$B:$B,'TTM Dates'!$E:$E)&amp;ROW($CJ72)&amp;":"&amp;XLOOKUP(EQ$3,'TTM Dates'!$B:$B,'TTM Dates'!$C:$C)&amp;ROW($CJ72))))</f>
        <v>0</v>
      </c>
      <c r="ER72" s="136">
        <f t="array" ref="ER72">IF(ER$3&gt;'GAAP Summary'!$B$2,0,SUM(INDIRECT(XLOOKUP(ER$3,'TTM Dates'!$B:$B,'TTM Dates'!$E:$E)&amp;ROW($CJ72)&amp;":"&amp;XLOOKUP(ER$3,'TTM Dates'!$B:$B,'TTM Dates'!$C:$C)&amp;ROW($CJ72))))</f>
        <v>0</v>
      </c>
      <c r="ES72" s="136">
        <f t="array" ref="ES72">IF(ES$3&gt;'GAAP Summary'!$B$2,0,SUM(INDIRECT(XLOOKUP(ES$3,'TTM Dates'!$B:$B,'TTM Dates'!$E:$E)&amp;ROW($CJ72)&amp;":"&amp;XLOOKUP(ES$3,'TTM Dates'!$B:$B,'TTM Dates'!$C:$C)&amp;ROW($CJ72))))</f>
        <v>0</v>
      </c>
      <c r="ET72" s="136">
        <f t="array" ref="ET72">IF(ET$3&gt;'GAAP Summary'!$B$2,0,SUM(INDIRECT(XLOOKUP(ET$3,'TTM Dates'!$B:$B,'TTM Dates'!$E:$E)&amp;ROW($CJ72)&amp;":"&amp;XLOOKUP(ET$3,'TTM Dates'!$B:$B,'TTM Dates'!$C:$C)&amp;ROW($CJ72))))</f>
        <v>0</v>
      </c>
      <c r="EU72" s="136">
        <f t="array" ref="EU72">IF(EU$3&gt;'GAAP Summary'!$B$2,0,SUM(INDIRECT(XLOOKUP(EU$3,'TTM Dates'!$B:$B,'TTM Dates'!$E:$E)&amp;ROW($CJ72)&amp;":"&amp;XLOOKUP(EU$3,'TTM Dates'!$B:$B,'TTM Dates'!$C:$C)&amp;ROW($CJ72))))</f>
        <v>0</v>
      </c>
      <c r="EV72" s="136">
        <f t="array" ref="EV72">IF(EV$3&gt;'GAAP Summary'!$B$2,0,SUM(INDIRECT(XLOOKUP(EV$3,'TTM Dates'!$B:$B,'TTM Dates'!$E:$E)&amp;ROW($CJ72)&amp;":"&amp;XLOOKUP(EV$3,'TTM Dates'!$B:$B,'TTM Dates'!$C:$C)&amp;ROW($CJ72))))</f>
        <v>0</v>
      </c>
      <c r="EW72" s="136">
        <f t="array" ref="EW72">IF(EW$3&gt;'GAAP Summary'!$B$2,0,SUM(INDIRECT(XLOOKUP(EW$3,'TTM Dates'!$B:$B,'TTM Dates'!$E:$E)&amp;ROW($CJ72)&amp;":"&amp;XLOOKUP(EW$3,'TTM Dates'!$B:$B,'TTM Dates'!$C:$C)&amp;ROW($CJ72))))</f>
        <v>0</v>
      </c>
      <c r="EX72" s="136">
        <f t="array" ref="EX72">IF(EX$3&gt;'GAAP Summary'!$B$2,0,SUM(INDIRECT(XLOOKUP(EX$3,'TTM Dates'!$B:$B,'TTM Dates'!$E:$E)&amp;ROW($CJ72)&amp;":"&amp;XLOOKUP(EX$3,'TTM Dates'!$B:$B,'TTM Dates'!$C:$C)&amp;ROW($CJ72))))</f>
        <v>0</v>
      </c>
      <c r="EY72" s="136">
        <f t="array" ref="EY72">IF(EY$3&gt;'GAAP Summary'!$B$2,0,SUM(INDIRECT(XLOOKUP(EY$3,'TTM Dates'!$B:$B,'TTM Dates'!$E:$E)&amp;ROW($CJ72)&amp;":"&amp;XLOOKUP(EY$3,'TTM Dates'!$B:$B,'TTM Dates'!$C:$C)&amp;ROW($CJ72))))</f>
        <v>0</v>
      </c>
      <c r="EZ72" s="136">
        <f t="array" ref="EZ72">IF(EZ$3&gt;'GAAP Summary'!$B$2,0,SUM(INDIRECT(XLOOKUP(EZ$3,'TTM Dates'!$B:$B,'TTM Dates'!$E:$E)&amp;ROW($CJ72)&amp;":"&amp;XLOOKUP(EZ$3,'TTM Dates'!$B:$B,'TTM Dates'!$C:$C)&amp;ROW($CJ72))))</f>
        <v>0</v>
      </c>
      <c r="FA72" s="136">
        <f t="array" ref="FA72">IF(FA$3&gt;'GAAP Summary'!$B$2,0,SUM(INDIRECT(XLOOKUP(FA$3,'TTM Dates'!$B:$B,'TTM Dates'!$E:$E)&amp;ROW($CJ72)&amp;":"&amp;XLOOKUP(FA$3,'TTM Dates'!$B:$B,'TTM Dates'!$C:$C)&amp;ROW($CJ72))))</f>
        <v>0</v>
      </c>
      <c r="FB72" s="136">
        <f t="array" ref="FB72">IF(FB$3&gt;'GAAP Summary'!$B$2,0,SUM(INDIRECT(XLOOKUP(FB$3,'TTM Dates'!$B:$B,'TTM Dates'!$E:$E)&amp;ROW($CJ72)&amp;":"&amp;XLOOKUP(FB$3,'TTM Dates'!$B:$B,'TTM Dates'!$C:$C)&amp;ROW($CJ72))))</f>
        <v>0</v>
      </c>
      <c r="FC72" s="136">
        <f t="array" ref="FC72">IF(FC$3&gt;'GAAP Summary'!$B$2,0,SUM(INDIRECT(XLOOKUP(FC$3,'TTM Dates'!$B:$B,'TTM Dates'!$E:$E)&amp;ROW($CJ72)&amp;":"&amp;XLOOKUP(FC$3,'TTM Dates'!$B:$B,'TTM Dates'!$C:$C)&amp;ROW($CJ72))))</f>
        <v>0</v>
      </c>
      <c r="FD72" s="136">
        <f t="array" ref="FD72">IF(FD$3&gt;'GAAP Summary'!$B$2,0,SUM(INDIRECT(XLOOKUP(FD$3,'TTM Dates'!$B:$B,'TTM Dates'!$E:$E)&amp;ROW($CJ72)&amp;":"&amp;XLOOKUP(FD$3,'TTM Dates'!$B:$B,'TTM Dates'!$C:$C)&amp;ROW($CJ72))))</f>
        <v>0</v>
      </c>
      <c r="FE72" s="136">
        <f t="array" ref="FE72">IF(FE$3&gt;'GAAP Summary'!$B$2,0,SUM(INDIRECT(XLOOKUP(FE$3,'TTM Dates'!$B:$B,'TTM Dates'!$E:$E)&amp;ROW($CJ72)&amp;":"&amp;XLOOKUP(FE$3,'TTM Dates'!$B:$B,'TTM Dates'!$C:$C)&amp;ROW($CJ72))))</f>
        <v>0</v>
      </c>
      <c r="FF72" s="136">
        <f t="array" ref="FF72">IF(FF$3&gt;'GAAP Summary'!$B$2,0,SUM(INDIRECT(XLOOKUP(FF$3,'TTM Dates'!$B:$B,'TTM Dates'!$E:$E)&amp;ROW($CJ72)&amp;":"&amp;XLOOKUP(FF$3,'TTM Dates'!$B:$B,'TTM Dates'!$C:$C)&amp;ROW($CJ72))))</f>
        <v>0</v>
      </c>
      <c r="FG72" s="136">
        <f t="array" ref="FG72">IF(FG$3&gt;'GAAP Summary'!$B$2,0,SUM(INDIRECT(XLOOKUP(FG$3,'TTM Dates'!$B:$B,'TTM Dates'!$E:$E)&amp;ROW($CJ72)&amp;":"&amp;XLOOKUP(FG$3,'TTM Dates'!$B:$B,'TTM Dates'!$C:$C)&amp;ROW($CJ72))))</f>
        <v>0</v>
      </c>
      <c r="FH72" s="136">
        <f t="array" ref="FH72">IF(FH$3&gt;'GAAP Summary'!$B$2,0,SUM(INDIRECT(XLOOKUP(FH$3,'TTM Dates'!$B:$B,'TTM Dates'!$E:$E)&amp;ROW($CJ72)&amp;":"&amp;XLOOKUP(FH$3,'TTM Dates'!$B:$B,'TTM Dates'!$C:$C)&amp;ROW($CJ72))))</f>
        <v>0</v>
      </c>
      <c r="FI72" s="136">
        <f t="array" ref="FI72">IF(FI$3&gt;'GAAP Summary'!$B$2,0,SUM(INDIRECT(XLOOKUP(FI$3,'TTM Dates'!$B:$B,'TTM Dates'!$E:$E)&amp;ROW($CJ72)&amp;":"&amp;XLOOKUP(FI$3,'TTM Dates'!$B:$B,'TTM Dates'!$C:$C)&amp;ROW($CJ72))))</f>
        <v>0</v>
      </c>
      <c r="FJ72" s="136">
        <f t="array" ref="FJ72">IF(FJ$3&gt;'GAAP Summary'!$B$2,0,SUM(INDIRECT(XLOOKUP(FJ$3,'TTM Dates'!$B:$B,'TTM Dates'!$E:$E)&amp;ROW($CJ72)&amp;":"&amp;XLOOKUP(FJ$3,'TTM Dates'!$B:$B,'TTM Dates'!$C:$C)&amp;ROW($CJ72))))</f>
        <v>0</v>
      </c>
      <c r="FK72" s="136">
        <f t="array" ref="FK72">IF(FK$3&gt;'GAAP Summary'!$B$2,0,SUM(INDIRECT(XLOOKUP(FK$3,'TTM Dates'!$B:$B,'TTM Dates'!$E:$E)&amp;ROW($CJ72)&amp;":"&amp;XLOOKUP(FK$3,'TTM Dates'!$B:$B,'TTM Dates'!$C:$C)&amp;ROW($CJ72))))</f>
        <v>0</v>
      </c>
      <c r="FL72" s="136">
        <f t="array" ref="FL72">IF(FL$3&gt;'GAAP Summary'!$B$2,0,SUM(INDIRECT(XLOOKUP(FL$3,'TTM Dates'!$B:$B,'TTM Dates'!$E:$E)&amp;ROW($CJ72)&amp;":"&amp;XLOOKUP(FL$3,'TTM Dates'!$B:$B,'TTM Dates'!$C:$C)&amp;ROW($CJ72))))</f>
        <v>0</v>
      </c>
      <c r="FM72" s="136">
        <f t="array" ref="FM72">IF(FM$3&gt;'GAAP Summary'!$B$2,0,SUM(INDIRECT(XLOOKUP(FM$3,'TTM Dates'!$B:$B,'TTM Dates'!$E:$E)&amp;ROW($CJ72)&amp;":"&amp;XLOOKUP(FM$3,'TTM Dates'!$B:$B,'TTM Dates'!$C:$C)&amp;ROW($CJ72))))</f>
        <v>0</v>
      </c>
      <c r="FN72" s="136">
        <f t="array" ref="FN72">IF(FN$3&gt;'GAAP Summary'!$B$2,0,SUM(INDIRECT(XLOOKUP(FN$3,'TTM Dates'!$B:$B,'TTM Dates'!$E:$E)&amp;ROW($CJ72)&amp;":"&amp;XLOOKUP(FN$3,'TTM Dates'!$B:$B,'TTM Dates'!$C:$C)&amp;ROW($CJ72))))</f>
        <v>0</v>
      </c>
      <c r="FO72" s="136">
        <f t="array" ref="FO72">IF(FO$3&gt;'GAAP Summary'!$B$2,0,SUM(INDIRECT(XLOOKUP(FO$3,'TTM Dates'!$B:$B,'TTM Dates'!$E:$E)&amp;ROW($CJ72)&amp;":"&amp;XLOOKUP(FO$3,'TTM Dates'!$B:$B,'TTM Dates'!$C:$C)&amp;ROW($CJ72))))</f>
        <v>0</v>
      </c>
      <c r="FP72" s="136">
        <f t="array" ref="FP72">IF(FP$3&gt;'GAAP Summary'!$B$2,0,SUM(INDIRECT(XLOOKUP(FP$3,'TTM Dates'!$B:$B,'TTM Dates'!$E:$E)&amp;ROW($CJ72)&amp;":"&amp;XLOOKUP(FP$3,'TTM Dates'!$B:$B,'TTM Dates'!$C:$C)&amp;ROW($CJ72))))</f>
        <v>0</v>
      </c>
      <c r="FQ72" s="136">
        <f t="array" ref="FQ72">IF(FQ$3&gt;'GAAP Summary'!$B$2,0,SUM(INDIRECT(XLOOKUP(FQ$3,'TTM Dates'!$B:$B,'TTM Dates'!$E:$E)&amp;ROW($CJ72)&amp;":"&amp;XLOOKUP(FQ$3,'TTM Dates'!$B:$B,'TTM Dates'!$C:$C)&amp;ROW($CJ72))))</f>
        <v>0</v>
      </c>
      <c r="FR72" s="136">
        <f t="array" ref="FR72">IF(FR$3&gt;'GAAP Summary'!$B$2,0,SUM(INDIRECT(XLOOKUP(FR$3,'TTM Dates'!$B:$B,'TTM Dates'!$E:$E)&amp;ROW($CJ72)&amp;":"&amp;XLOOKUP(FR$3,'TTM Dates'!$B:$B,'TTM Dates'!$C:$C)&amp;ROW($CJ72))))</f>
        <v>0</v>
      </c>
      <c r="FS72" s="136">
        <f t="array" ref="FS72">IF(FS$3&gt;'GAAP Summary'!$B$2,0,SUM(INDIRECT(XLOOKUP(FS$3,'TTM Dates'!$B:$B,'TTM Dates'!$E:$E)&amp;ROW($CJ72)&amp;":"&amp;XLOOKUP(FS$3,'TTM Dates'!$B:$B,'TTM Dates'!$C:$C)&amp;ROW($CJ72))))</f>
        <v>0</v>
      </c>
      <c r="FT72" s="136">
        <f t="array" ref="FT72">IF(FT$3&gt;'GAAP Summary'!$B$2,0,SUM(INDIRECT(XLOOKUP(FT$3,'TTM Dates'!$B:$B,'TTM Dates'!$E:$E)&amp;ROW($CJ72)&amp;":"&amp;XLOOKUP(FT$3,'TTM Dates'!$B:$B,'TTM Dates'!$C:$C)&amp;ROW($CJ72))))</f>
        <v>0</v>
      </c>
      <c r="FU72" s="136">
        <f t="array" ref="FU72">IF(FU$3&gt;'GAAP Summary'!$B$2,0,SUM(INDIRECT(XLOOKUP(FU$3,'TTM Dates'!$B:$B,'TTM Dates'!$E:$E)&amp;ROW($CJ72)&amp;":"&amp;XLOOKUP(FU$3,'TTM Dates'!$B:$B,'TTM Dates'!$C:$C)&amp;ROW($CJ72))))</f>
        <v>0</v>
      </c>
      <c r="FV72" s="136">
        <f t="array" ref="FV72">IF(FV$3&gt;'GAAP Summary'!$B$2,0,SUM(INDIRECT(XLOOKUP(FV$3,'TTM Dates'!$B:$B,'TTM Dates'!$E:$E)&amp;ROW($CJ72)&amp;":"&amp;XLOOKUP(FV$3,'TTM Dates'!$B:$B,'TTM Dates'!$C:$C)&amp;ROW($CJ72))))</f>
        <v>0</v>
      </c>
      <c r="FW72" s="136">
        <f t="array" ref="FW72">IF(FW$3&gt;'GAAP Summary'!$B$2,0,SUM(INDIRECT(XLOOKUP(FW$3,'TTM Dates'!$B:$B,'TTM Dates'!$E:$E)&amp;ROW($CJ72)&amp;":"&amp;XLOOKUP(FW$3,'TTM Dates'!$B:$B,'TTM Dates'!$C:$C)&amp;ROW($CJ72))))</f>
        <v>0</v>
      </c>
      <c r="FX72" s="136">
        <f t="array" ref="FX72">IF(FX$3&gt;'GAAP Summary'!$B$2,0,SUM(INDIRECT(XLOOKUP(FX$3,'TTM Dates'!$B:$B,'TTM Dates'!$E:$E)&amp;ROW($CJ72)&amp;":"&amp;XLOOKUP(FX$3,'TTM Dates'!$B:$B,'TTM Dates'!$C:$C)&amp;ROW($CJ72))))</f>
        <v>0</v>
      </c>
      <c r="FY72" s="136">
        <f t="array" ref="FY72">IF(FY$3&gt;'GAAP Summary'!$B$2,0,SUM(INDIRECT(XLOOKUP(FY$3,'TTM Dates'!$B:$B,'TTM Dates'!$E:$E)&amp;ROW($CJ72)&amp;":"&amp;XLOOKUP(FY$3,'TTM Dates'!$B:$B,'TTM Dates'!$C:$C)&amp;ROW($CJ72))))</f>
        <v>0</v>
      </c>
      <c r="FZ72" s="136">
        <f t="array" ref="FZ72">IF(FZ$3&gt;'GAAP Summary'!$B$2,0,SUM(INDIRECT(XLOOKUP(FZ$3,'TTM Dates'!$B:$B,'TTM Dates'!$E:$E)&amp;ROW($CJ72)&amp;":"&amp;XLOOKUP(FZ$3,'TTM Dates'!$B:$B,'TTM Dates'!$C:$C)&amp;ROW($CJ72))))</f>
        <v>0</v>
      </c>
      <c r="GA72" s="136">
        <f t="array" ref="GA72">IF(GA$3&gt;'GAAP Summary'!$B$2,0,SUM(INDIRECT(XLOOKUP(GA$3,'TTM Dates'!$B:$B,'TTM Dates'!$E:$E)&amp;ROW($CJ72)&amp;":"&amp;XLOOKUP(GA$3,'TTM Dates'!$B:$B,'TTM Dates'!$C:$C)&amp;ROW($CJ72))))</f>
        <v>0</v>
      </c>
      <c r="GB72" s="136">
        <f t="array" ref="GB72">IF(GB$3&gt;'GAAP Summary'!$B$2,0,SUM(INDIRECT(XLOOKUP(GB$3,'TTM Dates'!$B:$B,'TTM Dates'!$E:$E)&amp;ROW($CJ72)&amp;":"&amp;XLOOKUP(GB$3,'TTM Dates'!$B:$B,'TTM Dates'!$C:$C)&amp;ROW($CJ72))))</f>
        <v>0</v>
      </c>
      <c r="GC72" s="136">
        <f t="array" ref="GC72">IF(GC$3&gt;'GAAP Summary'!$B$2,0,SUM(INDIRECT(XLOOKUP(GC$3,'TTM Dates'!$B:$B,'TTM Dates'!$E:$E)&amp;ROW($CJ72)&amp;":"&amp;XLOOKUP(GC$3,'TTM Dates'!$B:$B,'TTM Dates'!$C:$C)&amp;ROW($CJ72))))</f>
        <v>0</v>
      </c>
      <c r="GD72" s="136">
        <f t="array" ref="GD72">IF(GD$3&gt;'GAAP Summary'!$B$2,0,SUM(INDIRECT(XLOOKUP(GD$3,'TTM Dates'!$B:$B,'TTM Dates'!$E:$E)&amp;ROW($CJ72)&amp;":"&amp;XLOOKUP(GD$3,'TTM Dates'!$B:$B,'TTM Dates'!$C:$C)&amp;ROW($CJ72))))</f>
        <v>0</v>
      </c>
      <c r="GE72" s="136">
        <f t="array" ref="GE72">IF(GE$3&gt;'GAAP Summary'!$B$2,0,SUM(INDIRECT(XLOOKUP(GE$3,'TTM Dates'!$B:$B,'TTM Dates'!$E:$E)&amp;ROW($CJ72)&amp;":"&amp;XLOOKUP(GE$3,'TTM Dates'!$B:$B,'TTM Dates'!$C:$C)&amp;ROW($CJ72))))</f>
        <v>0</v>
      </c>
      <c r="GF72" s="136">
        <f t="array" ref="GF72">IF(GF$3&gt;'GAAP Summary'!$B$2,0,SUM(INDIRECT(XLOOKUP(GF$3,'TTM Dates'!$B:$B,'TTM Dates'!$E:$E)&amp;ROW($CJ72)&amp;":"&amp;XLOOKUP(GF$3,'TTM Dates'!$B:$B,'TTM Dates'!$C:$C)&amp;ROW($CJ72))))</f>
        <v>0</v>
      </c>
      <c r="GG72" s="136">
        <f t="array" ref="GG72">IF(GG$3&gt;'GAAP Summary'!$B$2,0,SUM(INDIRECT(XLOOKUP(GG$3,'TTM Dates'!$B:$B,'TTM Dates'!$E:$E)&amp;ROW($CJ72)&amp;":"&amp;XLOOKUP(GG$3,'TTM Dates'!$B:$B,'TTM Dates'!$C:$C)&amp;ROW($CJ72))))</f>
        <v>0</v>
      </c>
      <c r="GH72" s="136">
        <f t="array" ref="GH72">IF(GH$3&gt;'GAAP Summary'!$B$2,0,SUM(INDIRECT(XLOOKUP(GH$3,'TTM Dates'!$B:$B,'TTM Dates'!$E:$E)&amp;ROW($CJ72)&amp;":"&amp;XLOOKUP(GH$3,'TTM Dates'!$B:$B,'TTM Dates'!$C:$C)&amp;ROW($CJ72))))</f>
        <v>0</v>
      </c>
      <c r="GI72" s="136">
        <f t="array" ref="GI72">IF(GI$3&gt;'GAAP Summary'!$B$2,0,SUM(INDIRECT(XLOOKUP(GI$3,'TTM Dates'!$B:$B,'TTM Dates'!$E:$E)&amp;ROW($CJ72)&amp;":"&amp;XLOOKUP(GI$3,'TTM Dates'!$B:$B,'TTM Dates'!$C:$C)&amp;ROW($CJ72))))</f>
        <v>0</v>
      </c>
      <c r="GJ72" s="136">
        <f t="array" ref="GJ72">IF(GJ$3&gt;'GAAP Summary'!$B$2,0,SUM(INDIRECT(XLOOKUP(GJ$3,'TTM Dates'!$B:$B,'TTM Dates'!$E:$E)&amp;ROW($CJ72)&amp;":"&amp;XLOOKUP(GJ$3,'TTM Dates'!$B:$B,'TTM Dates'!$C:$C)&amp;ROW($CJ72))))</f>
        <v>0</v>
      </c>
      <c r="GK72" s="136">
        <f t="array" ref="GK72">IF(GK$3&gt;'GAAP Summary'!$B$2,0,SUM(INDIRECT(XLOOKUP(GK$3,'TTM Dates'!$B:$B,'TTM Dates'!$E:$E)&amp;ROW($CJ72)&amp;":"&amp;XLOOKUP(GK$3,'TTM Dates'!$B:$B,'TTM Dates'!$C:$C)&amp;ROW($CJ72))))</f>
        <v>0</v>
      </c>
      <c r="GL72" s="136">
        <f t="array" ref="GL72">IF(GL$3&gt;'GAAP Summary'!$B$2,0,SUM(INDIRECT(XLOOKUP(GL$3,'TTM Dates'!$B:$B,'TTM Dates'!$E:$E)&amp;ROW($CJ72)&amp;":"&amp;XLOOKUP(GL$3,'TTM Dates'!$B:$B,'TTM Dates'!$C:$C)&amp;ROW($CJ72))))</f>
        <v>0</v>
      </c>
      <c r="GM72" s="136"/>
    </row>
    <row r="73" outlineLevel="1">
      <c r="B73" s="135" t="s">
        <v>510</v>
      </c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337"/>
      <c r="AY73" s="337"/>
      <c r="AZ73" s="337"/>
      <c r="BA73" s="337"/>
      <c r="BB73" s="337"/>
      <c r="BC73" s="337"/>
      <c r="BD73" s="337"/>
      <c r="BE73" s="337"/>
      <c r="BF73" s="337"/>
      <c r="BG73" s="337"/>
      <c r="BH73" s="337"/>
      <c r="BI73" s="337"/>
      <c r="BJ73" s="337"/>
      <c r="BK73" s="337"/>
      <c r="BL73" s="337"/>
      <c r="BM73" s="337"/>
      <c r="BN73" s="337"/>
      <c r="BO73" s="337"/>
      <c r="BP73" s="337"/>
      <c r="BQ73" s="337"/>
      <c r="BR73" s="337"/>
      <c r="BS73" s="337"/>
      <c r="BT73" s="337"/>
      <c r="BU73" s="337"/>
      <c r="BV73" s="337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33"/>
      <c r="CJ73" s="33"/>
      <c r="CK73" s="303">
        <f t="array" ref="CK73">SUM(INDIRECT(XLOOKUP('GAAP Summary'!$B$2,'TTM Dates'!$B:$B,'TTM Dates'!$E:$E)&amp;ROW($CJ73)&amp;":"&amp;XLOOKUP('GAAP Summary'!$B$2,'TTM Dates'!$B:$B,'TTM Dates'!$C:$C)&amp;ROW($CJ73)))</f>
        <v>0</v>
      </c>
      <c r="CL73" s="351"/>
      <c r="CM73" s="136">
        <f t="shared" si="144"/>
        <v>0</v>
      </c>
      <c r="CN73" s="136">
        <f t="shared" si="145"/>
        <v>0</v>
      </c>
      <c r="CO73" s="136">
        <f t="shared" si="146"/>
        <v>0</v>
      </c>
      <c r="CP73" s="136">
        <f t="shared" si="147"/>
        <v>0</v>
      </c>
      <c r="CQ73" s="339">
        <f t="shared" si="148"/>
        <v>0</v>
      </c>
      <c r="CR73" s="136"/>
      <c r="CS73" s="136">
        <f t="shared" si="149"/>
        <v>0</v>
      </c>
      <c r="CT73" s="136">
        <f t="shared" si="150"/>
        <v>0</v>
      </c>
      <c r="CU73" s="136">
        <f t="shared" si="151"/>
        <v>0</v>
      </c>
      <c r="CV73" s="136">
        <f t="shared" si="152"/>
        <v>0</v>
      </c>
      <c r="CW73" s="292">
        <f t="shared" si="153"/>
        <v>0</v>
      </c>
      <c r="CX73" s="351"/>
      <c r="CY73" s="136">
        <f t="shared" si="154"/>
        <v>0</v>
      </c>
      <c r="CZ73" s="136">
        <f t="shared" si="155"/>
        <v>0</v>
      </c>
      <c r="DA73" s="136">
        <f t="shared" si="156"/>
        <v>0</v>
      </c>
      <c r="DB73" s="136">
        <f t="shared" si="157"/>
        <v>0</v>
      </c>
      <c r="DC73" s="292">
        <f t="shared" si="158"/>
        <v>0</v>
      </c>
      <c r="DD73" s="136"/>
      <c r="DE73" s="136">
        <f t="shared" si="159"/>
        <v>0</v>
      </c>
      <c r="DF73" s="136">
        <f t="shared" si="160"/>
        <v>0</v>
      </c>
      <c r="DG73" s="136">
        <f t="shared" si="161"/>
        <v>0</v>
      </c>
      <c r="DH73" s="136">
        <f t="shared" si="162"/>
        <v>0</v>
      </c>
      <c r="DI73" s="292">
        <f t="shared" si="163"/>
        <v>0</v>
      </c>
      <c r="DJ73" s="136"/>
      <c r="DK73" s="136"/>
      <c r="DL73" s="136"/>
      <c r="DM73" s="136"/>
      <c r="DN73" s="136"/>
      <c r="DO73" s="292"/>
      <c r="DP73" s="136"/>
      <c r="DQ73" s="292"/>
      <c r="DR73" s="136"/>
      <c r="DS73" s="136">
        <f t="array" ref="DS73">IF(DS$3&gt;'GAAP Summary'!$B$2,0,SUM(INDIRECT(XLOOKUP(DS$3,'TTM Dates'!$B:$B,'TTM Dates'!$E:$E)&amp;ROW($CJ73)&amp;":"&amp;XLOOKUP(DS$3,'TTM Dates'!$B:$B,'TTM Dates'!$C:$C)&amp;ROW($CJ73))))</f>
        <v>0</v>
      </c>
      <c r="DT73" s="136">
        <f t="array" ref="DT73">IF(DT$3&gt;'GAAP Summary'!$B$2,0,SUM(INDIRECT(XLOOKUP(DT$3,'TTM Dates'!$B:$B,'TTM Dates'!$E:$E)&amp;ROW($CJ73)&amp;":"&amp;XLOOKUP(DT$3,'TTM Dates'!$B:$B,'TTM Dates'!$C:$C)&amp;ROW($CJ73))))</f>
        <v>0</v>
      </c>
      <c r="DU73" s="136">
        <f t="array" ref="DU73">IF(DU$3&gt;'GAAP Summary'!$B$2,0,SUM(INDIRECT(XLOOKUP(DU$3,'TTM Dates'!$B:$B,'TTM Dates'!$E:$E)&amp;ROW($CJ73)&amp;":"&amp;XLOOKUP(DU$3,'TTM Dates'!$B:$B,'TTM Dates'!$C:$C)&amp;ROW($CJ73))))</f>
        <v>0</v>
      </c>
      <c r="DV73" s="136">
        <f t="array" ref="DV73">IF(DV$3&gt;'GAAP Summary'!$B$2,0,SUM(INDIRECT(XLOOKUP(DV$3,'TTM Dates'!$B:$B,'TTM Dates'!$E:$E)&amp;ROW($CJ73)&amp;":"&amp;XLOOKUP(DV$3,'TTM Dates'!$B:$B,'TTM Dates'!$C:$C)&amp;ROW($CJ73))))</f>
        <v>0</v>
      </c>
      <c r="DW73" s="136">
        <f t="array" ref="DW73">IF(DW$3&gt;'GAAP Summary'!$B$2,0,SUM(INDIRECT(XLOOKUP(DW$3,'TTM Dates'!$B:$B,'TTM Dates'!$E:$E)&amp;ROW($CJ73)&amp;":"&amp;XLOOKUP(DW$3,'TTM Dates'!$B:$B,'TTM Dates'!$C:$C)&amp;ROW($CJ73))))</f>
        <v>0</v>
      </c>
      <c r="DX73" s="136">
        <f t="array" ref="DX73">IF(DX$3&gt;'GAAP Summary'!$B$2,0,SUM(INDIRECT(XLOOKUP(DX$3,'TTM Dates'!$B:$B,'TTM Dates'!$E:$E)&amp;ROW($CJ73)&amp;":"&amp;XLOOKUP(DX$3,'TTM Dates'!$B:$B,'TTM Dates'!$C:$C)&amp;ROW($CJ73))))</f>
        <v>0</v>
      </c>
      <c r="DY73" s="136">
        <f t="array" ref="DY73">IF(DY$3&gt;'GAAP Summary'!$B$2,0,SUM(INDIRECT(XLOOKUP(DY$3,'TTM Dates'!$B:$B,'TTM Dates'!$E:$E)&amp;ROW($CJ73)&amp;":"&amp;XLOOKUP(DY$3,'TTM Dates'!$B:$B,'TTM Dates'!$C:$C)&amp;ROW($CJ73))))</f>
        <v>0</v>
      </c>
      <c r="DZ73" s="136">
        <f t="array" ref="DZ73">IF(DZ$3&gt;'GAAP Summary'!$B$2,0,SUM(INDIRECT(XLOOKUP(DZ$3,'TTM Dates'!$B:$B,'TTM Dates'!$E:$E)&amp;ROW($CJ73)&amp;":"&amp;XLOOKUP(DZ$3,'TTM Dates'!$B:$B,'TTM Dates'!$C:$C)&amp;ROW($CJ73))))</f>
        <v>0</v>
      </c>
      <c r="EA73" s="136">
        <f t="array" ref="EA73">IF(EA$3&gt;'GAAP Summary'!$B$2,0,SUM(INDIRECT(XLOOKUP(EA$3,'TTM Dates'!$B:$B,'TTM Dates'!$E:$E)&amp;ROW($CJ73)&amp;":"&amp;XLOOKUP(EA$3,'TTM Dates'!$B:$B,'TTM Dates'!$C:$C)&amp;ROW($CJ73))))</f>
        <v>0</v>
      </c>
      <c r="EB73" s="136">
        <f t="array" ref="EB73">IF(EB$3&gt;'GAAP Summary'!$B$2,0,SUM(INDIRECT(XLOOKUP(EB$3,'TTM Dates'!$B:$B,'TTM Dates'!$E:$E)&amp;ROW($CJ73)&amp;":"&amp;XLOOKUP(EB$3,'TTM Dates'!$B:$B,'TTM Dates'!$C:$C)&amp;ROW($CJ73))))</f>
        <v>0</v>
      </c>
      <c r="EC73" s="136">
        <f t="array" ref="EC73">IF(EC$3&gt;'GAAP Summary'!$B$2,0,SUM(INDIRECT(XLOOKUP(EC$3,'TTM Dates'!$B:$B,'TTM Dates'!$E:$E)&amp;ROW($CJ73)&amp;":"&amp;XLOOKUP(EC$3,'TTM Dates'!$B:$B,'TTM Dates'!$C:$C)&amp;ROW($CJ73))))</f>
        <v>0</v>
      </c>
      <c r="ED73" s="136">
        <f t="array" ref="ED73">IF(ED$3&gt;'GAAP Summary'!$B$2,0,SUM(INDIRECT(XLOOKUP(ED$3,'TTM Dates'!$B:$B,'TTM Dates'!$E:$E)&amp;ROW($CJ73)&amp;":"&amp;XLOOKUP(ED$3,'TTM Dates'!$B:$B,'TTM Dates'!$C:$C)&amp;ROW($CJ73))))</f>
        <v>0</v>
      </c>
      <c r="EE73" s="136">
        <f t="array" ref="EE73">IF(EE$3&gt;'GAAP Summary'!$B$2,0,SUM(INDIRECT(XLOOKUP(EE$3,'TTM Dates'!$B:$B,'TTM Dates'!$E:$E)&amp;ROW($CJ73)&amp;":"&amp;XLOOKUP(EE$3,'TTM Dates'!$B:$B,'TTM Dates'!$C:$C)&amp;ROW($CJ73))))</f>
        <v>0</v>
      </c>
      <c r="EF73" s="136">
        <f t="array" ref="EF73">IF(EF$3&gt;'GAAP Summary'!$B$2,0,SUM(INDIRECT(XLOOKUP(EF$3,'TTM Dates'!$B:$B,'TTM Dates'!$E:$E)&amp;ROW($CJ73)&amp;":"&amp;XLOOKUP(EF$3,'TTM Dates'!$B:$B,'TTM Dates'!$C:$C)&amp;ROW($CJ73))))</f>
        <v>0</v>
      </c>
      <c r="EG73" s="136">
        <f t="array" ref="EG73">IF(EG$3&gt;'GAAP Summary'!$B$2,0,SUM(INDIRECT(XLOOKUP(EG$3,'TTM Dates'!$B:$B,'TTM Dates'!$E:$E)&amp;ROW($CJ73)&amp;":"&amp;XLOOKUP(EG$3,'TTM Dates'!$B:$B,'TTM Dates'!$C:$C)&amp;ROW($CJ73))))</f>
        <v>0</v>
      </c>
      <c r="EH73" s="136">
        <f t="array" ref="EH73">IF(EH$3&gt;'GAAP Summary'!$B$2,0,SUM(INDIRECT(XLOOKUP(EH$3,'TTM Dates'!$B:$B,'TTM Dates'!$E:$E)&amp;ROW($CJ73)&amp;":"&amp;XLOOKUP(EH$3,'TTM Dates'!$B:$B,'TTM Dates'!$C:$C)&amp;ROW($CJ73))))</f>
        <v>0</v>
      </c>
      <c r="EI73" s="136">
        <f t="array" ref="EI73">IF(EI$3&gt;'GAAP Summary'!$B$2,0,SUM(INDIRECT(XLOOKUP(EI$3,'TTM Dates'!$B:$B,'TTM Dates'!$E:$E)&amp;ROW($CJ73)&amp;":"&amp;XLOOKUP(EI$3,'TTM Dates'!$B:$B,'TTM Dates'!$C:$C)&amp;ROW($CJ73))))</f>
        <v>0</v>
      </c>
      <c r="EJ73" s="136">
        <f t="array" ref="EJ73">IF(EJ$3&gt;'GAAP Summary'!$B$2,0,SUM(INDIRECT(XLOOKUP(EJ$3,'TTM Dates'!$B:$B,'TTM Dates'!$E:$E)&amp;ROW($CJ73)&amp;":"&amp;XLOOKUP(EJ$3,'TTM Dates'!$B:$B,'TTM Dates'!$C:$C)&amp;ROW($CJ73))))</f>
        <v>0</v>
      </c>
      <c r="EK73" s="136">
        <f t="array" ref="EK73">IF(EK$3&gt;'GAAP Summary'!$B$2,0,SUM(INDIRECT(XLOOKUP(EK$3,'TTM Dates'!$B:$B,'TTM Dates'!$E:$E)&amp;ROW($CJ73)&amp;":"&amp;XLOOKUP(EK$3,'TTM Dates'!$B:$B,'TTM Dates'!$C:$C)&amp;ROW($CJ73))))</f>
        <v>0</v>
      </c>
      <c r="EL73" s="136">
        <f t="array" ref="EL73">IF(EL$3&gt;'GAAP Summary'!$B$2,0,SUM(INDIRECT(XLOOKUP(EL$3,'TTM Dates'!$B:$B,'TTM Dates'!$E:$E)&amp;ROW($CJ73)&amp;":"&amp;XLOOKUP(EL$3,'TTM Dates'!$B:$B,'TTM Dates'!$C:$C)&amp;ROW($CJ73))))</f>
        <v>0</v>
      </c>
      <c r="EM73" s="136">
        <f t="array" ref="EM73">IF(EM$3&gt;'GAAP Summary'!$B$2,0,SUM(INDIRECT(XLOOKUP(EM$3,'TTM Dates'!$B:$B,'TTM Dates'!$E:$E)&amp;ROW($CJ73)&amp;":"&amp;XLOOKUP(EM$3,'TTM Dates'!$B:$B,'TTM Dates'!$C:$C)&amp;ROW($CJ73))))</f>
        <v>0</v>
      </c>
      <c r="EN73" s="136">
        <f t="array" ref="EN73">IF(EN$3&gt;'GAAP Summary'!$B$2,0,SUM(INDIRECT(XLOOKUP(EN$3,'TTM Dates'!$B:$B,'TTM Dates'!$E:$E)&amp;ROW($CJ73)&amp;":"&amp;XLOOKUP(EN$3,'TTM Dates'!$B:$B,'TTM Dates'!$C:$C)&amp;ROW($CJ73))))</f>
        <v>0</v>
      </c>
      <c r="EO73" s="136">
        <f t="array" ref="EO73">IF(EO$3&gt;'GAAP Summary'!$B$2,0,SUM(INDIRECT(XLOOKUP(EO$3,'TTM Dates'!$B:$B,'TTM Dates'!$E:$E)&amp;ROW($CJ73)&amp;":"&amp;XLOOKUP(EO$3,'TTM Dates'!$B:$B,'TTM Dates'!$C:$C)&amp;ROW($CJ73))))</f>
        <v>0</v>
      </c>
      <c r="EP73" s="136">
        <f t="array" ref="EP73">IF(EP$3&gt;'GAAP Summary'!$B$2,0,SUM(INDIRECT(XLOOKUP(EP$3,'TTM Dates'!$B:$B,'TTM Dates'!$E:$E)&amp;ROW($CJ73)&amp;":"&amp;XLOOKUP(EP$3,'TTM Dates'!$B:$B,'TTM Dates'!$C:$C)&amp;ROW($CJ73))))</f>
        <v>0</v>
      </c>
      <c r="EQ73" s="136">
        <f t="array" ref="EQ73">IF(EQ$3&gt;'GAAP Summary'!$B$2,0,SUM(INDIRECT(XLOOKUP(EQ$3,'TTM Dates'!$B:$B,'TTM Dates'!$E:$E)&amp;ROW($CJ73)&amp;":"&amp;XLOOKUP(EQ$3,'TTM Dates'!$B:$B,'TTM Dates'!$C:$C)&amp;ROW($CJ73))))</f>
        <v>0</v>
      </c>
      <c r="ER73" s="136">
        <f t="array" ref="ER73">IF(ER$3&gt;'GAAP Summary'!$B$2,0,SUM(INDIRECT(XLOOKUP(ER$3,'TTM Dates'!$B:$B,'TTM Dates'!$E:$E)&amp;ROW($CJ73)&amp;":"&amp;XLOOKUP(ER$3,'TTM Dates'!$B:$B,'TTM Dates'!$C:$C)&amp;ROW($CJ73))))</f>
        <v>0</v>
      </c>
      <c r="ES73" s="136">
        <f t="array" ref="ES73">IF(ES$3&gt;'GAAP Summary'!$B$2,0,SUM(INDIRECT(XLOOKUP(ES$3,'TTM Dates'!$B:$B,'TTM Dates'!$E:$E)&amp;ROW($CJ73)&amp;":"&amp;XLOOKUP(ES$3,'TTM Dates'!$B:$B,'TTM Dates'!$C:$C)&amp;ROW($CJ73))))</f>
        <v>0</v>
      </c>
      <c r="ET73" s="136">
        <f t="array" ref="ET73">IF(ET$3&gt;'GAAP Summary'!$B$2,0,SUM(INDIRECT(XLOOKUP(ET$3,'TTM Dates'!$B:$B,'TTM Dates'!$E:$E)&amp;ROW($CJ73)&amp;":"&amp;XLOOKUP(ET$3,'TTM Dates'!$B:$B,'TTM Dates'!$C:$C)&amp;ROW($CJ73))))</f>
        <v>0</v>
      </c>
      <c r="EU73" s="136">
        <f t="array" ref="EU73">IF(EU$3&gt;'GAAP Summary'!$B$2,0,SUM(INDIRECT(XLOOKUP(EU$3,'TTM Dates'!$B:$B,'TTM Dates'!$E:$E)&amp;ROW($CJ73)&amp;":"&amp;XLOOKUP(EU$3,'TTM Dates'!$B:$B,'TTM Dates'!$C:$C)&amp;ROW($CJ73))))</f>
        <v>0</v>
      </c>
      <c r="EV73" s="136">
        <f t="array" ref="EV73">IF(EV$3&gt;'GAAP Summary'!$B$2,0,SUM(INDIRECT(XLOOKUP(EV$3,'TTM Dates'!$B:$B,'TTM Dates'!$E:$E)&amp;ROW($CJ73)&amp;":"&amp;XLOOKUP(EV$3,'TTM Dates'!$B:$B,'TTM Dates'!$C:$C)&amp;ROW($CJ73))))</f>
        <v>0</v>
      </c>
      <c r="EW73" s="136">
        <f t="array" ref="EW73">IF(EW$3&gt;'GAAP Summary'!$B$2,0,SUM(INDIRECT(XLOOKUP(EW$3,'TTM Dates'!$B:$B,'TTM Dates'!$E:$E)&amp;ROW($CJ73)&amp;":"&amp;XLOOKUP(EW$3,'TTM Dates'!$B:$B,'TTM Dates'!$C:$C)&amp;ROW($CJ73))))</f>
        <v>0</v>
      </c>
      <c r="EX73" s="136">
        <f t="array" ref="EX73">IF(EX$3&gt;'GAAP Summary'!$B$2,0,SUM(INDIRECT(XLOOKUP(EX$3,'TTM Dates'!$B:$B,'TTM Dates'!$E:$E)&amp;ROW($CJ73)&amp;":"&amp;XLOOKUP(EX$3,'TTM Dates'!$B:$B,'TTM Dates'!$C:$C)&amp;ROW($CJ73))))</f>
        <v>0</v>
      </c>
      <c r="EY73" s="136">
        <f t="array" ref="EY73">IF(EY$3&gt;'GAAP Summary'!$B$2,0,SUM(INDIRECT(XLOOKUP(EY$3,'TTM Dates'!$B:$B,'TTM Dates'!$E:$E)&amp;ROW($CJ73)&amp;":"&amp;XLOOKUP(EY$3,'TTM Dates'!$B:$B,'TTM Dates'!$C:$C)&amp;ROW($CJ73))))</f>
        <v>0</v>
      </c>
      <c r="EZ73" s="136">
        <f t="array" ref="EZ73">IF(EZ$3&gt;'GAAP Summary'!$B$2,0,SUM(INDIRECT(XLOOKUP(EZ$3,'TTM Dates'!$B:$B,'TTM Dates'!$E:$E)&amp;ROW($CJ73)&amp;":"&amp;XLOOKUP(EZ$3,'TTM Dates'!$B:$B,'TTM Dates'!$C:$C)&amp;ROW($CJ73))))</f>
        <v>0</v>
      </c>
      <c r="FA73" s="136">
        <f t="array" ref="FA73">IF(FA$3&gt;'GAAP Summary'!$B$2,0,SUM(INDIRECT(XLOOKUP(FA$3,'TTM Dates'!$B:$B,'TTM Dates'!$E:$E)&amp;ROW($CJ73)&amp;":"&amp;XLOOKUP(FA$3,'TTM Dates'!$B:$B,'TTM Dates'!$C:$C)&amp;ROW($CJ73))))</f>
        <v>0</v>
      </c>
      <c r="FB73" s="136">
        <f t="array" ref="FB73">IF(FB$3&gt;'GAAP Summary'!$B$2,0,SUM(INDIRECT(XLOOKUP(FB$3,'TTM Dates'!$B:$B,'TTM Dates'!$E:$E)&amp;ROW($CJ73)&amp;":"&amp;XLOOKUP(FB$3,'TTM Dates'!$B:$B,'TTM Dates'!$C:$C)&amp;ROW($CJ73))))</f>
        <v>0</v>
      </c>
      <c r="FC73" s="136">
        <f t="array" ref="FC73">IF(FC$3&gt;'GAAP Summary'!$B$2,0,SUM(INDIRECT(XLOOKUP(FC$3,'TTM Dates'!$B:$B,'TTM Dates'!$E:$E)&amp;ROW($CJ73)&amp;":"&amp;XLOOKUP(FC$3,'TTM Dates'!$B:$B,'TTM Dates'!$C:$C)&amp;ROW($CJ73))))</f>
        <v>0</v>
      </c>
      <c r="FD73" s="136">
        <f t="array" ref="FD73">IF(FD$3&gt;'GAAP Summary'!$B$2,0,SUM(INDIRECT(XLOOKUP(FD$3,'TTM Dates'!$B:$B,'TTM Dates'!$E:$E)&amp;ROW($CJ73)&amp;":"&amp;XLOOKUP(FD$3,'TTM Dates'!$B:$B,'TTM Dates'!$C:$C)&amp;ROW($CJ73))))</f>
        <v>0</v>
      </c>
      <c r="FE73" s="136">
        <f t="array" ref="FE73">IF(FE$3&gt;'GAAP Summary'!$B$2,0,SUM(INDIRECT(XLOOKUP(FE$3,'TTM Dates'!$B:$B,'TTM Dates'!$E:$E)&amp;ROW($CJ73)&amp;":"&amp;XLOOKUP(FE$3,'TTM Dates'!$B:$B,'TTM Dates'!$C:$C)&amp;ROW($CJ73))))</f>
        <v>0</v>
      </c>
      <c r="FF73" s="136">
        <f t="array" ref="FF73">IF(FF$3&gt;'GAAP Summary'!$B$2,0,SUM(INDIRECT(XLOOKUP(FF$3,'TTM Dates'!$B:$B,'TTM Dates'!$E:$E)&amp;ROW($CJ73)&amp;":"&amp;XLOOKUP(FF$3,'TTM Dates'!$B:$B,'TTM Dates'!$C:$C)&amp;ROW($CJ73))))</f>
        <v>0</v>
      </c>
      <c r="FG73" s="136">
        <f t="array" ref="FG73">IF(FG$3&gt;'GAAP Summary'!$B$2,0,SUM(INDIRECT(XLOOKUP(FG$3,'TTM Dates'!$B:$B,'TTM Dates'!$E:$E)&amp;ROW($CJ73)&amp;":"&amp;XLOOKUP(FG$3,'TTM Dates'!$B:$B,'TTM Dates'!$C:$C)&amp;ROW($CJ73))))</f>
        <v>0</v>
      </c>
      <c r="FH73" s="136">
        <f t="array" ref="FH73">IF(FH$3&gt;'GAAP Summary'!$B$2,0,SUM(INDIRECT(XLOOKUP(FH$3,'TTM Dates'!$B:$B,'TTM Dates'!$E:$E)&amp;ROW($CJ73)&amp;":"&amp;XLOOKUP(FH$3,'TTM Dates'!$B:$B,'TTM Dates'!$C:$C)&amp;ROW($CJ73))))</f>
        <v>0</v>
      </c>
      <c r="FI73" s="136">
        <f t="array" ref="FI73">IF(FI$3&gt;'GAAP Summary'!$B$2,0,SUM(INDIRECT(XLOOKUP(FI$3,'TTM Dates'!$B:$B,'TTM Dates'!$E:$E)&amp;ROW($CJ73)&amp;":"&amp;XLOOKUP(FI$3,'TTM Dates'!$B:$B,'TTM Dates'!$C:$C)&amp;ROW($CJ73))))</f>
        <v>0</v>
      </c>
      <c r="FJ73" s="136">
        <f t="array" ref="FJ73">IF(FJ$3&gt;'GAAP Summary'!$B$2,0,SUM(INDIRECT(XLOOKUP(FJ$3,'TTM Dates'!$B:$B,'TTM Dates'!$E:$E)&amp;ROW($CJ73)&amp;":"&amp;XLOOKUP(FJ$3,'TTM Dates'!$B:$B,'TTM Dates'!$C:$C)&amp;ROW($CJ73))))</f>
        <v>0</v>
      </c>
      <c r="FK73" s="136">
        <f t="array" ref="FK73">IF(FK$3&gt;'GAAP Summary'!$B$2,0,SUM(INDIRECT(XLOOKUP(FK$3,'TTM Dates'!$B:$B,'TTM Dates'!$E:$E)&amp;ROW($CJ73)&amp;":"&amp;XLOOKUP(FK$3,'TTM Dates'!$B:$B,'TTM Dates'!$C:$C)&amp;ROW($CJ73))))</f>
        <v>0</v>
      </c>
      <c r="FL73" s="136">
        <f t="array" ref="FL73">IF(FL$3&gt;'GAAP Summary'!$B$2,0,SUM(INDIRECT(XLOOKUP(FL$3,'TTM Dates'!$B:$B,'TTM Dates'!$E:$E)&amp;ROW($CJ73)&amp;":"&amp;XLOOKUP(FL$3,'TTM Dates'!$B:$B,'TTM Dates'!$C:$C)&amp;ROW($CJ73))))</f>
        <v>0</v>
      </c>
      <c r="FM73" s="136">
        <f t="array" ref="FM73">IF(FM$3&gt;'GAAP Summary'!$B$2,0,SUM(INDIRECT(XLOOKUP(FM$3,'TTM Dates'!$B:$B,'TTM Dates'!$E:$E)&amp;ROW($CJ73)&amp;":"&amp;XLOOKUP(FM$3,'TTM Dates'!$B:$B,'TTM Dates'!$C:$C)&amp;ROW($CJ73))))</f>
        <v>0</v>
      </c>
      <c r="FN73" s="136">
        <f t="array" ref="FN73">IF(FN$3&gt;'GAAP Summary'!$B$2,0,SUM(INDIRECT(XLOOKUP(FN$3,'TTM Dates'!$B:$B,'TTM Dates'!$E:$E)&amp;ROW($CJ73)&amp;":"&amp;XLOOKUP(FN$3,'TTM Dates'!$B:$B,'TTM Dates'!$C:$C)&amp;ROW($CJ73))))</f>
        <v>0</v>
      </c>
      <c r="FO73" s="136">
        <f t="array" ref="FO73">IF(FO$3&gt;'GAAP Summary'!$B$2,0,SUM(INDIRECT(XLOOKUP(FO$3,'TTM Dates'!$B:$B,'TTM Dates'!$E:$E)&amp;ROW($CJ73)&amp;":"&amp;XLOOKUP(FO$3,'TTM Dates'!$B:$B,'TTM Dates'!$C:$C)&amp;ROW($CJ73))))</f>
        <v>0</v>
      </c>
      <c r="FP73" s="136">
        <f t="array" ref="FP73">IF(FP$3&gt;'GAAP Summary'!$B$2,0,SUM(INDIRECT(XLOOKUP(FP$3,'TTM Dates'!$B:$B,'TTM Dates'!$E:$E)&amp;ROW($CJ73)&amp;":"&amp;XLOOKUP(FP$3,'TTM Dates'!$B:$B,'TTM Dates'!$C:$C)&amp;ROW($CJ73))))</f>
        <v>0</v>
      </c>
      <c r="FQ73" s="136">
        <f t="array" ref="FQ73">IF(FQ$3&gt;'GAAP Summary'!$B$2,0,SUM(INDIRECT(XLOOKUP(FQ$3,'TTM Dates'!$B:$B,'TTM Dates'!$E:$E)&amp;ROW($CJ73)&amp;":"&amp;XLOOKUP(FQ$3,'TTM Dates'!$B:$B,'TTM Dates'!$C:$C)&amp;ROW($CJ73))))</f>
        <v>0</v>
      </c>
      <c r="FR73" s="136">
        <f t="array" ref="FR73">IF(FR$3&gt;'GAAP Summary'!$B$2,0,SUM(INDIRECT(XLOOKUP(FR$3,'TTM Dates'!$B:$B,'TTM Dates'!$E:$E)&amp;ROW($CJ73)&amp;":"&amp;XLOOKUP(FR$3,'TTM Dates'!$B:$B,'TTM Dates'!$C:$C)&amp;ROW($CJ73))))</f>
        <v>0</v>
      </c>
      <c r="FS73" s="136">
        <f t="array" ref="FS73">IF(FS$3&gt;'GAAP Summary'!$B$2,0,SUM(INDIRECT(XLOOKUP(FS$3,'TTM Dates'!$B:$B,'TTM Dates'!$E:$E)&amp;ROW($CJ73)&amp;":"&amp;XLOOKUP(FS$3,'TTM Dates'!$B:$B,'TTM Dates'!$C:$C)&amp;ROW($CJ73))))</f>
        <v>0</v>
      </c>
      <c r="FT73" s="136">
        <f t="array" ref="FT73">IF(FT$3&gt;'GAAP Summary'!$B$2,0,SUM(INDIRECT(XLOOKUP(FT$3,'TTM Dates'!$B:$B,'TTM Dates'!$E:$E)&amp;ROW($CJ73)&amp;":"&amp;XLOOKUP(FT$3,'TTM Dates'!$B:$B,'TTM Dates'!$C:$C)&amp;ROW($CJ73))))</f>
        <v>0</v>
      </c>
      <c r="FU73" s="136">
        <f t="array" ref="FU73">IF(FU$3&gt;'GAAP Summary'!$B$2,0,SUM(INDIRECT(XLOOKUP(FU$3,'TTM Dates'!$B:$B,'TTM Dates'!$E:$E)&amp;ROW($CJ73)&amp;":"&amp;XLOOKUP(FU$3,'TTM Dates'!$B:$B,'TTM Dates'!$C:$C)&amp;ROW($CJ73))))</f>
        <v>0</v>
      </c>
      <c r="FV73" s="136">
        <f t="array" ref="FV73">IF(FV$3&gt;'GAAP Summary'!$B$2,0,SUM(INDIRECT(XLOOKUP(FV$3,'TTM Dates'!$B:$B,'TTM Dates'!$E:$E)&amp;ROW($CJ73)&amp;":"&amp;XLOOKUP(FV$3,'TTM Dates'!$B:$B,'TTM Dates'!$C:$C)&amp;ROW($CJ73))))</f>
        <v>0</v>
      </c>
      <c r="FW73" s="136">
        <f t="array" ref="FW73">IF(FW$3&gt;'GAAP Summary'!$B$2,0,SUM(INDIRECT(XLOOKUP(FW$3,'TTM Dates'!$B:$B,'TTM Dates'!$E:$E)&amp;ROW($CJ73)&amp;":"&amp;XLOOKUP(FW$3,'TTM Dates'!$B:$B,'TTM Dates'!$C:$C)&amp;ROW($CJ73))))</f>
        <v>0</v>
      </c>
      <c r="FX73" s="136">
        <f t="array" ref="FX73">IF(FX$3&gt;'GAAP Summary'!$B$2,0,SUM(INDIRECT(XLOOKUP(FX$3,'TTM Dates'!$B:$B,'TTM Dates'!$E:$E)&amp;ROW($CJ73)&amp;":"&amp;XLOOKUP(FX$3,'TTM Dates'!$B:$B,'TTM Dates'!$C:$C)&amp;ROW($CJ73))))</f>
        <v>0</v>
      </c>
      <c r="FY73" s="136">
        <f t="array" ref="FY73">IF(FY$3&gt;'GAAP Summary'!$B$2,0,SUM(INDIRECT(XLOOKUP(FY$3,'TTM Dates'!$B:$B,'TTM Dates'!$E:$E)&amp;ROW($CJ73)&amp;":"&amp;XLOOKUP(FY$3,'TTM Dates'!$B:$B,'TTM Dates'!$C:$C)&amp;ROW($CJ73))))</f>
        <v>0</v>
      </c>
      <c r="FZ73" s="136">
        <f t="array" ref="FZ73">IF(FZ$3&gt;'GAAP Summary'!$B$2,0,SUM(INDIRECT(XLOOKUP(FZ$3,'TTM Dates'!$B:$B,'TTM Dates'!$E:$E)&amp;ROW($CJ73)&amp;":"&amp;XLOOKUP(FZ$3,'TTM Dates'!$B:$B,'TTM Dates'!$C:$C)&amp;ROW($CJ73))))</f>
        <v>0</v>
      </c>
      <c r="GA73" s="136">
        <f t="array" ref="GA73">IF(GA$3&gt;'GAAP Summary'!$B$2,0,SUM(INDIRECT(XLOOKUP(GA$3,'TTM Dates'!$B:$B,'TTM Dates'!$E:$E)&amp;ROW($CJ73)&amp;":"&amp;XLOOKUP(GA$3,'TTM Dates'!$B:$B,'TTM Dates'!$C:$C)&amp;ROW($CJ73))))</f>
        <v>0</v>
      </c>
      <c r="GB73" s="136">
        <f t="array" ref="GB73">IF(GB$3&gt;'GAAP Summary'!$B$2,0,SUM(INDIRECT(XLOOKUP(GB$3,'TTM Dates'!$B:$B,'TTM Dates'!$E:$E)&amp;ROW($CJ73)&amp;":"&amp;XLOOKUP(GB$3,'TTM Dates'!$B:$B,'TTM Dates'!$C:$C)&amp;ROW($CJ73))))</f>
        <v>0</v>
      </c>
      <c r="GC73" s="136">
        <f t="array" ref="GC73">IF(GC$3&gt;'GAAP Summary'!$B$2,0,SUM(INDIRECT(XLOOKUP(GC$3,'TTM Dates'!$B:$B,'TTM Dates'!$E:$E)&amp;ROW($CJ73)&amp;":"&amp;XLOOKUP(GC$3,'TTM Dates'!$B:$B,'TTM Dates'!$C:$C)&amp;ROW($CJ73))))</f>
        <v>0</v>
      </c>
      <c r="GD73" s="136">
        <f t="array" ref="GD73">IF(GD$3&gt;'GAAP Summary'!$B$2,0,SUM(INDIRECT(XLOOKUP(GD$3,'TTM Dates'!$B:$B,'TTM Dates'!$E:$E)&amp;ROW($CJ73)&amp;":"&amp;XLOOKUP(GD$3,'TTM Dates'!$B:$B,'TTM Dates'!$C:$C)&amp;ROW($CJ73))))</f>
        <v>0</v>
      </c>
      <c r="GE73" s="136">
        <f t="array" ref="GE73">IF(GE$3&gt;'GAAP Summary'!$B$2,0,SUM(INDIRECT(XLOOKUP(GE$3,'TTM Dates'!$B:$B,'TTM Dates'!$E:$E)&amp;ROW($CJ73)&amp;":"&amp;XLOOKUP(GE$3,'TTM Dates'!$B:$B,'TTM Dates'!$C:$C)&amp;ROW($CJ73))))</f>
        <v>0</v>
      </c>
      <c r="GF73" s="136">
        <f t="array" ref="GF73">IF(GF$3&gt;'GAAP Summary'!$B$2,0,SUM(INDIRECT(XLOOKUP(GF$3,'TTM Dates'!$B:$B,'TTM Dates'!$E:$E)&amp;ROW($CJ73)&amp;":"&amp;XLOOKUP(GF$3,'TTM Dates'!$B:$B,'TTM Dates'!$C:$C)&amp;ROW($CJ73))))</f>
        <v>0</v>
      </c>
      <c r="GG73" s="136">
        <f t="array" ref="GG73">IF(GG$3&gt;'GAAP Summary'!$B$2,0,SUM(INDIRECT(XLOOKUP(GG$3,'TTM Dates'!$B:$B,'TTM Dates'!$E:$E)&amp;ROW($CJ73)&amp;":"&amp;XLOOKUP(GG$3,'TTM Dates'!$B:$B,'TTM Dates'!$C:$C)&amp;ROW($CJ73))))</f>
        <v>0</v>
      </c>
      <c r="GH73" s="136">
        <f t="array" ref="GH73">IF(GH$3&gt;'GAAP Summary'!$B$2,0,SUM(INDIRECT(XLOOKUP(GH$3,'TTM Dates'!$B:$B,'TTM Dates'!$E:$E)&amp;ROW($CJ73)&amp;":"&amp;XLOOKUP(GH$3,'TTM Dates'!$B:$B,'TTM Dates'!$C:$C)&amp;ROW($CJ73))))</f>
        <v>0</v>
      </c>
      <c r="GI73" s="136">
        <f t="array" ref="GI73">IF(GI$3&gt;'GAAP Summary'!$B$2,0,SUM(INDIRECT(XLOOKUP(GI$3,'TTM Dates'!$B:$B,'TTM Dates'!$E:$E)&amp;ROW($CJ73)&amp;":"&amp;XLOOKUP(GI$3,'TTM Dates'!$B:$B,'TTM Dates'!$C:$C)&amp;ROW($CJ73))))</f>
        <v>0</v>
      </c>
      <c r="GJ73" s="136">
        <f t="array" ref="GJ73">IF(GJ$3&gt;'GAAP Summary'!$B$2,0,SUM(INDIRECT(XLOOKUP(GJ$3,'TTM Dates'!$B:$B,'TTM Dates'!$E:$E)&amp;ROW($CJ73)&amp;":"&amp;XLOOKUP(GJ$3,'TTM Dates'!$B:$B,'TTM Dates'!$C:$C)&amp;ROW($CJ73))))</f>
        <v>0</v>
      </c>
      <c r="GK73" s="136">
        <f t="array" ref="GK73">IF(GK$3&gt;'GAAP Summary'!$B$2,0,SUM(INDIRECT(XLOOKUP(GK$3,'TTM Dates'!$B:$B,'TTM Dates'!$E:$E)&amp;ROW($CJ73)&amp;":"&amp;XLOOKUP(GK$3,'TTM Dates'!$B:$B,'TTM Dates'!$C:$C)&amp;ROW($CJ73))))</f>
        <v>0</v>
      </c>
      <c r="GL73" s="136">
        <f t="array" ref="GL73">IF(GL$3&gt;'GAAP Summary'!$B$2,0,SUM(INDIRECT(XLOOKUP(GL$3,'TTM Dates'!$B:$B,'TTM Dates'!$E:$E)&amp;ROW($CJ73)&amp;":"&amp;XLOOKUP(GL$3,'TTM Dates'!$B:$B,'TTM Dates'!$C:$C)&amp;ROW($CJ73))))</f>
        <v>0</v>
      </c>
      <c r="GM73" s="136"/>
    </row>
    <row r="74">
      <c r="B74" s="280" t="s">
        <v>297</v>
      </c>
      <c r="C74" s="108">
        <f t="shared" ref="C74:Z74" si="168">SUM(C75:C77)</f>
        <v>0</v>
      </c>
      <c r="D74" s="108">
        <f t="shared" si="168"/>
        <v>0</v>
      </c>
      <c r="E74" s="108">
        <f t="shared" si="168"/>
        <v>0</v>
      </c>
      <c r="F74" s="108">
        <f t="shared" si="168"/>
        <v>0</v>
      </c>
      <c r="G74" s="108">
        <f t="shared" si="168"/>
        <v>0</v>
      </c>
      <c r="H74" s="108">
        <f t="shared" si="168"/>
        <v>0</v>
      </c>
      <c r="I74" s="108">
        <f t="shared" si="168"/>
        <v>0</v>
      </c>
      <c r="J74" s="108">
        <f t="shared" si="168"/>
        <v>0</v>
      </c>
      <c r="K74" s="108">
        <f t="shared" si="168"/>
        <v>0</v>
      </c>
      <c r="L74" s="108">
        <f t="shared" si="168"/>
        <v>0</v>
      </c>
      <c r="M74" s="108">
        <f t="shared" si="168"/>
        <v>0</v>
      </c>
      <c r="N74" s="108">
        <f t="shared" si="168"/>
        <v>0</v>
      </c>
      <c r="O74" s="108">
        <f t="shared" si="168"/>
        <v>0</v>
      </c>
      <c r="P74" s="108">
        <f t="shared" si="168"/>
        <v>0</v>
      </c>
      <c r="Q74" s="108">
        <f t="shared" si="168"/>
        <v>0</v>
      </c>
      <c r="R74" s="108">
        <f t="shared" si="168"/>
        <v>0</v>
      </c>
      <c r="S74" s="108">
        <f t="shared" si="168"/>
        <v>0</v>
      </c>
      <c r="T74" s="108">
        <f t="shared" si="168"/>
        <v>0</v>
      </c>
      <c r="U74" s="108">
        <f t="shared" si="168"/>
        <v>0</v>
      </c>
      <c r="V74" s="108">
        <f t="shared" si="168"/>
        <v>0</v>
      </c>
      <c r="W74" s="108">
        <f t="shared" si="168"/>
        <v>0</v>
      </c>
      <c r="X74" s="108">
        <f t="shared" si="168"/>
        <v>0</v>
      </c>
      <c r="Y74" s="108">
        <f t="shared" si="168"/>
        <v>0</v>
      </c>
      <c r="Z74" s="108">
        <f t="shared" si="168"/>
        <v>0</v>
      </c>
      <c r="AA74" s="352">
        <v>316042.0</v>
      </c>
      <c r="AB74" s="352">
        <v>329104.0</v>
      </c>
      <c r="AC74" s="352">
        <v>343840.0</v>
      </c>
      <c r="AD74" s="352">
        <v>326413.0</v>
      </c>
      <c r="AE74" s="352">
        <v>326413.0</v>
      </c>
      <c r="AF74" s="352">
        <v>347275.0</v>
      </c>
      <c r="AG74" s="352">
        <v>332800.0</v>
      </c>
      <c r="AH74" s="352">
        <v>348966.0</v>
      </c>
      <c r="AI74" s="352">
        <v>366089.0</v>
      </c>
      <c r="AJ74" s="352">
        <v>363389.0</v>
      </c>
      <c r="AK74" s="352">
        <v>379387.0</v>
      </c>
      <c r="AL74" s="352">
        <v>379387.0</v>
      </c>
      <c r="AM74" s="352">
        <v>504622.0</v>
      </c>
      <c r="AN74" s="352">
        <v>448787.0</v>
      </c>
      <c r="AO74" s="352">
        <v>566310.0</v>
      </c>
      <c r="AP74" s="352">
        <v>558635.0</v>
      </c>
      <c r="AQ74" s="352">
        <v>609628.0</v>
      </c>
      <c r="AR74" s="352">
        <v>642142.0</v>
      </c>
      <c r="AS74" s="352">
        <v>780132.0</v>
      </c>
      <c r="AT74" s="352">
        <v>639478.0</v>
      </c>
      <c r="AU74" s="352">
        <v>699620.0</v>
      </c>
      <c r="AV74" s="352">
        <v>756693.0</v>
      </c>
      <c r="AW74" s="352">
        <v>759401.0</v>
      </c>
      <c r="AX74" s="352">
        <v>618302.0</v>
      </c>
      <c r="AY74" s="352">
        <v>849306.0</v>
      </c>
      <c r="AZ74" s="352">
        <v>673323.0</v>
      </c>
      <c r="BA74" s="352">
        <v>769356.0</v>
      </c>
      <c r="BB74" s="352">
        <v>774307.0</v>
      </c>
      <c r="BC74" s="352">
        <v>724301.0</v>
      </c>
      <c r="BD74" s="352">
        <v>752863.0</v>
      </c>
      <c r="BE74" s="352">
        <v>875098.0</v>
      </c>
      <c r="BF74" s="352">
        <v>677594.0</v>
      </c>
      <c r="BG74" s="352">
        <v>780849.0</v>
      </c>
      <c r="BH74" s="352">
        <v>809566.0</v>
      </c>
      <c r="BI74" s="352">
        <v>726097.0</v>
      </c>
      <c r="BJ74" s="352">
        <v>868026.0</v>
      </c>
      <c r="BK74" s="352">
        <v>892047.0</v>
      </c>
      <c r="BL74" s="352">
        <v>622086.0</v>
      </c>
      <c r="BM74" s="352">
        <v>698078.0</v>
      </c>
      <c r="BN74" s="352">
        <v>1043790.0</v>
      </c>
      <c r="BO74" s="352">
        <v>782003.0</v>
      </c>
      <c r="BP74" s="352">
        <v>771751.0</v>
      </c>
      <c r="BQ74" s="352">
        <v>881455.0</v>
      </c>
      <c r="BR74" s="352">
        <v>743331.0</v>
      </c>
      <c r="BS74" s="352">
        <v>0.0</v>
      </c>
      <c r="BT74" s="352">
        <v>0.0</v>
      </c>
      <c r="BU74" s="352">
        <v>0.0</v>
      </c>
      <c r="BV74" s="352">
        <v>0.0</v>
      </c>
      <c r="BW74" s="289">
        <v>0.0</v>
      </c>
      <c r="BX74" s="289">
        <v>0.0</v>
      </c>
      <c r="BY74" s="289">
        <v>0.0</v>
      </c>
      <c r="BZ74" s="289">
        <v>0.0</v>
      </c>
      <c r="CA74" s="289">
        <v>0.0</v>
      </c>
      <c r="CB74" s="289">
        <v>0.0</v>
      </c>
      <c r="CC74" s="289">
        <v>0.0</v>
      </c>
      <c r="CD74" s="289">
        <v>0.0</v>
      </c>
      <c r="CE74" s="289">
        <v>0.0</v>
      </c>
      <c r="CF74" s="289">
        <v>0.0</v>
      </c>
      <c r="CG74" s="289">
        <v>0.0</v>
      </c>
      <c r="CH74" s="289">
        <v>0.0</v>
      </c>
      <c r="CI74" s="33"/>
      <c r="CJ74" s="33"/>
      <c r="CK74" s="290">
        <f t="array" ref="CK74">SUM(INDIRECT(XLOOKUP('GAAP Summary'!$B$2,'TTM Dates'!$B:$B,'TTM Dates'!$E:$E)&amp;ROW($CJ74)&amp;":"&amp;XLOOKUP('GAAP Summary'!$B$2,'TTM Dates'!$B:$B,'TTM Dates'!$C:$C)&amp;ROW($CJ74)))</f>
        <v>1624786</v>
      </c>
      <c r="CL74" s="49"/>
      <c r="CM74" s="108">
        <f t="shared" si="144"/>
        <v>0</v>
      </c>
      <c r="CN74" s="108">
        <f t="shared" si="145"/>
        <v>0</v>
      </c>
      <c r="CO74" s="108">
        <f t="shared" si="146"/>
        <v>0</v>
      </c>
      <c r="CP74" s="108">
        <f t="shared" si="147"/>
        <v>0</v>
      </c>
      <c r="CQ74" s="290">
        <f t="shared" si="148"/>
        <v>0</v>
      </c>
      <c r="CR74" s="108"/>
      <c r="CS74" s="108">
        <f t="shared" si="149"/>
        <v>2212211</v>
      </c>
      <c r="CT74" s="108">
        <f t="shared" si="150"/>
        <v>2597544</v>
      </c>
      <c r="CU74" s="108">
        <f t="shared" si="151"/>
        <v>1624786</v>
      </c>
      <c r="CV74" s="108">
        <f t="shared" si="152"/>
        <v>0</v>
      </c>
      <c r="CW74" s="282">
        <f t="shared" si="153"/>
        <v>6434541</v>
      </c>
      <c r="CX74" s="49"/>
      <c r="CY74" s="108">
        <f t="shared" si="154"/>
        <v>2291985</v>
      </c>
      <c r="CZ74" s="108">
        <f t="shared" si="155"/>
        <v>2251471</v>
      </c>
      <c r="DA74" s="108">
        <f t="shared" si="156"/>
        <v>2333541</v>
      </c>
      <c r="DB74" s="108">
        <f t="shared" si="157"/>
        <v>2403689</v>
      </c>
      <c r="DC74" s="282">
        <f t="shared" si="158"/>
        <v>9280686</v>
      </c>
      <c r="DD74" s="283"/>
      <c r="DE74" s="108">
        <f t="shared" si="159"/>
        <v>1519719</v>
      </c>
      <c r="DF74" s="108">
        <f t="shared" si="160"/>
        <v>1810405</v>
      </c>
      <c r="DG74" s="108">
        <f t="shared" si="161"/>
        <v>2119230</v>
      </c>
      <c r="DH74" s="108">
        <f t="shared" si="162"/>
        <v>2134396</v>
      </c>
      <c r="DI74" s="282">
        <f t="shared" si="163"/>
        <v>7583750</v>
      </c>
      <c r="DJ74" s="283"/>
      <c r="DK74" s="108">
        <f>sum(AA74:AC74)</f>
        <v>988986</v>
      </c>
      <c r="DL74" s="108">
        <f>sum(AD74:AF74)</f>
        <v>1000101</v>
      </c>
      <c r="DM74" s="108">
        <f>sum(AG74:AI74)</f>
        <v>1047855</v>
      </c>
      <c r="DN74" s="108">
        <f>sum(AJ74:AL74)</f>
        <v>1122163</v>
      </c>
      <c r="DO74" s="282">
        <f>sum(AA74:AL74)</f>
        <v>4159105</v>
      </c>
      <c r="DP74" s="283"/>
      <c r="DQ74" s="282">
        <f>SUM(O74:Z74)</f>
        <v>0</v>
      </c>
      <c r="DR74" s="136"/>
      <c r="DS74" s="286">
        <f t="array" ref="DS74">IF(DS$3&gt;'GAAP Summary'!$B$2,0,SUM(INDIRECT(XLOOKUP(DS$3,'TTM Dates'!$B:$B,'TTM Dates'!$E:$E)&amp;ROW($CJ74)&amp;":"&amp;XLOOKUP(DS$3,'TTM Dates'!$B:$B,'TTM Dates'!$C:$C)&amp;ROW($CJ74))))</f>
        <v>0</v>
      </c>
      <c r="DT74" s="286">
        <f t="array" ref="DT74">IF(DT$3&gt;'GAAP Summary'!$B$2,0,SUM(INDIRECT(XLOOKUP(DT$3,'TTM Dates'!$B:$B,'TTM Dates'!$E:$E)&amp;ROW($CJ74)&amp;":"&amp;XLOOKUP(DT$3,'TTM Dates'!$B:$B,'TTM Dates'!$C:$C)&amp;ROW($CJ74))))</f>
        <v>0</v>
      </c>
      <c r="DU74" s="286">
        <f t="array" ref="DU74">IF(DU$3&gt;'GAAP Summary'!$B$2,0,SUM(INDIRECT(XLOOKUP(DU$3,'TTM Dates'!$B:$B,'TTM Dates'!$E:$E)&amp;ROW($CJ74)&amp;":"&amp;XLOOKUP(DU$3,'TTM Dates'!$B:$B,'TTM Dates'!$C:$C)&amp;ROW($CJ74))))</f>
        <v>0</v>
      </c>
      <c r="DV74" s="286">
        <f t="array" ref="DV74">IF(DV$3&gt;'GAAP Summary'!$B$2,0,SUM(INDIRECT(XLOOKUP(DV$3,'TTM Dates'!$B:$B,'TTM Dates'!$E:$E)&amp;ROW($CJ74)&amp;":"&amp;XLOOKUP(DV$3,'TTM Dates'!$B:$B,'TTM Dates'!$C:$C)&amp;ROW($CJ74))))</f>
        <v>0</v>
      </c>
      <c r="DW74" s="286">
        <f t="array" ref="DW74">IF(DW$3&gt;'GAAP Summary'!$B$2,0,SUM(INDIRECT(XLOOKUP(DW$3,'TTM Dates'!$B:$B,'TTM Dates'!$E:$E)&amp;ROW($CJ74)&amp;":"&amp;XLOOKUP(DW$3,'TTM Dates'!$B:$B,'TTM Dates'!$C:$C)&amp;ROW($CJ74))))</f>
        <v>0</v>
      </c>
      <c r="DX74" s="286">
        <f t="array" ref="DX74">IF(DX$3&gt;'GAAP Summary'!$B$2,0,SUM(INDIRECT(XLOOKUP(DX$3,'TTM Dates'!$B:$B,'TTM Dates'!$E:$E)&amp;ROW($CJ74)&amp;":"&amp;XLOOKUP(DX$3,'TTM Dates'!$B:$B,'TTM Dates'!$C:$C)&amp;ROW($CJ74))))</f>
        <v>0</v>
      </c>
      <c r="DY74" s="286">
        <f t="array" ref="DY74">IF(DY$3&gt;'GAAP Summary'!$B$2,0,SUM(INDIRECT(XLOOKUP(DY$3,'TTM Dates'!$B:$B,'TTM Dates'!$E:$E)&amp;ROW($CJ74)&amp;":"&amp;XLOOKUP(DY$3,'TTM Dates'!$B:$B,'TTM Dates'!$C:$C)&amp;ROW($CJ74))))</f>
        <v>0</v>
      </c>
      <c r="DZ74" s="286">
        <f t="array" ref="DZ74">IF(DZ$3&gt;'GAAP Summary'!$B$2,0,SUM(INDIRECT(XLOOKUP(DZ$3,'TTM Dates'!$B:$B,'TTM Dates'!$E:$E)&amp;ROW($CJ74)&amp;":"&amp;XLOOKUP(DZ$3,'TTM Dates'!$B:$B,'TTM Dates'!$C:$C)&amp;ROW($CJ74))))</f>
        <v>0</v>
      </c>
      <c r="EA74" s="286">
        <f t="array" ref="EA74">IF(EA$3&gt;'GAAP Summary'!$B$2,0,SUM(INDIRECT(XLOOKUP(EA$3,'TTM Dates'!$B:$B,'TTM Dates'!$E:$E)&amp;ROW($CJ74)&amp;":"&amp;XLOOKUP(EA$3,'TTM Dates'!$B:$B,'TTM Dates'!$C:$C)&amp;ROW($CJ74))))</f>
        <v>0</v>
      </c>
      <c r="EB74" s="286">
        <f t="array" ref="EB74">IF(EB$3&gt;'GAAP Summary'!$B$2,0,SUM(INDIRECT(XLOOKUP(EB$3,'TTM Dates'!$B:$B,'TTM Dates'!$E:$E)&amp;ROW($CJ74)&amp;":"&amp;XLOOKUP(EB$3,'TTM Dates'!$B:$B,'TTM Dates'!$C:$C)&amp;ROW($CJ74))))</f>
        <v>0</v>
      </c>
      <c r="EC74" s="286">
        <f t="array" ref="EC74">IF(EC$3&gt;'GAAP Summary'!$B$2,0,SUM(INDIRECT(XLOOKUP(EC$3,'TTM Dates'!$B:$B,'TTM Dates'!$E:$E)&amp;ROW($CJ74)&amp;":"&amp;XLOOKUP(EC$3,'TTM Dates'!$B:$B,'TTM Dates'!$C:$C)&amp;ROW($CJ74))))</f>
        <v>0</v>
      </c>
      <c r="ED74" s="286">
        <f t="array" ref="ED74">IF(ED$3&gt;'GAAP Summary'!$B$2,0,SUM(INDIRECT(XLOOKUP(ED$3,'TTM Dates'!$B:$B,'TTM Dates'!$E:$E)&amp;ROW($CJ74)&amp;":"&amp;XLOOKUP(ED$3,'TTM Dates'!$B:$B,'TTM Dates'!$C:$C)&amp;ROW($CJ74))))</f>
        <v>0</v>
      </c>
      <c r="EE74" s="286">
        <f t="array" ref="EE74">IF(EE$3&gt;'GAAP Summary'!$B$2,0,SUM(INDIRECT(XLOOKUP(EE$3,'TTM Dates'!$B:$B,'TTM Dates'!$E:$E)&amp;ROW($CJ74)&amp;":"&amp;XLOOKUP(EE$3,'TTM Dates'!$B:$B,'TTM Dates'!$C:$C)&amp;ROW($CJ74))))</f>
        <v>316042</v>
      </c>
      <c r="EF74" s="286">
        <f t="array" ref="EF74">IF(EF$3&gt;'GAAP Summary'!$B$2,0,SUM(INDIRECT(XLOOKUP(EF$3,'TTM Dates'!$B:$B,'TTM Dates'!$E:$E)&amp;ROW($CJ74)&amp;":"&amp;XLOOKUP(EF$3,'TTM Dates'!$B:$B,'TTM Dates'!$C:$C)&amp;ROW($CJ74))))</f>
        <v>645146</v>
      </c>
      <c r="EG74" s="286">
        <f t="array" ref="EG74">IF(EG$3&gt;'GAAP Summary'!$B$2,0,SUM(INDIRECT(XLOOKUP(EG$3,'TTM Dates'!$B:$B,'TTM Dates'!$E:$E)&amp;ROW($CJ74)&amp;":"&amp;XLOOKUP(EG$3,'TTM Dates'!$B:$B,'TTM Dates'!$C:$C)&amp;ROW($CJ74))))</f>
        <v>988986</v>
      </c>
      <c r="EH74" s="286">
        <f t="array" ref="EH74">IF(EH$3&gt;'GAAP Summary'!$B$2,0,SUM(INDIRECT(XLOOKUP(EH$3,'TTM Dates'!$B:$B,'TTM Dates'!$E:$E)&amp;ROW($CJ74)&amp;":"&amp;XLOOKUP(EH$3,'TTM Dates'!$B:$B,'TTM Dates'!$C:$C)&amp;ROW($CJ74))))</f>
        <v>1315399</v>
      </c>
      <c r="EI74" s="286">
        <f t="array" ref="EI74">IF(EI$3&gt;'GAAP Summary'!$B$2,0,SUM(INDIRECT(XLOOKUP(EI$3,'TTM Dates'!$B:$B,'TTM Dates'!$E:$E)&amp;ROW($CJ74)&amp;":"&amp;XLOOKUP(EI$3,'TTM Dates'!$B:$B,'TTM Dates'!$C:$C)&amp;ROW($CJ74))))</f>
        <v>1641812</v>
      </c>
      <c r="EJ74" s="286">
        <f t="array" ref="EJ74">IF(EJ$3&gt;'GAAP Summary'!$B$2,0,SUM(INDIRECT(XLOOKUP(EJ$3,'TTM Dates'!$B:$B,'TTM Dates'!$E:$E)&amp;ROW($CJ74)&amp;":"&amp;XLOOKUP(EJ$3,'TTM Dates'!$B:$B,'TTM Dates'!$C:$C)&amp;ROW($CJ74))))</f>
        <v>1989087</v>
      </c>
      <c r="EK74" s="286">
        <f t="array" ref="EK74">IF(EK$3&gt;'GAAP Summary'!$B$2,0,SUM(INDIRECT(XLOOKUP(EK$3,'TTM Dates'!$B:$B,'TTM Dates'!$E:$E)&amp;ROW($CJ74)&amp;":"&amp;XLOOKUP(EK$3,'TTM Dates'!$B:$B,'TTM Dates'!$C:$C)&amp;ROW($CJ74))))</f>
        <v>2321887</v>
      </c>
      <c r="EL74" s="286">
        <f t="array" ref="EL74">IF(EL$3&gt;'GAAP Summary'!$B$2,0,SUM(INDIRECT(XLOOKUP(EL$3,'TTM Dates'!$B:$B,'TTM Dates'!$E:$E)&amp;ROW($CJ74)&amp;":"&amp;XLOOKUP(EL$3,'TTM Dates'!$B:$B,'TTM Dates'!$C:$C)&amp;ROW($CJ74))))</f>
        <v>2670853</v>
      </c>
      <c r="EM74" s="286">
        <f t="array" ref="EM74">IF(EM$3&gt;'GAAP Summary'!$B$2,0,SUM(INDIRECT(XLOOKUP(EM$3,'TTM Dates'!$B:$B,'TTM Dates'!$E:$E)&amp;ROW($CJ74)&amp;":"&amp;XLOOKUP(EM$3,'TTM Dates'!$B:$B,'TTM Dates'!$C:$C)&amp;ROW($CJ74))))</f>
        <v>3036942</v>
      </c>
      <c r="EN74" s="286">
        <f t="array" ref="EN74">IF(EN$3&gt;'GAAP Summary'!$B$2,0,SUM(INDIRECT(XLOOKUP(EN$3,'TTM Dates'!$B:$B,'TTM Dates'!$E:$E)&amp;ROW($CJ74)&amp;":"&amp;XLOOKUP(EN$3,'TTM Dates'!$B:$B,'TTM Dates'!$C:$C)&amp;ROW($CJ74))))</f>
        <v>3400331</v>
      </c>
      <c r="EO74" s="286">
        <f t="array" ref="EO74">IF(EO$3&gt;'GAAP Summary'!$B$2,0,SUM(INDIRECT(XLOOKUP(EO$3,'TTM Dates'!$B:$B,'TTM Dates'!$E:$E)&amp;ROW($CJ74)&amp;":"&amp;XLOOKUP(EO$3,'TTM Dates'!$B:$B,'TTM Dates'!$C:$C)&amp;ROW($CJ74))))</f>
        <v>3779718</v>
      </c>
      <c r="EP74" s="286">
        <f t="array" ref="EP74">IF(EP$3&gt;'GAAP Summary'!$B$2,0,SUM(INDIRECT(XLOOKUP(EP$3,'TTM Dates'!$B:$B,'TTM Dates'!$E:$E)&amp;ROW($CJ74)&amp;":"&amp;XLOOKUP(EP$3,'TTM Dates'!$B:$B,'TTM Dates'!$C:$C)&amp;ROW($CJ74))))</f>
        <v>4159105</v>
      </c>
      <c r="EQ74" s="286">
        <f t="array" ref="EQ74">IF(EQ$3&gt;'GAAP Summary'!$B$2,0,SUM(INDIRECT(XLOOKUP(EQ$3,'TTM Dates'!$B:$B,'TTM Dates'!$E:$E)&amp;ROW($CJ74)&amp;":"&amp;XLOOKUP(EQ$3,'TTM Dates'!$B:$B,'TTM Dates'!$C:$C)&amp;ROW($CJ74))))</f>
        <v>4347685</v>
      </c>
      <c r="ER74" s="286">
        <f t="array" ref="ER74">IF(ER$3&gt;'GAAP Summary'!$B$2,0,SUM(INDIRECT(XLOOKUP(ER$3,'TTM Dates'!$B:$B,'TTM Dates'!$E:$E)&amp;ROW($CJ74)&amp;":"&amp;XLOOKUP(ER$3,'TTM Dates'!$B:$B,'TTM Dates'!$C:$C)&amp;ROW($CJ74))))</f>
        <v>4467368</v>
      </c>
      <c r="ES74" s="286">
        <f t="array" ref="ES74">IF(ES$3&gt;'GAAP Summary'!$B$2,0,SUM(INDIRECT(XLOOKUP(ES$3,'TTM Dates'!$B:$B,'TTM Dates'!$E:$E)&amp;ROW($CJ74)&amp;":"&amp;XLOOKUP(ES$3,'TTM Dates'!$B:$B,'TTM Dates'!$C:$C)&amp;ROW($CJ74))))</f>
        <v>4689838</v>
      </c>
      <c r="ET74" s="286">
        <f t="array" ref="ET74">IF(ET$3&gt;'GAAP Summary'!$B$2,0,SUM(INDIRECT(XLOOKUP(ET$3,'TTM Dates'!$B:$B,'TTM Dates'!$E:$E)&amp;ROW($CJ74)&amp;":"&amp;XLOOKUP(ET$3,'TTM Dates'!$B:$B,'TTM Dates'!$C:$C)&amp;ROW($CJ74))))</f>
        <v>4922060</v>
      </c>
      <c r="EU74" s="286">
        <f t="array" ref="EU74">IF(EU$3&gt;'GAAP Summary'!$B$2,0,SUM(INDIRECT(XLOOKUP(EU$3,'TTM Dates'!$B:$B,'TTM Dates'!$E:$E)&amp;ROW($CJ74)&amp;":"&amp;XLOOKUP(EU$3,'TTM Dates'!$B:$B,'TTM Dates'!$C:$C)&amp;ROW($CJ74))))</f>
        <v>5205275</v>
      </c>
      <c r="EV74" s="286">
        <f t="array" ref="EV74">IF(EV$3&gt;'GAAP Summary'!$B$2,0,SUM(INDIRECT(XLOOKUP(EV$3,'TTM Dates'!$B:$B,'TTM Dates'!$E:$E)&amp;ROW($CJ74)&amp;":"&amp;XLOOKUP(EV$3,'TTM Dates'!$B:$B,'TTM Dates'!$C:$C)&amp;ROW($CJ74))))</f>
        <v>5500142</v>
      </c>
      <c r="EW74" s="286">
        <f t="array" ref="EW74">IF(EW$3&gt;'GAAP Summary'!$B$2,0,SUM(INDIRECT(XLOOKUP(EW$3,'TTM Dates'!$B:$B,'TTM Dates'!$E:$E)&amp;ROW($CJ74)&amp;":"&amp;XLOOKUP(EW$3,'TTM Dates'!$B:$B,'TTM Dates'!$C:$C)&amp;ROW($CJ74))))</f>
        <v>5947474</v>
      </c>
      <c r="EX74" s="286">
        <f t="array" ref="EX74">IF(EX$3&gt;'GAAP Summary'!$B$2,0,SUM(INDIRECT(XLOOKUP(EX$3,'TTM Dates'!$B:$B,'TTM Dates'!$E:$E)&amp;ROW($CJ74)&amp;":"&amp;XLOOKUP(EX$3,'TTM Dates'!$B:$B,'TTM Dates'!$C:$C)&amp;ROW($CJ74))))</f>
        <v>6237986</v>
      </c>
      <c r="EY74" s="286">
        <f t="array" ref="EY74">IF(EY$3&gt;'GAAP Summary'!$B$2,0,SUM(INDIRECT(XLOOKUP(EY$3,'TTM Dates'!$B:$B,'TTM Dates'!$E:$E)&amp;ROW($CJ74)&amp;":"&amp;XLOOKUP(EY$3,'TTM Dates'!$B:$B,'TTM Dates'!$C:$C)&amp;ROW($CJ74))))</f>
        <v>6571517</v>
      </c>
      <c r="EZ74" s="286">
        <f t="array" ref="EZ74">IF(EZ$3&gt;'GAAP Summary'!$B$2,0,SUM(INDIRECT(XLOOKUP(EZ$3,'TTM Dates'!$B:$B,'TTM Dates'!$E:$E)&amp;ROW($CJ74)&amp;":"&amp;XLOOKUP(EZ$3,'TTM Dates'!$B:$B,'TTM Dates'!$C:$C)&amp;ROW($CJ74))))</f>
        <v>6964821</v>
      </c>
      <c r="FA74" s="286">
        <f t="array" ref="FA74">IF(FA$3&gt;'GAAP Summary'!$B$2,0,SUM(INDIRECT(XLOOKUP(FA$3,'TTM Dates'!$B:$B,'TTM Dates'!$E:$E)&amp;ROW($CJ74)&amp;":"&amp;XLOOKUP(FA$3,'TTM Dates'!$B:$B,'TTM Dates'!$C:$C)&amp;ROW($CJ74))))</f>
        <v>7344835</v>
      </c>
      <c r="FB74" s="286">
        <f t="array" ref="FB74">IF(FB$3&gt;'GAAP Summary'!$B$2,0,SUM(INDIRECT(XLOOKUP(FB$3,'TTM Dates'!$B:$B,'TTM Dates'!$E:$E)&amp;ROW($CJ74)&amp;":"&amp;XLOOKUP(FB$3,'TTM Dates'!$B:$B,'TTM Dates'!$C:$C)&amp;ROW($CJ74))))</f>
        <v>7583750</v>
      </c>
      <c r="FC74" s="286">
        <f t="array" ref="FC74">IF(FC$3&gt;'GAAP Summary'!$B$2,0,SUM(INDIRECT(XLOOKUP(FC$3,'TTM Dates'!$B:$B,'TTM Dates'!$E:$E)&amp;ROW($CJ74)&amp;":"&amp;XLOOKUP(FC$3,'TTM Dates'!$B:$B,'TTM Dates'!$C:$C)&amp;ROW($CJ74))))</f>
        <v>7928434</v>
      </c>
      <c r="FD74" s="286">
        <f t="array" ref="FD74">IF(FD$3&gt;'GAAP Summary'!$B$2,0,SUM(INDIRECT(XLOOKUP(FD$3,'TTM Dates'!$B:$B,'TTM Dates'!$E:$E)&amp;ROW($CJ74)&amp;":"&amp;XLOOKUP(FD$3,'TTM Dates'!$B:$B,'TTM Dates'!$C:$C)&amp;ROW($CJ74))))</f>
        <v>8152970</v>
      </c>
      <c r="FE74" s="286">
        <f t="array" ref="FE74">IF(FE$3&gt;'GAAP Summary'!$B$2,0,SUM(INDIRECT(XLOOKUP(FE$3,'TTM Dates'!$B:$B,'TTM Dates'!$E:$E)&amp;ROW($CJ74)&amp;":"&amp;XLOOKUP(FE$3,'TTM Dates'!$B:$B,'TTM Dates'!$C:$C)&amp;ROW($CJ74))))</f>
        <v>8356016</v>
      </c>
      <c r="FF74" s="286">
        <f t="array" ref="FF74">IF(FF$3&gt;'GAAP Summary'!$B$2,0,SUM(INDIRECT(XLOOKUP(FF$3,'TTM Dates'!$B:$B,'TTM Dates'!$E:$E)&amp;ROW($CJ74)&amp;":"&amp;XLOOKUP(FF$3,'TTM Dates'!$B:$B,'TTM Dates'!$C:$C)&amp;ROW($CJ74))))</f>
        <v>8571688</v>
      </c>
      <c r="FG74" s="286">
        <f t="array" ref="FG74">IF(FG$3&gt;'GAAP Summary'!$B$2,0,SUM(INDIRECT(XLOOKUP(FG$3,'TTM Dates'!$B:$B,'TTM Dates'!$E:$E)&amp;ROW($CJ74)&amp;":"&amp;XLOOKUP(FG$3,'TTM Dates'!$B:$B,'TTM Dates'!$C:$C)&amp;ROW($CJ74))))</f>
        <v>8686361</v>
      </c>
      <c r="FH74" s="286">
        <f t="array" ref="FH74">IF(FH$3&gt;'GAAP Summary'!$B$2,0,SUM(INDIRECT(XLOOKUP(FH$3,'TTM Dates'!$B:$B,'TTM Dates'!$E:$E)&amp;ROW($CJ74)&amp;":"&amp;XLOOKUP(FH$3,'TTM Dates'!$B:$B,'TTM Dates'!$C:$C)&amp;ROW($CJ74))))</f>
        <v>8797082</v>
      </c>
      <c r="FI74" s="286">
        <f t="array" ref="FI74">IF(FI$3&gt;'GAAP Summary'!$B$2,0,SUM(INDIRECT(XLOOKUP(FI$3,'TTM Dates'!$B:$B,'TTM Dates'!$E:$E)&amp;ROW($CJ74)&amp;":"&amp;XLOOKUP(FI$3,'TTM Dates'!$B:$B,'TTM Dates'!$C:$C)&amp;ROW($CJ74))))</f>
        <v>8892048</v>
      </c>
      <c r="FJ74" s="286">
        <f t="array" ref="FJ74">IF(FJ$3&gt;'GAAP Summary'!$B$2,0,SUM(INDIRECT(XLOOKUP(FJ$3,'TTM Dates'!$B:$B,'TTM Dates'!$E:$E)&amp;ROW($CJ74)&amp;":"&amp;XLOOKUP(FJ$3,'TTM Dates'!$B:$B,'TTM Dates'!$C:$C)&amp;ROW($CJ74))))</f>
        <v>8930164</v>
      </c>
      <c r="FK74" s="286">
        <f t="array" ref="FK74">IF(FK$3&gt;'GAAP Summary'!$B$2,0,SUM(INDIRECT(XLOOKUP(FK$3,'TTM Dates'!$B:$B,'TTM Dates'!$E:$E)&amp;ROW($CJ74)&amp;":"&amp;XLOOKUP(FK$3,'TTM Dates'!$B:$B,'TTM Dates'!$C:$C)&amp;ROW($CJ74))))</f>
        <v>9011393</v>
      </c>
      <c r="FL74" s="286">
        <f t="array" ref="FL74">IF(FL$3&gt;'GAAP Summary'!$B$2,0,SUM(INDIRECT(XLOOKUP(FL$3,'TTM Dates'!$B:$B,'TTM Dates'!$E:$E)&amp;ROW($CJ74)&amp;":"&amp;XLOOKUP(FL$3,'TTM Dates'!$B:$B,'TTM Dates'!$C:$C)&amp;ROW($CJ74))))</f>
        <v>9064266</v>
      </c>
      <c r="FM74" s="286">
        <f t="array" ref="FM74">IF(FM$3&gt;'GAAP Summary'!$B$2,0,SUM(INDIRECT(XLOOKUP(FM$3,'TTM Dates'!$B:$B,'TTM Dates'!$E:$E)&amp;ROW($CJ74)&amp;":"&amp;XLOOKUP(FM$3,'TTM Dates'!$B:$B,'TTM Dates'!$C:$C)&amp;ROW($CJ74))))</f>
        <v>9030962</v>
      </c>
      <c r="FN74" s="286">
        <f t="array" ref="FN74">IF(FN$3&gt;'GAAP Summary'!$B$2,0,SUM(INDIRECT(XLOOKUP(FN$3,'TTM Dates'!$B:$B,'TTM Dates'!$E:$E)&amp;ROW($CJ74)&amp;":"&amp;XLOOKUP(FN$3,'TTM Dates'!$B:$B,'TTM Dates'!$C:$C)&amp;ROW($CJ74))))</f>
        <v>9280686</v>
      </c>
      <c r="FO74" s="286">
        <f t="array" ref="FO74">IF(FO$3&gt;'GAAP Summary'!$B$2,0,SUM(INDIRECT(XLOOKUP(FO$3,'TTM Dates'!$B:$B,'TTM Dates'!$E:$E)&amp;ROW($CJ74)&amp;":"&amp;XLOOKUP(FO$3,'TTM Dates'!$B:$B,'TTM Dates'!$C:$C)&amp;ROW($CJ74))))</f>
        <v>9323427</v>
      </c>
      <c r="FP74" s="286">
        <f t="array" ref="FP74">IF(FP$3&gt;'GAAP Summary'!$B$2,0,SUM(INDIRECT(XLOOKUP(FP$3,'TTM Dates'!$B:$B,'TTM Dates'!$E:$E)&amp;ROW($CJ74)&amp;":"&amp;XLOOKUP(FP$3,'TTM Dates'!$B:$B,'TTM Dates'!$C:$C)&amp;ROW($CJ74))))</f>
        <v>9272190</v>
      </c>
      <c r="FQ74" s="286">
        <f t="array" ref="FQ74">IF(FQ$3&gt;'GAAP Summary'!$B$2,0,SUM(INDIRECT(XLOOKUP(FQ$3,'TTM Dates'!$B:$B,'TTM Dates'!$E:$E)&amp;ROW($CJ74)&amp;":"&amp;XLOOKUP(FQ$3,'TTM Dates'!$B:$B,'TTM Dates'!$C:$C)&amp;ROW($CJ74))))</f>
        <v>9200912</v>
      </c>
      <c r="FR74" s="286">
        <f t="array" ref="FR74">IF(FR$3&gt;'GAAP Summary'!$B$2,0,SUM(INDIRECT(XLOOKUP(FR$3,'TTM Dates'!$B:$B,'TTM Dates'!$E:$E)&amp;ROW($CJ74)&amp;":"&amp;XLOOKUP(FR$3,'TTM Dates'!$B:$B,'TTM Dates'!$C:$C)&amp;ROW($CJ74))))</f>
        <v>9470395</v>
      </c>
      <c r="FS74" s="286">
        <f t="array" ref="FS74">IF(FS$3&gt;'GAAP Summary'!$B$2,0,SUM(INDIRECT(XLOOKUP(FS$3,'TTM Dates'!$B:$B,'TTM Dates'!$E:$E)&amp;ROW($CJ74)&amp;":"&amp;XLOOKUP(FS$3,'TTM Dates'!$B:$B,'TTM Dates'!$C:$C)&amp;ROW($CJ74))))</f>
        <v>9528097</v>
      </c>
      <c r="FT74" s="286">
        <f t="array" ref="FT74">IF(FT$3&gt;'GAAP Summary'!$B$2,0,SUM(INDIRECT(XLOOKUP(FT$3,'TTM Dates'!$B:$B,'TTM Dates'!$E:$E)&amp;ROW($CJ74)&amp;":"&amp;XLOOKUP(FT$3,'TTM Dates'!$B:$B,'TTM Dates'!$C:$C)&amp;ROW($CJ74))))</f>
        <v>9546985</v>
      </c>
      <c r="FU74" s="286">
        <f t="array" ref="FU74">IF(FU$3&gt;'GAAP Summary'!$B$2,0,SUM(INDIRECT(XLOOKUP(FU$3,'TTM Dates'!$B:$B,'TTM Dates'!$E:$E)&amp;ROW($CJ74)&amp;":"&amp;XLOOKUP(FU$3,'TTM Dates'!$B:$B,'TTM Dates'!$C:$C)&amp;ROW($CJ74))))</f>
        <v>9553342</v>
      </c>
      <c r="FV74" s="286">
        <f t="array" ref="FV74">IF(FV$3&gt;'GAAP Summary'!$B$2,0,SUM(INDIRECT(XLOOKUP(FV$3,'TTM Dates'!$B:$B,'TTM Dates'!$E:$E)&amp;ROW($CJ74)&amp;":"&amp;XLOOKUP(FV$3,'TTM Dates'!$B:$B,'TTM Dates'!$C:$C)&amp;ROW($CJ74))))</f>
        <v>9619079</v>
      </c>
      <c r="FW74" s="286">
        <f t="array" ref="FW74">IF(FW$3&gt;'GAAP Summary'!$B$2,0,SUM(INDIRECT(XLOOKUP(FW$3,'TTM Dates'!$B:$B,'TTM Dates'!$E:$E)&amp;ROW($CJ74)&amp;":"&amp;XLOOKUP(FW$3,'TTM Dates'!$B:$B,'TTM Dates'!$C:$C)&amp;ROW($CJ74))))</f>
        <v>8838230</v>
      </c>
      <c r="FX74" s="286">
        <f t="array" ref="FX74">IF(FX$3&gt;'GAAP Summary'!$B$2,0,SUM(INDIRECT(XLOOKUP(FX$3,'TTM Dates'!$B:$B,'TTM Dates'!$E:$E)&amp;ROW($CJ74)&amp;":"&amp;XLOOKUP(FX$3,'TTM Dates'!$B:$B,'TTM Dates'!$C:$C)&amp;ROW($CJ74))))</f>
        <v>8028664</v>
      </c>
      <c r="FY74" s="286">
        <f t="array" ref="FY74">IF(FY$3&gt;'GAAP Summary'!$B$2,0,SUM(INDIRECT(XLOOKUP(FY$3,'TTM Dates'!$B:$B,'TTM Dates'!$E:$E)&amp;ROW($CJ74)&amp;":"&amp;XLOOKUP(FY$3,'TTM Dates'!$B:$B,'TTM Dates'!$C:$C)&amp;ROW($CJ74))))</f>
        <v>7302567</v>
      </c>
      <c r="FZ74" s="286">
        <f t="array" ref="FZ74">IF(FZ$3&gt;'GAAP Summary'!$B$2,0,SUM(INDIRECT(XLOOKUP(FZ$3,'TTM Dates'!$B:$B,'TTM Dates'!$E:$E)&amp;ROW($CJ74)&amp;":"&amp;XLOOKUP(FZ$3,'TTM Dates'!$B:$B,'TTM Dates'!$C:$C)&amp;ROW($CJ74))))</f>
        <v>6434541</v>
      </c>
      <c r="GA74" s="286">
        <f t="array" ref="GA74">IF(GA$3&gt;'GAAP Summary'!$B$2,0,SUM(INDIRECT(XLOOKUP(GA$3,'TTM Dates'!$B:$B,'TTM Dates'!$E:$E)&amp;ROW($CJ74)&amp;":"&amp;XLOOKUP(GA$3,'TTM Dates'!$B:$B,'TTM Dates'!$C:$C)&amp;ROW($CJ74))))</f>
        <v>5542494</v>
      </c>
      <c r="GB74" s="286">
        <f t="array" ref="GB74">IF(GB$3&gt;'GAAP Summary'!$B$2,0,SUM(INDIRECT(XLOOKUP(GB$3,'TTM Dates'!$B:$B,'TTM Dates'!$E:$E)&amp;ROW($CJ74)&amp;":"&amp;XLOOKUP(GB$3,'TTM Dates'!$B:$B,'TTM Dates'!$C:$C)&amp;ROW($CJ74))))</f>
        <v>4920408</v>
      </c>
      <c r="GC74" s="286">
        <f t="array" ref="GC74">IF(GC$3&gt;'GAAP Summary'!$B$2,0,SUM(INDIRECT(XLOOKUP(GC$3,'TTM Dates'!$B:$B,'TTM Dates'!$E:$E)&amp;ROW($CJ74)&amp;":"&amp;XLOOKUP(GC$3,'TTM Dates'!$B:$B,'TTM Dates'!$C:$C)&amp;ROW($CJ74))))</f>
        <v>4222330</v>
      </c>
      <c r="GD74" s="286">
        <f t="array" ref="GD74">IF(GD$3&gt;'GAAP Summary'!$B$2,0,SUM(INDIRECT(XLOOKUP(GD$3,'TTM Dates'!$B:$B,'TTM Dates'!$E:$E)&amp;ROW($CJ74)&amp;":"&amp;XLOOKUP(GD$3,'TTM Dates'!$B:$B,'TTM Dates'!$C:$C)&amp;ROW($CJ74))))</f>
        <v>3178540</v>
      </c>
      <c r="GE74" s="286">
        <f t="array" ref="GE74">IF(GE$3&gt;'GAAP Summary'!$B$2,0,SUM(INDIRECT(XLOOKUP(GE$3,'TTM Dates'!$B:$B,'TTM Dates'!$E:$E)&amp;ROW($CJ74)&amp;":"&amp;XLOOKUP(GE$3,'TTM Dates'!$B:$B,'TTM Dates'!$C:$C)&amp;ROW($CJ74))))</f>
        <v>2396537</v>
      </c>
      <c r="GF74" s="286">
        <f t="array" ref="GF74">IF(GF$3&gt;'GAAP Summary'!$B$2,0,SUM(INDIRECT(XLOOKUP(GF$3,'TTM Dates'!$B:$B,'TTM Dates'!$E:$E)&amp;ROW($CJ74)&amp;":"&amp;XLOOKUP(GF$3,'TTM Dates'!$B:$B,'TTM Dates'!$C:$C)&amp;ROW($CJ74))))</f>
        <v>1624786</v>
      </c>
      <c r="GG74" s="286">
        <f t="array" ref="GG74">IF(GG$3&gt;'GAAP Summary'!$B$2,0,SUM(INDIRECT(XLOOKUP(GG$3,'TTM Dates'!$B:$B,'TTM Dates'!$E:$E)&amp;ROW($CJ74)&amp;":"&amp;XLOOKUP(GG$3,'TTM Dates'!$B:$B,'TTM Dates'!$C:$C)&amp;ROW($CJ74))))</f>
        <v>0</v>
      </c>
      <c r="GH74" s="286">
        <f t="array" ref="GH74">IF(GH$3&gt;'GAAP Summary'!$B$2,0,SUM(INDIRECT(XLOOKUP(GH$3,'TTM Dates'!$B:$B,'TTM Dates'!$E:$E)&amp;ROW($CJ74)&amp;":"&amp;XLOOKUP(GH$3,'TTM Dates'!$B:$B,'TTM Dates'!$C:$C)&amp;ROW($CJ74))))</f>
        <v>0</v>
      </c>
      <c r="GI74" s="286">
        <f t="array" ref="GI74">IF(GI$3&gt;'GAAP Summary'!$B$2,0,SUM(INDIRECT(XLOOKUP(GI$3,'TTM Dates'!$B:$B,'TTM Dates'!$E:$E)&amp;ROW($CJ74)&amp;":"&amp;XLOOKUP(GI$3,'TTM Dates'!$B:$B,'TTM Dates'!$C:$C)&amp;ROW($CJ74))))</f>
        <v>0</v>
      </c>
      <c r="GJ74" s="286">
        <f t="array" ref="GJ74">IF(GJ$3&gt;'GAAP Summary'!$B$2,0,SUM(INDIRECT(XLOOKUP(GJ$3,'TTM Dates'!$B:$B,'TTM Dates'!$E:$E)&amp;ROW($CJ74)&amp;":"&amp;XLOOKUP(GJ$3,'TTM Dates'!$B:$B,'TTM Dates'!$C:$C)&amp;ROW($CJ74))))</f>
        <v>0</v>
      </c>
      <c r="GK74" s="286">
        <f t="array" ref="GK74">IF(GK$3&gt;'GAAP Summary'!$B$2,0,SUM(INDIRECT(XLOOKUP(GK$3,'TTM Dates'!$B:$B,'TTM Dates'!$E:$E)&amp;ROW($CJ74)&amp;":"&amp;XLOOKUP(GK$3,'TTM Dates'!$B:$B,'TTM Dates'!$C:$C)&amp;ROW($CJ74))))</f>
        <v>0</v>
      </c>
      <c r="GL74" s="286">
        <f t="array" ref="GL74">IF(GL$3&gt;'GAAP Summary'!$B$2,0,SUM(INDIRECT(XLOOKUP(GL$3,'TTM Dates'!$B:$B,'TTM Dates'!$E:$E)&amp;ROW($CJ74)&amp;":"&amp;XLOOKUP(GL$3,'TTM Dates'!$B:$B,'TTM Dates'!$C:$C)&amp;ROW($CJ74))))</f>
        <v>0</v>
      </c>
      <c r="GM74" s="286"/>
    </row>
    <row r="75" outlineLevel="1">
      <c r="B75" s="135" t="s">
        <v>506</v>
      </c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337"/>
      <c r="AY75" s="337"/>
      <c r="AZ75" s="337"/>
      <c r="BA75" s="337"/>
      <c r="BB75" s="337"/>
      <c r="BC75" s="337"/>
      <c r="BD75" s="337"/>
      <c r="BE75" s="337"/>
      <c r="BF75" s="337"/>
      <c r="BG75" s="337"/>
      <c r="BH75" s="337"/>
      <c r="BI75" s="337"/>
      <c r="BJ75" s="337"/>
      <c r="BK75" s="337"/>
      <c r="BL75" s="337"/>
      <c r="BM75" s="337"/>
      <c r="BN75" s="337"/>
      <c r="BO75" s="337"/>
      <c r="BP75" s="337"/>
      <c r="BQ75" s="337"/>
      <c r="BR75" s="337"/>
      <c r="BS75" s="337"/>
      <c r="BT75" s="337"/>
      <c r="BU75" s="337"/>
      <c r="BV75" s="337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33"/>
      <c r="CJ75" s="33"/>
      <c r="CK75" s="303">
        <f t="array" ref="CK75">SUM(INDIRECT(XLOOKUP('GAAP Summary'!$B$2,'TTM Dates'!$B:$B,'TTM Dates'!$E:$E)&amp;ROW($CJ75)&amp;":"&amp;XLOOKUP('GAAP Summary'!$B$2,'TTM Dates'!$B:$B,'TTM Dates'!$C:$C)&amp;ROW($CJ75)))</f>
        <v>0</v>
      </c>
      <c r="CL75" s="49"/>
      <c r="CM75" s="136">
        <f t="shared" si="144"/>
        <v>0</v>
      </c>
      <c r="CN75" s="136">
        <f t="shared" si="145"/>
        <v>0</v>
      </c>
      <c r="CO75" s="136">
        <f t="shared" si="146"/>
        <v>0</v>
      </c>
      <c r="CP75" s="136">
        <f t="shared" si="147"/>
        <v>0</v>
      </c>
      <c r="CQ75" s="339">
        <f t="shared" si="148"/>
        <v>0</v>
      </c>
      <c r="CR75" s="136"/>
      <c r="CS75" s="136">
        <f t="shared" si="149"/>
        <v>0</v>
      </c>
      <c r="CT75" s="136">
        <f t="shared" si="150"/>
        <v>0</v>
      </c>
      <c r="CU75" s="136">
        <f t="shared" si="151"/>
        <v>0</v>
      </c>
      <c r="CV75" s="136">
        <f t="shared" si="152"/>
        <v>0</v>
      </c>
      <c r="CW75" s="292">
        <f t="shared" si="153"/>
        <v>0</v>
      </c>
      <c r="CX75" s="49"/>
      <c r="CY75" s="136">
        <f t="shared" si="154"/>
        <v>0</v>
      </c>
      <c r="CZ75" s="136">
        <f t="shared" si="155"/>
        <v>0</v>
      </c>
      <c r="DA75" s="136">
        <f t="shared" si="156"/>
        <v>0</v>
      </c>
      <c r="DB75" s="136">
        <f t="shared" si="157"/>
        <v>0</v>
      </c>
      <c r="DC75" s="292">
        <f t="shared" si="158"/>
        <v>0</v>
      </c>
      <c r="DD75" s="136"/>
      <c r="DE75" s="136">
        <f t="shared" si="159"/>
        <v>0</v>
      </c>
      <c r="DF75" s="136">
        <f t="shared" si="160"/>
        <v>0</v>
      </c>
      <c r="DG75" s="136">
        <f t="shared" si="161"/>
        <v>0</v>
      </c>
      <c r="DH75" s="136">
        <f t="shared" si="162"/>
        <v>0</v>
      </c>
      <c r="DI75" s="292">
        <f t="shared" si="163"/>
        <v>0</v>
      </c>
      <c r="DJ75" s="136"/>
      <c r="DK75" s="136"/>
      <c r="DL75" s="136"/>
      <c r="DM75" s="136"/>
      <c r="DN75" s="136"/>
      <c r="DO75" s="292"/>
      <c r="DP75" s="136"/>
      <c r="DQ75" s="292"/>
      <c r="DR75" s="136"/>
      <c r="DS75" s="136">
        <f t="array" ref="DS75">IF(DS$3&gt;'GAAP Summary'!$B$2,0,SUM(INDIRECT(XLOOKUP(DS$3,'TTM Dates'!$B:$B,'TTM Dates'!$E:$E)&amp;ROW($CJ75)&amp;":"&amp;XLOOKUP(DS$3,'TTM Dates'!$B:$B,'TTM Dates'!$C:$C)&amp;ROW($CJ75))))</f>
        <v>0</v>
      </c>
      <c r="DT75" s="136">
        <f t="array" ref="DT75">IF(DT$3&gt;'GAAP Summary'!$B$2,0,SUM(INDIRECT(XLOOKUP(DT$3,'TTM Dates'!$B:$B,'TTM Dates'!$E:$E)&amp;ROW($CJ75)&amp;":"&amp;XLOOKUP(DT$3,'TTM Dates'!$B:$B,'TTM Dates'!$C:$C)&amp;ROW($CJ75))))</f>
        <v>0</v>
      </c>
      <c r="DU75" s="136">
        <f t="array" ref="DU75">IF(DU$3&gt;'GAAP Summary'!$B$2,0,SUM(INDIRECT(XLOOKUP(DU$3,'TTM Dates'!$B:$B,'TTM Dates'!$E:$E)&amp;ROW($CJ75)&amp;":"&amp;XLOOKUP(DU$3,'TTM Dates'!$B:$B,'TTM Dates'!$C:$C)&amp;ROW($CJ75))))</f>
        <v>0</v>
      </c>
      <c r="DV75" s="136">
        <f t="array" ref="DV75">IF(DV$3&gt;'GAAP Summary'!$B$2,0,SUM(INDIRECT(XLOOKUP(DV$3,'TTM Dates'!$B:$B,'TTM Dates'!$E:$E)&amp;ROW($CJ75)&amp;":"&amp;XLOOKUP(DV$3,'TTM Dates'!$B:$B,'TTM Dates'!$C:$C)&amp;ROW($CJ75))))</f>
        <v>0</v>
      </c>
      <c r="DW75" s="136">
        <f t="array" ref="DW75">IF(DW$3&gt;'GAAP Summary'!$B$2,0,SUM(INDIRECT(XLOOKUP(DW$3,'TTM Dates'!$B:$B,'TTM Dates'!$E:$E)&amp;ROW($CJ75)&amp;":"&amp;XLOOKUP(DW$3,'TTM Dates'!$B:$B,'TTM Dates'!$C:$C)&amp;ROW($CJ75))))</f>
        <v>0</v>
      </c>
      <c r="DX75" s="136">
        <f t="array" ref="DX75">IF(DX$3&gt;'GAAP Summary'!$B$2,0,SUM(INDIRECT(XLOOKUP(DX$3,'TTM Dates'!$B:$B,'TTM Dates'!$E:$E)&amp;ROW($CJ75)&amp;":"&amp;XLOOKUP(DX$3,'TTM Dates'!$B:$B,'TTM Dates'!$C:$C)&amp;ROW($CJ75))))</f>
        <v>0</v>
      </c>
      <c r="DY75" s="136">
        <f t="array" ref="DY75">IF(DY$3&gt;'GAAP Summary'!$B$2,0,SUM(INDIRECT(XLOOKUP(DY$3,'TTM Dates'!$B:$B,'TTM Dates'!$E:$E)&amp;ROW($CJ75)&amp;":"&amp;XLOOKUP(DY$3,'TTM Dates'!$B:$B,'TTM Dates'!$C:$C)&amp;ROW($CJ75))))</f>
        <v>0</v>
      </c>
      <c r="DZ75" s="136">
        <f t="array" ref="DZ75">IF(DZ$3&gt;'GAAP Summary'!$B$2,0,SUM(INDIRECT(XLOOKUP(DZ$3,'TTM Dates'!$B:$B,'TTM Dates'!$E:$E)&amp;ROW($CJ75)&amp;":"&amp;XLOOKUP(DZ$3,'TTM Dates'!$B:$B,'TTM Dates'!$C:$C)&amp;ROW($CJ75))))</f>
        <v>0</v>
      </c>
      <c r="EA75" s="136">
        <f t="array" ref="EA75">IF(EA$3&gt;'GAAP Summary'!$B$2,0,SUM(INDIRECT(XLOOKUP(EA$3,'TTM Dates'!$B:$B,'TTM Dates'!$E:$E)&amp;ROW($CJ75)&amp;":"&amp;XLOOKUP(EA$3,'TTM Dates'!$B:$B,'TTM Dates'!$C:$C)&amp;ROW($CJ75))))</f>
        <v>0</v>
      </c>
      <c r="EB75" s="136">
        <f t="array" ref="EB75">IF(EB$3&gt;'GAAP Summary'!$B$2,0,SUM(INDIRECT(XLOOKUP(EB$3,'TTM Dates'!$B:$B,'TTM Dates'!$E:$E)&amp;ROW($CJ75)&amp;":"&amp;XLOOKUP(EB$3,'TTM Dates'!$B:$B,'TTM Dates'!$C:$C)&amp;ROW($CJ75))))</f>
        <v>0</v>
      </c>
      <c r="EC75" s="136">
        <f t="array" ref="EC75">IF(EC$3&gt;'GAAP Summary'!$B$2,0,SUM(INDIRECT(XLOOKUP(EC$3,'TTM Dates'!$B:$B,'TTM Dates'!$E:$E)&amp;ROW($CJ75)&amp;":"&amp;XLOOKUP(EC$3,'TTM Dates'!$B:$B,'TTM Dates'!$C:$C)&amp;ROW($CJ75))))</f>
        <v>0</v>
      </c>
      <c r="ED75" s="136">
        <f t="array" ref="ED75">IF(ED$3&gt;'GAAP Summary'!$B$2,0,SUM(INDIRECT(XLOOKUP(ED$3,'TTM Dates'!$B:$B,'TTM Dates'!$E:$E)&amp;ROW($CJ75)&amp;":"&amp;XLOOKUP(ED$3,'TTM Dates'!$B:$B,'TTM Dates'!$C:$C)&amp;ROW($CJ75))))</f>
        <v>0</v>
      </c>
      <c r="EE75" s="136">
        <f t="array" ref="EE75">IF(EE$3&gt;'GAAP Summary'!$B$2,0,SUM(INDIRECT(XLOOKUP(EE$3,'TTM Dates'!$B:$B,'TTM Dates'!$E:$E)&amp;ROW($CJ75)&amp;":"&amp;XLOOKUP(EE$3,'TTM Dates'!$B:$B,'TTM Dates'!$C:$C)&amp;ROW($CJ75))))</f>
        <v>0</v>
      </c>
      <c r="EF75" s="136">
        <f t="array" ref="EF75">IF(EF$3&gt;'GAAP Summary'!$B$2,0,SUM(INDIRECT(XLOOKUP(EF$3,'TTM Dates'!$B:$B,'TTM Dates'!$E:$E)&amp;ROW($CJ75)&amp;":"&amp;XLOOKUP(EF$3,'TTM Dates'!$B:$B,'TTM Dates'!$C:$C)&amp;ROW($CJ75))))</f>
        <v>0</v>
      </c>
      <c r="EG75" s="136">
        <f t="array" ref="EG75">IF(EG$3&gt;'GAAP Summary'!$B$2,0,SUM(INDIRECT(XLOOKUP(EG$3,'TTM Dates'!$B:$B,'TTM Dates'!$E:$E)&amp;ROW($CJ75)&amp;":"&amp;XLOOKUP(EG$3,'TTM Dates'!$B:$B,'TTM Dates'!$C:$C)&amp;ROW($CJ75))))</f>
        <v>0</v>
      </c>
      <c r="EH75" s="136">
        <f t="array" ref="EH75">IF(EH$3&gt;'GAAP Summary'!$B$2,0,SUM(INDIRECT(XLOOKUP(EH$3,'TTM Dates'!$B:$B,'TTM Dates'!$E:$E)&amp;ROW($CJ75)&amp;":"&amp;XLOOKUP(EH$3,'TTM Dates'!$B:$B,'TTM Dates'!$C:$C)&amp;ROW($CJ75))))</f>
        <v>0</v>
      </c>
      <c r="EI75" s="136">
        <f t="array" ref="EI75">IF(EI$3&gt;'GAAP Summary'!$B$2,0,SUM(INDIRECT(XLOOKUP(EI$3,'TTM Dates'!$B:$B,'TTM Dates'!$E:$E)&amp;ROW($CJ75)&amp;":"&amp;XLOOKUP(EI$3,'TTM Dates'!$B:$B,'TTM Dates'!$C:$C)&amp;ROW($CJ75))))</f>
        <v>0</v>
      </c>
      <c r="EJ75" s="136">
        <f t="array" ref="EJ75">IF(EJ$3&gt;'GAAP Summary'!$B$2,0,SUM(INDIRECT(XLOOKUP(EJ$3,'TTM Dates'!$B:$B,'TTM Dates'!$E:$E)&amp;ROW($CJ75)&amp;":"&amp;XLOOKUP(EJ$3,'TTM Dates'!$B:$B,'TTM Dates'!$C:$C)&amp;ROW($CJ75))))</f>
        <v>0</v>
      </c>
      <c r="EK75" s="136">
        <f t="array" ref="EK75">IF(EK$3&gt;'GAAP Summary'!$B$2,0,SUM(INDIRECT(XLOOKUP(EK$3,'TTM Dates'!$B:$B,'TTM Dates'!$E:$E)&amp;ROW($CJ75)&amp;":"&amp;XLOOKUP(EK$3,'TTM Dates'!$B:$B,'TTM Dates'!$C:$C)&amp;ROW($CJ75))))</f>
        <v>0</v>
      </c>
      <c r="EL75" s="136">
        <f t="array" ref="EL75">IF(EL$3&gt;'GAAP Summary'!$B$2,0,SUM(INDIRECT(XLOOKUP(EL$3,'TTM Dates'!$B:$B,'TTM Dates'!$E:$E)&amp;ROW($CJ75)&amp;":"&amp;XLOOKUP(EL$3,'TTM Dates'!$B:$B,'TTM Dates'!$C:$C)&amp;ROW($CJ75))))</f>
        <v>0</v>
      </c>
      <c r="EM75" s="136">
        <f t="array" ref="EM75">IF(EM$3&gt;'GAAP Summary'!$B$2,0,SUM(INDIRECT(XLOOKUP(EM$3,'TTM Dates'!$B:$B,'TTM Dates'!$E:$E)&amp;ROW($CJ75)&amp;":"&amp;XLOOKUP(EM$3,'TTM Dates'!$B:$B,'TTM Dates'!$C:$C)&amp;ROW($CJ75))))</f>
        <v>0</v>
      </c>
      <c r="EN75" s="136">
        <f t="array" ref="EN75">IF(EN$3&gt;'GAAP Summary'!$B$2,0,SUM(INDIRECT(XLOOKUP(EN$3,'TTM Dates'!$B:$B,'TTM Dates'!$E:$E)&amp;ROW($CJ75)&amp;":"&amp;XLOOKUP(EN$3,'TTM Dates'!$B:$B,'TTM Dates'!$C:$C)&amp;ROW($CJ75))))</f>
        <v>0</v>
      </c>
      <c r="EO75" s="136">
        <f t="array" ref="EO75">IF(EO$3&gt;'GAAP Summary'!$B$2,0,SUM(INDIRECT(XLOOKUP(EO$3,'TTM Dates'!$B:$B,'TTM Dates'!$E:$E)&amp;ROW($CJ75)&amp;":"&amp;XLOOKUP(EO$3,'TTM Dates'!$B:$B,'TTM Dates'!$C:$C)&amp;ROW($CJ75))))</f>
        <v>0</v>
      </c>
      <c r="EP75" s="136">
        <f t="array" ref="EP75">IF(EP$3&gt;'GAAP Summary'!$B$2,0,SUM(INDIRECT(XLOOKUP(EP$3,'TTM Dates'!$B:$B,'TTM Dates'!$E:$E)&amp;ROW($CJ75)&amp;":"&amp;XLOOKUP(EP$3,'TTM Dates'!$B:$B,'TTM Dates'!$C:$C)&amp;ROW($CJ75))))</f>
        <v>0</v>
      </c>
      <c r="EQ75" s="136">
        <f t="array" ref="EQ75">IF(EQ$3&gt;'GAAP Summary'!$B$2,0,SUM(INDIRECT(XLOOKUP(EQ$3,'TTM Dates'!$B:$B,'TTM Dates'!$E:$E)&amp;ROW($CJ75)&amp;":"&amp;XLOOKUP(EQ$3,'TTM Dates'!$B:$B,'TTM Dates'!$C:$C)&amp;ROW($CJ75))))</f>
        <v>0</v>
      </c>
      <c r="ER75" s="136">
        <f t="array" ref="ER75">IF(ER$3&gt;'GAAP Summary'!$B$2,0,SUM(INDIRECT(XLOOKUP(ER$3,'TTM Dates'!$B:$B,'TTM Dates'!$E:$E)&amp;ROW($CJ75)&amp;":"&amp;XLOOKUP(ER$3,'TTM Dates'!$B:$B,'TTM Dates'!$C:$C)&amp;ROW($CJ75))))</f>
        <v>0</v>
      </c>
      <c r="ES75" s="136">
        <f t="array" ref="ES75">IF(ES$3&gt;'GAAP Summary'!$B$2,0,SUM(INDIRECT(XLOOKUP(ES$3,'TTM Dates'!$B:$B,'TTM Dates'!$E:$E)&amp;ROW($CJ75)&amp;":"&amp;XLOOKUP(ES$3,'TTM Dates'!$B:$B,'TTM Dates'!$C:$C)&amp;ROW($CJ75))))</f>
        <v>0</v>
      </c>
      <c r="ET75" s="136">
        <f t="array" ref="ET75">IF(ET$3&gt;'GAAP Summary'!$B$2,0,SUM(INDIRECT(XLOOKUP(ET$3,'TTM Dates'!$B:$B,'TTM Dates'!$E:$E)&amp;ROW($CJ75)&amp;":"&amp;XLOOKUP(ET$3,'TTM Dates'!$B:$B,'TTM Dates'!$C:$C)&amp;ROW($CJ75))))</f>
        <v>0</v>
      </c>
      <c r="EU75" s="136">
        <f t="array" ref="EU75">IF(EU$3&gt;'GAAP Summary'!$B$2,0,SUM(INDIRECT(XLOOKUP(EU$3,'TTM Dates'!$B:$B,'TTM Dates'!$E:$E)&amp;ROW($CJ75)&amp;":"&amp;XLOOKUP(EU$3,'TTM Dates'!$B:$B,'TTM Dates'!$C:$C)&amp;ROW($CJ75))))</f>
        <v>0</v>
      </c>
      <c r="EV75" s="136">
        <f t="array" ref="EV75">IF(EV$3&gt;'GAAP Summary'!$B$2,0,SUM(INDIRECT(XLOOKUP(EV$3,'TTM Dates'!$B:$B,'TTM Dates'!$E:$E)&amp;ROW($CJ75)&amp;":"&amp;XLOOKUP(EV$3,'TTM Dates'!$B:$B,'TTM Dates'!$C:$C)&amp;ROW($CJ75))))</f>
        <v>0</v>
      </c>
      <c r="EW75" s="136">
        <f t="array" ref="EW75">IF(EW$3&gt;'GAAP Summary'!$B$2,0,SUM(INDIRECT(XLOOKUP(EW$3,'TTM Dates'!$B:$B,'TTM Dates'!$E:$E)&amp;ROW($CJ75)&amp;":"&amp;XLOOKUP(EW$3,'TTM Dates'!$B:$B,'TTM Dates'!$C:$C)&amp;ROW($CJ75))))</f>
        <v>0</v>
      </c>
      <c r="EX75" s="136">
        <f t="array" ref="EX75">IF(EX$3&gt;'GAAP Summary'!$B$2,0,SUM(INDIRECT(XLOOKUP(EX$3,'TTM Dates'!$B:$B,'TTM Dates'!$E:$E)&amp;ROW($CJ75)&amp;":"&amp;XLOOKUP(EX$3,'TTM Dates'!$B:$B,'TTM Dates'!$C:$C)&amp;ROW($CJ75))))</f>
        <v>0</v>
      </c>
      <c r="EY75" s="136">
        <f t="array" ref="EY75">IF(EY$3&gt;'GAAP Summary'!$B$2,0,SUM(INDIRECT(XLOOKUP(EY$3,'TTM Dates'!$B:$B,'TTM Dates'!$E:$E)&amp;ROW($CJ75)&amp;":"&amp;XLOOKUP(EY$3,'TTM Dates'!$B:$B,'TTM Dates'!$C:$C)&amp;ROW($CJ75))))</f>
        <v>0</v>
      </c>
      <c r="EZ75" s="136">
        <f t="array" ref="EZ75">IF(EZ$3&gt;'GAAP Summary'!$B$2,0,SUM(INDIRECT(XLOOKUP(EZ$3,'TTM Dates'!$B:$B,'TTM Dates'!$E:$E)&amp;ROW($CJ75)&amp;":"&amp;XLOOKUP(EZ$3,'TTM Dates'!$B:$B,'TTM Dates'!$C:$C)&amp;ROW($CJ75))))</f>
        <v>0</v>
      </c>
      <c r="FA75" s="136">
        <f t="array" ref="FA75">IF(FA$3&gt;'GAAP Summary'!$B$2,0,SUM(INDIRECT(XLOOKUP(FA$3,'TTM Dates'!$B:$B,'TTM Dates'!$E:$E)&amp;ROW($CJ75)&amp;":"&amp;XLOOKUP(FA$3,'TTM Dates'!$B:$B,'TTM Dates'!$C:$C)&amp;ROW($CJ75))))</f>
        <v>0</v>
      </c>
      <c r="FB75" s="136">
        <f t="array" ref="FB75">IF(FB$3&gt;'GAAP Summary'!$B$2,0,SUM(INDIRECT(XLOOKUP(FB$3,'TTM Dates'!$B:$B,'TTM Dates'!$E:$E)&amp;ROW($CJ75)&amp;":"&amp;XLOOKUP(FB$3,'TTM Dates'!$B:$B,'TTM Dates'!$C:$C)&amp;ROW($CJ75))))</f>
        <v>0</v>
      </c>
      <c r="FC75" s="136">
        <f t="array" ref="FC75">IF(FC$3&gt;'GAAP Summary'!$B$2,0,SUM(INDIRECT(XLOOKUP(FC$3,'TTM Dates'!$B:$B,'TTM Dates'!$E:$E)&amp;ROW($CJ75)&amp;":"&amp;XLOOKUP(FC$3,'TTM Dates'!$B:$B,'TTM Dates'!$C:$C)&amp;ROW($CJ75))))</f>
        <v>0</v>
      </c>
      <c r="FD75" s="136">
        <f t="array" ref="FD75">IF(FD$3&gt;'GAAP Summary'!$B$2,0,SUM(INDIRECT(XLOOKUP(FD$3,'TTM Dates'!$B:$B,'TTM Dates'!$E:$E)&amp;ROW($CJ75)&amp;":"&amp;XLOOKUP(FD$3,'TTM Dates'!$B:$B,'TTM Dates'!$C:$C)&amp;ROW($CJ75))))</f>
        <v>0</v>
      </c>
      <c r="FE75" s="136">
        <f t="array" ref="FE75">IF(FE$3&gt;'GAAP Summary'!$B$2,0,SUM(INDIRECT(XLOOKUP(FE$3,'TTM Dates'!$B:$B,'TTM Dates'!$E:$E)&amp;ROW($CJ75)&amp;":"&amp;XLOOKUP(FE$3,'TTM Dates'!$B:$B,'TTM Dates'!$C:$C)&amp;ROW($CJ75))))</f>
        <v>0</v>
      </c>
      <c r="FF75" s="136">
        <f t="array" ref="FF75">IF(FF$3&gt;'GAAP Summary'!$B$2,0,SUM(INDIRECT(XLOOKUP(FF$3,'TTM Dates'!$B:$B,'TTM Dates'!$E:$E)&amp;ROW($CJ75)&amp;":"&amp;XLOOKUP(FF$3,'TTM Dates'!$B:$B,'TTM Dates'!$C:$C)&amp;ROW($CJ75))))</f>
        <v>0</v>
      </c>
      <c r="FG75" s="136">
        <f t="array" ref="FG75">IF(FG$3&gt;'GAAP Summary'!$B$2,0,SUM(INDIRECT(XLOOKUP(FG$3,'TTM Dates'!$B:$B,'TTM Dates'!$E:$E)&amp;ROW($CJ75)&amp;":"&amp;XLOOKUP(FG$3,'TTM Dates'!$B:$B,'TTM Dates'!$C:$C)&amp;ROW($CJ75))))</f>
        <v>0</v>
      </c>
      <c r="FH75" s="136">
        <f t="array" ref="FH75">IF(FH$3&gt;'GAAP Summary'!$B$2,0,SUM(INDIRECT(XLOOKUP(FH$3,'TTM Dates'!$B:$B,'TTM Dates'!$E:$E)&amp;ROW($CJ75)&amp;":"&amp;XLOOKUP(FH$3,'TTM Dates'!$B:$B,'TTM Dates'!$C:$C)&amp;ROW($CJ75))))</f>
        <v>0</v>
      </c>
      <c r="FI75" s="136">
        <f t="array" ref="FI75">IF(FI$3&gt;'GAAP Summary'!$B$2,0,SUM(INDIRECT(XLOOKUP(FI$3,'TTM Dates'!$B:$B,'TTM Dates'!$E:$E)&amp;ROW($CJ75)&amp;":"&amp;XLOOKUP(FI$3,'TTM Dates'!$B:$B,'TTM Dates'!$C:$C)&amp;ROW($CJ75))))</f>
        <v>0</v>
      </c>
      <c r="FJ75" s="136">
        <f t="array" ref="FJ75">IF(FJ$3&gt;'GAAP Summary'!$B$2,0,SUM(INDIRECT(XLOOKUP(FJ$3,'TTM Dates'!$B:$B,'TTM Dates'!$E:$E)&amp;ROW($CJ75)&amp;":"&amp;XLOOKUP(FJ$3,'TTM Dates'!$B:$B,'TTM Dates'!$C:$C)&amp;ROW($CJ75))))</f>
        <v>0</v>
      </c>
      <c r="FK75" s="136">
        <f t="array" ref="FK75">IF(FK$3&gt;'GAAP Summary'!$B$2,0,SUM(INDIRECT(XLOOKUP(FK$3,'TTM Dates'!$B:$B,'TTM Dates'!$E:$E)&amp;ROW($CJ75)&amp;":"&amp;XLOOKUP(FK$3,'TTM Dates'!$B:$B,'TTM Dates'!$C:$C)&amp;ROW($CJ75))))</f>
        <v>0</v>
      </c>
      <c r="FL75" s="136">
        <f t="array" ref="FL75">IF(FL$3&gt;'GAAP Summary'!$B$2,0,SUM(INDIRECT(XLOOKUP(FL$3,'TTM Dates'!$B:$B,'TTM Dates'!$E:$E)&amp;ROW($CJ75)&amp;":"&amp;XLOOKUP(FL$3,'TTM Dates'!$B:$B,'TTM Dates'!$C:$C)&amp;ROW($CJ75))))</f>
        <v>0</v>
      </c>
      <c r="FM75" s="136">
        <f t="array" ref="FM75">IF(FM$3&gt;'GAAP Summary'!$B$2,0,SUM(INDIRECT(XLOOKUP(FM$3,'TTM Dates'!$B:$B,'TTM Dates'!$E:$E)&amp;ROW($CJ75)&amp;":"&amp;XLOOKUP(FM$3,'TTM Dates'!$B:$B,'TTM Dates'!$C:$C)&amp;ROW($CJ75))))</f>
        <v>0</v>
      </c>
      <c r="FN75" s="136">
        <f t="array" ref="FN75">IF(FN$3&gt;'GAAP Summary'!$B$2,0,SUM(INDIRECT(XLOOKUP(FN$3,'TTM Dates'!$B:$B,'TTM Dates'!$E:$E)&amp;ROW($CJ75)&amp;":"&amp;XLOOKUP(FN$3,'TTM Dates'!$B:$B,'TTM Dates'!$C:$C)&amp;ROW($CJ75))))</f>
        <v>0</v>
      </c>
      <c r="FO75" s="136">
        <f t="array" ref="FO75">IF(FO$3&gt;'GAAP Summary'!$B$2,0,SUM(INDIRECT(XLOOKUP(FO$3,'TTM Dates'!$B:$B,'TTM Dates'!$E:$E)&amp;ROW($CJ75)&amp;":"&amp;XLOOKUP(FO$3,'TTM Dates'!$B:$B,'TTM Dates'!$C:$C)&amp;ROW($CJ75))))</f>
        <v>0</v>
      </c>
      <c r="FP75" s="136">
        <f t="array" ref="FP75">IF(FP$3&gt;'GAAP Summary'!$B$2,0,SUM(INDIRECT(XLOOKUP(FP$3,'TTM Dates'!$B:$B,'TTM Dates'!$E:$E)&amp;ROW($CJ75)&amp;":"&amp;XLOOKUP(FP$3,'TTM Dates'!$B:$B,'TTM Dates'!$C:$C)&amp;ROW($CJ75))))</f>
        <v>0</v>
      </c>
      <c r="FQ75" s="136">
        <f t="array" ref="FQ75">IF(FQ$3&gt;'GAAP Summary'!$B$2,0,SUM(INDIRECT(XLOOKUP(FQ$3,'TTM Dates'!$B:$B,'TTM Dates'!$E:$E)&amp;ROW($CJ75)&amp;":"&amp;XLOOKUP(FQ$3,'TTM Dates'!$B:$B,'TTM Dates'!$C:$C)&amp;ROW($CJ75))))</f>
        <v>0</v>
      </c>
      <c r="FR75" s="136">
        <f t="array" ref="FR75">IF(FR$3&gt;'GAAP Summary'!$B$2,0,SUM(INDIRECT(XLOOKUP(FR$3,'TTM Dates'!$B:$B,'TTM Dates'!$E:$E)&amp;ROW($CJ75)&amp;":"&amp;XLOOKUP(FR$3,'TTM Dates'!$B:$B,'TTM Dates'!$C:$C)&amp;ROW($CJ75))))</f>
        <v>0</v>
      </c>
      <c r="FS75" s="136">
        <f t="array" ref="FS75">IF(FS$3&gt;'GAAP Summary'!$B$2,0,SUM(INDIRECT(XLOOKUP(FS$3,'TTM Dates'!$B:$B,'TTM Dates'!$E:$E)&amp;ROW($CJ75)&amp;":"&amp;XLOOKUP(FS$3,'TTM Dates'!$B:$B,'TTM Dates'!$C:$C)&amp;ROW($CJ75))))</f>
        <v>0</v>
      </c>
      <c r="FT75" s="136">
        <f t="array" ref="FT75">IF(FT$3&gt;'GAAP Summary'!$B$2,0,SUM(INDIRECT(XLOOKUP(FT$3,'TTM Dates'!$B:$B,'TTM Dates'!$E:$E)&amp;ROW($CJ75)&amp;":"&amp;XLOOKUP(FT$3,'TTM Dates'!$B:$B,'TTM Dates'!$C:$C)&amp;ROW($CJ75))))</f>
        <v>0</v>
      </c>
      <c r="FU75" s="136">
        <f t="array" ref="FU75">IF(FU$3&gt;'GAAP Summary'!$B$2,0,SUM(INDIRECT(XLOOKUP(FU$3,'TTM Dates'!$B:$B,'TTM Dates'!$E:$E)&amp;ROW($CJ75)&amp;":"&amp;XLOOKUP(FU$3,'TTM Dates'!$B:$B,'TTM Dates'!$C:$C)&amp;ROW($CJ75))))</f>
        <v>0</v>
      </c>
      <c r="FV75" s="136">
        <f t="array" ref="FV75">IF(FV$3&gt;'GAAP Summary'!$B$2,0,SUM(INDIRECT(XLOOKUP(FV$3,'TTM Dates'!$B:$B,'TTM Dates'!$E:$E)&amp;ROW($CJ75)&amp;":"&amp;XLOOKUP(FV$3,'TTM Dates'!$B:$B,'TTM Dates'!$C:$C)&amp;ROW($CJ75))))</f>
        <v>0</v>
      </c>
      <c r="FW75" s="136">
        <f t="array" ref="FW75">IF(FW$3&gt;'GAAP Summary'!$B$2,0,SUM(INDIRECT(XLOOKUP(FW$3,'TTM Dates'!$B:$B,'TTM Dates'!$E:$E)&amp;ROW($CJ75)&amp;":"&amp;XLOOKUP(FW$3,'TTM Dates'!$B:$B,'TTM Dates'!$C:$C)&amp;ROW($CJ75))))</f>
        <v>0</v>
      </c>
      <c r="FX75" s="136">
        <f t="array" ref="FX75">IF(FX$3&gt;'GAAP Summary'!$B$2,0,SUM(INDIRECT(XLOOKUP(FX$3,'TTM Dates'!$B:$B,'TTM Dates'!$E:$E)&amp;ROW($CJ75)&amp;":"&amp;XLOOKUP(FX$3,'TTM Dates'!$B:$B,'TTM Dates'!$C:$C)&amp;ROW($CJ75))))</f>
        <v>0</v>
      </c>
      <c r="FY75" s="136">
        <f t="array" ref="FY75">IF(FY$3&gt;'GAAP Summary'!$B$2,0,SUM(INDIRECT(XLOOKUP(FY$3,'TTM Dates'!$B:$B,'TTM Dates'!$E:$E)&amp;ROW($CJ75)&amp;":"&amp;XLOOKUP(FY$3,'TTM Dates'!$B:$B,'TTM Dates'!$C:$C)&amp;ROW($CJ75))))</f>
        <v>0</v>
      </c>
      <c r="FZ75" s="136">
        <f t="array" ref="FZ75">IF(FZ$3&gt;'GAAP Summary'!$B$2,0,SUM(INDIRECT(XLOOKUP(FZ$3,'TTM Dates'!$B:$B,'TTM Dates'!$E:$E)&amp;ROW($CJ75)&amp;":"&amp;XLOOKUP(FZ$3,'TTM Dates'!$B:$B,'TTM Dates'!$C:$C)&amp;ROW($CJ75))))</f>
        <v>0</v>
      </c>
      <c r="GA75" s="136">
        <f t="array" ref="GA75">IF(GA$3&gt;'GAAP Summary'!$B$2,0,SUM(INDIRECT(XLOOKUP(GA$3,'TTM Dates'!$B:$B,'TTM Dates'!$E:$E)&amp;ROW($CJ75)&amp;":"&amp;XLOOKUP(GA$3,'TTM Dates'!$B:$B,'TTM Dates'!$C:$C)&amp;ROW($CJ75))))</f>
        <v>0</v>
      </c>
      <c r="GB75" s="136">
        <f t="array" ref="GB75">IF(GB$3&gt;'GAAP Summary'!$B$2,0,SUM(INDIRECT(XLOOKUP(GB$3,'TTM Dates'!$B:$B,'TTM Dates'!$E:$E)&amp;ROW($CJ75)&amp;":"&amp;XLOOKUP(GB$3,'TTM Dates'!$B:$B,'TTM Dates'!$C:$C)&amp;ROW($CJ75))))</f>
        <v>0</v>
      </c>
      <c r="GC75" s="136">
        <f t="array" ref="GC75">IF(GC$3&gt;'GAAP Summary'!$B$2,0,SUM(INDIRECT(XLOOKUP(GC$3,'TTM Dates'!$B:$B,'TTM Dates'!$E:$E)&amp;ROW($CJ75)&amp;":"&amp;XLOOKUP(GC$3,'TTM Dates'!$B:$B,'TTM Dates'!$C:$C)&amp;ROW($CJ75))))</f>
        <v>0</v>
      </c>
      <c r="GD75" s="136">
        <f t="array" ref="GD75">IF(GD$3&gt;'GAAP Summary'!$B$2,0,SUM(INDIRECT(XLOOKUP(GD$3,'TTM Dates'!$B:$B,'TTM Dates'!$E:$E)&amp;ROW($CJ75)&amp;":"&amp;XLOOKUP(GD$3,'TTM Dates'!$B:$B,'TTM Dates'!$C:$C)&amp;ROW($CJ75))))</f>
        <v>0</v>
      </c>
      <c r="GE75" s="136">
        <f t="array" ref="GE75">IF(GE$3&gt;'GAAP Summary'!$B$2,0,SUM(INDIRECT(XLOOKUP(GE$3,'TTM Dates'!$B:$B,'TTM Dates'!$E:$E)&amp;ROW($CJ75)&amp;":"&amp;XLOOKUP(GE$3,'TTM Dates'!$B:$B,'TTM Dates'!$C:$C)&amp;ROW($CJ75))))</f>
        <v>0</v>
      </c>
      <c r="GF75" s="136">
        <f t="array" ref="GF75">IF(GF$3&gt;'GAAP Summary'!$B$2,0,SUM(INDIRECT(XLOOKUP(GF$3,'TTM Dates'!$B:$B,'TTM Dates'!$E:$E)&amp;ROW($CJ75)&amp;":"&amp;XLOOKUP(GF$3,'TTM Dates'!$B:$B,'TTM Dates'!$C:$C)&amp;ROW($CJ75))))</f>
        <v>0</v>
      </c>
      <c r="GG75" s="136">
        <f t="array" ref="GG75">IF(GG$3&gt;'GAAP Summary'!$B$2,0,SUM(INDIRECT(XLOOKUP(GG$3,'TTM Dates'!$B:$B,'TTM Dates'!$E:$E)&amp;ROW($CJ75)&amp;":"&amp;XLOOKUP(GG$3,'TTM Dates'!$B:$B,'TTM Dates'!$C:$C)&amp;ROW($CJ75))))</f>
        <v>0</v>
      </c>
      <c r="GH75" s="136">
        <f t="array" ref="GH75">IF(GH$3&gt;'GAAP Summary'!$B$2,0,SUM(INDIRECT(XLOOKUP(GH$3,'TTM Dates'!$B:$B,'TTM Dates'!$E:$E)&amp;ROW($CJ75)&amp;":"&amp;XLOOKUP(GH$3,'TTM Dates'!$B:$B,'TTM Dates'!$C:$C)&amp;ROW($CJ75))))</f>
        <v>0</v>
      </c>
      <c r="GI75" s="136">
        <f t="array" ref="GI75">IF(GI$3&gt;'GAAP Summary'!$B$2,0,SUM(INDIRECT(XLOOKUP(GI$3,'TTM Dates'!$B:$B,'TTM Dates'!$E:$E)&amp;ROW($CJ75)&amp;":"&amp;XLOOKUP(GI$3,'TTM Dates'!$B:$B,'TTM Dates'!$C:$C)&amp;ROW($CJ75))))</f>
        <v>0</v>
      </c>
      <c r="GJ75" s="136">
        <f t="array" ref="GJ75">IF(GJ$3&gt;'GAAP Summary'!$B$2,0,SUM(INDIRECT(XLOOKUP(GJ$3,'TTM Dates'!$B:$B,'TTM Dates'!$E:$E)&amp;ROW($CJ75)&amp;":"&amp;XLOOKUP(GJ$3,'TTM Dates'!$B:$B,'TTM Dates'!$C:$C)&amp;ROW($CJ75))))</f>
        <v>0</v>
      </c>
      <c r="GK75" s="136">
        <f t="array" ref="GK75">IF(GK$3&gt;'GAAP Summary'!$B$2,0,SUM(INDIRECT(XLOOKUP(GK$3,'TTM Dates'!$B:$B,'TTM Dates'!$E:$E)&amp;ROW($CJ75)&amp;":"&amp;XLOOKUP(GK$3,'TTM Dates'!$B:$B,'TTM Dates'!$C:$C)&amp;ROW($CJ75))))</f>
        <v>0</v>
      </c>
      <c r="GL75" s="136">
        <f t="array" ref="GL75">IF(GL$3&gt;'GAAP Summary'!$B$2,0,SUM(INDIRECT(XLOOKUP(GL$3,'TTM Dates'!$B:$B,'TTM Dates'!$E:$E)&amp;ROW($CJ75)&amp;":"&amp;XLOOKUP(GL$3,'TTM Dates'!$B:$B,'TTM Dates'!$C:$C)&amp;ROW($CJ75))))</f>
        <v>0</v>
      </c>
      <c r="GM75" s="136"/>
    </row>
    <row r="76" outlineLevel="1">
      <c r="B76" s="135" t="s">
        <v>508</v>
      </c>
      <c r="C76" s="136"/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337"/>
      <c r="AY76" s="337"/>
      <c r="AZ76" s="337"/>
      <c r="BA76" s="337"/>
      <c r="BB76" s="337"/>
      <c r="BC76" s="337"/>
      <c r="BD76" s="337"/>
      <c r="BE76" s="337"/>
      <c r="BF76" s="337"/>
      <c r="BG76" s="337"/>
      <c r="BH76" s="337"/>
      <c r="BI76" s="337"/>
      <c r="BJ76" s="337"/>
      <c r="BK76" s="337"/>
      <c r="BL76" s="337"/>
      <c r="BM76" s="337"/>
      <c r="BN76" s="337"/>
      <c r="BO76" s="337"/>
      <c r="BP76" s="337"/>
      <c r="BQ76" s="337"/>
      <c r="BR76" s="337"/>
      <c r="BS76" s="337"/>
      <c r="BT76" s="337"/>
      <c r="BU76" s="337"/>
      <c r="BV76" s="337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33"/>
      <c r="CJ76" s="33"/>
      <c r="CK76" s="303">
        <f t="array" ref="CK76">SUM(INDIRECT(XLOOKUP('GAAP Summary'!$B$2,'TTM Dates'!$B:$B,'TTM Dates'!$E:$E)&amp;ROW($CJ76)&amp;":"&amp;XLOOKUP('GAAP Summary'!$B$2,'TTM Dates'!$B:$B,'TTM Dates'!$C:$C)&amp;ROW($CJ76)))</f>
        <v>0</v>
      </c>
      <c r="CL76" s="49"/>
      <c r="CM76" s="136">
        <f t="shared" si="144"/>
        <v>0</v>
      </c>
      <c r="CN76" s="136">
        <f t="shared" si="145"/>
        <v>0</v>
      </c>
      <c r="CO76" s="136">
        <f t="shared" si="146"/>
        <v>0</v>
      </c>
      <c r="CP76" s="136">
        <f t="shared" si="147"/>
        <v>0</v>
      </c>
      <c r="CQ76" s="339">
        <f t="shared" si="148"/>
        <v>0</v>
      </c>
      <c r="CR76" s="136"/>
      <c r="CS76" s="136">
        <f t="shared" si="149"/>
        <v>0</v>
      </c>
      <c r="CT76" s="136">
        <f t="shared" si="150"/>
        <v>0</v>
      </c>
      <c r="CU76" s="136">
        <f t="shared" si="151"/>
        <v>0</v>
      </c>
      <c r="CV76" s="136">
        <f t="shared" si="152"/>
        <v>0</v>
      </c>
      <c r="CW76" s="292">
        <f t="shared" si="153"/>
        <v>0</v>
      </c>
      <c r="CX76" s="49"/>
      <c r="CY76" s="136">
        <f t="shared" si="154"/>
        <v>0</v>
      </c>
      <c r="CZ76" s="136">
        <f t="shared" si="155"/>
        <v>0</v>
      </c>
      <c r="DA76" s="136">
        <f t="shared" si="156"/>
        <v>0</v>
      </c>
      <c r="DB76" s="136">
        <f t="shared" si="157"/>
        <v>0</v>
      </c>
      <c r="DC76" s="292">
        <f t="shared" si="158"/>
        <v>0</v>
      </c>
      <c r="DD76" s="136"/>
      <c r="DE76" s="136">
        <f t="shared" si="159"/>
        <v>0</v>
      </c>
      <c r="DF76" s="136">
        <f t="shared" si="160"/>
        <v>0</v>
      </c>
      <c r="DG76" s="136">
        <f t="shared" si="161"/>
        <v>0</v>
      </c>
      <c r="DH76" s="136">
        <f t="shared" si="162"/>
        <v>0</v>
      </c>
      <c r="DI76" s="292">
        <f t="shared" si="163"/>
        <v>0</v>
      </c>
      <c r="DJ76" s="136"/>
      <c r="DK76" s="136"/>
      <c r="DL76" s="136"/>
      <c r="DM76" s="136"/>
      <c r="DN76" s="136"/>
      <c r="DO76" s="292"/>
      <c r="DP76" s="136"/>
      <c r="DQ76" s="292"/>
      <c r="DR76" s="136"/>
      <c r="DS76" s="136">
        <f t="array" ref="DS76">IF(DS$3&gt;'GAAP Summary'!$B$2,0,SUM(INDIRECT(XLOOKUP(DS$3,'TTM Dates'!$B:$B,'TTM Dates'!$E:$E)&amp;ROW($CJ76)&amp;":"&amp;XLOOKUP(DS$3,'TTM Dates'!$B:$B,'TTM Dates'!$C:$C)&amp;ROW($CJ76))))</f>
        <v>0</v>
      </c>
      <c r="DT76" s="136">
        <f t="array" ref="DT76">IF(DT$3&gt;'GAAP Summary'!$B$2,0,SUM(INDIRECT(XLOOKUP(DT$3,'TTM Dates'!$B:$B,'TTM Dates'!$E:$E)&amp;ROW($CJ76)&amp;":"&amp;XLOOKUP(DT$3,'TTM Dates'!$B:$B,'TTM Dates'!$C:$C)&amp;ROW($CJ76))))</f>
        <v>0</v>
      </c>
      <c r="DU76" s="136">
        <f t="array" ref="DU76">IF(DU$3&gt;'GAAP Summary'!$B$2,0,SUM(INDIRECT(XLOOKUP(DU$3,'TTM Dates'!$B:$B,'TTM Dates'!$E:$E)&amp;ROW($CJ76)&amp;":"&amp;XLOOKUP(DU$3,'TTM Dates'!$B:$B,'TTM Dates'!$C:$C)&amp;ROW($CJ76))))</f>
        <v>0</v>
      </c>
      <c r="DV76" s="136">
        <f t="array" ref="DV76">IF(DV$3&gt;'GAAP Summary'!$B$2,0,SUM(INDIRECT(XLOOKUP(DV$3,'TTM Dates'!$B:$B,'TTM Dates'!$E:$E)&amp;ROW($CJ76)&amp;":"&amp;XLOOKUP(DV$3,'TTM Dates'!$B:$B,'TTM Dates'!$C:$C)&amp;ROW($CJ76))))</f>
        <v>0</v>
      </c>
      <c r="DW76" s="136">
        <f t="array" ref="DW76">IF(DW$3&gt;'GAAP Summary'!$B$2,0,SUM(INDIRECT(XLOOKUP(DW$3,'TTM Dates'!$B:$B,'TTM Dates'!$E:$E)&amp;ROW($CJ76)&amp;":"&amp;XLOOKUP(DW$3,'TTM Dates'!$B:$B,'TTM Dates'!$C:$C)&amp;ROW($CJ76))))</f>
        <v>0</v>
      </c>
      <c r="DX76" s="136">
        <f t="array" ref="DX76">IF(DX$3&gt;'GAAP Summary'!$B$2,0,SUM(INDIRECT(XLOOKUP(DX$3,'TTM Dates'!$B:$B,'TTM Dates'!$E:$E)&amp;ROW($CJ76)&amp;":"&amp;XLOOKUP(DX$3,'TTM Dates'!$B:$B,'TTM Dates'!$C:$C)&amp;ROW($CJ76))))</f>
        <v>0</v>
      </c>
      <c r="DY76" s="136">
        <f t="array" ref="DY76">IF(DY$3&gt;'GAAP Summary'!$B$2,0,SUM(INDIRECT(XLOOKUP(DY$3,'TTM Dates'!$B:$B,'TTM Dates'!$E:$E)&amp;ROW($CJ76)&amp;":"&amp;XLOOKUP(DY$3,'TTM Dates'!$B:$B,'TTM Dates'!$C:$C)&amp;ROW($CJ76))))</f>
        <v>0</v>
      </c>
      <c r="DZ76" s="136">
        <f t="array" ref="DZ76">IF(DZ$3&gt;'GAAP Summary'!$B$2,0,SUM(INDIRECT(XLOOKUP(DZ$3,'TTM Dates'!$B:$B,'TTM Dates'!$E:$E)&amp;ROW($CJ76)&amp;":"&amp;XLOOKUP(DZ$3,'TTM Dates'!$B:$B,'TTM Dates'!$C:$C)&amp;ROW($CJ76))))</f>
        <v>0</v>
      </c>
      <c r="EA76" s="136">
        <f t="array" ref="EA76">IF(EA$3&gt;'GAAP Summary'!$B$2,0,SUM(INDIRECT(XLOOKUP(EA$3,'TTM Dates'!$B:$B,'TTM Dates'!$E:$E)&amp;ROW($CJ76)&amp;":"&amp;XLOOKUP(EA$3,'TTM Dates'!$B:$B,'TTM Dates'!$C:$C)&amp;ROW($CJ76))))</f>
        <v>0</v>
      </c>
      <c r="EB76" s="136">
        <f t="array" ref="EB76">IF(EB$3&gt;'GAAP Summary'!$B$2,0,SUM(INDIRECT(XLOOKUP(EB$3,'TTM Dates'!$B:$B,'TTM Dates'!$E:$E)&amp;ROW($CJ76)&amp;":"&amp;XLOOKUP(EB$3,'TTM Dates'!$B:$B,'TTM Dates'!$C:$C)&amp;ROW($CJ76))))</f>
        <v>0</v>
      </c>
      <c r="EC76" s="136">
        <f t="array" ref="EC76">IF(EC$3&gt;'GAAP Summary'!$B$2,0,SUM(INDIRECT(XLOOKUP(EC$3,'TTM Dates'!$B:$B,'TTM Dates'!$E:$E)&amp;ROW($CJ76)&amp;":"&amp;XLOOKUP(EC$3,'TTM Dates'!$B:$B,'TTM Dates'!$C:$C)&amp;ROW($CJ76))))</f>
        <v>0</v>
      </c>
      <c r="ED76" s="136">
        <f t="array" ref="ED76">IF(ED$3&gt;'GAAP Summary'!$B$2,0,SUM(INDIRECT(XLOOKUP(ED$3,'TTM Dates'!$B:$B,'TTM Dates'!$E:$E)&amp;ROW($CJ76)&amp;":"&amp;XLOOKUP(ED$3,'TTM Dates'!$B:$B,'TTM Dates'!$C:$C)&amp;ROW($CJ76))))</f>
        <v>0</v>
      </c>
      <c r="EE76" s="136">
        <f t="array" ref="EE76">IF(EE$3&gt;'GAAP Summary'!$B$2,0,SUM(INDIRECT(XLOOKUP(EE$3,'TTM Dates'!$B:$B,'TTM Dates'!$E:$E)&amp;ROW($CJ76)&amp;":"&amp;XLOOKUP(EE$3,'TTM Dates'!$B:$B,'TTM Dates'!$C:$C)&amp;ROW($CJ76))))</f>
        <v>0</v>
      </c>
      <c r="EF76" s="136">
        <f t="array" ref="EF76">IF(EF$3&gt;'GAAP Summary'!$B$2,0,SUM(INDIRECT(XLOOKUP(EF$3,'TTM Dates'!$B:$B,'TTM Dates'!$E:$E)&amp;ROW($CJ76)&amp;":"&amp;XLOOKUP(EF$3,'TTM Dates'!$B:$B,'TTM Dates'!$C:$C)&amp;ROW($CJ76))))</f>
        <v>0</v>
      </c>
      <c r="EG76" s="136">
        <f t="array" ref="EG76">IF(EG$3&gt;'GAAP Summary'!$B$2,0,SUM(INDIRECT(XLOOKUP(EG$3,'TTM Dates'!$B:$B,'TTM Dates'!$E:$E)&amp;ROW($CJ76)&amp;":"&amp;XLOOKUP(EG$3,'TTM Dates'!$B:$B,'TTM Dates'!$C:$C)&amp;ROW($CJ76))))</f>
        <v>0</v>
      </c>
      <c r="EH76" s="136">
        <f t="array" ref="EH76">IF(EH$3&gt;'GAAP Summary'!$B$2,0,SUM(INDIRECT(XLOOKUP(EH$3,'TTM Dates'!$B:$B,'TTM Dates'!$E:$E)&amp;ROW($CJ76)&amp;":"&amp;XLOOKUP(EH$3,'TTM Dates'!$B:$B,'TTM Dates'!$C:$C)&amp;ROW($CJ76))))</f>
        <v>0</v>
      </c>
      <c r="EI76" s="136">
        <f t="array" ref="EI76">IF(EI$3&gt;'GAAP Summary'!$B$2,0,SUM(INDIRECT(XLOOKUP(EI$3,'TTM Dates'!$B:$B,'TTM Dates'!$E:$E)&amp;ROW($CJ76)&amp;":"&amp;XLOOKUP(EI$3,'TTM Dates'!$B:$B,'TTM Dates'!$C:$C)&amp;ROW($CJ76))))</f>
        <v>0</v>
      </c>
      <c r="EJ76" s="136">
        <f t="array" ref="EJ76">IF(EJ$3&gt;'GAAP Summary'!$B$2,0,SUM(INDIRECT(XLOOKUP(EJ$3,'TTM Dates'!$B:$B,'TTM Dates'!$E:$E)&amp;ROW($CJ76)&amp;":"&amp;XLOOKUP(EJ$3,'TTM Dates'!$B:$B,'TTM Dates'!$C:$C)&amp;ROW($CJ76))))</f>
        <v>0</v>
      </c>
      <c r="EK76" s="136">
        <f t="array" ref="EK76">IF(EK$3&gt;'GAAP Summary'!$B$2,0,SUM(INDIRECT(XLOOKUP(EK$3,'TTM Dates'!$B:$B,'TTM Dates'!$E:$E)&amp;ROW($CJ76)&amp;":"&amp;XLOOKUP(EK$3,'TTM Dates'!$B:$B,'TTM Dates'!$C:$C)&amp;ROW($CJ76))))</f>
        <v>0</v>
      </c>
      <c r="EL76" s="136">
        <f t="array" ref="EL76">IF(EL$3&gt;'GAAP Summary'!$B$2,0,SUM(INDIRECT(XLOOKUP(EL$3,'TTM Dates'!$B:$B,'TTM Dates'!$E:$E)&amp;ROW($CJ76)&amp;":"&amp;XLOOKUP(EL$3,'TTM Dates'!$B:$B,'TTM Dates'!$C:$C)&amp;ROW($CJ76))))</f>
        <v>0</v>
      </c>
      <c r="EM76" s="136">
        <f t="array" ref="EM76">IF(EM$3&gt;'GAAP Summary'!$B$2,0,SUM(INDIRECT(XLOOKUP(EM$3,'TTM Dates'!$B:$B,'TTM Dates'!$E:$E)&amp;ROW($CJ76)&amp;":"&amp;XLOOKUP(EM$3,'TTM Dates'!$B:$B,'TTM Dates'!$C:$C)&amp;ROW($CJ76))))</f>
        <v>0</v>
      </c>
      <c r="EN76" s="136">
        <f t="array" ref="EN76">IF(EN$3&gt;'GAAP Summary'!$B$2,0,SUM(INDIRECT(XLOOKUP(EN$3,'TTM Dates'!$B:$B,'TTM Dates'!$E:$E)&amp;ROW($CJ76)&amp;":"&amp;XLOOKUP(EN$3,'TTM Dates'!$B:$B,'TTM Dates'!$C:$C)&amp;ROW($CJ76))))</f>
        <v>0</v>
      </c>
      <c r="EO76" s="136">
        <f t="array" ref="EO76">IF(EO$3&gt;'GAAP Summary'!$B$2,0,SUM(INDIRECT(XLOOKUP(EO$3,'TTM Dates'!$B:$B,'TTM Dates'!$E:$E)&amp;ROW($CJ76)&amp;":"&amp;XLOOKUP(EO$3,'TTM Dates'!$B:$B,'TTM Dates'!$C:$C)&amp;ROW($CJ76))))</f>
        <v>0</v>
      </c>
      <c r="EP76" s="136">
        <f t="array" ref="EP76">IF(EP$3&gt;'GAAP Summary'!$B$2,0,SUM(INDIRECT(XLOOKUP(EP$3,'TTM Dates'!$B:$B,'TTM Dates'!$E:$E)&amp;ROW($CJ76)&amp;":"&amp;XLOOKUP(EP$3,'TTM Dates'!$B:$B,'TTM Dates'!$C:$C)&amp;ROW($CJ76))))</f>
        <v>0</v>
      </c>
      <c r="EQ76" s="136">
        <f t="array" ref="EQ76">IF(EQ$3&gt;'GAAP Summary'!$B$2,0,SUM(INDIRECT(XLOOKUP(EQ$3,'TTM Dates'!$B:$B,'TTM Dates'!$E:$E)&amp;ROW($CJ76)&amp;":"&amp;XLOOKUP(EQ$3,'TTM Dates'!$B:$B,'TTM Dates'!$C:$C)&amp;ROW($CJ76))))</f>
        <v>0</v>
      </c>
      <c r="ER76" s="136">
        <f t="array" ref="ER76">IF(ER$3&gt;'GAAP Summary'!$B$2,0,SUM(INDIRECT(XLOOKUP(ER$3,'TTM Dates'!$B:$B,'TTM Dates'!$E:$E)&amp;ROW($CJ76)&amp;":"&amp;XLOOKUP(ER$3,'TTM Dates'!$B:$B,'TTM Dates'!$C:$C)&amp;ROW($CJ76))))</f>
        <v>0</v>
      </c>
      <c r="ES76" s="136">
        <f t="array" ref="ES76">IF(ES$3&gt;'GAAP Summary'!$B$2,0,SUM(INDIRECT(XLOOKUP(ES$3,'TTM Dates'!$B:$B,'TTM Dates'!$E:$E)&amp;ROW($CJ76)&amp;":"&amp;XLOOKUP(ES$3,'TTM Dates'!$B:$B,'TTM Dates'!$C:$C)&amp;ROW($CJ76))))</f>
        <v>0</v>
      </c>
      <c r="ET76" s="136">
        <f t="array" ref="ET76">IF(ET$3&gt;'GAAP Summary'!$B$2,0,SUM(INDIRECT(XLOOKUP(ET$3,'TTM Dates'!$B:$B,'TTM Dates'!$E:$E)&amp;ROW($CJ76)&amp;":"&amp;XLOOKUP(ET$3,'TTM Dates'!$B:$B,'TTM Dates'!$C:$C)&amp;ROW($CJ76))))</f>
        <v>0</v>
      </c>
      <c r="EU76" s="136">
        <f t="array" ref="EU76">IF(EU$3&gt;'GAAP Summary'!$B$2,0,SUM(INDIRECT(XLOOKUP(EU$3,'TTM Dates'!$B:$B,'TTM Dates'!$E:$E)&amp;ROW($CJ76)&amp;":"&amp;XLOOKUP(EU$3,'TTM Dates'!$B:$B,'TTM Dates'!$C:$C)&amp;ROW($CJ76))))</f>
        <v>0</v>
      </c>
      <c r="EV76" s="136">
        <f t="array" ref="EV76">IF(EV$3&gt;'GAAP Summary'!$B$2,0,SUM(INDIRECT(XLOOKUP(EV$3,'TTM Dates'!$B:$B,'TTM Dates'!$E:$E)&amp;ROW($CJ76)&amp;":"&amp;XLOOKUP(EV$3,'TTM Dates'!$B:$B,'TTM Dates'!$C:$C)&amp;ROW($CJ76))))</f>
        <v>0</v>
      </c>
      <c r="EW76" s="136">
        <f t="array" ref="EW76">IF(EW$3&gt;'GAAP Summary'!$B$2,0,SUM(INDIRECT(XLOOKUP(EW$3,'TTM Dates'!$B:$B,'TTM Dates'!$E:$E)&amp;ROW($CJ76)&amp;":"&amp;XLOOKUP(EW$3,'TTM Dates'!$B:$B,'TTM Dates'!$C:$C)&amp;ROW($CJ76))))</f>
        <v>0</v>
      </c>
      <c r="EX76" s="136">
        <f t="array" ref="EX76">IF(EX$3&gt;'GAAP Summary'!$B$2,0,SUM(INDIRECT(XLOOKUP(EX$3,'TTM Dates'!$B:$B,'TTM Dates'!$E:$E)&amp;ROW($CJ76)&amp;":"&amp;XLOOKUP(EX$3,'TTM Dates'!$B:$B,'TTM Dates'!$C:$C)&amp;ROW($CJ76))))</f>
        <v>0</v>
      </c>
      <c r="EY76" s="136">
        <f t="array" ref="EY76">IF(EY$3&gt;'GAAP Summary'!$B$2,0,SUM(INDIRECT(XLOOKUP(EY$3,'TTM Dates'!$B:$B,'TTM Dates'!$E:$E)&amp;ROW($CJ76)&amp;":"&amp;XLOOKUP(EY$3,'TTM Dates'!$B:$B,'TTM Dates'!$C:$C)&amp;ROW($CJ76))))</f>
        <v>0</v>
      </c>
      <c r="EZ76" s="136">
        <f t="array" ref="EZ76">IF(EZ$3&gt;'GAAP Summary'!$B$2,0,SUM(INDIRECT(XLOOKUP(EZ$3,'TTM Dates'!$B:$B,'TTM Dates'!$E:$E)&amp;ROW($CJ76)&amp;":"&amp;XLOOKUP(EZ$3,'TTM Dates'!$B:$B,'TTM Dates'!$C:$C)&amp;ROW($CJ76))))</f>
        <v>0</v>
      </c>
      <c r="FA76" s="136">
        <f t="array" ref="FA76">IF(FA$3&gt;'GAAP Summary'!$B$2,0,SUM(INDIRECT(XLOOKUP(FA$3,'TTM Dates'!$B:$B,'TTM Dates'!$E:$E)&amp;ROW($CJ76)&amp;":"&amp;XLOOKUP(FA$3,'TTM Dates'!$B:$B,'TTM Dates'!$C:$C)&amp;ROW($CJ76))))</f>
        <v>0</v>
      </c>
      <c r="FB76" s="136">
        <f t="array" ref="FB76">IF(FB$3&gt;'GAAP Summary'!$B$2,0,SUM(INDIRECT(XLOOKUP(FB$3,'TTM Dates'!$B:$B,'TTM Dates'!$E:$E)&amp;ROW($CJ76)&amp;":"&amp;XLOOKUP(FB$3,'TTM Dates'!$B:$B,'TTM Dates'!$C:$C)&amp;ROW($CJ76))))</f>
        <v>0</v>
      </c>
      <c r="FC76" s="136">
        <f t="array" ref="FC76">IF(FC$3&gt;'GAAP Summary'!$B$2,0,SUM(INDIRECT(XLOOKUP(FC$3,'TTM Dates'!$B:$B,'TTM Dates'!$E:$E)&amp;ROW($CJ76)&amp;":"&amp;XLOOKUP(FC$3,'TTM Dates'!$B:$B,'TTM Dates'!$C:$C)&amp;ROW($CJ76))))</f>
        <v>0</v>
      </c>
      <c r="FD76" s="136">
        <f t="array" ref="FD76">IF(FD$3&gt;'GAAP Summary'!$B$2,0,SUM(INDIRECT(XLOOKUP(FD$3,'TTM Dates'!$B:$B,'TTM Dates'!$E:$E)&amp;ROW($CJ76)&amp;":"&amp;XLOOKUP(FD$3,'TTM Dates'!$B:$B,'TTM Dates'!$C:$C)&amp;ROW($CJ76))))</f>
        <v>0</v>
      </c>
      <c r="FE76" s="136">
        <f t="array" ref="FE76">IF(FE$3&gt;'GAAP Summary'!$B$2,0,SUM(INDIRECT(XLOOKUP(FE$3,'TTM Dates'!$B:$B,'TTM Dates'!$E:$E)&amp;ROW($CJ76)&amp;":"&amp;XLOOKUP(FE$3,'TTM Dates'!$B:$B,'TTM Dates'!$C:$C)&amp;ROW($CJ76))))</f>
        <v>0</v>
      </c>
      <c r="FF76" s="136">
        <f t="array" ref="FF76">IF(FF$3&gt;'GAAP Summary'!$B$2,0,SUM(INDIRECT(XLOOKUP(FF$3,'TTM Dates'!$B:$B,'TTM Dates'!$E:$E)&amp;ROW($CJ76)&amp;":"&amp;XLOOKUP(FF$3,'TTM Dates'!$B:$B,'TTM Dates'!$C:$C)&amp;ROW($CJ76))))</f>
        <v>0</v>
      </c>
      <c r="FG76" s="136">
        <f t="array" ref="FG76">IF(FG$3&gt;'GAAP Summary'!$B$2,0,SUM(INDIRECT(XLOOKUP(FG$3,'TTM Dates'!$B:$B,'TTM Dates'!$E:$E)&amp;ROW($CJ76)&amp;":"&amp;XLOOKUP(FG$3,'TTM Dates'!$B:$B,'TTM Dates'!$C:$C)&amp;ROW($CJ76))))</f>
        <v>0</v>
      </c>
      <c r="FH76" s="136">
        <f t="array" ref="FH76">IF(FH$3&gt;'GAAP Summary'!$B$2,0,SUM(INDIRECT(XLOOKUP(FH$3,'TTM Dates'!$B:$B,'TTM Dates'!$E:$E)&amp;ROW($CJ76)&amp;":"&amp;XLOOKUP(FH$3,'TTM Dates'!$B:$B,'TTM Dates'!$C:$C)&amp;ROW($CJ76))))</f>
        <v>0</v>
      </c>
      <c r="FI76" s="136">
        <f t="array" ref="FI76">IF(FI$3&gt;'GAAP Summary'!$B$2,0,SUM(INDIRECT(XLOOKUP(FI$3,'TTM Dates'!$B:$B,'TTM Dates'!$E:$E)&amp;ROW($CJ76)&amp;":"&amp;XLOOKUP(FI$3,'TTM Dates'!$B:$B,'TTM Dates'!$C:$C)&amp;ROW($CJ76))))</f>
        <v>0</v>
      </c>
      <c r="FJ76" s="136">
        <f t="array" ref="FJ76">IF(FJ$3&gt;'GAAP Summary'!$B$2,0,SUM(INDIRECT(XLOOKUP(FJ$3,'TTM Dates'!$B:$B,'TTM Dates'!$E:$E)&amp;ROW($CJ76)&amp;":"&amp;XLOOKUP(FJ$3,'TTM Dates'!$B:$B,'TTM Dates'!$C:$C)&amp;ROW($CJ76))))</f>
        <v>0</v>
      </c>
      <c r="FK76" s="136">
        <f t="array" ref="FK76">IF(FK$3&gt;'GAAP Summary'!$B$2,0,SUM(INDIRECT(XLOOKUP(FK$3,'TTM Dates'!$B:$B,'TTM Dates'!$E:$E)&amp;ROW($CJ76)&amp;":"&amp;XLOOKUP(FK$3,'TTM Dates'!$B:$B,'TTM Dates'!$C:$C)&amp;ROW($CJ76))))</f>
        <v>0</v>
      </c>
      <c r="FL76" s="136">
        <f t="array" ref="FL76">IF(FL$3&gt;'GAAP Summary'!$B$2,0,SUM(INDIRECT(XLOOKUP(FL$3,'TTM Dates'!$B:$B,'TTM Dates'!$E:$E)&amp;ROW($CJ76)&amp;":"&amp;XLOOKUP(FL$3,'TTM Dates'!$B:$B,'TTM Dates'!$C:$C)&amp;ROW($CJ76))))</f>
        <v>0</v>
      </c>
      <c r="FM76" s="136">
        <f t="array" ref="FM76">IF(FM$3&gt;'GAAP Summary'!$B$2,0,SUM(INDIRECT(XLOOKUP(FM$3,'TTM Dates'!$B:$B,'TTM Dates'!$E:$E)&amp;ROW($CJ76)&amp;":"&amp;XLOOKUP(FM$3,'TTM Dates'!$B:$B,'TTM Dates'!$C:$C)&amp;ROW($CJ76))))</f>
        <v>0</v>
      </c>
      <c r="FN76" s="136">
        <f t="array" ref="FN76">IF(FN$3&gt;'GAAP Summary'!$B$2,0,SUM(INDIRECT(XLOOKUP(FN$3,'TTM Dates'!$B:$B,'TTM Dates'!$E:$E)&amp;ROW($CJ76)&amp;":"&amp;XLOOKUP(FN$3,'TTM Dates'!$B:$B,'TTM Dates'!$C:$C)&amp;ROW($CJ76))))</f>
        <v>0</v>
      </c>
      <c r="FO76" s="136">
        <f t="array" ref="FO76">IF(FO$3&gt;'GAAP Summary'!$B$2,0,SUM(INDIRECT(XLOOKUP(FO$3,'TTM Dates'!$B:$B,'TTM Dates'!$E:$E)&amp;ROW($CJ76)&amp;":"&amp;XLOOKUP(FO$3,'TTM Dates'!$B:$B,'TTM Dates'!$C:$C)&amp;ROW($CJ76))))</f>
        <v>0</v>
      </c>
      <c r="FP76" s="136">
        <f t="array" ref="FP76">IF(FP$3&gt;'GAAP Summary'!$B$2,0,SUM(INDIRECT(XLOOKUP(FP$3,'TTM Dates'!$B:$B,'TTM Dates'!$E:$E)&amp;ROW($CJ76)&amp;":"&amp;XLOOKUP(FP$3,'TTM Dates'!$B:$B,'TTM Dates'!$C:$C)&amp;ROW($CJ76))))</f>
        <v>0</v>
      </c>
      <c r="FQ76" s="136">
        <f t="array" ref="FQ76">IF(FQ$3&gt;'GAAP Summary'!$B$2,0,SUM(INDIRECT(XLOOKUP(FQ$3,'TTM Dates'!$B:$B,'TTM Dates'!$E:$E)&amp;ROW($CJ76)&amp;":"&amp;XLOOKUP(FQ$3,'TTM Dates'!$B:$B,'TTM Dates'!$C:$C)&amp;ROW($CJ76))))</f>
        <v>0</v>
      </c>
      <c r="FR76" s="136">
        <f t="array" ref="FR76">IF(FR$3&gt;'GAAP Summary'!$B$2,0,SUM(INDIRECT(XLOOKUP(FR$3,'TTM Dates'!$B:$B,'TTM Dates'!$E:$E)&amp;ROW($CJ76)&amp;":"&amp;XLOOKUP(FR$3,'TTM Dates'!$B:$B,'TTM Dates'!$C:$C)&amp;ROW($CJ76))))</f>
        <v>0</v>
      </c>
      <c r="FS76" s="136">
        <f t="array" ref="FS76">IF(FS$3&gt;'GAAP Summary'!$B$2,0,SUM(INDIRECT(XLOOKUP(FS$3,'TTM Dates'!$B:$B,'TTM Dates'!$E:$E)&amp;ROW($CJ76)&amp;":"&amp;XLOOKUP(FS$3,'TTM Dates'!$B:$B,'TTM Dates'!$C:$C)&amp;ROW($CJ76))))</f>
        <v>0</v>
      </c>
      <c r="FT76" s="136">
        <f t="array" ref="FT76">IF(FT$3&gt;'GAAP Summary'!$B$2,0,SUM(INDIRECT(XLOOKUP(FT$3,'TTM Dates'!$B:$B,'TTM Dates'!$E:$E)&amp;ROW($CJ76)&amp;":"&amp;XLOOKUP(FT$3,'TTM Dates'!$B:$B,'TTM Dates'!$C:$C)&amp;ROW($CJ76))))</f>
        <v>0</v>
      </c>
      <c r="FU76" s="136">
        <f t="array" ref="FU76">IF(FU$3&gt;'GAAP Summary'!$B$2,0,SUM(INDIRECT(XLOOKUP(FU$3,'TTM Dates'!$B:$B,'TTM Dates'!$E:$E)&amp;ROW($CJ76)&amp;":"&amp;XLOOKUP(FU$3,'TTM Dates'!$B:$B,'TTM Dates'!$C:$C)&amp;ROW($CJ76))))</f>
        <v>0</v>
      </c>
      <c r="FV76" s="136">
        <f t="array" ref="FV76">IF(FV$3&gt;'GAAP Summary'!$B$2,0,SUM(INDIRECT(XLOOKUP(FV$3,'TTM Dates'!$B:$B,'TTM Dates'!$E:$E)&amp;ROW($CJ76)&amp;":"&amp;XLOOKUP(FV$3,'TTM Dates'!$B:$B,'TTM Dates'!$C:$C)&amp;ROW($CJ76))))</f>
        <v>0</v>
      </c>
      <c r="FW76" s="136">
        <f t="array" ref="FW76">IF(FW$3&gt;'GAAP Summary'!$B$2,0,SUM(INDIRECT(XLOOKUP(FW$3,'TTM Dates'!$B:$B,'TTM Dates'!$E:$E)&amp;ROW($CJ76)&amp;":"&amp;XLOOKUP(FW$3,'TTM Dates'!$B:$B,'TTM Dates'!$C:$C)&amp;ROW($CJ76))))</f>
        <v>0</v>
      </c>
      <c r="FX76" s="136">
        <f t="array" ref="FX76">IF(FX$3&gt;'GAAP Summary'!$B$2,0,SUM(INDIRECT(XLOOKUP(FX$3,'TTM Dates'!$B:$B,'TTM Dates'!$E:$E)&amp;ROW($CJ76)&amp;":"&amp;XLOOKUP(FX$3,'TTM Dates'!$B:$B,'TTM Dates'!$C:$C)&amp;ROW($CJ76))))</f>
        <v>0</v>
      </c>
      <c r="FY76" s="136">
        <f t="array" ref="FY76">IF(FY$3&gt;'GAAP Summary'!$B$2,0,SUM(INDIRECT(XLOOKUP(FY$3,'TTM Dates'!$B:$B,'TTM Dates'!$E:$E)&amp;ROW($CJ76)&amp;":"&amp;XLOOKUP(FY$3,'TTM Dates'!$B:$B,'TTM Dates'!$C:$C)&amp;ROW($CJ76))))</f>
        <v>0</v>
      </c>
      <c r="FZ76" s="136">
        <f t="array" ref="FZ76">IF(FZ$3&gt;'GAAP Summary'!$B$2,0,SUM(INDIRECT(XLOOKUP(FZ$3,'TTM Dates'!$B:$B,'TTM Dates'!$E:$E)&amp;ROW($CJ76)&amp;":"&amp;XLOOKUP(FZ$3,'TTM Dates'!$B:$B,'TTM Dates'!$C:$C)&amp;ROW($CJ76))))</f>
        <v>0</v>
      </c>
      <c r="GA76" s="136">
        <f t="array" ref="GA76">IF(GA$3&gt;'GAAP Summary'!$B$2,0,SUM(INDIRECT(XLOOKUP(GA$3,'TTM Dates'!$B:$B,'TTM Dates'!$E:$E)&amp;ROW($CJ76)&amp;":"&amp;XLOOKUP(GA$3,'TTM Dates'!$B:$B,'TTM Dates'!$C:$C)&amp;ROW($CJ76))))</f>
        <v>0</v>
      </c>
      <c r="GB76" s="136">
        <f t="array" ref="GB76">IF(GB$3&gt;'GAAP Summary'!$B$2,0,SUM(INDIRECT(XLOOKUP(GB$3,'TTM Dates'!$B:$B,'TTM Dates'!$E:$E)&amp;ROW($CJ76)&amp;":"&amp;XLOOKUP(GB$3,'TTM Dates'!$B:$B,'TTM Dates'!$C:$C)&amp;ROW($CJ76))))</f>
        <v>0</v>
      </c>
      <c r="GC76" s="136">
        <f t="array" ref="GC76">IF(GC$3&gt;'GAAP Summary'!$B$2,0,SUM(INDIRECT(XLOOKUP(GC$3,'TTM Dates'!$B:$B,'TTM Dates'!$E:$E)&amp;ROW($CJ76)&amp;":"&amp;XLOOKUP(GC$3,'TTM Dates'!$B:$B,'TTM Dates'!$C:$C)&amp;ROW($CJ76))))</f>
        <v>0</v>
      </c>
      <c r="GD76" s="136">
        <f t="array" ref="GD76">IF(GD$3&gt;'GAAP Summary'!$B$2,0,SUM(INDIRECT(XLOOKUP(GD$3,'TTM Dates'!$B:$B,'TTM Dates'!$E:$E)&amp;ROW($CJ76)&amp;":"&amp;XLOOKUP(GD$3,'TTM Dates'!$B:$B,'TTM Dates'!$C:$C)&amp;ROW($CJ76))))</f>
        <v>0</v>
      </c>
      <c r="GE76" s="136">
        <f t="array" ref="GE76">IF(GE$3&gt;'GAAP Summary'!$B$2,0,SUM(INDIRECT(XLOOKUP(GE$3,'TTM Dates'!$B:$B,'TTM Dates'!$E:$E)&amp;ROW($CJ76)&amp;":"&amp;XLOOKUP(GE$3,'TTM Dates'!$B:$B,'TTM Dates'!$C:$C)&amp;ROW($CJ76))))</f>
        <v>0</v>
      </c>
      <c r="GF76" s="136">
        <f t="array" ref="GF76">IF(GF$3&gt;'GAAP Summary'!$B$2,0,SUM(INDIRECT(XLOOKUP(GF$3,'TTM Dates'!$B:$B,'TTM Dates'!$E:$E)&amp;ROW($CJ76)&amp;":"&amp;XLOOKUP(GF$3,'TTM Dates'!$B:$B,'TTM Dates'!$C:$C)&amp;ROW($CJ76))))</f>
        <v>0</v>
      </c>
      <c r="GG76" s="136">
        <f t="array" ref="GG76">IF(GG$3&gt;'GAAP Summary'!$B$2,0,SUM(INDIRECT(XLOOKUP(GG$3,'TTM Dates'!$B:$B,'TTM Dates'!$E:$E)&amp;ROW($CJ76)&amp;":"&amp;XLOOKUP(GG$3,'TTM Dates'!$B:$B,'TTM Dates'!$C:$C)&amp;ROW($CJ76))))</f>
        <v>0</v>
      </c>
      <c r="GH76" s="136">
        <f t="array" ref="GH76">IF(GH$3&gt;'GAAP Summary'!$B$2,0,SUM(INDIRECT(XLOOKUP(GH$3,'TTM Dates'!$B:$B,'TTM Dates'!$E:$E)&amp;ROW($CJ76)&amp;":"&amp;XLOOKUP(GH$3,'TTM Dates'!$B:$B,'TTM Dates'!$C:$C)&amp;ROW($CJ76))))</f>
        <v>0</v>
      </c>
      <c r="GI76" s="136">
        <f t="array" ref="GI76">IF(GI$3&gt;'GAAP Summary'!$B$2,0,SUM(INDIRECT(XLOOKUP(GI$3,'TTM Dates'!$B:$B,'TTM Dates'!$E:$E)&amp;ROW($CJ76)&amp;":"&amp;XLOOKUP(GI$3,'TTM Dates'!$B:$B,'TTM Dates'!$C:$C)&amp;ROW($CJ76))))</f>
        <v>0</v>
      </c>
      <c r="GJ76" s="136">
        <f t="array" ref="GJ76">IF(GJ$3&gt;'GAAP Summary'!$B$2,0,SUM(INDIRECT(XLOOKUP(GJ$3,'TTM Dates'!$B:$B,'TTM Dates'!$E:$E)&amp;ROW($CJ76)&amp;":"&amp;XLOOKUP(GJ$3,'TTM Dates'!$B:$B,'TTM Dates'!$C:$C)&amp;ROW($CJ76))))</f>
        <v>0</v>
      </c>
      <c r="GK76" s="136">
        <f t="array" ref="GK76">IF(GK$3&gt;'GAAP Summary'!$B$2,0,SUM(INDIRECT(XLOOKUP(GK$3,'TTM Dates'!$B:$B,'TTM Dates'!$E:$E)&amp;ROW($CJ76)&amp;":"&amp;XLOOKUP(GK$3,'TTM Dates'!$B:$B,'TTM Dates'!$C:$C)&amp;ROW($CJ76))))</f>
        <v>0</v>
      </c>
      <c r="GL76" s="136">
        <f t="array" ref="GL76">IF(GL$3&gt;'GAAP Summary'!$B$2,0,SUM(INDIRECT(XLOOKUP(GL$3,'TTM Dates'!$B:$B,'TTM Dates'!$E:$E)&amp;ROW($CJ76)&amp;":"&amp;XLOOKUP(GL$3,'TTM Dates'!$B:$B,'TTM Dates'!$C:$C)&amp;ROW($CJ76))))</f>
        <v>0</v>
      </c>
      <c r="GM76" s="136"/>
    </row>
    <row r="77" outlineLevel="1">
      <c r="B77" s="135" t="s">
        <v>510</v>
      </c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337"/>
      <c r="AY77" s="337"/>
      <c r="AZ77" s="337"/>
      <c r="BA77" s="337"/>
      <c r="BB77" s="337"/>
      <c r="BC77" s="337"/>
      <c r="BD77" s="337"/>
      <c r="BE77" s="337"/>
      <c r="BF77" s="337"/>
      <c r="BG77" s="337"/>
      <c r="BH77" s="337"/>
      <c r="BI77" s="337"/>
      <c r="BJ77" s="337"/>
      <c r="BK77" s="337"/>
      <c r="BL77" s="337"/>
      <c r="BM77" s="337"/>
      <c r="BN77" s="337"/>
      <c r="BO77" s="337"/>
      <c r="BP77" s="337"/>
      <c r="BQ77" s="337"/>
      <c r="BR77" s="337"/>
      <c r="BS77" s="337"/>
      <c r="BT77" s="337"/>
      <c r="BU77" s="337"/>
      <c r="BV77" s="337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33"/>
      <c r="CJ77" s="33"/>
      <c r="CK77" s="303">
        <f t="array" ref="CK77">SUM(INDIRECT(XLOOKUP('GAAP Summary'!$B$2,'TTM Dates'!$B:$B,'TTM Dates'!$E:$E)&amp;ROW($CJ77)&amp;":"&amp;XLOOKUP('GAAP Summary'!$B$2,'TTM Dates'!$B:$B,'TTM Dates'!$C:$C)&amp;ROW($CJ77)))</f>
        <v>0</v>
      </c>
      <c r="CL77" s="49"/>
      <c r="CM77" s="136">
        <f t="shared" si="144"/>
        <v>0</v>
      </c>
      <c r="CN77" s="136">
        <f t="shared" si="145"/>
        <v>0</v>
      </c>
      <c r="CO77" s="136">
        <f t="shared" si="146"/>
        <v>0</v>
      </c>
      <c r="CP77" s="136">
        <f t="shared" si="147"/>
        <v>0</v>
      </c>
      <c r="CQ77" s="339">
        <f t="shared" si="148"/>
        <v>0</v>
      </c>
      <c r="CR77" s="136"/>
      <c r="CS77" s="136">
        <f t="shared" si="149"/>
        <v>0</v>
      </c>
      <c r="CT77" s="136">
        <f t="shared" si="150"/>
        <v>0</v>
      </c>
      <c r="CU77" s="136">
        <f t="shared" si="151"/>
        <v>0</v>
      </c>
      <c r="CV77" s="136">
        <f t="shared" si="152"/>
        <v>0</v>
      </c>
      <c r="CW77" s="292">
        <f t="shared" si="153"/>
        <v>0</v>
      </c>
      <c r="CX77" s="49"/>
      <c r="CY77" s="136">
        <f t="shared" si="154"/>
        <v>0</v>
      </c>
      <c r="CZ77" s="136">
        <f t="shared" si="155"/>
        <v>0</v>
      </c>
      <c r="DA77" s="136">
        <f t="shared" si="156"/>
        <v>0</v>
      </c>
      <c r="DB77" s="136">
        <f t="shared" si="157"/>
        <v>0</v>
      </c>
      <c r="DC77" s="292">
        <f t="shared" si="158"/>
        <v>0</v>
      </c>
      <c r="DD77" s="136"/>
      <c r="DE77" s="136">
        <f t="shared" si="159"/>
        <v>0</v>
      </c>
      <c r="DF77" s="136">
        <f t="shared" si="160"/>
        <v>0</v>
      </c>
      <c r="DG77" s="136">
        <f t="shared" si="161"/>
        <v>0</v>
      </c>
      <c r="DH77" s="136">
        <f t="shared" si="162"/>
        <v>0</v>
      </c>
      <c r="DI77" s="292">
        <f t="shared" si="163"/>
        <v>0</v>
      </c>
      <c r="DJ77" s="136"/>
      <c r="DK77" s="136"/>
      <c r="DL77" s="136"/>
      <c r="DM77" s="136"/>
      <c r="DN77" s="136"/>
      <c r="DO77" s="292"/>
      <c r="DP77" s="136"/>
      <c r="DQ77" s="292"/>
      <c r="DR77" s="136"/>
      <c r="DS77" s="136">
        <f t="array" ref="DS77">IF(DS$3&gt;'GAAP Summary'!$B$2,0,SUM(INDIRECT(XLOOKUP(DS$3,'TTM Dates'!$B:$B,'TTM Dates'!$E:$E)&amp;ROW($CJ77)&amp;":"&amp;XLOOKUP(DS$3,'TTM Dates'!$B:$B,'TTM Dates'!$C:$C)&amp;ROW($CJ77))))</f>
        <v>0</v>
      </c>
      <c r="DT77" s="136">
        <f t="array" ref="DT77">IF(DT$3&gt;'GAAP Summary'!$B$2,0,SUM(INDIRECT(XLOOKUP(DT$3,'TTM Dates'!$B:$B,'TTM Dates'!$E:$E)&amp;ROW($CJ77)&amp;":"&amp;XLOOKUP(DT$3,'TTM Dates'!$B:$B,'TTM Dates'!$C:$C)&amp;ROW($CJ77))))</f>
        <v>0</v>
      </c>
      <c r="DU77" s="136">
        <f t="array" ref="DU77">IF(DU$3&gt;'GAAP Summary'!$B$2,0,SUM(INDIRECT(XLOOKUP(DU$3,'TTM Dates'!$B:$B,'TTM Dates'!$E:$E)&amp;ROW($CJ77)&amp;":"&amp;XLOOKUP(DU$3,'TTM Dates'!$B:$B,'TTM Dates'!$C:$C)&amp;ROW($CJ77))))</f>
        <v>0</v>
      </c>
      <c r="DV77" s="136">
        <f t="array" ref="DV77">IF(DV$3&gt;'GAAP Summary'!$B$2,0,SUM(INDIRECT(XLOOKUP(DV$3,'TTM Dates'!$B:$B,'TTM Dates'!$E:$E)&amp;ROW($CJ77)&amp;":"&amp;XLOOKUP(DV$3,'TTM Dates'!$B:$B,'TTM Dates'!$C:$C)&amp;ROW($CJ77))))</f>
        <v>0</v>
      </c>
      <c r="DW77" s="136">
        <f t="array" ref="DW77">IF(DW$3&gt;'GAAP Summary'!$B$2,0,SUM(INDIRECT(XLOOKUP(DW$3,'TTM Dates'!$B:$B,'TTM Dates'!$E:$E)&amp;ROW($CJ77)&amp;":"&amp;XLOOKUP(DW$3,'TTM Dates'!$B:$B,'TTM Dates'!$C:$C)&amp;ROW($CJ77))))</f>
        <v>0</v>
      </c>
      <c r="DX77" s="136">
        <f t="array" ref="DX77">IF(DX$3&gt;'GAAP Summary'!$B$2,0,SUM(INDIRECT(XLOOKUP(DX$3,'TTM Dates'!$B:$B,'TTM Dates'!$E:$E)&amp;ROW($CJ77)&amp;":"&amp;XLOOKUP(DX$3,'TTM Dates'!$B:$B,'TTM Dates'!$C:$C)&amp;ROW($CJ77))))</f>
        <v>0</v>
      </c>
      <c r="DY77" s="136">
        <f t="array" ref="DY77">IF(DY$3&gt;'GAAP Summary'!$B$2,0,SUM(INDIRECT(XLOOKUP(DY$3,'TTM Dates'!$B:$B,'TTM Dates'!$E:$E)&amp;ROW($CJ77)&amp;":"&amp;XLOOKUP(DY$3,'TTM Dates'!$B:$B,'TTM Dates'!$C:$C)&amp;ROW($CJ77))))</f>
        <v>0</v>
      </c>
      <c r="DZ77" s="136">
        <f t="array" ref="DZ77">IF(DZ$3&gt;'GAAP Summary'!$B$2,0,SUM(INDIRECT(XLOOKUP(DZ$3,'TTM Dates'!$B:$B,'TTM Dates'!$E:$E)&amp;ROW($CJ77)&amp;":"&amp;XLOOKUP(DZ$3,'TTM Dates'!$B:$B,'TTM Dates'!$C:$C)&amp;ROW($CJ77))))</f>
        <v>0</v>
      </c>
      <c r="EA77" s="136">
        <f t="array" ref="EA77">IF(EA$3&gt;'GAAP Summary'!$B$2,0,SUM(INDIRECT(XLOOKUP(EA$3,'TTM Dates'!$B:$B,'TTM Dates'!$E:$E)&amp;ROW($CJ77)&amp;":"&amp;XLOOKUP(EA$3,'TTM Dates'!$B:$B,'TTM Dates'!$C:$C)&amp;ROW($CJ77))))</f>
        <v>0</v>
      </c>
      <c r="EB77" s="136">
        <f t="array" ref="EB77">IF(EB$3&gt;'GAAP Summary'!$B$2,0,SUM(INDIRECT(XLOOKUP(EB$3,'TTM Dates'!$B:$B,'TTM Dates'!$E:$E)&amp;ROW($CJ77)&amp;":"&amp;XLOOKUP(EB$3,'TTM Dates'!$B:$B,'TTM Dates'!$C:$C)&amp;ROW($CJ77))))</f>
        <v>0</v>
      </c>
      <c r="EC77" s="136">
        <f t="array" ref="EC77">IF(EC$3&gt;'GAAP Summary'!$B$2,0,SUM(INDIRECT(XLOOKUP(EC$3,'TTM Dates'!$B:$B,'TTM Dates'!$E:$E)&amp;ROW($CJ77)&amp;":"&amp;XLOOKUP(EC$3,'TTM Dates'!$B:$B,'TTM Dates'!$C:$C)&amp;ROW($CJ77))))</f>
        <v>0</v>
      </c>
      <c r="ED77" s="136">
        <f t="array" ref="ED77">IF(ED$3&gt;'GAAP Summary'!$B$2,0,SUM(INDIRECT(XLOOKUP(ED$3,'TTM Dates'!$B:$B,'TTM Dates'!$E:$E)&amp;ROW($CJ77)&amp;":"&amp;XLOOKUP(ED$3,'TTM Dates'!$B:$B,'TTM Dates'!$C:$C)&amp;ROW($CJ77))))</f>
        <v>0</v>
      </c>
      <c r="EE77" s="136">
        <f t="array" ref="EE77">IF(EE$3&gt;'GAAP Summary'!$B$2,0,SUM(INDIRECT(XLOOKUP(EE$3,'TTM Dates'!$B:$B,'TTM Dates'!$E:$E)&amp;ROW($CJ77)&amp;":"&amp;XLOOKUP(EE$3,'TTM Dates'!$B:$B,'TTM Dates'!$C:$C)&amp;ROW($CJ77))))</f>
        <v>0</v>
      </c>
      <c r="EF77" s="136">
        <f t="array" ref="EF77">IF(EF$3&gt;'GAAP Summary'!$B$2,0,SUM(INDIRECT(XLOOKUP(EF$3,'TTM Dates'!$B:$B,'TTM Dates'!$E:$E)&amp;ROW($CJ77)&amp;":"&amp;XLOOKUP(EF$3,'TTM Dates'!$B:$B,'TTM Dates'!$C:$C)&amp;ROW($CJ77))))</f>
        <v>0</v>
      </c>
      <c r="EG77" s="136">
        <f t="array" ref="EG77">IF(EG$3&gt;'GAAP Summary'!$B$2,0,SUM(INDIRECT(XLOOKUP(EG$3,'TTM Dates'!$B:$B,'TTM Dates'!$E:$E)&amp;ROW($CJ77)&amp;":"&amp;XLOOKUP(EG$3,'TTM Dates'!$B:$B,'TTM Dates'!$C:$C)&amp;ROW($CJ77))))</f>
        <v>0</v>
      </c>
      <c r="EH77" s="136">
        <f t="array" ref="EH77">IF(EH$3&gt;'GAAP Summary'!$B$2,0,SUM(INDIRECT(XLOOKUP(EH$3,'TTM Dates'!$B:$B,'TTM Dates'!$E:$E)&amp;ROW($CJ77)&amp;":"&amp;XLOOKUP(EH$3,'TTM Dates'!$B:$B,'TTM Dates'!$C:$C)&amp;ROW($CJ77))))</f>
        <v>0</v>
      </c>
      <c r="EI77" s="136">
        <f t="array" ref="EI77">IF(EI$3&gt;'GAAP Summary'!$B$2,0,SUM(INDIRECT(XLOOKUP(EI$3,'TTM Dates'!$B:$B,'TTM Dates'!$E:$E)&amp;ROW($CJ77)&amp;":"&amp;XLOOKUP(EI$3,'TTM Dates'!$B:$B,'TTM Dates'!$C:$C)&amp;ROW($CJ77))))</f>
        <v>0</v>
      </c>
      <c r="EJ77" s="136">
        <f t="array" ref="EJ77">IF(EJ$3&gt;'GAAP Summary'!$B$2,0,SUM(INDIRECT(XLOOKUP(EJ$3,'TTM Dates'!$B:$B,'TTM Dates'!$E:$E)&amp;ROW($CJ77)&amp;":"&amp;XLOOKUP(EJ$3,'TTM Dates'!$B:$B,'TTM Dates'!$C:$C)&amp;ROW($CJ77))))</f>
        <v>0</v>
      </c>
      <c r="EK77" s="136">
        <f t="array" ref="EK77">IF(EK$3&gt;'GAAP Summary'!$B$2,0,SUM(INDIRECT(XLOOKUP(EK$3,'TTM Dates'!$B:$B,'TTM Dates'!$E:$E)&amp;ROW($CJ77)&amp;":"&amp;XLOOKUP(EK$3,'TTM Dates'!$B:$B,'TTM Dates'!$C:$C)&amp;ROW($CJ77))))</f>
        <v>0</v>
      </c>
      <c r="EL77" s="136">
        <f t="array" ref="EL77">IF(EL$3&gt;'GAAP Summary'!$B$2,0,SUM(INDIRECT(XLOOKUP(EL$3,'TTM Dates'!$B:$B,'TTM Dates'!$E:$E)&amp;ROW($CJ77)&amp;":"&amp;XLOOKUP(EL$3,'TTM Dates'!$B:$B,'TTM Dates'!$C:$C)&amp;ROW($CJ77))))</f>
        <v>0</v>
      </c>
      <c r="EM77" s="136">
        <f t="array" ref="EM77">IF(EM$3&gt;'GAAP Summary'!$B$2,0,SUM(INDIRECT(XLOOKUP(EM$3,'TTM Dates'!$B:$B,'TTM Dates'!$E:$E)&amp;ROW($CJ77)&amp;":"&amp;XLOOKUP(EM$3,'TTM Dates'!$B:$B,'TTM Dates'!$C:$C)&amp;ROW($CJ77))))</f>
        <v>0</v>
      </c>
      <c r="EN77" s="136">
        <f t="array" ref="EN77">IF(EN$3&gt;'GAAP Summary'!$B$2,0,SUM(INDIRECT(XLOOKUP(EN$3,'TTM Dates'!$B:$B,'TTM Dates'!$E:$E)&amp;ROW($CJ77)&amp;":"&amp;XLOOKUP(EN$3,'TTM Dates'!$B:$B,'TTM Dates'!$C:$C)&amp;ROW($CJ77))))</f>
        <v>0</v>
      </c>
      <c r="EO77" s="136">
        <f t="array" ref="EO77">IF(EO$3&gt;'GAAP Summary'!$B$2,0,SUM(INDIRECT(XLOOKUP(EO$3,'TTM Dates'!$B:$B,'TTM Dates'!$E:$E)&amp;ROW($CJ77)&amp;":"&amp;XLOOKUP(EO$3,'TTM Dates'!$B:$B,'TTM Dates'!$C:$C)&amp;ROW($CJ77))))</f>
        <v>0</v>
      </c>
      <c r="EP77" s="136">
        <f t="array" ref="EP77">IF(EP$3&gt;'GAAP Summary'!$B$2,0,SUM(INDIRECT(XLOOKUP(EP$3,'TTM Dates'!$B:$B,'TTM Dates'!$E:$E)&amp;ROW($CJ77)&amp;":"&amp;XLOOKUP(EP$3,'TTM Dates'!$B:$B,'TTM Dates'!$C:$C)&amp;ROW($CJ77))))</f>
        <v>0</v>
      </c>
      <c r="EQ77" s="136">
        <f t="array" ref="EQ77">IF(EQ$3&gt;'GAAP Summary'!$B$2,0,SUM(INDIRECT(XLOOKUP(EQ$3,'TTM Dates'!$B:$B,'TTM Dates'!$E:$E)&amp;ROW($CJ77)&amp;":"&amp;XLOOKUP(EQ$3,'TTM Dates'!$B:$B,'TTM Dates'!$C:$C)&amp;ROW($CJ77))))</f>
        <v>0</v>
      </c>
      <c r="ER77" s="136">
        <f t="array" ref="ER77">IF(ER$3&gt;'GAAP Summary'!$B$2,0,SUM(INDIRECT(XLOOKUP(ER$3,'TTM Dates'!$B:$B,'TTM Dates'!$E:$E)&amp;ROW($CJ77)&amp;":"&amp;XLOOKUP(ER$3,'TTM Dates'!$B:$B,'TTM Dates'!$C:$C)&amp;ROW($CJ77))))</f>
        <v>0</v>
      </c>
      <c r="ES77" s="136">
        <f t="array" ref="ES77">IF(ES$3&gt;'GAAP Summary'!$B$2,0,SUM(INDIRECT(XLOOKUP(ES$3,'TTM Dates'!$B:$B,'TTM Dates'!$E:$E)&amp;ROW($CJ77)&amp;":"&amp;XLOOKUP(ES$3,'TTM Dates'!$B:$B,'TTM Dates'!$C:$C)&amp;ROW($CJ77))))</f>
        <v>0</v>
      </c>
      <c r="ET77" s="136">
        <f t="array" ref="ET77">IF(ET$3&gt;'GAAP Summary'!$B$2,0,SUM(INDIRECT(XLOOKUP(ET$3,'TTM Dates'!$B:$B,'TTM Dates'!$E:$E)&amp;ROW($CJ77)&amp;":"&amp;XLOOKUP(ET$3,'TTM Dates'!$B:$B,'TTM Dates'!$C:$C)&amp;ROW($CJ77))))</f>
        <v>0</v>
      </c>
      <c r="EU77" s="136">
        <f t="array" ref="EU77">IF(EU$3&gt;'GAAP Summary'!$B$2,0,SUM(INDIRECT(XLOOKUP(EU$3,'TTM Dates'!$B:$B,'TTM Dates'!$E:$E)&amp;ROW($CJ77)&amp;":"&amp;XLOOKUP(EU$3,'TTM Dates'!$B:$B,'TTM Dates'!$C:$C)&amp;ROW($CJ77))))</f>
        <v>0</v>
      </c>
      <c r="EV77" s="136">
        <f t="array" ref="EV77">IF(EV$3&gt;'GAAP Summary'!$B$2,0,SUM(INDIRECT(XLOOKUP(EV$3,'TTM Dates'!$B:$B,'TTM Dates'!$E:$E)&amp;ROW($CJ77)&amp;":"&amp;XLOOKUP(EV$3,'TTM Dates'!$B:$B,'TTM Dates'!$C:$C)&amp;ROW($CJ77))))</f>
        <v>0</v>
      </c>
      <c r="EW77" s="136">
        <f t="array" ref="EW77">IF(EW$3&gt;'GAAP Summary'!$B$2,0,SUM(INDIRECT(XLOOKUP(EW$3,'TTM Dates'!$B:$B,'TTM Dates'!$E:$E)&amp;ROW($CJ77)&amp;":"&amp;XLOOKUP(EW$3,'TTM Dates'!$B:$B,'TTM Dates'!$C:$C)&amp;ROW($CJ77))))</f>
        <v>0</v>
      </c>
      <c r="EX77" s="136">
        <f t="array" ref="EX77">IF(EX$3&gt;'GAAP Summary'!$B$2,0,SUM(INDIRECT(XLOOKUP(EX$3,'TTM Dates'!$B:$B,'TTM Dates'!$E:$E)&amp;ROW($CJ77)&amp;":"&amp;XLOOKUP(EX$3,'TTM Dates'!$B:$B,'TTM Dates'!$C:$C)&amp;ROW($CJ77))))</f>
        <v>0</v>
      </c>
      <c r="EY77" s="136">
        <f t="array" ref="EY77">IF(EY$3&gt;'GAAP Summary'!$B$2,0,SUM(INDIRECT(XLOOKUP(EY$3,'TTM Dates'!$B:$B,'TTM Dates'!$E:$E)&amp;ROW($CJ77)&amp;":"&amp;XLOOKUP(EY$3,'TTM Dates'!$B:$B,'TTM Dates'!$C:$C)&amp;ROW($CJ77))))</f>
        <v>0</v>
      </c>
      <c r="EZ77" s="136">
        <f t="array" ref="EZ77">IF(EZ$3&gt;'GAAP Summary'!$B$2,0,SUM(INDIRECT(XLOOKUP(EZ$3,'TTM Dates'!$B:$B,'TTM Dates'!$E:$E)&amp;ROW($CJ77)&amp;":"&amp;XLOOKUP(EZ$3,'TTM Dates'!$B:$B,'TTM Dates'!$C:$C)&amp;ROW($CJ77))))</f>
        <v>0</v>
      </c>
      <c r="FA77" s="136">
        <f t="array" ref="FA77">IF(FA$3&gt;'GAAP Summary'!$B$2,0,SUM(INDIRECT(XLOOKUP(FA$3,'TTM Dates'!$B:$B,'TTM Dates'!$E:$E)&amp;ROW($CJ77)&amp;":"&amp;XLOOKUP(FA$3,'TTM Dates'!$B:$B,'TTM Dates'!$C:$C)&amp;ROW($CJ77))))</f>
        <v>0</v>
      </c>
      <c r="FB77" s="136">
        <f t="array" ref="FB77">IF(FB$3&gt;'GAAP Summary'!$B$2,0,SUM(INDIRECT(XLOOKUP(FB$3,'TTM Dates'!$B:$B,'TTM Dates'!$E:$E)&amp;ROW($CJ77)&amp;":"&amp;XLOOKUP(FB$3,'TTM Dates'!$B:$B,'TTM Dates'!$C:$C)&amp;ROW($CJ77))))</f>
        <v>0</v>
      </c>
      <c r="FC77" s="136">
        <f t="array" ref="FC77">IF(FC$3&gt;'GAAP Summary'!$B$2,0,SUM(INDIRECT(XLOOKUP(FC$3,'TTM Dates'!$B:$B,'TTM Dates'!$E:$E)&amp;ROW($CJ77)&amp;":"&amp;XLOOKUP(FC$3,'TTM Dates'!$B:$B,'TTM Dates'!$C:$C)&amp;ROW($CJ77))))</f>
        <v>0</v>
      </c>
      <c r="FD77" s="136">
        <f t="array" ref="FD77">IF(FD$3&gt;'GAAP Summary'!$B$2,0,SUM(INDIRECT(XLOOKUP(FD$3,'TTM Dates'!$B:$B,'TTM Dates'!$E:$E)&amp;ROW($CJ77)&amp;":"&amp;XLOOKUP(FD$3,'TTM Dates'!$B:$B,'TTM Dates'!$C:$C)&amp;ROW($CJ77))))</f>
        <v>0</v>
      </c>
      <c r="FE77" s="136">
        <f t="array" ref="FE77">IF(FE$3&gt;'GAAP Summary'!$B$2,0,SUM(INDIRECT(XLOOKUP(FE$3,'TTM Dates'!$B:$B,'TTM Dates'!$E:$E)&amp;ROW($CJ77)&amp;":"&amp;XLOOKUP(FE$3,'TTM Dates'!$B:$B,'TTM Dates'!$C:$C)&amp;ROW($CJ77))))</f>
        <v>0</v>
      </c>
      <c r="FF77" s="136">
        <f t="array" ref="FF77">IF(FF$3&gt;'GAAP Summary'!$B$2,0,SUM(INDIRECT(XLOOKUP(FF$3,'TTM Dates'!$B:$B,'TTM Dates'!$E:$E)&amp;ROW($CJ77)&amp;":"&amp;XLOOKUP(FF$3,'TTM Dates'!$B:$B,'TTM Dates'!$C:$C)&amp;ROW($CJ77))))</f>
        <v>0</v>
      </c>
      <c r="FG77" s="136">
        <f t="array" ref="FG77">IF(FG$3&gt;'GAAP Summary'!$B$2,0,SUM(INDIRECT(XLOOKUP(FG$3,'TTM Dates'!$B:$B,'TTM Dates'!$E:$E)&amp;ROW($CJ77)&amp;":"&amp;XLOOKUP(FG$3,'TTM Dates'!$B:$B,'TTM Dates'!$C:$C)&amp;ROW($CJ77))))</f>
        <v>0</v>
      </c>
      <c r="FH77" s="136">
        <f t="array" ref="FH77">IF(FH$3&gt;'GAAP Summary'!$B$2,0,SUM(INDIRECT(XLOOKUP(FH$3,'TTM Dates'!$B:$B,'TTM Dates'!$E:$E)&amp;ROW($CJ77)&amp;":"&amp;XLOOKUP(FH$3,'TTM Dates'!$B:$B,'TTM Dates'!$C:$C)&amp;ROW($CJ77))))</f>
        <v>0</v>
      </c>
      <c r="FI77" s="136">
        <f t="array" ref="FI77">IF(FI$3&gt;'GAAP Summary'!$B$2,0,SUM(INDIRECT(XLOOKUP(FI$3,'TTM Dates'!$B:$B,'TTM Dates'!$E:$E)&amp;ROW($CJ77)&amp;":"&amp;XLOOKUP(FI$3,'TTM Dates'!$B:$B,'TTM Dates'!$C:$C)&amp;ROW($CJ77))))</f>
        <v>0</v>
      </c>
      <c r="FJ77" s="136">
        <f t="array" ref="FJ77">IF(FJ$3&gt;'GAAP Summary'!$B$2,0,SUM(INDIRECT(XLOOKUP(FJ$3,'TTM Dates'!$B:$B,'TTM Dates'!$E:$E)&amp;ROW($CJ77)&amp;":"&amp;XLOOKUP(FJ$3,'TTM Dates'!$B:$B,'TTM Dates'!$C:$C)&amp;ROW($CJ77))))</f>
        <v>0</v>
      </c>
      <c r="FK77" s="136">
        <f t="array" ref="FK77">IF(FK$3&gt;'GAAP Summary'!$B$2,0,SUM(INDIRECT(XLOOKUP(FK$3,'TTM Dates'!$B:$B,'TTM Dates'!$E:$E)&amp;ROW($CJ77)&amp;":"&amp;XLOOKUP(FK$3,'TTM Dates'!$B:$B,'TTM Dates'!$C:$C)&amp;ROW($CJ77))))</f>
        <v>0</v>
      </c>
      <c r="FL77" s="136">
        <f t="array" ref="FL77">IF(FL$3&gt;'GAAP Summary'!$B$2,0,SUM(INDIRECT(XLOOKUP(FL$3,'TTM Dates'!$B:$B,'TTM Dates'!$E:$E)&amp;ROW($CJ77)&amp;":"&amp;XLOOKUP(FL$3,'TTM Dates'!$B:$B,'TTM Dates'!$C:$C)&amp;ROW($CJ77))))</f>
        <v>0</v>
      </c>
      <c r="FM77" s="136">
        <f t="array" ref="FM77">IF(FM$3&gt;'GAAP Summary'!$B$2,0,SUM(INDIRECT(XLOOKUP(FM$3,'TTM Dates'!$B:$B,'TTM Dates'!$E:$E)&amp;ROW($CJ77)&amp;":"&amp;XLOOKUP(FM$3,'TTM Dates'!$B:$B,'TTM Dates'!$C:$C)&amp;ROW($CJ77))))</f>
        <v>0</v>
      </c>
      <c r="FN77" s="136">
        <f t="array" ref="FN77">IF(FN$3&gt;'GAAP Summary'!$B$2,0,SUM(INDIRECT(XLOOKUP(FN$3,'TTM Dates'!$B:$B,'TTM Dates'!$E:$E)&amp;ROW($CJ77)&amp;":"&amp;XLOOKUP(FN$3,'TTM Dates'!$B:$B,'TTM Dates'!$C:$C)&amp;ROW($CJ77))))</f>
        <v>0</v>
      </c>
      <c r="FO77" s="136">
        <f t="array" ref="FO77">IF(FO$3&gt;'GAAP Summary'!$B$2,0,SUM(INDIRECT(XLOOKUP(FO$3,'TTM Dates'!$B:$B,'TTM Dates'!$E:$E)&amp;ROW($CJ77)&amp;":"&amp;XLOOKUP(FO$3,'TTM Dates'!$B:$B,'TTM Dates'!$C:$C)&amp;ROW($CJ77))))</f>
        <v>0</v>
      </c>
      <c r="FP77" s="136">
        <f t="array" ref="FP77">IF(FP$3&gt;'GAAP Summary'!$B$2,0,SUM(INDIRECT(XLOOKUP(FP$3,'TTM Dates'!$B:$B,'TTM Dates'!$E:$E)&amp;ROW($CJ77)&amp;":"&amp;XLOOKUP(FP$3,'TTM Dates'!$B:$B,'TTM Dates'!$C:$C)&amp;ROW($CJ77))))</f>
        <v>0</v>
      </c>
      <c r="FQ77" s="136">
        <f t="array" ref="FQ77">IF(FQ$3&gt;'GAAP Summary'!$B$2,0,SUM(INDIRECT(XLOOKUP(FQ$3,'TTM Dates'!$B:$B,'TTM Dates'!$E:$E)&amp;ROW($CJ77)&amp;":"&amp;XLOOKUP(FQ$3,'TTM Dates'!$B:$B,'TTM Dates'!$C:$C)&amp;ROW($CJ77))))</f>
        <v>0</v>
      </c>
      <c r="FR77" s="136">
        <f t="array" ref="FR77">IF(FR$3&gt;'GAAP Summary'!$B$2,0,SUM(INDIRECT(XLOOKUP(FR$3,'TTM Dates'!$B:$B,'TTM Dates'!$E:$E)&amp;ROW($CJ77)&amp;":"&amp;XLOOKUP(FR$3,'TTM Dates'!$B:$B,'TTM Dates'!$C:$C)&amp;ROW($CJ77))))</f>
        <v>0</v>
      </c>
      <c r="FS77" s="136">
        <f t="array" ref="FS77">IF(FS$3&gt;'GAAP Summary'!$B$2,0,SUM(INDIRECT(XLOOKUP(FS$3,'TTM Dates'!$B:$B,'TTM Dates'!$E:$E)&amp;ROW($CJ77)&amp;":"&amp;XLOOKUP(FS$3,'TTM Dates'!$B:$B,'TTM Dates'!$C:$C)&amp;ROW($CJ77))))</f>
        <v>0</v>
      </c>
      <c r="FT77" s="136">
        <f t="array" ref="FT77">IF(FT$3&gt;'GAAP Summary'!$B$2,0,SUM(INDIRECT(XLOOKUP(FT$3,'TTM Dates'!$B:$B,'TTM Dates'!$E:$E)&amp;ROW($CJ77)&amp;":"&amp;XLOOKUP(FT$3,'TTM Dates'!$B:$B,'TTM Dates'!$C:$C)&amp;ROW($CJ77))))</f>
        <v>0</v>
      </c>
      <c r="FU77" s="136">
        <f t="array" ref="FU77">IF(FU$3&gt;'GAAP Summary'!$B$2,0,SUM(INDIRECT(XLOOKUP(FU$3,'TTM Dates'!$B:$B,'TTM Dates'!$E:$E)&amp;ROW($CJ77)&amp;":"&amp;XLOOKUP(FU$3,'TTM Dates'!$B:$B,'TTM Dates'!$C:$C)&amp;ROW($CJ77))))</f>
        <v>0</v>
      </c>
      <c r="FV77" s="136">
        <f t="array" ref="FV77">IF(FV$3&gt;'GAAP Summary'!$B$2,0,SUM(INDIRECT(XLOOKUP(FV$3,'TTM Dates'!$B:$B,'TTM Dates'!$E:$E)&amp;ROW($CJ77)&amp;":"&amp;XLOOKUP(FV$3,'TTM Dates'!$B:$B,'TTM Dates'!$C:$C)&amp;ROW($CJ77))))</f>
        <v>0</v>
      </c>
      <c r="FW77" s="136">
        <f t="array" ref="FW77">IF(FW$3&gt;'GAAP Summary'!$B$2,0,SUM(INDIRECT(XLOOKUP(FW$3,'TTM Dates'!$B:$B,'TTM Dates'!$E:$E)&amp;ROW($CJ77)&amp;":"&amp;XLOOKUP(FW$3,'TTM Dates'!$B:$B,'TTM Dates'!$C:$C)&amp;ROW($CJ77))))</f>
        <v>0</v>
      </c>
      <c r="FX77" s="136">
        <f t="array" ref="FX77">IF(FX$3&gt;'GAAP Summary'!$B$2,0,SUM(INDIRECT(XLOOKUP(FX$3,'TTM Dates'!$B:$B,'TTM Dates'!$E:$E)&amp;ROW($CJ77)&amp;":"&amp;XLOOKUP(FX$3,'TTM Dates'!$B:$B,'TTM Dates'!$C:$C)&amp;ROW($CJ77))))</f>
        <v>0</v>
      </c>
      <c r="FY77" s="136">
        <f t="array" ref="FY77">IF(FY$3&gt;'GAAP Summary'!$B$2,0,SUM(INDIRECT(XLOOKUP(FY$3,'TTM Dates'!$B:$B,'TTM Dates'!$E:$E)&amp;ROW($CJ77)&amp;":"&amp;XLOOKUP(FY$3,'TTM Dates'!$B:$B,'TTM Dates'!$C:$C)&amp;ROW($CJ77))))</f>
        <v>0</v>
      </c>
      <c r="FZ77" s="136">
        <f t="array" ref="FZ77">IF(FZ$3&gt;'GAAP Summary'!$B$2,0,SUM(INDIRECT(XLOOKUP(FZ$3,'TTM Dates'!$B:$B,'TTM Dates'!$E:$E)&amp;ROW($CJ77)&amp;":"&amp;XLOOKUP(FZ$3,'TTM Dates'!$B:$B,'TTM Dates'!$C:$C)&amp;ROW($CJ77))))</f>
        <v>0</v>
      </c>
      <c r="GA77" s="136">
        <f t="array" ref="GA77">IF(GA$3&gt;'GAAP Summary'!$B$2,0,SUM(INDIRECT(XLOOKUP(GA$3,'TTM Dates'!$B:$B,'TTM Dates'!$E:$E)&amp;ROW($CJ77)&amp;":"&amp;XLOOKUP(GA$3,'TTM Dates'!$B:$B,'TTM Dates'!$C:$C)&amp;ROW($CJ77))))</f>
        <v>0</v>
      </c>
      <c r="GB77" s="136">
        <f t="array" ref="GB77">IF(GB$3&gt;'GAAP Summary'!$B$2,0,SUM(INDIRECT(XLOOKUP(GB$3,'TTM Dates'!$B:$B,'TTM Dates'!$E:$E)&amp;ROW($CJ77)&amp;":"&amp;XLOOKUP(GB$3,'TTM Dates'!$B:$B,'TTM Dates'!$C:$C)&amp;ROW($CJ77))))</f>
        <v>0</v>
      </c>
      <c r="GC77" s="136">
        <f t="array" ref="GC77">IF(GC$3&gt;'GAAP Summary'!$B$2,0,SUM(INDIRECT(XLOOKUP(GC$3,'TTM Dates'!$B:$B,'TTM Dates'!$E:$E)&amp;ROW($CJ77)&amp;":"&amp;XLOOKUP(GC$3,'TTM Dates'!$B:$B,'TTM Dates'!$C:$C)&amp;ROW($CJ77))))</f>
        <v>0</v>
      </c>
      <c r="GD77" s="136">
        <f t="array" ref="GD77">IF(GD$3&gt;'GAAP Summary'!$B$2,0,SUM(INDIRECT(XLOOKUP(GD$3,'TTM Dates'!$B:$B,'TTM Dates'!$E:$E)&amp;ROW($CJ77)&amp;":"&amp;XLOOKUP(GD$3,'TTM Dates'!$B:$B,'TTM Dates'!$C:$C)&amp;ROW($CJ77))))</f>
        <v>0</v>
      </c>
      <c r="GE77" s="136">
        <f t="array" ref="GE77">IF(GE$3&gt;'GAAP Summary'!$B$2,0,SUM(INDIRECT(XLOOKUP(GE$3,'TTM Dates'!$B:$B,'TTM Dates'!$E:$E)&amp;ROW($CJ77)&amp;":"&amp;XLOOKUP(GE$3,'TTM Dates'!$B:$B,'TTM Dates'!$C:$C)&amp;ROW($CJ77))))</f>
        <v>0</v>
      </c>
      <c r="GF77" s="136">
        <f t="array" ref="GF77">IF(GF$3&gt;'GAAP Summary'!$B$2,0,SUM(INDIRECT(XLOOKUP(GF$3,'TTM Dates'!$B:$B,'TTM Dates'!$E:$E)&amp;ROW($CJ77)&amp;":"&amp;XLOOKUP(GF$3,'TTM Dates'!$B:$B,'TTM Dates'!$C:$C)&amp;ROW($CJ77))))</f>
        <v>0</v>
      </c>
      <c r="GG77" s="136">
        <f t="array" ref="GG77">IF(GG$3&gt;'GAAP Summary'!$B$2,0,SUM(INDIRECT(XLOOKUP(GG$3,'TTM Dates'!$B:$B,'TTM Dates'!$E:$E)&amp;ROW($CJ77)&amp;":"&amp;XLOOKUP(GG$3,'TTM Dates'!$B:$B,'TTM Dates'!$C:$C)&amp;ROW($CJ77))))</f>
        <v>0</v>
      </c>
      <c r="GH77" s="136">
        <f t="array" ref="GH77">IF(GH$3&gt;'GAAP Summary'!$B$2,0,SUM(INDIRECT(XLOOKUP(GH$3,'TTM Dates'!$B:$B,'TTM Dates'!$E:$E)&amp;ROW($CJ77)&amp;":"&amp;XLOOKUP(GH$3,'TTM Dates'!$B:$B,'TTM Dates'!$C:$C)&amp;ROW($CJ77))))</f>
        <v>0</v>
      </c>
      <c r="GI77" s="136">
        <f t="array" ref="GI77">IF(GI$3&gt;'GAAP Summary'!$B$2,0,SUM(INDIRECT(XLOOKUP(GI$3,'TTM Dates'!$B:$B,'TTM Dates'!$E:$E)&amp;ROW($CJ77)&amp;":"&amp;XLOOKUP(GI$3,'TTM Dates'!$B:$B,'TTM Dates'!$C:$C)&amp;ROW($CJ77))))</f>
        <v>0</v>
      </c>
      <c r="GJ77" s="136">
        <f t="array" ref="GJ77">IF(GJ$3&gt;'GAAP Summary'!$B$2,0,SUM(INDIRECT(XLOOKUP(GJ$3,'TTM Dates'!$B:$B,'TTM Dates'!$E:$E)&amp;ROW($CJ77)&amp;":"&amp;XLOOKUP(GJ$3,'TTM Dates'!$B:$B,'TTM Dates'!$C:$C)&amp;ROW($CJ77))))</f>
        <v>0</v>
      </c>
      <c r="GK77" s="136">
        <f t="array" ref="GK77">IF(GK$3&gt;'GAAP Summary'!$B$2,0,SUM(INDIRECT(XLOOKUP(GK$3,'TTM Dates'!$B:$B,'TTM Dates'!$E:$E)&amp;ROW($CJ77)&amp;":"&amp;XLOOKUP(GK$3,'TTM Dates'!$B:$B,'TTM Dates'!$C:$C)&amp;ROW($CJ77))))</f>
        <v>0</v>
      </c>
      <c r="GL77" s="136">
        <f t="array" ref="GL77">IF(GL$3&gt;'GAAP Summary'!$B$2,0,SUM(INDIRECT(XLOOKUP(GL$3,'TTM Dates'!$B:$B,'TTM Dates'!$E:$E)&amp;ROW($CJ77)&amp;":"&amp;XLOOKUP(GL$3,'TTM Dates'!$B:$B,'TTM Dates'!$C:$C)&amp;ROW($CJ77))))</f>
        <v>0</v>
      </c>
      <c r="GM77" s="136"/>
    </row>
    <row r="78">
      <c r="B78" s="280" t="s">
        <v>303</v>
      </c>
      <c r="C78" s="108">
        <f t="shared" ref="C78:Z78" si="169">SUM(C79:C81)</f>
        <v>0</v>
      </c>
      <c r="D78" s="108">
        <f t="shared" si="169"/>
        <v>0</v>
      </c>
      <c r="E78" s="108">
        <f t="shared" si="169"/>
        <v>0</v>
      </c>
      <c r="F78" s="108">
        <f t="shared" si="169"/>
        <v>0</v>
      </c>
      <c r="G78" s="108">
        <f t="shared" si="169"/>
        <v>0</v>
      </c>
      <c r="H78" s="108">
        <f t="shared" si="169"/>
        <v>0</v>
      </c>
      <c r="I78" s="108">
        <f t="shared" si="169"/>
        <v>0</v>
      </c>
      <c r="J78" s="108">
        <f t="shared" si="169"/>
        <v>0</v>
      </c>
      <c r="K78" s="108">
        <f t="shared" si="169"/>
        <v>0</v>
      </c>
      <c r="L78" s="108">
        <f t="shared" si="169"/>
        <v>0</v>
      </c>
      <c r="M78" s="108">
        <f t="shared" si="169"/>
        <v>0</v>
      </c>
      <c r="N78" s="108">
        <f t="shared" si="169"/>
        <v>0</v>
      </c>
      <c r="O78" s="108">
        <f t="shared" si="169"/>
        <v>0</v>
      </c>
      <c r="P78" s="108">
        <f t="shared" si="169"/>
        <v>0</v>
      </c>
      <c r="Q78" s="108">
        <f t="shared" si="169"/>
        <v>0</v>
      </c>
      <c r="R78" s="108">
        <f t="shared" si="169"/>
        <v>0</v>
      </c>
      <c r="S78" s="108">
        <f t="shared" si="169"/>
        <v>0</v>
      </c>
      <c r="T78" s="108">
        <f t="shared" si="169"/>
        <v>0</v>
      </c>
      <c r="U78" s="108">
        <f t="shared" si="169"/>
        <v>0</v>
      </c>
      <c r="V78" s="108">
        <f t="shared" si="169"/>
        <v>0</v>
      </c>
      <c r="W78" s="108">
        <f t="shared" si="169"/>
        <v>0</v>
      </c>
      <c r="X78" s="108">
        <f t="shared" si="169"/>
        <v>0</v>
      </c>
      <c r="Y78" s="108">
        <f t="shared" si="169"/>
        <v>0</v>
      </c>
      <c r="Z78" s="108">
        <f t="shared" si="169"/>
        <v>0</v>
      </c>
      <c r="AA78" s="352">
        <v>53025.0</v>
      </c>
      <c r="AB78" s="352">
        <v>80594.0</v>
      </c>
      <c r="AC78" s="352">
        <v>154234.0</v>
      </c>
      <c r="AD78" s="352">
        <v>124519.0</v>
      </c>
      <c r="AE78" s="352">
        <v>153292.0</v>
      </c>
      <c r="AF78" s="352">
        <v>144490.0</v>
      </c>
      <c r="AG78" s="352">
        <v>154575.0</v>
      </c>
      <c r="AH78" s="352">
        <v>130723.0</v>
      </c>
      <c r="AI78" s="352">
        <v>165991.0</v>
      </c>
      <c r="AJ78" s="352">
        <v>329009.0</v>
      </c>
      <c r="AK78" s="352">
        <v>143449.0</v>
      </c>
      <c r="AL78" s="352">
        <v>257673.0</v>
      </c>
      <c r="AM78" s="352">
        <v>100999.0</v>
      </c>
      <c r="AN78" s="352">
        <v>227173.0</v>
      </c>
      <c r="AO78" s="352">
        <v>171564.0</v>
      </c>
      <c r="AP78" s="352">
        <v>340024.0</v>
      </c>
      <c r="AQ78" s="352">
        <v>224794.0</v>
      </c>
      <c r="AR78" s="352">
        <v>183769.0</v>
      </c>
      <c r="AS78" s="352">
        <v>291754.0</v>
      </c>
      <c r="AT78" s="352">
        <v>197738.0</v>
      </c>
      <c r="AU78" s="352">
        <v>159572.0</v>
      </c>
      <c r="AV78" s="352">
        <v>146742.0</v>
      </c>
      <c r="AW78" s="352">
        <v>153401.0</v>
      </c>
      <c r="AX78" s="352">
        <v>174402.0</v>
      </c>
      <c r="AY78" s="352">
        <v>305854.0</v>
      </c>
      <c r="AZ78" s="352">
        <v>200756.0</v>
      </c>
      <c r="BA78" s="352">
        <v>242168.0</v>
      </c>
      <c r="BB78" s="352">
        <v>216435.0</v>
      </c>
      <c r="BC78" s="352">
        <v>395861.0</v>
      </c>
      <c r="BD78" s="352">
        <v>441992.0</v>
      </c>
      <c r="BE78" s="352">
        <v>137928.0</v>
      </c>
      <c r="BF78" s="352">
        <v>266030.0</v>
      </c>
      <c r="BG78" s="352">
        <v>145792.0</v>
      </c>
      <c r="BH78" s="352">
        <v>221157.0</v>
      </c>
      <c r="BI78" s="352">
        <v>223426.0</v>
      </c>
      <c r="BJ78" s="352">
        <v>172204.0</v>
      </c>
      <c r="BK78" s="352">
        <v>262855.0</v>
      </c>
      <c r="BL78" s="352">
        <v>220821.0</v>
      </c>
      <c r="BM78" s="352">
        <v>205587.0</v>
      </c>
      <c r="BN78" s="352">
        <v>190853.0</v>
      </c>
      <c r="BO78" s="352">
        <v>498299.0</v>
      </c>
      <c r="BP78" s="352">
        <v>430849.0</v>
      </c>
      <c r="BQ78" s="352">
        <v>270834.0</v>
      </c>
      <c r="BR78" s="352">
        <v>507684.0</v>
      </c>
      <c r="BS78" s="352">
        <v>835439.87</v>
      </c>
      <c r="BT78" s="352">
        <v>1009883.84</v>
      </c>
      <c r="BU78" s="352">
        <v>886598.33</v>
      </c>
      <c r="BV78" s="352">
        <v>206489.21</v>
      </c>
      <c r="BW78" s="446">
        <v>974799.16</v>
      </c>
      <c r="BX78" s="446">
        <v>891539.23</v>
      </c>
      <c r="BY78" s="446">
        <v>1095487.06</v>
      </c>
      <c r="BZ78" s="446">
        <v>992134.25</v>
      </c>
      <c r="CA78" s="446">
        <v>1202813.06</v>
      </c>
      <c r="CB78" s="446">
        <v>1253985.02</v>
      </c>
      <c r="CC78" s="289"/>
      <c r="CD78" s="289"/>
      <c r="CE78" s="289"/>
      <c r="CF78" s="289"/>
      <c r="CG78" s="289"/>
      <c r="CH78" s="289"/>
      <c r="CI78" s="33"/>
      <c r="CJ78" s="33"/>
      <c r="CK78" s="290">
        <f t="array" ref="CK78">SUM(INDIRECT(XLOOKUP('GAAP Summary'!$B$2,'TTM Dates'!$B:$B,'TTM Dates'!$E:$E)&amp;ROW($CJ78)&amp;":"&amp;XLOOKUP('GAAP Summary'!$B$2,'TTM Dates'!$B:$B,'TTM Dates'!$C:$C)&amp;ROW($CJ78)))</f>
        <v>10127687.03</v>
      </c>
      <c r="CL78" s="351"/>
      <c r="CM78" s="108">
        <f t="shared" si="144"/>
        <v>2961825.45</v>
      </c>
      <c r="CN78" s="108">
        <f t="shared" si="145"/>
        <v>3448932.33</v>
      </c>
      <c r="CO78" s="108">
        <f t="shared" si="146"/>
        <v>0</v>
      </c>
      <c r="CP78" s="108">
        <f t="shared" si="147"/>
        <v>0</v>
      </c>
      <c r="CQ78" s="290">
        <f t="shared" si="148"/>
        <v>6410757.78</v>
      </c>
      <c r="CR78" s="108"/>
      <c r="CS78" s="108">
        <f t="shared" si="149"/>
        <v>689263</v>
      </c>
      <c r="CT78" s="108">
        <f t="shared" si="150"/>
        <v>1120001</v>
      </c>
      <c r="CU78" s="108">
        <f t="shared" si="151"/>
        <v>1613957.87</v>
      </c>
      <c r="CV78" s="108">
        <f t="shared" si="152"/>
        <v>2102971.38</v>
      </c>
      <c r="CW78" s="282">
        <f t="shared" si="153"/>
        <v>5526193.25</v>
      </c>
      <c r="CX78" s="351"/>
      <c r="CY78" s="108">
        <f t="shared" si="154"/>
        <v>748778</v>
      </c>
      <c r="CZ78" s="108">
        <f t="shared" si="155"/>
        <v>1054288</v>
      </c>
      <c r="DA78" s="108">
        <f t="shared" si="156"/>
        <v>549750</v>
      </c>
      <c r="DB78" s="108">
        <f t="shared" si="157"/>
        <v>616787</v>
      </c>
      <c r="DC78" s="282">
        <f t="shared" si="158"/>
        <v>2969603</v>
      </c>
      <c r="DD78" s="447"/>
      <c r="DE78" s="108">
        <f t="shared" si="159"/>
        <v>499736</v>
      </c>
      <c r="DF78" s="108">
        <f t="shared" si="160"/>
        <v>748587</v>
      </c>
      <c r="DG78" s="108">
        <f t="shared" si="161"/>
        <v>649064</v>
      </c>
      <c r="DH78" s="108">
        <f t="shared" si="162"/>
        <v>474545</v>
      </c>
      <c r="DI78" s="282">
        <f t="shared" si="163"/>
        <v>2371932</v>
      </c>
      <c r="DJ78" s="283"/>
      <c r="DK78" s="108">
        <f>sum(AA78:AC78)</f>
        <v>287853</v>
      </c>
      <c r="DL78" s="108">
        <f>sum(AD78:AF78)</f>
        <v>422301</v>
      </c>
      <c r="DM78" s="108">
        <f>sum(AG78:AI78)</f>
        <v>451289</v>
      </c>
      <c r="DN78" s="108">
        <f>sum(AJ78:AL78)</f>
        <v>730131</v>
      </c>
      <c r="DO78" s="282">
        <f>sum(AA78:AL78)</f>
        <v>1891574</v>
      </c>
      <c r="DP78" s="283"/>
      <c r="DQ78" s="282">
        <f>SUM(O78:Z78)</f>
        <v>0</v>
      </c>
      <c r="DR78" s="136"/>
      <c r="DS78" s="286">
        <f t="array" ref="DS78">IF(DS$3&gt;'GAAP Summary'!$B$2,0,SUM(INDIRECT(XLOOKUP(DS$3,'TTM Dates'!$B:$B,'TTM Dates'!$E:$E)&amp;ROW($CJ78)&amp;":"&amp;XLOOKUP(DS$3,'TTM Dates'!$B:$B,'TTM Dates'!$C:$C)&amp;ROW($CJ78))))</f>
        <v>0</v>
      </c>
      <c r="DT78" s="286">
        <f t="array" ref="DT78">IF(DT$3&gt;'GAAP Summary'!$B$2,0,SUM(INDIRECT(XLOOKUP(DT$3,'TTM Dates'!$B:$B,'TTM Dates'!$E:$E)&amp;ROW($CJ78)&amp;":"&amp;XLOOKUP(DT$3,'TTM Dates'!$B:$B,'TTM Dates'!$C:$C)&amp;ROW($CJ78))))</f>
        <v>0</v>
      </c>
      <c r="DU78" s="286">
        <f t="array" ref="DU78">IF(DU$3&gt;'GAAP Summary'!$B$2,0,SUM(INDIRECT(XLOOKUP(DU$3,'TTM Dates'!$B:$B,'TTM Dates'!$E:$E)&amp;ROW($CJ78)&amp;":"&amp;XLOOKUP(DU$3,'TTM Dates'!$B:$B,'TTM Dates'!$C:$C)&amp;ROW($CJ78))))</f>
        <v>0</v>
      </c>
      <c r="DV78" s="286">
        <f t="array" ref="DV78">IF(DV$3&gt;'GAAP Summary'!$B$2,0,SUM(INDIRECT(XLOOKUP(DV$3,'TTM Dates'!$B:$B,'TTM Dates'!$E:$E)&amp;ROW($CJ78)&amp;":"&amp;XLOOKUP(DV$3,'TTM Dates'!$B:$B,'TTM Dates'!$C:$C)&amp;ROW($CJ78))))</f>
        <v>0</v>
      </c>
      <c r="DW78" s="286">
        <f t="array" ref="DW78">IF(DW$3&gt;'GAAP Summary'!$B$2,0,SUM(INDIRECT(XLOOKUP(DW$3,'TTM Dates'!$B:$B,'TTM Dates'!$E:$E)&amp;ROW($CJ78)&amp;":"&amp;XLOOKUP(DW$3,'TTM Dates'!$B:$B,'TTM Dates'!$C:$C)&amp;ROW($CJ78))))</f>
        <v>0</v>
      </c>
      <c r="DX78" s="286">
        <f t="array" ref="DX78">IF(DX$3&gt;'GAAP Summary'!$B$2,0,SUM(INDIRECT(XLOOKUP(DX$3,'TTM Dates'!$B:$B,'TTM Dates'!$E:$E)&amp;ROW($CJ78)&amp;":"&amp;XLOOKUP(DX$3,'TTM Dates'!$B:$B,'TTM Dates'!$C:$C)&amp;ROW($CJ78))))</f>
        <v>0</v>
      </c>
      <c r="DY78" s="286">
        <f t="array" ref="DY78">IF(DY$3&gt;'GAAP Summary'!$B$2,0,SUM(INDIRECT(XLOOKUP(DY$3,'TTM Dates'!$B:$B,'TTM Dates'!$E:$E)&amp;ROW($CJ78)&amp;":"&amp;XLOOKUP(DY$3,'TTM Dates'!$B:$B,'TTM Dates'!$C:$C)&amp;ROW($CJ78))))</f>
        <v>0</v>
      </c>
      <c r="DZ78" s="286">
        <f t="array" ref="DZ78">IF(DZ$3&gt;'GAAP Summary'!$B$2,0,SUM(INDIRECT(XLOOKUP(DZ$3,'TTM Dates'!$B:$B,'TTM Dates'!$E:$E)&amp;ROW($CJ78)&amp;":"&amp;XLOOKUP(DZ$3,'TTM Dates'!$B:$B,'TTM Dates'!$C:$C)&amp;ROW($CJ78))))</f>
        <v>0</v>
      </c>
      <c r="EA78" s="286">
        <f t="array" ref="EA78">IF(EA$3&gt;'GAAP Summary'!$B$2,0,SUM(INDIRECT(XLOOKUP(EA$3,'TTM Dates'!$B:$B,'TTM Dates'!$E:$E)&amp;ROW($CJ78)&amp;":"&amp;XLOOKUP(EA$3,'TTM Dates'!$B:$B,'TTM Dates'!$C:$C)&amp;ROW($CJ78))))</f>
        <v>0</v>
      </c>
      <c r="EB78" s="286">
        <f t="array" ref="EB78">IF(EB$3&gt;'GAAP Summary'!$B$2,0,SUM(INDIRECT(XLOOKUP(EB$3,'TTM Dates'!$B:$B,'TTM Dates'!$E:$E)&amp;ROW($CJ78)&amp;":"&amp;XLOOKUP(EB$3,'TTM Dates'!$B:$B,'TTM Dates'!$C:$C)&amp;ROW($CJ78))))</f>
        <v>0</v>
      </c>
      <c r="EC78" s="286">
        <f t="array" ref="EC78">IF(EC$3&gt;'GAAP Summary'!$B$2,0,SUM(INDIRECT(XLOOKUP(EC$3,'TTM Dates'!$B:$B,'TTM Dates'!$E:$E)&amp;ROW($CJ78)&amp;":"&amp;XLOOKUP(EC$3,'TTM Dates'!$B:$B,'TTM Dates'!$C:$C)&amp;ROW($CJ78))))</f>
        <v>0</v>
      </c>
      <c r="ED78" s="286">
        <f t="array" ref="ED78">IF(ED$3&gt;'GAAP Summary'!$B$2,0,SUM(INDIRECT(XLOOKUP(ED$3,'TTM Dates'!$B:$B,'TTM Dates'!$E:$E)&amp;ROW($CJ78)&amp;":"&amp;XLOOKUP(ED$3,'TTM Dates'!$B:$B,'TTM Dates'!$C:$C)&amp;ROW($CJ78))))</f>
        <v>0</v>
      </c>
      <c r="EE78" s="286">
        <f t="array" ref="EE78">IF(EE$3&gt;'GAAP Summary'!$B$2,0,SUM(INDIRECT(XLOOKUP(EE$3,'TTM Dates'!$B:$B,'TTM Dates'!$E:$E)&amp;ROW($CJ78)&amp;":"&amp;XLOOKUP(EE$3,'TTM Dates'!$B:$B,'TTM Dates'!$C:$C)&amp;ROW($CJ78))))</f>
        <v>53025</v>
      </c>
      <c r="EF78" s="286">
        <f t="array" ref="EF78">IF(EF$3&gt;'GAAP Summary'!$B$2,0,SUM(INDIRECT(XLOOKUP(EF$3,'TTM Dates'!$B:$B,'TTM Dates'!$E:$E)&amp;ROW($CJ78)&amp;":"&amp;XLOOKUP(EF$3,'TTM Dates'!$B:$B,'TTM Dates'!$C:$C)&amp;ROW($CJ78))))</f>
        <v>133619</v>
      </c>
      <c r="EG78" s="286">
        <f t="array" ref="EG78">IF(EG$3&gt;'GAAP Summary'!$B$2,0,SUM(INDIRECT(XLOOKUP(EG$3,'TTM Dates'!$B:$B,'TTM Dates'!$E:$E)&amp;ROW($CJ78)&amp;":"&amp;XLOOKUP(EG$3,'TTM Dates'!$B:$B,'TTM Dates'!$C:$C)&amp;ROW($CJ78))))</f>
        <v>287853</v>
      </c>
      <c r="EH78" s="286">
        <f t="array" ref="EH78">IF(EH$3&gt;'GAAP Summary'!$B$2,0,SUM(INDIRECT(XLOOKUP(EH$3,'TTM Dates'!$B:$B,'TTM Dates'!$E:$E)&amp;ROW($CJ78)&amp;":"&amp;XLOOKUP(EH$3,'TTM Dates'!$B:$B,'TTM Dates'!$C:$C)&amp;ROW($CJ78))))</f>
        <v>412372</v>
      </c>
      <c r="EI78" s="286">
        <f t="array" ref="EI78">IF(EI$3&gt;'GAAP Summary'!$B$2,0,SUM(INDIRECT(XLOOKUP(EI$3,'TTM Dates'!$B:$B,'TTM Dates'!$E:$E)&amp;ROW($CJ78)&amp;":"&amp;XLOOKUP(EI$3,'TTM Dates'!$B:$B,'TTM Dates'!$C:$C)&amp;ROW($CJ78))))</f>
        <v>565664</v>
      </c>
      <c r="EJ78" s="286">
        <f t="array" ref="EJ78">IF(EJ$3&gt;'GAAP Summary'!$B$2,0,SUM(INDIRECT(XLOOKUP(EJ$3,'TTM Dates'!$B:$B,'TTM Dates'!$E:$E)&amp;ROW($CJ78)&amp;":"&amp;XLOOKUP(EJ$3,'TTM Dates'!$B:$B,'TTM Dates'!$C:$C)&amp;ROW($CJ78))))</f>
        <v>710154</v>
      </c>
      <c r="EK78" s="286">
        <f t="array" ref="EK78">IF(EK$3&gt;'GAAP Summary'!$B$2,0,SUM(INDIRECT(XLOOKUP(EK$3,'TTM Dates'!$B:$B,'TTM Dates'!$E:$E)&amp;ROW($CJ78)&amp;":"&amp;XLOOKUP(EK$3,'TTM Dates'!$B:$B,'TTM Dates'!$C:$C)&amp;ROW($CJ78))))</f>
        <v>864729</v>
      </c>
      <c r="EL78" s="286">
        <f t="array" ref="EL78">IF(EL$3&gt;'GAAP Summary'!$B$2,0,SUM(INDIRECT(XLOOKUP(EL$3,'TTM Dates'!$B:$B,'TTM Dates'!$E:$E)&amp;ROW($CJ78)&amp;":"&amp;XLOOKUP(EL$3,'TTM Dates'!$B:$B,'TTM Dates'!$C:$C)&amp;ROW($CJ78))))</f>
        <v>995452</v>
      </c>
      <c r="EM78" s="286">
        <f t="array" ref="EM78">IF(EM$3&gt;'GAAP Summary'!$B$2,0,SUM(INDIRECT(XLOOKUP(EM$3,'TTM Dates'!$B:$B,'TTM Dates'!$E:$E)&amp;ROW($CJ78)&amp;":"&amp;XLOOKUP(EM$3,'TTM Dates'!$B:$B,'TTM Dates'!$C:$C)&amp;ROW($CJ78))))</f>
        <v>1161443</v>
      </c>
      <c r="EN78" s="286">
        <f t="array" ref="EN78">IF(EN$3&gt;'GAAP Summary'!$B$2,0,SUM(INDIRECT(XLOOKUP(EN$3,'TTM Dates'!$B:$B,'TTM Dates'!$E:$E)&amp;ROW($CJ78)&amp;":"&amp;XLOOKUP(EN$3,'TTM Dates'!$B:$B,'TTM Dates'!$C:$C)&amp;ROW($CJ78))))</f>
        <v>1490452</v>
      </c>
      <c r="EO78" s="286">
        <f t="array" ref="EO78">IF(EO$3&gt;'GAAP Summary'!$B$2,0,SUM(INDIRECT(XLOOKUP(EO$3,'TTM Dates'!$B:$B,'TTM Dates'!$E:$E)&amp;ROW($CJ78)&amp;":"&amp;XLOOKUP(EO$3,'TTM Dates'!$B:$B,'TTM Dates'!$C:$C)&amp;ROW($CJ78))))</f>
        <v>1633901</v>
      </c>
      <c r="EP78" s="286">
        <f t="array" ref="EP78">IF(EP$3&gt;'GAAP Summary'!$B$2,0,SUM(INDIRECT(XLOOKUP(EP$3,'TTM Dates'!$B:$B,'TTM Dates'!$E:$E)&amp;ROW($CJ78)&amp;":"&amp;XLOOKUP(EP$3,'TTM Dates'!$B:$B,'TTM Dates'!$C:$C)&amp;ROW($CJ78))))</f>
        <v>1891574</v>
      </c>
      <c r="EQ78" s="286">
        <f t="array" ref="EQ78">IF(EQ$3&gt;'GAAP Summary'!$B$2,0,SUM(INDIRECT(XLOOKUP(EQ$3,'TTM Dates'!$B:$B,'TTM Dates'!$E:$E)&amp;ROW($CJ78)&amp;":"&amp;XLOOKUP(EQ$3,'TTM Dates'!$B:$B,'TTM Dates'!$C:$C)&amp;ROW($CJ78))))</f>
        <v>1939548</v>
      </c>
      <c r="ER78" s="286">
        <f t="array" ref="ER78">IF(ER$3&gt;'GAAP Summary'!$B$2,0,SUM(INDIRECT(XLOOKUP(ER$3,'TTM Dates'!$B:$B,'TTM Dates'!$E:$E)&amp;ROW($CJ78)&amp;":"&amp;XLOOKUP(ER$3,'TTM Dates'!$B:$B,'TTM Dates'!$C:$C)&amp;ROW($CJ78))))</f>
        <v>2086127</v>
      </c>
      <c r="ES78" s="286">
        <f t="array" ref="ES78">IF(ES$3&gt;'GAAP Summary'!$B$2,0,SUM(INDIRECT(XLOOKUP(ES$3,'TTM Dates'!$B:$B,'TTM Dates'!$E:$E)&amp;ROW($CJ78)&amp;":"&amp;XLOOKUP(ES$3,'TTM Dates'!$B:$B,'TTM Dates'!$C:$C)&amp;ROW($CJ78))))</f>
        <v>2103457</v>
      </c>
      <c r="ET78" s="286">
        <f t="array" ref="ET78">IF(ET$3&gt;'GAAP Summary'!$B$2,0,SUM(INDIRECT(XLOOKUP(ET$3,'TTM Dates'!$B:$B,'TTM Dates'!$E:$E)&amp;ROW($CJ78)&amp;":"&amp;XLOOKUP(ET$3,'TTM Dates'!$B:$B,'TTM Dates'!$C:$C)&amp;ROW($CJ78))))</f>
        <v>2318962</v>
      </c>
      <c r="EU78" s="286">
        <f t="array" ref="EU78">IF(EU$3&gt;'GAAP Summary'!$B$2,0,SUM(INDIRECT(XLOOKUP(EU$3,'TTM Dates'!$B:$B,'TTM Dates'!$E:$E)&amp;ROW($CJ78)&amp;":"&amp;XLOOKUP(EU$3,'TTM Dates'!$B:$B,'TTM Dates'!$C:$C)&amp;ROW($CJ78))))</f>
        <v>2390464</v>
      </c>
      <c r="EV78" s="286">
        <f t="array" ref="EV78">IF(EV$3&gt;'GAAP Summary'!$B$2,0,SUM(INDIRECT(XLOOKUP(EV$3,'TTM Dates'!$B:$B,'TTM Dates'!$E:$E)&amp;ROW($CJ78)&amp;":"&amp;XLOOKUP(EV$3,'TTM Dates'!$B:$B,'TTM Dates'!$C:$C)&amp;ROW($CJ78))))</f>
        <v>2429743</v>
      </c>
      <c r="EW78" s="286">
        <f t="array" ref="EW78">IF(EW$3&gt;'GAAP Summary'!$B$2,0,SUM(INDIRECT(XLOOKUP(EW$3,'TTM Dates'!$B:$B,'TTM Dates'!$E:$E)&amp;ROW($CJ78)&amp;":"&amp;XLOOKUP(EW$3,'TTM Dates'!$B:$B,'TTM Dates'!$C:$C)&amp;ROW($CJ78))))</f>
        <v>2566922</v>
      </c>
      <c r="EX78" s="286">
        <f t="array" ref="EX78">IF(EX$3&gt;'GAAP Summary'!$B$2,0,SUM(INDIRECT(XLOOKUP(EX$3,'TTM Dates'!$B:$B,'TTM Dates'!$E:$E)&amp;ROW($CJ78)&amp;":"&amp;XLOOKUP(EX$3,'TTM Dates'!$B:$B,'TTM Dates'!$C:$C)&amp;ROW($CJ78))))</f>
        <v>2633937</v>
      </c>
      <c r="EY78" s="286">
        <f t="array" ref="EY78">IF(EY$3&gt;'GAAP Summary'!$B$2,0,SUM(INDIRECT(XLOOKUP(EY$3,'TTM Dates'!$B:$B,'TTM Dates'!$E:$E)&amp;ROW($CJ78)&amp;":"&amp;XLOOKUP(EY$3,'TTM Dates'!$B:$B,'TTM Dates'!$C:$C)&amp;ROW($CJ78))))</f>
        <v>2627518</v>
      </c>
      <c r="EZ78" s="286">
        <f t="array" ref="EZ78">IF(EZ$3&gt;'GAAP Summary'!$B$2,0,SUM(INDIRECT(XLOOKUP(EZ$3,'TTM Dates'!$B:$B,'TTM Dates'!$E:$E)&amp;ROW($CJ78)&amp;":"&amp;XLOOKUP(EZ$3,'TTM Dates'!$B:$B,'TTM Dates'!$C:$C)&amp;ROW($CJ78))))</f>
        <v>2445251</v>
      </c>
      <c r="FA78" s="286">
        <f t="array" ref="FA78">IF(FA$3&gt;'GAAP Summary'!$B$2,0,SUM(INDIRECT(XLOOKUP(FA$3,'TTM Dates'!$B:$B,'TTM Dates'!$E:$E)&amp;ROW($CJ78)&amp;":"&amp;XLOOKUP(FA$3,'TTM Dates'!$B:$B,'TTM Dates'!$C:$C)&amp;ROW($CJ78))))</f>
        <v>2455203</v>
      </c>
      <c r="FB78" s="286">
        <f t="array" ref="FB78">IF(FB$3&gt;'GAAP Summary'!$B$2,0,SUM(INDIRECT(XLOOKUP(FB$3,'TTM Dates'!$B:$B,'TTM Dates'!$E:$E)&amp;ROW($CJ78)&amp;":"&amp;XLOOKUP(FB$3,'TTM Dates'!$B:$B,'TTM Dates'!$C:$C)&amp;ROW($CJ78))))</f>
        <v>2371932</v>
      </c>
      <c r="FC78" s="286">
        <f t="array" ref="FC78">IF(FC$3&gt;'GAAP Summary'!$B$2,0,SUM(INDIRECT(XLOOKUP(FC$3,'TTM Dates'!$B:$B,'TTM Dates'!$E:$E)&amp;ROW($CJ78)&amp;":"&amp;XLOOKUP(FC$3,'TTM Dates'!$B:$B,'TTM Dates'!$C:$C)&amp;ROW($CJ78))))</f>
        <v>2576787</v>
      </c>
      <c r="FD78" s="286">
        <f t="array" ref="FD78">IF(FD$3&gt;'GAAP Summary'!$B$2,0,SUM(INDIRECT(XLOOKUP(FD$3,'TTM Dates'!$B:$B,'TTM Dates'!$E:$E)&amp;ROW($CJ78)&amp;":"&amp;XLOOKUP(FD$3,'TTM Dates'!$B:$B,'TTM Dates'!$C:$C)&amp;ROW($CJ78))))</f>
        <v>2550370</v>
      </c>
      <c r="FE78" s="286">
        <f t="array" ref="FE78">IF(FE$3&gt;'GAAP Summary'!$B$2,0,SUM(INDIRECT(XLOOKUP(FE$3,'TTM Dates'!$B:$B,'TTM Dates'!$E:$E)&amp;ROW($CJ78)&amp;":"&amp;XLOOKUP(FE$3,'TTM Dates'!$B:$B,'TTM Dates'!$C:$C)&amp;ROW($CJ78))))</f>
        <v>2620974</v>
      </c>
      <c r="FF78" s="286">
        <f t="array" ref="FF78">IF(FF$3&gt;'GAAP Summary'!$B$2,0,SUM(INDIRECT(XLOOKUP(FF$3,'TTM Dates'!$B:$B,'TTM Dates'!$E:$E)&amp;ROW($CJ78)&amp;":"&amp;XLOOKUP(FF$3,'TTM Dates'!$B:$B,'TTM Dates'!$C:$C)&amp;ROW($CJ78))))</f>
        <v>2497385</v>
      </c>
      <c r="FG78" s="286">
        <f t="array" ref="FG78">IF(FG$3&gt;'GAAP Summary'!$B$2,0,SUM(INDIRECT(XLOOKUP(FG$3,'TTM Dates'!$B:$B,'TTM Dates'!$E:$E)&amp;ROW($CJ78)&amp;":"&amp;XLOOKUP(FG$3,'TTM Dates'!$B:$B,'TTM Dates'!$C:$C)&amp;ROW($CJ78))))</f>
        <v>2668452</v>
      </c>
      <c r="FH78" s="286">
        <f t="array" ref="FH78">IF(FH$3&gt;'GAAP Summary'!$B$2,0,SUM(INDIRECT(XLOOKUP(FH$3,'TTM Dates'!$B:$B,'TTM Dates'!$E:$E)&amp;ROW($CJ78)&amp;":"&amp;XLOOKUP(FH$3,'TTM Dates'!$B:$B,'TTM Dates'!$C:$C)&amp;ROW($CJ78))))</f>
        <v>2926675</v>
      </c>
      <c r="FI78" s="286">
        <f t="array" ref="FI78">IF(FI$3&gt;'GAAP Summary'!$B$2,0,SUM(INDIRECT(XLOOKUP(FI$3,'TTM Dates'!$B:$B,'TTM Dates'!$E:$E)&amp;ROW($CJ78)&amp;":"&amp;XLOOKUP(FI$3,'TTM Dates'!$B:$B,'TTM Dates'!$C:$C)&amp;ROW($CJ78))))</f>
        <v>2772849</v>
      </c>
      <c r="FJ78" s="286">
        <f t="array" ref="FJ78">IF(FJ$3&gt;'GAAP Summary'!$B$2,0,SUM(INDIRECT(XLOOKUP(FJ$3,'TTM Dates'!$B:$B,'TTM Dates'!$E:$E)&amp;ROW($CJ78)&amp;":"&amp;XLOOKUP(FJ$3,'TTM Dates'!$B:$B,'TTM Dates'!$C:$C)&amp;ROW($CJ78))))</f>
        <v>2841141</v>
      </c>
      <c r="FK78" s="286">
        <f t="array" ref="FK78">IF(FK$3&gt;'GAAP Summary'!$B$2,0,SUM(INDIRECT(XLOOKUP(FK$3,'TTM Dates'!$B:$B,'TTM Dates'!$E:$E)&amp;ROW($CJ78)&amp;":"&amp;XLOOKUP(FK$3,'TTM Dates'!$B:$B,'TTM Dates'!$C:$C)&amp;ROW($CJ78))))</f>
        <v>2827361</v>
      </c>
      <c r="FL78" s="286">
        <f t="array" ref="FL78">IF(FL$3&gt;'GAAP Summary'!$B$2,0,SUM(INDIRECT(XLOOKUP(FL$3,'TTM Dates'!$B:$B,'TTM Dates'!$E:$E)&amp;ROW($CJ78)&amp;":"&amp;XLOOKUP(FL$3,'TTM Dates'!$B:$B,'TTM Dates'!$C:$C)&amp;ROW($CJ78))))</f>
        <v>2901776</v>
      </c>
      <c r="FM78" s="286">
        <f t="array" ref="FM78">IF(FM$3&gt;'GAAP Summary'!$B$2,0,SUM(INDIRECT(XLOOKUP(FM$3,'TTM Dates'!$B:$B,'TTM Dates'!$E:$E)&amp;ROW($CJ78)&amp;":"&amp;XLOOKUP(FM$3,'TTM Dates'!$B:$B,'TTM Dates'!$C:$C)&amp;ROW($CJ78))))</f>
        <v>2971801</v>
      </c>
      <c r="FN78" s="286">
        <f t="array" ref="FN78">IF(FN$3&gt;'GAAP Summary'!$B$2,0,SUM(INDIRECT(XLOOKUP(FN$3,'TTM Dates'!$B:$B,'TTM Dates'!$E:$E)&amp;ROW($CJ78)&amp;":"&amp;XLOOKUP(FN$3,'TTM Dates'!$B:$B,'TTM Dates'!$C:$C)&amp;ROW($CJ78))))</f>
        <v>2969603</v>
      </c>
      <c r="FO78" s="286">
        <f t="array" ref="FO78">IF(FO$3&gt;'GAAP Summary'!$B$2,0,SUM(INDIRECT(XLOOKUP(FO$3,'TTM Dates'!$B:$B,'TTM Dates'!$E:$E)&amp;ROW($CJ78)&amp;":"&amp;XLOOKUP(FO$3,'TTM Dates'!$B:$B,'TTM Dates'!$C:$C)&amp;ROW($CJ78))))</f>
        <v>2926604</v>
      </c>
      <c r="FP78" s="286">
        <f t="array" ref="FP78">IF(FP$3&gt;'GAAP Summary'!$B$2,0,SUM(INDIRECT(XLOOKUP(FP$3,'TTM Dates'!$B:$B,'TTM Dates'!$E:$E)&amp;ROW($CJ78)&amp;":"&amp;XLOOKUP(FP$3,'TTM Dates'!$B:$B,'TTM Dates'!$C:$C)&amp;ROW($CJ78))))</f>
        <v>2946669</v>
      </c>
      <c r="FQ78" s="286">
        <f t="array" ref="FQ78">IF(FQ$3&gt;'GAAP Summary'!$B$2,0,SUM(INDIRECT(XLOOKUP(FQ$3,'TTM Dates'!$B:$B,'TTM Dates'!$E:$E)&amp;ROW($CJ78)&amp;":"&amp;XLOOKUP(FQ$3,'TTM Dates'!$B:$B,'TTM Dates'!$C:$C)&amp;ROW($CJ78))))</f>
        <v>2910088</v>
      </c>
      <c r="FR78" s="286">
        <f t="array" ref="FR78">IF(FR$3&gt;'GAAP Summary'!$B$2,0,SUM(INDIRECT(XLOOKUP(FR$3,'TTM Dates'!$B:$B,'TTM Dates'!$E:$E)&amp;ROW($CJ78)&amp;":"&amp;XLOOKUP(FR$3,'TTM Dates'!$B:$B,'TTM Dates'!$C:$C)&amp;ROW($CJ78))))</f>
        <v>2884506</v>
      </c>
      <c r="FS78" s="286">
        <f t="array" ref="FS78">IF(FS$3&gt;'GAAP Summary'!$B$2,0,SUM(INDIRECT(XLOOKUP(FS$3,'TTM Dates'!$B:$B,'TTM Dates'!$E:$E)&amp;ROW($CJ78)&amp;":"&amp;XLOOKUP(FS$3,'TTM Dates'!$B:$B,'TTM Dates'!$C:$C)&amp;ROW($CJ78))))</f>
        <v>2986944</v>
      </c>
      <c r="FT78" s="286">
        <f t="array" ref="FT78">IF(FT$3&gt;'GAAP Summary'!$B$2,0,SUM(INDIRECT(XLOOKUP(FT$3,'TTM Dates'!$B:$B,'TTM Dates'!$E:$E)&amp;ROW($CJ78)&amp;":"&amp;XLOOKUP(FT$3,'TTM Dates'!$B:$B,'TTM Dates'!$C:$C)&amp;ROW($CJ78))))</f>
        <v>2975801</v>
      </c>
      <c r="FU78" s="286">
        <f t="array" ref="FU78">IF(FU$3&gt;'GAAP Summary'!$B$2,0,SUM(INDIRECT(XLOOKUP(FU$3,'TTM Dates'!$B:$B,'TTM Dates'!$E:$E)&amp;ROW($CJ78)&amp;":"&amp;XLOOKUP(FU$3,'TTM Dates'!$B:$B,'TTM Dates'!$C:$C)&amp;ROW($CJ78))))</f>
        <v>3108707</v>
      </c>
      <c r="FV78" s="286">
        <f t="array" ref="FV78">IF(FV$3&gt;'GAAP Summary'!$B$2,0,SUM(INDIRECT(XLOOKUP(FV$3,'TTM Dates'!$B:$B,'TTM Dates'!$E:$E)&amp;ROW($CJ78)&amp;":"&amp;XLOOKUP(FV$3,'TTM Dates'!$B:$B,'TTM Dates'!$C:$C)&amp;ROW($CJ78))))</f>
        <v>3350361</v>
      </c>
      <c r="FW78" s="286">
        <f t="array" ref="FW78">IF(FW$3&gt;'GAAP Summary'!$B$2,0,SUM(INDIRECT(XLOOKUP(FW$3,'TTM Dates'!$B:$B,'TTM Dates'!$E:$E)&amp;ROW($CJ78)&amp;":"&amp;XLOOKUP(FW$3,'TTM Dates'!$B:$B,'TTM Dates'!$C:$C)&amp;ROW($CJ78))))</f>
        <v>4040008.87</v>
      </c>
      <c r="FX78" s="286">
        <f t="array" ref="FX78">IF(FX$3&gt;'GAAP Summary'!$B$2,0,SUM(INDIRECT(XLOOKUP(FX$3,'TTM Dates'!$B:$B,'TTM Dates'!$E:$E)&amp;ROW($CJ78)&amp;":"&amp;XLOOKUP(FX$3,'TTM Dates'!$B:$B,'TTM Dates'!$C:$C)&amp;ROW($CJ78))))</f>
        <v>4828735.71</v>
      </c>
      <c r="FY78" s="286">
        <f t="array" ref="FY78">IF(FY$3&gt;'GAAP Summary'!$B$2,0,SUM(INDIRECT(XLOOKUP(FY$3,'TTM Dates'!$B:$B,'TTM Dates'!$E:$E)&amp;ROW($CJ78)&amp;":"&amp;XLOOKUP(FY$3,'TTM Dates'!$B:$B,'TTM Dates'!$C:$C)&amp;ROW($CJ78))))</f>
        <v>5491908.04</v>
      </c>
      <c r="FZ78" s="286">
        <f t="array" ref="FZ78">IF(FZ$3&gt;'GAAP Summary'!$B$2,0,SUM(INDIRECT(XLOOKUP(FZ$3,'TTM Dates'!$B:$B,'TTM Dates'!$E:$E)&amp;ROW($CJ78)&amp;":"&amp;XLOOKUP(FZ$3,'TTM Dates'!$B:$B,'TTM Dates'!$C:$C)&amp;ROW($CJ78))))</f>
        <v>5526193.25</v>
      </c>
      <c r="GA78" s="286">
        <f t="array" ref="GA78">IF(GA$3&gt;'GAAP Summary'!$B$2,0,SUM(INDIRECT(XLOOKUP(GA$3,'TTM Dates'!$B:$B,'TTM Dates'!$E:$E)&amp;ROW($CJ78)&amp;":"&amp;XLOOKUP(GA$3,'TTM Dates'!$B:$B,'TTM Dates'!$C:$C)&amp;ROW($CJ78))))</f>
        <v>6238137.41</v>
      </c>
      <c r="GB78" s="286">
        <f t="array" ref="GB78">IF(GB$3&gt;'GAAP Summary'!$B$2,0,SUM(INDIRECT(XLOOKUP(GB$3,'TTM Dates'!$B:$B,'TTM Dates'!$E:$E)&amp;ROW($CJ78)&amp;":"&amp;XLOOKUP(GB$3,'TTM Dates'!$B:$B,'TTM Dates'!$C:$C)&amp;ROW($CJ78))))</f>
        <v>6908855.64</v>
      </c>
      <c r="GC78" s="286">
        <f t="array" ref="GC78">IF(GC$3&gt;'GAAP Summary'!$B$2,0,SUM(INDIRECT(XLOOKUP(GC$3,'TTM Dates'!$B:$B,'TTM Dates'!$E:$E)&amp;ROW($CJ78)&amp;":"&amp;XLOOKUP(GC$3,'TTM Dates'!$B:$B,'TTM Dates'!$C:$C)&amp;ROW($CJ78))))</f>
        <v>7798755.7</v>
      </c>
      <c r="GD78" s="286">
        <f t="array" ref="GD78">IF(GD$3&gt;'GAAP Summary'!$B$2,0,SUM(INDIRECT(XLOOKUP(GD$3,'TTM Dates'!$B:$B,'TTM Dates'!$E:$E)&amp;ROW($CJ78)&amp;":"&amp;XLOOKUP(GD$3,'TTM Dates'!$B:$B,'TTM Dates'!$C:$C)&amp;ROW($CJ78))))</f>
        <v>8600036.95</v>
      </c>
      <c r="GE78" s="286">
        <f t="array" ref="GE78">IF(GE$3&gt;'GAAP Summary'!$B$2,0,SUM(INDIRECT(XLOOKUP(GE$3,'TTM Dates'!$B:$B,'TTM Dates'!$E:$E)&amp;ROW($CJ78)&amp;":"&amp;XLOOKUP(GE$3,'TTM Dates'!$B:$B,'TTM Dates'!$C:$C)&amp;ROW($CJ78))))</f>
        <v>9304551.01</v>
      </c>
      <c r="GF78" s="286">
        <f t="array" ref="GF78">IF(GF$3&gt;'GAAP Summary'!$B$2,0,SUM(INDIRECT(XLOOKUP(GF$3,'TTM Dates'!$B:$B,'TTM Dates'!$E:$E)&amp;ROW($CJ78)&amp;":"&amp;XLOOKUP(GF$3,'TTM Dates'!$B:$B,'TTM Dates'!$C:$C)&amp;ROW($CJ78))))</f>
        <v>10127687.03</v>
      </c>
      <c r="GG78" s="286">
        <f t="array" ref="GG78">IF(GG$3&gt;'GAAP Summary'!$B$2,0,SUM(INDIRECT(XLOOKUP(GG$3,'TTM Dates'!$B:$B,'TTM Dates'!$E:$E)&amp;ROW($CJ78)&amp;":"&amp;XLOOKUP(GG$3,'TTM Dates'!$B:$B,'TTM Dates'!$C:$C)&amp;ROW($CJ78))))</f>
        <v>0</v>
      </c>
      <c r="GH78" s="286">
        <f t="array" ref="GH78">IF(GH$3&gt;'GAAP Summary'!$B$2,0,SUM(INDIRECT(XLOOKUP(GH$3,'TTM Dates'!$B:$B,'TTM Dates'!$E:$E)&amp;ROW($CJ78)&amp;":"&amp;XLOOKUP(GH$3,'TTM Dates'!$B:$B,'TTM Dates'!$C:$C)&amp;ROW($CJ78))))</f>
        <v>0</v>
      </c>
      <c r="GI78" s="286">
        <f t="array" ref="GI78">IF(GI$3&gt;'GAAP Summary'!$B$2,0,SUM(INDIRECT(XLOOKUP(GI$3,'TTM Dates'!$B:$B,'TTM Dates'!$E:$E)&amp;ROW($CJ78)&amp;":"&amp;XLOOKUP(GI$3,'TTM Dates'!$B:$B,'TTM Dates'!$C:$C)&amp;ROW($CJ78))))</f>
        <v>0</v>
      </c>
      <c r="GJ78" s="286">
        <f t="array" ref="GJ78">IF(GJ$3&gt;'GAAP Summary'!$B$2,0,SUM(INDIRECT(XLOOKUP(GJ$3,'TTM Dates'!$B:$B,'TTM Dates'!$E:$E)&amp;ROW($CJ78)&amp;":"&amp;XLOOKUP(GJ$3,'TTM Dates'!$B:$B,'TTM Dates'!$C:$C)&amp;ROW($CJ78))))</f>
        <v>0</v>
      </c>
      <c r="GK78" s="286">
        <f t="array" ref="GK78">IF(GK$3&gt;'GAAP Summary'!$B$2,0,SUM(INDIRECT(XLOOKUP(GK$3,'TTM Dates'!$B:$B,'TTM Dates'!$E:$E)&amp;ROW($CJ78)&amp;":"&amp;XLOOKUP(GK$3,'TTM Dates'!$B:$B,'TTM Dates'!$C:$C)&amp;ROW($CJ78))))</f>
        <v>0</v>
      </c>
      <c r="GL78" s="286">
        <f t="array" ref="GL78">IF(GL$3&gt;'GAAP Summary'!$B$2,0,SUM(INDIRECT(XLOOKUP(GL$3,'TTM Dates'!$B:$B,'TTM Dates'!$E:$E)&amp;ROW($CJ78)&amp;":"&amp;XLOOKUP(GL$3,'TTM Dates'!$B:$B,'TTM Dates'!$C:$C)&amp;ROW($CJ78))))</f>
        <v>0</v>
      </c>
      <c r="GM78" s="286"/>
    </row>
    <row r="79" outlineLevel="1">
      <c r="B79" s="135" t="s">
        <v>506</v>
      </c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202"/>
      <c r="AN79" s="366"/>
      <c r="AO79" s="366"/>
      <c r="AP79" s="366"/>
      <c r="AQ79" s="366"/>
      <c r="AR79" s="366"/>
      <c r="AS79" s="366"/>
      <c r="AT79" s="202"/>
      <c r="AU79" s="202"/>
      <c r="AV79" s="202"/>
      <c r="AW79" s="202"/>
      <c r="AX79" s="337"/>
      <c r="AY79" s="337"/>
      <c r="AZ79" s="337"/>
      <c r="BA79" s="337"/>
      <c r="BB79" s="337"/>
      <c r="BC79" s="337"/>
      <c r="BD79" s="337"/>
      <c r="BE79" s="337"/>
      <c r="BF79" s="337"/>
      <c r="BG79" s="337"/>
      <c r="BH79" s="337"/>
      <c r="BI79" s="337"/>
      <c r="BJ79" s="337"/>
      <c r="BK79" s="337"/>
      <c r="BL79" s="337"/>
      <c r="BM79" s="337"/>
      <c r="BN79" s="337"/>
      <c r="BO79" s="337"/>
      <c r="BP79" s="337"/>
      <c r="BQ79" s="337"/>
      <c r="BR79" s="337"/>
      <c r="BS79" s="337"/>
      <c r="BT79" s="337"/>
      <c r="BU79" s="337"/>
      <c r="BV79" s="337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33"/>
      <c r="CJ79" s="33"/>
      <c r="CK79" s="303">
        <f t="array" ref="CK79">SUM(INDIRECT(XLOOKUP('GAAP Summary'!$B$2,'TTM Dates'!$B:$B,'TTM Dates'!$E:$E)&amp;ROW($CJ79)&amp;":"&amp;XLOOKUP('GAAP Summary'!$B$2,'TTM Dates'!$B:$B,'TTM Dates'!$C:$C)&amp;ROW($CJ79)))</f>
        <v>0</v>
      </c>
      <c r="CL79" s="351"/>
      <c r="CM79" s="366">
        <f t="shared" si="144"/>
        <v>0</v>
      </c>
      <c r="CN79" s="366">
        <f t="shared" si="145"/>
        <v>0</v>
      </c>
      <c r="CO79" s="366">
        <f t="shared" si="146"/>
        <v>0</v>
      </c>
      <c r="CP79" s="366">
        <f t="shared" si="147"/>
        <v>0</v>
      </c>
      <c r="CQ79" s="454">
        <f t="shared" si="148"/>
        <v>0</v>
      </c>
      <c r="CR79" s="366"/>
      <c r="CS79" s="366">
        <f t="shared" si="149"/>
        <v>0</v>
      </c>
      <c r="CT79" s="366">
        <f t="shared" si="150"/>
        <v>0</v>
      </c>
      <c r="CU79" s="366">
        <f t="shared" si="151"/>
        <v>0</v>
      </c>
      <c r="CV79" s="366">
        <f t="shared" si="152"/>
        <v>0</v>
      </c>
      <c r="CW79" s="367">
        <f t="shared" si="153"/>
        <v>0</v>
      </c>
      <c r="CX79" s="351"/>
      <c r="CY79" s="366">
        <f t="shared" si="154"/>
        <v>0</v>
      </c>
      <c r="CZ79" s="366">
        <f t="shared" si="155"/>
        <v>0</v>
      </c>
      <c r="DA79" s="366">
        <f t="shared" si="156"/>
        <v>0</v>
      </c>
      <c r="DB79" s="366">
        <f t="shared" si="157"/>
        <v>0</v>
      </c>
      <c r="DC79" s="367">
        <f t="shared" si="158"/>
        <v>0</v>
      </c>
      <c r="DD79" s="366"/>
      <c r="DE79" s="366">
        <f t="shared" si="159"/>
        <v>0</v>
      </c>
      <c r="DF79" s="366">
        <f t="shared" si="160"/>
        <v>0</v>
      </c>
      <c r="DG79" s="366">
        <f t="shared" si="161"/>
        <v>0</v>
      </c>
      <c r="DH79" s="366">
        <f t="shared" si="162"/>
        <v>0</v>
      </c>
      <c r="DI79" s="367">
        <f t="shared" si="163"/>
        <v>0</v>
      </c>
      <c r="DJ79" s="366"/>
      <c r="DK79" s="366"/>
      <c r="DL79" s="366"/>
      <c r="DM79" s="366"/>
      <c r="DN79" s="366"/>
      <c r="DO79" s="367"/>
      <c r="DP79" s="366"/>
      <c r="DQ79" s="367"/>
      <c r="DR79" s="44"/>
      <c r="DS79" s="44">
        <f t="array" ref="DS79">IF(DS$3&gt;'GAAP Summary'!$B$2,0,SUM(INDIRECT(XLOOKUP(DS$3,'TTM Dates'!$B:$B,'TTM Dates'!$E:$E)&amp;ROW($CJ79)&amp;":"&amp;XLOOKUP(DS$3,'TTM Dates'!$B:$B,'TTM Dates'!$C:$C)&amp;ROW($CJ79))))</f>
        <v>0</v>
      </c>
      <c r="DT79" s="44">
        <f t="array" ref="DT79">IF(DT$3&gt;'GAAP Summary'!$B$2,0,SUM(INDIRECT(XLOOKUP(DT$3,'TTM Dates'!$B:$B,'TTM Dates'!$E:$E)&amp;ROW($CJ79)&amp;":"&amp;XLOOKUP(DT$3,'TTM Dates'!$B:$B,'TTM Dates'!$C:$C)&amp;ROW($CJ79))))</f>
        <v>0</v>
      </c>
      <c r="DU79" s="44">
        <f t="array" ref="DU79">IF(DU$3&gt;'GAAP Summary'!$B$2,0,SUM(INDIRECT(XLOOKUP(DU$3,'TTM Dates'!$B:$B,'TTM Dates'!$E:$E)&amp;ROW($CJ79)&amp;":"&amp;XLOOKUP(DU$3,'TTM Dates'!$B:$B,'TTM Dates'!$C:$C)&amp;ROW($CJ79))))</f>
        <v>0</v>
      </c>
      <c r="DV79" s="44">
        <f t="array" ref="DV79">IF(DV$3&gt;'GAAP Summary'!$B$2,0,SUM(INDIRECT(XLOOKUP(DV$3,'TTM Dates'!$B:$B,'TTM Dates'!$E:$E)&amp;ROW($CJ79)&amp;":"&amp;XLOOKUP(DV$3,'TTM Dates'!$B:$B,'TTM Dates'!$C:$C)&amp;ROW($CJ79))))</f>
        <v>0</v>
      </c>
      <c r="DW79" s="44">
        <f t="array" ref="DW79">IF(DW$3&gt;'GAAP Summary'!$B$2,0,SUM(INDIRECT(XLOOKUP(DW$3,'TTM Dates'!$B:$B,'TTM Dates'!$E:$E)&amp;ROW($CJ79)&amp;":"&amp;XLOOKUP(DW$3,'TTM Dates'!$B:$B,'TTM Dates'!$C:$C)&amp;ROW($CJ79))))</f>
        <v>0</v>
      </c>
      <c r="DX79" s="44">
        <f t="array" ref="DX79">IF(DX$3&gt;'GAAP Summary'!$B$2,0,SUM(INDIRECT(XLOOKUP(DX$3,'TTM Dates'!$B:$B,'TTM Dates'!$E:$E)&amp;ROW($CJ79)&amp;":"&amp;XLOOKUP(DX$3,'TTM Dates'!$B:$B,'TTM Dates'!$C:$C)&amp;ROW($CJ79))))</f>
        <v>0</v>
      </c>
      <c r="DY79" s="44">
        <f t="array" ref="DY79">IF(DY$3&gt;'GAAP Summary'!$B$2,0,SUM(INDIRECT(XLOOKUP(DY$3,'TTM Dates'!$B:$B,'TTM Dates'!$E:$E)&amp;ROW($CJ79)&amp;":"&amp;XLOOKUP(DY$3,'TTM Dates'!$B:$B,'TTM Dates'!$C:$C)&amp;ROW($CJ79))))</f>
        <v>0</v>
      </c>
      <c r="DZ79" s="44">
        <f t="array" ref="DZ79">IF(DZ$3&gt;'GAAP Summary'!$B$2,0,SUM(INDIRECT(XLOOKUP(DZ$3,'TTM Dates'!$B:$B,'TTM Dates'!$E:$E)&amp;ROW($CJ79)&amp;":"&amp;XLOOKUP(DZ$3,'TTM Dates'!$B:$B,'TTM Dates'!$C:$C)&amp;ROW($CJ79))))</f>
        <v>0</v>
      </c>
      <c r="EA79" s="44">
        <f t="array" ref="EA79">IF(EA$3&gt;'GAAP Summary'!$B$2,0,SUM(INDIRECT(XLOOKUP(EA$3,'TTM Dates'!$B:$B,'TTM Dates'!$E:$E)&amp;ROW($CJ79)&amp;":"&amp;XLOOKUP(EA$3,'TTM Dates'!$B:$B,'TTM Dates'!$C:$C)&amp;ROW($CJ79))))</f>
        <v>0</v>
      </c>
      <c r="EB79" s="44">
        <f t="array" ref="EB79">IF(EB$3&gt;'GAAP Summary'!$B$2,0,SUM(INDIRECT(XLOOKUP(EB$3,'TTM Dates'!$B:$B,'TTM Dates'!$E:$E)&amp;ROW($CJ79)&amp;":"&amp;XLOOKUP(EB$3,'TTM Dates'!$B:$B,'TTM Dates'!$C:$C)&amp;ROW($CJ79))))</f>
        <v>0</v>
      </c>
      <c r="EC79" s="44">
        <f t="array" ref="EC79">IF(EC$3&gt;'GAAP Summary'!$B$2,0,SUM(INDIRECT(XLOOKUP(EC$3,'TTM Dates'!$B:$B,'TTM Dates'!$E:$E)&amp;ROW($CJ79)&amp;":"&amp;XLOOKUP(EC$3,'TTM Dates'!$B:$B,'TTM Dates'!$C:$C)&amp;ROW($CJ79))))</f>
        <v>0</v>
      </c>
      <c r="ED79" s="44">
        <f t="array" ref="ED79">IF(ED$3&gt;'GAAP Summary'!$B$2,0,SUM(INDIRECT(XLOOKUP(ED$3,'TTM Dates'!$B:$B,'TTM Dates'!$E:$E)&amp;ROW($CJ79)&amp;":"&amp;XLOOKUP(ED$3,'TTM Dates'!$B:$B,'TTM Dates'!$C:$C)&amp;ROW($CJ79))))</f>
        <v>0</v>
      </c>
      <c r="EE79" s="44">
        <f t="array" ref="EE79">IF(EE$3&gt;'GAAP Summary'!$B$2,0,SUM(INDIRECT(XLOOKUP(EE$3,'TTM Dates'!$B:$B,'TTM Dates'!$E:$E)&amp;ROW($CJ79)&amp;":"&amp;XLOOKUP(EE$3,'TTM Dates'!$B:$B,'TTM Dates'!$C:$C)&amp;ROW($CJ79))))</f>
        <v>0</v>
      </c>
      <c r="EF79" s="44">
        <f t="array" ref="EF79">IF(EF$3&gt;'GAAP Summary'!$B$2,0,SUM(INDIRECT(XLOOKUP(EF$3,'TTM Dates'!$B:$B,'TTM Dates'!$E:$E)&amp;ROW($CJ79)&amp;":"&amp;XLOOKUP(EF$3,'TTM Dates'!$B:$B,'TTM Dates'!$C:$C)&amp;ROW($CJ79))))</f>
        <v>0</v>
      </c>
      <c r="EG79" s="44">
        <f t="array" ref="EG79">IF(EG$3&gt;'GAAP Summary'!$B$2,0,SUM(INDIRECT(XLOOKUP(EG$3,'TTM Dates'!$B:$B,'TTM Dates'!$E:$E)&amp;ROW($CJ79)&amp;":"&amp;XLOOKUP(EG$3,'TTM Dates'!$B:$B,'TTM Dates'!$C:$C)&amp;ROW($CJ79))))</f>
        <v>0</v>
      </c>
      <c r="EH79" s="44">
        <f t="array" ref="EH79">IF(EH$3&gt;'GAAP Summary'!$B$2,0,SUM(INDIRECT(XLOOKUP(EH$3,'TTM Dates'!$B:$B,'TTM Dates'!$E:$E)&amp;ROW($CJ79)&amp;":"&amp;XLOOKUP(EH$3,'TTM Dates'!$B:$B,'TTM Dates'!$C:$C)&amp;ROW($CJ79))))</f>
        <v>0</v>
      </c>
      <c r="EI79" s="44">
        <f t="array" ref="EI79">IF(EI$3&gt;'GAAP Summary'!$B$2,0,SUM(INDIRECT(XLOOKUP(EI$3,'TTM Dates'!$B:$B,'TTM Dates'!$E:$E)&amp;ROW($CJ79)&amp;":"&amp;XLOOKUP(EI$3,'TTM Dates'!$B:$B,'TTM Dates'!$C:$C)&amp;ROW($CJ79))))</f>
        <v>0</v>
      </c>
      <c r="EJ79" s="44">
        <f t="array" ref="EJ79">IF(EJ$3&gt;'GAAP Summary'!$B$2,0,SUM(INDIRECT(XLOOKUP(EJ$3,'TTM Dates'!$B:$B,'TTM Dates'!$E:$E)&amp;ROW($CJ79)&amp;":"&amp;XLOOKUP(EJ$3,'TTM Dates'!$B:$B,'TTM Dates'!$C:$C)&amp;ROW($CJ79))))</f>
        <v>0</v>
      </c>
      <c r="EK79" s="44">
        <f t="array" ref="EK79">IF(EK$3&gt;'GAAP Summary'!$B$2,0,SUM(INDIRECT(XLOOKUP(EK$3,'TTM Dates'!$B:$B,'TTM Dates'!$E:$E)&amp;ROW($CJ79)&amp;":"&amp;XLOOKUP(EK$3,'TTM Dates'!$B:$B,'TTM Dates'!$C:$C)&amp;ROW($CJ79))))</f>
        <v>0</v>
      </c>
      <c r="EL79" s="44">
        <f t="array" ref="EL79">IF(EL$3&gt;'GAAP Summary'!$B$2,0,SUM(INDIRECT(XLOOKUP(EL$3,'TTM Dates'!$B:$B,'TTM Dates'!$E:$E)&amp;ROW($CJ79)&amp;":"&amp;XLOOKUP(EL$3,'TTM Dates'!$B:$B,'TTM Dates'!$C:$C)&amp;ROW($CJ79))))</f>
        <v>0</v>
      </c>
      <c r="EM79" s="44">
        <f t="array" ref="EM79">IF(EM$3&gt;'GAAP Summary'!$B$2,0,SUM(INDIRECT(XLOOKUP(EM$3,'TTM Dates'!$B:$B,'TTM Dates'!$E:$E)&amp;ROW($CJ79)&amp;":"&amp;XLOOKUP(EM$3,'TTM Dates'!$B:$B,'TTM Dates'!$C:$C)&amp;ROW($CJ79))))</f>
        <v>0</v>
      </c>
      <c r="EN79" s="44">
        <f t="array" ref="EN79">IF(EN$3&gt;'GAAP Summary'!$B$2,0,SUM(INDIRECT(XLOOKUP(EN$3,'TTM Dates'!$B:$B,'TTM Dates'!$E:$E)&amp;ROW($CJ79)&amp;":"&amp;XLOOKUP(EN$3,'TTM Dates'!$B:$B,'TTM Dates'!$C:$C)&amp;ROW($CJ79))))</f>
        <v>0</v>
      </c>
      <c r="EO79" s="44">
        <f t="array" ref="EO79">IF(EO$3&gt;'GAAP Summary'!$B$2,0,SUM(INDIRECT(XLOOKUP(EO$3,'TTM Dates'!$B:$B,'TTM Dates'!$E:$E)&amp;ROW($CJ79)&amp;":"&amp;XLOOKUP(EO$3,'TTM Dates'!$B:$B,'TTM Dates'!$C:$C)&amp;ROW($CJ79))))</f>
        <v>0</v>
      </c>
      <c r="EP79" s="44">
        <f t="array" ref="EP79">IF(EP$3&gt;'GAAP Summary'!$B$2,0,SUM(INDIRECT(XLOOKUP(EP$3,'TTM Dates'!$B:$B,'TTM Dates'!$E:$E)&amp;ROW($CJ79)&amp;":"&amp;XLOOKUP(EP$3,'TTM Dates'!$B:$B,'TTM Dates'!$C:$C)&amp;ROW($CJ79))))</f>
        <v>0</v>
      </c>
      <c r="EQ79" s="44">
        <f t="array" ref="EQ79">IF(EQ$3&gt;'GAAP Summary'!$B$2,0,SUM(INDIRECT(XLOOKUP(EQ$3,'TTM Dates'!$B:$B,'TTM Dates'!$E:$E)&amp;ROW($CJ79)&amp;":"&amp;XLOOKUP(EQ$3,'TTM Dates'!$B:$B,'TTM Dates'!$C:$C)&amp;ROW($CJ79))))</f>
        <v>0</v>
      </c>
      <c r="ER79" s="44">
        <f t="array" ref="ER79">IF(ER$3&gt;'GAAP Summary'!$B$2,0,SUM(INDIRECT(XLOOKUP(ER$3,'TTM Dates'!$B:$B,'TTM Dates'!$E:$E)&amp;ROW($CJ79)&amp;":"&amp;XLOOKUP(ER$3,'TTM Dates'!$B:$B,'TTM Dates'!$C:$C)&amp;ROW($CJ79))))</f>
        <v>0</v>
      </c>
      <c r="ES79" s="44">
        <f t="array" ref="ES79">IF(ES$3&gt;'GAAP Summary'!$B$2,0,SUM(INDIRECT(XLOOKUP(ES$3,'TTM Dates'!$B:$B,'TTM Dates'!$E:$E)&amp;ROW($CJ79)&amp;":"&amp;XLOOKUP(ES$3,'TTM Dates'!$B:$B,'TTM Dates'!$C:$C)&amp;ROW($CJ79))))</f>
        <v>0</v>
      </c>
      <c r="ET79" s="44">
        <f t="array" ref="ET79">IF(ET$3&gt;'GAAP Summary'!$B$2,0,SUM(INDIRECT(XLOOKUP(ET$3,'TTM Dates'!$B:$B,'TTM Dates'!$E:$E)&amp;ROW($CJ79)&amp;":"&amp;XLOOKUP(ET$3,'TTM Dates'!$B:$B,'TTM Dates'!$C:$C)&amp;ROW($CJ79))))</f>
        <v>0</v>
      </c>
      <c r="EU79" s="44">
        <f t="array" ref="EU79">IF(EU$3&gt;'GAAP Summary'!$B$2,0,SUM(INDIRECT(XLOOKUP(EU$3,'TTM Dates'!$B:$B,'TTM Dates'!$E:$E)&amp;ROW($CJ79)&amp;":"&amp;XLOOKUP(EU$3,'TTM Dates'!$B:$B,'TTM Dates'!$C:$C)&amp;ROW($CJ79))))</f>
        <v>0</v>
      </c>
      <c r="EV79" s="44">
        <f t="array" ref="EV79">IF(EV$3&gt;'GAAP Summary'!$B$2,0,SUM(INDIRECT(XLOOKUP(EV$3,'TTM Dates'!$B:$B,'TTM Dates'!$E:$E)&amp;ROW($CJ79)&amp;":"&amp;XLOOKUP(EV$3,'TTM Dates'!$B:$B,'TTM Dates'!$C:$C)&amp;ROW($CJ79))))</f>
        <v>0</v>
      </c>
      <c r="EW79" s="44">
        <f t="array" ref="EW79">IF(EW$3&gt;'GAAP Summary'!$B$2,0,SUM(INDIRECT(XLOOKUP(EW$3,'TTM Dates'!$B:$B,'TTM Dates'!$E:$E)&amp;ROW($CJ79)&amp;":"&amp;XLOOKUP(EW$3,'TTM Dates'!$B:$B,'TTM Dates'!$C:$C)&amp;ROW($CJ79))))</f>
        <v>0</v>
      </c>
      <c r="EX79" s="44">
        <f t="array" ref="EX79">IF(EX$3&gt;'GAAP Summary'!$B$2,0,SUM(INDIRECT(XLOOKUP(EX$3,'TTM Dates'!$B:$B,'TTM Dates'!$E:$E)&amp;ROW($CJ79)&amp;":"&amp;XLOOKUP(EX$3,'TTM Dates'!$B:$B,'TTM Dates'!$C:$C)&amp;ROW($CJ79))))</f>
        <v>0</v>
      </c>
      <c r="EY79" s="44">
        <f t="array" ref="EY79">IF(EY$3&gt;'GAAP Summary'!$B$2,0,SUM(INDIRECT(XLOOKUP(EY$3,'TTM Dates'!$B:$B,'TTM Dates'!$E:$E)&amp;ROW($CJ79)&amp;":"&amp;XLOOKUP(EY$3,'TTM Dates'!$B:$B,'TTM Dates'!$C:$C)&amp;ROW($CJ79))))</f>
        <v>0</v>
      </c>
      <c r="EZ79" s="44">
        <f t="array" ref="EZ79">IF(EZ$3&gt;'GAAP Summary'!$B$2,0,SUM(INDIRECT(XLOOKUP(EZ$3,'TTM Dates'!$B:$B,'TTM Dates'!$E:$E)&amp;ROW($CJ79)&amp;":"&amp;XLOOKUP(EZ$3,'TTM Dates'!$B:$B,'TTM Dates'!$C:$C)&amp;ROW($CJ79))))</f>
        <v>0</v>
      </c>
      <c r="FA79" s="44">
        <f t="array" ref="FA79">IF(FA$3&gt;'GAAP Summary'!$B$2,0,SUM(INDIRECT(XLOOKUP(FA$3,'TTM Dates'!$B:$B,'TTM Dates'!$E:$E)&amp;ROW($CJ79)&amp;":"&amp;XLOOKUP(FA$3,'TTM Dates'!$B:$B,'TTM Dates'!$C:$C)&amp;ROW($CJ79))))</f>
        <v>0</v>
      </c>
      <c r="FB79" s="44">
        <f t="array" ref="FB79">IF(FB$3&gt;'GAAP Summary'!$B$2,0,SUM(INDIRECT(XLOOKUP(FB$3,'TTM Dates'!$B:$B,'TTM Dates'!$E:$E)&amp;ROW($CJ79)&amp;":"&amp;XLOOKUP(FB$3,'TTM Dates'!$B:$B,'TTM Dates'!$C:$C)&amp;ROW($CJ79))))</f>
        <v>0</v>
      </c>
      <c r="FC79" s="44">
        <f t="array" ref="FC79">IF(FC$3&gt;'GAAP Summary'!$B$2,0,SUM(INDIRECT(XLOOKUP(FC$3,'TTM Dates'!$B:$B,'TTM Dates'!$E:$E)&amp;ROW($CJ79)&amp;":"&amp;XLOOKUP(FC$3,'TTM Dates'!$B:$B,'TTM Dates'!$C:$C)&amp;ROW($CJ79))))</f>
        <v>0</v>
      </c>
      <c r="FD79" s="44">
        <f t="array" ref="FD79">IF(FD$3&gt;'GAAP Summary'!$B$2,0,SUM(INDIRECT(XLOOKUP(FD$3,'TTM Dates'!$B:$B,'TTM Dates'!$E:$E)&amp;ROW($CJ79)&amp;":"&amp;XLOOKUP(FD$3,'TTM Dates'!$B:$B,'TTM Dates'!$C:$C)&amp;ROW($CJ79))))</f>
        <v>0</v>
      </c>
      <c r="FE79" s="44">
        <f t="array" ref="FE79">IF(FE$3&gt;'GAAP Summary'!$B$2,0,SUM(INDIRECT(XLOOKUP(FE$3,'TTM Dates'!$B:$B,'TTM Dates'!$E:$E)&amp;ROW($CJ79)&amp;":"&amp;XLOOKUP(FE$3,'TTM Dates'!$B:$B,'TTM Dates'!$C:$C)&amp;ROW($CJ79))))</f>
        <v>0</v>
      </c>
      <c r="FF79" s="44">
        <f t="array" ref="FF79">IF(FF$3&gt;'GAAP Summary'!$B$2,0,SUM(INDIRECT(XLOOKUP(FF$3,'TTM Dates'!$B:$B,'TTM Dates'!$E:$E)&amp;ROW($CJ79)&amp;":"&amp;XLOOKUP(FF$3,'TTM Dates'!$B:$B,'TTM Dates'!$C:$C)&amp;ROW($CJ79))))</f>
        <v>0</v>
      </c>
      <c r="FG79" s="44">
        <f t="array" ref="FG79">IF(FG$3&gt;'GAAP Summary'!$B$2,0,SUM(INDIRECT(XLOOKUP(FG$3,'TTM Dates'!$B:$B,'TTM Dates'!$E:$E)&amp;ROW($CJ79)&amp;":"&amp;XLOOKUP(FG$3,'TTM Dates'!$B:$B,'TTM Dates'!$C:$C)&amp;ROW($CJ79))))</f>
        <v>0</v>
      </c>
      <c r="FH79" s="44">
        <f t="array" ref="FH79">IF(FH$3&gt;'GAAP Summary'!$B$2,0,SUM(INDIRECT(XLOOKUP(FH$3,'TTM Dates'!$B:$B,'TTM Dates'!$E:$E)&amp;ROW($CJ79)&amp;":"&amp;XLOOKUP(FH$3,'TTM Dates'!$B:$B,'TTM Dates'!$C:$C)&amp;ROW($CJ79))))</f>
        <v>0</v>
      </c>
      <c r="FI79" s="44">
        <f t="array" ref="FI79">IF(FI$3&gt;'GAAP Summary'!$B$2,0,SUM(INDIRECT(XLOOKUP(FI$3,'TTM Dates'!$B:$B,'TTM Dates'!$E:$E)&amp;ROW($CJ79)&amp;":"&amp;XLOOKUP(FI$3,'TTM Dates'!$B:$B,'TTM Dates'!$C:$C)&amp;ROW($CJ79))))</f>
        <v>0</v>
      </c>
      <c r="FJ79" s="44">
        <f t="array" ref="FJ79">IF(FJ$3&gt;'GAAP Summary'!$B$2,0,SUM(INDIRECT(XLOOKUP(FJ$3,'TTM Dates'!$B:$B,'TTM Dates'!$E:$E)&amp;ROW($CJ79)&amp;":"&amp;XLOOKUP(FJ$3,'TTM Dates'!$B:$B,'TTM Dates'!$C:$C)&amp;ROW($CJ79))))</f>
        <v>0</v>
      </c>
      <c r="FK79" s="44">
        <f t="array" ref="FK79">IF(FK$3&gt;'GAAP Summary'!$B$2,0,SUM(INDIRECT(XLOOKUP(FK$3,'TTM Dates'!$B:$B,'TTM Dates'!$E:$E)&amp;ROW($CJ79)&amp;":"&amp;XLOOKUP(FK$3,'TTM Dates'!$B:$B,'TTM Dates'!$C:$C)&amp;ROW($CJ79))))</f>
        <v>0</v>
      </c>
      <c r="FL79" s="44">
        <f t="array" ref="FL79">IF(FL$3&gt;'GAAP Summary'!$B$2,0,SUM(INDIRECT(XLOOKUP(FL$3,'TTM Dates'!$B:$B,'TTM Dates'!$E:$E)&amp;ROW($CJ79)&amp;":"&amp;XLOOKUP(FL$3,'TTM Dates'!$B:$B,'TTM Dates'!$C:$C)&amp;ROW($CJ79))))</f>
        <v>0</v>
      </c>
      <c r="FM79" s="44">
        <f t="array" ref="FM79">IF(FM$3&gt;'GAAP Summary'!$B$2,0,SUM(INDIRECT(XLOOKUP(FM$3,'TTM Dates'!$B:$B,'TTM Dates'!$E:$E)&amp;ROW($CJ79)&amp;":"&amp;XLOOKUP(FM$3,'TTM Dates'!$B:$B,'TTM Dates'!$C:$C)&amp;ROW($CJ79))))</f>
        <v>0</v>
      </c>
      <c r="FN79" s="44">
        <f t="array" ref="FN79">IF(FN$3&gt;'GAAP Summary'!$B$2,0,SUM(INDIRECT(XLOOKUP(FN$3,'TTM Dates'!$B:$B,'TTM Dates'!$E:$E)&amp;ROW($CJ79)&amp;":"&amp;XLOOKUP(FN$3,'TTM Dates'!$B:$B,'TTM Dates'!$C:$C)&amp;ROW($CJ79))))</f>
        <v>0</v>
      </c>
      <c r="FO79" s="44">
        <f t="array" ref="FO79">IF(FO$3&gt;'GAAP Summary'!$B$2,0,SUM(INDIRECT(XLOOKUP(FO$3,'TTM Dates'!$B:$B,'TTM Dates'!$E:$E)&amp;ROW($CJ79)&amp;":"&amp;XLOOKUP(FO$3,'TTM Dates'!$B:$B,'TTM Dates'!$C:$C)&amp;ROW($CJ79))))</f>
        <v>0</v>
      </c>
      <c r="FP79" s="44">
        <f t="array" ref="FP79">IF(FP$3&gt;'GAAP Summary'!$B$2,0,SUM(INDIRECT(XLOOKUP(FP$3,'TTM Dates'!$B:$B,'TTM Dates'!$E:$E)&amp;ROW($CJ79)&amp;":"&amp;XLOOKUP(FP$3,'TTM Dates'!$B:$B,'TTM Dates'!$C:$C)&amp;ROW($CJ79))))</f>
        <v>0</v>
      </c>
      <c r="FQ79" s="44">
        <f t="array" ref="FQ79">IF(FQ$3&gt;'GAAP Summary'!$B$2,0,SUM(INDIRECT(XLOOKUP(FQ$3,'TTM Dates'!$B:$B,'TTM Dates'!$E:$E)&amp;ROW($CJ79)&amp;":"&amp;XLOOKUP(FQ$3,'TTM Dates'!$B:$B,'TTM Dates'!$C:$C)&amp;ROW($CJ79))))</f>
        <v>0</v>
      </c>
      <c r="FR79" s="44">
        <f t="array" ref="FR79">IF(FR$3&gt;'GAAP Summary'!$B$2,0,SUM(INDIRECT(XLOOKUP(FR$3,'TTM Dates'!$B:$B,'TTM Dates'!$E:$E)&amp;ROW($CJ79)&amp;":"&amp;XLOOKUP(FR$3,'TTM Dates'!$B:$B,'TTM Dates'!$C:$C)&amp;ROW($CJ79))))</f>
        <v>0</v>
      </c>
      <c r="FS79" s="44">
        <f t="array" ref="FS79">IF(FS$3&gt;'GAAP Summary'!$B$2,0,SUM(INDIRECT(XLOOKUP(FS$3,'TTM Dates'!$B:$B,'TTM Dates'!$E:$E)&amp;ROW($CJ79)&amp;":"&amp;XLOOKUP(FS$3,'TTM Dates'!$B:$B,'TTM Dates'!$C:$C)&amp;ROW($CJ79))))</f>
        <v>0</v>
      </c>
      <c r="FT79" s="44">
        <f t="array" ref="FT79">IF(FT$3&gt;'GAAP Summary'!$B$2,0,SUM(INDIRECT(XLOOKUP(FT$3,'TTM Dates'!$B:$B,'TTM Dates'!$E:$E)&amp;ROW($CJ79)&amp;":"&amp;XLOOKUP(FT$3,'TTM Dates'!$B:$B,'TTM Dates'!$C:$C)&amp;ROW($CJ79))))</f>
        <v>0</v>
      </c>
      <c r="FU79" s="44">
        <f t="array" ref="FU79">IF(FU$3&gt;'GAAP Summary'!$B$2,0,SUM(INDIRECT(XLOOKUP(FU$3,'TTM Dates'!$B:$B,'TTM Dates'!$E:$E)&amp;ROW($CJ79)&amp;":"&amp;XLOOKUP(FU$3,'TTM Dates'!$B:$B,'TTM Dates'!$C:$C)&amp;ROW($CJ79))))</f>
        <v>0</v>
      </c>
      <c r="FV79" s="44">
        <f t="array" ref="FV79">IF(FV$3&gt;'GAAP Summary'!$B$2,0,SUM(INDIRECT(XLOOKUP(FV$3,'TTM Dates'!$B:$B,'TTM Dates'!$E:$E)&amp;ROW($CJ79)&amp;":"&amp;XLOOKUP(FV$3,'TTM Dates'!$B:$B,'TTM Dates'!$C:$C)&amp;ROW($CJ79))))</f>
        <v>0</v>
      </c>
      <c r="FW79" s="44">
        <f t="array" ref="FW79">IF(FW$3&gt;'GAAP Summary'!$B$2,0,SUM(INDIRECT(XLOOKUP(FW$3,'TTM Dates'!$B:$B,'TTM Dates'!$E:$E)&amp;ROW($CJ79)&amp;":"&amp;XLOOKUP(FW$3,'TTM Dates'!$B:$B,'TTM Dates'!$C:$C)&amp;ROW($CJ79))))</f>
        <v>0</v>
      </c>
      <c r="FX79" s="44">
        <f t="array" ref="FX79">IF(FX$3&gt;'GAAP Summary'!$B$2,0,SUM(INDIRECT(XLOOKUP(FX$3,'TTM Dates'!$B:$B,'TTM Dates'!$E:$E)&amp;ROW($CJ79)&amp;":"&amp;XLOOKUP(FX$3,'TTM Dates'!$B:$B,'TTM Dates'!$C:$C)&amp;ROW($CJ79))))</f>
        <v>0</v>
      </c>
      <c r="FY79" s="44">
        <f t="array" ref="FY79">IF(FY$3&gt;'GAAP Summary'!$B$2,0,SUM(INDIRECT(XLOOKUP(FY$3,'TTM Dates'!$B:$B,'TTM Dates'!$E:$E)&amp;ROW($CJ79)&amp;":"&amp;XLOOKUP(FY$3,'TTM Dates'!$B:$B,'TTM Dates'!$C:$C)&amp;ROW($CJ79))))</f>
        <v>0</v>
      </c>
      <c r="FZ79" s="44">
        <f t="array" ref="FZ79">IF(FZ$3&gt;'GAAP Summary'!$B$2,0,SUM(INDIRECT(XLOOKUP(FZ$3,'TTM Dates'!$B:$B,'TTM Dates'!$E:$E)&amp;ROW($CJ79)&amp;":"&amp;XLOOKUP(FZ$3,'TTM Dates'!$B:$B,'TTM Dates'!$C:$C)&amp;ROW($CJ79))))</f>
        <v>0</v>
      </c>
      <c r="GA79" s="44">
        <f t="array" ref="GA79">IF(GA$3&gt;'GAAP Summary'!$B$2,0,SUM(INDIRECT(XLOOKUP(GA$3,'TTM Dates'!$B:$B,'TTM Dates'!$E:$E)&amp;ROW($CJ79)&amp;":"&amp;XLOOKUP(GA$3,'TTM Dates'!$B:$B,'TTM Dates'!$C:$C)&amp;ROW($CJ79))))</f>
        <v>0</v>
      </c>
      <c r="GB79" s="44">
        <f t="array" ref="GB79">IF(GB$3&gt;'GAAP Summary'!$B$2,0,SUM(INDIRECT(XLOOKUP(GB$3,'TTM Dates'!$B:$B,'TTM Dates'!$E:$E)&amp;ROW($CJ79)&amp;":"&amp;XLOOKUP(GB$3,'TTM Dates'!$B:$B,'TTM Dates'!$C:$C)&amp;ROW($CJ79))))</f>
        <v>0</v>
      </c>
      <c r="GC79" s="44">
        <f t="array" ref="GC79">IF(GC$3&gt;'GAAP Summary'!$B$2,0,SUM(INDIRECT(XLOOKUP(GC$3,'TTM Dates'!$B:$B,'TTM Dates'!$E:$E)&amp;ROW($CJ79)&amp;":"&amp;XLOOKUP(GC$3,'TTM Dates'!$B:$B,'TTM Dates'!$C:$C)&amp;ROW($CJ79))))</f>
        <v>0</v>
      </c>
      <c r="GD79" s="44">
        <f t="array" ref="GD79">IF(GD$3&gt;'GAAP Summary'!$B$2,0,SUM(INDIRECT(XLOOKUP(GD$3,'TTM Dates'!$B:$B,'TTM Dates'!$E:$E)&amp;ROW($CJ79)&amp;":"&amp;XLOOKUP(GD$3,'TTM Dates'!$B:$B,'TTM Dates'!$C:$C)&amp;ROW($CJ79))))</f>
        <v>0</v>
      </c>
      <c r="GE79" s="44">
        <f t="array" ref="GE79">IF(GE$3&gt;'GAAP Summary'!$B$2,0,SUM(INDIRECT(XLOOKUP(GE$3,'TTM Dates'!$B:$B,'TTM Dates'!$E:$E)&amp;ROW($CJ79)&amp;":"&amp;XLOOKUP(GE$3,'TTM Dates'!$B:$B,'TTM Dates'!$C:$C)&amp;ROW($CJ79))))</f>
        <v>0</v>
      </c>
      <c r="GF79" s="44">
        <f t="array" ref="GF79">IF(GF$3&gt;'GAAP Summary'!$B$2,0,SUM(INDIRECT(XLOOKUP(GF$3,'TTM Dates'!$B:$B,'TTM Dates'!$E:$E)&amp;ROW($CJ79)&amp;":"&amp;XLOOKUP(GF$3,'TTM Dates'!$B:$B,'TTM Dates'!$C:$C)&amp;ROW($CJ79))))</f>
        <v>0</v>
      </c>
      <c r="GG79" s="44">
        <f t="array" ref="GG79">IF(GG$3&gt;'GAAP Summary'!$B$2,0,SUM(INDIRECT(XLOOKUP(GG$3,'TTM Dates'!$B:$B,'TTM Dates'!$E:$E)&amp;ROW($CJ79)&amp;":"&amp;XLOOKUP(GG$3,'TTM Dates'!$B:$B,'TTM Dates'!$C:$C)&amp;ROW($CJ79))))</f>
        <v>0</v>
      </c>
      <c r="GH79" s="44">
        <f t="array" ref="GH79">IF(GH$3&gt;'GAAP Summary'!$B$2,0,SUM(INDIRECT(XLOOKUP(GH$3,'TTM Dates'!$B:$B,'TTM Dates'!$E:$E)&amp;ROW($CJ79)&amp;":"&amp;XLOOKUP(GH$3,'TTM Dates'!$B:$B,'TTM Dates'!$C:$C)&amp;ROW($CJ79))))</f>
        <v>0</v>
      </c>
      <c r="GI79" s="44">
        <f t="array" ref="GI79">IF(GI$3&gt;'GAAP Summary'!$B$2,0,SUM(INDIRECT(XLOOKUP(GI$3,'TTM Dates'!$B:$B,'TTM Dates'!$E:$E)&amp;ROW($CJ79)&amp;":"&amp;XLOOKUP(GI$3,'TTM Dates'!$B:$B,'TTM Dates'!$C:$C)&amp;ROW($CJ79))))</f>
        <v>0</v>
      </c>
      <c r="GJ79" s="44">
        <f t="array" ref="GJ79">IF(GJ$3&gt;'GAAP Summary'!$B$2,0,SUM(INDIRECT(XLOOKUP(GJ$3,'TTM Dates'!$B:$B,'TTM Dates'!$E:$E)&amp;ROW($CJ79)&amp;":"&amp;XLOOKUP(GJ$3,'TTM Dates'!$B:$B,'TTM Dates'!$C:$C)&amp;ROW($CJ79))))</f>
        <v>0</v>
      </c>
      <c r="GK79" s="44">
        <f t="array" ref="GK79">IF(GK$3&gt;'GAAP Summary'!$B$2,0,SUM(INDIRECT(XLOOKUP(GK$3,'TTM Dates'!$B:$B,'TTM Dates'!$E:$E)&amp;ROW($CJ79)&amp;":"&amp;XLOOKUP(GK$3,'TTM Dates'!$B:$B,'TTM Dates'!$C:$C)&amp;ROW($CJ79))))</f>
        <v>0</v>
      </c>
      <c r="GL79" s="44">
        <f t="array" ref="GL79">IF(GL$3&gt;'GAAP Summary'!$B$2,0,SUM(INDIRECT(XLOOKUP(GL$3,'TTM Dates'!$B:$B,'TTM Dates'!$E:$E)&amp;ROW($CJ79)&amp;":"&amp;XLOOKUP(GL$3,'TTM Dates'!$B:$B,'TTM Dates'!$C:$C)&amp;ROW($CJ79))))</f>
        <v>0</v>
      </c>
      <c r="GM79" s="44"/>
    </row>
    <row r="80" outlineLevel="1">
      <c r="B80" s="135" t="s">
        <v>508</v>
      </c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202"/>
      <c r="AN80" s="366"/>
      <c r="AO80" s="366"/>
      <c r="AP80" s="366"/>
      <c r="AQ80" s="366"/>
      <c r="AR80" s="366"/>
      <c r="AS80" s="366"/>
      <c r="AT80" s="202"/>
      <c r="AU80" s="202"/>
      <c r="AV80" s="202"/>
      <c r="AW80" s="202"/>
      <c r="AX80" s="337"/>
      <c r="AY80" s="337"/>
      <c r="AZ80" s="337"/>
      <c r="BA80" s="337"/>
      <c r="BB80" s="337"/>
      <c r="BC80" s="337"/>
      <c r="BD80" s="337"/>
      <c r="BE80" s="337"/>
      <c r="BF80" s="337"/>
      <c r="BG80" s="337"/>
      <c r="BH80" s="337"/>
      <c r="BI80" s="337"/>
      <c r="BJ80" s="337"/>
      <c r="BK80" s="337"/>
      <c r="BL80" s="337"/>
      <c r="BM80" s="337"/>
      <c r="BN80" s="337"/>
      <c r="BO80" s="337"/>
      <c r="BP80" s="337"/>
      <c r="BQ80" s="337"/>
      <c r="BR80" s="337"/>
      <c r="BS80" s="337"/>
      <c r="BT80" s="337"/>
      <c r="BU80" s="337"/>
      <c r="BV80" s="337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33"/>
      <c r="CJ80" s="33"/>
      <c r="CK80" s="303">
        <f t="array" ref="CK80">SUM(INDIRECT(XLOOKUP('GAAP Summary'!$B$2,'TTM Dates'!$B:$B,'TTM Dates'!$E:$E)&amp;ROW($CJ80)&amp;":"&amp;XLOOKUP('GAAP Summary'!$B$2,'TTM Dates'!$B:$B,'TTM Dates'!$C:$C)&amp;ROW($CJ80)))</f>
        <v>0</v>
      </c>
      <c r="CL80" s="351"/>
      <c r="CM80" s="366">
        <f t="shared" si="144"/>
        <v>0</v>
      </c>
      <c r="CN80" s="366">
        <f t="shared" si="145"/>
        <v>0</v>
      </c>
      <c r="CO80" s="366">
        <f t="shared" si="146"/>
        <v>0</v>
      </c>
      <c r="CP80" s="366">
        <f t="shared" si="147"/>
        <v>0</v>
      </c>
      <c r="CQ80" s="454">
        <f t="shared" si="148"/>
        <v>0</v>
      </c>
      <c r="CR80" s="366"/>
      <c r="CS80" s="366">
        <f t="shared" si="149"/>
        <v>0</v>
      </c>
      <c r="CT80" s="366">
        <f t="shared" si="150"/>
        <v>0</v>
      </c>
      <c r="CU80" s="366">
        <f t="shared" si="151"/>
        <v>0</v>
      </c>
      <c r="CV80" s="366">
        <f t="shared" si="152"/>
        <v>0</v>
      </c>
      <c r="CW80" s="367">
        <f t="shared" si="153"/>
        <v>0</v>
      </c>
      <c r="CX80" s="351"/>
      <c r="CY80" s="366">
        <f t="shared" si="154"/>
        <v>0</v>
      </c>
      <c r="CZ80" s="366">
        <f t="shared" si="155"/>
        <v>0</v>
      </c>
      <c r="DA80" s="366">
        <f t="shared" si="156"/>
        <v>0</v>
      </c>
      <c r="DB80" s="366">
        <f t="shared" si="157"/>
        <v>0</v>
      </c>
      <c r="DC80" s="367">
        <f t="shared" si="158"/>
        <v>0</v>
      </c>
      <c r="DD80" s="366"/>
      <c r="DE80" s="366">
        <f t="shared" si="159"/>
        <v>0</v>
      </c>
      <c r="DF80" s="366">
        <f t="shared" si="160"/>
        <v>0</v>
      </c>
      <c r="DG80" s="366">
        <f t="shared" si="161"/>
        <v>0</v>
      </c>
      <c r="DH80" s="366">
        <f t="shared" si="162"/>
        <v>0</v>
      </c>
      <c r="DI80" s="367">
        <f t="shared" si="163"/>
        <v>0</v>
      </c>
      <c r="DJ80" s="366"/>
      <c r="DK80" s="366"/>
      <c r="DL80" s="366"/>
      <c r="DM80" s="366"/>
      <c r="DN80" s="366"/>
      <c r="DO80" s="367"/>
      <c r="DP80" s="366"/>
      <c r="DQ80" s="367"/>
      <c r="DR80" s="44"/>
      <c r="DS80" s="44">
        <f t="array" ref="DS80">IF(DS$3&gt;'GAAP Summary'!$B$2,0,SUM(INDIRECT(XLOOKUP(DS$3,'TTM Dates'!$B:$B,'TTM Dates'!$E:$E)&amp;ROW($CJ80)&amp;":"&amp;XLOOKUP(DS$3,'TTM Dates'!$B:$B,'TTM Dates'!$C:$C)&amp;ROW($CJ80))))</f>
        <v>0</v>
      </c>
      <c r="DT80" s="44">
        <f t="array" ref="DT80">IF(DT$3&gt;'GAAP Summary'!$B$2,0,SUM(INDIRECT(XLOOKUP(DT$3,'TTM Dates'!$B:$B,'TTM Dates'!$E:$E)&amp;ROW($CJ80)&amp;":"&amp;XLOOKUP(DT$3,'TTM Dates'!$B:$B,'TTM Dates'!$C:$C)&amp;ROW($CJ80))))</f>
        <v>0</v>
      </c>
      <c r="DU80" s="44">
        <f t="array" ref="DU80">IF(DU$3&gt;'GAAP Summary'!$B$2,0,SUM(INDIRECT(XLOOKUP(DU$3,'TTM Dates'!$B:$B,'TTM Dates'!$E:$E)&amp;ROW($CJ80)&amp;":"&amp;XLOOKUP(DU$3,'TTM Dates'!$B:$B,'TTM Dates'!$C:$C)&amp;ROW($CJ80))))</f>
        <v>0</v>
      </c>
      <c r="DV80" s="44">
        <f t="array" ref="DV80">IF(DV$3&gt;'GAAP Summary'!$B$2,0,SUM(INDIRECT(XLOOKUP(DV$3,'TTM Dates'!$B:$B,'TTM Dates'!$E:$E)&amp;ROW($CJ80)&amp;":"&amp;XLOOKUP(DV$3,'TTM Dates'!$B:$B,'TTM Dates'!$C:$C)&amp;ROW($CJ80))))</f>
        <v>0</v>
      </c>
      <c r="DW80" s="44">
        <f t="array" ref="DW80">IF(DW$3&gt;'GAAP Summary'!$B$2,0,SUM(INDIRECT(XLOOKUP(DW$3,'TTM Dates'!$B:$B,'TTM Dates'!$E:$E)&amp;ROW($CJ80)&amp;":"&amp;XLOOKUP(DW$3,'TTM Dates'!$B:$B,'TTM Dates'!$C:$C)&amp;ROW($CJ80))))</f>
        <v>0</v>
      </c>
      <c r="DX80" s="44">
        <f t="array" ref="DX80">IF(DX$3&gt;'GAAP Summary'!$B$2,0,SUM(INDIRECT(XLOOKUP(DX$3,'TTM Dates'!$B:$B,'TTM Dates'!$E:$E)&amp;ROW($CJ80)&amp;":"&amp;XLOOKUP(DX$3,'TTM Dates'!$B:$B,'TTM Dates'!$C:$C)&amp;ROW($CJ80))))</f>
        <v>0</v>
      </c>
      <c r="DY80" s="44">
        <f t="array" ref="DY80">IF(DY$3&gt;'GAAP Summary'!$B$2,0,SUM(INDIRECT(XLOOKUP(DY$3,'TTM Dates'!$B:$B,'TTM Dates'!$E:$E)&amp;ROW($CJ80)&amp;":"&amp;XLOOKUP(DY$3,'TTM Dates'!$B:$B,'TTM Dates'!$C:$C)&amp;ROW($CJ80))))</f>
        <v>0</v>
      </c>
      <c r="DZ80" s="44">
        <f t="array" ref="DZ80">IF(DZ$3&gt;'GAAP Summary'!$B$2,0,SUM(INDIRECT(XLOOKUP(DZ$3,'TTM Dates'!$B:$B,'TTM Dates'!$E:$E)&amp;ROW($CJ80)&amp;":"&amp;XLOOKUP(DZ$3,'TTM Dates'!$B:$B,'TTM Dates'!$C:$C)&amp;ROW($CJ80))))</f>
        <v>0</v>
      </c>
      <c r="EA80" s="44">
        <f t="array" ref="EA80">IF(EA$3&gt;'GAAP Summary'!$B$2,0,SUM(INDIRECT(XLOOKUP(EA$3,'TTM Dates'!$B:$B,'TTM Dates'!$E:$E)&amp;ROW($CJ80)&amp;":"&amp;XLOOKUP(EA$3,'TTM Dates'!$B:$B,'TTM Dates'!$C:$C)&amp;ROW($CJ80))))</f>
        <v>0</v>
      </c>
      <c r="EB80" s="44">
        <f t="array" ref="EB80">IF(EB$3&gt;'GAAP Summary'!$B$2,0,SUM(INDIRECT(XLOOKUP(EB$3,'TTM Dates'!$B:$B,'TTM Dates'!$E:$E)&amp;ROW($CJ80)&amp;":"&amp;XLOOKUP(EB$3,'TTM Dates'!$B:$B,'TTM Dates'!$C:$C)&amp;ROW($CJ80))))</f>
        <v>0</v>
      </c>
      <c r="EC80" s="44">
        <f t="array" ref="EC80">IF(EC$3&gt;'GAAP Summary'!$B$2,0,SUM(INDIRECT(XLOOKUP(EC$3,'TTM Dates'!$B:$B,'TTM Dates'!$E:$E)&amp;ROW($CJ80)&amp;":"&amp;XLOOKUP(EC$3,'TTM Dates'!$B:$B,'TTM Dates'!$C:$C)&amp;ROW($CJ80))))</f>
        <v>0</v>
      </c>
      <c r="ED80" s="44">
        <f t="array" ref="ED80">IF(ED$3&gt;'GAAP Summary'!$B$2,0,SUM(INDIRECT(XLOOKUP(ED$3,'TTM Dates'!$B:$B,'TTM Dates'!$E:$E)&amp;ROW($CJ80)&amp;":"&amp;XLOOKUP(ED$3,'TTM Dates'!$B:$B,'TTM Dates'!$C:$C)&amp;ROW($CJ80))))</f>
        <v>0</v>
      </c>
      <c r="EE80" s="44">
        <f t="array" ref="EE80">IF(EE$3&gt;'GAAP Summary'!$B$2,0,SUM(INDIRECT(XLOOKUP(EE$3,'TTM Dates'!$B:$B,'TTM Dates'!$E:$E)&amp;ROW($CJ80)&amp;":"&amp;XLOOKUP(EE$3,'TTM Dates'!$B:$B,'TTM Dates'!$C:$C)&amp;ROW($CJ80))))</f>
        <v>0</v>
      </c>
      <c r="EF80" s="44">
        <f t="array" ref="EF80">IF(EF$3&gt;'GAAP Summary'!$B$2,0,SUM(INDIRECT(XLOOKUP(EF$3,'TTM Dates'!$B:$B,'TTM Dates'!$E:$E)&amp;ROW($CJ80)&amp;":"&amp;XLOOKUP(EF$3,'TTM Dates'!$B:$B,'TTM Dates'!$C:$C)&amp;ROW($CJ80))))</f>
        <v>0</v>
      </c>
      <c r="EG80" s="44">
        <f t="array" ref="EG80">IF(EG$3&gt;'GAAP Summary'!$B$2,0,SUM(INDIRECT(XLOOKUP(EG$3,'TTM Dates'!$B:$B,'TTM Dates'!$E:$E)&amp;ROW($CJ80)&amp;":"&amp;XLOOKUP(EG$3,'TTM Dates'!$B:$B,'TTM Dates'!$C:$C)&amp;ROW($CJ80))))</f>
        <v>0</v>
      </c>
      <c r="EH80" s="44">
        <f t="array" ref="EH80">IF(EH$3&gt;'GAAP Summary'!$B$2,0,SUM(INDIRECT(XLOOKUP(EH$3,'TTM Dates'!$B:$B,'TTM Dates'!$E:$E)&amp;ROW($CJ80)&amp;":"&amp;XLOOKUP(EH$3,'TTM Dates'!$B:$B,'TTM Dates'!$C:$C)&amp;ROW($CJ80))))</f>
        <v>0</v>
      </c>
      <c r="EI80" s="44">
        <f t="array" ref="EI80">IF(EI$3&gt;'GAAP Summary'!$B$2,0,SUM(INDIRECT(XLOOKUP(EI$3,'TTM Dates'!$B:$B,'TTM Dates'!$E:$E)&amp;ROW($CJ80)&amp;":"&amp;XLOOKUP(EI$3,'TTM Dates'!$B:$B,'TTM Dates'!$C:$C)&amp;ROW($CJ80))))</f>
        <v>0</v>
      </c>
      <c r="EJ80" s="44">
        <f t="array" ref="EJ80">IF(EJ$3&gt;'GAAP Summary'!$B$2,0,SUM(INDIRECT(XLOOKUP(EJ$3,'TTM Dates'!$B:$B,'TTM Dates'!$E:$E)&amp;ROW($CJ80)&amp;":"&amp;XLOOKUP(EJ$3,'TTM Dates'!$B:$B,'TTM Dates'!$C:$C)&amp;ROW($CJ80))))</f>
        <v>0</v>
      </c>
      <c r="EK80" s="44">
        <f t="array" ref="EK80">IF(EK$3&gt;'GAAP Summary'!$B$2,0,SUM(INDIRECT(XLOOKUP(EK$3,'TTM Dates'!$B:$B,'TTM Dates'!$E:$E)&amp;ROW($CJ80)&amp;":"&amp;XLOOKUP(EK$3,'TTM Dates'!$B:$B,'TTM Dates'!$C:$C)&amp;ROW($CJ80))))</f>
        <v>0</v>
      </c>
      <c r="EL80" s="44">
        <f t="array" ref="EL80">IF(EL$3&gt;'GAAP Summary'!$B$2,0,SUM(INDIRECT(XLOOKUP(EL$3,'TTM Dates'!$B:$B,'TTM Dates'!$E:$E)&amp;ROW($CJ80)&amp;":"&amp;XLOOKUP(EL$3,'TTM Dates'!$B:$B,'TTM Dates'!$C:$C)&amp;ROW($CJ80))))</f>
        <v>0</v>
      </c>
      <c r="EM80" s="44">
        <f t="array" ref="EM80">IF(EM$3&gt;'GAAP Summary'!$B$2,0,SUM(INDIRECT(XLOOKUP(EM$3,'TTM Dates'!$B:$B,'TTM Dates'!$E:$E)&amp;ROW($CJ80)&amp;":"&amp;XLOOKUP(EM$3,'TTM Dates'!$B:$B,'TTM Dates'!$C:$C)&amp;ROW($CJ80))))</f>
        <v>0</v>
      </c>
      <c r="EN80" s="44">
        <f t="array" ref="EN80">IF(EN$3&gt;'GAAP Summary'!$B$2,0,SUM(INDIRECT(XLOOKUP(EN$3,'TTM Dates'!$B:$B,'TTM Dates'!$E:$E)&amp;ROW($CJ80)&amp;":"&amp;XLOOKUP(EN$3,'TTM Dates'!$B:$B,'TTM Dates'!$C:$C)&amp;ROW($CJ80))))</f>
        <v>0</v>
      </c>
      <c r="EO80" s="44">
        <f t="array" ref="EO80">IF(EO$3&gt;'GAAP Summary'!$B$2,0,SUM(INDIRECT(XLOOKUP(EO$3,'TTM Dates'!$B:$B,'TTM Dates'!$E:$E)&amp;ROW($CJ80)&amp;":"&amp;XLOOKUP(EO$3,'TTM Dates'!$B:$B,'TTM Dates'!$C:$C)&amp;ROW($CJ80))))</f>
        <v>0</v>
      </c>
      <c r="EP80" s="44">
        <f t="array" ref="EP80">IF(EP$3&gt;'GAAP Summary'!$B$2,0,SUM(INDIRECT(XLOOKUP(EP$3,'TTM Dates'!$B:$B,'TTM Dates'!$E:$E)&amp;ROW($CJ80)&amp;":"&amp;XLOOKUP(EP$3,'TTM Dates'!$B:$B,'TTM Dates'!$C:$C)&amp;ROW($CJ80))))</f>
        <v>0</v>
      </c>
      <c r="EQ80" s="44">
        <f t="array" ref="EQ80">IF(EQ$3&gt;'GAAP Summary'!$B$2,0,SUM(INDIRECT(XLOOKUP(EQ$3,'TTM Dates'!$B:$B,'TTM Dates'!$E:$E)&amp;ROW($CJ80)&amp;":"&amp;XLOOKUP(EQ$3,'TTM Dates'!$B:$B,'TTM Dates'!$C:$C)&amp;ROW($CJ80))))</f>
        <v>0</v>
      </c>
      <c r="ER80" s="44">
        <f t="array" ref="ER80">IF(ER$3&gt;'GAAP Summary'!$B$2,0,SUM(INDIRECT(XLOOKUP(ER$3,'TTM Dates'!$B:$B,'TTM Dates'!$E:$E)&amp;ROW($CJ80)&amp;":"&amp;XLOOKUP(ER$3,'TTM Dates'!$B:$B,'TTM Dates'!$C:$C)&amp;ROW($CJ80))))</f>
        <v>0</v>
      </c>
      <c r="ES80" s="44">
        <f t="array" ref="ES80">IF(ES$3&gt;'GAAP Summary'!$B$2,0,SUM(INDIRECT(XLOOKUP(ES$3,'TTM Dates'!$B:$B,'TTM Dates'!$E:$E)&amp;ROW($CJ80)&amp;":"&amp;XLOOKUP(ES$3,'TTM Dates'!$B:$B,'TTM Dates'!$C:$C)&amp;ROW($CJ80))))</f>
        <v>0</v>
      </c>
      <c r="ET80" s="44">
        <f t="array" ref="ET80">IF(ET$3&gt;'GAAP Summary'!$B$2,0,SUM(INDIRECT(XLOOKUP(ET$3,'TTM Dates'!$B:$B,'TTM Dates'!$E:$E)&amp;ROW($CJ80)&amp;":"&amp;XLOOKUP(ET$3,'TTM Dates'!$B:$B,'TTM Dates'!$C:$C)&amp;ROW($CJ80))))</f>
        <v>0</v>
      </c>
      <c r="EU80" s="44">
        <f t="array" ref="EU80">IF(EU$3&gt;'GAAP Summary'!$B$2,0,SUM(INDIRECT(XLOOKUP(EU$3,'TTM Dates'!$B:$B,'TTM Dates'!$E:$E)&amp;ROW($CJ80)&amp;":"&amp;XLOOKUP(EU$3,'TTM Dates'!$B:$B,'TTM Dates'!$C:$C)&amp;ROW($CJ80))))</f>
        <v>0</v>
      </c>
      <c r="EV80" s="44">
        <f t="array" ref="EV80">IF(EV$3&gt;'GAAP Summary'!$B$2,0,SUM(INDIRECT(XLOOKUP(EV$3,'TTM Dates'!$B:$B,'TTM Dates'!$E:$E)&amp;ROW($CJ80)&amp;":"&amp;XLOOKUP(EV$3,'TTM Dates'!$B:$B,'TTM Dates'!$C:$C)&amp;ROW($CJ80))))</f>
        <v>0</v>
      </c>
      <c r="EW80" s="44">
        <f t="array" ref="EW80">IF(EW$3&gt;'GAAP Summary'!$B$2,0,SUM(INDIRECT(XLOOKUP(EW$3,'TTM Dates'!$B:$B,'TTM Dates'!$E:$E)&amp;ROW($CJ80)&amp;":"&amp;XLOOKUP(EW$3,'TTM Dates'!$B:$B,'TTM Dates'!$C:$C)&amp;ROW($CJ80))))</f>
        <v>0</v>
      </c>
      <c r="EX80" s="44">
        <f t="array" ref="EX80">IF(EX$3&gt;'GAAP Summary'!$B$2,0,SUM(INDIRECT(XLOOKUP(EX$3,'TTM Dates'!$B:$B,'TTM Dates'!$E:$E)&amp;ROW($CJ80)&amp;":"&amp;XLOOKUP(EX$3,'TTM Dates'!$B:$B,'TTM Dates'!$C:$C)&amp;ROW($CJ80))))</f>
        <v>0</v>
      </c>
      <c r="EY80" s="44">
        <f t="array" ref="EY80">IF(EY$3&gt;'GAAP Summary'!$B$2,0,SUM(INDIRECT(XLOOKUP(EY$3,'TTM Dates'!$B:$B,'TTM Dates'!$E:$E)&amp;ROW($CJ80)&amp;":"&amp;XLOOKUP(EY$3,'TTM Dates'!$B:$B,'TTM Dates'!$C:$C)&amp;ROW($CJ80))))</f>
        <v>0</v>
      </c>
      <c r="EZ80" s="44">
        <f t="array" ref="EZ80">IF(EZ$3&gt;'GAAP Summary'!$B$2,0,SUM(INDIRECT(XLOOKUP(EZ$3,'TTM Dates'!$B:$B,'TTM Dates'!$E:$E)&amp;ROW($CJ80)&amp;":"&amp;XLOOKUP(EZ$3,'TTM Dates'!$B:$B,'TTM Dates'!$C:$C)&amp;ROW($CJ80))))</f>
        <v>0</v>
      </c>
      <c r="FA80" s="44">
        <f t="array" ref="FA80">IF(FA$3&gt;'GAAP Summary'!$B$2,0,SUM(INDIRECT(XLOOKUP(FA$3,'TTM Dates'!$B:$B,'TTM Dates'!$E:$E)&amp;ROW($CJ80)&amp;":"&amp;XLOOKUP(FA$3,'TTM Dates'!$B:$B,'TTM Dates'!$C:$C)&amp;ROW($CJ80))))</f>
        <v>0</v>
      </c>
      <c r="FB80" s="44">
        <f t="array" ref="FB80">IF(FB$3&gt;'GAAP Summary'!$B$2,0,SUM(INDIRECT(XLOOKUP(FB$3,'TTM Dates'!$B:$B,'TTM Dates'!$E:$E)&amp;ROW($CJ80)&amp;":"&amp;XLOOKUP(FB$3,'TTM Dates'!$B:$B,'TTM Dates'!$C:$C)&amp;ROW($CJ80))))</f>
        <v>0</v>
      </c>
      <c r="FC80" s="44">
        <f t="array" ref="FC80">IF(FC$3&gt;'GAAP Summary'!$B$2,0,SUM(INDIRECT(XLOOKUP(FC$3,'TTM Dates'!$B:$B,'TTM Dates'!$E:$E)&amp;ROW($CJ80)&amp;":"&amp;XLOOKUP(FC$3,'TTM Dates'!$B:$B,'TTM Dates'!$C:$C)&amp;ROW($CJ80))))</f>
        <v>0</v>
      </c>
      <c r="FD80" s="44">
        <f t="array" ref="FD80">IF(FD$3&gt;'GAAP Summary'!$B$2,0,SUM(INDIRECT(XLOOKUP(FD$3,'TTM Dates'!$B:$B,'TTM Dates'!$E:$E)&amp;ROW($CJ80)&amp;":"&amp;XLOOKUP(FD$3,'TTM Dates'!$B:$B,'TTM Dates'!$C:$C)&amp;ROW($CJ80))))</f>
        <v>0</v>
      </c>
      <c r="FE80" s="44">
        <f t="array" ref="FE80">IF(FE$3&gt;'GAAP Summary'!$B$2,0,SUM(INDIRECT(XLOOKUP(FE$3,'TTM Dates'!$B:$B,'TTM Dates'!$E:$E)&amp;ROW($CJ80)&amp;":"&amp;XLOOKUP(FE$3,'TTM Dates'!$B:$B,'TTM Dates'!$C:$C)&amp;ROW($CJ80))))</f>
        <v>0</v>
      </c>
      <c r="FF80" s="44">
        <f t="array" ref="FF80">IF(FF$3&gt;'GAAP Summary'!$B$2,0,SUM(INDIRECT(XLOOKUP(FF$3,'TTM Dates'!$B:$B,'TTM Dates'!$E:$E)&amp;ROW($CJ80)&amp;":"&amp;XLOOKUP(FF$3,'TTM Dates'!$B:$B,'TTM Dates'!$C:$C)&amp;ROW($CJ80))))</f>
        <v>0</v>
      </c>
      <c r="FG80" s="44">
        <f t="array" ref="FG80">IF(FG$3&gt;'GAAP Summary'!$B$2,0,SUM(INDIRECT(XLOOKUP(FG$3,'TTM Dates'!$B:$B,'TTM Dates'!$E:$E)&amp;ROW($CJ80)&amp;":"&amp;XLOOKUP(FG$3,'TTM Dates'!$B:$B,'TTM Dates'!$C:$C)&amp;ROW($CJ80))))</f>
        <v>0</v>
      </c>
      <c r="FH80" s="44">
        <f t="array" ref="FH80">IF(FH$3&gt;'GAAP Summary'!$B$2,0,SUM(INDIRECT(XLOOKUP(FH$3,'TTM Dates'!$B:$B,'TTM Dates'!$E:$E)&amp;ROW($CJ80)&amp;":"&amp;XLOOKUP(FH$3,'TTM Dates'!$B:$B,'TTM Dates'!$C:$C)&amp;ROW($CJ80))))</f>
        <v>0</v>
      </c>
      <c r="FI80" s="44">
        <f t="array" ref="FI80">IF(FI$3&gt;'GAAP Summary'!$B$2,0,SUM(INDIRECT(XLOOKUP(FI$3,'TTM Dates'!$B:$B,'TTM Dates'!$E:$E)&amp;ROW($CJ80)&amp;":"&amp;XLOOKUP(FI$3,'TTM Dates'!$B:$B,'TTM Dates'!$C:$C)&amp;ROW($CJ80))))</f>
        <v>0</v>
      </c>
      <c r="FJ80" s="44">
        <f t="array" ref="FJ80">IF(FJ$3&gt;'GAAP Summary'!$B$2,0,SUM(INDIRECT(XLOOKUP(FJ$3,'TTM Dates'!$B:$B,'TTM Dates'!$E:$E)&amp;ROW($CJ80)&amp;":"&amp;XLOOKUP(FJ$3,'TTM Dates'!$B:$B,'TTM Dates'!$C:$C)&amp;ROW($CJ80))))</f>
        <v>0</v>
      </c>
      <c r="FK80" s="44">
        <f t="array" ref="FK80">IF(FK$3&gt;'GAAP Summary'!$B$2,0,SUM(INDIRECT(XLOOKUP(FK$3,'TTM Dates'!$B:$B,'TTM Dates'!$E:$E)&amp;ROW($CJ80)&amp;":"&amp;XLOOKUP(FK$3,'TTM Dates'!$B:$B,'TTM Dates'!$C:$C)&amp;ROW($CJ80))))</f>
        <v>0</v>
      </c>
      <c r="FL80" s="44">
        <f t="array" ref="FL80">IF(FL$3&gt;'GAAP Summary'!$B$2,0,SUM(INDIRECT(XLOOKUP(FL$3,'TTM Dates'!$B:$B,'TTM Dates'!$E:$E)&amp;ROW($CJ80)&amp;":"&amp;XLOOKUP(FL$3,'TTM Dates'!$B:$B,'TTM Dates'!$C:$C)&amp;ROW($CJ80))))</f>
        <v>0</v>
      </c>
      <c r="FM80" s="44">
        <f t="array" ref="FM80">IF(FM$3&gt;'GAAP Summary'!$B$2,0,SUM(INDIRECT(XLOOKUP(FM$3,'TTM Dates'!$B:$B,'TTM Dates'!$E:$E)&amp;ROW($CJ80)&amp;":"&amp;XLOOKUP(FM$3,'TTM Dates'!$B:$B,'TTM Dates'!$C:$C)&amp;ROW($CJ80))))</f>
        <v>0</v>
      </c>
      <c r="FN80" s="44">
        <f t="array" ref="FN80">IF(FN$3&gt;'GAAP Summary'!$B$2,0,SUM(INDIRECT(XLOOKUP(FN$3,'TTM Dates'!$B:$B,'TTM Dates'!$E:$E)&amp;ROW($CJ80)&amp;":"&amp;XLOOKUP(FN$3,'TTM Dates'!$B:$B,'TTM Dates'!$C:$C)&amp;ROW($CJ80))))</f>
        <v>0</v>
      </c>
      <c r="FO80" s="44">
        <f t="array" ref="FO80">IF(FO$3&gt;'GAAP Summary'!$B$2,0,SUM(INDIRECT(XLOOKUP(FO$3,'TTM Dates'!$B:$B,'TTM Dates'!$E:$E)&amp;ROW($CJ80)&amp;":"&amp;XLOOKUP(FO$3,'TTM Dates'!$B:$B,'TTM Dates'!$C:$C)&amp;ROW($CJ80))))</f>
        <v>0</v>
      </c>
      <c r="FP80" s="44">
        <f t="array" ref="FP80">IF(FP$3&gt;'GAAP Summary'!$B$2,0,SUM(INDIRECT(XLOOKUP(FP$3,'TTM Dates'!$B:$B,'TTM Dates'!$E:$E)&amp;ROW($CJ80)&amp;":"&amp;XLOOKUP(FP$3,'TTM Dates'!$B:$B,'TTM Dates'!$C:$C)&amp;ROW($CJ80))))</f>
        <v>0</v>
      </c>
      <c r="FQ80" s="44">
        <f t="array" ref="FQ80">IF(FQ$3&gt;'GAAP Summary'!$B$2,0,SUM(INDIRECT(XLOOKUP(FQ$3,'TTM Dates'!$B:$B,'TTM Dates'!$E:$E)&amp;ROW($CJ80)&amp;":"&amp;XLOOKUP(FQ$3,'TTM Dates'!$B:$B,'TTM Dates'!$C:$C)&amp;ROW($CJ80))))</f>
        <v>0</v>
      </c>
      <c r="FR80" s="44">
        <f t="array" ref="FR80">IF(FR$3&gt;'GAAP Summary'!$B$2,0,SUM(INDIRECT(XLOOKUP(FR$3,'TTM Dates'!$B:$B,'TTM Dates'!$E:$E)&amp;ROW($CJ80)&amp;":"&amp;XLOOKUP(FR$3,'TTM Dates'!$B:$B,'TTM Dates'!$C:$C)&amp;ROW($CJ80))))</f>
        <v>0</v>
      </c>
      <c r="FS80" s="44">
        <f t="array" ref="FS80">IF(FS$3&gt;'GAAP Summary'!$B$2,0,SUM(INDIRECT(XLOOKUP(FS$3,'TTM Dates'!$B:$B,'TTM Dates'!$E:$E)&amp;ROW($CJ80)&amp;":"&amp;XLOOKUP(FS$3,'TTM Dates'!$B:$B,'TTM Dates'!$C:$C)&amp;ROW($CJ80))))</f>
        <v>0</v>
      </c>
      <c r="FT80" s="44">
        <f t="array" ref="FT80">IF(FT$3&gt;'GAAP Summary'!$B$2,0,SUM(INDIRECT(XLOOKUP(FT$3,'TTM Dates'!$B:$B,'TTM Dates'!$E:$E)&amp;ROW($CJ80)&amp;":"&amp;XLOOKUP(FT$3,'TTM Dates'!$B:$B,'TTM Dates'!$C:$C)&amp;ROW($CJ80))))</f>
        <v>0</v>
      </c>
      <c r="FU80" s="44">
        <f t="array" ref="FU80">IF(FU$3&gt;'GAAP Summary'!$B$2,0,SUM(INDIRECT(XLOOKUP(FU$3,'TTM Dates'!$B:$B,'TTM Dates'!$E:$E)&amp;ROW($CJ80)&amp;":"&amp;XLOOKUP(FU$3,'TTM Dates'!$B:$B,'TTM Dates'!$C:$C)&amp;ROW($CJ80))))</f>
        <v>0</v>
      </c>
      <c r="FV80" s="44">
        <f t="array" ref="FV80">IF(FV$3&gt;'GAAP Summary'!$B$2,0,SUM(INDIRECT(XLOOKUP(FV$3,'TTM Dates'!$B:$B,'TTM Dates'!$E:$E)&amp;ROW($CJ80)&amp;":"&amp;XLOOKUP(FV$3,'TTM Dates'!$B:$B,'TTM Dates'!$C:$C)&amp;ROW($CJ80))))</f>
        <v>0</v>
      </c>
      <c r="FW80" s="44">
        <f t="array" ref="FW80">IF(FW$3&gt;'GAAP Summary'!$B$2,0,SUM(INDIRECT(XLOOKUP(FW$3,'TTM Dates'!$B:$B,'TTM Dates'!$E:$E)&amp;ROW($CJ80)&amp;":"&amp;XLOOKUP(FW$3,'TTM Dates'!$B:$B,'TTM Dates'!$C:$C)&amp;ROW($CJ80))))</f>
        <v>0</v>
      </c>
      <c r="FX80" s="44">
        <f t="array" ref="FX80">IF(FX$3&gt;'GAAP Summary'!$B$2,0,SUM(INDIRECT(XLOOKUP(FX$3,'TTM Dates'!$B:$B,'TTM Dates'!$E:$E)&amp;ROW($CJ80)&amp;":"&amp;XLOOKUP(FX$3,'TTM Dates'!$B:$B,'TTM Dates'!$C:$C)&amp;ROW($CJ80))))</f>
        <v>0</v>
      </c>
      <c r="FY80" s="44">
        <f t="array" ref="FY80">IF(FY$3&gt;'GAAP Summary'!$B$2,0,SUM(INDIRECT(XLOOKUP(FY$3,'TTM Dates'!$B:$B,'TTM Dates'!$E:$E)&amp;ROW($CJ80)&amp;":"&amp;XLOOKUP(FY$3,'TTM Dates'!$B:$B,'TTM Dates'!$C:$C)&amp;ROW($CJ80))))</f>
        <v>0</v>
      </c>
      <c r="FZ80" s="44">
        <f t="array" ref="FZ80">IF(FZ$3&gt;'GAAP Summary'!$B$2,0,SUM(INDIRECT(XLOOKUP(FZ$3,'TTM Dates'!$B:$B,'TTM Dates'!$E:$E)&amp;ROW($CJ80)&amp;":"&amp;XLOOKUP(FZ$3,'TTM Dates'!$B:$B,'TTM Dates'!$C:$C)&amp;ROW($CJ80))))</f>
        <v>0</v>
      </c>
      <c r="GA80" s="44">
        <f t="array" ref="GA80">IF(GA$3&gt;'GAAP Summary'!$B$2,0,SUM(INDIRECT(XLOOKUP(GA$3,'TTM Dates'!$B:$B,'TTM Dates'!$E:$E)&amp;ROW($CJ80)&amp;":"&amp;XLOOKUP(GA$3,'TTM Dates'!$B:$B,'TTM Dates'!$C:$C)&amp;ROW($CJ80))))</f>
        <v>0</v>
      </c>
      <c r="GB80" s="44">
        <f t="array" ref="GB80">IF(GB$3&gt;'GAAP Summary'!$B$2,0,SUM(INDIRECT(XLOOKUP(GB$3,'TTM Dates'!$B:$B,'TTM Dates'!$E:$E)&amp;ROW($CJ80)&amp;":"&amp;XLOOKUP(GB$3,'TTM Dates'!$B:$B,'TTM Dates'!$C:$C)&amp;ROW($CJ80))))</f>
        <v>0</v>
      </c>
      <c r="GC80" s="44">
        <f t="array" ref="GC80">IF(GC$3&gt;'GAAP Summary'!$B$2,0,SUM(INDIRECT(XLOOKUP(GC$3,'TTM Dates'!$B:$B,'TTM Dates'!$E:$E)&amp;ROW($CJ80)&amp;":"&amp;XLOOKUP(GC$3,'TTM Dates'!$B:$B,'TTM Dates'!$C:$C)&amp;ROW($CJ80))))</f>
        <v>0</v>
      </c>
      <c r="GD80" s="44">
        <f t="array" ref="GD80">IF(GD$3&gt;'GAAP Summary'!$B$2,0,SUM(INDIRECT(XLOOKUP(GD$3,'TTM Dates'!$B:$B,'TTM Dates'!$E:$E)&amp;ROW($CJ80)&amp;":"&amp;XLOOKUP(GD$3,'TTM Dates'!$B:$B,'TTM Dates'!$C:$C)&amp;ROW($CJ80))))</f>
        <v>0</v>
      </c>
      <c r="GE80" s="44">
        <f t="array" ref="GE80">IF(GE$3&gt;'GAAP Summary'!$B$2,0,SUM(INDIRECT(XLOOKUP(GE$3,'TTM Dates'!$B:$B,'TTM Dates'!$E:$E)&amp;ROW($CJ80)&amp;":"&amp;XLOOKUP(GE$3,'TTM Dates'!$B:$B,'TTM Dates'!$C:$C)&amp;ROW($CJ80))))</f>
        <v>0</v>
      </c>
      <c r="GF80" s="44">
        <f t="array" ref="GF80">IF(GF$3&gt;'GAAP Summary'!$B$2,0,SUM(INDIRECT(XLOOKUP(GF$3,'TTM Dates'!$B:$B,'TTM Dates'!$E:$E)&amp;ROW($CJ80)&amp;":"&amp;XLOOKUP(GF$3,'TTM Dates'!$B:$B,'TTM Dates'!$C:$C)&amp;ROW($CJ80))))</f>
        <v>0</v>
      </c>
      <c r="GG80" s="44">
        <f t="array" ref="GG80">IF(GG$3&gt;'GAAP Summary'!$B$2,0,SUM(INDIRECT(XLOOKUP(GG$3,'TTM Dates'!$B:$B,'TTM Dates'!$E:$E)&amp;ROW($CJ80)&amp;":"&amp;XLOOKUP(GG$3,'TTM Dates'!$B:$B,'TTM Dates'!$C:$C)&amp;ROW($CJ80))))</f>
        <v>0</v>
      </c>
      <c r="GH80" s="44">
        <f t="array" ref="GH80">IF(GH$3&gt;'GAAP Summary'!$B$2,0,SUM(INDIRECT(XLOOKUP(GH$3,'TTM Dates'!$B:$B,'TTM Dates'!$E:$E)&amp;ROW($CJ80)&amp;":"&amp;XLOOKUP(GH$3,'TTM Dates'!$B:$B,'TTM Dates'!$C:$C)&amp;ROW($CJ80))))</f>
        <v>0</v>
      </c>
      <c r="GI80" s="44">
        <f t="array" ref="GI80">IF(GI$3&gt;'GAAP Summary'!$B$2,0,SUM(INDIRECT(XLOOKUP(GI$3,'TTM Dates'!$B:$B,'TTM Dates'!$E:$E)&amp;ROW($CJ80)&amp;":"&amp;XLOOKUP(GI$3,'TTM Dates'!$B:$B,'TTM Dates'!$C:$C)&amp;ROW($CJ80))))</f>
        <v>0</v>
      </c>
      <c r="GJ80" s="44">
        <f t="array" ref="GJ80">IF(GJ$3&gt;'GAAP Summary'!$B$2,0,SUM(INDIRECT(XLOOKUP(GJ$3,'TTM Dates'!$B:$B,'TTM Dates'!$E:$E)&amp;ROW($CJ80)&amp;":"&amp;XLOOKUP(GJ$3,'TTM Dates'!$B:$B,'TTM Dates'!$C:$C)&amp;ROW($CJ80))))</f>
        <v>0</v>
      </c>
      <c r="GK80" s="44">
        <f t="array" ref="GK80">IF(GK$3&gt;'GAAP Summary'!$B$2,0,SUM(INDIRECT(XLOOKUP(GK$3,'TTM Dates'!$B:$B,'TTM Dates'!$E:$E)&amp;ROW($CJ80)&amp;":"&amp;XLOOKUP(GK$3,'TTM Dates'!$B:$B,'TTM Dates'!$C:$C)&amp;ROW($CJ80))))</f>
        <v>0</v>
      </c>
      <c r="GL80" s="44">
        <f t="array" ref="GL80">IF(GL$3&gt;'GAAP Summary'!$B$2,0,SUM(INDIRECT(XLOOKUP(GL$3,'TTM Dates'!$B:$B,'TTM Dates'!$E:$E)&amp;ROW($CJ80)&amp;":"&amp;XLOOKUP(GL$3,'TTM Dates'!$B:$B,'TTM Dates'!$C:$C)&amp;ROW($CJ80))))</f>
        <v>0</v>
      </c>
      <c r="GM80" s="44"/>
    </row>
    <row r="81" outlineLevel="1">
      <c r="B81" s="135" t="s">
        <v>510</v>
      </c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202"/>
      <c r="AN81" s="202"/>
      <c r="AO81" s="202"/>
      <c r="AP81" s="202"/>
      <c r="AQ81" s="202"/>
      <c r="AR81" s="202"/>
      <c r="AS81" s="202"/>
      <c r="AT81" s="202"/>
      <c r="AU81" s="202"/>
      <c r="AV81" s="202"/>
      <c r="AW81" s="202"/>
      <c r="AX81" s="337"/>
      <c r="AY81" s="337"/>
      <c r="AZ81" s="337"/>
      <c r="BA81" s="337"/>
      <c r="BB81" s="337"/>
      <c r="BC81" s="337"/>
      <c r="BD81" s="337"/>
      <c r="BE81" s="337"/>
      <c r="BF81" s="337"/>
      <c r="BG81" s="337"/>
      <c r="BH81" s="337"/>
      <c r="BI81" s="337"/>
      <c r="BJ81" s="337"/>
      <c r="BK81" s="337"/>
      <c r="BL81" s="337"/>
      <c r="BM81" s="337"/>
      <c r="BN81" s="337"/>
      <c r="BO81" s="337"/>
      <c r="BP81" s="337"/>
      <c r="BQ81" s="337"/>
      <c r="BR81" s="337"/>
      <c r="BS81" s="337"/>
      <c r="BT81" s="337"/>
      <c r="BU81" s="337"/>
      <c r="BV81" s="337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33"/>
      <c r="CJ81" s="33"/>
      <c r="CK81" s="303">
        <f t="array" ref="CK81">SUM(INDIRECT(XLOOKUP('GAAP Summary'!$B$2,'TTM Dates'!$B:$B,'TTM Dates'!$E:$E)&amp;ROW($CJ81)&amp;":"&amp;XLOOKUP('GAAP Summary'!$B$2,'TTM Dates'!$B:$B,'TTM Dates'!$C:$C)&amp;ROW($CJ81)))</f>
        <v>0</v>
      </c>
      <c r="CL81" s="351"/>
      <c r="CM81" s="366">
        <f t="shared" si="144"/>
        <v>0</v>
      </c>
      <c r="CN81" s="366">
        <f t="shared" si="145"/>
        <v>0</v>
      </c>
      <c r="CO81" s="366">
        <f t="shared" si="146"/>
        <v>0</v>
      </c>
      <c r="CP81" s="366">
        <f t="shared" si="147"/>
        <v>0</v>
      </c>
      <c r="CQ81" s="454">
        <f t="shared" si="148"/>
        <v>0</v>
      </c>
      <c r="CR81" s="366"/>
      <c r="CS81" s="366">
        <f t="shared" si="149"/>
        <v>0</v>
      </c>
      <c r="CT81" s="366">
        <f t="shared" si="150"/>
        <v>0</v>
      </c>
      <c r="CU81" s="366">
        <f t="shared" si="151"/>
        <v>0</v>
      </c>
      <c r="CV81" s="366">
        <f t="shared" si="152"/>
        <v>0</v>
      </c>
      <c r="CW81" s="367">
        <f t="shared" si="153"/>
        <v>0</v>
      </c>
      <c r="CX81" s="351"/>
      <c r="CY81" s="366">
        <f t="shared" si="154"/>
        <v>0</v>
      </c>
      <c r="CZ81" s="366">
        <f t="shared" si="155"/>
        <v>0</v>
      </c>
      <c r="DA81" s="366">
        <f t="shared" si="156"/>
        <v>0</v>
      </c>
      <c r="DB81" s="366">
        <f t="shared" si="157"/>
        <v>0</v>
      </c>
      <c r="DC81" s="367">
        <f t="shared" si="158"/>
        <v>0</v>
      </c>
      <c r="DD81" s="366"/>
      <c r="DE81" s="366">
        <f t="shared" si="159"/>
        <v>0</v>
      </c>
      <c r="DF81" s="366">
        <f t="shared" si="160"/>
        <v>0</v>
      </c>
      <c r="DG81" s="366">
        <f t="shared" si="161"/>
        <v>0</v>
      </c>
      <c r="DH81" s="366">
        <f t="shared" si="162"/>
        <v>0</v>
      </c>
      <c r="DI81" s="367">
        <f t="shared" si="163"/>
        <v>0</v>
      </c>
      <c r="DJ81" s="366"/>
      <c r="DK81" s="366"/>
      <c r="DL81" s="366"/>
      <c r="DM81" s="366"/>
      <c r="DN81" s="366"/>
      <c r="DO81" s="367"/>
      <c r="DP81" s="366"/>
      <c r="DQ81" s="367"/>
      <c r="DR81" s="44"/>
      <c r="DS81" s="44">
        <f t="array" ref="DS81">IF(DS$3&gt;'GAAP Summary'!$B$2,0,SUM(INDIRECT(XLOOKUP(DS$3,'TTM Dates'!$B:$B,'TTM Dates'!$E:$E)&amp;ROW($CJ81)&amp;":"&amp;XLOOKUP(DS$3,'TTM Dates'!$B:$B,'TTM Dates'!$C:$C)&amp;ROW($CJ81))))</f>
        <v>0</v>
      </c>
      <c r="DT81" s="44">
        <f t="array" ref="DT81">IF(DT$3&gt;'GAAP Summary'!$B$2,0,SUM(INDIRECT(XLOOKUP(DT$3,'TTM Dates'!$B:$B,'TTM Dates'!$E:$E)&amp;ROW($CJ81)&amp;":"&amp;XLOOKUP(DT$3,'TTM Dates'!$B:$B,'TTM Dates'!$C:$C)&amp;ROW($CJ81))))</f>
        <v>0</v>
      </c>
      <c r="DU81" s="44">
        <f t="array" ref="DU81">IF(DU$3&gt;'GAAP Summary'!$B$2,0,SUM(INDIRECT(XLOOKUP(DU$3,'TTM Dates'!$B:$B,'TTM Dates'!$E:$E)&amp;ROW($CJ81)&amp;":"&amp;XLOOKUP(DU$3,'TTM Dates'!$B:$B,'TTM Dates'!$C:$C)&amp;ROW($CJ81))))</f>
        <v>0</v>
      </c>
      <c r="DV81" s="44">
        <f t="array" ref="DV81">IF(DV$3&gt;'GAAP Summary'!$B$2,0,SUM(INDIRECT(XLOOKUP(DV$3,'TTM Dates'!$B:$B,'TTM Dates'!$E:$E)&amp;ROW($CJ81)&amp;":"&amp;XLOOKUP(DV$3,'TTM Dates'!$B:$B,'TTM Dates'!$C:$C)&amp;ROW($CJ81))))</f>
        <v>0</v>
      </c>
      <c r="DW81" s="44">
        <f t="array" ref="DW81">IF(DW$3&gt;'GAAP Summary'!$B$2,0,SUM(INDIRECT(XLOOKUP(DW$3,'TTM Dates'!$B:$B,'TTM Dates'!$E:$E)&amp;ROW($CJ81)&amp;":"&amp;XLOOKUP(DW$3,'TTM Dates'!$B:$B,'TTM Dates'!$C:$C)&amp;ROW($CJ81))))</f>
        <v>0</v>
      </c>
      <c r="DX81" s="44">
        <f t="array" ref="DX81">IF(DX$3&gt;'GAAP Summary'!$B$2,0,SUM(INDIRECT(XLOOKUP(DX$3,'TTM Dates'!$B:$B,'TTM Dates'!$E:$E)&amp;ROW($CJ81)&amp;":"&amp;XLOOKUP(DX$3,'TTM Dates'!$B:$B,'TTM Dates'!$C:$C)&amp;ROW($CJ81))))</f>
        <v>0</v>
      </c>
      <c r="DY81" s="44">
        <f t="array" ref="DY81">IF(DY$3&gt;'GAAP Summary'!$B$2,0,SUM(INDIRECT(XLOOKUP(DY$3,'TTM Dates'!$B:$B,'TTM Dates'!$E:$E)&amp;ROW($CJ81)&amp;":"&amp;XLOOKUP(DY$3,'TTM Dates'!$B:$B,'TTM Dates'!$C:$C)&amp;ROW($CJ81))))</f>
        <v>0</v>
      </c>
      <c r="DZ81" s="44">
        <f t="array" ref="DZ81">IF(DZ$3&gt;'GAAP Summary'!$B$2,0,SUM(INDIRECT(XLOOKUP(DZ$3,'TTM Dates'!$B:$B,'TTM Dates'!$E:$E)&amp;ROW($CJ81)&amp;":"&amp;XLOOKUP(DZ$3,'TTM Dates'!$B:$B,'TTM Dates'!$C:$C)&amp;ROW($CJ81))))</f>
        <v>0</v>
      </c>
      <c r="EA81" s="44">
        <f t="array" ref="EA81">IF(EA$3&gt;'GAAP Summary'!$B$2,0,SUM(INDIRECT(XLOOKUP(EA$3,'TTM Dates'!$B:$B,'TTM Dates'!$E:$E)&amp;ROW($CJ81)&amp;":"&amp;XLOOKUP(EA$3,'TTM Dates'!$B:$B,'TTM Dates'!$C:$C)&amp;ROW($CJ81))))</f>
        <v>0</v>
      </c>
      <c r="EB81" s="44">
        <f t="array" ref="EB81">IF(EB$3&gt;'GAAP Summary'!$B$2,0,SUM(INDIRECT(XLOOKUP(EB$3,'TTM Dates'!$B:$B,'TTM Dates'!$E:$E)&amp;ROW($CJ81)&amp;":"&amp;XLOOKUP(EB$3,'TTM Dates'!$B:$B,'TTM Dates'!$C:$C)&amp;ROW($CJ81))))</f>
        <v>0</v>
      </c>
      <c r="EC81" s="44">
        <f t="array" ref="EC81">IF(EC$3&gt;'GAAP Summary'!$B$2,0,SUM(INDIRECT(XLOOKUP(EC$3,'TTM Dates'!$B:$B,'TTM Dates'!$E:$E)&amp;ROW($CJ81)&amp;":"&amp;XLOOKUP(EC$3,'TTM Dates'!$B:$B,'TTM Dates'!$C:$C)&amp;ROW($CJ81))))</f>
        <v>0</v>
      </c>
      <c r="ED81" s="44">
        <f t="array" ref="ED81">IF(ED$3&gt;'GAAP Summary'!$B$2,0,SUM(INDIRECT(XLOOKUP(ED$3,'TTM Dates'!$B:$B,'TTM Dates'!$E:$E)&amp;ROW($CJ81)&amp;":"&amp;XLOOKUP(ED$3,'TTM Dates'!$B:$B,'TTM Dates'!$C:$C)&amp;ROW($CJ81))))</f>
        <v>0</v>
      </c>
      <c r="EE81" s="44">
        <f t="array" ref="EE81">IF(EE$3&gt;'GAAP Summary'!$B$2,0,SUM(INDIRECT(XLOOKUP(EE$3,'TTM Dates'!$B:$B,'TTM Dates'!$E:$E)&amp;ROW($CJ81)&amp;":"&amp;XLOOKUP(EE$3,'TTM Dates'!$B:$B,'TTM Dates'!$C:$C)&amp;ROW($CJ81))))</f>
        <v>0</v>
      </c>
      <c r="EF81" s="44">
        <f t="array" ref="EF81">IF(EF$3&gt;'GAAP Summary'!$B$2,0,SUM(INDIRECT(XLOOKUP(EF$3,'TTM Dates'!$B:$B,'TTM Dates'!$E:$E)&amp;ROW($CJ81)&amp;":"&amp;XLOOKUP(EF$3,'TTM Dates'!$B:$B,'TTM Dates'!$C:$C)&amp;ROW($CJ81))))</f>
        <v>0</v>
      </c>
      <c r="EG81" s="44">
        <f t="array" ref="EG81">IF(EG$3&gt;'GAAP Summary'!$B$2,0,SUM(INDIRECT(XLOOKUP(EG$3,'TTM Dates'!$B:$B,'TTM Dates'!$E:$E)&amp;ROW($CJ81)&amp;":"&amp;XLOOKUP(EG$3,'TTM Dates'!$B:$B,'TTM Dates'!$C:$C)&amp;ROW($CJ81))))</f>
        <v>0</v>
      </c>
      <c r="EH81" s="44">
        <f t="array" ref="EH81">IF(EH$3&gt;'GAAP Summary'!$B$2,0,SUM(INDIRECT(XLOOKUP(EH$3,'TTM Dates'!$B:$B,'TTM Dates'!$E:$E)&amp;ROW($CJ81)&amp;":"&amp;XLOOKUP(EH$3,'TTM Dates'!$B:$B,'TTM Dates'!$C:$C)&amp;ROW($CJ81))))</f>
        <v>0</v>
      </c>
      <c r="EI81" s="44">
        <f t="array" ref="EI81">IF(EI$3&gt;'GAAP Summary'!$B$2,0,SUM(INDIRECT(XLOOKUP(EI$3,'TTM Dates'!$B:$B,'TTM Dates'!$E:$E)&amp;ROW($CJ81)&amp;":"&amp;XLOOKUP(EI$3,'TTM Dates'!$B:$B,'TTM Dates'!$C:$C)&amp;ROW($CJ81))))</f>
        <v>0</v>
      </c>
      <c r="EJ81" s="44">
        <f t="array" ref="EJ81">IF(EJ$3&gt;'GAAP Summary'!$B$2,0,SUM(INDIRECT(XLOOKUP(EJ$3,'TTM Dates'!$B:$B,'TTM Dates'!$E:$E)&amp;ROW($CJ81)&amp;":"&amp;XLOOKUP(EJ$3,'TTM Dates'!$B:$B,'TTM Dates'!$C:$C)&amp;ROW($CJ81))))</f>
        <v>0</v>
      </c>
      <c r="EK81" s="44">
        <f t="array" ref="EK81">IF(EK$3&gt;'GAAP Summary'!$B$2,0,SUM(INDIRECT(XLOOKUP(EK$3,'TTM Dates'!$B:$B,'TTM Dates'!$E:$E)&amp;ROW($CJ81)&amp;":"&amp;XLOOKUP(EK$3,'TTM Dates'!$B:$B,'TTM Dates'!$C:$C)&amp;ROW($CJ81))))</f>
        <v>0</v>
      </c>
      <c r="EL81" s="44">
        <f t="array" ref="EL81">IF(EL$3&gt;'GAAP Summary'!$B$2,0,SUM(INDIRECT(XLOOKUP(EL$3,'TTM Dates'!$B:$B,'TTM Dates'!$E:$E)&amp;ROW($CJ81)&amp;":"&amp;XLOOKUP(EL$3,'TTM Dates'!$B:$B,'TTM Dates'!$C:$C)&amp;ROW($CJ81))))</f>
        <v>0</v>
      </c>
      <c r="EM81" s="44">
        <f t="array" ref="EM81">IF(EM$3&gt;'GAAP Summary'!$B$2,0,SUM(INDIRECT(XLOOKUP(EM$3,'TTM Dates'!$B:$B,'TTM Dates'!$E:$E)&amp;ROW($CJ81)&amp;":"&amp;XLOOKUP(EM$3,'TTM Dates'!$B:$B,'TTM Dates'!$C:$C)&amp;ROW($CJ81))))</f>
        <v>0</v>
      </c>
      <c r="EN81" s="44">
        <f t="array" ref="EN81">IF(EN$3&gt;'GAAP Summary'!$B$2,0,SUM(INDIRECT(XLOOKUP(EN$3,'TTM Dates'!$B:$B,'TTM Dates'!$E:$E)&amp;ROW($CJ81)&amp;":"&amp;XLOOKUP(EN$3,'TTM Dates'!$B:$B,'TTM Dates'!$C:$C)&amp;ROW($CJ81))))</f>
        <v>0</v>
      </c>
      <c r="EO81" s="44">
        <f t="array" ref="EO81">IF(EO$3&gt;'GAAP Summary'!$B$2,0,SUM(INDIRECT(XLOOKUP(EO$3,'TTM Dates'!$B:$B,'TTM Dates'!$E:$E)&amp;ROW($CJ81)&amp;":"&amp;XLOOKUP(EO$3,'TTM Dates'!$B:$B,'TTM Dates'!$C:$C)&amp;ROW($CJ81))))</f>
        <v>0</v>
      </c>
      <c r="EP81" s="44">
        <f t="array" ref="EP81">IF(EP$3&gt;'GAAP Summary'!$B$2,0,SUM(INDIRECT(XLOOKUP(EP$3,'TTM Dates'!$B:$B,'TTM Dates'!$E:$E)&amp;ROW($CJ81)&amp;":"&amp;XLOOKUP(EP$3,'TTM Dates'!$B:$B,'TTM Dates'!$C:$C)&amp;ROW($CJ81))))</f>
        <v>0</v>
      </c>
      <c r="EQ81" s="44">
        <f t="array" ref="EQ81">IF(EQ$3&gt;'GAAP Summary'!$B$2,0,SUM(INDIRECT(XLOOKUP(EQ$3,'TTM Dates'!$B:$B,'TTM Dates'!$E:$E)&amp;ROW($CJ81)&amp;":"&amp;XLOOKUP(EQ$3,'TTM Dates'!$B:$B,'TTM Dates'!$C:$C)&amp;ROW($CJ81))))</f>
        <v>0</v>
      </c>
      <c r="ER81" s="44">
        <f t="array" ref="ER81">IF(ER$3&gt;'GAAP Summary'!$B$2,0,SUM(INDIRECT(XLOOKUP(ER$3,'TTM Dates'!$B:$B,'TTM Dates'!$E:$E)&amp;ROW($CJ81)&amp;":"&amp;XLOOKUP(ER$3,'TTM Dates'!$B:$B,'TTM Dates'!$C:$C)&amp;ROW($CJ81))))</f>
        <v>0</v>
      </c>
      <c r="ES81" s="44">
        <f t="array" ref="ES81">IF(ES$3&gt;'GAAP Summary'!$B$2,0,SUM(INDIRECT(XLOOKUP(ES$3,'TTM Dates'!$B:$B,'TTM Dates'!$E:$E)&amp;ROW($CJ81)&amp;":"&amp;XLOOKUP(ES$3,'TTM Dates'!$B:$B,'TTM Dates'!$C:$C)&amp;ROW($CJ81))))</f>
        <v>0</v>
      </c>
      <c r="ET81" s="44">
        <f t="array" ref="ET81">IF(ET$3&gt;'GAAP Summary'!$B$2,0,SUM(INDIRECT(XLOOKUP(ET$3,'TTM Dates'!$B:$B,'TTM Dates'!$E:$E)&amp;ROW($CJ81)&amp;":"&amp;XLOOKUP(ET$3,'TTM Dates'!$B:$B,'TTM Dates'!$C:$C)&amp;ROW($CJ81))))</f>
        <v>0</v>
      </c>
      <c r="EU81" s="44">
        <f t="array" ref="EU81">IF(EU$3&gt;'GAAP Summary'!$B$2,0,SUM(INDIRECT(XLOOKUP(EU$3,'TTM Dates'!$B:$B,'TTM Dates'!$E:$E)&amp;ROW($CJ81)&amp;":"&amp;XLOOKUP(EU$3,'TTM Dates'!$B:$B,'TTM Dates'!$C:$C)&amp;ROW($CJ81))))</f>
        <v>0</v>
      </c>
      <c r="EV81" s="44">
        <f t="array" ref="EV81">IF(EV$3&gt;'GAAP Summary'!$B$2,0,SUM(INDIRECT(XLOOKUP(EV$3,'TTM Dates'!$B:$B,'TTM Dates'!$E:$E)&amp;ROW($CJ81)&amp;":"&amp;XLOOKUP(EV$3,'TTM Dates'!$B:$B,'TTM Dates'!$C:$C)&amp;ROW($CJ81))))</f>
        <v>0</v>
      </c>
      <c r="EW81" s="44">
        <f t="array" ref="EW81">IF(EW$3&gt;'GAAP Summary'!$B$2,0,SUM(INDIRECT(XLOOKUP(EW$3,'TTM Dates'!$B:$B,'TTM Dates'!$E:$E)&amp;ROW($CJ81)&amp;":"&amp;XLOOKUP(EW$3,'TTM Dates'!$B:$B,'TTM Dates'!$C:$C)&amp;ROW($CJ81))))</f>
        <v>0</v>
      </c>
      <c r="EX81" s="44">
        <f t="array" ref="EX81">IF(EX$3&gt;'GAAP Summary'!$B$2,0,SUM(INDIRECT(XLOOKUP(EX$3,'TTM Dates'!$B:$B,'TTM Dates'!$E:$E)&amp;ROW($CJ81)&amp;":"&amp;XLOOKUP(EX$3,'TTM Dates'!$B:$B,'TTM Dates'!$C:$C)&amp;ROW($CJ81))))</f>
        <v>0</v>
      </c>
      <c r="EY81" s="44">
        <f t="array" ref="EY81">IF(EY$3&gt;'GAAP Summary'!$B$2,0,SUM(INDIRECT(XLOOKUP(EY$3,'TTM Dates'!$B:$B,'TTM Dates'!$E:$E)&amp;ROW($CJ81)&amp;":"&amp;XLOOKUP(EY$3,'TTM Dates'!$B:$B,'TTM Dates'!$C:$C)&amp;ROW($CJ81))))</f>
        <v>0</v>
      </c>
      <c r="EZ81" s="44">
        <f t="array" ref="EZ81">IF(EZ$3&gt;'GAAP Summary'!$B$2,0,SUM(INDIRECT(XLOOKUP(EZ$3,'TTM Dates'!$B:$B,'TTM Dates'!$E:$E)&amp;ROW($CJ81)&amp;":"&amp;XLOOKUP(EZ$3,'TTM Dates'!$B:$B,'TTM Dates'!$C:$C)&amp;ROW($CJ81))))</f>
        <v>0</v>
      </c>
      <c r="FA81" s="44">
        <f t="array" ref="FA81">IF(FA$3&gt;'GAAP Summary'!$B$2,0,SUM(INDIRECT(XLOOKUP(FA$3,'TTM Dates'!$B:$B,'TTM Dates'!$E:$E)&amp;ROW($CJ81)&amp;":"&amp;XLOOKUP(FA$3,'TTM Dates'!$B:$B,'TTM Dates'!$C:$C)&amp;ROW($CJ81))))</f>
        <v>0</v>
      </c>
      <c r="FB81" s="44">
        <f t="array" ref="FB81">IF(FB$3&gt;'GAAP Summary'!$B$2,0,SUM(INDIRECT(XLOOKUP(FB$3,'TTM Dates'!$B:$B,'TTM Dates'!$E:$E)&amp;ROW($CJ81)&amp;":"&amp;XLOOKUP(FB$3,'TTM Dates'!$B:$B,'TTM Dates'!$C:$C)&amp;ROW($CJ81))))</f>
        <v>0</v>
      </c>
      <c r="FC81" s="44">
        <f t="array" ref="FC81">IF(FC$3&gt;'GAAP Summary'!$B$2,0,SUM(INDIRECT(XLOOKUP(FC$3,'TTM Dates'!$B:$B,'TTM Dates'!$E:$E)&amp;ROW($CJ81)&amp;":"&amp;XLOOKUP(FC$3,'TTM Dates'!$B:$B,'TTM Dates'!$C:$C)&amp;ROW($CJ81))))</f>
        <v>0</v>
      </c>
      <c r="FD81" s="44">
        <f t="array" ref="FD81">IF(FD$3&gt;'GAAP Summary'!$B$2,0,SUM(INDIRECT(XLOOKUP(FD$3,'TTM Dates'!$B:$B,'TTM Dates'!$E:$E)&amp;ROW($CJ81)&amp;":"&amp;XLOOKUP(FD$3,'TTM Dates'!$B:$B,'TTM Dates'!$C:$C)&amp;ROW($CJ81))))</f>
        <v>0</v>
      </c>
      <c r="FE81" s="44">
        <f t="array" ref="FE81">IF(FE$3&gt;'GAAP Summary'!$B$2,0,SUM(INDIRECT(XLOOKUP(FE$3,'TTM Dates'!$B:$B,'TTM Dates'!$E:$E)&amp;ROW($CJ81)&amp;":"&amp;XLOOKUP(FE$3,'TTM Dates'!$B:$B,'TTM Dates'!$C:$C)&amp;ROW($CJ81))))</f>
        <v>0</v>
      </c>
      <c r="FF81" s="44">
        <f t="array" ref="FF81">IF(FF$3&gt;'GAAP Summary'!$B$2,0,SUM(INDIRECT(XLOOKUP(FF$3,'TTM Dates'!$B:$B,'TTM Dates'!$E:$E)&amp;ROW($CJ81)&amp;":"&amp;XLOOKUP(FF$3,'TTM Dates'!$B:$B,'TTM Dates'!$C:$C)&amp;ROW($CJ81))))</f>
        <v>0</v>
      </c>
      <c r="FG81" s="44">
        <f t="array" ref="FG81">IF(FG$3&gt;'GAAP Summary'!$B$2,0,SUM(INDIRECT(XLOOKUP(FG$3,'TTM Dates'!$B:$B,'TTM Dates'!$E:$E)&amp;ROW($CJ81)&amp;":"&amp;XLOOKUP(FG$3,'TTM Dates'!$B:$B,'TTM Dates'!$C:$C)&amp;ROW($CJ81))))</f>
        <v>0</v>
      </c>
      <c r="FH81" s="44">
        <f t="array" ref="FH81">IF(FH$3&gt;'GAAP Summary'!$B$2,0,SUM(INDIRECT(XLOOKUP(FH$3,'TTM Dates'!$B:$B,'TTM Dates'!$E:$E)&amp;ROW($CJ81)&amp;":"&amp;XLOOKUP(FH$3,'TTM Dates'!$B:$B,'TTM Dates'!$C:$C)&amp;ROW($CJ81))))</f>
        <v>0</v>
      </c>
      <c r="FI81" s="44">
        <f t="array" ref="FI81">IF(FI$3&gt;'GAAP Summary'!$B$2,0,SUM(INDIRECT(XLOOKUP(FI$3,'TTM Dates'!$B:$B,'TTM Dates'!$E:$E)&amp;ROW($CJ81)&amp;":"&amp;XLOOKUP(FI$3,'TTM Dates'!$B:$B,'TTM Dates'!$C:$C)&amp;ROW($CJ81))))</f>
        <v>0</v>
      </c>
      <c r="FJ81" s="44">
        <f t="array" ref="FJ81">IF(FJ$3&gt;'GAAP Summary'!$B$2,0,SUM(INDIRECT(XLOOKUP(FJ$3,'TTM Dates'!$B:$B,'TTM Dates'!$E:$E)&amp;ROW($CJ81)&amp;":"&amp;XLOOKUP(FJ$3,'TTM Dates'!$B:$B,'TTM Dates'!$C:$C)&amp;ROW($CJ81))))</f>
        <v>0</v>
      </c>
      <c r="FK81" s="44">
        <f t="array" ref="FK81">IF(FK$3&gt;'GAAP Summary'!$B$2,0,SUM(INDIRECT(XLOOKUP(FK$3,'TTM Dates'!$B:$B,'TTM Dates'!$E:$E)&amp;ROW($CJ81)&amp;":"&amp;XLOOKUP(FK$3,'TTM Dates'!$B:$B,'TTM Dates'!$C:$C)&amp;ROW($CJ81))))</f>
        <v>0</v>
      </c>
      <c r="FL81" s="44">
        <f t="array" ref="FL81">IF(FL$3&gt;'GAAP Summary'!$B$2,0,SUM(INDIRECT(XLOOKUP(FL$3,'TTM Dates'!$B:$B,'TTM Dates'!$E:$E)&amp;ROW($CJ81)&amp;":"&amp;XLOOKUP(FL$3,'TTM Dates'!$B:$B,'TTM Dates'!$C:$C)&amp;ROW($CJ81))))</f>
        <v>0</v>
      </c>
      <c r="FM81" s="44">
        <f t="array" ref="FM81">IF(FM$3&gt;'GAAP Summary'!$B$2,0,SUM(INDIRECT(XLOOKUP(FM$3,'TTM Dates'!$B:$B,'TTM Dates'!$E:$E)&amp;ROW($CJ81)&amp;":"&amp;XLOOKUP(FM$3,'TTM Dates'!$B:$B,'TTM Dates'!$C:$C)&amp;ROW($CJ81))))</f>
        <v>0</v>
      </c>
      <c r="FN81" s="44">
        <f t="array" ref="FN81">IF(FN$3&gt;'GAAP Summary'!$B$2,0,SUM(INDIRECT(XLOOKUP(FN$3,'TTM Dates'!$B:$B,'TTM Dates'!$E:$E)&amp;ROW($CJ81)&amp;":"&amp;XLOOKUP(FN$3,'TTM Dates'!$B:$B,'TTM Dates'!$C:$C)&amp;ROW($CJ81))))</f>
        <v>0</v>
      </c>
      <c r="FO81" s="44">
        <f t="array" ref="FO81">IF(FO$3&gt;'GAAP Summary'!$B$2,0,SUM(INDIRECT(XLOOKUP(FO$3,'TTM Dates'!$B:$B,'TTM Dates'!$E:$E)&amp;ROW($CJ81)&amp;":"&amp;XLOOKUP(FO$3,'TTM Dates'!$B:$B,'TTM Dates'!$C:$C)&amp;ROW($CJ81))))</f>
        <v>0</v>
      </c>
      <c r="FP81" s="44">
        <f t="array" ref="FP81">IF(FP$3&gt;'GAAP Summary'!$B$2,0,SUM(INDIRECT(XLOOKUP(FP$3,'TTM Dates'!$B:$B,'TTM Dates'!$E:$E)&amp;ROW($CJ81)&amp;":"&amp;XLOOKUP(FP$3,'TTM Dates'!$B:$B,'TTM Dates'!$C:$C)&amp;ROW($CJ81))))</f>
        <v>0</v>
      </c>
      <c r="FQ81" s="44">
        <f t="array" ref="FQ81">IF(FQ$3&gt;'GAAP Summary'!$B$2,0,SUM(INDIRECT(XLOOKUP(FQ$3,'TTM Dates'!$B:$B,'TTM Dates'!$E:$E)&amp;ROW($CJ81)&amp;":"&amp;XLOOKUP(FQ$3,'TTM Dates'!$B:$B,'TTM Dates'!$C:$C)&amp;ROW($CJ81))))</f>
        <v>0</v>
      </c>
      <c r="FR81" s="44">
        <f t="array" ref="FR81">IF(FR$3&gt;'GAAP Summary'!$B$2,0,SUM(INDIRECT(XLOOKUP(FR$3,'TTM Dates'!$B:$B,'TTM Dates'!$E:$E)&amp;ROW($CJ81)&amp;":"&amp;XLOOKUP(FR$3,'TTM Dates'!$B:$B,'TTM Dates'!$C:$C)&amp;ROW($CJ81))))</f>
        <v>0</v>
      </c>
      <c r="FS81" s="44">
        <f t="array" ref="FS81">IF(FS$3&gt;'GAAP Summary'!$B$2,0,SUM(INDIRECT(XLOOKUP(FS$3,'TTM Dates'!$B:$B,'TTM Dates'!$E:$E)&amp;ROW($CJ81)&amp;":"&amp;XLOOKUP(FS$3,'TTM Dates'!$B:$B,'TTM Dates'!$C:$C)&amp;ROW($CJ81))))</f>
        <v>0</v>
      </c>
      <c r="FT81" s="44">
        <f t="array" ref="FT81">IF(FT$3&gt;'GAAP Summary'!$B$2,0,SUM(INDIRECT(XLOOKUP(FT$3,'TTM Dates'!$B:$B,'TTM Dates'!$E:$E)&amp;ROW($CJ81)&amp;":"&amp;XLOOKUP(FT$3,'TTM Dates'!$B:$B,'TTM Dates'!$C:$C)&amp;ROW($CJ81))))</f>
        <v>0</v>
      </c>
      <c r="FU81" s="44">
        <f t="array" ref="FU81">IF(FU$3&gt;'GAAP Summary'!$B$2,0,SUM(INDIRECT(XLOOKUP(FU$3,'TTM Dates'!$B:$B,'TTM Dates'!$E:$E)&amp;ROW($CJ81)&amp;":"&amp;XLOOKUP(FU$3,'TTM Dates'!$B:$B,'TTM Dates'!$C:$C)&amp;ROW($CJ81))))</f>
        <v>0</v>
      </c>
      <c r="FV81" s="44">
        <f t="array" ref="FV81">IF(FV$3&gt;'GAAP Summary'!$B$2,0,SUM(INDIRECT(XLOOKUP(FV$3,'TTM Dates'!$B:$B,'TTM Dates'!$E:$E)&amp;ROW($CJ81)&amp;":"&amp;XLOOKUP(FV$3,'TTM Dates'!$B:$B,'TTM Dates'!$C:$C)&amp;ROW($CJ81))))</f>
        <v>0</v>
      </c>
      <c r="FW81" s="44">
        <f t="array" ref="FW81">IF(FW$3&gt;'GAAP Summary'!$B$2,0,SUM(INDIRECT(XLOOKUP(FW$3,'TTM Dates'!$B:$B,'TTM Dates'!$E:$E)&amp;ROW($CJ81)&amp;":"&amp;XLOOKUP(FW$3,'TTM Dates'!$B:$B,'TTM Dates'!$C:$C)&amp;ROW($CJ81))))</f>
        <v>0</v>
      </c>
      <c r="FX81" s="44">
        <f t="array" ref="FX81">IF(FX$3&gt;'GAAP Summary'!$B$2,0,SUM(INDIRECT(XLOOKUP(FX$3,'TTM Dates'!$B:$B,'TTM Dates'!$E:$E)&amp;ROW($CJ81)&amp;":"&amp;XLOOKUP(FX$3,'TTM Dates'!$B:$B,'TTM Dates'!$C:$C)&amp;ROW($CJ81))))</f>
        <v>0</v>
      </c>
      <c r="FY81" s="44">
        <f t="array" ref="FY81">IF(FY$3&gt;'GAAP Summary'!$B$2,0,SUM(INDIRECT(XLOOKUP(FY$3,'TTM Dates'!$B:$B,'TTM Dates'!$E:$E)&amp;ROW($CJ81)&amp;":"&amp;XLOOKUP(FY$3,'TTM Dates'!$B:$B,'TTM Dates'!$C:$C)&amp;ROW($CJ81))))</f>
        <v>0</v>
      </c>
      <c r="FZ81" s="44">
        <f t="array" ref="FZ81">IF(FZ$3&gt;'GAAP Summary'!$B$2,0,SUM(INDIRECT(XLOOKUP(FZ$3,'TTM Dates'!$B:$B,'TTM Dates'!$E:$E)&amp;ROW($CJ81)&amp;":"&amp;XLOOKUP(FZ$3,'TTM Dates'!$B:$B,'TTM Dates'!$C:$C)&amp;ROW($CJ81))))</f>
        <v>0</v>
      </c>
      <c r="GA81" s="44">
        <f t="array" ref="GA81">IF(GA$3&gt;'GAAP Summary'!$B$2,0,SUM(INDIRECT(XLOOKUP(GA$3,'TTM Dates'!$B:$B,'TTM Dates'!$E:$E)&amp;ROW($CJ81)&amp;":"&amp;XLOOKUP(GA$3,'TTM Dates'!$B:$B,'TTM Dates'!$C:$C)&amp;ROW($CJ81))))</f>
        <v>0</v>
      </c>
      <c r="GB81" s="44">
        <f t="array" ref="GB81">IF(GB$3&gt;'GAAP Summary'!$B$2,0,SUM(INDIRECT(XLOOKUP(GB$3,'TTM Dates'!$B:$B,'TTM Dates'!$E:$E)&amp;ROW($CJ81)&amp;":"&amp;XLOOKUP(GB$3,'TTM Dates'!$B:$B,'TTM Dates'!$C:$C)&amp;ROW($CJ81))))</f>
        <v>0</v>
      </c>
      <c r="GC81" s="44">
        <f t="array" ref="GC81">IF(GC$3&gt;'GAAP Summary'!$B$2,0,SUM(INDIRECT(XLOOKUP(GC$3,'TTM Dates'!$B:$B,'TTM Dates'!$E:$E)&amp;ROW($CJ81)&amp;":"&amp;XLOOKUP(GC$3,'TTM Dates'!$B:$B,'TTM Dates'!$C:$C)&amp;ROW($CJ81))))</f>
        <v>0</v>
      </c>
      <c r="GD81" s="44">
        <f t="array" ref="GD81">IF(GD$3&gt;'GAAP Summary'!$B$2,0,SUM(INDIRECT(XLOOKUP(GD$3,'TTM Dates'!$B:$B,'TTM Dates'!$E:$E)&amp;ROW($CJ81)&amp;":"&amp;XLOOKUP(GD$3,'TTM Dates'!$B:$B,'TTM Dates'!$C:$C)&amp;ROW($CJ81))))</f>
        <v>0</v>
      </c>
      <c r="GE81" s="44">
        <f t="array" ref="GE81">IF(GE$3&gt;'GAAP Summary'!$B$2,0,SUM(INDIRECT(XLOOKUP(GE$3,'TTM Dates'!$B:$B,'TTM Dates'!$E:$E)&amp;ROW($CJ81)&amp;":"&amp;XLOOKUP(GE$3,'TTM Dates'!$B:$B,'TTM Dates'!$C:$C)&amp;ROW($CJ81))))</f>
        <v>0</v>
      </c>
      <c r="GF81" s="44">
        <f t="array" ref="GF81">IF(GF$3&gt;'GAAP Summary'!$B$2,0,SUM(INDIRECT(XLOOKUP(GF$3,'TTM Dates'!$B:$B,'TTM Dates'!$E:$E)&amp;ROW($CJ81)&amp;":"&amp;XLOOKUP(GF$3,'TTM Dates'!$B:$B,'TTM Dates'!$C:$C)&amp;ROW($CJ81))))</f>
        <v>0</v>
      </c>
      <c r="GG81" s="44">
        <f t="array" ref="GG81">IF(GG$3&gt;'GAAP Summary'!$B$2,0,SUM(INDIRECT(XLOOKUP(GG$3,'TTM Dates'!$B:$B,'TTM Dates'!$E:$E)&amp;ROW($CJ81)&amp;":"&amp;XLOOKUP(GG$3,'TTM Dates'!$B:$B,'TTM Dates'!$C:$C)&amp;ROW($CJ81))))</f>
        <v>0</v>
      </c>
      <c r="GH81" s="44">
        <f t="array" ref="GH81">IF(GH$3&gt;'GAAP Summary'!$B$2,0,SUM(INDIRECT(XLOOKUP(GH$3,'TTM Dates'!$B:$B,'TTM Dates'!$E:$E)&amp;ROW($CJ81)&amp;":"&amp;XLOOKUP(GH$3,'TTM Dates'!$B:$B,'TTM Dates'!$C:$C)&amp;ROW($CJ81))))</f>
        <v>0</v>
      </c>
      <c r="GI81" s="44">
        <f t="array" ref="GI81">IF(GI$3&gt;'GAAP Summary'!$B$2,0,SUM(INDIRECT(XLOOKUP(GI$3,'TTM Dates'!$B:$B,'TTM Dates'!$E:$E)&amp;ROW($CJ81)&amp;":"&amp;XLOOKUP(GI$3,'TTM Dates'!$B:$B,'TTM Dates'!$C:$C)&amp;ROW($CJ81))))</f>
        <v>0</v>
      </c>
      <c r="GJ81" s="44">
        <f t="array" ref="GJ81">IF(GJ$3&gt;'GAAP Summary'!$B$2,0,SUM(INDIRECT(XLOOKUP(GJ$3,'TTM Dates'!$B:$B,'TTM Dates'!$E:$E)&amp;ROW($CJ81)&amp;":"&amp;XLOOKUP(GJ$3,'TTM Dates'!$B:$B,'TTM Dates'!$C:$C)&amp;ROW($CJ81))))</f>
        <v>0</v>
      </c>
      <c r="GK81" s="44">
        <f t="array" ref="GK81">IF(GK$3&gt;'GAAP Summary'!$B$2,0,SUM(INDIRECT(XLOOKUP(GK$3,'TTM Dates'!$B:$B,'TTM Dates'!$E:$E)&amp;ROW($CJ81)&amp;":"&amp;XLOOKUP(GK$3,'TTM Dates'!$B:$B,'TTM Dates'!$C:$C)&amp;ROW($CJ81))))</f>
        <v>0</v>
      </c>
      <c r="GL81" s="44">
        <f t="array" ref="GL81">IF(GL$3&gt;'GAAP Summary'!$B$2,0,SUM(INDIRECT(XLOOKUP(GL$3,'TTM Dates'!$B:$B,'TTM Dates'!$E:$E)&amp;ROW($CJ81)&amp;":"&amp;XLOOKUP(GL$3,'TTM Dates'!$B:$B,'TTM Dates'!$C:$C)&amp;ROW($CJ81))))</f>
        <v>0</v>
      </c>
      <c r="GM81" s="44"/>
    </row>
    <row r="82">
      <c r="B82" s="53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  <c r="BR82" s="49"/>
      <c r="BS82" s="49"/>
      <c r="BT82" s="49"/>
      <c r="BU82" s="49"/>
      <c r="BV82" s="49"/>
      <c r="BW82" s="461"/>
      <c r="BX82" s="461"/>
      <c r="BY82" s="461"/>
      <c r="BZ82" s="461"/>
      <c r="CA82" s="461"/>
      <c r="CB82" s="461"/>
      <c r="CC82" s="461"/>
      <c r="CD82" s="461"/>
      <c r="CE82" s="461"/>
      <c r="CF82" s="461"/>
      <c r="CG82" s="461"/>
      <c r="CH82" s="461"/>
      <c r="CI82" s="33"/>
      <c r="CJ82" s="33"/>
      <c r="CK82" s="56"/>
      <c r="CL82" s="49"/>
      <c r="CM82" s="49"/>
      <c r="CN82" s="49"/>
      <c r="CO82" s="49"/>
      <c r="CP82" s="49"/>
      <c r="CQ82" s="56"/>
      <c r="CR82" s="49"/>
      <c r="CS82" s="49"/>
      <c r="CT82" s="49"/>
      <c r="CU82" s="49"/>
      <c r="CV82" s="49"/>
      <c r="CW82" s="60"/>
      <c r="CX82" s="49"/>
      <c r="CY82" s="49"/>
      <c r="CZ82" s="49"/>
      <c r="DA82" s="49"/>
      <c r="DB82" s="49"/>
      <c r="DC82" s="60"/>
      <c r="DD82" s="49"/>
      <c r="DE82" s="49"/>
      <c r="DF82" s="49"/>
      <c r="DG82" s="49"/>
      <c r="DH82" s="49"/>
      <c r="DI82" s="60"/>
      <c r="DJ82" s="49"/>
      <c r="DK82" s="49"/>
      <c r="DL82" s="49"/>
      <c r="DM82" s="49"/>
      <c r="DN82" s="49"/>
      <c r="DO82" s="60"/>
      <c r="DP82" s="49"/>
      <c r="DQ82" s="60"/>
      <c r="DR82" s="136"/>
      <c r="DS82" s="44"/>
      <c r="DT82" s="44"/>
      <c r="DU82" s="44"/>
      <c r="DV82" s="44"/>
      <c r="DW82" s="44"/>
      <c r="DX82" s="44"/>
      <c r="DY82" s="44"/>
      <c r="DZ82" s="44"/>
      <c r="EA82" s="44"/>
      <c r="EB82" s="44"/>
      <c r="EC82" s="44"/>
      <c r="ED82" s="44"/>
      <c r="EE82" s="44"/>
      <c r="EF82" s="44"/>
      <c r="EG82" s="44"/>
      <c r="EH82" s="44"/>
      <c r="EI82" s="44"/>
      <c r="EJ82" s="44"/>
      <c r="EK82" s="44"/>
      <c r="EL82" s="44"/>
      <c r="EM82" s="44"/>
      <c r="EN82" s="44"/>
      <c r="EO82" s="44"/>
      <c r="EP82" s="44"/>
      <c r="EQ82" s="44"/>
      <c r="ER82" s="44"/>
      <c r="ES82" s="44"/>
      <c r="ET82" s="44"/>
      <c r="EU82" s="44"/>
      <c r="EV82" s="44"/>
      <c r="EW82" s="44"/>
      <c r="EX82" s="44"/>
      <c r="EY82" s="44"/>
      <c r="EZ82" s="44"/>
      <c r="FA82" s="44"/>
      <c r="FB82" s="44"/>
      <c r="FC82" s="44"/>
      <c r="FD82" s="44"/>
      <c r="FE82" s="44"/>
      <c r="FF82" s="44"/>
      <c r="FG82" s="44"/>
      <c r="FH82" s="44"/>
      <c r="FI82" s="44"/>
      <c r="FJ82" s="44"/>
      <c r="FK82" s="44"/>
      <c r="FL82" s="44"/>
      <c r="FM82" s="44"/>
      <c r="FN82" s="44"/>
      <c r="FO82" s="44"/>
      <c r="FP82" s="44"/>
      <c r="FQ82" s="44"/>
      <c r="FR82" s="44"/>
      <c r="FS82" s="44"/>
      <c r="FT82" s="44"/>
      <c r="FU82" s="44"/>
      <c r="FV82" s="44"/>
      <c r="FW82" s="44"/>
      <c r="FX82" s="44"/>
      <c r="FY82" s="44"/>
      <c r="FZ82" s="44"/>
      <c r="GA82" s="44"/>
      <c r="GB82" s="44"/>
      <c r="GC82" s="44"/>
      <c r="GD82" s="44"/>
      <c r="GE82" s="44"/>
      <c r="GF82" s="44"/>
      <c r="GG82" s="44"/>
      <c r="GH82" s="44"/>
      <c r="GI82" s="44"/>
      <c r="GJ82" s="44"/>
      <c r="GK82" s="44"/>
      <c r="GL82" s="44"/>
      <c r="GM82" s="44"/>
    </row>
    <row r="83">
      <c r="B83" s="63" t="s">
        <v>312</v>
      </c>
      <c r="C83" s="65">
        <f t="shared" ref="C83:CH83" si="170">SUM(C84:C85)</f>
        <v>0</v>
      </c>
      <c r="D83" s="65">
        <f t="shared" si="170"/>
        <v>0</v>
      </c>
      <c r="E83" s="65">
        <f t="shared" si="170"/>
        <v>0</v>
      </c>
      <c r="F83" s="65">
        <f t="shared" si="170"/>
        <v>0</v>
      </c>
      <c r="G83" s="65">
        <f t="shared" si="170"/>
        <v>0</v>
      </c>
      <c r="H83" s="65">
        <f t="shared" si="170"/>
        <v>0</v>
      </c>
      <c r="I83" s="65">
        <f t="shared" si="170"/>
        <v>0</v>
      </c>
      <c r="J83" s="65">
        <f t="shared" si="170"/>
        <v>0</v>
      </c>
      <c r="K83" s="65">
        <f t="shared" si="170"/>
        <v>0</v>
      </c>
      <c r="L83" s="65">
        <f t="shared" si="170"/>
        <v>0</v>
      </c>
      <c r="M83" s="65">
        <f t="shared" si="170"/>
        <v>0</v>
      </c>
      <c r="N83" s="65">
        <f t="shared" si="170"/>
        <v>0</v>
      </c>
      <c r="O83" s="65">
        <f t="shared" si="170"/>
        <v>0</v>
      </c>
      <c r="P83" s="65">
        <f t="shared" si="170"/>
        <v>0</v>
      </c>
      <c r="Q83" s="65">
        <f t="shared" si="170"/>
        <v>0</v>
      </c>
      <c r="R83" s="65">
        <f t="shared" si="170"/>
        <v>0</v>
      </c>
      <c r="S83" s="65">
        <f t="shared" si="170"/>
        <v>0</v>
      </c>
      <c r="T83" s="65">
        <f t="shared" si="170"/>
        <v>0</v>
      </c>
      <c r="U83" s="65">
        <f t="shared" si="170"/>
        <v>0</v>
      </c>
      <c r="V83" s="65">
        <f t="shared" si="170"/>
        <v>0</v>
      </c>
      <c r="W83" s="65">
        <f t="shared" si="170"/>
        <v>0</v>
      </c>
      <c r="X83" s="65">
        <f t="shared" si="170"/>
        <v>0</v>
      </c>
      <c r="Y83" s="65">
        <f t="shared" si="170"/>
        <v>0</v>
      </c>
      <c r="Z83" s="65">
        <f t="shared" si="170"/>
        <v>0</v>
      </c>
      <c r="AA83" s="65">
        <f t="shared" si="170"/>
        <v>0</v>
      </c>
      <c r="AB83" s="65">
        <f t="shared" si="170"/>
        <v>0</v>
      </c>
      <c r="AC83" s="65">
        <f t="shared" si="170"/>
        <v>0</v>
      </c>
      <c r="AD83" s="65">
        <f t="shared" si="170"/>
        <v>0</v>
      </c>
      <c r="AE83" s="65">
        <f t="shared" si="170"/>
        <v>0</v>
      </c>
      <c r="AF83" s="65">
        <f t="shared" si="170"/>
        <v>0</v>
      </c>
      <c r="AG83" s="65">
        <f t="shared" si="170"/>
        <v>0</v>
      </c>
      <c r="AH83" s="65">
        <f t="shared" si="170"/>
        <v>0</v>
      </c>
      <c r="AI83" s="65">
        <f t="shared" si="170"/>
        <v>0</v>
      </c>
      <c r="AJ83" s="65">
        <f t="shared" si="170"/>
        <v>0</v>
      </c>
      <c r="AK83" s="65">
        <f t="shared" si="170"/>
        <v>0</v>
      </c>
      <c r="AL83" s="65">
        <f t="shared" si="170"/>
        <v>0</v>
      </c>
      <c r="AM83" s="65">
        <f t="shared" si="170"/>
        <v>0</v>
      </c>
      <c r="AN83" s="65">
        <f t="shared" si="170"/>
        <v>0</v>
      </c>
      <c r="AO83" s="65">
        <f t="shared" si="170"/>
        <v>0</v>
      </c>
      <c r="AP83" s="65">
        <f t="shared" si="170"/>
        <v>0</v>
      </c>
      <c r="AQ83" s="65">
        <f t="shared" si="170"/>
        <v>0</v>
      </c>
      <c r="AR83" s="65">
        <f t="shared" si="170"/>
        <v>0</v>
      </c>
      <c r="AS83" s="65">
        <f t="shared" si="170"/>
        <v>0</v>
      </c>
      <c r="AT83" s="65">
        <f t="shared" si="170"/>
        <v>0</v>
      </c>
      <c r="AU83" s="65">
        <f t="shared" si="170"/>
        <v>0</v>
      </c>
      <c r="AV83" s="65">
        <f t="shared" si="170"/>
        <v>0</v>
      </c>
      <c r="AW83" s="65">
        <f t="shared" si="170"/>
        <v>0</v>
      </c>
      <c r="AX83" s="65">
        <f t="shared" si="170"/>
        <v>0</v>
      </c>
      <c r="AY83" s="65">
        <f t="shared" si="170"/>
        <v>0</v>
      </c>
      <c r="AZ83" s="65">
        <f t="shared" si="170"/>
        <v>0</v>
      </c>
      <c r="BA83" s="65">
        <f t="shared" si="170"/>
        <v>0</v>
      </c>
      <c r="BB83" s="65">
        <f t="shared" si="170"/>
        <v>0</v>
      </c>
      <c r="BC83" s="65">
        <f t="shared" si="170"/>
        <v>0</v>
      </c>
      <c r="BD83" s="65">
        <f t="shared" si="170"/>
        <v>0</v>
      </c>
      <c r="BE83" s="65">
        <f t="shared" si="170"/>
        <v>0</v>
      </c>
      <c r="BF83" s="65">
        <f t="shared" si="170"/>
        <v>0</v>
      </c>
      <c r="BG83" s="65">
        <f t="shared" si="170"/>
        <v>0</v>
      </c>
      <c r="BH83" s="65">
        <f t="shared" si="170"/>
        <v>0</v>
      </c>
      <c r="BI83" s="65">
        <f t="shared" si="170"/>
        <v>0</v>
      </c>
      <c r="BJ83" s="65">
        <f t="shared" si="170"/>
        <v>0</v>
      </c>
      <c r="BK83" s="65">
        <f t="shared" si="170"/>
        <v>0</v>
      </c>
      <c r="BL83" s="65">
        <f t="shared" si="170"/>
        <v>0</v>
      </c>
      <c r="BM83" s="65">
        <f t="shared" si="170"/>
        <v>0</v>
      </c>
      <c r="BN83" s="65">
        <f t="shared" si="170"/>
        <v>0</v>
      </c>
      <c r="BO83" s="65">
        <f t="shared" si="170"/>
        <v>0</v>
      </c>
      <c r="BP83" s="65">
        <f t="shared" si="170"/>
        <v>0</v>
      </c>
      <c r="BQ83" s="65">
        <f t="shared" si="170"/>
        <v>0</v>
      </c>
      <c r="BR83" s="65">
        <f t="shared" si="170"/>
        <v>0</v>
      </c>
      <c r="BS83" s="65">
        <f t="shared" si="170"/>
        <v>42438.7</v>
      </c>
      <c r="BT83" s="65">
        <f t="shared" si="170"/>
        <v>42121.41</v>
      </c>
      <c r="BU83" s="65">
        <f t="shared" si="170"/>
        <v>42549.18</v>
      </c>
      <c r="BV83" s="65">
        <f t="shared" si="170"/>
        <v>109269.85</v>
      </c>
      <c r="BW83" s="65">
        <f t="shared" si="170"/>
        <v>73982.62</v>
      </c>
      <c r="BX83" s="65">
        <f t="shared" si="170"/>
        <v>68641</v>
      </c>
      <c r="BY83" s="65">
        <f t="shared" si="170"/>
        <v>79244</v>
      </c>
      <c r="BZ83" s="65">
        <f t="shared" si="170"/>
        <v>0</v>
      </c>
      <c r="CA83" s="65">
        <f t="shared" si="170"/>
        <v>85226.45</v>
      </c>
      <c r="CB83" s="65">
        <f t="shared" si="170"/>
        <v>111896.16</v>
      </c>
      <c r="CC83" s="65">
        <f t="shared" si="170"/>
        <v>0</v>
      </c>
      <c r="CD83" s="65">
        <f t="shared" si="170"/>
        <v>0</v>
      </c>
      <c r="CE83" s="65">
        <f t="shared" si="170"/>
        <v>0</v>
      </c>
      <c r="CF83" s="65">
        <f t="shared" si="170"/>
        <v>0</v>
      </c>
      <c r="CG83" s="65">
        <f t="shared" si="170"/>
        <v>0</v>
      </c>
      <c r="CH83" s="65">
        <f t="shared" si="170"/>
        <v>0</v>
      </c>
      <c r="CI83" s="33"/>
      <c r="CJ83" s="33"/>
      <c r="CK83" s="69">
        <f t="array" ref="CK83">SUM(INDIRECT(XLOOKUP('GAAP Summary'!$B$2,'TTM Dates'!$B:$B,'TTM Dates'!$E:$E)&amp;ROW($CJ83)&amp;":"&amp;XLOOKUP('GAAP Summary'!$B$2,'TTM Dates'!$B:$B,'TTM Dates'!$C:$C)&amp;ROW($CJ83)))</f>
        <v>655369.37</v>
      </c>
      <c r="CL83" s="49"/>
      <c r="CM83" s="270">
        <f t="shared" ref="CM83:CM85" si="171">sum(BW83:BY83)</f>
        <v>221867.62</v>
      </c>
      <c r="CN83" s="270">
        <f t="shared" ref="CN83:CN85" si="172">sum(BZ83:CB83)</f>
        <v>197122.61</v>
      </c>
      <c r="CO83" s="270">
        <f t="shared" ref="CO83:CO85" si="173">sum(CC83:CE83)</f>
        <v>0</v>
      </c>
      <c r="CP83" s="270">
        <f t="shared" ref="CP83:CP85" si="174">sum(CF83:CH83)</f>
        <v>0</v>
      </c>
      <c r="CQ83" s="69">
        <f t="shared" ref="CQ83:CQ85" si="175">sum(BW83:CH83)</f>
        <v>418990.23</v>
      </c>
      <c r="CR83" s="270"/>
      <c r="CS83" s="270"/>
      <c r="CT83" s="270"/>
      <c r="CU83" s="270"/>
      <c r="CV83" s="270"/>
      <c r="CW83" s="121"/>
      <c r="CX83" s="49"/>
      <c r="CY83" s="270"/>
      <c r="CZ83" s="270"/>
      <c r="DA83" s="270"/>
      <c r="DB83" s="270"/>
      <c r="DC83" s="121"/>
      <c r="DD83" s="49"/>
      <c r="DE83" s="270"/>
      <c r="DF83" s="270"/>
      <c r="DG83" s="270"/>
      <c r="DH83" s="270"/>
      <c r="DI83" s="121"/>
      <c r="DJ83" s="49"/>
      <c r="DK83" s="270"/>
      <c r="DL83" s="270"/>
      <c r="DM83" s="270"/>
      <c r="DN83" s="270"/>
      <c r="DO83" s="121"/>
      <c r="DP83" s="49"/>
      <c r="DQ83" s="121"/>
      <c r="DR83" s="136"/>
      <c r="DS83" s="64"/>
      <c r="DT83" s="64"/>
      <c r="DU83" s="64"/>
      <c r="DV83" s="64"/>
      <c r="DW83" s="64"/>
      <c r="DX83" s="64"/>
      <c r="DY83" s="64"/>
      <c r="DZ83" s="64"/>
      <c r="EA83" s="64"/>
      <c r="EB83" s="64"/>
      <c r="EC83" s="64"/>
      <c r="ED83" s="64"/>
      <c r="EE83" s="64"/>
      <c r="EF83" s="64"/>
      <c r="EG83" s="64"/>
      <c r="EH83" s="64"/>
      <c r="EI83" s="64"/>
      <c r="EJ83" s="64"/>
      <c r="EK83" s="64"/>
      <c r="EL83" s="64"/>
      <c r="EM83" s="64"/>
      <c r="EN83" s="64"/>
      <c r="EO83" s="64"/>
      <c r="EP83" s="64"/>
      <c r="EQ83" s="64"/>
      <c r="ER83" s="64"/>
      <c r="ES83" s="64"/>
      <c r="ET83" s="64"/>
      <c r="EU83" s="64"/>
      <c r="EV83" s="64"/>
      <c r="EW83" s="64"/>
      <c r="EX83" s="64"/>
      <c r="EY83" s="64"/>
      <c r="EZ83" s="64"/>
      <c r="FA83" s="64"/>
      <c r="FB83" s="64"/>
      <c r="FC83" s="64"/>
      <c r="FD83" s="64"/>
      <c r="FE83" s="64"/>
      <c r="FF83" s="64"/>
      <c r="FG83" s="64"/>
      <c r="FH83" s="64"/>
      <c r="FI83" s="64"/>
      <c r="FJ83" s="64"/>
      <c r="FK83" s="64"/>
      <c r="FL83" s="64"/>
      <c r="FM83" s="64"/>
      <c r="FN83" s="64"/>
      <c r="FO83" s="64"/>
      <c r="FP83" s="64"/>
      <c r="FQ83" s="64"/>
      <c r="FR83" s="64"/>
      <c r="FS83" s="64"/>
      <c r="FT83" s="64"/>
      <c r="FU83" s="64"/>
      <c r="FV83" s="64"/>
      <c r="FW83" s="64"/>
      <c r="FX83" s="64"/>
      <c r="FY83" s="64"/>
      <c r="FZ83" s="64"/>
      <c r="GA83" s="64"/>
      <c r="GB83" s="64"/>
      <c r="GC83" s="64"/>
      <c r="GD83" s="64"/>
      <c r="GE83" s="64"/>
      <c r="GF83" s="64"/>
      <c r="GG83" s="64"/>
      <c r="GH83" s="64"/>
      <c r="GI83" s="64"/>
      <c r="GJ83" s="64"/>
      <c r="GK83" s="64"/>
      <c r="GL83" s="64"/>
      <c r="GM83" s="64"/>
    </row>
    <row r="84">
      <c r="B84" s="280" t="s">
        <v>312</v>
      </c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352"/>
      <c r="AB84" s="352"/>
      <c r="AC84" s="352"/>
      <c r="AD84" s="352"/>
      <c r="AE84" s="352"/>
      <c r="AF84" s="352"/>
      <c r="AG84" s="352"/>
      <c r="AH84" s="352"/>
      <c r="AI84" s="352"/>
      <c r="AJ84" s="352"/>
      <c r="AK84" s="352"/>
      <c r="AL84" s="352"/>
      <c r="AM84" s="352"/>
      <c r="AN84" s="352"/>
      <c r="AO84" s="352"/>
      <c r="AP84" s="352"/>
      <c r="AQ84" s="352"/>
      <c r="AR84" s="352"/>
      <c r="AS84" s="352"/>
      <c r="AT84" s="352"/>
      <c r="AU84" s="352"/>
      <c r="AV84" s="352"/>
      <c r="AW84" s="352"/>
      <c r="AX84" s="352"/>
      <c r="AY84" s="352"/>
      <c r="AZ84" s="352"/>
      <c r="BA84" s="352"/>
      <c r="BB84" s="352"/>
      <c r="BC84" s="352"/>
      <c r="BD84" s="352"/>
      <c r="BE84" s="352"/>
      <c r="BF84" s="352"/>
      <c r="BG84" s="352"/>
      <c r="BH84" s="352"/>
      <c r="BI84" s="352"/>
      <c r="BJ84" s="352"/>
      <c r="BK84" s="352"/>
      <c r="BL84" s="352"/>
      <c r="BM84" s="352"/>
      <c r="BN84" s="352"/>
      <c r="BO84" s="352"/>
      <c r="BP84" s="352"/>
      <c r="BQ84" s="352"/>
      <c r="BR84" s="352"/>
      <c r="BS84" s="352">
        <v>32571.88</v>
      </c>
      <c r="BT84" s="352">
        <v>32569.67</v>
      </c>
      <c r="BU84" s="352">
        <v>33183.1</v>
      </c>
      <c r="BV84" s="352">
        <v>98864.24</v>
      </c>
      <c r="BW84" s="446">
        <v>64549.62</v>
      </c>
      <c r="BX84" s="446">
        <v>58458.0</v>
      </c>
      <c r="BY84" s="446">
        <v>64614.0</v>
      </c>
      <c r="BZ84" s="289"/>
      <c r="CA84" s="289">
        <f>503.25+30980.43+43867.28</f>
        <v>75350.96</v>
      </c>
      <c r="CB84" s="289">
        <f>111896.16-CB85</f>
        <v>101985.99</v>
      </c>
      <c r="CC84" s="289"/>
      <c r="CD84" s="289"/>
      <c r="CE84" s="289"/>
      <c r="CF84" s="289"/>
      <c r="CG84" s="289"/>
      <c r="CH84" s="289"/>
      <c r="CI84" s="33"/>
      <c r="CJ84" s="33"/>
      <c r="CK84" s="290">
        <f t="array" ref="CK84">SUM(INDIRECT(XLOOKUP('GAAP Summary'!$B$2,'TTM Dates'!$B:$B,'TTM Dates'!$E:$E)&amp;ROW($CJ84)&amp;":"&amp;XLOOKUP('GAAP Summary'!$B$2,'TTM Dates'!$B:$B,'TTM Dates'!$C:$C)&amp;ROW($CJ84)))</f>
        <v>562147.46</v>
      </c>
      <c r="CL84" s="49"/>
      <c r="CM84" s="108">
        <f t="shared" si="171"/>
        <v>187621.62</v>
      </c>
      <c r="CN84" s="108">
        <f t="shared" si="172"/>
        <v>177336.95</v>
      </c>
      <c r="CO84" s="108">
        <f t="shared" si="173"/>
        <v>0</v>
      </c>
      <c r="CP84" s="108">
        <f t="shared" si="174"/>
        <v>0</v>
      </c>
      <c r="CQ84" s="290">
        <f t="shared" si="175"/>
        <v>364958.57</v>
      </c>
      <c r="CR84" s="108"/>
      <c r="CS84" s="108"/>
      <c r="CT84" s="108"/>
      <c r="CU84" s="108"/>
      <c r="CV84" s="108"/>
      <c r="CW84" s="282"/>
      <c r="CX84" s="49"/>
      <c r="CY84" s="108"/>
      <c r="CZ84" s="108"/>
      <c r="DA84" s="108"/>
      <c r="DB84" s="108"/>
      <c r="DC84" s="282"/>
      <c r="DD84" s="283"/>
      <c r="DE84" s="108"/>
      <c r="DF84" s="108"/>
      <c r="DG84" s="108"/>
      <c r="DH84" s="108"/>
      <c r="DI84" s="282"/>
      <c r="DJ84" s="283"/>
      <c r="DK84" s="108"/>
      <c r="DL84" s="108"/>
      <c r="DM84" s="108"/>
      <c r="DN84" s="108"/>
      <c r="DO84" s="282"/>
      <c r="DP84" s="283"/>
      <c r="DQ84" s="282"/>
      <c r="DR84" s="136"/>
      <c r="DS84" s="286"/>
      <c r="DT84" s="286"/>
      <c r="DU84" s="286"/>
      <c r="DV84" s="286"/>
      <c r="DW84" s="286"/>
      <c r="DX84" s="286"/>
      <c r="DY84" s="286"/>
      <c r="DZ84" s="286"/>
      <c r="EA84" s="286"/>
      <c r="EB84" s="286"/>
      <c r="EC84" s="286"/>
      <c r="ED84" s="286"/>
      <c r="EE84" s="286"/>
      <c r="EF84" s="286"/>
      <c r="EG84" s="286"/>
      <c r="EH84" s="286"/>
      <c r="EI84" s="286"/>
      <c r="EJ84" s="286"/>
      <c r="EK84" s="286"/>
      <c r="EL84" s="286"/>
      <c r="EM84" s="286"/>
      <c r="EN84" s="286"/>
      <c r="EO84" s="286"/>
      <c r="EP84" s="286"/>
      <c r="EQ84" s="286"/>
      <c r="ER84" s="286"/>
      <c r="ES84" s="286"/>
      <c r="ET84" s="286"/>
      <c r="EU84" s="286"/>
      <c r="EV84" s="286"/>
      <c r="EW84" s="286"/>
      <c r="EX84" s="286"/>
      <c r="EY84" s="286"/>
      <c r="EZ84" s="286"/>
      <c r="FA84" s="286"/>
      <c r="FB84" s="286"/>
      <c r="FC84" s="286"/>
      <c r="FD84" s="286"/>
      <c r="FE84" s="286"/>
      <c r="FF84" s="286"/>
      <c r="FG84" s="286"/>
      <c r="FH84" s="286"/>
      <c r="FI84" s="286"/>
      <c r="FJ84" s="286"/>
      <c r="FK84" s="286"/>
      <c r="FL84" s="286"/>
      <c r="FM84" s="286"/>
      <c r="FN84" s="286"/>
      <c r="FO84" s="286"/>
      <c r="FP84" s="286"/>
      <c r="FQ84" s="286"/>
      <c r="FR84" s="286"/>
      <c r="FS84" s="286"/>
      <c r="FT84" s="286"/>
      <c r="FU84" s="286"/>
      <c r="FV84" s="286"/>
      <c r="FW84" s="286"/>
      <c r="FX84" s="286"/>
      <c r="FY84" s="286"/>
      <c r="FZ84" s="286"/>
      <c r="GA84" s="286"/>
      <c r="GB84" s="286"/>
      <c r="GC84" s="286"/>
      <c r="GD84" s="286"/>
      <c r="GE84" s="286"/>
      <c r="GF84" s="286"/>
      <c r="GG84" s="286"/>
      <c r="GH84" s="286"/>
      <c r="GI84" s="286"/>
      <c r="GJ84" s="286"/>
      <c r="GK84" s="286"/>
      <c r="GL84" s="286"/>
      <c r="GM84" s="286"/>
    </row>
    <row r="85">
      <c r="B85" s="280" t="s">
        <v>565</v>
      </c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352"/>
      <c r="AB85" s="352"/>
      <c r="AC85" s="352"/>
      <c r="AD85" s="352"/>
      <c r="AE85" s="352"/>
      <c r="AF85" s="352"/>
      <c r="AG85" s="352"/>
      <c r="AH85" s="352"/>
      <c r="AI85" s="352"/>
      <c r="AJ85" s="352"/>
      <c r="AK85" s="352"/>
      <c r="AL85" s="352"/>
      <c r="AM85" s="352"/>
      <c r="AN85" s="352"/>
      <c r="AO85" s="352"/>
      <c r="AP85" s="352"/>
      <c r="AQ85" s="352"/>
      <c r="AR85" s="352"/>
      <c r="AS85" s="352"/>
      <c r="AT85" s="352"/>
      <c r="AU85" s="352"/>
      <c r="AV85" s="352"/>
      <c r="AW85" s="352"/>
      <c r="AX85" s="352"/>
      <c r="AY85" s="352"/>
      <c r="AZ85" s="352"/>
      <c r="BA85" s="352"/>
      <c r="BB85" s="352"/>
      <c r="BC85" s="352"/>
      <c r="BD85" s="352"/>
      <c r="BE85" s="352"/>
      <c r="BF85" s="352"/>
      <c r="BG85" s="352"/>
      <c r="BH85" s="352"/>
      <c r="BI85" s="352"/>
      <c r="BJ85" s="352"/>
      <c r="BK85" s="352"/>
      <c r="BL85" s="352"/>
      <c r="BM85" s="352"/>
      <c r="BN85" s="352"/>
      <c r="BO85" s="352"/>
      <c r="BP85" s="352"/>
      <c r="BQ85" s="352"/>
      <c r="BR85" s="352"/>
      <c r="BS85" s="352">
        <v>9866.82</v>
      </c>
      <c r="BT85" s="352">
        <v>9551.74</v>
      </c>
      <c r="BU85" s="352">
        <v>9366.08</v>
      </c>
      <c r="BV85" s="352">
        <v>10405.61</v>
      </c>
      <c r="BW85" s="446">
        <v>9433.0</v>
      </c>
      <c r="BX85" s="446">
        <v>10183.0</v>
      </c>
      <c r="BY85" s="446">
        <v>14630.0</v>
      </c>
      <c r="BZ85" s="289"/>
      <c r="CA85" s="289">
        <f>128.18+2330.23+7417.08</f>
        <v>9875.49</v>
      </c>
      <c r="CB85" s="289">
        <f>7451.76+2330.23+128.18</f>
        <v>9910.17</v>
      </c>
      <c r="CC85" s="289"/>
      <c r="CD85" s="289"/>
      <c r="CE85" s="289"/>
      <c r="CF85" s="289"/>
      <c r="CG85" s="289"/>
      <c r="CH85" s="289"/>
      <c r="CI85" s="33"/>
      <c r="CJ85" s="33"/>
      <c r="CK85" s="290">
        <f t="array" ref="CK85">SUM(INDIRECT(XLOOKUP('GAAP Summary'!$B$2,'TTM Dates'!$B:$B,'TTM Dates'!$E:$E)&amp;ROW($CJ85)&amp;":"&amp;XLOOKUP('GAAP Summary'!$B$2,'TTM Dates'!$B:$B,'TTM Dates'!$C:$C)&amp;ROW($CJ85)))</f>
        <v>93221.91</v>
      </c>
      <c r="CL85" s="49"/>
      <c r="CM85" s="108">
        <f t="shared" si="171"/>
        <v>34246</v>
      </c>
      <c r="CN85" s="108">
        <f t="shared" si="172"/>
        <v>19785.66</v>
      </c>
      <c r="CO85" s="108">
        <f t="shared" si="173"/>
        <v>0</v>
      </c>
      <c r="CP85" s="108">
        <f t="shared" si="174"/>
        <v>0</v>
      </c>
      <c r="CQ85" s="290">
        <f t="shared" si="175"/>
        <v>54031.66</v>
      </c>
      <c r="CR85" s="108"/>
      <c r="CS85" s="108"/>
      <c r="CT85" s="108"/>
      <c r="CU85" s="108"/>
      <c r="CV85" s="108"/>
      <c r="CW85" s="282"/>
      <c r="CX85" s="49"/>
      <c r="CY85" s="108"/>
      <c r="CZ85" s="108"/>
      <c r="DA85" s="108"/>
      <c r="DB85" s="108"/>
      <c r="DC85" s="282"/>
      <c r="DD85" s="283"/>
      <c r="DE85" s="108"/>
      <c r="DF85" s="108"/>
      <c r="DG85" s="108"/>
      <c r="DH85" s="108"/>
      <c r="DI85" s="282"/>
      <c r="DJ85" s="283"/>
      <c r="DK85" s="108"/>
      <c r="DL85" s="108"/>
      <c r="DM85" s="108"/>
      <c r="DN85" s="108"/>
      <c r="DO85" s="282"/>
      <c r="DP85" s="283"/>
      <c r="DQ85" s="282"/>
      <c r="DR85" s="136"/>
      <c r="DS85" s="286"/>
      <c r="DT85" s="286"/>
      <c r="DU85" s="286"/>
      <c r="DV85" s="286"/>
      <c r="DW85" s="286"/>
      <c r="DX85" s="286"/>
      <c r="DY85" s="286"/>
      <c r="DZ85" s="286"/>
      <c r="EA85" s="286"/>
      <c r="EB85" s="286"/>
      <c r="EC85" s="286"/>
      <c r="ED85" s="286"/>
      <c r="EE85" s="286"/>
      <c r="EF85" s="286"/>
      <c r="EG85" s="286"/>
      <c r="EH85" s="286"/>
      <c r="EI85" s="286"/>
      <c r="EJ85" s="286"/>
      <c r="EK85" s="286"/>
      <c r="EL85" s="286"/>
      <c r="EM85" s="286"/>
      <c r="EN85" s="286"/>
      <c r="EO85" s="286"/>
      <c r="EP85" s="286"/>
      <c r="EQ85" s="286"/>
      <c r="ER85" s="286"/>
      <c r="ES85" s="286"/>
      <c r="ET85" s="286"/>
      <c r="EU85" s="286"/>
      <c r="EV85" s="286"/>
      <c r="EW85" s="286"/>
      <c r="EX85" s="286"/>
      <c r="EY85" s="286"/>
      <c r="EZ85" s="286"/>
      <c r="FA85" s="286"/>
      <c r="FB85" s="286"/>
      <c r="FC85" s="286"/>
      <c r="FD85" s="286"/>
      <c r="FE85" s="286"/>
      <c r="FF85" s="286"/>
      <c r="FG85" s="286"/>
      <c r="FH85" s="286"/>
      <c r="FI85" s="286"/>
      <c r="FJ85" s="286"/>
      <c r="FK85" s="286"/>
      <c r="FL85" s="286"/>
      <c r="FM85" s="286"/>
      <c r="FN85" s="286"/>
      <c r="FO85" s="286"/>
      <c r="FP85" s="286"/>
      <c r="FQ85" s="286"/>
      <c r="FR85" s="286"/>
      <c r="FS85" s="286"/>
      <c r="FT85" s="286"/>
      <c r="FU85" s="286"/>
      <c r="FV85" s="286"/>
      <c r="FW85" s="286"/>
      <c r="FX85" s="286"/>
      <c r="FY85" s="286"/>
      <c r="FZ85" s="286"/>
      <c r="GA85" s="286"/>
      <c r="GB85" s="286"/>
      <c r="GC85" s="286"/>
      <c r="GD85" s="286"/>
      <c r="GE85" s="286"/>
      <c r="GF85" s="286"/>
      <c r="GG85" s="286"/>
      <c r="GH85" s="286"/>
      <c r="GI85" s="286"/>
      <c r="GJ85" s="286"/>
      <c r="GK85" s="286"/>
      <c r="GL85" s="286"/>
      <c r="GM85" s="286"/>
    </row>
    <row r="86">
      <c r="BW86" s="2"/>
      <c r="BX86" s="464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33"/>
      <c r="CJ86" s="33"/>
      <c r="CK86" s="42"/>
      <c r="CL86" s="49"/>
      <c r="CQ86" s="42"/>
      <c r="CW86" s="34"/>
      <c r="CX86" s="49"/>
      <c r="DC86" s="34"/>
      <c r="DI86" s="34"/>
      <c r="DO86" s="34"/>
      <c r="DQ86" s="34"/>
      <c r="DR86" s="44"/>
      <c r="FB86" s="3"/>
    </row>
    <row r="87">
      <c r="B87" s="63" t="s">
        <v>566</v>
      </c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>
        <f t="shared" ref="AF87:CH87" si="176">SUM(AF88:AF89)</f>
        <v>0</v>
      </c>
      <c r="AG87" s="65">
        <f t="shared" si="176"/>
        <v>0</v>
      </c>
      <c r="AH87" s="65">
        <f t="shared" si="176"/>
        <v>0</v>
      </c>
      <c r="AI87" s="65">
        <f t="shared" si="176"/>
        <v>0</v>
      </c>
      <c r="AJ87" s="65">
        <f t="shared" si="176"/>
        <v>0</v>
      </c>
      <c r="AK87" s="65">
        <f t="shared" si="176"/>
        <v>0</v>
      </c>
      <c r="AL87" s="65">
        <f t="shared" si="176"/>
        <v>0</v>
      </c>
      <c r="AM87" s="65">
        <f t="shared" si="176"/>
        <v>0</v>
      </c>
      <c r="AN87" s="65">
        <f t="shared" si="176"/>
        <v>0</v>
      </c>
      <c r="AO87" s="65">
        <f t="shared" si="176"/>
        <v>0</v>
      </c>
      <c r="AP87" s="65">
        <f t="shared" si="176"/>
        <v>0</v>
      </c>
      <c r="AQ87" s="65">
        <f t="shared" si="176"/>
        <v>0</v>
      </c>
      <c r="AR87" s="65">
        <f t="shared" si="176"/>
        <v>0</v>
      </c>
      <c r="AS87" s="65">
        <f t="shared" si="176"/>
        <v>0</v>
      </c>
      <c r="AT87" s="65">
        <f t="shared" si="176"/>
        <v>0</v>
      </c>
      <c r="AU87" s="65">
        <f t="shared" si="176"/>
        <v>0</v>
      </c>
      <c r="AV87" s="65">
        <f t="shared" si="176"/>
        <v>0</v>
      </c>
      <c r="AW87" s="65">
        <f t="shared" si="176"/>
        <v>0</v>
      </c>
      <c r="AX87" s="65">
        <f t="shared" si="176"/>
        <v>0</v>
      </c>
      <c r="AY87" s="65">
        <f t="shared" si="176"/>
        <v>0</v>
      </c>
      <c r="AZ87" s="65">
        <f t="shared" si="176"/>
        <v>0</v>
      </c>
      <c r="BA87" s="65">
        <f t="shared" si="176"/>
        <v>0</v>
      </c>
      <c r="BB87" s="65">
        <f t="shared" si="176"/>
        <v>0</v>
      </c>
      <c r="BC87" s="65">
        <f t="shared" si="176"/>
        <v>0</v>
      </c>
      <c r="BD87" s="65">
        <f t="shared" si="176"/>
        <v>0</v>
      </c>
      <c r="BE87" s="65">
        <f t="shared" si="176"/>
        <v>0</v>
      </c>
      <c r="BF87" s="65">
        <f t="shared" si="176"/>
        <v>0</v>
      </c>
      <c r="BG87" s="65">
        <f t="shared" si="176"/>
        <v>0</v>
      </c>
      <c r="BH87" s="65">
        <f t="shared" si="176"/>
        <v>0</v>
      </c>
      <c r="BI87" s="65">
        <f t="shared" si="176"/>
        <v>0</v>
      </c>
      <c r="BJ87" s="65">
        <f t="shared" si="176"/>
        <v>0</v>
      </c>
      <c r="BK87" s="65">
        <f t="shared" si="176"/>
        <v>0</v>
      </c>
      <c r="BL87" s="65">
        <f t="shared" si="176"/>
        <v>0</v>
      </c>
      <c r="BM87" s="65">
        <f t="shared" si="176"/>
        <v>0</v>
      </c>
      <c r="BN87" s="65">
        <f t="shared" si="176"/>
        <v>0</v>
      </c>
      <c r="BO87" s="65">
        <f t="shared" si="176"/>
        <v>0</v>
      </c>
      <c r="BP87" s="65">
        <f t="shared" si="176"/>
        <v>0</v>
      </c>
      <c r="BQ87" s="65">
        <f t="shared" si="176"/>
        <v>0</v>
      </c>
      <c r="BR87" s="65">
        <f t="shared" si="176"/>
        <v>0</v>
      </c>
      <c r="BS87" s="65">
        <f t="shared" si="176"/>
        <v>232205.27</v>
      </c>
      <c r="BT87" s="65">
        <f t="shared" si="176"/>
        <v>113975.54</v>
      </c>
      <c r="BU87" s="65">
        <f t="shared" si="176"/>
        <v>24797.7</v>
      </c>
      <c r="BV87" s="65">
        <f t="shared" si="176"/>
        <v>23955.03</v>
      </c>
      <c r="BW87" s="65">
        <f t="shared" si="176"/>
        <v>20704</v>
      </c>
      <c r="BX87" s="65">
        <f t="shared" si="176"/>
        <v>12717</v>
      </c>
      <c r="BY87" s="65">
        <f t="shared" si="176"/>
        <v>14461</v>
      </c>
      <c r="BZ87" s="65">
        <f t="shared" si="176"/>
        <v>0</v>
      </c>
      <c r="CA87" s="65">
        <f t="shared" si="176"/>
        <v>10284.66</v>
      </c>
      <c r="CB87" s="65">
        <f t="shared" si="176"/>
        <v>29048.31</v>
      </c>
      <c r="CC87" s="65">
        <f t="shared" si="176"/>
        <v>0</v>
      </c>
      <c r="CD87" s="65">
        <f t="shared" si="176"/>
        <v>0</v>
      </c>
      <c r="CE87" s="65">
        <f t="shared" si="176"/>
        <v>0</v>
      </c>
      <c r="CF87" s="65">
        <f t="shared" si="176"/>
        <v>0</v>
      </c>
      <c r="CG87" s="65">
        <f t="shared" si="176"/>
        <v>0</v>
      </c>
      <c r="CH87" s="65">
        <f t="shared" si="176"/>
        <v>0</v>
      </c>
      <c r="CI87" s="33"/>
      <c r="CJ87" s="33"/>
      <c r="CK87" s="69">
        <f t="array" ref="CK87">SUM(INDIRECT(XLOOKUP('GAAP Summary'!$B$2,'TTM Dates'!$B:$B,'TTM Dates'!$E:$E)&amp;ROW($CJ87)&amp;":"&amp;XLOOKUP('GAAP Summary'!$B$2,'TTM Dates'!$B:$B,'TTM Dates'!$C:$C)&amp;ROW($CJ87)))</f>
        <v>482148.51</v>
      </c>
      <c r="CL87" s="49"/>
      <c r="CM87" s="270">
        <f t="shared" ref="CM87:CM91" si="177">sum(BW87:BY87)</f>
        <v>47882</v>
      </c>
      <c r="CN87" s="270">
        <f t="shared" ref="CN87:CN91" si="178">sum(BZ87:CB87)</f>
        <v>39332.97</v>
      </c>
      <c r="CO87" s="270">
        <f t="shared" ref="CO87:CO91" si="179">sum(CC87:CE87)</f>
        <v>0</v>
      </c>
      <c r="CP87" s="270">
        <f t="shared" ref="CP87:CP91" si="180">sum(CF87:CH87)</f>
        <v>0</v>
      </c>
      <c r="CQ87" s="69">
        <f t="shared" ref="CQ87:CQ91" si="181">sum(BW87:CH87)</f>
        <v>87214.97</v>
      </c>
      <c r="CR87" s="270"/>
      <c r="CS87" s="270"/>
      <c r="CT87" s="270"/>
      <c r="CU87" s="270"/>
      <c r="CV87" s="270"/>
      <c r="CW87" s="121"/>
      <c r="CX87" s="49"/>
      <c r="CY87" s="270"/>
      <c r="CZ87" s="270"/>
      <c r="DA87" s="270"/>
      <c r="DB87" s="270"/>
      <c r="DC87" s="121"/>
      <c r="DD87" s="49"/>
      <c r="DE87" s="270"/>
      <c r="DF87" s="270"/>
      <c r="DG87" s="270"/>
      <c r="DH87" s="270"/>
      <c r="DI87" s="121"/>
      <c r="DJ87" s="49"/>
      <c r="DK87" s="270"/>
      <c r="DL87" s="270"/>
      <c r="DM87" s="270"/>
      <c r="DN87" s="270"/>
      <c r="DO87" s="121"/>
      <c r="DP87" s="49"/>
      <c r="DQ87" s="121"/>
      <c r="DR87" s="136"/>
      <c r="DS87" s="64"/>
      <c r="DT87" s="64"/>
      <c r="DU87" s="64"/>
      <c r="DV87" s="64"/>
      <c r="DW87" s="64"/>
      <c r="DX87" s="64"/>
      <c r="DY87" s="64"/>
      <c r="DZ87" s="64"/>
      <c r="EA87" s="64"/>
      <c r="EB87" s="64"/>
      <c r="EC87" s="64"/>
      <c r="ED87" s="64"/>
      <c r="EE87" s="64"/>
      <c r="EF87" s="64"/>
      <c r="EG87" s="64"/>
      <c r="EH87" s="64"/>
      <c r="EI87" s="64"/>
      <c r="EJ87" s="64"/>
      <c r="EK87" s="64"/>
      <c r="EL87" s="64"/>
      <c r="EM87" s="64"/>
      <c r="EN87" s="64"/>
      <c r="EO87" s="64"/>
      <c r="EP87" s="64"/>
      <c r="EQ87" s="64"/>
      <c r="ER87" s="64"/>
      <c r="ES87" s="64"/>
      <c r="ET87" s="64"/>
      <c r="EU87" s="64"/>
      <c r="EV87" s="64"/>
      <c r="EW87" s="64"/>
      <c r="EX87" s="64"/>
      <c r="EY87" s="64"/>
      <c r="EZ87" s="64"/>
      <c r="FA87" s="64"/>
      <c r="FB87" s="64"/>
      <c r="FC87" s="64"/>
      <c r="FD87" s="64"/>
      <c r="FE87" s="64"/>
      <c r="FF87" s="64"/>
      <c r="FG87" s="64"/>
      <c r="FH87" s="64"/>
      <c r="FI87" s="64"/>
      <c r="FJ87" s="64"/>
      <c r="FK87" s="64"/>
      <c r="FL87" s="64"/>
      <c r="FM87" s="64"/>
      <c r="FN87" s="64"/>
      <c r="FO87" s="64"/>
      <c r="FP87" s="64"/>
      <c r="FQ87" s="64"/>
      <c r="FR87" s="64"/>
      <c r="FS87" s="64"/>
      <c r="FT87" s="64"/>
      <c r="FU87" s="64"/>
      <c r="FV87" s="64"/>
      <c r="FW87" s="64"/>
      <c r="FX87" s="64"/>
      <c r="FY87" s="64"/>
      <c r="FZ87" s="64"/>
      <c r="GA87" s="64"/>
      <c r="GB87" s="64"/>
      <c r="GC87" s="64"/>
      <c r="GD87" s="64"/>
      <c r="GE87" s="64"/>
      <c r="GF87" s="64"/>
      <c r="GG87" s="64"/>
      <c r="GH87" s="64"/>
      <c r="GI87" s="64"/>
      <c r="GJ87" s="64"/>
      <c r="GK87" s="64"/>
      <c r="GL87" s="64"/>
      <c r="GM87" s="64"/>
    </row>
    <row r="88">
      <c r="B88" s="280" t="s">
        <v>567</v>
      </c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352"/>
      <c r="AB88" s="352"/>
      <c r="AC88" s="352"/>
      <c r="AD88" s="352"/>
      <c r="AE88" s="352"/>
      <c r="AF88" s="352"/>
      <c r="AG88" s="352"/>
      <c r="AH88" s="352"/>
      <c r="AI88" s="352"/>
      <c r="AJ88" s="352"/>
      <c r="AK88" s="352"/>
      <c r="AL88" s="352"/>
      <c r="AM88" s="352"/>
      <c r="AN88" s="352"/>
      <c r="AO88" s="352"/>
      <c r="AP88" s="352"/>
      <c r="AQ88" s="352"/>
      <c r="AR88" s="352"/>
      <c r="AS88" s="352"/>
      <c r="AT88" s="352"/>
      <c r="AU88" s="352"/>
      <c r="AV88" s="352"/>
      <c r="AW88" s="352"/>
      <c r="AX88" s="352"/>
      <c r="AY88" s="352"/>
      <c r="AZ88" s="352"/>
      <c r="BA88" s="352"/>
      <c r="BB88" s="352"/>
      <c r="BC88" s="352"/>
      <c r="BD88" s="352"/>
      <c r="BE88" s="352"/>
      <c r="BF88" s="352"/>
      <c r="BG88" s="352"/>
      <c r="BH88" s="352"/>
      <c r="BI88" s="352"/>
      <c r="BJ88" s="352"/>
      <c r="BK88" s="352"/>
      <c r="BL88" s="352"/>
      <c r="BM88" s="352"/>
      <c r="BN88" s="352"/>
      <c r="BO88" s="352"/>
      <c r="BP88" s="352"/>
      <c r="BQ88" s="352"/>
      <c r="BR88" s="352"/>
      <c r="BS88" s="352">
        <v>232205.27</v>
      </c>
      <c r="BT88" s="352">
        <v>113975.54</v>
      </c>
      <c r="BU88" s="352">
        <v>24797.7</v>
      </c>
      <c r="BV88" s="352">
        <v>23955.03</v>
      </c>
      <c r="BW88" s="446">
        <v>20704.0</v>
      </c>
      <c r="BX88" s="446">
        <v>12717.0</v>
      </c>
      <c r="BY88" s="446">
        <v>14461.0</v>
      </c>
      <c r="BZ88" s="289"/>
      <c r="CA88" s="446">
        <v>10284.66</v>
      </c>
      <c r="CB88" s="446">
        <v>29048.31</v>
      </c>
      <c r="CC88" s="289"/>
      <c r="CD88" s="289"/>
      <c r="CE88" s="289"/>
      <c r="CF88" s="289"/>
      <c r="CG88" s="289"/>
      <c r="CH88" s="289"/>
      <c r="CI88" s="33"/>
      <c r="CJ88" s="33"/>
      <c r="CK88" s="290">
        <f t="array" ref="CK88">SUM(INDIRECT(XLOOKUP('GAAP Summary'!$B$2,'TTM Dates'!$B:$B,'TTM Dates'!$E:$E)&amp;ROW($CJ88)&amp;":"&amp;XLOOKUP('GAAP Summary'!$B$2,'TTM Dates'!$B:$B,'TTM Dates'!$C:$C)&amp;ROW($CJ88)))</f>
        <v>482148.51</v>
      </c>
      <c r="CL88" s="49"/>
      <c r="CM88" s="108">
        <f t="shared" si="177"/>
        <v>47882</v>
      </c>
      <c r="CN88" s="108">
        <f t="shared" si="178"/>
        <v>39332.97</v>
      </c>
      <c r="CO88" s="108">
        <f t="shared" si="179"/>
        <v>0</v>
      </c>
      <c r="CP88" s="108">
        <f t="shared" si="180"/>
        <v>0</v>
      </c>
      <c r="CQ88" s="290">
        <f t="shared" si="181"/>
        <v>87214.97</v>
      </c>
      <c r="CR88" s="108"/>
      <c r="CS88" s="108"/>
      <c r="CT88" s="108"/>
      <c r="CU88" s="108"/>
      <c r="CV88" s="108"/>
      <c r="CW88" s="282"/>
      <c r="CX88" s="49"/>
      <c r="CY88" s="108"/>
      <c r="CZ88" s="108"/>
      <c r="DA88" s="108"/>
      <c r="DB88" s="108"/>
      <c r="DC88" s="282"/>
      <c r="DD88" s="283"/>
      <c r="DE88" s="108"/>
      <c r="DF88" s="108"/>
      <c r="DG88" s="108"/>
      <c r="DH88" s="108"/>
      <c r="DI88" s="282"/>
      <c r="DJ88" s="283"/>
      <c r="DK88" s="108"/>
      <c r="DL88" s="108"/>
      <c r="DM88" s="108"/>
      <c r="DN88" s="108"/>
      <c r="DO88" s="282"/>
      <c r="DP88" s="283"/>
      <c r="DQ88" s="282"/>
      <c r="DR88" s="136"/>
      <c r="DS88" s="286"/>
      <c r="DT88" s="286"/>
      <c r="DU88" s="286"/>
      <c r="DV88" s="286"/>
      <c r="DW88" s="286"/>
      <c r="DX88" s="286"/>
      <c r="DY88" s="286"/>
      <c r="DZ88" s="286"/>
      <c r="EA88" s="286"/>
      <c r="EB88" s="286"/>
      <c r="EC88" s="286"/>
      <c r="ED88" s="286"/>
      <c r="EE88" s="286"/>
      <c r="EF88" s="286"/>
      <c r="EG88" s="286"/>
      <c r="EH88" s="286"/>
      <c r="EI88" s="286"/>
      <c r="EJ88" s="286"/>
      <c r="EK88" s="286"/>
      <c r="EL88" s="286"/>
      <c r="EM88" s="286"/>
      <c r="EN88" s="286"/>
      <c r="EO88" s="286"/>
      <c r="EP88" s="286"/>
      <c r="EQ88" s="286"/>
      <c r="ER88" s="286"/>
      <c r="ES88" s="286"/>
      <c r="ET88" s="286"/>
      <c r="EU88" s="286"/>
      <c r="EV88" s="286"/>
      <c r="EW88" s="286"/>
      <c r="EX88" s="286"/>
      <c r="EY88" s="286"/>
      <c r="EZ88" s="286"/>
      <c r="FA88" s="286"/>
      <c r="FB88" s="286"/>
      <c r="FC88" s="286"/>
      <c r="FD88" s="286"/>
      <c r="FE88" s="286"/>
      <c r="FF88" s="286"/>
      <c r="FG88" s="286"/>
      <c r="FH88" s="286"/>
      <c r="FI88" s="286"/>
      <c r="FJ88" s="286"/>
      <c r="FK88" s="286"/>
      <c r="FL88" s="286"/>
      <c r="FM88" s="286"/>
      <c r="FN88" s="286"/>
      <c r="FO88" s="286"/>
      <c r="FP88" s="286"/>
      <c r="FQ88" s="286"/>
      <c r="FR88" s="286"/>
      <c r="FS88" s="286"/>
      <c r="FT88" s="286"/>
      <c r="FU88" s="286"/>
      <c r="FV88" s="286"/>
      <c r="FW88" s="286"/>
      <c r="FX88" s="286"/>
      <c r="FY88" s="286"/>
      <c r="FZ88" s="286"/>
      <c r="GA88" s="286"/>
      <c r="GB88" s="286"/>
      <c r="GC88" s="286"/>
      <c r="GD88" s="286"/>
      <c r="GE88" s="286"/>
      <c r="GF88" s="286"/>
      <c r="GG88" s="286"/>
      <c r="GH88" s="286"/>
      <c r="GI88" s="286"/>
      <c r="GJ88" s="286"/>
      <c r="GK88" s="286"/>
      <c r="GL88" s="286"/>
      <c r="GM88" s="286"/>
    </row>
    <row r="89">
      <c r="B89" s="280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352"/>
      <c r="AB89" s="352"/>
      <c r="AC89" s="352"/>
      <c r="AD89" s="352"/>
      <c r="AE89" s="352"/>
      <c r="AF89" s="352"/>
      <c r="AG89" s="352"/>
      <c r="AH89" s="352"/>
      <c r="AI89" s="352"/>
      <c r="AJ89" s="352"/>
      <c r="AK89" s="352"/>
      <c r="AL89" s="352"/>
      <c r="AM89" s="352"/>
      <c r="AN89" s="352"/>
      <c r="AO89" s="352"/>
      <c r="AP89" s="352"/>
      <c r="AQ89" s="352"/>
      <c r="AR89" s="352"/>
      <c r="AS89" s="352"/>
      <c r="AT89" s="352"/>
      <c r="AU89" s="352"/>
      <c r="AV89" s="352"/>
      <c r="AW89" s="352"/>
      <c r="AX89" s="352"/>
      <c r="AY89" s="352"/>
      <c r="AZ89" s="352"/>
      <c r="BA89" s="352"/>
      <c r="BB89" s="352"/>
      <c r="BC89" s="352"/>
      <c r="BD89" s="352"/>
      <c r="BE89" s="352"/>
      <c r="BF89" s="352"/>
      <c r="BG89" s="352"/>
      <c r="BH89" s="352"/>
      <c r="BI89" s="352"/>
      <c r="BJ89" s="352"/>
      <c r="BK89" s="352"/>
      <c r="BL89" s="352"/>
      <c r="BM89" s="352"/>
      <c r="BN89" s="352"/>
      <c r="BO89" s="352"/>
      <c r="BP89" s="352"/>
      <c r="BQ89" s="352"/>
      <c r="BR89" s="352"/>
      <c r="BS89" s="352"/>
      <c r="BT89" s="352"/>
      <c r="BU89" s="352"/>
      <c r="BV89" s="352"/>
      <c r="BW89" s="446"/>
      <c r="BX89" s="446"/>
      <c r="BY89" s="446"/>
      <c r="BZ89" s="289"/>
      <c r="CA89" s="289"/>
      <c r="CB89" s="289"/>
      <c r="CC89" s="289"/>
      <c r="CD89" s="289"/>
      <c r="CE89" s="289"/>
      <c r="CF89" s="289"/>
      <c r="CG89" s="289"/>
      <c r="CH89" s="289"/>
      <c r="CI89" s="33"/>
      <c r="CJ89" s="33"/>
      <c r="CK89" s="290">
        <f t="array" ref="CK89">SUM(INDIRECT(XLOOKUP('GAAP Summary'!$B$2,'TTM Dates'!$B:$B,'TTM Dates'!$E:$E)&amp;ROW($CJ89)&amp;":"&amp;XLOOKUP('GAAP Summary'!$B$2,'TTM Dates'!$B:$B,'TTM Dates'!$C:$C)&amp;ROW($CJ89)))</f>
        <v>0</v>
      </c>
      <c r="CL89" s="49"/>
      <c r="CM89" s="108">
        <f t="shared" si="177"/>
        <v>0</v>
      </c>
      <c r="CN89" s="108">
        <f t="shared" si="178"/>
        <v>0</v>
      </c>
      <c r="CO89" s="108">
        <f t="shared" si="179"/>
        <v>0</v>
      </c>
      <c r="CP89" s="108">
        <f t="shared" si="180"/>
        <v>0</v>
      </c>
      <c r="CQ89" s="290">
        <f t="shared" si="181"/>
        <v>0</v>
      </c>
      <c r="CR89" s="108"/>
      <c r="CS89" s="108"/>
      <c r="CT89" s="108"/>
      <c r="CU89" s="108"/>
      <c r="CV89" s="108"/>
      <c r="CW89" s="282"/>
      <c r="CX89" s="49"/>
      <c r="CY89" s="108"/>
      <c r="CZ89" s="108"/>
      <c r="DA89" s="108"/>
      <c r="DB89" s="108"/>
      <c r="DC89" s="282"/>
      <c r="DD89" s="283"/>
      <c r="DE89" s="108"/>
      <c r="DF89" s="108"/>
      <c r="DG89" s="108"/>
      <c r="DH89" s="108"/>
      <c r="DI89" s="282"/>
      <c r="DJ89" s="283"/>
      <c r="DK89" s="108"/>
      <c r="DL89" s="108"/>
      <c r="DM89" s="108"/>
      <c r="DN89" s="108"/>
      <c r="DO89" s="282"/>
      <c r="DP89" s="283"/>
      <c r="DQ89" s="282"/>
      <c r="DR89" s="136"/>
      <c r="DS89" s="286"/>
      <c r="DT89" s="286"/>
      <c r="DU89" s="286"/>
      <c r="DV89" s="286"/>
      <c r="DW89" s="286"/>
      <c r="DX89" s="286"/>
      <c r="DY89" s="286"/>
      <c r="DZ89" s="286"/>
      <c r="EA89" s="286"/>
      <c r="EB89" s="286"/>
      <c r="EC89" s="286"/>
      <c r="ED89" s="286"/>
      <c r="EE89" s="286"/>
      <c r="EF89" s="286"/>
      <c r="EG89" s="286"/>
      <c r="EH89" s="286"/>
      <c r="EI89" s="286"/>
      <c r="EJ89" s="286"/>
      <c r="EK89" s="286"/>
      <c r="EL89" s="286"/>
      <c r="EM89" s="286"/>
      <c r="EN89" s="286"/>
      <c r="EO89" s="286"/>
      <c r="EP89" s="286"/>
      <c r="EQ89" s="286"/>
      <c r="ER89" s="286"/>
      <c r="ES89" s="286"/>
      <c r="ET89" s="286"/>
      <c r="EU89" s="286"/>
      <c r="EV89" s="286"/>
      <c r="EW89" s="286"/>
      <c r="EX89" s="286"/>
      <c r="EY89" s="286"/>
      <c r="EZ89" s="286"/>
      <c r="FA89" s="286"/>
      <c r="FB89" s="286"/>
      <c r="FC89" s="286"/>
      <c r="FD89" s="286"/>
      <c r="FE89" s="286"/>
      <c r="FF89" s="286"/>
      <c r="FG89" s="286"/>
      <c r="FH89" s="286"/>
      <c r="FI89" s="286"/>
      <c r="FJ89" s="286"/>
      <c r="FK89" s="286"/>
      <c r="FL89" s="286"/>
      <c r="FM89" s="286"/>
      <c r="FN89" s="286"/>
      <c r="FO89" s="286"/>
      <c r="FP89" s="286"/>
      <c r="FQ89" s="286"/>
      <c r="FR89" s="286"/>
      <c r="FS89" s="286"/>
      <c r="FT89" s="286"/>
      <c r="FU89" s="286"/>
      <c r="FV89" s="286"/>
      <c r="FW89" s="286"/>
      <c r="FX89" s="286"/>
      <c r="FY89" s="286"/>
      <c r="FZ89" s="286"/>
      <c r="GA89" s="286"/>
      <c r="GB89" s="286"/>
      <c r="GC89" s="286"/>
      <c r="GD89" s="286"/>
      <c r="GE89" s="286"/>
      <c r="GF89" s="286"/>
      <c r="GG89" s="286"/>
      <c r="GH89" s="286"/>
      <c r="GI89" s="286"/>
      <c r="GJ89" s="286"/>
      <c r="GK89" s="286"/>
      <c r="GL89" s="286"/>
      <c r="GM89" s="286"/>
    </row>
    <row r="90">
      <c r="BW90" s="2"/>
      <c r="BX90" s="464">
        <f>sum(BW91,BX91) </f>
        <v>1000322.96</v>
      </c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33"/>
      <c r="CJ90" s="33"/>
      <c r="CK90" s="42"/>
      <c r="CL90" s="49"/>
      <c r="CM90" s="84">
        <f t="shared" si="177"/>
        <v>1000322.96</v>
      </c>
      <c r="CN90" s="84">
        <f t="shared" si="178"/>
        <v>0</v>
      </c>
      <c r="CO90" s="84">
        <f t="shared" si="179"/>
        <v>0</v>
      </c>
      <c r="CP90" s="84">
        <f t="shared" si="180"/>
        <v>0</v>
      </c>
      <c r="CQ90" s="42">
        <f t="shared" si="181"/>
        <v>1000322.96</v>
      </c>
      <c r="CW90" s="34"/>
      <c r="CX90" s="49"/>
      <c r="DC90" s="34"/>
      <c r="DI90" s="34"/>
      <c r="DO90" s="34"/>
      <c r="DQ90" s="34"/>
      <c r="DR90" s="44"/>
      <c r="FB90" s="3"/>
    </row>
    <row r="91">
      <c r="B91" s="371" t="s">
        <v>568</v>
      </c>
      <c r="C91" s="466">
        <f t="shared" ref="C91:CH91" si="182">C13-C28-C69-C83+C85+C87</f>
        <v>0</v>
      </c>
      <c r="D91" s="466">
        <f t="shared" si="182"/>
        <v>0</v>
      </c>
      <c r="E91" s="466">
        <f t="shared" si="182"/>
        <v>0</v>
      </c>
      <c r="F91" s="466">
        <f t="shared" si="182"/>
        <v>0</v>
      </c>
      <c r="G91" s="466">
        <f t="shared" si="182"/>
        <v>0</v>
      </c>
      <c r="H91" s="466">
        <f t="shared" si="182"/>
        <v>0</v>
      </c>
      <c r="I91" s="466">
        <f t="shared" si="182"/>
        <v>0</v>
      </c>
      <c r="J91" s="466">
        <f t="shared" si="182"/>
        <v>0</v>
      </c>
      <c r="K91" s="466">
        <f t="shared" si="182"/>
        <v>0</v>
      </c>
      <c r="L91" s="466">
        <f t="shared" si="182"/>
        <v>0</v>
      </c>
      <c r="M91" s="466">
        <f t="shared" si="182"/>
        <v>0</v>
      </c>
      <c r="N91" s="466">
        <f t="shared" si="182"/>
        <v>0</v>
      </c>
      <c r="O91" s="466">
        <f t="shared" si="182"/>
        <v>0</v>
      </c>
      <c r="P91" s="466">
        <f t="shared" si="182"/>
        <v>0</v>
      </c>
      <c r="Q91" s="466">
        <f t="shared" si="182"/>
        <v>0</v>
      </c>
      <c r="R91" s="466">
        <f t="shared" si="182"/>
        <v>0</v>
      </c>
      <c r="S91" s="466">
        <f t="shared" si="182"/>
        <v>0</v>
      </c>
      <c r="T91" s="466">
        <f t="shared" si="182"/>
        <v>0</v>
      </c>
      <c r="U91" s="466">
        <f t="shared" si="182"/>
        <v>0</v>
      </c>
      <c r="V91" s="466">
        <f t="shared" si="182"/>
        <v>0</v>
      </c>
      <c r="W91" s="466">
        <f t="shared" si="182"/>
        <v>0</v>
      </c>
      <c r="X91" s="466">
        <f t="shared" si="182"/>
        <v>0</v>
      </c>
      <c r="Y91" s="466">
        <f t="shared" si="182"/>
        <v>0</v>
      </c>
      <c r="Z91" s="466">
        <f t="shared" si="182"/>
        <v>0</v>
      </c>
      <c r="AA91" s="466">
        <f t="shared" si="182"/>
        <v>431828</v>
      </c>
      <c r="AB91" s="466">
        <f t="shared" si="182"/>
        <v>163044</v>
      </c>
      <c r="AC91" s="466">
        <f t="shared" si="182"/>
        <v>420372</v>
      </c>
      <c r="AD91" s="466">
        <f t="shared" si="182"/>
        <v>228711</v>
      </c>
      <c r="AE91" s="466">
        <f t="shared" si="182"/>
        <v>304618</v>
      </c>
      <c r="AF91" s="466">
        <f t="shared" si="182"/>
        <v>553120</v>
      </c>
      <c r="AG91" s="466">
        <f t="shared" si="182"/>
        <v>275289</v>
      </c>
      <c r="AH91" s="466">
        <f t="shared" si="182"/>
        <v>920005</v>
      </c>
      <c r="AI91" s="466">
        <f t="shared" si="182"/>
        <v>484152</v>
      </c>
      <c r="AJ91" s="466">
        <f t="shared" si="182"/>
        <v>575891</v>
      </c>
      <c r="AK91" s="466">
        <f t="shared" si="182"/>
        <v>495771</v>
      </c>
      <c r="AL91" s="466">
        <f t="shared" si="182"/>
        <v>-65898</v>
      </c>
      <c r="AM91" s="466">
        <f t="shared" si="182"/>
        <v>552908.26</v>
      </c>
      <c r="AN91" s="466">
        <f t="shared" si="182"/>
        <v>532302.56</v>
      </c>
      <c r="AO91" s="466">
        <f t="shared" si="182"/>
        <v>768033.36</v>
      </c>
      <c r="AP91" s="466">
        <f t="shared" si="182"/>
        <v>25319.38</v>
      </c>
      <c r="AQ91" s="466">
        <f t="shared" si="182"/>
        <v>328727.54</v>
      </c>
      <c r="AR91" s="466">
        <f t="shared" si="182"/>
        <v>272566.36</v>
      </c>
      <c r="AS91" s="466">
        <f t="shared" si="182"/>
        <v>-218575.72</v>
      </c>
      <c r="AT91" s="466">
        <f t="shared" si="182"/>
        <v>17491.44</v>
      </c>
      <c r="AU91" s="466">
        <f t="shared" si="182"/>
        <v>-155083.37</v>
      </c>
      <c r="AV91" s="466">
        <f t="shared" si="182"/>
        <v>130263.94</v>
      </c>
      <c r="AW91" s="466">
        <f t="shared" si="182"/>
        <v>-93865.35</v>
      </c>
      <c r="AX91" s="466">
        <f t="shared" si="182"/>
        <v>-133148.55</v>
      </c>
      <c r="AY91" s="466">
        <f t="shared" si="182"/>
        <v>-419673.22</v>
      </c>
      <c r="AZ91" s="466">
        <f t="shared" si="182"/>
        <v>116344.82</v>
      </c>
      <c r="BA91" s="466">
        <f t="shared" si="182"/>
        <v>23127.87</v>
      </c>
      <c r="BB91" s="466">
        <f t="shared" si="182"/>
        <v>-171271.34</v>
      </c>
      <c r="BC91" s="466">
        <f t="shared" si="182"/>
        <v>-87565.72</v>
      </c>
      <c r="BD91" s="466">
        <f t="shared" si="182"/>
        <v>-207662.81</v>
      </c>
      <c r="BE91" s="466">
        <f t="shared" si="182"/>
        <v>209184.31</v>
      </c>
      <c r="BF91" s="466">
        <f t="shared" si="182"/>
        <v>-193272.09</v>
      </c>
      <c r="BG91" s="466">
        <f t="shared" si="182"/>
        <v>141018.27</v>
      </c>
      <c r="BH91" s="466">
        <f t="shared" si="182"/>
        <v>714831.66</v>
      </c>
      <c r="BI91" s="466">
        <f t="shared" si="182"/>
        <v>414969.69</v>
      </c>
      <c r="BJ91" s="466">
        <f t="shared" si="182"/>
        <v>170645.23</v>
      </c>
      <c r="BK91" s="466">
        <f t="shared" si="182"/>
        <v>108370.63</v>
      </c>
      <c r="BL91" s="466">
        <f t="shared" si="182"/>
        <v>365483.25</v>
      </c>
      <c r="BM91" s="466">
        <f t="shared" si="182"/>
        <v>298638.93</v>
      </c>
      <c r="BN91" s="466">
        <f t="shared" si="182"/>
        <v>247473.29</v>
      </c>
      <c r="BO91" s="466">
        <f t="shared" si="182"/>
        <v>37499.85</v>
      </c>
      <c r="BP91" s="466">
        <f t="shared" si="182"/>
        <v>184163.8</v>
      </c>
      <c r="BQ91" s="466">
        <f t="shared" si="182"/>
        <v>531650.61</v>
      </c>
      <c r="BR91" s="466">
        <f t="shared" si="182"/>
        <v>116134.68</v>
      </c>
      <c r="BS91" s="466">
        <f t="shared" si="182"/>
        <v>470893.69</v>
      </c>
      <c r="BT91" s="466">
        <f t="shared" si="182"/>
        <v>760861.56</v>
      </c>
      <c r="BU91" s="466">
        <f t="shared" si="182"/>
        <v>302893.01</v>
      </c>
      <c r="BV91" s="466">
        <f t="shared" si="182"/>
        <v>1043122.67</v>
      </c>
      <c r="BW91" s="466">
        <f t="shared" si="182"/>
        <v>444693.55</v>
      </c>
      <c r="BX91" s="466">
        <f t="shared" si="182"/>
        <v>555629.41</v>
      </c>
      <c r="BY91" s="466">
        <f t="shared" si="182"/>
        <v>669201.57</v>
      </c>
      <c r="BZ91" s="466">
        <f t="shared" si="182"/>
        <v>963928.77</v>
      </c>
      <c r="CA91" s="466">
        <f t="shared" si="182"/>
        <v>495072.74</v>
      </c>
      <c r="CB91" s="466">
        <f t="shared" si="182"/>
        <v>484240.85</v>
      </c>
      <c r="CC91" s="466">
        <f t="shared" si="182"/>
        <v>0</v>
      </c>
      <c r="CD91" s="466">
        <f t="shared" si="182"/>
        <v>0</v>
      </c>
      <c r="CE91" s="466">
        <f t="shared" si="182"/>
        <v>0</v>
      </c>
      <c r="CF91" s="466">
        <f t="shared" si="182"/>
        <v>0</v>
      </c>
      <c r="CG91" s="466">
        <f t="shared" si="182"/>
        <v>0</v>
      </c>
      <c r="CH91" s="466">
        <f t="shared" si="182"/>
        <v>0</v>
      </c>
      <c r="CI91" s="129"/>
      <c r="CJ91" s="129"/>
      <c r="CK91" s="467">
        <f t="array" ref="CK91">SUM(INDIRECT(XLOOKUP('GAAP Summary'!$B$2,'TTM Dates'!$B:$B,'TTM Dates'!$E:$E)&amp;ROW($CJ91)&amp;":"&amp;XLOOKUP('GAAP Summary'!$B$2,'TTM Dates'!$B:$B,'TTM Dates'!$C:$C)&amp;ROW($CJ91)))</f>
        <v>6838323.11</v>
      </c>
      <c r="CL91" s="49"/>
      <c r="CM91" s="372">
        <f t="shared" si="177"/>
        <v>1669524.53</v>
      </c>
      <c r="CN91" s="372">
        <f t="shared" si="178"/>
        <v>1943242.36</v>
      </c>
      <c r="CO91" s="372">
        <f t="shared" si="179"/>
        <v>0</v>
      </c>
      <c r="CP91" s="372">
        <f t="shared" si="180"/>
        <v>0</v>
      </c>
      <c r="CQ91" s="467">
        <f t="shared" si="181"/>
        <v>3612766.89</v>
      </c>
      <c r="CR91" s="372"/>
      <c r="CS91" s="372">
        <f>sum(BK91:BM91)</f>
        <v>772492.81</v>
      </c>
      <c r="CT91" s="372">
        <f>sum(BN91:BP91)</f>
        <v>469136.94</v>
      </c>
      <c r="CU91" s="372">
        <f>sum(BQ91:BS91)</f>
        <v>1118678.98</v>
      </c>
      <c r="CV91" s="372">
        <f>sum(BT91:BV91)</f>
        <v>2106877.24</v>
      </c>
      <c r="CW91" s="374">
        <f>sum(BK91:BV91)</f>
        <v>4467185.97</v>
      </c>
      <c r="CX91" s="49"/>
      <c r="CY91" s="372">
        <f>sum(AY91:BA91)</f>
        <v>-280200.53</v>
      </c>
      <c r="CZ91" s="372">
        <f>sum(BB91:BD91)</f>
        <v>-466499.87</v>
      </c>
      <c r="DA91" s="372">
        <f>sum(BE91:BG91)</f>
        <v>156930.49</v>
      </c>
      <c r="DB91" s="372">
        <f>sum(BH91:BJ91)</f>
        <v>1300446.58</v>
      </c>
      <c r="DC91" s="374">
        <f>sum(AY91:BJ91)</f>
        <v>710676.67</v>
      </c>
      <c r="DD91" s="52">
        <f>sum(DA91:DB91)/DB6</f>
        <v>1180965.835</v>
      </c>
      <c r="DE91" s="372">
        <f>sum(AM91:AO91)</f>
        <v>1853244.18</v>
      </c>
      <c r="DF91" s="372">
        <f>sum(AP91:AR91)</f>
        <v>626613.28</v>
      </c>
      <c r="DG91" s="372">
        <f>sum(AS91:AU91)</f>
        <v>-356167.65</v>
      </c>
      <c r="DH91" s="372">
        <f>sum(AV91:AX91)</f>
        <v>-96749.96</v>
      </c>
      <c r="DI91" s="374">
        <f>sum(AM91:AX91)</f>
        <v>2026939.85</v>
      </c>
      <c r="DJ91" s="375"/>
      <c r="DK91" s="372">
        <f>sum(AA91:AC91)</f>
        <v>1015244</v>
      </c>
      <c r="DL91" s="372">
        <f>sum(AD91:AF91)</f>
        <v>1086449</v>
      </c>
      <c r="DM91" s="372">
        <f>sum(AG91:AI91)</f>
        <v>1679446</v>
      </c>
      <c r="DN91" s="372">
        <f>sum(AJ91:AL91)</f>
        <v>1005764</v>
      </c>
      <c r="DO91" s="374">
        <f>sum(DK91:DN91)</f>
        <v>4786903</v>
      </c>
      <c r="DP91" s="375"/>
      <c r="DQ91" s="374">
        <f>DQ13-DQ69</f>
        <v>0</v>
      </c>
      <c r="DR91" s="375"/>
      <c r="DS91" s="372">
        <f t="array" ref="DS91">IF(DS$3&gt;'GAAP Summary'!$B$2,0,SUM(INDIRECT(XLOOKUP(DS$3,'TTM Dates'!$B:$B,'TTM Dates'!$E:$E)&amp;ROW($CJ91)&amp;":"&amp;XLOOKUP(DS$3,'TTM Dates'!$B:$B,'TTM Dates'!$C:$C)&amp;ROW($CJ91))))</f>
        <v>0</v>
      </c>
      <c r="DT91" s="372">
        <f t="array" ref="DT91">IF(DT$3&gt;'GAAP Summary'!$B$2,0,SUM(INDIRECT(XLOOKUP(DT$3,'TTM Dates'!$B:$B,'TTM Dates'!$E:$E)&amp;ROW($CJ91)&amp;":"&amp;XLOOKUP(DT$3,'TTM Dates'!$B:$B,'TTM Dates'!$C:$C)&amp;ROW($CJ91))))</f>
        <v>0</v>
      </c>
      <c r="DU91" s="372">
        <f t="array" ref="DU91">IF(DU$3&gt;'GAAP Summary'!$B$2,0,SUM(INDIRECT(XLOOKUP(DU$3,'TTM Dates'!$B:$B,'TTM Dates'!$E:$E)&amp;ROW($CJ91)&amp;":"&amp;XLOOKUP(DU$3,'TTM Dates'!$B:$B,'TTM Dates'!$C:$C)&amp;ROW($CJ91))))</f>
        <v>0</v>
      </c>
      <c r="DV91" s="372">
        <f t="array" ref="DV91">IF(DV$3&gt;'GAAP Summary'!$B$2,0,SUM(INDIRECT(XLOOKUP(DV$3,'TTM Dates'!$B:$B,'TTM Dates'!$E:$E)&amp;ROW($CJ91)&amp;":"&amp;XLOOKUP(DV$3,'TTM Dates'!$B:$B,'TTM Dates'!$C:$C)&amp;ROW($CJ91))))</f>
        <v>0</v>
      </c>
      <c r="DW91" s="372">
        <f t="array" ref="DW91">IF(DW$3&gt;'GAAP Summary'!$B$2,0,SUM(INDIRECT(XLOOKUP(DW$3,'TTM Dates'!$B:$B,'TTM Dates'!$E:$E)&amp;ROW($CJ91)&amp;":"&amp;XLOOKUP(DW$3,'TTM Dates'!$B:$B,'TTM Dates'!$C:$C)&amp;ROW($CJ91))))</f>
        <v>0</v>
      </c>
      <c r="DX91" s="372">
        <f t="array" ref="DX91">IF(DX$3&gt;'GAAP Summary'!$B$2,0,SUM(INDIRECT(XLOOKUP(DX$3,'TTM Dates'!$B:$B,'TTM Dates'!$E:$E)&amp;ROW($CJ91)&amp;":"&amp;XLOOKUP(DX$3,'TTM Dates'!$B:$B,'TTM Dates'!$C:$C)&amp;ROW($CJ91))))</f>
        <v>0</v>
      </c>
      <c r="DY91" s="372">
        <f t="array" ref="DY91">IF(DY$3&gt;'GAAP Summary'!$B$2,0,SUM(INDIRECT(XLOOKUP(DY$3,'TTM Dates'!$B:$B,'TTM Dates'!$E:$E)&amp;ROW($CJ91)&amp;":"&amp;XLOOKUP(DY$3,'TTM Dates'!$B:$B,'TTM Dates'!$C:$C)&amp;ROW($CJ91))))</f>
        <v>0</v>
      </c>
      <c r="DZ91" s="372">
        <f t="array" ref="DZ91">IF(DZ$3&gt;'GAAP Summary'!$B$2,0,SUM(INDIRECT(XLOOKUP(DZ$3,'TTM Dates'!$B:$B,'TTM Dates'!$E:$E)&amp;ROW($CJ91)&amp;":"&amp;XLOOKUP(DZ$3,'TTM Dates'!$B:$B,'TTM Dates'!$C:$C)&amp;ROW($CJ91))))</f>
        <v>0</v>
      </c>
      <c r="EA91" s="372">
        <f t="array" ref="EA91">IF(EA$3&gt;'GAAP Summary'!$B$2,0,SUM(INDIRECT(XLOOKUP(EA$3,'TTM Dates'!$B:$B,'TTM Dates'!$E:$E)&amp;ROW($CJ91)&amp;":"&amp;XLOOKUP(EA$3,'TTM Dates'!$B:$B,'TTM Dates'!$C:$C)&amp;ROW($CJ91))))</f>
        <v>0</v>
      </c>
      <c r="EB91" s="372">
        <f t="array" ref="EB91">IF(EB$3&gt;'GAAP Summary'!$B$2,0,SUM(INDIRECT(XLOOKUP(EB$3,'TTM Dates'!$B:$B,'TTM Dates'!$E:$E)&amp;ROW($CJ91)&amp;":"&amp;XLOOKUP(EB$3,'TTM Dates'!$B:$B,'TTM Dates'!$C:$C)&amp;ROW($CJ91))))</f>
        <v>0</v>
      </c>
      <c r="EC91" s="372">
        <f t="array" ref="EC91">IF(EC$3&gt;'GAAP Summary'!$B$2,0,SUM(INDIRECT(XLOOKUP(EC$3,'TTM Dates'!$B:$B,'TTM Dates'!$E:$E)&amp;ROW($CJ91)&amp;":"&amp;XLOOKUP(EC$3,'TTM Dates'!$B:$B,'TTM Dates'!$C:$C)&amp;ROW($CJ91))))</f>
        <v>0</v>
      </c>
      <c r="ED91" s="372">
        <f t="array" ref="ED91">IF(ED$3&gt;'GAAP Summary'!$B$2,0,SUM(INDIRECT(XLOOKUP(ED$3,'TTM Dates'!$B:$B,'TTM Dates'!$E:$E)&amp;ROW($CJ91)&amp;":"&amp;XLOOKUP(ED$3,'TTM Dates'!$B:$B,'TTM Dates'!$C:$C)&amp;ROW($CJ91))))</f>
        <v>0</v>
      </c>
      <c r="EE91" s="372">
        <f t="array" ref="EE91">IF(EE$3&gt;'GAAP Summary'!$B$2,0,SUM(INDIRECT(XLOOKUP(EE$3,'TTM Dates'!$B:$B,'TTM Dates'!$E:$E)&amp;ROW($CJ91)&amp;":"&amp;XLOOKUP(EE$3,'TTM Dates'!$B:$B,'TTM Dates'!$C:$C)&amp;ROW($CJ91))))</f>
        <v>431828</v>
      </c>
      <c r="EF91" s="372">
        <f t="array" ref="EF91">IF(EF$3&gt;'GAAP Summary'!$B$2,0,SUM(INDIRECT(XLOOKUP(EF$3,'TTM Dates'!$B:$B,'TTM Dates'!$E:$E)&amp;ROW($CJ91)&amp;":"&amp;XLOOKUP(EF$3,'TTM Dates'!$B:$B,'TTM Dates'!$C:$C)&amp;ROW($CJ91))))</f>
        <v>594872</v>
      </c>
      <c r="EG91" s="372">
        <f t="array" ref="EG91">IF(EG$3&gt;'GAAP Summary'!$B$2,0,SUM(INDIRECT(XLOOKUP(EG$3,'TTM Dates'!$B:$B,'TTM Dates'!$E:$E)&amp;ROW($CJ91)&amp;":"&amp;XLOOKUP(EG$3,'TTM Dates'!$B:$B,'TTM Dates'!$C:$C)&amp;ROW($CJ91))))</f>
        <v>1015244</v>
      </c>
      <c r="EH91" s="372">
        <f t="array" ref="EH91">IF(EH$3&gt;'GAAP Summary'!$B$2,0,SUM(INDIRECT(XLOOKUP(EH$3,'TTM Dates'!$B:$B,'TTM Dates'!$E:$E)&amp;ROW($CJ91)&amp;":"&amp;XLOOKUP(EH$3,'TTM Dates'!$B:$B,'TTM Dates'!$C:$C)&amp;ROW($CJ91))))</f>
        <v>1243955</v>
      </c>
      <c r="EI91" s="372">
        <f t="array" ref="EI91">IF(EI$3&gt;'GAAP Summary'!$B$2,0,SUM(INDIRECT(XLOOKUP(EI$3,'TTM Dates'!$B:$B,'TTM Dates'!$E:$E)&amp;ROW($CJ91)&amp;":"&amp;XLOOKUP(EI$3,'TTM Dates'!$B:$B,'TTM Dates'!$C:$C)&amp;ROW($CJ91))))</f>
        <v>1548573</v>
      </c>
      <c r="EJ91" s="372">
        <f t="array" ref="EJ91">IF(EJ$3&gt;'GAAP Summary'!$B$2,0,SUM(INDIRECT(XLOOKUP(EJ$3,'TTM Dates'!$B:$B,'TTM Dates'!$E:$E)&amp;ROW($CJ91)&amp;":"&amp;XLOOKUP(EJ$3,'TTM Dates'!$B:$B,'TTM Dates'!$C:$C)&amp;ROW($CJ91))))</f>
        <v>2101693</v>
      </c>
      <c r="EK91" s="372">
        <f t="array" ref="EK91">IF(EK$3&gt;'GAAP Summary'!$B$2,0,SUM(INDIRECT(XLOOKUP(EK$3,'TTM Dates'!$B:$B,'TTM Dates'!$E:$E)&amp;ROW($CJ91)&amp;":"&amp;XLOOKUP(EK$3,'TTM Dates'!$B:$B,'TTM Dates'!$C:$C)&amp;ROW($CJ91))))</f>
        <v>2376982</v>
      </c>
      <c r="EL91" s="372">
        <f t="array" ref="EL91">IF(EL$3&gt;'GAAP Summary'!$B$2,0,SUM(INDIRECT(XLOOKUP(EL$3,'TTM Dates'!$B:$B,'TTM Dates'!$E:$E)&amp;ROW($CJ91)&amp;":"&amp;XLOOKUP(EL$3,'TTM Dates'!$B:$B,'TTM Dates'!$C:$C)&amp;ROW($CJ91))))</f>
        <v>3296987</v>
      </c>
      <c r="EM91" s="372">
        <f t="array" ref="EM91">IF(EM$3&gt;'GAAP Summary'!$B$2,0,SUM(INDIRECT(XLOOKUP(EM$3,'TTM Dates'!$B:$B,'TTM Dates'!$E:$E)&amp;ROW($CJ91)&amp;":"&amp;XLOOKUP(EM$3,'TTM Dates'!$B:$B,'TTM Dates'!$C:$C)&amp;ROW($CJ91))))</f>
        <v>3781139</v>
      </c>
      <c r="EN91" s="372">
        <f t="array" ref="EN91">IF(EN$3&gt;'GAAP Summary'!$B$2,0,SUM(INDIRECT(XLOOKUP(EN$3,'TTM Dates'!$B:$B,'TTM Dates'!$E:$E)&amp;ROW($CJ91)&amp;":"&amp;XLOOKUP(EN$3,'TTM Dates'!$B:$B,'TTM Dates'!$C:$C)&amp;ROW($CJ91))))</f>
        <v>4357030</v>
      </c>
      <c r="EO91" s="372">
        <f t="array" ref="EO91">IF(EO$3&gt;'GAAP Summary'!$B$2,0,SUM(INDIRECT(XLOOKUP(EO$3,'TTM Dates'!$B:$B,'TTM Dates'!$E:$E)&amp;ROW($CJ91)&amp;":"&amp;XLOOKUP(EO$3,'TTM Dates'!$B:$B,'TTM Dates'!$C:$C)&amp;ROW($CJ91))))</f>
        <v>4852801</v>
      </c>
      <c r="EP91" s="372">
        <f t="array" ref="EP91">IF(EP$3&gt;'GAAP Summary'!$B$2,0,SUM(INDIRECT(XLOOKUP(EP$3,'TTM Dates'!$B:$B,'TTM Dates'!$E:$E)&amp;ROW($CJ91)&amp;":"&amp;XLOOKUP(EP$3,'TTM Dates'!$B:$B,'TTM Dates'!$C:$C)&amp;ROW($CJ91))))</f>
        <v>4786903</v>
      </c>
      <c r="EQ91" s="372">
        <f t="array" ref="EQ91">IF(EQ$3&gt;'GAAP Summary'!$B$2,0,SUM(INDIRECT(XLOOKUP(EQ$3,'TTM Dates'!$B:$B,'TTM Dates'!$E:$E)&amp;ROW($CJ91)&amp;":"&amp;XLOOKUP(EQ$3,'TTM Dates'!$B:$B,'TTM Dates'!$C:$C)&amp;ROW($CJ91))))</f>
        <v>4907983.26</v>
      </c>
      <c r="ER91" s="372">
        <f t="array" ref="ER91">IF(ER$3&gt;'GAAP Summary'!$B$2,0,SUM(INDIRECT(XLOOKUP(ER$3,'TTM Dates'!$B:$B,'TTM Dates'!$E:$E)&amp;ROW($CJ91)&amp;":"&amp;XLOOKUP(ER$3,'TTM Dates'!$B:$B,'TTM Dates'!$C:$C)&amp;ROW($CJ91))))</f>
        <v>5277241.82</v>
      </c>
      <c r="ES91" s="372">
        <f t="array" ref="ES91">IF(ES$3&gt;'GAAP Summary'!$B$2,0,SUM(INDIRECT(XLOOKUP(ES$3,'TTM Dates'!$B:$B,'TTM Dates'!$E:$E)&amp;ROW($CJ91)&amp;":"&amp;XLOOKUP(ES$3,'TTM Dates'!$B:$B,'TTM Dates'!$C:$C)&amp;ROW($CJ91))))</f>
        <v>5624903.18</v>
      </c>
      <c r="ET91" s="372">
        <f t="array" ref="ET91">IF(ET$3&gt;'GAAP Summary'!$B$2,0,SUM(INDIRECT(XLOOKUP(ET$3,'TTM Dates'!$B:$B,'TTM Dates'!$E:$E)&amp;ROW($CJ91)&amp;":"&amp;XLOOKUP(ET$3,'TTM Dates'!$B:$B,'TTM Dates'!$C:$C)&amp;ROW($CJ91))))</f>
        <v>5421511.56</v>
      </c>
      <c r="EU91" s="372">
        <f t="array" ref="EU91">IF(EU$3&gt;'GAAP Summary'!$B$2,0,SUM(INDIRECT(XLOOKUP(EU$3,'TTM Dates'!$B:$B,'TTM Dates'!$E:$E)&amp;ROW($CJ91)&amp;":"&amp;XLOOKUP(EU$3,'TTM Dates'!$B:$B,'TTM Dates'!$C:$C)&amp;ROW($CJ91))))</f>
        <v>5445621.1</v>
      </c>
      <c r="EV91" s="372">
        <f t="array" ref="EV91">IF(EV$3&gt;'GAAP Summary'!$B$2,0,SUM(INDIRECT(XLOOKUP(EV$3,'TTM Dates'!$B:$B,'TTM Dates'!$E:$E)&amp;ROW($CJ91)&amp;":"&amp;XLOOKUP(EV$3,'TTM Dates'!$B:$B,'TTM Dates'!$C:$C)&amp;ROW($CJ91))))</f>
        <v>5165067.46</v>
      </c>
      <c r="EW91" s="372">
        <f t="array" ref="EW91">IF(EW$3&gt;'GAAP Summary'!$B$2,0,SUM(INDIRECT(XLOOKUP(EW$3,'TTM Dates'!$B:$B,'TTM Dates'!$E:$E)&amp;ROW($CJ91)&amp;":"&amp;XLOOKUP(EW$3,'TTM Dates'!$B:$B,'TTM Dates'!$C:$C)&amp;ROW($CJ91))))</f>
        <v>4671202.74</v>
      </c>
      <c r="EX91" s="372">
        <f t="array" ref="EX91">IF(EX$3&gt;'GAAP Summary'!$B$2,0,SUM(INDIRECT(XLOOKUP(EX$3,'TTM Dates'!$B:$B,'TTM Dates'!$E:$E)&amp;ROW($CJ91)&amp;":"&amp;XLOOKUP(EX$3,'TTM Dates'!$B:$B,'TTM Dates'!$C:$C)&amp;ROW($CJ91))))</f>
        <v>3768689.18</v>
      </c>
      <c r="EY91" s="372">
        <f t="array" ref="EY91">IF(EY$3&gt;'GAAP Summary'!$B$2,0,SUM(INDIRECT(XLOOKUP(EY$3,'TTM Dates'!$B:$B,'TTM Dates'!$E:$E)&amp;ROW($CJ91)&amp;":"&amp;XLOOKUP(EY$3,'TTM Dates'!$B:$B,'TTM Dates'!$C:$C)&amp;ROW($CJ91))))</f>
        <v>3129453.81</v>
      </c>
      <c r="EZ91" s="372">
        <f t="array" ref="EZ91">IF(EZ$3&gt;'GAAP Summary'!$B$2,0,SUM(INDIRECT(XLOOKUP(EZ$3,'TTM Dates'!$B:$B,'TTM Dates'!$E:$E)&amp;ROW($CJ91)&amp;":"&amp;XLOOKUP(EZ$3,'TTM Dates'!$B:$B,'TTM Dates'!$C:$C)&amp;ROW($CJ91))))</f>
        <v>2683826.75</v>
      </c>
      <c r="FA91" s="372">
        <f t="array" ref="FA91">IF(FA$3&gt;'GAAP Summary'!$B$2,0,SUM(INDIRECT(XLOOKUP(FA$3,'TTM Dates'!$B:$B,'TTM Dates'!$E:$E)&amp;ROW($CJ91)&amp;":"&amp;XLOOKUP(FA$3,'TTM Dates'!$B:$B,'TTM Dates'!$C:$C)&amp;ROW($CJ91))))</f>
        <v>2094190.4</v>
      </c>
      <c r="FB91" s="448">
        <f t="array" ref="FB91">IF(FB$3&gt;'GAAP Summary'!$B$2,0,SUM(INDIRECT(XLOOKUP(FB$3,'TTM Dates'!$B:$B,'TTM Dates'!$E:$E)&amp;ROW($CJ91)&amp;":"&amp;XLOOKUP(FB$3,'TTM Dates'!$B:$B,'TTM Dates'!$C:$C)&amp;ROW($CJ91))))</f>
        <v>2026939.85</v>
      </c>
      <c r="FC91" s="372">
        <f t="array" ref="FC91">IF(FC$3&gt;'GAAP Summary'!$B$2,0,SUM(INDIRECT(XLOOKUP(FC$3,'TTM Dates'!$B:$B,'TTM Dates'!$E:$E)&amp;ROW($CJ91)&amp;":"&amp;XLOOKUP(FC$3,'TTM Dates'!$B:$B,'TTM Dates'!$C:$C)&amp;ROW($CJ91))))</f>
        <v>1054358.37</v>
      </c>
      <c r="FD91" s="372">
        <f t="array" ref="FD91">IF(FD$3&gt;'GAAP Summary'!$B$2,0,SUM(INDIRECT(XLOOKUP(FD$3,'TTM Dates'!$B:$B,'TTM Dates'!$E:$E)&amp;ROW($CJ91)&amp;":"&amp;XLOOKUP(FD$3,'TTM Dates'!$B:$B,'TTM Dates'!$C:$C)&amp;ROW($CJ91))))</f>
        <v>638400.63</v>
      </c>
      <c r="FE91" s="372">
        <f t="array" ref="FE91">IF(FE$3&gt;'GAAP Summary'!$B$2,0,SUM(INDIRECT(XLOOKUP(FE$3,'TTM Dates'!$B:$B,'TTM Dates'!$E:$E)&amp;ROW($CJ91)&amp;":"&amp;XLOOKUP(FE$3,'TTM Dates'!$B:$B,'TTM Dates'!$C:$C)&amp;ROW($CJ91))))</f>
        <v>-106504.86</v>
      </c>
      <c r="FF91" s="372">
        <f t="array" ref="FF91">IF(FF$3&gt;'GAAP Summary'!$B$2,0,SUM(INDIRECT(XLOOKUP(FF$3,'TTM Dates'!$B:$B,'TTM Dates'!$E:$E)&amp;ROW($CJ91)&amp;":"&amp;XLOOKUP(FF$3,'TTM Dates'!$B:$B,'TTM Dates'!$C:$C)&amp;ROW($CJ91))))</f>
        <v>-303095.58</v>
      </c>
      <c r="FG91" s="372">
        <f t="array" ref="FG91">IF(FG$3&gt;'GAAP Summary'!$B$2,0,SUM(INDIRECT(XLOOKUP(FG$3,'TTM Dates'!$B:$B,'TTM Dates'!$E:$E)&amp;ROW($CJ91)&amp;":"&amp;XLOOKUP(FG$3,'TTM Dates'!$B:$B,'TTM Dates'!$C:$C)&amp;ROW($CJ91))))</f>
        <v>-719388.84</v>
      </c>
      <c r="FH91" s="372">
        <f t="array" ref="FH91">IF(FH$3&gt;'GAAP Summary'!$B$2,0,SUM(INDIRECT(XLOOKUP(FH$3,'TTM Dates'!$B:$B,'TTM Dates'!$E:$E)&amp;ROW($CJ91)&amp;":"&amp;XLOOKUP(FH$3,'TTM Dates'!$B:$B,'TTM Dates'!$C:$C)&amp;ROW($CJ91))))</f>
        <v>-1199618.01</v>
      </c>
      <c r="FI91" s="372">
        <f t="array" ref="FI91">IF(FI$3&gt;'GAAP Summary'!$B$2,0,SUM(INDIRECT(XLOOKUP(FI$3,'TTM Dates'!$B:$B,'TTM Dates'!$E:$E)&amp;ROW($CJ91)&amp;":"&amp;XLOOKUP(FI$3,'TTM Dates'!$B:$B,'TTM Dates'!$C:$C)&amp;ROW($CJ91))))</f>
        <v>-771857.98</v>
      </c>
      <c r="FJ91" s="372">
        <f t="array" ref="FJ91">IF(FJ$3&gt;'GAAP Summary'!$B$2,0,SUM(INDIRECT(XLOOKUP(FJ$3,'TTM Dates'!$B:$B,'TTM Dates'!$E:$E)&amp;ROW($CJ91)&amp;":"&amp;XLOOKUP(FJ$3,'TTM Dates'!$B:$B,'TTM Dates'!$C:$C)&amp;ROW($CJ91))))</f>
        <v>-982621.51</v>
      </c>
      <c r="FK91" s="372">
        <f t="array" ref="FK91">IF(FK$3&gt;'GAAP Summary'!$B$2,0,SUM(INDIRECT(XLOOKUP(FK$3,'TTM Dates'!$B:$B,'TTM Dates'!$E:$E)&amp;ROW($CJ91)&amp;":"&amp;XLOOKUP(FK$3,'TTM Dates'!$B:$B,'TTM Dates'!$C:$C)&amp;ROW($CJ91))))</f>
        <v>-686519.87</v>
      </c>
      <c r="FL91" s="372">
        <f t="array" ref="FL91">IF(FL$3&gt;'GAAP Summary'!$B$2,0,SUM(INDIRECT(XLOOKUP(FL$3,'TTM Dates'!$B:$B,'TTM Dates'!$E:$E)&amp;ROW($CJ91)&amp;":"&amp;XLOOKUP(FL$3,'TTM Dates'!$B:$B,'TTM Dates'!$C:$C)&amp;ROW($CJ91))))</f>
        <v>-101952.15</v>
      </c>
      <c r="FM91" s="372">
        <f t="array" ref="FM91">IF(FM$3&gt;'GAAP Summary'!$B$2,0,SUM(INDIRECT(XLOOKUP(FM$3,'TTM Dates'!$B:$B,'TTM Dates'!$E:$E)&amp;ROW($CJ91)&amp;":"&amp;XLOOKUP(FM$3,'TTM Dates'!$B:$B,'TTM Dates'!$C:$C)&amp;ROW($CJ91))))</f>
        <v>406882.89</v>
      </c>
      <c r="FN91" s="372">
        <f t="array" ref="FN91">IF(FN$3&gt;'GAAP Summary'!$B$2,0,SUM(INDIRECT(XLOOKUP(FN$3,'TTM Dates'!$B:$B,'TTM Dates'!$E:$E)&amp;ROW($CJ91)&amp;":"&amp;XLOOKUP(FN$3,'TTM Dates'!$B:$B,'TTM Dates'!$C:$C)&amp;ROW($CJ91))))</f>
        <v>710676.67</v>
      </c>
      <c r="FO91" s="372">
        <f t="array" ref="FO91">IF(FO$3&gt;'GAAP Summary'!$B$2,0,SUM(INDIRECT(XLOOKUP(FO$3,'TTM Dates'!$B:$B,'TTM Dates'!$E:$E)&amp;ROW($CJ91)&amp;":"&amp;XLOOKUP(FO$3,'TTM Dates'!$B:$B,'TTM Dates'!$C:$C)&amp;ROW($CJ91))))</f>
        <v>1238720.52</v>
      </c>
      <c r="FP91" s="372">
        <f t="array" ref="FP91">IF(FP$3&gt;'GAAP Summary'!$B$2,0,SUM(INDIRECT(XLOOKUP(FP$3,'TTM Dates'!$B:$B,'TTM Dates'!$E:$E)&amp;ROW($CJ91)&amp;":"&amp;XLOOKUP(FP$3,'TTM Dates'!$B:$B,'TTM Dates'!$C:$C)&amp;ROW($CJ91))))</f>
        <v>1487858.95</v>
      </c>
      <c r="FQ91" s="372">
        <f t="array" ref="FQ91">IF(FQ$3&gt;'GAAP Summary'!$B$2,0,SUM(INDIRECT(XLOOKUP(FQ$3,'TTM Dates'!$B:$B,'TTM Dates'!$E:$E)&amp;ROW($CJ91)&amp;":"&amp;XLOOKUP(FQ$3,'TTM Dates'!$B:$B,'TTM Dates'!$C:$C)&amp;ROW($CJ91))))</f>
        <v>1763370.01</v>
      </c>
      <c r="FR91" s="372">
        <f t="array" ref="FR91">IF(FR$3&gt;'GAAP Summary'!$B$2,0,SUM(INDIRECT(XLOOKUP(FR$3,'TTM Dates'!$B:$B,'TTM Dates'!$E:$E)&amp;ROW($CJ91)&amp;":"&amp;XLOOKUP(FR$3,'TTM Dates'!$B:$B,'TTM Dates'!$C:$C)&amp;ROW($CJ91))))</f>
        <v>2182114.64</v>
      </c>
      <c r="FS91" s="372">
        <f t="array" ref="FS91">IF(FS$3&gt;'GAAP Summary'!$B$2,0,SUM(INDIRECT(XLOOKUP(FS$3,'TTM Dates'!$B:$B,'TTM Dates'!$E:$E)&amp;ROW($CJ91)&amp;":"&amp;XLOOKUP(FS$3,'TTM Dates'!$B:$B,'TTM Dates'!$C:$C)&amp;ROW($CJ91))))</f>
        <v>2307180.21</v>
      </c>
      <c r="FT91" s="372">
        <f t="array" ref="FT91">IF(FT$3&gt;'GAAP Summary'!$B$2,0,SUM(INDIRECT(XLOOKUP(FT$3,'TTM Dates'!$B:$B,'TTM Dates'!$E:$E)&amp;ROW($CJ91)&amp;":"&amp;XLOOKUP(FT$3,'TTM Dates'!$B:$B,'TTM Dates'!$C:$C)&amp;ROW($CJ91))))</f>
        <v>2699006.82</v>
      </c>
      <c r="FU91" s="372">
        <f t="array" ref="FU91">IF(FU$3&gt;'GAAP Summary'!$B$2,0,SUM(INDIRECT(XLOOKUP(FU$3,'TTM Dates'!$B:$B,'TTM Dates'!$E:$E)&amp;ROW($CJ91)&amp;":"&amp;XLOOKUP(FU$3,'TTM Dates'!$B:$B,'TTM Dates'!$C:$C)&amp;ROW($CJ91))))</f>
        <v>3021473.12</v>
      </c>
      <c r="FV91" s="372">
        <f t="array" ref="FV91">IF(FV$3&gt;'GAAP Summary'!$B$2,0,SUM(INDIRECT(XLOOKUP(FV$3,'TTM Dates'!$B:$B,'TTM Dates'!$E:$E)&amp;ROW($CJ91)&amp;":"&amp;XLOOKUP(FV$3,'TTM Dates'!$B:$B,'TTM Dates'!$C:$C)&amp;ROW($CJ91))))</f>
        <v>3330879.89</v>
      </c>
      <c r="FW91" s="372">
        <f t="array" ref="FW91">IF(FW$3&gt;'GAAP Summary'!$B$2,0,SUM(INDIRECT(XLOOKUP(FW$3,'TTM Dates'!$B:$B,'TTM Dates'!$E:$E)&amp;ROW($CJ91)&amp;":"&amp;XLOOKUP(FW$3,'TTM Dates'!$B:$B,'TTM Dates'!$C:$C)&amp;ROW($CJ91))))</f>
        <v>3660755.31</v>
      </c>
      <c r="FX91" s="372">
        <f t="array" ref="FX91">IF(FX$3&gt;'GAAP Summary'!$B$2,0,SUM(INDIRECT(XLOOKUP(FX$3,'TTM Dates'!$B:$B,'TTM Dates'!$E:$E)&amp;ROW($CJ91)&amp;":"&amp;XLOOKUP(FX$3,'TTM Dates'!$B:$B,'TTM Dates'!$C:$C)&amp;ROW($CJ91))))</f>
        <v>3706785.21</v>
      </c>
      <c r="FY91" s="372">
        <f t="array" ref="FY91">IF(FY$3&gt;'GAAP Summary'!$B$2,0,SUM(INDIRECT(XLOOKUP(FY$3,'TTM Dates'!$B:$B,'TTM Dates'!$E:$E)&amp;ROW($CJ91)&amp;":"&amp;XLOOKUP(FY$3,'TTM Dates'!$B:$B,'TTM Dates'!$C:$C)&amp;ROW($CJ91))))</f>
        <v>3594708.53</v>
      </c>
      <c r="FZ91" s="372">
        <f t="array" ref="FZ91">IF(FZ$3&gt;'GAAP Summary'!$B$2,0,SUM(INDIRECT(XLOOKUP(FZ$3,'TTM Dates'!$B:$B,'TTM Dates'!$E:$E)&amp;ROW($CJ91)&amp;":"&amp;XLOOKUP(FZ$3,'TTM Dates'!$B:$B,'TTM Dates'!$C:$C)&amp;ROW($CJ91))))</f>
        <v>4467185.97</v>
      </c>
      <c r="GA91" s="372">
        <f t="array" ref="GA91">IF(GA$3&gt;'GAAP Summary'!$B$2,0,SUM(INDIRECT(XLOOKUP(GA$3,'TTM Dates'!$B:$B,'TTM Dates'!$E:$E)&amp;ROW($CJ91)&amp;":"&amp;XLOOKUP(GA$3,'TTM Dates'!$B:$B,'TTM Dates'!$C:$C)&amp;ROW($CJ91))))</f>
        <v>4803508.89</v>
      </c>
      <c r="GB91" s="372">
        <f t="array" ref="GB91">IF(GB$3&gt;'GAAP Summary'!$B$2,0,SUM(INDIRECT(XLOOKUP(GB$3,'TTM Dates'!$B:$B,'TTM Dates'!$E:$E)&amp;ROW($CJ91)&amp;":"&amp;XLOOKUP(GB$3,'TTM Dates'!$B:$B,'TTM Dates'!$C:$C)&amp;ROW($CJ91))))</f>
        <v>4993655.05</v>
      </c>
      <c r="GC91" s="372">
        <f t="array" ref="GC91">IF(GC$3&gt;'GAAP Summary'!$B$2,0,SUM(INDIRECT(XLOOKUP(GC$3,'TTM Dates'!$B:$B,'TTM Dates'!$E:$E)&amp;ROW($CJ91)&amp;":"&amp;XLOOKUP(GC$3,'TTM Dates'!$B:$B,'TTM Dates'!$C:$C)&amp;ROW($CJ91))))</f>
        <v>5364217.69</v>
      </c>
      <c r="GD91" s="372">
        <f t="array" ref="GD91">IF(GD$3&gt;'GAAP Summary'!$B$2,0,SUM(INDIRECT(XLOOKUP(GD$3,'TTM Dates'!$B:$B,'TTM Dates'!$E:$E)&amp;ROW($CJ91)&amp;":"&amp;XLOOKUP(GD$3,'TTM Dates'!$B:$B,'TTM Dates'!$C:$C)&amp;ROW($CJ91))))</f>
        <v>6080673.17</v>
      </c>
      <c r="GE91" s="372">
        <f t="array" ref="GE91">IF(GE$3&gt;'GAAP Summary'!$B$2,0,SUM(INDIRECT(XLOOKUP(GE$3,'TTM Dates'!$B:$B,'TTM Dates'!$E:$E)&amp;ROW($CJ91)&amp;":"&amp;XLOOKUP(GE$3,'TTM Dates'!$B:$B,'TTM Dates'!$C:$C)&amp;ROW($CJ91))))</f>
        <v>6538246.06</v>
      </c>
      <c r="GF91" s="372">
        <f t="array" ref="GF91">IF(GF$3&gt;'GAAP Summary'!$B$2,0,SUM(INDIRECT(XLOOKUP(GF$3,'TTM Dates'!$B:$B,'TTM Dates'!$E:$E)&amp;ROW($CJ91)&amp;":"&amp;XLOOKUP(GF$3,'TTM Dates'!$B:$B,'TTM Dates'!$C:$C)&amp;ROW($CJ91))))</f>
        <v>6838323.11</v>
      </c>
      <c r="GG91" s="372">
        <f t="array" ref="GG91">IF(GG$3&gt;'GAAP Summary'!$B$2,0,SUM(INDIRECT(XLOOKUP(GG$3,'TTM Dates'!$B:$B,'TTM Dates'!$E:$E)&amp;ROW($CJ91)&amp;":"&amp;XLOOKUP(GG$3,'TTM Dates'!$B:$B,'TTM Dates'!$C:$C)&amp;ROW($CJ91))))</f>
        <v>0</v>
      </c>
      <c r="GH91" s="372">
        <f t="array" ref="GH91">IF(GH$3&gt;'GAAP Summary'!$B$2,0,SUM(INDIRECT(XLOOKUP(GH$3,'TTM Dates'!$B:$B,'TTM Dates'!$E:$E)&amp;ROW($CJ91)&amp;":"&amp;XLOOKUP(GH$3,'TTM Dates'!$B:$B,'TTM Dates'!$C:$C)&amp;ROW($CJ91))))</f>
        <v>0</v>
      </c>
      <c r="GI91" s="372">
        <f t="array" ref="GI91">IF(GI$3&gt;'GAAP Summary'!$B$2,0,SUM(INDIRECT(XLOOKUP(GI$3,'TTM Dates'!$B:$B,'TTM Dates'!$E:$E)&amp;ROW($CJ91)&amp;":"&amp;XLOOKUP(GI$3,'TTM Dates'!$B:$B,'TTM Dates'!$C:$C)&amp;ROW($CJ91))))</f>
        <v>0</v>
      </c>
      <c r="GJ91" s="372">
        <f t="array" ref="GJ91">IF(GJ$3&gt;'GAAP Summary'!$B$2,0,SUM(INDIRECT(XLOOKUP(GJ$3,'TTM Dates'!$B:$B,'TTM Dates'!$E:$E)&amp;ROW($CJ91)&amp;":"&amp;XLOOKUP(GJ$3,'TTM Dates'!$B:$B,'TTM Dates'!$C:$C)&amp;ROW($CJ91))))</f>
        <v>0</v>
      </c>
      <c r="GK91" s="372">
        <f t="array" ref="GK91">IF(GK$3&gt;'GAAP Summary'!$B$2,0,SUM(INDIRECT(XLOOKUP(GK$3,'TTM Dates'!$B:$B,'TTM Dates'!$E:$E)&amp;ROW($CJ91)&amp;":"&amp;XLOOKUP(GK$3,'TTM Dates'!$B:$B,'TTM Dates'!$C:$C)&amp;ROW($CJ91))))</f>
        <v>0</v>
      </c>
      <c r="GL91" s="372">
        <f t="array" ref="GL91">IF(GL$3&gt;'GAAP Summary'!$B$2,0,SUM(INDIRECT(XLOOKUP(GL$3,'TTM Dates'!$B:$B,'TTM Dates'!$E:$E)&amp;ROW($CJ91)&amp;":"&amp;XLOOKUP(GL$3,'TTM Dates'!$B:$B,'TTM Dates'!$C:$C)&amp;ROW($CJ91))))</f>
        <v>0</v>
      </c>
      <c r="GM91" s="372"/>
    </row>
    <row r="92">
      <c r="B92" s="1" t="s">
        <v>488</v>
      </c>
      <c r="C92" s="376" t="str">
        <f t="shared" ref="C92:CH92" si="183">C91/C13</f>
        <v>#DIV/0!</v>
      </c>
      <c r="D92" s="376" t="str">
        <f t="shared" si="183"/>
        <v>#DIV/0!</v>
      </c>
      <c r="E92" s="376" t="str">
        <f t="shared" si="183"/>
        <v>#DIV/0!</v>
      </c>
      <c r="F92" s="376" t="str">
        <f t="shared" si="183"/>
        <v>#DIV/0!</v>
      </c>
      <c r="G92" s="376" t="str">
        <f t="shared" si="183"/>
        <v>#DIV/0!</v>
      </c>
      <c r="H92" s="376" t="str">
        <f t="shared" si="183"/>
        <v>#DIV/0!</v>
      </c>
      <c r="I92" s="376" t="str">
        <f t="shared" si="183"/>
        <v>#DIV/0!</v>
      </c>
      <c r="J92" s="376" t="str">
        <f t="shared" si="183"/>
        <v>#DIV/0!</v>
      </c>
      <c r="K92" s="376" t="str">
        <f t="shared" si="183"/>
        <v>#DIV/0!</v>
      </c>
      <c r="L92" s="376" t="str">
        <f t="shared" si="183"/>
        <v>#DIV/0!</v>
      </c>
      <c r="M92" s="376" t="str">
        <f t="shared" si="183"/>
        <v>#DIV/0!</v>
      </c>
      <c r="N92" s="376" t="str">
        <f t="shared" si="183"/>
        <v>#DIV/0!</v>
      </c>
      <c r="O92" s="376" t="str">
        <f t="shared" si="183"/>
        <v>#DIV/0!</v>
      </c>
      <c r="P92" s="376" t="str">
        <f t="shared" si="183"/>
        <v>#DIV/0!</v>
      </c>
      <c r="Q92" s="376" t="str">
        <f t="shared" si="183"/>
        <v>#DIV/0!</v>
      </c>
      <c r="R92" s="376" t="str">
        <f t="shared" si="183"/>
        <v>#DIV/0!</v>
      </c>
      <c r="S92" s="376" t="str">
        <f t="shared" si="183"/>
        <v>#DIV/0!</v>
      </c>
      <c r="T92" s="376" t="str">
        <f t="shared" si="183"/>
        <v>#DIV/0!</v>
      </c>
      <c r="U92" s="376" t="str">
        <f t="shared" si="183"/>
        <v>#DIV/0!</v>
      </c>
      <c r="V92" s="376" t="str">
        <f t="shared" si="183"/>
        <v>#DIV/0!</v>
      </c>
      <c r="W92" s="376" t="str">
        <f t="shared" si="183"/>
        <v>#DIV/0!</v>
      </c>
      <c r="X92" s="376" t="str">
        <f t="shared" si="183"/>
        <v>#DIV/0!</v>
      </c>
      <c r="Y92" s="376" t="str">
        <f t="shared" si="183"/>
        <v>#DIV/0!</v>
      </c>
      <c r="Z92" s="376" t="str">
        <f t="shared" si="183"/>
        <v>#DIV/0!</v>
      </c>
      <c r="AA92" s="376">
        <f t="shared" si="183"/>
        <v>0.3675691871</v>
      </c>
      <c r="AB92" s="376">
        <f t="shared" si="183"/>
        <v>0.1540124046</v>
      </c>
      <c r="AC92" s="376">
        <f t="shared" si="183"/>
        <v>0.3040280615</v>
      </c>
      <c r="AD92" s="376">
        <f t="shared" si="183"/>
        <v>0.1910219811</v>
      </c>
      <c r="AE92" s="376">
        <f t="shared" si="183"/>
        <v>0.238513505</v>
      </c>
      <c r="AF92" s="376">
        <f t="shared" si="183"/>
        <v>0.3592094172</v>
      </c>
      <c r="AG92" s="376">
        <f t="shared" si="183"/>
        <v>0.207533785</v>
      </c>
      <c r="AH92" s="376">
        <f t="shared" si="183"/>
        <v>0.4758452932</v>
      </c>
      <c r="AI92" s="376">
        <f t="shared" si="183"/>
        <v>0.2976224725</v>
      </c>
      <c r="AJ92" s="376">
        <f t="shared" si="183"/>
        <v>0.3090916995</v>
      </c>
      <c r="AK92" s="376">
        <f t="shared" si="183"/>
        <v>0.2777000742</v>
      </c>
      <c r="AL92" s="376">
        <f t="shared" si="183"/>
        <v>-0.0532674812</v>
      </c>
      <c r="AM92" s="376">
        <f t="shared" si="183"/>
        <v>0.2593132639</v>
      </c>
      <c r="AN92" s="376">
        <f t="shared" si="183"/>
        <v>0.2738407276</v>
      </c>
      <c r="AO92" s="376">
        <f t="shared" si="183"/>
        <v>0.3448269273</v>
      </c>
      <c r="AP92" s="376">
        <f t="shared" si="183"/>
        <v>0.01372676774</v>
      </c>
      <c r="AQ92" s="376">
        <f t="shared" si="183"/>
        <v>0.1729421321</v>
      </c>
      <c r="AR92" s="376">
        <f t="shared" si="183"/>
        <v>0.1480352548</v>
      </c>
      <c r="AS92" s="376">
        <f t="shared" si="183"/>
        <v>-0.1337503266</v>
      </c>
      <c r="AT92" s="376">
        <f t="shared" si="183"/>
        <v>0.008809842438</v>
      </c>
      <c r="AU92" s="376">
        <f t="shared" si="183"/>
        <v>-0.09820742416</v>
      </c>
      <c r="AV92" s="376">
        <f t="shared" si="183"/>
        <v>0.06972328305</v>
      </c>
      <c r="AW92" s="376">
        <f t="shared" si="183"/>
        <v>-0.05663587249</v>
      </c>
      <c r="AX92" s="376">
        <f t="shared" si="183"/>
        <v>-0.08480248417</v>
      </c>
      <c r="AY92" s="376">
        <f t="shared" si="183"/>
        <v>-0.249457744</v>
      </c>
      <c r="AZ92" s="376">
        <f t="shared" si="183"/>
        <v>0.06225213911</v>
      </c>
      <c r="BA92" s="376">
        <f t="shared" si="183"/>
        <v>0.01209434761</v>
      </c>
      <c r="BB92" s="376">
        <f t="shared" si="183"/>
        <v>-0.08547657032</v>
      </c>
      <c r="BC92" s="376">
        <f t="shared" si="183"/>
        <v>-0.04570113712</v>
      </c>
      <c r="BD92" s="376">
        <f t="shared" si="183"/>
        <v>-0.1134139349</v>
      </c>
      <c r="BE92" s="376">
        <f t="shared" si="183"/>
        <v>0.1005248512</v>
      </c>
      <c r="BF92" s="376">
        <f t="shared" si="183"/>
        <v>-0.0891802884</v>
      </c>
      <c r="BG92" s="376">
        <f t="shared" si="183"/>
        <v>0.06515394766</v>
      </c>
      <c r="BH92" s="376">
        <f t="shared" si="183"/>
        <v>0.2524885676</v>
      </c>
      <c r="BI92" s="376">
        <f t="shared" si="183"/>
        <v>0.1681228438</v>
      </c>
      <c r="BJ92" s="376">
        <f t="shared" si="183"/>
        <v>0.07026243504</v>
      </c>
      <c r="BK92" s="376">
        <f t="shared" si="183"/>
        <v>0.04203514144</v>
      </c>
      <c r="BL92" s="376">
        <f t="shared" si="183"/>
        <v>0.1511844427</v>
      </c>
      <c r="BM92" s="376">
        <f t="shared" si="183"/>
        <v>0.1229954297</v>
      </c>
      <c r="BN92" s="376">
        <f t="shared" si="183"/>
        <v>0.09132528629</v>
      </c>
      <c r="BO92" s="376">
        <f t="shared" si="183"/>
        <v>0.01415925464</v>
      </c>
      <c r="BP92" s="376">
        <f t="shared" si="183"/>
        <v>0.06860364403</v>
      </c>
      <c r="BQ92" s="376">
        <f t="shared" si="183"/>
        <v>0.1709841099</v>
      </c>
      <c r="BR92" s="376">
        <f t="shared" si="183"/>
        <v>0.03971484176</v>
      </c>
      <c r="BS92" s="376">
        <f t="shared" si="183"/>
        <v>0.1358938222</v>
      </c>
      <c r="BT92" s="376">
        <f t="shared" si="183"/>
        <v>0.1892176585</v>
      </c>
      <c r="BU92" s="376">
        <f t="shared" si="183"/>
        <v>0.09212545844</v>
      </c>
      <c r="BV92" s="376">
        <f t="shared" si="183"/>
        <v>0.2864652775</v>
      </c>
      <c r="BW92" s="469">
        <f t="shared" si="183"/>
        <v>0.1089513597</v>
      </c>
      <c r="BX92" s="469">
        <f t="shared" si="183"/>
        <v>0.1373769244</v>
      </c>
      <c r="BY92" s="469">
        <f t="shared" si="183"/>
        <v>0.1504465899</v>
      </c>
      <c r="BZ92" s="469">
        <f t="shared" si="183"/>
        <v>0.2101249465</v>
      </c>
      <c r="CA92" s="469">
        <f t="shared" si="183"/>
        <v>0.1136799033</v>
      </c>
      <c r="CB92" s="469">
        <f t="shared" si="183"/>
        <v>0.1029845044</v>
      </c>
      <c r="CC92" s="469" t="str">
        <f t="shared" si="183"/>
        <v>#DIV/0!</v>
      </c>
      <c r="CD92" s="469" t="str">
        <f t="shared" si="183"/>
        <v>#DIV/0!</v>
      </c>
      <c r="CE92" s="469" t="str">
        <f t="shared" si="183"/>
        <v>#DIV/0!</v>
      </c>
      <c r="CF92" s="469" t="str">
        <f t="shared" si="183"/>
        <v>#DIV/0!</v>
      </c>
      <c r="CG92" s="469" t="str">
        <f t="shared" si="183"/>
        <v>#DIV/0!</v>
      </c>
      <c r="CH92" s="469" t="str">
        <f t="shared" si="183"/>
        <v>#DIV/0!</v>
      </c>
      <c r="CK92" s="470">
        <f>CK91/CK13</f>
        <v>0.1465322327</v>
      </c>
      <c r="CL92" s="378"/>
      <c r="CM92" s="376">
        <f t="shared" ref="CM92:CQ92" si="184">IFERROR(CM91/CM13,0)</f>
        <v>0.1327733866</v>
      </c>
      <c r="CN92" s="376">
        <f t="shared" si="184"/>
        <v>0.1424199435</v>
      </c>
      <c r="CO92" s="376">
        <f t="shared" si="184"/>
        <v>0</v>
      </c>
      <c r="CP92" s="376">
        <f t="shared" si="184"/>
        <v>0</v>
      </c>
      <c r="CQ92" s="471">
        <f t="shared" si="184"/>
        <v>0.137793545</v>
      </c>
      <c r="CR92" s="376"/>
      <c r="CS92" s="376">
        <f t="shared" ref="CS92:CV92" si="185">IFERROR(CS91/CS13,0)</f>
        <v>0.1040589021</v>
      </c>
      <c r="CT92" s="376">
        <f t="shared" si="185"/>
        <v>0.05833081237</v>
      </c>
      <c r="CU92" s="376">
        <f t="shared" si="185"/>
        <v>0.1177714345</v>
      </c>
      <c r="CV92" s="376">
        <f t="shared" si="185"/>
        <v>0.1924039316</v>
      </c>
      <c r="CW92" s="377">
        <f>CW91/CW13</f>
        <v>0.1243810811</v>
      </c>
      <c r="CX92" s="378"/>
      <c r="CY92" s="376">
        <f t="shared" ref="CY92:DB92" si="186">IFERROR(CY91/CY13,0)</f>
        <v>-0.05128535546</v>
      </c>
      <c r="CZ92" s="376">
        <f t="shared" si="186"/>
        <v>-0.08111925877</v>
      </c>
      <c r="DA92" s="376">
        <f t="shared" si="186"/>
        <v>0.02447253989</v>
      </c>
      <c r="DB92" s="376">
        <f t="shared" si="186"/>
        <v>0.1682754806</v>
      </c>
      <c r="DC92" s="377">
        <f>DC91/DC13</f>
        <v>0.02802911668</v>
      </c>
      <c r="DD92" s="378"/>
      <c r="DE92" s="376">
        <f t="shared" ref="DE92:DH92" si="187">IFERROR(DE91/DE13,0)</f>
        <v>0.294009731</v>
      </c>
      <c r="DF92" s="376">
        <f t="shared" si="187"/>
        <v>0.1121646842</v>
      </c>
      <c r="DG92" s="376">
        <f t="shared" si="187"/>
        <v>-0.06850970735</v>
      </c>
      <c r="DH92" s="376">
        <f t="shared" si="187"/>
        <v>-0.01898640612</v>
      </c>
      <c r="DI92" s="377">
        <f>DI91/DI13</f>
        <v>0.09136767769</v>
      </c>
      <c r="DJ92" s="378"/>
      <c r="DK92" s="376">
        <f t="shared" ref="DK92:DN92" si="188">IFERROR(DK91/DK13,0)</f>
        <v>0.2807536659</v>
      </c>
      <c r="DL92" s="376">
        <f t="shared" si="188"/>
        <v>0.2706460436</v>
      </c>
      <c r="DM92" s="376">
        <f t="shared" si="188"/>
        <v>0.3436824047</v>
      </c>
      <c r="DN92" s="376">
        <f t="shared" si="188"/>
        <v>0.2058645454</v>
      </c>
      <c r="DO92" s="377">
        <f>DO91/DO13</f>
        <v>0.275068234</v>
      </c>
      <c r="DP92" s="378"/>
      <c r="DQ92" s="377" t="str">
        <f>DQ91/DQ13</f>
        <v>#DIV/0!</v>
      </c>
      <c r="DS92" s="376"/>
      <c r="DT92" s="376"/>
      <c r="DU92" s="376"/>
      <c r="DV92" s="376"/>
      <c r="DW92" s="376"/>
      <c r="DX92" s="376"/>
      <c r="DY92" s="376"/>
      <c r="DZ92" s="376"/>
      <c r="EA92" s="376"/>
      <c r="EB92" s="376"/>
      <c r="EC92" s="376"/>
      <c r="ED92" s="376"/>
      <c r="EE92" s="376"/>
      <c r="EF92" s="376"/>
      <c r="EG92" s="376"/>
      <c r="EH92" s="376"/>
      <c r="EI92" s="376"/>
      <c r="EJ92" s="376"/>
      <c r="EK92" s="376"/>
      <c r="EL92" s="376"/>
      <c r="EM92" s="376"/>
      <c r="EN92" s="376"/>
      <c r="EO92" s="376"/>
      <c r="EP92" s="376"/>
      <c r="EQ92" s="376"/>
      <c r="ER92" s="376"/>
      <c r="ES92" s="376"/>
      <c r="ET92" s="376"/>
      <c r="EU92" s="376"/>
      <c r="EV92" s="376"/>
      <c r="EW92" s="376"/>
      <c r="EX92" s="376"/>
      <c r="EY92" s="376"/>
      <c r="EZ92" s="376"/>
      <c r="FA92" s="376"/>
      <c r="FB92" s="449"/>
      <c r="FC92" s="376"/>
      <c r="FD92" s="376"/>
      <c r="FE92" s="376"/>
      <c r="FF92" s="376"/>
      <c r="FG92" s="379">
        <v>-150000.0</v>
      </c>
      <c r="FH92" s="379">
        <f t="shared" ref="FH92:FN92" si="189">400000</f>
        <v>400000</v>
      </c>
      <c r="FI92" s="379">
        <f t="shared" si="189"/>
        <v>400000</v>
      </c>
      <c r="FJ92" s="379">
        <f t="shared" si="189"/>
        <v>400000</v>
      </c>
      <c r="FK92" s="379">
        <f t="shared" si="189"/>
        <v>400000</v>
      </c>
      <c r="FL92" s="379">
        <f t="shared" si="189"/>
        <v>400000</v>
      </c>
      <c r="FM92" s="379">
        <f t="shared" si="189"/>
        <v>400000</v>
      </c>
      <c r="FN92" s="379">
        <f t="shared" si="189"/>
        <v>400000</v>
      </c>
      <c r="FO92" s="472">
        <f t="shared" ref="FO92:GE92" si="190">FO91/FO13</f>
        <v>0.04718809913</v>
      </c>
      <c r="FP92" s="472">
        <f t="shared" si="190"/>
        <v>0.05551871035</v>
      </c>
      <c r="FQ92" s="472">
        <f t="shared" si="190"/>
        <v>0.06455684625</v>
      </c>
      <c r="FR92" s="472">
        <f t="shared" si="190"/>
        <v>0.07787405472</v>
      </c>
      <c r="FS92" s="472">
        <f t="shared" si="190"/>
        <v>0.08024009937</v>
      </c>
      <c r="FT92" s="472">
        <f t="shared" si="190"/>
        <v>0.09116141013</v>
      </c>
      <c r="FU92" s="472">
        <f t="shared" si="190"/>
        <v>0.0986270593</v>
      </c>
      <c r="FV92" s="472">
        <f t="shared" si="190"/>
        <v>0.10610485</v>
      </c>
      <c r="FW92" s="472">
        <f t="shared" si="190"/>
        <v>0.111973274</v>
      </c>
      <c r="FX92" s="472">
        <f t="shared" si="190"/>
        <v>0.1093993518</v>
      </c>
      <c r="FY92" s="472">
        <f t="shared" si="190"/>
        <v>0.103586017</v>
      </c>
      <c r="FZ92" s="472">
        <f t="shared" si="190"/>
        <v>0.1243810811</v>
      </c>
      <c r="GA92" s="472">
        <f t="shared" si="190"/>
        <v>0.1283715382</v>
      </c>
      <c r="GB92" s="472">
        <f t="shared" si="190"/>
        <v>0.1278919338</v>
      </c>
      <c r="GC92" s="472">
        <f t="shared" si="190"/>
        <v>0.1306244736</v>
      </c>
      <c r="GD92" s="472">
        <f t="shared" si="190"/>
        <v>0.1415968775</v>
      </c>
      <c r="GE92" s="472">
        <f t="shared" si="190"/>
        <v>0.1464329816</v>
      </c>
      <c r="GF92" s="379"/>
      <c r="GG92" s="379"/>
      <c r="GH92" s="379"/>
      <c r="GI92" s="379"/>
      <c r="GJ92" s="379"/>
      <c r="GK92" s="379"/>
      <c r="GL92" s="379"/>
      <c r="GM92" s="379"/>
    </row>
    <row r="93" ht="14.25" customHeight="1">
      <c r="B93" s="1" t="s">
        <v>268</v>
      </c>
      <c r="C93" s="378"/>
      <c r="D93" s="378"/>
      <c r="E93" s="378"/>
      <c r="F93" s="378"/>
      <c r="G93" s="378"/>
      <c r="H93" s="378"/>
      <c r="I93" s="378"/>
      <c r="J93" s="378"/>
      <c r="K93" s="378"/>
      <c r="L93" s="378"/>
      <c r="M93" s="378"/>
      <c r="N93" s="378"/>
      <c r="O93" s="378"/>
      <c r="P93" s="378"/>
      <c r="Q93" s="378"/>
      <c r="R93" s="378"/>
      <c r="S93" s="378"/>
      <c r="T93" s="378"/>
      <c r="U93" s="378"/>
      <c r="V93" s="378"/>
      <c r="W93" s="378"/>
      <c r="X93" s="378"/>
      <c r="Y93" s="378"/>
      <c r="Z93" s="378"/>
      <c r="AA93" s="380"/>
      <c r="AB93" s="380"/>
      <c r="AC93" s="380"/>
      <c r="AD93" s="380"/>
      <c r="AE93" s="380"/>
      <c r="AF93" s="380"/>
      <c r="AG93" s="380"/>
      <c r="AH93" s="380"/>
      <c r="AI93" s="380"/>
      <c r="AJ93" s="380"/>
      <c r="AK93" s="380"/>
      <c r="AL93" s="380"/>
      <c r="AM93" s="380"/>
      <c r="AN93" s="380"/>
      <c r="AO93" s="380"/>
      <c r="AP93" s="380"/>
      <c r="AQ93" s="380"/>
      <c r="AR93" s="380"/>
      <c r="AS93" s="380"/>
      <c r="AT93" s="380"/>
      <c r="AU93" s="380"/>
      <c r="AV93" s="380"/>
      <c r="AW93" s="380"/>
      <c r="AX93" s="380"/>
      <c r="AY93" s="380"/>
      <c r="AZ93" s="380"/>
      <c r="BA93" s="380"/>
      <c r="BB93" s="380"/>
      <c r="BC93" s="380"/>
      <c r="BD93" s="380"/>
      <c r="BE93" s="380"/>
      <c r="BF93" s="380"/>
      <c r="BG93" s="378"/>
      <c r="BH93" s="378"/>
      <c r="BI93" s="378"/>
      <c r="BJ93" s="378"/>
      <c r="BK93" s="380"/>
      <c r="BL93" s="380"/>
      <c r="BM93" s="380"/>
      <c r="BN93" s="380"/>
      <c r="BO93" s="380"/>
      <c r="BP93" s="380"/>
      <c r="BQ93" s="380"/>
      <c r="BR93" s="380"/>
      <c r="BS93" s="378"/>
      <c r="BT93" s="378"/>
      <c r="BU93" s="378"/>
      <c r="BV93" s="378"/>
      <c r="BW93" s="473"/>
      <c r="BX93" s="55" t="str">
        <f>BX90/BX12</f>
        <v>#VALUE!</v>
      </c>
      <c r="BY93" s="474"/>
      <c r="BZ93" s="473"/>
      <c r="CA93" s="473"/>
      <c r="CB93" s="473"/>
      <c r="CC93" s="473"/>
      <c r="CD93" s="473"/>
      <c r="CE93" s="473"/>
      <c r="CF93" s="473"/>
      <c r="CG93" s="473"/>
      <c r="CH93" s="473"/>
      <c r="CK93" s="475"/>
      <c r="CL93" s="378"/>
      <c r="CM93" s="389" t="str">
        <f t="shared" ref="CM93:CQ93" si="191">IF(CM91=0,"", TEXT(CM91,"0,000")&amp;" "&amp;"("&amp;TEXT((CM91-CS91)/CS91,"0%")&amp;" YoY)")</f>
        <v>1,669,525 (116% YoY)</v>
      </c>
      <c r="CN93" s="389" t="str">
        <f t="shared" si="191"/>
        <v>1,943,242 (314% YoY)</v>
      </c>
      <c r="CO93" s="389" t="str">
        <f t="shared" si="191"/>
        <v/>
      </c>
      <c r="CP93" s="389" t="str">
        <f t="shared" si="191"/>
        <v/>
      </c>
      <c r="CQ93" s="476" t="str">
        <f t="shared" si="191"/>
        <v>3,612,767 (-19% YoY)</v>
      </c>
      <c r="CR93" s="389"/>
      <c r="CS93" s="389" t="str">
        <f t="shared" ref="CS93:CV93" si="192">IF(CS91=0,"", TEXT(CS91,"0,000")&amp;" "&amp;"("&amp;TEXT((CS91-CY91)/CY91,"0%")&amp;" YoY)")</f>
        <v>772,493 (-376% YoY)</v>
      </c>
      <c r="CT93" s="389" t="str">
        <f t="shared" si="192"/>
        <v>469,137 (-201% YoY)</v>
      </c>
      <c r="CU93" s="389" t="str">
        <f t="shared" si="192"/>
        <v>1,118,679 (613% YoY)</v>
      </c>
      <c r="CV93" s="389" t="str">
        <f t="shared" si="192"/>
        <v>2,106,877 (62% YoY)</v>
      </c>
      <c r="CW93" s="381"/>
      <c r="CX93" s="378"/>
      <c r="CY93" s="389" t="str">
        <f t="shared" ref="CY93:DB93" si="193">IF(CY91=0,"", TEXT(CY91,"0,000")&amp;" "&amp;"("&amp;TEXT((CY91-DE91)/DE91,"0%")&amp;" YoY)")</f>
        <v>-280,201 (-115% YoY)</v>
      </c>
      <c r="CZ93" s="389" t="str">
        <f t="shared" si="193"/>
        <v>-466,500 (-174% YoY)</v>
      </c>
      <c r="DA93" s="389" t="str">
        <f t="shared" si="193"/>
        <v>156,930 (-144% YoY)</v>
      </c>
      <c r="DB93" s="389" t="str">
        <f t="shared" si="193"/>
        <v>1,300,447 (-1444% YoY)</v>
      </c>
      <c r="DC93" s="381"/>
      <c r="DD93" s="378"/>
      <c r="DE93" s="389" t="str">
        <f t="shared" ref="DE93:DH93" si="194">IF(DE91=0,"", TEXT(DE91,"0,000")&amp;" "&amp;"("&amp;TEXT((DE91-DK91)/DK91,"0%")&amp;" YoY)")</f>
        <v>1,853,244 (83% YoY)</v>
      </c>
      <c r="DF93" s="389" t="str">
        <f t="shared" si="194"/>
        <v>626,613 (-42% YoY)</v>
      </c>
      <c r="DG93" s="389" t="str">
        <f t="shared" si="194"/>
        <v>-356,168 (-121% YoY)</v>
      </c>
      <c r="DH93" s="389" t="str">
        <f t="shared" si="194"/>
        <v>-96,750 (-110% YoY)</v>
      </c>
      <c r="DI93" s="381"/>
      <c r="DJ93" s="378"/>
      <c r="DK93" s="378"/>
      <c r="DL93" s="378"/>
      <c r="DM93" s="378"/>
      <c r="DN93" s="378"/>
      <c r="DO93" s="381"/>
      <c r="DP93" s="378"/>
      <c r="DQ93" s="381"/>
      <c r="DS93" s="378"/>
      <c r="DT93" s="378"/>
      <c r="DU93" s="378"/>
      <c r="DV93" s="378"/>
      <c r="DW93" s="378"/>
      <c r="DX93" s="378"/>
      <c r="DY93" s="378"/>
      <c r="DZ93" s="378"/>
      <c r="EA93" s="378"/>
      <c r="EB93" s="378"/>
      <c r="EC93" s="378"/>
      <c r="ED93" s="378"/>
      <c r="EE93" s="378"/>
      <c r="EF93" s="378"/>
      <c r="EG93" s="378"/>
      <c r="EH93" s="378"/>
      <c r="EI93" s="378"/>
      <c r="EJ93" s="378"/>
      <c r="EK93" s="378"/>
      <c r="EL93" s="378"/>
      <c r="EM93" s="378"/>
      <c r="EN93" s="378"/>
      <c r="EO93" s="378"/>
      <c r="EP93" s="378"/>
      <c r="EQ93" s="378"/>
      <c r="ER93" s="378"/>
      <c r="ES93" s="378"/>
      <c r="ET93" s="378"/>
      <c r="EU93" s="378"/>
      <c r="EV93" s="378"/>
      <c r="EW93" s="378"/>
      <c r="EX93" s="378"/>
      <c r="EY93" s="378"/>
      <c r="EZ93" s="378"/>
      <c r="FA93" s="378"/>
      <c r="FB93" s="3"/>
      <c r="FC93" s="378"/>
      <c r="FD93" s="378"/>
      <c r="FE93" s="378"/>
      <c r="FF93" s="378"/>
      <c r="FG93" s="379"/>
      <c r="FH93" s="379"/>
      <c r="FI93" s="379"/>
      <c r="FJ93" s="379"/>
      <c r="FK93" s="379"/>
      <c r="FL93" s="379"/>
      <c r="FM93" s="379"/>
      <c r="FN93" s="379"/>
      <c r="FO93" s="378"/>
      <c r="FP93" s="378"/>
      <c r="FQ93" s="378"/>
      <c r="FR93" s="378"/>
      <c r="FS93" s="379"/>
      <c r="FT93" s="379"/>
      <c r="FU93" s="379"/>
      <c r="FV93" s="379"/>
      <c r="FW93" s="379"/>
      <c r="FX93" s="379"/>
      <c r="FY93" s="379"/>
      <c r="FZ93" s="379"/>
      <c r="GA93" s="379"/>
      <c r="GB93" s="379"/>
      <c r="GC93" s="379"/>
      <c r="GD93" s="379"/>
      <c r="GE93" s="379"/>
      <c r="GF93" s="379"/>
      <c r="GG93" s="379"/>
      <c r="GH93" s="379"/>
      <c r="GI93" s="379"/>
      <c r="GJ93" s="379"/>
      <c r="GK93" s="379"/>
      <c r="GL93" s="379"/>
      <c r="GM93" s="379"/>
    </row>
    <row r="94" ht="14.25" customHeight="1">
      <c r="C94" s="378"/>
      <c r="D94" s="378"/>
      <c r="E94" s="378"/>
      <c r="F94" s="378"/>
      <c r="G94" s="378"/>
      <c r="H94" s="378"/>
      <c r="I94" s="378"/>
      <c r="J94" s="378"/>
      <c r="K94" s="378"/>
      <c r="L94" s="378"/>
      <c r="M94" s="378"/>
      <c r="N94" s="378"/>
      <c r="O94" s="378"/>
      <c r="P94" s="378"/>
      <c r="Q94" s="378"/>
      <c r="R94" s="378"/>
      <c r="S94" s="378"/>
      <c r="T94" s="378"/>
      <c r="U94" s="378"/>
      <c r="V94" s="378"/>
      <c r="W94" s="378"/>
      <c r="X94" s="378"/>
      <c r="Y94" s="378"/>
      <c r="Z94" s="378"/>
      <c r="AA94" s="380"/>
      <c r="AB94" s="380"/>
      <c r="AC94" s="380"/>
      <c r="AD94" s="380"/>
      <c r="AE94" s="380"/>
      <c r="AF94" s="380"/>
      <c r="AG94" s="380"/>
      <c r="AH94" s="380"/>
      <c r="AI94" s="380"/>
      <c r="AJ94" s="380"/>
      <c r="AK94" s="380"/>
      <c r="AL94" s="380"/>
      <c r="AM94" s="380"/>
      <c r="AN94" s="380"/>
      <c r="AO94" s="380"/>
      <c r="AP94" s="380"/>
      <c r="AQ94" s="380"/>
      <c r="AR94" s="380"/>
      <c r="AS94" s="380"/>
      <c r="AT94" s="380"/>
      <c r="AU94" s="380"/>
      <c r="AV94" s="380"/>
      <c r="AW94" s="380"/>
      <c r="AX94" s="380"/>
      <c r="AY94" s="380">
        <v>26499.0</v>
      </c>
      <c r="AZ94" s="380">
        <v>35621.0</v>
      </c>
      <c r="BA94" s="380">
        <v>112263.0</v>
      </c>
      <c r="BB94" s="380">
        <v>51121.0</v>
      </c>
      <c r="BC94" s="380">
        <v>126296.0</v>
      </c>
      <c r="BD94" s="380">
        <v>106944.0</v>
      </c>
      <c r="BE94" s="380">
        <v>30389.0</v>
      </c>
      <c r="BF94" s="380">
        <v>-6574.0</v>
      </c>
      <c r="BG94" s="380">
        <v>30672.0</v>
      </c>
      <c r="BH94" s="380">
        <v>72560.0</v>
      </c>
      <c r="BI94" s="380">
        <v>33075.0</v>
      </c>
      <c r="BJ94" s="380">
        <v>32789.0</v>
      </c>
      <c r="BK94" s="380"/>
      <c r="BL94" s="380"/>
      <c r="BM94" s="380"/>
      <c r="BN94" s="380"/>
      <c r="BO94" s="380"/>
      <c r="BP94" s="380"/>
      <c r="BQ94" s="380"/>
      <c r="BR94" s="380"/>
      <c r="BS94" s="380"/>
      <c r="BT94" s="380"/>
      <c r="BU94" s="380"/>
      <c r="BV94" s="380"/>
      <c r="BW94" s="473"/>
      <c r="BX94" s="473"/>
      <c r="BY94" s="473"/>
      <c r="BZ94" s="473"/>
      <c r="CA94" s="473"/>
      <c r="CB94" s="473"/>
      <c r="CC94" s="473"/>
      <c r="CD94" s="473"/>
      <c r="CE94" s="473"/>
      <c r="CF94" s="473"/>
      <c r="CG94" s="473"/>
      <c r="CH94" s="473"/>
      <c r="CK94" s="475"/>
      <c r="CL94" s="378"/>
      <c r="CM94" s="450"/>
      <c r="CN94" s="450"/>
      <c r="CO94" s="450"/>
      <c r="CP94" s="450"/>
      <c r="CQ94" s="477"/>
      <c r="CR94" s="450"/>
      <c r="CS94" s="450"/>
      <c r="CT94" s="450"/>
      <c r="CU94" s="450"/>
      <c r="CV94" s="450"/>
      <c r="CW94" s="451"/>
      <c r="CX94" s="378"/>
      <c r="CY94" s="450">
        <f t="shared" ref="CY94:CY95" si="197">sum(AY94:BA94)</f>
        <v>174383</v>
      </c>
      <c r="CZ94" s="450">
        <f t="shared" ref="CZ94:CZ95" si="198">sum(BB94:BD94)</f>
        <v>284361</v>
      </c>
      <c r="DA94" s="450">
        <f t="shared" ref="DA94:DA95" si="199">sum(BE94:BG94)</f>
        <v>54487</v>
      </c>
      <c r="DB94" s="450">
        <f t="shared" ref="DB94:DB95" si="200">sum(BH94:BJ94)</f>
        <v>138424</v>
      </c>
      <c r="DC94" s="451">
        <f t="shared" ref="DC94:DC95" si="201">sum(AY94:BJ94)</f>
        <v>651655</v>
      </c>
      <c r="DD94" s="378"/>
      <c r="DE94" s="378"/>
      <c r="DF94" s="378"/>
      <c r="DG94" s="378"/>
      <c r="DH94" s="382"/>
      <c r="DI94" s="381"/>
      <c r="DJ94" s="378"/>
      <c r="DK94" s="378"/>
      <c r="DL94" s="378"/>
      <c r="DM94" s="378"/>
      <c r="DN94" s="378"/>
      <c r="DO94" s="381"/>
      <c r="DP94" s="378"/>
      <c r="DQ94" s="381"/>
      <c r="DS94" s="378"/>
      <c r="DT94" s="378"/>
      <c r="DU94" s="378"/>
      <c r="DV94" s="378"/>
      <c r="DW94" s="378"/>
      <c r="DX94" s="378"/>
      <c r="DY94" s="378"/>
      <c r="DZ94" s="378"/>
      <c r="EA94" s="378"/>
      <c r="EB94" s="378"/>
      <c r="EC94" s="378"/>
      <c r="ED94" s="378"/>
      <c r="EE94" s="378"/>
      <c r="EF94" s="378"/>
      <c r="EG94" s="378"/>
      <c r="EH94" s="378"/>
      <c r="EI94" s="378"/>
      <c r="EJ94" s="378"/>
      <c r="EK94" s="378"/>
      <c r="EL94" s="378"/>
      <c r="EM94" s="378"/>
      <c r="EN94" s="378"/>
      <c r="EO94" s="378"/>
      <c r="EP94" s="378"/>
      <c r="EQ94" s="378"/>
      <c r="ER94" s="378"/>
      <c r="ES94" s="378"/>
      <c r="ET94" s="378"/>
      <c r="EU94" s="378"/>
      <c r="EV94" s="378"/>
      <c r="EW94" s="378"/>
      <c r="EX94" s="378"/>
      <c r="EY94" s="378"/>
      <c r="EZ94" s="378"/>
      <c r="FA94" s="378"/>
      <c r="FB94" s="3"/>
      <c r="FC94" s="378"/>
      <c r="FD94" s="378"/>
      <c r="FE94" s="378"/>
      <c r="FF94" s="378"/>
      <c r="FG94" s="379">
        <f>FF91+FG92</f>
        <v>-453095.58</v>
      </c>
      <c r="FH94" s="379">
        <f t="shared" ref="FH94:FN94" si="195">FG94+FH92</f>
        <v>-53095.58</v>
      </c>
      <c r="FI94" s="379">
        <f t="shared" si="195"/>
        <v>346904.42</v>
      </c>
      <c r="FJ94" s="379">
        <f t="shared" si="195"/>
        <v>746904.42</v>
      </c>
      <c r="FK94" s="379">
        <f t="shared" si="195"/>
        <v>1146904.42</v>
      </c>
      <c r="FL94" s="379">
        <f t="shared" si="195"/>
        <v>1546904.42</v>
      </c>
      <c r="FM94" s="379">
        <f t="shared" si="195"/>
        <v>1946904.42</v>
      </c>
      <c r="FN94" s="379">
        <f t="shared" si="195"/>
        <v>2346904.42</v>
      </c>
      <c r="FO94" s="378"/>
      <c r="FP94" s="378"/>
      <c r="FQ94" s="378"/>
      <c r="FR94" s="378"/>
      <c r="FS94" s="379">
        <f>FR91+FS92</f>
        <v>2182114.72</v>
      </c>
      <c r="FT94" s="379">
        <f t="shared" ref="FT94:GL94" si="196">FS94+FT92</f>
        <v>2182114.811</v>
      </c>
      <c r="FU94" s="379">
        <f t="shared" si="196"/>
        <v>2182114.91</v>
      </c>
      <c r="FV94" s="379">
        <f t="shared" si="196"/>
        <v>2182115.016</v>
      </c>
      <c r="FW94" s="379">
        <f t="shared" si="196"/>
        <v>2182115.128</v>
      </c>
      <c r="FX94" s="379">
        <f t="shared" si="196"/>
        <v>2182115.238</v>
      </c>
      <c r="FY94" s="379">
        <f t="shared" si="196"/>
        <v>2182115.341</v>
      </c>
      <c r="FZ94" s="379">
        <f t="shared" si="196"/>
        <v>2182115.465</v>
      </c>
      <c r="GA94" s="379">
        <f t="shared" si="196"/>
        <v>2182115.594</v>
      </c>
      <c r="GB94" s="379">
        <f t="shared" si="196"/>
        <v>2182115.722</v>
      </c>
      <c r="GC94" s="379">
        <f t="shared" si="196"/>
        <v>2182115.852</v>
      </c>
      <c r="GD94" s="379">
        <f t="shared" si="196"/>
        <v>2182115.994</v>
      </c>
      <c r="GE94" s="379">
        <f t="shared" si="196"/>
        <v>2182116.14</v>
      </c>
      <c r="GF94" s="379">
        <f t="shared" si="196"/>
        <v>2182116.14</v>
      </c>
      <c r="GG94" s="379">
        <f t="shared" si="196"/>
        <v>2182116.14</v>
      </c>
      <c r="GH94" s="379">
        <f t="shared" si="196"/>
        <v>2182116.14</v>
      </c>
      <c r="GI94" s="379">
        <f t="shared" si="196"/>
        <v>2182116.14</v>
      </c>
      <c r="GJ94" s="379">
        <f t="shared" si="196"/>
        <v>2182116.14</v>
      </c>
      <c r="GK94" s="379">
        <f t="shared" si="196"/>
        <v>2182116.14</v>
      </c>
      <c r="GL94" s="379">
        <f t="shared" si="196"/>
        <v>2182116.14</v>
      </c>
      <c r="GM94" s="379"/>
    </row>
    <row r="95">
      <c r="A95" s="35"/>
      <c r="B95" s="36" t="s">
        <v>526</v>
      </c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8">
        <v>286449.0</v>
      </c>
      <c r="AZ95" s="38">
        <v>174891.0</v>
      </c>
      <c r="BA95" s="38">
        <v>133306.0</v>
      </c>
      <c r="BB95" s="38">
        <v>168489.0</v>
      </c>
      <c r="BC95" s="38">
        <v>278236.0</v>
      </c>
      <c r="BD95" s="38">
        <v>335289.0</v>
      </c>
      <c r="BE95" s="38">
        <v>107540.0</v>
      </c>
      <c r="BF95" s="38">
        <v>272604.0</v>
      </c>
      <c r="BG95" s="38">
        <v>115120.0</v>
      </c>
      <c r="BH95" s="38">
        <v>148596.0</v>
      </c>
      <c r="BI95" s="38">
        <v>190351.0</v>
      </c>
      <c r="BJ95" s="38">
        <v>139415.0</v>
      </c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39"/>
      <c r="CJ95" s="39"/>
      <c r="CK95" s="47"/>
      <c r="CL95" s="41"/>
      <c r="CM95" s="452"/>
      <c r="CN95" s="452"/>
      <c r="CO95" s="452"/>
      <c r="CP95" s="452"/>
      <c r="CQ95" s="478"/>
      <c r="CR95" s="452"/>
      <c r="CS95" s="452"/>
      <c r="CT95" s="452"/>
      <c r="CU95" s="452"/>
      <c r="CV95" s="452"/>
      <c r="CW95" s="453"/>
      <c r="CX95" s="41"/>
      <c r="CY95" s="452">
        <f t="shared" si="197"/>
        <v>594646</v>
      </c>
      <c r="CZ95" s="452">
        <f t="shared" si="198"/>
        <v>782014</v>
      </c>
      <c r="DA95" s="452">
        <f t="shared" si="199"/>
        <v>495264</v>
      </c>
      <c r="DB95" s="452">
        <f t="shared" si="200"/>
        <v>478362</v>
      </c>
      <c r="DC95" s="453">
        <f t="shared" si="201"/>
        <v>2350286</v>
      </c>
      <c r="DD95" s="37"/>
      <c r="DE95" s="37"/>
      <c r="DF95" s="37"/>
      <c r="DG95" s="37"/>
      <c r="DH95" s="37"/>
      <c r="DI95" s="40"/>
      <c r="DJ95" s="37"/>
      <c r="DK95" s="37"/>
      <c r="DL95" s="37"/>
      <c r="DM95" s="37"/>
      <c r="DN95" s="37"/>
      <c r="DO95" s="40"/>
      <c r="DP95" s="37"/>
      <c r="DQ95" s="40"/>
      <c r="DR95" s="44"/>
      <c r="DS95" s="37"/>
      <c r="DT95" s="37"/>
      <c r="DU95" s="37"/>
      <c r="DV95" s="37"/>
      <c r="DW95" s="37"/>
      <c r="DX95" s="37"/>
      <c r="DY95" s="37"/>
      <c r="DZ95" s="37"/>
      <c r="EA95" s="37"/>
      <c r="EB95" s="37"/>
      <c r="EC95" s="37"/>
      <c r="ED95" s="37"/>
      <c r="EE95" s="37"/>
      <c r="EF95" s="37"/>
      <c r="EG95" s="37"/>
      <c r="EH95" s="37"/>
      <c r="EI95" s="37"/>
      <c r="EJ95" s="37"/>
      <c r="EK95" s="37"/>
      <c r="EL95" s="37"/>
      <c r="EM95" s="37"/>
      <c r="EN95" s="37"/>
      <c r="EO95" s="37"/>
      <c r="EP95" s="37"/>
      <c r="EQ95" s="37"/>
      <c r="ER95" s="37"/>
      <c r="ES95" s="37"/>
      <c r="ET95" s="37"/>
      <c r="EU95" s="37"/>
      <c r="EV95" s="37"/>
      <c r="EW95" s="37"/>
      <c r="EX95" s="37"/>
      <c r="EY95" s="37"/>
      <c r="EZ95" s="37"/>
      <c r="FA95" s="38"/>
      <c r="FB95" s="38"/>
      <c r="FC95" s="38"/>
      <c r="FD95" s="38"/>
      <c r="FE95" s="38"/>
      <c r="FF95" s="38"/>
      <c r="FG95" s="38"/>
      <c r="FH95" s="38"/>
      <c r="FI95" s="38"/>
      <c r="FJ95" s="38"/>
      <c r="FK95" s="38"/>
      <c r="FL95" s="38"/>
      <c r="FM95" s="38"/>
      <c r="FN95" s="38"/>
      <c r="FO95" s="38"/>
      <c r="FP95" s="38"/>
      <c r="FQ95" s="38"/>
      <c r="FR95" s="38"/>
      <c r="FS95" s="38"/>
      <c r="FT95" s="38"/>
      <c r="FU95" s="38"/>
      <c r="FV95" s="38"/>
      <c r="FW95" s="38"/>
      <c r="FX95" s="38"/>
      <c r="FY95" s="38"/>
      <c r="FZ95" s="38"/>
      <c r="GA95" s="38"/>
      <c r="GB95" s="38"/>
      <c r="GC95" s="38"/>
      <c r="GD95" s="38"/>
      <c r="GE95" s="38"/>
      <c r="GF95" s="38"/>
      <c r="GG95" s="38"/>
      <c r="GH95" s="38"/>
      <c r="GI95" s="38"/>
      <c r="GJ95" s="38"/>
      <c r="GK95" s="38"/>
      <c r="GL95" s="38"/>
      <c r="GM95" s="38"/>
    </row>
    <row r="96" ht="9.0" customHeight="1">
      <c r="B96" s="383"/>
      <c r="C96" s="384"/>
      <c r="D96" s="385"/>
      <c r="E96" s="385"/>
      <c r="F96" s="385"/>
      <c r="G96" s="385"/>
      <c r="H96" s="384"/>
      <c r="I96" s="385"/>
      <c r="J96" s="385"/>
      <c r="K96" s="385"/>
      <c r="L96" s="385"/>
      <c r="M96" s="385"/>
      <c r="N96" s="385"/>
      <c r="O96" s="385"/>
      <c r="P96" s="385"/>
      <c r="Q96" s="385"/>
      <c r="R96" s="385"/>
      <c r="S96" s="385"/>
      <c r="T96" s="385"/>
      <c r="U96" s="385"/>
      <c r="V96" s="385"/>
      <c r="W96" s="385"/>
      <c r="X96" s="385"/>
      <c r="Y96" s="385"/>
      <c r="Z96" s="385"/>
      <c r="AA96" s="385"/>
      <c r="AB96" s="385"/>
      <c r="AC96" s="385"/>
      <c r="AD96" s="385"/>
      <c r="AE96" s="385"/>
      <c r="AF96" s="385"/>
      <c r="AG96" s="385"/>
      <c r="AH96" s="385"/>
      <c r="AI96" s="385"/>
      <c r="AJ96" s="385"/>
      <c r="AK96" s="385"/>
      <c r="AL96" s="385"/>
      <c r="AM96" s="385"/>
      <c r="AN96" s="385"/>
      <c r="AO96" s="385"/>
      <c r="AP96" s="385"/>
      <c r="AQ96" s="385"/>
      <c r="AR96" s="385"/>
      <c r="AS96" s="385"/>
      <c r="AT96" s="385"/>
      <c r="AU96" s="385"/>
      <c r="AV96" s="385"/>
      <c r="AW96" s="385"/>
      <c r="AX96" s="385"/>
      <c r="AY96" s="385"/>
      <c r="AZ96" s="385"/>
      <c r="BA96" s="385"/>
      <c r="BB96" s="385"/>
      <c r="BC96" s="385"/>
      <c r="BD96" s="385"/>
      <c r="BE96" s="385"/>
      <c r="BF96" s="385"/>
      <c r="BG96" s="385"/>
      <c r="BH96" s="385"/>
      <c r="BI96" s="385"/>
      <c r="BJ96" s="385"/>
      <c r="BK96" s="385"/>
      <c r="BL96" s="385"/>
      <c r="BM96" s="385"/>
      <c r="BN96" s="385"/>
      <c r="BO96" s="385"/>
      <c r="BP96" s="385"/>
      <c r="BQ96" s="385"/>
      <c r="BR96" s="385"/>
      <c r="BS96" s="385"/>
      <c r="BT96" s="385"/>
      <c r="BU96" s="385"/>
      <c r="BV96" s="385"/>
      <c r="BW96" s="479"/>
      <c r="BX96" s="479"/>
      <c r="BY96" s="479"/>
      <c r="BZ96" s="479"/>
      <c r="CA96" s="479"/>
      <c r="CB96" s="479"/>
      <c r="CC96" s="479"/>
      <c r="CD96" s="479"/>
      <c r="CE96" s="479"/>
      <c r="CF96" s="479"/>
      <c r="CG96" s="479"/>
      <c r="CH96" s="479"/>
      <c r="CK96" s="480"/>
      <c r="CL96" s="284"/>
      <c r="CM96" s="385"/>
      <c r="CN96" s="385"/>
      <c r="CO96" s="385"/>
      <c r="CP96" s="385"/>
      <c r="CQ96" s="480"/>
      <c r="CR96" s="385"/>
      <c r="CS96" s="385"/>
      <c r="CT96" s="385"/>
      <c r="CU96" s="385"/>
      <c r="CV96" s="385"/>
      <c r="CW96" s="386"/>
      <c r="CX96" s="284"/>
      <c r="CY96" s="385"/>
      <c r="CZ96" s="385"/>
      <c r="DA96" s="385"/>
      <c r="DB96" s="385"/>
      <c r="DC96" s="386"/>
      <c r="DD96" s="284"/>
      <c r="DE96" s="385"/>
      <c r="DF96" s="385"/>
      <c r="DG96" s="385"/>
      <c r="DH96" s="385"/>
      <c r="DI96" s="386"/>
      <c r="DJ96" s="284"/>
      <c r="DK96" s="385"/>
      <c r="DL96" s="385"/>
      <c r="DM96" s="385"/>
      <c r="DN96" s="385"/>
      <c r="DO96" s="386"/>
      <c r="DP96" s="284"/>
      <c r="DQ96" s="386"/>
      <c r="DR96" s="284"/>
      <c r="DS96" s="385"/>
      <c r="DT96" s="385"/>
      <c r="DU96" s="385"/>
      <c r="DV96" s="385"/>
      <c r="DW96" s="385"/>
      <c r="DX96" s="385"/>
      <c r="DY96" s="385"/>
      <c r="DZ96" s="385"/>
      <c r="EA96" s="385"/>
      <c r="EB96" s="385"/>
      <c r="EC96" s="385"/>
      <c r="ED96" s="385"/>
      <c r="EE96" s="385"/>
      <c r="EF96" s="385"/>
      <c r="EG96" s="385"/>
      <c r="EH96" s="385"/>
      <c r="EI96" s="385"/>
      <c r="EJ96" s="385"/>
      <c r="EK96" s="385"/>
      <c r="EL96" s="385"/>
      <c r="EM96" s="385"/>
      <c r="EN96" s="385"/>
      <c r="EO96" s="385"/>
      <c r="EP96" s="385"/>
      <c r="EQ96" s="385"/>
      <c r="ER96" s="385"/>
      <c r="ES96" s="385"/>
      <c r="ET96" s="385"/>
      <c r="EU96" s="385"/>
      <c r="EV96" s="385"/>
      <c r="EW96" s="385"/>
      <c r="EX96" s="385"/>
      <c r="EY96" s="385"/>
      <c r="EZ96" s="385"/>
      <c r="FA96" s="385"/>
      <c r="FB96" s="286"/>
      <c r="FC96" s="385"/>
      <c r="FD96" s="385"/>
      <c r="FE96" s="385"/>
      <c r="FF96" s="385"/>
      <c r="FG96" s="385"/>
      <c r="FH96" s="385"/>
      <c r="FI96" s="385"/>
      <c r="FJ96" s="385"/>
      <c r="FK96" s="385"/>
      <c r="FL96" s="385"/>
      <c r="FM96" s="385"/>
      <c r="FN96" s="385"/>
      <c r="FO96" s="385"/>
      <c r="FP96" s="385"/>
      <c r="FQ96" s="385"/>
      <c r="FR96" s="385"/>
      <c r="FS96" s="385"/>
      <c r="FT96" s="385"/>
      <c r="FU96" s="385"/>
      <c r="FV96" s="385"/>
      <c r="FW96" s="385"/>
      <c r="FX96" s="385"/>
      <c r="FY96" s="385"/>
      <c r="FZ96" s="385"/>
      <c r="GA96" s="385"/>
      <c r="GB96" s="385"/>
      <c r="GC96" s="385"/>
      <c r="GD96" s="385"/>
      <c r="GE96" s="385"/>
      <c r="GF96" s="385"/>
      <c r="GG96" s="385"/>
      <c r="GH96" s="385"/>
      <c r="GI96" s="385"/>
      <c r="GJ96" s="385"/>
      <c r="GK96" s="385"/>
      <c r="GL96" s="385"/>
      <c r="GM96" s="385"/>
    </row>
    <row r="97">
      <c r="B97" s="383" t="s">
        <v>30</v>
      </c>
      <c r="C97" s="384"/>
      <c r="D97" s="385"/>
      <c r="E97" s="385"/>
      <c r="F97" s="385"/>
      <c r="G97" s="385"/>
      <c r="H97" s="384"/>
      <c r="I97" s="385"/>
      <c r="J97" s="385"/>
      <c r="K97" s="385"/>
      <c r="L97" s="385"/>
      <c r="M97" s="385"/>
      <c r="N97" s="385"/>
      <c r="O97" s="385"/>
      <c r="P97" s="385"/>
      <c r="Q97" s="385"/>
      <c r="R97" s="385"/>
      <c r="S97" s="385"/>
      <c r="T97" s="385"/>
      <c r="U97" s="385"/>
      <c r="V97" s="385"/>
      <c r="W97" s="385"/>
      <c r="X97" s="385"/>
      <c r="Y97" s="385"/>
      <c r="Z97" s="385"/>
      <c r="AA97" s="385"/>
      <c r="AB97" s="385"/>
      <c r="AC97" s="385"/>
      <c r="AD97" s="385"/>
      <c r="AE97" s="385"/>
      <c r="AF97" s="385"/>
      <c r="AG97" s="385"/>
      <c r="AH97" s="385"/>
      <c r="AI97" s="385"/>
      <c r="AJ97" s="385"/>
      <c r="AK97" s="385"/>
      <c r="AL97" s="385"/>
      <c r="AM97" s="385"/>
      <c r="AN97" s="385"/>
      <c r="AO97" s="385"/>
      <c r="AP97" s="385"/>
      <c r="AQ97" s="385"/>
      <c r="AR97" s="385"/>
      <c r="AS97" s="385"/>
      <c r="AT97" s="385"/>
      <c r="AU97" s="385"/>
      <c r="AV97" s="385"/>
      <c r="AW97" s="385"/>
      <c r="AX97" s="385"/>
      <c r="AY97" s="385"/>
      <c r="AZ97" s="385"/>
      <c r="BA97" s="385"/>
      <c r="BB97" s="385"/>
      <c r="BC97" s="385"/>
      <c r="BD97" s="385"/>
      <c r="BE97" s="385"/>
      <c r="BF97" s="385"/>
      <c r="BG97" s="385"/>
      <c r="BH97" s="385"/>
      <c r="BI97" s="385"/>
      <c r="BJ97" s="385"/>
      <c r="BK97" s="385"/>
      <c r="BL97" s="385"/>
      <c r="BM97" s="385"/>
      <c r="BN97" s="385"/>
      <c r="BO97" s="385"/>
      <c r="BP97" s="385"/>
      <c r="BQ97" s="385"/>
      <c r="BR97" s="385"/>
      <c r="BS97" s="385"/>
      <c r="BT97" s="385"/>
      <c r="BU97" s="385"/>
      <c r="BV97" s="385"/>
      <c r="BW97" s="479"/>
      <c r="BX97" s="479"/>
      <c r="BY97" s="479"/>
      <c r="BZ97" s="479"/>
      <c r="CA97" s="479"/>
      <c r="CB97" s="479"/>
      <c r="CC97" s="479"/>
      <c r="CD97" s="479"/>
      <c r="CE97" s="479"/>
      <c r="CF97" s="479"/>
      <c r="CG97" s="479"/>
      <c r="CH97" s="479"/>
      <c r="CK97" s="480"/>
      <c r="CL97" s="284"/>
      <c r="CM97" s="385"/>
      <c r="CN97" s="385"/>
      <c r="CO97" s="385"/>
      <c r="CP97" s="385"/>
      <c r="CQ97" s="480"/>
      <c r="CR97" s="385"/>
      <c r="CS97" s="385"/>
      <c r="CT97" s="385"/>
      <c r="CU97" s="385"/>
      <c r="CV97" s="385"/>
      <c r="CW97" s="386"/>
      <c r="CX97" s="284"/>
      <c r="CY97" s="385"/>
      <c r="CZ97" s="385"/>
      <c r="DA97" s="385"/>
      <c r="DB97" s="385"/>
      <c r="DC97" s="386"/>
      <c r="DD97" s="284"/>
      <c r="DE97" s="385"/>
      <c r="DF97" s="385"/>
      <c r="DG97" s="385"/>
      <c r="DH97" s="385"/>
      <c r="DI97" s="386"/>
      <c r="DJ97" s="284"/>
      <c r="DK97" s="385"/>
      <c r="DL97" s="385"/>
      <c r="DM97" s="385"/>
      <c r="DN97" s="385"/>
      <c r="DO97" s="386"/>
      <c r="DP97" s="284"/>
      <c r="DQ97" s="386"/>
      <c r="DR97" s="284"/>
      <c r="DS97" s="385"/>
      <c r="DT97" s="385"/>
      <c r="DU97" s="385"/>
      <c r="DV97" s="385"/>
      <c r="DW97" s="385"/>
      <c r="DX97" s="385"/>
      <c r="DY97" s="385"/>
      <c r="DZ97" s="385"/>
      <c r="EA97" s="385"/>
      <c r="EB97" s="385"/>
      <c r="EC97" s="385"/>
      <c r="ED97" s="385"/>
      <c r="EE97" s="385"/>
      <c r="EF97" s="385"/>
      <c r="EG97" s="385"/>
      <c r="EH97" s="385"/>
      <c r="EI97" s="385"/>
      <c r="EJ97" s="385"/>
      <c r="EK97" s="385"/>
      <c r="EL97" s="385"/>
      <c r="EM97" s="385"/>
      <c r="EN97" s="385"/>
      <c r="EO97" s="385"/>
      <c r="EP97" s="385"/>
      <c r="EQ97" s="385"/>
      <c r="ER97" s="385"/>
      <c r="ES97" s="385"/>
      <c r="ET97" s="385"/>
      <c r="EU97" s="385"/>
      <c r="EV97" s="385"/>
      <c r="EW97" s="385"/>
      <c r="EX97" s="385"/>
      <c r="EY97" s="385"/>
      <c r="EZ97" s="385"/>
      <c r="FA97" s="385"/>
      <c r="FB97" s="286"/>
      <c r="FC97" s="385"/>
      <c r="FD97" s="385"/>
      <c r="FE97" s="385"/>
      <c r="FF97" s="385"/>
      <c r="FG97" s="385"/>
      <c r="FH97" s="385"/>
      <c r="FI97" s="385"/>
      <c r="FJ97" s="385"/>
      <c r="FK97" s="385"/>
      <c r="FL97" s="385"/>
      <c r="FM97" s="385"/>
      <c r="FN97" s="385"/>
      <c r="FO97" s="385"/>
      <c r="FP97" s="385"/>
      <c r="FQ97" s="385"/>
      <c r="FR97" s="385"/>
      <c r="FS97" s="385"/>
      <c r="FT97" s="385"/>
      <c r="FU97" s="385"/>
      <c r="FV97" s="385"/>
      <c r="FW97" s="385"/>
      <c r="FX97" s="385"/>
      <c r="FY97" s="385"/>
      <c r="FZ97" s="385"/>
      <c r="GA97" s="385"/>
      <c r="GB97" s="385"/>
      <c r="GC97" s="385"/>
      <c r="GD97" s="385"/>
      <c r="GE97" s="385"/>
      <c r="GF97" s="385"/>
      <c r="GG97" s="385"/>
      <c r="GH97" s="385"/>
      <c r="GI97" s="385"/>
      <c r="GJ97" s="385"/>
      <c r="GK97" s="385"/>
      <c r="GL97" s="385"/>
      <c r="GM97" s="385"/>
    </row>
    <row r="98">
      <c r="B98" s="387" t="s">
        <v>527</v>
      </c>
      <c r="C98" s="384"/>
      <c r="D98" s="385"/>
      <c r="E98" s="385"/>
      <c r="F98" s="385"/>
      <c r="G98" s="385"/>
      <c r="H98" s="384"/>
      <c r="I98" s="385"/>
      <c r="J98" s="385"/>
      <c r="K98" s="385"/>
      <c r="L98" s="385"/>
      <c r="M98" s="385"/>
      <c r="N98" s="385"/>
      <c r="O98" s="385"/>
      <c r="P98" s="385"/>
      <c r="Q98" s="385"/>
      <c r="R98" s="385"/>
      <c r="S98" s="385"/>
      <c r="T98" s="385"/>
      <c r="U98" s="385"/>
      <c r="V98" s="385"/>
      <c r="W98" s="385"/>
      <c r="X98" s="385"/>
      <c r="Y98" s="385"/>
      <c r="Z98" s="385"/>
      <c r="AA98" s="385">
        <f t="shared" ref="AA98:AX98" si="202">AA8/AA7</f>
        <v>0.6885789256</v>
      </c>
      <c r="AB98" s="385">
        <f t="shared" si="202"/>
        <v>0.3425076453</v>
      </c>
      <c r="AC98" s="385">
        <f t="shared" si="202"/>
        <v>0.0657767435</v>
      </c>
      <c r="AD98" s="385">
        <f t="shared" si="202"/>
        <v>0.624759384</v>
      </c>
      <c r="AE98" s="385">
        <f t="shared" si="202"/>
        <v>0.1450313051</v>
      </c>
      <c r="AF98" s="385">
        <f t="shared" si="202"/>
        <v>0.3839906724</v>
      </c>
      <c r="AG98" s="385">
        <f t="shared" si="202"/>
        <v>0.423692216</v>
      </c>
      <c r="AH98" s="385">
        <f t="shared" si="202"/>
        <v>0.2416977555</v>
      </c>
      <c r="AI98" s="385">
        <f t="shared" si="202"/>
        <v>0.4105431134</v>
      </c>
      <c r="AJ98" s="385">
        <f t="shared" si="202"/>
        <v>0.6244773931</v>
      </c>
      <c r="AK98" s="385">
        <f t="shared" si="202"/>
        <v>0.4312939989</v>
      </c>
      <c r="AL98" s="385">
        <f t="shared" si="202"/>
        <v>0.1909785646</v>
      </c>
      <c r="AM98" s="385">
        <f t="shared" si="202"/>
        <v>1</v>
      </c>
      <c r="AN98" s="385">
        <f t="shared" si="202"/>
        <v>0.4122314799</v>
      </c>
      <c r="AO98" s="385">
        <f t="shared" si="202"/>
        <v>0.4385716099</v>
      </c>
      <c r="AP98" s="385">
        <f t="shared" si="202"/>
        <v>0.5993832129</v>
      </c>
      <c r="AQ98" s="385">
        <f t="shared" si="202"/>
        <v>0.8537902727</v>
      </c>
      <c r="AR98" s="385">
        <f t="shared" si="202"/>
        <v>0.4156928442</v>
      </c>
      <c r="AS98" s="385">
        <f t="shared" si="202"/>
        <v>0.1092616472</v>
      </c>
      <c r="AT98" s="385">
        <f t="shared" si="202"/>
        <v>0.5327998676</v>
      </c>
      <c r="AU98" s="385">
        <f t="shared" si="202"/>
        <v>0.2391294073</v>
      </c>
      <c r="AV98" s="385">
        <f t="shared" si="202"/>
        <v>0.5883173714</v>
      </c>
      <c r="AW98" s="385">
        <f t="shared" si="202"/>
        <v>0.726015901</v>
      </c>
      <c r="AX98" s="385">
        <f t="shared" si="202"/>
        <v>0.484266416</v>
      </c>
      <c r="AY98" s="385">
        <f t="shared" ref="AY98:BM98" si="203">IFERROR((AY8+AY10+AY11)/AY7,0)</f>
        <v>0</v>
      </c>
      <c r="AZ98" s="385">
        <f t="shared" si="203"/>
        <v>0.3857235899</v>
      </c>
      <c r="BA98" s="385">
        <f t="shared" si="203"/>
        <v>0.1344011448</v>
      </c>
      <c r="BB98" s="385">
        <f t="shared" si="203"/>
        <v>0.1524445448</v>
      </c>
      <c r="BC98" s="385">
        <f t="shared" si="203"/>
        <v>0.2771556826</v>
      </c>
      <c r="BD98" s="385">
        <f t="shared" si="203"/>
        <v>0.6282747892</v>
      </c>
      <c r="BE98" s="385">
        <f t="shared" si="203"/>
        <v>0.5096073161</v>
      </c>
      <c r="BF98" s="385">
        <f t="shared" si="203"/>
        <v>0.7243039168</v>
      </c>
      <c r="BG98" s="385">
        <f t="shared" si="203"/>
        <v>0.1242561749</v>
      </c>
      <c r="BH98" s="385">
        <f t="shared" si="203"/>
        <v>0.1764423511</v>
      </c>
      <c r="BI98" s="385">
        <f t="shared" si="203"/>
        <v>0.8448499968</v>
      </c>
      <c r="BJ98" s="385">
        <f t="shared" si="203"/>
        <v>0.4158411518</v>
      </c>
      <c r="BK98" s="385">
        <f t="shared" si="203"/>
        <v>0.1870327278</v>
      </c>
      <c r="BL98" s="385">
        <f t="shared" si="203"/>
        <v>0.299756243</v>
      </c>
      <c r="BM98" s="385">
        <f t="shared" si="203"/>
        <v>0.1772285797</v>
      </c>
      <c r="BN98" s="385">
        <f t="shared" ref="BN98:CH98" si="204">IFERROR(BN8/BN7,0)</f>
        <v>0.2028852474</v>
      </c>
      <c r="BO98" s="385">
        <f t="shared" si="204"/>
        <v>0.1474546972</v>
      </c>
      <c r="BP98" s="385">
        <f t="shared" si="204"/>
        <v>0.2832978003</v>
      </c>
      <c r="BQ98" s="385">
        <f t="shared" si="204"/>
        <v>0.1752541757</v>
      </c>
      <c r="BR98" s="385">
        <f t="shared" si="204"/>
        <v>0.3388098974</v>
      </c>
      <c r="BS98" s="385">
        <f t="shared" si="204"/>
        <v>0.1261461618</v>
      </c>
      <c r="BT98" s="385">
        <f t="shared" si="204"/>
        <v>0.08717836683</v>
      </c>
      <c r="BU98" s="385">
        <f t="shared" si="204"/>
        <v>0.6084431758</v>
      </c>
      <c r="BV98" s="385">
        <f t="shared" si="204"/>
        <v>0.3983722654</v>
      </c>
      <c r="BW98" s="458">
        <f t="shared" si="204"/>
        <v>0.1088732061</v>
      </c>
      <c r="BX98" s="458">
        <f t="shared" si="204"/>
        <v>0.1606733034</v>
      </c>
      <c r="BY98" s="458">
        <f t="shared" si="204"/>
        <v>0.3096497884</v>
      </c>
      <c r="BZ98" s="458">
        <f t="shared" si="204"/>
        <v>0.07430902181</v>
      </c>
      <c r="CA98" s="458">
        <f t="shared" si="204"/>
        <v>0.1230010675</v>
      </c>
      <c r="CB98" s="458">
        <f t="shared" si="204"/>
        <v>0.1152131145</v>
      </c>
      <c r="CC98" s="458">
        <f t="shared" si="204"/>
        <v>0</v>
      </c>
      <c r="CD98" s="458">
        <f t="shared" si="204"/>
        <v>0</v>
      </c>
      <c r="CE98" s="458">
        <f t="shared" si="204"/>
        <v>0</v>
      </c>
      <c r="CF98" s="458">
        <f t="shared" si="204"/>
        <v>0</v>
      </c>
      <c r="CG98" s="458">
        <f t="shared" si="204"/>
        <v>0</v>
      </c>
      <c r="CH98" s="458">
        <f t="shared" si="204"/>
        <v>0</v>
      </c>
      <c r="CK98" s="480">
        <f>CK8/CK7</f>
        <v>0.2419135967</v>
      </c>
      <c r="CL98" s="284"/>
      <c r="CM98" s="385">
        <f t="shared" ref="CM98:CQ98" si="205">IFERROR(CM8/CM7,0)</f>
        <v>0.2485694624</v>
      </c>
      <c r="CN98" s="385">
        <f t="shared" si="205"/>
        <v>0.1124847149</v>
      </c>
      <c r="CO98" s="385">
        <f t="shared" si="205"/>
        <v>0</v>
      </c>
      <c r="CP98" s="385">
        <f t="shared" si="205"/>
        <v>0</v>
      </c>
      <c r="CQ98" s="480">
        <f t="shared" si="205"/>
        <v>0.1966605245</v>
      </c>
      <c r="CR98" s="385"/>
      <c r="CS98" s="385">
        <f t="shared" ref="CS98:CW98" si="206">IFERROR(CS8/CS7,0)</f>
        <v>0.07624435599</v>
      </c>
      <c r="CT98" s="385">
        <f t="shared" si="206"/>
        <v>0.2142804029</v>
      </c>
      <c r="CU98" s="385">
        <f t="shared" si="206"/>
        <v>0.1932162308</v>
      </c>
      <c r="CV98" s="385">
        <f t="shared" si="206"/>
        <v>0.3340734918</v>
      </c>
      <c r="CW98" s="386">
        <f t="shared" si="206"/>
        <v>0.2283116495</v>
      </c>
      <c r="CX98" s="284"/>
      <c r="CY98" s="385">
        <f t="shared" ref="CY98:DC98" si="207">IFERROR(CY8/CY7,0)</f>
        <v>0.1291130318</v>
      </c>
      <c r="CZ98" s="385">
        <f t="shared" si="207"/>
        <v>0.2920159843</v>
      </c>
      <c r="DA98" s="385">
        <f t="shared" si="207"/>
        <v>0.3845873269</v>
      </c>
      <c r="DB98" s="385">
        <f t="shared" si="207"/>
        <v>0.4431302913</v>
      </c>
      <c r="DC98" s="386">
        <f t="shared" si="207"/>
        <v>0.3295473246</v>
      </c>
      <c r="DD98" s="284"/>
      <c r="DE98" s="385">
        <f t="shared" ref="DE98:DI98" si="208">DE8/DE7</f>
        <v>0.4574934992</v>
      </c>
      <c r="DF98" s="385">
        <f t="shared" si="208"/>
        <v>0.5419345854</v>
      </c>
      <c r="DG98" s="385">
        <f t="shared" si="208"/>
        <v>0.3508544229</v>
      </c>
      <c r="DH98" s="385">
        <f t="shared" si="208"/>
        <v>0.6033963456</v>
      </c>
      <c r="DI98" s="386">
        <f t="shared" si="208"/>
        <v>0.5122184618</v>
      </c>
      <c r="DJ98" s="284"/>
      <c r="DK98" s="385">
        <f t="shared" ref="DK98:DO98" si="209">DK8/DK7</f>
        <v>0.1102712673</v>
      </c>
      <c r="DL98" s="385">
        <f t="shared" si="209"/>
        <v>0.2766238464</v>
      </c>
      <c r="DM98" s="385">
        <f t="shared" si="209"/>
        <v>0.4080931389</v>
      </c>
      <c r="DN98" s="385">
        <f t="shared" si="209"/>
        <v>0.3661701685</v>
      </c>
      <c r="DO98" s="386">
        <f t="shared" si="209"/>
        <v>0.3122609057</v>
      </c>
      <c r="DP98" s="284"/>
      <c r="DQ98" s="386" t="str">
        <f>DQ8/DQ7</f>
        <v>#DIV/0!</v>
      </c>
      <c r="DR98" s="284"/>
      <c r="DS98" s="385"/>
      <c r="DT98" s="385"/>
      <c r="DU98" s="385"/>
      <c r="DV98" s="385"/>
      <c r="DW98" s="385"/>
      <c r="DX98" s="385"/>
      <c r="DY98" s="385"/>
      <c r="DZ98" s="385"/>
      <c r="EA98" s="385"/>
      <c r="EB98" s="385"/>
      <c r="EC98" s="385"/>
      <c r="ED98" s="385"/>
      <c r="EE98" s="385"/>
      <c r="EF98" s="385"/>
      <c r="EG98" s="385"/>
      <c r="EH98" s="385"/>
      <c r="EI98" s="385"/>
      <c r="EJ98" s="385"/>
      <c r="EK98" s="385"/>
      <c r="EL98" s="385"/>
      <c r="EM98" s="385"/>
      <c r="EN98" s="385"/>
      <c r="EO98" s="385"/>
      <c r="EP98" s="385"/>
      <c r="EQ98" s="385"/>
      <c r="ER98" s="385"/>
      <c r="ES98" s="385"/>
      <c r="ET98" s="385"/>
      <c r="EU98" s="385"/>
      <c r="EV98" s="385"/>
      <c r="EW98" s="385"/>
      <c r="EX98" s="385"/>
      <c r="EY98" s="385"/>
      <c r="EZ98" s="385"/>
      <c r="FA98" s="385"/>
      <c r="FB98" s="286"/>
      <c r="FC98" s="385"/>
      <c r="FD98" s="385"/>
      <c r="FE98" s="385"/>
      <c r="FF98" s="385"/>
      <c r="FG98" s="385"/>
      <c r="FH98" s="385"/>
      <c r="FI98" s="385"/>
      <c r="FJ98" s="385"/>
      <c r="FK98" s="385"/>
      <c r="FL98" s="385"/>
      <c r="FM98" s="385"/>
      <c r="FN98" s="385"/>
      <c r="FO98" s="385"/>
      <c r="FP98" s="385"/>
      <c r="FQ98" s="385"/>
      <c r="FR98" s="385"/>
      <c r="FS98" s="385"/>
      <c r="FT98" s="385"/>
      <c r="FU98" s="385"/>
      <c r="FV98" s="385"/>
      <c r="FW98" s="385"/>
      <c r="FX98" s="385"/>
      <c r="FY98" s="385"/>
      <c r="FZ98" s="385"/>
      <c r="GA98" s="385"/>
      <c r="GB98" s="385"/>
      <c r="GC98" s="385"/>
      <c r="GD98" s="385"/>
      <c r="GE98" s="385"/>
      <c r="GF98" s="385"/>
      <c r="GG98" s="385"/>
      <c r="GH98" s="385"/>
      <c r="GI98" s="385"/>
      <c r="GJ98" s="385"/>
      <c r="GK98" s="385"/>
      <c r="GL98" s="385"/>
      <c r="GM98" s="385"/>
    </row>
    <row r="99">
      <c r="B99" s="387" t="s">
        <v>528</v>
      </c>
      <c r="C99" s="384"/>
      <c r="D99" s="384"/>
      <c r="E99" s="384"/>
      <c r="F99" s="384"/>
      <c r="G99" s="384"/>
      <c r="H99" s="384"/>
      <c r="I99" s="384"/>
      <c r="J99" s="384"/>
      <c r="K99" s="384"/>
      <c r="L99" s="384"/>
      <c r="M99" s="384"/>
      <c r="N99" s="384"/>
      <c r="O99" s="384"/>
      <c r="P99" s="384"/>
      <c r="Q99" s="384"/>
      <c r="R99" s="384"/>
      <c r="S99" s="384"/>
      <c r="T99" s="384"/>
      <c r="U99" s="384"/>
      <c r="V99" s="384"/>
      <c r="W99" s="384"/>
      <c r="X99" s="384"/>
      <c r="Y99" s="384"/>
      <c r="Z99" s="384"/>
      <c r="AA99" s="384">
        <f t="shared" ref="AA99:AX99" si="210">AA9/AA7</f>
        <v>0.3114210744</v>
      </c>
      <c r="AB99" s="384">
        <f t="shared" si="210"/>
        <v>0.1467889908</v>
      </c>
      <c r="AC99" s="384">
        <f t="shared" si="210"/>
        <v>0.9342232565</v>
      </c>
      <c r="AD99" s="384">
        <f t="shared" si="210"/>
        <v>0.3615255053</v>
      </c>
      <c r="AE99" s="384">
        <f t="shared" si="210"/>
        <v>0.8521553744</v>
      </c>
      <c r="AF99" s="384">
        <f t="shared" si="210"/>
        <v>0.6091211716</v>
      </c>
      <c r="AG99" s="384">
        <f t="shared" si="210"/>
        <v>0.5239938737</v>
      </c>
      <c r="AH99" s="384">
        <f t="shared" si="210"/>
        <v>0.7339000673</v>
      </c>
      <c r="AI99" s="384">
        <f t="shared" si="210"/>
        <v>0.5888738239</v>
      </c>
      <c r="AJ99" s="384">
        <f t="shared" si="210"/>
        <v>0.3701420279</v>
      </c>
      <c r="AK99" s="384">
        <f t="shared" si="210"/>
        <v>0.463172251</v>
      </c>
      <c r="AL99" s="384">
        <f t="shared" si="210"/>
        <v>0.7804319323</v>
      </c>
      <c r="AM99" s="384">
        <f t="shared" si="210"/>
        <v>0</v>
      </c>
      <c r="AN99" s="384">
        <f t="shared" si="210"/>
        <v>0.2902000794</v>
      </c>
      <c r="AO99" s="384">
        <f t="shared" si="210"/>
        <v>0.5510104923</v>
      </c>
      <c r="AP99" s="384">
        <f t="shared" si="210"/>
        <v>0.3982468386</v>
      </c>
      <c r="AQ99" s="384">
        <f t="shared" si="210"/>
        <v>0.1203372241</v>
      </c>
      <c r="AR99" s="384">
        <f t="shared" si="210"/>
        <v>0.5220512619</v>
      </c>
      <c r="AS99" s="384">
        <f t="shared" si="210"/>
        <v>0.7839277101</v>
      </c>
      <c r="AT99" s="384">
        <f t="shared" si="210"/>
        <v>0.4604423923</v>
      </c>
      <c r="AU99" s="384">
        <f t="shared" si="210"/>
        <v>0.7572034637</v>
      </c>
      <c r="AV99" s="384">
        <f t="shared" si="210"/>
        <v>0.3466021317</v>
      </c>
      <c r="AW99" s="384">
        <f t="shared" si="210"/>
        <v>0.2572563114</v>
      </c>
      <c r="AX99" s="384">
        <f t="shared" si="210"/>
        <v>0.379561076</v>
      </c>
      <c r="AY99" s="384">
        <f t="shared" ref="AY99:CH99" si="211">IFERROR(AY9/AY7,0)</f>
        <v>1</v>
      </c>
      <c r="AZ99" s="384">
        <f t="shared" si="211"/>
        <v>0.6142764101</v>
      </c>
      <c r="BA99" s="384">
        <f t="shared" si="211"/>
        <v>0.8655988552</v>
      </c>
      <c r="BB99" s="384">
        <f t="shared" si="211"/>
        <v>0.8475554552</v>
      </c>
      <c r="BC99" s="384">
        <f t="shared" si="211"/>
        <v>0.7228443174</v>
      </c>
      <c r="BD99" s="384">
        <f t="shared" si="211"/>
        <v>0.3717252108</v>
      </c>
      <c r="BE99" s="384">
        <f t="shared" si="211"/>
        <v>0.4903926839</v>
      </c>
      <c r="BF99" s="384">
        <f t="shared" si="211"/>
        <v>0.2756960832</v>
      </c>
      <c r="BG99" s="384">
        <f t="shared" si="211"/>
        <v>0.8757438251</v>
      </c>
      <c r="BH99" s="384">
        <f t="shared" si="211"/>
        <v>0.8235576489</v>
      </c>
      <c r="BI99" s="384">
        <f t="shared" si="211"/>
        <v>0.1551500032</v>
      </c>
      <c r="BJ99" s="384">
        <f t="shared" si="211"/>
        <v>0.5841588482</v>
      </c>
      <c r="BK99" s="384">
        <f t="shared" si="211"/>
        <v>0.8129672722</v>
      </c>
      <c r="BL99" s="384">
        <f t="shared" si="211"/>
        <v>0.700243757</v>
      </c>
      <c r="BM99" s="384">
        <f t="shared" si="211"/>
        <v>0.8227714203</v>
      </c>
      <c r="BN99" s="384">
        <f t="shared" si="211"/>
        <v>0.7414989226</v>
      </c>
      <c r="BO99" s="384">
        <f t="shared" si="211"/>
        <v>0.7913184389</v>
      </c>
      <c r="BP99" s="384">
        <f t="shared" si="211"/>
        <v>0.6316663081</v>
      </c>
      <c r="BQ99" s="384">
        <f t="shared" si="211"/>
        <v>0.8247458243</v>
      </c>
      <c r="BR99" s="384">
        <f t="shared" si="211"/>
        <v>0.6344930986</v>
      </c>
      <c r="BS99" s="384">
        <f t="shared" si="211"/>
        <v>0.7883204894</v>
      </c>
      <c r="BT99" s="384">
        <f t="shared" si="211"/>
        <v>0.8400032086</v>
      </c>
      <c r="BU99" s="384">
        <f t="shared" si="211"/>
        <v>0.2373594528</v>
      </c>
      <c r="BV99" s="384">
        <f t="shared" si="211"/>
        <v>0.5627917402</v>
      </c>
      <c r="BW99" s="458">
        <f t="shared" si="211"/>
        <v>0.8837392534</v>
      </c>
      <c r="BX99" s="458">
        <f t="shared" si="211"/>
        <v>0.8210623301</v>
      </c>
      <c r="BY99" s="458">
        <f t="shared" si="211"/>
        <v>0.6503474825</v>
      </c>
      <c r="BZ99" s="458">
        <f t="shared" si="211"/>
        <v>0.9256909782</v>
      </c>
      <c r="CA99" s="458">
        <f t="shared" si="211"/>
        <v>0.7731673274</v>
      </c>
      <c r="CB99" s="458">
        <f t="shared" si="211"/>
        <v>0.8269021442</v>
      </c>
      <c r="CC99" s="458">
        <f t="shared" si="211"/>
        <v>0</v>
      </c>
      <c r="CD99" s="458">
        <f t="shared" si="211"/>
        <v>0</v>
      </c>
      <c r="CE99" s="458">
        <f t="shared" si="211"/>
        <v>0</v>
      </c>
      <c r="CF99" s="458">
        <f t="shared" si="211"/>
        <v>0</v>
      </c>
      <c r="CG99" s="458">
        <f t="shared" si="211"/>
        <v>0</v>
      </c>
      <c r="CH99" s="458">
        <f t="shared" si="211"/>
        <v>0</v>
      </c>
      <c r="CK99" s="485">
        <f>CK9/CK7</f>
        <v>0.7030219072</v>
      </c>
      <c r="CL99" s="389"/>
      <c r="CM99" s="384">
        <f t="shared" ref="CM99:CQ99" si="212">IFERROR(CM9/CM7,0)</f>
        <v>0.720575208</v>
      </c>
      <c r="CN99" s="384">
        <f t="shared" si="212"/>
        <v>0.815638998</v>
      </c>
      <c r="CO99" s="384">
        <f t="shared" si="212"/>
        <v>0</v>
      </c>
      <c r="CP99" s="384">
        <f t="shared" si="212"/>
        <v>0</v>
      </c>
      <c r="CQ99" s="485">
        <f t="shared" si="212"/>
        <v>0.7568368792</v>
      </c>
      <c r="CR99" s="384"/>
      <c r="CS99" s="384">
        <f t="shared" ref="CS99:CW99" si="213">IFERROR(CS9/CS7,0)</f>
        <v>0.7719867919</v>
      </c>
      <c r="CT99" s="384">
        <f t="shared" si="213"/>
        <v>0.7197858295</v>
      </c>
      <c r="CU99" s="384">
        <f t="shared" si="213"/>
        <v>0.7672218589</v>
      </c>
      <c r="CV99" s="384">
        <f t="shared" si="213"/>
        <v>0.5890629803</v>
      </c>
      <c r="CW99" s="388">
        <f t="shared" si="213"/>
        <v>0.6941845939</v>
      </c>
      <c r="CX99" s="389"/>
      <c r="CY99" s="384">
        <f t="shared" ref="CY99:DC99" si="214">IFERROR(CY9/CY7,0)</f>
        <v>0.8504999215</v>
      </c>
      <c r="CZ99" s="384">
        <f t="shared" si="214"/>
        <v>0.6964651266</v>
      </c>
      <c r="DA99" s="384">
        <f t="shared" si="214"/>
        <v>0.5476330189</v>
      </c>
      <c r="DB99" s="384">
        <f t="shared" si="214"/>
        <v>0.5107986464</v>
      </c>
      <c r="DC99" s="388">
        <f t="shared" si="214"/>
        <v>0.6329945185</v>
      </c>
      <c r="DD99" s="389"/>
      <c r="DE99" s="384">
        <f t="shared" ref="DE99:DI99" si="215">DE9/DE7</f>
        <v>0.4460127994</v>
      </c>
      <c r="DF99" s="384">
        <f t="shared" si="215"/>
        <v>0.4128210212</v>
      </c>
      <c r="DG99" s="384">
        <f t="shared" si="215"/>
        <v>0.6198698149</v>
      </c>
      <c r="DH99" s="384">
        <f t="shared" si="215"/>
        <v>0.3227380791</v>
      </c>
      <c r="DI99" s="388">
        <f t="shared" si="215"/>
        <v>0.4264117875</v>
      </c>
      <c r="DJ99" s="389"/>
      <c r="DK99" s="384">
        <f t="shared" ref="DK99:DO99" si="216">DK9/DK7</f>
        <v>0.855289727</v>
      </c>
      <c r="DL99" s="384">
        <f t="shared" si="216"/>
        <v>0.7180778372</v>
      </c>
      <c r="DM99" s="384">
        <f t="shared" si="216"/>
        <v>0.561553387</v>
      </c>
      <c r="DN99" s="384">
        <f t="shared" si="216"/>
        <v>0.6033358342</v>
      </c>
      <c r="DO99" s="388">
        <f t="shared" si="216"/>
        <v>0.6644062658</v>
      </c>
      <c r="DP99" s="389"/>
      <c r="DQ99" s="388" t="str">
        <f>DQ9/DQ7</f>
        <v>#DIV/0!</v>
      </c>
      <c r="DR99" s="389"/>
      <c r="DS99" s="384"/>
      <c r="DT99" s="384"/>
      <c r="DU99" s="384"/>
      <c r="DV99" s="384"/>
      <c r="DW99" s="384"/>
      <c r="DX99" s="384"/>
      <c r="DY99" s="384"/>
      <c r="DZ99" s="384"/>
      <c r="EA99" s="384"/>
      <c r="EB99" s="384"/>
      <c r="EC99" s="384"/>
      <c r="ED99" s="384"/>
      <c r="EE99" s="384"/>
      <c r="EF99" s="384"/>
      <c r="EG99" s="384"/>
      <c r="EH99" s="384"/>
      <c r="EI99" s="384"/>
      <c r="EJ99" s="384"/>
      <c r="EK99" s="384"/>
      <c r="EL99" s="384"/>
      <c r="EM99" s="384"/>
      <c r="EN99" s="384"/>
      <c r="EO99" s="384"/>
      <c r="EP99" s="384"/>
      <c r="EQ99" s="384"/>
      <c r="ER99" s="384"/>
      <c r="ES99" s="384"/>
      <c r="ET99" s="384"/>
      <c r="EU99" s="384"/>
      <c r="EV99" s="384"/>
      <c r="EW99" s="384"/>
      <c r="EX99" s="384"/>
      <c r="EY99" s="384"/>
      <c r="EZ99" s="384"/>
      <c r="FA99" s="384"/>
      <c r="FB99" s="360"/>
      <c r="FC99" s="384"/>
      <c r="FD99" s="384"/>
      <c r="FE99" s="385"/>
      <c r="FF99" s="385"/>
      <c r="FG99" s="384"/>
      <c r="FH99" s="384"/>
      <c r="FI99" s="384"/>
      <c r="FJ99" s="384"/>
      <c r="FK99" s="384"/>
      <c r="FL99" s="384"/>
      <c r="FM99" s="384"/>
      <c r="FN99" s="384"/>
      <c r="FO99" s="384"/>
      <c r="FP99" s="384"/>
      <c r="FQ99" s="385"/>
      <c r="FR99" s="385"/>
      <c r="FS99" s="384"/>
      <c r="FT99" s="384"/>
      <c r="FU99" s="384"/>
      <c r="FV99" s="384"/>
      <c r="FW99" s="384"/>
      <c r="FX99" s="384"/>
      <c r="FY99" s="384"/>
      <c r="FZ99" s="384"/>
      <c r="GA99" s="384"/>
      <c r="GB99" s="384"/>
      <c r="GC99" s="384"/>
      <c r="GD99" s="384"/>
      <c r="GE99" s="384"/>
      <c r="GF99" s="384"/>
      <c r="GG99" s="384"/>
      <c r="GH99" s="384"/>
      <c r="GI99" s="384"/>
      <c r="GJ99" s="384"/>
      <c r="GK99" s="384"/>
      <c r="GL99" s="384"/>
      <c r="GM99" s="384"/>
    </row>
    <row r="100">
      <c r="B100" s="135"/>
      <c r="C100" s="389"/>
      <c r="D100" s="389"/>
      <c r="E100" s="389"/>
      <c r="F100" s="389"/>
      <c r="G100" s="389"/>
      <c r="H100" s="389"/>
      <c r="I100" s="389"/>
      <c r="J100" s="389"/>
      <c r="K100" s="389"/>
      <c r="L100" s="389"/>
      <c r="M100" s="389"/>
      <c r="N100" s="389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  <c r="AA100" s="389"/>
      <c r="AB100" s="389"/>
      <c r="AC100" s="389"/>
      <c r="AD100" s="389"/>
      <c r="AE100" s="389"/>
      <c r="AF100" s="389"/>
      <c r="AG100" s="389"/>
      <c r="AH100" s="389"/>
      <c r="AI100" s="389"/>
      <c r="AJ100" s="389"/>
      <c r="AK100" s="389"/>
      <c r="AL100" s="389"/>
      <c r="AM100" s="389"/>
      <c r="AN100" s="389"/>
      <c r="AO100" s="389"/>
      <c r="AP100" s="389"/>
      <c r="AQ100" s="389"/>
      <c r="AR100" s="389"/>
      <c r="AS100" s="389"/>
      <c r="AT100" s="389"/>
      <c r="AU100" s="389"/>
      <c r="AV100" s="389"/>
      <c r="AW100" s="389"/>
      <c r="AX100" s="389"/>
      <c r="AY100" s="389"/>
      <c r="AZ100" s="389"/>
      <c r="BA100" s="389"/>
      <c r="BB100" s="389"/>
      <c r="BC100" s="389"/>
      <c r="BD100" s="389"/>
      <c r="BE100" s="389"/>
      <c r="BF100" s="389"/>
      <c r="BG100" s="389"/>
      <c r="BH100" s="389"/>
      <c r="BI100" s="389"/>
      <c r="BJ100" s="389"/>
      <c r="BK100" s="389"/>
      <c r="BL100" s="389"/>
      <c r="BM100" s="389"/>
      <c r="BN100" s="389"/>
      <c r="BO100" s="389"/>
      <c r="BP100" s="389"/>
      <c r="BQ100" s="389"/>
      <c r="BR100" s="389"/>
      <c r="BS100" s="389"/>
      <c r="BT100" s="389"/>
      <c r="BU100" s="389"/>
      <c r="BV100" s="389"/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8"/>
      <c r="CH100" s="58"/>
      <c r="CK100" s="476"/>
      <c r="CL100" s="389"/>
      <c r="CM100" s="389"/>
      <c r="CN100" s="389"/>
      <c r="CO100" s="389"/>
      <c r="CP100" s="389"/>
      <c r="CQ100" s="476"/>
      <c r="CR100" s="389"/>
      <c r="CS100" s="389"/>
      <c r="CT100" s="389"/>
      <c r="CU100" s="389"/>
      <c r="CV100" s="389"/>
      <c r="CW100" s="390"/>
      <c r="CX100" s="389"/>
      <c r="CY100" s="389"/>
      <c r="CZ100" s="389"/>
      <c r="DA100" s="389"/>
      <c r="DB100" s="389"/>
      <c r="DC100" s="390"/>
      <c r="DD100" s="389"/>
      <c r="DE100" s="389"/>
      <c r="DF100" s="389"/>
      <c r="DG100" s="389"/>
      <c r="DH100" s="389"/>
      <c r="DI100" s="390"/>
      <c r="DJ100" s="389"/>
      <c r="DK100" s="389"/>
      <c r="DL100" s="389"/>
      <c r="DM100" s="389"/>
      <c r="DN100" s="389"/>
      <c r="DO100" s="390"/>
      <c r="DP100" s="389"/>
      <c r="DQ100" s="390"/>
      <c r="DS100" s="389"/>
      <c r="DT100" s="389"/>
      <c r="DU100" s="389"/>
      <c r="DV100" s="389"/>
      <c r="DW100" s="389"/>
      <c r="DX100" s="389"/>
      <c r="DY100" s="389"/>
      <c r="DZ100" s="389"/>
      <c r="EA100" s="389"/>
      <c r="EB100" s="389"/>
      <c r="EC100" s="389"/>
      <c r="ED100" s="389"/>
      <c r="EE100" s="389"/>
      <c r="EF100" s="389"/>
      <c r="EG100" s="389"/>
      <c r="EH100" s="389"/>
      <c r="EI100" s="389"/>
      <c r="EJ100" s="389"/>
      <c r="EK100" s="389"/>
      <c r="EL100" s="389"/>
      <c r="EM100" s="389"/>
      <c r="EN100" s="389"/>
      <c r="EO100" s="389"/>
      <c r="EP100" s="389"/>
      <c r="EQ100" s="389"/>
      <c r="ER100" s="389"/>
      <c r="ES100" s="389"/>
      <c r="ET100" s="389"/>
      <c r="EU100" s="389"/>
      <c r="EV100" s="389"/>
      <c r="EW100" s="389"/>
      <c r="EX100" s="389"/>
      <c r="EY100" s="389"/>
      <c r="EZ100" s="389"/>
      <c r="FA100" s="389"/>
      <c r="FB100" s="137"/>
      <c r="FC100" s="389"/>
      <c r="FD100" s="389"/>
      <c r="FE100" s="385"/>
      <c r="FF100" s="385"/>
      <c r="FG100" s="389"/>
      <c r="FH100" s="389"/>
      <c r="FI100" s="389"/>
      <c r="FJ100" s="389"/>
      <c r="FK100" s="389"/>
      <c r="FL100" s="389"/>
      <c r="FM100" s="389"/>
      <c r="FN100" s="389"/>
      <c r="FO100" s="389"/>
      <c r="FP100" s="389"/>
      <c r="FQ100" s="385"/>
      <c r="FR100" s="385"/>
      <c r="FS100" s="389"/>
      <c r="FT100" s="389"/>
      <c r="FU100" s="389"/>
      <c r="FV100" s="389"/>
      <c r="FW100" s="389"/>
      <c r="FX100" s="389"/>
      <c r="FY100" s="389"/>
      <c r="FZ100" s="389"/>
      <c r="GA100" s="389"/>
      <c r="GB100" s="389"/>
      <c r="GC100" s="389"/>
      <c r="GD100" s="389"/>
      <c r="GE100" s="389"/>
      <c r="GF100" s="389"/>
      <c r="GG100" s="389"/>
      <c r="GH100" s="389"/>
      <c r="GI100" s="389"/>
      <c r="GJ100" s="389"/>
      <c r="GK100" s="389"/>
      <c r="GL100" s="389"/>
      <c r="GM100" s="389"/>
    </row>
    <row r="101">
      <c r="B101" s="383" t="s">
        <v>276</v>
      </c>
      <c r="C101" s="384"/>
      <c r="D101" s="384"/>
      <c r="E101" s="384"/>
      <c r="F101" s="384"/>
      <c r="G101" s="384"/>
      <c r="H101" s="384"/>
      <c r="I101" s="384"/>
      <c r="J101" s="384"/>
      <c r="K101" s="384"/>
      <c r="L101" s="384"/>
      <c r="M101" s="384"/>
      <c r="N101" s="384"/>
      <c r="O101" s="384"/>
      <c r="P101" s="384"/>
      <c r="Q101" s="384"/>
      <c r="R101" s="384"/>
      <c r="S101" s="384"/>
      <c r="T101" s="384"/>
      <c r="U101" s="384"/>
      <c r="V101" s="384"/>
      <c r="W101" s="384"/>
      <c r="X101" s="384"/>
      <c r="Y101" s="384"/>
      <c r="Z101" s="384"/>
      <c r="AA101" s="384"/>
      <c r="AB101" s="384"/>
      <c r="AC101" s="384"/>
      <c r="AD101" s="384"/>
      <c r="AE101" s="384"/>
      <c r="AF101" s="384"/>
      <c r="AG101" s="384"/>
      <c r="AH101" s="384"/>
      <c r="AI101" s="384"/>
      <c r="AJ101" s="384"/>
      <c r="AK101" s="384"/>
      <c r="AL101" s="384"/>
      <c r="AM101" s="384"/>
      <c r="AN101" s="384"/>
      <c r="AO101" s="384"/>
      <c r="AP101" s="384"/>
      <c r="AQ101" s="384"/>
      <c r="AR101" s="384"/>
      <c r="AS101" s="384"/>
      <c r="AT101" s="384"/>
      <c r="AU101" s="384"/>
      <c r="AV101" s="384"/>
      <c r="AW101" s="384"/>
      <c r="AX101" s="384"/>
      <c r="AY101" s="384"/>
      <c r="AZ101" s="384"/>
      <c r="BA101" s="384"/>
      <c r="BB101" s="384"/>
      <c r="BC101" s="384"/>
      <c r="BD101" s="384"/>
      <c r="BE101" s="384"/>
      <c r="BF101" s="384"/>
      <c r="BG101" s="384"/>
      <c r="BH101" s="384"/>
      <c r="BI101" s="384"/>
      <c r="BJ101" s="384"/>
      <c r="BK101" s="384"/>
      <c r="BL101" s="384"/>
      <c r="BM101" s="384"/>
      <c r="BN101" s="384"/>
      <c r="BO101" s="384"/>
      <c r="BP101" s="384"/>
      <c r="BQ101" s="384"/>
      <c r="BR101" s="384"/>
      <c r="BS101" s="384"/>
      <c r="BT101" s="384"/>
      <c r="BU101" s="384"/>
      <c r="BV101" s="384"/>
      <c r="BW101" s="479"/>
      <c r="BX101" s="479"/>
      <c r="BY101" s="479"/>
      <c r="BZ101" s="479"/>
      <c r="CA101" s="479"/>
      <c r="CB101" s="479"/>
      <c r="CC101" s="479"/>
      <c r="CD101" s="479"/>
      <c r="CE101" s="479"/>
      <c r="CF101" s="479"/>
      <c r="CG101" s="479"/>
      <c r="CH101" s="479"/>
      <c r="CK101" s="485"/>
      <c r="CL101" s="389"/>
      <c r="CM101" s="391">
        <f t="shared" ref="CM101:CQ101" si="217">SUM(CM102,CM104)</f>
        <v>7267620.35</v>
      </c>
      <c r="CN101" s="391">
        <f t="shared" si="217"/>
        <v>8239452.2</v>
      </c>
      <c r="CO101" s="391">
        <f t="shared" si="217"/>
        <v>0</v>
      </c>
      <c r="CP101" s="391">
        <f t="shared" si="217"/>
        <v>0</v>
      </c>
      <c r="CQ101" s="486">
        <f t="shared" si="217"/>
        <v>15507072.55</v>
      </c>
      <c r="CR101" s="391"/>
      <c r="CS101" s="391">
        <f t="shared" ref="CS101:CW101" si="218">SUM(CS102,CS104)</f>
        <v>4368894</v>
      </c>
      <c r="CT101" s="391">
        <f t="shared" si="218"/>
        <v>4773545.12</v>
      </c>
      <c r="CU101" s="391">
        <f t="shared" si="218"/>
        <v>5680566.92</v>
      </c>
      <c r="CV101" s="391">
        <f t="shared" si="218"/>
        <v>6203003.14</v>
      </c>
      <c r="CW101" s="392">
        <f t="shared" si="218"/>
        <v>21026009.18</v>
      </c>
      <c r="CX101" s="389"/>
      <c r="CY101" s="391" t="str">
        <f t="shared" ref="CY101:DC101" si="219">SUM(CY102,CY104)</f>
        <v>#REF!</v>
      </c>
      <c r="CZ101" s="391" t="str">
        <f t="shared" si="219"/>
        <v>#REF!</v>
      </c>
      <c r="DA101" s="391" t="str">
        <f t="shared" si="219"/>
        <v>#REF!</v>
      </c>
      <c r="DB101" s="391" t="str">
        <f t="shared" si="219"/>
        <v>#REF!</v>
      </c>
      <c r="DC101" s="392" t="str">
        <f t="shared" si="219"/>
        <v>#REF!</v>
      </c>
      <c r="DD101" s="389"/>
      <c r="DE101" s="384"/>
      <c r="DF101" s="384"/>
      <c r="DG101" s="384"/>
      <c r="DH101" s="384"/>
      <c r="DI101" s="388"/>
      <c r="DJ101" s="389"/>
      <c r="DK101" s="384"/>
      <c r="DL101" s="384"/>
      <c r="DM101" s="384"/>
      <c r="DN101" s="384"/>
      <c r="DO101" s="388"/>
      <c r="DP101" s="389"/>
      <c r="DQ101" s="388"/>
      <c r="DR101" s="284"/>
      <c r="DS101" s="384"/>
      <c r="DT101" s="384"/>
      <c r="DU101" s="384"/>
      <c r="DV101" s="384"/>
      <c r="DW101" s="384"/>
      <c r="DX101" s="384"/>
      <c r="DY101" s="384"/>
      <c r="DZ101" s="384"/>
      <c r="EA101" s="384"/>
      <c r="EB101" s="384"/>
      <c r="EC101" s="384"/>
      <c r="ED101" s="384"/>
      <c r="EE101" s="384"/>
      <c r="EF101" s="384"/>
      <c r="EG101" s="384"/>
      <c r="EH101" s="384"/>
      <c r="EI101" s="384"/>
      <c r="EJ101" s="384"/>
      <c r="EK101" s="384"/>
      <c r="EL101" s="384"/>
      <c r="EM101" s="384"/>
      <c r="EN101" s="384"/>
      <c r="EO101" s="384"/>
      <c r="EP101" s="384"/>
      <c r="EQ101" s="384"/>
      <c r="ER101" s="384"/>
      <c r="ES101" s="384"/>
      <c r="ET101" s="384"/>
      <c r="EU101" s="384"/>
      <c r="EV101" s="384"/>
      <c r="EW101" s="384"/>
      <c r="EX101" s="384"/>
      <c r="EY101" s="384"/>
      <c r="EZ101" s="384"/>
      <c r="FA101" s="384"/>
      <c r="FB101" s="360"/>
      <c r="FC101" s="384"/>
      <c r="FD101" s="384"/>
      <c r="FE101" s="385"/>
      <c r="FF101" s="385"/>
      <c r="FG101" s="384"/>
      <c r="FH101" s="384"/>
      <c r="FI101" s="384"/>
      <c r="FJ101" s="384"/>
      <c r="FK101" s="384"/>
      <c r="FL101" s="384"/>
      <c r="FM101" s="384"/>
      <c r="FN101" s="384"/>
      <c r="FO101" s="384"/>
      <c r="FP101" s="384"/>
      <c r="FQ101" s="385"/>
      <c r="FR101" s="385"/>
      <c r="FS101" s="384"/>
      <c r="FT101" s="384"/>
      <c r="FU101" s="384"/>
      <c r="FV101" s="384"/>
      <c r="FW101" s="384"/>
      <c r="FX101" s="384"/>
      <c r="FY101" s="384"/>
      <c r="FZ101" s="384"/>
      <c r="GA101" s="384"/>
      <c r="GB101" s="384"/>
      <c r="GC101" s="384"/>
      <c r="GD101" s="384"/>
      <c r="GE101" s="384"/>
      <c r="GF101" s="384"/>
      <c r="GG101" s="384"/>
      <c r="GH101" s="384"/>
      <c r="GI101" s="384"/>
      <c r="GJ101" s="384"/>
      <c r="GK101" s="384"/>
      <c r="GL101" s="384"/>
      <c r="GM101" s="384"/>
    </row>
    <row r="102">
      <c r="B102" s="393" t="s">
        <v>529</v>
      </c>
      <c r="C102" s="384"/>
      <c r="D102" s="384"/>
      <c r="E102" s="384"/>
      <c r="F102" s="384"/>
      <c r="G102" s="384"/>
      <c r="H102" s="384"/>
      <c r="I102" s="384"/>
      <c r="J102" s="384"/>
      <c r="K102" s="384"/>
      <c r="L102" s="384"/>
      <c r="M102" s="384"/>
      <c r="N102" s="384"/>
      <c r="O102" s="384"/>
      <c r="P102" s="384"/>
      <c r="Q102" s="384"/>
      <c r="R102" s="384"/>
      <c r="S102" s="384"/>
      <c r="T102" s="384"/>
      <c r="U102" s="384"/>
      <c r="V102" s="384"/>
      <c r="W102" s="384"/>
      <c r="X102" s="384"/>
      <c r="Y102" s="384"/>
      <c r="Z102" s="384"/>
      <c r="AA102" s="384"/>
      <c r="AB102" s="384"/>
      <c r="AC102" s="384"/>
      <c r="AD102" s="384"/>
      <c r="AE102" s="384"/>
      <c r="AF102" s="384"/>
      <c r="AG102" s="384"/>
      <c r="AH102" s="384"/>
      <c r="AI102" s="384"/>
      <c r="AJ102" s="384"/>
      <c r="AK102" s="384"/>
      <c r="AL102" s="384"/>
      <c r="AM102" s="394">
        <f t="shared" ref="AM102:AX102" si="220">AM$14</f>
        <v>0</v>
      </c>
      <c r="AN102" s="394">
        <f t="shared" si="220"/>
        <v>0</v>
      </c>
      <c r="AO102" s="394">
        <f t="shared" si="220"/>
        <v>0</v>
      </c>
      <c r="AP102" s="394">
        <f t="shared" si="220"/>
        <v>0</v>
      </c>
      <c r="AQ102" s="394">
        <f t="shared" si="220"/>
        <v>0</v>
      </c>
      <c r="AR102" s="394">
        <f t="shared" si="220"/>
        <v>0</v>
      </c>
      <c r="AS102" s="394">
        <f t="shared" si="220"/>
        <v>0</v>
      </c>
      <c r="AT102" s="394">
        <f t="shared" si="220"/>
        <v>0</v>
      </c>
      <c r="AU102" s="394">
        <f t="shared" si="220"/>
        <v>0</v>
      </c>
      <c r="AV102" s="394">
        <f t="shared" si="220"/>
        <v>0</v>
      </c>
      <c r="AW102" s="394">
        <f t="shared" si="220"/>
        <v>0</v>
      </c>
      <c r="AX102" s="394">
        <f t="shared" si="220"/>
        <v>0</v>
      </c>
      <c r="AY102" s="394">
        <f t="shared" ref="AY102:CH102" si="221">AY$48</f>
        <v>581475.03</v>
      </c>
      <c r="AZ102" s="394">
        <f t="shared" si="221"/>
        <v>741255.2</v>
      </c>
      <c r="BA102" s="394">
        <f t="shared" si="221"/>
        <v>818517.84</v>
      </c>
      <c r="BB102" s="394">
        <f t="shared" si="221"/>
        <v>544044.01</v>
      </c>
      <c r="BC102" s="394">
        <f t="shared" si="221"/>
        <v>496476.7</v>
      </c>
      <c r="BD102" s="394">
        <f t="shared" si="221"/>
        <v>438959.56</v>
      </c>
      <c r="BE102" s="394">
        <f t="shared" si="221"/>
        <v>550189.7</v>
      </c>
      <c r="BF102" s="394">
        <f t="shared" si="221"/>
        <v>347207.31</v>
      </c>
      <c r="BG102" s="394">
        <f t="shared" si="221"/>
        <v>523032.6</v>
      </c>
      <c r="BH102" s="394">
        <f t="shared" si="221"/>
        <v>825153.12</v>
      </c>
      <c r="BI102" s="394">
        <f t="shared" si="221"/>
        <v>652385.36</v>
      </c>
      <c r="BJ102" s="394">
        <f t="shared" si="221"/>
        <v>506030.35</v>
      </c>
      <c r="BK102" s="394">
        <f t="shared" si="221"/>
        <v>594980.92</v>
      </c>
      <c r="BL102" s="394">
        <f t="shared" si="221"/>
        <v>506657.4</v>
      </c>
      <c r="BM102" s="394">
        <f t="shared" si="221"/>
        <v>354471.74</v>
      </c>
      <c r="BN102" s="394">
        <f t="shared" si="221"/>
        <v>514923.14</v>
      </c>
      <c r="BO102" s="394">
        <f t="shared" si="221"/>
        <v>439089.79</v>
      </c>
      <c r="BP102" s="394">
        <f t="shared" si="221"/>
        <v>424684.59</v>
      </c>
      <c r="BQ102" s="394">
        <f t="shared" si="221"/>
        <v>403745.7</v>
      </c>
      <c r="BR102" s="394">
        <f t="shared" si="221"/>
        <v>480113.95</v>
      </c>
      <c r="BS102" s="394">
        <f t="shared" si="221"/>
        <v>529675.14</v>
      </c>
      <c r="BT102" s="394">
        <f t="shared" si="221"/>
        <v>411908.79</v>
      </c>
      <c r="BU102" s="394">
        <f t="shared" si="221"/>
        <v>452263.51</v>
      </c>
      <c r="BV102" s="394">
        <f t="shared" si="221"/>
        <v>417975.9</v>
      </c>
      <c r="BW102" s="487">
        <f t="shared" si="221"/>
        <v>532156.01</v>
      </c>
      <c r="BX102" s="487">
        <f t="shared" si="221"/>
        <v>656152.17</v>
      </c>
      <c r="BY102" s="487">
        <f t="shared" si="221"/>
        <v>489485.1</v>
      </c>
      <c r="BZ102" s="487">
        <f t="shared" si="221"/>
        <v>768363.22</v>
      </c>
      <c r="CA102" s="487">
        <f t="shared" si="221"/>
        <v>1128231.46</v>
      </c>
      <c r="CB102" s="487">
        <f t="shared" si="221"/>
        <v>695629.44</v>
      </c>
      <c r="CC102" s="487">
        <f t="shared" si="221"/>
        <v>0</v>
      </c>
      <c r="CD102" s="487">
        <f t="shared" si="221"/>
        <v>0</v>
      </c>
      <c r="CE102" s="487">
        <f t="shared" si="221"/>
        <v>0</v>
      </c>
      <c r="CF102" s="487">
        <f t="shared" si="221"/>
        <v>0</v>
      </c>
      <c r="CG102" s="487">
        <f t="shared" si="221"/>
        <v>0</v>
      </c>
      <c r="CH102" s="487">
        <f t="shared" si="221"/>
        <v>0</v>
      </c>
      <c r="CK102" s="486" t="str">
        <f>CK$14-#REF!</f>
        <v>#REF!</v>
      </c>
      <c r="CL102" s="389"/>
      <c r="CM102" s="391">
        <f t="shared" ref="CM102:CQ102" si="222">CM$14-CM$30</f>
        <v>1677793.28</v>
      </c>
      <c r="CN102" s="391">
        <f t="shared" si="222"/>
        <v>2592224.12</v>
      </c>
      <c r="CO102" s="391">
        <f t="shared" si="222"/>
        <v>0</v>
      </c>
      <c r="CP102" s="391">
        <f t="shared" si="222"/>
        <v>0</v>
      </c>
      <c r="CQ102" s="486">
        <f t="shared" si="222"/>
        <v>4270017.4</v>
      </c>
      <c r="CR102" s="391"/>
      <c r="CS102" s="391">
        <f t="shared" ref="CS102:CW102" si="223">CS$14-CS$30</f>
        <v>1456110.06</v>
      </c>
      <c r="CT102" s="391">
        <f t="shared" si="223"/>
        <v>1378697.52</v>
      </c>
      <c r="CU102" s="391">
        <f t="shared" si="223"/>
        <v>1413534.79</v>
      </c>
      <c r="CV102" s="391">
        <f t="shared" si="223"/>
        <v>1308472.15</v>
      </c>
      <c r="CW102" s="392">
        <f t="shared" si="223"/>
        <v>5556814.52</v>
      </c>
      <c r="CX102" s="389"/>
      <c r="CY102" s="391" t="str">
        <f t="shared" ref="CY102:DC102" si="224">CY$14-#REF!</f>
        <v>#REF!</v>
      </c>
      <c r="CZ102" s="391" t="str">
        <f t="shared" si="224"/>
        <v>#REF!</v>
      </c>
      <c r="DA102" s="391" t="str">
        <f t="shared" si="224"/>
        <v>#REF!</v>
      </c>
      <c r="DB102" s="391" t="str">
        <f t="shared" si="224"/>
        <v>#REF!</v>
      </c>
      <c r="DC102" s="392" t="str">
        <f t="shared" si="224"/>
        <v>#REF!</v>
      </c>
      <c r="DD102" s="389"/>
      <c r="DE102" s="391">
        <f>sum(AM102:AO102)</f>
        <v>0</v>
      </c>
      <c r="DF102" s="391">
        <f>sum(AP102:AR102)</f>
        <v>0</v>
      </c>
      <c r="DG102" s="391">
        <f>sum(AS102:AU102)</f>
        <v>0</v>
      </c>
      <c r="DH102" s="391">
        <f>sum(AV102:AX102)</f>
        <v>0</v>
      </c>
      <c r="DI102" s="392" t="str">
        <f>DI$14-#REF!</f>
        <v>#REF!</v>
      </c>
      <c r="DJ102" s="389"/>
      <c r="DK102" s="391">
        <f>sum(AA102:AC102)</f>
        <v>0</v>
      </c>
      <c r="DL102" s="391">
        <f>sum(AD102:AF102)</f>
        <v>0</v>
      </c>
      <c r="DM102" s="391">
        <f>sum(AG102:AI102)</f>
        <v>0</v>
      </c>
      <c r="DN102" s="391">
        <f>sum(AJ102:AL102)</f>
        <v>0</v>
      </c>
      <c r="DO102" s="392">
        <f>sum(AA102:AL102)</f>
        <v>0</v>
      </c>
      <c r="DP102" s="395"/>
      <c r="DQ102" s="392"/>
      <c r="DR102" s="284"/>
      <c r="DS102" s="384"/>
      <c r="DT102" s="384"/>
      <c r="DU102" s="384"/>
      <c r="DV102" s="384"/>
      <c r="DW102" s="384"/>
      <c r="DX102" s="384"/>
      <c r="DY102" s="384"/>
      <c r="DZ102" s="384"/>
      <c r="EA102" s="384"/>
      <c r="EB102" s="384"/>
      <c r="EC102" s="384"/>
      <c r="ED102" s="384"/>
      <c r="EE102" s="384"/>
      <c r="EF102" s="384"/>
      <c r="EG102" s="384"/>
      <c r="EH102" s="384"/>
      <c r="EI102" s="384"/>
      <c r="EJ102" s="384"/>
      <c r="EK102" s="384"/>
      <c r="EL102" s="384"/>
      <c r="EM102" s="384"/>
      <c r="EN102" s="384"/>
      <c r="EO102" s="384"/>
      <c r="EP102" s="384"/>
      <c r="EQ102" s="394"/>
      <c r="ER102" s="394"/>
      <c r="ES102" s="394"/>
      <c r="ET102" s="394"/>
      <c r="EU102" s="394"/>
      <c r="EV102" s="394"/>
      <c r="EW102" s="394"/>
      <c r="EX102" s="394"/>
      <c r="EY102" s="394"/>
      <c r="EZ102" s="394"/>
      <c r="FA102" s="394"/>
      <c r="FB102" s="360"/>
      <c r="FC102" s="394"/>
      <c r="FD102" s="394"/>
      <c r="FE102" s="385"/>
      <c r="FF102" s="385"/>
      <c r="FG102" s="394"/>
      <c r="FH102" s="394"/>
      <c r="FI102" s="394"/>
      <c r="FJ102" s="394"/>
      <c r="FK102" s="394"/>
      <c r="FL102" s="394"/>
      <c r="FM102" s="394"/>
      <c r="FN102" s="394"/>
      <c r="FO102" s="394"/>
      <c r="FP102" s="394"/>
      <c r="FQ102" s="385"/>
      <c r="FR102" s="385"/>
      <c r="FS102" s="394"/>
      <c r="FT102" s="394"/>
      <c r="FU102" s="394"/>
      <c r="FV102" s="394"/>
      <c r="FW102" s="394"/>
      <c r="FX102" s="394"/>
      <c r="FY102" s="394"/>
      <c r="FZ102" s="394"/>
      <c r="GA102" s="394"/>
      <c r="GB102" s="394"/>
      <c r="GC102" s="394"/>
      <c r="GD102" s="394"/>
      <c r="GE102" s="394"/>
      <c r="GF102" s="394"/>
      <c r="GG102" s="394"/>
      <c r="GH102" s="394"/>
      <c r="GI102" s="394"/>
      <c r="GJ102" s="394"/>
      <c r="GK102" s="394"/>
      <c r="GL102" s="394"/>
      <c r="GM102" s="394"/>
    </row>
    <row r="103">
      <c r="B103" s="393" t="s">
        <v>530</v>
      </c>
      <c r="C103" s="384"/>
      <c r="D103" s="384"/>
      <c r="E103" s="384"/>
      <c r="F103" s="384"/>
      <c r="G103" s="384"/>
      <c r="H103" s="384"/>
      <c r="I103" s="384"/>
      <c r="J103" s="384"/>
      <c r="K103" s="384"/>
      <c r="L103" s="384"/>
      <c r="M103" s="384"/>
      <c r="N103" s="384"/>
      <c r="O103" s="384"/>
      <c r="P103" s="384"/>
      <c r="Q103" s="384"/>
      <c r="R103" s="384"/>
      <c r="S103" s="384"/>
      <c r="T103" s="384"/>
      <c r="U103" s="384"/>
      <c r="V103" s="384"/>
      <c r="W103" s="384"/>
      <c r="X103" s="384"/>
      <c r="Y103" s="384"/>
      <c r="Z103" s="384"/>
      <c r="AA103" s="384"/>
      <c r="AB103" s="384"/>
      <c r="AC103" s="384"/>
      <c r="AD103" s="384"/>
      <c r="AE103" s="384"/>
      <c r="AF103" s="384"/>
      <c r="AG103" s="384"/>
      <c r="AH103" s="384"/>
      <c r="AI103" s="384"/>
      <c r="AJ103" s="384"/>
      <c r="AK103" s="384"/>
      <c r="AL103" s="384"/>
      <c r="AM103" s="384">
        <f t="shared" ref="AM103:CH103" si="225">IFERROR(AM$102/AM$14,0)</f>
        <v>0</v>
      </c>
      <c r="AN103" s="384">
        <f t="shared" si="225"/>
        <v>0</v>
      </c>
      <c r="AO103" s="384">
        <f t="shared" si="225"/>
        <v>0</v>
      </c>
      <c r="AP103" s="384">
        <f t="shared" si="225"/>
        <v>0</v>
      </c>
      <c r="AQ103" s="384">
        <f t="shared" si="225"/>
        <v>0</v>
      </c>
      <c r="AR103" s="384">
        <f t="shared" si="225"/>
        <v>0</v>
      </c>
      <c r="AS103" s="384">
        <f t="shared" si="225"/>
        <v>0</v>
      </c>
      <c r="AT103" s="384">
        <f t="shared" si="225"/>
        <v>0</v>
      </c>
      <c r="AU103" s="384">
        <f t="shared" si="225"/>
        <v>0</v>
      </c>
      <c r="AV103" s="384">
        <f t="shared" si="225"/>
        <v>0</v>
      </c>
      <c r="AW103" s="384">
        <f t="shared" si="225"/>
        <v>0</v>
      </c>
      <c r="AX103" s="384">
        <f t="shared" si="225"/>
        <v>0</v>
      </c>
      <c r="AY103" s="384">
        <f t="shared" si="225"/>
        <v>0.6380999633</v>
      </c>
      <c r="AZ103" s="384">
        <f t="shared" si="225"/>
        <v>0.7083960508</v>
      </c>
      <c r="BA103" s="384">
        <f t="shared" si="225"/>
        <v>0.7406585671</v>
      </c>
      <c r="BB103" s="384">
        <f t="shared" si="225"/>
        <v>0.5712657784</v>
      </c>
      <c r="BC103" s="384">
        <f t="shared" si="225"/>
        <v>0.6546923595</v>
      </c>
      <c r="BD103" s="384">
        <f t="shared" si="225"/>
        <v>0.6260476711</v>
      </c>
      <c r="BE103" s="384">
        <f t="shared" si="225"/>
        <v>0.6729706927</v>
      </c>
      <c r="BF103" s="384">
        <f t="shared" si="225"/>
        <v>0.43115728</v>
      </c>
      <c r="BG103" s="384">
        <f t="shared" si="225"/>
        <v>0.6066822241</v>
      </c>
      <c r="BH103" s="384">
        <f t="shared" si="225"/>
        <v>0.6821182108</v>
      </c>
      <c r="BI103" s="384">
        <f t="shared" si="225"/>
        <v>0.6431901401</v>
      </c>
      <c r="BJ103" s="384">
        <f t="shared" si="225"/>
        <v>0.5418384947</v>
      </c>
      <c r="BK103" s="384">
        <f t="shared" si="225"/>
        <v>0.5727628753</v>
      </c>
      <c r="BL103" s="384">
        <f t="shared" si="225"/>
        <v>0.5792475437</v>
      </c>
      <c r="BM103" s="384">
        <f t="shared" si="225"/>
        <v>0.478980265</v>
      </c>
      <c r="BN103" s="384">
        <f t="shared" si="225"/>
        <v>0.5689932483</v>
      </c>
      <c r="BO103" s="384">
        <f t="shared" si="225"/>
        <v>0.5101964273</v>
      </c>
      <c r="BP103" s="384">
        <f t="shared" si="225"/>
        <v>0.5149696324</v>
      </c>
      <c r="BQ103" s="384">
        <f t="shared" si="225"/>
        <v>0.4800867811</v>
      </c>
      <c r="BR103" s="384">
        <f t="shared" si="225"/>
        <v>0.5429847476</v>
      </c>
      <c r="BS103" s="384">
        <f t="shared" si="225"/>
        <v>0.5310880626</v>
      </c>
      <c r="BT103" s="384">
        <f t="shared" si="225"/>
        <v>0.4157827459</v>
      </c>
      <c r="BU103" s="384">
        <f t="shared" si="225"/>
        <v>0.4592011811</v>
      </c>
      <c r="BV103" s="384">
        <f t="shared" si="225"/>
        <v>0.4088346116</v>
      </c>
      <c r="BW103" s="458">
        <f t="shared" si="225"/>
        <v>0.4673172016</v>
      </c>
      <c r="BX103" s="458">
        <f t="shared" si="225"/>
        <v>0.5638924274</v>
      </c>
      <c r="BY103" s="458">
        <f t="shared" si="225"/>
        <v>0.419749612</v>
      </c>
      <c r="BZ103" s="458">
        <f t="shared" si="225"/>
        <v>0.5336544405</v>
      </c>
      <c r="CA103" s="458">
        <f t="shared" si="225"/>
        <v>0.6710550772</v>
      </c>
      <c r="CB103" s="458">
        <f t="shared" si="225"/>
        <v>0.5490150699</v>
      </c>
      <c r="CC103" s="458">
        <f t="shared" si="225"/>
        <v>0</v>
      </c>
      <c r="CD103" s="458">
        <f t="shared" si="225"/>
        <v>0</v>
      </c>
      <c r="CE103" s="458">
        <f t="shared" si="225"/>
        <v>0</v>
      </c>
      <c r="CF103" s="458">
        <f t="shared" si="225"/>
        <v>0</v>
      </c>
      <c r="CG103" s="458">
        <f t="shared" si="225"/>
        <v>0</v>
      </c>
      <c r="CH103" s="458">
        <f t="shared" si="225"/>
        <v>0</v>
      </c>
      <c r="CK103" s="485">
        <f>IFERROR(CK$102/CK$14,0)</f>
        <v>0</v>
      </c>
      <c r="CL103" s="389"/>
      <c r="CM103" s="384">
        <f t="shared" ref="CM103:CQ103" si="226">IFERROR(CM$102/CM$14,0)</f>
        <v>0.4837236963</v>
      </c>
      <c r="CN103" s="384">
        <f t="shared" si="226"/>
        <v>0.5907336121</v>
      </c>
      <c r="CO103" s="384">
        <f t="shared" si="226"/>
        <v>0</v>
      </c>
      <c r="CP103" s="384">
        <f t="shared" si="226"/>
        <v>0</v>
      </c>
      <c r="CQ103" s="485">
        <f t="shared" si="226"/>
        <v>0.5434916085</v>
      </c>
      <c r="CR103" s="384"/>
      <c r="CS103" s="384">
        <f t="shared" ref="CS103:CW103" si="227">IFERROR(CS$102/CS$14,0)</f>
        <v>0.5487449388</v>
      </c>
      <c r="CT103" s="384">
        <f t="shared" si="227"/>
        <v>0.5322580787</v>
      </c>
      <c r="CU103" s="384">
        <f t="shared" si="227"/>
        <v>0.5191976437</v>
      </c>
      <c r="CV103" s="384">
        <f t="shared" si="227"/>
        <v>0.4364579588</v>
      </c>
      <c r="CW103" s="388">
        <f t="shared" si="227"/>
        <v>0.5068107506</v>
      </c>
      <c r="CX103" s="389"/>
      <c r="CY103" s="384">
        <f t="shared" ref="CY103:DC103" si="228">IFERROR(CY$102/CY$14,0)</f>
        <v>0</v>
      </c>
      <c r="CZ103" s="384">
        <f t="shared" si="228"/>
        <v>0</v>
      </c>
      <c r="DA103" s="384">
        <f t="shared" si="228"/>
        <v>0</v>
      </c>
      <c r="DB103" s="384">
        <f t="shared" si="228"/>
        <v>0</v>
      </c>
      <c r="DC103" s="388">
        <f t="shared" si="228"/>
        <v>0</v>
      </c>
      <c r="DD103" s="389"/>
      <c r="DE103" s="384">
        <f t="shared" ref="DE103:DI103" si="229">IFERROR(DE$102/DE$14,0)</f>
        <v>0</v>
      </c>
      <c r="DF103" s="384">
        <f t="shared" si="229"/>
        <v>0</v>
      </c>
      <c r="DG103" s="384">
        <f t="shared" si="229"/>
        <v>0</v>
      </c>
      <c r="DH103" s="384">
        <f t="shared" si="229"/>
        <v>0</v>
      </c>
      <c r="DI103" s="388">
        <f t="shared" si="229"/>
        <v>0</v>
      </c>
      <c r="DJ103" s="389"/>
      <c r="DK103" s="384">
        <f t="shared" ref="DK103:DO103" si="230">IFERROR(DK$102/DK$14,0)</f>
        <v>0</v>
      </c>
      <c r="DL103" s="384">
        <f t="shared" si="230"/>
        <v>0</v>
      </c>
      <c r="DM103" s="384">
        <f t="shared" si="230"/>
        <v>0</v>
      </c>
      <c r="DN103" s="384">
        <f t="shared" si="230"/>
        <v>0</v>
      </c>
      <c r="DO103" s="388">
        <f t="shared" si="230"/>
        <v>0</v>
      </c>
      <c r="DP103" s="395"/>
      <c r="DQ103" s="392"/>
      <c r="DR103" s="284"/>
      <c r="DS103" s="384"/>
      <c r="DT103" s="384"/>
      <c r="DU103" s="384"/>
      <c r="DV103" s="384"/>
      <c r="DW103" s="384"/>
      <c r="DX103" s="384"/>
      <c r="DY103" s="384"/>
      <c r="DZ103" s="384"/>
      <c r="EA103" s="384"/>
      <c r="EB103" s="384"/>
      <c r="EC103" s="384"/>
      <c r="ED103" s="384"/>
      <c r="EE103" s="384"/>
      <c r="EF103" s="384"/>
      <c r="EG103" s="384"/>
      <c r="EH103" s="384"/>
      <c r="EI103" s="384"/>
      <c r="EJ103" s="384"/>
      <c r="EK103" s="384"/>
      <c r="EL103" s="384"/>
      <c r="EM103" s="384"/>
      <c r="EN103" s="384"/>
      <c r="EO103" s="384"/>
      <c r="EP103" s="384"/>
      <c r="EQ103" s="384"/>
      <c r="ER103" s="384"/>
      <c r="ES103" s="384"/>
      <c r="ET103" s="384"/>
      <c r="EU103" s="384"/>
      <c r="EV103" s="384"/>
      <c r="EW103" s="384"/>
      <c r="EX103" s="384"/>
      <c r="EY103" s="384"/>
      <c r="EZ103" s="384"/>
      <c r="FA103" s="384"/>
      <c r="FB103" s="360"/>
      <c r="FC103" s="384"/>
      <c r="FD103" s="384"/>
      <c r="FE103" s="384"/>
      <c r="FF103" s="396"/>
      <c r="FG103" s="384"/>
      <c r="FH103" s="384"/>
      <c r="FI103" s="384"/>
      <c r="FJ103" s="384"/>
      <c r="FK103" s="384"/>
      <c r="FL103" s="384"/>
      <c r="FM103" s="384"/>
      <c r="FN103" s="384"/>
      <c r="FO103" s="384"/>
      <c r="FP103" s="384"/>
      <c r="FQ103" s="384"/>
      <c r="FR103" s="396"/>
      <c r="FS103" s="384"/>
      <c r="FT103" s="384"/>
      <c r="FU103" s="384"/>
      <c r="FV103" s="384"/>
      <c r="FW103" s="384"/>
      <c r="FX103" s="384"/>
      <c r="FY103" s="384"/>
      <c r="FZ103" s="384"/>
      <c r="GA103" s="384"/>
      <c r="GB103" s="384"/>
      <c r="GC103" s="384"/>
      <c r="GD103" s="384"/>
      <c r="GE103" s="384"/>
      <c r="GF103" s="384"/>
      <c r="GG103" s="384"/>
      <c r="GH103" s="384"/>
      <c r="GI103" s="384"/>
      <c r="GJ103" s="384"/>
      <c r="GK103" s="384"/>
      <c r="GL103" s="384"/>
      <c r="GM103" s="384"/>
    </row>
    <row r="104">
      <c r="B104" s="393" t="s">
        <v>531</v>
      </c>
      <c r="C104" s="384"/>
      <c r="D104" s="384"/>
      <c r="E104" s="384"/>
      <c r="F104" s="384"/>
      <c r="G104" s="384"/>
      <c r="H104" s="384"/>
      <c r="I104" s="384"/>
      <c r="J104" s="384"/>
      <c r="K104" s="384"/>
      <c r="L104" s="384"/>
      <c r="M104" s="384"/>
      <c r="N104" s="384"/>
      <c r="O104" s="384"/>
      <c r="P104" s="384"/>
      <c r="Q104" s="384"/>
      <c r="R104" s="384"/>
      <c r="S104" s="384"/>
      <c r="T104" s="384"/>
      <c r="U104" s="384"/>
      <c r="V104" s="384"/>
      <c r="W104" s="384"/>
      <c r="X104" s="384"/>
      <c r="Y104" s="384"/>
      <c r="Z104" s="384"/>
      <c r="AA104" s="384"/>
      <c r="AB104" s="384"/>
      <c r="AC104" s="384"/>
      <c r="AD104" s="384"/>
      <c r="AE104" s="384"/>
      <c r="AF104" s="384"/>
      <c r="AG104" s="384"/>
      <c r="AH104" s="384"/>
      <c r="AI104" s="384"/>
      <c r="AJ104" s="384"/>
      <c r="AK104" s="384"/>
      <c r="AL104" s="384"/>
      <c r="AM104" s="394">
        <f t="shared" ref="AM104:AX104" si="231">AM$19</f>
        <v>0</v>
      </c>
      <c r="AN104" s="394">
        <f t="shared" si="231"/>
        <v>0</v>
      </c>
      <c r="AO104" s="394">
        <f t="shared" si="231"/>
        <v>0</v>
      </c>
      <c r="AP104" s="394">
        <f t="shared" si="231"/>
        <v>0</v>
      </c>
      <c r="AQ104" s="394">
        <f t="shared" si="231"/>
        <v>0</v>
      </c>
      <c r="AR104" s="394">
        <f t="shared" si="231"/>
        <v>0</v>
      </c>
      <c r="AS104" s="394">
        <f t="shared" si="231"/>
        <v>0</v>
      </c>
      <c r="AT104" s="394">
        <f t="shared" si="231"/>
        <v>0</v>
      </c>
      <c r="AU104" s="394">
        <f t="shared" si="231"/>
        <v>0</v>
      </c>
      <c r="AV104" s="394">
        <f t="shared" si="231"/>
        <v>0</v>
      </c>
      <c r="AW104" s="394">
        <f t="shared" si="231"/>
        <v>0</v>
      </c>
      <c r="AX104" s="394">
        <f t="shared" si="231"/>
        <v>0</v>
      </c>
      <c r="AY104" s="394">
        <f t="shared" ref="AY104:CH104" si="232">AY$53</f>
        <v>344123.68</v>
      </c>
      <c r="AZ104" s="394">
        <f t="shared" si="232"/>
        <v>442280.59</v>
      </c>
      <c r="BA104" s="394">
        <f t="shared" si="232"/>
        <v>415364.13</v>
      </c>
      <c r="BB104" s="394">
        <f t="shared" si="232"/>
        <v>495712.64</v>
      </c>
      <c r="BC104" s="394">
        <f t="shared" si="232"/>
        <v>751367.97</v>
      </c>
      <c r="BD104" s="394">
        <f t="shared" si="232"/>
        <v>732474.25</v>
      </c>
      <c r="BE104" s="394">
        <f t="shared" si="232"/>
        <v>851519.33</v>
      </c>
      <c r="BF104" s="394">
        <f t="shared" si="232"/>
        <v>630705.94</v>
      </c>
      <c r="BG104" s="394">
        <f t="shared" si="232"/>
        <v>821063.39</v>
      </c>
      <c r="BH104" s="394">
        <f t="shared" si="232"/>
        <v>1083090.06</v>
      </c>
      <c r="BI104" s="394">
        <f t="shared" si="232"/>
        <v>902272.15</v>
      </c>
      <c r="BJ104" s="394">
        <f t="shared" si="232"/>
        <v>902719.7</v>
      </c>
      <c r="BK104" s="394">
        <f t="shared" si="232"/>
        <v>910692.08</v>
      </c>
      <c r="BL104" s="394">
        <f t="shared" si="232"/>
        <v>942930.6</v>
      </c>
      <c r="BM104" s="394">
        <f t="shared" si="232"/>
        <v>1059161.26</v>
      </c>
      <c r="BN104" s="394">
        <f t="shared" si="232"/>
        <v>1154441.18</v>
      </c>
      <c r="BO104" s="394">
        <f t="shared" si="232"/>
        <v>1104513.11</v>
      </c>
      <c r="BP104" s="394">
        <f t="shared" si="232"/>
        <v>1135893.31</v>
      </c>
      <c r="BQ104" s="394">
        <f t="shared" si="232"/>
        <v>1482197.13</v>
      </c>
      <c r="BR104" s="394">
        <f t="shared" si="232"/>
        <v>1261661.86</v>
      </c>
      <c r="BS104" s="394">
        <f t="shared" si="232"/>
        <v>1523173.14</v>
      </c>
      <c r="BT104" s="394">
        <f t="shared" si="232"/>
        <v>2005514.41</v>
      </c>
      <c r="BU104" s="394">
        <f t="shared" si="232"/>
        <v>1342917.9</v>
      </c>
      <c r="BV104" s="394">
        <f t="shared" si="232"/>
        <v>1533473.66</v>
      </c>
      <c r="BW104" s="487">
        <f t="shared" si="232"/>
        <v>1783170.31</v>
      </c>
      <c r="BX104" s="487">
        <f t="shared" si="232"/>
        <v>1772813.64</v>
      </c>
      <c r="BY104" s="487">
        <f t="shared" si="232"/>
        <v>2033843.12</v>
      </c>
      <c r="BZ104" s="487">
        <f t="shared" si="232"/>
        <v>1921748.6</v>
      </c>
      <c r="CA104" s="487">
        <f t="shared" si="232"/>
        <v>1534502.41</v>
      </c>
      <c r="CB104" s="487">
        <f t="shared" si="232"/>
        <v>2190977.07</v>
      </c>
      <c r="CC104" s="487">
        <f t="shared" si="232"/>
        <v>0</v>
      </c>
      <c r="CD104" s="487">
        <f t="shared" si="232"/>
        <v>0</v>
      </c>
      <c r="CE104" s="487">
        <f t="shared" si="232"/>
        <v>0</v>
      </c>
      <c r="CF104" s="487">
        <f t="shared" si="232"/>
        <v>0</v>
      </c>
      <c r="CG104" s="487">
        <f t="shared" si="232"/>
        <v>0</v>
      </c>
      <c r="CH104" s="487">
        <f t="shared" si="232"/>
        <v>0</v>
      </c>
      <c r="CK104" s="486" t="str">
        <f>CK$19-#REF!</f>
        <v>#REF!</v>
      </c>
      <c r="CL104" s="389"/>
      <c r="CM104" s="391">
        <f t="shared" ref="CM104:CQ104" si="233">CM$19-CM$35</f>
        <v>5589827.07</v>
      </c>
      <c r="CN104" s="391">
        <f t="shared" si="233"/>
        <v>5647228.08</v>
      </c>
      <c r="CO104" s="391">
        <f t="shared" si="233"/>
        <v>0</v>
      </c>
      <c r="CP104" s="391">
        <f t="shared" si="233"/>
        <v>0</v>
      </c>
      <c r="CQ104" s="486">
        <f t="shared" si="233"/>
        <v>11237055.15</v>
      </c>
      <c r="CR104" s="391"/>
      <c r="CS104" s="391">
        <f t="shared" ref="CS104:CW104" si="234">CS$19-CS$35</f>
        <v>2912783.94</v>
      </c>
      <c r="CT104" s="391">
        <f t="shared" si="234"/>
        <v>3394847.6</v>
      </c>
      <c r="CU104" s="391">
        <f t="shared" si="234"/>
        <v>4267032.13</v>
      </c>
      <c r="CV104" s="391">
        <f t="shared" si="234"/>
        <v>4894530.99</v>
      </c>
      <c r="CW104" s="392">
        <f t="shared" si="234"/>
        <v>15469194.66</v>
      </c>
      <c r="CX104" s="389"/>
      <c r="CY104" s="391" t="str">
        <f t="shared" ref="CY104:DC104" si="235">CY$19-#REF!</f>
        <v>#REF!</v>
      </c>
      <c r="CZ104" s="391" t="str">
        <f t="shared" si="235"/>
        <v>#REF!</v>
      </c>
      <c r="DA104" s="391" t="str">
        <f t="shared" si="235"/>
        <v>#REF!</v>
      </c>
      <c r="DB104" s="391" t="str">
        <f t="shared" si="235"/>
        <v>#REF!</v>
      </c>
      <c r="DC104" s="392" t="str">
        <f t="shared" si="235"/>
        <v>#REF!</v>
      </c>
      <c r="DD104" s="389"/>
      <c r="DE104" s="391">
        <f>sum(AM104:AO104)</f>
        <v>0</v>
      </c>
      <c r="DF104" s="391">
        <f>sum(AP104:AR104)</f>
        <v>0</v>
      </c>
      <c r="DG104" s="391">
        <f>sum(AS104:AU104)</f>
        <v>0</v>
      </c>
      <c r="DH104" s="391">
        <f>sum(AV104:AX104)</f>
        <v>0</v>
      </c>
      <c r="DI104" s="392" t="str">
        <f>DI$19-#REF!</f>
        <v>#REF!</v>
      </c>
      <c r="DJ104" s="389"/>
      <c r="DK104" s="391">
        <f>sum(AA104:AC104)</f>
        <v>0</v>
      </c>
      <c r="DL104" s="391">
        <f>sum(AD104:AF104)</f>
        <v>0</v>
      </c>
      <c r="DM104" s="391">
        <f>sum(AG104:AI104)</f>
        <v>0</v>
      </c>
      <c r="DN104" s="391">
        <f>sum(AJ104:AL104)</f>
        <v>0</v>
      </c>
      <c r="DO104" s="392">
        <f>sum(AA104:AL104)</f>
        <v>0</v>
      </c>
      <c r="DP104" s="395"/>
      <c r="DQ104" s="392"/>
      <c r="DR104" s="284"/>
      <c r="DS104" s="384"/>
      <c r="DT104" s="384"/>
      <c r="DU104" s="384"/>
      <c r="DV104" s="384"/>
      <c r="DW104" s="384"/>
      <c r="DX104" s="384"/>
      <c r="DY104" s="384"/>
      <c r="DZ104" s="384"/>
      <c r="EA104" s="384"/>
      <c r="EB104" s="384"/>
      <c r="EC104" s="384"/>
      <c r="ED104" s="384"/>
      <c r="EE104" s="384"/>
      <c r="EF104" s="384"/>
      <c r="EG104" s="384"/>
      <c r="EH104" s="384"/>
      <c r="EI104" s="384"/>
      <c r="EJ104" s="384"/>
      <c r="EK104" s="384"/>
      <c r="EL104" s="384"/>
      <c r="EM104" s="384"/>
      <c r="EN104" s="384"/>
      <c r="EO104" s="384"/>
      <c r="EP104" s="384"/>
      <c r="EQ104" s="394"/>
      <c r="ER104" s="394"/>
      <c r="ES104" s="394"/>
      <c r="ET104" s="394"/>
      <c r="EU104" s="394"/>
      <c r="EV104" s="394"/>
      <c r="EW104" s="394"/>
      <c r="EX104" s="394"/>
      <c r="EY104" s="394"/>
      <c r="EZ104" s="394"/>
      <c r="FA104" s="394"/>
      <c r="FB104" s="360"/>
      <c r="FC104" s="394"/>
      <c r="FD104" s="394"/>
      <c r="FE104" s="394"/>
      <c r="FF104" s="394"/>
      <c r="FG104" s="394"/>
      <c r="FH104" s="394"/>
      <c r="FI104" s="394"/>
      <c r="FJ104" s="394"/>
      <c r="FK104" s="394"/>
      <c r="FL104" s="394"/>
      <c r="FM104" s="394"/>
      <c r="FN104" s="394"/>
      <c r="FO104" s="394"/>
      <c r="FP104" s="394"/>
      <c r="FQ104" s="394"/>
      <c r="FR104" s="394"/>
      <c r="FS104" s="394"/>
      <c r="FT104" s="394"/>
      <c r="FU104" s="394"/>
      <c r="FV104" s="394"/>
      <c r="FW104" s="394"/>
      <c r="FX104" s="394"/>
      <c r="FY104" s="394"/>
      <c r="FZ104" s="394"/>
      <c r="GA104" s="394"/>
      <c r="GB104" s="394"/>
      <c r="GC104" s="394"/>
      <c r="GD104" s="394"/>
      <c r="GE104" s="394"/>
      <c r="GF104" s="394"/>
      <c r="GG104" s="394"/>
      <c r="GH104" s="394"/>
      <c r="GI104" s="394"/>
      <c r="GJ104" s="394"/>
      <c r="GK104" s="394"/>
      <c r="GL104" s="394"/>
      <c r="GM104" s="394"/>
    </row>
    <row r="105">
      <c r="B105" s="393" t="s">
        <v>533</v>
      </c>
      <c r="C105" s="384"/>
      <c r="D105" s="384"/>
      <c r="E105" s="384"/>
      <c r="F105" s="384"/>
      <c r="G105" s="384"/>
      <c r="H105" s="384"/>
      <c r="I105" s="384"/>
      <c r="J105" s="384"/>
      <c r="K105" s="384"/>
      <c r="L105" s="384"/>
      <c r="M105" s="384"/>
      <c r="N105" s="384"/>
      <c r="O105" s="384"/>
      <c r="P105" s="384"/>
      <c r="Q105" s="384"/>
      <c r="R105" s="384"/>
      <c r="S105" s="384"/>
      <c r="T105" s="384"/>
      <c r="U105" s="384"/>
      <c r="V105" s="384"/>
      <c r="W105" s="384"/>
      <c r="X105" s="384"/>
      <c r="Y105" s="384"/>
      <c r="Z105" s="384"/>
      <c r="AA105" s="384"/>
      <c r="AB105" s="384"/>
      <c r="AC105" s="384"/>
      <c r="AD105" s="384"/>
      <c r="AE105" s="384"/>
      <c r="AF105" s="384"/>
      <c r="AG105" s="384"/>
      <c r="AH105" s="384"/>
      <c r="AI105" s="384"/>
      <c r="AJ105" s="384"/>
      <c r="AK105" s="384"/>
      <c r="AL105" s="384"/>
      <c r="AM105" s="384">
        <f t="shared" ref="AM105:CH105" si="236">IFERROR(AM$104/AM$19,0)</f>
        <v>0</v>
      </c>
      <c r="AN105" s="384">
        <f t="shared" si="236"/>
        <v>0</v>
      </c>
      <c r="AO105" s="384">
        <f t="shared" si="236"/>
        <v>0</v>
      </c>
      <c r="AP105" s="384">
        <f t="shared" si="236"/>
        <v>0</v>
      </c>
      <c r="AQ105" s="384">
        <f t="shared" si="236"/>
        <v>0</v>
      </c>
      <c r="AR105" s="384">
        <f t="shared" si="236"/>
        <v>0</v>
      </c>
      <c r="AS105" s="384">
        <f t="shared" si="236"/>
        <v>0</v>
      </c>
      <c r="AT105" s="384">
        <f t="shared" si="236"/>
        <v>0</v>
      </c>
      <c r="AU105" s="384">
        <f t="shared" si="236"/>
        <v>0</v>
      </c>
      <c r="AV105" s="384">
        <f t="shared" si="236"/>
        <v>0</v>
      </c>
      <c r="AW105" s="384">
        <f t="shared" si="236"/>
        <v>0</v>
      </c>
      <c r="AX105" s="384">
        <f t="shared" si="236"/>
        <v>0</v>
      </c>
      <c r="AY105" s="384">
        <f t="shared" si="236"/>
        <v>0.4462868487</v>
      </c>
      <c r="AZ105" s="384">
        <f t="shared" si="236"/>
        <v>0.5376986647</v>
      </c>
      <c r="BA105" s="384">
        <f t="shared" si="236"/>
        <v>0.5145957738</v>
      </c>
      <c r="BB105" s="384">
        <f t="shared" si="236"/>
        <v>0.471490154</v>
      </c>
      <c r="BC105" s="384">
        <f t="shared" si="236"/>
        <v>0.6490092435</v>
      </c>
      <c r="BD105" s="384">
        <f t="shared" si="236"/>
        <v>0.6482894845</v>
      </c>
      <c r="BE105" s="384">
        <f t="shared" si="236"/>
        <v>0.6740075571</v>
      </c>
      <c r="BF105" s="384">
        <f t="shared" si="236"/>
        <v>0.4631023332</v>
      </c>
      <c r="BG105" s="384">
        <f t="shared" si="236"/>
        <v>0.6304881755</v>
      </c>
      <c r="BH105" s="384">
        <f t="shared" si="236"/>
        <v>0.6679752424</v>
      </c>
      <c r="BI105" s="384">
        <f t="shared" si="236"/>
        <v>0.6205633347</v>
      </c>
      <c r="BJ105" s="384">
        <f t="shared" si="236"/>
        <v>0.6039187686</v>
      </c>
      <c r="BK105" s="384">
        <f t="shared" si="236"/>
        <v>0.5916254933</v>
      </c>
      <c r="BL105" s="384">
        <f t="shared" si="236"/>
        <v>0.611187697</v>
      </c>
      <c r="BM105" s="384">
        <f t="shared" si="236"/>
        <v>0.6274674318</v>
      </c>
      <c r="BN105" s="384">
        <f t="shared" si="236"/>
        <v>0.639640553</v>
      </c>
      <c r="BO105" s="384">
        <f t="shared" si="236"/>
        <v>0.6178040167</v>
      </c>
      <c r="BP105" s="384">
        <f t="shared" si="236"/>
        <v>0.6107669125</v>
      </c>
      <c r="BQ105" s="384">
        <f t="shared" si="236"/>
        <v>0.6534188969</v>
      </c>
      <c r="BR105" s="384">
        <f t="shared" si="236"/>
        <v>0.6184613929</v>
      </c>
      <c r="BS105" s="384">
        <f t="shared" si="236"/>
        <v>0.6172141976</v>
      </c>
      <c r="BT105" s="384">
        <f t="shared" si="236"/>
        <v>0.6617966166</v>
      </c>
      <c r="BU105" s="384">
        <f t="shared" si="236"/>
        <v>0.5831319759</v>
      </c>
      <c r="BV105" s="384">
        <f t="shared" si="236"/>
        <v>0.5855190477</v>
      </c>
      <c r="BW105" s="458">
        <f t="shared" si="236"/>
        <v>0.6059368727</v>
      </c>
      <c r="BX105" s="458">
        <f t="shared" si="236"/>
        <v>0.6153574972</v>
      </c>
      <c r="BY105" s="458">
        <f t="shared" si="236"/>
        <v>0.6197029237</v>
      </c>
      <c r="BZ105" s="458">
        <f t="shared" si="236"/>
        <v>0.6105453754</v>
      </c>
      <c r="CA105" s="458">
        <f t="shared" si="236"/>
        <v>0.5739264934</v>
      </c>
      <c r="CB105" s="458">
        <f t="shared" si="236"/>
        <v>0.6378343773</v>
      </c>
      <c r="CC105" s="458">
        <f t="shared" si="236"/>
        <v>0</v>
      </c>
      <c r="CD105" s="458">
        <f t="shared" si="236"/>
        <v>0</v>
      </c>
      <c r="CE105" s="458">
        <f t="shared" si="236"/>
        <v>0</v>
      </c>
      <c r="CF105" s="458">
        <f t="shared" si="236"/>
        <v>0</v>
      </c>
      <c r="CG105" s="458">
        <f t="shared" si="236"/>
        <v>0</v>
      </c>
      <c r="CH105" s="458">
        <f t="shared" si="236"/>
        <v>0</v>
      </c>
      <c r="CK105" s="485">
        <f>IFERROR(CK$104/CK$19,0)</f>
        <v>0</v>
      </c>
      <c r="CL105" s="389"/>
      <c r="CM105" s="384">
        <f t="shared" ref="CM105:CQ105" si="237">IFERROR(CM$104/CM$19,0)</f>
        <v>0.6138791145</v>
      </c>
      <c r="CN105" s="384">
        <f t="shared" si="237"/>
        <v>0.6100949594</v>
      </c>
      <c r="CO105" s="384">
        <f t="shared" si="237"/>
        <v>0</v>
      </c>
      <c r="CP105" s="384">
        <f t="shared" si="237"/>
        <v>0</v>
      </c>
      <c r="CQ105" s="485">
        <f t="shared" si="237"/>
        <v>0.6119715224</v>
      </c>
      <c r="CR105" s="384"/>
      <c r="CS105" s="384">
        <f t="shared" ref="CS105:CW105" si="238">IFERROR(CS$104/CS$19,0)</f>
        <v>0.610635903</v>
      </c>
      <c r="CT105" s="384">
        <f t="shared" si="238"/>
        <v>0.6226319163</v>
      </c>
      <c r="CU105" s="384">
        <f t="shared" si="238"/>
        <v>0.6297094164</v>
      </c>
      <c r="CV105" s="384">
        <f t="shared" si="238"/>
        <v>0.6154825223</v>
      </c>
      <c r="CW105" s="388">
        <f t="shared" si="238"/>
        <v>0.6199820088</v>
      </c>
      <c r="CX105" s="389"/>
      <c r="CY105" s="384">
        <f t="shared" ref="CY105:DC105" si="239">IFERROR(CY$104/CY$19,0)</f>
        <v>0</v>
      </c>
      <c r="CZ105" s="384">
        <f t="shared" si="239"/>
        <v>0</v>
      </c>
      <c r="DA105" s="384">
        <f t="shared" si="239"/>
        <v>0</v>
      </c>
      <c r="DB105" s="384">
        <f t="shared" si="239"/>
        <v>0</v>
      </c>
      <c r="DC105" s="388">
        <f t="shared" si="239"/>
        <v>0</v>
      </c>
      <c r="DD105" s="389"/>
      <c r="DE105" s="384">
        <f t="shared" ref="DE105:DI105" si="240">IFERROR(DE$104/DE$19,0)</f>
        <v>0</v>
      </c>
      <c r="DF105" s="384">
        <f t="shared" si="240"/>
        <v>0</v>
      </c>
      <c r="DG105" s="384">
        <f t="shared" si="240"/>
        <v>0</v>
      </c>
      <c r="DH105" s="384">
        <f t="shared" si="240"/>
        <v>0</v>
      </c>
      <c r="DI105" s="388">
        <f t="shared" si="240"/>
        <v>0</v>
      </c>
      <c r="DJ105" s="389"/>
      <c r="DK105" s="384">
        <f t="shared" ref="DK105:DO105" si="241">IFERROR(DK$104/DK$19,0)</f>
        <v>0</v>
      </c>
      <c r="DL105" s="384">
        <f t="shared" si="241"/>
        <v>0</v>
      </c>
      <c r="DM105" s="384">
        <f t="shared" si="241"/>
        <v>0</v>
      </c>
      <c r="DN105" s="384">
        <f t="shared" si="241"/>
        <v>0</v>
      </c>
      <c r="DO105" s="388">
        <f t="shared" si="241"/>
        <v>0</v>
      </c>
      <c r="DP105" s="389"/>
      <c r="DQ105" s="388"/>
      <c r="DR105" s="284"/>
      <c r="DS105" s="384"/>
      <c r="DT105" s="384"/>
      <c r="DU105" s="384"/>
      <c r="DV105" s="384"/>
      <c r="DW105" s="384"/>
      <c r="DX105" s="384"/>
      <c r="DY105" s="384"/>
      <c r="DZ105" s="384"/>
      <c r="EA105" s="384"/>
      <c r="EB105" s="384"/>
      <c r="EC105" s="384"/>
      <c r="ED105" s="384"/>
      <c r="EE105" s="384"/>
      <c r="EF105" s="384"/>
      <c r="EG105" s="384"/>
      <c r="EH105" s="384"/>
      <c r="EI105" s="384"/>
      <c r="EJ105" s="384"/>
      <c r="EK105" s="384"/>
      <c r="EL105" s="384"/>
      <c r="EM105" s="384"/>
      <c r="EN105" s="384"/>
      <c r="EO105" s="384"/>
      <c r="EP105" s="384"/>
      <c r="EQ105" s="384"/>
      <c r="ER105" s="384"/>
      <c r="ES105" s="384"/>
      <c r="ET105" s="384"/>
      <c r="EU105" s="384"/>
      <c r="EV105" s="384"/>
      <c r="EW105" s="384"/>
      <c r="EX105" s="384"/>
      <c r="EY105" s="384"/>
      <c r="EZ105" s="384"/>
      <c r="FA105" s="384"/>
      <c r="FB105" s="360"/>
      <c r="FC105" s="384"/>
      <c r="FD105" s="384"/>
      <c r="FE105" s="384"/>
      <c r="FF105" s="384"/>
      <c r="FG105" s="384"/>
      <c r="FH105" s="384"/>
      <c r="FI105" s="384"/>
      <c r="FJ105" s="384"/>
      <c r="FK105" s="384"/>
      <c r="FL105" s="384"/>
      <c r="FM105" s="384"/>
      <c r="FN105" s="384"/>
      <c r="FO105" s="384"/>
      <c r="FP105" s="384"/>
      <c r="FQ105" s="384"/>
      <c r="FR105" s="384"/>
      <c r="FS105" s="384"/>
      <c r="FT105" s="384"/>
      <c r="FU105" s="384"/>
      <c r="FV105" s="384"/>
      <c r="FW105" s="384"/>
      <c r="FX105" s="384"/>
      <c r="FY105" s="384"/>
      <c r="FZ105" s="384"/>
      <c r="GA105" s="384"/>
      <c r="GB105" s="384"/>
      <c r="GC105" s="384"/>
      <c r="GD105" s="384"/>
      <c r="GE105" s="384"/>
      <c r="GF105" s="384"/>
      <c r="GG105" s="384"/>
      <c r="GH105" s="384"/>
      <c r="GI105" s="384"/>
      <c r="GJ105" s="384"/>
      <c r="GK105" s="384"/>
      <c r="GL105" s="384"/>
      <c r="GM105" s="384"/>
    </row>
    <row r="106">
      <c r="B106" s="455" t="s">
        <v>186</v>
      </c>
      <c r="C106" s="389"/>
      <c r="D106" s="389"/>
      <c r="E106" s="389"/>
      <c r="F106" s="389"/>
      <c r="G106" s="389"/>
      <c r="H106" s="389"/>
      <c r="I106" s="389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  <c r="AA106" s="456">
        <f t="shared" ref="AA106:CH106" si="242">AA13-AA28</f>
        <v>889131</v>
      </c>
      <c r="AB106" s="456">
        <f t="shared" si="242"/>
        <v>687372</v>
      </c>
      <c r="AC106" s="456">
        <f t="shared" si="242"/>
        <v>1021125</v>
      </c>
      <c r="AD106" s="456">
        <f t="shared" si="242"/>
        <v>776322</v>
      </c>
      <c r="AE106" s="456">
        <f t="shared" si="242"/>
        <v>885482</v>
      </c>
      <c r="AF106" s="456">
        <f t="shared" si="242"/>
        <v>1151776</v>
      </c>
      <c r="AG106" s="456">
        <f t="shared" si="242"/>
        <v>877748</v>
      </c>
      <c r="AH106" s="456">
        <f t="shared" si="242"/>
        <v>1488242</v>
      </c>
      <c r="AI106" s="456">
        <f t="shared" si="242"/>
        <v>1166802</v>
      </c>
      <c r="AJ106" s="456">
        <f t="shared" si="242"/>
        <v>1427492</v>
      </c>
      <c r="AK106" s="456">
        <f t="shared" si="242"/>
        <v>1254955</v>
      </c>
      <c r="AL106" s="456">
        <f t="shared" si="242"/>
        <v>740735</v>
      </c>
      <c r="AM106" s="456">
        <f t="shared" si="242"/>
        <v>1303693.26</v>
      </c>
      <c r="AN106" s="456">
        <f t="shared" si="242"/>
        <v>1340092.56</v>
      </c>
      <c r="AO106" s="456">
        <f t="shared" si="242"/>
        <v>1601989.36</v>
      </c>
      <c r="AP106" s="456">
        <f t="shared" si="242"/>
        <v>1082803.38</v>
      </c>
      <c r="AQ106" s="456">
        <f t="shared" si="242"/>
        <v>1263946.54</v>
      </c>
      <c r="AR106" s="456">
        <f t="shared" si="242"/>
        <v>1248345.36</v>
      </c>
      <c r="AS106" s="456">
        <f t="shared" si="242"/>
        <v>983614.28</v>
      </c>
      <c r="AT106" s="456">
        <f t="shared" si="242"/>
        <v>1023610.44</v>
      </c>
      <c r="AU106" s="456">
        <f t="shared" si="242"/>
        <v>859464.63</v>
      </c>
      <c r="AV106" s="456">
        <f t="shared" si="242"/>
        <v>1184500.94</v>
      </c>
      <c r="AW106" s="456">
        <f t="shared" si="242"/>
        <v>951533.65</v>
      </c>
      <c r="AX106" s="456">
        <f t="shared" si="242"/>
        <v>809029.45</v>
      </c>
      <c r="AY106" s="456">
        <f t="shared" si="242"/>
        <v>892383.64</v>
      </c>
      <c r="AZ106" s="456">
        <f t="shared" si="242"/>
        <v>1173300.85</v>
      </c>
      <c r="BA106" s="456">
        <f t="shared" si="242"/>
        <v>1228167.72</v>
      </c>
      <c r="BB106" s="456">
        <f t="shared" si="242"/>
        <v>988488.64</v>
      </c>
      <c r="BC106" s="456">
        <f t="shared" si="242"/>
        <v>1176482.47</v>
      </c>
      <c r="BD106" s="456">
        <f t="shared" si="242"/>
        <v>1117513.75</v>
      </c>
      <c r="BE106" s="456">
        <f t="shared" si="242"/>
        <v>1357903.17</v>
      </c>
      <c r="BF106" s="456">
        <f t="shared" si="242"/>
        <v>889707.45</v>
      </c>
      <c r="BG106" s="456">
        <f t="shared" si="242"/>
        <v>1318387.76</v>
      </c>
      <c r="BH106" s="456">
        <f t="shared" si="242"/>
        <v>1889100.65</v>
      </c>
      <c r="BI106" s="456">
        <f t="shared" si="242"/>
        <v>1525784.37</v>
      </c>
      <c r="BJ106" s="456">
        <f t="shared" si="242"/>
        <v>1364128.31</v>
      </c>
      <c r="BK106" s="456">
        <f t="shared" si="242"/>
        <v>1458169.66</v>
      </c>
      <c r="BL106" s="456">
        <f t="shared" si="242"/>
        <v>1369121.1</v>
      </c>
      <c r="BM106" s="456">
        <f t="shared" si="242"/>
        <v>1371000.79</v>
      </c>
      <c r="BN106" s="456">
        <f t="shared" si="242"/>
        <v>1661471.54</v>
      </c>
      <c r="BO106" s="456">
        <f t="shared" si="242"/>
        <v>1488519.54</v>
      </c>
      <c r="BP106" s="456">
        <f t="shared" si="242"/>
        <v>1546374.35</v>
      </c>
      <c r="BQ106" s="456">
        <f t="shared" si="242"/>
        <v>1868750.26</v>
      </c>
      <c r="BR106" s="456">
        <f t="shared" si="242"/>
        <v>1620600.68</v>
      </c>
      <c r="BS106" s="456">
        <f t="shared" si="242"/>
        <v>2014672.94</v>
      </c>
      <c r="BT106" s="456">
        <f t="shared" si="242"/>
        <v>2417423.2</v>
      </c>
      <c r="BU106" s="456">
        <f t="shared" si="242"/>
        <v>1780941.89</v>
      </c>
      <c r="BV106" s="456">
        <f t="shared" si="242"/>
        <v>1946525.46</v>
      </c>
      <c r="BW106" s="489">
        <f t="shared" si="242"/>
        <v>2242316.39</v>
      </c>
      <c r="BX106" s="489">
        <f t="shared" si="242"/>
        <v>2359118.45</v>
      </c>
      <c r="BY106" s="489">
        <f t="shared" si="242"/>
        <v>2510749.9</v>
      </c>
      <c r="BZ106" s="489">
        <f t="shared" si="242"/>
        <v>2665395.29</v>
      </c>
      <c r="CA106" s="489">
        <f t="shared" si="242"/>
        <v>2594911.88</v>
      </c>
      <c r="CB106" s="489">
        <f t="shared" si="242"/>
        <v>2850624.15</v>
      </c>
      <c r="CC106" s="489">
        <f t="shared" si="242"/>
        <v>0</v>
      </c>
      <c r="CD106" s="489">
        <f t="shared" si="242"/>
        <v>0</v>
      </c>
      <c r="CE106" s="489">
        <f t="shared" si="242"/>
        <v>0</v>
      </c>
      <c r="CF106" s="489">
        <f t="shared" si="242"/>
        <v>0</v>
      </c>
      <c r="CG106" s="489">
        <f t="shared" si="242"/>
        <v>0</v>
      </c>
      <c r="CH106" s="489">
        <f t="shared" si="242"/>
        <v>0</v>
      </c>
      <c r="CK106" s="490">
        <f>CK13-CK28</f>
        <v>26872030.49</v>
      </c>
      <c r="CL106" s="389"/>
      <c r="CM106" s="391">
        <f t="shared" ref="CM106:CQ106" si="243">CM13-CM28</f>
        <v>7112184.74</v>
      </c>
      <c r="CN106" s="391">
        <f t="shared" si="243"/>
        <v>8110931.32</v>
      </c>
      <c r="CO106" s="391">
        <f t="shared" si="243"/>
        <v>0</v>
      </c>
      <c r="CP106" s="391">
        <f t="shared" si="243"/>
        <v>0</v>
      </c>
      <c r="CQ106" s="486">
        <f t="shared" si="243"/>
        <v>15223116.06</v>
      </c>
      <c r="CR106" s="391"/>
      <c r="CS106" s="391">
        <f t="shared" ref="CS106:CW106" si="244">CS13-CS28</f>
        <v>4198291.55</v>
      </c>
      <c r="CT106" s="391">
        <f t="shared" si="244"/>
        <v>4696365.43</v>
      </c>
      <c r="CU106" s="391">
        <f t="shared" si="244"/>
        <v>5504023.88</v>
      </c>
      <c r="CV106" s="391">
        <f t="shared" si="244"/>
        <v>6144890.55</v>
      </c>
      <c r="CW106" s="392">
        <f t="shared" si="244"/>
        <v>20543571.41</v>
      </c>
      <c r="CX106" s="389"/>
      <c r="CY106" s="391">
        <f t="shared" ref="CY106:DC106" si="245">CY13-CY28</f>
        <v>3293852.21</v>
      </c>
      <c r="CZ106" s="391">
        <f t="shared" si="245"/>
        <v>3282484.86</v>
      </c>
      <c r="DA106" s="391">
        <f t="shared" si="245"/>
        <v>3565998.38</v>
      </c>
      <c r="DB106" s="391">
        <f t="shared" si="245"/>
        <v>4779013.33</v>
      </c>
      <c r="DC106" s="392">
        <f t="shared" si="245"/>
        <v>14921348.78</v>
      </c>
      <c r="DD106" s="389"/>
      <c r="DE106" s="391">
        <f t="shared" ref="DE106:DI106" si="246">DE13-DE28</f>
        <v>4245775.18</v>
      </c>
      <c r="DF106" s="391">
        <f t="shared" si="246"/>
        <v>3595095.28</v>
      </c>
      <c r="DG106" s="391">
        <f t="shared" si="246"/>
        <v>2866689.35</v>
      </c>
      <c r="DH106" s="391">
        <f t="shared" si="246"/>
        <v>2945064.04</v>
      </c>
      <c r="DI106" s="392">
        <f t="shared" si="246"/>
        <v>13652623.85</v>
      </c>
      <c r="DJ106" s="389"/>
      <c r="DK106" s="391">
        <f>sum(AA106:AC106)</f>
        <v>2597628</v>
      </c>
      <c r="DL106" s="391">
        <f>sum(AD106:AF106)</f>
        <v>2813580</v>
      </c>
      <c r="DM106" s="391">
        <f>sum(AG106:AI106)</f>
        <v>3532792</v>
      </c>
      <c r="DN106" s="391">
        <f>sum(AJ106:AL106)</f>
        <v>3423182</v>
      </c>
      <c r="DO106" s="392">
        <f>sum(AA106:AL106)</f>
        <v>12367182</v>
      </c>
      <c r="DP106" s="389"/>
      <c r="DQ106" s="390"/>
      <c r="DR106" s="284"/>
      <c r="DS106" s="389"/>
      <c r="DT106" s="389"/>
      <c r="DU106" s="389"/>
      <c r="DV106" s="389"/>
      <c r="DW106" s="389"/>
      <c r="DX106" s="389"/>
      <c r="DY106" s="389"/>
      <c r="DZ106" s="389"/>
      <c r="EA106" s="389"/>
      <c r="EB106" s="389"/>
      <c r="EC106" s="389"/>
      <c r="ED106" s="389"/>
      <c r="EE106" s="389"/>
      <c r="EF106" s="389"/>
      <c r="EG106" s="389"/>
      <c r="EH106" s="389"/>
      <c r="EI106" s="389"/>
      <c r="EJ106" s="389"/>
      <c r="EK106" s="389"/>
      <c r="EL106" s="389"/>
      <c r="EM106" s="389"/>
      <c r="EN106" s="389"/>
      <c r="EO106" s="389"/>
      <c r="EP106" s="389"/>
      <c r="EQ106" s="389"/>
      <c r="ER106" s="389"/>
      <c r="ES106" s="389"/>
      <c r="ET106" s="389"/>
      <c r="EU106" s="389"/>
      <c r="EV106" s="389"/>
      <c r="EW106" s="389"/>
      <c r="EX106" s="389"/>
      <c r="EY106" s="389"/>
      <c r="EZ106" s="389"/>
      <c r="FA106" s="389"/>
      <c r="FB106" s="137"/>
      <c r="FC106" s="389"/>
      <c r="FD106" s="389"/>
      <c r="FE106" s="389"/>
      <c r="FF106" s="389"/>
      <c r="FG106" s="389"/>
      <c r="FH106" s="389"/>
      <c r="FI106" s="389"/>
      <c r="FJ106" s="389"/>
      <c r="FK106" s="389"/>
      <c r="FL106" s="389"/>
      <c r="FM106" s="389"/>
      <c r="FN106" s="389"/>
      <c r="FO106" s="389"/>
      <c r="FP106" s="389"/>
      <c r="FQ106" s="389"/>
      <c r="FR106" s="389"/>
      <c r="FS106" s="389"/>
      <c r="FT106" s="389"/>
      <c r="FU106" s="389"/>
      <c r="FV106" s="389"/>
      <c r="FW106" s="389"/>
      <c r="FX106" s="389"/>
      <c r="FY106" s="389"/>
      <c r="FZ106" s="389"/>
      <c r="GA106" s="389"/>
      <c r="GB106" s="389"/>
      <c r="GC106" s="389"/>
      <c r="GD106" s="389"/>
      <c r="GE106" s="389"/>
      <c r="GF106" s="389"/>
      <c r="GG106" s="389"/>
      <c r="GH106" s="389"/>
      <c r="GI106" s="389"/>
      <c r="GJ106" s="389"/>
      <c r="GK106" s="389"/>
      <c r="GL106" s="389"/>
      <c r="GM106" s="389"/>
    </row>
    <row r="107">
      <c r="B107" s="455" t="s">
        <v>562</v>
      </c>
      <c r="C107" s="389"/>
      <c r="D107" s="389"/>
      <c r="E107" s="389"/>
      <c r="F107" s="389"/>
      <c r="G107" s="389"/>
      <c r="H107" s="389"/>
      <c r="I107" s="389"/>
      <c r="J107" s="389"/>
      <c r="K107" s="389"/>
      <c r="L107" s="389"/>
      <c r="M107" s="389"/>
      <c r="N107" s="389"/>
      <c r="O107" s="389"/>
      <c r="P107" s="389"/>
      <c r="Q107" s="389"/>
      <c r="R107" s="389"/>
      <c r="S107" s="389"/>
      <c r="T107" s="389"/>
      <c r="U107" s="389"/>
      <c r="V107" s="389"/>
      <c r="W107" s="389"/>
      <c r="X107" s="389"/>
      <c r="Y107" s="389"/>
      <c r="Z107" s="389"/>
      <c r="AA107" s="389">
        <f t="shared" ref="AA107:CH107" si="247">IFERROR(AA106/AA13,0)</f>
        <v>0.7568225287</v>
      </c>
      <c r="AB107" s="389">
        <f t="shared" si="247"/>
        <v>0.6492959849</v>
      </c>
      <c r="AC107" s="389">
        <f t="shared" si="247"/>
        <v>0.7385141121</v>
      </c>
      <c r="AD107" s="389">
        <f t="shared" si="247"/>
        <v>0.6483928032</v>
      </c>
      <c r="AE107" s="389">
        <f t="shared" si="247"/>
        <v>0.6933254617</v>
      </c>
      <c r="AF107" s="389">
        <f t="shared" si="247"/>
        <v>0.7479910068</v>
      </c>
      <c r="AG107" s="389">
        <f t="shared" si="247"/>
        <v>0.6617131984</v>
      </c>
      <c r="AH107" s="389">
        <f t="shared" si="247"/>
        <v>0.769749024</v>
      </c>
      <c r="AI107" s="389">
        <f t="shared" si="247"/>
        <v>0.7172675032</v>
      </c>
      <c r="AJ107" s="389">
        <f t="shared" si="247"/>
        <v>0.7661622223</v>
      </c>
      <c r="AK107" s="389">
        <f t="shared" si="247"/>
        <v>0.7029477251</v>
      </c>
      <c r="AL107" s="389">
        <f t="shared" si="247"/>
        <v>0.5987600183</v>
      </c>
      <c r="AM107" s="389">
        <f t="shared" si="247"/>
        <v>0.6114304648</v>
      </c>
      <c r="AN107" s="389">
        <f t="shared" si="247"/>
        <v>0.6894047658</v>
      </c>
      <c r="AO107" s="389">
        <f t="shared" si="247"/>
        <v>0.7192513989</v>
      </c>
      <c r="AP107" s="389">
        <f t="shared" si="247"/>
        <v>0.5870361166</v>
      </c>
      <c r="AQ107" s="389">
        <f t="shared" si="247"/>
        <v>0.6649567891</v>
      </c>
      <c r="AR107" s="389">
        <f t="shared" si="247"/>
        <v>0.677996813</v>
      </c>
      <c r="AS107" s="389">
        <f t="shared" si="247"/>
        <v>0.6018908743</v>
      </c>
      <c r="AT107" s="389">
        <f t="shared" si="247"/>
        <v>0.5155577068</v>
      </c>
      <c r="AU107" s="389">
        <f t="shared" si="247"/>
        <v>0.5442608545</v>
      </c>
      <c r="AV107" s="389">
        <f t="shared" si="247"/>
        <v>0.6339996649</v>
      </c>
      <c r="AW107" s="389">
        <f t="shared" si="247"/>
        <v>0.5741302671</v>
      </c>
      <c r="AX107" s="389">
        <f t="shared" si="247"/>
        <v>0.5152719059</v>
      </c>
      <c r="AY107" s="389">
        <f t="shared" si="247"/>
        <v>0.5304413029</v>
      </c>
      <c r="AZ107" s="389">
        <f t="shared" si="247"/>
        <v>0.6277932076</v>
      </c>
      <c r="BA107" s="389">
        <f t="shared" si="247"/>
        <v>0.6422505545</v>
      </c>
      <c r="BB107" s="389">
        <f t="shared" si="247"/>
        <v>0.4933260798</v>
      </c>
      <c r="BC107" s="389">
        <f t="shared" si="247"/>
        <v>0.6140140992</v>
      </c>
      <c r="BD107" s="389">
        <f t="shared" si="247"/>
        <v>0.6103241679</v>
      </c>
      <c r="BE107" s="389">
        <f t="shared" si="247"/>
        <v>0.6525490084</v>
      </c>
      <c r="BF107" s="389">
        <f t="shared" si="247"/>
        <v>0.4105319448</v>
      </c>
      <c r="BG107" s="389">
        <f t="shared" si="247"/>
        <v>0.6091279315</v>
      </c>
      <c r="BH107" s="389">
        <f t="shared" si="247"/>
        <v>0.6672568437</v>
      </c>
      <c r="BI107" s="389">
        <f t="shared" si="247"/>
        <v>0.6181637201</v>
      </c>
      <c r="BJ107" s="389">
        <f t="shared" si="247"/>
        <v>0.5616739288</v>
      </c>
      <c r="BK107" s="389">
        <f t="shared" si="247"/>
        <v>0.5655994424</v>
      </c>
      <c r="BL107" s="389">
        <f t="shared" si="247"/>
        <v>0.5663455453</v>
      </c>
      <c r="BM107" s="389">
        <f t="shared" si="247"/>
        <v>0.5646512035</v>
      </c>
      <c r="BN107" s="370">
        <f t="shared" si="247"/>
        <v>0.6131343065</v>
      </c>
      <c r="BO107" s="389">
        <f t="shared" si="247"/>
        <v>0.5620376404</v>
      </c>
      <c r="BP107" s="389">
        <f t="shared" si="247"/>
        <v>0.5760465165</v>
      </c>
      <c r="BQ107" s="389">
        <f t="shared" si="247"/>
        <v>0.6010086208</v>
      </c>
      <c r="BR107" s="389">
        <f t="shared" si="247"/>
        <v>0.5542005158</v>
      </c>
      <c r="BS107" s="389">
        <f t="shared" si="247"/>
        <v>0.581408526</v>
      </c>
      <c r="BT107" s="389">
        <f t="shared" si="247"/>
        <v>0.6011857894</v>
      </c>
      <c r="BU107" s="389">
        <f t="shared" si="247"/>
        <v>0.5416767065</v>
      </c>
      <c r="BV107" s="389">
        <f t="shared" si="247"/>
        <v>0.5345602891</v>
      </c>
      <c r="BW107" s="491">
        <f t="shared" si="247"/>
        <v>0.5493747761</v>
      </c>
      <c r="BX107" s="491">
        <f t="shared" si="247"/>
        <v>0.5832816464</v>
      </c>
      <c r="BY107" s="491">
        <f t="shared" si="247"/>
        <v>0.564454385</v>
      </c>
      <c r="BZ107" s="491">
        <f t="shared" si="247"/>
        <v>0.5810243039</v>
      </c>
      <c r="CA107" s="491">
        <f t="shared" si="247"/>
        <v>0.5958504835</v>
      </c>
      <c r="CB107" s="491">
        <f t="shared" si="247"/>
        <v>0.6062481413</v>
      </c>
      <c r="CC107" s="491">
        <f t="shared" si="247"/>
        <v>0</v>
      </c>
      <c r="CD107" s="491">
        <f t="shared" si="247"/>
        <v>0</v>
      </c>
      <c r="CE107" s="491">
        <f t="shared" si="247"/>
        <v>0</v>
      </c>
      <c r="CF107" s="491">
        <f t="shared" si="247"/>
        <v>0</v>
      </c>
      <c r="CG107" s="491">
        <f t="shared" si="247"/>
        <v>0</v>
      </c>
      <c r="CH107" s="491">
        <f t="shared" si="247"/>
        <v>0</v>
      </c>
      <c r="CK107" s="476">
        <f>IFERROR(CK106/CK13,0)</f>
        <v>0.5758164044</v>
      </c>
      <c r="CL107" s="389"/>
      <c r="CM107" s="458">
        <f t="shared" ref="CM107:CQ107" si="248">IFERROR(CM$106/CM$13,0)</f>
        <v>0.5656154416</v>
      </c>
      <c r="CN107" s="458">
        <f t="shared" si="248"/>
        <v>0.5944489497</v>
      </c>
      <c r="CO107" s="458">
        <f t="shared" si="248"/>
        <v>0</v>
      </c>
      <c r="CP107" s="458">
        <f t="shared" si="248"/>
        <v>0</v>
      </c>
      <c r="CQ107" s="492">
        <f t="shared" si="248"/>
        <v>0.5806206689</v>
      </c>
      <c r="CR107" s="458"/>
      <c r="CS107" s="458">
        <f t="shared" ref="CS107:CW107" si="249">IFERROR(CS$106/CS$13,0)</f>
        <v>0.5655322659</v>
      </c>
      <c r="CT107" s="458">
        <f t="shared" si="249"/>
        <v>0.5839293122</v>
      </c>
      <c r="CU107" s="458">
        <f t="shared" si="249"/>
        <v>0.5794484381</v>
      </c>
      <c r="CV107" s="458">
        <f t="shared" si="249"/>
        <v>0.5611627858</v>
      </c>
      <c r="CW107" s="388">
        <f t="shared" si="249"/>
        <v>0.5720002792</v>
      </c>
      <c r="CX107" s="389"/>
      <c r="CY107" s="458">
        <f t="shared" ref="CY107:DC107" si="250">IFERROR(CY$106/CY$13,0)</f>
        <v>0.6028767377</v>
      </c>
      <c r="CZ107" s="458">
        <f t="shared" si="250"/>
        <v>0.5707884522</v>
      </c>
      <c r="DA107" s="458">
        <f t="shared" si="250"/>
        <v>0.5560999498</v>
      </c>
      <c r="DB107" s="458">
        <f t="shared" si="250"/>
        <v>0.6183958476</v>
      </c>
      <c r="DC107" s="388">
        <f t="shared" si="250"/>
        <v>0.5884986008</v>
      </c>
      <c r="DD107" s="389"/>
      <c r="DE107" s="458">
        <f t="shared" ref="DE107:DI107" si="251">IFERROR(DE$106/DE$13,0)</f>
        <v>0.6735751458</v>
      </c>
      <c r="DF107" s="458">
        <f t="shared" si="251"/>
        <v>0.6435272593</v>
      </c>
      <c r="DG107" s="458">
        <f t="shared" si="251"/>
        <v>0.5514146174</v>
      </c>
      <c r="DH107" s="458">
        <f t="shared" si="251"/>
        <v>0.5779452716</v>
      </c>
      <c r="DI107" s="388">
        <f t="shared" si="251"/>
        <v>0.6154146782</v>
      </c>
      <c r="DJ107" s="389"/>
      <c r="DK107" s="458">
        <f t="shared" ref="DK107:DO107" si="252">IFERROR(DK$106/DK$13,0)</f>
        <v>0.7183431606</v>
      </c>
      <c r="DL107" s="458">
        <f t="shared" si="252"/>
        <v>0.7008928127</v>
      </c>
      <c r="DM107" s="458">
        <f t="shared" si="252"/>
        <v>0.722951765</v>
      </c>
      <c r="DN107" s="458">
        <f t="shared" si="252"/>
        <v>0.7006731262</v>
      </c>
      <c r="DO107" s="388">
        <f t="shared" si="252"/>
        <v>0.7106513152</v>
      </c>
      <c r="DP107" s="389"/>
      <c r="DQ107" s="390"/>
      <c r="DR107" s="284"/>
      <c r="DS107" s="389"/>
      <c r="DT107" s="389"/>
      <c r="DU107" s="389"/>
      <c r="DV107" s="389"/>
      <c r="DW107" s="389"/>
      <c r="DX107" s="389"/>
      <c r="DY107" s="389"/>
      <c r="DZ107" s="389"/>
      <c r="EA107" s="389"/>
      <c r="EB107" s="389"/>
      <c r="EC107" s="389"/>
      <c r="ED107" s="389"/>
      <c r="EE107" s="389"/>
      <c r="EF107" s="389"/>
      <c r="EG107" s="389"/>
      <c r="EH107" s="389"/>
      <c r="EI107" s="389"/>
      <c r="EJ107" s="389"/>
      <c r="EK107" s="389"/>
      <c r="EL107" s="389"/>
      <c r="EM107" s="389"/>
      <c r="EN107" s="389"/>
      <c r="EO107" s="389"/>
      <c r="EP107" s="389"/>
      <c r="EQ107" s="389"/>
      <c r="ER107" s="389"/>
      <c r="ES107" s="389"/>
      <c r="ET107" s="389"/>
      <c r="EU107" s="389"/>
      <c r="EV107" s="389"/>
      <c r="EW107" s="389"/>
      <c r="EX107" s="389"/>
      <c r="EY107" s="389"/>
      <c r="EZ107" s="389"/>
      <c r="FA107" s="389"/>
      <c r="FB107" s="137"/>
      <c r="FC107" s="389"/>
      <c r="FD107" s="389"/>
      <c r="FE107" s="389"/>
      <c r="FF107" s="389"/>
      <c r="FG107" s="389"/>
      <c r="FH107" s="389"/>
      <c r="FI107" s="389"/>
      <c r="FJ107" s="389"/>
      <c r="FK107" s="389"/>
      <c r="FL107" s="389"/>
      <c r="FM107" s="389"/>
      <c r="FN107" s="389"/>
      <c r="FO107" s="389"/>
      <c r="FP107" s="389"/>
      <c r="FQ107" s="389"/>
      <c r="FR107" s="389"/>
      <c r="FS107" s="389"/>
      <c r="FT107" s="389"/>
      <c r="FU107" s="389"/>
      <c r="FV107" s="389"/>
      <c r="FW107" s="389"/>
      <c r="FX107" s="389"/>
      <c r="FY107" s="389"/>
      <c r="FZ107" s="389"/>
      <c r="GA107" s="389"/>
      <c r="GB107" s="389"/>
      <c r="GC107" s="389"/>
      <c r="GD107" s="389"/>
      <c r="GE107" s="389"/>
      <c r="GF107" s="389"/>
      <c r="GG107" s="389"/>
      <c r="GH107" s="389"/>
      <c r="GI107" s="389"/>
      <c r="GJ107" s="389"/>
      <c r="GK107" s="389"/>
      <c r="GL107" s="389"/>
      <c r="GM107" s="389"/>
    </row>
    <row r="108">
      <c r="B108" s="455" t="s">
        <v>268</v>
      </c>
      <c r="C108" s="389"/>
      <c r="D108" s="389"/>
      <c r="E108" s="389"/>
      <c r="F108" s="389"/>
      <c r="G108" s="389"/>
      <c r="H108" s="389"/>
      <c r="I108" s="389"/>
      <c r="J108" s="389"/>
      <c r="K108" s="389"/>
      <c r="L108" s="389"/>
      <c r="M108" s="389"/>
      <c r="N108" s="389"/>
      <c r="O108" s="389"/>
      <c r="P108" s="389"/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  <c r="AA108" s="389"/>
      <c r="AB108" s="389"/>
      <c r="AC108" s="389"/>
      <c r="AD108" s="389"/>
      <c r="AE108" s="389"/>
      <c r="AF108" s="389"/>
      <c r="AG108" s="389"/>
      <c r="AH108" s="389"/>
      <c r="AI108" s="389"/>
      <c r="AJ108" s="389"/>
      <c r="AK108" s="389"/>
      <c r="AL108" s="389"/>
      <c r="AM108" s="389"/>
      <c r="AN108" s="389"/>
      <c r="AO108" s="389"/>
      <c r="AP108" s="389"/>
      <c r="AQ108" s="389"/>
      <c r="AR108" s="389"/>
      <c r="AS108" s="389"/>
      <c r="AT108" s="389"/>
      <c r="AU108" s="389"/>
      <c r="AV108" s="389"/>
      <c r="AW108" s="389"/>
      <c r="AX108" s="389"/>
      <c r="AY108" s="389"/>
      <c r="AZ108" s="389"/>
      <c r="BA108" s="389"/>
      <c r="BB108" s="389"/>
      <c r="BC108" s="389"/>
      <c r="BD108" s="389"/>
      <c r="BE108" s="389"/>
      <c r="BF108" s="389"/>
      <c r="BG108" s="389"/>
      <c r="BH108" s="389"/>
      <c r="BI108" s="389"/>
      <c r="BJ108" s="389"/>
      <c r="BK108" s="389"/>
      <c r="BL108" s="389"/>
      <c r="BM108" s="389"/>
      <c r="BN108" s="389"/>
      <c r="BO108" s="389"/>
      <c r="BP108" s="389"/>
      <c r="BQ108" s="389"/>
      <c r="BR108" s="389"/>
      <c r="BS108" s="389"/>
      <c r="BT108" s="389"/>
      <c r="BU108" s="389"/>
      <c r="BV108" s="389"/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8"/>
      <c r="CH108" s="58"/>
      <c r="CK108" s="476"/>
      <c r="CL108" s="389"/>
      <c r="CM108" s="389" t="str">
        <f t="shared" ref="CM108:CQ108" si="253">IF(CM106=0,"", TEXT(CM106,"0,000")&amp;" "&amp;"("&amp;TEXT((CM106-CS106)/CS106,"0%")&amp;" YoY)")</f>
        <v>7,112,185 (69% YoY)</v>
      </c>
      <c r="CN108" s="389" t="str">
        <f t="shared" si="253"/>
        <v>8,110,931 (73% YoY)</v>
      </c>
      <c r="CO108" s="389" t="str">
        <f t="shared" si="253"/>
        <v/>
      </c>
      <c r="CP108" s="389" t="str">
        <f t="shared" si="253"/>
        <v/>
      </c>
      <c r="CQ108" s="476" t="str">
        <f t="shared" si="253"/>
        <v>15,223,116 (-26% YoY)</v>
      </c>
      <c r="CR108" s="389"/>
      <c r="CS108" s="389" t="str">
        <f t="shared" ref="CS108:CV108" si="254">IF(CS106=0,"", TEXT(CS106,"0,000")&amp;" "&amp;"("&amp;TEXT((CS106-CY106)/CY106,"0%")&amp;" YoY)")</f>
        <v>4,198,292 (27% YoY)</v>
      </c>
      <c r="CT108" s="389" t="str">
        <f t="shared" si="254"/>
        <v>4,696,365 (43% YoY)</v>
      </c>
      <c r="CU108" s="389" t="str">
        <f t="shared" si="254"/>
        <v>5,504,024 (54% YoY)</v>
      </c>
      <c r="CV108" s="389" t="str">
        <f t="shared" si="254"/>
        <v>6,144,891 (29% YoY)</v>
      </c>
      <c r="CW108" s="390"/>
      <c r="CX108" s="389"/>
      <c r="CY108" s="389" t="str">
        <f t="shared" ref="CY108:DB108" si="255">IF(CY106=0,"", TEXT(CY106,"0,000")&amp;" "&amp;"("&amp;TEXT((CY106-DE106)/DE106,"0%")&amp;" YoY)")</f>
        <v>3,293,852 (-22% YoY)</v>
      </c>
      <c r="CZ108" s="389" t="str">
        <f t="shared" si="255"/>
        <v>3,282,485 (-9% YoY)</v>
      </c>
      <c r="DA108" s="389" t="str">
        <f t="shared" si="255"/>
        <v>3,565,998 (24% YoY)</v>
      </c>
      <c r="DB108" s="389" t="str">
        <f t="shared" si="255"/>
        <v>4,779,013 (62% YoY)</v>
      </c>
      <c r="DC108" s="390"/>
      <c r="DD108" s="389"/>
      <c r="DE108" s="389" t="str">
        <f t="shared" ref="DE108:DH108" si="256">IF(DE106=0,"", TEXT(DE106,"0,000")&amp;" "&amp;"("&amp;TEXT((DE106-DK106)/DK106,"0%")&amp;" YoY)")</f>
        <v>4,245,775 (63% YoY)</v>
      </c>
      <c r="DF108" s="389" t="str">
        <f t="shared" si="256"/>
        <v>3,595,095 (28% YoY)</v>
      </c>
      <c r="DG108" s="389" t="str">
        <f t="shared" si="256"/>
        <v>2,866,689 (-19% YoY)</v>
      </c>
      <c r="DH108" s="389" t="str">
        <f t="shared" si="256"/>
        <v>2,945,064 (-14% YoY)</v>
      </c>
      <c r="DI108" s="390"/>
      <c r="DJ108" s="389"/>
      <c r="DK108" s="389"/>
      <c r="DL108" s="389"/>
      <c r="DM108" s="389"/>
      <c r="DN108" s="389"/>
      <c r="DO108" s="390"/>
      <c r="DP108" s="389"/>
      <c r="DQ108" s="390"/>
      <c r="DR108" s="284"/>
      <c r="DS108" s="389"/>
      <c r="DT108" s="389"/>
      <c r="DU108" s="389"/>
      <c r="DV108" s="389"/>
      <c r="DW108" s="389"/>
      <c r="DX108" s="389"/>
      <c r="DY108" s="389"/>
      <c r="DZ108" s="389"/>
      <c r="EA108" s="389"/>
      <c r="EB108" s="389"/>
      <c r="EC108" s="389"/>
      <c r="ED108" s="389"/>
      <c r="EE108" s="389"/>
      <c r="EF108" s="389"/>
      <c r="EG108" s="389"/>
      <c r="EH108" s="389"/>
      <c r="EI108" s="389"/>
      <c r="EJ108" s="389"/>
      <c r="EK108" s="389"/>
      <c r="EL108" s="389"/>
      <c r="EM108" s="389"/>
      <c r="EN108" s="389"/>
      <c r="EO108" s="389"/>
      <c r="EP108" s="389"/>
      <c r="EQ108" s="389"/>
      <c r="ER108" s="389"/>
      <c r="ES108" s="389"/>
      <c r="ET108" s="389"/>
      <c r="EU108" s="389"/>
      <c r="EV108" s="389"/>
      <c r="EW108" s="389"/>
      <c r="EX108" s="389"/>
      <c r="EY108" s="389"/>
      <c r="EZ108" s="389"/>
      <c r="FA108" s="389"/>
      <c r="FB108" s="137"/>
      <c r="FC108" s="389"/>
      <c r="FD108" s="389"/>
      <c r="FE108" s="389"/>
      <c r="FF108" s="389"/>
      <c r="FG108" s="389"/>
      <c r="FH108" s="389"/>
      <c r="FI108" s="389"/>
      <c r="FJ108" s="389"/>
      <c r="FK108" s="389"/>
      <c r="FL108" s="389"/>
      <c r="FM108" s="389"/>
      <c r="FN108" s="389"/>
      <c r="FO108" s="389"/>
      <c r="FP108" s="389"/>
      <c r="FQ108" s="389"/>
      <c r="FR108" s="389"/>
      <c r="FS108" s="389"/>
      <c r="FT108" s="389"/>
      <c r="FU108" s="389"/>
      <c r="FV108" s="389"/>
      <c r="FW108" s="389"/>
      <c r="FX108" s="389"/>
      <c r="FY108" s="389"/>
      <c r="FZ108" s="389"/>
      <c r="GA108" s="389"/>
      <c r="GB108" s="389"/>
      <c r="GC108" s="389"/>
      <c r="GD108" s="389"/>
      <c r="GE108" s="389"/>
      <c r="GF108" s="389"/>
      <c r="GG108" s="389"/>
      <c r="GH108" s="389"/>
      <c r="GI108" s="389"/>
      <c r="GJ108" s="389"/>
      <c r="GK108" s="389"/>
      <c r="GL108" s="389"/>
      <c r="GM108" s="389"/>
    </row>
    <row r="109">
      <c r="B109" s="397"/>
      <c r="C109" s="389"/>
      <c r="D109" s="389"/>
      <c r="E109" s="389"/>
      <c r="F109" s="389"/>
      <c r="G109" s="389"/>
      <c r="H109" s="389"/>
      <c r="I109" s="389"/>
      <c r="J109" s="389"/>
      <c r="K109" s="389"/>
      <c r="L109" s="389"/>
      <c r="M109" s="389"/>
      <c r="N109" s="389"/>
      <c r="O109" s="389"/>
      <c r="P109" s="389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287"/>
      <c r="AB109" s="287"/>
      <c r="AC109" s="287"/>
      <c r="AD109" s="287"/>
      <c r="AE109" s="287"/>
      <c r="AF109" s="287"/>
      <c r="AG109" s="287"/>
      <c r="AH109" s="287"/>
      <c r="AI109" s="287"/>
      <c r="AJ109" s="287"/>
      <c r="AK109" s="287"/>
      <c r="AL109" s="287"/>
      <c r="AM109" s="287"/>
      <c r="AN109" s="287"/>
      <c r="AO109" s="287"/>
      <c r="AP109" s="287"/>
      <c r="AQ109" s="287"/>
      <c r="AR109" s="287"/>
      <c r="AS109" s="287"/>
      <c r="AT109" s="287"/>
      <c r="AU109" s="287"/>
      <c r="AV109" s="287"/>
      <c r="AW109" s="287"/>
      <c r="AX109" s="287"/>
      <c r="AY109" s="287"/>
      <c r="AZ109" s="287"/>
      <c r="BA109" s="287"/>
      <c r="BB109" s="287"/>
      <c r="BC109" s="287"/>
      <c r="BD109" s="287"/>
      <c r="BE109" s="287"/>
      <c r="BF109" s="287"/>
      <c r="BG109" s="287"/>
      <c r="BH109" s="287"/>
      <c r="BI109" s="287"/>
      <c r="BJ109" s="287"/>
      <c r="BK109" s="287"/>
      <c r="BL109" s="287"/>
      <c r="BM109" s="287"/>
      <c r="BN109" s="287"/>
      <c r="BO109" s="287"/>
      <c r="BP109" s="287"/>
      <c r="BQ109" s="287"/>
      <c r="BR109" s="287"/>
      <c r="BS109" s="287"/>
      <c r="BT109" s="287"/>
      <c r="BU109" s="287"/>
      <c r="BV109" s="287"/>
      <c r="BW109" s="493"/>
      <c r="BX109" s="493"/>
      <c r="BY109" s="493"/>
      <c r="BZ109" s="493"/>
      <c r="CA109" s="493"/>
      <c r="CB109" s="493"/>
      <c r="CC109" s="493"/>
      <c r="CD109" s="493"/>
      <c r="CE109" s="493"/>
      <c r="CF109" s="493"/>
      <c r="CG109" s="493"/>
      <c r="CH109" s="493"/>
      <c r="CI109" s="450"/>
      <c r="CJ109" s="450"/>
      <c r="CK109" s="486"/>
      <c r="CL109" s="287"/>
      <c r="CM109" s="391"/>
      <c r="CN109" s="391"/>
      <c r="CO109" s="391"/>
      <c r="CP109" s="391"/>
      <c r="CQ109" s="486"/>
      <c r="CR109" s="391"/>
      <c r="CS109" s="391"/>
      <c r="CT109" s="391"/>
      <c r="CU109" s="391"/>
      <c r="CV109" s="391"/>
      <c r="CW109" s="392"/>
      <c r="CX109" s="287"/>
      <c r="CY109" s="391"/>
      <c r="CZ109" s="391"/>
      <c r="DA109" s="391"/>
      <c r="DB109" s="391"/>
      <c r="DC109" s="392"/>
      <c r="DD109" s="287"/>
      <c r="DE109" s="391"/>
      <c r="DF109" s="391"/>
      <c r="DG109" s="391"/>
      <c r="DH109" s="391"/>
      <c r="DI109" s="392"/>
      <c r="DJ109" s="287"/>
      <c r="DK109" s="391"/>
      <c r="DL109" s="391"/>
      <c r="DM109" s="391"/>
      <c r="DN109" s="391"/>
      <c r="DO109" s="392"/>
      <c r="DP109" s="287"/>
      <c r="DQ109" s="459"/>
      <c r="DR109" s="460"/>
      <c r="DS109" s="287"/>
      <c r="DT109" s="287"/>
      <c r="DU109" s="287"/>
      <c r="DV109" s="287"/>
      <c r="DW109" s="287"/>
      <c r="DX109" s="287"/>
      <c r="DY109" s="287"/>
      <c r="DZ109" s="287"/>
      <c r="EA109" s="287"/>
      <c r="EB109" s="287"/>
      <c r="EC109" s="287"/>
      <c r="ED109" s="287"/>
      <c r="EE109" s="287"/>
      <c r="EF109" s="287"/>
      <c r="EG109" s="287"/>
      <c r="EH109" s="287"/>
      <c r="EI109" s="287"/>
      <c r="EJ109" s="287"/>
      <c r="EK109" s="287"/>
      <c r="EL109" s="287"/>
      <c r="EM109" s="287"/>
      <c r="EN109" s="287"/>
      <c r="EO109" s="287"/>
      <c r="EP109" s="287"/>
      <c r="EQ109" s="287"/>
      <c r="ER109" s="287"/>
      <c r="ES109" s="287"/>
      <c r="ET109" s="287"/>
      <c r="EU109" s="287"/>
      <c r="EV109" s="287"/>
      <c r="EW109" s="287"/>
      <c r="EX109" s="287"/>
      <c r="EY109" s="287"/>
      <c r="EZ109" s="287"/>
      <c r="FA109" s="287"/>
      <c r="FB109" s="287"/>
      <c r="FC109" s="287"/>
      <c r="FD109" s="287"/>
      <c r="FE109" s="287"/>
      <c r="FF109" s="287"/>
      <c r="FG109" s="287"/>
      <c r="FH109" s="287"/>
      <c r="FI109" s="287"/>
      <c r="FJ109" s="287"/>
      <c r="FK109" s="287"/>
      <c r="FL109" s="287"/>
      <c r="FM109" s="287"/>
      <c r="FN109" s="287"/>
      <c r="FO109" s="287"/>
      <c r="FP109" s="287"/>
      <c r="FQ109" s="287"/>
      <c r="FR109" s="287"/>
      <c r="FS109" s="287"/>
      <c r="FT109" s="287"/>
      <c r="FU109" s="287"/>
      <c r="FV109" s="287"/>
      <c r="FW109" s="287"/>
      <c r="FX109" s="287"/>
      <c r="FY109" s="287"/>
      <c r="FZ109" s="287"/>
      <c r="GA109" s="287"/>
      <c r="GB109" s="287"/>
      <c r="GC109" s="287"/>
      <c r="GD109" s="287"/>
      <c r="GE109" s="287"/>
      <c r="GF109" s="287"/>
      <c r="GG109" s="287"/>
      <c r="GH109" s="287"/>
      <c r="GI109" s="287"/>
      <c r="GJ109" s="287"/>
      <c r="GK109" s="287"/>
      <c r="GL109" s="287"/>
      <c r="GM109" s="287"/>
    </row>
    <row r="110">
      <c r="B110" s="397" t="s">
        <v>563</v>
      </c>
      <c r="C110" s="389"/>
      <c r="D110" s="389"/>
      <c r="E110" s="389"/>
      <c r="F110" s="389"/>
      <c r="G110" s="389"/>
      <c r="H110" s="389"/>
      <c r="I110" s="389"/>
      <c r="J110" s="389"/>
      <c r="K110" s="389"/>
      <c r="L110" s="389"/>
      <c r="M110" s="389"/>
      <c r="N110" s="389"/>
      <c r="O110" s="389"/>
      <c r="P110" s="389"/>
      <c r="Q110" s="389"/>
      <c r="R110" s="389"/>
      <c r="S110" s="389"/>
      <c r="T110" s="389"/>
      <c r="U110" s="389"/>
      <c r="V110" s="389"/>
      <c r="W110" s="389"/>
      <c r="X110" s="389"/>
      <c r="Y110" s="389"/>
      <c r="Z110" s="389"/>
      <c r="AA110" s="287">
        <f t="shared" ref="AA110:CH110" si="257">AA69+AA28</f>
        <v>742993</v>
      </c>
      <c r="AB110" s="287">
        <f t="shared" si="257"/>
        <v>895598</v>
      </c>
      <c r="AC110" s="287">
        <f t="shared" si="257"/>
        <v>962303</v>
      </c>
      <c r="AD110" s="287">
        <f t="shared" si="257"/>
        <v>968591</v>
      </c>
      <c r="AE110" s="287">
        <f t="shared" si="257"/>
        <v>972534</v>
      </c>
      <c r="AF110" s="287">
        <f t="shared" si="257"/>
        <v>986706</v>
      </c>
      <c r="AG110" s="287">
        <f t="shared" si="257"/>
        <v>1051189</v>
      </c>
      <c r="AH110" s="287">
        <f t="shared" si="257"/>
        <v>1013407</v>
      </c>
      <c r="AI110" s="287">
        <f t="shared" si="257"/>
        <v>1142580</v>
      </c>
      <c r="AJ110" s="287">
        <f t="shared" si="257"/>
        <v>1287281</v>
      </c>
      <c r="AK110" s="287">
        <f t="shared" si="257"/>
        <v>1289504</v>
      </c>
      <c r="AL110" s="287">
        <f t="shared" si="257"/>
        <v>1303013</v>
      </c>
      <c r="AM110" s="287">
        <f t="shared" si="257"/>
        <v>1579293.74</v>
      </c>
      <c r="AN110" s="287">
        <f t="shared" si="257"/>
        <v>1411537.44</v>
      </c>
      <c r="AO110" s="287">
        <f t="shared" si="257"/>
        <v>1459267.64</v>
      </c>
      <c r="AP110" s="287">
        <f t="shared" si="257"/>
        <v>1819206.62</v>
      </c>
      <c r="AQ110" s="287">
        <f t="shared" si="257"/>
        <v>1572067.46</v>
      </c>
      <c r="AR110" s="287">
        <f t="shared" si="257"/>
        <v>1568659.64</v>
      </c>
      <c r="AS110" s="287">
        <f t="shared" si="257"/>
        <v>1852782.72</v>
      </c>
      <c r="AT110" s="287">
        <f t="shared" si="257"/>
        <v>1967951.56</v>
      </c>
      <c r="AU110" s="287">
        <f t="shared" si="257"/>
        <v>1734224.37</v>
      </c>
      <c r="AV110" s="287">
        <f t="shared" si="257"/>
        <v>1738035.06</v>
      </c>
      <c r="AW110" s="287">
        <f t="shared" si="257"/>
        <v>1751213.35</v>
      </c>
      <c r="AX110" s="287">
        <f t="shared" si="257"/>
        <v>1703250.55</v>
      </c>
      <c r="AY110" s="287">
        <f t="shared" si="257"/>
        <v>2102015.14</v>
      </c>
      <c r="AZ110" s="287">
        <f t="shared" si="257"/>
        <v>1752584.05</v>
      </c>
      <c r="BA110" s="287">
        <f t="shared" si="257"/>
        <v>1889159.65</v>
      </c>
      <c r="BB110" s="287">
        <f t="shared" si="257"/>
        <v>2174993.99</v>
      </c>
      <c r="BC110" s="287">
        <f t="shared" si="257"/>
        <v>2003616.95</v>
      </c>
      <c r="BD110" s="287">
        <f t="shared" si="257"/>
        <v>2038679.52</v>
      </c>
      <c r="BE110" s="287">
        <f t="shared" si="257"/>
        <v>1871737.05</v>
      </c>
      <c r="BF110" s="287">
        <f t="shared" si="257"/>
        <v>2360478.47</v>
      </c>
      <c r="BG110" s="287">
        <f t="shared" si="257"/>
        <v>2023367.39</v>
      </c>
      <c r="BH110" s="287">
        <f t="shared" si="257"/>
        <v>2116313</v>
      </c>
      <c r="BI110" s="287">
        <f t="shared" si="257"/>
        <v>2053283.17</v>
      </c>
      <c r="BJ110" s="287">
        <f t="shared" si="257"/>
        <v>2258038.46</v>
      </c>
      <c r="BK110" s="287">
        <f t="shared" si="257"/>
        <v>2469725.37</v>
      </c>
      <c r="BL110" s="287">
        <f t="shared" si="257"/>
        <v>2051982.75</v>
      </c>
      <c r="BM110" s="287">
        <f t="shared" si="257"/>
        <v>2129410.07</v>
      </c>
      <c r="BN110" s="287">
        <f t="shared" si="257"/>
        <v>2462327.03</v>
      </c>
      <c r="BO110" s="287">
        <f t="shared" si="257"/>
        <v>2610934.05</v>
      </c>
      <c r="BP110" s="287">
        <f t="shared" si="257"/>
        <v>2500297.1</v>
      </c>
      <c r="BQ110" s="287">
        <f t="shared" si="257"/>
        <v>2577706.22</v>
      </c>
      <c r="BR110" s="287">
        <f t="shared" si="257"/>
        <v>2808078.91</v>
      </c>
      <c r="BS110" s="287">
        <f t="shared" si="257"/>
        <v>3193898.62</v>
      </c>
      <c r="BT110" s="287">
        <f t="shared" si="257"/>
        <v>3341636.03</v>
      </c>
      <c r="BU110" s="287">
        <f t="shared" si="257"/>
        <v>2976553.37</v>
      </c>
      <c r="BV110" s="287">
        <f t="shared" si="257"/>
        <v>2523326.26</v>
      </c>
      <c r="BW110" s="494">
        <f t="shared" si="257"/>
        <v>3593039.54</v>
      </c>
      <c r="BX110" s="494">
        <f t="shared" si="257"/>
        <v>3443191.02</v>
      </c>
      <c r="BY110" s="494">
        <f t="shared" si="257"/>
        <v>3728746.05</v>
      </c>
      <c r="BZ110" s="494">
        <f t="shared" si="257"/>
        <v>3623478.8</v>
      </c>
      <c r="CA110" s="494">
        <f t="shared" si="257"/>
        <v>3794832.47</v>
      </c>
      <c r="CB110" s="494">
        <f t="shared" si="257"/>
        <v>4144896.34</v>
      </c>
      <c r="CC110" s="494">
        <f t="shared" si="257"/>
        <v>0</v>
      </c>
      <c r="CD110" s="494">
        <f t="shared" si="257"/>
        <v>0</v>
      </c>
      <c r="CE110" s="494">
        <f t="shared" si="257"/>
        <v>0</v>
      </c>
      <c r="CF110" s="494">
        <f t="shared" si="257"/>
        <v>0</v>
      </c>
      <c r="CG110" s="494">
        <f t="shared" si="257"/>
        <v>0</v>
      </c>
      <c r="CH110" s="494">
        <f t="shared" si="257"/>
        <v>0</v>
      </c>
      <c r="CI110" s="450"/>
      <c r="CJ110" s="450"/>
      <c r="CK110" s="486">
        <f>CK69+CK28</f>
        <v>39749383.63</v>
      </c>
      <c r="CL110" s="287"/>
      <c r="CM110" s="391">
        <f t="shared" ref="CM110:CQ110" si="258">CM69+CM28</f>
        <v>10764976.61</v>
      </c>
      <c r="CN110" s="391">
        <f t="shared" si="258"/>
        <v>11563207.61</v>
      </c>
      <c r="CO110" s="391">
        <f t="shared" si="258"/>
        <v>0</v>
      </c>
      <c r="CP110" s="391">
        <f t="shared" si="258"/>
        <v>0</v>
      </c>
      <c r="CQ110" s="486">
        <f t="shared" si="258"/>
        <v>22328184.22</v>
      </c>
      <c r="CR110" s="391"/>
      <c r="CS110" s="391">
        <f t="shared" ref="CS110:CW110" si="259">CS69+CS28</f>
        <v>6651118.19</v>
      </c>
      <c r="CT110" s="391">
        <f t="shared" si="259"/>
        <v>7573558.18</v>
      </c>
      <c r="CU110" s="391">
        <f t="shared" si="259"/>
        <v>8579683.75</v>
      </c>
      <c r="CV110" s="391">
        <f t="shared" si="259"/>
        <v>8841515.66</v>
      </c>
      <c r="CW110" s="392">
        <f t="shared" si="259"/>
        <v>31645875.78</v>
      </c>
      <c r="CX110" s="287"/>
      <c r="CY110" s="391">
        <f t="shared" ref="CY110:DC110" si="260">CY69+CY28</f>
        <v>5743758.84</v>
      </c>
      <c r="CZ110" s="391">
        <f t="shared" si="260"/>
        <v>6217290.46</v>
      </c>
      <c r="DA110" s="391">
        <f t="shared" si="260"/>
        <v>6255582.91</v>
      </c>
      <c r="DB110" s="391">
        <f t="shared" si="260"/>
        <v>6427634.63</v>
      </c>
      <c r="DC110" s="392">
        <f t="shared" si="260"/>
        <v>24644266.84</v>
      </c>
      <c r="DD110" s="287"/>
      <c r="DE110" s="391">
        <f t="shared" ref="DE110:DI110" si="261">DE69+DE28</f>
        <v>4450098.82</v>
      </c>
      <c r="DF110" s="391">
        <f t="shared" si="261"/>
        <v>4959933.72</v>
      </c>
      <c r="DG110" s="391">
        <f t="shared" si="261"/>
        <v>5554958.65</v>
      </c>
      <c r="DH110" s="391">
        <f t="shared" si="261"/>
        <v>5192498.96</v>
      </c>
      <c r="DI110" s="392">
        <f t="shared" si="261"/>
        <v>20157490.15</v>
      </c>
      <c r="DJ110" s="287"/>
      <c r="DK110" s="391">
        <f t="shared" ref="DK110:DO110" si="262">DK69+DK28</f>
        <v>2600894</v>
      </c>
      <c r="DL110" s="391">
        <f t="shared" si="262"/>
        <v>2927831</v>
      </c>
      <c r="DM110" s="391">
        <f t="shared" si="262"/>
        <v>3207176</v>
      </c>
      <c r="DN110" s="391">
        <f t="shared" si="262"/>
        <v>3879798</v>
      </c>
      <c r="DO110" s="392">
        <f t="shared" si="262"/>
        <v>12615699</v>
      </c>
      <c r="DP110" s="287"/>
      <c r="DQ110" s="459"/>
      <c r="DR110" s="460"/>
      <c r="DS110" s="287"/>
      <c r="DT110" s="287"/>
      <c r="DU110" s="287"/>
      <c r="DV110" s="287"/>
      <c r="DW110" s="287"/>
      <c r="DX110" s="287"/>
      <c r="DY110" s="287"/>
      <c r="DZ110" s="287"/>
      <c r="EA110" s="287"/>
      <c r="EB110" s="287"/>
      <c r="EC110" s="287"/>
      <c r="ED110" s="287"/>
      <c r="EE110" s="287"/>
      <c r="EF110" s="287"/>
      <c r="EG110" s="287"/>
      <c r="EH110" s="287"/>
      <c r="EI110" s="287"/>
      <c r="EJ110" s="287"/>
      <c r="EK110" s="287"/>
      <c r="EL110" s="287"/>
      <c r="EM110" s="287"/>
      <c r="EN110" s="287"/>
      <c r="EO110" s="287"/>
      <c r="EP110" s="287"/>
      <c r="EQ110" s="287"/>
      <c r="ER110" s="287"/>
      <c r="ES110" s="287"/>
      <c r="ET110" s="287"/>
      <c r="EU110" s="287"/>
      <c r="EV110" s="287"/>
      <c r="EW110" s="287"/>
      <c r="EX110" s="287"/>
      <c r="EY110" s="287"/>
      <c r="EZ110" s="287"/>
      <c r="FA110" s="287"/>
      <c r="FB110" s="287"/>
      <c r="FC110" s="287"/>
      <c r="FD110" s="287"/>
      <c r="FE110" s="287"/>
      <c r="FF110" s="287"/>
      <c r="FG110" s="287"/>
      <c r="FH110" s="287"/>
      <c r="FI110" s="287"/>
      <c r="FJ110" s="287"/>
      <c r="FK110" s="287"/>
      <c r="FL110" s="287"/>
      <c r="FM110" s="287"/>
      <c r="FN110" s="287"/>
      <c r="FO110" s="287"/>
      <c r="FP110" s="287"/>
      <c r="FQ110" s="287"/>
      <c r="FR110" s="287"/>
      <c r="FS110" s="287"/>
      <c r="FT110" s="287"/>
      <c r="FU110" s="287"/>
      <c r="FV110" s="287"/>
      <c r="FW110" s="287"/>
      <c r="FX110" s="287"/>
      <c r="FY110" s="287"/>
      <c r="FZ110" s="287"/>
      <c r="GA110" s="287"/>
      <c r="GB110" s="287"/>
      <c r="GC110" s="287"/>
      <c r="GD110" s="287"/>
      <c r="GE110" s="287"/>
      <c r="GF110" s="287"/>
      <c r="GG110" s="287"/>
      <c r="GH110" s="287"/>
      <c r="GI110" s="287"/>
      <c r="GJ110" s="287"/>
      <c r="GK110" s="287"/>
      <c r="GL110" s="287"/>
      <c r="GM110" s="287"/>
    </row>
    <row r="111">
      <c r="B111" s="397" t="s">
        <v>564</v>
      </c>
      <c r="C111" s="389"/>
      <c r="D111" s="389"/>
      <c r="E111" s="389"/>
      <c r="F111" s="389"/>
      <c r="G111" s="389"/>
      <c r="H111" s="389"/>
      <c r="I111" s="389"/>
      <c r="J111" s="389"/>
      <c r="K111" s="389"/>
      <c r="L111" s="389"/>
      <c r="M111" s="389"/>
      <c r="N111" s="389"/>
      <c r="O111" s="389"/>
      <c r="P111" s="389"/>
      <c r="Q111" s="389"/>
      <c r="R111" s="389"/>
      <c r="S111" s="389"/>
      <c r="T111" s="389"/>
      <c r="U111" s="389"/>
      <c r="V111" s="389"/>
      <c r="W111" s="389"/>
      <c r="X111" s="389"/>
      <c r="Y111" s="389"/>
      <c r="Z111" s="389"/>
      <c r="AA111" s="389"/>
      <c r="AB111" s="389"/>
      <c r="AC111" s="389"/>
      <c r="AD111" s="389"/>
      <c r="AE111" s="389"/>
      <c r="AF111" s="389"/>
      <c r="AG111" s="389"/>
      <c r="AH111" s="389"/>
      <c r="AI111" s="389"/>
      <c r="AJ111" s="389"/>
      <c r="AK111" s="389"/>
      <c r="AL111" s="389"/>
      <c r="AM111" s="389"/>
      <c r="AN111" s="389"/>
      <c r="AO111" s="389"/>
      <c r="AP111" s="389"/>
      <c r="AQ111" s="389"/>
      <c r="AR111" s="389"/>
      <c r="AS111" s="389"/>
      <c r="AT111" s="389"/>
      <c r="AU111" s="389"/>
      <c r="AV111" s="389"/>
      <c r="AW111" s="389"/>
      <c r="AX111" s="389"/>
      <c r="AY111" s="389"/>
      <c r="AZ111" s="389"/>
      <c r="BA111" s="389"/>
      <c r="BB111" s="389"/>
      <c r="BC111" s="389"/>
      <c r="BD111" s="389"/>
      <c r="BE111" s="389"/>
      <c r="BF111" s="389"/>
      <c r="BG111" s="389"/>
      <c r="BH111" s="389"/>
      <c r="BI111" s="389"/>
      <c r="BJ111" s="389"/>
      <c r="BK111" s="389"/>
      <c r="BL111" s="389"/>
      <c r="BM111" s="389"/>
      <c r="BN111" s="389"/>
      <c r="BO111" s="287"/>
      <c r="BP111" s="389"/>
      <c r="BQ111" s="389"/>
      <c r="BR111" s="389"/>
      <c r="BS111" s="389"/>
      <c r="BT111" s="389"/>
      <c r="BU111" s="389"/>
      <c r="BV111" s="389"/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8"/>
      <c r="CH111" s="58"/>
      <c r="CK111" s="476"/>
      <c r="CL111" s="389"/>
      <c r="CM111" s="389">
        <f t="shared" ref="CM111:CQ111" si="263">IFERROR(CM110/CM13,0)</f>
        <v>0.8561134478</v>
      </c>
      <c r="CN111" s="389">
        <f t="shared" si="263"/>
        <v>0.8474657654</v>
      </c>
      <c r="CO111" s="389">
        <f t="shared" si="263"/>
        <v>0</v>
      </c>
      <c r="CP111" s="389">
        <f t="shared" si="263"/>
        <v>0</v>
      </c>
      <c r="CQ111" s="476">
        <f t="shared" si="263"/>
        <v>0.851613113</v>
      </c>
      <c r="CR111" s="389"/>
      <c r="CS111" s="389">
        <f t="shared" ref="CS111:CV111" si="264">IFERROR(CS110/CS13,0)</f>
        <v>0.8959410979</v>
      </c>
      <c r="CT111" s="389">
        <f t="shared" si="264"/>
        <v>0.9416691876</v>
      </c>
      <c r="CU111" s="389">
        <f t="shared" si="264"/>
        <v>0.9032454177</v>
      </c>
      <c r="CV111" s="389">
        <f t="shared" si="264"/>
        <v>0.8074235851</v>
      </c>
      <c r="CW111" s="390"/>
      <c r="CX111" s="389"/>
      <c r="CY111" s="389">
        <f t="shared" ref="CY111:DB111" si="265">IFERROR(CY110/CY13,0)</f>
        <v>1.051285355</v>
      </c>
      <c r="CZ111" s="389">
        <f t="shared" si="265"/>
        <v>1.081119259</v>
      </c>
      <c r="DA111" s="389">
        <f t="shared" si="265"/>
        <v>0.9755274601</v>
      </c>
      <c r="DB111" s="389">
        <f t="shared" si="265"/>
        <v>0.8317245194</v>
      </c>
      <c r="DC111" s="390"/>
      <c r="DD111" s="389"/>
      <c r="DE111" s="389">
        <f t="shared" ref="DE111:DH111" si="266">IFERROR(DE110/DE13,0)</f>
        <v>0.705990269</v>
      </c>
      <c r="DF111" s="389">
        <f t="shared" si="266"/>
        <v>0.8878353158</v>
      </c>
      <c r="DG111" s="389">
        <f t="shared" si="266"/>
        <v>1.068509707</v>
      </c>
      <c r="DH111" s="389">
        <f t="shared" si="266"/>
        <v>1.018986406</v>
      </c>
      <c r="DI111" s="390"/>
      <c r="DJ111" s="389"/>
      <c r="DK111" s="389"/>
      <c r="DL111" s="389"/>
      <c r="DM111" s="389"/>
      <c r="DN111" s="389"/>
      <c r="DO111" s="390"/>
      <c r="DP111" s="389"/>
      <c r="DQ111" s="390"/>
      <c r="DR111" s="284"/>
      <c r="DS111" s="389"/>
      <c r="DT111" s="389"/>
      <c r="DU111" s="389"/>
      <c r="DV111" s="389"/>
      <c r="DW111" s="389"/>
      <c r="DX111" s="389"/>
      <c r="DY111" s="389"/>
      <c r="DZ111" s="389"/>
      <c r="EA111" s="389"/>
      <c r="EB111" s="389"/>
      <c r="EC111" s="389"/>
      <c r="ED111" s="389"/>
      <c r="EE111" s="389"/>
      <c r="EF111" s="389"/>
      <c r="EG111" s="389"/>
      <c r="EH111" s="389"/>
      <c r="EI111" s="389"/>
      <c r="EJ111" s="389"/>
      <c r="EK111" s="389"/>
      <c r="EL111" s="389"/>
      <c r="EM111" s="389"/>
      <c r="EN111" s="389"/>
      <c r="EO111" s="389"/>
      <c r="EP111" s="389"/>
      <c r="EQ111" s="389"/>
      <c r="ER111" s="389"/>
      <c r="ES111" s="389"/>
      <c r="ET111" s="389"/>
      <c r="EU111" s="389"/>
      <c r="EV111" s="389"/>
      <c r="EW111" s="389"/>
      <c r="EX111" s="389"/>
      <c r="EY111" s="389"/>
      <c r="EZ111" s="389"/>
      <c r="FA111" s="389"/>
      <c r="FB111" s="137"/>
      <c r="FC111" s="389"/>
      <c r="FD111" s="389"/>
      <c r="FE111" s="389"/>
      <c r="FF111" s="389"/>
      <c r="FG111" s="389"/>
      <c r="FH111" s="389"/>
      <c r="FI111" s="389"/>
      <c r="FJ111" s="389"/>
      <c r="FK111" s="389"/>
      <c r="FL111" s="389"/>
      <c r="FM111" s="389"/>
      <c r="FN111" s="389"/>
      <c r="FO111" s="389"/>
      <c r="FP111" s="389"/>
      <c r="FQ111" s="389"/>
      <c r="FR111" s="389"/>
      <c r="FS111" s="389"/>
      <c r="FT111" s="389"/>
      <c r="FU111" s="389"/>
      <c r="FV111" s="389"/>
      <c r="FW111" s="389"/>
      <c r="FX111" s="389"/>
      <c r="FY111" s="389"/>
      <c r="FZ111" s="389"/>
      <c r="GA111" s="389"/>
      <c r="GB111" s="389"/>
      <c r="GC111" s="389"/>
      <c r="GD111" s="389"/>
      <c r="GE111" s="389"/>
      <c r="GF111" s="389"/>
      <c r="GG111" s="389"/>
      <c r="GH111" s="389"/>
      <c r="GI111" s="389"/>
      <c r="GJ111" s="389"/>
      <c r="GK111" s="389"/>
      <c r="GL111" s="389"/>
      <c r="GM111" s="389"/>
    </row>
    <row r="112">
      <c r="B112" s="455" t="s">
        <v>268</v>
      </c>
      <c r="C112" s="389"/>
      <c r="D112" s="389"/>
      <c r="E112" s="389"/>
      <c r="F112" s="389"/>
      <c r="G112" s="389"/>
      <c r="H112" s="389"/>
      <c r="I112" s="389"/>
      <c r="J112" s="389"/>
      <c r="K112" s="389"/>
      <c r="L112" s="389"/>
      <c r="M112" s="389"/>
      <c r="N112" s="389"/>
      <c r="O112" s="389"/>
      <c r="P112" s="389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  <c r="AA112" s="389"/>
      <c r="AB112" s="389"/>
      <c r="AC112" s="389"/>
      <c r="AD112" s="389"/>
      <c r="AE112" s="389"/>
      <c r="AF112" s="389"/>
      <c r="AG112" s="389"/>
      <c r="AH112" s="389"/>
      <c r="AI112" s="389"/>
      <c r="AJ112" s="389"/>
      <c r="AK112" s="389"/>
      <c r="AL112" s="389"/>
      <c r="AM112" s="389"/>
      <c r="AN112" s="389"/>
      <c r="AO112" s="389"/>
      <c r="AP112" s="389"/>
      <c r="AQ112" s="389"/>
      <c r="AR112" s="389"/>
      <c r="AS112" s="389"/>
      <c r="AT112" s="389"/>
      <c r="AU112" s="389"/>
      <c r="AV112" s="389"/>
      <c r="AW112" s="389"/>
      <c r="AX112" s="389"/>
      <c r="AY112" s="389"/>
      <c r="AZ112" s="389"/>
      <c r="BA112" s="389"/>
      <c r="BB112" s="389"/>
      <c r="BC112" s="389"/>
      <c r="BD112" s="389"/>
      <c r="BE112" s="389"/>
      <c r="BF112" s="389"/>
      <c r="BG112" s="389"/>
      <c r="BH112" s="389"/>
      <c r="BI112" s="389"/>
      <c r="BJ112" s="389"/>
      <c r="BK112" s="389"/>
      <c r="BL112" s="389"/>
      <c r="BM112" s="389"/>
      <c r="BN112" s="389"/>
      <c r="BO112" s="389"/>
      <c r="BP112" s="389"/>
      <c r="BQ112" s="389"/>
      <c r="BR112" s="389"/>
      <c r="BS112" s="389"/>
      <c r="BT112" s="389"/>
      <c r="BU112" s="389"/>
      <c r="BV112" s="389"/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8"/>
      <c r="CH112" s="58"/>
      <c r="CK112" s="476"/>
      <c r="CL112" s="389"/>
      <c r="CM112" s="389" t="str">
        <f t="shared" ref="CM112:CP112" si="267">IF(CM110=0,"", TEXT(CM110,"0,000")&amp;" "&amp;"("&amp;TEXT((CM110-CS110)/CS110,"0%")&amp;" YoY)")</f>
        <v>10,764,977 (62% YoY)</v>
      </c>
      <c r="CN112" s="389" t="str">
        <f t="shared" si="267"/>
        <v>11,563,208 (53% YoY)</v>
      </c>
      <c r="CO112" s="389" t="str">
        <f t="shared" si="267"/>
        <v/>
      </c>
      <c r="CP112" s="389" t="str">
        <f t="shared" si="267"/>
        <v/>
      </c>
      <c r="CQ112" s="476"/>
      <c r="CR112" s="389"/>
      <c r="CS112" s="389" t="str">
        <f t="shared" ref="CS112:CV112" si="268">IF(CS110=0,"", TEXT(CS110,"0,000")&amp;" "&amp;"("&amp;TEXT((CS110-CY110)/CY110,"0%")&amp;" YoY)")</f>
        <v>6,651,118 (16% YoY)</v>
      </c>
      <c r="CT112" s="389" t="str">
        <f t="shared" si="268"/>
        <v>7,573,558 (22% YoY)</v>
      </c>
      <c r="CU112" s="389" t="str">
        <f t="shared" si="268"/>
        <v>8,579,684 (37% YoY)</v>
      </c>
      <c r="CV112" s="389" t="str">
        <f t="shared" si="268"/>
        <v>8,841,516 (38% YoY)</v>
      </c>
      <c r="CW112" s="390"/>
      <c r="CX112" s="389"/>
      <c r="CY112" s="389" t="str">
        <f t="shared" ref="CY112:DB112" si="269">IF(CY110=0,"", TEXT(CY110,"0,000")&amp;" "&amp;"("&amp;TEXT((CY110-DE110)/DE110,"0%")&amp;" YoY)")</f>
        <v>5,743,759 (29% YoY)</v>
      </c>
      <c r="CZ112" s="389" t="str">
        <f t="shared" si="269"/>
        <v>6,217,290 (25% YoY)</v>
      </c>
      <c r="DA112" s="389" t="str">
        <f t="shared" si="269"/>
        <v>6,255,583 (13% YoY)</v>
      </c>
      <c r="DB112" s="389" t="str">
        <f t="shared" si="269"/>
        <v>6,427,635 (24% YoY)</v>
      </c>
      <c r="DC112" s="390"/>
      <c r="DD112" s="389"/>
      <c r="DE112" s="389" t="str">
        <f t="shared" ref="DE112:DH112" si="270">IF(DE110=0,"", TEXT(DE110,"0,000")&amp;" "&amp;"("&amp;TEXT((DE110-DK110)/DK110,"0%")&amp;" YoY)")</f>
        <v>4,450,099 (71% YoY)</v>
      </c>
      <c r="DF112" s="389" t="str">
        <f t="shared" si="270"/>
        <v>4,959,934 (69% YoY)</v>
      </c>
      <c r="DG112" s="389" t="str">
        <f t="shared" si="270"/>
        <v>5,554,959 (73% YoY)</v>
      </c>
      <c r="DH112" s="389" t="str">
        <f t="shared" si="270"/>
        <v>5,192,499 (34% YoY)</v>
      </c>
      <c r="DI112" s="390"/>
      <c r="DJ112" s="389"/>
      <c r="DK112" s="389"/>
      <c r="DL112" s="389"/>
      <c r="DM112" s="389"/>
      <c r="DN112" s="389"/>
      <c r="DO112" s="390"/>
      <c r="DP112" s="389"/>
      <c r="DQ112" s="390"/>
      <c r="DR112" s="284"/>
      <c r="DS112" s="389"/>
      <c r="DT112" s="389"/>
      <c r="DU112" s="389"/>
      <c r="DV112" s="389"/>
      <c r="DW112" s="389"/>
      <c r="DX112" s="389"/>
      <c r="DY112" s="389"/>
      <c r="DZ112" s="389"/>
      <c r="EA112" s="389"/>
      <c r="EB112" s="389"/>
      <c r="EC112" s="389"/>
      <c r="ED112" s="389"/>
      <c r="EE112" s="389"/>
      <c r="EF112" s="389"/>
      <c r="EG112" s="389"/>
      <c r="EH112" s="389"/>
      <c r="EI112" s="389"/>
      <c r="EJ112" s="389"/>
      <c r="EK112" s="389"/>
      <c r="EL112" s="389"/>
      <c r="EM112" s="389"/>
      <c r="EN112" s="389"/>
      <c r="EO112" s="389"/>
      <c r="EP112" s="389"/>
      <c r="EQ112" s="389"/>
      <c r="ER112" s="389"/>
      <c r="ES112" s="389"/>
      <c r="ET112" s="389"/>
      <c r="EU112" s="389"/>
      <c r="EV112" s="389"/>
      <c r="EW112" s="389"/>
      <c r="EX112" s="389"/>
      <c r="EY112" s="389"/>
      <c r="EZ112" s="389"/>
      <c r="FA112" s="389"/>
      <c r="FB112" s="137"/>
      <c r="FC112" s="389"/>
      <c r="FD112" s="389"/>
      <c r="FE112" s="389"/>
      <c r="FF112" s="389"/>
      <c r="FG112" s="389"/>
      <c r="FH112" s="389"/>
      <c r="FI112" s="389"/>
      <c r="FJ112" s="389"/>
      <c r="FK112" s="389"/>
      <c r="FL112" s="389"/>
      <c r="FM112" s="389"/>
      <c r="FN112" s="389"/>
      <c r="FO112" s="389"/>
      <c r="FP112" s="389"/>
      <c r="FQ112" s="389"/>
      <c r="FR112" s="389"/>
      <c r="FS112" s="389"/>
      <c r="FT112" s="389"/>
      <c r="FU112" s="389"/>
      <c r="FV112" s="389"/>
      <c r="FW112" s="389"/>
      <c r="FX112" s="389"/>
      <c r="FY112" s="389"/>
      <c r="FZ112" s="389"/>
      <c r="GA112" s="389"/>
      <c r="GB112" s="389"/>
      <c r="GC112" s="389"/>
      <c r="GD112" s="389"/>
      <c r="GE112" s="389"/>
      <c r="GF112" s="389"/>
      <c r="GG112" s="389"/>
      <c r="GH112" s="389"/>
      <c r="GI112" s="389"/>
      <c r="GJ112" s="389"/>
      <c r="GK112" s="389"/>
      <c r="GL112" s="389"/>
      <c r="GM112" s="389"/>
    </row>
    <row r="113">
      <c r="B113" s="383"/>
      <c r="C113" s="384"/>
      <c r="D113" s="384"/>
      <c r="E113" s="384"/>
      <c r="F113" s="384"/>
      <c r="G113" s="384"/>
      <c r="H113" s="384"/>
      <c r="I113" s="384"/>
      <c r="J113" s="384"/>
      <c r="K113" s="384"/>
      <c r="L113" s="384"/>
      <c r="M113" s="384"/>
      <c r="N113" s="384"/>
      <c r="O113" s="384"/>
      <c r="P113" s="384"/>
      <c r="Q113" s="384"/>
      <c r="R113" s="384"/>
      <c r="S113" s="384"/>
      <c r="T113" s="384"/>
      <c r="U113" s="384"/>
      <c r="V113" s="384"/>
      <c r="W113" s="384"/>
      <c r="X113" s="384"/>
      <c r="Y113" s="384"/>
      <c r="Z113" s="384"/>
      <c r="AA113" s="384"/>
      <c r="AB113" s="384"/>
      <c r="AC113" s="384"/>
      <c r="AD113" s="384"/>
      <c r="AE113" s="384"/>
      <c r="AF113" s="384"/>
      <c r="AG113" s="384"/>
      <c r="AH113" s="384"/>
      <c r="AI113" s="384"/>
      <c r="AJ113" s="384"/>
      <c r="AK113" s="384"/>
      <c r="AL113" s="384"/>
      <c r="AM113" s="384"/>
      <c r="AN113" s="384"/>
      <c r="AO113" s="384"/>
      <c r="AP113" s="384"/>
      <c r="AQ113" s="384"/>
      <c r="AR113" s="384"/>
      <c r="AS113" s="384"/>
      <c r="AT113" s="384"/>
      <c r="AU113" s="384"/>
      <c r="AV113" s="384"/>
      <c r="AW113" s="384"/>
      <c r="AX113" s="384"/>
      <c r="AY113" s="384"/>
      <c r="AZ113" s="384"/>
      <c r="BA113" s="384"/>
      <c r="BB113" s="384"/>
      <c r="BC113" s="384"/>
      <c r="BD113" s="384"/>
      <c r="BE113" s="384"/>
      <c r="BF113" s="384"/>
      <c r="BG113" s="384"/>
      <c r="BH113" s="384"/>
      <c r="BI113" s="384"/>
      <c r="BJ113" s="384"/>
      <c r="BK113" s="384"/>
      <c r="BL113" s="384"/>
      <c r="BM113" s="384"/>
      <c r="BN113" s="384"/>
      <c r="BO113" s="384"/>
      <c r="BP113" s="384"/>
      <c r="BQ113" s="384"/>
      <c r="BR113" s="384"/>
      <c r="BS113" s="384"/>
      <c r="BT113" s="384"/>
      <c r="BU113" s="384"/>
      <c r="BV113" s="384"/>
      <c r="BW113" s="479"/>
      <c r="BX113" s="479"/>
      <c r="BY113" s="479"/>
      <c r="BZ113" s="479"/>
      <c r="CA113" s="479"/>
      <c r="CB113" s="479"/>
      <c r="CC113" s="479"/>
      <c r="CD113" s="479"/>
      <c r="CE113" s="479"/>
      <c r="CF113" s="479"/>
      <c r="CG113" s="479"/>
      <c r="CH113" s="479"/>
      <c r="CK113" s="485"/>
      <c r="CL113" s="389"/>
      <c r="CM113" s="384"/>
      <c r="CN113" s="384"/>
      <c r="CO113" s="384"/>
      <c r="CP113" s="384"/>
      <c r="CQ113" s="485"/>
      <c r="CR113" s="384"/>
      <c r="CS113" s="384"/>
      <c r="CT113" s="384"/>
      <c r="CU113" s="384"/>
      <c r="CV113" s="384"/>
      <c r="CW113" s="388"/>
      <c r="CX113" s="389"/>
      <c r="CY113" s="384"/>
      <c r="CZ113" s="384"/>
      <c r="DA113" s="384"/>
      <c r="DB113" s="384"/>
      <c r="DC113" s="388"/>
      <c r="DD113" s="389"/>
      <c r="DE113" s="384"/>
      <c r="DF113" s="384"/>
      <c r="DG113" s="384"/>
      <c r="DH113" s="384"/>
      <c r="DI113" s="388"/>
      <c r="DJ113" s="389"/>
      <c r="DK113" s="384"/>
      <c r="DL113" s="384"/>
      <c r="DM113" s="384"/>
      <c r="DN113" s="384"/>
      <c r="DO113" s="388"/>
      <c r="DP113" s="389"/>
      <c r="DQ113" s="388"/>
      <c r="DR113" s="284"/>
      <c r="DS113" s="384"/>
      <c r="DT113" s="384"/>
      <c r="DU113" s="384"/>
      <c r="DV113" s="384"/>
      <c r="DW113" s="384"/>
      <c r="DX113" s="384"/>
      <c r="DY113" s="384"/>
      <c r="DZ113" s="384"/>
      <c r="EA113" s="384"/>
      <c r="EB113" s="384"/>
      <c r="EC113" s="384"/>
      <c r="ED113" s="384"/>
      <c r="EE113" s="384"/>
      <c r="EF113" s="384"/>
      <c r="EG113" s="384"/>
      <c r="EH113" s="384"/>
      <c r="EI113" s="384"/>
      <c r="EJ113" s="384"/>
      <c r="EK113" s="384"/>
      <c r="EL113" s="384"/>
      <c r="EM113" s="384"/>
      <c r="EN113" s="384"/>
      <c r="EO113" s="384"/>
      <c r="EP113" s="384"/>
      <c r="EQ113" s="384"/>
      <c r="ER113" s="384"/>
      <c r="ES113" s="384"/>
      <c r="ET113" s="384"/>
      <c r="EU113" s="384"/>
      <c r="EV113" s="384"/>
      <c r="EW113" s="384"/>
      <c r="EX113" s="384"/>
      <c r="EY113" s="384"/>
      <c r="EZ113" s="384"/>
      <c r="FA113" s="384"/>
      <c r="FB113" s="360"/>
      <c r="FC113" s="384"/>
      <c r="FD113" s="384"/>
      <c r="FE113" s="384"/>
      <c r="FF113" s="384"/>
      <c r="FG113" s="384"/>
      <c r="FH113" s="384"/>
      <c r="FI113" s="384"/>
      <c r="FJ113" s="384"/>
      <c r="FK113" s="384"/>
      <c r="FL113" s="384"/>
      <c r="FM113" s="384"/>
      <c r="FN113" s="384"/>
      <c r="FO113" s="384"/>
      <c r="FP113" s="384"/>
      <c r="FQ113" s="384"/>
      <c r="FR113" s="384"/>
      <c r="FS113" s="384"/>
      <c r="FT113" s="384"/>
      <c r="FU113" s="384"/>
      <c r="FV113" s="384"/>
      <c r="FW113" s="384"/>
      <c r="FX113" s="384"/>
      <c r="FY113" s="384"/>
      <c r="FZ113" s="384"/>
      <c r="GA113" s="384"/>
      <c r="GB113" s="384"/>
      <c r="GC113" s="384"/>
      <c r="GD113" s="384"/>
      <c r="GE113" s="384"/>
      <c r="GF113" s="384"/>
      <c r="GG113" s="384"/>
      <c r="GH113" s="384"/>
      <c r="GI113" s="384"/>
      <c r="GJ113" s="384"/>
      <c r="GK113" s="384"/>
      <c r="GL113" s="384"/>
      <c r="GM113" s="384"/>
    </row>
    <row r="114">
      <c r="B114" s="383" t="s">
        <v>535</v>
      </c>
      <c r="C114" s="384"/>
      <c r="D114" s="384"/>
      <c r="E114" s="384"/>
      <c r="F114" s="384"/>
      <c r="G114" s="384"/>
      <c r="H114" s="384"/>
      <c r="I114" s="384"/>
      <c r="J114" s="384"/>
      <c r="K114" s="384"/>
      <c r="L114" s="384"/>
      <c r="M114" s="384"/>
      <c r="N114" s="384"/>
      <c r="O114" s="384"/>
      <c r="P114" s="384"/>
      <c r="Q114" s="384"/>
      <c r="R114" s="384"/>
      <c r="S114" s="384"/>
      <c r="T114" s="384"/>
      <c r="U114" s="384"/>
      <c r="V114" s="384"/>
      <c r="W114" s="384"/>
      <c r="X114" s="384"/>
      <c r="Y114" s="384"/>
      <c r="Z114" s="384"/>
      <c r="AA114" s="384"/>
      <c r="AB114" s="384"/>
      <c r="AC114" s="384"/>
      <c r="AD114" s="384"/>
      <c r="AE114" s="384"/>
      <c r="AF114" s="384"/>
      <c r="AG114" s="384"/>
      <c r="AH114" s="384"/>
      <c r="AI114" s="384"/>
      <c r="AJ114" s="384"/>
      <c r="AK114" s="384"/>
      <c r="AL114" s="384"/>
      <c r="AM114" s="384"/>
      <c r="AN114" s="384"/>
      <c r="AO114" s="384"/>
      <c r="AP114" s="384"/>
      <c r="AQ114" s="384"/>
      <c r="AR114" s="384"/>
      <c r="AS114" s="384"/>
      <c r="AT114" s="384"/>
      <c r="AU114" s="384"/>
      <c r="AV114" s="384"/>
      <c r="AW114" s="384"/>
      <c r="AX114" s="384"/>
      <c r="AY114" s="384"/>
      <c r="AZ114" s="384"/>
      <c r="BA114" s="384"/>
      <c r="BB114" s="384"/>
      <c r="BC114" s="384"/>
      <c r="BD114" s="384"/>
      <c r="BE114" s="384"/>
      <c r="BF114" s="384"/>
      <c r="BG114" s="384"/>
      <c r="BH114" s="384"/>
      <c r="BI114" s="384"/>
      <c r="BJ114" s="384"/>
      <c r="BK114" s="384"/>
      <c r="BL114" s="384"/>
      <c r="BM114" s="384"/>
      <c r="BN114" s="384"/>
      <c r="BO114" s="384"/>
      <c r="BP114" s="384"/>
      <c r="BQ114" s="384"/>
      <c r="BR114" s="384"/>
      <c r="BS114" s="384"/>
      <c r="BT114" s="384"/>
      <c r="BU114" s="384"/>
      <c r="BV114" s="384"/>
      <c r="BW114" s="479"/>
      <c r="BX114" s="479"/>
      <c r="BY114" s="479"/>
      <c r="BZ114" s="479"/>
      <c r="CA114" s="479"/>
      <c r="CB114" s="479"/>
      <c r="CC114" s="479"/>
      <c r="CD114" s="479"/>
      <c r="CE114" s="479"/>
      <c r="CF114" s="479"/>
      <c r="CG114" s="479"/>
      <c r="CH114" s="479"/>
      <c r="CK114" s="485"/>
      <c r="CL114" s="389"/>
      <c r="CM114" s="384"/>
      <c r="CN114" s="384"/>
      <c r="CO114" s="384"/>
      <c r="CP114" s="384"/>
      <c r="CQ114" s="485"/>
      <c r="CR114" s="384"/>
      <c r="CS114" s="384"/>
      <c r="CT114" s="384"/>
      <c r="CU114" s="384"/>
      <c r="CV114" s="384"/>
      <c r="CW114" s="388"/>
      <c r="CX114" s="389"/>
      <c r="CY114" s="384"/>
      <c r="CZ114" s="384"/>
      <c r="DA114" s="384"/>
      <c r="DB114" s="384"/>
      <c r="DC114" s="388"/>
      <c r="DD114" s="389"/>
      <c r="DE114" s="384"/>
      <c r="DF114" s="384"/>
      <c r="DG114" s="384"/>
      <c r="DH114" s="384"/>
      <c r="DI114" s="388"/>
      <c r="DJ114" s="389"/>
      <c r="DK114" s="384"/>
      <c r="DL114" s="384"/>
      <c r="DM114" s="384"/>
      <c r="DN114" s="384"/>
      <c r="DO114" s="388"/>
      <c r="DP114" s="389"/>
      <c r="DQ114" s="388"/>
      <c r="DR114" s="284"/>
      <c r="DS114" s="384"/>
      <c r="DT114" s="384"/>
      <c r="DU114" s="384"/>
      <c r="DV114" s="384"/>
      <c r="DW114" s="384"/>
      <c r="DX114" s="384"/>
      <c r="DY114" s="384"/>
      <c r="DZ114" s="384"/>
      <c r="EA114" s="384"/>
      <c r="EB114" s="384"/>
      <c r="EC114" s="384"/>
      <c r="ED114" s="384"/>
      <c r="EE114" s="384"/>
      <c r="EF114" s="384"/>
      <c r="EG114" s="384"/>
      <c r="EH114" s="384"/>
      <c r="EI114" s="384"/>
      <c r="EJ114" s="384"/>
      <c r="EK114" s="384"/>
      <c r="EL114" s="384"/>
      <c r="EM114" s="384"/>
      <c r="EN114" s="384"/>
      <c r="EO114" s="384"/>
      <c r="EP114" s="384"/>
      <c r="EQ114" s="384"/>
      <c r="ER114" s="384"/>
      <c r="ES114" s="384"/>
      <c r="ET114" s="384"/>
      <c r="EU114" s="384"/>
      <c r="EV114" s="384"/>
      <c r="EW114" s="384"/>
      <c r="EX114" s="384"/>
      <c r="EY114" s="384"/>
      <c r="EZ114" s="384"/>
      <c r="FA114" s="384"/>
      <c r="FB114" s="360"/>
      <c r="FC114" s="384"/>
      <c r="FD114" s="384"/>
      <c r="FE114" s="384"/>
      <c r="FF114" s="384"/>
      <c r="FG114" s="384"/>
      <c r="FH114" s="384"/>
      <c r="FI114" s="384"/>
      <c r="FJ114" s="384"/>
      <c r="FK114" s="384"/>
      <c r="FL114" s="384"/>
      <c r="FM114" s="384"/>
      <c r="FN114" s="384"/>
      <c r="FO114" s="384"/>
      <c r="FP114" s="384"/>
      <c r="FQ114" s="384"/>
      <c r="FR114" s="384"/>
      <c r="FS114" s="384"/>
      <c r="FT114" s="384"/>
      <c r="FU114" s="384"/>
      <c r="FV114" s="384"/>
      <c r="FW114" s="384"/>
      <c r="FX114" s="384"/>
      <c r="FY114" s="384"/>
      <c r="FZ114" s="384"/>
      <c r="GA114" s="384"/>
      <c r="GB114" s="384"/>
      <c r="GC114" s="384"/>
      <c r="GD114" s="384"/>
      <c r="GE114" s="384"/>
      <c r="GF114" s="384"/>
      <c r="GG114" s="384"/>
      <c r="GH114" s="384"/>
      <c r="GI114" s="384"/>
      <c r="GJ114" s="384"/>
      <c r="GK114" s="384"/>
      <c r="GL114" s="384"/>
      <c r="GM114" s="384"/>
    </row>
    <row r="115">
      <c r="B115" s="387" t="s">
        <v>125</v>
      </c>
      <c r="C115" s="384"/>
      <c r="D115" s="384"/>
      <c r="E115" s="384"/>
      <c r="F115" s="384"/>
      <c r="G115" s="384"/>
      <c r="H115" s="384"/>
      <c r="I115" s="384"/>
      <c r="J115" s="384"/>
      <c r="K115" s="384"/>
      <c r="L115" s="384"/>
      <c r="M115" s="384"/>
      <c r="N115" s="384"/>
      <c r="O115" s="384"/>
      <c r="P115" s="384"/>
      <c r="Q115" s="384"/>
      <c r="R115" s="384"/>
      <c r="S115" s="384"/>
      <c r="T115" s="384"/>
      <c r="U115" s="384"/>
      <c r="V115" s="384"/>
      <c r="W115" s="384"/>
      <c r="X115" s="384"/>
      <c r="Y115" s="384"/>
      <c r="Z115" s="384"/>
      <c r="AA115" s="384">
        <f t="shared" ref="AA115:AX115" si="271">AA28/AA$13</f>
        <v>0.2431774713</v>
      </c>
      <c r="AB115" s="384">
        <f t="shared" si="271"/>
        <v>0.3507040151</v>
      </c>
      <c r="AC115" s="384">
        <f t="shared" si="271"/>
        <v>0.2614858879</v>
      </c>
      <c r="AD115" s="384">
        <f t="shared" si="271"/>
        <v>0.3516071968</v>
      </c>
      <c r="AE115" s="384">
        <f t="shared" si="271"/>
        <v>0.3066745383</v>
      </c>
      <c r="AF115" s="384">
        <f t="shared" si="271"/>
        <v>0.2520089932</v>
      </c>
      <c r="AG115" s="384">
        <f t="shared" si="271"/>
        <v>0.3382868016</v>
      </c>
      <c r="AH115" s="384">
        <f t="shared" si="271"/>
        <v>0.230250976</v>
      </c>
      <c r="AI115" s="384">
        <f t="shared" si="271"/>
        <v>0.2827324968</v>
      </c>
      <c r="AJ115" s="384">
        <f t="shared" si="271"/>
        <v>0.2338377777</v>
      </c>
      <c r="AK115" s="384">
        <f t="shared" si="271"/>
        <v>0.2970522749</v>
      </c>
      <c r="AL115" s="384">
        <f t="shared" si="271"/>
        <v>0.4012399817</v>
      </c>
      <c r="AM115" s="384">
        <f t="shared" si="271"/>
        <v>0.3885695352</v>
      </c>
      <c r="AN115" s="384">
        <f t="shared" si="271"/>
        <v>0.3105952342</v>
      </c>
      <c r="AO115" s="384">
        <f t="shared" si="271"/>
        <v>0.2807486011</v>
      </c>
      <c r="AP115" s="384">
        <f t="shared" si="271"/>
        <v>0.4129638834</v>
      </c>
      <c r="AQ115" s="384">
        <f t="shared" si="271"/>
        <v>0.3350432109</v>
      </c>
      <c r="AR115" s="384">
        <f t="shared" si="271"/>
        <v>0.322003187</v>
      </c>
      <c r="AS115" s="384">
        <f t="shared" si="271"/>
        <v>0.3981091257</v>
      </c>
      <c r="AT115" s="384">
        <f t="shared" si="271"/>
        <v>0.4844422932</v>
      </c>
      <c r="AU115" s="384">
        <f t="shared" si="271"/>
        <v>0.4557391455</v>
      </c>
      <c r="AV115" s="384">
        <f t="shared" si="271"/>
        <v>0.3660003351</v>
      </c>
      <c r="AW115" s="384">
        <f t="shared" si="271"/>
        <v>0.4258697329</v>
      </c>
      <c r="AX115" s="384">
        <f t="shared" si="271"/>
        <v>0.4847280941</v>
      </c>
      <c r="AY115" s="384">
        <f t="shared" ref="AY115:CH115" si="272">IFERROR(AY28/AY$13,0)</f>
        <v>0.4695586971</v>
      </c>
      <c r="AZ115" s="384">
        <f t="shared" si="272"/>
        <v>0.3722067924</v>
      </c>
      <c r="BA115" s="384">
        <f t="shared" si="272"/>
        <v>0.3577494455</v>
      </c>
      <c r="BB115" s="384">
        <f t="shared" si="272"/>
        <v>0.5066739202</v>
      </c>
      <c r="BC115" s="384">
        <f t="shared" si="272"/>
        <v>0.3859859008</v>
      </c>
      <c r="BD115" s="384">
        <f t="shared" si="272"/>
        <v>0.3896758321</v>
      </c>
      <c r="BE115" s="384">
        <f t="shared" si="272"/>
        <v>0.3474509916</v>
      </c>
      <c r="BF115" s="384">
        <f t="shared" si="272"/>
        <v>0.5894680552</v>
      </c>
      <c r="BG115" s="384">
        <f t="shared" si="272"/>
        <v>0.3908720685</v>
      </c>
      <c r="BH115" s="384">
        <f t="shared" si="272"/>
        <v>0.3327431563</v>
      </c>
      <c r="BI115" s="384">
        <f t="shared" si="272"/>
        <v>0.3818362799</v>
      </c>
      <c r="BJ115" s="384">
        <f t="shared" si="272"/>
        <v>0.4383260712</v>
      </c>
      <c r="BK115" s="384">
        <f t="shared" si="272"/>
        <v>0.4344005576</v>
      </c>
      <c r="BL115" s="384">
        <f t="shared" si="272"/>
        <v>0.4336544547</v>
      </c>
      <c r="BM115" s="384">
        <f t="shared" si="272"/>
        <v>0.4353487965</v>
      </c>
      <c r="BN115" s="384">
        <f t="shared" si="272"/>
        <v>0.3868656935</v>
      </c>
      <c r="BO115" s="384">
        <f t="shared" si="272"/>
        <v>0.4379623596</v>
      </c>
      <c r="BP115" s="384">
        <f t="shared" si="272"/>
        <v>0.4239534835</v>
      </c>
      <c r="BQ115" s="384">
        <f t="shared" si="272"/>
        <v>0.3989913792</v>
      </c>
      <c r="BR115" s="384">
        <f t="shared" si="272"/>
        <v>0.4457994842</v>
      </c>
      <c r="BS115" s="384">
        <f t="shared" si="272"/>
        <v>0.418591474</v>
      </c>
      <c r="BT115" s="384">
        <f t="shared" si="272"/>
        <v>0.3988142106</v>
      </c>
      <c r="BU115" s="384">
        <f t="shared" si="272"/>
        <v>0.4583232935</v>
      </c>
      <c r="BV115" s="384">
        <f t="shared" si="272"/>
        <v>0.4654397109</v>
      </c>
      <c r="BW115" s="458">
        <f t="shared" si="272"/>
        <v>0.4506252239</v>
      </c>
      <c r="BX115" s="458">
        <f t="shared" si="272"/>
        <v>0.4167183536</v>
      </c>
      <c r="BY115" s="458">
        <f t="shared" si="272"/>
        <v>0.435545615</v>
      </c>
      <c r="BZ115" s="458">
        <f t="shared" si="272"/>
        <v>0.4189756961</v>
      </c>
      <c r="CA115" s="458">
        <f t="shared" si="272"/>
        <v>0.4041495165</v>
      </c>
      <c r="CB115" s="458">
        <f t="shared" si="272"/>
        <v>0.3937518587</v>
      </c>
      <c r="CC115" s="458">
        <f t="shared" si="272"/>
        <v>0</v>
      </c>
      <c r="CD115" s="458">
        <f t="shared" si="272"/>
        <v>0</v>
      </c>
      <c r="CE115" s="458">
        <f t="shared" si="272"/>
        <v>0</v>
      </c>
      <c r="CF115" s="458">
        <f t="shared" si="272"/>
        <v>0</v>
      </c>
      <c r="CG115" s="458">
        <f t="shared" si="272"/>
        <v>0</v>
      </c>
      <c r="CH115" s="458">
        <f t="shared" si="272"/>
        <v>0</v>
      </c>
      <c r="CK115" s="485">
        <f>CK28/CK$13</f>
        <v>0.4241835956</v>
      </c>
      <c r="CL115" s="389"/>
      <c r="CM115" s="384">
        <f t="shared" ref="CM115:CQ115" si="273">IFERROR(CM28/CM$13,0)</f>
        <v>0.4343845584</v>
      </c>
      <c r="CN115" s="384">
        <f t="shared" si="273"/>
        <v>0.4055510503</v>
      </c>
      <c r="CO115" s="384">
        <f t="shared" si="273"/>
        <v>0</v>
      </c>
      <c r="CP115" s="384">
        <f t="shared" si="273"/>
        <v>0</v>
      </c>
      <c r="CQ115" s="485">
        <f t="shared" si="273"/>
        <v>0.4193793311</v>
      </c>
      <c r="CR115" s="384"/>
      <c r="CS115" s="384">
        <f t="shared" ref="CS115:CW115" si="274">IFERROR(CS28/CS$13,0)</f>
        <v>0.4344677341</v>
      </c>
      <c r="CT115" s="384">
        <f t="shared" si="274"/>
        <v>0.4160706878</v>
      </c>
      <c r="CU115" s="384">
        <f t="shared" si="274"/>
        <v>0.4205515619</v>
      </c>
      <c r="CV115" s="384">
        <f t="shared" si="274"/>
        <v>0.4388372142</v>
      </c>
      <c r="CW115" s="388">
        <f t="shared" si="274"/>
        <v>0.4279997208</v>
      </c>
      <c r="CX115" s="389"/>
      <c r="CY115" s="384">
        <f t="shared" ref="CY115:DC115" si="275">IFERROR(CY28/CY$13,0)</f>
        <v>0.3971232623</v>
      </c>
      <c r="CZ115" s="384">
        <f t="shared" si="275"/>
        <v>0.4292115478</v>
      </c>
      <c r="DA115" s="384">
        <f t="shared" si="275"/>
        <v>0.4439000502</v>
      </c>
      <c r="DB115" s="384">
        <f t="shared" si="275"/>
        <v>0.3816041524</v>
      </c>
      <c r="DC115" s="388">
        <f t="shared" si="275"/>
        <v>0.4115013992</v>
      </c>
      <c r="DD115" s="389"/>
      <c r="DE115" s="384">
        <f t="shared" ref="DE115:DI115" si="276">DE28/DE13</f>
        <v>0.3264248542</v>
      </c>
      <c r="DF115" s="384">
        <f t="shared" si="276"/>
        <v>0.3564727407</v>
      </c>
      <c r="DG115" s="384">
        <f t="shared" si="276"/>
        <v>0.4485853826</v>
      </c>
      <c r="DH115" s="384">
        <f t="shared" si="276"/>
        <v>0.4220547284</v>
      </c>
      <c r="DI115" s="388">
        <f t="shared" si="276"/>
        <v>0.3845853218</v>
      </c>
      <c r="DJ115" s="389"/>
      <c r="DK115" s="384">
        <f t="shared" ref="DK115:DN115" si="277">DK28/DK13</f>
        <v>0.2816568394</v>
      </c>
      <c r="DL115" s="384">
        <f t="shared" si="277"/>
        <v>0.2991071873</v>
      </c>
      <c r="DM115" s="384">
        <f t="shared" si="277"/>
        <v>0.277048235</v>
      </c>
      <c r="DN115" s="384">
        <f t="shared" si="277"/>
        <v>0.2993268738</v>
      </c>
      <c r="DO115" s="388"/>
      <c r="DP115" s="389"/>
      <c r="DQ115" s="388"/>
      <c r="DR115" s="389"/>
      <c r="DS115" s="384"/>
      <c r="DT115" s="384"/>
      <c r="DU115" s="384"/>
      <c r="DV115" s="384"/>
      <c r="DW115" s="384"/>
      <c r="DX115" s="384"/>
      <c r="DY115" s="384"/>
      <c r="DZ115" s="384"/>
      <c r="EA115" s="384"/>
      <c r="EB115" s="384"/>
      <c r="EC115" s="384"/>
      <c r="ED115" s="384"/>
      <c r="EE115" s="384"/>
      <c r="EF115" s="384"/>
      <c r="EG115" s="384"/>
      <c r="EH115" s="384"/>
      <c r="EI115" s="384"/>
      <c r="EJ115" s="384"/>
      <c r="EK115" s="384"/>
      <c r="EL115" s="384"/>
      <c r="EM115" s="384"/>
      <c r="EN115" s="384"/>
      <c r="EO115" s="384"/>
      <c r="EP115" s="384"/>
      <c r="EQ115" s="384"/>
      <c r="ER115" s="384"/>
      <c r="ES115" s="384"/>
      <c r="ET115" s="384"/>
      <c r="EU115" s="384"/>
      <c r="EV115" s="384"/>
      <c r="EW115" s="384"/>
      <c r="EX115" s="384"/>
      <c r="EY115" s="384"/>
      <c r="EZ115" s="384"/>
      <c r="FA115" s="384"/>
      <c r="FB115" s="360"/>
      <c r="FC115" s="384"/>
      <c r="FD115" s="384"/>
      <c r="FE115" s="384"/>
      <c r="FF115" s="384"/>
      <c r="FG115" s="384"/>
      <c r="FH115" s="384"/>
      <c r="FI115" s="384"/>
      <c r="FJ115" s="384"/>
      <c r="FK115" s="384"/>
      <c r="FL115" s="384"/>
      <c r="FM115" s="384"/>
      <c r="FN115" s="384"/>
      <c r="FO115" s="384"/>
      <c r="FP115" s="384"/>
      <c r="FQ115" s="384"/>
      <c r="FR115" s="384"/>
      <c r="FS115" s="384"/>
      <c r="FT115" s="384"/>
      <c r="FU115" s="384"/>
      <c r="FV115" s="384"/>
      <c r="FW115" s="384"/>
      <c r="FX115" s="384"/>
      <c r="FY115" s="384"/>
      <c r="FZ115" s="384"/>
      <c r="GA115" s="384"/>
      <c r="GB115" s="384"/>
      <c r="GC115" s="384"/>
      <c r="GD115" s="384"/>
      <c r="GE115" s="384"/>
      <c r="GF115" s="384"/>
      <c r="GG115" s="384"/>
      <c r="GH115" s="384"/>
      <c r="GI115" s="384"/>
      <c r="GJ115" s="384"/>
      <c r="GK115" s="384"/>
      <c r="GL115" s="384"/>
      <c r="GM115" s="384"/>
    </row>
    <row r="116">
      <c r="B116" s="387" t="s">
        <v>126</v>
      </c>
      <c r="C116" s="384"/>
      <c r="D116" s="384"/>
      <c r="E116" s="384"/>
      <c r="F116" s="384"/>
      <c r="G116" s="384"/>
      <c r="H116" s="384"/>
      <c r="I116" s="384"/>
      <c r="J116" s="384"/>
      <c r="K116" s="384"/>
      <c r="L116" s="384"/>
      <c r="M116" s="384"/>
      <c r="N116" s="384"/>
      <c r="O116" s="384"/>
      <c r="P116" s="384"/>
      <c r="Q116" s="384"/>
      <c r="R116" s="384"/>
      <c r="S116" s="384"/>
      <c r="T116" s="384"/>
      <c r="U116" s="384"/>
      <c r="V116" s="384"/>
      <c r="W116" s="384"/>
      <c r="X116" s="384"/>
      <c r="Y116" s="384"/>
      <c r="Z116" s="384"/>
      <c r="AA116" s="384">
        <f t="shared" ref="AA116:AX116" si="278">AA70/AA$13</f>
        <v>0.07510590975</v>
      </c>
      <c r="AB116" s="384">
        <f t="shared" si="278"/>
        <v>0.1082802307</v>
      </c>
      <c r="AC116" s="384">
        <f t="shared" si="278"/>
        <v>0.07426112427</v>
      </c>
      <c r="AD116" s="384">
        <f t="shared" si="278"/>
        <v>0.08074738036</v>
      </c>
      <c r="AE116" s="384">
        <f t="shared" si="278"/>
        <v>0.07920670367</v>
      </c>
      <c r="AF116" s="384">
        <f t="shared" si="278"/>
        <v>0.06941758355</v>
      </c>
      <c r="AG116" s="384">
        <f t="shared" si="278"/>
        <v>0.08675907177</v>
      </c>
      <c r="AH116" s="384">
        <f t="shared" si="278"/>
        <v>0.04579882612</v>
      </c>
      <c r="AI116" s="384">
        <f t="shared" si="278"/>
        <v>0.09255980702</v>
      </c>
      <c r="AJ116" s="384">
        <f t="shared" si="278"/>
        <v>0.08544729096</v>
      </c>
      <c r="AK116" s="384">
        <f t="shared" si="278"/>
        <v>0.1323874473</v>
      </c>
      <c r="AL116" s="384">
        <f t="shared" si="278"/>
        <v>0.1370713313</v>
      </c>
      <c r="AM116" s="384">
        <f t="shared" si="278"/>
        <v>0.06808172959</v>
      </c>
      <c r="AN116" s="384">
        <f t="shared" si="278"/>
        <v>0.06781936785</v>
      </c>
      <c r="AO116" s="384">
        <f t="shared" si="278"/>
        <v>0.04313830955</v>
      </c>
      <c r="AP116" s="384">
        <f t="shared" si="278"/>
        <v>0.08610613242</v>
      </c>
      <c r="AQ116" s="384">
        <f t="shared" si="278"/>
        <v>0.05302886424</v>
      </c>
      <c r="AR116" s="384">
        <f t="shared" si="278"/>
        <v>0.08139576565</v>
      </c>
      <c r="AS116" s="384">
        <f t="shared" si="278"/>
        <v>0.07973530893</v>
      </c>
      <c r="AT116" s="384">
        <f t="shared" si="278"/>
        <v>0.085070687</v>
      </c>
      <c r="AU116" s="384">
        <f t="shared" si="278"/>
        <v>0.09838006866</v>
      </c>
      <c r="AV116" s="384">
        <f t="shared" si="278"/>
        <v>0.08071620228</v>
      </c>
      <c r="AW116" s="384">
        <f t="shared" si="278"/>
        <v>0.0800055269</v>
      </c>
      <c r="AX116" s="384">
        <f t="shared" si="278"/>
        <v>0.09520018445</v>
      </c>
      <c r="AY116" s="384">
        <f t="shared" ref="AY116:CH116" si="279">IFERROR(AY70/AY$13,0)</f>
        <v>0.0932610655</v>
      </c>
      <c r="AZ116" s="384">
        <f t="shared" si="279"/>
        <v>0.09785123604</v>
      </c>
      <c r="BA116" s="384">
        <f t="shared" si="279"/>
        <v>0.1011960796</v>
      </c>
      <c r="BB116" s="384">
        <f t="shared" si="279"/>
        <v>0.08435199353</v>
      </c>
      <c r="BC116" s="384">
        <f t="shared" si="279"/>
        <v>0.07509506935</v>
      </c>
      <c r="BD116" s="384">
        <f t="shared" si="279"/>
        <v>0.07117411834</v>
      </c>
      <c r="BE116" s="384">
        <f t="shared" si="279"/>
        <v>0.06520765398</v>
      </c>
      <c r="BF116" s="384">
        <f t="shared" si="279"/>
        <v>0.06430213628</v>
      </c>
      <c r="BG116" s="384">
        <f t="shared" si="279"/>
        <v>0.1158430333</v>
      </c>
      <c r="BH116" s="384">
        <f t="shared" si="279"/>
        <v>0.0507024604</v>
      </c>
      <c r="BI116" s="384">
        <f t="shared" si="279"/>
        <v>0.06534622227</v>
      </c>
      <c r="BJ116" s="384">
        <f t="shared" si="279"/>
        <v>0.0631012596</v>
      </c>
      <c r="BK116" s="384">
        <f t="shared" si="279"/>
        <v>0.07559687459</v>
      </c>
      <c r="BL116" s="384">
        <f t="shared" si="279"/>
        <v>0.06648697438</v>
      </c>
      <c r="BM116" s="384">
        <f t="shared" si="279"/>
        <v>0.06947841662</v>
      </c>
      <c r="BN116" s="384">
        <f t="shared" si="279"/>
        <v>0.0661875337</v>
      </c>
      <c r="BO116" s="384">
        <f t="shared" si="279"/>
        <v>0.06445960384</v>
      </c>
      <c r="BP116" s="384">
        <f t="shared" si="279"/>
        <v>0.05945700308</v>
      </c>
      <c r="BQ116" s="384">
        <f t="shared" si="279"/>
        <v>0.05943705085</v>
      </c>
      <c r="BR116" s="384">
        <f t="shared" si="279"/>
        <v>0.08667321733</v>
      </c>
      <c r="BS116" s="384">
        <f t="shared" si="279"/>
        <v>0.2620291857</v>
      </c>
      <c r="BT116" s="384">
        <f t="shared" si="279"/>
        <v>0.1810661683</v>
      </c>
      <c r="BU116" s="384">
        <f t="shared" si="279"/>
        <v>0.1773403231</v>
      </c>
      <c r="BV116" s="384">
        <f t="shared" si="279"/>
        <v>0.1708165871</v>
      </c>
      <c r="BW116" s="458">
        <f t="shared" si="279"/>
        <v>0.190852147</v>
      </c>
      <c r="BX116" s="458">
        <f t="shared" si="279"/>
        <v>0.2141663132</v>
      </c>
      <c r="BY116" s="458">
        <f t="shared" si="279"/>
        <v>0.1564506583</v>
      </c>
      <c r="BZ116" s="458">
        <f t="shared" si="279"/>
        <v>0.1546259536</v>
      </c>
      <c r="CA116" s="458">
        <f t="shared" si="279"/>
        <v>0.1910367905</v>
      </c>
      <c r="CB116" s="458">
        <f t="shared" si="279"/>
        <v>0.2210642384</v>
      </c>
      <c r="CC116" s="458">
        <f t="shared" si="279"/>
        <v>0</v>
      </c>
      <c r="CD116" s="458">
        <f t="shared" si="279"/>
        <v>0</v>
      </c>
      <c r="CE116" s="458">
        <f t="shared" si="279"/>
        <v>0</v>
      </c>
      <c r="CF116" s="458">
        <f t="shared" si="279"/>
        <v>0</v>
      </c>
      <c r="CG116" s="458">
        <f t="shared" si="279"/>
        <v>0</v>
      </c>
      <c r="CH116" s="458">
        <f t="shared" si="279"/>
        <v>0</v>
      </c>
      <c r="CK116" s="485">
        <f>CK70/CK$13</f>
        <v>0.1757368533</v>
      </c>
      <c r="CL116" s="389"/>
      <c r="CM116" s="384">
        <f t="shared" ref="CM116:CQ116" si="280">IFERROR(CM70/CM$13,0)</f>
        <v>0.1861818288</v>
      </c>
      <c r="CN116" s="384">
        <f t="shared" si="280"/>
        <v>0.1891429778</v>
      </c>
      <c r="CO116" s="384">
        <f t="shared" si="280"/>
        <v>0</v>
      </c>
      <c r="CP116" s="384">
        <f t="shared" si="280"/>
        <v>0</v>
      </c>
      <c r="CQ116" s="485">
        <f t="shared" si="280"/>
        <v>0.1877228384</v>
      </c>
      <c r="CR116" s="384"/>
      <c r="CS116" s="384">
        <f t="shared" ref="CS116:CW116" si="281">IFERROR(CS70/CS$13,0)</f>
        <v>0.07062910489</v>
      </c>
      <c r="CT116" s="384">
        <f t="shared" si="281"/>
        <v>0.06337204039</v>
      </c>
      <c r="CU116" s="384">
        <f t="shared" si="281"/>
        <v>0.1417278798</v>
      </c>
      <c r="CV116" s="384">
        <f t="shared" si="281"/>
        <v>0.1765391296</v>
      </c>
      <c r="CW116" s="388">
        <f t="shared" si="281"/>
        <v>0.1200989803</v>
      </c>
      <c r="CX116" s="389"/>
      <c r="CY116" s="384">
        <f t="shared" ref="CY116:DC116" si="282">IFERROR(CY70/CY$13,0)</f>
        <v>0.09760854918</v>
      </c>
      <c r="CZ116" s="384">
        <f t="shared" si="282"/>
        <v>0.07707201176</v>
      </c>
      <c r="DA116" s="384">
        <f t="shared" si="282"/>
        <v>0.08199234328</v>
      </c>
      <c r="DB116" s="384">
        <f t="shared" si="282"/>
        <v>0.05927603341</v>
      </c>
      <c r="DC116" s="388">
        <f t="shared" si="282"/>
        <v>0.07731754556</v>
      </c>
      <c r="DD116" s="389"/>
      <c r="DE116" s="384">
        <f t="shared" ref="DE116:DI116" si="283">DE70/DE$13</f>
        <v>0.05918700601</v>
      </c>
      <c r="DF116" s="384">
        <f t="shared" si="283"/>
        <v>0.07329930277</v>
      </c>
      <c r="DG116" s="384">
        <f t="shared" si="283"/>
        <v>0.08743629048</v>
      </c>
      <c r="DH116" s="384">
        <f t="shared" si="283"/>
        <v>0.08494786537</v>
      </c>
      <c r="DI116" s="388">
        <f t="shared" si="283"/>
        <v>0.07527811172</v>
      </c>
      <c r="DJ116" s="389"/>
      <c r="DK116" s="384">
        <f t="shared" ref="DK116:DO116" si="284">DK70/DK$13</f>
        <v>0.08449483952</v>
      </c>
      <c r="DL116" s="384">
        <f t="shared" si="284"/>
        <v>0.07591124685</v>
      </c>
      <c r="DM116" s="384">
        <f t="shared" si="284"/>
        <v>0.07248401861</v>
      </c>
      <c r="DN116" s="384">
        <f t="shared" si="284"/>
        <v>0.1156722604</v>
      </c>
      <c r="DO116" s="388">
        <f t="shared" si="284"/>
        <v>0.08789490215</v>
      </c>
      <c r="DP116" s="389"/>
      <c r="DQ116" s="388" t="str">
        <f>DQ70/DQ$13</f>
        <v>#DIV/0!</v>
      </c>
      <c r="DR116" s="389"/>
      <c r="DS116" s="384"/>
      <c r="DT116" s="384"/>
      <c r="DU116" s="384"/>
      <c r="DV116" s="384"/>
      <c r="DW116" s="384"/>
      <c r="DX116" s="384"/>
      <c r="DY116" s="384"/>
      <c r="DZ116" s="384"/>
      <c r="EA116" s="384"/>
      <c r="EB116" s="384"/>
      <c r="EC116" s="384"/>
      <c r="ED116" s="384"/>
      <c r="EE116" s="384"/>
      <c r="EF116" s="384"/>
      <c r="EG116" s="384"/>
      <c r="EH116" s="384"/>
      <c r="EI116" s="384"/>
      <c r="EJ116" s="384"/>
      <c r="EK116" s="384"/>
      <c r="EL116" s="384"/>
      <c r="EM116" s="384"/>
      <c r="EN116" s="384"/>
      <c r="EO116" s="384"/>
      <c r="EP116" s="384"/>
      <c r="EQ116" s="384"/>
      <c r="ER116" s="384"/>
      <c r="ES116" s="384"/>
      <c r="ET116" s="384"/>
      <c r="EU116" s="384"/>
      <c r="EV116" s="384"/>
      <c r="EW116" s="384"/>
      <c r="EX116" s="384"/>
      <c r="EY116" s="384"/>
      <c r="EZ116" s="384"/>
      <c r="FA116" s="384"/>
      <c r="FB116" s="360"/>
      <c r="FC116" s="384"/>
      <c r="FD116" s="384"/>
      <c r="FE116" s="384"/>
      <c r="FF116" s="384"/>
      <c r="FG116" s="384"/>
      <c r="FH116" s="384"/>
      <c r="FI116" s="384"/>
      <c r="FJ116" s="384"/>
      <c r="FK116" s="384"/>
      <c r="FL116" s="384"/>
      <c r="FM116" s="384"/>
      <c r="FN116" s="384"/>
      <c r="FO116" s="384"/>
      <c r="FP116" s="384"/>
      <c r="FQ116" s="384"/>
      <c r="FR116" s="384"/>
      <c r="FS116" s="384"/>
      <c r="FT116" s="384"/>
      <c r="FU116" s="384"/>
      <c r="FV116" s="384"/>
      <c r="FW116" s="384"/>
      <c r="FX116" s="384"/>
      <c r="FY116" s="384"/>
      <c r="FZ116" s="384"/>
      <c r="GA116" s="384"/>
      <c r="GB116" s="384"/>
      <c r="GC116" s="384"/>
      <c r="GD116" s="384"/>
      <c r="GE116" s="384"/>
      <c r="GF116" s="384"/>
      <c r="GG116" s="384"/>
      <c r="GH116" s="384"/>
      <c r="GI116" s="384"/>
      <c r="GJ116" s="384"/>
      <c r="GK116" s="384"/>
      <c r="GL116" s="384"/>
      <c r="GM116" s="384"/>
    </row>
    <row r="117">
      <c r="B117" s="387" t="s">
        <v>128</v>
      </c>
      <c r="C117" s="384"/>
      <c r="D117" s="384"/>
      <c r="E117" s="384"/>
      <c r="F117" s="384"/>
      <c r="G117" s="384"/>
      <c r="H117" s="384"/>
      <c r="I117" s="384"/>
      <c r="J117" s="384"/>
      <c r="K117" s="384"/>
      <c r="L117" s="384"/>
      <c r="M117" s="384"/>
      <c r="N117" s="384"/>
      <c r="O117" s="384"/>
      <c r="P117" s="384"/>
      <c r="Q117" s="384"/>
      <c r="R117" s="384"/>
      <c r="S117" s="384"/>
      <c r="T117" s="384"/>
      <c r="U117" s="384"/>
      <c r="V117" s="384"/>
      <c r="W117" s="384"/>
      <c r="X117" s="384"/>
      <c r="Y117" s="384"/>
      <c r="Z117" s="384"/>
      <c r="AA117" s="384">
        <f t="shared" ref="AA117:AX117" si="285">AA74/AA$13</f>
        <v>0.2690128964</v>
      </c>
      <c r="AB117" s="384">
        <f t="shared" si="285"/>
        <v>0.310873742</v>
      </c>
      <c r="AC117" s="384">
        <f t="shared" si="285"/>
        <v>0.2486773826</v>
      </c>
      <c r="AD117" s="384">
        <f t="shared" si="285"/>
        <v>0.2726237825</v>
      </c>
      <c r="AE117" s="384">
        <f t="shared" si="285"/>
        <v>0.2555788191</v>
      </c>
      <c r="AF117" s="384">
        <f t="shared" si="285"/>
        <v>0.2255287286</v>
      </c>
      <c r="AG117" s="384">
        <f t="shared" si="285"/>
        <v>0.2508899507</v>
      </c>
      <c r="AH117" s="384">
        <f t="shared" si="285"/>
        <v>0.180492311</v>
      </c>
      <c r="AI117" s="384">
        <f t="shared" si="285"/>
        <v>0.2250456744</v>
      </c>
      <c r="AJ117" s="384">
        <f t="shared" si="285"/>
        <v>0.1950378172</v>
      </c>
      <c r="AK117" s="384">
        <f t="shared" si="285"/>
        <v>0.2125089972</v>
      </c>
      <c r="AL117" s="384">
        <f t="shared" si="285"/>
        <v>0.3066707622</v>
      </c>
      <c r="AM117" s="384">
        <f t="shared" si="285"/>
        <v>0.23666707</v>
      </c>
      <c r="AN117" s="384">
        <f t="shared" si="285"/>
        <v>0.2308765125</v>
      </c>
      <c r="AO117" s="384">
        <f t="shared" si="285"/>
        <v>0.2542584051</v>
      </c>
      <c r="AP117" s="384">
        <f t="shared" si="285"/>
        <v>0.302861006</v>
      </c>
      <c r="AQ117" s="384">
        <f t="shared" si="285"/>
        <v>0.320722645</v>
      </c>
      <c r="AR117" s="384">
        <f t="shared" si="285"/>
        <v>0.3487578385</v>
      </c>
      <c r="AS117" s="384">
        <f t="shared" si="285"/>
        <v>0.477376489</v>
      </c>
      <c r="AT117" s="384">
        <f t="shared" si="285"/>
        <v>0.3220832832</v>
      </c>
      <c r="AU117" s="384">
        <f t="shared" si="285"/>
        <v>0.4430383354</v>
      </c>
      <c r="AV117" s="384">
        <f t="shared" si="285"/>
        <v>0.405017077</v>
      </c>
      <c r="AW117" s="384">
        <f t="shared" si="285"/>
        <v>0.4582025018</v>
      </c>
      <c r="AX117" s="384">
        <f t="shared" si="285"/>
        <v>0.3937973457</v>
      </c>
      <c r="AY117" s="384">
        <f t="shared" ref="AY117:CH117" si="286">IFERROR(AY74/AY$13,0)</f>
        <v>0.504835545</v>
      </c>
      <c r="AZ117" s="384">
        <f t="shared" si="286"/>
        <v>0.3602721381</v>
      </c>
      <c r="BA117" s="384">
        <f t="shared" si="286"/>
        <v>0.4023223453</v>
      </c>
      <c r="BB117" s="384">
        <f t="shared" si="286"/>
        <v>0.3864342203</v>
      </c>
      <c r="BC117" s="384">
        <f t="shared" si="286"/>
        <v>0.3780175544</v>
      </c>
      <c r="BD117" s="384">
        <f t="shared" si="286"/>
        <v>0.4111721078</v>
      </c>
      <c r="BE117" s="384">
        <f t="shared" si="286"/>
        <v>0.420533912</v>
      </c>
      <c r="BF117" s="384">
        <f t="shared" si="286"/>
        <v>0.3126578097</v>
      </c>
      <c r="BG117" s="384">
        <f t="shared" si="286"/>
        <v>0.3607716566</v>
      </c>
      <c r="BH117" s="384">
        <f t="shared" si="286"/>
        <v>0.2859500652</v>
      </c>
      <c r="BI117" s="384">
        <f t="shared" si="286"/>
        <v>0.2941744794</v>
      </c>
      <c r="BJ117" s="384">
        <f t="shared" si="286"/>
        <v>0.3574059494</v>
      </c>
      <c r="BK117" s="384">
        <f t="shared" si="286"/>
        <v>0.3460100012</v>
      </c>
      <c r="BL117" s="384">
        <f t="shared" si="286"/>
        <v>0.2573297825</v>
      </c>
      <c r="BM117" s="384">
        <f t="shared" si="286"/>
        <v>0.2875057299</v>
      </c>
      <c r="BN117" s="384">
        <f t="shared" si="286"/>
        <v>0.3851907435</v>
      </c>
      <c r="BO117" s="384">
        <f t="shared" si="286"/>
        <v>0.2952699707</v>
      </c>
      <c r="BP117" s="384">
        <f t="shared" si="286"/>
        <v>0.2874882625</v>
      </c>
      <c r="BQ117" s="384">
        <f t="shared" si="286"/>
        <v>0.2834846717</v>
      </c>
      <c r="BR117" s="384">
        <f t="shared" si="286"/>
        <v>0.2541985998</v>
      </c>
      <c r="BS117" s="384">
        <f t="shared" si="286"/>
        <v>0</v>
      </c>
      <c r="BT117" s="384">
        <f t="shared" si="286"/>
        <v>0</v>
      </c>
      <c r="BU117" s="384">
        <f t="shared" si="286"/>
        <v>0</v>
      </c>
      <c r="BV117" s="384">
        <f t="shared" si="286"/>
        <v>0</v>
      </c>
      <c r="BW117" s="458">
        <f t="shared" si="286"/>
        <v>0</v>
      </c>
      <c r="BX117" s="458">
        <f t="shared" si="286"/>
        <v>0</v>
      </c>
      <c r="BY117" s="458">
        <f t="shared" si="286"/>
        <v>0</v>
      </c>
      <c r="BZ117" s="458">
        <f t="shared" si="286"/>
        <v>0</v>
      </c>
      <c r="CA117" s="458">
        <f t="shared" si="286"/>
        <v>0</v>
      </c>
      <c r="CB117" s="458">
        <f t="shared" si="286"/>
        <v>0</v>
      </c>
      <c r="CC117" s="458">
        <f t="shared" si="286"/>
        <v>0</v>
      </c>
      <c r="CD117" s="458">
        <f t="shared" si="286"/>
        <v>0</v>
      </c>
      <c r="CE117" s="458">
        <f t="shared" si="286"/>
        <v>0</v>
      </c>
      <c r="CF117" s="458">
        <f t="shared" si="286"/>
        <v>0</v>
      </c>
      <c r="CG117" s="458">
        <f t="shared" si="286"/>
        <v>0</v>
      </c>
      <c r="CH117" s="458">
        <f t="shared" si="286"/>
        <v>0</v>
      </c>
      <c r="CK117" s="485">
        <f>CK74/CK$13</f>
        <v>0.03481606768</v>
      </c>
      <c r="CL117" s="389"/>
      <c r="CM117" s="384">
        <f t="shared" ref="CM117:CQ117" si="287">IFERROR(CM74/CM$13,0)</f>
        <v>0</v>
      </c>
      <c r="CN117" s="384">
        <f t="shared" si="287"/>
        <v>0</v>
      </c>
      <c r="CO117" s="384">
        <f t="shared" si="287"/>
        <v>0</v>
      </c>
      <c r="CP117" s="384">
        <f t="shared" si="287"/>
        <v>0</v>
      </c>
      <c r="CQ117" s="485">
        <f t="shared" si="287"/>
        <v>0</v>
      </c>
      <c r="CR117" s="384"/>
      <c r="CS117" s="384">
        <f t="shared" ref="CS117:CW117" si="288">IFERROR(CS74/CS$13,0)</f>
        <v>0.2979966219</v>
      </c>
      <c r="CT117" s="384">
        <f t="shared" si="288"/>
        <v>0.3229693481</v>
      </c>
      <c r="CU117" s="384">
        <f t="shared" si="288"/>
        <v>0.1710529842</v>
      </c>
      <c r="CV117" s="384">
        <f t="shared" si="288"/>
        <v>0</v>
      </c>
      <c r="CW117" s="388">
        <f t="shared" si="288"/>
        <v>0.1791586855</v>
      </c>
      <c r="CX117" s="389"/>
      <c r="CY117" s="384">
        <f t="shared" ref="CY117:DC117" si="289">IFERROR(CY74/CY$13,0)</f>
        <v>0.4195040796</v>
      </c>
      <c r="CZ117" s="384">
        <f t="shared" si="289"/>
        <v>0.3915063442</v>
      </c>
      <c r="DA117" s="384">
        <f t="shared" si="289"/>
        <v>0.3639042688</v>
      </c>
      <c r="DB117" s="384">
        <f t="shared" si="289"/>
        <v>0.3110330928</v>
      </c>
      <c r="DC117" s="388">
        <f t="shared" si="289"/>
        <v>0.3660306321</v>
      </c>
      <c r="DD117" s="389"/>
      <c r="DE117" s="384">
        <f t="shared" ref="DE117:DI117" si="290">DE74/DE$13</f>
        <v>0.2410973034</v>
      </c>
      <c r="DF117" s="384">
        <f t="shared" si="290"/>
        <v>0.3240651157</v>
      </c>
      <c r="DG117" s="384">
        <f t="shared" si="290"/>
        <v>0.4076390068</v>
      </c>
      <c r="DH117" s="384">
        <f t="shared" si="290"/>
        <v>0.4188581502</v>
      </c>
      <c r="DI117" s="388">
        <f t="shared" si="290"/>
        <v>0.3418501174</v>
      </c>
      <c r="DJ117" s="389"/>
      <c r="DK117" s="384">
        <f t="shared" ref="DK117:DO117" si="291">DK74/DK$13</f>
        <v>0.273492328</v>
      </c>
      <c r="DL117" s="384">
        <f t="shared" si="291"/>
        <v>0.2491358351</v>
      </c>
      <c r="DM117" s="384">
        <f t="shared" si="291"/>
        <v>0.2144334061</v>
      </c>
      <c r="DN117" s="384">
        <f t="shared" si="291"/>
        <v>0.2296896447</v>
      </c>
      <c r="DO117" s="388">
        <f t="shared" si="291"/>
        <v>0.2389932839</v>
      </c>
      <c r="DP117" s="389"/>
      <c r="DQ117" s="388" t="str">
        <f>DQ74/DQ$13</f>
        <v>#DIV/0!</v>
      </c>
      <c r="DR117" s="389"/>
      <c r="DS117" s="384"/>
      <c r="DT117" s="384"/>
      <c r="DU117" s="384"/>
      <c r="DV117" s="384"/>
      <c r="DW117" s="384"/>
      <c r="DX117" s="384"/>
      <c r="DY117" s="384"/>
      <c r="DZ117" s="384"/>
      <c r="EA117" s="384"/>
      <c r="EB117" s="384"/>
      <c r="EC117" s="384"/>
      <c r="ED117" s="384"/>
      <c r="EE117" s="384"/>
      <c r="EF117" s="384"/>
      <c r="EG117" s="384"/>
      <c r="EH117" s="384"/>
      <c r="EI117" s="384"/>
      <c r="EJ117" s="384"/>
      <c r="EK117" s="384"/>
      <c r="EL117" s="384"/>
      <c r="EM117" s="384"/>
      <c r="EN117" s="384"/>
      <c r="EO117" s="384"/>
      <c r="EP117" s="384"/>
      <c r="EQ117" s="384"/>
      <c r="ER117" s="384"/>
      <c r="ES117" s="384"/>
      <c r="ET117" s="384"/>
      <c r="EU117" s="384"/>
      <c r="EV117" s="384"/>
      <c r="EW117" s="384"/>
      <c r="EX117" s="384"/>
      <c r="EY117" s="384"/>
      <c r="EZ117" s="384"/>
      <c r="FA117" s="384"/>
      <c r="FB117" s="360"/>
      <c r="FC117" s="384"/>
      <c r="FD117" s="384"/>
      <c r="FE117" s="384"/>
      <c r="FF117" s="384"/>
      <c r="FG117" s="384"/>
      <c r="FH117" s="384"/>
      <c r="FI117" s="384"/>
      <c r="FJ117" s="384"/>
      <c r="FK117" s="384"/>
      <c r="FL117" s="384"/>
      <c r="FM117" s="384"/>
      <c r="FN117" s="384"/>
      <c r="FO117" s="384"/>
      <c r="FP117" s="384"/>
      <c r="FQ117" s="384"/>
      <c r="FR117" s="384"/>
      <c r="FS117" s="384"/>
      <c r="FT117" s="384"/>
      <c r="FU117" s="384"/>
      <c r="FV117" s="384"/>
      <c r="FW117" s="384"/>
      <c r="FX117" s="384"/>
      <c r="FY117" s="384"/>
      <c r="FZ117" s="384"/>
      <c r="GA117" s="384"/>
      <c r="GB117" s="384"/>
      <c r="GC117" s="384"/>
      <c r="GD117" s="384"/>
      <c r="GE117" s="384"/>
      <c r="GF117" s="384"/>
      <c r="GG117" s="384"/>
      <c r="GH117" s="384"/>
      <c r="GI117" s="384"/>
      <c r="GJ117" s="384"/>
      <c r="GK117" s="384"/>
      <c r="GL117" s="384"/>
      <c r="GM117" s="384"/>
    </row>
    <row r="118">
      <c r="B118" s="387" t="s">
        <v>129</v>
      </c>
      <c r="C118" s="384"/>
      <c r="D118" s="384"/>
      <c r="E118" s="384"/>
      <c r="F118" s="384"/>
      <c r="G118" s="384"/>
      <c r="H118" s="384"/>
      <c r="I118" s="384"/>
      <c r="J118" s="384"/>
      <c r="K118" s="384"/>
      <c r="L118" s="384"/>
      <c r="M118" s="384"/>
      <c r="N118" s="384"/>
      <c r="O118" s="384"/>
      <c r="P118" s="384"/>
      <c r="Q118" s="384"/>
      <c r="R118" s="384"/>
      <c r="S118" s="384"/>
      <c r="T118" s="384"/>
      <c r="U118" s="384"/>
      <c r="V118" s="384"/>
      <c r="W118" s="384"/>
      <c r="X118" s="384"/>
      <c r="Y118" s="384"/>
      <c r="Z118" s="384"/>
      <c r="AA118" s="384">
        <f t="shared" ref="AA118:AX118" si="292">AA78/AA$13</f>
        <v>0.04513453539</v>
      </c>
      <c r="AB118" s="384">
        <f t="shared" si="292"/>
        <v>0.07612960755</v>
      </c>
      <c r="AC118" s="384">
        <f t="shared" si="292"/>
        <v>0.1115475437</v>
      </c>
      <c r="AD118" s="384">
        <f t="shared" si="292"/>
        <v>0.1039996592</v>
      </c>
      <c r="AE118" s="384">
        <f t="shared" si="292"/>
        <v>0.1200264338</v>
      </c>
      <c r="AF118" s="384">
        <f t="shared" si="292"/>
        <v>0.09383527749</v>
      </c>
      <c r="AG118" s="384">
        <f t="shared" si="292"/>
        <v>0.116530391</v>
      </c>
      <c r="AH118" s="384">
        <f t="shared" si="292"/>
        <v>0.06761259369</v>
      </c>
      <c r="AI118" s="384">
        <f t="shared" si="292"/>
        <v>0.1020395492</v>
      </c>
      <c r="AJ118" s="384">
        <f t="shared" si="292"/>
        <v>0.1765854146</v>
      </c>
      <c r="AK118" s="384">
        <f t="shared" si="292"/>
        <v>0.0803512064</v>
      </c>
      <c r="AL118" s="384">
        <f t="shared" si="292"/>
        <v>0.208285406</v>
      </c>
      <c r="AM118" s="384">
        <f t="shared" si="292"/>
        <v>0.04736840131</v>
      </c>
      <c r="AN118" s="384">
        <f t="shared" si="292"/>
        <v>0.1168681579</v>
      </c>
      <c r="AO118" s="384">
        <f t="shared" si="292"/>
        <v>0.07702775691</v>
      </c>
      <c r="AP118" s="384">
        <f t="shared" si="292"/>
        <v>0.1843422104</v>
      </c>
      <c r="AQ118" s="384">
        <f t="shared" si="292"/>
        <v>0.1182631478</v>
      </c>
      <c r="AR118" s="384">
        <f t="shared" si="292"/>
        <v>0.09980795405</v>
      </c>
      <c r="AS118" s="384">
        <f t="shared" si="292"/>
        <v>0.1785294029</v>
      </c>
      <c r="AT118" s="384">
        <f t="shared" si="292"/>
        <v>0.09959389416</v>
      </c>
      <c r="AU118" s="384">
        <f t="shared" si="292"/>
        <v>0.1010498746</v>
      </c>
      <c r="AV118" s="384">
        <f t="shared" si="292"/>
        <v>0.07854310258</v>
      </c>
      <c r="AW118" s="384">
        <f t="shared" si="292"/>
        <v>0.09255811091</v>
      </c>
      <c r="AX118" s="384">
        <f t="shared" si="292"/>
        <v>0.11107686</v>
      </c>
      <c r="AY118" s="384">
        <f t="shared" ref="AY118:CH118" si="293">IFERROR(AY78/AY$13,0)</f>
        <v>0.1818025197</v>
      </c>
      <c r="AZ118" s="384">
        <f t="shared" si="293"/>
        <v>0.1074176782</v>
      </c>
      <c r="BA118" s="384">
        <f t="shared" si="293"/>
        <v>0.1266378604</v>
      </c>
      <c r="BB118" s="384">
        <f t="shared" si="293"/>
        <v>0.1080164463</v>
      </c>
      <c r="BC118" s="384">
        <f t="shared" si="293"/>
        <v>0.2066025134</v>
      </c>
      <c r="BD118" s="384">
        <f t="shared" si="293"/>
        <v>0.2413915709</v>
      </c>
      <c r="BE118" s="384">
        <f t="shared" si="293"/>
        <v>0.06628217801</v>
      </c>
      <c r="BF118" s="384">
        <f t="shared" si="293"/>
        <v>0.1227524995</v>
      </c>
      <c r="BG118" s="384">
        <f t="shared" si="293"/>
        <v>0.06735952963</v>
      </c>
      <c r="BH118" s="384">
        <f t="shared" si="293"/>
        <v>0.07811575407</v>
      </c>
      <c r="BI118" s="384">
        <f t="shared" si="293"/>
        <v>0.09051989916</v>
      </c>
      <c r="BJ118" s="384">
        <f t="shared" si="293"/>
        <v>0.07090425184</v>
      </c>
      <c r="BK118" s="384">
        <f t="shared" si="293"/>
        <v>0.1019570256</v>
      </c>
      <c r="BL118" s="384">
        <f t="shared" si="293"/>
        <v>0.09134399408</v>
      </c>
      <c r="BM118" s="384">
        <f t="shared" si="293"/>
        <v>0.08467168496</v>
      </c>
      <c r="BN118" s="384">
        <f t="shared" si="293"/>
        <v>0.07043065077</v>
      </c>
      <c r="BO118" s="384">
        <f t="shared" si="293"/>
        <v>0.1881485507</v>
      </c>
      <c r="BP118" s="384">
        <f t="shared" si="293"/>
        <v>0.1604974019</v>
      </c>
      <c r="BQ118" s="384">
        <f t="shared" si="293"/>
        <v>0.08710290096</v>
      </c>
      <c r="BR118" s="384">
        <f t="shared" si="293"/>
        <v>0.173613857</v>
      </c>
      <c r="BS118" s="384">
        <f t="shared" si="293"/>
        <v>0.2410971298</v>
      </c>
      <c r="BT118" s="384">
        <f t="shared" si="293"/>
        <v>0.2511466811</v>
      </c>
      <c r="BU118" s="384">
        <f t="shared" si="293"/>
        <v>0.2696604904</v>
      </c>
      <c r="BV118" s="384">
        <f t="shared" si="293"/>
        <v>0.05670664682</v>
      </c>
      <c r="BW118" s="458">
        <f t="shared" si="293"/>
        <v>0.2388289506</v>
      </c>
      <c r="BX118" s="458">
        <f t="shared" si="293"/>
        <v>0.220429148</v>
      </c>
      <c r="BY118" s="458">
        <f t="shared" si="293"/>
        <v>0.2462819872</v>
      </c>
      <c r="BZ118" s="458">
        <f t="shared" si="293"/>
        <v>0.2162734038</v>
      </c>
      <c r="CA118" s="458">
        <f t="shared" si="293"/>
        <v>0.276193095</v>
      </c>
      <c r="CB118" s="458">
        <f t="shared" si="293"/>
        <v>0.266687591</v>
      </c>
      <c r="CC118" s="458">
        <f t="shared" si="293"/>
        <v>0</v>
      </c>
      <c r="CD118" s="458">
        <f t="shared" si="293"/>
        <v>0</v>
      </c>
      <c r="CE118" s="458">
        <f t="shared" si="293"/>
        <v>0</v>
      </c>
      <c r="CF118" s="458">
        <f t="shared" si="293"/>
        <v>0</v>
      </c>
      <c r="CG118" s="458">
        <f t="shared" si="293"/>
        <v>0</v>
      </c>
      <c r="CH118" s="458">
        <f t="shared" si="293"/>
        <v>0</v>
      </c>
      <c r="CK118" s="485">
        <f>CK78/CK$13</f>
        <v>0.2170170331</v>
      </c>
      <c r="CL118" s="389"/>
      <c r="CM118" s="384">
        <f t="shared" ref="CM118:CQ118" si="294">IFERROR(CM78/CM$13,0)</f>
        <v>0.2355470606</v>
      </c>
      <c r="CN118" s="384">
        <f t="shared" si="294"/>
        <v>0.2527717373</v>
      </c>
      <c r="CO118" s="384">
        <f t="shared" si="294"/>
        <v>0</v>
      </c>
      <c r="CP118" s="384">
        <f t="shared" si="294"/>
        <v>0</v>
      </c>
      <c r="CQ118" s="485">
        <f t="shared" si="294"/>
        <v>0.2445109435</v>
      </c>
      <c r="CR118" s="384"/>
      <c r="CS118" s="384">
        <f t="shared" ref="CS118:CW118" si="295">IFERROR(CS78/CS$13,0)</f>
        <v>0.0928474027</v>
      </c>
      <c r="CT118" s="384">
        <f t="shared" si="295"/>
        <v>0.1392569261</v>
      </c>
      <c r="CU118" s="384">
        <f t="shared" si="295"/>
        <v>0.1699130286</v>
      </c>
      <c r="CV118" s="384">
        <f t="shared" si="295"/>
        <v>0.1920472413</v>
      </c>
      <c r="CW118" s="388">
        <f t="shared" si="295"/>
        <v>0.1538673106</v>
      </c>
      <c r="CX118" s="389"/>
      <c r="CY118" s="384">
        <f t="shared" ref="CY118:DC118" si="296">IFERROR(CY78/CY$13,0)</f>
        <v>0.137049512</v>
      </c>
      <c r="CZ118" s="384">
        <f t="shared" si="296"/>
        <v>0.1833292281</v>
      </c>
      <c r="DA118" s="384">
        <f t="shared" si="296"/>
        <v>0.085730815</v>
      </c>
      <c r="DB118" s="384">
        <f t="shared" si="296"/>
        <v>0.0798111437</v>
      </c>
      <c r="DC118" s="388">
        <f t="shared" si="296"/>
        <v>0.1171212627</v>
      </c>
      <c r="DD118" s="389"/>
      <c r="DE118" s="384">
        <f t="shared" ref="DE118:DI118" si="297">DE78/DE$13</f>
        <v>0.07928110528</v>
      </c>
      <c r="DF118" s="384">
        <f t="shared" si="297"/>
        <v>0.1339981566</v>
      </c>
      <c r="DG118" s="384">
        <f t="shared" si="297"/>
        <v>0.1248490274</v>
      </c>
      <c r="DH118" s="384">
        <f t="shared" si="297"/>
        <v>0.09312566219</v>
      </c>
      <c r="DI118" s="388">
        <f t="shared" si="297"/>
        <v>0.1069187714</v>
      </c>
      <c r="DJ118" s="389"/>
      <c r="DK118" s="384">
        <f t="shared" ref="DK118:DO118" si="298">DK78/DK$13</f>
        <v>0.07960232712</v>
      </c>
      <c r="DL118" s="384">
        <f t="shared" si="298"/>
        <v>0.1051996871</v>
      </c>
      <c r="DM118" s="384">
        <f t="shared" si="298"/>
        <v>0.09235193555</v>
      </c>
      <c r="DN118" s="384">
        <f t="shared" si="298"/>
        <v>0.1494466757</v>
      </c>
      <c r="DO118" s="388">
        <f t="shared" si="298"/>
        <v>0.1086948952</v>
      </c>
      <c r="DP118" s="389"/>
      <c r="DQ118" s="388" t="str">
        <f>DQ78/DQ$13</f>
        <v>#DIV/0!</v>
      </c>
      <c r="DR118" s="389"/>
      <c r="DS118" s="384"/>
      <c r="DT118" s="384"/>
      <c r="DU118" s="384"/>
      <c r="DV118" s="384"/>
      <c r="DW118" s="384"/>
      <c r="DX118" s="384"/>
      <c r="DY118" s="384"/>
      <c r="DZ118" s="384"/>
      <c r="EA118" s="384"/>
      <c r="EB118" s="384"/>
      <c r="EC118" s="384"/>
      <c r="ED118" s="384"/>
      <c r="EE118" s="384"/>
      <c r="EF118" s="384"/>
      <c r="EG118" s="384"/>
      <c r="EH118" s="384"/>
      <c r="EI118" s="384"/>
      <c r="EJ118" s="384"/>
      <c r="EK118" s="384"/>
      <c r="EL118" s="384"/>
      <c r="EM118" s="384"/>
      <c r="EN118" s="384"/>
      <c r="EO118" s="384"/>
      <c r="EP118" s="384"/>
      <c r="EQ118" s="384"/>
      <c r="ER118" s="384"/>
      <c r="ES118" s="384"/>
      <c r="ET118" s="384"/>
      <c r="EU118" s="384"/>
      <c r="EV118" s="384"/>
      <c r="EW118" s="384"/>
      <c r="EX118" s="384"/>
      <c r="EY118" s="384"/>
      <c r="EZ118" s="384"/>
      <c r="FA118" s="384"/>
      <c r="FB118" s="360"/>
      <c r="FC118" s="384"/>
      <c r="FD118" s="384"/>
      <c r="FE118" s="384"/>
      <c r="FF118" s="384"/>
      <c r="FG118" s="384"/>
      <c r="FH118" s="384"/>
      <c r="FI118" s="384"/>
      <c r="FJ118" s="384"/>
      <c r="FK118" s="384"/>
      <c r="FL118" s="384"/>
      <c r="FM118" s="384"/>
      <c r="FN118" s="384"/>
      <c r="FO118" s="384"/>
      <c r="FP118" s="384"/>
      <c r="FQ118" s="384"/>
      <c r="FR118" s="384"/>
      <c r="FS118" s="384"/>
      <c r="FT118" s="384"/>
      <c r="FU118" s="384"/>
      <c r="FV118" s="384"/>
      <c r="FW118" s="384"/>
      <c r="FX118" s="384"/>
      <c r="FY118" s="384"/>
      <c r="FZ118" s="384"/>
      <c r="GA118" s="384"/>
      <c r="GB118" s="384"/>
      <c r="GC118" s="384"/>
      <c r="GD118" s="384"/>
      <c r="GE118" s="384"/>
      <c r="GF118" s="384"/>
      <c r="GG118" s="384"/>
      <c r="GH118" s="384"/>
      <c r="GI118" s="384"/>
      <c r="GJ118" s="384"/>
      <c r="GK118" s="384"/>
      <c r="GL118" s="384"/>
      <c r="GM118" s="384"/>
    </row>
    <row r="119">
      <c r="B119" s="387" t="s">
        <v>130</v>
      </c>
      <c r="C119" s="384"/>
      <c r="D119" s="384"/>
      <c r="E119" s="384"/>
      <c r="F119" s="384"/>
      <c r="G119" s="384"/>
      <c r="H119" s="384"/>
      <c r="I119" s="384"/>
      <c r="J119" s="384"/>
      <c r="K119" s="384"/>
      <c r="L119" s="384"/>
      <c r="M119" s="384"/>
      <c r="N119" s="384"/>
      <c r="O119" s="384"/>
      <c r="P119" s="384"/>
      <c r="Q119" s="384"/>
      <c r="R119" s="384"/>
      <c r="S119" s="384"/>
      <c r="T119" s="384"/>
      <c r="U119" s="384"/>
      <c r="V119" s="384"/>
      <c r="W119" s="384"/>
      <c r="X119" s="384"/>
      <c r="Y119" s="384"/>
      <c r="Z119" s="384"/>
      <c r="AA119" s="384">
        <f t="shared" ref="AA119:AX119" si="299">AA91/AA13</f>
        <v>0.3675691871</v>
      </c>
      <c r="AB119" s="384">
        <f t="shared" si="299"/>
        <v>0.1540124046</v>
      </c>
      <c r="AC119" s="384">
        <f t="shared" si="299"/>
        <v>0.3040280615</v>
      </c>
      <c r="AD119" s="384">
        <f t="shared" si="299"/>
        <v>0.1910219811</v>
      </c>
      <c r="AE119" s="384">
        <f t="shared" si="299"/>
        <v>0.238513505</v>
      </c>
      <c r="AF119" s="384">
        <f t="shared" si="299"/>
        <v>0.3592094172</v>
      </c>
      <c r="AG119" s="384">
        <f t="shared" si="299"/>
        <v>0.207533785</v>
      </c>
      <c r="AH119" s="384">
        <f t="shared" si="299"/>
        <v>0.4758452932</v>
      </c>
      <c r="AI119" s="384">
        <f t="shared" si="299"/>
        <v>0.2976224725</v>
      </c>
      <c r="AJ119" s="384">
        <f t="shared" si="299"/>
        <v>0.3090916995</v>
      </c>
      <c r="AK119" s="384">
        <f t="shared" si="299"/>
        <v>0.2777000742</v>
      </c>
      <c r="AL119" s="384">
        <f t="shared" si="299"/>
        <v>-0.0532674812</v>
      </c>
      <c r="AM119" s="384">
        <f t="shared" si="299"/>
        <v>0.2593132639</v>
      </c>
      <c r="AN119" s="384">
        <f t="shared" si="299"/>
        <v>0.2738407276</v>
      </c>
      <c r="AO119" s="384">
        <f t="shared" si="299"/>
        <v>0.3448269273</v>
      </c>
      <c r="AP119" s="384">
        <f t="shared" si="299"/>
        <v>0.01372676774</v>
      </c>
      <c r="AQ119" s="384">
        <f t="shared" si="299"/>
        <v>0.1729421321</v>
      </c>
      <c r="AR119" s="384">
        <f t="shared" si="299"/>
        <v>0.1480352548</v>
      </c>
      <c r="AS119" s="384">
        <f t="shared" si="299"/>
        <v>-0.1337503266</v>
      </c>
      <c r="AT119" s="384">
        <f t="shared" si="299"/>
        <v>0.008809842438</v>
      </c>
      <c r="AU119" s="384">
        <f t="shared" si="299"/>
        <v>-0.09820742416</v>
      </c>
      <c r="AV119" s="384">
        <f t="shared" si="299"/>
        <v>0.06972328305</v>
      </c>
      <c r="AW119" s="384">
        <f t="shared" si="299"/>
        <v>-0.05663587249</v>
      </c>
      <c r="AX119" s="384">
        <f t="shared" si="299"/>
        <v>-0.08480248417</v>
      </c>
      <c r="AY119" s="384">
        <f t="shared" ref="AY119:CH119" si="300">IFERROR(AY91/AY13,0)</f>
        <v>-0.249457744</v>
      </c>
      <c r="AZ119" s="384">
        <f t="shared" si="300"/>
        <v>0.06225213911</v>
      </c>
      <c r="BA119" s="384">
        <f t="shared" si="300"/>
        <v>0.01209434761</v>
      </c>
      <c r="BB119" s="384">
        <f t="shared" si="300"/>
        <v>-0.08547657032</v>
      </c>
      <c r="BC119" s="384">
        <f t="shared" si="300"/>
        <v>-0.04570113712</v>
      </c>
      <c r="BD119" s="384">
        <f t="shared" si="300"/>
        <v>-0.1134139349</v>
      </c>
      <c r="BE119" s="384">
        <f t="shared" si="300"/>
        <v>0.1005248512</v>
      </c>
      <c r="BF119" s="384">
        <f t="shared" si="300"/>
        <v>-0.0891802884</v>
      </c>
      <c r="BG119" s="384">
        <f t="shared" si="300"/>
        <v>0.06515394766</v>
      </c>
      <c r="BH119" s="384">
        <f t="shared" si="300"/>
        <v>0.2524885676</v>
      </c>
      <c r="BI119" s="384">
        <f t="shared" si="300"/>
        <v>0.1681228438</v>
      </c>
      <c r="BJ119" s="384">
        <f t="shared" si="300"/>
        <v>0.07026243504</v>
      </c>
      <c r="BK119" s="384">
        <f t="shared" si="300"/>
        <v>0.04203514144</v>
      </c>
      <c r="BL119" s="384">
        <f t="shared" si="300"/>
        <v>0.1511844427</v>
      </c>
      <c r="BM119" s="384">
        <f t="shared" si="300"/>
        <v>0.1229954297</v>
      </c>
      <c r="BN119" s="384">
        <f t="shared" si="300"/>
        <v>0.09132528629</v>
      </c>
      <c r="BO119" s="384">
        <f t="shared" si="300"/>
        <v>0.01415925464</v>
      </c>
      <c r="BP119" s="384">
        <f t="shared" si="300"/>
        <v>0.06860364403</v>
      </c>
      <c r="BQ119" s="384">
        <f t="shared" si="300"/>
        <v>0.1709841099</v>
      </c>
      <c r="BR119" s="384">
        <f t="shared" si="300"/>
        <v>0.03971484176</v>
      </c>
      <c r="BS119" s="384">
        <f t="shared" si="300"/>
        <v>0.1358938222</v>
      </c>
      <c r="BT119" s="384">
        <f t="shared" si="300"/>
        <v>0.1892176585</v>
      </c>
      <c r="BU119" s="384">
        <f t="shared" si="300"/>
        <v>0.09212545844</v>
      </c>
      <c r="BV119" s="384">
        <f t="shared" si="300"/>
        <v>0.2864652775</v>
      </c>
      <c r="BW119" s="458">
        <f t="shared" si="300"/>
        <v>0.1089513597</v>
      </c>
      <c r="BX119" s="458">
        <f t="shared" si="300"/>
        <v>0.1373769244</v>
      </c>
      <c r="BY119" s="458">
        <f t="shared" si="300"/>
        <v>0.1504465899</v>
      </c>
      <c r="BZ119" s="458">
        <f t="shared" si="300"/>
        <v>0.2101249465</v>
      </c>
      <c r="CA119" s="458">
        <f t="shared" si="300"/>
        <v>0.1136799033</v>
      </c>
      <c r="CB119" s="458">
        <f t="shared" si="300"/>
        <v>0.1029845044</v>
      </c>
      <c r="CC119" s="458">
        <f t="shared" si="300"/>
        <v>0</v>
      </c>
      <c r="CD119" s="458">
        <f t="shared" si="300"/>
        <v>0</v>
      </c>
      <c r="CE119" s="458">
        <f t="shared" si="300"/>
        <v>0</v>
      </c>
      <c r="CF119" s="458">
        <f t="shared" si="300"/>
        <v>0</v>
      </c>
      <c r="CG119" s="458">
        <f t="shared" si="300"/>
        <v>0</v>
      </c>
      <c r="CH119" s="458">
        <f t="shared" si="300"/>
        <v>0</v>
      </c>
      <c r="CK119" s="485">
        <f>CK91/CK13</f>
        <v>0.1465322327</v>
      </c>
      <c r="CL119" s="389"/>
      <c r="CM119" s="384">
        <f t="shared" ref="CM119:CQ119" si="301">IFERROR(CM91/CM13,0)</f>
        <v>0.1327733866</v>
      </c>
      <c r="CN119" s="384">
        <f t="shared" si="301"/>
        <v>0.1424199435</v>
      </c>
      <c r="CO119" s="384">
        <f t="shared" si="301"/>
        <v>0</v>
      </c>
      <c r="CP119" s="384">
        <f t="shared" si="301"/>
        <v>0</v>
      </c>
      <c r="CQ119" s="485">
        <f t="shared" si="301"/>
        <v>0.137793545</v>
      </c>
      <c r="CR119" s="384"/>
      <c r="CS119" s="384">
        <f t="shared" ref="CS119:CW119" si="302">IFERROR(CS91/CS13,0)</f>
        <v>0.1040589021</v>
      </c>
      <c r="CT119" s="384">
        <f t="shared" si="302"/>
        <v>0.05833081237</v>
      </c>
      <c r="CU119" s="384">
        <f t="shared" si="302"/>
        <v>0.1177714345</v>
      </c>
      <c r="CV119" s="384">
        <f t="shared" si="302"/>
        <v>0.1924039316</v>
      </c>
      <c r="CW119" s="388">
        <f t="shared" si="302"/>
        <v>0.1243810811</v>
      </c>
      <c r="CX119" s="389"/>
      <c r="CY119" s="384">
        <f t="shared" ref="CY119:DC119" si="303">IFERROR(CY91/CY13,0)</f>
        <v>-0.05128535546</v>
      </c>
      <c r="CZ119" s="384">
        <f t="shared" si="303"/>
        <v>-0.08111925877</v>
      </c>
      <c r="DA119" s="384">
        <f t="shared" si="303"/>
        <v>0.02447253989</v>
      </c>
      <c r="DB119" s="384">
        <f t="shared" si="303"/>
        <v>0.1682754806</v>
      </c>
      <c r="DC119" s="388">
        <f t="shared" si="303"/>
        <v>0.02802911668</v>
      </c>
      <c r="DD119" s="389"/>
      <c r="DE119" s="384">
        <f t="shared" ref="DE119:DI119" si="304">DE91/DE13</f>
        <v>0.294009731</v>
      </c>
      <c r="DF119" s="384">
        <f t="shared" si="304"/>
        <v>0.1121646842</v>
      </c>
      <c r="DG119" s="384">
        <f t="shared" si="304"/>
        <v>-0.06850970735</v>
      </c>
      <c r="DH119" s="384">
        <f t="shared" si="304"/>
        <v>-0.01898640612</v>
      </c>
      <c r="DI119" s="388">
        <f t="shared" si="304"/>
        <v>0.09136767769</v>
      </c>
      <c r="DJ119" s="389"/>
      <c r="DK119" s="384">
        <f t="shared" ref="DK119:DO119" si="305">DK91/DK13</f>
        <v>0.2807536659</v>
      </c>
      <c r="DL119" s="384">
        <f t="shared" si="305"/>
        <v>0.2706460436</v>
      </c>
      <c r="DM119" s="384">
        <f t="shared" si="305"/>
        <v>0.3436824047</v>
      </c>
      <c r="DN119" s="384">
        <f t="shared" si="305"/>
        <v>0.2058645454</v>
      </c>
      <c r="DO119" s="388">
        <f t="shared" si="305"/>
        <v>0.275068234</v>
      </c>
      <c r="DP119" s="389"/>
      <c r="DQ119" s="388" t="str">
        <f>DQ91/DQ13</f>
        <v>#DIV/0!</v>
      </c>
      <c r="DR119" s="389"/>
      <c r="DS119" s="384"/>
      <c r="DT119" s="384"/>
      <c r="DU119" s="384"/>
      <c r="DV119" s="384"/>
      <c r="DW119" s="384"/>
      <c r="DX119" s="384"/>
      <c r="DY119" s="384"/>
      <c r="DZ119" s="384"/>
      <c r="EA119" s="384"/>
      <c r="EB119" s="384"/>
      <c r="EC119" s="384"/>
      <c r="ED119" s="384"/>
      <c r="EE119" s="384"/>
      <c r="EF119" s="384"/>
      <c r="EG119" s="384"/>
      <c r="EH119" s="384"/>
      <c r="EI119" s="384"/>
      <c r="EJ119" s="384"/>
      <c r="EK119" s="384"/>
      <c r="EL119" s="384"/>
      <c r="EM119" s="384"/>
      <c r="EN119" s="384"/>
      <c r="EO119" s="384"/>
      <c r="EP119" s="384"/>
      <c r="EQ119" s="384"/>
      <c r="ER119" s="384"/>
      <c r="ES119" s="384"/>
      <c r="ET119" s="384"/>
      <c r="EU119" s="384"/>
      <c r="EV119" s="384"/>
      <c r="EW119" s="384"/>
      <c r="EX119" s="384"/>
      <c r="EY119" s="384"/>
      <c r="EZ119" s="384"/>
      <c r="FA119" s="384"/>
      <c r="FB119" s="360"/>
      <c r="FC119" s="384"/>
      <c r="FD119" s="384"/>
      <c r="FE119" s="384"/>
      <c r="FF119" s="384"/>
      <c r="FG119" s="384"/>
      <c r="FH119" s="384"/>
      <c r="FI119" s="384"/>
      <c r="FJ119" s="384"/>
      <c r="FK119" s="384"/>
      <c r="FL119" s="384"/>
      <c r="FM119" s="384"/>
      <c r="FN119" s="384"/>
      <c r="FO119" s="384"/>
      <c r="FP119" s="384"/>
      <c r="FQ119" s="384"/>
      <c r="FR119" s="384"/>
      <c r="FS119" s="384"/>
      <c r="FT119" s="384"/>
      <c r="FU119" s="384"/>
      <c r="FV119" s="384"/>
      <c r="FW119" s="384"/>
      <c r="FX119" s="384"/>
      <c r="FY119" s="384"/>
      <c r="FZ119" s="384"/>
      <c r="GA119" s="384"/>
      <c r="GB119" s="384"/>
      <c r="GC119" s="384"/>
      <c r="GD119" s="384"/>
      <c r="GE119" s="384"/>
      <c r="GF119" s="384"/>
      <c r="GG119" s="384"/>
      <c r="GH119" s="384"/>
      <c r="GI119" s="384"/>
      <c r="GJ119" s="384"/>
      <c r="GK119" s="384"/>
      <c r="GL119" s="384"/>
      <c r="GM119" s="384"/>
    </row>
    <row r="120"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K120" s="42"/>
      <c r="CQ120" s="42"/>
      <c r="CW120" s="34"/>
      <c r="DC120" s="34"/>
      <c r="DI120" s="34"/>
      <c r="DO120" s="34"/>
      <c r="DQ120" s="34"/>
      <c r="DR120" s="136"/>
      <c r="FB120" s="3"/>
    </row>
    <row r="121">
      <c r="A121" s="2"/>
      <c r="B121" s="398" t="s">
        <v>536</v>
      </c>
      <c r="C121" s="399"/>
      <c r="D121" s="399"/>
      <c r="E121" s="399"/>
      <c r="F121" s="399"/>
      <c r="G121" s="399"/>
      <c r="H121" s="399"/>
      <c r="I121" s="399"/>
      <c r="J121" s="399"/>
      <c r="K121" s="399"/>
      <c r="L121" s="399"/>
      <c r="M121" s="399"/>
      <c r="N121" s="399"/>
      <c r="O121" s="399"/>
      <c r="P121" s="399"/>
      <c r="Q121" s="399"/>
      <c r="R121" s="399"/>
      <c r="S121" s="399"/>
      <c r="T121" s="399"/>
      <c r="U121" s="399"/>
      <c r="V121" s="399"/>
      <c r="W121" s="399"/>
      <c r="X121" s="399"/>
      <c r="Y121" s="399"/>
      <c r="Z121" s="399"/>
      <c r="AA121" s="399"/>
      <c r="AB121" s="399"/>
      <c r="AC121" s="399"/>
      <c r="AD121" s="399"/>
      <c r="AE121" s="399"/>
      <c r="AF121" s="399"/>
      <c r="AG121" s="399"/>
      <c r="AH121" s="399"/>
      <c r="AI121" s="399"/>
      <c r="AJ121" s="399"/>
      <c r="AK121" s="399"/>
      <c r="AL121" s="399"/>
      <c r="AM121" s="399"/>
      <c r="AN121" s="399"/>
      <c r="AO121" s="399"/>
      <c r="AP121" s="399"/>
      <c r="AQ121" s="399"/>
      <c r="AR121" s="399"/>
      <c r="AS121" s="399"/>
      <c r="AT121" s="399"/>
      <c r="AU121" s="399"/>
      <c r="AV121" s="399"/>
      <c r="AW121" s="399"/>
      <c r="AX121" s="399"/>
      <c r="AY121" s="399"/>
      <c r="AZ121" s="399"/>
      <c r="BA121" s="399"/>
      <c r="BB121" s="399"/>
      <c r="BC121" s="399"/>
      <c r="BD121" s="399"/>
      <c r="BE121" s="399"/>
      <c r="BF121" s="399"/>
      <c r="BG121" s="399"/>
      <c r="BH121" s="399"/>
      <c r="BI121" s="399"/>
      <c r="BJ121" s="399"/>
      <c r="BK121" s="399"/>
      <c r="BL121" s="399"/>
      <c r="BM121" s="399"/>
      <c r="BN121" s="399"/>
      <c r="BO121" s="399"/>
      <c r="BP121" s="399"/>
      <c r="BQ121" s="399"/>
      <c r="BR121" s="399"/>
      <c r="BS121" s="399"/>
      <c r="BT121" s="399"/>
      <c r="BU121" s="399"/>
      <c r="BV121" s="399"/>
      <c r="BW121" s="496"/>
      <c r="BX121" s="496"/>
      <c r="BY121" s="496"/>
      <c r="BZ121" s="496"/>
      <c r="CA121" s="496"/>
      <c r="CB121" s="496"/>
      <c r="CC121" s="496"/>
      <c r="CD121" s="496"/>
      <c r="CE121" s="496"/>
      <c r="CF121" s="496"/>
      <c r="CG121" s="496"/>
      <c r="CH121" s="496"/>
      <c r="CI121" s="2"/>
      <c r="CJ121" s="2"/>
      <c r="CK121" s="497"/>
      <c r="CL121" s="401"/>
      <c r="CM121" s="399"/>
      <c r="CN121" s="399"/>
      <c r="CO121" s="399"/>
      <c r="CP121" s="399"/>
      <c r="CQ121" s="497"/>
      <c r="CR121" s="399"/>
      <c r="CS121" s="399"/>
      <c r="CT121" s="399"/>
      <c r="CU121" s="399"/>
      <c r="CV121" s="399"/>
      <c r="CW121" s="400"/>
      <c r="CX121" s="401"/>
      <c r="CY121" s="399"/>
      <c r="CZ121" s="399"/>
      <c r="DA121" s="399"/>
      <c r="DB121" s="399"/>
      <c r="DC121" s="400"/>
      <c r="DD121" s="401"/>
      <c r="DE121" s="399"/>
      <c r="DF121" s="399"/>
      <c r="DG121" s="399"/>
      <c r="DH121" s="399"/>
      <c r="DI121" s="400"/>
      <c r="DJ121" s="401"/>
      <c r="DK121" s="399"/>
      <c r="DL121" s="399"/>
      <c r="DM121" s="399"/>
      <c r="DN121" s="399"/>
      <c r="DO121" s="400"/>
      <c r="DP121" s="401"/>
      <c r="DQ121" s="400"/>
      <c r="DR121" s="401"/>
      <c r="DS121" s="399"/>
      <c r="DT121" s="399"/>
      <c r="DU121" s="399"/>
      <c r="DV121" s="399"/>
      <c r="DW121" s="399"/>
      <c r="DX121" s="399"/>
      <c r="DY121" s="399"/>
      <c r="DZ121" s="399"/>
      <c r="EA121" s="399"/>
      <c r="EB121" s="399"/>
      <c r="EC121" s="399"/>
      <c r="ED121" s="399"/>
      <c r="EE121" s="399"/>
      <c r="EF121" s="399"/>
      <c r="EG121" s="399"/>
      <c r="EH121" s="399"/>
      <c r="EI121" s="399"/>
      <c r="EJ121" s="399"/>
      <c r="EK121" s="399"/>
      <c r="EL121" s="399"/>
      <c r="EM121" s="399"/>
      <c r="EN121" s="399"/>
      <c r="EO121" s="399"/>
      <c r="EP121" s="399"/>
      <c r="EQ121" s="399"/>
      <c r="ER121" s="399"/>
      <c r="ES121" s="399"/>
      <c r="ET121" s="399"/>
      <c r="EU121" s="399"/>
      <c r="EV121" s="399"/>
      <c r="EW121" s="399"/>
      <c r="EX121" s="399"/>
      <c r="EY121" s="399"/>
      <c r="EZ121" s="399"/>
      <c r="FA121" s="399"/>
      <c r="FB121" s="462"/>
      <c r="FC121" s="399"/>
      <c r="FD121" s="399"/>
      <c r="FE121" s="399"/>
      <c r="FF121" s="399"/>
      <c r="FG121" s="399"/>
      <c r="FH121" s="399"/>
      <c r="FI121" s="399"/>
      <c r="FJ121" s="399"/>
      <c r="FK121" s="399"/>
      <c r="FL121" s="399"/>
      <c r="FM121" s="399"/>
      <c r="FN121" s="399"/>
      <c r="FO121" s="399"/>
      <c r="FP121" s="399"/>
      <c r="FQ121" s="399"/>
      <c r="FR121" s="399"/>
      <c r="FS121" s="399"/>
      <c r="FT121" s="399"/>
      <c r="FU121" s="399"/>
      <c r="FV121" s="399"/>
      <c r="FW121" s="399"/>
      <c r="FX121" s="399"/>
      <c r="FY121" s="399"/>
      <c r="FZ121" s="399"/>
      <c r="GA121" s="399"/>
      <c r="GB121" s="399"/>
      <c r="GC121" s="399"/>
      <c r="GD121" s="399"/>
      <c r="GE121" s="399"/>
      <c r="GF121" s="399"/>
      <c r="GG121" s="399"/>
      <c r="GH121" s="399"/>
      <c r="GI121" s="399"/>
      <c r="GJ121" s="399"/>
      <c r="GK121" s="399"/>
      <c r="GL121" s="399"/>
      <c r="GM121" s="399"/>
    </row>
    <row r="122">
      <c r="A122" s="2"/>
      <c r="B122" s="402" t="s">
        <v>537</v>
      </c>
      <c r="C122" s="399"/>
      <c r="D122" s="399"/>
      <c r="E122" s="399"/>
      <c r="F122" s="399"/>
      <c r="G122" s="399"/>
      <c r="H122" s="399"/>
      <c r="I122" s="399"/>
      <c r="J122" s="399"/>
      <c r="K122" s="399"/>
      <c r="L122" s="399"/>
      <c r="M122" s="399"/>
      <c r="N122" s="399"/>
      <c r="O122" s="399"/>
      <c r="P122" s="399"/>
      <c r="Q122" s="399"/>
      <c r="R122" s="399"/>
      <c r="S122" s="399"/>
      <c r="T122" s="399"/>
      <c r="U122" s="399"/>
      <c r="V122" s="399"/>
      <c r="W122" s="399"/>
      <c r="X122" s="399"/>
      <c r="Y122" s="399"/>
      <c r="Z122" s="399"/>
      <c r="AA122" s="403">
        <v>16.0</v>
      </c>
      <c r="AB122" s="403">
        <v>17.0</v>
      </c>
      <c r="AC122" s="403">
        <v>18.0</v>
      </c>
      <c r="AD122" s="403">
        <v>17.0</v>
      </c>
      <c r="AE122" s="403">
        <v>17.0</v>
      </c>
      <c r="AF122" s="403">
        <v>19.0</v>
      </c>
      <c r="AG122" s="403">
        <v>19.0</v>
      </c>
      <c r="AH122" s="403">
        <v>21.0</v>
      </c>
      <c r="AI122" s="403">
        <v>24.0</v>
      </c>
      <c r="AJ122" s="403">
        <v>24.0</v>
      </c>
      <c r="AK122" s="403">
        <v>25.0</v>
      </c>
      <c r="AL122" s="403">
        <v>26.0</v>
      </c>
      <c r="AM122" s="403">
        <v>27.0</v>
      </c>
      <c r="AN122" s="403">
        <v>26.0</v>
      </c>
      <c r="AO122" s="403">
        <v>26.0</v>
      </c>
      <c r="AP122" s="403">
        <v>30.0</v>
      </c>
      <c r="AQ122" s="403">
        <v>32.0</v>
      </c>
      <c r="AR122" s="403">
        <v>34.0</v>
      </c>
      <c r="AS122" s="403">
        <v>34.0</v>
      </c>
      <c r="AT122" s="403">
        <v>35.0</v>
      </c>
      <c r="AU122" s="403">
        <v>35.0</v>
      </c>
      <c r="AV122" s="403">
        <v>41.0</v>
      </c>
      <c r="AW122" s="403">
        <v>40.0</v>
      </c>
      <c r="AX122" s="403">
        <v>42.0</v>
      </c>
      <c r="AY122" s="403">
        <v>43.0</v>
      </c>
      <c r="AZ122" s="403">
        <v>43.0</v>
      </c>
      <c r="BA122" s="403">
        <v>42.0</v>
      </c>
      <c r="BB122" s="403">
        <v>42.0</v>
      </c>
      <c r="BC122" s="403">
        <v>45.0</v>
      </c>
      <c r="BD122" s="403">
        <v>45.0</v>
      </c>
      <c r="BE122" s="403">
        <v>48.0</v>
      </c>
      <c r="BF122" s="403">
        <v>48.0</v>
      </c>
      <c r="BG122" s="403">
        <v>45.0</v>
      </c>
      <c r="BH122" s="403">
        <v>44.0</v>
      </c>
      <c r="BI122" s="403">
        <v>45.0</v>
      </c>
      <c r="BJ122" s="403">
        <v>45.0</v>
      </c>
      <c r="BK122" s="403">
        <v>43.0</v>
      </c>
      <c r="BL122" s="403">
        <v>42.0</v>
      </c>
      <c r="BM122" s="403">
        <v>43.0</v>
      </c>
      <c r="BN122" s="403">
        <v>43.0</v>
      </c>
      <c r="BO122" s="403">
        <v>42.0</v>
      </c>
      <c r="BP122" s="403">
        <v>43.0</v>
      </c>
      <c r="BQ122" s="403">
        <v>43.0</v>
      </c>
      <c r="BR122" s="403">
        <v>43.0</v>
      </c>
      <c r="BS122" s="403">
        <v>40.0</v>
      </c>
      <c r="BT122" s="403">
        <v>41.0</v>
      </c>
      <c r="BU122" s="403">
        <v>40.0</v>
      </c>
      <c r="BV122" s="403">
        <v>41.0</v>
      </c>
      <c r="BW122" s="500">
        <v>41.0</v>
      </c>
      <c r="BX122" s="500">
        <v>42.0</v>
      </c>
      <c r="BY122" s="500">
        <v>44.0</v>
      </c>
      <c r="BZ122" s="500">
        <v>46.0</v>
      </c>
      <c r="CA122" s="500">
        <v>54.0</v>
      </c>
      <c r="CB122" s="501">
        <v>68.0</v>
      </c>
      <c r="CC122" s="501">
        <v>72.0</v>
      </c>
      <c r="CD122" s="501">
        <v>76.0</v>
      </c>
      <c r="CE122" s="501">
        <v>80.0</v>
      </c>
      <c r="CF122" s="501">
        <v>84.0</v>
      </c>
      <c r="CG122" s="501">
        <v>88.0</v>
      </c>
      <c r="CH122" s="501">
        <v>92.0</v>
      </c>
      <c r="CI122" s="2"/>
      <c r="CJ122" s="2"/>
      <c r="CK122" s="502">
        <f>average(AO122:AZ122)</f>
        <v>36.25</v>
      </c>
      <c r="CL122" s="401"/>
      <c r="CM122" s="405">
        <f t="shared" ref="CM122:CM123" si="306">sum(BW122:BY122)/3</f>
        <v>42.33333333</v>
      </c>
      <c r="CN122" s="405">
        <f t="shared" ref="CN122:CN123" si="307">sum(BZ122:CB122)/3</f>
        <v>56</v>
      </c>
      <c r="CO122" s="405">
        <f t="shared" ref="CO122:CO123" si="308">sum(CC122:CE122)/3</f>
        <v>76</v>
      </c>
      <c r="CP122" s="405">
        <f>sum(CF122:CH122)</f>
        <v>264</v>
      </c>
      <c r="CQ122" s="503">
        <f t="shared" ref="CQ122:CQ123" si="309">sum(BW122:CH122)</f>
        <v>787</v>
      </c>
      <c r="CR122" s="405"/>
      <c r="CS122" s="405">
        <f t="shared" ref="CS122:CS123" si="310">sum(BK122:BM122)/3</f>
        <v>42.66666667</v>
      </c>
      <c r="CT122" s="399">
        <f t="shared" ref="CT122:CT123" si="311">sum(BN122:BP122)/3</f>
        <v>42.66666667</v>
      </c>
      <c r="CU122" s="406">
        <f t="shared" ref="CU122:CU123" si="312">sum(BQ122:BS122)/3</f>
        <v>42</v>
      </c>
      <c r="CV122" s="399">
        <f t="shared" ref="CV122:CV123" si="313">sum(BT122:BV122)/3</f>
        <v>40.66666667</v>
      </c>
      <c r="CW122" s="400">
        <f t="shared" ref="CW122:CW123" si="314">BV122</f>
        <v>41</v>
      </c>
      <c r="CX122" s="401"/>
      <c r="CY122" s="405">
        <f t="shared" ref="CY122:CY123" si="315">sum(AY122:BA122)/3</f>
        <v>42.66666667</v>
      </c>
      <c r="CZ122" s="399">
        <f t="shared" ref="CZ122:CZ123" si="316">sum(BB122:BD122)/3</f>
        <v>44</v>
      </c>
      <c r="DA122" s="406">
        <f t="shared" ref="DA122:DA123" si="317">sum(BE122:BG122)/3</f>
        <v>47</v>
      </c>
      <c r="DB122" s="399">
        <f t="shared" ref="DB122:DB123" si="318">sum(BH122:BJ122)/3</f>
        <v>44.66666667</v>
      </c>
      <c r="DC122" s="400">
        <f t="shared" ref="DC122:DC123" si="319">DB122</f>
        <v>44.66666667</v>
      </c>
      <c r="DD122" s="401"/>
      <c r="DE122" s="406">
        <f t="shared" ref="DE122:DE123" si="320">sum(AM122:AO122)/3</f>
        <v>26.33333333</v>
      </c>
      <c r="DF122" s="399">
        <f t="shared" ref="DF122:DF123" si="321">sum(AP122:AR122)/3</f>
        <v>32</v>
      </c>
      <c r="DG122" s="406">
        <f t="shared" ref="DG122:DG123" si="322">sum(AS122:AU122)/3</f>
        <v>34.66666667</v>
      </c>
      <c r="DH122" s="399">
        <f t="shared" ref="DH122:DH123" si="323">sum(AV122:AX122)/3</f>
        <v>41</v>
      </c>
      <c r="DI122" s="400">
        <f t="shared" ref="DI122:DI123" si="324">DH122</f>
        <v>41</v>
      </c>
      <c r="DJ122" s="401"/>
      <c r="DK122" s="406">
        <f t="shared" ref="DK122:DK123" si="325">sum(AA122:AC122)/3</f>
        <v>17</v>
      </c>
      <c r="DL122" s="406">
        <f t="shared" ref="DL122:DL123" si="326">sum(AD122:AF122)/3</f>
        <v>17.66666667</v>
      </c>
      <c r="DM122" s="406">
        <f t="shared" ref="DM122:DM123" si="327">sum(AG122:AI122)/3</f>
        <v>21.33333333</v>
      </c>
      <c r="DN122" s="406">
        <f t="shared" ref="DN122:DN123" si="328">sum(AJ122:AL122)/3</f>
        <v>25</v>
      </c>
      <c r="DO122" s="404">
        <f t="shared" ref="DO122:DO123" si="329">DN122</f>
        <v>25</v>
      </c>
      <c r="DP122" s="401"/>
      <c r="DQ122" s="404" t="str">
        <f t="shared" ref="DQ122:DQ123" si="330">DP122</f>
        <v/>
      </c>
      <c r="DR122" s="407"/>
      <c r="DS122" s="399"/>
      <c r="DT122" s="399"/>
      <c r="DU122" s="399"/>
      <c r="DV122" s="399"/>
      <c r="DW122" s="399"/>
      <c r="DX122" s="399"/>
      <c r="DY122" s="399"/>
      <c r="DZ122" s="399"/>
      <c r="EA122" s="399"/>
      <c r="EB122" s="399"/>
      <c r="EC122" s="399"/>
      <c r="ED122" s="399"/>
      <c r="EE122" s="403"/>
      <c r="EF122" s="403"/>
      <c r="EG122" s="403"/>
      <c r="EH122" s="403"/>
      <c r="EI122" s="403"/>
      <c r="EJ122" s="403"/>
      <c r="EK122" s="403"/>
      <c r="EL122" s="403"/>
      <c r="EM122" s="403"/>
      <c r="EN122" s="403"/>
      <c r="EO122" s="403"/>
      <c r="EP122" s="403"/>
      <c r="EQ122" s="403"/>
      <c r="ER122" s="403"/>
      <c r="ES122" s="403"/>
      <c r="ET122" s="403"/>
      <c r="EU122" s="403"/>
      <c r="EV122" s="403"/>
      <c r="EW122" s="403"/>
      <c r="EX122" s="403"/>
      <c r="EY122" s="403"/>
      <c r="EZ122" s="403"/>
      <c r="FA122" s="403"/>
      <c r="FB122" s="463"/>
      <c r="FC122" s="403"/>
      <c r="FD122" s="403"/>
      <c r="FE122" s="403"/>
      <c r="FF122" s="403"/>
      <c r="FG122" s="403"/>
      <c r="FH122" s="403"/>
      <c r="FI122" s="403"/>
      <c r="FJ122" s="403"/>
      <c r="FK122" s="403"/>
      <c r="FL122" s="403"/>
      <c r="FM122" s="403"/>
      <c r="FN122" s="403"/>
      <c r="FO122" s="403"/>
      <c r="FP122" s="403"/>
      <c r="FQ122" s="403"/>
      <c r="FR122" s="403"/>
      <c r="FS122" s="403"/>
      <c r="FT122" s="403"/>
      <c r="FU122" s="403"/>
      <c r="FV122" s="403"/>
      <c r="FW122" s="403"/>
      <c r="FX122" s="403"/>
      <c r="FY122" s="403"/>
      <c r="FZ122" s="403"/>
      <c r="GA122" s="403"/>
      <c r="GB122" s="403"/>
      <c r="GC122" s="403"/>
      <c r="GD122" s="403"/>
      <c r="GE122" s="403"/>
      <c r="GF122" s="403"/>
      <c r="GG122" s="403"/>
      <c r="GH122" s="403"/>
      <c r="GI122" s="403"/>
      <c r="GJ122" s="403"/>
      <c r="GK122" s="403"/>
      <c r="GL122" s="403"/>
      <c r="GM122" s="403"/>
    </row>
    <row r="123">
      <c r="A123" s="2"/>
      <c r="B123" s="402" t="s">
        <v>538</v>
      </c>
      <c r="C123" s="399">
        <v>3.0</v>
      </c>
      <c r="D123" s="399">
        <v>3.0</v>
      </c>
      <c r="E123" s="399">
        <v>4.0</v>
      </c>
      <c r="F123" s="399">
        <v>4.0</v>
      </c>
      <c r="G123" s="399">
        <v>4.0</v>
      </c>
      <c r="H123" s="399">
        <v>5.0</v>
      </c>
      <c r="I123" s="399">
        <v>5.0</v>
      </c>
      <c r="J123" s="399">
        <v>6.0</v>
      </c>
      <c r="K123" s="399">
        <v>8.0</v>
      </c>
      <c r="L123" s="399">
        <v>8.0</v>
      </c>
      <c r="M123" s="399">
        <v>11.0</v>
      </c>
      <c r="N123" s="399">
        <v>11.0</v>
      </c>
      <c r="O123" s="399">
        <v>10.0</v>
      </c>
      <c r="P123" s="399">
        <v>11.0</v>
      </c>
      <c r="Q123" s="399">
        <v>11.0</v>
      </c>
      <c r="R123" s="399">
        <v>11.0</v>
      </c>
      <c r="S123" s="399">
        <v>11.0</v>
      </c>
      <c r="T123" s="399">
        <v>11.0</v>
      </c>
      <c r="U123" s="399">
        <v>14.0</v>
      </c>
      <c r="V123" s="399">
        <v>17.0</v>
      </c>
      <c r="W123" s="399">
        <v>20.0</v>
      </c>
      <c r="X123" s="399">
        <v>23.0</v>
      </c>
      <c r="Y123" s="399">
        <v>24.0</v>
      </c>
      <c r="Z123" s="399">
        <v>24.0</v>
      </c>
      <c r="AA123" s="399">
        <v>24.0</v>
      </c>
      <c r="AB123" s="399">
        <v>28.0</v>
      </c>
      <c r="AC123" s="399">
        <v>31.0</v>
      </c>
      <c r="AD123" s="399">
        <v>34.0</v>
      </c>
      <c r="AE123" s="399">
        <v>35.0</v>
      </c>
      <c r="AF123" s="399">
        <v>36.0</v>
      </c>
      <c r="AG123" s="399">
        <v>39.0</v>
      </c>
      <c r="AH123" s="399">
        <v>41.0</v>
      </c>
      <c r="AI123" s="399">
        <v>41.0</v>
      </c>
      <c r="AJ123" s="399">
        <v>38.0</v>
      </c>
      <c r="AK123" s="399">
        <v>43.0</v>
      </c>
      <c r="AL123" s="399">
        <v>47.0</v>
      </c>
      <c r="AM123" s="399">
        <v>48.0</v>
      </c>
      <c r="AN123" s="399">
        <v>52.0</v>
      </c>
      <c r="AO123" s="399">
        <v>50.0</v>
      </c>
      <c r="AP123" s="399">
        <v>45.0</v>
      </c>
      <c r="AQ123" s="399">
        <v>46.0</v>
      </c>
      <c r="AR123" s="399">
        <v>47.0</v>
      </c>
      <c r="AS123" s="403">
        <v>49.0</v>
      </c>
      <c r="AT123" s="403">
        <v>52.0</v>
      </c>
      <c r="AU123" s="403">
        <v>51.0</v>
      </c>
      <c r="AV123" s="403">
        <v>51.0</v>
      </c>
      <c r="AW123" s="403">
        <v>50.0</v>
      </c>
      <c r="AX123" s="403">
        <v>48.0</v>
      </c>
      <c r="AY123" s="403">
        <v>47.0</v>
      </c>
      <c r="AZ123" s="403">
        <v>47.0</v>
      </c>
      <c r="BA123" s="403">
        <v>45.0</v>
      </c>
      <c r="BB123" s="403">
        <v>44.0</v>
      </c>
      <c r="BC123" s="403">
        <v>44.0</v>
      </c>
      <c r="BD123" s="403">
        <v>45.0</v>
      </c>
      <c r="BE123" s="403">
        <v>47.0</v>
      </c>
      <c r="BF123" s="403">
        <v>50.0</v>
      </c>
      <c r="BG123" s="403">
        <v>53.0</v>
      </c>
      <c r="BH123" s="403">
        <v>55.0</v>
      </c>
      <c r="BI123" s="403">
        <v>59.0</v>
      </c>
      <c r="BJ123" s="403">
        <v>62.0</v>
      </c>
      <c r="BK123" s="403">
        <v>65.0</v>
      </c>
      <c r="BL123" s="403">
        <v>65.0</v>
      </c>
      <c r="BM123" s="403">
        <v>64.0</v>
      </c>
      <c r="BN123" s="403">
        <v>67.0</v>
      </c>
      <c r="BO123" s="403">
        <v>71.0</v>
      </c>
      <c r="BP123" s="403">
        <v>75.0</v>
      </c>
      <c r="BQ123" s="403">
        <v>78.0</v>
      </c>
      <c r="BR123" s="403">
        <v>79.0</v>
      </c>
      <c r="BS123" s="403">
        <v>88.0</v>
      </c>
      <c r="BT123" s="403">
        <v>91.0</v>
      </c>
      <c r="BU123" s="403">
        <v>101.0</v>
      </c>
      <c r="BV123" s="403">
        <v>106.0</v>
      </c>
      <c r="BW123" s="500">
        <v>107.0</v>
      </c>
      <c r="BX123" s="500">
        <v>112.0</v>
      </c>
      <c r="BY123" s="500">
        <v>116.0</v>
      </c>
      <c r="BZ123" s="500">
        <v>116.0</v>
      </c>
      <c r="CA123" s="500">
        <v>113.0</v>
      </c>
      <c r="CB123" s="501">
        <v>150.0</v>
      </c>
      <c r="CC123" s="501">
        <v>157.0</v>
      </c>
      <c r="CD123" s="501">
        <v>164.0</v>
      </c>
      <c r="CE123" s="501">
        <v>171.0</v>
      </c>
      <c r="CF123" s="501">
        <v>178.0</v>
      </c>
      <c r="CG123" s="501">
        <v>185.0</v>
      </c>
      <c r="CH123" s="501">
        <v>192.0</v>
      </c>
      <c r="CI123" s="2"/>
      <c r="CJ123" s="2"/>
      <c r="CK123" s="502">
        <f>average(AP123:BA123)</f>
        <v>48.16666667</v>
      </c>
      <c r="CL123" s="401"/>
      <c r="CM123" s="405">
        <f t="shared" si="306"/>
        <v>111.6666667</v>
      </c>
      <c r="CN123" s="405">
        <f t="shared" si="307"/>
        <v>126.3333333</v>
      </c>
      <c r="CO123" s="405">
        <f t="shared" si="308"/>
        <v>164</v>
      </c>
      <c r="CP123" s="405">
        <f>sum(CF123:CH123)/3</f>
        <v>185</v>
      </c>
      <c r="CQ123" s="503">
        <f t="shared" si="309"/>
        <v>1761</v>
      </c>
      <c r="CR123" s="405"/>
      <c r="CS123" s="405">
        <f t="shared" si="310"/>
        <v>64.66666667</v>
      </c>
      <c r="CT123" s="399">
        <f t="shared" si="311"/>
        <v>71</v>
      </c>
      <c r="CU123" s="406">
        <f t="shared" si="312"/>
        <v>81.66666667</v>
      </c>
      <c r="CV123" s="399">
        <f t="shared" si="313"/>
        <v>99.33333333</v>
      </c>
      <c r="CW123" s="400">
        <f t="shared" si="314"/>
        <v>106</v>
      </c>
      <c r="CX123" s="401"/>
      <c r="CY123" s="405">
        <f t="shared" si="315"/>
        <v>46.33333333</v>
      </c>
      <c r="CZ123" s="399">
        <f t="shared" si="316"/>
        <v>44.33333333</v>
      </c>
      <c r="DA123" s="406">
        <f t="shared" si="317"/>
        <v>50</v>
      </c>
      <c r="DB123" s="399">
        <f t="shared" si="318"/>
        <v>58.66666667</v>
      </c>
      <c r="DC123" s="400">
        <f t="shared" si="319"/>
        <v>58.66666667</v>
      </c>
      <c r="DD123" s="401"/>
      <c r="DE123" s="399">
        <f t="shared" si="320"/>
        <v>50</v>
      </c>
      <c r="DF123" s="399">
        <f t="shared" si="321"/>
        <v>46</v>
      </c>
      <c r="DG123" s="406">
        <f t="shared" si="322"/>
        <v>50.66666667</v>
      </c>
      <c r="DH123" s="408">
        <f t="shared" si="323"/>
        <v>49.66666667</v>
      </c>
      <c r="DI123" s="409">
        <f t="shared" si="324"/>
        <v>49.66666667</v>
      </c>
      <c r="DJ123" s="401"/>
      <c r="DK123" s="406">
        <f t="shared" si="325"/>
        <v>27.66666667</v>
      </c>
      <c r="DL123" s="406">
        <f t="shared" si="326"/>
        <v>35</v>
      </c>
      <c r="DM123" s="406">
        <f t="shared" si="327"/>
        <v>40.33333333</v>
      </c>
      <c r="DN123" s="406">
        <f t="shared" si="328"/>
        <v>42.66666667</v>
      </c>
      <c r="DO123" s="404">
        <f t="shared" si="329"/>
        <v>42.66666667</v>
      </c>
      <c r="DP123" s="401"/>
      <c r="DQ123" s="404" t="str">
        <f t="shared" si="330"/>
        <v/>
      </c>
      <c r="DR123" s="407"/>
      <c r="DS123" s="399"/>
      <c r="DT123" s="399"/>
      <c r="DU123" s="399"/>
      <c r="DV123" s="399"/>
      <c r="DW123" s="399"/>
      <c r="DX123" s="399"/>
      <c r="DY123" s="399"/>
      <c r="DZ123" s="399"/>
      <c r="EA123" s="399"/>
      <c r="EB123" s="399"/>
      <c r="EC123" s="399"/>
      <c r="ED123" s="399"/>
      <c r="EE123" s="399"/>
      <c r="EF123" s="399"/>
      <c r="EG123" s="399"/>
      <c r="EH123" s="399"/>
      <c r="EI123" s="399"/>
      <c r="EJ123" s="399"/>
      <c r="EK123" s="399"/>
      <c r="EL123" s="399"/>
      <c r="EM123" s="399"/>
      <c r="EN123" s="399"/>
      <c r="EO123" s="399"/>
      <c r="EP123" s="399"/>
      <c r="EQ123" s="399"/>
      <c r="ER123" s="399"/>
      <c r="ES123" s="399"/>
      <c r="ET123" s="399"/>
      <c r="EU123" s="399"/>
      <c r="EV123" s="399"/>
      <c r="EW123" s="403"/>
      <c r="EX123" s="403"/>
      <c r="EY123" s="403"/>
      <c r="EZ123" s="403"/>
      <c r="FA123" s="403"/>
      <c r="FB123" s="463"/>
      <c r="FC123" s="403"/>
      <c r="FD123" s="403"/>
      <c r="FE123" s="403"/>
      <c r="FF123" s="403"/>
      <c r="FG123" s="403"/>
      <c r="FH123" s="403"/>
      <c r="FI123" s="403"/>
      <c r="FJ123" s="403"/>
      <c r="FK123" s="403"/>
      <c r="FL123" s="403"/>
      <c r="FM123" s="403"/>
      <c r="FN123" s="403"/>
      <c r="FO123" s="403"/>
      <c r="FP123" s="403"/>
      <c r="FQ123" s="403"/>
      <c r="FR123" s="403"/>
      <c r="FS123" s="403"/>
      <c r="FT123" s="403"/>
      <c r="FU123" s="403"/>
      <c r="FV123" s="403"/>
      <c r="FW123" s="403"/>
      <c r="FX123" s="403"/>
      <c r="FY123" s="403"/>
      <c r="FZ123" s="403"/>
      <c r="GA123" s="403"/>
      <c r="GB123" s="403"/>
      <c r="GC123" s="403"/>
      <c r="GD123" s="403"/>
      <c r="GE123" s="403"/>
      <c r="GF123" s="403"/>
      <c r="GG123" s="403"/>
      <c r="GH123" s="403"/>
      <c r="GI123" s="403"/>
      <c r="GJ123" s="403"/>
      <c r="GK123" s="403"/>
      <c r="GL123" s="403"/>
      <c r="GM123" s="403"/>
    </row>
    <row r="124">
      <c r="B124" s="387" t="s">
        <v>539</v>
      </c>
      <c r="C124" s="359"/>
      <c r="D124" s="359"/>
      <c r="E124" s="359"/>
      <c r="F124" s="359"/>
      <c r="G124" s="359"/>
      <c r="H124" s="359"/>
      <c r="I124" s="359"/>
      <c r="J124" s="359"/>
      <c r="K124" s="359"/>
      <c r="L124" s="359"/>
      <c r="M124" s="359"/>
      <c r="N124" s="359"/>
      <c r="O124" s="359"/>
      <c r="P124" s="359"/>
      <c r="Q124" s="359"/>
      <c r="R124" s="359"/>
      <c r="S124" s="359"/>
      <c r="T124" s="359"/>
      <c r="U124" s="359"/>
      <c r="V124" s="359"/>
      <c r="W124" s="359"/>
      <c r="X124" s="359"/>
      <c r="Y124" s="359"/>
      <c r="Z124" s="359"/>
      <c r="AA124" s="410">
        <f t="shared" ref="AA124:AX124" si="331">AA122/SUM(AA$122:AA$123)</f>
        <v>0.4</v>
      </c>
      <c r="AB124" s="410">
        <f t="shared" si="331"/>
        <v>0.3777777778</v>
      </c>
      <c r="AC124" s="410">
        <f t="shared" si="331"/>
        <v>0.3673469388</v>
      </c>
      <c r="AD124" s="410">
        <f t="shared" si="331"/>
        <v>0.3333333333</v>
      </c>
      <c r="AE124" s="410">
        <f t="shared" si="331"/>
        <v>0.3269230769</v>
      </c>
      <c r="AF124" s="410">
        <f t="shared" si="331"/>
        <v>0.3454545455</v>
      </c>
      <c r="AG124" s="410">
        <f t="shared" si="331"/>
        <v>0.3275862069</v>
      </c>
      <c r="AH124" s="410">
        <f t="shared" si="331"/>
        <v>0.3387096774</v>
      </c>
      <c r="AI124" s="410">
        <f t="shared" si="331"/>
        <v>0.3692307692</v>
      </c>
      <c r="AJ124" s="410">
        <f t="shared" si="331"/>
        <v>0.3870967742</v>
      </c>
      <c r="AK124" s="410">
        <f t="shared" si="331"/>
        <v>0.3676470588</v>
      </c>
      <c r="AL124" s="410">
        <f t="shared" si="331"/>
        <v>0.3561643836</v>
      </c>
      <c r="AM124" s="410">
        <f t="shared" si="331"/>
        <v>0.36</v>
      </c>
      <c r="AN124" s="410">
        <f t="shared" si="331"/>
        <v>0.3333333333</v>
      </c>
      <c r="AO124" s="410">
        <f t="shared" si="331"/>
        <v>0.3421052632</v>
      </c>
      <c r="AP124" s="410">
        <f t="shared" si="331"/>
        <v>0.4</v>
      </c>
      <c r="AQ124" s="410">
        <f t="shared" si="331"/>
        <v>0.4102564103</v>
      </c>
      <c r="AR124" s="410">
        <f t="shared" si="331"/>
        <v>0.4197530864</v>
      </c>
      <c r="AS124" s="410">
        <f t="shared" si="331"/>
        <v>0.4096385542</v>
      </c>
      <c r="AT124" s="410">
        <f t="shared" si="331"/>
        <v>0.4022988506</v>
      </c>
      <c r="AU124" s="410">
        <f t="shared" si="331"/>
        <v>0.4069767442</v>
      </c>
      <c r="AV124" s="410">
        <f t="shared" si="331"/>
        <v>0.4456521739</v>
      </c>
      <c r="AW124" s="410">
        <f t="shared" si="331"/>
        <v>0.4444444444</v>
      </c>
      <c r="AX124" s="410">
        <f t="shared" si="331"/>
        <v>0.4666666667</v>
      </c>
      <c r="AY124" s="410">
        <f t="shared" ref="AY124:CH124" si="332">IFERROR(AY122/SUM(AY$122:AY$123),0)</f>
        <v>0.4777777778</v>
      </c>
      <c r="AZ124" s="410">
        <f t="shared" si="332"/>
        <v>0.4777777778</v>
      </c>
      <c r="BA124" s="410">
        <f t="shared" si="332"/>
        <v>0.4827586207</v>
      </c>
      <c r="BB124" s="410">
        <f t="shared" si="332"/>
        <v>0.488372093</v>
      </c>
      <c r="BC124" s="410">
        <f t="shared" si="332"/>
        <v>0.5056179775</v>
      </c>
      <c r="BD124" s="410">
        <f t="shared" si="332"/>
        <v>0.5</v>
      </c>
      <c r="BE124" s="410">
        <f t="shared" si="332"/>
        <v>0.5052631579</v>
      </c>
      <c r="BF124" s="410">
        <f t="shared" si="332"/>
        <v>0.4897959184</v>
      </c>
      <c r="BG124" s="410">
        <f t="shared" si="332"/>
        <v>0.4591836735</v>
      </c>
      <c r="BH124" s="410">
        <f t="shared" si="332"/>
        <v>0.4444444444</v>
      </c>
      <c r="BI124" s="410">
        <f t="shared" si="332"/>
        <v>0.4326923077</v>
      </c>
      <c r="BJ124" s="410">
        <f t="shared" si="332"/>
        <v>0.4205607477</v>
      </c>
      <c r="BK124" s="410">
        <f t="shared" si="332"/>
        <v>0.3981481481</v>
      </c>
      <c r="BL124" s="410">
        <f t="shared" si="332"/>
        <v>0.3925233645</v>
      </c>
      <c r="BM124" s="410">
        <f t="shared" si="332"/>
        <v>0.4018691589</v>
      </c>
      <c r="BN124" s="410">
        <f t="shared" si="332"/>
        <v>0.3909090909</v>
      </c>
      <c r="BO124" s="410">
        <f t="shared" si="332"/>
        <v>0.3716814159</v>
      </c>
      <c r="BP124" s="410">
        <f t="shared" si="332"/>
        <v>0.3644067797</v>
      </c>
      <c r="BQ124" s="410">
        <f t="shared" si="332"/>
        <v>0.3553719008</v>
      </c>
      <c r="BR124" s="410">
        <f t="shared" si="332"/>
        <v>0.3524590164</v>
      </c>
      <c r="BS124" s="410">
        <f t="shared" si="332"/>
        <v>0.3125</v>
      </c>
      <c r="BT124" s="410">
        <f t="shared" si="332"/>
        <v>0.3106060606</v>
      </c>
      <c r="BU124" s="410">
        <f t="shared" si="332"/>
        <v>0.2836879433</v>
      </c>
      <c r="BV124" s="410">
        <f t="shared" si="332"/>
        <v>0.2789115646</v>
      </c>
      <c r="BW124" s="504">
        <f t="shared" si="332"/>
        <v>0.277027027</v>
      </c>
      <c r="BX124" s="504">
        <f t="shared" si="332"/>
        <v>0.2727272727</v>
      </c>
      <c r="BY124" s="504">
        <f t="shared" si="332"/>
        <v>0.275</v>
      </c>
      <c r="BZ124" s="504">
        <f t="shared" si="332"/>
        <v>0.2839506173</v>
      </c>
      <c r="CA124" s="504">
        <f t="shared" si="332"/>
        <v>0.3233532934</v>
      </c>
      <c r="CB124" s="504">
        <f t="shared" si="332"/>
        <v>0.3119266055</v>
      </c>
      <c r="CC124" s="504">
        <f t="shared" si="332"/>
        <v>0.3144104803</v>
      </c>
      <c r="CD124" s="504">
        <f t="shared" si="332"/>
        <v>0.3166666667</v>
      </c>
      <c r="CE124" s="504">
        <f t="shared" si="332"/>
        <v>0.3187250996</v>
      </c>
      <c r="CF124" s="504">
        <f t="shared" si="332"/>
        <v>0.320610687</v>
      </c>
      <c r="CG124" s="504">
        <f t="shared" si="332"/>
        <v>0.3223443223</v>
      </c>
      <c r="CH124" s="504">
        <f t="shared" si="332"/>
        <v>0.323943662</v>
      </c>
      <c r="CK124" s="505">
        <f t="shared" ref="CK124:CK125" si="340">IFERROR(CK122/SUM(CK$122:CK$123),0)</f>
        <v>0.4294175716</v>
      </c>
      <c r="CL124" s="412"/>
      <c r="CM124" s="410">
        <f t="shared" ref="CM124:CQ124" si="333">IFERROR(CM122/sum(CM123,CM122),0)</f>
        <v>0.2748917749</v>
      </c>
      <c r="CN124" s="410">
        <f t="shared" si="333"/>
        <v>0.3071297989</v>
      </c>
      <c r="CO124" s="410">
        <f t="shared" si="333"/>
        <v>0.3166666667</v>
      </c>
      <c r="CP124" s="410">
        <f t="shared" si="333"/>
        <v>0.5879732739</v>
      </c>
      <c r="CQ124" s="505">
        <f t="shared" si="333"/>
        <v>0.3088697017</v>
      </c>
      <c r="CR124" s="410"/>
      <c r="CS124" s="410">
        <f t="shared" ref="CS124:CW124" si="334">IFERROR(CS122/sum(CS123,CS122),0)</f>
        <v>0.397515528</v>
      </c>
      <c r="CT124" s="410">
        <f t="shared" si="334"/>
        <v>0.3753665689</v>
      </c>
      <c r="CU124" s="410">
        <f t="shared" si="334"/>
        <v>0.3396226415</v>
      </c>
      <c r="CV124" s="410">
        <f t="shared" si="334"/>
        <v>0.2904761905</v>
      </c>
      <c r="CW124" s="411">
        <f t="shared" si="334"/>
        <v>0.2789115646</v>
      </c>
      <c r="CX124" s="412"/>
      <c r="CY124" s="410">
        <f t="shared" ref="CY124:DC124" si="335">IFERROR(CY122/sum(CY123,CY122),0)</f>
        <v>0.4794007491</v>
      </c>
      <c r="CZ124" s="410">
        <f t="shared" si="335"/>
        <v>0.4981132075</v>
      </c>
      <c r="DA124" s="410">
        <f t="shared" si="335"/>
        <v>0.4845360825</v>
      </c>
      <c r="DB124" s="410">
        <f t="shared" si="335"/>
        <v>0.4322580645</v>
      </c>
      <c r="DC124" s="411">
        <f t="shared" si="335"/>
        <v>0.4322580645</v>
      </c>
      <c r="DD124" s="412"/>
      <c r="DE124" s="410">
        <f t="shared" ref="DE124:DH124" si="336">DE122/sum(DE123,DE122)</f>
        <v>0.3449781659</v>
      </c>
      <c r="DF124" s="410">
        <f t="shared" si="336"/>
        <v>0.4102564103</v>
      </c>
      <c r="DG124" s="410">
        <f t="shared" si="336"/>
        <v>0.40625</v>
      </c>
      <c r="DH124" s="410">
        <f t="shared" si="336"/>
        <v>0.4522058824</v>
      </c>
      <c r="DI124" s="411">
        <f t="shared" ref="DI124:DI125" si="345">average(DE124:DH124)</f>
        <v>0.4034226146</v>
      </c>
      <c r="DJ124" s="413"/>
      <c r="DK124" s="410">
        <f t="shared" ref="DK124:DN124" si="337">DK122/sum(DK123,DK122)</f>
        <v>0.3805970149</v>
      </c>
      <c r="DL124" s="410">
        <f t="shared" si="337"/>
        <v>0.335443038</v>
      </c>
      <c r="DM124" s="410">
        <f t="shared" si="337"/>
        <v>0.3459459459</v>
      </c>
      <c r="DN124" s="410">
        <f t="shared" si="337"/>
        <v>0.3694581281</v>
      </c>
      <c r="DO124" s="411"/>
      <c r="DP124" s="413"/>
      <c r="DQ124" s="411"/>
      <c r="DR124" s="412"/>
      <c r="DS124" s="359"/>
      <c r="DT124" s="359"/>
      <c r="DU124" s="359"/>
      <c r="DV124" s="359"/>
      <c r="DW124" s="359"/>
      <c r="DX124" s="359"/>
      <c r="DY124" s="359"/>
      <c r="DZ124" s="359"/>
      <c r="EA124" s="359"/>
      <c r="EB124" s="359"/>
      <c r="EC124" s="359"/>
      <c r="ED124" s="359"/>
      <c r="EE124" s="410"/>
      <c r="EF124" s="410"/>
      <c r="EG124" s="410"/>
      <c r="EH124" s="410"/>
      <c r="EI124" s="410"/>
      <c r="EJ124" s="410"/>
      <c r="EK124" s="410"/>
      <c r="EL124" s="410"/>
      <c r="EM124" s="410"/>
      <c r="EN124" s="410"/>
      <c r="EO124" s="410"/>
      <c r="EP124" s="410"/>
      <c r="EQ124" s="410"/>
      <c r="ER124" s="410"/>
      <c r="ES124" s="410"/>
      <c r="ET124" s="410"/>
      <c r="EU124" s="410"/>
      <c r="EV124" s="410"/>
      <c r="EW124" s="410"/>
      <c r="EX124" s="410"/>
      <c r="EY124" s="410"/>
      <c r="EZ124" s="410"/>
      <c r="FA124" s="410"/>
      <c r="FB124" s="465"/>
      <c r="FC124" s="410"/>
      <c r="FD124" s="410"/>
      <c r="FE124" s="410"/>
      <c r="FF124" s="410"/>
      <c r="FG124" s="410"/>
      <c r="FH124" s="410"/>
      <c r="FI124" s="410"/>
      <c r="FJ124" s="410"/>
      <c r="FK124" s="410"/>
      <c r="FL124" s="410"/>
      <c r="FM124" s="410"/>
      <c r="FN124" s="410"/>
      <c r="FO124" s="410"/>
      <c r="FP124" s="410"/>
      <c r="FQ124" s="410"/>
      <c r="FR124" s="410"/>
      <c r="FS124" s="410"/>
      <c r="FT124" s="410"/>
      <c r="FU124" s="410"/>
      <c r="FV124" s="410"/>
      <c r="FW124" s="410"/>
      <c r="FX124" s="410"/>
      <c r="FY124" s="410"/>
      <c r="FZ124" s="410"/>
      <c r="GA124" s="410"/>
      <c r="GB124" s="410"/>
      <c r="GC124" s="410"/>
      <c r="GD124" s="410"/>
      <c r="GE124" s="410"/>
      <c r="GF124" s="410"/>
      <c r="GG124" s="410"/>
      <c r="GH124" s="410"/>
      <c r="GI124" s="410"/>
      <c r="GJ124" s="410"/>
      <c r="GK124" s="410"/>
      <c r="GL124" s="410"/>
      <c r="GM124" s="410"/>
    </row>
    <row r="125">
      <c r="B125" s="387" t="s">
        <v>540</v>
      </c>
      <c r="C125" s="359"/>
      <c r="D125" s="359"/>
      <c r="E125" s="359"/>
      <c r="F125" s="359"/>
      <c r="G125" s="359"/>
      <c r="H125" s="359"/>
      <c r="I125" s="359"/>
      <c r="J125" s="359"/>
      <c r="K125" s="359"/>
      <c r="L125" s="359"/>
      <c r="M125" s="359"/>
      <c r="N125" s="359"/>
      <c r="O125" s="359"/>
      <c r="P125" s="359"/>
      <c r="Q125" s="359"/>
      <c r="R125" s="359"/>
      <c r="S125" s="359"/>
      <c r="T125" s="359"/>
      <c r="U125" s="359"/>
      <c r="V125" s="359"/>
      <c r="W125" s="359"/>
      <c r="X125" s="359"/>
      <c r="Y125" s="359"/>
      <c r="Z125" s="359"/>
      <c r="AA125" s="410">
        <f t="shared" ref="AA125:AX125" si="338">AA123/SUM(AA$122:AA$123)</f>
        <v>0.6</v>
      </c>
      <c r="AB125" s="410">
        <f t="shared" si="338"/>
        <v>0.6222222222</v>
      </c>
      <c r="AC125" s="410">
        <f t="shared" si="338"/>
        <v>0.6326530612</v>
      </c>
      <c r="AD125" s="410">
        <f t="shared" si="338"/>
        <v>0.6666666667</v>
      </c>
      <c r="AE125" s="410">
        <f t="shared" si="338"/>
        <v>0.6730769231</v>
      </c>
      <c r="AF125" s="410">
        <f t="shared" si="338"/>
        <v>0.6545454545</v>
      </c>
      <c r="AG125" s="410">
        <f t="shared" si="338"/>
        <v>0.6724137931</v>
      </c>
      <c r="AH125" s="410">
        <f t="shared" si="338"/>
        <v>0.6612903226</v>
      </c>
      <c r="AI125" s="410">
        <f t="shared" si="338"/>
        <v>0.6307692308</v>
      </c>
      <c r="AJ125" s="410">
        <f t="shared" si="338"/>
        <v>0.6129032258</v>
      </c>
      <c r="AK125" s="410">
        <f t="shared" si="338"/>
        <v>0.6323529412</v>
      </c>
      <c r="AL125" s="410">
        <f t="shared" si="338"/>
        <v>0.6438356164</v>
      </c>
      <c r="AM125" s="410">
        <f t="shared" si="338"/>
        <v>0.64</v>
      </c>
      <c r="AN125" s="410">
        <f t="shared" si="338"/>
        <v>0.6666666667</v>
      </c>
      <c r="AO125" s="410">
        <f t="shared" si="338"/>
        <v>0.6578947368</v>
      </c>
      <c r="AP125" s="410">
        <f t="shared" si="338"/>
        <v>0.6</v>
      </c>
      <c r="AQ125" s="410">
        <f t="shared" si="338"/>
        <v>0.5897435897</v>
      </c>
      <c r="AR125" s="410">
        <f t="shared" si="338"/>
        <v>0.5802469136</v>
      </c>
      <c r="AS125" s="410">
        <f t="shared" si="338"/>
        <v>0.5903614458</v>
      </c>
      <c r="AT125" s="410">
        <f t="shared" si="338"/>
        <v>0.5977011494</v>
      </c>
      <c r="AU125" s="410">
        <f t="shared" si="338"/>
        <v>0.5930232558</v>
      </c>
      <c r="AV125" s="410">
        <f t="shared" si="338"/>
        <v>0.5543478261</v>
      </c>
      <c r="AW125" s="410">
        <f t="shared" si="338"/>
        <v>0.5555555556</v>
      </c>
      <c r="AX125" s="410">
        <f t="shared" si="338"/>
        <v>0.5333333333</v>
      </c>
      <c r="AY125" s="410">
        <f t="shared" ref="AY125:CH125" si="339">IFERROR(AY123/SUM(AY$122:AY$123),0)</f>
        <v>0.5222222222</v>
      </c>
      <c r="AZ125" s="410">
        <f t="shared" si="339"/>
        <v>0.5222222222</v>
      </c>
      <c r="BA125" s="410">
        <f t="shared" si="339"/>
        <v>0.5172413793</v>
      </c>
      <c r="BB125" s="410">
        <f t="shared" si="339"/>
        <v>0.511627907</v>
      </c>
      <c r="BC125" s="410">
        <f t="shared" si="339"/>
        <v>0.4943820225</v>
      </c>
      <c r="BD125" s="410">
        <f t="shared" si="339"/>
        <v>0.5</v>
      </c>
      <c r="BE125" s="410">
        <f t="shared" si="339"/>
        <v>0.4947368421</v>
      </c>
      <c r="BF125" s="410">
        <f t="shared" si="339"/>
        <v>0.5102040816</v>
      </c>
      <c r="BG125" s="410">
        <f t="shared" si="339"/>
        <v>0.5408163265</v>
      </c>
      <c r="BH125" s="410">
        <f t="shared" si="339"/>
        <v>0.5555555556</v>
      </c>
      <c r="BI125" s="410">
        <f t="shared" si="339"/>
        <v>0.5673076923</v>
      </c>
      <c r="BJ125" s="410">
        <f t="shared" si="339"/>
        <v>0.5794392523</v>
      </c>
      <c r="BK125" s="410">
        <f t="shared" si="339"/>
        <v>0.6018518519</v>
      </c>
      <c r="BL125" s="410">
        <f t="shared" si="339"/>
        <v>0.6074766355</v>
      </c>
      <c r="BM125" s="410">
        <f t="shared" si="339"/>
        <v>0.5981308411</v>
      </c>
      <c r="BN125" s="410">
        <f t="shared" si="339"/>
        <v>0.6090909091</v>
      </c>
      <c r="BO125" s="410">
        <f t="shared" si="339"/>
        <v>0.6283185841</v>
      </c>
      <c r="BP125" s="410">
        <f t="shared" si="339"/>
        <v>0.6355932203</v>
      </c>
      <c r="BQ125" s="410">
        <f t="shared" si="339"/>
        <v>0.6446280992</v>
      </c>
      <c r="BR125" s="410">
        <f t="shared" si="339"/>
        <v>0.6475409836</v>
      </c>
      <c r="BS125" s="410">
        <f t="shared" si="339"/>
        <v>0.6875</v>
      </c>
      <c r="BT125" s="410">
        <f t="shared" si="339"/>
        <v>0.6893939394</v>
      </c>
      <c r="BU125" s="410">
        <f t="shared" si="339"/>
        <v>0.7163120567</v>
      </c>
      <c r="BV125" s="410">
        <f t="shared" si="339"/>
        <v>0.7210884354</v>
      </c>
      <c r="BW125" s="504">
        <f t="shared" si="339"/>
        <v>0.722972973</v>
      </c>
      <c r="BX125" s="504">
        <f t="shared" si="339"/>
        <v>0.7272727273</v>
      </c>
      <c r="BY125" s="504">
        <f t="shared" si="339"/>
        <v>0.725</v>
      </c>
      <c r="BZ125" s="504">
        <f t="shared" si="339"/>
        <v>0.7160493827</v>
      </c>
      <c r="CA125" s="504">
        <f t="shared" si="339"/>
        <v>0.6766467066</v>
      </c>
      <c r="CB125" s="504">
        <f t="shared" si="339"/>
        <v>0.6880733945</v>
      </c>
      <c r="CC125" s="504">
        <f t="shared" si="339"/>
        <v>0.6855895197</v>
      </c>
      <c r="CD125" s="504">
        <f t="shared" si="339"/>
        <v>0.6833333333</v>
      </c>
      <c r="CE125" s="504">
        <f t="shared" si="339"/>
        <v>0.6812749004</v>
      </c>
      <c r="CF125" s="504">
        <f t="shared" si="339"/>
        <v>0.679389313</v>
      </c>
      <c r="CG125" s="504">
        <f t="shared" si="339"/>
        <v>0.6776556777</v>
      </c>
      <c r="CH125" s="504">
        <f t="shared" si="339"/>
        <v>0.676056338</v>
      </c>
      <c r="CK125" s="505">
        <f t="shared" si="340"/>
        <v>0.5705824284</v>
      </c>
      <c r="CL125" s="412"/>
      <c r="CM125" s="410">
        <f t="shared" ref="CM125:CQ125" si="341">IFERROR(CM123/(sum(CM122,CM123)),0)</f>
        <v>0.7251082251</v>
      </c>
      <c r="CN125" s="410">
        <f t="shared" si="341"/>
        <v>0.6928702011</v>
      </c>
      <c r="CO125" s="410">
        <f t="shared" si="341"/>
        <v>0.6833333333</v>
      </c>
      <c r="CP125" s="410">
        <f t="shared" si="341"/>
        <v>0.4120267261</v>
      </c>
      <c r="CQ125" s="505">
        <f t="shared" si="341"/>
        <v>0.6911302983</v>
      </c>
      <c r="CR125" s="410"/>
      <c r="CS125" s="410">
        <f t="shared" ref="CS125:CW125" si="342">IFERROR(CS123/(sum(CS122,CS123)),0)</f>
        <v>0.602484472</v>
      </c>
      <c r="CT125" s="410">
        <f t="shared" si="342"/>
        <v>0.6246334311</v>
      </c>
      <c r="CU125" s="410">
        <f t="shared" si="342"/>
        <v>0.6603773585</v>
      </c>
      <c r="CV125" s="410">
        <f t="shared" si="342"/>
        <v>0.7095238095</v>
      </c>
      <c r="CW125" s="411">
        <f t="shared" si="342"/>
        <v>0.7210884354</v>
      </c>
      <c r="CX125" s="412"/>
      <c r="CY125" s="410">
        <f t="shared" ref="CY125:DC125" si="343">IFERROR(CY123/(sum(CY122,CY123)),0)</f>
        <v>0.5205992509</v>
      </c>
      <c r="CZ125" s="410">
        <f t="shared" si="343"/>
        <v>0.5018867925</v>
      </c>
      <c r="DA125" s="410">
        <f t="shared" si="343"/>
        <v>0.5154639175</v>
      </c>
      <c r="DB125" s="410">
        <f t="shared" si="343"/>
        <v>0.5677419355</v>
      </c>
      <c r="DC125" s="411">
        <f t="shared" si="343"/>
        <v>0.5677419355</v>
      </c>
      <c r="DD125" s="412"/>
      <c r="DE125" s="410">
        <f t="shared" ref="DE125:DH125" si="344">DE123/(sum(DE122,DE123))</f>
        <v>0.6550218341</v>
      </c>
      <c r="DF125" s="410">
        <f t="shared" si="344"/>
        <v>0.5897435897</v>
      </c>
      <c r="DG125" s="410">
        <f t="shared" si="344"/>
        <v>0.59375</v>
      </c>
      <c r="DH125" s="410">
        <f t="shared" si="344"/>
        <v>0.5477941176</v>
      </c>
      <c r="DI125" s="411">
        <f t="shared" si="345"/>
        <v>0.5965773854</v>
      </c>
      <c r="DJ125" s="413"/>
      <c r="DK125" s="410">
        <f t="shared" ref="DK125:DN125" si="346">DK123/(sum(DK122,DK123))</f>
        <v>0.6194029851</v>
      </c>
      <c r="DL125" s="410">
        <f t="shared" si="346"/>
        <v>0.664556962</v>
      </c>
      <c r="DM125" s="410">
        <f t="shared" si="346"/>
        <v>0.6540540541</v>
      </c>
      <c r="DN125" s="410">
        <f t="shared" si="346"/>
        <v>0.6305418719</v>
      </c>
      <c r="DO125" s="411"/>
      <c r="DP125" s="413"/>
      <c r="DQ125" s="411"/>
      <c r="DR125" s="412"/>
      <c r="DS125" s="359"/>
      <c r="DT125" s="359"/>
      <c r="DU125" s="359"/>
      <c r="DV125" s="359"/>
      <c r="DW125" s="359"/>
      <c r="DX125" s="359"/>
      <c r="DY125" s="359"/>
      <c r="DZ125" s="359"/>
      <c r="EA125" s="359"/>
      <c r="EB125" s="359"/>
      <c r="EC125" s="359"/>
      <c r="ED125" s="359"/>
      <c r="EE125" s="410"/>
      <c r="EF125" s="410"/>
      <c r="EG125" s="410"/>
      <c r="EH125" s="410"/>
      <c r="EI125" s="410"/>
      <c r="EJ125" s="410"/>
      <c r="EK125" s="410"/>
      <c r="EL125" s="410"/>
      <c r="EM125" s="410"/>
      <c r="EN125" s="410"/>
      <c r="EO125" s="410"/>
      <c r="EP125" s="410"/>
      <c r="EQ125" s="410"/>
      <c r="ER125" s="410"/>
      <c r="ES125" s="410"/>
      <c r="ET125" s="410"/>
      <c r="EU125" s="410"/>
      <c r="EV125" s="410"/>
      <c r="EW125" s="410"/>
      <c r="EX125" s="410"/>
      <c r="EY125" s="410"/>
      <c r="EZ125" s="410"/>
      <c r="FA125" s="410"/>
      <c r="FB125" s="465"/>
      <c r="FC125" s="410"/>
      <c r="FD125" s="410"/>
      <c r="FE125" s="410"/>
      <c r="FF125" s="410"/>
      <c r="FG125" s="410"/>
      <c r="FH125" s="410"/>
      <c r="FI125" s="410"/>
      <c r="FJ125" s="410"/>
      <c r="FK125" s="410"/>
      <c r="FL125" s="410"/>
      <c r="FM125" s="410"/>
      <c r="FN125" s="410"/>
      <c r="FO125" s="410"/>
      <c r="FP125" s="410"/>
      <c r="FQ125" s="410"/>
      <c r="FR125" s="410"/>
      <c r="FS125" s="410"/>
      <c r="FT125" s="410"/>
      <c r="FU125" s="410"/>
      <c r="FV125" s="410"/>
      <c r="FW125" s="410"/>
      <c r="FX125" s="410"/>
      <c r="FY125" s="410"/>
      <c r="FZ125" s="410"/>
      <c r="GA125" s="410"/>
      <c r="GB125" s="410"/>
      <c r="GC125" s="410"/>
      <c r="GD125" s="410"/>
      <c r="GE125" s="410"/>
      <c r="GF125" s="410"/>
      <c r="GG125" s="410"/>
      <c r="GH125" s="410"/>
      <c r="GI125" s="410"/>
      <c r="GJ125" s="410"/>
      <c r="GK125" s="410"/>
      <c r="GL125" s="410"/>
      <c r="GM125" s="410"/>
    </row>
    <row r="126">
      <c r="B126" s="387" t="s">
        <v>541</v>
      </c>
      <c r="C126" s="359"/>
      <c r="D126" s="359"/>
      <c r="E126" s="359"/>
      <c r="F126" s="359"/>
      <c r="G126" s="359"/>
      <c r="H126" s="359"/>
      <c r="I126" s="359"/>
      <c r="J126" s="359"/>
      <c r="K126" s="359"/>
      <c r="L126" s="359"/>
      <c r="M126" s="359"/>
      <c r="N126" s="359"/>
      <c r="O126" s="359"/>
      <c r="P126" s="359"/>
      <c r="Q126" s="359"/>
      <c r="R126" s="359"/>
      <c r="S126" s="359"/>
      <c r="T126" s="359"/>
      <c r="U126" s="359"/>
      <c r="V126" s="359"/>
      <c r="W126" s="359"/>
      <c r="X126" s="359"/>
      <c r="Y126" s="359"/>
      <c r="Z126" s="359"/>
      <c r="AA126" s="414">
        <f t="shared" ref="AA126:CH126" si="347">AA123*1960/12</f>
        <v>3920</v>
      </c>
      <c r="AB126" s="414">
        <f t="shared" si="347"/>
        <v>4573.333333</v>
      </c>
      <c r="AC126" s="414">
        <f t="shared" si="347"/>
        <v>5063.333333</v>
      </c>
      <c r="AD126" s="414">
        <f t="shared" si="347"/>
        <v>5553.333333</v>
      </c>
      <c r="AE126" s="414">
        <f t="shared" si="347"/>
        <v>5716.666667</v>
      </c>
      <c r="AF126" s="414">
        <f t="shared" si="347"/>
        <v>5880</v>
      </c>
      <c r="AG126" s="414">
        <f t="shared" si="347"/>
        <v>6370</v>
      </c>
      <c r="AH126" s="414">
        <f t="shared" si="347"/>
        <v>6696.666667</v>
      </c>
      <c r="AI126" s="414">
        <f t="shared" si="347"/>
        <v>6696.666667</v>
      </c>
      <c r="AJ126" s="414">
        <f t="shared" si="347"/>
        <v>6206.666667</v>
      </c>
      <c r="AK126" s="414">
        <f t="shared" si="347"/>
        <v>7023.333333</v>
      </c>
      <c r="AL126" s="414">
        <f t="shared" si="347"/>
        <v>7676.666667</v>
      </c>
      <c r="AM126" s="414">
        <f t="shared" si="347"/>
        <v>7840</v>
      </c>
      <c r="AN126" s="414">
        <f t="shared" si="347"/>
        <v>8493.333333</v>
      </c>
      <c r="AO126" s="414">
        <f t="shared" si="347"/>
        <v>8166.666667</v>
      </c>
      <c r="AP126" s="414">
        <f t="shared" si="347"/>
        <v>7350</v>
      </c>
      <c r="AQ126" s="414">
        <f t="shared" si="347"/>
        <v>7513.333333</v>
      </c>
      <c r="AR126" s="414">
        <f t="shared" si="347"/>
        <v>7676.666667</v>
      </c>
      <c r="AS126" s="414">
        <f t="shared" si="347"/>
        <v>8003.333333</v>
      </c>
      <c r="AT126" s="414">
        <f t="shared" si="347"/>
        <v>8493.333333</v>
      </c>
      <c r="AU126" s="414">
        <f t="shared" si="347"/>
        <v>8330</v>
      </c>
      <c r="AV126" s="414">
        <f t="shared" si="347"/>
        <v>8330</v>
      </c>
      <c r="AW126" s="414">
        <f t="shared" si="347"/>
        <v>8166.666667</v>
      </c>
      <c r="AX126" s="414">
        <f t="shared" si="347"/>
        <v>7840</v>
      </c>
      <c r="AY126" s="414">
        <f t="shared" si="347"/>
        <v>7676.666667</v>
      </c>
      <c r="AZ126" s="414">
        <f t="shared" si="347"/>
        <v>7676.666667</v>
      </c>
      <c r="BA126" s="414">
        <f t="shared" si="347"/>
        <v>7350</v>
      </c>
      <c r="BB126" s="414">
        <f t="shared" si="347"/>
        <v>7186.666667</v>
      </c>
      <c r="BC126" s="414">
        <f t="shared" si="347"/>
        <v>7186.666667</v>
      </c>
      <c r="BD126" s="414">
        <f t="shared" si="347"/>
        <v>7350</v>
      </c>
      <c r="BE126" s="414">
        <f t="shared" si="347"/>
        <v>7676.666667</v>
      </c>
      <c r="BF126" s="414">
        <f t="shared" si="347"/>
        <v>8166.666667</v>
      </c>
      <c r="BG126" s="414">
        <f t="shared" si="347"/>
        <v>8656.666667</v>
      </c>
      <c r="BH126" s="414">
        <f t="shared" si="347"/>
        <v>8983.333333</v>
      </c>
      <c r="BI126" s="414">
        <f t="shared" si="347"/>
        <v>9636.666667</v>
      </c>
      <c r="BJ126" s="414">
        <f t="shared" si="347"/>
        <v>10126.66667</v>
      </c>
      <c r="BK126" s="414">
        <f t="shared" si="347"/>
        <v>10616.66667</v>
      </c>
      <c r="BL126" s="414">
        <f t="shared" si="347"/>
        <v>10616.66667</v>
      </c>
      <c r="BM126" s="414">
        <f t="shared" si="347"/>
        <v>10453.33333</v>
      </c>
      <c r="BN126" s="414">
        <f t="shared" si="347"/>
        <v>10943.33333</v>
      </c>
      <c r="BO126" s="414">
        <f t="shared" si="347"/>
        <v>11596.66667</v>
      </c>
      <c r="BP126" s="414">
        <f t="shared" si="347"/>
        <v>12250</v>
      </c>
      <c r="BQ126" s="414">
        <f t="shared" si="347"/>
        <v>12740</v>
      </c>
      <c r="BR126" s="414">
        <f t="shared" si="347"/>
        <v>12903.33333</v>
      </c>
      <c r="BS126" s="414">
        <f t="shared" si="347"/>
        <v>14373.33333</v>
      </c>
      <c r="BT126" s="414">
        <f t="shared" si="347"/>
        <v>14863.33333</v>
      </c>
      <c r="BU126" s="414">
        <f t="shared" si="347"/>
        <v>16496.66667</v>
      </c>
      <c r="BV126" s="414">
        <f t="shared" si="347"/>
        <v>17313.33333</v>
      </c>
      <c r="BW126" s="506">
        <f t="shared" si="347"/>
        <v>17476.66667</v>
      </c>
      <c r="BX126" s="506">
        <f t="shared" si="347"/>
        <v>18293.33333</v>
      </c>
      <c r="BY126" s="506">
        <f t="shared" si="347"/>
        <v>18946.66667</v>
      </c>
      <c r="BZ126" s="506">
        <f t="shared" si="347"/>
        <v>18946.66667</v>
      </c>
      <c r="CA126" s="506">
        <f t="shared" si="347"/>
        <v>18456.66667</v>
      </c>
      <c r="CB126" s="506">
        <f t="shared" si="347"/>
        <v>24500</v>
      </c>
      <c r="CC126" s="506">
        <f t="shared" si="347"/>
        <v>25643.33333</v>
      </c>
      <c r="CD126" s="506">
        <f t="shared" si="347"/>
        <v>26786.66667</v>
      </c>
      <c r="CE126" s="506">
        <f t="shared" si="347"/>
        <v>27930</v>
      </c>
      <c r="CF126" s="506">
        <f t="shared" si="347"/>
        <v>29073.33333</v>
      </c>
      <c r="CG126" s="506">
        <f t="shared" si="347"/>
        <v>30216.66667</v>
      </c>
      <c r="CH126" s="506">
        <f t="shared" si="347"/>
        <v>31360</v>
      </c>
      <c r="CK126" s="503">
        <f>CK123*2080/12</f>
        <v>8348.888889</v>
      </c>
      <c r="CL126" s="412"/>
      <c r="CM126" s="405">
        <f t="shared" ref="CM126:CM127" si="348">sum(BW126:BY126)</f>
        <v>54716.66667</v>
      </c>
      <c r="CN126" s="405">
        <f t="shared" ref="CN126:CN127" si="349">sum(BZ126:CB126)</f>
        <v>61903.33333</v>
      </c>
      <c r="CO126" s="405">
        <f t="shared" ref="CO126:CO127" si="350">sum(CC126:CE126)</f>
        <v>80360</v>
      </c>
      <c r="CP126" s="405">
        <f t="shared" ref="CP126:CP127" si="351">sum(CF126:CH126)</f>
        <v>90650</v>
      </c>
      <c r="CQ126" s="503">
        <f t="shared" ref="CQ126:CQ127" si="352">sum(BW126:CH126)</f>
        <v>287630</v>
      </c>
      <c r="CR126" s="405"/>
      <c r="CS126" s="405">
        <f t="shared" ref="CS126:CS127" si="353">sum(BK126:BM126)</f>
        <v>31686.66667</v>
      </c>
      <c r="CT126" s="406">
        <f t="shared" ref="CT126:CT127" si="354">sum(BN126:BP126)</f>
        <v>34790</v>
      </c>
      <c r="CU126" s="406">
        <f t="shared" ref="CU126:CU127" si="355">sum(BQ126:BS126)</f>
        <v>40016.66667</v>
      </c>
      <c r="CV126" s="406">
        <f t="shared" ref="CV126:CV127" si="356">sum(BT126:BV126)</f>
        <v>48673.33333</v>
      </c>
      <c r="CW126" s="404">
        <f t="shared" ref="CW126:CW127" si="357">SUM(BK126:BV126)</f>
        <v>155166.6667</v>
      </c>
      <c r="CX126" s="412"/>
      <c r="CY126" s="405">
        <f t="shared" ref="CY126:CY127" si="358">sum(AY126:BA126)</f>
        <v>22703.33333</v>
      </c>
      <c r="CZ126" s="406">
        <f t="shared" ref="CZ126:CZ127" si="359">sum(BB126:BD126)</f>
        <v>21723.33333</v>
      </c>
      <c r="DA126" s="406">
        <f t="shared" ref="DA126:DA127" si="360">sum(BE126:BG126)</f>
        <v>24500</v>
      </c>
      <c r="DB126" s="406">
        <f t="shared" ref="DB126:DB127" si="361">sum(BH126:BJ126)</f>
        <v>28746.66667</v>
      </c>
      <c r="DC126" s="415">
        <f t="shared" ref="DC126:DC127" si="362">sum(AY126:BJ126)</f>
        <v>97673.33333</v>
      </c>
      <c r="DD126" s="412"/>
      <c r="DE126" s="405">
        <f t="shared" ref="DE126:DE127" si="363">sum(AM126:AO126)</f>
        <v>24500</v>
      </c>
      <c r="DF126" s="405">
        <f t="shared" ref="DF126:DF127" si="364">sum(AP126:AR126)</f>
        <v>22540</v>
      </c>
      <c r="DG126" s="405">
        <f t="shared" ref="DG126:DG127" si="365">sum(AS126:AU126)</f>
        <v>24826.66667</v>
      </c>
      <c r="DH126" s="405">
        <f t="shared" ref="DH126:DH127" si="366">sum(AV126:AX126)</f>
        <v>24336.66667</v>
      </c>
      <c r="DI126" s="415">
        <f t="shared" ref="DI126:DI127" si="367">sum(AM126:AX126)</f>
        <v>96203.33333</v>
      </c>
      <c r="DJ126" s="412"/>
      <c r="DK126" s="405">
        <f t="shared" ref="DK126:DK127" si="368">sum(AA126:AC126)</f>
        <v>13556.66667</v>
      </c>
      <c r="DL126" s="405">
        <f t="shared" ref="DL126:DL127" si="369">sum(AD126:AF126)</f>
        <v>17150</v>
      </c>
      <c r="DM126" s="405">
        <f t="shared" ref="DM126:DM127" si="370">sum(AG126:AI126)</f>
        <v>19763.33333</v>
      </c>
      <c r="DN126" s="405">
        <f t="shared" ref="DN126:DN127" si="371">sum(AJ126:AL126)</f>
        <v>20906.66667</v>
      </c>
      <c r="DO126" s="415">
        <f t="shared" ref="DO126:DO127" si="372">sum(AA126:AL126)</f>
        <v>71376.66667</v>
      </c>
      <c r="DP126" s="412"/>
      <c r="DQ126" s="415"/>
      <c r="DR126" s="412"/>
      <c r="DS126" s="359"/>
      <c r="DT126" s="359"/>
      <c r="DU126" s="359"/>
      <c r="DV126" s="359"/>
      <c r="DW126" s="359"/>
      <c r="DX126" s="359"/>
      <c r="DY126" s="359"/>
      <c r="DZ126" s="359"/>
      <c r="EA126" s="359"/>
      <c r="EB126" s="359"/>
      <c r="EC126" s="359"/>
      <c r="ED126" s="359"/>
      <c r="EE126" s="414"/>
      <c r="EF126" s="414"/>
      <c r="EG126" s="414"/>
      <c r="EH126" s="414"/>
      <c r="EI126" s="414"/>
      <c r="EJ126" s="414"/>
      <c r="EK126" s="414"/>
      <c r="EL126" s="414"/>
      <c r="EM126" s="414"/>
      <c r="EN126" s="414"/>
      <c r="EO126" s="414"/>
      <c r="EP126" s="414"/>
      <c r="EQ126" s="414"/>
      <c r="ER126" s="414"/>
      <c r="ES126" s="414"/>
      <c r="ET126" s="414"/>
      <c r="EU126" s="414"/>
      <c r="EV126" s="414"/>
      <c r="EW126" s="414"/>
      <c r="EX126" s="414"/>
      <c r="EY126" s="414"/>
      <c r="EZ126" s="414"/>
      <c r="FA126" s="414"/>
      <c r="FB126" s="465"/>
      <c r="FC126" s="414"/>
      <c r="FD126" s="414"/>
      <c r="FE126" s="414"/>
      <c r="FF126" s="414"/>
      <c r="FG126" s="414"/>
      <c r="FH126" s="414"/>
      <c r="FI126" s="414"/>
      <c r="FJ126" s="414"/>
      <c r="FK126" s="414"/>
      <c r="FL126" s="414"/>
      <c r="FM126" s="414"/>
      <c r="FN126" s="414"/>
      <c r="FO126" s="414"/>
      <c r="FP126" s="414"/>
      <c r="FQ126" s="414"/>
      <c r="FR126" s="414"/>
      <c r="FS126" s="414"/>
      <c r="FT126" s="414"/>
      <c r="FU126" s="414"/>
      <c r="FV126" s="414"/>
      <c r="FW126" s="414"/>
      <c r="FX126" s="414"/>
      <c r="FY126" s="414"/>
      <c r="FZ126" s="414"/>
      <c r="GA126" s="414"/>
      <c r="GB126" s="414"/>
      <c r="GC126" s="414"/>
      <c r="GD126" s="414"/>
      <c r="GE126" s="414"/>
      <c r="GF126" s="414"/>
      <c r="GG126" s="414"/>
      <c r="GH126" s="414"/>
      <c r="GI126" s="414"/>
      <c r="GJ126" s="414"/>
      <c r="GK126" s="414"/>
      <c r="GL126" s="414"/>
      <c r="GM126" s="414"/>
    </row>
    <row r="127">
      <c r="B127" s="387" t="s">
        <v>542</v>
      </c>
      <c r="C127" s="359"/>
      <c r="D127" s="359"/>
      <c r="E127" s="359"/>
      <c r="F127" s="359"/>
      <c r="G127" s="359"/>
      <c r="H127" s="359"/>
      <c r="I127" s="359"/>
      <c r="J127" s="359"/>
      <c r="K127" s="359"/>
      <c r="L127" s="359"/>
      <c r="M127" s="359"/>
      <c r="N127" s="359"/>
      <c r="O127" s="359"/>
      <c r="P127" s="359"/>
      <c r="Q127" s="359"/>
      <c r="R127" s="359"/>
      <c r="S127" s="359"/>
      <c r="T127" s="359"/>
      <c r="U127" s="359"/>
      <c r="V127" s="359"/>
      <c r="W127" s="359"/>
      <c r="X127" s="359"/>
      <c r="Y127" s="359"/>
      <c r="Z127" s="359"/>
      <c r="AA127" s="416">
        <v>3297.0</v>
      </c>
      <c r="AB127" s="416">
        <v>3002.0</v>
      </c>
      <c r="AC127" s="416">
        <v>3585.0</v>
      </c>
      <c r="AD127" s="405">
        <v>3294.0</v>
      </c>
      <c r="AE127" s="405">
        <v>3442.0</v>
      </c>
      <c r="AF127" s="405">
        <v>3795.0</v>
      </c>
      <c r="AG127" s="405">
        <v>3008.0</v>
      </c>
      <c r="AH127" s="405">
        <v>4691.0</v>
      </c>
      <c r="AI127" s="405">
        <v>3979.0</v>
      </c>
      <c r="AJ127" s="405">
        <v>4807.0</v>
      </c>
      <c r="AK127" s="405">
        <v>4930.0</v>
      </c>
      <c r="AL127" s="405">
        <v>3520.0</v>
      </c>
      <c r="AM127" s="405">
        <v>5663.0</v>
      </c>
      <c r="AN127" s="405">
        <v>5243.0</v>
      </c>
      <c r="AO127" s="405">
        <v>6414.0</v>
      </c>
      <c r="AP127" s="405">
        <v>5502.0</v>
      </c>
      <c r="AQ127" s="405">
        <v>5630.0</v>
      </c>
      <c r="AR127" s="405">
        <v>5226.0</v>
      </c>
      <c r="AS127" s="405">
        <v>4104.0</v>
      </c>
      <c r="AT127" s="405">
        <v>5205.0</v>
      </c>
      <c r="AU127" s="405">
        <v>4636.0</v>
      </c>
      <c r="AV127" s="405">
        <v>5480.0</v>
      </c>
      <c r="AW127" s="405">
        <v>5035.0</v>
      </c>
      <c r="AX127" s="405">
        <v>4568.0</v>
      </c>
      <c r="AY127" s="405">
        <v>4720.0</v>
      </c>
      <c r="AZ127" s="405">
        <v>4826.0</v>
      </c>
      <c r="BA127" s="405">
        <v>4711.0</v>
      </c>
      <c r="BB127" s="405">
        <v>5356.0</v>
      </c>
      <c r="BC127" s="405">
        <v>5351.0</v>
      </c>
      <c r="BD127" s="405">
        <v>4948.0</v>
      </c>
      <c r="BE127" s="405">
        <v>6008.0</v>
      </c>
      <c r="BF127" s="405">
        <v>6220.0</v>
      </c>
      <c r="BG127" s="405">
        <v>6318.0</v>
      </c>
      <c r="BH127" s="405">
        <v>7296.0</v>
      </c>
      <c r="BI127" s="405">
        <v>6516.0</v>
      </c>
      <c r="BJ127" s="405">
        <v>6577.0</v>
      </c>
      <c r="BK127" s="405">
        <v>7232.0</v>
      </c>
      <c r="BL127" s="405">
        <v>7148.0</v>
      </c>
      <c r="BM127" s="405">
        <v>7436.0</v>
      </c>
      <c r="BN127" s="405">
        <v>8092.0</v>
      </c>
      <c r="BO127" s="405">
        <v>8241.0</v>
      </c>
      <c r="BP127" s="405">
        <v>8527.0</v>
      </c>
      <c r="BQ127" s="405">
        <v>9799.0</v>
      </c>
      <c r="BR127" s="405">
        <v>8920.0</v>
      </c>
      <c r="BS127" s="405">
        <v>10564.0</v>
      </c>
      <c r="BT127" s="405">
        <v>12211.0</v>
      </c>
      <c r="BU127" s="405">
        <v>9613.0</v>
      </c>
      <c r="BV127" s="405">
        <v>10017.0</v>
      </c>
      <c r="BW127" s="507">
        <v>10421.0</v>
      </c>
      <c r="BX127" s="508">
        <v>11701.0</v>
      </c>
      <c r="BY127" s="507">
        <v>11229.0</v>
      </c>
      <c r="BZ127" s="507">
        <v>11633.0</v>
      </c>
      <c r="CA127" s="507">
        <v>12037.0</v>
      </c>
      <c r="CB127" s="507">
        <v>12441.0</v>
      </c>
      <c r="CC127" s="507">
        <v>12845.0</v>
      </c>
      <c r="CD127" s="507">
        <v>13249.0</v>
      </c>
      <c r="CE127" s="507">
        <v>13653.0</v>
      </c>
      <c r="CF127" s="507">
        <v>14057.0</v>
      </c>
      <c r="CG127" s="507">
        <v>14461.0</v>
      </c>
      <c r="CH127" s="507">
        <v>14865.0</v>
      </c>
      <c r="CK127" s="503">
        <f>SUM(AP127:BA127)</f>
        <v>59643</v>
      </c>
      <c r="CL127" s="412"/>
      <c r="CM127" s="405">
        <f t="shared" si="348"/>
        <v>33351</v>
      </c>
      <c r="CN127" s="405">
        <f t="shared" si="349"/>
        <v>36111</v>
      </c>
      <c r="CO127" s="405">
        <f t="shared" si="350"/>
        <v>39747</v>
      </c>
      <c r="CP127" s="405">
        <f t="shared" si="351"/>
        <v>43383</v>
      </c>
      <c r="CQ127" s="503">
        <f t="shared" si="352"/>
        <v>152592</v>
      </c>
      <c r="CR127" s="405"/>
      <c r="CS127" s="405">
        <f t="shared" si="353"/>
        <v>21816</v>
      </c>
      <c r="CT127" s="417">
        <f t="shared" si="354"/>
        <v>24860</v>
      </c>
      <c r="CU127" s="406">
        <f t="shared" si="355"/>
        <v>29283</v>
      </c>
      <c r="CV127" s="417">
        <f t="shared" si="356"/>
        <v>31841</v>
      </c>
      <c r="CW127" s="468">
        <f t="shared" si="357"/>
        <v>107800</v>
      </c>
      <c r="CX127" s="412"/>
      <c r="CY127" s="405">
        <f t="shared" si="358"/>
        <v>14257</v>
      </c>
      <c r="CZ127" s="417">
        <f t="shared" si="359"/>
        <v>15655</v>
      </c>
      <c r="DA127" s="406">
        <f t="shared" si="360"/>
        <v>18546</v>
      </c>
      <c r="DB127" s="417">
        <f t="shared" si="361"/>
        <v>20389</v>
      </c>
      <c r="DC127" s="415">
        <f t="shared" si="362"/>
        <v>68847</v>
      </c>
      <c r="DD127" s="412"/>
      <c r="DE127" s="405">
        <f t="shared" si="363"/>
        <v>17320</v>
      </c>
      <c r="DF127" s="405">
        <f t="shared" si="364"/>
        <v>16358</v>
      </c>
      <c r="DG127" s="405">
        <f t="shared" si="365"/>
        <v>13945</v>
      </c>
      <c r="DH127" s="405">
        <f t="shared" si="366"/>
        <v>15083</v>
      </c>
      <c r="DI127" s="415">
        <f t="shared" si="367"/>
        <v>62706</v>
      </c>
      <c r="DJ127" s="412"/>
      <c r="DK127" s="405">
        <f t="shared" si="368"/>
        <v>9884</v>
      </c>
      <c r="DL127" s="405">
        <f t="shared" si="369"/>
        <v>10531</v>
      </c>
      <c r="DM127" s="405">
        <f t="shared" si="370"/>
        <v>11678</v>
      </c>
      <c r="DN127" s="405">
        <f t="shared" si="371"/>
        <v>13257</v>
      </c>
      <c r="DO127" s="415">
        <f t="shared" si="372"/>
        <v>45350</v>
      </c>
      <c r="DP127" s="412"/>
      <c r="DQ127" s="415"/>
      <c r="DR127" s="412"/>
      <c r="DS127" s="359"/>
      <c r="DT127" s="359"/>
      <c r="DU127" s="359"/>
      <c r="DV127" s="359"/>
      <c r="DW127" s="359"/>
      <c r="DX127" s="359"/>
      <c r="DY127" s="359"/>
      <c r="DZ127" s="359"/>
      <c r="EA127" s="359"/>
      <c r="EB127" s="359"/>
      <c r="EC127" s="359"/>
      <c r="ED127" s="359"/>
      <c r="EE127" s="416"/>
      <c r="EF127" s="416"/>
      <c r="EG127" s="416"/>
      <c r="EH127" s="405"/>
      <c r="EI127" s="405"/>
      <c r="EJ127" s="405"/>
      <c r="EK127" s="405"/>
      <c r="EL127" s="405"/>
      <c r="EM127" s="405"/>
      <c r="EN127" s="405"/>
      <c r="EO127" s="405"/>
      <c r="EP127" s="405"/>
      <c r="EQ127" s="405"/>
      <c r="ER127" s="405"/>
      <c r="ES127" s="405"/>
      <c r="ET127" s="405"/>
      <c r="EU127" s="405"/>
      <c r="EV127" s="405"/>
      <c r="EW127" s="405"/>
      <c r="EX127" s="405"/>
      <c r="EY127" s="405"/>
      <c r="EZ127" s="405"/>
      <c r="FA127" s="405"/>
      <c r="FB127" s="465"/>
      <c r="FC127" s="405"/>
      <c r="FD127" s="405"/>
      <c r="FE127" s="405"/>
      <c r="FF127" s="405"/>
      <c r="FG127" s="405"/>
      <c r="FH127" s="405"/>
      <c r="FI127" s="405"/>
      <c r="FJ127" s="405"/>
      <c r="FK127" s="405"/>
      <c r="FL127" s="405"/>
      <c r="FM127" s="405"/>
      <c r="FN127" s="405"/>
      <c r="FO127" s="405"/>
      <c r="FP127" s="405"/>
      <c r="FQ127" s="405"/>
      <c r="FR127" s="405"/>
      <c r="FS127" s="405"/>
      <c r="FT127" s="405"/>
      <c r="FU127" s="405"/>
      <c r="FV127" s="405"/>
      <c r="FW127" s="405"/>
      <c r="FX127" s="405"/>
      <c r="FY127" s="405"/>
      <c r="FZ127" s="405"/>
      <c r="GA127" s="405"/>
      <c r="GB127" s="405"/>
      <c r="GC127" s="405"/>
      <c r="GD127" s="405"/>
      <c r="GE127" s="405"/>
      <c r="GF127" s="405"/>
      <c r="GG127" s="405"/>
      <c r="GH127" s="405"/>
      <c r="GI127" s="405"/>
      <c r="GJ127" s="405"/>
      <c r="GK127" s="405"/>
      <c r="GL127" s="405"/>
      <c r="GM127" s="405"/>
    </row>
    <row r="128">
      <c r="B128" s="387" t="s">
        <v>543</v>
      </c>
      <c r="C128" s="359"/>
      <c r="D128" s="359"/>
      <c r="E128" s="359"/>
      <c r="F128" s="359"/>
      <c r="G128" s="359"/>
      <c r="H128" s="359"/>
      <c r="I128" s="359"/>
      <c r="J128" s="359"/>
      <c r="K128" s="359"/>
      <c r="L128" s="359"/>
      <c r="M128" s="359"/>
      <c r="N128" s="359"/>
      <c r="O128" s="359"/>
      <c r="P128" s="359"/>
      <c r="Q128" s="359"/>
      <c r="R128" s="359"/>
      <c r="S128" s="359"/>
      <c r="T128" s="359"/>
      <c r="U128" s="359"/>
      <c r="V128" s="359"/>
      <c r="W128" s="359"/>
      <c r="X128" s="359"/>
      <c r="Y128" s="359"/>
      <c r="Z128" s="359"/>
      <c r="AA128" s="410">
        <f t="shared" ref="AA128:AX128" si="373">AA127/AA126</f>
        <v>0.8410714286</v>
      </c>
      <c r="AB128" s="410">
        <f t="shared" si="373"/>
        <v>0.6564139942</v>
      </c>
      <c r="AC128" s="410">
        <f t="shared" si="373"/>
        <v>0.7080315997</v>
      </c>
      <c r="AD128" s="410">
        <f t="shared" si="373"/>
        <v>0.5931572629</v>
      </c>
      <c r="AE128" s="410">
        <f t="shared" si="373"/>
        <v>0.6020991254</v>
      </c>
      <c r="AF128" s="410">
        <f t="shared" si="373"/>
        <v>0.6454081633</v>
      </c>
      <c r="AG128" s="410">
        <f t="shared" si="373"/>
        <v>0.4722135008</v>
      </c>
      <c r="AH128" s="410">
        <f t="shared" si="373"/>
        <v>0.7004977601</v>
      </c>
      <c r="AI128" s="410">
        <f t="shared" si="373"/>
        <v>0.5941762071</v>
      </c>
      <c r="AJ128" s="410">
        <f t="shared" si="373"/>
        <v>0.7744897959</v>
      </c>
      <c r="AK128" s="410">
        <f t="shared" si="373"/>
        <v>0.7019458946</v>
      </c>
      <c r="AL128" s="410">
        <f t="shared" si="373"/>
        <v>0.4585323491</v>
      </c>
      <c r="AM128" s="410">
        <f t="shared" si="373"/>
        <v>0.7223214286</v>
      </c>
      <c r="AN128" s="410">
        <f t="shared" si="373"/>
        <v>0.6173076923</v>
      </c>
      <c r="AO128" s="410">
        <f t="shared" si="373"/>
        <v>0.7853877551</v>
      </c>
      <c r="AP128" s="410">
        <f t="shared" si="373"/>
        <v>0.7485714286</v>
      </c>
      <c r="AQ128" s="410">
        <f t="shared" si="373"/>
        <v>0.7493345164</v>
      </c>
      <c r="AR128" s="410">
        <f t="shared" si="373"/>
        <v>0.6807642206</v>
      </c>
      <c r="AS128" s="410">
        <f t="shared" si="373"/>
        <v>0.512786339</v>
      </c>
      <c r="AT128" s="410">
        <f t="shared" si="373"/>
        <v>0.612833595</v>
      </c>
      <c r="AU128" s="410">
        <f t="shared" si="373"/>
        <v>0.556542617</v>
      </c>
      <c r="AV128" s="410">
        <f t="shared" si="373"/>
        <v>0.6578631453</v>
      </c>
      <c r="AW128" s="410">
        <f t="shared" si="373"/>
        <v>0.6165306122</v>
      </c>
      <c r="AX128" s="410">
        <f t="shared" si="373"/>
        <v>0.5826530612</v>
      </c>
      <c r="AY128" s="410">
        <f t="shared" ref="AY128:CH128" si="374">IFERROR(AY127/AY126,0)</f>
        <v>0.6148501954</v>
      </c>
      <c r="AZ128" s="410">
        <f t="shared" si="374"/>
        <v>0.6286582718</v>
      </c>
      <c r="BA128" s="410">
        <f t="shared" si="374"/>
        <v>0.640952381</v>
      </c>
      <c r="BB128" s="410">
        <f t="shared" si="374"/>
        <v>0.7452690167</v>
      </c>
      <c r="BC128" s="410">
        <f t="shared" si="374"/>
        <v>0.7445732839</v>
      </c>
      <c r="BD128" s="410">
        <f t="shared" si="374"/>
        <v>0.6731972789</v>
      </c>
      <c r="BE128" s="410">
        <f t="shared" si="374"/>
        <v>0.7826313504</v>
      </c>
      <c r="BF128" s="410">
        <f t="shared" si="374"/>
        <v>0.7616326531</v>
      </c>
      <c r="BG128" s="410">
        <f t="shared" si="374"/>
        <v>0.7298421255</v>
      </c>
      <c r="BH128" s="410">
        <f t="shared" si="374"/>
        <v>0.8121706865</v>
      </c>
      <c r="BI128" s="410">
        <f t="shared" si="374"/>
        <v>0.6761674161</v>
      </c>
      <c r="BJ128" s="410">
        <f t="shared" si="374"/>
        <v>0.6494733377</v>
      </c>
      <c r="BK128" s="410">
        <f t="shared" si="374"/>
        <v>0.6811930926</v>
      </c>
      <c r="BL128" s="410">
        <f t="shared" si="374"/>
        <v>0.6732810047</v>
      </c>
      <c r="BM128" s="410">
        <f t="shared" si="374"/>
        <v>0.7113520408</v>
      </c>
      <c r="BN128" s="410">
        <f t="shared" si="374"/>
        <v>0.739445629</v>
      </c>
      <c r="BO128" s="410">
        <f t="shared" si="374"/>
        <v>0.71063524</v>
      </c>
      <c r="BP128" s="410">
        <f t="shared" si="374"/>
        <v>0.6960816327</v>
      </c>
      <c r="BQ128" s="410">
        <f t="shared" si="374"/>
        <v>0.7691522763</v>
      </c>
      <c r="BR128" s="410">
        <f t="shared" si="374"/>
        <v>0.6912942392</v>
      </c>
      <c r="BS128" s="410">
        <f t="shared" si="374"/>
        <v>0.7349721707</v>
      </c>
      <c r="BT128" s="410">
        <f t="shared" si="374"/>
        <v>0.8215519175</v>
      </c>
      <c r="BU128" s="410">
        <f t="shared" si="374"/>
        <v>0.5827237826</v>
      </c>
      <c r="BV128" s="410">
        <f t="shared" si="374"/>
        <v>0.5785714286</v>
      </c>
      <c r="BW128" s="504">
        <f t="shared" si="374"/>
        <v>0.5962807553</v>
      </c>
      <c r="BX128" s="504">
        <f t="shared" si="374"/>
        <v>0.6396319242</v>
      </c>
      <c r="BY128" s="504">
        <f t="shared" si="374"/>
        <v>0.5926636172</v>
      </c>
      <c r="BZ128" s="504">
        <f t="shared" si="374"/>
        <v>0.6139866291</v>
      </c>
      <c r="CA128" s="504">
        <f t="shared" si="374"/>
        <v>0.6521762687</v>
      </c>
      <c r="CB128" s="504">
        <f t="shared" si="374"/>
        <v>0.5077959184</v>
      </c>
      <c r="CC128" s="504">
        <f t="shared" si="374"/>
        <v>0.5009099181</v>
      </c>
      <c r="CD128" s="504">
        <f t="shared" si="374"/>
        <v>0.4946117471</v>
      </c>
      <c r="CE128" s="504">
        <f t="shared" si="374"/>
        <v>0.4888292159</v>
      </c>
      <c r="CF128" s="504">
        <f t="shared" si="374"/>
        <v>0.4835014905</v>
      </c>
      <c r="CG128" s="504">
        <f t="shared" si="374"/>
        <v>0.4785769443</v>
      </c>
      <c r="CH128" s="504">
        <f t="shared" si="374"/>
        <v>0.4740114796</v>
      </c>
      <c r="CK128" s="503">
        <f>IFERROR(CK127/CK126,0)</f>
        <v>7.14382486</v>
      </c>
      <c r="CL128" s="412"/>
      <c r="CM128" s="418">
        <f t="shared" ref="CM128:CQ128" si="375">IFERROR(CM127/CM126,0)</f>
        <v>0.6095217789</v>
      </c>
      <c r="CN128" s="418">
        <f t="shared" si="375"/>
        <v>0.5833450003</v>
      </c>
      <c r="CO128" s="418">
        <f t="shared" si="375"/>
        <v>0.4946117471</v>
      </c>
      <c r="CP128" s="418">
        <f t="shared" si="375"/>
        <v>0.4785769443</v>
      </c>
      <c r="CQ128" s="509">
        <f t="shared" si="375"/>
        <v>0.5305148976</v>
      </c>
      <c r="CR128" s="418"/>
      <c r="CS128" s="418">
        <f t="shared" ref="CS128:CW128" si="376">IFERROR(CS127/CS126,0)</f>
        <v>0.6884914791</v>
      </c>
      <c r="CT128" s="418">
        <f t="shared" si="376"/>
        <v>0.7145731532</v>
      </c>
      <c r="CU128" s="418">
        <f t="shared" si="376"/>
        <v>0.7317700958</v>
      </c>
      <c r="CV128" s="418">
        <f t="shared" si="376"/>
        <v>0.6541775099</v>
      </c>
      <c r="CW128" s="419">
        <f t="shared" si="376"/>
        <v>0.6947368421</v>
      </c>
      <c r="CX128" s="412"/>
      <c r="CY128" s="418">
        <f t="shared" ref="CY128:DC128" si="377">IFERROR(CY127/CY126,0)</f>
        <v>0.6279694612</v>
      </c>
      <c r="CZ128" s="418">
        <f t="shared" si="377"/>
        <v>0.720653675</v>
      </c>
      <c r="DA128" s="418">
        <f t="shared" si="377"/>
        <v>0.7569795918</v>
      </c>
      <c r="DB128" s="418">
        <f t="shared" si="377"/>
        <v>0.7092648423</v>
      </c>
      <c r="DC128" s="419">
        <f t="shared" si="377"/>
        <v>0.7048699747</v>
      </c>
      <c r="DD128" s="412"/>
      <c r="DE128" s="418">
        <f t="shared" ref="DE128:DI128" si="378">IFERROR(DE127/DE126,0)</f>
        <v>0.7069387755</v>
      </c>
      <c r="DF128" s="418">
        <f t="shared" si="378"/>
        <v>0.7257320319</v>
      </c>
      <c r="DG128" s="418">
        <f t="shared" si="378"/>
        <v>0.5616944146</v>
      </c>
      <c r="DH128" s="418">
        <f t="shared" si="378"/>
        <v>0.6197644158</v>
      </c>
      <c r="DI128" s="419">
        <f t="shared" si="378"/>
        <v>0.6518069367</v>
      </c>
      <c r="DJ128" s="412"/>
      <c r="DK128" s="418">
        <f t="shared" ref="DK128:DO128" si="379">IFERROR(DK127/DK126,0)</f>
        <v>0.7290877797</v>
      </c>
      <c r="DL128" s="418">
        <f t="shared" si="379"/>
        <v>0.6140524781</v>
      </c>
      <c r="DM128" s="418">
        <f t="shared" si="379"/>
        <v>0.5908922247</v>
      </c>
      <c r="DN128" s="418">
        <f t="shared" si="379"/>
        <v>0.6341039541</v>
      </c>
      <c r="DO128" s="419">
        <f t="shared" si="379"/>
        <v>0.6353616962</v>
      </c>
      <c r="DP128" s="412"/>
      <c r="DQ128" s="415"/>
      <c r="DR128" s="412"/>
      <c r="DS128" s="359"/>
      <c r="DT128" s="359"/>
      <c r="DU128" s="359"/>
      <c r="DV128" s="359"/>
      <c r="DW128" s="359"/>
      <c r="DX128" s="359"/>
      <c r="DY128" s="359"/>
      <c r="DZ128" s="359"/>
      <c r="EA128" s="359"/>
      <c r="EB128" s="359"/>
      <c r="EC128" s="359"/>
      <c r="ED128" s="359"/>
      <c r="EE128" s="410"/>
      <c r="EF128" s="410"/>
      <c r="EG128" s="410"/>
      <c r="EH128" s="410"/>
      <c r="EI128" s="410"/>
      <c r="EJ128" s="410"/>
      <c r="EK128" s="410"/>
      <c r="EL128" s="410"/>
      <c r="EM128" s="410"/>
      <c r="EN128" s="410"/>
      <c r="EO128" s="410"/>
      <c r="EP128" s="410"/>
      <c r="EQ128" s="410"/>
      <c r="ER128" s="410"/>
      <c r="ES128" s="410"/>
      <c r="ET128" s="410"/>
      <c r="EU128" s="410"/>
      <c r="EV128" s="410"/>
      <c r="EW128" s="410"/>
      <c r="EX128" s="410"/>
      <c r="EY128" s="410"/>
      <c r="EZ128" s="410"/>
      <c r="FA128" s="410"/>
      <c r="FB128" s="465"/>
      <c r="FC128" s="410"/>
      <c r="FD128" s="410"/>
      <c r="FE128" s="410"/>
      <c r="FF128" s="410"/>
      <c r="FG128" s="410"/>
      <c r="FH128" s="410"/>
      <c r="FI128" s="410"/>
      <c r="FJ128" s="410"/>
      <c r="FK128" s="410"/>
      <c r="FL128" s="410"/>
      <c r="FM128" s="410"/>
      <c r="FN128" s="410"/>
      <c r="FO128" s="410"/>
      <c r="FP128" s="410"/>
      <c r="FQ128" s="410"/>
      <c r="FR128" s="410"/>
      <c r="FS128" s="410"/>
      <c r="FT128" s="410"/>
      <c r="FU128" s="410"/>
      <c r="FV128" s="410"/>
      <c r="FW128" s="410"/>
      <c r="FX128" s="410"/>
      <c r="FY128" s="410"/>
      <c r="FZ128" s="410"/>
      <c r="GA128" s="410"/>
      <c r="GB128" s="410"/>
      <c r="GC128" s="410"/>
      <c r="GD128" s="410"/>
      <c r="GE128" s="410"/>
      <c r="GF128" s="410"/>
      <c r="GG128" s="410"/>
      <c r="GH128" s="410"/>
      <c r="GI128" s="410"/>
      <c r="GJ128" s="410"/>
      <c r="GK128" s="410"/>
      <c r="GL128" s="410"/>
      <c r="GM128" s="410"/>
    </row>
    <row r="129">
      <c r="B129" s="387" t="s">
        <v>544</v>
      </c>
      <c r="C129" s="359"/>
      <c r="D129" s="359"/>
      <c r="E129" s="359"/>
      <c r="F129" s="359"/>
      <c r="G129" s="359"/>
      <c r="H129" s="359"/>
      <c r="I129" s="359"/>
      <c r="J129" s="359"/>
      <c r="K129" s="359"/>
      <c r="L129" s="359"/>
      <c r="M129" s="359"/>
      <c r="N129" s="359"/>
      <c r="O129" s="359"/>
      <c r="P129" s="359"/>
      <c r="Q129" s="359"/>
      <c r="R129" s="359"/>
      <c r="S129" s="359"/>
      <c r="T129" s="359"/>
      <c r="U129" s="359"/>
      <c r="V129" s="359"/>
      <c r="W129" s="359"/>
      <c r="X129" s="359"/>
      <c r="Y129" s="359"/>
      <c r="Z129" s="359"/>
      <c r="AA129" s="416">
        <v>4413.0</v>
      </c>
      <c r="AB129" s="416">
        <v>4010.0</v>
      </c>
      <c r="AC129" s="416">
        <v>5921.0</v>
      </c>
      <c r="AD129" s="405">
        <v>4461.0</v>
      </c>
      <c r="AE129" s="405">
        <v>4931.0</v>
      </c>
      <c r="AF129" s="405">
        <v>5779.0</v>
      </c>
      <c r="AG129" s="405">
        <v>4895.0</v>
      </c>
      <c r="AH129" s="405">
        <v>7727.0</v>
      </c>
      <c r="AI129" s="405">
        <v>6007.0</v>
      </c>
      <c r="AJ129" s="405">
        <v>6521.0</v>
      </c>
      <c r="AK129" s="405">
        <v>6832.0</v>
      </c>
      <c r="AL129" s="405">
        <v>4738.0</v>
      </c>
      <c r="AM129" s="405">
        <v>7295.0</v>
      </c>
      <c r="AN129" s="405">
        <v>6481.0</v>
      </c>
      <c r="AO129" s="405">
        <v>8001.0</v>
      </c>
      <c r="AP129" s="405">
        <v>6575.0</v>
      </c>
      <c r="AQ129" s="405">
        <v>6922.0</v>
      </c>
      <c r="AR129" s="405">
        <v>6541.0</v>
      </c>
      <c r="AS129" s="405">
        <v>5072.0</v>
      </c>
      <c r="AT129" s="405">
        <v>6260.0</v>
      </c>
      <c r="AU129" s="405">
        <v>5070.0</v>
      </c>
      <c r="AV129" s="405">
        <v>6014.0</v>
      </c>
      <c r="AW129" s="405">
        <v>5662.0</v>
      </c>
      <c r="AX129" s="405">
        <v>5130.0</v>
      </c>
      <c r="AY129" s="405">
        <v>5150.0</v>
      </c>
      <c r="AZ129" s="405">
        <v>5202.0</v>
      </c>
      <c r="BA129" s="405">
        <v>5225.0</v>
      </c>
      <c r="BB129" s="405">
        <v>5532.0</v>
      </c>
      <c r="BC129" s="405">
        <v>5741.0</v>
      </c>
      <c r="BD129" s="405">
        <v>5650.0</v>
      </c>
      <c r="BE129" s="405">
        <v>6338.0</v>
      </c>
      <c r="BF129" s="405">
        <v>6595.0</v>
      </c>
      <c r="BG129" s="405">
        <v>6599.0</v>
      </c>
      <c r="BH129" s="405">
        <v>7978.0</v>
      </c>
      <c r="BI129" s="405">
        <v>7101.0</v>
      </c>
      <c r="BJ129" s="405">
        <v>7314.0</v>
      </c>
      <c r="BK129" s="405">
        <v>7737.0</v>
      </c>
      <c r="BL129" s="405">
        <v>7667.0</v>
      </c>
      <c r="BM129" s="405">
        <v>7723.0</v>
      </c>
      <c r="BN129" s="405">
        <v>8451.0</v>
      </c>
      <c r="BO129" s="405">
        <v>8615.0</v>
      </c>
      <c r="BP129" s="405">
        <v>8844.0</v>
      </c>
      <c r="BQ129" s="405">
        <v>10268.0</v>
      </c>
      <c r="BR129" s="405">
        <v>9208.0</v>
      </c>
      <c r="BS129" s="405">
        <v>11138.0</v>
      </c>
      <c r="BT129" s="405">
        <v>12819.0</v>
      </c>
      <c r="BU129" s="405">
        <v>10122.0</v>
      </c>
      <c r="BV129" s="405">
        <v>10632.0</v>
      </c>
      <c r="BW129" s="507">
        <v>11142.0</v>
      </c>
      <c r="BX129" s="508">
        <v>12004.0</v>
      </c>
      <c r="BY129" s="507">
        <v>12162.0</v>
      </c>
      <c r="BZ129" s="507">
        <v>12672.0</v>
      </c>
      <c r="CA129" s="507">
        <v>13182.0</v>
      </c>
      <c r="CB129" s="507">
        <v>13692.0</v>
      </c>
      <c r="CC129" s="507">
        <v>14202.0</v>
      </c>
      <c r="CD129" s="507">
        <v>14712.0</v>
      </c>
      <c r="CE129" s="507">
        <v>15222.0</v>
      </c>
      <c r="CF129" s="507">
        <v>15732.0</v>
      </c>
      <c r="CG129" s="507">
        <v>16242.0</v>
      </c>
      <c r="CH129" s="507">
        <v>16752.0</v>
      </c>
      <c r="CK129" s="503">
        <f>SUM(AP129:BA129)</f>
        <v>68823</v>
      </c>
      <c r="CL129" s="412"/>
      <c r="CM129" s="405">
        <f t="shared" ref="CM129:CM130" si="382">sum(BW129:BY129)</f>
        <v>35308</v>
      </c>
      <c r="CN129" s="405">
        <f t="shared" ref="CN129:CN130" si="383">sum(BZ129:CB129)</f>
        <v>39546</v>
      </c>
      <c r="CO129" s="405">
        <f t="shared" ref="CO129:CO130" si="384">sum(CC129:CE129)</f>
        <v>44136</v>
      </c>
      <c r="CP129" s="405">
        <f t="shared" ref="CP129:CP130" si="385">sum(CF129:CH129)</f>
        <v>48726</v>
      </c>
      <c r="CQ129" s="503">
        <f t="shared" ref="CQ129:CQ130" si="386">sum(BW129:CH129)</f>
        <v>167716</v>
      </c>
      <c r="CR129" s="405"/>
      <c r="CS129" s="405">
        <f>sum(BK129:BM129)</f>
        <v>23127</v>
      </c>
      <c r="CT129" s="417">
        <f>sum(BN129:BP129)</f>
        <v>25910</v>
      </c>
      <c r="CU129" s="406">
        <f>sum(BQ129:BS129)</f>
        <v>30614</v>
      </c>
      <c r="CV129" s="417">
        <f>sum(BT129:BV129)</f>
        <v>33573</v>
      </c>
      <c r="CW129" s="468">
        <f>SUM(BK129:BV129)</f>
        <v>113224</v>
      </c>
      <c r="CX129" s="412"/>
      <c r="CY129" s="405">
        <f>sum(AY129:BA129)</f>
        <v>15577</v>
      </c>
      <c r="CZ129" s="417">
        <f>sum(BB129:BD129)</f>
        <v>16923</v>
      </c>
      <c r="DA129" s="406">
        <f>sum(BE129:BG129)</f>
        <v>19532</v>
      </c>
      <c r="DB129" s="417">
        <f>sum(BH129:BJ129)</f>
        <v>22393</v>
      </c>
      <c r="DC129" s="415">
        <f>sum(AY129:BJ129)</f>
        <v>74425</v>
      </c>
      <c r="DD129" s="412"/>
      <c r="DE129" s="405">
        <f>sum(AM129:AO129)</f>
        <v>21777</v>
      </c>
      <c r="DF129" s="405">
        <f>sum(AP129:AR129)</f>
        <v>20038</v>
      </c>
      <c r="DG129" s="405">
        <f>sum(AS129:AU129)</f>
        <v>16402</v>
      </c>
      <c r="DH129" s="405">
        <f>sum(AV129:AX129)</f>
        <v>16806</v>
      </c>
      <c r="DI129" s="415">
        <f>sum(AM129:AX129)</f>
        <v>75023</v>
      </c>
      <c r="DJ129" s="412"/>
      <c r="DK129" s="405">
        <f>sum(AA129:AC129)</f>
        <v>14344</v>
      </c>
      <c r="DL129" s="405">
        <f>sum(AD129:AF129)</f>
        <v>15171</v>
      </c>
      <c r="DM129" s="405">
        <f>sum(AG129:AI129)</f>
        <v>18629</v>
      </c>
      <c r="DN129" s="405">
        <f>sum(AJ129:AL129)</f>
        <v>18091</v>
      </c>
      <c r="DO129" s="415">
        <f>sum(AA129:AL129)</f>
        <v>66235</v>
      </c>
      <c r="DP129" s="412"/>
      <c r="DQ129" s="415"/>
      <c r="DR129" s="412"/>
      <c r="DS129" s="359"/>
      <c r="DT129" s="359"/>
      <c r="DU129" s="359"/>
      <c r="DV129" s="359"/>
      <c r="DW129" s="359"/>
      <c r="DX129" s="359"/>
      <c r="DY129" s="359"/>
      <c r="DZ129" s="359"/>
      <c r="EA129" s="359"/>
      <c r="EB129" s="359"/>
      <c r="EC129" s="359"/>
      <c r="ED129" s="359"/>
      <c r="EE129" s="416"/>
      <c r="EF129" s="416"/>
      <c r="EG129" s="416"/>
      <c r="EH129" s="405"/>
      <c r="EI129" s="405"/>
      <c r="EJ129" s="405"/>
      <c r="EK129" s="405"/>
      <c r="EL129" s="405"/>
      <c r="EM129" s="405"/>
      <c r="EN129" s="405"/>
      <c r="EO129" s="405"/>
      <c r="EP129" s="405"/>
      <c r="EQ129" s="405"/>
      <c r="ER129" s="405"/>
      <c r="ES129" s="405"/>
      <c r="ET129" s="405"/>
      <c r="EU129" s="405"/>
      <c r="EV129" s="405"/>
      <c r="EW129" s="405"/>
      <c r="EX129" s="405"/>
      <c r="EY129" s="405"/>
      <c r="EZ129" s="405"/>
      <c r="FA129" s="405"/>
      <c r="FB129" s="465"/>
      <c r="FC129" s="405"/>
      <c r="FD129" s="405"/>
      <c r="FE129" s="405"/>
      <c r="FF129" s="405"/>
      <c r="FG129" s="405"/>
      <c r="FH129" s="405"/>
      <c r="FI129" s="405"/>
      <c r="FJ129" s="405"/>
      <c r="FK129" s="405"/>
      <c r="FL129" s="405"/>
      <c r="FM129" s="405"/>
      <c r="FN129" s="405"/>
      <c r="FO129" s="405"/>
      <c r="FP129" s="405"/>
      <c r="FQ129" s="405"/>
      <c r="FR129" s="405"/>
      <c r="FS129" s="405"/>
      <c r="FT129" s="405"/>
      <c r="FU129" s="405"/>
      <c r="FV129" s="405"/>
      <c r="FW129" s="405"/>
      <c r="FX129" s="405"/>
      <c r="FY129" s="405"/>
      <c r="FZ129" s="405"/>
      <c r="GA129" s="405"/>
      <c r="GB129" s="405"/>
      <c r="GC129" s="405"/>
      <c r="GD129" s="405"/>
      <c r="GE129" s="405"/>
      <c r="GF129" s="405"/>
      <c r="GG129" s="405"/>
      <c r="GH129" s="405"/>
      <c r="GI129" s="405"/>
      <c r="GJ129" s="405"/>
      <c r="GK129" s="405"/>
      <c r="GL129" s="405"/>
      <c r="GM129" s="405"/>
    </row>
    <row r="130">
      <c r="B130" s="387" t="s">
        <v>545</v>
      </c>
      <c r="C130" s="359"/>
      <c r="D130" s="359"/>
      <c r="E130" s="359"/>
      <c r="F130" s="359"/>
      <c r="G130" s="359"/>
      <c r="H130" s="359"/>
      <c r="I130" s="359"/>
      <c r="J130" s="359"/>
      <c r="K130" s="359"/>
      <c r="L130" s="359"/>
      <c r="M130" s="359"/>
      <c r="N130" s="359"/>
      <c r="O130" s="359"/>
      <c r="P130" s="359"/>
      <c r="Q130" s="359"/>
      <c r="R130" s="359"/>
      <c r="S130" s="359"/>
      <c r="T130" s="359"/>
      <c r="U130" s="359"/>
      <c r="V130" s="359"/>
      <c r="W130" s="359"/>
      <c r="X130" s="359"/>
      <c r="Y130" s="359"/>
      <c r="Z130" s="359"/>
      <c r="AA130" s="405">
        <f t="shared" ref="AA130:AX130" si="380">AA129/AA123</f>
        <v>183.875</v>
      </c>
      <c r="AB130" s="405">
        <f t="shared" si="380"/>
        <v>143.2142857</v>
      </c>
      <c r="AC130" s="405">
        <f t="shared" si="380"/>
        <v>191</v>
      </c>
      <c r="AD130" s="405">
        <f t="shared" si="380"/>
        <v>131.2058824</v>
      </c>
      <c r="AE130" s="405">
        <f t="shared" si="380"/>
        <v>140.8857143</v>
      </c>
      <c r="AF130" s="405">
        <f t="shared" si="380"/>
        <v>160.5277778</v>
      </c>
      <c r="AG130" s="405">
        <f t="shared" si="380"/>
        <v>125.5128205</v>
      </c>
      <c r="AH130" s="405">
        <f t="shared" si="380"/>
        <v>188.4634146</v>
      </c>
      <c r="AI130" s="405">
        <f t="shared" si="380"/>
        <v>146.5121951</v>
      </c>
      <c r="AJ130" s="405">
        <f t="shared" si="380"/>
        <v>171.6052632</v>
      </c>
      <c r="AK130" s="405">
        <f t="shared" si="380"/>
        <v>158.8837209</v>
      </c>
      <c r="AL130" s="405">
        <f t="shared" si="380"/>
        <v>100.8085106</v>
      </c>
      <c r="AM130" s="405">
        <f t="shared" si="380"/>
        <v>151.9791667</v>
      </c>
      <c r="AN130" s="405">
        <f t="shared" si="380"/>
        <v>124.6346154</v>
      </c>
      <c r="AO130" s="405">
        <f t="shared" si="380"/>
        <v>160.02</v>
      </c>
      <c r="AP130" s="405">
        <f t="shared" si="380"/>
        <v>146.1111111</v>
      </c>
      <c r="AQ130" s="405">
        <f t="shared" si="380"/>
        <v>150.4782609</v>
      </c>
      <c r="AR130" s="405">
        <f t="shared" si="380"/>
        <v>139.1702128</v>
      </c>
      <c r="AS130" s="405">
        <f t="shared" si="380"/>
        <v>103.5102041</v>
      </c>
      <c r="AT130" s="405">
        <f t="shared" si="380"/>
        <v>120.3846154</v>
      </c>
      <c r="AU130" s="405">
        <f t="shared" si="380"/>
        <v>99.41176471</v>
      </c>
      <c r="AV130" s="405">
        <f t="shared" si="380"/>
        <v>117.9215686</v>
      </c>
      <c r="AW130" s="405">
        <f t="shared" si="380"/>
        <v>113.24</v>
      </c>
      <c r="AX130" s="405">
        <f t="shared" si="380"/>
        <v>106.875</v>
      </c>
      <c r="AY130" s="405">
        <f t="shared" ref="AY130:CH130" si="381">IFERROR(AY129/AY123,0)</f>
        <v>109.5744681</v>
      </c>
      <c r="AZ130" s="405">
        <f t="shared" si="381"/>
        <v>110.6808511</v>
      </c>
      <c r="BA130" s="405">
        <f t="shared" si="381"/>
        <v>116.1111111</v>
      </c>
      <c r="BB130" s="405">
        <f t="shared" si="381"/>
        <v>125.7272727</v>
      </c>
      <c r="BC130" s="405">
        <f t="shared" si="381"/>
        <v>130.4772727</v>
      </c>
      <c r="BD130" s="405">
        <f t="shared" si="381"/>
        <v>125.5555556</v>
      </c>
      <c r="BE130" s="405">
        <f t="shared" si="381"/>
        <v>134.8510638</v>
      </c>
      <c r="BF130" s="405">
        <f t="shared" si="381"/>
        <v>131.9</v>
      </c>
      <c r="BG130" s="405">
        <f t="shared" si="381"/>
        <v>124.509434</v>
      </c>
      <c r="BH130" s="405">
        <f t="shared" si="381"/>
        <v>145.0545455</v>
      </c>
      <c r="BI130" s="405">
        <f t="shared" si="381"/>
        <v>120.3559322</v>
      </c>
      <c r="BJ130" s="405">
        <f t="shared" si="381"/>
        <v>117.9677419</v>
      </c>
      <c r="BK130" s="405">
        <f t="shared" si="381"/>
        <v>119.0307692</v>
      </c>
      <c r="BL130" s="405">
        <f t="shared" si="381"/>
        <v>117.9538462</v>
      </c>
      <c r="BM130" s="405">
        <f t="shared" si="381"/>
        <v>120.671875</v>
      </c>
      <c r="BN130" s="405">
        <f t="shared" si="381"/>
        <v>126.1343284</v>
      </c>
      <c r="BO130" s="405">
        <f t="shared" si="381"/>
        <v>121.3380282</v>
      </c>
      <c r="BP130" s="405">
        <f t="shared" si="381"/>
        <v>117.92</v>
      </c>
      <c r="BQ130" s="405">
        <f t="shared" si="381"/>
        <v>131.6410256</v>
      </c>
      <c r="BR130" s="405">
        <f t="shared" si="381"/>
        <v>116.556962</v>
      </c>
      <c r="BS130" s="405">
        <f t="shared" si="381"/>
        <v>126.5681818</v>
      </c>
      <c r="BT130" s="405">
        <f t="shared" si="381"/>
        <v>140.8681319</v>
      </c>
      <c r="BU130" s="405">
        <f t="shared" si="381"/>
        <v>100.2178218</v>
      </c>
      <c r="BV130" s="405">
        <f t="shared" si="381"/>
        <v>100.3018868</v>
      </c>
      <c r="BW130" s="507">
        <f t="shared" si="381"/>
        <v>104.1308411</v>
      </c>
      <c r="BX130" s="507">
        <f t="shared" si="381"/>
        <v>107.1785714</v>
      </c>
      <c r="BY130" s="507">
        <f t="shared" si="381"/>
        <v>104.8448276</v>
      </c>
      <c r="BZ130" s="507">
        <f t="shared" si="381"/>
        <v>109.2413793</v>
      </c>
      <c r="CA130" s="507">
        <f t="shared" si="381"/>
        <v>116.6548673</v>
      </c>
      <c r="CB130" s="507">
        <f t="shared" si="381"/>
        <v>91.28</v>
      </c>
      <c r="CC130" s="507">
        <f t="shared" si="381"/>
        <v>90.45859873</v>
      </c>
      <c r="CD130" s="507">
        <f t="shared" si="381"/>
        <v>89.70731707</v>
      </c>
      <c r="CE130" s="507">
        <f t="shared" si="381"/>
        <v>89.01754386</v>
      </c>
      <c r="CF130" s="507">
        <f t="shared" si="381"/>
        <v>88.38202247</v>
      </c>
      <c r="CG130" s="507">
        <f t="shared" si="381"/>
        <v>87.79459459</v>
      </c>
      <c r="CH130" s="507">
        <f t="shared" si="381"/>
        <v>87.25</v>
      </c>
      <c r="CK130" s="503">
        <f>CK129/CK123</f>
        <v>1428.851211</v>
      </c>
      <c r="CL130" s="412"/>
      <c r="CM130" s="405">
        <f t="shared" si="382"/>
        <v>316.1542401</v>
      </c>
      <c r="CN130" s="405">
        <f t="shared" si="383"/>
        <v>317.1762466</v>
      </c>
      <c r="CO130" s="405">
        <f t="shared" si="384"/>
        <v>269.1834597</v>
      </c>
      <c r="CP130" s="405">
        <f t="shared" si="385"/>
        <v>263.4266171</v>
      </c>
      <c r="CQ130" s="503">
        <f t="shared" si="386"/>
        <v>1165.940563</v>
      </c>
      <c r="CR130" s="405"/>
      <c r="CS130" s="405">
        <f t="shared" ref="CS130:CW130" si="387">IFERROR(CS129/(CS123*3),0)</f>
        <v>119.2113402</v>
      </c>
      <c r="CT130" s="405">
        <f t="shared" si="387"/>
        <v>121.6431925</v>
      </c>
      <c r="CU130" s="405">
        <f t="shared" si="387"/>
        <v>124.955102</v>
      </c>
      <c r="CV130" s="405">
        <f t="shared" si="387"/>
        <v>112.6610738</v>
      </c>
      <c r="CW130" s="415">
        <f t="shared" si="387"/>
        <v>356.0503145</v>
      </c>
      <c r="CX130" s="412"/>
      <c r="CY130" s="405">
        <f t="shared" ref="CY130:DC130" si="388">IFERROR(CY129/(CY123*3),0)</f>
        <v>112.0647482</v>
      </c>
      <c r="CZ130" s="405">
        <f t="shared" si="388"/>
        <v>127.2406015</v>
      </c>
      <c r="DA130" s="405">
        <f t="shared" si="388"/>
        <v>130.2133333</v>
      </c>
      <c r="DB130" s="405">
        <f t="shared" si="388"/>
        <v>127.2329545</v>
      </c>
      <c r="DC130" s="415">
        <f t="shared" si="388"/>
        <v>422.8693182</v>
      </c>
      <c r="DD130" s="412"/>
      <c r="DE130" s="405">
        <f t="shared" ref="DE130:DH130" si="389">DE129/(DE123*3)</f>
        <v>145.18</v>
      </c>
      <c r="DF130" s="405">
        <f t="shared" si="389"/>
        <v>145.2028986</v>
      </c>
      <c r="DG130" s="405">
        <f t="shared" si="389"/>
        <v>107.9078947</v>
      </c>
      <c r="DH130" s="405">
        <f t="shared" si="389"/>
        <v>112.7919463</v>
      </c>
      <c r="DI130" s="415">
        <f>DI129/DI123</f>
        <v>1510.530201</v>
      </c>
      <c r="DJ130" s="412"/>
      <c r="DK130" s="405">
        <f t="shared" ref="DK130:DN130" si="390">DK129/(DK123*3)</f>
        <v>172.8192771</v>
      </c>
      <c r="DL130" s="405">
        <f t="shared" si="390"/>
        <v>144.4857143</v>
      </c>
      <c r="DM130" s="405">
        <f t="shared" si="390"/>
        <v>153.9586777</v>
      </c>
      <c r="DN130" s="405">
        <f t="shared" si="390"/>
        <v>141.3359375</v>
      </c>
      <c r="DO130" s="415">
        <f>DO129/DO123</f>
        <v>1552.382813</v>
      </c>
      <c r="DP130" s="412"/>
      <c r="DQ130" s="415"/>
      <c r="DR130" s="412"/>
      <c r="DS130" s="359"/>
      <c r="DT130" s="359"/>
      <c r="DU130" s="359"/>
      <c r="DV130" s="359"/>
      <c r="DW130" s="359"/>
      <c r="DX130" s="359"/>
      <c r="DY130" s="359"/>
      <c r="DZ130" s="359"/>
      <c r="EA130" s="359"/>
      <c r="EB130" s="359"/>
      <c r="EC130" s="359"/>
      <c r="ED130" s="359"/>
      <c r="EE130" s="405"/>
      <c r="EF130" s="405"/>
      <c r="EG130" s="405"/>
      <c r="EH130" s="405"/>
      <c r="EI130" s="405"/>
      <c r="EJ130" s="405"/>
      <c r="EK130" s="405"/>
      <c r="EL130" s="405"/>
      <c r="EM130" s="405"/>
      <c r="EN130" s="405"/>
      <c r="EO130" s="405"/>
      <c r="EP130" s="405"/>
      <c r="EQ130" s="405"/>
      <c r="ER130" s="405"/>
      <c r="ES130" s="405"/>
      <c r="ET130" s="405"/>
      <c r="EU130" s="405"/>
      <c r="EV130" s="405"/>
      <c r="EW130" s="405"/>
      <c r="EX130" s="405"/>
      <c r="EY130" s="405"/>
      <c r="EZ130" s="405"/>
      <c r="FA130" s="405"/>
      <c r="FB130" s="465"/>
      <c r="FC130" s="405"/>
      <c r="FD130" s="405"/>
      <c r="FE130" s="405"/>
      <c r="FF130" s="405"/>
      <c r="FG130" s="405"/>
      <c r="FH130" s="405"/>
      <c r="FI130" s="405"/>
      <c r="FJ130" s="405"/>
      <c r="FK130" s="405"/>
      <c r="FL130" s="405"/>
      <c r="FM130" s="405"/>
      <c r="FN130" s="405"/>
      <c r="FO130" s="405"/>
      <c r="FP130" s="405"/>
      <c r="FQ130" s="405"/>
      <c r="FR130" s="405"/>
      <c r="FS130" s="405"/>
      <c r="FT130" s="405"/>
      <c r="FU130" s="405"/>
      <c r="FV130" s="405"/>
      <c r="FW130" s="405"/>
      <c r="FX130" s="405"/>
      <c r="FY130" s="405"/>
      <c r="FZ130" s="405"/>
      <c r="GA130" s="405"/>
      <c r="GB130" s="405"/>
      <c r="GC130" s="405"/>
      <c r="GD130" s="405"/>
      <c r="GE130" s="405"/>
      <c r="GF130" s="405"/>
      <c r="GG130" s="405"/>
      <c r="GH130" s="405"/>
      <c r="GI130" s="405"/>
      <c r="GJ130" s="405"/>
      <c r="GK130" s="405"/>
      <c r="GL130" s="405"/>
      <c r="GM130" s="405"/>
    </row>
    <row r="131">
      <c r="B131" s="387" t="s">
        <v>546</v>
      </c>
      <c r="C131" s="359"/>
      <c r="D131" s="359"/>
      <c r="E131" s="359"/>
      <c r="F131" s="359"/>
      <c r="G131" s="359"/>
      <c r="H131" s="359"/>
      <c r="I131" s="359"/>
      <c r="J131" s="359"/>
      <c r="K131" s="359"/>
      <c r="L131" s="359"/>
      <c r="M131" s="359"/>
      <c r="N131" s="359"/>
      <c r="O131" s="359"/>
      <c r="P131" s="359"/>
      <c r="Q131" s="359"/>
      <c r="R131" s="359"/>
      <c r="S131" s="359"/>
      <c r="T131" s="359"/>
      <c r="U131" s="359"/>
      <c r="V131" s="359"/>
      <c r="W131" s="359"/>
      <c r="X131" s="359"/>
      <c r="Y131" s="359"/>
      <c r="Z131" s="359"/>
      <c r="AA131" s="420">
        <f t="shared" ref="AA131:AX131" si="391">(AA129-AA127)/AA127</f>
        <v>0.3384895359</v>
      </c>
      <c r="AB131" s="420">
        <f t="shared" si="391"/>
        <v>0.3357761492</v>
      </c>
      <c r="AC131" s="420">
        <f t="shared" si="391"/>
        <v>0.6516039052</v>
      </c>
      <c r="AD131" s="420">
        <f t="shared" si="391"/>
        <v>0.35428051</v>
      </c>
      <c r="AE131" s="420">
        <f t="shared" si="391"/>
        <v>0.4325973271</v>
      </c>
      <c r="AF131" s="420">
        <f t="shared" si="391"/>
        <v>0.5227931489</v>
      </c>
      <c r="AG131" s="420">
        <f t="shared" si="391"/>
        <v>0.6273271277</v>
      </c>
      <c r="AH131" s="420">
        <f t="shared" si="391"/>
        <v>0.6471967598</v>
      </c>
      <c r="AI131" s="420">
        <f t="shared" si="391"/>
        <v>0.5096757979</v>
      </c>
      <c r="AJ131" s="420">
        <f t="shared" si="391"/>
        <v>0.3565633451</v>
      </c>
      <c r="AK131" s="420">
        <f t="shared" si="391"/>
        <v>0.385801217</v>
      </c>
      <c r="AL131" s="420">
        <f t="shared" si="391"/>
        <v>0.3460227273</v>
      </c>
      <c r="AM131" s="420">
        <f t="shared" si="391"/>
        <v>0.2881864736</v>
      </c>
      <c r="AN131" s="420">
        <f t="shared" si="391"/>
        <v>0.2361243563</v>
      </c>
      <c r="AO131" s="420">
        <f t="shared" si="391"/>
        <v>0.2474275023</v>
      </c>
      <c r="AP131" s="420">
        <f t="shared" si="391"/>
        <v>0.1950199927</v>
      </c>
      <c r="AQ131" s="420">
        <f t="shared" si="391"/>
        <v>0.2294849023</v>
      </c>
      <c r="AR131" s="420">
        <f t="shared" si="391"/>
        <v>0.251626483</v>
      </c>
      <c r="AS131" s="420">
        <f t="shared" si="391"/>
        <v>0.2358674464</v>
      </c>
      <c r="AT131" s="420">
        <f t="shared" si="391"/>
        <v>0.2026897214</v>
      </c>
      <c r="AU131" s="420">
        <f t="shared" si="391"/>
        <v>0.0936151855</v>
      </c>
      <c r="AV131" s="420">
        <f t="shared" si="391"/>
        <v>0.09744525547</v>
      </c>
      <c r="AW131" s="420">
        <f t="shared" si="391"/>
        <v>0.1245283019</v>
      </c>
      <c r="AX131" s="420">
        <f t="shared" si="391"/>
        <v>0.1230297723</v>
      </c>
      <c r="AY131" s="420">
        <f t="shared" ref="AY131:CH131" si="392">IFERROR((AY129-AY127)/AY127,0)</f>
        <v>0.09110169492</v>
      </c>
      <c r="AZ131" s="420">
        <f t="shared" si="392"/>
        <v>0.07791131372</v>
      </c>
      <c r="BA131" s="420">
        <f t="shared" si="392"/>
        <v>0.1091063468</v>
      </c>
      <c r="BB131" s="420">
        <f t="shared" si="392"/>
        <v>0.03286034354</v>
      </c>
      <c r="BC131" s="420">
        <f t="shared" si="392"/>
        <v>0.07288357316</v>
      </c>
      <c r="BD131" s="420">
        <f t="shared" si="392"/>
        <v>0.1418755053</v>
      </c>
      <c r="BE131" s="420">
        <f t="shared" si="392"/>
        <v>0.05492676431</v>
      </c>
      <c r="BF131" s="420">
        <f t="shared" si="392"/>
        <v>0.06028938907</v>
      </c>
      <c r="BG131" s="420">
        <f t="shared" si="392"/>
        <v>0.04447610003</v>
      </c>
      <c r="BH131" s="420">
        <f t="shared" si="392"/>
        <v>0.09347587719</v>
      </c>
      <c r="BI131" s="420">
        <f t="shared" si="392"/>
        <v>0.08977900552</v>
      </c>
      <c r="BJ131" s="420">
        <f t="shared" si="392"/>
        <v>0.1120571689</v>
      </c>
      <c r="BK131" s="420">
        <f t="shared" si="392"/>
        <v>0.06982853982</v>
      </c>
      <c r="BL131" s="420">
        <f t="shared" si="392"/>
        <v>0.07260772244</v>
      </c>
      <c r="BM131" s="420">
        <f t="shared" si="392"/>
        <v>0.03859601937</v>
      </c>
      <c r="BN131" s="420">
        <f t="shared" si="392"/>
        <v>0.04436480475</v>
      </c>
      <c r="BO131" s="420">
        <f t="shared" si="392"/>
        <v>0.04538284189</v>
      </c>
      <c r="BP131" s="420">
        <f t="shared" si="392"/>
        <v>0.03717602908</v>
      </c>
      <c r="BQ131" s="420">
        <f t="shared" si="392"/>
        <v>0.04786202674</v>
      </c>
      <c r="BR131" s="420">
        <f t="shared" si="392"/>
        <v>0.03228699552</v>
      </c>
      <c r="BS131" s="420">
        <f t="shared" si="392"/>
        <v>0.05433547899</v>
      </c>
      <c r="BT131" s="420">
        <f t="shared" si="392"/>
        <v>0.04979117189</v>
      </c>
      <c r="BU131" s="420">
        <f t="shared" si="392"/>
        <v>0.05294913138</v>
      </c>
      <c r="BV131" s="420">
        <f t="shared" si="392"/>
        <v>0.06139562743</v>
      </c>
      <c r="BW131" s="510">
        <f t="shared" si="392"/>
        <v>0.06918721812</v>
      </c>
      <c r="BX131" s="510">
        <f t="shared" si="392"/>
        <v>0.02589522263</v>
      </c>
      <c r="BY131" s="510">
        <f t="shared" si="392"/>
        <v>0.08308843174</v>
      </c>
      <c r="BZ131" s="510">
        <f t="shared" si="392"/>
        <v>0.08931488008</v>
      </c>
      <c r="CA131" s="510">
        <f t="shared" si="392"/>
        <v>0.09512336961</v>
      </c>
      <c r="CB131" s="510">
        <f t="shared" si="392"/>
        <v>0.1005546178</v>
      </c>
      <c r="CC131" s="510">
        <f t="shared" si="392"/>
        <v>0.1056442195</v>
      </c>
      <c r="CD131" s="510">
        <f t="shared" si="392"/>
        <v>0.1104234282</v>
      </c>
      <c r="CE131" s="510">
        <f t="shared" si="392"/>
        <v>0.1149197978</v>
      </c>
      <c r="CF131" s="510">
        <f t="shared" si="392"/>
        <v>0.119157715</v>
      </c>
      <c r="CG131" s="510">
        <f t="shared" si="392"/>
        <v>0.123158841</v>
      </c>
      <c r="CH131" s="510">
        <f t="shared" si="392"/>
        <v>0.1269424823</v>
      </c>
      <c r="CK131" s="511">
        <f>(CK129-CK127)/CK127</f>
        <v>0.153915799</v>
      </c>
      <c r="CL131" s="422"/>
      <c r="CM131" s="420">
        <f t="shared" ref="CM131:CQ131" si="393">IFERROR((CM129-CM127)/CM127,0)</f>
        <v>0.05867890018</v>
      </c>
      <c r="CN131" s="420">
        <f t="shared" si="393"/>
        <v>0.09512336961</v>
      </c>
      <c r="CO131" s="420">
        <f t="shared" si="393"/>
        <v>0.1104234282</v>
      </c>
      <c r="CP131" s="420">
        <f t="shared" si="393"/>
        <v>0.123158841</v>
      </c>
      <c r="CQ131" s="511">
        <f t="shared" si="393"/>
        <v>0.09911397714</v>
      </c>
      <c r="CR131" s="420"/>
      <c r="CS131" s="420">
        <f t="shared" ref="CS131:CW131" si="394">IFERROR((CS129-CS127)/CS127,0)</f>
        <v>0.06009350935</v>
      </c>
      <c r="CT131" s="420">
        <f t="shared" si="394"/>
        <v>0.04223652454</v>
      </c>
      <c r="CU131" s="420">
        <f t="shared" si="394"/>
        <v>0.0454529932</v>
      </c>
      <c r="CV131" s="420">
        <f t="shared" si="394"/>
        <v>0.05439527653</v>
      </c>
      <c r="CW131" s="421">
        <f t="shared" si="394"/>
        <v>0.05031539889</v>
      </c>
      <c r="CX131" s="422"/>
      <c r="CY131" s="420">
        <f t="shared" ref="CY131:DC131" si="395">IFERROR((CY129-CY127)/CY127,0)</f>
        <v>0.09258609806</v>
      </c>
      <c r="CZ131" s="420">
        <f t="shared" si="395"/>
        <v>0.08099648675</v>
      </c>
      <c r="DA131" s="420">
        <f t="shared" si="395"/>
        <v>0.05316510299</v>
      </c>
      <c r="DB131" s="420">
        <f t="shared" si="395"/>
        <v>0.09828829271</v>
      </c>
      <c r="DC131" s="421">
        <f t="shared" si="395"/>
        <v>0.08102023327</v>
      </c>
      <c r="DD131" s="422"/>
      <c r="DE131" s="420">
        <f t="shared" ref="DE131:DI131" si="396">(DE129-DE127)/DE127</f>
        <v>0.2573325635</v>
      </c>
      <c r="DF131" s="420">
        <f t="shared" si="396"/>
        <v>0.2249663773</v>
      </c>
      <c r="DG131" s="420">
        <f t="shared" si="396"/>
        <v>0.1761921836</v>
      </c>
      <c r="DH131" s="420">
        <f t="shared" si="396"/>
        <v>0.1142345687</v>
      </c>
      <c r="DI131" s="421">
        <f t="shared" si="396"/>
        <v>0.1964245846</v>
      </c>
      <c r="DJ131" s="422"/>
      <c r="DK131" s="420">
        <f t="shared" ref="DK131:DO131" si="397">(DK129-DK127)/DK127</f>
        <v>0.4512343181</v>
      </c>
      <c r="DL131" s="420">
        <f t="shared" si="397"/>
        <v>0.4406039313</v>
      </c>
      <c r="DM131" s="420">
        <f t="shared" si="397"/>
        <v>0.5952217846</v>
      </c>
      <c r="DN131" s="420">
        <f t="shared" si="397"/>
        <v>0.36463755</v>
      </c>
      <c r="DO131" s="421">
        <f t="shared" si="397"/>
        <v>0.4605292172</v>
      </c>
      <c r="DP131" s="422"/>
      <c r="DQ131" s="421"/>
      <c r="DR131" s="422"/>
      <c r="DS131" s="359"/>
      <c r="DT131" s="359"/>
      <c r="DU131" s="359"/>
      <c r="DV131" s="359"/>
      <c r="DW131" s="359"/>
      <c r="DX131" s="359"/>
      <c r="DY131" s="359"/>
      <c r="DZ131" s="359"/>
      <c r="EA131" s="359"/>
      <c r="EB131" s="359"/>
      <c r="EC131" s="359"/>
      <c r="ED131" s="359"/>
      <c r="EE131" s="420"/>
      <c r="EF131" s="420"/>
      <c r="EG131" s="420"/>
      <c r="EH131" s="420"/>
      <c r="EI131" s="420"/>
      <c r="EJ131" s="420"/>
      <c r="EK131" s="420"/>
      <c r="EL131" s="420"/>
      <c r="EM131" s="420"/>
      <c r="EN131" s="420"/>
      <c r="EO131" s="420"/>
      <c r="EP131" s="420"/>
      <c r="EQ131" s="420"/>
      <c r="ER131" s="420"/>
      <c r="ES131" s="420"/>
      <c r="ET131" s="420"/>
      <c r="EU131" s="420"/>
      <c r="EV131" s="420"/>
      <c r="EW131" s="420"/>
      <c r="EX131" s="420"/>
      <c r="EY131" s="420"/>
      <c r="EZ131" s="420"/>
      <c r="FA131" s="420"/>
      <c r="FB131" s="465"/>
      <c r="FC131" s="420"/>
      <c r="FD131" s="420"/>
      <c r="FE131" s="420"/>
      <c r="FF131" s="420"/>
      <c r="FG131" s="420"/>
      <c r="FH131" s="420"/>
      <c r="FI131" s="420"/>
      <c r="FJ131" s="420"/>
      <c r="FK131" s="420"/>
      <c r="FL131" s="420"/>
      <c r="FM131" s="420"/>
      <c r="FN131" s="420"/>
      <c r="FO131" s="420"/>
      <c r="FP131" s="420"/>
      <c r="FQ131" s="420"/>
      <c r="FR131" s="420"/>
      <c r="FS131" s="420"/>
      <c r="FT131" s="420"/>
      <c r="FU131" s="420"/>
      <c r="FV131" s="420"/>
      <c r="FW131" s="420"/>
      <c r="FX131" s="420"/>
      <c r="FY131" s="420"/>
      <c r="FZ131" s="420"/>
      <c r="GA131" s="420"/>
      <c r="GB131" s="420"/>
      <c r="GC131" s="420"/>
      <c r="GD131" s="420"/>
      <c r="GE131" s="420"/>
      <c r="GF131" s="420"/>
      <c r="GG131" s="420"/>
      <c r="GH131" s="420"/>
      <c r="GI131" s="420"/>
      <c r="GJ131" s="420"/>
      <c r="GK131" s="420"/>
      <c r="GL131" s="420"/>
      <c r="GM131" s="420"/>
    </row>
    <row r="132">
      <c r="BB132" s="84">
        <f t="shared" ref="BB132:BR132" si="398">BB122+BB123-5</f>
        <v>81</v>
      </c>
      <c r="BC132" s="84">
        <f t="shared" si="398"/>
        <v>84</v>
      </c>
      <c r="BD132" s="84">
        <f t="shared" si="398"/>
        <v>85</v>
      </c>
      <c r="BE132" s="84">
        <f t="shared" si="398"/>
        <v>90</v>
      </c>
      <c r="BF132" s="84">
        <f t="shared" si="398"/>
        <v>93</v>
      </c>
      <c r="BG132" s="84">
        <f t="shared" si="398"/>
        <v>93</v>
      </c>
      <c r="BH132" s="84">
        <f t="shared" si="398"/>
        <v>94</v>
      </c>
      <c r="BI132" s="84">
        <f t="shared" si="398"/>
        <v>99</v>
      </c>
      <c r="BJ132" s="84">
        <f t="shared" si="398"/>
        <v>102</v>
      </c>
      <c r="BK132" s="84">
        <f t="shared" si="398"/>
        <v>103</v>
      </c>
      <c r="BL132" s="84">
        <f t="shared" si="398"/>
        <v>102</v>
      </c>
      <c r="BM132" s="84">
        <f t="shared" si="398"/>
        <v>102</v>
      </c>
      <c r="BN132" s="84">
        <f t="shared" si="398"/>
        <v>105</v>
      </c>
      <c r="BO132" s="84">
        <f t="shared" si="398"/>
        <v>108</v>
      </c>
      <c r="BP132" s="84">
        <f t="shared" si="398"/>
        <v>113</v>
      </c>
      <c r="BQ132" s="84">
        <f t="shared" si="398"/>
        <v>116</v>
      </c>
      <c r="BR132" s="84">
        <f t="shared" si="398"/>
        <v>117</v>
      </c>
      <c r="BS132" s="84">
        <f t="shared" ref="BS132:CH132" si="399">BS122+BS123</f>
        <v>128</v>
      </c>
      <c r="BT132" s="84">
        <f t="shared" si="399"/>
        <v>132</v>
      </c>
      <c r="BU132" s="84">
        <f t="shared" si="399"/>
        <v>141</v>
      </c>
      <c r="BV132" s="84">
        <f t="shared" si="399"/>
        <v>147</v>
      </c>
      <c r="BW132" s="512">
        <f t="shared" si="399"/>
        <v>148</v>
      </c>
      <c r="BX132" s="512">
        <f t="shared" si="399"/>
        <v>154</v>
      </c>
      <c r="BY132" s="512">
        <f t="shared" si="399"/>
        <v>160</v>
      </c>
      <c r="BZ132" s="512">
        <f t="shared" si="399"/>
        <v>162</v>
      </c>
      <c r="CA132" s="512">
        <f t="shared" si="399"/>
        <v>167</v>
      </c>
      <c r="CB132" s="512">
        <f t="shared" si="399"/>
        <v>218</v>
      </c>
      <c r="CC132" s="512">
        <f t="shared" si="399"/>
        <v>229</v>
      </c>
      <c r="CD132" s="512">
        <f t="shared" si="399"/>
        <v>240</v>
      </c>
      <c r="CE132" s="512">
        <f t="shared" si="399"/>
        <v>251</v>
      </c>
      <c r="CF132" s="512">
        <f t="shared" si="399"/>
        <v>262</v>
      </c>
      <c r="CG132" s="512">
        <f t="shared" si="399"/>
        <v>273</v>
      </c>
      <c r="CH132" s="512">
        <f t="shared" si="399"/>
        <v>284</v>
      </c>
      <c r="CK132" s="42"/>
      <c r="CQ132" s="42"/>
      <c r="CW132" s="34"/>
      <c r="DC132" s="34"/>
      <c r="DI132" s="34"/>
      <c r="DO132" s="34"/>
      <c r="DQ132" s="34"/>
      <c r="DR132" s="136"/>
      <c r="FB132" s="3"/>
    </row>
    <row r="133">
      <c r="B133" s="398" t="s">
        <v>547</v>
      </c>
      <c r="C133" s="359"/>
      <c r="D133" s="359"/>
      <c r="E133" s="359"/>
      <c r="F133" s="359"/>
      <c r="G133" s="359"/>
      <c r="H133" s="359"/>
      <c r="I133" s="359"/>
      <c r="J133" s="359"/>
      <c r="K133" s="359"/>
      <c r="L133" s="359"/>
      <c r="M133" s="359"/>
      <c r="N133" s="359"/>
      <c r="O133" s="359"/>
      <c r="P133" s="359"/>
      <c r="Q133" s="359"/>
      <c r="R133" s="359"/>
      <c r="S133" s="359"/>
      <c r="T133" s="359"/>
      <c r="U133" s="359"/>
      <c r="V133" s="359"/>
      <c r="W133" s="359"/>
      <c r="X133" s="359"/>
      <c r="Y133" s="359"/>
      <c r="Z133" s="359"/>
      <c r="AA133" s="418"/>
      <c r="AB133" s="418"/>
      <c r="AC133" s="418"/>
      <c r="AD133" s="418"/>
      <c r="AE133" s="418"/>
      <c r="AF133" s="418"/>
      <c r="AG133" s="418"/>
      <c r="AH133" s="418"/>
      <c r="AI133" s="418"/>
      <c r="AJ133" s="418"/>
      <c r="AK133" s="418"/>
      <c r="AL133" s="418"/>
      <c r="AM133" s="418"/>
      <c r="AN133" s="418"/>
      <c r="AO133" s="418"/>
      <c r="AP133" s="418"/>
      <c r="AQ133" s="418"/>
      <c r="AR133" s="418"/>
      <c r="AS133" s="418"/>
      <c r="AT133" s="418"/>
      <c r="AU133" s="418"/>
      <c r="AV133" s="418"/>
      <c r="AW133" s="418"/>
      <c r="AX133" s="418"/>
      <c r="AY133" s="418"/>
      <c r="AZ133" s="418"/>
      <c r="BA133" s="418"/>
      <c r="BB133" s="418"/>
      <c r="BC133" s="418"/>
      <c r="BD133" s="418"/>
      <c r="BE133" s="418"/>
      <c r="BF133" s="418"/>
      <c r="BG133" s="418"/>
      <c r="BH133" s="418"/>
      <c r="BI133" s="418"/>
      <c r="BJ133" s="418"/>
      <c r="BK133" s="418"/>
      <c r="BL133" s="418"/>
      <c r="BM133" s="418"/>
      <c r="BN133" s="418"/>
      <c r="BO133" s="418"/>
      <c r="BP133" s="418"/>
      <c r="BQ133" s="418"/>
      <c r="BR133" s="418"/>
      <c r="BS133" s="418"/>
      <c r="BT133" s="418"/>
      <c r="BU133" s="418"/>
      <c r="BV133" s="418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K133" s="509"/>
      <c r="CL133" s="423"/>
      <c r="CM133" s="418"/>
      <c r="CN133" s="418"/>
      <c r="CO133" s="418"/>
      <c r="CP133" s="418"/>
      <c r="CQ133" s="509"/>
      <c r="CR133" s="418"/>
      <c r="CS133" s="418"/>
      <c r="CT133" s="418"/>
      <c r="CU133" s="418"/>
      <c r="CV133" s="418"/>
      <c r="CW133" s="419"/>
      <c r="CX133" s="423"/>
      <c r="CY133" s="418"/>
      <c r="CZ133" s="418"/>
      <c r="DA133" s="418"/>
      <c r="DB133" s="418"/>
      <c r="DC133" s="419"/>
      <c r="DD133" s="423"/>
      <c r="DE133" s="418"/>
      <c r="DF133" s="418"/>
      <c r="DG133" s="418"/>
      <c r="DH133" s="418"/>
      <c r="DI133" s="419"/>
      <c r="DJ133" s="423"/>
      <c r="DK133" s="418"/>
      <c r="DL133" s="418"/>
      <c r="DM133" s="418"/>
      <c r="DN133" s="418"/>
      <c r="DO133" s="419"/>
      <c r="DP133" s="423"/>
      <c r="DQ133" s="419"/>
      <c r="DR133" s="423"/>
      <c r="DS133" s="359"/>
      <c r="DT133" s="359"/>
      <c r="DU133" s="359"/>
      <c r="DV133" s="359"/>
      <c r="DW133" s="359"/>
      <c r="DX133" s="359"/>
      <c r="DY133" s="359"/>
      <c r="DZ133" s="359"/>
      <c r="EA133" s="359"/>
      <c r="EB133" s="359"/>
      <c r="EC133" s="359"/>
      <c r="ED133" s="359"/>
      <c r="EE133" s="418"/>
      <c r="EF133" s="418"/>
      <c r="EG133" s="418"/>
      <c r="EH133" s="418"/>
      <c r="EI133" s="418"/>
      <c r="EJ133" s="418"/>
      <c r="EK133" s="418"/>
      <c r="EL133" s="418"/>
      <c r="EM133" s="418"/>
      <c r="EN133" s="418"/>
      <c r="EO133" s="418"/>
      <c r="EP133" s="418"/>
      <c r="EQ133" s="418"/>
      <c r="ER133" s="418"/>
      <c r="ES133" s="418"/>
      <c r="ET133" s="418"/>
      <c r="EU133" s="418"/>
      <c r="EV133" s="418"/>
      <c r="EW133" s="418"/>
      <c r="EX133" s="418"/>
      <c r="EY133" s="418"/>
      <c r="EZ133" s="418"/>
      <c r="FA133" s="418"/>
      <c r="FB133" s="465"/>
      <c r="FC133" s="418"/>
      <c r="FD133" s="418"/>
      <c r="FE133" s="418"/>
      <c r="FF133" s="418"/>
      <c r="FG133" s="418"/>
      <c r="FH133" s="418"/>
      <c r="FI133" s="418"/>
      <c r="FJ133" s="418"/>
      <c r="FK133" s="418"/>
      <c r="FL133" s="418"/>
      <c r="FM133" s="418"/>
      <c r="FN133" s="418"/>
      <c r="FO133" s="418"/>
      <c r="FP133" s="418"/>
      <c r="FQ133" s="418"/>
      <c r="FR133" s="418"/>
      <c r="FS133" s="418"/>
      <c r="FT133" s="418"/>
      <c r="FU133" s="418"/>
      <c r="FV133" s="418"/>
      <c r="FW133" s="418"/>
      <c r="FX133" s="418"/>
      <c r="FY133" s="418"/>
      <c r="FZ133" s="418"/>
      <c r="GA133" s="418"/>
      <c r="GB133" s="418"/>
      <c r="GC133" s="418"/>
      <c r="GD133" s="418"/>
      <c r="GE133" s="418"/>
      <c r="GF133" s="418"/>
      <c r="GG133" s="418"/>
      <c r="GH133" s="418"/>
      <c r="GI133" s="418"/>
      <c r="GJ133" s="418"/>
      <c r="GK133" s="418"/>
      <c r="GL133" s="418"/>
      <c r="GM133" s="418"/>
    </row>
    <row r="134">
      <c r="B134" s="387" t="s">
        <v>548</v>
      </c>
      <c r="C134" s="359"/>
      <c r="D134" s="359"/>
      <c r="E134" s="359"/>
      <c r="F134" s="359"/>
      <c r="G134" s="359"/>
      <c r="H134" s="359"/>
      <c r="I134" s="359"/>
      <c r="J134" s="359"/>
      <c r="K134" s="359"/>
      <c r="L134" s="359"/>
      <c r="M134" s="359"/>
      <c r="N134" s="359"/>
      <c r="O134" s="359"/>
      <c r="P134" s="359"/>
      <c r="Q134" s="359"/>
      <c r="R134" s="359"/>
      <c r="S134" s="359"/>
      <c r="T134" s="359"/>
      <c r="U134" s="359"/>
      <c r="V134" s="359"/>
      <c r="W134" s="359"/>
      <c r="X134" s="359"/>
      <c r="Y134" s="359"/>
      <c r="Z134" s="359"/>
      <c r="AA134" s="424">
        <f t="shared" ref="AA134:AL134" si="400">AA69/AA129</f>
        <v>103.6263313</v>
      </c>
      <c r="AB134" s="424">
        <f t="shared" si="400"/>
        <v>130.7551122</v>
      </c>
      <c r="AC134" s="424">
        <f t="shared" si="400"/>
        <v>101.4614085</v>
      </c>
      <c r="AD134" s="424">
        <f t="shared" si="400"/>
        <v>122.7552118</v>
      </c>
      <c r="AE134" s="424">
        <f t="shared" si="400"/>
        <v>117.7984182</v>
      </c>
      <c r="AF134" s="424">
        <f t="shared" si="400"/>
        <v>103.5916248</v>
      </c>
      <c r="AG134" s="424">
        <f t="shared" si="400"/>
        <v>123.0764045</v>
      </c>
      <c r="AH134" s="424">
        <f t="shared" si="400"/>
        <v>73.53914844</v>
      </c>
      <c r="AI134" s="424">
        <f t="shared" si="400"/>
        <v>113.6424172</v>
      </c>
      <c r="AJ134" s="424">
        <f t="shared" si="400"/>
        <v>130.5936206</v>
      </c>
      <c r="AK134" s="424">
        <f t="shared" si="400"/>
        <v>111.1217799</v>
      </c>
      <c r="AL134" s="424">
        <f t="shared" si="400"/>
        <v>170.2475728</v>
      </c>
      <c r="AM134" s="424">
        <f t="shared" ref="AM134:AX134" si="401">(AM69+AM28)/AM129</f>
        <v>216.489889</v>
      </c>
      <c r="AN134" s="424">
        <f t="shared" si="401"/>
        <v>217.7962413</v>
      </c>
      <c r="AO134" s="424">
        <f t="shared" si="401"/>
        <v>182.3856568</v>
      </c>
      <c r="AP134" s="424">
        <f t="shared" si="401"/>
        <v>276.6854175</v>
      </c>
      <c r="AQ134" s="424">
        <f t="shared" si="401"/>
        <v>227.1117394</v>
      </c>
      <c r="AR134" s="424">
        <f t="shared" si="401"/>
        <v>239.8195444</v>
      </c>
      <c r="AS134" s="424">
        <f t="shared" si="401"/>
        <v>365.2962776</v>
      </c>
      <c r="AT134" s="424">
        <f t="shared" si="401"/>
        <v>314.3692588</v>
      </c>
      <c r="AU134" s="424">
        <f t="shared" si="401"/>
        <v>342.0560888</v>
      </c>
      <c r="AV134" s="424">
        <f t="shared" si="401"/>
        <v>288.9981809</v>
      </c>
      <c r="AW134" s="424">
        <f t="shared" si="401"/>
        <v>309.2923614</v>
      </c>
      <c r="AX134" s="424">
        <f t="shared" si="401"/>
        <v>332.0176511</v>
      </c>
      <c r="AY134" s="424">
        <f t="shared" ref="AY134:CH134" si="402">IFERROR((AY69+AY28)/AY129,0)</f>
        <v>408.1582796</v>
      </c>
      <c r="AZ134" s="424">
        <f t="shared" si="402"/>
        <v>336.9058151</v>
      </c>
      <c r="BA134" s="424">
        <f t="shared" si="402"/>
        <v>361.5616555</v>
      </c>
      <c r="BB134" s="424">
        <f t="shared" si="402"/>
        <v>393.1659418</v>
      </c>
      <c r="BC134" s="424">
        <f t="shared" si="402"/>
        <v>349.0013848</v>
      </c>
      <c r="BD134" s="424">
        <f t="shared" si="402"/>
        <v>360.8282336</v>
      </c>
      <c r="BE134" s="424">
        <f t="shared" si="402"/>
        <v>295.3198249</v>
      </c>
      <c r="BF134" s="424">
        <f t="shared" si="402"/>
        <v>357.9194041</v>
      </c>
      <c r="BG134" s="424">
        <f t="shared" si="402"/>
        <v>306.6172738</v>
      </c>
      <c r="BH134" s="424">
        <f t="shared" si="402"/>
        <v>265.2686137</v>
      </c>
      <c r="BI134" s="424">
        <f t="shared" si="402"/>
        <v>289.1540867</v>
      </c>
      <c r="BJ134" s="424">
        <f t="shared" si="402"/>
        <v>308.7282554</v>
      </c>
      <c r="BK134" s="424">
        <f t="shared" si="402"/>
        <v>319.2096898</v>
      </c>
      <c r="BL134" s="424">
        <f t="shared" si="402"/>
        <v>267.6382875</v>
      </c>
      <c r="BM134" s="424">
        <f t="shared" si="402"/>
        <v>275.7231736</v>
      </c>
      <c r="BN134" s="424">
        <f t="shared" si="402"/>
        <v>291.3651674</v>
      </c>
      <c r="BO134" s="424">
        <f t="shared" si="402"/>
        <v>303.0683749</v>
      </c>
      <c r="BP134" s="424">
        <f t="shared" si="402"/>
        <v>282.7111149</v>
      </c>
      <c r="BQ134" s="424">
        <f t="shared" si="402"/>
        <v>251.0426782</v>
      </c>
      <c r="BR134" s="424">
        <f t="shared" si="402"/>
        <v>304.9607852</v>
      </c>
      <c r="BS134" s="424">
        <f t="shared" si="402"/>
        <v>286.756924</v>
      </c>
      <c r="BT134" s="424">
        <f t="shared" si="402"/>
        <v>260.6783704</v>
      </c>
      <c r="BU134" s="424">
        <f t="shared" si="402"/>
        <v>294.0677109</v>
      </c>
      <c r="BV134" s="424">
        <f t="shared" si="402"/>
        <v>237.3331697</v>
      </c>
      <c r="BW134" s="514">
        <f t="shared" si="402"/>
        <v>322.4770723</v>
      </c>
      <c r="BX134" s="514">
        <f t="shared" si="402"/>
        <v>286.8369727</v>
      </c>
      <c r="BY134" s="514">
        <f t="shared" si="402"/>
        <v>306.5898742</v>
      </c>
      <c r="BZ134" s="514">
        <f t="shared" si="402"/>
        <v>285.9437184</v>
      </c>
      <c r="CA134" s="514">
        <f t="shared" si="402"/>
        <v>287.8798718</v>
      </c>
      <c r="CB134" s="514">
        <f t="shared" si="402"/>
        <v>302.7239512</v>
      </c>
      <c r="CC134" s="514">
        <f t="shared" si="402"/>
        <v>0</v>
      </c>
      <c r="CD134" s="514">
        <f t="shared" si="402"/>
        <v>0</v>
      </c>
      <c r="CE134" s="514">
        <f t="shared" si="402"/>
        <v>0</v>
      </c>
      <c r="CF134" s="514">
        <f t="shared" si="402"/>
        <v>0</v>
      </c>
      <c r="CG134" s="514">
        <f t="shared" si="402"/>
        <v>0</v>
      </c>
      <c r="CH134" s="514">
        <f t="shared" si="402"/>
        <v>0</v>
      </c>
      <c r="CK134" s="515">
        <f>(CK69+CK28)/CK129</f>
        <v>577.5595895</v>
      </c>
      <c r="CL134" s="426"/>
      <c r="CM134" s="424">
        <f t="shared" ref="CM134:CQ134" si="403">IFERROR(CM69/CM129,0)</f>
        <v>150.1903418</v>
      </c>
      <c r="CN134" s="424">
        <f t="shared" si="403"/>
        <v>152.4726895</v>
      </c>
      <c r="CO134" s="424">
        <f t="shared" si="403"/>
        <v>0</v>
      </c>
      <c r="CP134" s="424">
        <f t="shared" si="403"/>
        <v>0</v>
      </c>
      <c r="CQ134" s="515">
        <f t="shared" si="403"/>
        <v>67.57021137</v>
      </c>
      <c r="CR134" s="424"/>
      <c r="CS134" s="424">
        <f t="shared" ref="CS134:CW134" si="404">IFERROR(CS69/CS129,0)</f>
        <v>148.129837</v>
      </c>
      <c r="CT134" s="424">
        <f t="shared" si="404"/>
        <v>163.1504628</v>
      </c>
      <c r="CU134" s="424">
        <f t="shared" si="404"/>
        <v>149.7673708</v>
      </c>
      <c r="CV134" s="424">
        <f t="shared" si="404"/>
        <v>120.2193599</v>
      </c>
      <c r="CW134" s="425">
        <f t="shared" si="404"/>
        <v>143.7339265</v>
      </c>
      <c r="CX134" s="426"/>
      <c r="CY134" s="424">
        <f t="shared" ref="CY134:DC134" si="405">IFERROR(CY69/CY129,0)</f>
        <v>229.444228</v>
      </c>
      <c r="CZ134" s="424">
        <f t="shared" si="405"/>
        <v>221.5319228</v>
      </c>
      <c r="DA134" s="424">
        <f t="shared" si="405"/>
        <v>174.5375737</v>
      </c>
      <c r="DB134" s="424">
        <f t="shared" si="405"/>
        <v>155.3417028</v>
      </c>
      <c r="DC134" s="425">
        <f t="shared" si="405"/>
        <v>190.9394976</v>
      </c>
      <c r="DD134" s="426"/>
      <c r="DE134" s="424">
        <f t="shared" ref="DE134:DH134" si="406">DE69/DE129</f>
        <v>109.8650411</v>
      </c>
      <c r="DF134" s="424">
        <f t="shared" si="406"/>
        <v>148.142629</v>
      </c>
      <c r="DG134" s="424">
        <f t="shared" si="406"/>
        <v>196.4917083</v>
      </c>
      <c r="DH134" s="424">
        <f t="shared" si="406"/>
        <v>180.9957158</v>
      </c>
      <c r="DI134" s="425">
        <f>sum(DI69,DI28)/DI129</f>
        <v>268.6841389</v>
      </c>
      <c r="DJ134" s="426"/>
      <c r="DK134" s="424">
        <f t="shared" ref="DK134:DO134" si="407">DK69/DK129</f>
        <v>110.3167875</v>
      </c>
      <c r="DL134" s="424">
        <f t="shared" si="407"/>
        <v>113.8442423</v>
      </c>
      <c r="DM134" s="424">
        <f t="shared" si="407"/>
        <v>99.4871437</v>
      </c>
      <c r="DN134" s="424">
        <f t="shared" si="407"/>
        <v>133.6254491</v>
      </c>
      <c r="DO134" s="425">
        <f t="shared" si="407"/>
        <v>114.4452178</v>
      </c>
      <c r="DP134" s="426"/>
      <c r="DQ134" s="425"/>
      <c r="DR134" s="426"/>
      <c r="DS134" s="359"/>
      <c r="DT134" s="359"/>
      <c r="DU134" s="359"/>
      <c r="DV134" s="359"/>
      <c r="DW134" s="359"/>
      <c r="DX134" s="359"/>
      <c r="DY134" s="359"/>
      <c r="DZ134" s="359"/>
      <c r="EA134" s="359"/>
      <c r="EB134" s="359"/>
      <c r="EC134" s="359"/>
      <c r="ED134" s="359"/>
      <c r="EE134" s="424"/>
      <c r="EF134" s="424"/>
      <c r="EG134" s="424"/>
      <c r="EH134" s="424"/>
      <c r="EI134" s="424"/>
      <c r="EJ134" s="424"/>
      <c r="EK134" s="424"/>
      <c r="EL134" s="424"/>
      <c r="EM134" s="424"/>
      <c r="EN134" s="424"/>
      <c r="EO134" s="424"/>
      <c r="EP134" s="424"/>
      <c r="EQ134" s="424"/>
      <c r="ER134" s="424"/>
      <c r="ES134" s="424"/>
      <c r="ET134" s="424"/>
      <c r="EU134" s="424"/>
      <c r="EV134" s="424"/>
      <c r="EW134" s="424"/>
      <c r="EX134" s="424"/>
      <c r="EY134" s="424"/>
      <c r="EZ134" s="424"/>
      <c r="FA134" s="424"/>
      <c r="FB134" s="465"/>
      <c r="FC134" s="424"/>
      <c r="FD134" s="424"/>
      <c r="FE134" s="424"/>
      <c r="FF134" s="424"/>
      <c r="FG134" s="424"/>
      <c r="FH134" s="424"/>
      <c r="FI134" s="424"/>
      <c r="FJ134" s="424"/>
      <c r="FK134" s="424"/>
      <c r="FL134" s="424"/>
      <c r="FM134" s="424"/>
      <c r="FN134" s="424"/>
      <c r="FO134" s="424"/>
      <c r="FP134" s="424"/>
      <c r="FQ134" s="424"/>
      <c r="FR134" s="424"/>
      <c r="FS134" s="424"/>
      <c r="FT134" s="424"/>
      <c r="FU134" s="424"/>
      <c r="FV134" s="424"/>
      <c r="FW134" s="424"/>
      <c r="FX134" s="424"/>
      <c r="FY134" s="424"/>
      <c r="FZ134" s="424"/>
      <c r="GA134" s="424"/>
      <c r="GB134" s="424"/>
      <c r="GC134" s="424"/>
      <c r="GD134" s="424"/>
      <c r="GE134" s="424"/>
      <c r="GF134" s="424"/>
      <c r="GG134" s="424"/>
      <c r="GH134" s="424"/>
      <c r="GI134" s="424"/>
      <c r="GJ134" s="424"/>
      <c r="GK134" s="424"/>
      <c r="GL134" s="424"/>
      <c r="GM134" s="424"/>
    </row>
    <row r="135">
      <c r="B135" s="387" t="s">
        <v>549</v>
      </c>
      <c r="C135" s="359"/>
      <c r="D135" s="359"/>
      <c r="E135" s="359"/>
      <c r="F135" s="359"/>
      <c r="G135" s="359"/>
      <c r="H135" s="359"/>
      <c r="I135" s="359"/>
      <c r="J135" s="359"/>
      <c r="K135" s="359"/>
      <c r="L135" s="359"/>
      <c r="M135" s="359"/>
      <c r="N135" s="359"/>
      <c r="O135" s="359"/>
      <c r="P135" s="359"/>
      <c r="Q135" s="359"/>
      <c r="R135" s="359"/>
      <c r="S135" s="359"/>
      <c r="T135" s="359"/>
      <c r="U135" s="359"/>
      <c r="V135" s="359"/>
      <c r="W135" s="359"/>
      <c r="X135" s="359"/>
      <c r="Y135" s="359"/>
      <c r="Z135" s="359"/>
      <c r="AA135" s="427">
        <f t="shared" ref="AA135:AX135" si="408">AA13/AA129</f>
        <v>266.2182189</v>
      </c>
      <c r="AB135" s="427">
        <f t="shared" si="408"/>
        <v>264.0004988</v>
      </c>
      <c r="AC135" s="427">
        <f t="shared" si="408"/>
        <v>233.5205202</v>
      </c>
      <c r="AD135" s="427">
        <f t="shared" si="408"/>
        <v>268.3931854</v>
      </c>
      <c r="AE135" s="427">
        <f t="shared" si="408"/>
        <v>259.0046644</v>
      </c>
      <c r="AF135" s="427">
        <f t="shared" si="408"/>
        <v>266.4519813</v>
      </c>
      <c r="AG135" s="427">
        <f t="shared" si="408"/>
        <v>270.9863126</v>
      </c>
      <c r="AH135" s="427">
        <f t="shared" si="408"/>
        <v>250.2150899</v>
      </c>
      <c r="AI135" s="427">
        <f t="shared" si="408"/>
        <v>270.8060596</v>
      </c>
      <c r="AJ135" s="427">
        <f t="shared" si="408"/>
        <v>285.7187548</v>
      </c>
      <c r="AK135" s="427">
        <f t="shared" si="408"/>
        <v>261.3107436</v>
      </c>
      <c r="AL135" s="427">
        <f t="shared" si="408"/>
        <v>261.1048966</v>
      </c>
      <c r="AM135" s="427">
        <f t="shared" si="408"/>
        <v>292.2826594</v>
      </c>
      <c r="AN135" s="427">
        <f t="shared" si="408"/>
        <v>299.9290233</v>
      </c>
      <c r="AO135" s="427">
        <f t="shared" si="408"/>
        <v>278.3778278</v>
      </c>
      <c r="AP135" s="427">
        <f t="shared" si="408"/>
        <v>280.5362738</v>
      </c>
      <c r="AQ135" s="427">
        <f t="shared" si="408"/>
        <v>274.6019936</v>
      </c>
      <c r="AR135" s="427">
        <f t="shared" si="408"/>
        <v>281.4899862</v>
      </c>
      <c r="AS135" s="427">
        <f t="shared" si="408"/>
        <v>322.2016956</v>
      </c>
      <c r="AT135" s="427">
        <f t="shared" si="408"/>
        <v>317.1634185</v>
      </c>
      <c r="AU135" s="427">
        <f t="shared" si="408"/>
        <v>311.4676529</v>
      </c>
      <c r="AV135" s="427">
        <f t="shared" si="408"/>
        <v>310.6582973</v>
      </c>
      <c r="AW135" s="427">
        <f t="shared" si="408"/>
        <v>292.7142353</v>
      </c>
      <c r="AX135" s="427">
        <f t="shared" si="408"/>
        <v>306.062768</v>
      </c>
      <c r="AY135" s="427">
        <f t="shared" ref="AY135:CH135" si="409">IFERROR(AY13/AY129,0)</f>
        <v>326.668334</v>
      </c>
      <c r="AZ135" s="427">
        <f t="shared" si="409"/>
        <v>359.2712168</v>
      </c>
      <c r="BA135" s="427">
        <f t="shared" si="409"/>
        <v>365.9880421</v>
      </c>
      <c r="BB135" s="427">
        <f t="shared" si="409"/>
        <v>362.2058297</v>
      </c>
      <c r="BC135" s="427">
        <f t="shared" si="409"/>
        <v>333.7486901</v>
      </c>
      <c r="BD135" s="427">
        <f t="shared" si="409"/>
        <v>324.073754</v>
      </c>
      <c r="BE135" s="427">
        <f t="shared" si="409"/>
        <v>328.3246071</v>
      </c>
      <c r="BF135" s="427">
        <f t="shared" si="409"/>
        <v>328.6135527</v>
      </c>
      <c r="BG135" s="427">
        <f t="shared" si="409"/>
        <v>327.9869162</v>
      </c>
      <c r="BH135" s="427">
        <f t="shared" si="409"/>
        <v>354.8689722</v>
      </c>
      <c r="BI135" s="427">
        <f t="shared" si="409"/>
        <v>347.5922912</v>
      </c>
      <c r="BJ135" s="427">
        <f t="shared" si="409"/>
        <v>332.0595693</v>
      </c>
      <c r="BK135" s="427">
        <f t="shared" si="409"/>
        <v>333.2164922</v>
      </c>
      <c r="BL135" s="427">
        <f t="shared" si="409"/>
        <v>315.3079431</v>
      </c>
      <c r="BM135" s="427">
        <f t="shared" si="409"/>
        <v>314.3919461</v>
      </c>
      <c r="BN135" s="427">
        <f t="shared" si="409"/>
        <v>320.6484818</v>
      </c>
      <c r="BO135" s="427">
        <f t="shared" si="409"/>
        <v>307.4212304</v>
      </c>
      <c r="BP135" s="427">
        <f t="shared" si="409"/>
        <v>303.5347015</v>
      </c>
      <c r="BQ135" s="427">
        <f t="shared" si="409"/>
        <v>302.8201042</v>
      </c>
      <c r="BR135" s="427">
        <f t="shared" si="409"/>
        <v>317.5731527</v>
      </c>
      <c r="BS135" s="427">
        <f t="shared" si="409"/>
        <v>311.1114132</v>
      </c>
      <c r="BT135" s="427">
        <f t="shared" si="409"/>
        <v>313.6821687</v>
      </c>
      <c r="BU135" s="427">
        <f t="shared" si="409"/>
        <v>324.8203695</v>
      </c>
      <c r="BV135" s="427">
        <f t="shared" si="409"/>
        <v>342.4904195</v>
      </c>
      <c r="BW135" s="516">
        <f t="shared" si="409"/>
        <v>366.323704</v>
      </c>
      <c r="BX135" s="516">
        <f t="shared" si="409"/>
        <v>336.9344743</v>
      </c>
      <c r="BY135" s="516">
        <f t="shared" si="409"/>
        <v>365.7375941</v>
      </c>
      <c r="BZ135" s="516">
        <f t="shared" si="409"/>
        <v>362.0113297</v>
      </c>
      <c r="CA135" s="516">
        <f t="shared" si="409"/>
        <v>330.3725922</v>
      </c>
      <c r="CB135" s="516">
        <f t="shared" si="409"/>
        <v>343.4176797</v>
      </c>
      <c r="CC135" s="516">
        <f t="shared" si="409"/>
        <v>0</v>
      </c>
      <c r="CD135" s="516">
        <f t="shared" si="409"/>
        <v>0</v>
      </c>
      <c r="CE135" s="516">
        <f t="shared" si="409"/>
        <v>0</v>
      </c>
      <c r="CF135" s="516">
        <f t="shared" si="409"/>
        <v>0</v>
      </c>
      <c r="CG135" s="516">
        <f t="shared" si="409"/>
        <v>0</v>
      </c>
      <c r="CH135" s="516">
        <f t="shared" si="409"/>
        <v>0</v>
      </c>
      <c r="CK135" s="517">
        <f>CK13/CK129</f>
        <v>678.082991</v>
      </c>
      <c r="CL135" s="429"/>
      <c r="CM135" s="427">
        <f t="shared" ref="CM135:CQ135" si="410">IFERROR(CM13/CM129,0)</f>
        <v>356.130077</v>
      </c>
      <c r="CN135" s="427">
        <f t="shared" si="410"/>
        <v>345.0274099</v>
      </c>
      <c r="CO135" s="427">
        <f t="shared" si="410"/>
        <v>0</v>
      </c>
      <c r="CP135" s="427">
        <f t="shared" si="410"/>
        <v>0</v>
      </c>
      <c r="CQ135" s="517">
        <f t="shared" si="410"/>
        <v>156.3279276</v>
      </c>
      <c r="CR135" s="427"/>
      <c r="CS135" s="427">
        <f t="shared" ref="CS135:CW135" si="411">IFERROR(CS13/CS129,0)</f>
        <v>320.9932546</v>
      </c>
      <c r="CT135" s="427">
        <f t="shared" si="411"/>
        <v>310.4089201</v>
      </c>
      <c r="CU135" s="427">
        <f t="shared" si="411"/>
        <v>310.2740361</v>
      </c>
      <c r="CV135" s="427">
        <f t="shared" si="411"/>
        <v>326.1633348</v>
      </c>
      <c r="CW135" s="428">
        <f t="shared" si="411"/>
        <v>317.2058671</v>
      </c>
      <c r="CX135" s="429"/>
      <c r="CY135" s="427">
        <f t="shared" ref="CY135:DC135" si="412">IFERROR(CY13/CY129,0)</f>
        <v>350.7452212</v>
      </c>
      <c r="CZ135" s="427">
        <f t="shared" si="412"/>
        <v>339.8209886</v>
      </c>
      <c r="DA135" s="427">
        <f t="shared" si="412"/>
        <v>328.308079</v>
      </c>
      <c r="DB135" s="427">
        <f t="shared" si="412"/>
        <v>345.1114728</v>
      </c>
      <c r="DC135" s="428">
        <f t="shared" si="412"/>
        <v>340.6777764</v>
      </c>
      <c r="DD135" s="429"/>
      <c r="DE135" s="427">
        <f t="shared" ref="DE135:DI135" si="413">DE13/DE129</f>
        <v>289.4495569</v>
      </c>
      <c r="DF135" s="427">
        <f t="shared" si="413"/>
        <v>278.7976345</v>
      </c>
      <c r="DG135" s="427">
        <f t="shared" si="413"/>
        <v>316.9607975</v>
      </c>
      <c r="DH135" s="427">
        <f t="shared" si="413"/>
        <v>303.2101035</v>
      </c>
      <c r="DI135" s="428">
        <f t="shared" si="413"/>
        <v>295.7017181</v>
      </c>
      <c r="DJ135" s="429"/>
      <c r="DK135" s="427">
        <f t="shared" ref="DK135:DO135" si="414">DK13/DK129</f>
        <v>252.1010876</v>
      </c>
      <c r="DL135" s="427">
        <f t="shared" si="414"/>
        <v>264.6022016</v>
      </c>
      <c r="DM135" s="427">
        <f t="shared" si="414"/>
        <v>262.3126308</v>
      </c>
      <c r="DN135" s="427">
        <f t="shared" si="414"/>
        <v>270.0548339</v>
      </c>
      <c r="DO135" s="428">
        <f t="shared" si="414"/>
        <v>262.7402733</v>
      </c>
      <c r="DP135" s="429"/>
      <c r="DQ135" s="428"/>
      <c r="DR135" s="429"/>
      <c r="DS135" s="359"/>
      <c r="DT135" s="359"/>
      <c r="DU135" s="359"/>
      <c r="DV135" s="359"/>
      <c r="DW135" s="359"/>
      <c r="DX135" s="359"/>
      <c r="DY135" s="359"/>
      <c r="DZ135" s="359"/>
      <c r="EA135" s="359"/>
      <c r="EB135" s="359"/>
      <c r="EC135" s="359"/>
      <c r="ED135" s="359"/>
      <c r="EE135" s="427"/>
      <c r="EF135" s="427"/>
      <c r="EG135" s="427"/>
      <c r="EH135" s="427"/>
      <c r="EI135" s="427"/>
      <c r="EJ135" s="427"/>
      <c r="EK135" s="427"/>
      <c r="EL135" s="427"/>
      <c r="EM135" s="427"/>
      <c r="EN135" s="427"/>
      <c r="EO135" s="427"/>
      <c r="EP135" s="427"/>
      <c r="EQ135" s="427"/>
      <c r="ER135" s="427"/>
      <c r="ES135" s="427"/>
      <c r="ET135" s="427"/>
      <c r="EU135" s="427"/>
      <c r="EV135" s="427"/>
      <c r="EW135" s="427"/>
      <c r="EX135" s="427"/>
      <c r="EY135" s="427"/>
      <c r="EZ135" s="427"/>
      <c r="FA135" s="427"/>
      <c r="FB135" s="481"/>
      <c r="FC135" s="427"/>
      <c r="FD135" s="427"/>
      <c r="FE135" s="427"/>
      <c r="FF135" s="427"/>
      <c r="FG135" s="427"/>
      <c r="FH135" s="427"/>
      <c r="FI135" s="427"/>
      <c r="FJ135" s="427"/>
      <c r="FK135" s="427"/>
      <c r="FL135" s="427"/>
      <c r="FM135" s="427"/>
      <c r="FN135" s="427"/>
      <c r="FO135" s="427"/>
      <c r="FP135" s="427"/>
      <c r="FQ135" s="427"/>
      <c r="FR135" s="427"/>
      <c r="FS135" s="427"/>
      <c r="FT135" s="427"/>
      <c r="FU135" s="427"/>
      <c r="FV135" s="427"/>
      <c r="FW135" s="427"/>
      <c r="FX135" s="427"/>
      <c r="FY135" s="427"/>
      <c r="FZ135" s="427"/>
      <c r="GA135" s="427"/>
      <c r="GB135" s="427"/>
      <c r="GC135" s="427"/>
      <c r="GD135" s="427"/>
      <c r="GE135" s="427"/>
      <c r="GF135" s="427"/>
      <c r="GG135" s="427"/>
      <c r="GH135" s="427"/>
      <c r="GI135" s="427"/>
      <c r="GJ135" s="427"/>
      <c r="GK135" s="427"/>
      <c r="GL135" s="427"/>
      <c r="GM135" s="427"/>
    </row>
    <row r="136">
      <c r="B136" s="387" t="s">
        <v>550</v>
      </c>
      <c r="C136" s="359"/>
      <c r="D136" s="359"/>
      <c r="E136" s="359"/>
      <c r="F136" s="359"/>
      <c r="G136" s="359"/>
      <c r="H136" s="359"/>
      <c r="I136" s="359"/>
      <c r="J136" s="359"/>
      <c r="K136" s="359"/>
      <c r="L136" s="359"/>
      <c r="M136" s="359"/>
      <c r="N136" s="359"/>
      <c r="O136" s="359"/>
      <c r="P136" s="359"/>
      <c r="Q136" s="359"/>
      <c r="R136" s="359"/>
      <c r="S136" s="359"/>
      <c r="T136" s="359"/>
      <c r="U136" s="359"/>
      <c r="V136" s="359"/>
      <c r="W136" s="359"/>
      <c r="X136" s="359"/>
      <c r="Y136" s="359"/>
      <c r="Z136" s="359"/>
      <c r="AA136" s="427">
        <f t="shared" ref="AA136:AX136" si="415">AA13/AA127</f>
        <v>356.3303003</v>
      </c>
      <c r="AB136" s="427">
        <f t="shared" si="415"/>
        <v>352.6455696</v>
      </c>
      <c r="AC136" s="427">
        <f t="shared" si="415"/>
        <v>385.6834031</v>
      </c>
      <c r="AD136" s="427">
        <f t="shared" si="415"/>
        <v>363.47966</v>
      </c>
      <c r="AE136" s="427">
        <f t="shared" si="415"/>
        <v>371.0493899</v>
      </c>
      <c r="AF136" s="427">
        <f t="shared" si="415"/>
        <v>405.7512516</v>
      </c>
      <c r="AG136" s="427">
        <f t="shared" si="415"/>
        <v>440.9833777</v>
      </c>
      <c r="AH136" s="427">
        <f t="shared" si="415"/>
        <v>412.1534854</v>
      </c>
      <c r="AI136" s="427">
        <f t="shared" si="415"/>
        <v>408.8293541</v>
      </c>
      <c r="AJ136" s="427">
        <f t="shared" si="415"/>
        <v>387.5955898</v>
      </c>
      <c r="AK136" s="427">
        <f t="shared" si="415"/>
        <v>362.1247465</v>
      </c>
      <c r="AL136" s="427">
        <f t="shared" si="415"/>
        <v>351.453125</v>
      </c>
      <c r="AM136" s="427">
        <f t="shared" si="415"/>
        <v>376.5145683</v>
      </c>
      <c r="AN136" s="427">
        <f t="shared" si="415"/>
        <v>370.7495709</v>
      </c>
      <c r="AO136" s="427">
        <f t="shared" si="415"/>
        <v>347.2561584</v>
      </c>
      <c r="AP136" s="427">
        <f t="shared" si="415"/>
        <v>335.2464558</v>
      </c>
      <c r="AQ136" s="427">
        <f t="shared" si="415"/>
        <v>337.6190053</v>
      </c>
      <c r="AR136" s="427">
        <f t="shared" si="415"/>
        <v>352.3203215</v>
      </c>
      <c r="AS136" s="427">
        <f t="shared" si="415"/>
        <v>398.1985867</v>
      </c>
      <c r="AT136" s="427">
        <f t="shared" si="415"/>
        <v>381.4491835</v>
      </c>
      <c r="AU136" s="427">
        <f t="shared" si="415"/>
        <v>340.625755</v>
      </c>
      <c r="AV136" s="427">
        <f t="shared" si="415"/>
        <v>340.9304745</v>
      </c>
      <c r="AW136" s="427">
        <f t="shared" si="415"/>
        <v>329.1654419</v>
      </c>
      <c r="AX136" s="427">
        <f t="shared" si="415"/>
        <v>343.7176007</v>
      </c>
      <c r="AY136" s="427">
        <f t="shared" ref="AY136:CH136" si="416">IFERROR(AY13/AY127,0)</f>
        <v>356.4283729</v>
      </c>
      <c r="AZ136" s="427">
        <f t="shared" si="416"/>
        <v>387.2625093</v>
      </c>
      <c r="BA136" s="427">
        <f t="shared" si="416"/>
        <v>405.9196604</v>
      </c>
      <c r="BB136" s="427">
        <f t="shared" si="416"/>
        <v>374.1080377</v>
      </c>
      <c r="BC136" s="427">
        <f t="shared" si="416"/>
        <v>358.0734872</v>
      </c>
      <c r="BD136" s="427">
        <f t="shared" si="416"/>
        <v>370.0518816</v>
      </c>
      <c r="BE136" s="427">
        <f t="shared" si="416"/>
        <v>346.3584154</v>
      </c>
      <c r="BF136" s="427">
        <f t="shared" si="416"/>
        <v>348.425463</v>
      </c>
      <c r="BG136" s="427">
        <f t="shared" si="416"/>
        <v>342.5744951</v>
      </c>
      <c r="BH136" s="427">
        <f t="shared" si="416"/>
        <v>388.0406606</v>
      </c>
      <c r="BI136" s="427">
        <f t="shared" si="416"/>
        <v>378.7987815</v>
      </c>
      <c r="BJ136" s="427">
        <f t="shared" si="416"/>
        <v>369.2692246</v>
      </c>
      <c r="BK136" s="427">
        <f t="shared" si="416"/>
        <v>356.4845133</v>
      </c>
      <c r="BL136" s="427">
        <f t="shared" si="416"/>
        <v>338.2017348</v>
      </c>
      <c r="BM136" s="427">
        <f t="shared" si="416"/>
        <v>326.5262238</v>
      </c>
      <c r="BN136" s="427">
        <f t="shared" si="416"/>
        <v>334.8739891</v>
      </c>
      <c r="BO136" s="427">
        <f t="shared" si="416"/>
        <v>321.3728795</v>
      </c>
      <c r="BP136" s="427">
        <f t="shared" si="416"/>
        <v>314.8189164</v>
      </c>
      <c r="BQ136" s="427">
        <f t="shared" si="416"/>
        <v>317.3136881</v>
      </c>
      <c r="BR136" s="427">
        <f t="shared" si="416"/>
        <v>327.8266357</v>
      </c>
      <c r="BS136" s="427">
        <f t="shared" si="416"/>
        <v>328.0158008</v>
      </c>
      <c r="BT136" s="427">
        <f t="shared" si="416"/>
        <v>329.3007714</v>
      </c>
      <c r="BU136" s="427">
        <f t="shared" si="416"/>
        <v>342.0193259</v>
      </c>
      <c r="BV136" s="427">
        <f t="shared" si="416"/>
        <v>363.5178337</v>
      </c>
      <c r="BW136" s="516">
        <f t="shared" si="416"/>
        <v>391.668622</v>
      </c>
      <c r="BX136" s="516">
        <f t="shared" si="416"/>
        <v>345.6594676</v>
      </c>
      <c r="BY136" s="516">
        <f t="shared" si="416"/>
        <v>396.1261573</v>
      </c>
      <c r="BZ136" s="516">
        <f t="shared" si="416"/>
        <v>394.3443282</v>
      </c>
      <c r="CA136" s="516">
        <f t="shared" si="416"/>
        <v>361.7987464</v>
      </c>
      <c r="CB136" s="516">
        <f t="shared" si="416"/>
        <v>377.9499132</v>
      </c>
      <c r="CC136" s="516">
        <f t="shared" si="416"/>
        <v>0</v>
      </c>
      <c r="CD136" s="516">
        <f t="shared" si="416"/>
        <v>0</v>
      </c>
      <c r="CE136" s="516">
        <f t="shared" si="416"/>
        <v>0</v>
      </c>
      <c r="CF136" s="516">
        <f t="shared" si="416"/>
        <v>0</v>
      </c>
      <c r="CG136" s="516">
        <f t="shared" si="416"/>
        <v>0</v>
      </c>
      <c r="CH136" s="516">
        <f t="shared" si="416"/>
        <v>0</v>
      </c>
      <c r="CK136" s="518">
        <f>CK13/CK127</f>
        <v>782.4506764</v>
      </c>
      <c r="CL136" s="429"/>
      <c r="CM136" s="427">
        <f t="shared" ref="CM136:CQ136" si="417">IFERROR(CM13/CM127,0)</f>
        <v>377.0273983</v>
      </c>
      <c r="CN136" s="427">
        <f t="shared" si="417"/>
        <v>377.8475797</v>
      </c>
      <c r="CO136" s="427">
        <f t="shared" si="417"/>
        <v>0</v>
      </c>
      <c r="CP136" s="427">
        <f t="shared" si="417"/>
        <v>0</v>
      </c>
      <c r="CQ136" s="517">
        <f t="shared" si="417"/>
        <v>171.8222103</v>
      </c>
      <c r="CR136" s="427"/>
      <c r="CS136" s="427">
        <f t="shared" ref="CS136:CW136" si="418">IFERROR(CS13/CS127,0)</f>
        <v>340.2828658</v>
      </c>
      <c r="CT136" s="427">
        <f t="shared" si="418"/>
        <v>323.5195141</v>
      </c>
      <c r="CU136" s="427">
        <f t="shared" si="418"/>
        <v>324.3769197</v>
      </c>
      <c r="CV136" s="427">
        <f t="shared" si="418"/>
        <v>343.9050796</v>
      </c>
      <c r="CW136" s="430">
        <f t="shared" si="418"/>
        <v>333.1662069</v>
      </c>
      <c r="CX136" s="429"/>
      <c r="CY136" s="427">
        <f t="shared" ref="CY136:DC136" si="419">IFERROR(CY13/CY127,0)</f>
        <v>383.2193526</v>
      </c>
      <c r="CZ136" s="427">
        <f t="shared" si="419"/>
        <v>367.3452948</v>
      </c>
      <c r="DA136" s="427">
        <f t="shared" si="419"/>
        <v>345.7626119</v>
      </c>
      <c r="DB136" s="427">
        <f t="shared" si="419"/>
        <v>379.0318902</v>
      </c>
      <c r="DC136" s="430">
        <f t="shared" si="419"/>
        <v>368.2795693</v>
      </c>
      <c r="DD136" s="429"/>
      <c r="DE136" s="427">
        <f t="shared" ref="DE136:DI136" si="420">DE13/DE127</f>
        <v>363.9343533</v>
      </c>
      <c r="DF136" s="427">
        <f t="shared" si="420"/>
        <v>341.5177283</v>
      </c>
      <c r="DG136" s="427">
        <f t="shared" si="420"/>
        <v>372.8068125</v>
      </c>
      <c r="DH136" s="427">
        <f t="shared" si="420"/>
        <v>337.8471789</v>
      </c>
      <c r="DI136" s="430">
        <f t="shared" si="420"/>
        <v>353.7848053</v>
      </c>
      <c r="DJ136" s="429"/>
      <c r="DK136" s="427">
        <f t="shared" ref="DK136:DO136" si="421">DK13/DK127</f>
        <v>365.8577499</v>
      </c>
      <c r="DL136" s="427">
        <f t="shared" si="421"/>
        <v>381.1869718</v>
      </c>
      <c r="DM136" s="427">
        <f t="shared" si="421"/>
        <v>418.4468231</v>
      </c>
      <c r="DN136" s="427">
        <f t="shared" si="421"/>
        <v>368.5269669</v>
      </c>
      <c r="DO136" s="430">
        <f t="shared" si="421"/>
        <v>383.7398456</v>
      </c>
      <c r="DP136" s="429"/>
      <c r="DQ136" s="430"/>
      <c r="DR136" s="429"/>
      <c r="DS136" s="359"/>
      <c r="DT136" s="359"/>
      <c r="DU136" s="359"/>
      <c r="DV136" s="359"/>
      <c r="DW136" s="359"/>
      <c r="DX136" s="359"/>
      <c r="DY136" s="359"/>
      <c r="DZ136" s="359"/>
      <c r="EA136" s="359"/>
      <c r="EB136" s="359"/>
      <c r="EC136" s="359"/>
      <c r="ED136" s="359"/>
      <c r="EE136" s="427"/>
      <c r="EF136" s="427"/>
      <c r="EG136" s="427"/>
      <c r="EH136" s="427"/>
      <c r="EI136" s="427"/>
      <c r="EJ136" s="427"/>
      <c r="EK136" s="427"/>
      <c r="EL136" s="427"/>
      <c r="EM136" s="427"/>
      <c r="EN136" s="427"/>
      <c r="EO136" s="427"/>
      <c r="EP136" s="427"/>
      <c r="EQ136" s="427"/>
      <c r="ER136" s="427"/>
      <c r="ES136" s="427"/>
      <c r="ET136" s="427"/>
      <c r="EU136" s="427"/>
      <c r="EV136" s="427"/>
      <c r="EW136" s="427"/>
      <c r="EX136" s="427"/>
      <c r="EY136" s="427"/>
      <c r="EZ136" s="427"/>
      <c r="FA136" s="427"/>
      <c r="FB136" s="481"/>
      <c r="FC136" s="427"/>
      <c r="FD136" s="427"/>
      <c r="FE136" s="427"/>
      <c r="FF136" s="427"/>
      <c r="FG136" s="427"/>
      <c r="FH136" s="427"/>
      <c r="FI136" s="427"/>
      <c r="FJ136" s="427"/>
      <c r="FK136" s="427"/>
      <c r="FL136" s="427"/>
      <c r="FM136" s="427"/>
      <c r="FN136" s="427"/>
      <c r="FO136" s="427"/>
      <c r="FP136" s="427"/>
      <c r="FQ136" s="427"/>
      <c r="FR136" s="427"/>
      <c r="FS136" s="427"/>
      <c r="FT136" s="427"/>
      <c r="FU136" s="427"/>
      <c r="FV136" s="427"/>
      <c r="FW136" s="427"/>
      <c r="FX136" s="427"/>
      <c r="FY136" s="427"/>
      <c r="FZ136" s="427"/>
      <c r="GA136" s="427"/>
      <c r="GB136" s="427"/>
      <c r="GC136" s="427"/>
      <c r="GD136" s="427"/>
      <c r="GE136" s="427"/>
      <c r="GF136" s="427"/>
      <c r="GG136" s="427"/>
      <c r="GH136" s="427"/>
      <c r="GI136" s="427"/>
      <c r="GJ136" s="427"/>
      <c r="GK136" s="427"/>
      <c r="GL136" s="427"/>
      <c r="GM136" s="427"/>
    </row>
    <row r="137">
      <c r="AC137" s="83">
        <f>average(AA136:AC136)</f>
        <v>364.8864243</v>
      </c>
      <c r="AF137" s="83">
        <f>average(AD136:AF136)</f>
        <v>380.0934338</v>
      </c>
      <c r="AI137" s="83">
        <f>average(AG136:AI136)</f>
        <v>420.6554057</v>
      </c>
      <c r="AL137" s="83">
        <f>average(AJ136:AL136)</f>
        <v>367.0578204</v>
      </c>
      <c r="AO137" s="83">
        <f>average(AM136:AO136)</f>
        <v>364.8400992</v>
      </c>
      <c r="AR137" s="83">
        <f>average(AP136:AR136)</f>
        <v>341.7285942</v>
      </c>
      <c r="AU137" s="83">
        <f>average(AS136:AU136)</f>
        <v>373.4245084</v>
      </c>
      <c r="AX137" s="83">
        <f>average(AV136:AX136)</f>
        <v>337.937839</v>
      </c>
      <c r="BA137" s="83">
        <f>average(AY136:BA136)</f>
        <v>383.2035142</v>
      </c>
      <c r="BD137" s="83">
        <f>average(BB136:BD136)</f>
        <v>367.4111355</v>
      </c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K137" s="42"/>
      <c r="CQ137" s="42"/>
      <c r="DK137" s="2"/>
      <c r="DL137" s="2"/>
      <c r="DM137" s="2"/>
      <c r="DN137" s="2"/>
      <c r="EG137" s="83"/>
      <c r="EJ137" s="83"/>
      <c r="EM137" s="83"/>
      <c r="EP137" s="83"/>
      <c r="ES137" s="83"/>
      <c r="EV137" s="83"/>
      <c r="EY137" s="83"/>
      <c r="FB137" s="3"/>
      <c r="FE137" s="83"/>
      <c r="FQ137" s="83"/>
    </row>
    <row r="138">
      <c r="B138" s="1" t="s">
        <v>569</v>
      </c>
      <c r="O138" s="482">
        <v>239060.0</v>
      </c>
      <c r="P138" s="482">
        <v>162500.0</v>
      </c>
      <c r="Q138" s="482">
        <v>739670.0</v>
      </c>
      <c r="R138" s="482">
        <v>429788.0</v>
      </c>
      <c r="S138" s="482">
        <v>401156.02</v>
      </c>
      <c r="T138" s="482">
        <v>268822.01</v>
      </c>
      <c r="U138" s="482">
        <v>498175.11</v>
      </c>
      <c r="V138" s="482">
        <v>507759.0</v>
      </c>
      <c r="W138" s="482">
        <v>919047.6</v>
      </c>
      <c r="X138" s="482">
        <v>1104547.06</v>
      </c>
      <c r="Y138" s="482">
        <v>1577381.8</v>
      </c>
      <c r="Z138" s="482">
        <v>1607239.27</v>
      </c>
      <c r="AA138" s="482">
        <v>1029018.71</v>
      </c>
      <c r="AB138" s="482">
        <v>1060081.83</v>
      </c>
      <c r="AC138" s="482">
        <v>934609.65</v>
      </c>
      <c r="AD138" s="482">
        <v>908676.28</v>
      </c>
      <c r="AE138" s="482">
        <v>1924801.8</v>
      </c>
      <c r="AF138" s="482">
        <v>1931951.6</v>
      </c>
      <c r="AG138" s="482">
        <v>1791253.83</v>
      </c>
      <c r="AH138" s="482">
        <v>1600081.19</v>
      </c>
      <c r="AI138" s="482">
        <v>1758609.68</v>
      </c>
      <c r="AJ138" s="482">
        <v>1943150.37</v>
      </c>
      <c r="AK138" s="482">
        <v>1697094.21</v>
      </c>
      <c r="AL138" s="482">
        <v>2512144.31</v>
      </c>
      <c r="AM138" s="482">
        <v>1919658.95</v>
      </c>
      <c r="AN138" s="482">
        <v>1546928.97</v>
      </c>
      <c r="AO138" s="482">
        <v>1560519.4</v>
      </c>
      <c r="AP138" s="482">
        <v>1363140.88</v>
      </c>
      <c r="AQ138" s="482">
        <v>1024531.65</v>
      </c>
      <c r="AR138" s="482">
        <v>1916916.05</v>
      </c>
      <c r="AS138" s="482">
        <v>1036998.3</v>
      </c>
      <c r="AT138" s="482">
        <v>2207412.9</v>
      </c>
      <c r="AU138" s="482">
        <v>1669426.68</v>
      </c>
      <c r="AV138" s="482">
        <v>1376849.48</v>
      </c>
      <c r="AW138" s="482">
        <v>2690736.88</v>
      </c>
      <c r="AX138" s="482">
        <v>2684375.35</v>
      </c>
      <c r="AY138" s="482">
        <v>899226.78</v>
      </c>
      <c r="AZ138" s="482">
        <v>839652.01</v>
      </c>
      <c r="BA138" s="482">
        <v>2958703.53</v>
      </c>
      <c r="BB138" s="482">
        <v>1211173.26</v>
      </c>
      <c r="BC138" s="482">
        <v>1838532.74</v>
      </c>
      <c r="BD138" s="482">
        <v>2270659.46</v>
      </c>
      <c r="BE138" s="482">
        <v>1769841.5</v>
      </c>
      <c r="BF138" s="483">
        <v>2255355.65</v>
      </c>
      <c r="BG138" s="482">
        <v>1116707.63</v>
      </c>
      <c r="BH138" s="482">
        <v>3002671.19</v>
      </c>
      <c r="BI138" s="482">
        <v>3384613.95</v>
      </c>
      <c r="BJ138" s="482">
        <v>1663259.23</v>
      </c>
      <c r="BK138" s="482">
        <v>1841441.72</v>
      </c>
      <c r="BL138" s="483">
        <v>2708684.8</v>
      </c>
      <c r="BM138" s="484">
        <v>2437928.0</v>
      </c>
      <c r="BN138" s="482">
        <v>2281210.9</v>
      </c>
      <c r="BO138" s="482">
        <v>1958217.2</v>
      </c>
      <c r="BP138" s="482">
        <v>2790487.55</v>
      </c>
      <c r="BQ138" s="482">
        <v>3328269.78</v>
      </c>
      <c r="BR138" s="482">
        <v>2291501.44</v>
      </c>
      <c r="BS138" s="484">
        <v>3054051.0</v>
      </c>
      <c r="BT138" s="482">
        <v>4968328.6</v>
      </c>
      <c r="BU138" s="482">
        <v>4761345.0</v>
      </c>
      <c r="BV138" s="482">
        <v>4157377.98</v>
      </c>
      <c r="BW138" s="519"/>
      <c r="BX138" s="519"/>
      <c r="BY138" s="519"/>
      <c r="BZ138" s="519"/>
      <c r="CA138" s="519"/>
      <c r="CB138" s="519"/>
      <c r="CC138" s="519"/>
      <c r="CD138" s="519"/>
      <c r="CE138" s="519"/>
      <c r="CF138" s="519"/>
      <c r="CG138" s="519"/>
      <c r="CH138" s="519"/>
      <c r="CK138" s="303">
        <f t="array" ref="CK138">SUM(INDIRECT(XLOOKUP('GAAP Summary'!$B$2,'TTM Dates'!$B:$B,'TTM Dates'!$E:$E)&amp;ROW($CJ138)&amp;":"&amp;XLOOKUP('GAAP Summary'!$B$2,'TTM Dates'!$B:$B,'TTM Dates'!$C:$C)&amp;ROW($CJ138)))</f>
        <v>22560873.8</v>
      </c>
      <c r="CM138" s="136"/>
      <c r="CN138" s="136"/>
      <c r="CO138" s="136"/>
      <c r="CP138" s="136"/>
      <c r="CQ138" s="339"/>
      <c r="CR138" s="136"/>
      <c r="CS138" s="136">
        <f>sum(BK138:BM138)</f>
        <v>6988054.52</v>
      </c>
      <c r="CT138" s="136">
        <f>sum(BN138:BP138)</f>
        <v>7029915.65</v>
      </c>
      <c r="CU138" s="136">
        <f>sum(BQ138:BS138)</f>
        <v>8673822.22</v>
      </c>
      <c r="CV138" s="136">
        <f>sum(BT138:BV138)</f>
        <v>13887051.58</v>
      </c>
      <c r="CW138" s="292">
        <f>sum(BK138:BV138)</f>
        <v>36578843.97</v>
      </c>
      <c r="CX138" s="49"/>
      <c r="CY138" s="136">
        <f>sum(AY138:BA138)</f>
        <v>4697582.32</v>
      </c>
      <c r="CZ138" s="136">
        <f>sum(BB138:BD138)</f>
        <v>5320365.46</v>
      </c>
      <c r="DA138" s="136">
        <f>sum(BE138:BG138)</f>
        <v>5141904.78</v>
      </c>
      <c r="DB138" s="136">
        <f>sum(BH138:BJ138)</f>
        <v>8050544.37</v>
      </c>
      <c r="DC138" s="292">
        <f>sum(AY138:BJ138)</f>
        <v>23210396.93</v>
      </c>
      <c r="DD138" s="136"/>
      <c r="DE138" s="136">
        <f>sum(AM138:AO138)</f>
        <v>5027107.32</v>
      </c>
      <c r="DF138" s="136">
        <f>sum(AP138:AR138)</f>
        <v>4304588.58</v>
      </c>
      <c r="DG138" s="136">
        <f>sum(AS138:AU138)</f>
        <v>4913837.88</v>
      </c>
      <c r="DH138" s="136">
        <f>sum(AV138:AX138)</f>
        <v>6751961.71</v>
      </c>
      <c r="DI138" s="292">
        <f>sum(AM138:AX138)</f>
        <v>20997495.49</v>
      </c>
      <c r="DJ138" s="136"/>
      <c r="DK138" s="136"/>
      <c r="DL138" s="136"/>
      <c r="DM138" s="136"/>
      <c r="DN138" s="136"/>
      <c r="DO138" s="292"/>
      <c r="DP138" s="136"/>
      <c r="DQ138" s="292"/>
      <c r="DR138" s="136"/>
      <c r="DS138" s="136">
        <f t="array" ref="DS138">IF(DS$3&gt;'GAAP Summary'!$B$2,0,SUM(INDIRECT(XLOOKUP(DS$3,'TTM Dates'!$B:$B,'TTM Dates'!$E:$E)&amp;ROW($CJ138)&amp;":"&amp;XLOOKUP(DS$3,'TTM Dates'!$B:$B,'TTM Dates'!$C:$C)&amp;ROW($CJ138))))</f>
        <v>239060</v>
      </c>
      <c r="DT138" s="136">
        <f t="array" ref="DT138">IF(DT$3&gt;'GAAP Summary'!$B$2,0,SUM(INDIRECT(XLOOKUP(DT$3,'TTM Dates'!$B:$B,'TTM Dates'!$E:$E)&amp;ROW($CJ138)&amp;":"&amp;XLOOKUP(DT$3,'TTM Dates'!$B:$B,'TTM Dates'!$C:$C)&amp;ROW($CJ138))))</f>
        <v>401560</v>
      </c>
      <c r="DU138" s="136">
        <f t="array" ref="DU138">IF(DU$3&gt;'GAAP Summary'!$B$2,0,SUM(INDIRECT(XLOOKUP(DU$3,'TTM Dates'!$B:$B,'TTM Dates'!$E:$E)&amp;ROW($CJ138)&amp;":"&amp;XLOOKUP(DU$3,'TTM Dates'!$B:$B,'TTM Dates'!$C:$C)&amp;ROW($CJ138))))</f>
        <v>1141230</v>
      </c>
      <c r="DV138" s="136">
        <f t="array" ref="DV138">IF(DV$3&gt;'GAAP Summary'!$B$2,0,SUM(INDIRECT(XLOOKUP(DV$3,'TTM Dates'!$B:$B,'TTM Dates'!$E:$E)&amp;ROW($CJ138)&amp;":"&amp;XLOOKUP(DV$3,'TTM Dates'!$B:$B,'TTM Dates'!$C:$C)&amp;ROW($CJ138))))</f>
        <v>1571018</v>
      </c>
      <c r="DW138" s="136">
        <f t="array" ref="DW138">IF(DW$3&gt;'GAAP Summary'!$B$2,0,SUM(INDIRECT(XLOOKUP(DW$3,'TTM Dates'!$B:$B,'TTM Dates'!$E:$E)&amp;ROW($CJ138)&amp;":"&amp;XLOOKUP(DW$3,'TTM Dates'!$B:$B,'TTM Dates'!$C:$C)&amp;ROW($CJ138))))</f>
        <v>1972174.02</v>
      </c>
      <c r="DX138" s="136">
        <f t="array" ref="DX138">IF(DX$3&gt;'GAAP Summary'!$B$2,0,SUM(INDIRECT(XLOOKUP(DX$3,'TTM Dates'!$B:$B,'TTM Dates'!$E:$E)&amp;ROW($CJ138)&amp;":"&amp;XLOOKUP(DX$3,'TTM Dates'!$B:$B,'TTM Dates'!$C:$C)&amp;ROW($CJ138))))</f>
        <v>2240996.03</v>
      </c>
      <c r="DY138" s="136">
        <f t="array" ref="DY138">IF(DY$3&gt;'GAAP Summary'!$B$2,0,SUM(INDIRECT(XLOOKUP(DY$3,'TTM Dates'!$B:$B,'TTM Dates'!$E:$E)&amp;ROW($CJ138)&amp;":"&amp;XLOOKUP(DY$3,'TTM Dates'!$B:$B,'TTM Dates'!$C:$C)&amp;ROW($CJ138))))</f>
        <v>2739171.14</v>
      </c>
      <c r="DZ138" s="136">
        <f t="array" ref="DZ138">IF(DZ$3&gt;'GAAP Summary'!$B$2,0,SUM(INDIRECT(XLOOKUP(DZ$3,'TTM Dates'!$B:$B,'TTM Dates'!$E:$E)&amp;ROW($CJ138)&amp;":"&amp;XLOOKUP(DZ$3,'TTM Dates'!$B:$B,'TTM Dates'!$C:$C)&amp;ROW($CJ138))))</f>
        <v>3246930.14</v>
      </c>
      <c r="EA138" s="136">
        <f t="array" ref="EA138">IF(EA$3&gt;'GAAP Summary'!$B$2,0,SUM(INDIRECT(XLOOKUP(EA$3,'TTM Dates'!$B:$B,'TTM Dates'!$E:$E)&amp;ROW($CJ138)&amp;":"&amp;XLOOKUP(EA$3,'TTM Dates'!$B:$B,'TTM Dates'!$C:$C)&amp;ROW($CJ138))))</f>
        <v>4165977.74</v>
      </c>
      <c r="EB138" s="136">
        <f t="array" ref="EB138">IF(EB$3&gt;'GAAP Summary'!$B$2,0,SUM(INDIRECT(XLOOKUP(EB$3,'TTM Dates'!$B:$B,'TTM Dates'!$E:$E)&amp;ROW($CJ138)&amp;":"&amp;XLOOKUP(EB$3,'TTM Dates'!$B:$B,'TTM Dates'!$C:$C)&amp;ROW($CJ138))))</f>
        <v>5270524.8</v>
      </c>
      <c r="EC138" s="136">
        <f t="array" ref="EC138">IF(EC$3&gt;'GAAP Summary'!$B$2,0,SUM(INDIRECT(XLOOKUP(EC$3,'TTM Dates'!$B:$B,'TTM Dates'!$E:$E)&amp;ROW($CJ138)&amp;":"&amp;XLOOKUP(EC$3,'TTM Dates'!$B:$B,'TTM Dates'!$C:$C)&amp;ROW($CJ138))))</f>
        <v>6847906.6</v>
      </c>
      <c r="ED138" s="136">
        <f t="array" ref="ED138">IF(ED$3&gt;'GAAP Summary'!$B$2,0,SUM(INDIRECT(XLOOKUP(ED$3,'TTM Dates'!$B:$B,'TTM Dates'!$E:$E)&amp;ROW($CJ138)&amp;":"&amp;XLOOKUP(ED$3,'TTM Dates'!$B:$B,'TTM Dates'!$C:$C)&amp;ROW($CJ138))))</f>
        <v>8455145.87</v>
      </c>
      <c r="EE138" s="136">
        <f t="array" ref="EE138">IF(EE$3&gt;'GAAP Summary'!$B$2,0,SUM(INDIRECT(XLOOKUP(EE$3,'TTM Dates'!$B:$B,'TTM Dates'!$E:$E)&amp;ROW($CJ138)&amp;":"&amp;XLOOKUP(EE$3,'TTM Dates'!$B:$B,'TTM Dates'!$C:$C)&amp;ROW($CJ138))))</f>
        <v>9245104.58</v>
      </c>
      <c r="EF138" s="136">
        <f t="array" ref="EF138">IF(EF$3&gt;'GAAP Summary'!$B$2,0,SUM(INDIRECT(XLOOKUP(EF$3,'TTM Dates'!$B:$B,'TTM Dates'!$E:$E)&amp;ROW($CJ138)&amp;":"&amp;XLOOKUP(EF$3,'TTM Dates'!$B:$B,'TTM Dates'!$C:$C)&amp;ROW($CJ138))))</f>
        <v>10142686.41</v>
      </c>
      <c r="EG138" s="136">
        <f t="array" ref="EG138">IF(EG$3&gt;'GAAP Summary'!$B$2,0,SUM(INDIRECT(XLOOKUP(EG$3,'TTM Dates'!$B:$B,'TTM Dates'!$E:$E)&amp;ROW($CJ138)&amp;":"&amp;XLOOKUP(EG$3,'TTM Dates'!$B:$B,'TTM Dates'!$C:$C)&amp;ROW($CJ138))))</f>
        <v>10337626.06</v>
      </c>
      <c r="EH138" s="136">
        <f t="array" ref="EH138">IF(EH$3&gt;'GAAP Summary'!$B$2,0,SUM(INDIRECT(XLOOKUP(EH$3,'TTM Dates'!$B:$B,'TTM Dates'!$E:$E)&amp;ROW($CJ138)&amp;":"&amp;XLOOKUP(EH$3,'TTM Dates'!$B:$B,'TTM Dates'!$C:$C)&amp;ROW($CJ138))))</f>
        <v>10816514.34</v>
      </c>
      <c r="EI138" s="136">
        <f t="array" ref="EI138">IF(EI$3&gt;'GAAP Summary'!$B$2,0,SUM(INDIRECT(XLOOKUP(EI$3,'TTM Dates'!$B:$B,'TTM Dates'!$E:$E)&amp;ROW($CJ138)&amp;":"&amp;XLOOKUP(EI$3,'TTM Dates'!$B:$B,'TTM Dates'!$C:$C)&amp;ROW($CJ138))))</f>
        <v>12340160.12</v>
      </c>
      <c r="EJ138" s="136">
        <f t="array" ref="EJ138">IF(EJ$3&gt;'GAAP Summary'!$B$2,0,SUM(INDIRECT(XLOOKUP(EJ$3,'TTM Dates'!$B:$B,'TTM Dates'!$E:$E)&amp;ROW($CJ138)&amp;":"&amp;XLOOKUP(EJ$3,'TTM Dates'!$B:$B,'TTM Dates'!$C:$C)&amp;ROW($CJ138))))</f>
        <v>14003289.71</v>
      </c>
      <c r="EK138" s="136">
        <f t="array" ref="EK138">IF(EK$3&gt;'GAAP Summary'!$B$2,0,SUM(INDIRECT(XLOOKUP(EK$3,'TTM Dates'!$B:$B,'TTM Dates'!$E:$E)&amp;ROW($CJ138)&amp;":"&amp;XLOOKUP(EK$3,'TTM Dates'!$B:$B,'TTM Dates'!$C:$C)&amp;ROW($CJ138))))</f>
        <v>15296368.43</v>
      </c>
      <c r="EL138" s="136">
        <f t="array" ref="EL138">IF(EL$3&gt;'GAAP Summary'!$B$2,0,SUM(INDIRECT(XLOOKUP(EL$3,'TTM Dates'!$B:$B,'TTM Dates'!$E:$E)&amp;ROW($CJ138)&amp;":"&amp;XLOOKUP(EL$3,'TTM Dates'!$B:$B,'TTM Dates'!$C:$C)&amp;ROW($CJ138))))</f>
        <v>16388690.62</v>
      </c>
      <c r="EM138" s="136">
        <f t="array" ref="EM138">IF(EM$3&gt;'GAAP Summary'!$B$2,0,SUM(INDIRECT(XLOOKUP(EM$3,'TTM Dates'!$B:$B,'TTM Dates'!$E:$E)&amp;ROW($CJ138)&amp;":"&amp;XLOOKUP(EM$3,'TTM Dates'!$B:$B,'TTM Dates'!$C:$C)&amp;ROW($CJ138))))</f>
        <v>17228252.7</v>
      </c>
      <c r="EN138" s="136">
        <f t="array" ref="EN138">IF(EN$3&gt;'GAAP Summary'!$B$2,0,SUM(INDIRECT(XLOOKUP(EN$3,'TTM Dates'!$B:$B,'TTM Dates'!$E:$E)&amp;ROW($CJ138)&amp;":"&amp;XLOOKUP(EN$3,'TTM Dates'!$B:$B,'TTM Dates'!$C:$C)&amp;ROW($CJ138))))</f>
        <v>18066856.01</v>
      </c>
      <c r="EO138" s="136">
        <f t="array" ref="EO138">IF(EO$3&gt;'GAAP Summary'!$B$2,0,SUM(INDIRECT(XLOOKUP(EO$3,'TTM Dates'!$B:$B,'TTM Dates'!$E:$E)&amp;ROW($CJ138)&amp;":"&amp;XLOOKUP(EO$3,'TTM Dates'!$B:$B,'TTM Dates'!$C:$C)&amp;ROW($CJ138))))</f>
        <v>18186568.42</v>
      </c>
      <c r="EP138" s="136">
        <f t="array" ref="EP138">IF(EP$3&gt;'GAAP Summary'!$B$2,0,SUM(INDIRECT(XLOOKUP(EP$3,'TTM Dates'!$B:$B,'TTM Dates'!$E:$E)&amp;ROW($CJ138)&amp;":"&amp;XLOOKUP(EP$3,'TTM Dates'!$B:$B,'TTM Dates'!$C:$C)&amp;ROW($CJ138))))</f>
        <v>19091473.46</v>
      </c>
      <c r="EQ138" s="136">
        <f t="array" ref="EQ138">IF(EQ$3&gt;'GAAP Summary'!$B$2,0,SUM(INDIRECT(XLOOKUP(EQ$3,'TTM Dates'!$B:$B,'TTM Dates'!$E:$E)&amp;ROW($CJ138)&amp;":"&amp;XLOOKUP(EQ$3,'TTM Dates'!$B:$B,'TTM Dates'!$C:$C)&amp;ROW($CJ138))))</f>
        <v>19982113.7</v>
      </c>
      <c r="ER138" s="136">
        <f t="array" ref="ER138">IF(ER$3&gt;'GAAP Summary'!$B$2,0,SUM(INDIRECT(XLOOKUP(ER$3,'TTM Dates'!$B:$B,'TTM Dates'!$E:$E)&amp;ROW($CJ138)&amp;":"&amp;XLOOKUP(ER$3,'TTM Dates'!$B:$B,'TTM Dates'!$C:$C)&amp;ROW($CJ138))))</f>
        <v>20468960.84</v>
      </c>
      <c r="ES138" s="136">
        <f t="array" ref="ES138">IF(ES$3&gt;'GAAP Summary'!$B$2,0,SUM(INDIRECT(XLOOKUP(ES$3,'TTM Dates'!$B:$B,'TTM Dates'!$E:$E)&amp;ROW($CJ138)&amp;":"&amp;XLOOKUP(ES$3,'TTM Dates'!$B:$B,'TTM Dates'!$C:$C)&amp;ROW($CJ138))))</f>
        <v>21094870.59</v>
      </c>
      <c r="ET138" s="136">
        <f t="array" ref="ET138">IF(ET$3&gt;'GAAP Summary'!$B$2,0,SUM(INDIRECT(XLOOKUP(ET$3,'TTM Dates'!$B:$B,'TTM Dates'!$E:$E)&amp;ROW($CJ138)&amp;":"&amp;XLOOKUP(ET$3,'TTM Dates'!$B:$B,'TTM Dates'!$C:$C)&amp;ROW($CJ138))))</f>
        <v>21549335.19</v>
      </c>
      <c r="EU138" s="136">
        <f t="array" ref="EU138">IF(EU$3&gt;'GAAP Summary'!$B$2,0,SUM(INDIRECT(XLOOKUP(EU$3,'TTM Dates'!$B:$B,'TTM Dates'!$E:$E)&amp;ROW($CJ138)&amp;":"&amp;XLOOKUP(EU$3,'TTM Dates'!$B:$B,'TTM Dates'!$C:$C)&amp;ROW($CJ138))))</f>
        <v>20649065.04</v>
      </c>
      <c r="EV138" s="136">
        <f t="array" ref="EV138">IF(EV$3&gt;'GAAP Summary'!$B$2,0,SUM(INDIRECT(XLOOKUP(EV$3,'TTM Dates'!$B:$B,'TTM Dates'!$E:$E)&amp;ROW($CJ138)&amp;":"&amp;XLOOKUP(EV$3,'TTM Dates'!$B:$B,'TTM Dates'!$C:$C)&amp;ROW($CJ138))))</f>
        <v>20634029.49</v>
      </c>
      <c r="EW138" s="136">
        <f t="array" ref="EW138">IF(EW$3&gt;'GAAP Summary'!$B$2,0,SUM(INDIRECT(XLOOKUP(EW$3,'TTM Dates'!$B:$B,'TTM Dates'!$E:$E)&amp;ROW($CJ138)&amp;":"&amp;XLOOKUP(EW$3,'TTM Dates'!$B:$B,'TTM Dates'!$C:$C)&amp;ROW($CJ138))))</f>
        <v>19879773.96</v>
      </c>
      <c r="EX138" s="136">
        <f t="array" ref="EX138">IF(EX$3&gt;'GAAP Summary'!$B$2,0,SUM(INDIRECT(XLOOKUP(EX$3,'TTM Dates'!$B:$B,'TTM Dates'!$E:$E)&amp;ROW($CJ138)&amp;":"&amp;XLOOKUP(EX$3,'TTM Dates'!$B:$B,'TTM Dates'!$C:$C)&amp;ROW($CJ138))))</f>
        <v>20487105.67</v>
      </c>
      <c r="EY138" s="136">
        <f t="array" ref="EY138">IF(EY$3&gt;'GAAP Summary'!$B$2,0,SUM(INDIRECT(XLOOKUP(EY$3,'TTM Dates'!$B:$B,'TTM Dates'!$E:$E)&amp;ROW($CJ138)&amp;":"&amp;XLOOKUP(EY$3,'TTM Dates'!$B:$B,'TTM Dates'!$C:$C)&amp;ROW($CJ138))))</f>
        <v>20397922.67</v>
      </c>
      <c r="EZ138" s="136">
        <f t="array" ref="EZ138">IF(EZ$3&gt;'GAAP Summary'!$B$2,0,SUM(INDIRECT(XLOOKUP(EZ$3,'TTM Dates'!$B:$B,'TTM Dates'!$E:$E)&amp;ROW($CJ138)&amp;":"&amp;XLOOKUP(EZ$3,'TTM Dates'!$B:$B,'TTM Dates'!$C:$C)&amp;ROW($CJ138))))</f>
        <v>19831621.78</v>
      </c>
      <c r="FA138" s="136">
        <f t="array" ref="FA138">IF(FA$3&gt;'GAAP Summary'!$B$2,0,SUM(INDIRECT(XLOOKUP(FA$3,'TTM Dates'!$B:$B,'TTM Dates'!$E:$E)&amp;ROW($CJ138)&amp;":"&amp;XLOOKUP(FA$3,'TTM Dates'!$B:$B,'TTM Dates'!$C:$C)&amp;ROW($CJ138))))</f>
        <v>20825264.45</v>
      </c>
      <c r="FB138" s="136">
        <f t="array" ref="FB138">IF(FB$3&gt;'GAAP Summary'!$B$2,0,SUM(INDIRECT(XLOOKUP(FB$3,'TTM Dates'!$B:$B,'TTM Dates'!$E:$E)&amp;ROW($CJ138)&amp;":"&amp;XLOOKUP(FB$3,'TTM Dates'!$B:$B,'TTM Dates'!$C:$C)&amp;ROW($CJ138))))</f>
        <v>20997495.49</v>
      </c>
      <c r="FC138" s="136">
        <f t="array" ref="FC138">IF(FC$3&gt;'GAAP Summary'!$B$2,0,SUM(INDIRECT(XLOOKUP(FC$3,'TTM Dates'!$B:$B,'TTM Dates'!$E:$E)&amp;ROW($CJ138)&amp;":"&amp;XLOOKUP(FC$3,'TTM Dates'!$B:$B,'TTM Dates'!$C:$C)&amp;ROW($CJ138))))</f>
        <v>19977063.32</v>
      </c>
      <c r="FD138" s="136">
        <f t="array" ref="FD138">IF(FD$3&gt;'GAAP Summary'!$B$2,0,SUM(INDIRECT(XLOOKUP(FD$3,'TTM Dates'!$B:$B,'TTM Dates'!$E:$E)&amp;ROW($CJ138)&amp;":"&amp;XLOOKUP(FD$3,'TTM Dates'!$B:$B,'TTM Dates'!$C:$C)&amp;ROW($CJ138))))</f>
        <v>19269786.36</v>
      </c>
      <c r="FE138" s="136">
        <f t="array" ref="FE138">IF(FE$3&gt;'GAAP Summary'!$B$2,0,SUM(INDIRECT(XLOOKUP(FE$3,'TTM Dates'!$B:$B,'TTM Dates'!$E:$E)&amp;ROW($CJ138)&amp;":"&amp;XLOOKUP(FE$3,'TTM Dates'!$B:$B,'TTM Dates'!$C:$C)&amp;ROW($CJ138))))</f>
        <v>20667970.49</v>
      </c>
      <c r="FF138" s="136">
        <f t="array" ref="FF138">IF(FF$3&gt;'GAAP Summary'!$B$2,0,SUM(INDIRECT(XLOOKUP(FF$3,'TTM Dates'!$B:$B,'TTM Dates'!$E:$E)&amp;ROW($CJ138)&amp;":"&amp;XLOOKUP(FF$3,'TTM Dates'!$B:$B,'TTM Dates'!$C:$C)&amp;ROW($CJ138))))</f>
        <v>20516002.87</v>
      </c>
      <c r="FG138" s="136">
        <f t="array" ref="FG138">IF(FG$3&gt;'GAAP Summary'!$B$2,0,SUM(INDIRECT(XLOOKUP(FG$3,'TTM Dates'!$B:$B,'TTM Dates'!$E:$E)&amp;ROW($CJ138)&amp;":"&amp;XLOOKUP(FG$3,'TTM Dates'!$B:$B,'TTM Dates'!$C:$C)&amp;ROW($CJ138))))</f>
        <v>21330003.96</v>
      </c>
      <c r="FH138" s="136">
        <f t="array" ref="FH138">IF(FH$3&gt;'GAAP Summary'!$B$2,0,SUM(INDIRECT(XLOOKUP(FH$3,'TTM Dates'!$B:$B,'TTM Dates'!$E:$E)&amp;ROW($CJ138)&amp;":"&amp;XLOOKUP(FH$3,'TTM Dates'!$B:$B,'TTM Dates'!$C:$C)&amp;ROW($CJ138))))</f>
        <v>21683747.37</v>
      </c>
      <c r="FI138" s="136">
        <f t="array" ref="FI138">IF(FI$3&gt;'GAAP Summary'!$B$2,0,SUM(INDIRECT(XLOOKUP(FI$3,'TTM Dates'!$B:$B,'TTM Dates'!$E:$E)&amp;ROW($CJ138)&amp;":"&amp;XLOOKUP(FI$3,'TTM Dates'!$B:$B,'TTM Dates'!$C:$C)&amp;ROW($CJ138))))</f>
        <v>22416590.57</v>
      </c>
      <c r="FJ138" s="136">
        <f t="array" ref="FJ138">IF(FJ$3&gt;'GAAP Summary'!$B$2,0,SUM(INDIRECT(XLOOKUP(FJ$3,'TTM Dates'!$B:$B,'TTM Dates'!$E:$E)&amp;ROW($CJ138)&amp;":"&amp;XLOOKUP(FJ$3,'TTM Dates'!$B:$B,'TTM Dates'!$C:$C)&amp;ROW($CJ138))))</f>
        <v>22464533.32</v>
      </c>
      <c r="FK138" s="136">
        <f t="array" ref="FK138">IF(FK$3&gt;'GAAP Summary'!$B$2,0,SUM(INDIRECT(XLOOKUP(FK$3,'TTM Dates'!$B:$B,'TTM Dates'!$E:$E)&amp;ROW($CJ138)&amp;":"&amp;XLOOKUP(FK$3,'TTM Dates'!$B:$B,'TTM Dates'!$C:$C)&amp;ROW($CJ138))))</f>
        <v>21911814.27</v>
      </c>
      <c r="FL138" s="136">
        <f t="array" ref="FL138">IF(FL$3&gt;'GAAP Summary'!$B$2,0,SUM(INDIRECT(XLOOKUP(FL$3,'TTM Dates'!$B:$B,'TTM Dates'!$E:$E)&amp;ROW($CJ138)&amp;":"&amp;XLOOKUP(FL$3,'TTM Dates'!$B:$B,'TTM Dates'!$C:$C)&amp;ROW($CJ138))))</f>
        <v>23537635.98</v>
      </c>
      <c r="FM138" s="136">
        <f t="array" ref="FM138">IF(FM$3&gt;'GAAP Summary'!$B$2,0,SUM(INDIRECT(XLOOKUP(FM$3,'TTM Dates'!$B:$B,'TTM Dates'!$E:$E)&amp;ROW($CJ138)&amp;":"&amp;XLOOKUP(FM$3,'TTM Dates'!$B:$B,'TTM Dates'!$C:$C)&amp;ROW($CJ138))))</f>
        <v>24231513.05</v>
      </c>
      <c r="FN138" s="136">
        <f t="array" ref="FN138">IF(FN$3&gt;'GAAP Summary'!$B$2,0,SUM(INDIRECT(XLOOKUP(FN$3,'TTM Dates'!$B:$B,'TTM Dates'!$E:$E)&amp;ROW($CJ138)&amp;":"&amp;XLOOKUP(FN$3,'TTM Dates'!$B:$B,'TTM Dates'!$C:$C)&amp;ROW($CJ138))))</f>
        <v>23210396.93</v>
      </c>
      <c r="FO138" s="136">
        <f t="array" ref="FO138">IF(FO$3&gt;'GAAP Summary'!$B$2,0,SUM(INDIRECT(XLOOKUP(FO$3,'TTM Dates'!$B:$B,'TTM Dates'!$E:$E)&amp;ROW($CJ138)&amp;":"&amp;XLOOKUP(FO$3,'TTM Dates'!$B:$B,'TTM Dates'!$C:$C)&amp;ROW($CJ138))))</f>
        <v>24152611.87</v>
      </c>
      <c r="FP138" s="136">
        <f t="array" ref="FP138">IF(FP$3&gt;'GAAP Summary'!$B$2,0,SUM(INDIRECT(XLOOKUP(FP$3,'TTM Dates'!$B:$B,'TTM Dates'!$E:$E)&amp;ROW($CJ138)&amp;":"&amp;XLOOKUP(FP$3,'TTM Dates'!$B:$B,'TTM Dates'!$C:$C)&amp;ROW($CJ138))))</f>
        <v>26021644.66</v>
      </c>
      <c r="FQ138" s="136">
        <f t="array" ref="FQ138">IF(FQ$3&gt;'GAAP Summary'!$B$2,0,SUM(INDIRECT(XLOOKUP(FQ$3,'TTM Dates'!$B:$B,'TTM Dates'!$E:$E)&amp;ROW($CJ138)&amp;":"&amp;XLOOKUP(FQ$3,'TTM Dates'!$B:$B,'TTM Dates'!$C:$C)&amp;ROW($CJ138))))</f>
        <v>25500869.13</v>
      </c>
      <c r="FR138" s="136">
        <f t="array" ref="FR138">IF(FR$3&gt;'GAAP Summary'!$B$2,0,SUM(INDIRECT(XLOOKUP(FR$3,'TTM Dates'!$B:$B,'TTM Dates'!$E:$E)&amp;ROW($CJ138)&amp;":"&amp;XLOOKUP(FR$3,'TTM Dates'!$B:$B,'TTM Dates'!$C:$C)&amp;ROW($CJ138))))</f>
        <v>26570906.77</v>
      </c>
      <c r="FS138" s="136">
        <f t="array" ref="FS138">IF(FS$3&gt;'GAAP Summary'!$B$2,0,SUM(INDIRECT(XLOOKUP(FS$3,'TTM Dates'!$B:$B,'TTM Dates'!$E:$E)&amp;ROW($CJ138)&amp;":"&amp;XLOOKUP(FS$3,'TTM Dates'!$B:$B,'TTM Dates'!$C:$C)&amp;ROW($CJ138))))</f>
        <v>26690591.23</v>
      </c>
      <c r="FT138" s="136">
        <f t="array" ref="FT138">IF(FT$3&gt;'GAAP Summary'!$B$2,0,SUM(INDIRECT(XLOOKUP(FT$3,'TTM Dates'!$B:$B,'TTM Dates'!$E:$E)&amp;ROW($CJ138)&amp;":"&amp;XLOOKUP(FT$3,'TTM Dates'!$B:$B,'TTM Dates'!$C:$C)&amp;ROW($CJ138))))</f>
        <v>27210419.32</v>
      </c>
      <c r="FU138" s="136">
        <f t="array" ref="FU138">IF(FU$3&gt;'GAAP Summary'!$B$2,0,SUM(INDIRECT(XLOOKUP(FU$3,'TTM Dates'!$B:$B,'TTM Dates'!$E:$E)&amp;ROW($CJ138)&amp;":"&amp;XLOOKUP(FU$3,'TTM Dates'!$B:$B,'TTM Dates'!$C:$C)&amp;ROW($CJ138))))</f>
        <v>28768847.6</v>
      </c>
      <c r="FV138" s="136">
        <f t="array" ref="FV138">IF(FV$3&gt;'GAAP Summary'!$B$2,0,SUM(INDIRECT(XLOOKUP(FV$3,'TTM Dates'!$B:$B,'TTM Dates'!$E:$E)&amp;ROW($CJ138)&amp;":"&amp;XLOOKUP(FV$3,'TTM Dates'!$B:$B,'TTM Dates'!$C:$C)&amp;ROW($CJ138))))</f>
        <v>28804993.39</v>
      </c>
      <c r="FW138" s="136">
        <f t="array" ref="FW138">IF(FW$3&gt;'GAAP Summary'!$B$2,0,SUM(INDIRECT(XLOOKUP(FW$3,'TTM Dates'!$B:$B,'TTM Dates'!$E:$E)&amp;ROW($CJ138)&amp;":"&amp;XLOOKUP(FW$3,'TTM Dates'!$B:$B,'TTM Dates'!$C:$C)&amp;ROW($CJ138))))</f>
        <v>30742336.76</v>
      </c>
      <c r="FX138" s="136">
        <f t="array" ref="FX138">IF(FX$3&gt;'GAAP Summary'!$B$2,0,SUM(INDIRECT(XLOOKUP(FX$3,'TTM Dates'!$B:$B,'TTM Dates'!$E:$E)&amp;ROW($CJ138)&amp;":"&amp;XLOOKUP(FX$3,'TTM Dates'!$B:$B,'TTM Dates'!$C:$C)&amp;ROW($CJ138))))</f>
        <v>32707994.17</v>
      </c>
      <c r="FY138" s="136">
        <f t="array" ref="FY138">IF(FY$3&gt;'GAAP Summary'!$B$2,0,SUM(INDIRECT(XLOOKUP(FY$3,'TTM Dates'!$B:$B,'TTM Dates'!$E:$E)&amp;ROW($CJ138)&amp;":"&amp;XLOOKUP(FY$3,'TTM Dates'!$B:$B,'TTM Dates'!$C:$C)&amp;ROW($CJ138))))</f>
        <v>34084725.22</v>
      </c>
      <c r="FZ138" s="136">
        <f t="array" ref="FZ138">IF(FZ$3&gt;'GAAP Summary'!$B$2,0,SUM(INDIRECT(XLOOKUP(FZ$3,'TTM Dates'!$B:$B,'TTM Dates'!$E:$E)&amp;ROW($CJ138)&amp;":"&amp;XLOOKUP(FZ$3,'TTM Dates'!$B:$B,'TTM Dates'!$C:$C)&amp;ROW($CJ138))))</f>
        <v>36578843.97</v>
      </c>
      <c r="GA138" s="136">
        <f t="array" ref="GA138">IF(GA$3&gt;'GAAP Summary'!$B$2,0,SUM(INDIRECT(XLOOKUP(GA$3,'TTM Dates'!$B:$B,'TTM Dates'!$E:$E)&amp;ROW($CJ138)&amp;":"&amp;XLOOKUP(GA$3,'TTM Dates'!$B:$B,'TTM Dates'!$C:$C)&amp;ROW($CJ138))))</f>
        <v>34737402.25</v>
      </c>
      <c r="GB138" s="136">
        <f t="array" ref="GB138">IF(GB$3&gt;'GAAP Summary'!$B$2,0,SUM(INDIRECT(XLOOKUP(GB$3,'TTM Dates'!$B:$B,'TTM Dates'!$E:$E)&amp;ROW($CJ138)&amp;":"&amp;XLOOKUP(GB$3,'TTM Dates'!$B:$B,'TTM Dates'!$C:$C)&amp;ROW($CJ138))))</f>
        <v>32028717.45</v>
      </c>
      <c r="GC138" s="136">
        <f t="array" ref="GC138">IF(GC$3&gt;'GAAP Summary'!$B$2,0,SUM(INDIRECT(XLOOKUP(GC$3,'TTM Dates'!$B:$B,'TTM Dates'!$E:$E)&amp;ROW($CJ138)&amp;":"&amp;XLOOKUP(GC$3,'TTM Dates'!$B:$B,'TTM Dates'!$C:$C)&amp;ROW($CJ138))))</f>
        <v>29590789.45</v>
      </c>
      <c r="GD138" s="136">
        <f t="array" ref="GD138">IF(GD$3&gt;'GAAP Summary'!$B$2,0,SUM(INDIRECT(XLOOKUP(GD$3,'TTM Dates'!$B:$B,'TTM Dates'!$E:$E)&amp;ROW($CJ138)&amp;":"&amp;XLOOKUP(GD$3,'TTM Dates'!$B:$B,'TTM Dates'!$C:$C)&amp;ROW($CJ138))))</f>
        <v>27309578.55</v>
      </c>
      <c r="GE138" s="136">
        <f t="array" ref="GE138">IF(GE$3&gt;'GAAP Summary'!$B$2,0,SUM(INDIRECT(XLOOKUP(GE$3,'TTM Dates'!$B:$B,'TTM Dates'!$E:$E)&amp;ROW($CJ138)&amp;":"&amp;XLOOKUP(GE$3,'TTM Dates'!$B:$B,'TTM Dates'!$C:$C)&amp;ROW($CJ138))))</f>
        <v>25351361.35</v>
      </c>
      <c r="GF138" s="136">
        <f t="array" ref="GF138">IF(GF$3&gt;'GAAP Summary'!$B$2,0,SUM(INDIRECT(XLOOKUP(GF$3,'TTM Dates'!$B:$B,'TTM Dates'!$E:$E)&amp;ROW($CJ138)&amp;":"&amp;XLOOKUP(GF$3,'TTM Dates'!$B:$B,'TTM Dates'!$C:$C)&amp;ROW($CJ138))))</f>
        <v>22560873.8</v>
      </c>
      <c r="GG138" s="136">
        <f t="array" ref="GG138">IF(GG$3&gt;'GAAP Summary'!$B$2,0,SUM(INDIRECT(XLOOKUP(GG$3,'TTM Dates'!$B:$B,'TTM Dates'!$E:$E)&amp;ROW($CJ138)&amp;":"&amp;XLOOKUP(GG$3,'TTM Dates'!$B:$B,'TTM Dates'!$C:$C)&amp;ROW($CJ138))))</f>
        <v>0</v>
      </c>
      <c r="GH138" s="136">
        <f t="array" ref="GH138">IF(GH$3&gt;'GAAP Summary'!$B$2,0,SUM(INDIRECT(XLOOKUP(GH$3,'TTM Dates'!$B:$B,'TTM Dates'!$E:$E)&amp;ROW($CJ138)&amp;":"&amp;XLOOKUP(GH$3,'TTM Dates'!$B:$B,'TTM Dates'!$C:$C)&amp;ROW($CJ138))))</f>
        <v>0</v>
      </c>
      <c r="GI138" s="136">
        <f t="array" ref="GI138">IF(GI$3&gt;'GAAP Summary'!$B$2,0,SUM(INDIRECT(XLOOKUP(GI$3,'TTM Dates'!$B:$B,'TTM Dates'!$E:$E)&amp;ROW($CJ138)&amp;":"&amp;XLOOKUP(GI$3,'TTM Dates'!$B:$B,'TTM Dates'!$C:$C)&amp;ROW($CJ138))))</f>
        <v>0</v>
      </c>
      <c r="GJ138" s="136">
        <f t="array" ref="GJ138">IF(GJ$3&gt;'GAAP Summary'!$B$2,0,SUM(INDIRECT(XLOOKUP(GJ$3,'TTM Dates'!$B:$B,'TTM Dates'!$E:$E)&amp;ROW($CJ138)&amp;":"&amp;XLOOKUP(GJ$3,'TTM Dates'!$B:$B,'TTM Dates'!$C:$C)&amp;ROW($CJ138))))</f>
        <v>0</v>
      </c>
      <c r="GK138" s="136">
        <f t="array" ref="GK138">IF(GK$3&gt;'GAAP Summary'!$B$2,0,SUM(INDIRECT(XLOOKUP(GK$3,'TTM Dates'!$B:$B,'TTM Dates'!$E:$E)&amp;ROW($CJ138)&amp;":"&amp;XLOOKUP(GK$3,'TTM Dates'!$B:$B,'TTM Dates'!$C:$C)&amp;ROW($CJ138))))</f>
        <v>0</v>
      </c>
      <c r="GL138" s="136">
        <f t="array" ref="GL138">IF(GL$3&gt;'GAAP Summary'!$B$2,0,SUM(INDIRECT(XLOOKUP(GL$3,'TTM Dates'!$B:$B,'TTM Dates'!$E:$E)&amp;ROW($CJ138)&amp;":"&amp;XLOOKUP(GL$3,'TTM Dates'!$B:$B,'TTM Dates'!$C:$C)&amp;ROW($CJ138))))</f>
        <v>0</v>
      </c>
      <c r="GM138" s="136"/>
    </row>
    <row r="139">
      <c r="B139" s="433"/>
      <c r="AM139" s="104"/>
      <c r="AN139" s="104"/>
      <c r="AO139" s="104"/>
      <c r="AP139" s="104"/>
      <c r="AQ139" s="104"/>
      <c r="AR139" s="104"/>
      <c r="AS139" s="104"/>
      <c r="AT139" s="104"/>
      <c r="AU139" s="104"/>
      <c r="AY139" s="488"/>
      <c r="AZ139" s="488"/>
      <c r="BA139" s="488"/>
      <c r="BB139" s="488"/>
      <c r="BC139" s="488"/>
      <c r="BD139" s="488"/>
      <c r="BE139" s="488"/>
      <c r="BF139" s="488"/>
      <c r="BG139" s="488"/>
      <c r="BH139" s="488"/>
      <c r="BI139" s="488"/>
      <c r="BJ139" s="488"/>
      <c r="BK139" s="488"/>
      <c r="BL139" s="488"/>
      <c r="BM139" s="488"/>
      <c r="BN139" s="488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K139" s="42"/>
      <c r="CM139" s="434"/>
      <c r="CN139" s="434"/>
      <c r="CO139" s="434"/>
      <c r="CP139" s="434"/>
      <c r="CQ139" s="520"/>
      <c r="CR139" s="434"/>
      <c r="CS139" s="434"/>
      <c r="CT139" s="434"/>
      <c r="CU139" s="434"/>
      <c r="CV139" s="434"/>
      <c r="CW139" s="434"/>
      <c r="CY139" s="434"/>
      <c r="CZ139" s="434"/>
      <c r="DA139" s="434"/>
      <c r="DB139" s="434"/>
      <c r="DC139" s="434"/>
      <c r="DE139" s="434"/>
      <c r="DF139" s="434"/>
      <c r="DG139" s="434"/>
      <c r="DH139" s="434"/>
      <c r="DI139" s="434"/>
      <c r="DK139" s="435"/>
      <c r="DL139" s="435"/>
      <c r="DM139" s="435"/>
      <c r="DN139" s="435"/>
      <c r="DO139" s="434"/>
      <c r="EQ139" s="104"/>
      <c r="ER139" s="104"/>
      <c r="ES139" s="104"/>
      <c r="ET139" s="104"/>
      <c r="EU139" s="104"/>
      <c r="EV139" s="104"/>
      <c r="EW139" s="104"/>
      <c r="EX139" s="104"/>
      <c r="EY139" s="104"/>
      <c r="FB139" s="3"/>
    </row>
    <row r="140">
      <c r="B140" s="433" t="s">
        <v>551</v>
      </c>
      <c r="AM140" s="104"/>
      <c r="AN140" s="104"/>
      <c r="AO140" s="104"/>
      <c r="AP140" s="104"/>
      <c r="AQ140" s="104"/>
      <c r="AR140" s="104"/>
      <c r="AS140" s="104"/>
      <c r="AT140" s="104"/>
      <c r="AU140" s="104"/>
      <c r="AY140" s="488">
        <f t="shared" ref="AY140:CH140" si="422">AY7/AY78</f>
        <v>0.1863634283</v>
      </c>
      <c r="AZ140" s="488">
        <f t="shared" si="422"/>
        <v>1.912022555</v>
      </c>
      <c r="BA140" s="488">
        <f t="shared" si="422"/>
        <v>22.46776205</v>
      </c>
      <c r="BB140" s="488">
        <f t="shared" si="422"/>
        <v>7.450976044</v>
      </c>
      <c r="BC140" s="488">
        <f t="shared" si="422"/>
        <v>9.770485095</v>
      </c>
      <c r="BD140" s="488">
        <f t="shared" si="422"/>
        <v>2.408405582</v>
      </c>
      <c r="BE140" s="488">
        <f t="shared" si="422"/>
        <v>10.1953193</v>
      </c>
      <c r="BF140" s="488">
        <f t="shared" si="422"/>
        <v>9.352167049</v>
      </c>
      <c r="BG140" s="488">
        <f t="shared" si="422"/>
        <v>15.82617702</v>
      </c>
      <c r="BH140" s="488">
        <f t="shared" si="422"/>
        <v>11.83846498</v>
      </c>
      <c r="BI140" s="488">
        <f t="shared" si="422"/>
        <v>13.83816015</v>
      </c>
      <c r="BJ140" s="488">
        <f t="shared" si="422"/>
        <v>22.22314755</v>
      </c>
      <c r="BK140" s="488">
        <f t="shared" si="422"/>
        <v>4.3032322</v>
      </c>
      <c r="BL140" s="488">
        <f t="shared" si="422"/>
        <v>15.34555137</v>
      </c>
      <c r="BM140" s="488">
        <f t="shared" si="422"/>
        <v>18.84514999</v>
      </c>
      <c r="BN140" s="488">
        <f t="shared" si="422"/>
        <v>29.647797</v>
      </c>
      <c r="BO140" s="488">
        <f t="shared" si="422"/>
        <v>5.899843267</v>
      </c>
      <c r="BP140" s="488">
        <f t="shared" si="422"/>
        <v>8.775131194</v>
      </c>
      <c r="BQ140" s="488">
        <f t="shared" si="422"/>
        <v>17.38248521</v>
      </c>
      <c r="BR140" s="488">
        <f t="shared" si="422"/>
        <v>5.533568125</v>
      </c>
      <c r="BS140" s="488">
        <f t="shared" si="422"/>
        <v>5.790438227</v>
      </c>
      <c r="BT140" s="488">
        <f t="shared" si="422"/>
        <v>6.31331042</v>
      </c>
      <c r="BU140" s="488">
        <f t="shared" si="422"/>
        <v>4.50389073</v>
      </c>
      <c r="BV140" s="488">
        <f t="shared" si="422"/>
        <v>36.04236982</v>
      </c>
      <c r="BW140" s="521">
        <f t="shared" si="422"/>
        <v>1.031192928</v>
      </c>
      <c r="BX140" s="521">
        <f t="shared" si="422"/>
        <v>5.016888601</v>
      </c>
      <c r="BY140" s="521">
        <f t="shared" si="422"/>
        <v>7.973991039</v>
      </c>
      <c r="BZ140" s="521">
        <f t="shared" si="422"/>
        <v>1.449070023</v>
      </c>
      <c r="CA140" s="521">
        <f t="shared" si="422"/>
        <v>3.724840101</v>
      </c>
      <c r="CB140" s="521">
        <f t="shared" si="422"/>
        <v>2.270391555</v>
      </c>
      <c r="CC140" s="521" t="str">
        <f t="shared" si="422"/>
        <v>#DIV/0!</v>
      </c>
      <c r="CD140" s="521" t="str">
        <f t="shared" si="422"/>
        <v>#DIV/0!</v>
      </c>
      <c r="CE140" s="521" t="str">
        <f t="shared" si="422"/>
        <v>#DIV/0!</v>
      </c>
      <c r="CF140" s="521" t="str">
        <f t="shared" si="422"/>
        <v>#DIV/0!</v>
      </c>
      <c r="CG140" s="521" t="str">
        <f t="shared" si="422"/>
        <v>#DIV/0!</v>
      </c>
      <c r="CH140" s="521" t="str">
        <f t="shared" si="422"/>
        <v>#DIV/0!</v>
      </c>
      <c r="CK140" s="42"/>
      <c r="CM140" s="434"/>
      <c r="CN140" s="434"/>
      <c r="CO140" s="434"/>
      <c r="CP140" s="434"/>
      <c r="CQ140" s="520"/>
      <c r="CR140" s="434"/>
      <c r="CS140" s="434">
        <f t="shared" ref="CS140:CW140" si="423">IFERROR(CS7/CS78,0)</f>
        <v>12.17831793</v>
      </c>
      <c r="CT140" s="434">
        <f t="shared" si="423"/>
        <v>11.05268076</v>
      </c>
      <c r="CU140" s="434">
        <f t="shared" si="423"/>
        <v>7.654868314</v>
      </c>
      <c r="CV140" s="434">
        <f t="shared" si="423"/>
        <v>8.469545905</v>
      </c>
      <c r="CW140" s="434">
        <f t="shared" si="423"/>
        <v>9.217724163</v>
      </c>
      <c r="CY140" s="434">
        <f t="shared" ref="CY140:DC140" si="424">IFERROR(CY7/CY78,0)</f>
        <v>7.855229454</v>
      </c>
      <c r="CZ140" s="434">
        <f t="shared" si="424"/>
        <v>6.207888167</v>
      </c>
      <c r="DA140" s="434">
        <f t="shared" si="424"/>
        <v>11.28059482</v>
      </c>
      <c r="DB140" s="434">
        <f t="shared" si="424"/>
        <v>15.46219209</v>
      </c>
      <c r="DC140" s="434">
        <f t="shared" si="424"/>
        <v>9.48447017</v>
      </c>
      <c r="DE140" s="434">
        <f t="shared" ref="DE140:DI140" si="425">DE7/DE78</f>
        <v>5.620743753</v>
      </c>
      <c r="DF140" s="434">
        <f t="shared" si="425"/>
        <v>5.050369309</v>
      </c>
      <c r="DG140" s="434">
        <f t="shared" si="425"/>
        <v>6.695034696</v>
      </c>
      <c r="DH140" s="434">
        <f t="shared" si="425"/>
        <v>17.16230351</v>
      </c>
      <c r="DI140" s="434">
        <f t="shared" si="425"/>
        <v>8.043788831</v>
      </c>
      <c r="DK140" s="435">
        <f t="shared" ref="DK140:DM140" si="426">DK7/DK78</f>
        <v>12.12907283</v>
      </c>
      <c r="DL140" s="435">
        <f t="shared" si="426"/>
        <v>17.77800195</v>
      </c>
      <c r="DM140" s="435">
        <f t="shared" si="426"/>
        <v>12.65221266</v>
      </c>
      <c r="DN140" s="435">
        <f>DN7/(DN78-600000)</f>
        <v>60.66662179</v>
      </c>
      <c r="DO140" s="434">
        <f>DO7/DO78</f>
        <v>13.00687711</v>
      </c>
      <c r="EQ140" s="104"/>
      <c r="ER140" s="104"/>
      <c r="ES140" s="104"/>
      <c r="ET140" s="104"/>
      <c r="EU140" s="104"/>
      <c r="EV140" s="104"/>
      <c r="EW140" s="104"/>
      <c r="EX140" s="104"/>
      <c r="EY140" s="104"/>
      <c r="FB140" s="3"/>
    </row>
    <row r="141">
      <c r="AM141" s="106"/>
      <c r="AN141" s="106"/>
      <c r="AO141" s="106"/>
      <c r="AP141" s="106"/>
      <c r="AQ141" s="106"/>
      <c r="AR141" s="106"/>
      <c r="AS141" s="106"/>
      <c r="AT141" s="106"/>
      <c r="AU141" s="106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K141" s="42"/>
      <c r="CQ141" s="42"/>
      <c r="DK141" s="2"/>
      <c r="DL141" s="2"/>
      <c r="DM141" s="2"/>
      <c r="DN141" s="2"/>
      <c r="EQ141" s="106"/>
      <c r="ER141" s="106"/>
      <c r="ES141" s="106"/>
      <c r="ET141" s="106"/>
      <c r="EU141" s="106"/>
      <c r="EV141" s="106"/>
      <c r="EW141" s="106"/>
      <c r="EX141" s="106"/>
      <c r="EY141" s="106"/>
      <c r="FB141" s="3"/>
    </row>
    <row r="142">
      <c r="A142" s="35"/>
      <c r="B142" s="36" t="s">
        <v>165</v>
      </c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  <c r="BP142" s="38"/>
      <c r="BQ142" s="38"/>
      <c r="BR142" s="38"/>
      <c r="BS142" s="38"/>
      <c r="BT142" s="38"/>
      <c r="BU142" s="38"/>
      <c r="BV142" s="38"/>
      <c r="BW142" s="46"/>
      <c r="BX142" s="46"/>
      <c r="BY142" s="46"/>
      <c r="BZ142" s="46"/>
      <c r="CA142" s="46"/>
      <c r="CB142" s="46"/>
      <c r="CC142" s="46"/>
      <c r="CD142" s="46"/>
      <c r="CE142" s="46"/>
      <c r="CF142" s="46"/>
      <c r="CG142" s="46"/>
      <c r="CH142" s="46"/>
      <c r="CI142" s="39"/>
      <c r="CJ142" s="39"/>
      <c r="CK142" s="47"/>
      <c r="CL142" s="41"/>
      <c r="CM142" s="38"/>
      <c r="CN142" s="38"/>
      <c r="CO142" s="38"/>
      <c r="CP142" s="38"/>
      <c r="CQ142" s="522"/>
      <c r="CR142" s="38"/>
      <c r="CS142" s="38" t="s">
        <v>165</v>
      </c>
      <c r="CT142" s="38" t="s">
        <v>165</v>
      </c>
      <c r="CU142" s="38" t="s">
        <v>165</v>
      </c>
      <c r="CV142" s="38" t="s">
        <v>165</v>
      </c>
      <c r="CW142" s="40"/>
      <c r="CX142" s="41"/>
      <c r="CY142" s="38" t="s">
        <v>165</v>
      </c>
      <c r="CZ142" s="38" t="s">
        <v>165</v>
      </c>
      <c r="DA142" s="38" t="s">
        <v>165</v>
      </c>
      <c r="DB142" s="38" t="s">
        <v>165</v>
      </c>
      <c r="DC142" s="40"/>
      <c r="DD142" s="37"/>
      <c r="DE142" s="37"/>
      <c r="DF142" s="37"/>
      <c r="DG142" s="37"/>
      <c r="DH142" s="37"/>
      <c r="DI142" s="40"/>
      <c r="DJ142" s="37"/>
      <c r="DK142" s="37"/>
      <c r="DL142" s="37"/>
      <c r="DM142" s="37"/>
      <c r="DN142" s="37"/>
      <c r="DO142" s="40"/>
      <c r="DP142" s="37"/>
      <c r="DQ142" s="40"/>
      <c r="DR142" s="44"/>
      <c r="DS142" s="37"/>
      <c r="DT142" s="37"/>
      <c r="DU142" s="37"/>
      <c r="DV142" s="37"/>
      <c r="DW142" s="37"/>
      <c r="DX142" s="37"/>
      <c r="DY142" s="37"/>
      <c r="DZ142" s="37"/>
      <c r="EA142" s="37"/>
      <c r="EB142" s="37"/>
      <c r="EC142" s="37"/>
      <c r="ED142" s="37"/>
      <c r="EE142" s="37"/>
      <c r="EF142" s="37"/>
      <c r="EG142" s="37"/>
      <c r="EH142" s="37"/>
      <c r="EI142" s="37"/>
      <c r="EJ142" s="37"/>
      <c r="EK142" s="37"/>
      <c r="EL142" s="37"/>
      <c r="EM142" s="37"/>
      <c r="EN142" s="37"/>
      <c r="EO142" s="37"/>
      <c r="EP142" s="37"/>
      <c r="EQ142" s="37"/>
      <c r="ER142" s="37"/>
      <c r="ES142" s="37"/>
      <c r="ET142" s="37"/>
      <c r="EU142" s="37"/>
      <c r="EV142" s="37"/>
      <c r="EW142" s="37"/>
      <c r="EX142" s="37"/>
      <c r="EY142" s="37"/>
      <c r="EZ142" s="37"/>
      <c r="FA142" s="38"/>
      <c r="FB142" s="38"/>
      <c r="FC142" s="38"/>
      <c r="FD142" s="38"/>
      <c r="FE142" s="38"/>
      <c r="FF142" s="38"/>
      <c r="FG142" s="38"/>
      <c r="FH142" s="38"/>
      <c r="FI142" s="38"/>
      <c r="FJ142" s="38"/>
      <c r="FK142" s="38"/>
      <c r="FL142" s="38"/>
      <c r="FM142" s="38"/>
      <c r="FN142" s="38"/>
      <c r="FO142" s="38"/>
      <c r="FP142" s="38"/>
      <c r="FQ142" s="38"/>
      <c r="FR142" s="38"/>
      <c r="FS142" s="38"/>
      <c r="FT142" s="38"/>
      <c r="FU142" s="38"/>
      <c r="FV142" s="38"/>
      <c r="FW142" s="38"/>
      <c r="FX142" s="38"/>
      <c r="FY142" s="38"/>
      <c r="FZ142" s="38"/>
      <c r="GA142" s="38"/>
      <c r="GB142" s="38"/>
      <c r="GC142" s="38"/>
      <c r="GD142" s="38"/>
      <c r="GE142" s="38"/>
      <c r="GF142" s="38"/>
      <c r="GG142" s="38"/>
      <c r="GH142" s="38"/>
      <c r="GI142" s="38"/>
      <c r="GJ142" s="38"/>
      <c r="GK142" s="38"/>
      <c r="GL142" s="38"/>
      <c r="GM142" s="38"/>
    </row>
    <row r="143" ht="9.0" customHeight="1">
      <c r="C143" s="378"/>
      <c r="D143" s="378"/>
      <c r="E143" s="378"/>
      <c r="F143" s="378"/>
      <c r="G143" s="378"/>
      <c r="H143" s="378"/>
      <c r="I143" s="378"/>
      <c r="J143" s="378"/>
      <c r="K143" s="378"/>
      <c r="L143" s="378"/>
      <c r="M143" s="378"/>
      <c r="N143" s="378"/>
      <c r="O143" s="378"/>
      <c r="P143" s="378"/>
      <c r="Q143" s="378"/>
      <c r="R143" s="378"/>
      <c r="S143" s="378"/>
      <c r="T143" s="378"/>
      <c r="U143" s="378"/>
      <c r="V143" s="378"/>
      <c r="W143" s="378"/>
      <c r="X143" s="378"/>
      <c r="Y143" s="378"/>
      <c r="Z143" s="378"/>
      <c r="AA143" s="378"/>
      <c r="AB143" s="378"/>
      <c r="AC143" s="378"/>
      <c r="AD143" s="378"/>
      <c r="AE143" s="378"/>
      <c r="AF143" s="378"/>
      <c r="AG143" s="378"/>
      <c r="AH143" s="378"/>
      <c r="AI143" s="378"/>
      <c r="AJ143" s="378"/>
      <c r="AK143" s="378"/>
      <c r="AL143" s="378"/>
      <c r="AM143" s="378"/>
      <c r="AN143" s="378"/>
      <c r="AO143" s="378"/>
      <c r="AP143" s="378"/>
      <c r="AQ143" s="378"/>
      <c r="AR143" s="378"/>
      <c r="AS143" s="378"/>
      <c r="AT143" s="378"/>
      <c r="AU143" s="378"/>
      <c r="AV143" s="378"/>
      <c r="AW143" s="378"/>
      <c r="AX143" s="378"/>
      <c r="AY143" s="378"/>
      <c r="AZ143" s="378"/>
      <c r="BA143" s="378"/>
      <c r="BB143" s="378"/>
      <c r="BC143" s="378"/>
      <c r="BD143" s="378"/>
      <c r="BE143" s="378"/>
      <c r="BF143" s="378"/>
      <c r="BG143" s="378"/>
      <c r="BH143" s="378"/>
      <c r="BI143" s="378"/>
      <c r="BJ143" s="378"/>
      <c r="BK143" s="378"/>
      <c r="BL143" s="378"/>
      <c r="BM143" s="378"/>
      <c r="BN143" s="378"/>
      <c r="BO143" s="378"/>
      <c r="BP143" s="378"/>
      <c r="BQ143" s="378"/>
      <c r="BR143" s="378"/>
      <c r="BS143" s="378"/>
      <c r="BT143" s="378"/>
      <c r="BU143" s="378"/>
      <c r="BV143" s="378"/>
      <c r="BW143" s="473"/>
      <c r="BX143" s="473"/>
      <c r="BY143" s="473"/>
      <c r="BZ143" s="473"/>
      <c r="CA143" s="473"/>
      <c r="CB143" s="473"/>
      <c r="CC143" s="473"/>
      <c r="CD143" s="473"/>
      <c r="CE143" s="473"/>
      <c r="CF143" s="473"/>
      <c r="CG143" s="473"/>
      <c r="CH143" s="473"/>
      <c r="CK143" s="475"/>
      <c r="CL143" s="378"/>
      <c r="CM143" s="378"/>
      <c r="CN143" s="378"/>
      <c r="CO143" s="378"/>
      <c r="CP143" s="378"/>
      <c r="CQ143" s="475"/>
      <c r="CR143" s="378"/>
      <c r="CS143" s="378"/>
      <c r="CT143" s="378"/>
      <c r="CU143" s="378"/>
      <c r="CV143" s="378"/>
      <c r="CW143" s="381"/>
      <c r="CX143" s="378"/>
      <c r="CY143" s="378"/>
      <c r="CZ143" s="378"/>
      <c r="DA143" s="378"/>
      <c r="DB143" s="378"/>
      <c r="DC143" s="381"/>
      <c r="DD143" s="378"/>
      <c r="DE143" s="378"/>
      <c r="DF143" s="378"/>
      <c r="DG143" s="378"/>
      <c r="DH143" s="378"/>
      <c r="DI143" s="381"/>
      <c r="DJ143" s="378"/>
      <c r="DK143" s="378"/>
      <c r="DL143" s="378"/>
      <c r="DM143" s="378"/>
      <c r="DN143" s="378"/>
      <c r="DO143" s="381"/>
      <c r="DP143" s="378"/>
      <c r="DQ143" s="381"/>
      <c r="DS143" s="378"/>
      <c r="DT143" s="378"/>
      <c r="DU143" s="378"/>
      <c r="DV143" s="378"/>
      <c r="DW143" s="378"/>
      <c r="DX143" s="378"/>
      <c r="DY143" s="378"/>
      <c r="DZ143" s="378"/>
      <c r="EA143" s="378"/>
      <c r="EB143" s="378"/>
      <c r="EC143" s="378"/>
      <c r="ED143" s="378"/>
      <c r="EE143" s="378"/>
      <c r="EF143" s="378"/>
      <c r="EG143" s="378"/>
      <c r="EH143" s="378"/>
      <c r="EI143" s="378"/>
      <c r="EJ143" s="378"/>
      <c r="EK143" s="378"/>
      <c r="EL143" s="378"/>
      <c r="EM143" s="378"/>
      <c r="EN143" s="378"/>
      <c r="EO143" s="378"/>
      <c r="EP143" s="378"/>
      <c r="EQ143" s="378"/>
      <c r="ER143" s="378"/>
      <c r="ES143" s="378"/>
      <c r="ET143" s="378"/>
      <c r="EU143" s="378"/>
      <c r="EV143" s="378"/>
      <c r="EW143" s="378"/>
      <c r="EX143" s="378"/>
      <c r="EY143" s="378"/>
      <c r="EZ143" s="378"/>
      <c r="FA143" s="378"/>
      <c r="FB143" s="3"/>
      <c r="FC143" s="378"/>
      <c r="FD143" s="378"/>
      <c r="FE143" s="378"/>
      <c r="FF143" s="378"/>
      <c r="FG143" s="378"/>
      <c r="FH143" s="378"/>
      <c r="FI143" s="378"/>
      <c r="FJ143" s="378"/>
      <c r="FK143" s="378"/>
      <c r="FL143" s="378"/>
      <c r="FM143" s="378"/>
      <c r="FN143" s="378"/>
      <c r="FO143" s="378"/>
      <c r="FP143" s="378"/>
      <c r="FQ143" s="378"/>
      <c r="FR143" s="378"/>
      <c r="FS143" s="378"/>
      <c r="FT143" s="378"/>
      <c r="FU143" s="378"/>
      <c r="FV143" s="378"/>
      <c r="FW143" s="378"/>
      <c r="FX143" s="378"/>
      <c r="FY143" s="378"/>
      <c r="FZ143" s="378"/>
      <c r="GA143" s="378"/>
      <c r="GB143" s="378"/>
      <c r="GC143" s="378"/>
      <c r="GD143" s="378"/>
      <c r="GE143" s="378"/>
      <c r="GF143" s="378"/>
      <c r="GG143" s="378"/>
      <c r="GH143" s="378"/>
      <c r="GI143" s="378"/>
      <c r="GJ143" s="378"/>
      <c r="GK143" s="378"/>
      <c r="GL143" s="378"/>
      <c r="GM143" s="378"/>
    </row>
    <row r="144">
      <c r="B144" s="63" t="s">
        <v>30</v>
      </c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270"/>
      <c r="AX144" s="270"/>
      <c r="AY144" s="270">
        <v>57000.0</v>
      </c>
      <c r="AZ144" s="270">
        <v>331050.0</v>
      </c>
      <c r="BA144" s="270">
        <v>7000000.0</v>
      </c>
      <c r="BB144" s="270">
        <v>2000000.0</v>
      </c>
      <c r="BC144" s="270">
        <v>2000000.0</v>
      </c>
      <c r="BD144" s="270">
        <v>2000000.0</v>
      </c>
      <c r="BE144" s="270">
        <v>3238034.0</v>
      </c>
      <c r="BF144" s="270">
        <v>3238034.0</v>
      </c>
      <c r="BG144" s="270">
        <v>3238034.0</v>
      </c>
      <c r="BH144" s="270">
        <v>4317378.0</v>
      </c>
      <c r="BI144" s="270">
        <v>4317378.0</v>
      </c>
      <c r="BJ144" s="270">
        <v>4317378.0</v>
      </c>
      <c r="BK144" s="270">
        <v>1500000.0</v>
      </c>
      <c r="BL144" s="270">
        <v>2000000.0</v>
      </c>
      <c r="BM144" s="270">
        <v>2000000.0</v>
      </c>
      <c r="BN144" s="270">
        <v>2000000.0</v>
      </c>
      <c r="BO144" s="270">
        <v>3550000.0</v>
      </c>
      <c r="BP144" s="270">
        <v>3550000.0</v>
      </c>
      <c r="BQ144" s="270">
        <v>2000000.0</v>
      </c>
      <c r="BR144" s="270">
        <v>3550000.0</v>
      </c>
      <c r="BS144" s="270">
        <v>3550000.0</v>
      </c>
      <c r="BT144" s="270">
        <v>3000000.0</v>
      </c>
      <c r="BU144" s="270">
        <v>4900000.0</v>
      </c>
      <c r="BV144" s="270">
        <v>4900000.0</v>
      </c>
      <c r="BW144" s="270">
        <v>4900000.0</v>
      </c>
      <c r="BX144" s="270">
        <v>4900000.0</v>
      </c>
      <c r="BY144" s="270">
        <v>4900000.0</v>
      </c>
      <c r="BZ144" s="523"/>
      <c r="CA144" s="523"/>
      <c r="CB144" s="523"/>
      <c r="CC144" s="523"/>
      <c r="CD144" s="523"/>
      <c r="CE144" s="523"/>
      <c r="CF144" s="523"/>
      <c r="CG144" s="523"/>
      <c r="CH144" s="523"/>
      <c r="CI144" s="50"/>
      <c r="CJ144" s="50"/>
      <c r="CK144" s="73"/>
      <c r="CL144" s="52"/>
      <c r="CM144" s="64">
        <f>sum(BW144:BY144)</f>
        <v>14700000</v>
      </c>
      <c r="CN144" s="64">
        <f>sum(BZ144:CB144)</f>
        <v>0</v>
      </c>
      <c r="CO144" s="64">
        <f>sum(CC144:CE144)</f>
        <v>0</v>
      </c>
      <c r="CP144" s="64">
        <f>sum(CF144:CH144)</f>
        <v>0</v>
      </c>
      <c r="CQ144" s="73">
        <f>sum(BW144:CH144)</f>
        <v>14700000</v>
      </c>
      <c r="CR144" s="64"/>
      <c r="CS144" s="64">
        <f>sum(BK144:BM144)</f>
        <v>5500000</v>
      </c>
      <c r="CT144" s="64">
        <f>sum(BN144:BP144)</f>
        <v>9100000</v>
      </c>
      <c r="CU144" s="64">
        <f>sum(BQ144:BS144)</f>
        <v>9100000</v>
      </c>
      <c r="CV144" s="64">
        <f>sum(BT144:BV144)</f>
        <v>12800000</v>
      </c>
      <c r="CW144" s="77">
        <f>sum(BK144:BV144)</f>
        <v>36500000</v>
      </c>
      <c r="CX144" s="52"/>
      <c r="CY144" s="64">
        <f>sum(AY144:BA144)</f>
        <v>7388050</v>
      </c>
      <c r="CZ144" s="64">
        <f>sum(BB144:BD144)</f>
        <v>6000000</v>
      </c>
      <c r="DA144" s="64">
        <f>sum(BE144:BG144)</f>
        <v>9714102</v>
      </c>
      <c r="DB144" s="64">
        <f>sum(BH144:BJ144)</f>
        <v>12952134</v>
      </c>
      <c r="DC144" s="77">
        <f>sum(AY144:BJ144)</f>
        <v>36054286</v>
      </c>
      <c r="DD144" s="44"/>
      <c r="DE144" s="64">
        <f>sum(AM144:AO144)</f>
        <v>0</v>
      </c>
      <c r="DF144" s="64">
        <f>sum(AP144:AR144)</f>
        <v>0</v>
      </c>
      <c r="DG144" s="64">
        <f>sum(AS144:AU144)</f>
        <v>0</v>
      </c>
      <c r="DH144" s="64">
        <f>sum(AV144:AX144)</f>
        <v>0</v>
      </c>
      <c r="DI144" s="77">
        <f>sum(DI145:DI146)</f>
        <v>0</v>
      </c>
      <c r="DJ144" s="44"/>
      <c r="DK144" s="64">
        <f>sum(AA144:AC144)</f>
        <v>0</v>
      </c>
      <c r="DL144" s="64">
        <f>sum(AD144:AF144)</f>
        <v>0</v>
      </c>
      <c r="DM144" s="64">
        <f>sum(AG144:AI144)</f>
        <v>0</v>
      </c>
      <c r="DN144" s="64">
        <f>sum(AJ144:AL144)</f>
        <v>0</v>
      </c>
      <c r="DO144" s="77">
        <f>sum(AA144:AL144)</f>
        <v>0</v>
      </c>
      <c r="DP144" s="44"/>
      <c r="DQ144" s="77">
        <f>sum(O144:Z144)</f>
        <v>0</v>
      </c>
      <c r="DR144" s="44"/>
      <c r="DS144" s="64"/>
      <c r="DT144" s="64"/>
      <c r="DU144" s="64"/>
      <c r="DV144" s="64"/>
      <c r="DW144" s="64"/>
      <c r="DX144" s="64"/>
      <c r="DY144" s="64"/>
      <c r="DZ144" s="64"/>
      <c r="EA144" s="64"/>
      <c r="EB144" s="64"/>
      <c r="EC144" s="64"/>
      <c r="ED144" s="64"/>
      <c r="EE144" s="64"/>
      <c r="EF144" s="64"/>
      <c r="EG144" s="64"/>
      <c r="EH144" s="64"/>
      <c r="EI144" s="64"/>
      <c r="EJ144" s="64"/>
      <c r="EK144" s="64"/>
      <c r="EL144" s="64"/>
      <c r="EM144" s="64"/>
      <c r="EN144" s="64"/>
      <c r="EO144" s="64"/>
      <c r="EP144" s="64"/>
      <c r="EQ144" s="64"/>
      <c r="ER144" s="64"/>
      <c r="ES144" s="64"/>
      <c r="ET144" s="64"/>
      <c r="EU144" s="64"/>
      <c r="EV144" s="64"/>
      <c r="EW144" s="64"/>
      <c r="EX144" s="64"/>
      <c r="EY144" s="64"/>
      <c r="EZ144" s="64"/>
      <c r="FA144" s="270"/>
      <c r="FB144" s="270"/>
      <c r="FC144" s="270"/>
      <c r="FD144" s="270"/>
      <c r="FE144" s="270"/>
      <c r="FF144" s="270"/>
      <c r="FG144" s="270"/>
      <c r="FH144" s="270"/>
      <c r="FI144" s="270"/>
      <c r="FJ144" s="270"/>
      <c r="FK144" s="270"/>
      <c r="FL144" s="270"/>
      <c r="FM144" s="270"/>
      <c r="FN144" s="270"/>
      <c r="FO144" s="270"/>
      <c r="FP144" s="270"/>
      <c r="FQ144" s="270"/>
      <c r="FR144" s="270"/>
      <c r="FS144" s="270"/>
      <c r="FT144" s="270"/>
      <c r="FU144" s="270"/>
      <c r="FV144" s="270"/>
      <c r="FW144" s="270"/>
      <c r="FX144" s="270"/>
      <c r="FY144" s="270"/>
      <c r="FZ144" s="270"/>
      <c r="GA144" s="270"/>
      <c r="GB144" s="270"/>
      <c r="GC144" s="270"/>
      <c r="GD144" s="270"/>
      <c r="GE144" s="270"/>
      <c r="GF144" s="270"/>
      <c r="GG144" s="270"/>
      <c r="GH144" s="270"/>
      <c r="GI144" s="270"/>
      <c r="GJ144" s="270"/>
      <c r="GK144" s="270"/>
      <c r="GL144" s="270"/>
      <c r="GM144" s="270"/>
    </row>
    <row r="145"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K145" s="42"/>
      <c r="CQ145" s="42"/>
      <c r="DK145" s="2"/>
      <c r="DL145" s="2"/>
      <c r="DM145" s="2"/>
      <c r="DN145" s="2"/>
      <c r="FB145" s="3"/>
    </row>
    <row r="146">
      <c r="B146" s="63" t="s">
        <v>101</v>
      </c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270"/>
      <c r="AN146" s="270"/>
      <c r="AO146" s="270"/>
      <c r="AP146" s="270"/>
      <c r="AQ146" s="270"/>
      <c r="AR146" s="270"/>
      <c r="AS146" s="270"/>
      <c r="AT146" s="270"/>
      <c r="AU146" s="270"/>
      <c r="AV146" s="270"/>
      <c r="AW146" s="270"/>
      <c r="AX146" s="270"/>
      <c r="AY146" s="270">
        <f t="shared" ref="AY146:BV146" si="427">SUM(AY147:AY149)</f>
        <v>970389</v>
      </c>
      <c r="AZ146" s="270">
        <f t="shared" si="427"/>
        <v>2662389</v>
      </c>
      <c r="BA146" s="270">
        <f t="shared" si="427"/>
        <v>1902389</v>
      </c>
      <c r="BB146" s="270">
        <f t="shared" si="427"/>
        <v>2238822</v>
      </c>
      <c r="BC146" s="270">
        <f t="shared" si="427"/>
        <v>2238822</v>
      </c>
      <c r="BD146" s="270">
        <f t="shared" si="427"/>
        <v>2311690</v>
      </c>
      <c r="BE146" s="270">
        <f t="shared" si="427"/>
        <v>2559297</v>
      </c>
      <c r="BF146" s="270">
        <f t="shared" si="427"/>
        <v>2559297</v>
      </c>
      <c r="BG146" s="270">
        <f t="shared" si="427"/>
        <v>2559297</v>
      </c>
      <c r="BH146" s="270">
        <f t="shared" si="427"/>
        <v>2909467</v>
      </c>
      <c r="BI146" s="270">
        <f t="shared" si="427"/>
        <v>2909467</v>
      </c>
      <c r="BJ146" s="270">
        <f t="shared" si="427"/>
        <v>2909467</v>
      </c>
      <c r="BK146" s="270">
        <f t="shared" si="427"/>
        <v>2620683.94</v>
      </c>
      <c r="BL146" s="270">
        <f t="shared" si="427"/>
        <v>2524754.26</v>
      </c>
      <c r="BM146" s="270">
        <f t="shared" si="427"/>
        <v>2452080.8</v>
      </c>
      <c r="BN146" s="270">
        <f t="shared" si="427"/>
        <v>2601033</v>
      </c>
      <c r="BO146" s="270">
        <f t="shared" si="427"/>
        <v>2680633</v>
      </c>
      <c r="BP146" s="270">
        <f t="shared" si="427"/>
        <v>2684833</v>
      </c>
      <c r="BQ146" s="270">
        <f t="shared" si="427"/>
        <v>3169897</v>
      </c>
      <c r="BR146" s="270">
        <f t="shared" si="427"/>
        <v>3086985</v>
      </c>
      <c r="BS146" s="270">
        <f t="shared" si="427"/>
        <v>3304513</v>
      </c>
      <c r="BT146" s="270">
        <f t="shared" si="427"/>
        <v>3653673</v>
      </c>
      <c r="BU146" s="270">
        <f t="shared" si="427"/>
        <v>2977833</v>
      </c>
      <c r="BV146" s="270">
        <f t="shared" si="427"/>
        <v>3494633</v>
      </c>
      <c r="BW146" s="65">
        <f t="shared" ref="BW146:CH146" si="428">BW150+BW155</f>
        <v>3768120</v>
      </c>
      <c r="BX146" s="65">
        <f t="shared" si="428"/>
        <v>3859520</v>
      </c>
      <c r="BY146" s="65">
        <f t="shared" si="428"/>
        <v>4461440</v>
      </c>
      <c r="BZ146" s="65">
        <f t="shared" si="428"/>
        <v>4543384</v>
      </c>
      <c r="CA146" s="65">
        <f t="shared" si="428"/>
        <v>4259560</v>
      </c>
      <c r="CB146" s="65">
        <f t="shared" si="428"/>
        <v>4569664</v>
      </c>
      <c r="CC146" s="65">
        <f t="shared" si="428"/>
        <v>4856920</v>
      </c>
      <c r="CD146" s="65">
        <f t="shared" si="428"/>
        <v>4758424</v>
      </c>
      <c r="CE146" s="65">
        <f t="shared" si="428"/>
        <v>4867288</v>
      </c>
      <c r="CF146" s="65">
        <f t="shared" si="428"/>
        <v>5249064</v>
      </c>
      <c r="CG146" s="65">
        <f t="shared" si="428"/>
        <v>4438056</v>
      </c>
      <c r="CH146" s="65">
        <f t="shared" si="428"/>
        <v>4906920</v>
      </c>
      <c r="CI146" s="50"/>
      <c r="CJ146" s="50"/>
      <c r="CK146" s="69"/>
      <c r="CL146" s="49"/>
      <c r="CM146" s="270">
        <f t="shared" ref="CM146:CM159" si="430">sum(BW146:BY146)</f>
        <v>12089080</v>
      </c>
      <c r="CN146" s="270">
        <f t="shared" ref="CN146:CN159" si="431">sum(BZ146:CB146)</f>
        <v>13372608</v>
      </c>
      <c r="CO146" s="270">
        <f t="shared" ref="CO146:CO159" si="432">sum(CC146:CE146)</f>
        <v>14482632</v>
      </c>
      <c r="CP146" s="270">
        <f t="shared" ref="CP146:CP159" si="433">sum(CF146:CH146)</f>
        <v>14594040</v>
      </c>
      <c r="CQ146" s="69">
        <f t="shared" ref="CQ146:CQ159" si="434">sum(BW146:CH146)</f>
        <v>54538360</v>
      </c>
      <c r="CR146" s="270"/>
      <c r="CS146" s="270">
        <f t="shared" ref="CS146:CS159" si="435">sum(BK146:BM146)</f>
        <v>7597519</v>
      </c>
      <c r="CT146" s="270">
        <f t="shared" ref="CT146:CT159" si="436">sum(BN146:BP146)</f>
        <v>7966499</v>
      </c>
      <c r="CU146" s="270">
        <f t="shared" ref="CU146:CU159" si="437">sum(BQ146:BS146)</f>
        <v>9561395</v>
      </c>
      <c r="CV146" s="270">
        <f t="shared" ref="CV146:CV159" si="438">sum(BT146:BV146)</f>
        <v>10126139</v>
      </c>
      <c r="CW146" s="121">
        <f t="shared" ref="CW146:CW159" si="439">sum(BK146:BV146)</f>
        <v>35251552</v>
      </c>
      <c r="CX146" s="49"/>
      <c r="CY146" s="270">
        <f t="shared" ref="CY146:CY148" si="440">sum(AY146:BA146)</f>
        <v>5535167</v>
      </c>
      <c r="CZ146" s="270">
        <f t="shared" ref="CZ146:CZ148" si="441">sum(BB146:BD146)</f>
        <v>6789334</v>
      </c>
      <c r="DA146" s="270">
        <f t="shared" ref="DA146:DA148" si="442">sum(BE146:BG146)</f>
        <v>7677891</v>
      </c>
      <c r="DB146" s="270">
        <f t="shared" ref="DB146:DB148" si="443">sum(BH146:BJ146)</f>
        <v>8728401</v>
      </c>
      <c r="DC146" s="121">
        <f t="shared" ref="DC146:DC148" si="444">sum(AY146:BJ146)</f>
        <v>28730793</v>
      </c>
      <c r="DD146" s="49"/>
      <c r="DE146" s="270">
        <f t="shared" ref="DE146:DE148" si="445">sum(AM146:AO146)</f>
        <v>0</v>
      </c>
      <c r="DF146" s="270">
        <f t="shared" ref="DF146:DF148" si="446">sum(AP146:AR146)</f>
        <v>0</v>
      </c>
      <c r="DG146" s="270">
        <f t="shared" ref="DG146:DG148" si="447">sum(AS146:AU146)</f>
        <v>0</v>
      </c>
      <c r="DH146" s="270">
        <f t="shared" ref="DH146:DH148" si="448">sum(AV146:AX146)</f>
        <v>0</v>
      </c>
      <c r="DI146" s="121">
        <f t="shared" ref="DI146:DI148" si="449">sum(AM146:AX146)</f>
        <v>0</v>
      </c>
      <c r="DJ146" s="57"/>
      <c r="DK146" s="270">
        <f>sum(AA146:AC146)</f>
        <v>0</v>
      </c>
      <c r="DL146" s="270">
        <f>sum(AD146:AF146)</f>
        <v>0</v>
      </c>
      <c r="DM146" s="270">
        <f>sum(AG146:AI146)</f>
        <v>0</v>
      </c>
      <c r="DN146" s="270">
        <f>sum(AJ146:AL146)</f>
        <v>0</v>
      </c>
      <c r="DO146" s="121">
        <f>sum(AA146:AL146)</f>
        <v>0</v>
      </c>
      <c r="DP146" s="57"/>
      <c r="DQ146" s="121">
        <f>SUM(O146:Z146)</f>
        <v>0</v>
      </c>
      <c r="DR146" s="44"/>
      <c r="DS146" s="64"/>
      <c r="DT146" s="64"/>
      <c r="DU146" s="64"/>
      <c r="DV146" s="64"/>
      <c r="DW146" s="64"/>
      <c r="DX146" s="64"/>
      <c r="DY146" s="64"/>
      <c r="DZ146" s="64"/>
      <c r="EA146" s="64"/>
      <c r="EB146" s="64"/>
      <c r="EC146" s="64"/>
      <c r="ED146" s="64"/>
      <c r="EE146" s="64"/>
      <c r="EF146" s="64"/>
      <c r="EG146" s="64"/>
      <c r="EH146" s="64"/>
      <c r="EI146" s="64"/>
      <c r="EJ146" s="64"/>
      <c r="EK146" s="64"/>
      <c r="EL146" s="64"/>
      <c r="EM146" s="64"/>
      <c r="EN146" s="64"/>
      <c r="EO146" s="64"/>
      <c r="EP146" s="64"/>
      <c r="EQ146" s="270"/>
      <c r="ER146" s="270"/>
      <c r="ES146" s="270"/>
      <c r="ET146" s="270"/>
      <c r="EU146" s="270"/>
      <c r="EV146" s="270"/>
      <c r="EW146" s="270"/>
      <c r="EX146" s="270"/>
      <c r="EY146" s="270"/>
      <c r="EZ146" s="270"/>
      <c r="FA146" s="270"/>
      <c r="FB146" s="270"/>
      <c r="FC146" s="270"/>
      <c r="FD146" s="270"/>
      <c r="FE146" s="270"/>
      <c r="FF146" s="270"/>
      <c r="FG146" s="270"/>
      <c r="FH146" s="270"/>
      <c r="FI146" s="270"/>
      <c r="FJ146" s="270"/>
      <c r="FK146" s="270"/>
      <c r="FL146" s="270"/>
      <c r="FM146" s="270"/>
      <c r="FN146" s="270"/>
      <c r="FO146" s="270"/>
      <c r="FP146" s="270"/>
      <c r="FQ146" s="270"/>
      <c r="FR146" s="270"/>
      <c r="FS146" s="270"/>
      <c r="FT146" s="270"/>
      <c r="FU146" s="270"/>
      <c r="FV146" s="270"/>
      <c r="FW146" s="270"/>
      <c r="FX146" s="270"/>
      <c r="FY146" s="270"/>
      <c r="FZ146" s="270"/>
      <c r="GA146" s="270"/>
      <c r="GB146" s="270"/>
      <c r="GC146" s="270"/>
      <c r="GD146" s="270"/>
      <c r="GE146" s="270"/>
      <c r="GF146" s="270"/>
      <c r="GG146" s="270"/>
      <c r="GH146" s="270"/>
      <c r="GI146" s="270"/>
      <c r="GJ146" s="270"/>
      <c r="GK146" s="270"/>
      <c r="GL146" s="270"/>
      <c r="GM146" s="270"/>
    </row>
    <row r="147">
      <c r="B147" s="135" t="s">
        <v>305</v>
      </c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141"/>
      <c r="AN147" s="141"/>
      <c r="AO147" s="141"/>
      <c r="AP147" s="141"/>
      <c r="AQ147" s="141"/>
      <c r="AR147" s="141"/>
      <c r="AS147" s="141"/>
      <c r="AT147" s="141"/>
      <c r="AU147" s="141"/>
      <c r="AV147" s="141"/>
      <c r="AW147" s="141"/>
      <c r="AX147" s="141"/>
      <c r="AY147" s="524">
        <v>895389.0</v>
      </c>
      <c r="AZ147" s="524">
        <v>2572389.0</v>
      </c>
      <c r="BA147" s="524">
        <v>1812389.0</v>
      </c>
      <c r="BB147" s="524">
        <v>2148822.0</v>
      </c>
      <c r="BC147" s="524">
        <v>2148822.0</v>
      </c>
      <c r="BD147" s="524">
        <v>2221690.0</v>
      </c>
      <c r="BE147" s="524">
        <v>2469297.0</v>
      </c>
      <c r="BF147" s="524">
        <v>2469297.0</v>
      </c>
      <c r="BG147" s="524">
        <v>2469297.0</v>
      </c>
      <c r="BH147" s="524">
        <v>2794467.0</v>
      </c>
      <c r="BI147" s="524">
        <v>2794467.0</v>
      </c>
      <c r="BJ147" s="524">
        <v>2794467.0</v>
      </c>
      <c r="BK147" s="524">
        <v>2451453.11</v>
      </c>
      <c r="BL147" s="524">
        <v>2401566.99</v>
      </c>
      <c r="BM147" s="524">
        <v>2319167.31</v>
      </c>
      <c r="BN147" s="524">
        <v>2455200.0</v>
      </c>
      <c r="BO147" s="524">
        <v>2494800.0</v>
      </c>
      <c r="BP147" s="524">
        <v>2484000.0</v>
      </c>
      <c r="BQ147" s="524">
        <v>2924064.0</v>
      </c>
      <c r="BR147" s="524">
        <v>2791152.0</v>
      </c>
      <c r="BS147" s="524">
        <v>2983680.0</v>
      </c>
      <c r="BT147" s="524">
        <v>3267840.0</v>
      </c>
      <c r="BU147" s="524">
        <v>2592000.0</v>
      </c>
      <c r="BV147" s="524">
        <v>3088800.0</v>
      </c>
      <c r="BW147" s="524">
        <f t="shared" ref="BW147:CH147" si="429">BW151+BW156</f>
        <v>3525120</v>
      </c>
      <c r="BX147" s="524">
        <f t="shared" si="429"/>
        <v>3611520</v>
      </c>
      <c r="BY147" s="524">
        <f t="shared" si="429"/>
        <v>4213440</v>
      </c>
      <c r="BZ147" s="524">
        <f t="shared" si="429"/>
        <v>4278384</v>
      </c>
      <c r="CA147" s="524">
        <f t="shared" si="429"/>
        <v>3994560</v>
      </c>
      <c r="CB147" s="524">
        <f t="shared" si="429"/>
        <v>4304664</v>
      </c>
      <c r="CC147" s="524">
        <f t="shared" si="429"/>
        <v>4561920</v>
      </c>
      <c r="CD147" s="524">
        <f t="shared" si="429"/>
        <v>4463424</v>
      </c>
      <c r="CE147" s="524">
        <f t="shared" si="429"/>
        <v>4572288</v>
      </c>
      <c r="CF147" s="524">
        <f t="shared" si="429"/>
        <v>4904064</v>
      </c>
      <c r="CG147" s="524">
        <f t="shared" si="429"/>
        <v>4093056</v>
      </c>
      <c r="CH147" s="524">
        <f t="shared" si="429"/>
        <v>4561920</v>
      </c>
      <c r="CI147" s="137"/>
      <c r="CJ147" s="137"/>
      <c r="CK147" s="525"/>
      <c r="CL147" s="54"/>
      <c r="CM147" s="141">
        <f t="shared" si="430"/>
        <v>11350080</v>
      </c>
      <c r="CN147" s="141">
        <f t="shared" si="431"/>
        <v>12577608</v>
      </c>
      <c r="CO147" s="141">
        <f t="shared" si="432"/>
        <v>13597632</v>
      </c>
      <c r="CP147" s="141">
        <f t="shared" si="433"/>
        <v>13559040</v>
      </c>
      <c r="CQ147" s="525">
        <f t="shared" si="434"/>
        <v>51084360</v>
      </c>
      <c r="CR147" s="141"/>
      <c r="CS147" s="141">
        <f t="shared" si="435"/>
        <v>7172187.41</v>
      </c>
      <c r="CT147" s="141">
        <f t="shared" si="436"/>
        <v>7434000</v>
      </c>
      <c r="CU147" s="141">
        <f t="shared" si="437"/>
        <v>8698896</v>
      </c>
      <c r="CV147" s="440">
        <f t="shared" si="438"/>
        <v>8948640</v>
      </c>
      <c r="CW147" s="440">
        <f t="shared" si="439"/>
        <v>32253723.41</v>
      </c>
      <c r="CX147" s="54"/>
      <c r="CY147" s="141">
        <f t="shared" si="440"/>
        <v>5280167</v>
      </c>
      <c r="CZ147" s="141">
        <f t="shared" si="441"/>
        <v>6519334</v>
      </c>
      <c r="DA147" s="141">
        <f t="shared" si="442"/>
        <v>7407891</v>
      </c>
      <c r="DB147" s="440">
        <f t="shared" si="443"/>
        <v>8383401</v>
      </c>
      <c r="DC147" s="440">
        <f t="shared" si="444"/>
        <v>27590793</v>
      </c>
      <c r="DD147" s="54"/>
      <c r="DE147" s="141">
        <f t="shared" si="445"/>
        <v>0</v>
      </c>
      <c r="DF147" s="141">
        <f t="shared" si="446"/>
        <v>0</v>
      </c>
      <c r="DG147" s="141">
        <f t="shared" si="447"/>
        <v>0</v>
      </c>
      <c r="DH147" s="440">
        <f t="shared" si="448"/>
        <v>0</v>
      </c>
      <c r="DI147" s="440">
        <f t="shared" si="449"/>
        <v>0</v>
      </c>
      <c r="DJ147" s="58"/>
      <c r="DK147" s="54"/>
      <c r="DL147" s="54"/>
      <c r="DM147" s="54"/>
      <c r="DN147" s="441"/>
      <c r="DO147" s="441"/>
      <c r="DP147" s="442"/>
      <c r="DQ147" s="441"/>
      <c r="DR147" s="58"/>
      <c r="DS147" s="54"/>
      <c r="DT147" s="54"/>
      <c r="DU147" s="54"/>
      <c r="DV147" s="54"/>
      <c r="DW147" s="54"/>
      <c r="DX147" s="54"/>
      <c r="DY147" s="54"/>
      <c r="DZ147" s="54"/>
      <c r="EA147" s="54"/>
      <c r="EB147" s="54"/>
      <c r="EC147" s="54"/>
      <c r="ED147" s="54"/>
      <c r="EE147" s="54"/>
      <c r="EF147" s="54"/>
      <c r="EG147" s="54"/>
      <c r="EH147" s="54"/>
      <c r="EI147" s="54"/>
      <c r="EJ147" s="54"/>
      <c r="EK147" s="54"/>
      <c r="EL147" s="54"/>
      <c r="EM147" s="54"/>
      <c r="EN147" s="54"/>
      <c r="EO147" s="54"/>
      <c r="EP147" s="54"/>
      <c r="EQ147" s="141"/>
      <c r="ER147" s="141"/>
      <c r="ES147" s="141"/>
      <c r="ET147" s="141"/>
      <c r="EU147" s="141"/>
      <c r="EV147" s="141"/>
      <c r="EW147" s="141"/>
      <c r="EX147" s="141"/>
      <c r="EY147" s="141"/>
      <c r="EZ147" s="141"/>
      <c r="FA147" s="141"/>
      <c r="FB147" s="141"/>
      <c r="FC147" s="137"/>
      <c r="FD147" s="137"/>
      <c r="FE147" s="137"/>
      <c r="FF147" s="137"/>
      <c r="FG147" s="137"/>
      <c r="FH147" s="137"/>
      <c r="FI147" s="137"/>
      <c r="FJ147" s="137"/>
      <c r="FK147" s="137"/>
      <c r="FL147" s="137"/>
      <c r="FM147" s="137"/>
      <c r="FN147" s="137"/>
      <c r="FO147" s="137"/>
      <c r="FP147" s="137"/>
      <c r="FQ147" s="137"/>
      <c r="FR147" s="137"/>
      <c r="FS147" s="137"/>
      <c r="FT147" s="137"/>
      <c r="FU147" s="137"/>
      <c r="FV147" s="137"/>
      <c r="FW147" s="137"/>
      <c r="FX147" s="137"/>
      <c r="FY147" s="137"/>
      <c r="FZ147" s="137"/>
      <c r="GA147" s="137"/>
      <c r="GB147" s="137"/>
      <c r="GC147" s="137"/>
      <c r="GD147" s="137"/>
      <c r="GE147" s="137"/>
      <c r="GF147" s="137"/>
      <c r="GG147" s="137"/>
      <c r="GH147" s="137"/>
      <c r="GI147" s="137"/>
      <c r="GJ147" s="137"/>
      <c r="GK147" s="137"/>
      <c r="GL147" s="137"/>
      <c r="GM147" s="137"/>
    </row>
    <row r="148" ht="14.25" customHeight="1">
      <c r="B148" s="135" t="s">
        <v>322</v>
      </c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141"/>
      <c r="AN148" s="141"/>
      <c r="AO148" s="141"/>
      <c r="AP148" s="141"/>
      <c r="AQ148" s="141"/>
      <c r="AR148" s="141"/>
      <c r="AS148" s="141"/>
      <c r="AT148" s="141"/>
      <c r="AU148" s="141"/>
      <c r="AV148" s="141"/>
      <c r="AW148" s="141"/>
      <c r="AX148" s="141"/>
      <c r="AY148" s="137">
        <v>75000.0</v>
      </c>
      <c r="AZ148" s="137">
        <v>90000.0</v>
      </c>
      <c r="BA148" s="137">
        <v>90000.0</v>
      </c>
      <c r="BB148" s="137">
        <v>90000.0</v>
      </c>
      <c r="BC148" s="137">
        <v>90000.0</v>
      </c>
      <c r="BD148" s="137">
        <v>90000.0</v>
      </c>
      <c r="BE148" s="137">
        <v>90000.0</v>
      </c>
      <c r="BF148" s="137">
        <v>90000.0</v>
      </c>
      <c r="BG148" s="137">
        <v>90000.0</v>
      </c>
      <c r="BH148" s="137">
        <v>115000.0</v>
      </c>
      <c r="BI148" s="137">
        <v>115000.0</v>
      </c>
      <c r="BJ148" s="137">
        <v>115000.0</v>
      </c>
      <c r="BK148" s="137">
        <v>133642.79</v>
      </c>
      <c r="BL148" s="137">
        <v>89897.12</v>
      </c>
      <c r="BM148" s="137">
        <v>99623.34</v>
      </c>
      <c r="BN148" s="137">
        <v>95833.0</v>
      </c>
      <c r="BO148" s="137">
        <v>110833.0</v>
      </c>
      <c r="BP148" s="137">
        <v>115833.0</v>
      </c>
      <c r="BQ148" s="137">
        <v>115833.0</v>
      </c>
      <c r="BR148" s="137">
        <v>130833.0</v>
      </c>
      <c r="BS148" s="137">
        <v>135833.0</v>
      </c>
      <c r="BT148" s="137">
        <v>135833.0</v>
      </c>
      <c r="BU148" s="137">
        <v>135833.0</v>
      </c>
      <c r="BV148" s="137">
        <v>135833.0</v>
      </c>
      <c r="BW148" s="137">
        <f t="shared" ref="BW148:CH148" si="450">BW152+BW157</f>
        <v>65000</v>
      </c>
      <c r="BX148" s="137">
        <f t="shared" si="450"/>
        <v>65000</v>
      </c>
      <c r="BY148" s="137">
        <f t="shared" si="450"/>
        <v>65000</v>
      </c>
      <c r="BZ148" s="137">
        <f t="shared" si="450"/>
        <v>65000</v>
      </c>
      <c r="CA148" s="137">
        <f t="shared" si="450"/>
        <v>65000</v>
      </c>
      <c r="CB148" s="137">
        <f t="shared" si="450"/>
        <v>65000</v>
      </c>
      <c r="CC148" s="137">
        <f t="shared" si="450"/>
        <v>65000</v>
      </c>
      <c r="CD148" s="137">
        <f t="shared" si="450"/>
        <v>65000</v>
      </c>
      <c r="CE148" s="137">
        <f t="shared" si="450"/>
        <v>65000</v>
      </c>
      <c r="CF148" s="137">
        <f t="shared" si="450"/>
        <v>65000</v>
      </c>
      <c r="CG148" s="137">
        <f t="shared" si="450"/>
        <v>65000</v>
      </c>
      <c r="CH148" s="137">
        <f t="shared" si="450"/>
        <v>65000</v>
      </c>
      <c r="CI148" s="137"/>
      <c r="CJ148" s="137"/>
      <c r="CK148" s="525"/>
      <c r="CL148" s="54"/>
      <c r="CM148" s="141">
        <f t="shared" si="430"/>
        <v>195000</v>
      </c>
      <c r="CN148" s="141">
        <f t="shared" si="431"/>
        <v>195000</v>
      </c>
      <c r="CO148" s="141">
        <f t="shared" si="432"/>
        <v>195000</v>
      </c>
      <c r="CP148" s="141">
        <f t="shared" si="433"/>
        <v>195000</v>
      </c>
      <c r="CQ148" s="525">
        <f t="shared" si="434"/>
        <v>780000</v>
      </c>
      <c r="CR148" s="141"/>
      <c r="CS148" s="141">
        <f t="shared" si="435"/>
        <v>323163.25</v>
      </c>
      <c r="CT148" s="141">
        <f t="shared" si="436"/>
        <v>322499</v>
      </c>
      <c r="CU148" s="141">
        <f t="shared" si="437"/>
        <v>382499</v>
      </c>
      <c r="CV148" s="440">
        <f t="shared" si="438"/>
        <v>407499</v>
      </c>
      <c r="CW148" s="440">
        <f t="shared" si="439"/>
        <v>1435660.25</v>
      </c>
      <c r="CX148" s="54"/>
      <c r="CY148" s="141">
        <f t="shared" si="440"/>
        <v>255000</v>
      </c>
      <c r="CZ148" s="141">
        <f t="shared" si="441"/>
        <v>270000</v>
      </c>
      <c r="DA148" s="141">
        <f t="shared" si="442"/>
        <v>270000</v>
      </c>
      <c r="DB148" s="440">
        <f t="shared" si="443"/>
        <v>345000</v>
      </c>
      <c r="DC148" s="440">
        <f t="shared" si="444"/>
        <v>1140000</v>
      </c>
      <c r="DD148" s="54"/>
      <c r="DE148" s="141">
        <f t="shared" si="445"/>
        <v>0</v>
      </c>
      <c r="DF148" s="141">
        <f t="shared" si="446"/>
        <v>0</v>
      </c>
      <c r="DG148" s="141">
        <f t="shared" si="447"/>
        <v>0</v>
      </c>
      <c r="DH148" s="440">
        <f t="shared" si="448"/>
        <v>0</v>
      </c>
      <c r="DI148" s="440">
        <f t="shared" si="449"/>
        <v>0</v>
      </c>
      <c r="DJ148" s="58"/>
      <c r="DK148" s="54"/>
      <c r="DL148" s="54"/>
      <c r="DM148" s="54"/>
      <c r="DN148" s="441"/>
      <c r="DO148" s="441"/>
      <c r="DP148" s="442"/>
      <c r="DQ148" s="441"/>
      <c r="DR148" s="58"/>
      <c r="DS148" s="54"/>
      <c r="DT148" s="54"/>
      <c r="DU148" s="54"/>
      <c r="DV148" s="54"/>
      <c r="DW148" s="54"/>
      <c r="DX148" s="54"/>
      <c r="DY148" s="54"/>
      <c r="DZ148" s="54"/>
      <c r="EA148" s="54"/>
      <c r="EB148" s="54"/>
      <c r="EC148" s="54"/>
      <c r="ED148" s="54"/>
      <c r="EE148" s="54"/>
      <c r="EF148" s="54"/>
      <c r="EG148" s="54"/>
      <c r="EH148" s="54"/>
      <c r="EI148" s="54"/>
      <c r="EJ148" s="54"/>
      <c r="EK148" s="54"/>
      <c r="EL148" s="54"/>
      <c r="EM148" s="54"/>
      <c r="EN148" s="54"/>
      <c r="EO148" s="54"/>
      <c r="EP148" s="54"/>
      <c r="EQ148" s="141"/>
      <c r="ER148" s="141"/>
      <c r="ES148" s="141"/>
      <c r="ET148" s="141"/>
      <c r="EU148" s="141"/>
      <c r="EV148" s="141"/>
      <c r="EW148" s="141"/>
      <c r="EX148" s="141"/>
      <c r="EY148" s="141"/>
      <c r="EZ148" s="141"/>
      <c r="FA148" s="141"/>
      <c r="FB148" s="141"/>
      <c r="FC148" s="137"/>
      <c r="FD148" s="137"/>
      <c r="FE148" s="137"/>
      <c r="FF148" s="137"/>
      <c r="FG148" s="137"/>
      <c r="FH148" s="137"/>
      <c r="FI148" s="137"/>
      <c r="FJ148" s="137"/>
      <c r="FK148" s="137"/>
      <c r="FL148" s="137"/>
      <c r="FM148" s="137"/>
      <c r="FN148" s="137"/>
      <c r="FO148" s="137"/>
      <c r="FP148" s="137"/>
      <c r="FQ148" s="137"/>
      <c r="FR148" s="137"/>
      <c r="FS148" s="137"/>
      <c r="FT148" s="137"/>
      <c r="FU148" s="137"/>
      <c r="FV148" s="137"/>
      <c r="FW148" s="137"/>
      <c r="FX148" s="137"/>
      <c r="FY148" s="137"/>
      <c r="FZ148" s="137"/>
      <c r="GA148" s="137"/>
      <c r="GB148" s="137"/>
      <c r="GC148" s="137"/>
      <c r="GD148" s="137"/>
      <c r="GE148" s="137"/>
      <c r="GF148" s="137"/>
      <c r="GG148" s="137"/>
      <c r="GH148" s="137"/>
      <c r="GI148" s="137"/>
      <c r="GJ148" s="137"/>
      <c r="GK148" s="137"/>
      <c r="GL148" s="137"/>
      <c r="GM148" s="137"/>
    </row>
    <row r="149" ht="17.25" customHeight="1">
      <c r="B149" s="135" t="s">
        <v>467</v>
      </c>
      <c r="BK149" s="137">
        <v>35588.04</v>
      </c>
      <c r="BL149" s="137">
        <v>33290.15</v>
      </c>
      <c r="BM149" s="137">
        <v>33290.15</v>
      </c>
      <c r="BN149" s="137">
        <v>50000.0</v>
      </c>
      <c r="BO149" s="137">
        <v>75000.0</v>
      </c>
      <c r="BP149" s="137">
        <v>85000.0</v>
      </c>
      <c r="BQ149" s="137">
        <v>130000.0</v>
      </c>
      <c r="BR149" s="137">
        <v>165000.0</v>
      </c>
      <c r="BS149" s="137">
        <v>185000.0</v>
      </c>
      <c r="BT149" s="137">
        <v>250000.0</v>
      </c>
      <c r="BU149" s="137">
        <v>250000.0</v>
      </c>
      <c r="BV149" s="137">
        <v>270000.0</v>
      </c>
      <c r="BW149" s="137">
        <f t="shared" ref="BW149:CH149" si="451">SUM(BW153:BW154)+BW158</f>
        <v>178000</v>
      </c>
      <c r="BX149" s="137">
        <f t="shared" si="451"/>
        <v>183000</v>
      </c>
      <c r="BY149" s="137">
        <f t="shared" si="451"/>
        <v>183000</v>
      </c>
      <c r="BZ149" s="137">
        <f t="shared" si="451"/>
        <v>200000</v>
      </c>
      <c r="CA149" s="137">
        <f t="shared" si="451"/>
        <v>200000</v>
      </c>
      <c r="CB149" s="137">
        <f t="shared" si="451"/>
        <v>200000</v>
      </c>
      <c r="CC149" s="137">
        <f t="shared" si="451"/>
        <v>230000</v>
      </c>
      <c r="CD149" s="137">
        <f t="shared" si="451"/>
        <v>230000</v>
      </c>
      <c r="CE149" s="137">
        <f t="shared" si="451"/>
        <v>230000</v>
      </c>
      <c r="CF149" s="137">
        <f t="shared" si="451"/>
        <v>280000</v>
      </c>
      <c r="CG149" s="137">
        <f t="shared" si="451"/>
        <v>280000</v>
      </c>
      <c r="CH149" s="137">
        <f t="shared" si="451"/>
        <v>280000</v>
      </c>
      <c r="CK149" s="42"/>
      <c r="CM149" s="141">
        <f t="shared" si="430"/>
        <v>544000</v>
      </c>
      <c r="CN149" s="141">
        <f t="shared" si="431"/>
        <v>600000</v>
      </c>
      <c r="CO149" s="141">
        <f t="shared" si="432"/>
        <v>690000</v>
      </c>
      <c r="CP149" s="141">
        <f t="shared" si="433"/>
        <v>840000</v>
      </c>
      <c r="CQ149" s="525">
        <f t="shared" si="434"/>
        <v>2674000</v>
      </c>
      <c r="CR149" s="141"/>
      <c r="CS149" s="141">
        <f t="shared" si="435"/>
        <v>102168.34</v>
      </c>
      <c r="CT149" s="141">
        <f t="shared" si="436"/>
        <v>210000</v>
      </c>
      <c r="CU149" s="141">
        <f t="shared" si="437"/>
        <v>480000</v>
      </c>
      <c r="CV149" s="440">
        <f t="shared" si="438"/>
        <v>770000</v>
      </c>
      <c r="CW149" s="440">
        <f t="shared" si="439"/>
        <v>1562168.34</v>
      </c>
      <c r="DK149" s="2"/>
      <c r="DL149" s="2"/>
      <c r="DM149" s="2"/>
      <c r="DN149" s="2"/>
      <c r="FB149" s="3"/>
    </row>
    <row r="150">
      <c r="B150" s="280" t="s">
        <v>89</v>
      </c>
      <c r="AY150" s="524"/>
      <c r="AZ150" s="524"/>
      <c r="BA150" s="524"/>
      <c r="BB150" s="524"/>
      <c r="BC150" s="524"/>
      <c r="BD150" s="524"/>
      <c r="BE150" s="524"/>
      <c r="BF150" s="524"/>
      <c r="BG150" s="524"/>
      <c r="BH150" s="524"/>
      <c r="BI150" s="524"/>
      <c r="BJ150" s="524"/>
      <c r="BK150" s="524"/>
      <c r="BL150" s="524"/>
      <c r="BM150" s="524"/>
      <c r="BN150" s="524"/>
      <c r="BO150" s="524"/>
      <c r="BP150" s="524"/>
      <c r="BQ150" s="524"/>
      <c r="BR150" s="524"/>
      <c r="BS150" s="524"/>
      <c r="BT150" s="524"/>
      <c r="BU150" s="524"/>
      <c r="BV150" s="524"/>
      <c r="BW150" s="524">
        <f t="shared" ref="BW150:CH150" si="452">SUM(BW151:BW154)</f>
        <v>1271160</v>
      </c>
      <c r="BX150" s="524">
        <f t="shared" si="452"/>
        <v>1269440</v>
      </c>
      <c r="BY150" s="524">
        <f t="shared" si="452"/>
        <v>1451840</v>
      </c>
      <c r="BZ150" s="524">
        <f t="shared" si="452"/>
        <v>1498408</v>
      </c>
      <c r="CA150" s="524">
        <f t="shared" si="452"/>
        <v>1421320</v>
      </c>
      <c r="CB150" s="524">
        <f t="shared" si="452"/>
        <v>1515928</v>
      </c>
      <c r="CC150" s="524">
        <f t="shared" si="452"/>
        <v>1625560</v>
      </c>
      <c r="CD150" s="524">
        <f t="shared" si="452"/>
        <v>1601368</v>
      </c>
      <c r="CE150" s="524">
        <f t="shared" si="452"/>
        <v>1637656</v>
      </c>
      <c r="CF150" s="524">
        <f t="shared" si="452"/>
        <v>1789608</v>
      </c>
      <c r="CG150" s="524">
        <f t="shared" si="452"/>
        <v>1554312</v>
      </c>
      <c r="CH150" s="524">
        <f t="shared" si="452"/>
        <v>1696680</v>
      </c>
      <c r="CK150" s="42"/>
      <c r="CM150" s="141">
        <f t="shared" si="430"/>
        <v>3992440</v>
      </c>
      <c r="CN150" s="141">
        <f t="shared" si="431"/>
        <v>4435656</v>
      </c>
      <c r="CO150" s="141">
        <f t="shared" si="432"/>
        <v>4864584</v>
      </c>
      <c r="CP150" s="141">
        <f t="shared" si="433"/>
        <v>5040600</v>
      </c>
      <c r="CQ150" s="525">
        <f t="shared" si="434"/>
        <v>18333280</v>
      </c>
      <c r="CR150" s="141"/>
      <c r="CS150" s="141">
        <f t="shared" si="435"/>
        <v>0</v>
      </c>
      <c r="CT150" s="141">
        <f t="shared" si="436"/>
        <v>0</v>
      </c>
      <c r="CU150" s="141">
        <f t="shared" si="437"/>
        <v>0</v>
      </c>
      <c r="CV150" s="440">
        <f t="shared" si="438"/>
        <v>0</v>
      </c>
      <c r="CW150" s="440">
        <f t="shared" si="439"/>
        <v>0</v>
      </c>
      <c r="DK150" s="2"/>
      <c r="DL150" s="2"/>
      <c r="DM150" s="2"/>
      <c r="DN150" s="2"/>
      <c r="FB150" s="3"/>
    </row>
    <row r="151">
      <c r="B151" s="135" t="s">
        <v>305</v>
      </c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  <c r="BM151" s="137"/>
      <c r="BN151" s="137"/>
      <c r="BO151" s="137"/>
      <c r="BP151" s="137"/>
      <c r="BQ151" s="137"/>
      <c r="BR151" s="137"/>
      <c r="BS151" s="137"/>
      <c r="BT151" s="137"/>
      <c r="BU151" s="137"/>
      <c r="BV151" s="137"/>
      <c r="BW151" s="137">
        <v>1028160.0</v>
      </c>
      <c r="BX151" s="137">
        <v>1021440.0</v>
      </c>
      <c r="BY151" s="137">
        <v>1203840.0</v>
      </c>
      <c r="BZ151" s="137">
        <v>1233408.0</v>
      </c>
      <c r="CA151" s="137">
        <v>1156320.0</v>
      </c>
      <c r="CB151" s="137">
        <v>1250928.0</v>
      </c>
      <c r="CC151" s="137">
        <v>1330560.0</v>
      </c>
      <c r="CD151" s="137">
        <v>1306368.0</v>
      </c>
      <c r="CE151" s="137">
        <v>1342656.0</v>
      </c>
      <c r="CF151" s="137">
        <v>1444608.0</v>
      </c>
      <c r="CG151" s="137">
        <v>1209312.0</v>
      </c>
      <c r="CH151" s="137">
        <v>1351680.0</v>
      </c>
      <c r="CK151" s="42"/>
      <c r="CM151" s="141">
        <f t="shared" si="430"/>
        <v>3253440</v>
      </c>
      <c r="CN151" s="141">
        <f t="shared" si="431"/>
        <v>3640656</v>
      </c>
      <c r="CO151" s="141">
        <f t="shared" si="432"/>
        <v>3979584</v>
      </c>
      <c r="CP151" s="141">
        <f t="shared" si="433"/>
        <v>4005600</v>
      </c>
      <c r="CQ151" s="525">
        <f t="shared" si="434"/>
        <v>14879280</v>
      </c>
      <c r="CR151" s="141"/>
      <c r="CS151" s="141">
        <f t="shared" si="435"/>
        <v>0</v>
      </c>
      <c r="CT151" s="141">
        <f t="shared" si="436"/>
        <v>0</v>
      </c>
      <c r="CU151" s="141">
        <f t="shared" si="437"/>
        <v>0</v>
      </c>
      <c r="CV151" s="440">
        <f t="shared" si="438"/>
        <v>0</v>
      </c>
      <c r="CW151" s="440">
        <f t="shared" si="439"/>
        <v>0</v>
      </c>
      <c r="DK151" s="2"/>
      <c r="DL151" s="2"/>
      <c r="DM151" s="2"/>
      <c r="DN151" s="2"/>
      <c r="FB151" s="3"/>
    </row>
    <row r="152">
      <c r="B152" s="135" t="s">
        <v>322</v>
      </c>
      <c r="AY152" s="137"/>
      <c r="AZ152" s="137"/>
      <c r="BA152" s="137"/>
      <c r="BB152" s="137"/>
      <c r="BC152" s="137"/>
      <c r="BD152" s="137"/>
      <c r="BE152" s="137"/>
      <c r="BF152" s="137"/>
      <c r="BG152" s="137"/>
      <c r="BH152" s="137"/>
      <c r="BI152" s="137"/>
      <c r="BJ152" s="137"/>
      <c r="BK152" s="137"/>
      <c r="BL152" s="137"/>
      <c r="BM152" s="137"/>
      <c r="BN152" s="137"/>
      <c r="BO152" s="137"/>
      <c r="BP152" s="137"/>
      <c r="BQ152" s="137"/>
      <c r="BR152" s="137"/>
      <c r="BS152" s="137"/>
      <c r="BT152" s="137"/>
      <c r="BU152" s="137"/>
      <c r="BV152" s="137"/>
      <c r="BW152" s="137">
        <v>65000.0</v>
      </c>
      <c r="BX152" s="137">
        <v>65000.0</v>
      </c>
      <c r="BY152" s="137">
        <v>65000.0</v>
      </c>
      <c r="BZ152" s="137">
        <v>65000.0</v>
      </c>
      <c r="CA152" s="137">
        <v>65000.0</v>
      </c>
      <c r="CB152" s="137">
        <v>65000.0</v>
      </c>
      <c r="CC152" s="137">
        <v>65000.0</v>
      </c>
      <c r="CD152" s="137">
        <v>65000.0</v>
      </c>
      <c r="CE152" s="137">
        <v>65000.0</v>
      </c>
      <c r="CF152" s="137">
        <v>65000.0</v>
      </c>
      <c r="CG152" s="137">
        <v>65000.0</v>
      </c>
      <c r="CH152" s="137">
        <v>65000.0</v>
      </c>
      <c r="CK152" s="42"/>
      <c r="CM152" s="141">
        <f t="shared" si="430"/>
        <v>195000</v>
      </c>
      <c r="CN152" s="141">
        <f t="shared" si="431"/>
        <v>195000</v>
      </c>
      <c r="CO152" s="141">
        <f t="shared" si="432"/>
        <v>195000</v>
      </c>
      <c r="CP152" s="141">
        <f t="shared" si="433"/>
        <v>195000</v>
      </c>
      <c r="CQ152" s="525">
        <f t="shared" si="434"/>
        <v>780000</v>
      </c>
      <c r="CR152" s="141"/>
      <c r="CS152" s="141">
        <f t="shared" si="435"/>
        <v>0</v>
      </c>
      <c r="CT152" s="141">
        <f t="shared" si="436"/>
        <v>0</v>
      </c>
      <c r="CU152" s="141">
        <f t="shared" si="437"/>
        <v>0</v>
      </c>
      <c r="CV152" s="440">
        <f t="shared" si="438"/>
        <v>0</v>
      </c>
      <c r="CW152" s="440">
        <f t="shared" si="439"/>
        <v>0</v>
      </c>
      <c r="DK152" s="2"/>
      <c r="DL152" s="2"/>
      <c r="DM152" s="2"/>
      <c r="DN152" s="2"/>
      <c r="FB152" s="3"/>
    </row>
    <row r="153">
      <c r="B153" s="311" t="s">
        <v>466</v>
      </c>
      <c r="AY153" s="281"/>
      <c r="AZ153" s="281"/>
      <c r="BA153" s="281"/>
      <c r="BB153" s="281"/>
      <c r="BC153" s="281"/>
      <c r="BD153" s="281"/>
      <c r="BE153" s="281"/>
      <c r="BF153" s="281"/>
      <c r="BG153" s="281"/>
      <c r="BH153" s="281"/>
      <c r="BI153" s="281"/>
      <c r="BJ153" s="281"/>
      <c r="BK153" s="281"/>
      <c r="BL153" s="281"/>
      <c r="BM153" s="281"/>
      <c r="BN153" s="281"/>
      <c r="BO153" s="281"/>
      <c r="BP153" s="281"/>
      <c r="BQ153" s="281"/>
      <c r="BR153" s="281"/>
      <c r="BS153" s="281"/>
      <c r="BT153" s="281"/>
      <c r="BU153" s="281"/>
      <c r="BV153" s="281"/>
      <c r="BW153" s="281">
        <v>100000.0</v>
      </c>
      <c r="BX153" s="281">
        <v>105000.0</v>
      </c>
      <c r="BY153" s="281">
        <v>105000.0</v>
      </c>
      <c r="BZ153" s="281">
        <v>110000.0</v>
      </c>
      <c r="CA153" s="281">
        <v>110000.0</v>
      </c>
      <c r="CB153" s="281">
        <v>110000.0</v>
      </c>
      <c r="CC153" s="281">
        <v>120000.0</v>
      </c>
      <c r="CD153" s="281">
        <v>120000.0</v>
      </c>
      <c r="CE153" s="281">
        <v>120000.0</v>
      </c>
      <c r="CF153" s="281">
        <v>150000.0</v>
      </c>
      <c r="CG153" s="281">
        <v>150000.0</v>
      </c>
      <c r="CH153" s="281">
        <v>150000.0</v>
      </c>
      <c r="CK153" s="42"/>
      <c r="CM153" s="141">
        <f t="shared" si="430"/>
        <v>310000</v>
      </c>
      <c r="CN153" s="141">
        <f t="shared" si="431"/>
        <v>330000</v>
      </c>
      <c r="CO153" s="141">
        <f t="shared" si="432"/>
        <v>360000</v>
      </c>
      <c r="CP153" s="141">
        <f t="shared" si="433"/>
        <v>450000</v>
      </c>
      <c r="CQ153" s="525">
        <f t="shared" si="434"/>
        <v>1450000</v>
      </c>
      <c r="CR153" s="141"/>
      <c r="CS153" s="141">
        <f t="shared" si="435"/>
        <v>0</v>
      </c>
      <c r="CT153" s="141">
        <f t="shared" si="436"/>
        <v>0</v>
      </c>
      <c r="CU153" s="141">
        <f t="shared" si="437"/>
        <v>0</v>
      </c>
      <c r="CV153" s="440">
        <f t="shared" si="438"/>
        <v>0</v>
      </c>
      <c r="CW153" s="440">
        <f t="shared" si="439"/>
        <v>0</v>
      </c>
      <c r="DK153" s="2"/>
      <c r="DL153" s="2"/>
      <c r="DM153" s="2"/>
      <c r="DN153" s="2"/>
      <c r="FB153" s="3"/>
    </row>
    <row r="154">
      <c r="B154" s="310" t="s">
        <v>501</v>
      </c>
      <c r="AY154" s="281"/>
      <c r="AZ154" s="281"/>
      <c r="BA154" s="281"/>
      <c r="BB154" s="281"/>
      <c r="BC154" s="281"/>
      <c r="BD154" s="281"/>
      <c r="BE154" s="281"/>
      <c r="BF154" s="281"/>
      <c r="BG154" s="281"/>
      <c r="BH154" s="281"/>
      <c r="BI154" s="281"/>
      <c r="BJ154" s="281"/>
      <c r="BK154" s="281"/>
      <c r="BL154" s="281"/>
      <c r="BM154" s="281"/>
      <c r="BN154" s="281"/>
      <c r="BO154" s="281"/>
      <c r="BP154" s="281"/>
      <c r="BQ154" s="281"/>
      <c r="BR154" s="281"/>
      <c r="BS154" s="281"/>
      <c r="BT154" s="281"/>
      <c r="BU154" s="281"/>
      <c r="BV154" s="281"/>
      <c r="BW154" s="281">
        <v>78000.0</v>
      </c>
      <c r="BX154" s="281">
        <v>78000.0</v>
      </c>
      <c r="BY154" s="281">
        <v>78000.0</v>
      </c>
      <c r="BZ154" s="281">
        <v>90000.0</v>
      </c>
      <c r="CA154" s="281">
        <v>90000.0</v>
      </c>
      <c r="CB154" s="281">
        <v>90000.0</v>
      </c>
      <c r="CC154" s="281">
        <v>110000.0</v>
      </c>
      <c r="CD154" s="281">
        <v>110000.0</v>
      </c>
      <c r="CE154" s="281">
        <v>110000.0</v>
      </c>
      <c r="CF154" s="281">
        <v>130000.0</v>
      </c>
      <c r="CG154" s="281">
        <v>130000.0</v>
      </c>
      <c r="CH154" s="281">
        <v>130000.0</v>
      </c>
      <c r="CK154" s="42"/>
      <c r="CM154" s="141">
        <f t="shared" si="430"/>
        <v>234000</v>
      </c>
      <c r="CN154" s="141">
        <f t="shared" si="431"/>
        <v>270000</v>
      </c>
      <c r="CO154" s="141">
        <f t="shared" si="432"/>
        <v>330000</v>
      </c>
      <c r="CP154" s="141">
        <f t="shared" si="433"/>
        <v>390000</v>
      </c>
      <c r="CQ154" s="525">
        <f t="shared" si="434"/>
        <v>1224000</v>
      </c>
      <c r="CR154" s="141"/>
      <c r="CS154" s="141">
        <f t="shared" si="435"/>
        <v>0</v>
      </c>
      <c r="CT154" s="141">
        <f t="shared" si="436"/>
        <v>0</v>
      </c>
      <c r="CU154" s="141">
        <f t="shared" si="437"/>
        <v>0</v>
      </c>
      <c r="CV154" s="440">
        <f t="shared" si="438"/>
        <v>0</v>
      </c>
      <c r="CW154" s="440">
        <f t="shared" si="439"/>
        <v>0</v>
      </c>
      <c r="DK154" s="2"/>
      <c r="DL154" s="2"/>
      <c r="DM154" s="2"/>
      <c r="DN154" s="2"/>
      <c r="FB154" s="3"/>
    </row>
    <row r="155">
      <c r="B155" s="280" t="s">
        <v>502</v>
      </c>
      <c r="AY155" s="524"/>
      <c r="AZ155" s="524"/>
      <c r="BA155" s="524"/>
      <c r="BB155" s="524"/>
      <c r="BC155" s="524"/>
      <c r="BD155" s="524"/>
      <c r="BE155" s="524"/>
      <c r="BF155" s="524"/>
      <c r="BG155" s="524"/>
      <c r="BH155" s="524"/>
      <c r="BI155" s="524"/>
      <c r="BJ155" s="524"/>
      <c r="BK155" s="524"/>
      <c r="BL155" s="524"/>
      <c r="BM155" s="524"/>
      <c r="BN155" s="524"/>
      <c r="BO155" s="524"/>
      <c r="BP155" s="524"/>
      <c r="BQ155" s="524"/>
      <c r="BR155" s="524"/>
      <c r="BS155" s="524"/>
      <c r="BT155" s="524"/>
      <c r="BU155" s="524"/>
      <c r="BV155" s="524"/>
      <c r="BW155" s="524">
        <f t="shared" ref="BW155:CH155" si="453">SUM(BW156:BW158)</f>
        <v>2496960</v>
      </c>
      <c r="BX155" s="524">
        <f t="shared" si="453"/>
        <v>2590080</v>
      </c>
      <c r="BY155" s="524">
        <f t="shared" si="453"/>
        <v>3009600</v>
      </c>
      <c r="BZ155" s="524">
        <f t="shared" si="453"/>
        <v>3044976</v>
      </c>
      <c r="CA155" s="524">
        <f t="shared" si="453"/>
        <v>2838240</v>
      </c>
      <c r="CB155" s="524">
        <f t="shared" si="453"/>
        <v>3053736</v>
      </c>
      <c r="CC155" s="524">
        <f t="shared" si="453"/>
        <v>3231360</v>
      </c>
      <c r="CD155" s="524">
        <f t="shared" si="453"/>
        <v>3157056</v>
      </c>
      <c r="CE155" s="524">
        <f t="shared" si="453"/>
        <v>3229632</v>
      </c>
      <c r="CF155" s="524">
        <f t="shared" si="453"/>
        <v>3459456</v>
      </c>
      <c r="CG155" s="524">
        <f t="shared" si="453"/>
        <v>2883744</v>
      </c>
      <c r="CH155" s="524">
        <f t="shared" si="453"/>
        <v>3210240</v>
      </c>
      <c r="CK155" s="42"/>
      <c r="CM155" s="141">
        <f t="shared" si="430"/>
        <v>8096640</v>
      </c>
      <c r="CN155" s="141">
        <f t="shared" si="431"/>
        <v>8936952</v>
      </c>
      <c r="CO155" s="141">
        <f t="shared" si="432"/>
        <v>9618048</v>
      </c>
      <c r="CP155" s="141">
        <f t="shared" si="433"/>
        <v>9553440</v>
      </c>
      <c r="CQ155" s="525">
        <f t="shared" si="434"/>
        <v>36205080</v>
      </c>
      <c r="CR155" s="141"/>
      <c r="CS155" s="141">
        <f t="shared" si="435"/>
        <v>0</v>
      </c>
      <c r="CT155" s="141">
        <f t="shared" si="436"/>
        <v>0</v>
      </c>
      <c r="CU155" s="141">
        <f t="shared" si="437"/>
        <v>0</v>
      </c>
      <c r="CV155" s="440">
        <f t="shared" si="438"/>
        <v>0</v>
      </c>
      <c r="CW155" s="440">
        <f t="shared" si="439"/>
        <v>0</v>
      </c>
      <c r="DK155" s="2"/>
      <c r="DL155" s="2"/>
      <c r="DM155" s="2"/>
      <c r="DN155" s="2"/>
      <c r="FB155" s="3"/>
    </row>
    <row r="156">
      <c r="B156" s="135" t="s">
        <v>305</v>
      </c>
      <c r="AY156" s="137"/>
      <c r="AZ156" s="137"/>
      <c r="BA156" s="137"/>
      <c r="BB156" s="137"/>
      <c r="BC156" s="137"/>
      <c r="BD156" s="137"/>
      <c r="BE156" s="137"/>
      <c r="BF156" s="137"/>
      <c r="BG156" s="137"/>
      <c r="BH156" s="137"/>
      <c r="BI156" s="137"/>
      <c r="BJ156" s="137"/>
      <c r="BK156" s="137"/>
      <c r="BL156" s="137"/>
      <c r="BM156" s="137"/>
      <c r="BN156" s="137"/>
      <c r="BO156" s="137"/>
      <c r="BP156" s="137"/>
      <c r="BQ156" s="137"/>
      <c r="BR156" s="137"/>
      <c r="BS156" s="137"/>
      <c r="BT156" s="137"/>
      <c r="BU156" s="137"/>
      <c r="BV156" s="137"/>
      <c r="BW156" s="137">
        <v>2496960.0</v>
      </c>
      <c r="BX156" s="137">
        <v>2590080.0</v>
      </c>
      <c r="BY156" s="137">
        <v>3009600.0</v>
      </c>
      <c r="BZ156" s="137">
        <v>3044976.0</v>
      </c>
      <c r="CA156" s="137">
        <v>2838240.0</v>
      </c>
      <c r="CB156" s="137">
        <v>3053736.0</v>
      </c>
      <c r="CC156" s="137">
        <v>3231360.0</v>
      </c>
      <c r="CD156" s="137">
        <v>3157056.0</v>
      </c>
      <c r="CE156" s="137">
        <v>3229632.0</v>
      </c>
      <c r="CF156" s="137">
        <v>3459456.0</v>
      </c>
      <c r="CG156" s="137">
        <v>2883744.0</v>
      </c>
      <c r="CH156" s="137">
        <v>3210240.0</v>
      </c>
      <c r="CK156" s="42"/>
      <c r="CM156" s="141">
        <f t="shared" si="430"/>
        <v>8096640</v>
      </c>
      <c r="CN156" s="141">
        <f t="shared" si="431"/>
        <v>8936952</v>
      </c>
      <c r="CO156" s="141">
        <f t="shared" si="432"/>
        <v>9618048</v>
      </c>
      <c r="CP156" s="141">
        <f t="shared" si="433"/>
        <v>9553440</v>
      </c>
      <c r="CQ156" s="525">
        <f t="shared" si="434"/>
        <v>36205080</v>
      </c>
      <c r="CR156" s="141"/>
      <c r="CS156" s="141">
        <f t="shared" si="435"/>
        <v>0</v>
      </c>
      <c r="CT156" s="141">
        <f t="shared" si="436"/>
        <v>0</v>
      </c>
      <c r="CU156" s="141">
        <f t="shared" si="437"/>
        <v>0</v>
      </c>
      <c r="CV156" s="440">
        <f t="shared" si="438"/>
        <v>0</v>
      </c>
      <c r="CW156" s="440">
        <f t="shared" si="439"/>
        <v>0</v>
      </c>
      <c r="DK156" s="2"/>
      <c r="DL156" s="2"/>
      <c r="DM156" s="2"/>
      <c r="DN156" s="2"/>
      <c r="FB156" s="3"/>
    </row>
    <row r="157">
      <c r="B157" s="135" t="s">
        <v>322</v>
      </c>
      <c r="AY157" s="137"/>
      <c r="AZ157" s="137"/>
      <c r="BA157" s="137"/>
      <c r="BB157" s="137"/>
      <c r="BC157" s="137"/>
      <c r="BD157" s="137"/>
      <c r="BE157" s="137"/>
      <c r="BF157" s="137"/>
      <c r="BG157" s="137"/>
      <c r="BH157" s="137"/>
      <c r="BI157" s="137"/>
      <c r="BJ157" s="137"/>
      <c r="BK157" s="137"/>
      <c r="BL157" s="137"/>
      <c r="BM157" s="137"/>
      <c r="BN157" s="137"/>
      <c r="BO157" s="137"/>
      <c r="BP157" s="137"/>
      <c r="BQ157" s="137"/>
      <c r="BR157" s="137"/>
      <c r="BS157" s="137"/>
      <c r="BT157" s="137"/>
      <c r="BU157" s="137"/>
      <c r="BV157" s="137"/>
      <c r="BW157" s="137">
        <v>0.0</v>
      </c>
      <c r="BX157" s="137">
        <v>0.0</v>
      </c>
      <c r="BY157" s="137">
        <v>0.0</v>
      </c>
      <c r="BZ157" s="137">
        <v>0.0</v>
      </c>
      <c r="CA157" s="137">
        <v>0.0</v>
      </c>
      <c r="CB157" s="137">
        <v>0.0</v>
      </c>
      <c r="CC157" s="137">
        <v>0.0</v>
      </c>
      <c r="CD157" s="137">
        <v>0.0</v>
      </c>
      <c r="CE157" s="137">
        <v>0.0</v>
      </c>
      <c r="CF157" s="137">
        <v>0.0</v>
      </c>
      <c r="CG157" s="137">
        <v>0.0</v>
      </c>
      <c r="CH157" s="137">
        <v>0.0</v>
      </c>
      <c r="CK157" s="42"/>
      <c r="CM157" s="141">
        <f t="shared" si="430"/>
        <v>0</v>
      </c>
      <c r="CN157" s="141">
        <f t="shared" si="431"/>
        <v>0</v>
      </c>
      <c r="CO157" s="141">
        <f t="shared" si="432"/>
        <v>0</v>
      </c>
      <c r="CP157" s="141">
        <f t="shared" si="433"/>
        <v>0</v>
      </c>
      <c r="CQ157" s="525">
        <f t="shared" si="434"/>
        <v>0</v>
      </c>
      <c r="CR157" s="141"/>
      <c r="CS157" s="141">
        <f t="shared" si="435"/>
        <v>0</v>
      </c>
      <c r="CT157" s="141">
        <f t="shared" si="436"/>
        <v>0</v>
      </c>
      <c r="CU157" s="141">
        <f t="shared" si="437"/>
        <v>0</v>
      </c>
      <c r="CV157" s="440">
        <f t="shared" si="438"/>
        <v>0</v>
      </c>
      <c r="CW157" s="440">
        <f t="shared" si="439"/>
        <v>0</v>
      </c>
      <c r="DK157" s="2"/>
      <c r="DL157" s="2"/>
      <c r="DM157" s="2"/>
      <c r="DN157" s="2"/>
      <c r="FB157" s="3"/>
    </row>
    <row r="158">
      <c r="B158" s="135" t="s">
        <v>467</v>
      </c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  <c r="BM158" s="137"/>
      <c r="BN158" s="137"/>
      <c r="BO158" s="137"/>
      <c r="BP158" s="137"/>
      <c r="BQ158" s="137"/>
      <c r="BR158" s="137"/>
      <c r="BS158" s="137"/>
      <c r="BT158" s="137"/>
      <c r="BU158" s="137"/>
      <c r="BV158" s="137"/>
      <c r="BW158" s="137">
        <v>0.0</v>
      </c>
      <c r="BX158" s="137">
        <v>0.0</v>
      </c>
      <c r="BY158" s="137">
        <v>0.0</v>
      </c>
      <c r="BZ158" s="137">
        <v>0.0</v>
      </c>
      <c r="CA158" s="137">
        <v>0.0</v>
      </c>
      <c r="CB158" s="137">
        <v>0.0</v>
      </c>
      <c r="CC158" s="137">
        <v>0.0</v>
      </c>
      <c r="CD158" s="137">
        <v>0.0</v>
      </c>
      <c r="CE158" s="137">
        <v>0.0</v>
      </c>
      <c r="CF158" s="137">
        <v>0.0</v>
      </c>
      <c r="CG158" s="137">
        <v>0.0</v>
      </c>
      <c r="CH158" s="137">
        <v>0.0</v>
      </c>
      <c r="CK158" s="42"/>
      <c r="CM158" s="141">
        <f t="shared" si="430"/>
        <v>0</v>
      </c>
      <c r="CN158" s="141">
        <f t="shared" si="431"/>
        <v>0</v>
      </c>
      <c r="CO158" s="141">
        <f t="shared" si="432"/>
        <v>0</v>
      </c>
      <c r="CP158" s="141">
        <f t="shared" si="433"/>
        <v>0</v>
      </c>
      <c r="CQ158" s="525">
        <f t="shared" si="434"/>
        <v>0</v>
      </c>
      <c r="CR158" s="141"/>
      <c r="CS158" s="141">
        <f t="shared" si="435"/>
        <v>0</v>
      </c>
      <c r="CT158" s="141">
        <f t="shared" si="436"/>
        <v>0</v>
      </c>
      <c r="CU158" s="141">
        <f t="shared" si="437"/>
        <v>0</v>
      </c>
      <c r="CV158" s="440">
        <f t="shared" si="438"/>
        <v>0</v>
      </c>
      <c r="CW158" s="440">
        <f t="shared" si="439"/>
        <v>0</v>
      </c>
      <c r="DK158" s="2"/>
      <c r="DL158" s="2"/>
      <c r="DM158" s="2"/>
      <c r="DN158" s="2"/>
      <c r="FB158" s="3"/>
    </row>
    <row r="159">
      <c r="B159" s="63" t="s">
        <v>505</v>
      </c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270"/>
      <c r="AN159" s="270"/>
      <c r="AO159" s="270"/>
      <c r="AP159" s="270"/>
      <c r="AQ159" s="270"/>
      <c r="AR159" s="270"/>
      <c r="AS159" s="270"/>
      <c r="AT159" s="270"/>
      <c r="AU159" s="270"/>
      <c r="AV159" s="270"/>
      <c r="AW159" s="270"/>
      <c r="AX159" s="270"/>
      <c r="AY159" s="270">
        <v>708950.0</v>
      </c>
      <c r="AZ159" s="270">
        <v>675325.0</v>
      </c>
      <c r="BA159" s="270">
        <v>993988.0</v>
      </c>
      <c r="BB159" s="270">
        <v>1012025.0</v>
      </c>
      <c r="BC159" s="270">
        <v>687350.0</v>
      </c>
      <c r="BD159" s="270">
        <v>687350.0</v>
      </c>
      <c r="BE159" s="270">
        <v>699375.0</v>
      </c>
      <c r="BF159" s="270">
        <v>1030063.0</v>
      </c>
      <c r="BG159" s="270">
        <v>711400.0</v>
      </c>
      <c r="BH159" s="270">
        <v>796500.0</v>
      </c>
      <c r="BI159" s="270">
        <v>796500.0</v>
      </c>
      <c r="BJ159" s="270">
        <v>827765.0</v>
      </c>
      <c r="BK159" s="270">
        <v>1100262.62</v>
      </c>
      <c r="BL159" s="270">
        <v>1015958.36</v>
      </c>
      <c r="BM159" s="270">
        <v>1004016.49</v>
      </c>
      <c r="BN159" s="270">
        <v>1010560.87</v>
      </c>
      <c r="BO159" s="270">
        <v>1039448.1</v>
      </c>
      <c r="BP159" s="270">
        <v>1022807.29</v>
      </c>
      <c r="BQ159" s="270">
        <v>1146340.29</v>
      </c>
      <c r="BR159" s="270">
        <v>1046744.23</v>
      </c>
      <c r="BS159" s="270">
        <v>1146199.43</v>
      </c>
      <c r="BT159" s="270">
        <v>1198248.99</v>
      </c>
      <c r="BU159" s="270">
        <v>1053474.72</v>
      </c>
      <c r="BV159" s="270">
        <v>1211357.32</v>
      </c>
      <c r="BW159" s="270">
        <v>1775640.0</v>
      </c>
      <c r="BX159" s="270">
        <v>1800706.0</v>
      </c>
      <c r="BY159" s="270">
        <v>2017170.0</v>
      </c>
      <c r="BZ159" s="270">
        <v>1962307.0</v>
      </c>
      <c r="CA159" s="270">
        <v>1921700.0</v>
      </c>
      <c r="CB159" s="270">
        <v>2152581.0</v>
      </c>
      <c r="CC159" s="270">
        <v>2187551.0</v>
      </c>
      <c r="CD159" s="270">
        <v>2150967.0</v>
      </c>
      <c r="CE159" s="270">
        <v>2302992.0</v>
      </c>
      <c r="CF159" s="270">
        <v>2233129.0</v>
      </c>
      <c r="CG159" s="270">
        <v>2180234.0</v>
      </c>
      <c r="CH159" s="270">
        <v>2538491.0</v>
      </c>
      <c r="CI159" s="33"/>
      <c r="CJ159" s="33"/>
      <c r="CK159" s="69"/>
      <c r="CL159" s="49"/>
      <c r="CM159" s="270">
        <f t="shared" si="430"/>
        <v>5593516</v>
      </c>
      <c r="CN159" s="270">
        <f t="shared" si="431"/>
        <v>6036588</v>
      </c>
      <c r="CO159" s="270">
        <f t="shared" si="432"/>
        <v>6641510</v>
      </c>
      <c r="CP159" s="270">
        <f t="shared" si="433"/>
        <v>6951854</v>
      </c>
      <c r="CQ159" s="69">
        <f t="shared" si="434"/>
        <v>25223468</v>
      </c>
      <c r="CR159" s="270"/>
      <c r="CS159" s="270">
        <f t="shared" si="435"/>
        <v>3120237.47</v>
      </c>
      <c r="CT159" s="270">
        <f t="shared" si="436"/>
        <v>3072816.26</v>
      </c>
      <c r="CU159" s="270">
        <f t="shared" si="437"/>
        <v>3339283.95</v>
      </c>
      <c r="CV159" s="270">
        <f t="shared" si="438"/>
        <v>3463081.03</v>
      </c>
      <c r="CW159" s="121">
        <f t="shared" si="439"/>
        <v>12995418.71</v>
      </c>
      <c r="CX159" s="49"/>
      <c r="CY159" s="270">
        <f>sum(AY159:BA159)</f>
        <v>2378263</v>
      </c>
      <c r="CZ159" s="270">
        <f>sum(BB159:BD159)</f>
        <v>2386725</v>
      </c>
      <c r="DA159" s="270">
        <f>sum(BE159:BF159)</f>
        <v>1729438</v>
      </c>
      <c r="DB159" s="270">
        <f>sum(BI159:BJ159)</f>
        <v>1624265</v>
      </c>
      <c r="DC159" s="121">
        <f>sum(AY159:BJ159)</f>
        <v>9626591</v>
      </c>
      <c r="DD159" s="49"/>
      <c r="DE159" s="270">
        <f>sum(AM159:AO159)</f>
        <v>0</v>
      </c>
      <c r="DF159" s="270">
        <f>sum(AP159:AR159)</f>
        <v>0</v>
      </c>
      <c r="DG159" s="270">
        <f>sum(AS159:AU159)</f>
        <v>0</v>
      </c>
      <c r="DH159" s="270">
        <f>sum(AV159:AX159)</f>
        <v>0</v>
      </c>
      <c r="DI159" s="121">
        <f>sum(AM159:AX159)</f>
        <v>0</v>
      </c>
      <c r="DJ159" s="49"/>
      <c r="DK159" s="270"/>
      <c r="DL159" s="270"/>
      <c r="DM159" s="270"/>
      <c r="DN159" s="270"/>
      <c r="DO159" s="121"/>
      <c r="DP159" s="49"/>
      <c r="DQ159" s="121"/>
      <c r="DR159" s="136"/>
      <c r="DS159" s="64"/>
      <c r="DT159" s="64"/>
      <c r="DU159" s="64"/>
      <c r="DV159" s="64"/>
      <c r="DW159" s="64"/>
      <c r="DX159" s="64"/>
      <c r="DY159" s="64"/>
      <c r="DZ159" s="64"/>
      <c r="EA159" s="64"/>
      <c r="EB159" s="64"/>
      <c r="EC159" s="64"/>
      <c r="ED159" s="64"/>
      <c r="EE159" s="64"/>
      <c r="EF159" s="64"/>
      <c r="EG159" s="64"/>
      <c r="EH159" s="64"/>
      <c r="EI159" s="64"/>
      <c r="EJ159" s="64"/>
      <c r="EK159" s="64"/>
      <c r="EL159" s="64"/>
      <c r="EM159" s="64"/>
      <c r="EN159" s="64"/>
      <c r="EO159" s="64"/>
      <c r="EP159" s="64"/>
      <c r="EQ159" s="270"/>
      <c r="ER159" s="270"/>
      <c r="ES159" s="270"/>
      <c r="ET159" s="270"/>
      <c r="EU159" s="270"/>
      <c r="EV159" s="270"/>
      <c r="EW159" s="270"/>
      <c r="EX159" s="270"/>
      <c r="EY159" s="270"/>
      <c r="EZ159" s="270"/>
      <c r="FA159" s="270"/>
      <c r="FB159" s="270"/>
      <c r="FC159" s="270"/>
      <c r="FD159" s="270"/>
      <c r="FE159" s="270"/>
      <c r="FF159" s="270"/>
      <c r="FG159" s="270"/>
      <c r="FH159" s="270"/>
      <c r="FI159" s="270"/>
      <c r="FJ159" s="270"/>
      <c r="FK159" s="270"/>
      <c r="FL159" s="270"/>
      <c r="FM159" s="270"/>
      <c r="FN159" s="270"/>
      <c r="FO159" s="270"/>
      <c r="FP159" s="270"/>
      <c r="FQ159" s="270"/>
      <c r="FR159" s="270"/>
      <c r="FS159" s="270"/>
      <c r="FT159" s="270"/>
      <c r="FU159" s="270"/>
      <c r="FV159" s="270"/>
      <c r="FW159" s="270"/>
      <c r="FX159" s="270"/>
      <c r="FY159" s="270"/>
      <c r="FZ159" s="270"/>
      <c r="GA159" s="270"/>
      <c r="GB159" s="270"/>
      <c r="GC159" s="270"/>
      <c r="GD159" s="270"/>
      <c r="GE159" s="270"/>
      <c r="GF159" s="270"/>
      <c r="GG159" s="270"/>
      <c r="GH159" s="270"/>
      <c r="GI159" s="270"/>
      <c r="GJ159" s="270"/>
      <c r="GK159" s="270"/>
      <c r="GL159" s="270"/>
      <c r="GM159" s="270"/>
    </row>
    <row r="160"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K160" s="42"/>
      <c r="CQ160" s="42"/>
      <c r="DK160" s="2"/>
      <c r="DL160" s="2"/>
      <c r="DM160" s="2"/>
      <c r="DN160" s="2"/>
      <c r="FB160" s="3"/>
    </row>
    <row r="161">
      <c r="B161" s="63" t="s">
        <v>276</v>
      </c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270"/>
      <c r="AN161" s="270"/>
      <c r="AO161" s="270"/>
      <c r="AP161" s="270"/>
      <c r="AQ161" s="270"/>
      <c r="AR161" s="270"/>
      <c r="AS161" s="270"/>
      <c r="AT161" s="270"/>
      <c r="AU161" s="270"/>
      <c r="AV161" s="270"/>
      <c r="AW161" s="270"/>
      <c r="AX161" s="270"/>
      <c r="AY161" s="270">
        <f t="shared" ref="AY161:CH161" si="454">AY146-AY159</f>
        <v>261439</v>
      </c>
      <c r="AZ161" s="270">
        <f t="shared" si="454"/>
        <v>1987064</v>
      </c>
      <c r="BA161" s="270">
        <f t="shared" si="454"/>
        <v>908401</v>
      </c>
      <c r="BB161" s="270">
        <f t="shared" si="454"/>
        <v>1226797</v>
      </c>
      <c r="BC161" s="270">
        <f t="shared" si="454"/>
        <v>1551472</v>
      </c>
      <c r="BD161" s="270">
        <f t="shared" si="454"/>
        <v>1624340</v>
      </c>
      <c r="BE161" s="270">
        <f t="shared" si="454"/>
        <v>1859922</v>
      </c>
      <c r="BF161" s="270">
        <f t="shared" si="454"/>
        <v>1529234</v>
      </c>
      <c r="BG161" s="270">
        <f t="shared" si="454"/>
        <v>1847897</v>
      </c>
      <c r="BH161" s="270">
        <f t="shared" si="454"/>
        <v>2112967</v>
      </c>
      <c r="BI161" s="270">
        <f t="shared" si="454"/>
        <v>2112967</v>
      </c>
      <c r="BJ161" s="270">
        <f t="shared" si="454"/>
        <v>2081702</v>
      </c>
      <c r="BK161" s="270">
        <f t="shared" si="454"/>
        <v>1520421.32</v>
      </c>
      <c r="BL161" s="270">
        <f t="shared" si="454"/>
        <v>1508795.9</v>
      </c>
      <c r="BM161" s="270">
        <f t="shared" si="454"/>
        <v>1448064.31</v>
      </c>
      <c r="BN161" s="270">
        <f t="shared" si="454"/>
        <v>1590472.13</v>
      </c>
      <c r="BO161" s="270">
        <f t="shared" si="454"/>
        <v>1641184.9</v>
      </c>
      <c r="BP161" s="270">
        <f t="shared" si="454"/>
        <v>1662025.71</v>
      </c>
      <c r="BQ161" s="270">
        <f t="shared" si="454"/>
        <v>2023556.71</v>
      </c>
      <c r="BR161" s="270">
        <f t="shared" si="454"/>
        <v>2040240.77</v>
      </c>
      <c r="BS161" s="270">
        <f t="shared" si="454"/>
        <v>2158313.57</v>
      </c>
      <c r="BT161" s="270">
        <f t="shared" si="454"/>
        <v>2455424.01</v>
      </c>
      <c r="BU161" s="270">
        <f t="shared" si="454"/>
        <v>1924358.28</v>
      </c>
      <c r="BV161" s="270">
        <f t="shared" si="454"/>
        <v>2283275.68</v>
      </c>
      <c r="BW161" s="65">
        <f t="shared" si="454"/>
        <v>1992480</v>
      </c>
      <c r="BX161" s="65">
        <f t="shared" si="454"/>
        <v>2058814</v>
      </c>
      <c r="BY161" s="65">
        <f t="shared" si="454"/>
        <v>2444270</v>
      </c>
      <c r="BZ161" s="65">
        <f t="shared" si="454"/>
        <v>2581077</v>
      </c>
      <c r="CA161" s="65">
        <f t="shared" si="454"/>
        <v>2337860</v>
      </c>
      <c r="CB161" s="65">
        <f t="shared" si="454"/>
        <v>2417083</v>
      </c>
      <c r="CC161" s="65">
        <f t="shared" si="454"/>
        <v>2669369</v>
      </c>
      <c r="CD161" s="65">
        <f t="shared" si="454"/>
        <v>2607457</v>
      </c>
      <c r="CE161" s="65">
        <f t="shared" si="454"/>
        <v>2564296</v>
      </c>
      <c r="CF161" s="65">
        <f t="shared" si="454"/>
        <v>3015935</v>
      </c>
      <c r="CG161" s="65">
        <f t="shared" si="454"/>
        <v>2257822</v>
      </c>
      <c r="CH161" s="65">
        <f t="shared" si="454"/>
        <v>2368429</v>
      </c>
      <c r="CI161" s="33"/>
      <c r="CJ161" s="33"/>
      <c r="CK161" s="69"/>
      <c r="CM161" s="270">
        <f>sum(BW161:BY161)</f>
        <v>6495564</v>
      </c>
      <c r="CN161" s="270">
        <f>sum(BZ161:CB161)</f>
        <v>7336020</v>
      </c>
      <c r="CO161" s="270">
        <f>sum(CC161:CE161)</f>
        <v>7841122</v>
      </c>
      <c r="CP161" s="270">
        <f>sum(CF161:CH161)</f>
        <v>7642186</v>
      </c>
      <c r="CQ161" s="69">
        <f>sum(BW161:CH161)</f>
        <v>29314892</v>
      </c>
      <c r="CR161" s="270"/>
      <c r="CS161" s="270">
        <f>sum(BK161:BM161)</f>
        <v>4477281.53</v>
      </c>
      <c r="CT161" s="270">
        <f>sum(BN161:BP161)</f>
        <v>4893682.74</v>
      </c>
      <c r="CU161" s="270">
        <f>sum(BQ161:BS161)</f>
        <v>6222111.05</v>
      </c>
      <c r="CV161" s="270">
        <f>sum(BT161:BV161)</f>
        <v>6663057.97</v>
      </c>
      <c r="CW161" s="121">
        <f>sum(BK161:BV161)</f>
        <v>22256133.29</v>
      </c>
      <c r="CY161" s="270">
        <f>sum(AY161:BA161)</f>
        <v>3156904</v>
      </c>
      <c r="CZ161" s="270">
        <f>sum(BB161:BD161)</f>
        <v>4402609</v>
      </c>
      <c r="DA161" s="270">
        <f>sum(BE161:BG161)</f>
        <v>5237053</v>
      </c>
      <c r="DB161" s="270">
        <f>sum(BH161:BJ161)</f>
        <v>6307636</v>
      </c>
      <c r="DC161" s="121">
        <f>sum(AY161:BJ161)</f>
        <v>19104202</v>
      </c>
      <c r="DD161" s="49"/>
      <c r="DE161" s="270">
        <f>sum(AM161:AO161)</f>
        <v>0</v>
      </c>
      <c r="DF161" s="270">
        <f>sum(AP161:AR161)</f>
        <v>0</v>
      </c>
      <c r="DG161" s="270">
        <f>sum(AS161:AU161)</f>
        <v>0</v>
      </c>
      <c r="DH161" s="270">
        <f>sum(AV161:AX161)</f>
        <v>0</v>
      </c>
      <c r="DI161" s="121">
        <f>sum(AM161:AX161)</f>
        <v>0</v>
      </c>
      <c r="DJ161" s="49"/>
      <c r="DK161" s="270"/>
      <c r="DL161" s="270"/>
      <c r="DM161" s="270"/>
      <c r="DN161" s="270"/>
      <c r="DO161" s="270"/>
      <c r="DP161" s="49"/>
      <c r="DQ161" s="270"/>
      <c r="DR161" s="136"/>
      <c r="DS161" s="64"/>
      <c r="DT161" s="64"/>
      <c r="DU161" s="64"/>
      <c r="DV161" s="64"/>
      <c r="DW161" s="64"/>
      <c r="DX161" s="64"/>
      <c r="DY161" s="64"/>
      <c r="DZ161" s="64"/>
      <c r="EA161" s="64"/>
      <c r="EB161" s="64"/>
      <c r="EC161" s="64"/>
      <c r="ED161" s="64"/>
      <c r="EE161" s="64"/>
      <c r="EF161" s="64"/>
      <c r="EG161" s="64"/>
      <c r="EH161" s="64"/>
      <c r="EI161" s="64"/>
      <c r="EJ161" s="64"/>
      <c r="EK161" s="64"/>
      <c r="EL161" s="64"/>
      <c r="EM161" s="64"/>
      <c r="EN161" s="64"/>
      <c r="EO161" s="64"/>
      <c r="EP161" s="64"/>
      <c r="EQ161" s="270"/>
      <c r="ER161" s="270"/>
      <c r="ES161" s="270"/>
      <c r="ET161" s="270"/>
      <c r="EU161" s="270"/>
      <c r="EV161" s="270"/>
      <c r="EW161" s="270"/>
      <c r="EX161" s="270"/>
      <c r="EY161" s="270"/>
      <c r="EZ161" s="270"/>
      <c r="FA161" s="270"/>
      <c r="FB161" s="270"/>
      <c r="FC161" s="270"/>
      <c r="FD161" s="270"/>
      <c r="FE161" s="270"/>
      <c r="FF161" s="270"/>
      <c r="FG161" s="270"/>
      <c r="FH161" s="270"/>
      <c r="FI161" s="270"/>
      <c r="FJ161" s="270"/>
      <c r="FK161" s="270"/>
      <c r="FL161" s="270"/>
      <c r="FM161" s="270"/>
      <c r="FN161" s="270"/>
      <c r="FO161" s="270"/>
      <c r="FP161" s="270"/>
      <c r="FQ161" s="270"/>
      <c r="FR161" s="270"/>
      <c r="FS161" s="270"/>
      <c r="FT161" s="270"/>
      <c r="FU161" s="270"/>
      <c r="FV161" s="270"/>
      <c r="FW161" s="270"/>
      <c r="FX161" s="270"/>
      <c r="FY161" s="270"/>
      <c r="FZ161" s="270"/>
      <c r="GA161" s="270"/>
      <c r="GB161" s="270"/>
      <c r="GC161" s="270"/>
      <c r="GD161" s="270"/>
      <c r="GE161" s="270"/>
      <c r="GF161" s="270"/>
      <c r="GG161" s="270"/>
      <c r="GH161" s="270"/>
      <c r="GI161" s="270"/>
      <c r="GJ161" s="270"/>
      <c r="GK161" s="270"/>
      <c r="GL161" s="270"/>
      <c r="GM161" s="270"/>
    </row>
    <row r="162"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K162" s="42"/>
      <c r="CN162" s="106">
        <f>CN161/CN146</f>
        <v>0.5485855863</v>
      </c>
      <c r="CQ162" s="42"/>
      <c r="DK162" s="2"/>
      <c r="DL162" s="2"/>
      <c r="DM162" s="2"/>
      <c r="DN162" s="2"/>
      <c r="FB162" s="3"/>
    </row>
    <row r="163">
      <c r="B163" s="63" t="s">
        <v>198</v>
      </c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270"/>
      <c r="AN163" s="270"/>
      <c r="AO163" s="270"/>
      <c r="AP163" s="270"/>
      <c r="AQ163" s="270"/>
      <c r="AR163" s="270"/>
      <c r="AS163" s="270"/>
      <c r="AT163" s="270"/>
      <c r="AU163" s="270"/>
      <c r="AV163" s="270"/>
      <c r="AW163" s="270"/>
      <c r="AX163" s="270"/>
      <c r="AY163" s="270">
        <f t="shared" ref="AY163:CH163" si="455">SUM(AY164:AY166)</f>
        <v>1374000</v>
      </c>
      <c r="AZ163" s="270">
        <f t="shared" si="455"/>
        <v>1087319</v>
      </c>
      <c r="BA163" s="270">
        <f t="shared" si="455"/>
        <v>1329207</v>
      </c>
      <c r="BB163" s="270">
        <f t="shared" si="455"/>
        <v>1392401</v>
      </c>
      <c r="BC163" s="270">
        <f t="shared" si="455"/>
        <v>1255694</v>
      </c>
      <c r="BD163" s="270">
        <f t="shared" si="455"/>
        <v>1217694</v>
      </c>
      <c r="BE163" s="270">
        <f t="shared" si="455"/>
        <v>1319516</v>
      </c>
      <c r="BF163" s="270">
        <f t="shared" si="455"/>
        <v>1611585</v>
      </c>
      <c r="BG163" s="270">
        <f t="shared" si="455"/>
        <v>1339347</v>
      </c>
      <c r="BH163" s="270">
        <f t="shared" si="455"/>
        <v>1391727</v>
      </c>
      <c r="BI163" s="270">
        <f t="shared" si="455"/>
        <v>1391727</v>
      </c>
      <c r="BJ163" s="270">
        <f t="shared" si="455"/>
        <v>1430207</v>
      </c>
      <c r="BK163" s="270">
        <f t="shared" si="455"/>
        <v>1357598.03</v>
      </c>
      <c r="BL163" s="270">
        <f t="shared" si="455"/>
        <v>1005381.73</v>
      </c>
      <c r="BM163" s="270">
        <f t="shared" si="455"/>
        <v>1112113.46</v>
      </c>
      <c r="BN163" s="270">
        <f t="shared" si="455"/>
        <v>1274011</v>
      </c>
      <c r="BO163" s="270">
        <f t="shared" si="455"/>
        <v>1561147</v>
      </c>
      <c r="BP163" s="270">
        <f t="shared" si="455"/>
        <v>1513525</v>
      </c>
      <c r="BQ163" s="270">
        <f t="shared" si="455"/>
        <v>1238452</v>
      </c>
      <c r="BR163" s="270">
        <f t="shared" si="455"/>
        <v>1534521</v>
      </c>
      <c r="BS163" s="270">
        <f t="shared" si="455"/>
        <v>1306831</v>
      </c>
      <c r="BT163" s="270">
        <f t="shared" si="455"/>
        <v>1364580</v>
      </c>
      <c r="BU163" s="270">
        <f t="shared" si="455"/>
        <v>1255643</v>
      </c>
      <c r="BV163" s="270">
        <f t="shared" si="455"/>
        <v>1324381</v>
      </c>
      <c r="BW163" s="270">
        <f t="shared" si="455"/>
        <v>1540831.98</v>
      </c>
      <c r="BX163" s="270">
        <f t="shared" si="455"/>
        <v>1778308.23</v>
      </c>
      <c r="BY163" s="270">
        <f t="shared" si="455"/>
        <v>1807300.39</v>
      </c>
      <c r="BZ163" s="65">
        <f t="shared" si="455"/>
        <v>1705190.39</v>
      </c>
      <c r="CA163" s="65">
        <f t="shared" si="455"/>
        <v>1955001.11</v>
      </c>
      <c r="CB163" s="65">
        <f t="shared" si="455"/>
        <v>2044991.39</v>
      </c>
      <c r="CC163" s="65">
        <f t="shared" si="455"/>
        <v>1773962.64</v>
      </c>
      <c r="CD163" s="65">
        <f t="shared" si="455"/>
        <v>1844933.11</v>
      </c>
      <c r="CE163" s="65">
        <f t="shared" si="455"/>
        <v>1788192.39</v>
      </c>
      <c r="CF163" s="65">
        <f t="shared" si="455"/>
        <v>1768924.78</v>
      </c>
      <c r="CG163" s="65">
        <f t="shared" si="455"/>
        <v>1635039.78</v>
      </c>
      <c r="CH163" s="65">
        <f t="shared" si="455"/>
        <v>1655270.48</v>
      </c>
      <c r="CI163" s="33"/>
      <c r="CJ163" s="33"/>
      <c r="CK163" s="69"/>
      <c r="CL163" s="49"/>
      <c r="CM163" s="270">
        <f t="shared" ref="CM163:CM168" si="456">sum(BW163:BY163)</f>
        <v>5126440.6</v>
      </c>
      <c r="CN163" s="270">
        <f t="shared" ref="CN163:CN168" si="457">sum(BZ163:CB163)</f>
        <v>5705182.89</v>
      </c>
      <c r="CO163" s="270">
        <f t="shared" ref="CO163:CO168" si="458">sum(CC163:CE163)</f>
        <v>5407088.14</v>
      </c>
      <c r="CP163" s="270">
        <f t="shared" ref="CP163:CP168" si="459">sum(CF163:CH163)</f>
        <v>5059235.04</v>
      </c>
      <c r="CQ163" s="69">
        <f t="shared" ref="CQ163:CQ168" si="460">sum(BW163:CH163)</f>
        <v>21297946.67</v>
      </c>
      <c r="CR163" s="270"/>
      <c r="CS163" s="270">
        <f t="shared" ref="CS163:CS168" si="461">sum(BK163:BM163)</f>
        <v>3475093.22</v>
      </c>
      <c r="CT163" s="270">
        <f t="shared" ref="CT163:CT168" si="462">sum(BN163:BP163)</f>
        <v>4348683</v>
      </c>
      <c r="CU163" s="270">
        <f t="shared" ref="CU163:CU168" si="463">sum(BQ163:BS163)</f>
        <v>4079804</v>
      </c>
      <c r="CV163" s="270">
        <f t="shared" ref="CV163:CV168" si="464">sum(BT163:BV163)</f>
        <v>3944604</v>
      </c>
      <c r="CW163" s="121">
        <f t="shared" ref="CW163:CW168" si="465">sum(BK163:BV163)</f>
        <v>15848184.22</v>
      </c>
      <c r="CX163" s="49"/>
      <c r="CY163" s="270">
        <f t="shared" ref="CY163:CY166" si="466">sum(AY163:BA163)</f>
        <v>3790526</v>
      </c>
      <c r="CZ163" s="270">
        <f t="shared" ref="CZ163:CZ166" si="467">sum(BB163:BD163)</f>
        <v>3865789</v>
      </c>
      <c r="DA163" s="270">
        <f t="shared" ref="DA163:DA166" si="468">sum(BE163:BG163)</f>
        <v>4270448</v>
      </c>
      <c r="DB163" s="270">
        <f t="shared" ref="DB163:DB166" si="469">sum(BH163:BJ163)</f>
        <v>4213661</v>
      </c>
      <c r="DC163" s="121">
        <f t="shared" ref="DC163:DC166" si="470">sum(AY163:BJ163)</f>
        <v>16140424</v>
      </c>
      <c r="DD163" s="49"/>
      <c r="DE163" s="270">
        <f t="shared" ref="DE163:DE166" si="471">sum(AM163:AO163)</f>
        <v>0</v>
      </c>
      <c r="DF163" s="270">
        <f t="shared" ref="DF163:DF166" si="472">sum(AP163:AR163)</f>
        <v>0</v>
      </c>
      <c r="DG163" s="270">
        <f t="shared" ref="DG163:DG166" si="473">sum(AS163:AU163)</f>
        <v>0</v>
      </c>
      <c r="DH163" s="270">
        <f t="shared" ref="DH163:DH166" si="474">sum(AV163:AX163)</f>
        <v>0</v>
      </c>
      <c r="DI163" s="121">
        <f t="shared" ref="DI163:DI166" si="475">sum(AM163:AX163)</f>
        <v>0</v>
      </c>
      <c r="DJ163" s="49"/>
      <c r="DK163" s="270">
        <f>sum(AA163:AC163)</f>
        <v>0</v>
      </c>
      <c r="DL163" s="270">
        <f>sum(AD163:AF163)</f>
        <v>0</v>
      </c>
      <c r="DM163" s="270">
        <f>sum(AG163:AI163)</f>
        <v>0</v>
      </c>
      <c r="DN163" s="270">
        <f>sum(AJ163:AL163)</f>
        <v>0</v>
      </c>
      <c r="DO163" s="121">
        <f>sum(DO164:DO182)</f>
        <v>71376.66667</v>
      </c>
      <c r="DP163" s="49"/>
      <c r="DQ163" s="121">
        <f>sum(DQ164:DQ182)</f>
        <v>0</v>
      </c>
      <c r="DR163" s="136"/>
      <c r="DS163" s="64"/>
      <c r="DT163" s="64"/>
      <c r="DU163" s="64"/>
      <c r="DV163" s="64"/>
      <c r="DW163" s="64"/>
      <c r="DX163" s="64"/>
      <c r="DY163" s="64"/>
      <c r="DZ163" s="64"/>
      <c r="EA163" s="64"/>
      <c r="EB163" s="64"/>
      <c r="EC163" s="64"/>
      <c r="ED163" s="64"/>
      <c r="EE163" s="64"/>
      <c r="EF163" s="64"/>
      <c r="EG163" s="64"/>
      <c r="EH163" s="64"/>
      <c r="EI163" s="64"/>
      <c r="EJ163" s="64"/>
      <c r="EK163" s="64"/>
      <c r="EL163" s="64"/>
      <c r="EM163" s="64"/>
      <c r="EN163" s="64"/>
      <c r="EO163" s="64"/>
      <c r="EP163" s="64"/>
      <c r="EQ163" s="270"/>
      <c r="ER163" s="270"/>
      <c r="ES163" s="270"/>
      <c r="ET163" s="270"/>
      <c r="EU163" s="270"/>
      <c r="EV163" s="270"/>
      <c r="EW163" s="270"/>
      <c r="EX163" s="270"/>
      <c r="EY163" s="270"/>
      <c r="EZ163" s="270"/>
      <c r="FA163" s="270"/>
      <c r="FB163" s="270"/>
      <c r="FC163" s="270"/>
      <c r="FD163" s="270"/>
      <c r="FE163" s="270"/>
      <c r="FF163" s="270"/>
      <c r="FG163" s="270"/>
      <c r="FH163" s="270"/>
      <c r="FI163" s="270"/>
      <c r="FJ163" s="270"/>
      <c r="FK163" s="270"/>
      <c r="FL163" s="270"/>
      <c r="FM163" s="270"/>
      <c r="FN163" s="270"/>
      <c r="FO163" s="270"/>
      <c r="FP163" s="270"/>
      <c r="FQ163" s="270"/>
      <c r="FR163" s="270"/>
      <c r="FS163" s="270"/>
      <c r="FT163" s="270"/>
      <c r="FU163" s="270"/>
      <c r="FV163" s="270"/>
      <c r="FW163" s="270"/>
      <c r="FX163" s="270"/>
      <c r="FY163" s="270"/>
      <c r="FZ163" s="270"/>
      <c r="GA163" s="270"/>
      <c r="GB163" s="270"/>
      <c r="GC163" s="270"/>
      <c r="GD163" s="270"/>
      <c r="GE163" s="270"/>
      <c r="GF163" s="270"/>
      <c r="GG163" s="270"/>
      <c r="GH163" s="270"/>
      <c r="GI163" s="270"/>
      <c r="GJ163" s="270"/>
      <c r="GK163" s="270"/>
      <c r="GL163" s="270"/>
      <c r="GM163" s="270"/>
    </row>
    <row r="164">
      <c r="B164" s="439" t="s">
        <v>578</v>
      </c>
      <c r="C164" s="136"/>
      <c r="D164" s="136"/>
      <c r="E164" s="136"/>
      <c r="F164" s="136"/>
      <c r="G164" s="136"/>
      <c r="H164" s="136"/>
      <c r="I164" s="136"/>
      <c r="J164" s="136"/>
      <c r="K164" s="136"/>
      <c r="L164" s="136"/>
      <c r="M164" s="136"/>
      <c r="N164" s="136"/>
      <c r="O164" s="136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  <c r="AA164" s="136"/>
      <c r="AB164" s="136"/>
      <c r="AC164" s="136"/>
      <c r="AD164" s="136"/>
      <c r="AE164" s="136"/>
      <c r="AF164" s="136"/>
      <c r="AG164" s="136"/>
      <c r="AH164" s="136"/>
      <c r="AI164" s="136"/>
      <c r="AJ164" s="136"/>
      <c r="AK164" s="136"/>
      <c r="AL164" s="136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>
        <v>663000.0</v>
      </c>
      <c r="AZ164" s="137">
        <v>686319.0</v>
      </c>
      <c r="BA164" s="137">
        <v>928207.0</v>
      </c>
      <c r="BB164" s="137">
        <v>871401.0</v>
      </c>
      <c r="BC164" s="137">
        <v>734694.0</v>
      </c>
      <c r="BD164" s="137">
        <v>696694.0</v>
      </c>
      <c r="BE164" s="137">
        <v>713516.0</v>
      </c>
      <c r="BF164" s="137">
        <v>1005585.0</v>
      </c>
      <c r="BG164" s="137">
        <v>733347.0</v>
      </c>
      <c r="BH164" s="137">
        <v>745727.0</v>
      </c>
      <c r="BI164" s="137">
        <v>745727.0</v>
      </c>
      <c r="BJ164" s="137">
        <v>784207.0</v>
      </c>
      <c r="BK164" s="137">
        <v>921588.0</v>
      </c>
      <c r="BL164" s="137">
        <v>639378.0</v>
      </c>
      <c r="BM164" s="137">
        <v>763808.0</v>
      </c>
      <c r="BN164" s="137">
        <v>827045.0</v>
      </c>
      <c r="BO164" s="137">
        <v>841644.0</v>
      </c>
      <c r="BP164" s="137">
        <v>815265.0</v>
      </c>
      <c r="BQ164" s="137">
        <v>856936.0</v>
      </c>
      <c r="BR164" s="137">
        <v>802090.0</v>
      </c>
      <c r="BS164" s="137">
        <v>866564.0</v>
      </c>
      <c r="BT164" s="137">
        <v>876833.0</v>
      </c>
      <c r="BU164" s="137">
        <v>809052.0</v>
      </c>
      <c r="BV164" s="137">
        <v>915634.0</v>
      </c>
      <c r="BW164" s="137"/>
      <c r="BX164" s="137"/>
      <c r="BY164" s="137"/>
      <c r="BZ164" s="137"/>
      <c r="CA164" s="137"/>
      <c r="CB164" s="137"/>
      <c r="CC164" s="137"/>
      <c r="CD164" s="137"/>
      <c r="CE164" s="137"/>
      <c r="CF164" s="137"/>
      <c r="CG164" s="137"/>
      <c r="CH164" s="137"/>
      <c r="CI164" s="137"/>
      <c r="CJ164" s="137"/>
      <c r="CK164" s="339"/>
      <c r="CL164" s="136"/>
      <c r="CM164" s="141">
        <f t="shared" si="456"/>
        <v>0</v>
      </c>
      <c r="CN164" s="141">
        <f t="shared" si="457"/>
        <v>0</v>
      </c>
      <c r="CO164" s="141">
        <f t="shared" si="458"/>
        <v>0</v>
      </c>
      <c r="CP164" s="141">
        <f t="shared" si="459"/>
        <v>0</v>
      </c>
      <c r="CQ164" s="525">
        <f t="shared" si="460"/>
        <v>0</v>
      </c>
      <c r="CR164" s="141"/>
      <c r="CS164" s="141">
        <f t="shared" si="461"/>
        <v>2324774</v>
      </c>
      <c r="CT164" s="141">
        <f t="shared" si="462"/>
        <v>2483954</v>
      </c>
      <c r="CU164" s="141">
        <f t="shared" si="463"/>
        <v>2525590</v>
      </c>
      <c r="CV164" s="440">
        <f t="shared" si="464"/>
        <v>2601519</v>
      </c>
      <c r="CW164" s="440">
        <f t="shared" si="465"/>
        <v>9935837</v>
      </c>
      <c r="CX164" s="136"/>
      <c r="CY164" s="141">
        <f t="shared" si="466"/>
        <v>2277526</v>
      </c>
      <c r="CZ164" s="141">
        <f t="shared" si="467"/>
        <v>2302789</v>
      </c>
      <c r="DA164" s="141">
        <f t="shared" si="468"/>
        <v>2452448</v>
      </c>
      <c r="DB164" s="440">
        <f t="shared" si="469"/>
        <v>2275661</v>
      </c>
      <c r="DC164" s="440">
        <f t="shared" si="470"/>
        <v>9308424</v>
      </c>
      <c r="DD164" s="54"/>
      <c r="DE164" s="141">
        <f t="shared" si="471"/>
        <v>0</v>
      </c>
      <c r="DF164" s="141">
        <f t="shared" si="472"/>
        <v>0</v>
      </c>
      <c r="DG164" s="141">
        <f t="shared" si="473"/>
        <v>0</v>
      </c>
      <c r="DH164" s="440">
        <f t="shared" si="474"/>
        <v>0</v>
      </c>
      <c r="DI164" s="440">
        <f t="shared" si="475"/>
        <v>0</v>
      </c>
      <c r="DJ164" s="284"/>
      <c r="DK164" s="136"/>
      <c r="DL164" s="136"/>
      <c r="DM164" s="136"/>
      <c r="DN164" s="136"/>
      <c r="DO164" s="292"/>
      <c r="DP164" s="284"/>
      <c r="DQ164" s="292"/>
      <c r="DR164" s="284"/>
      <c r="DS164" s="136"/>
      <c r="DT164" s="136"/>
      <c r="DU164" s="136"/>
      <c r="DV164" s="136"/>
      <c r="DW164" s="136"/>
      <c r="DX164" s="136"/>
      <c r="DY164" s="136"/>
      <c r="DZ164" s="136"/>
      <c r="EA164" s="136"/>
      <c r="EB164" s="136"/>
      <c r="EC164" s="136"/>
      <c r="ED164" s="136"/>
      <c r="EE164" s="136"/>
      <c r="EF164" s="136"/>
      <c r="EG164" s="136"/>
      <c r="EH164" s="136"/>
      <c r="EI164" s="136"/>
      <c r="EJ164" s="136"/>
      <c r="EK164" s="136"/>
      <c r="EL164" s="136"/>
      <c r="EM164" s="136"/>
      <c r="EN164" s="136"/>
      <c r="EO164" s="136"/>
      <c r="EP164" s="136"/>
      <c r="EQ164" s="137"/>
      <c r="ER164" s="137"/>
      <c r="ES164" s="137"/>
      <c r="ET164" s="137"/>
      <c r="EU164" s="137"/>
      <c r="EV164" s="137"/>
      <c r="EW164" s="137"/>
      <c r="EX164" s="137"/>
      <c r="EY164" s="137"/>
      <c r="EZ164" s="137"/>
      <c r="FA164" s="137"/>
      <c r="FB164" s="137"/>
      <c r="FC164" s="137"/>
      <c r="FD164" s="137"/>
      <c r="FE164" s="137"/>
      <c r="FF164" s="137"/>
      <c r="FG164" s="137"/>
      <c r="FH164" s="137"/>
      <c r="FI164" s="137"/>
      <c r="FJ164" s="137"/>
      <c r="FK164" s="137"/>
      <c r="FL164" s="137"/>
      <c r="FM164" s="137"/>
      <c r="FN164" s="137"/>
      <c r="FO164" s="137"/>
      <c r="FP164" s="137"/>
      <c r="FQ164" s="137"/>
      <c r="FR164" s="137"/>
      <c r="FS164" s="137"/>
      <c r="FT164" s="137"/>
      <c r="FU164" s="137"/>
      <c r="FV164" s="137"/>
      <c r="FW164" s="137"/>
      <c r="FX164" s="137"/>
      <c r="FY164" s="137"/>
      <c r="FZ164" s="137"/>
      <c r="GA164" s="137"/>
      <c r="GB164" s="137"/>
      <c r="GC164" s="137"/>
      <c r="GD164" s="137"/>
      <c r="GE164" s="137"/>
      <c r="GF164" s="137"/>
      <c r="GG164" s="137"/>
      <c r="GH164" s="137"/>
      <c r="GI164" s="137"/>
      <c r="GJ164" s="137"/>
      <c r="GK164" s="137"/>
      <c r="GL164" s="137"/>
      <c r="GM164" s="137"/>
    </row>
    <row r="165">
      <c r="B165" s="135" t="s">
        <v>579</v>
      </c>
      <c r="AY165" s="137">
        <v>281000.0</v>
      </c>
      <c r="AZ165" s="137">
        <v>156000.0</v>
      </c>
      <c r="BA165" s="137">
        <v>156000.0</v>
      </c>
      <c r="BB165" s="137">
        <v>211000.0</v>
      </c>
      <c r="BC165" s="137">
        <v>211000.0</v>
      </c>
      <c r="BD165" s="137">
        <v>211000.0</v>
      </c>
      <c r="BE165" s="137">
        <v>256000.0</v>
      </c>
      <c r="BF165" s="137">
        <v>256000.0</v>
      </c>
      <c r="BG165" s="137">
        <v>256000.0</v>
      </c>
      <c r="BH165" s="137">
        <v>256000.0</v>
      </c>
      <c r="BI165" s="137">
        <v>256000.0</v>
      </c>
      <c r="BJ165" s="137">
        <v>256000.0</v>
      </c>
      <c r="BK165" s="137">
        <f>195685+5331.03</f>
        <v>201016.03</v>
      </c>
      <c r="BL165" s="137">
        <f>161625+2681.73</f>
        <v>164306.73</v>
      </c>
      <c r="BM165" s="137">
        <f>169396-285.54</f>
        <v>169110.46</v>
      </c>
      <c r="BN165" s="137">
        <v>175920.0</v>
      </c>
      <c r="BO165" s="137">
        <v>176297.0</v>
      </c>
      <c r="BP165" s="137">
        <v>176070.0</v>
      </c>
      <c r="BQ165" s="137">
        <v>176470.0</v>
      </c>
      <c r="BR165" s="137">
        <v>178385.0</v>
      </c>
      <c r="BS165" s="137">
        <v>178721.0</v>
      </c>
      <c r="BT165" s="137">
        <v>177701.0</v>
      </c>
      <c r="BU165" s="137">
        <v>177701.0</v>
      </c>
      <c r="BV165" s="137">
        <v>177701.0</v>
      </c>
      <c r="BW165" s="137">
        <v>714067.39</v>
      </c>
      <c r="BX165" s="137">
        <v>902384.85</v>
      </c>
      <c r="BY165" s="137">
        <v>726860.39</v>
      </c>
      <c r="BZ165" s="137">
        <v>741810.39</v>
      </c>
      <c r="CA165" s="137">
        <v>714627.11</v>
      </c>
      <c r="CB165" s="137">
        <v>729710.39</v>
      </c>
      <c r="CC165" s="137">
        <v>753291.64</v>
      </c>
      <c r="CD165" s="137">
        <v>894722.11</v>
      </c>
      <c r="CE165" s="137">
        <v>684805.39</v>
      </c>
      <c r="CF165" s="137">
        <v>689755.39</v>
      </c>
      <c r="CG165" s="137">
        <v>672604.78</v>
      </c>
      <c r="CH165" s="137">
        <v>710819.31</v>
      </c>
      <c r="CI165" s="137"/>
      <c r="CJ165" s="137"/>
      <c r="CK165" s="42"/>
      <c r="CM165" s="141">
        <f t="shared" si="456"/>
        <v>2343312.63</v>
      </c>
      <c r="CN165" s="141">
        <f t="shared" si="457"/>
        <v>2186147.89</v>
      </c>
      <c r="CO165" s="141">
        <f t="shared" si="458"/>
        <v>2332819.14</v>
      </c>
      <c r="CP165" s="141">
        <f t="shared" si="459"/>
        <v>2073179.48</v>
      </c>
      <c r="CQ165" s="525">
        <f t="shared" si="460"/>
        <v>8935459.14</v>
      </c>
      <c r="CR165" s="141"/>
      <c r="CS165" s="141">
        <f t="shared" si="461"/>
        <v>534433.22</v>
      </c>
      <c r="CT165" s="141">
        <f t="shared" si="462"/>
        <v>528287</v>
      </c>
      <c r="CU165" s="141">
        <f t="shared" si="463"/>
        <v>533576</v>
      </c>
      <c r="CV165" s="440">
        <f t="shared" si="464"/>
        <v>533103</v>
      </c>
      <c r="CW165" s="440">
        <f t="shared" si="465"/>
        <v>2129399.22</v>
      </c>
      <c r="CY165" s="141">
        <f t="shared" si="466"/>
        <v>593000</v>
      </c>
      <c r="CZ165" s="141">
        <f t="shared" si="467"/>
        <v>633000</v>
      </c>
      <c r="DA165" s="141">
        <f t="shared" si="468"/>
        <v>768000</v>
      </c>
      <c r="DB165" s="440">
        <f t="shared" si="469"/>
        <v>768000</v>
      </c>
      <c r="DC165" s="440">
        <f t="shared" si="470"/>
        <v>2762000</v>
      </c>
      <c r="DD165" s="54"/>
      <c r="DE165" s="141">
        <f t="shared" si="471"/>
        <v>0</v>
      </c>
      <c r="DF165" s="141">
        <f t="shared" si="472"/>
        <v>0</v>
      </c>
      <c r="DG165" s="141">
        <f t="shared" si="473"/>
        <v>0</v>
      </c>
      <c r="DH165" s="440">
        <f t="shared" si="474"/>
        <v>0</v>
      </c>
      <c r="DI165" s="440">
        <f t="shared" si="475"/>
        <v>0</v>
      </c>
      <c r="DK165" s="2"/>
      <c r="DL165" s="2"/>
      <c r="DM165" s="2"/>
      <c r="DN165" s="2"/>
      <c r="FB165" s="3"/>
      <c r="FC165" s="137"/>
      <c r="FD165" s="137"/>
      <c r="FE165" s="137"/>
      <c r="FF165" s="137"/>
      <c r="FG165" s="137"/>
      <c r="FH165" s="137"/>
      <c r="FI165" s="137"/>
      <c r="FJ165" s="137"/>
      <c r="FK165" s="137"/>
      <c r="FL165" s="137"/>
      <c r="FM165" s="137"/>
      <c r="FN165" s="137"/>
      <c r="FO165" s="137"/>
      <c r="FP165" s="137"/>
      <c r="FQ165" s="137"/>
      <c r="FR165" s="137"/>
      <c r="FS165" s="137"/>
      <c r="FT165" s="137"/>
      <c r="FU165" s="137"/>
      <c r="FV165" s="137"/>
      <c r="FW165" s="137"/>
      <c r="FX165" s="137"/>
      <c r="FY165" s="137"/>
      <c r="FZ165" s="137"/>
      <c r="GA165" s="137"/>
      <c r="GB165" s="137"/>
      <c r="GC165" s="137"/>
      <c r="GD165" s="137"/>
      <c r="GE165" s="137"/>
      <c r="GF165" s="137"/>
      <c r="GG165" s="137"/>
      <c r="GH165" s="137"/>
      <c r="GI165" s="137"/>
      <c r="GJ165" s="137"/>
      <c r="GK165" s="137"/>
      <c r="GL165" s="137"/>
      <c r="GM165" s="137"/>
    </row>
    <row r="166">
      <c r="B166" s="439" t="s">
        <v>580</v>
      </c>
      <c r="AY166" s="137">
        <v>430000.0</v>
      </c>
      <c r="AZ166" s="137">
        <v>245000.0</v>
      </c>
      <c r="BA166" s="137">
        <v>245000.0</v>
      </c>
      <c r="BB166" s="137">
        <v>310000.0</v>
      </c>
      <c r="BC166" s="137">
        <v>310000.0</v>
      </c>
      <c r="BD166" s="137">
        <v>310000.0</v>
      </c>
      <c r="BE166" s="137">
        <v>350000.0</v>
      </c>
      <c r="BF166" s="137">
        <v>350000.0</v>
      </c>
      <c r="BG166" s="137">
        <v>350000.0</v>
      </c>
      <c r="BH166" s="137">
        <v>390000.0</v>
      </c>
      <c r="BI166" s="137">
        <v>390000.0</v>
      </c>
      <c r="BJ166" s="137">
        <v>390000.0</v>
      </c>
      <c r="BK166" s="137">
        <f t="shared" ref="BK166:BV166" si="476">SUM(BK167:BK168)</f>
        <v>234994</v>
      </c>
      <c r="BL166" s="137">
        <f t="shared" si="476"/>
        <v>201697</v>
      </c>
      <c r="BM166" s="137">
        <f t="shared" si="476"/>
        <v>179195</v>
      </c>
      <c r="BN166" s="137">
        <f t="shared" si="476"/>
        <v>271046</v>
      </c>
      <c r="BO166" s="137">
        <f t="shared" si="476"/>
        <v>543206</v>
      </c>
      <c r="BP166" s="137">
        <f t="shared" si="476"/>
        <v>522190</v>
      </c>
      <c r="BQ166" s="137">
        <f t="shared" si="476"/>
        <v>205046</v>
      </c>
      <c r="BR166" s="137">
        <f t="shared" si="476"/>
        <v>554046</v>
      </c>
      <c r="BS166" s="137">
        <f t="shared" si="476"/>
        <v>261546</v>
      </c>
      <c r="BT166" s="137">
        <f t="shared" si="476"/>
        <v>310046</v>
      </c>
      <c r="BU166" s="137">
        <f t="shared" si="476"/>
        <v>268890</v>
      </c>
      <c r="BV166" s="137">
        <f t="shared" si="476"/>
        <v>231046</v>
      </c>
      <c r="BW166" s="137">
        <v>826764.59</v>
      </c>
      <c r="BX166" s="137">
        <v>875923.38</v>
      </c>
      <c r="BY166" s="137">
        <v>1080440.0</v>
      </c>
      <c r="BZ166" s="137">
        <v>963380.0</v>
      </c>
      <c r="CA166" s="137">
        <v>1240374.0</v>
      </c>
      <c r="CB166" s="137">
        <v>1315281.0</v>
      </c>
      <c r="CC166" s="137">
        <v>1020671.0</v>
      </c>
      <c r="CD166" s="137">
        <v>950211.0</v>
      </c>
      <c r="CE166" s="137">
        <v>1103387.0</v>
      </c>
      <c r="CF166" s="137">
        <v>1079169.39</v>
      </c>
      <c r="CG166" s="137">
        <v>962435.0</v>
      </c>
      <c r="CH166" s="137">
        <v>944451.17</v>
      </c>
      <c r="CI166" s="137"/>
      <c r="CJ166" s="137"/>
      <c r="CK166" s="42"/>
      <c r="CM166" s="141">
        <f t="shared" si="456"/>
        <v>2783127.97</v>
      </c>
      <c r="CN166" s="141">
        <f t="shared" si="457"/>
        <v>3519035</v>
      </c>
      <c r="CO166" s="141">
        <f t="shared" si="458"/>
        <v>3074269</v>
      </c>
      <c r="CP166" s="141">
        <f t="shared" si="459"/>
        <v>2986055.56</v>
      </c>
      <c r="CQ166" s="525">
        <f t="shared" si="460"/>
        <v>12362487.53</v>
      </c>
      <c r="CR166" s="141"/>
      <c r="CS166" s="141">
        <f t="shared" si="461"/>
        <v>615886</v>
      </c>
      <c r="CT166" s="141">
        <f t="shared" si="462"/>
        <v>1336442</v>
      </c>
      <c r="CU166" s="141">
        <f t="shared" si="463"/>
        <v>1020638</v>
      </c>
      <c r="CV166" s="440">
        <f t="shared" si="464"/>
        <v>809982</v>
      </c>
      <c r="CW166" s="440">
        <f t="shared" si="465"/>
        <v>3782948</v>
      </c>
      <c r="CY166" s="141">
        <f t="shared" si="466"/>
        <v>920000</v>
      </c>
      <c r="CZ166" s="141">
        <f t="shared" si="467"/>
        <v>930000</v>
      </c>
      <c r="DA166" s="141">
        <f t="shared" si="468"/>
        <v>1050000</v>
      </c>
      <c r="DB166" s="440">
        <f t="shared" si="469"/>
        <v>1170000</v>
      </c>
      <c r="DC166" s="440">
        <f t="shared" si="470"/>
        <v>4070000</v>
      </c>
      <c r="DD166" s="54"/>
      <c r="DE166" s="141">
        <f t="shared" si="471"/>
        <v>0</v>
      </c>
      <c r="DF166" s="141">
        <f t="shared" si="472"/>
        <v>0</v>
      </c>
      <c r="DG166" s="141">
        <f t="shared" si="473"/>
        <v>0</v>
      </c>
      <c r="DH166" s="440">
        <f t="shared" si="474"/>
        <v>0</v>
      </c>
      <c r="DI166" s="440">
        <f t="shared" si="475"/>
        <v>0</v>
      </c>
      <c r="DK166" s="2"/>
      <c r="DL166" s="2"/>
      <c r="DM166" s="2"/>
      <c r="DN166" s="2"/>
      <c r="FB166" s="3"/>
      <c r="FC166" s="137"/>
      <c r="FD166" s="137"/>
      <c r="FE166" s="137"/>
      <c r="FF166" s="137"/>
      <c r="FG166" s="137"/>
      <c r="FH166" s="137"/>
      <c r="FI166" s="137"/>
      <c r="FJ166" s="137"/>
      <c r="FK166" s="137"/>
      <c r="FL166" s="137"/>
      <c r="FM166" s="137"/>
      <c r="FN166" s="137"/>
      <c r="FO166" s="137"/>
      <c r="FP166" s="137"/>
      <c r="FQ166" s="137"/>
      <c r="FR166" s="137"/>
      <c r="FS166" s="137"/>
      <c r="FT166" s="137"/>
      <c r="FU166" s="137"/>
      <c r="FV166" s="137"/>
      <c r="FW166" s="137"/>
      <c r="FX166" s="137"/>
      <c r="FY166" s="137"/>
      <c r="FZ166" s="137"/>
      <c r="GA166" s="137"/>
      <c r="GB166" s="137"/>
      <c r="GC166" s="137"/>
      <c r="GD166" s="137"/>
      <c r="GE166" s="137"/>
      <c r="GF166" s="137"/>
      <c r="GG166" s="137"/>
      <c r="GH166" s="137"/>
      <c r="GI166" s="137"/>
      <c r="GJ166" s="137"/>
      <c r="GK166" s="137"/>
      <c r="GL166" s="137"/>
      <c r="GM166" s="137"/>
    </row>
    <row r="167">
      <c r="B167" s="495" t="s">
        <v>573</v>
      </c>
      <c r="AY167" s="137"/>
      <c r="AZ167" s="137"/>
      <c r="BA167" s="137"/>
      <c r="BB167" s="137"/>
      <c r="BC167" s="137"/>
      <c r="BD167" s="137"/>
      <c r="BE167" s="137"/>
      <c r="BF167" s="137"/>
      <c r="BG167" s="137"/>
      <c r="BH167" s="137"/>
      <c r="BI167" s="137"/>
      <c r="BJ167" s="137"/>
      <c r="BK167" s="137">
        <v>31300.0</v>
      </c>
      <c r="BL167" s="137">
        <v>57654.0</v>
      </c>
      <c r="BM167" s="137">
        <v>82973.0</v>
      </c>
      <c r="BN167" s="137">
        <v>111046.0</v>
      </c>
      <c r="BO167" s="137">
        <v>317988.0</v>
      </c>
      <c r="BP167" s="137">
        <v>295161.0</v>
      </c>
      <c r="BQ167" s="137">
        <v>35046.0</v>
      </c>
      <c r="BR167" s="137">
        <v>34046.0</v>
      </c>
      <c r="BS167" s="137">
        <v>91546.0</v>
      </c>
      <c r="BT167" s="137">
        <v>140046.0</v>
      </c>
      <c r="BU167" s="137">
        <v>98890.0</v>
      </c>
      <c r="BV167" s="137">
        <v>61046.0</v>
      </c>
      <c r="BW167" s="137">
        <v>38560.0</v>
      </c>
      <c r="BX167" s="137">
        <v>89723.0</v>
      </c>
      <c r="BY167" s="137">
        <v>171721.0</v>
      </c>
      <c r="BZ167" s="137">
        <v>51310.0</v>
      </c>
      <c r="CA167" s="137">
        <v>364035.0</v>
      </c>
      <c r="CB167" s="137">
        <v>421013.0</v>
      </c>
      <c r="CC167" s="137">
        <v>38960.0</v>
      </c>
      <c r="CD167" s="137">
        <v>91355.0</v>
      </c>
      <c r="CE167" s="137">
        <v>207473.0</v>
      </c>
      <c r="CF167" s="137">
        <v>167340.0</v>
      </c>
      <c r="CG167" s="137">
        <v>100253.0</v>
      </c>
      <c r="CH167" s="137">
        <v>28140.0</v>
      </c>
      <c r="CI167" s="137"/>
      <c r="CJ167" s="137"/>
      <c r="CK167" s="42"/>
      <c r="CM167" s="141">
        <f t="shared" si="456"/>
        <v>300004</v>
      </c>
      <c r="CN167" s="141">
        <f t="shared" si="457"/>
        <v>836358</v>
      </c>
      <c r="CO167" s="141">
        <f t="shared" si="458"/>
        <v>337788</v>
      </c>
      <c r="CP167" s="141">
        <f t="shared" si="459"/>
        <v>295733</v>
      </c>
      <c r="CQ167" s="525">
        <f t="shared" si="460"/>
        <v>1769883</v>
      </c>
      <c r="CR167" s="141"/>
      <c r="CS167" s="141">
        <f t="shared" si="461"/>
        <v>171927</v>
      </c>
      <c r="CT167" s="141">
        <f t="shared" si="462"/>
        <v>724195</v>
      </c>
      <c r="CU167" s="141">
        <f t="shared" si="463"/>
        <v>160638</v>
      </c>
      <c r="CV167" s="440">
        <f t="shared" si="464"/>
        <v>299982</v>
      </c>
      <c r="CW167" s="440">
        <f t="shared" si="465"/>
        <v>1356742</v>
      </c>
      <c r="DK167" s="2"/>
      <c r="DL167" s="2"/>
      <c r="DM167" s="2"/>
      <c r="DN167" s="2"/>
      <c r="FB167" s="3"/>
      <c r="FC167" s="137"/>
      <c r="FD167" s="137"/>
      <c r="FE167" s="137"/>
      <c r="FF167" s="137"/>
      <c r="FG167" s="137"/>
      <c r="FH167" s="137"/>
      <c r="FI167" s="137"/>
      <c r="FJ167" s="137"/>
      <c r="FK167" s="137"/>
      <c r="FL167" s="137"/>
      <c r="FM167" s="137"/>
      <c r="FN167" s="137"/>
      <c r="FO167" s="137"/>
      <c r="FP167" s="137"/>
      <c r="FQ167" s="137"/>
      <c r="FR167" s="137"/>
      <c r="FS167" s="137"/>
      <c r="FT167" s="137"/>
      <c r="FU167" s="137"/>
      <c r="FV167" s="137"/>
      <c r="FW167" s="137"/>
      <c r="FX167" s="137"/>
      <c r="FY167" s="137"/>
      <c r="FZ167" s="137"/>
      <c r="GA167" s="137"/>
      <c r="GB167" s="137"/>
      <c r="GC167" s="137"/>
      <c r="GD167" s="137"/>
      <c r="GE167" s="137"/>
      <c r="GF167" s="137"/>
      <c r="GG167" s="137"/>
      <c r="GH167" s="137"/>
      <c r="GI167" s="137"/>
      <c r="GJ167" s="137"/>
      <c r="GK167" s="137"/>
      <c r="GL167" s="137"/>
      <c r="GM167" s="137"/>
    </row>
    <row r="168">
      <c r="B168" s="495" t="s">
        <v>574</v>
      </c>
      <c r="AY168" s="137"/>
      <c r="AZ168" s="137"/>
      <c r="BA168" s="137"/>
      <c r="BB168" s="137"/>
      <c r="BC168" s="137"/>
      <c r="BD168" s="137"/>
      <c r="BE168" s="137"/>
      <c r="BF168" s="137"/>
      <c r="BG168" s="137"/>
      <c r="BH168" s="137"/>
      <c r="BI168" s="137"/>
      <c r="BJ168" s="137"/>
      <c r="BK168" s="137">
        <v>203694.0</v>
      </c>
      <c r="BL168" s="137">
        <v>144043.0</v>
      </c>
      <c r="BM168" s="137">
        <v>96222.0</v>
      </c>
      <c r="BN168" s="137">
        <v>160000.0</v>
      </c>
      <c r="BO168" s="137">
        <v>225218.0</v>
      </c>
      <c r="BP168" s="137">
        <v>227029.0</v>
      </c>
      <c r="BQ168" s="137">
        <v>170000.0</v>
      </c>
      <c r="BR168" s="137">
        <v>520000.0</v>
      </c>
      <c r="BS168" s="137">
        <v>170000.0</v>
      </c>
      <c r="BT168" s="137">
        <v>170000.0</v>
      </c>
      <c r="BU168" s="137">
        <v>170000.0</v>
      </c>
      <c r="BV168" s="137">
        <v>170000.0</v>
      </c>
      <c r="BW168" s="137">
        <v>125000.0</v>
      </c>
      <c r="BX168" s="137">
        <v>150000.0</v>
      </c>
      <c r="BY168" s="137">
        <v>100000.0</v>
      </c>
      <c r="BZ168" s="137">
        <v>100000.0</v>
      </c>
      <c r="CA168" s="137">
        <v>100000.0</v>
      </c>
      <c r="CB168" s="137">
        <v>100000.0</v>
      </c>
      <c r="CC168" s="137">
        <v>100000.0</v>
      </c>
      <c r="CD168" s="137">
        <v>150000.0</v>
      </c>
      <c r="CE168" s="137">
        <v>100000.0</v>
      </c>
      <c r="CF168" s="137">
        <v>100000.0</v>
      </c>
      <c r="CG168" s="137">
        <v>100000.0</v>
      </c>
      <c r="CH168" s="137">
        <v>100000.0</v>
      </c>
      <c r="CI168" s="137"/>
      <c r="CJ168" s="137"/>
      <c r="CK168" s="42"/>
      <c r="CM168" s="141">
        <f t="shared" si="456"/>
        <v>375000</v>
      </c>
      <c r="CN168" s="141">
        <f t="shared" si="457"/>
        <v>300000</v>
      </c>
      <c r="CO168" s="141">
        <f t="shared" si="458"/>
        <v>350000</v>
      </c>
      <c r="CP168" s="141">
        <f t="shared" si="459"/>
        <v>300000</v>
      </c>
      <c r="CQ168" s="525">
        <f t="shared" si="460"/>
        <v>1325000</v>
      </c>
      <c r="CR168" s="141"/>
      <c r="CS168" s="141">
        <f t="shared" si="461"/>
        <v>443959</v>
      </c>
      <c r="CT168" s="141">
        <f t="shared" si="462"/>
        <v>612247</v>
      </c>
      <c r="CU168" s="141">
        <f t="shared" si="463"/>
        <v>860000</v>
      </c>
      <c r="CV168" s="440">
        <f t="shared" si="464"/>
        <v>510000</v>
      </c>
      <c r="CW168" s="440">
        <f t="shared" si="465"/>
        <v>2426206</v>
      </c>
      <c r="DK168" s="2"/>
      <c r="DL168" s="2"/>
      <c r="DM168" s="2"/>
      <c r="DN168" s="2"/>
      <c r="FB168" s="3"/>
      <c r="FC168" s="137"/>
      <c r="FD168" s="137"/>
      <c r="FE168" s="137"/>
      <c r="FF168" s="137"/>
      <c r="FG168" s="137"/>
      <c r="FH168" s="137"/>
      <c r="FI168" s="137"/>
      <c r="FJ168" s="137"/>
      <c r="FK168" s="137"/>
      <c r="FL168" s="137"/>
      <c r="FM168" s="137"/>
      <c r="FN168" s="137"/>
      <c r="FO168" s="137"/>
      <c r="FP168" s="137"/>
      <c r="FQ168" s="137"/>
      <c r="FR168" s="137"/>
      <c r="FS168" s="137"/>
      <c r="FT168" s="137"/>
      <c r="FU168" s="137"/>
      <c r="FV168" s="137"/>
      <c r="FW168" s="137"/>
      <c r="FX168" s="137"/>
      <c r="FY168" s="137"/>
      <c r="FZ168" s="137"/>
      <c r="GA168" s="137"/>
      <c r="GB168" s="137"/>
      <c r="GC168" s="137"/>
      <c r="GD168" s="137"/>
      <c r="GE168" s="137"/>
      <c r="GF168" s="137"/>
      <c r="GG168" s="137"/>
      <c r="GH168" s="137"/>
      <c r="GI168" s="137"/>
      <c r="GJ168" s="137"/>
      <c r="GK168" s="137"/>
      <c r="GL168" s="137"/>
      <c r="GM168" s="137"/>
    </row>
    <row r="169">
      <c r="B169" s="526"/>
      <c r="C169" s="375"/>
      <c r="D169" s="375"/>
      <c r="E169" s="375"/>
      <c r="F169" s="375"/>
      <c r="G169" s="375"/>
      <c r="H169" s="375"/>
      <c r="I169" s="375"/>
      <c r="J169" s="375"/>
      <c r="K169" s="375"/>
      <c r="L169" s="375"/>
      <c r="M169" s="375"/>
      <c r="N169" s="375"/>
      <c r="O169" s="375"/>
      <c r="P169" s="375"/>
      <c r="Q169" s="375"/>
      <c r="R169" s="375"/>
      <c r="S169" s="375"/>
      <c r="T169" s="375"/>
      <c r="U169" s="375"/>
      <c r="V169" s="375"/>
      <c r="W169" s="375"/>
      <c r="X169" s="375"/>
      <c r="Y169" s="375"/>
      <c r="Z169" s="375"/>
      <c r="AA169" s="375"/>
      <c r="AB169" s="375"/>
      <c r="AC169" s="375"/>
      <c r="AD169" s="375"/>
      <c r="AE169" s="375"/>
      <c r="AF169" s="375"/>
      <c r="AG169" s="375"/>
      <c r="AH169" s="375"/>
      <c r="AI169" s="375"/>
      <c r="AJ169" s="375"/>
      <c r="AK169" s="375"/>
      <c r="AL169" s="375"/>
      <c r="AM169" s="527"/>
      <c r="AN169" s="527"/>
      <c r="AO169" s="527"/>
      <c r="AP169" s="527"/>
      <c r="AQ169" s="527"/>
      <c r="AR169" s="375"/>
      <c r="AS169" s="375"/>
      <c r="AT169" s="375"/>
      <c r="AU169" s="375"/>
      <c r="AV169" s="375"/>
      <c r="AW169" s="375"/>
      <c r="AX169" s="375"/>
      <c r="AY169" s="375"/>
      <c r="AZ169" s="375"/>
      <c r="BA169" s="375"/>
      <c r="BB169" s="375"/>
      <c r="BC169" s="375"/>
      <c r="BD169" s="375"/>
      <c r="BE169" s="375"/>
      <c r="BF169" s="375"/>
      <c r="BG169" s="375"/>
      <c r="BH169" s="375"/>
      <c r="BI169" s="375"/>
      <c r="BJ169" s="375"/>
      <c r="BK169" s="375"/>
      <c r="BL169" s="375"/>
      <c r="BM169" s="375"/>
      <c r="BN169" s="375"/>
      <c r="BO169" s="375"/>
      <c r="BP169" s="375"/>
      <c r="BQ169" s="375"/>
      <c r="BR169" s="375"/>
      <c r="BS169" s="375"/>
      <c r="BT169" s="375"/>
      <c r="BU169" s="375"/>
      <c r="BV169" s="375"/>
      <c r="BW169" s="528"/>
      <c r="BX169" s="528"/>
      <c r="BY169" s="528"/>
      <c r="BZ169" s="528"/>
      <c r="CA169" s="528"/>
      <c r="CB169" s="528"/>
      <c r="CC169" s="528"/>
      <c r="CD169" s="528"/>
      <c r="CE169" s="528"/>
      <c r="CF169" s="528"/>
      <c r="CG169" s="528"/>
      <c r="CH169" s="528"/>
      <c r="CI169" s="129"/>
      <c r="CJ169" s="129"/>
      <c r="CK169" s="529"/>
      <c r="CL169" s="375"/>
      <c r="CM169" s="375"/>
      <c r="CN169" s="375"/>
      <c r="CO169" s="375"/>
      <c r="CP169" s="375"/>
      <c r="CQ169" s="529"/>
      <c r="CR169" s="375"/>
      <c r="CS169" s="375"/>
      <c r="CT169" s="375"/>
      <c r="CU169" s="375"/>
      <c r="CV169" s="375"/>
      <c r="CW169" s="530"/>
      <c r="CX169" s="375"/>
      <c r="CY169" s="375"/>
      <c r="CZ169" s="375"/>
      <c r="DA169" s="375"/>
      <c r="DB169" s="375"/>
      <c r="DC169" s="375"/>
      <c r="DD169" s="375"/>
      <c r="DE169" s="375"/>
      <c r="DF169" s="375"/>
      <c r="DG169" s="375"/>
      <c r="DH169" s="375"/>
      <c r="DI169" s="375"/>
      <c r="DJ169" s="375"/>
      <c r="DK169" s="375"/>
      <c r="DL169" s="375"/>
      <c r="DM169" s="375"/>
      <c r="DN169" s="375"/>
      <c r="DO169" s="375"/>
      <c r="DP169" s="375"/>
      <c r="DQ169" s="375"/>
      <c r="DR169" s="375"/>
      <c r="DS169" s="375"/>
      <c r="DT169" s="375"/>
      <c r="DU169" s="375"/>
      <c r="DV169" s="375"/>
      <c r="DW169" s="375"/>
      <c r="DX169" s="375"/>
      <c r="DY169" s="375"/>
      <c r="DZ169" s="375"/>
      <c r="EA169" s="375"/>
      <c r="EB169" s="375"/>
      <c r="EC169" s="375"/>
      <c r="ED169" s="375"/>
      <c r="EE169" s="375"/>
      <c r="EF169" s="375"/>
      <c r="EG169" s="375"/>
      <c r="EH169" s="375"/>
      <c r="EI169" s="375"/>
      <c r="EJ169" s="375"/>
      <c r="EK169" s="375"/>
      <c r="EL169" s="375"/>
      <c r="EM169" s="375"/>
      <c r="EN169" s="375"/>
      <c r="EO169" s="375"/>
      <c r="EP169" s="375"/>
      <c r="EQ169" s="527"/>
      <c r="ER169" s="527"/>
      <c r="ES169" s="527"/>
      <c r="ET169" s="527"/>
      <c r="EU169" s="527"/>
      <c r="EV169" s="375"/>
      <c r="EW169" s="375"/>
      <c r="EX169" s="375"/>
      <c r="EY169" s="375"/>
      <c r="EZ169" s="375"/>
      <c r="FA169" s="375"/>
      <c r="FB169" s="44"/>
      <c r="FC169" s="375"/>
      <c r="FD169" s="375"/>
      <c r="FE169" s="375"/>
      <c r="FF169" s="375"/>
      <c r="FG169" s="375"/>
      <c r="FH169" s="375"/>
      <c r="FI169" s="375"/>
      <c r="FJ169" s="375"/>
      <c r="FK169" s="375"/>
      <c r="FL169" s="375"/>
      <c r="FM169" s="375"/>
      <c r="FN169" s="375"/>
      <c r="FO169" s="375"/>
      <c r="FP169" s="375"/>
      <c r="FQ169" s="375"/>
      <c r="FR169" s="375"/>
      <c r="FS169" s="375"/>
      <c r="FT169" s="375"/>
      <c r="FU169" s="375"/>
      <c r="FV169" s="375"/>
      <c r="FW169" s="375"/>
      <c r="FX169" s="375"/>
      <c r="FY169" s="375"/>
      <c r="FZ169" s="375"/>
      <c r="GA169" s="375"/>
      <c r="GB169" s="375"/>
      <c r="GC169" s="375"/>
      <c r="GD169" s="375"/>
      <c r="GE169" s="375"/>
      <c r="GF169" s="375"/>
      <c r="GG169" s="375"/>
      <c r="GH169" s="375"/>
      <c r="GI169" s="375"/>
      <c r="GJ169" s="375"/>
      <c r="GK169" s="375"/>
      <c r="GL169" s="375"/>
      <c r="GM169" s="375"/>
    </row>
    <row r="170">
      <c r="B170" s="63" t="s">
        <v>312</v>
      </c>
      <c r="C170" s="65">
        <f t="shared" ref="C170:BV170" si="477">SUM(C171:C172)</f>
        <v>0</v>
      </c>
      <c r="D170" s="65">
        <f t="shared" si="477"/>
        <v>0</v>
      </c>
      <c r="E170" s="65">
        <f t="shared" si="477"/>
        <v>0</v>
      </c>
      <c r="F170" s="65">
        <f t="shared" si="477"/>
        <v>0</v>
      </c>
      <c r="G170" s="65">
        <f t="shared" si="477"/>
        <v>0</v>
      </c>
      <c r="H170" s="65">
        <f t="shared" si="477"/>
        <v>0</v>
      </c>
      <c r="I170" s="65">
        <f t="shared" si="477"/>
        <v>0</v>
      </c>
      <c r="J170" s="65">
        <f t="shared" si="477"/>
        <v>0</v>
      </c>
      <c r="K170" s="65">
        <f t="shared" si="477"/>
        <v>0</v>
      </c>
      <c r="L170" s="65">
        <f t="shared" si="477"/>
        <v>0</v>
      </c>
      <c r="M170" s="65">
        <f t="shared" si="477"/>
        <v>0</v>
      </c>
      <c r="N170" s="65">
        <f t="shared" si="477"/>
        <v>0</v>
      </c>
      <c r="O170" s="65">
        <f t="shared" si="477"/>
        <v>0</v>
      </c>
      <c r="P170" s="65">
        <f t="shared" si="477"/>
        <v>0</v>
      </c>
      <c r="Q170" s="65">
        <f t="shared" si="477"/>
        <v>0</v>
      </c>
      <c r="R170" s="65">
        <f t="shared" si="477"/>
        <v>0</v>
      </c>
      <c r="S170" s="65">
        <f t="shared" si="477"/>
        <v>0</v>
      </c>
      <c r="T170" s="65">
        <f t="shared" si="477"/>
        <v>0</v>
      </c>
      <c r="U170" s="65">
        <f t="shared" si="477"/>
        <v>0</v>
      </c>
      <c r="V170" s="65">
        <f t="shared" si="477"/>
        <v>0</v>
      </c>
      <c r="W170" s="65">
        <f t="shared" si="477"/>
        <v>0</v>
      </c>
      <c r="X170" s="65">
        <f t="shared" si="477"/>
        <v>0</v>
      </c>
      <c r="Y170" s="65">
        <f t="shared" si="477"/>
        <v>0</v>
      </c>
      <c r="Z170" s="65">
        <f t="shared" si="477"/>
        <v>0</v>
      </c>
      <c r="AA170" s="65">
        <f t="shared" si="477"/>
        <v>0</v>
      </c>
      <c r="AB170" s="65">
        <f t="shared" si="477"/>
        <v>0</v>
      </c>
      <c r="AC170" s="65">
        <f t="shared" si="477"/>
        <v>0</v>
      </c>
      <c r="AD170" s="65">
        <f t="shared" si="477"/>
        <v>0</v>
      </c>
      <c r="AE170" s="65">
        <f t="shared" si="477"/>
        <v>0</v>
      </c>
      <c r="AF170" s="65">
        <f t="shared" si="477"/>
        <v>0</v>
      </c>
      <c r="AG170" s="65">
        <f t="shared" si="477"/>
        <v>0</v>
      </c>
      <c r="AH170" s="65">
        <f t="shared" si="477"/>
        <v>0</v>
      </c>
      <c r="AI170" s="65">
        <f t="shared" si="477"/>
        <v>0</v>
      </c>
      <c r="AJ170" s="65">
        <f t="shared" si="477"/>
        <v>0</v>
      </c>
      <c r="AK170" s="65">
        <f t="shared" si="477"/>
        <v>0</v>
      </c>
      <c r="AL170" s="65">
        <f t="shared" si="477"/>
        <v>0</v>
      </c>
      <c r="AM170" s="65">
        <f t="shared" si="477"/>
        <v>0</v>
      </c>
      <c r="AN170" s="65">
        <f t="shared" si="477"/>
        <v>0</v>
      </c>
      <c r="AO170" s="65">
        <f t="shared" si="477"/>
        <v>0</v>
      </c>
      <c r="AP170" s="65">
        <f t="shared" si="477"/>
        <v>0</v>
      </c>
      <c r="AQ170" s="65">
        <f t="shared" si="477"/>
        <v>0</v>
      </c>
      <c r="AR170" s="65">
        <f t="shared" si="477"/>
        <v>0</v>
      </c>
      <c r="AS170" s="65">
        <f t="shared" si="477"/>
        <v>0</v>
      </c>
      <c r="AT170" s="65">
        <f t="shared" si="477"/>
        <v>0</v>
      </c>
      <c r="AU170" s="65">
        <f t="shared" si="477"/>
        <v>0</v>
      </c>
      <c r="AV170" s="65">
        <f t="shared" si="477"/>
        <v>0</v>
      </c>
      <c r="AW170" s="65">
        <f t="shared" si="477"/>
        <v>0</v>
      </c>
      <c r="AX170" s="65">
        <f t="shared" si="477"/>
        <v>0</v>
      </c>
      <c r="AY170" s="65">
        <f t="shared" si="477"/>
        <v>0</v>
      </c>
      <c r="AZ170" s="65">
        <f t="shared" si="477"/>
        <v>0</v>
      </c>
      <c r="BA170" s="65">
        <f t="shared" si="477"/>
        <v>0</v>
      </c>
      <c r="BB170" s="65">
        <f t="shared" si="477"/>
        <v>0</v>
      </c>
      <c r="BC170" s="65">
        <f t="shared" si="477"/>
        <v>0</v>
      </c>
      <c r="BD170" s="65">
        <f t="shared" si="477"/>
        <v>0</v>
      </c>
      <c r="BE170" s="65">
        <f t="shared" si="477"/>
        <v>0</v>
      </c>
      <c r="BF170" s="65">
        <f t="shared" si="477"/>
        <v>0</v>
      </c>
      <c r="BG170" s="65">
        <f t="shared" si="477"/>
        <v>0</v>
      </c>
      <c r="BH170" s="65">
        <f t="shared" si="477"/>
        <v>0</v>
      </c>
      <c r="BI170" s="65">
        <f t="shared" si="477"/>
        <v>0</v>
      </c>
      <c r="BJ170" s="65">
        <f t="shared" si="477"/>
        <v>0</v>
      </c>
      <c r="BK170" s="65">
        <f t="shared" si="477"/>
        <v>0</v>
      </c>
      <c r="BL170" s="65">
        <f t="shared" si="477"/>
        <v>0</v>
      </c>
      <c r="BM170" s="65">
        <f t="shared" si="477"/>
        <v>0</v>
      </c>
      <c r="BN170" s="65">
        <f t="shared" si="477"/>
        <v>0</v>
      </c>
      <c r="BO170" s="65">
        <f t="shared" si="477"/>
        <v>0</v>
      </c>
      <c r="BP170" s="65">
        <f t="shared" si="477"/>
        <v>0</v>
      </c>
      <c r="BQ170" s="65">
        <f t="shared" si="477"/>
        <v>0</v>
      </c>
      <c r="BR170" s="65">
        <f t="shared" si="477"/>
        <v>0</v>
      </c>
      <c r="BS170" s="65">
        <f t="shared" si="477"/>
        <v>0</v>
      </c>
      <c r="BT170" s="65">
        <f t="shared" si="477"/>
        <v>0</v>
      </c>
      <c r="BU170" s="65">
        <f t="shared" si="477"/>
        <v>0</v>
      </c>
      <c r="BV170" s="65">
        <f t="shared" si="477"/>
        <v>0</v>
      </c>
      <c r="BW170" s="65">
        <f t="shared" ref="BW170:CH170" si="478">BW171</f>
        <v>73547</v>
      </c>
      <c r="BX170" s="65">
        <f t="shared" si="478"/>
        <v>78094</v>
      </c>
      <c r="BY170" s="65">
        <f t="shared" si="478"/>
        <v>84594</v>
      </c>
      <c r="BZ170" s="65">
        <f t="shared" si="478"/>
        <v>87847</v>
      </c>
      <c r="CA170" s="65">
        <f t="shared" si="478"/>
        <v>88500</v>
      </c>
      <c r="CB170" s="65">
        <f t="shared" si="478"/>
        <v>90453</v>
      </c>
      <c r="CC170" s="65">
        <f t="shared" si="478"/>
        <v>92406</v>
      </c>
      <c r="CD170" s="65">
        <f t="shared" si="478"/>
        <v>94359</v>
      </c>
      <c r="CE170" s="65">
        <f t="shared" si="478"/>
        <v>95860</v>
      </c>
      <c r="CF170" s="65">
        <f t="shared" si="478"/>
        <v>97813</v>
      </c>
      <c r="CG170" s="65">
        <f t="shared" si="478"/>
        <v>99166</v>
      </c>
      <c r="CH170" s="65">
        <f t="shared" si="478"/>
        <v>101063</v>
      </c>
      <c r="CI170" s="33"/>
      <c r="CJ170" s="33"/>
      <c r="CK170" s="69"/>
      <c r="CL170" s="49"/>
      <c r="CM170" s="270">
        <f t="shared" ref="CM170:CM172" si="479">sum(BW170:BY170)</f>
        <v>236235</v>
      </c>
      <c r="CN170" s="270">
        <f t="shared" ref="CN170:CN172" si="480">sum(BZ170:CB170)</f>
        <v>266800</v>
      </c>
      <c r="CO170" s="270">
        <f t="shared" ref="CO170:CO172" si="481">sum(CC170:CE170)</f>
        <v>282625</v>
      </c>
      <c r="CP170" s="270">
        <f t="shared" ref="CP170:CP172" si="482">sum(CF170:CH170)</f>
        <v>298042</v>
      </c>
      <c r="CQ170" s="69"/>
      <c r="CR170" s="270"/>
      <c r="CS170" s="270"/>
      <c r="CT170" s="270"/>
      <c r="CU170" s="270"/>
      <c r="CV170" s="270"/>
      <c r="CW170" s="121"/>
      <c r="CX170" s="49"/>
      <c r="CY170" s="270"/>
      <c r="CZ170" s="270"/>
      <c r="DA170" s="270"/>
      <c r="DB170" s="270"/>
      <c r="DC170" s="121"/>
      <c r="DD170" s="49"/>
      <c r="DE170" s="270"/>
      <c r="DF170" s="270"/>
      <c r="DG170" s="270"/>
      <c r="DH170" s="270"/>
      <c r="DI170" s="121"/>
      <c r="DJ170" s="49"/>
      <c r="DK170" s="270"/>
      <c r="DL170" s="270"/>
      <c r="DM170" s="270"/>
      <c r="DN170" s="270"/>
      <c r="DO170" s="121"/>
      <c r="DP170" s="49"/>
      <c r="DQ170" s="121"/>
      <c r="DR170" s="136"/>
      <c r="DS170" s="64"/>
      <c r="DT170" s="64"/>
      <c r="DU170" s="64"/>
      <c r="DV170" s="64"/>
      <c r="DW170" s="64"/>
      <c r="DX170" s="64"/>
      <c r="DY170" s="64"/>
      <c r="DZ170" s="64"/>
      <c r="EA170" s="64"/>
      <c r="EB170" s="64"/>
      <c r="EC170" s="64"/>
      <c r="ED170" s="64"/>
      <c r="EE170" s="64"/>
      <c r="EF170" s="64"/>
      <c r="EG170" s="64"/>
      <c r="EH170" s="64"/>
      <c r="EI170" s="64"/>
      <c r="EJ170" s="64"/>
      <c r="EK170" s="64"/>
      <c r="EL170" s="64"/>
      <c r="EM170" s="64"/>
      <c r="EN170" s="64"/>
      <c r="EO170" s="64"/>
      <c r="EP170" s="64"/>
      <c r="EQ170" s="64"/>
      <c r="ER170" s="64"/>
      <c r="ES170" s="64"/>
      <c r="ET170" s="64"/>
      <c r="EU170" s="64"/>
      <c r="EV170" s="64"/>
      <c r="EW170" s="64"/>
      <c r="EX170" s="64"/>
      <c r="EY170" s="64"/>
      <c r="EZ170" s="64"/>
      <c r="FA170" s="64"/>
      <c r="FB170" s="64"/>
      <c r="FC170" s="64"/>
      <c r="FD170" s="64"/>
      <c r="FE170" s="64"/>
      <c r="FF170" s="64"/>
      <c r="FG170" s="64"/>
      <c r="FH170" s="64"/>
      <c r="FI170" s="64"/>
      <c r="FJ170" s="64"/>
      <c r="FK170" s="64"/>
      <c r="FL170" s="64"/>
      <c r="FM170" s="64"/>
      <c r="FN170" s="64"/>
      <c r="FO170" s="64"/>
      <c r="FP170" s="64"/>
      <c r="FQ170" s="64"/>
      <c r="FR170" s="64"/>
      <c r="FS170" s="64"/>
      <c r="FT170" s="64"/>
      <c r="FU170" s="64"/>
      <c r="FV170" s="64"/>
      <c r="FW170" s="64"/>
      <c r="FX170" s="64"/>
      <c r="FY170" s="64"/>
      <c r="FZ170" s="64"/>
      <c r="GA170" s="64"/>
      <c r="GB170" s="64"/>
      <c r="GC170" s="64"/>
      <c r="GD170" s="64"/>
      <c r="GE170" s="64"/>
      <c r="GF170" s="64"/>
      <c r="GG170" s="64"/>
      <c r="GH170" s="64"/>
      <c r="GI170" s="64"/>
      <c r="GJ170" s="64"/>
      <c r="GK170" s="64"/>
      <c r="GL170" s="64"/>
      <c r="GM170" s="64"/>
    </row>
    <row r="171">
      <c r="B171" s="280" t="s">
        <v>312</v>
      </c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352"/>
      <c r="AB171" s="352"/>
      <c r="AC171" s="352"/>
      <c r="AD171" s="352"/>
      <c r="AE171" s="352"/>
      <c r="AF171" s="352"/>
      <c r="AG171" s="352"/>
      <c r="AH171" s="352"/>
      <c r="AI171" s="352"/>
      <c r="AJ171" s="352"/>
      <c r="AK171" s="352"/>
      <c r="AL171" s="352"/>
      <c r="AM171" s="352"/>
      <c r="AN171" s="352"/>
      <c r="AO171" s="352"/>
      <c r="AP171" s="352"/>
      <c r="AQ171" s="352"/>
      <c r="AR171" s="352"/>
      <c r="AS171" s="352"/>
      <c r="AT171" s="352"/>
      <c r="AU171" s="352"/>
      <c r="AV171" s="352"/>
      <c r="AW171" s="352"/>
      <c r="AX171" s="352"/>
      <c r="AY171" s="352"/>
      <c r="AZ171" s="352"/>
      <c r="BA171" s="352"/>
      <c r="BB171" s="352"/>
      <c r="BC171" s="352"/>
      <c r="BD171" s="352"/>
      <c r="BE171" s="352"/>
      <c r="BF171" s="352"/>
      <c r="BG171" s="352"/>
      <c r="BH171" s="352"/>
      <c r="BI171" s="352"/>
      <c r="BJ171" s="352"/>
      <c r="BK171" s="352"/>
      <c r="BL171" s="352"/>
      <c r="BM171" s="352"/>
      <c r="BN171" s="352"/>
      <c r="BO171" s="352"/>
      <c r="BP171" s="352"/>
      <c r="BQ171" s="352"/>
      <c r="BR171" s="352"/>
      <c r="BS171" s="352"/>
      <c r="BT171" s="352"/>
      <c r="BU171" s="352"/>
      <c r="BV171" s="352"/>
      <c r="BW171" s="446">
        <v>73547.0</v>
      </c>
      <c r="BX171" s="446">
        <v>78094.0</v>
      </c>
      <c r="BY171" s="446">
        <v>84594.0</v>
      </c>
      <c r="BZ171" s="446">
        <v>87847.0</v>
      </c>
      <c r="CA171" s="446">
        <v>88500.0</v>
      </c>
      <c r="CB171" s="446">
        <v>90453.0</v>
      </c>
      <c r="CC171" s="446">
        <v>92406.0</v>
      </c>
      <c r="CD171" s="446">
        <v>94359.0</v>
      </c>
      <c r="CE171" s="446">
        <v>95860.0</v>
      </c>
      <c r="CF171" s="446">
        <v>97813.0</v>
      </c>
      <c r="CG171" s="446">
        <v>99166.0</v>
      </c>
      <c r="CH171" s="446">
        <v>101063.0</v>
      </c>
      <c r="CI171" s="33"/>
      <c r="CJ171" s="33"/>
      <c r="CK171" s="290"/>
      <c r="CL171" s="49"/>
      <c r="CM171" s="108">
        <f t="shared" si="479"/>
        <v>236235</v>
      </c>
      <c r="CN171" s="108">
        <f t="shared" si="480"/>
        <v>266800</v>
      </c>
      <c r="CO171" s="108">
        <f t="shared" si="481"/>
        <v>282625</v>
      </c>
      <c r="CP171" s="108">
        <f t="shared" si="482"/>
        <v>298042</v>
      </c>
      <c r="CQ171" s="290"/>
      <c r="CR171" s="108"/>
      <c r="CS171" s="108"/>
      <c r="CT171" s="108"/>
      <c r="CU171" s="108"/>
      <c r="CV171" s="108"/>
      <c r="CW171" s="282"/>
      <c r="CX171" s="49"/>
      <c r="CY171" s="108"/>
      <c r="CZ171" s="108"/>
      <c r="DA171" s="108"/>
      <c r="DB171" s="108"/>
      <c r="DC171" s="282"/>
      <c r="DD171" s="283"/>
      <c r="DE171" s="108"/>
      <c r="DF171" s="108"/>
      <c r="DG171" s="108"/>
      <c r="DH171" s="108"/>
      <c r="DI171" s="282"/>
      <c r="DJ171" s="283"/>
      <c r="DK171" s="108"/>
      <c r="DL171" s="108"/>
      <c r="DM171" s="108"/>
      <c r="DN171" s="108"/>
      <c r="DO171" s="282"/>
      <c r="DP171" s="283"/>
      <c r="DQ171" s="282"/>
      <c r="DR171" s="136"/>
      <c r="DS171" s="286"/>
      <c r="DT171" s="286"/>
      <c r="DU171" s="286"/>
      <c r="DV171" s="286"/>
      <c r="DW171" s="286"/>
      <c r="DX171" s="286"/>
      <c r="DY171" s="286"/>
      <c r="DZ171" s="286"/>
      <c r="EA171" s="286"/>
      <c r="EB171" s="286"/>
      <c r="EC171" s="286"/>
      <c r="ED171" s="286"/>
      <c r="EE171" s="286"/>
      <c r="EF171" s="286"/>
      <c r="EG171" s="286"/>
      <c r="EH171" s="286"/>
      <c r="EI171" s="286"/>
      <c r="EJ171" s="286"/>
      <c r="EK171" s="286"/>
      <c r="EL171" s="286"/>
      <c r="EM171" s="286"/>
      <c r="EN171" s="286"/>
      <c r="EO171" s="286"/>
      <c r="EP171" s="286"/>
      <c r="EQ171" s="286"/>
      <c r="ER171" s="286"/>
      <c r="ES171" s="286"/>
      <c r="ET171" s="286"/>
      <c r="EU171" s="286"/>
      <c r="EV171" s="286"/>
      <c r="EW171" s="286"/>
      <c r="EX171" s="286"/>
      <c r="EY171" s="286"/>
      <c r="EZ171" s="286"/>
      <c r="FA171" s="286"/>
      <c r="FB171" s="286"/>
      <c r="FC171" s="286"/>
      <c r="FD171" s="286"/>
      <c r="FE171" s="286"/>
      <c r="FF171" s="286"/>
      <c r="FG171" s="286"/>
      <c r="FH171" s="286"/>
      <c r="FI171" s="286"/>
      <c r="FJ171" s="286"/>
      <c r="FK171" s="286"/>
      <c r="FL171" s="286"/>
      <c r="FM171" s="286"/>
      <c r="FN171" s="286"/>
      <c r="FO171" s="286"/>
      <c r="FP171" s="286"/>
      <c r="FQ171" s="286"/>
      <c r="FR171" s="286"/>
      <c r="FS171" s="286"/>
      <c r="FT171" s="286"/>
      <c r="FU171" s="286"/>
      <c r="FV171" s="286"/>
      <c r="FW171" s="286"/>
      <c r="FX171" s="286"/>
      <c r="FY171" s="286"/>
      <c r="FZ171" s="286"/>
      <c r="GA171" s="286"/>
      <c r="GB171" s="286"/>
      <c r="GC171" s="286"/>
      <c r="GD171" s="286"/>
      <c r="GE171" s="286"/>
      <c r="GF171" s="286"/>
      <c r="GG171" s="286"/>
      <c r="GH171" s="286"/>
      <c r="GI171" s="286"/>
      <c r="GJ171" s="286"/>
      <c r="GK171" s="286"/>
      <c r="GL171" s="286"/>
      <c r="GM171" s="286"/>
    </row>
    <row r="172">
      <c r="B172" s="280" t="s">
        <v>565</v>
      </c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352"/>
      <c r="AB172" s="352"/>
      <c r="AC172" s="352"/>
      <c r="AD172" s="352"/>
      <c r="AE172" s="352"/>
      <c r="AF172" s="352"/>
      <c r="AG172" s="352"/>
      <c r="AH172" s="352"/>
      <c r="AI172" s="352"/>
      <c r="AJ172" s="352"/>
      <c r="AK172" s="352"/>
      <c r="AL172" s="352"/>
      <c r="AM172" s="352"/>
      <c r="AN172" s="352"/>
      <c r="AO172" s="352"/>
      <c r="AP172" s="352"/>
      <c r="AQ172" s="352"/>
      <c r="AR172" s="352"/>
      <c r="AS172" s="352"/>
      <c r="AT172" s="352"/>
      <c r="AU172" s="352"/>
      <c r="AV172" s="352"/>
      <c r="AW172" s="352"/>
      <c r="AX172" s="352"/>
      <c r="AY172" s="352"/>
      <c r="AZ172" s="352"/>
      <c r="BA172" s="352"/>
      <c r="BB172" s="352"/>
      <c r="BC172" s="352"/>
      <c r="BD172" s="352"/>
      <c r="BE172" s="352"/>
      <c r="BF172" s="352"/>
      <c r="BG172" s="352"/>
      <c r="BH172" s="352"/>
      <c r="BI172" s="352"/>
      <c r="BJ172" s="352"/>
      <c r="BK172" s="352"/>
      <c r="BL172" s="352"/>
      <c r="BM172" s="352"/>
      <c r="BN172" s="352"/>
      <c r="BO172" s="352"/>
      <c r="BP172" s="352"/>
      <c r="BQ172" s="352"/>
      <c r="BR172" s="352"/>
      <c r="BS172" s="352"/>
      <c r="BT172" s="352"/>
      <c r="BU172" s="352"/>
      <c r="BV172" s="352"/>
      <c r="BW172" s="446">
        <v>9885.0</v>
      </c>
      <c r="BX172" s="446">
        <v>9918.0</v>
      </c>
      <c r="BY172" s="446">
        <v>9952.0</v>
      </c>
      <c r="BZ172" s="446">
        <v>11287.0</v>
      </c>
      <c r="CA172" s="446">
        <v>10021.0</v>
      </c>
      <c r="CB172" s="446">
        <v>10055.0</v>
      </c>
      <c r="CC172" s="446">
        <v>10090.0</v>
      </c>
      <c r="CD172" s="446">
        <v>10125.0</v>
      </c>
      <c r="CE172" s="446">
        <v>9469.0</v>
      </c>
      <c r="CF172" s="446">
        <v>9256.0</v>
      </c>
      <c r="CG172" s="446">
        <v>9043.0</v>
      </c>
      <c r="CH172" s="446">
        <v>8828.0</v>
      </c>
      <c r="CI172" s="33"/>
      <c r="CJ172" s="33"/>
      <c r="CK172" s="290"/>
      <c r="CL172" s="49"/>
      <c r="CM172" s="108">
        <f t="shared" si="479"/>
        <v>29755</v>
      </c>
      <c r="CN172" s="108">
        <f t="shared" si="480"/>
        <v>31363</v>
      </c>
      <c r="CO172" s="108">
        <f t="shared" si="481"/>
        <v>29684</v>
      </c>
      <c r="CP172" s="108">
        <f t="shared" si="482"/>
        <v>27127</v>
      </c>
      <c r="CQ172" s="290"/>
      <c r="CR172" s="108"/>
      <c r="CS172" s="108"/>
      <c r="CT172" s="108"/>
      <c r="CU172" s="108"/>
      <c r="CV172" s="108"/>
      <c r="CW172" s="282"/>
      <c r="CX172" s="49"/>
      <c r="CY172" s="108"/>
      <c r="CZ172" s="108"/>
      <c r="DA172" s="108"/>
      <c r="DB172" s="108"/>
      <c r="DC172" s="282"/>
      <c r="DD172" s="283"/>
      <c r="DE172" s="108"/>
      <c r="DF172" s="108"/>
      <c r="DG172" s="108"/>
      <c r="DH172" s="108"/>
      <c r="DI172" s="282"/>
      <c r="DJ172" s="283"/>
      <c r="DK172" s="108"/>
      <c r="DL172" s="108"/>
      <c r="DM172" s="108"/>
      <c r="DN172" s="108"/>
      <c r="DO172" s="282"/>
      <c r="DP172" s="283"/>
      <c r="DQ172" s="282"/>
      <c r="DR172" s="136"/>
      <c r="DS172" s="286"/>
      <c r="DT172" s="286"/>
      <c r="DU172" s="286"/>
      <c r="DV172" s="286"/>
      <c r="DW172" s="286"/>
      <c r="DX172" s="286"/>
      <c r="DY172" s="286"/>
      <c r="DZ172" s="286"/>
      <c r="EA172" s="286"/>
      <c r="EB172" s="286"/>
      <c r="EC172" s="286"/>
      <c r="ED172" s="286"/>
      <c r="EE172" s="286"/>
      <c r="EF172" s="286"/>
      <c r="EG172" s="286"/>
      <c r="EH172" s="286"/>
      <c r="EI172" s="286"/>
      <c r="EJ172" s="286"/>
      <c r="EK172" s="286"/>
      <c r="EL172" s="286"/>
      <c r="EM172" s="286"/>
      <c r="EN172" s="286"/>
      <c r="EO172" s="286"/>
      <c r="EP172" s="286"/>
      <c r="EQ172" s="286"/>
      <c r="ER172" s="286"/>
      <c r="ES172" s="286"/>
      <c r="ET172" s="286"/>
      <c r="EU172" s="286"/>
      <c r="EV172" s="286"/>
      <c r="EW172" s="286"/>
      <c r="EX172" s="286"/>
      <c r="EY172" s="286"/>
      <c r="EZ172" s="286"/>
      <c r="FA172" s="286"/>
      <c r="FB172" s="286"/>
      <c r="FC172" s="286"/>
      <c r="FD172" s="286"/>
      <c r="FE172" s="286"/>
      <c r="FF172" s="286"/>
      <c r="FG172" s="286"/>
      <c r="FH172" s="286"/>
      <c r="FI172" s="286"/>
      <c r="FJ172" s="286"/>
      <c r="FK172" s="286"/>
      <c r="FL172" s="286"/>
      <c r="FM172" s="286"/>
      <c r="FN172" s="286"/>
      <c r="FO172" s="286"/>
      <c r="FP172" s="286"/>
      <c r="FQ172" s="286"/>
      <c r="FR172" s="286"/>
      <c r="FS172" s="286"/>
      <c r="FT172" s="286"/>
      <c r="FU172" s="286"/>
      <c r="FV172" s="286"/>
      <c r="FW172" s="286"/>
      <c r="FX172" s="286"/>
      <c r="FY172" s="286"/>
      <c r="FZ172" s="286"/>
      <c r="GA172" s="286"/>
      <c r="GB172" s="286"/>
      <c r="GC172" s="286"/>
      <c r="GD172" s="286"/>
      <c r="GE172" s="286"/>
      <c r="GF172" s="286"/>
      <c r="GG172" s="286"/>
      <c r="GH172" s="286"/>
      <c r="GI172" s="286"/>
      <c r="GJ172" s="286"/>
      <c r="GK172" s="286"/>
      <c r="GL172" s="286"/>
      <c r="GM172" s="286"/>
    </row>
    <row r="173">
      <c r="BW173" s="2"/>
      <c r="BX173" s="464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33"/>
      <c r="CJ173" s="33"/>
      <c r="CK173" s="42"/>
      <c r="CL173" s="49"/>
      <c r="CQ173" s="42"/>
      <c r="CW173" s="34"/>
      <c r="CX173" s="49"/>
      <c r="DC173" s="34"/>
      <c r="DI173" s="34"/>
      <c r="DO173" s="34"/>
      <c r="DQ173" s="34"/>
      <c r="DR173" s="44"/>
      <c r="FB173" s="3"/>
    </row>
    <row r="174">
      <c r="A174" s="2"/>
      <c r="B174" s="531" t="s">
        <v>566</v>
      </c>
      <c r="C174" s="523"/>
      <c r="D174" s="532"/>
      <c r="E174" s="532"/>
      <c r="F174" s="532"/>
      <c r="G174" s="532"/>
      <c r="H174" s="532"/>
      <c r="I174" s="532"/>
      <c r="J174" s="532"/>
      <c r="K174" s="532"/>
      <c r="L174" s="532"/>
      <c r="M174" s="532"/>
      <c r="N174" s="532"/>
      <c r="O174" s="532"/>
      <c r="P174" s="532"/>
      <c r="Q174" s="532"/>
      <c r="R174" s="532"/>
      <c r="S174" s="532"/>
      <c r="T174" s="532"/>
      <c r="U174" s="532"/>
      <c r="V174" s="532"/>
      <c r="W174" s="532"/>
      <c r="X174" s="532"/>
      <c r="Y174" s="532"/>
      <c r="Z174" s="532"/>
      <c r="AA174" s="532"/>
      <c r="AB174" s="532"/>
      <c r="AC174" s="532"/>
      <c r="AD174" s="532"/>
      <c r="AE174" s="532"/>
      <c r="AF174" s="533"/>
      <c r="AG174" s="533"/>
      <c r="AH174" s="533"/>
      <c r="AI174" s="533"/>
      <c r="AJ174" s="533"/>
      <c r="AK174" s="533"/>
      <c r="AL174" s="533"/>
      <c r="AM174" s="533"/>
      <c r="AN174" s="533"/>
      <c r="AO174" s="533"/>
      <c r="AP174" s="533"/>
      <c r="AQ174" s="533"/>
      <c r="AR174" s="533"/>
      <c r="AS174" s="533"/>
      <c r="AT174" s="533"/>
      <c r="AU174" s="533"/>
      <c r="AV174" s="533"/>
      <c r="AW174" s="533"/>
      <c r="AX174" s="533"/>
      <c r="AY174" s="533">
        <v>26499.0</v>
      </c>
      <c r="AZ174" s="533">
        <v>35621.0</v>
      </c>
      <c r="BA174" s="533">
        <v>112263.0</v>
      </c>
      <c r="BB174" s="533">
        <v>51121.0</v>
      </c>
      <c r="BC174" s="533">
        <v>126296.0</v>
      </c>
      <c r="BD174" s="533">
        <v>106944.0</v>
      </c>
      <c r="BE174" s="533">
        <v>30389.0</v>
      </c>
      <c r="BF174" s="533">
        <v>-6574.0</v>
      </c>
      <c r="BG174" s="533">
        <v>30672.0</v>
      </c>
      <c r="BH174" s="533">
        <v>72560.0</v>
      </c>
      <c r="BI174" s="533">
        <v>33075.0</v>
      </c>
      <c r="BJ174" s="533">
        <v>32789.0</v>
      </c>
      <c r="BK174" s="533"/>
      <c r="BL174" s="533"/>
      <c r="BM174" s="533"/>
      <c r="BN174" s="533"/>
      <c r="BO174" s="65">
        <f t="shared" ref="BO174:CH174" si="483">SUM(BO175:BO176)</f>
        <v>0</v>
      </c>
      <c r="BP174" s="65">
        <f t="shared" si="483"/>
        <v>0</v>
      </c>
      <c r="BQ174" s="65">
        <f t="shared" si="483"/>
        <v>0</v>
      </c>
      <c r="BR174" s="65">
        <f t="shared" si="483"/>
        <v>0</v>
      </c>
      <c r="BS174" s="65">
        <f t="shared" si="483"/>
        <v>0</v>
      </c>
      <c r="BT174" s="65">
        <f t="shared" si="483"/>
        <v>0</v>
      </c>
      <c r="BU174" s="65">
        <f t="shared" si="483"/>
        <v>0</v>
      </c>
      <c r="BV174" s="65">
        <f t="shared" si="483"/>
        <v>0</v>
      </c>
      <c r="BW174" s="65">
        <f t="shared" si="483"/>
        <v>100000</v>
      </c>
      <c r="BX174" s="65">
        <f t="shared" si="483"/>
        <v>100000</v>
      </c>
      <c r="BY174" s="65">
        <f t="shared" si="483"/>
        <v>100000</v>
      </c>
      <c r="BZ174" s="65">
        <f t="shared" si="483"/>
        <v>100000</v>
      </c>
      <c r="CA174" s="65">
        <f t="shared" si="483"/>
        <v>100000</v>
      </c>
      <c r="CB174" s="65">
        <f t="shared" si="483"/>
        <v>100000</v>
      </c>
      <c r="CC174" s="65">
        <f t="shared" si="483"/>
        <v>100000</v>
      </c>
      <c r="CD174" s="65">
        <f t="shared" si="483"/>
        <v>100000</v>
      </c>
      <c r="CE174" s="65">
        <f t="shared" si="483"/>
        <v>100000</v>
      </c>
      <c r="CF174" s="65">
        <f t="shared" si="483"/>
        <v>100000</v>
      </c>
      <c r="CG174" s="65">
        <f t="shared" si="483"/>
        <v>100000</v>
      </c>
      <c r="CH174" s="65">
        <f t="shared" si="483"/>
        <v>100000</v>
      </c>
      <c r="CI174" s="534"/>
      <c r="CJ174" s="534"/>
      <c r="CK174" s="535"/>
      <c r="CL174" s="54"/>
      <c r="CM174" s="270">
        <f t="shared" ref="CM174:CM176" si="484">sum(BW174:BY174)</f>
        <v>300000</v>
      </c>
      <c r="CN174" s="270">
        <f t="shared" ref="CN174:CN176" si="485">sum(BZ174:CB174)</f>
        <v>300000</v>
      </c>
      <c r="CO174" s="270">
        <f t="shared" ref="CO174:CO176" si="486">sum(CC174:CE174)</f>
        <v>300000</v>
      </c>
      <c r="CP174" s="270">
        <f t="shared" ref="CP174:CP176" si="487">sum(CF174:CH174)</f>
        <v>300000</v>
      </c>
      <c r="CQ174" s="535"/>
      <c r="CR174" s="523"/>
      <c r="CS174" s="523"/>
      <c r="CT174" s="523"/>
      <c r="CU174" s="523"/>
      <c r="CV174" s="536"/>
      <c r="CW174" s="537"/>
      <c r="CX174" s="473"/>
      <c r="CY174" s="536">
        <f t="shared" ref="CY174:CY175" si="488">sum(AY174:BA174)</f>
        <v>174383</v>
      </c>
      <c r="CZ174" s="536">
        <f t="shared" ref="CZ174:CZ175" si="489">sum(BB174:BD174)</f>
        <v>284361</v>
      </c>
      <c r="DA174" s="536">
        <f t="shared" ref="DA174:DA175" si="490">sum(BE174:BG174)</f>
        <v>54487</v>
      </c>
      <c r="DB174" s="536">
        <f t="shared" ref="DB174:DB175" si="491">sum(BH174:BJ174)</f>
        <v>138424</v>
      </c>
      <c r="DC174" s="537">
        <f t="shared" ref="DC174:DC175" si="492">sum(AY174:BJ174)</f>
        <v>651655</v>
      </c>
      <c r="DD174" s="473"/>
      <c r="DE174" s="532"/>
      <c r="DF174" s="532"/>
      <c r="DG174" s="532"/>
      <c r="DH174" s="538"/>
      <c r="DI174" s="539"/>
      <c r="DJ174" s="473"/>
      <c r="DK174" s="532"/>
      <c r="DL174" s="532"/>
      <c r="DM174" s="532"/>
      <c r="DN174" s="532"/>
      <c r="DO174" s="539"/>
      <c r="DP174" s="473"/>
      <c r="DQ174" s="539"/>
      <c r="DR174" s="54"/>
      <c r="DS174" s="523"/>
      <c r="DT174" s="523"/>
      <c r="DU174" s="523"/>
      <c r="DV174" s="523"/>
      <c r="DW174" s="523"/>
      <c r="DX174" s="523"/>
      <c r="DY174" s="523"/>
      <c r="DZ174" s="523"/>
      <c r="EA174" s="523"/>
      <c r="EB174" s="523"/>
      <c r="EC174" s="523"/>
      <c r="ED174" s="523"/>
      <c r="EE174" s="523"/>
      <c r="EF174" s="523"/>
      <c r="EG174" s="523"/>
      <c r="EH174" s="523"/>
      <c r="EI174" s="523"/>
      <c r="EJ174" s="523"/>
      <c r="EK174" s="523"/>
      <c r="EL174" s="523"/>
      <c r="EM174" s="523"/>
      <c r="EN174" s="523"/>
      <c r="EO174" s="523"/>
      <c r="EP174" s="523"/>
      <c r="EQ174" s="523"/>
      <c r="ER174" s="523"/>
      <c r="ES174" s="523"/>
      <c r="ET174" s="523"/>
      <c r="EU174" s="523"/>
      <c r="EV174" s="523"/>
      <c r="EW174" s="523"/>
      <c r="EX174" s="523"/>
      <c r="EY174" s="523"/>
      <c r="EZ174" s="523"/>
      <c r="FA174" s="523"/>
      <c r="FB174" s="523"/>
      <c r="FC174" s="523"/>
      <c r="FD174" s="523"/>
      <c r="FE174" s="523"/>
      <c r="FF174" s="523"/>
      <c r="FG174" s="523"/>
      <c r="FH174" s="523"/>
      <c r="FI174" s="523"/>
      <c r="FJ174" s="523"/>
      <c r="FK174" s="523"/>
      <c r="FL174" s="523"/>
      <c r="FM174" s="523"/>
      <c r="FN174" s="523"/>
      <c r="FO174" s="523"/>
      <c r="FP174" s="523"/>
      <c r="FQ174" s="523"/>
      <c r="FR174" s="523"/>
      <c r="FS174" s="523"/>
      <c r="FT174" s="523"/>
      <c r="FU174" s="523"/>
      <c r="FV174" s="523"/>
      <c r="FW174" s="523"/>
      <c r="FX174" s="523"/>
      <c r="FY174" s="523"/>
      <c r="FZ174" s="523"/>
      <c r="GA174" s="523"/>
      <c r="GB174" s="523"/>
      <c r="GC174" s="523"/>
      <c r="GD174" s="523"/>
      <c r="GE174" s="523"/>
      <c r="GF174" s="523"/>
      <c r="GG174" s="523"/>
      <c r="GH174" s="523"/>
      <c r="GI174" s="523"/>
      <c r="GJ174" s="523"/>
      <c r="GK174" s="523"/>
      <c r="GL174" s="523"/>
      <c r="GM174" s="523"/>
    </row>
    <row r="175">
      <c r="A175" s="2"/>
      <c r="B175" s="540" t="s">
        <v>567</v>
      </c>
      <c r="C175" s="368"/>
      <c r="D175" s="368"/>
      <c r="E175" s="368"/>
      <c r="F175" s="368"/>
      <c r="G175" s="368"/>
      <c r="H175" s="368"/>
      <c r="I175" s="368"/>
      <c r="J175" s="368"/>
      <c r="K175" s="368"/>
      <c r="L175" s="368"/>
      <c r="M175" s="368"/>
      <c r="N175" s="368"/>
      <c r="O175" s="368"/>
      <c r="P175" s="368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  <c r="AA175" s="368"/>
      <c r="AB175" s="368"/>
      <c r="AC175" s="368"/>
      <c r="AD175" s="368"/>
      <c r="AE175" s="368"/>
      <c r="AF175" s="368"/>
      <c r="AG175" s="368"/>
      <c r="AH175" s="368"/>
      <c r="AI175" s="368"/>
      <c r="AJ175" s="368"/>
      <c r="AK175" s="368"/>
      <c r="AL175" s="368"/>
      <c r="AM175" s="368"/>
      <c r="AN175" s="368"/>
      <c r="AO175" s="368"/>
      <c r="AP175" s="368"/>
      <c r="AQ175" s="368"/>
      <c r="AR175" s="368"/>
      <c r="AS175" s="368"/>
      <c r="AT175" s="368"/>
      <c r="AU175" s="368"/>
      <c r="AV175" s="368"/>
      <c r="AW175" s="368"/>
      <c r="AX175" s="368"/>
      <c r="AY175" s="368">
        <v>286449.0</v>
      </c>
      <c r="AZ175" s="368">
        <v>174891.0</v>
      </c>
      <c r="BA175" s="368">
        <v>133306.0</v>
      </c>
      <c r="BB175" s="368">
        <v>168489.0</v>
      </c>
      <c r="BC175" s="368">
        <v>278236.0</v>
      </c>
      <c r="BD175" s="368">
        <v>335289.0</v>
      </c>
      <c r="BE175" s="368">
        <v>107540.0</v>
      </c>
      <c r="BF175" s="368">
        <v>272604.0</v>
      </c>
      <c r="BG175" s="368">
        <v>115120.0</v>
      </c>
      <c r="BH175" s="368">
        <v>148596.0</v>
      </c>
      <c r="BI175" s="368">
        <v>190351.0</v>
      </c>
      <c r="BJ175" s="368">
        <v>139415.0</v>
      </c>
      <c r="BK175" s="368"/>
      <c r="BL175" s="368"/>
      <c r="BM175" s="368"/>
      <c r="BN175" s="368"/>
      <c r="BO175" s="368"/>
      <c r="BP175" s="368"/>
      <c r="BQ175" s="368"/>
      <c r="BR175" s="368"/>
      <c r="BS175" s="368"/>
      <c r="BT175" s="368"/>
      <c r="BU175" s="368"/>
      <c r="BV175" s="368"/>
      <c r="BW175" s="446">
        <v>100000.0</v>
      </c>
      <c r="BX175" s="446">
        <v>100000.0</v>
      </c>
      <c r="BY175" s="446">
        <v>100000.0</v>
      </c>
      <c r="BZ175" s="446">
        <v>100000.0</v>
      </c>
      <c r="CA175" s="446">
        <v>100000.0</v>
      </c>
      <c r="CB175" s="446">
        <v>100000.0</v>
      </c>
      <c r="CC175" s="446">
        <v>100000.0</v>
      </c>
      <c r="CD175" s="446">
        <v>100000.0</v>
      </c>
      <c r="CE175" s="446">
        <v>100000.0</v>
      </c>
      <c r="CF175" s="446">
        <v>100000.0</v>
      </c>
      <c r="CG175" s="446">
        <v>100000.0</v>
      </c>
      <c r="CH175" s="446">
        <v>100000.0</v>
      </c>
      <c r="CI175" s="534"/>
      <c r="CJ175" s="534"/>
      <c r="CK175" s="541"/>
      <c r="CL175" s="54"/>
      <c r="CM175" s="108">
        <f t="shared" si="484"/>
        <v>300000</v>
      </c>
      <c r="CN175" s="108">
        <f t="shared" si="485"/>
        <v>300000</v>
      </c>
      <c r="CO175" s="108">
        <f t="shared" si="486"/>
        <v>300000</v>
      </c>
      <c r="CP175" s="108">
        <f t="shared" si="487"/>
        <v>300000</v>
      </c>
      <c r="CQ175" s="541"/>
      <c r="CR175" s="368"/>
      <c r="CS175" s="368"/>
      <c r="CT175" s="368"/>
      <c r="CU175" s="368"/>
      <c r="CV175" s="542"/>
      <c r="CW175" s="543"/>
      <c r="CX175" s="55"/>
      <c r="CY175" s="542">
        <f t="shared" si="488"/>
        <v>594646</v>
      </c>
      <c r="CZ175" s="542">
        <f t="shared" si="489"/>
        <v>782014</v>
      </c>
      <c r="DA175" s="542">
        <f t="shared" si="490"/>
        <v>495264</v>
      </c>
      <c r="DB175" s="542">
        <f t="shared" si="491"/>
        <v>478362</v>
      </c>
      <c r="DC175" s="543">
        <f t="shared" si="492"/>
        <v>2350286</v>
      </c>
      <c r="DD175" s="54"/>
      <c r="DE175" s="368"/>
      <c r="DF175" s="368"/>
      <c r="DG175" s="368"/>
      <c r="DH175" s="368"/>
      <c r="DI175" s="544"/>
      <c r="DJ175" s="54"/>
      <c r="DK175" s="368"/>
      <c r="DL175" s="368"/>
      <c r="DM175" s="368"/>
      <c r="DN175" s="368"/>
      <c r="DO175" s="544"/>
      <c r="DP175" s="54"/>
      <c r="DQ175" s="544"/>
      <c r="DR175" s="54"/>
      <c r="DS175" s="368"/>
      <c r="DT175" s="368"/>
      <c r="DU175" s="368"/>
      <c r="DV175" s="368"/>
      <c r="DW175" s="368"/>
      <c r="DX175" s="368"/>
      <c r="DY175" s="368"/>
      <c r="DZ175" s="368"/>
      <c r="EA175" s="368"/>
      <c r="EB175" s="368"/>
      <c r="EC175" s="368"/>
      <c r="ED175" s="368"/>
      <c r="EE175" s="368"/>
      <c r="EF175" s="368"/>
      <c r="EG175" s="368"/>
      <c r="EH175" s="368"/>
      <c r="EI175" s="368"/>
      <c r="EJ175" s="368"/>
      <c r="EK175" s="368"/>
      <c r="EL175" s="368"/>
      <c r="EM175" s="368"/>
      <c r="EN175" s="368"/>
      <c r="EO175" s="368"/>
      <c r="EP175" s="368"/>
      <c r="EQ175" s="368"/>
      <c r="ER175" s="368"/>
      <c r="ES175" s="368"/>
      <c r="ET175" s="368"/>
      <c r="EU175" s="368"/>
      <c r="EV175" s="368"/>
      <c r="EW175" s="368"/>
      <c r="EX175" s="368"/>
      <c r="EY175" s="368"/>
      <c r="EZ175" s="368"/>
      <c r="FA175" s="368"/>
      <c r="FB175" s="368"/>
      <c r="FC175" s="368"/>
      <c r="FD175" s="368"/>
      <c r="FE175" s="368"/>
      <c r="FF175" s="368"/>
      <c r="FG175" s="368"/>
      <c r="FH175" s="368"/>
      <c r="FI175" s="368"/>
      <c r="FJ175" s="368"/>
      <c r="FK175" s="368"/>
      <c r="FL175" s="368"/>
      <c r="FM175" s="368"/>
      <c r="FN175" s="368"/>
      <c r="FO175" s="368"/>
      <c r="FP175" s="368"/>
      <c r="FQ175" s="368"/>
      <c r="FR175" s="368"/>
      <c r="FS175" s="368"/>
      <c r="FT175" s="368"/>
      <c r="FU175" s="368"/>
      <c r="FV175" s="368"/>
      <c r="FW175" s="368"/>
      <c r="FX175" s="368"/>
      <c r="FY175" s="368"/>
      <c r="FZ175" s="368"/>
      <c r="GA175" s="368"/>
      <c r="GB175" s="368"/>
      <c r="GC175" s="368"/>
      <c r="GD175" s="368"/>
      <c r="GE175" s="368"/>
      <c r="GF175" s="368"/>
      <c r="GG175" s="368"/>
      <c r="GH175" s="368"/>
      <c r="GI175" s="368"/>
      <c r="GJ175" s="368"/>
      <c r="GK175" s="368"/>
      <c r="GL175" s="368"/>
      <c r="GM175" s="368"/>
    </row>
    <row r="176">
      <c r="A176" s="2"/>
      <c r="B176" s="496"/>
      <c r="C176" s="368"/>
      <c r="D176" s="479"/>
      <c r="E176" s="479"/>
      <c r="F176" s="479"/>
      <c r="G176" s="479"/>
      <c r="H176" s="479"/>
      <c r="I176" s="479"/>
      <c r="J176" s="479"/>
      <c r="K176" s="479"/>
      <c r="L176" s="479"/>
      <c r="M176" s="479"/>
      <c r="N176" s="479"/>
      <c r="O176" s="479"/>
      <c r="P176" s="479"/>
      <c r="Q176" s="479"/>
      <c r="R176" s="479"/>
      <c r="S176" s="479"/>
      <c r="T176" s="479"/>
      <c r="U176" s="479"/>
      <c r="V176" s="479"/>
      <c r="W176" s="479"/>
      <c r="X176" s="479"/>
      <c r="Y176" s="479"/>
      <c r="Z176" s="479"/>
      <c r="AA176" s="479"/>
      <c r="AB176" s="479"/>
      <c r="AC176" s="479"/>
      <c r="AD176" s="479"/>
      <c r="AE176" s="479"/>
      <c r="AF176" s="479"/>
      <c r="AG176" s="479"/>
      <c r="AH176" s="479"/>
      <c r="AI176" s="479"/>
      <c r="AJ176" s="479"/>
      <c r="AK176" s="479"/>
      <c r="AL176" s="479"/>
      <c r="AM176" s="479"/>
      <c r="AN176" s="479"/>
      <c r="AO176" s="479"/>
      <c r="AP176" s="479"/>
      <c r="AQ176" s="479"/>
      <c r="AR176" s="479"/>
      <c r="AS176" s="479"/>
      <c r="AT176" s="479"/>
      <c r="AU176" s="479"/>
      <c r="AV176" s="479"/>
      <c r="AW176" s="479"/>
      <c r="AX176" s="479"/>
      <c r="AY176" s="479"/>
      <c r="AZ176" s="479"/>
      <c r="BA176" s="479"/>
      <c r="BB176" s="479"/>
      <c r="BC176" s="479"/>
      <c r="BD176" s="479"/>
      <c r="BE176" s="479"/>
      <c r="BF176" s="479"/>
      <c r="BG176" s="479"/>
      <c r="BH176" s="479"/>
      <c r="BI176" s="479"/>
      <c r="BJ176" s="479"/>
      <c r="BK176" s="479"/>
      <c r="BL176" s="479"/>
      <c r="BM176" s="479"/>
      <c r="BN176" s="479"/>
      <c r="BO176" s="368"/>
      <c r="BP176" s="368"/>
      <c r="BQ176" s="368"/>
      <c r="BR176" s="368"/>
      <c r="BS176" s="368"/>
      <c r="BT176" s="368"/>
      <c r="BU176" s="368"/>
      <c r="BV176" s="368"/>
      <c r="BW176" s="368"/>
      <c r="BX176" s="368"/>
      <c r="BY176" s="368"/>
      <c r="BZ176" s="368"/>
      <c r="CA176" s="368"/>
      <c r="CB176" s="368"/>
      <c r="CC176" s="368"/>
      <c r="CD176" s="368"/>
      <c r="CE176" s="368"/>
      <c r="CF176" s="368"/>
      <c r="CG176" s="368"/>
      <c r="CH176" s="368"/>
      <c r="CI176" s="534"/>
      <c r="CJ176" s="534"/>
      <c r="CK176" s="541"/>
      <c r="CL176" s="54"/>
      <c r="CM176" s="108">
        <f t="shared" si="484"/>
        <v>0</v>
      </c>
      <c r="CN176" s="108">
        <f t="shared" si="485"/>
        <v>0</v>
      </c>
      <c r="CO176" s="108">
        <f t="shared" si="486"/>
        <v>0</v>
      </c>
      <c r="CP176" s="108">
        <f t="shared" si="487"/>
        <v>0</v>
      </c>
      <c r="CQ176" s="541"/>
      <c r="CR176" s="368"/>
      <c r="CS176" s="368"/>
      <c r="CT176" s="368"/>
      <c r="CU176" s="368"/>
      <c r="CV176" s="479"/>
      <c r="CW176" s="545"/>
      <c r="CX176" s="58"/>
      <c r="CY176" s="479"/>
      <c r="CZ176" s="479"/>
      <c r="DA176" s="479"/>
      <c r="DB176" s="479"/>
      <c r="DC176" s="545"/>
      <c r="DD176" s="58"/>
      <c r="DE176" s="479"/>
      <c r="DF176" s="479"/>
      <c r="DG176" s="479"/>
      <c r="DH176" s="479"/>
      <c r="DI176" s="545"/>
      <c r="DJ176" s="58"/>
      <c r="DK176" s="479"/>
      <c r="DL176" s="479"/>
      <c r="DM176" s="479"/>
      <c r="DN176" s="479"/>
      <c r="DO176" s="545"/>
      <c r="DP176" s="58"/>
      <c r="DQ176" s="545"/>
      <c r="DR176" s="58"/>
      <c r="DS176" s="368"/>
      <c r="DT176" s="368"/>
      <c r="DU176" s="368"/>
      <c r="DV176" s="368"/>
      <c r="DW176" s="368"/>
      <c r="DX176" s="368"/>
      <c r="DY176" s="368"/>
      <c r="DZ176" s="368"/>
      <c r="EA176" s="368"/>
      <c r="EB176" s="368"/>
      <c r="EC176" s="368"/>
      <c r="ED176" s="368"/>
      <c r="EE176" s="368"/>
      <c r="EF176" s="368"/>
      <c r="EG176" s="368"/>
      <c r="EH176" s="368"/>
      <c r="EI176" s="368"/>
      <c r="EJ176" s="368"/>
      <c r="EK176" s="368"/>
      <c r="EL176" s="368"/>
      <c r="EM176" s="368"/>
      <c r="EN176" s="368"/>
      <c r="EO176" s="368"/>
      <c r="EP176" s="368"/>
      <c r="EQ176" s="368"/>
      <c r="ER176" s="368"/>
      <c r="ES176" s="368"/>
      <c r="ET176" s="368"/>
      <c r="EU176" s="368"/>
      <c r="EV176" s="368"/>
      <c r="EW176" s="368"/>
      <c r="EX176" s="368"/>
      <c r="EY176" s="368"/>
      <c r="EZ176" s="368"/>
      <c r="FA176" s="368"/>
      <c r="FB176" s="368"/>
      <c r="FC176" s="368"/>
      <c r="FD176" s="368"/>
      <c r="FE176" s="368"/>
      <c r="FF176" s="368"/>
      <c r="FG176" s="368"/>
      <c r="FH176" s="368"/>
      <c r="FI176" s="368"/>
      <c r="FJ176" s="368"/>
      <c r="FK176" s="368"/>
      <c r="FL176" s="368"/>
      <c r="FM176" s="368"/>
      <c r="FN176" s="368"/>
      <c r="FO176" s="368"/>
      <c r="FP176" s="368"/>
      <c r="FQ176" s="368"/>
      <c r="FR176" s="368"/>
      <c r="FS176" s="368"/>
      <c r="FT176" s="368"/>
      <c r="FU176" s="368"/>
      <c r="FV176" s="368"/>
      <c r="FW176" s="368"/>
      <c r="FX176" s="368"/>
      <c r="FY176" s="368"/>
      <c r="FZ176" s="368"/>
      <c r="GA176" s="368"/>
      <c r="GB176" s="368"/>
      <c r="GC176" s="368"/>
      <c r="GD176" s="368"/>
      <c r="GE176" s="368"/>
      <c r="GF176" s="368"/>
      <c r="GG176" s="368"/>
      <c r="GH176" s="368"/>
      <c r="GI176" s="368"/>
      <c r="GJ176" s="368"/>
      <c r="GK176" s="368"/>
      <c r="GL176" s="368"/>
      <c r="GM176" s="368"/>
    </row>
    <row r="177">
      <c r="B177" s="526"/>
      <c r="C177" s="375"/>
      <c r="D177" s="375"/>
      <c r="E177" s="375"/>
      <c r="F177" s="375"/>
      <c r="G177" s="375"/>
      <c r="H177" s="375"/>
      <c r="I177" s="375"/>
      <c r="J177" s="375"/>
      <c r="K177" s="375"/>
      <c r="L177" s="375"/>
      <c r="M177" s="375"/>
      <c r="N177" s="375"/>
      <c r="O177" s="375"/>
      <c r="P177" s="375"/>
      <c r="Q177" s="375"/>
      <c r="R177" s="375"/>
      <c r="S177" s="375"/>
      <c r="T177" s="375"/>
      <c r="U177" s="375"/>
      <c r="V177" s="375"/>
      <c r="W177" s="375"/>
      <c r="X177" s="375"/>
      <c r="Y177" s="375"/>
      <c r="Z177" s="375"/>
      <c r="AA177" s="375"/>
      <c r="AB177" s="375"/>
      <c r="AC177" s="375"/>
      <c r="AD177" s="375"/>
      <c r="AE177" s="375"/>
      <c r="AF177" s="375"/>
      <c r="AG177" s="375"/>
      <c r="AH177" s="375"/>
      <c r="AI177" s="375"/>
      <c r="AJ177" s="375"/>
      <c r="AK177" s="375"/>
      <c r="AL177" s="375"/>
      <c r="AM177" s="527"/>
      <c r="AN177" s="527"/>
      <c r="AO177" s="527"/>
      <c r="AP177" s="527"/>
      <c r="AQ177" s="527"/>
      <c r="AR177" s="375"/>
      <c r="AS177" s="375"/>
      <c r="AT177" s="375"/>
      <c r="AU177" s="375"/>
      <c r="AV177" s="375"/>
      <c r="AW177" s="375"/>
      <c r="AX177" s="375"/>
      <c r="AY177" s="375"/>
      <c r="AZ177" s="375"/>
      <c r="BA177" s="375"/>
      <c r="BB177" s="375"/>
      <c r="BC177" s="375"/>
      <c r="BD177" s="375"/>
      <c r="BE177" s="375"/>
      <c r="BF177" s="375"/>
      <c r="BG177" s="375"/>
      <c r="BH177" s="375"/>
      <c r="BI177" s="375"/>
      <c r="BJ177" s="375"/>
      <c r="BK177" s="375"/>
      <c r="BL177" s="375"/>
      <c r="BM177" s="375"/>
      <c r="BN177" s="375"/>
      <c r="BO177" s="375"/>
      <c r="BP177" s="375"/>
      <c r="BQ177" s="375"/>
      <c r="BR177" s="375"/>
      <c r="BS177" s="375"/>
      <c r="BT177" s="375"/>
      <c r="BU177" s="375"/>
      <c r="BV177" s="375"/>
      <c r="BW177" s="528"/>
      <c r="BX177" s="528"/>
      <c r="BY177" s="528"/>
      <c r="BZ177" s="528"/>
      <c r="CA177" s="528"/>
      <c r="CB177" s="528"/>
      <c r="CC177" s="528"/>
      <c r="CD177" s="528"/>
      <c r="CE177" s="528"/>
      <c r="CF177" s="528"/>
      <c r="CG177" s="528"/>
      <c r="CH177" s="528"/>
      <c r="CI177" s="129"/>
      <c r="CJ177" s="129"/>
      <c r="CK177" s="529"/>
      <c r="CL177" s="375"/>
      <c r="CM177" s="375"/>
      <c r="CN177" s="375"/>
      <c r="CO177" s="375"/>
      <c r="CP177" s="375"/>
      <c r="CQ177" s="529"/>
      <c r="CR177" s="375"/>
      <c r="CS177" s="375"/>
      <c r="CT177" s="375"/>
      <c r="CU177" s="375"/>
      <c r="CV177" s="375"/>
      <c r="CW177" s="530"/>
      <c r="CX177" s="375"/>
      <c r="CY177" s="375"/>
      <c r="CZ177" s="375"/>
      <c r="DA177" s="375"/>
      <c r="DB177" s="375"/>
      <c r="DC177" s="375"/>
      <c r="DD177" s="375"/>
      <c r="DE177" s="375"/>
      <c r="DF177" s="375"/>
      <c r="DG177" s="375"/>
      <c r="DH177" s="375"/>
      <c r="DI177" s="375"/>
      <c r="DJ177" s="375"/>
      <c r="DK177" s="375"/>
      <c r="DL177" s="375"/>
      <c r="DM177" s="375"/>
      <c r="DN177" s="375"/>
      <c r="DO177" s="375"/>
      <c r="DP177" s="375"/>
      <c r="DQ177" s="375"/>
      <c r="DR177" s="375"/>
      <c r="DS177" s="375"/>
      <c r="DT177" s="375"/>
      <c r="DU177" s="375"/>
      <c r="DV177" s="375"/>
      <c r="DW177" s="375"/>
      <c r="DX177" s="375"/>
      <c r="DY177" s="375"/>
      <c r="DZ177" s="375"/>
      <c r="EA177" s="375"/>
      <c r="EB177" s="375"/>
      <c r="EC177" s="375"/>
      <c r="ED177" s="375"/>
      <c r="EE177" s="375"/>
      <c r="EF177" s="375"/>
      <c r="EG177" s="375"/>
      <c r="EH177" s="375"/>
      <c r="EI177" s="375"/>
      <c r="EJ177" s="375"/>
      <c r="EK177" s="375"/>
      <c r="EL177" s="375"/>
      <c r="EM177" s="375"/>
      <c r="EN177" s="375"/>
      <c r="EO177" s="375"/>
      <c r="EP177" s="375"/>
      <c r="EQ177" s="527"/>
      <c r="ER177" s="527"/>
      <c r="ES177" s="527"/>
      <c r="ET177" s="527"/>
      <c r="EU177" s="527"/>
      <c r="EV177" s="375"/>
      <c r="EW177" s="375"/>
      <c r="EX177" s="375"/>
      <c r="EY177" s="375"/>
      <c r="EZ177" s="375"/>
      <c r="FA177" s="375"/>
      <c r="FB177" s="44"/>
      <c r="FC177" s="375"/>
      <c r="FD177" s="375"/>
      <c r="FE177" s="375"/>
      <c r="FF177" s="375"/>
      <c r="FG177" s="375"/>
      <c r="FH177" s="375"/>
      <c r="FI177" s="375"/>
      <c r="FJ177" s="375"/>
      <c r="FK177" s="375"/>
      <c r="FL177" s="375"/>
      <c r="FM177" s="375"/>
      <c r="FN177" s="375"/>
      <c r="FO177" s="375"/>
      <c r="FP177" s="375"/>
      <c r="FQ177" s="375"/>
      <c r="FR177" s="375"/>
      <c r="FS177" s="375"/>
      <c r="FT177" s="375"/>
      <c r="FU177" s="375"/>
      <c r="FV177" s="375"/>
      <c r="FW177" s="375"/>
      <c r="FX177" s="375"/>
      <c r="FY177" s="375"/>
      <c r="FZ177" s="375"/>
      <c r="GA177" s="375"/>
      <c r="GB177" s="375"/>
      <c r="GC177" s="375"/>
      <c r="GD177" s="375"/>
      <c r="GE177" s="375"/>
      <c r="GF177" s="375"/>
      <c r="GG177" s="375"/>
      <c r="GH177" s="375"/>
      <c r="GI177" s="375"/>
      <c r="GJ177" s="375"/>
      <c r="GK177" s="375"/>
      <c r="GL177" s="375"/>
      <c r="GM177" s="375"/>
    </row>
    <row r="178">
      <c r="B178" s="371" t="s">
        <v>489</v>
      </c>
      <c r="C178" s="466">
        <f t="shared" ref="C178:BF178" si="493">C146-C159-C163-C170+C172+C175</f>
        <v>0</v>
      </c>
      <c r="D178" s="466">
        <f t="shared" si="493"/>
        <v>0</v>
      </c>
      <c r="E178" s="466">
        <f t="shared" si="493"/>
        <v>0</v>
      </c>
      <c r="F178" s="466">
        <f t="shared" si="493"/>
        <v>0</v>
      </c>
      <c r="G178" s="466">
        <f t="shared" si="493"/>
        <v>0</v>
      </c>
      <c r="H178" s="466">
        <f t="shared" si="493"/>
        <v>0</v>
      </c>
      <c r="I178" s="466">
        <f t="shared" si="493"/>
        <v>0</v>
      </c>
      <c r="J178" s="466">
        <f t="shared" si="493"/>
        <v>0</v>
      </c>
      <c r="K178" s="466">
        <f t="shared" si="493"/>
        <v>0</v>
      </c>
      <c r="L178" s="466">
        <f t="shared" si="493"/>
        <v>0</v>
      </c>
      <c r="M178" s="466">
        <f t="shared" si="493"/>
        <v>0</v>
      </c>
      <c r="N178" s="466">
        <f t="shared" si="493"/>
        <v>0</v>
      </c>
      <c r="O178" s="466">
        <f t="shared" si="493"/>
        <v>0</v>
      </c>
      <c r="P178" s="466">
        <f t="shared" si="493"/>
        <v>0</v>
      </c>
      <c r="Q178" s="466">
        <f t="shared" si="493"/>
        <v>0</v>
      </c>
      <c r="R178" s="466">
        <f t="shared" si="493"/>
        <v>0</v>
      </c>
      <c r="S178" s="466">
        <f t="shared" si="493"/>
        <v>0</v>
      </c>
      <c r="T178" s="466">
        <f t="shared" si="493"/>
        <v>0</v>
      </c>
      <c r="U178" s="466">
        <f t="shared" si="493"/>
        <v>0</v>
      </c>
      <c r="V178" s="466">
        <f t="shared" si="493"/>
        <v>0</v>
      </c>
      <c r="W178" s="466">
        <f t="shared" si="493"/>
        <v>0</v>
      </c>
      <c r="X178" s="466">
        <f t="shared" si="493"/>
        <v>0</v>
      </c>
      <c r="Y178" s="466">
        <f t="shared" si="493"/>
        <v>0</v>
      </c>
      <c r="Z178" s="466">
        <f t="shared" si="493"/>
        <v>0</v>
      </c>
      <c r="AA178" s="466">
        <f t="shared" si="493"/>
        <v>0</v>
      </c>
      <c r="AB178" s="466">
        <f t="shared" si="493"/>
        <v>0</v>
      </c>
      <c r="AC178" s="466">
        <f t="shared" si="493"/>
        <v>0</v>
      </c>
      <c r="AD178" s="466">
        <f t="shared" si="493"/>
        <v>0</v>
      </c>
      <c r="AE178" s="466">
        <f t="shared" si="493"/>
        <v>0</v>
      </c>
      <c r="AF178" s="466">
        <f t="shared" si="493"/>
        <v>0</v>
      </c>
      <c r="AG178" s="466">
        <f t="shared" si="493"/>
        <v>0</v>
      </c>
      <c r="AH178" s="466">
        <f t="shared" si="493"/>
        <v>0</v>
      </c>
      <c r="AI178" s="466">
        <f t="shared" si="493"/>
        <v>0</v>
      </c>
      <c r="AJ178" s="466">
        <f t="shared" si="493"/>
        <v>0</v>
      </c>
      <c r="AK178" s="466">
        <f t="shared" si="493"/>
        <v>0</v>
      </c>
      <c r="AL178" s="466">
        <f t="shared" si="493"/>
        <v>0</v>
      </c>
      <c r="AM178" s="466">
        <f t="shared" si="493"/>
        <v>0</v>
      </c>
      <c r="AN178" s="466">
        <f t="shared" si="493"/>
        <v>0</v>
      </c>
      <c r="AO178" s="466">
        <f t="shared" si="493"/>
        <v>0</v>
      </c>
      <c r="AP178" s="466">
        <f t="shared" si="493"/>
        <v>0</v>
      </c>
      <c r="AQ178" s="466">
        <f t="shared" si="493"/>
        <v>0</v>
      </c>
      <c r="AR178" s="466">
        <f t="shared" si="493"/>
        <v>0</v>
      </c>
      <c r="AS178" s="466">
        <f t="shared" si="493"/>
        <v>0</v>
      </c>
      <c r="AT178" s="466">
        <f t="shared" si="493"/>
        <v>0</v>
      </c>
      <c r="AU178" s="466">
        <f t="shared" si="493"/>
        <v>0</v>
      </c>
      <c r="AV178" s="466">
        <f t="shared" si="493"/>
        <v>0</v>
      </c>
      <c r="AW178" s="466">
        <f t="shared" si="493"/>
        <v>0</v>
      </c>
      <c r="AX178" s="466">
        <f t="shared" si="493"/>
        <v>0</v>
      </c>
      <c r="AY178" s="466">
        <f t="shared" si="493"/>
        <v>-826112</v>
      </c>
      <c r="AZ178" s="466">
        <f t="shared" si="493"/>
        <v>1074636</v>
      </c>
      <c r="BA178" s="466">
        <f t="shared" si="493"/>
        <v>-287500</v>
      </c>
      <c r="BB178" s="466">
        <f t="shared" si="493"/>
        <v>2885</v>
      </c>
      <c r="BC178" s="466">
        <f t="shared" si="493"/>
        <v>574014</v>
      </c>
      <c r="BD178" s="466">
        <f t="shared" si="493"/>
        <v>741935</v>
      </c>
      <c r="BE178" s="466">
        <f t="shared" si="493"/>
        <v>647946</v>
      </c>
      <c r="BF178" s="466">
        <f t="shared" si="493"/>
        <v>190253</v>
      </c>
      <c r="BG178" s="466" t="str">
        <f t="shared" ref="BG178:BH178" si="494">BG146-#REF!-BG163-BG170+BG172+BG175</f>
        <v>#REF!</v>
      </c>
      <c r="BH178" s="466" t="str">
        <f t="shared" si="494"/>
        <v>#REF!</v>
      </c>
      <c r="BI178" s="466">
        <f t="shared" ref="BI178:CH178" si="495">BI146-BI159-BI163-BI170+BI172+BI175</f>
        <v>911591</v>
      </c>
      <c r="BJ178" s="466">
        <f t="shared" si="495"/>
        <v>790910</v>
      </c>
      <c r="BK178" s="466">
        <f t="shared" si="495"/>
        <v>162823.29</v>
      </c>
      <c r="BL178" s="466">
        <f t="shared" si="495"/>
        <v>503414.17</v>
      </c>
      <c r="BM178" s="466">
        <f t="shared" si="495"/>
        <v>335950.85</v>
      </c>
      <c r="BN178" s="466">
        <f t="shared" si="495"/>
        <v>316461.13</v>
      </c>
      <c r="BO178" s="466">
        <f t="shared" si="495"/>
        <v>80037.9</v>
      </c>
      <c r="BP178" s="466">
        <f t="shared" si="495"/>
        <v>148500.71</v>
      </c>
      <c r="BQ178" s="466">
        <f t="shared" si="495"/>
        <v>785104.71</v>
      </c>
      <c r="BR178" s="466">
        <f t="shared" si="495"/>
        <v>505719.77</v>
      </c>
      <c r="BS178" s="466">
        <f t="shared" si="495"/>
        <v>851482.57</v>
      </c>
      <c r="BT178" s="466">
        <f t="shared" si="495"/>
        <v>1090844.01</v>
      </c>
      <c r="BU178" s="466">
        <f t="shared" si="495"/>
        <v>668715.28</v>
      </c>
      <c r="BV178" s="466">
        <f t="shared" si="495"/>
        <v>958894.68</v>
      </c>
      <c r="BW178" s="466">
        <f t="shared" si="495"/>
        <v>487986.02</v>
      </c>
      <c r="BX178" s="466">
        <f t="shared" si="495"/>
        <v>312329.77</v>
      </c>
      <c r="BY178" s="466">
        <f t="shared" si="495"/>
        <v>662327.61</v>
      </c>
      <c r="BZ178" s="466">
        <f t="shared" si="495"/>
        <v>899326.61</v>
      </c>
      <c r="CA178" s="466">
        <f t="shared" si="495"/>
        <v>404379.89</v>
      </c>
      <c r="CB178" s="466">
        <f t="shared" si="495"/>
        <v>391693.61</v>
      </c>
      <c r="CC178" s="466">
        <f t="shared" si="495"/>
        <v>913090.36</v>
      </c>
      <c r="CD178" s="466">
        <f t="shared" si="495"/>
        <v>778289.89</v>
      </c>
      <c r="CE178" s="466">
        <f t="shared" si="495"/>
        <v>789712.61</v>
      </c>
      <c r="CF178" s="466">
        <f t="shared" si="495"/>
        <v>1258453.22</v>
      </c>
      <c r="CG178" s="466">
        <f t="shared" si="495"/>
        <v>632659.22</v>
      </c>
      <c r="CH178" s="466">
        <f t="shared" si="495"/>
        <v>720923.52</v>
      </c>
      <c r="CI178" s="129"/>
      <c r="CJ178" s="129"/>
      <c r="CK178" s="467"/>
      <c r="CL178" s="372"/>
      <c r="CM178" s="372">
        <f>sum(BW178:BY178)</f>
        <v>1462643.4</v>
      </c>
      <c r="CN178" s="372">
        <f>sum(BZ178:CB178)</f>
        <v>1695400.11</v>
      </c>
      <c r="CO178" s="372">
        <f>sum(CC178:CE178)</f>
        <v>2481092.86</v>
      </c>
      <c r="CP178" s="372">
        <f>sum(CF178:CH178)</f>
        <v>2612035.96</v>
      </c>
      <c r="CQ178" s="467">
        <f>sum(BW178:CH178)</f>
        <v>8251172.33</v>
      </c>
      <c r="CR178" s="372"/>
      <c r="CS178" s="372">
        <f>sum(BK178:BM178)</f>
        <v>1002188.31</v>
      </c>
      <c r="CT178" s="372">
        <f>sum(BN178:BP178)</f>
        <v>544999.74</v>
      </c>
      <c r="CU178" s="372">
        <f>sum(BQ178:BS178)</f>
        <v>2142307.05</v>
      </c>
      <c r="CV178" s="372">
        <f>sum(BT178:BV178)</f>
        <v>2718453.97</v>
      </c>
      <c r="CW178" s="374">
        <f>sum(BK178:BV178)</f>
        <v>6407949.07</v>
      </c>
      <c r="CX178" s="372"/>
      <c r="CY178" s="372">
        <f>sum(AY178:BA178)</f>
        <v>-38976</v>
      </c>
      <c r="CZ178" s="372">
        <f>sum(BB178:BD178)</f>
        <v>1318834</v>
      </c>
      <c r="DA178" s="372" t="str">
        <f>sum(BE178:BG178)</f>
        <v>#REF!</v>
      </c>
      <c r="DB178" s="372" t="str">
        <f>sum(BH178:BJ178)</f>
        <v>#REF!</v>
      </c>
      <c r="DC178" s="374" t="str">
        <f>sum(AY178:BJ178)</f>
        <v>#REF!</v>
      </c>
      <c r="DD178" s="375"/>
      <c r="DE178" s="372">
        <f>sum(AM178:AO178)</f>
        <v>0</v>
      </c>
      <c r="DF178" s="372">
        <f>sum(AP178:AR178)</f>
        <v>0</v>
      </c>
      <c r="DG178" s="372">
        <f>sum(AS178:AU178)</f>
        <v>0</v>
      </c>
      <c r="DH178" s="372">
        <f>sum(AV178:AX178)</f>
        <v>0</v>
      </c>
      <c r="DI178" s="374">
        <f>sum(AM178:AX178)</f>
        <v>0</v>
      </c>
      <c r="DJ178" s="375"/>
      <c r="DK178" s="372">
        <f>sum(AA178:AC178)</f>
        <v>0</v>
      </c>
      <c r="DL178" s="372">
        <f>sum(AD178:AF178)</f>
        <v>0</v>
      </c>
      <c r="DM178" s="372">
        <f>sum(AG178:AI178)</f>
        <v>0</v>
      </c>
      <c r="DN178" s="372">
        <f>sum(AJ178:AL178)</f>
        <v>0</v>
      </c>
      <c r="DO178" s="374">
        <f>DO126-DO143</f>
        <v>71376.66667</v>
      </c>
      <c r="DP178" s="375"/>
      <c r="DQ178" s="374">
        <f>DQ126-DQ143</f>
        <v>0</v>
      </c>
      <c r="DR178" s="375"/>
      <c r="DS178" s="372"/>
      <c r="DT178" s="372"/>
      <c r="DU178" s="372"/>
      <c r="DV178" s="372"/>
      <c r="DW178" s="372"/>
      <c r="DX178" s="372"/>
      <c r="DY178" s="372"/>
      <c r="DZ178" s="372"/>
      <c r="EA178" s="372"/>
      <c r="EB178" s="372"/>
      <c r="EC178" s="372"/>
      <c r="ED178" s="372"/>
      <c r="EE178" s="372"/>
      <c r="EF178" s="372"/>
      <c r="EG178" s="372"/>
      <c r="EH178" s="372"/>
      <c r="EI178" s="372"/>
      <c r="EJ178" s="372"/>
      <c r="EK178" s="372"/>
      <c r="EL178" s="372"/>
      <c r="EM178" s="372"/>
      <c r="EN178" s="372"/>
      <c r="EO178" s="372"/>
      <c r="EP178" s="372"/>
      <c r="EQ178" s="373"/>
      <c r="ER178" s="373"/>
      <c r="ES178" s="373"/>
      <c r="ET178" s="373"/>
      <c r="EU178" s="373"/>
      <c r="EV178" s="372"/>
      <c r="EW178" s="372"/>
      <c r="EX178" s="372"/>
      <c r="EY178" s="372"/>
      <c r="EZ178" s="372"/>
      <c r="FA178" s="372"/>
      <c r="FB178" s="448"/>
      <c r="FC178" s="372"/>
      <c r="FD178" s="372"/>
      <c r="FE178" s="372"/>
      <c r="FF178" s="372"/>
      <c r="FG178" s="372"/>
      <c r="FH178" s="372"/>
      <c r="FI178" s="372"/>
      <c r="FJ178" s="372"/>
      <c r="FK178" s="372"/>
      <c r="FL178" s="372"/>
      <c r="FM178" s="372"/>
      <c r="FN178" s="372"/>
      <c r="FO178" s="372"/>
      <c r="FP178" s="372"/>
      <c r="FQ178" s="372"/>
      <c r="FR178" s="372"/>
      <c r="FS178" s="372"/>
      <c r="FT178" s="372"/>
      <c r="FU178" s="372"/>
      <c r="FV178" s="372"/>
      <c r="FW178" s="372"/>
      <c r="FX178" s="372"/>
      <c r="FY178" s="372"/>
      <c r="FZ178" s="372"/>
      <c r="GA178" s="372"/>
      <c r="GB178" s="372"/>
      <c r="GC178" s="372"/>
      <c r="GD178" s="372"/>
      <c r="GE178" s="372"/>
      <c r="GF178" s="372"/>
      <c r="GG178" s="372"/>
      <c r="GH178" s="372"/>
      <c r="GI178" s="372"/>
      <c r="GJ178" s="372"/>
      <c r="GK178" s="372"/>
      <c r="GL178" s="372"/>
      <c r="GM178" s="372"/>
    </row>
    <row r="179"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N179" s="106">
        <f t="shared" ref="CN179:CP179" si="496">CN178/CN146</f>
        <v>0.1267815605</v>
      </c>
      <c r="CO179" s="106">
        <f t="shared" si="496"/>
        <v>0.1713150524</v>
      </c>
      <c r="CP179" s="106">
        <f t="shared" si="496"/>
        <v>0.1789796355</v>
      </c>
      <c r="DK179" s="2"/>
      <c r="DL179" s="2"/>
      <c r="DM179" s="2"/>
      <c r="DN179" s="2"/>
      <c r="FB179" s="3"/>
    </row>
    <row r="180">
      <c r="AX180" s="84" t="s">
        <v>30</v>
      </c>
      <c r="AY180" s="3">
        <v>57000.0</v>
      </c>
      <c r="AZ180" s="3">
        <v>402890.0</v>
      </c>
      <c r="BA180" s="3">
        <v>5460271.0</v>
      </c>
      <c r="BB180" s="3">
        <v>1745422.0</v>
      </c>
      <c r="BC180" s="3">
        <v>3865864.0</v>
      </c>
      <c r="BD180" s="102">
        <f t="shared" ref="BD180:BF180" si="497">BD7</f>
        <v>1064496</v>
      </c>
      <c r="BE180" s="102">
        <f t="shared" si="497"/>
        <v>1406220</v>
      </c>
      <c r="BF180" s="102">
        <f t="shared" si="497"/>
        <v>2487957</v>
      </c>
      <c r="BG180" s="1">
        <v>3000000.0</v>
      </c>
      <c r="BH180" s="1">
        <v>3000000.0</v>
      </c>
      <c r="BI180" s="1">
        <v>3000000.0</v>
      </c>
      <c r="BJ180" s="1">
        <v>3000000.0</v>
      </c>
      <c r="BK180" s="102">
        <f t="shared" ref="BK180:CH180" si="498">BK7</f>
        <v>1131126.1</v>
      </c>
      <c r="BL180" s="102">
        <f t="shared" si="498"/>
        <v>3388620</v>
      </c>
      <c r="BM180" s="102">
        <f t="shared" si="498"/>
        <v>3874317.85</v>
      </c>
      <c r="BN180" s="102">
        <f t="shared" si="498"/>
        <v>5658371</v>
      </c>
      <c r="BO180" s="102">
        <f t="shared" si="498"/>
        <v>2939886</v>
      </c>
      <c r="BP180" s="102">
        <f t="shared" si="498"/>
        <v>3780756.5</v>
      </c>
      <c r="BQ180" s="102">
        <f t="shared" si="498"/>
        <v>4707768</v>
      </c>
      <c r="BR180" s="102">
        <f t="shared" si="498"/>
        <v>2809304</v>
      </c>
      <c r="BS180" s="102">
        <f t="shared" si="498"/>
        <v>4837562.96</v>
      </c>
      <c r="BT180" s="102">
        <f t="shared" si="498"/>
        <v>6375710.17</v>
      </c>
      <c r="BU180" s="102">
        <f t="shared" si="498"/>
        <v>3993142</v>
      </c>
      <c r="BV180" s="102">
        <f t="shared" si="498"/>
        <v>7442360.47</v>
      </c>
      <c r="BW180" s="197">
        <f t="shared" si="498"/>
        <v>1005206</v>
      </c>
      <c r="BX180" s="197">
        <f t="shared" si="498"/>
        <v>4472753</v>
      </c>
      <c r="BY180" s="197">
        <f t="shared" si="498"/>
        <v>8735404</v>
      </c>
      <c r="BZ180" s="197">
        <f t="shared" si="498"/>
        <v>1437672</v>
      </c>
      <c r="CA180" s="197">
        <f t="shared" si="498"/>
        <v>4480286.32</v>
      </c>
      <c r="CB180" s="197">
        <f t="shared" si="498"/>
        <v>2847037</v>
      </c>
      <c r="CC180" s="197">
        <f t="shared" si="498"/>
        <v>0</v>
      </c>
      <c r="CD180" s="197">
        <f t="shared" si="498"/>
        <v>0</v>
      </c>
      <c r="CE180" s="197">
        <f t="shared" si="498"/>
        <v>0</v>
      </c>
      <c r="CF180" s="197">
        <f t="shared" si="498"/>
        <v>0</v>
      </c>
      <c r="CG180" s="197">
        <f t="shared" si="498"/>
        <v>0</v>
      </c>
      <c r="CH180" s="197">
        <f t="shared" si="498"/>
        <v>0</v>
      </c>
      <c r="DK180" s="2"/>
      <c r="DL180" s="2"/>
      <c r="DM180" s="2"/>
      <c r="DN180" s="2"/>
      <c r="FB180" s="3"/>
    </row>
    <row r="181">
      <c r="AX181" s="84" t="s">
        <v>101</v>
      </c>
      <c r="AY181" s="3">
        <f t="shared" ref="AY181:BH181" si="499">AY13</f>
        <v>1682341.92</v>
      </c>
      <c r="AZ181" s="3">
        <f t="shared" si="499"/>
        <v>1868928.87</v>
      </c>
      <c r="BA181" s="3">
        <f t="shared" si="499"/>
        <v>1912287.52</v>
      </c>
      <c r="BB181" s="3">
        <f t="shared" si="499"/>
        <v>2003722.65</v>
      </c>
      <c r="BC181" s="3">
        <f t="shared" si="499"/>
        <v>1916051.23</v>
      </c>
      <c r="BD181" s="3">
        <f t="shared" si="499"/>
        <v>1831016.71</v>
      </c>
      <c r="BE181" s="3">
        <f t="shared" si="499"/>
        <v>2080921.36</v>
      </c>
      <c r="BF181" s="3">
        <f t="shared" si="499"/>
        <v>2167206.38</v>
      </c>
      <c r="BG181" s="3">
        <f t="shared" si="499"/>
        <v>2164385.66</v>
      </c>
      <c r="BH181" s="3">
        <f t="shared" si="499"/>
        <v>2831144.66</v>
      </c>
      <c r="BK181" s="3">
        <f t="shared" ref="BK181:CH181" si="500">BK13</f>
        <v>2578096</v>
      </c>
      <c r="BL181" s="3">
        <f t="shared" si="500"/>
        <v>2417466</v>
      </c>
      <c r="BM181" s="3">
        <f t="shared" si="500"/>
        <v>2428049</v>
      </c>
      <c r="BN181" s="3">
        <f t="shared" si="500"/>
        <v>2709800.32</v>
      </c>
      <c r="BO181" s="3">
        <f t="shared" si="500"/>
        <v>2648433.9</v>
      </c>
      <c r="BP181" s="3">
        <f t="shared" si="500"/>
        <v>2684460.9</v>
      </c>
      <c r="BQ181" s="3">
        <f t="shared" si="500"/>
        <v>3109356.83</v>
      </c>
      <c r="BR181" s="3">
        <f t="shared" si="500"/>
        <v>2924213.59</v>
      </c>
      <c r="BS181" s="3">
        <f t="shared" si="500"/>
        <v>3465158.92</v>
      </c>
      <c r="BT181" s="3">
        <f t="shared" si="500"/>
        <v>4021091.72</v>
      </c>
      <c r="BU181" s="3">
        <f t="shared" si="500"/>
        <v>3287831.78</v>
      </c>
      <c r="BV181" s="3">
        <f t="shared" si="500"/>
        <v>3641358.14</v>
      </c>
      <c r="BW181" s="197">
        <f t="shared" si="500"/>
        <v>4081578.71</v>
      </c>
      <c r="BX181" s="197">
        <f t="shared" si="500"/>
        <v>4044561.43</v>
      </c>
      <c r="BY181" s="197">
        <f t="shared" si="500"/>
        <v>4448100.62</v>
      </c>
      <c r="BZ181" s="197">
        <f t="shared" si="500"/>
        <v>4587407.57</v>
      </c>
      <c r="CA181" s="197">
        <f t="shared" si="500"/>
        <v>4354971.51</v>
      </c>
      <c r="CB181" s="197">
        <f t="shared" si="500"/>
        <v>4702074.87</v>
      </c>
      <c r="CC181" s="197">
        <f t="shared" si="500"/>
        <v>0</v>
      </c>
      <c r="CD181" s="197">
        <f t="shared" si="500"/>
        <v>0</v>
      </c>
      <c r="CE181" s="197">
        <f t="shared" si="500"/>
        <v>0</v>
      </c>
      <c r="CF181" s="197">
        <f t="shared" si="500"/>
        <v>0</v>
      </c>
      <c r="CG181" s="197">
        <f t="shared" si="500"/>
        <v>0</v>
      </c>
      <c r="CH181" s="197">
        <f t="shared" si="500"/>
        <v>0</v>
      </c>
      <c r="CM181" s="1"/>
      <c r="CN181" s="1"/>
      <c r="CO181" s="1"/>
      <c r="CP181" s="1"/>
      <c r="CQ181" s="1"/>
      <c r="CR181" s="1"/>
      <c r="CS181" s="498" t="s">
        <v>165</v>
      </c>
      <c r="CT181" s="499"/>
      <c r="CU181" s="499"/>
      <c r="CV181" s="499"/>
      <c r="CY181" s="498" t="s">
        <v>29</v>
      </c>
      <c r="CZ181" s="499"/>
      <c r="DA181" s="499"/>
      <c r="DB181" s="499"/>
      <c r="DK181" s="2"/>
      <c r="DL181" s="2"/>
      <c r="DM181" s="2"/>
      <c r="DN181" s="2"/>
      <c r="FB181" s="3"/>
    </row>
    <row r="182">
      <c r="AN182" s="129"/>
      <c r="AO182" s="129"/>
      <c r="AP182" s="129"/>
      <c r="AQ182" s="129"/>
      <c r="AR182" s="129"/>
      <c r="AS182" s="129"/>
      <c r="AT182" s="129"/>
      <c r="AU182" s="129"/>
      <c r="AV182" s="129"/>
      <c r="AW182" s="129"/>
      <c r="AX182" s="129" t="s">
        <v>505</v>
      </c>
      <c r="AY182" s="3">
        <f t="shared" ref="AY182:BH182" si="501">AY28</f>
        <v>789958.28</v>
      </c>
      <c r="AZ182" s="3">
        <f t="shared" si="501"/>
        <v>695628.02</v>
      </c>
      <c r="BA182" s="3">
        <f t="shared" si="501"/>
        <v>684119.8</v>
      </c>
      <c r="BB182" s="3">
        <f t="shared" si="501"/>
        <v>1015234.01</v>
      </c>
      <c r="BC182" s="3">
        <f t="shared" si="501"/>
        <v>739568.76</v>
      </c>
      <c r="BD182" s="3">
        <f t="shared" si="501"/>
        <v>713502.96</v>
      </c>
      <c r="BE182" s="3">
        <f t="shared" si="501"/>
        <v>723018.19</v>
      </c>
      <c r="BF182" s="3">
        <f t="shared" si="501"/>
        <v>1277498.93</v>
      </c>
      <c r="BG182" s="3">
        <f t="shared" si="501"/>
        <v>845997.9</v>
      </c>
      <c r="BH182" s="3">
        <f t="shared" si="501"/>
        <v>942044.01</v>
      </c>
      <c r="BK182" s="3">
        <f t="shared" ref="BK182:CH182" si="502">BK28</f>
        <v>1119926.34</v>
      </c>
      <c r="BL182" s="3">
        <f t="shared" si="502"/>
        <v>1048344.9</v>
      </c>
      <c r="BM182" s="3">
        <f t="shared" si="502"/>
        <v>1057048.21</v>
      </c>
      <c r="BN182" s="3">
        <f t="shared" si="502"/>
        <v>1048328.78</v>
      </c>
      <c r="BO182" s="3">
        <f t="shared" si="502"/>
        <v>1159914.36</v>
      </c>
      <c r="BP182" s="3">
        <f t="shared" si="502"/>
        <v>1138086.55</v>
      </c>
      <c r="BQ182" s="3">
        <f t="shared" si="502"/>
        <v>1240606.57</v>
      </c>
      <c r="BR182" s="3">
        <f t="shared" si="502"/>
        <v>1303612.91</v>
      </c>
      <c r="BS182" s="3">
        <f t="shared" si="502"/>
        <v>1450485.98</v>
      </c>
      <c r="BT182" s="3">
        <f t="shared" si="502"/>
        <v>1603668.52</v>
      </c>
      <c r="BU182" s="3">
        <f t="shared" si="502"/>
        <v>1506889.89</v>
      </c>
      <c r="BV182" s="3">
        <f t="shared" si="502"/>
        <v>1694832.68</v>
      </c>
      <c r="BW182" s="197">
        <f t="shared" si="502"/>
        <v>1839262.32</v>
      </c>
      <c r="BX182" s="197">
        <f t="shared" si="502"/>
        <v>1685442.98</v>
      </c>
      <c r="BY182" s="197">
        <f t="shared" si="502"/>
        <v>1937350.72</v>
      </c>
      <c r="BZ182" s="197">
        <f t="shared" si="502"/>
        <v>1922012.28</v>
      </c>
      <c r="CA182" s="197">
        <f t="shared" si="502"/>
        <v>1760059.63</v>
      </c>
      <c r="CB182" s="197">
        <f t="shared" si="502"/>
        <v>1851450.72</v>
      </c>
      <c r="CC182" s="197">
        <f t="shared" si="502"/>
        <v>0</v>
      </c>
      <c r="CD182" s="197">
        <f t="shared" si="502"/>
        <v>0</v>
      </c>
      <c r="CE182" s="197">
        <f t="shared" si="502"/>
        <v>0</v>
      </c>
      <c r="CF182" s="197">
        <f t="shared" si="502"/>
        <v>0</v>
      </c>
      <c r="CG182" s="197">
        <f t="shared" si="502"/>
        <v>0</v>
      </c>
      <c r="CH182" s="197">
        <f t="shared" si="502"/>
        <v>0</v>
      </c>
      <c r="CL182" s="122" t="s">
        <v>505</v>
      </c>
      <c r="CS182" s="84" t="str">
        <f t="shared" ref="CS182:CV182" si="503">TEXT(CS159,"0,000")&amp;"/"&amp;TEXT(CS159/ SUM(CS$159,CS$163),"0%")</f>
        <v>3,120,237/47%</v>
      </c>
      <c r="CT182" s="84" t="str">
        <f t="shared" si="503"/>
        <v>3,072,816/41%</v>
      </c>
      <c r="CU182" s="84" t="str">
        <f t="shared" si="503"/>
        <v>3,339,284/45%</v>
      </c>
      <c r="CV182" s="84" t="str">
        <f t="shared" si="503"/>
        <v>3,463,081/47%</v>
      </c>
      <c r="CX182" s="122" t="s">
        <v>505</v>
      </c>
      <c r="CY182" s="84" t="str">
        <f t="shared" ref="CY182:DB182" si="504">TEXT(CY28,"0,000")&amp;"/"&amp;TEXT(CY28/ SUM(CY$28,CY$69),"0%")</f>
        <v>2,169,706/38%</v>
      </c>
      <c r="CZ182" s="84" t="str">
        <f t="shared" si="504"/>
        <v>2,468,306/40%</v>
      </c>
      <c r="DA182" s="84" t="str">
        <f t="shared" si="504"/>
        <v>2,846,515/46%</v>
      </c>
      <c r="DB182" s="84" t="str">
        <f t="shared" si="504"/>
        <v>2,949,068/46%</v>
      </c>
      <c r="DK182" s="2"/>
      <c r="DL182" s="2"/>
      <c r="DM182" s="2"/>
      <c r="DN182" s="2"/>
      <c r="ER182" s="129"/>
      <c r="ES182" s="129"/>
      <c r="ET182" s="129"/>
      <c r="EU182" s="129"/>
      <c r="EV182" s="129"/>
      <c r="EW182" s="129"/>
      <c r="EX182" s="129"/>
      <c r="EY182" s="129"/>
      <c r="EZ182" s="129"/>
      <c r="FA182" s="129"/>
      <c r="FB182" s="3"/>
      <c r="FC182" s="129"/>
      <c r="FD182" s="129"/>
      <c r="FE182" s="129"/>
      <c r="FO182" s="129"/>
      <c r="FP182" s="129"/>
      <c r="FQ182" s="129"/>
    </row>
    <row r="183">
      <c r="AX183" s="84" t="s">
        <v>198</v>
      </c>
      <c r="AY183" s="3">
        <f t="shared" ref="AY183:BH183" si="505">AY69</f>
        <v>1312056.86</v>
      </c>
      <c r="AZ183" s="3">
        <f t="shared" si="505"/>
        <v>1056956.03</v>
      </c>
      <c r="BA183" s="3">
        <f t="shared" si="505"/>
        <v>1205039.85</v>
      </c>
      <c r="BB183" s="3">
        <f t="shared" si="505"/>
        <v>1159759.98</v>
      </c>
      <c r="BC183" s="3">
        <f t="shared" si="505"/>
        <v>1264048.19</v>
      </c>
      <c r="BD183" s="3">
        <f t="shared" si="505"/>
        <v>1325176.56</v>
      </c>
      <c r="BE183" s="3">
        <f t="shared" si="505"/>
        <v>1148718.86</v>
      </c>
      <c r="BF183" s="3">
        <f t="shared" si="505"/>
        <v>1082979.54</v>
      </c>
      <c r="BG183" s="3">
        <f t="shared" si="505"/>
        <v>1177369.49</v>
      </c>
      <c r="BH183" s="3">
        <f t="shared" si="505"/>
        <v>1174268.99</v>
      </c>
      <c r="BK183" s="3">
        <f t="shared" ref="BK183:CH183" si="506">BK69</f>
        <v>1349799.03</v>
      </c>
      <c r="BL183" s="3">
        <f t="shared" si="506"/>
        <v>1003637.85</v>
      </c>
      <c r="BM183" s="3">
        <f t="shared" si="506"/>
        <v>1072361.86</v>
      </c>
      <c r="BN183" s="3">
        <f t="shared" si="506"/>
        <v>1413998.25</v>
      </c>
      <c r="BO183" s="3">
        <f t="shared" si="506"/>
        <v>1451019.69</v>
      </c>
      <c r="BP183" s="3">
        <f t="shared" si="506"/>
        <v>1362210.55</v>
      </c>
      <c r="BQ183" s="3">
        <f t="shared" si="506"/>
        <v>1337099.65</v>
      </c>
      <c r="BR183" s="3">
        <f t="shared" si="506"/>
        <v>1504466</v>
      </c>
      <c r="BS183" s="3">
        <f t="shared" si="506"/>
        <v>1743412.64</v>
      </c>
      <c r="BT183" s="3">
        <f t="shared" si="506"/>
        <v>1737967.51</v>
      </c>
      <c r="BU183" s="3">
        <f t="shared" si="506"/>
        <v>1469663.48</v>
      </c>
      <c r="BV183" s="3">
        <f t="shared" si="506"/>
        <v>828493.58</v>
      </c>
      <c r="BW183" s="197">
        <f t="shared" si="506"/>
        <v>1753777.22</v>
      </c>
      <c r="BX183" s="197">
        <f t="shared" si="506"/>
        <v>1757748.04</v>
      </c>
      <c r="BY183" s="197">
        <f t="shared" si="506"/>
        <v>1791395.33</v>
      </c>
      <c r="BZ183" s="197">
        <f t="shared" si="506"/>
        <v>1701466.52</v>
      </c>
      <c r="CA183" s="197">
        <f t="shared" si="506"/>
        <v>2034772.84</v>
      </c>
      <c r="CB183" s="197">
        <f t="shared" si="506"/>
        <v>2293445.62</v>
      </c>
      <c r="CC183" s="197">
        <f t="shared" si="506"/>
        <v>0</v>
      </c>
      <c r="CD183" s="197">
        <f t="shared" si="506"/>
        <v>0</v>
      </c>
      <c r="CE183" s="197">
        <f t="shared" si="506"/>
        <v>0</v>
      </c>
      <c r="CF183" s="197">
        <f t="shared" si="506"/>
        <v>0</v>
      </c>
      <c r="CG183" s="197">
        <f t="shared" si="506"/>
        <v>0</v>
      </c>
      <c r="CH183" s="197">
        <f t="shared" si="506"/>
        <v>0</v>
      </c>
      <c r="CL183" s="122" t="s">
        <v>575</v>
      </c>
      <c r="CS183" s="84" t="str">
        <f t="shared" ref="CS183:CV183" si="507">TEXT(CS164,"0,000")&amp;"/"&amp;TEXT(CS164/ SUM(CS$159,CS$163),"0%")</f>
        <v>2,324,774/35%</v>
      </c>
      <c r="CT183" s="84" t="str">
        <f t="shared" si="507"/>
        <v>2,483,954/33%</v>
      </c>
      <c r="CU183" s="84" t="str">
        <f t="shared" si="507"/>
        <v>2,525,590/34%</v>
      </c>
      <c r="CV183" s="84" t="str">
        <f t="shared" si="507"/>
        <v>2,601,519/35%</v>
      </c>
      <c r="CX183" s="122" t="s">
        <v>575</v>
      </c>
      <c r="CY183" s="84" t="str">
        <f t="shared" ref="CY183:DB183" si="508">TEXT(CY74,"0,000")&amp;"/"&amp;TEXT(CY74/ SUM(CY$28,CY$69),"0%")</f>
        <v>2,291,985/40%</v>
      </c>
      <c r="CZ183" s="84" t="str">
        <f t="shared" si="508"/>
        <v>2,251,471/36%</v>
      </c>
      <c r="DA183" s="84" t="str">
        <f t="shared" si="508"/>
        <v>2,333,541/37%</v>
      </c>
      <c r="DB183" s="84" t="str">
        <f t="shared" si="508"/>
        <v>2,403,689/37%</v>
      </c>
      <c r="DK183" s="2"/>
      <c r="DL183" s="2"/>
      <c r="DM183" s="2"/>
      <c r="DN183" s="2"/>
      <c r="FB183" s="3"/>
    </row>
    <row r="184">
      <c r="AX184" s="1" t="s">
        <v>489</v>
      </c>
      <c r="AY184" s="129">
        <f t="shared" ref="AY184:BH184" si="509">AY91</f>
        <v>-419673.22</v>
      </c>
      <c r="AZ184" s="129">
        <f t="shared" si="509"/>
        <v>116344.82</v>
      </c>
      <c r="BA184" s="129">
        <f t="shared" si="509"/>
        <v>23127.87</v>
      </c>
      <c r="BB184" s="129">
        <f t="shared" si="509"/>
        <v>-171271.34</v>
      </c>
      <c r="BC184" s="129">
        <f t="shared" si="509"/>
        <v>-87565.72</v>
      </c>
      <c r="BD184" s="129">
        <f t="shared" si="509"/>
        <v>-207662.81</v>
      </c>
      <c r="BE184" s="129">
        <f t="shared" si="509"/>
        <v>209184.31</v>
      </c>
      <c r="BF184" s="129">
        <f t="shared" si="509"/>
        <v>-193272.09</v>
      </c>
      <c r="BG184" s="129">
        <f t="shared" si="509"/>
        <v>141018.27</v>
      </c>
      <c r="BH184" s="129">
        <f t="shared" si="509"/>
        <v>714831.66</v>
      </c>
      <c r="BK184" s="129">
        <f t="shared" ref="BK184:CH184" si="510">BK91</f>
        <v>108370.63</v>
      </c>
      <c r="BL184" s="129">
        <f t="shared" si="510"/>
        <v>365483.25</v>
      </c>
      <c r="BM184" s="129">
        <f t="shared" si="510"/>
        <v>298638.93</v>
      </c>
      <c r="BN184" s="129">
        <f t="shared" si="510"/>
        <v>247473.29</v>
      </c>
      <c r="BO184" s="129">
        <f t="shared" si="510"/>
        <v>37499.85</v>
      </c>
      <c r="BP184" s="129">
        <f t="shared" si="510"/>
        <v>184163.8</v>
      </c>
      <c r="BQ184" s="129">
        <f t="shared" si="510"/>
        <v>531650.61</v>
      </c>
      <c r="BR184" s="129">
        <f t="shared" si="510"/>
        <v>116134.68</v>
      </c>
      <c r="BS184" s="129">
        <f t="shared" si="510"/>
        <v>470893.69</v>
      </c>
      <c r="BT184" s="129">
        <f t="shared" si="510"/>
        <v>760861.56</v>
      </c>
      <c r="BU184" s="129">
        <f t="shared" si="510"/>
        <v>302893.01</v>
      </c>
      <c r="BV184" s="129">
        <f t="shared" si="510"/>
        <v>1043122.67</v>
      </c>
      <c r="BW184" s="546">
        <f t="shared" si="510"/>
        <v>444693.55</v>
      </c>
      <c r="BX184" s="546">
        <f t="shared" si="510"/>
        <v>555629.41</v>
      </c>
      <c r="BY184" s="546">
        <f t="shared" si="510"/>
        <v>669201.57</v>
      </c>
      <c r="BZ184" s="546">
        <f t="shared" si="510"/>
        <v>963928.77</v>
      </c>
      <c r="CA184" s="546">
        <f t="shared" si="510"/>
        <v>495072.74</v>
      </c>
      <c r="CB184" s="546">
        <f t="shared" si="510"/>
        <v>484240.85</v>
      </c>
      <c r="CC184" s="546">
        <f t="shared" si="510"/>
        <v>0</v>
      </c>
      <c r="CD184" s="546">
        <f t="shared" si="510"/>
        <v>0</v>
      </c>
      <c r="CE184" s="546">
        <f t="shared" si="510"/>
        <v>0</v>
      </c>
      <c r="CF184" s="546">
        <f t="shared" si="510"/>
        <v>0</v>
      </c>
      <c r="CG184" s="546">
        <f t="shared" si="510"/>
        <v>0</v>
      </c>
      <c r="CH184" s="546">
        <f t="shared" si="510"/>
        <v>0</v>
      </c>
      <c r="CL184" s="122" t="s">
        <v>576</v>
      </c>
      <c r="CS184" s="84" t="str">
        <f t="shared" ref="CS184:CV184" si="511">TEXT(CS165,"0,000")&amp;"/"&amp;TEXT(CS165/ SUM(CS$159,CS$163),"0%")</f>
        <v>534,433/8%</v>
      </c>
      <c r="CT184" s="84" t="str">
        <f t="shared" si="511"/>
        <v>528,287/7%</v>
      </c>
      <c r="CU184" s="84" t="str">
        <f t="shared" si="511"/>
        <v>533,576/7%</v>
      </c>
      <c r="CV184" s="84" t="str">
        <f t="shared" si="511"/>
        <v>533,103/7%</v>
      </c>
      <c r="CX184" s="122" t="s">
        <v>576</v>
      </c>
      <c r="CY184" s="84" t="str">
        <f t="shared" ref="CY184:DB184" si="512">TEXT(CY70,"0,000")&amp;"/"&amp;TEXT(CY70/ SUM(CY$28,CY$69),"0%")</f>
        <v>533,290/9%</v>
      </c>
      <c r="CZ184" s="84" t="str">
        <f t="shared" si="512"/>
        <v>443,225/7%</v>
      </c>
      <c r="DA184" s="84" t="str">
        <f t="shared" si="512"/>
        <v>525,777/8%</v>
      </c>
      <c r="DB184" s="84" t="str">
        <f t="shared" si="512"/>
        <v>458,090/7%</v>
      </c>
      <c r="DK184" s="2"/>
      <c r="DL184" s="2"/>
      <c r="DM184" s="2"/>
      <c r="DN184" s="2"/>
      <c r="FB184" s="3"/>
    </row>
    <row r="185"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L185" s="122" t="s">
        <v>456</v>
      </c>
      <c r="CS185" s="84" t="str">
        <f t="shared" ref="CS185:CV185" si="513">TEXT(CS168,"0,000")&amp;"/"&amp;TEXT(CS168/ SUM(CS$159,CS$163),"0%")</f>
        <v>443,959/7%</v>
      </c>
      <c r="CT185" s="84" t="str">
        <f t="shared" si="513"/>
        <v>612,247/8%</v>
      </c>
      <c r="CU185" s="84" t="str">
        <f t="shared" si="513"/>
        <v>860,000/12%</v>
      </c>
      <c r="CV185" s="84" t="str">
        <f t="shared" si="513"/>
        <v>510,000/7%</v>
      </c>
      <c r="CX185" s="122" t="s">
        <v>456</v>
      </c>
      <c r="CY185" s="84" t="str">
        <f t="shared" ref="CY185:DB185" si="514">TEXT(CY95,"0,000")&amp;"/"&amp;TEXT(CY95/ SUM(CY$28,CY$69),"0%")</f>
        <v>594,646/10%</v>
      </c>
      <c r="CZ185" s="84" t="str">
        <f t="shared" si="514"/>
        <v>782,014/13%</v>
      </c>
      <c r="DA185" s="84" t="str">
        <f t="shared" si="514"/>
        <v>495,264/8%</v>
      </c>
      <c r="DB185" s="84" t="str">
        <f t="shared" si="514"/>
        <v>478,362/7%</v>
      </c>
      <c r="DK185" s="2"/>
      <c r="DL185" s="2"/>
      <c r="DM185" s="2"/>
      <c r="DN185" s="2"/>
      <c r="FB185" s="3"/>
    </row>
    <row r="186">
      <c r="AM186" s="1">
        <v>9.24</v>
      </c>
      <c r="AN186" s="1">
        <v>7.69</v>
      </c>
      <c r="AO186" s="1">
        <v>7.49</v>
      </c>
      <c r="AP186" s="1">
        <v>7.3</v>
      </c>
      <c r="AQ186" s="1">
        <v>6.76</v>
      </c>
      <c r="AR186" s="1">
        <v>8.12</v>
      </c>
      <c r="AS186" s="1">
        <v>9.33</v>
      </c>
      <c r="AT186" s="1">
        <v>8.52</v>
      </c>
      <c r="AU186" s="1">
        <v>8.43</v>
      </c>
      <c r="AV186" s="1">
        <v>7.64</v>
      </c>
      <c r="AW186" s="1">
        <v>6.57</v>
      </c>
      <c r="AX186" s="1">
        <v>8.24</v>
      </c>
      <c r="AY186" s="1">
        <v>5.75</v>
      </c>
      <c r="AZ186" s="1">
        <v>5.31</v>
      </c>
      <c r="BA186" s="1">
        <v>6.35</v>
      </c>
      <c r="BB186" s="1">
        <v>5.47</v>
      </c>
      <c r="BC186" s="1">
        <v>6.68</v>
      </c>
      <c r="BD186" s="1">
        <v>6.75</v>
      </c>
      <c r="BE186" s="1">
        <v>6.18</v>
      </c>
      <c r="BF186" s="1">
        <v>5.53</v>
      </c>
      <c r="BG186" s="1">
        <v>6.84</v>
      </c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L186" s="122" t="s">
        <v>577</v>
      </c>
      <c r="CS186" s="84" t="str">
        <f t="shared" ref="CS186:CV186" si="515">TEXT(CS167,"0,000")&amp;"/"&amp;TEXT(CS167/ SUM(CS$159,CS$163),"0%")</f>
        <v>171,927/3%</v>
      </c>
      <c r="CT186" s="84" t="str">
        <f t="shared" si="515"/>
        <v>724,195/10%</v>
      </c>
      <c r="CU186" s="84" t="str">
        <f t="shared" si="515"/>
        <v>160,638/2%</v>
      </c>
      <c r="CV186" s="84" t="str">
        <f t="shared" si="515"/>
        <v>299,982/4%</v>
      </c>
      <c r="CX186" s="122" t="s">
        <v>577</v>
      </c>
      <c r="CY186" s="84" t="str">
        <f t="shared" ref="CY186:DB186" si="516">TEXT(CY94,"0,000")&amp;"/"&amp;TEXT(CY94/ SUM(CY$28,CY$69),"0%")</f>
        <v>174,383/3%</v>
      </c>
      <c r="CZ186" s="84" t="str">
        <f t="shared" si="516"/>
        <v>284,361/5%</v>
      </c>
      <c r="DA186" s="84" t="str">
        <f t="shared" si="516"/>
        <v>54,487/1%</v>
      </c>
      <c r="DB186" s="84" t="str">
        <f t="shared" si="516"/>
        <v>138,424/2%</v>
      </c>
      <c r="DK186" s="2"/>
      <c r="DL186" s="2"/>
      <c r="DM186" s="2"/>
      <c r="DN186" s="2"/>
      <c r="FB186" s="3"/>
    </row>
    <row r="187">
      <c r="B187" s="1" t="s">
        <v>555</v>
      </c>
      <c r="AM187" s="83">
        <f t="shared" ref="AM187:BC187" si="517">AM186*1000000</f>
        <v>9240000</v>
      </c>
      <c r="AN187" s="83">
        <f t="shared" si="517"/>
        <v>7690000</v>
      </c>
      <c r="AO187" s="83">
        <f t="shared" si="517"/>
        <v>7490000</v>
      </c>
      <c r="AP187" s="83">
        <f t="shared" si="517"/>
        <v>7300000</v>
      </c>
      <c r="AQ187" s="83">
        <f t="shared" si="517"/>
        <v>6760000</v>
      </c>
      <c r="AR187" s="83">
        <f t="shared" si="517"/>
        <v>8120000</v>
      </c>
      <c r="AS187" s="83">
        <f t="shared" si="517"/>
        <v>9330000</v>
      </c>
      <c r="AT187" s="83">
        <f t="shared" si="517"/>
        <v>8520000</v>
      </c>
      <c r="AU187" s="83">
        <f t="shared" si="517"/>
        <v>8430000</v>
      </c>
      <c r="AV187" s="83">
        <f t="shared" si="517"/>
        <v>7640000</v>
      </c>
      <c r="AW187" s="83">
        <f t="shared" si="517"/>
        <v>6570000</v>
      </c>
      <c r="AX187" s="83">
        <f t="shared" si="517"/>
        <v>8240000</v>
      </c>
      <c r="AY187" s="83">
        <f t="shared" si="517"/>
        <v>5750000</v>
      </c>
      <c r="AZ187" s="83">
        <f t="shared" si="517"/>
        <v>5310000</v>
      </c>
      <c r="BA187" s="83">
        <f t="shared" si="517"/>
        <v>6350000</v>
      </c>
      <c r="BB187" s="83">
        <f t="shared" si="517"/>
        <v>5470000</v>
      </c>
      <c r="BC187" s="83">
        <f t="shared" si="517"/>
        <v>6680000</v>
      </c>
      <c r="BD187" s="83">
        <v>6750000.0</v>
      </c>
      <c r="BE187" s="83">
        <v>6180000.0</v>
      </c>
      <c r="BF187" s="87">
        <v>5530000.0</v>
      </c>
      <c r="BG187" s="1">
        <v>6840000.0</v>
      </c>
      <c r="BK187" s="83">
        <f t="shared" ref="BK187:CH187" si="518">BK186*1000000</f>
        <v>0</v>
      </c>
      <c r="BL187" s="83">
        <f t="shared" si="518"/>
        <v>0</v>
      </c>
      <c r="BM187" s="83">
        <f t="shared" si="518"/>
        <v>0</v>
      </c>
      <c r="BN187" s="83">
        <f t="shared" si="518"/>
        <v>0</v>
      </c>
      <c r="BO187" s="83">
        <f t="shared" si="518"/>
        <v>0</v>
      </c>
      <c r="BP187" s="83">
        <f t="shared" si="518"/>
        <v>0</v>
      </c>
      <c r="BQ187" s="83">
        <f t="shared" si="518"/>
        <v>0</v>
      </c>
      <c r="BR187" s="83">
        <f t="shared" si="518"/>
        <v>0</v>
      </c>
      <c r="BS187" s="83">
        <f t="shared" si="518"/>
        <v>0</v>
      </c>
      <c r="BT187" s="83">
        <f t="shared" si="518"/>
        <v>0</v>
      </c>
      <c r="BU187" s="83">
        <f t="shared" si="518"/>
        <v>0</v>
      </c>
      <c r="BV187" s="83">
        <f t="shared" si="518"/>
        <v>0</v>
      </c>
      <c r="BW187" s="547">
        <f t="shared" si="518"/>
        <v>0</v>
      </c>
      <c r="BX187" s="547">
        <f t="shared" si="518"/>
        <v>0</v>
      </c>
      <c r="BY187" s="547">
        <f t="shared" si="518"/>
        <v>0</v>
      </c>
      <c r="BZ187" s="547">
        <f t="shared" si="518"/>
        <v>0</v>
      </c>
      <c r="CA187" s="547">
        <f t="shared" si="518"/>
        <v>0</v>
      </c>
      <c r="CB187" s="547">
        <f t="shared" si="518"/>
        <v>0</v>
      </c>
      <c r="CC187" s="547">
        <f t="shared" si="518"/>
        <v>0</v>
      </c>
      <c r="CD187" s="547">
        <f t="shared" si="518"/>
        <v>0</v>
      </c>
      <c r="CE187" s="547">
        <f t="shared" si="518"/>
        <v>0</v>
      </c>
      <c r="CF187" s="547">
        <f t="shared" si="518"/>
        <v>0</v>
      </c>
      <c r="CG187" s="547">
        <f t="shared" si="518"/>
        <v>0</v>
      </c>
      <c r="CH187" s="547">
        <f t="shared" si="518"/>
        <v>0</v>
      </c>
      <c r="DK187" s="2"/>
      <c r="DL187" s="2"/>
      <c r="DM187" s="2"/>
      <c r="DN187" s="2"/>
      <c r="FB187" s="3"/>
    </row>
    <row r="188">
      <c r="B188" s="1" t="s">
        <v>556</v>
      </c>
      <c r="AM188" s="106">
        <f t="shared" ref="AM188:BC188" si="519">AM13/AM187</f>
        <v>0.2307577922</v>
      </c>
      <c r="AN188" s="106">
        <f t="shared" si="519"/>
        <v>0.2527750325</v>
      </c>
      <c r="AO188" s="106">
        <f t="shared" si="519"/>
        <v>0.2973699599</v>
      </c>
      <c r="AP188" s="106">
        <f t="shared" si="519"/>
        <v>0.2526747945</v>
      </c>
      <c r="AQ188" s="106">
        <f t="shared" si="519"/>
        <v>0.2811826923</v>
      </c>
      <c r="AR188" s="106">
        <f t="shared" si="519"/>
        <v>0.2267519704</v>
      </c>
      <c r="AS188" s="106">
        <f t="shared" si="519"/>
        <v>0.1751561629</v>
      </c>
      <c r="AT188" s="106">
        <f t="shared" si="519"/>
        <v>0.233033216</v>
      </c>
      <c r="AU188" s="106">
        <f t="shared" si="519"/>
        <v>0.187323962</v>
      </c>
      <c r="AV188" s="106">
        <f t="shared" si="519"/>
        <v>0.2445417539</v>
      </c>
      <c r="AW188" s="106">
        <f t="shared" si="519"/>
        <v>0.2522599696</v>
      </c>
      <c r="AX188" s="106">
        <f t="shared" si="519"/>
        <v>0.1905463592</v>
      </c>
      <c r="AY188" s="106">
        <f t="shared" si="519"/>
        <v>0.2925812035</v>
      </c>
      <c r="AZ188" s="106">
        <f t="shared" si="519"/>
        <v>0.3519640056</v>
      </c>
      <c r="BA188" s="106">
        <f t="shared" si="519"/>
        <v>0.3011476409</v>
      </c>
      <c r="BB188" s="106">
        <f t="shared" si="519"/>
        <v>0.3663112706</v>
      </c>
      <c r="BC188" s="106">
        <f t="shared" si="519"/>
        <v>0.2868340165</v>
      </c>
      <c r="BD188" s="106">
        <f t="shared" ref="BD188:BG188" si="520">BD181/BD187</f>
        <v>0.2712617348</v>
      </c>
      <c r="BE188" s="106">
        <f t="shared" si="520"/>
        <v>0.3367186667</v>
      </c>
      <c r="BF188" s="106">
        <f t="shared" si="520"/>
        <v>0.3918998879</v>
      </c>
      <c r="BG188" s="106">
        <f t="shared" si="520"/>
        <v>0.316430652</v>
      </c>
      <c r="BK188" s="106" t="str">
        <f t="shared" ref="BK188:CH188" si="521">BK13/BK187</f>
        <v>#DIV/0!</v>
      </c>
      <c r="BL188" s="106" t="str">
        <f t="shared" si="521"/>
        <v>#DIV/0!</v>
      </c>
      <c r="BM188" s="106" t="str">
        <f t="shared" si="521"/>
        <v>#DIV/0!</v>
      </c>
      <c r="BN188" s="106" t="str">
        <f t="shared" si="521"/>
        <v>#DIV/0!</v>
      </c>
      <c r="BO188" s="106" t="str">
        <f t="shared" si="521"/>
        <v>#DIV/0!</v>
      </c>
      <c r="BP188" s="106" t="str">
        <f t="shared" si="521"/>
        <v>#DIV/0!</v>
      </c>
      <c r="BQ188" s="106" t="str">
        <f t="shared" si="521"/>
        <v>#DIV/0!</v>
      </c>
      <c r="BR188" s="106" t="str">
        <f t="shared" si="521"/>
        <v>#DIV/0!</v>
      </c>
      <c r="BS188" s="106" t="str">
        <f t="shared" si="521"/>
        <v>#DIV/0!</v>
      </c>
      <c r="BT188" s="106" t="str">
        <f t="shared" si="521"/>
        <v>#DIV/0!</v>
      </c>
      <c r="BU188" s="106" t="str">
        <f t="shared" si="521"/>
        <v>#DIV/0!</v>
      </c>
      <c r="BV188" s="106" t="str">
        <f t="shared" si="521"/>
        <v>#DIV/0!</v>
      </c>
      <c r="BW188" s="548" t="str">
        <f t="shared" si="521"/>
        <v>#DIV/0!</v>
      </c>
      <c r="BX188" s="548" t="str">
        <f t="shared" si="521"/>
        <v>#DIV/0!</v>
      </c>
      <c r="BY188" s="548" t="str">
        <f t="shared" si="521"/>
        <v>#DIV/0!</v>
      </c>
      <c r="BZ188" s="548" t="str">
        <f t="shared" si="521"/>
        <v>#DIV/0!</v>
      </c>
      <c r="CA188" s="548" t="str">
        <f t="shared" si="521"/>
        <v>#DIV/0!</v>
      </c>
      <c r="CB188" s="548" t="str">
        <f t="shared" si="521"/>
        <v>#DIV/0!</v>
      </c>
      <c r="CC188" s="548" t="str">
        <f t="shared" si="521"/>
        <v>#DIV/0!</v>
      </c>
      <c r="CD188" s="548" t="str">
        <f t="shared" si="521"/>
        <v>#DIV/0!</v>
      </c>
      <c r="CE188" s="548" t="str">
        <f t="shared" si="521"/>
        <v>#DIV/0!</v>
      </c>
      <c r="CF188" s="548" t="str">
        <f t="shared" si="521"/>
        <v>#DIV/0!</v>
      </c>
      <c r="CG188" s="548" t="str">
        <f t="shared" si="521"/>
        <v>#DIV/0!</v>
      </c>
      <c r="CH188" s="548" t="str">
        <f t="shared" si="521"/>
        <v>#DIV/0!</v>
      </c>
      <c r="DK188" s="2"/>
      <c r="DL188" s="2"/>
      <c r="DM188" s="2"/>
      <c r="DN188" s="2"/>
      <c r="FB188" s="3"/>
    </row>
    <row r="189">
      <c r="AX189" s="1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DK189" s="2"/>
      <c r="DL189" s="2"/>
      <c r="DM189" s="2"/>
      <c r="DN189" s="2"/>
      <c r="FB189" s="3"/>
    </row>
    <row r="190">
      <c r="AO190" s="84">
        <f>sum(AM186:AO186)</f>
        <v>24.42</v>
      </c>
      <c r="AR190" s="84">
        <f>sum(AP186:AR186)</f>
        <v>22.18</v>
      </c>
      <c r="AU190" s="84">
        <f>sum(AS186:AU186)</f>
        <v>26.28</v>
      </c>
      <c r="AX190" s="84">
        <f>sum(AV186:AX186)</f>
        <v>22.45</v>
      </c>
      <c r="BA190" s="84">
        <f>sum(AY186:BA186)</f>
        <v>17.41</v>
      </c>
      <c r="BD190" s="84">
        <f>sum(BB186:BD186)</f>
        <v>18.9</v>
      </c>
      <c r="BG190" s="84">
        <f>sum(BE186:BG186)</f>
        <v>18.55</v>
      </c>
      <c r="BM190" s="84">
        <f>sum(BK186:BM186)</f>
        <v>0</v>
      </c>
      <c r="BP190" s="84">
        <f>sum(BN186:BP186)</f>
        <v>0</v>
      </c>
      <c r="BS190" s="84">
        <f>sum(BQ186:BS186)</f>
        <v>0</v>
      </c>
      <c r="BV190" s="84">
        <f>sum(BT186:BV186)</f>
        <v>0</v>
      </c>
      <c r="BW190" s="2"/>
      <c r="BX190" s="549">
        <f>sum(BV186:BX186)</f>
        <v>0</v>
      </c>
      <c r="BY190" s="2"/>
      <c r="BZ190" s="549">
        <f>sum(BX186:BZ186)</f>
        <v>0</v>
      </c>
      <c r="CA190" s="2"/>
      <c r="CB190" s="549">
        <f>sum(BZ186:CB186)</f>
        <v>0</v>
      </c>
      <c r="CC190" s="2"/>
      <c r="CD190" s="549">
        <f>sum(CB186:CD186)</f>
        <v>0</v>
      </c>
      <c r="CE190" s="2"/>
      <c r="CF190" s="549">
        <f>sum(CD186:CF186)</f>
        <v>0</v>
      </c>
      <c r="CG190" s="2"/>
      <c r="CH190" s="549">
        <f>sum(CF186:CH186)</f>
        <v>0</v>
      </c>
      <c r="DK190" s="2"/>
      <c r="DL190" s="2"/>
      <c r="DM190" s="2"/>
      <c r="DN190" s="2"/>
      <c r="FB190" s="3"/>
    </row>
    <row r="191">
      <c r="AO191" s="83">
        <f>average(AM187:AO187)</f>
        <v>8140000</v>
      </c>
      <c r="AR191" s="83">
        <f>average(AP187:AR187)</f>
        <v>7393333.333</v>
      </c>
      <c r="AU191" s="83">
        <f>average(AS187:AU187)</f>
        <v>8760000</v>
      </c>
      <c r="AX191" s="83">
        <f>average(AV187:AX187)</f>
        <v>7483333.333</v>
      </c>
      <c r="BA191" s="83">
        <f>average(AY187:BA187)</f>
        <v>5803333.333</v>
      </c>
      <c r="BD191" s="83">
        <f>average(BB187:BD187)</f>
        <v>6300000</v>
      </c>
      <c r="BG191" s="83">
        <f>average(BE187:BG187)</f>
        <v>6183333.333</v>
      </c>
      <c r="BM191" s="83">
        <f>average(BK187:BM187)</f>
        <v>0</v>
      </c>
      <c r="BN191" s="83"/>
      <c r="BP191" s="83">
        <f>average(BN187:BP187)</f>
        <v>0</v>
      </c>
      <c r="BS191" s="83">
        <f>average(BQ187:BS187)</f>
        <v>0</v>
      </c>
      <c r="BV191" s="83">
        <f>average(BT187:BV187)</f>
        <v>0</v>
      </c>
      <c r="BW191" s="2"/>
      <c r="BX191" s="547">
        <f>average(BV187:BX187)</f>
        <v>0</v>
      </c>
      <c r="BY191" s="2"/>
      <c r="BZ191" s="547">
        <f>average(BX187:BZ187)</f>
        <v>0</v>
      </c>
      <c r="CA191" s="2"/>
      <c r="CB191" s="547">
        <f>average(BZ187:CB187)</f>
        <v>0</v>
      </c>
      <c r="CC191" s="2"/>
      <c r="CD191" s="547">
        <f>average(CB187:CD187)</f>
        <v>0</v>
      </c>
      <c r="CE191" s="2"/>
      <c r="CF191" s="547">
        <f>average(CD187:CF187)</f>
        <v>0</v>
      </c>
      <c r="CG191" s="2"/>
      <c r="CH191" s="547">
        <f>average(CF187:CH187)</f>
        <v>0</v>
      </c>
      <c r="DK191" s="2"/>
      <c r="DL191" s="2"/>
      <c r="DM191" s="2"/>
      <c r="DN191" s="2"/>
      <c r="FB191" s="3"/>
    </row>
    <row r="192">
      <c r="AO192" s="106">
        <f>sum(AM13:AO13)/AO191</f>
        <v>0.7743664619</v>
      </c>
      <c r="AR192" s="106">
        <f>sum(AP13:AR13)/AR191</f>
        <v>0.7556195221</v>
      </c>
      <c r="AU192" s="106">
        <f>sum(AS13:AU13)/AU191</f>
        <v>0.5934692922</v>
      </c>
      <c r="AX192" s="106">
        <f>sum(AV13:AX13)/AX191</f>
        <v>0.6809464143</v>
      </c>
      <c r="BA192" s="106">
        <f>sum(AY13:BA13)/BA191</f>
        <v>0.9414517478</v>
      </c>
      <c r="BD192" s="106">
        <f>sum(BB13:BD13)/BD191</f>
        <v>0.9128239032</v>
      </c>
      <c r="BG192" s="106">
        <f>sum(BE13:BG13)/BG191</f>
        <v>1.037064162</v>
      </c>
      <c r="BM192" s="106" t="str">
        <f>sum(BK13:BM13)/BM191</f>
        <v>#DIV/0!</v>
      </c>
      <c r="BN192" s="106"/>
      <c r="BP192" s="106" t="str">
        <f>sum(BN13:BP13)/BP191</f>
        <v>#DIV/0!</v>
      </c>
      <c r="BS192" s="106" t="str">
        <f>sum(BQ13:BS13)/BS191</f>
        <v>#DIV/0!</v>
      </c>
      <c r="BV192" s="106" t="str">
        <f>sum(BT13:BV13)/BV191</f>
        <v>#DIV/0!</v>
      </c>
      <c r="BW192" s="55"/>
      <c r="BX192" s="548" t="str">
        <f>sum(BV13:BX13)/BX191</f>
        <v>#DIV/0!</v>
      </c>
      <c r="BY192" s="55"/>
      <c r="BZ192" s="548" t="str">
        <f>sum(BX13:BZ13)/BZ191</f>
        <v>#DIV/0!</v>
      </c>
      <c r="CA192" s="55"/>
      <c r="CB192" s="548" t="str">
        <f>sum(BZ13:CB13)/CB191</f>
        <v>#DIV/0!</v>
      </c>
      <c r="CC192" s="55"/>
      <c r="CD192" s="548" t="str">
        <f>sum(CB13:CD13)/CD191</f>
        <v>#DIV/0!</v>
      </c>
      <c r="CE192" s="55"/>
      <c r="CF192" s="548" t="str">
        <f>sum(CD13:CF13)/CF191</f>
        <v>#DIV/0!</v>
      </c>
      <c r="CG192" s="55"/>
      <c r="CH192" s="548" t="str">
        <f>sum(CF13:CH13)/CH191</f>
        <v>#DIV/0!</v>
      </c>
      <c r="DK192" s="2"/>
      <c r="DL192" s="2"/>
      <c r="DM192" s="2"/>
      <c r="DN192" s="2"/>
      <c r="FB192" s="3"/>
    </row>
    <row r="193">
      <c r="AX193" s="1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DK193" s="2"/>
      <c r="DL193" s="2"/>
      <c r="DM193" s="2"/>
      <c r="DN193" s="2"/>
      <c r="FB193" s="3"/>
    </row>
    <row r="194">
      <c r="AX194" s="1"/>
      <c r="BW194" s="2"/>
      <c r="BX194" s="2">
        <f>1653+1546</f>
        <v>3199</v>
      </c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DK194" s="2"/>
      <c r="DL194" s="2"/>
      <c r="DM194" s="2"/>
      <c r="DN194" s="2"/>
      <c r="FB194" s="3"/>
    </row>
    <row r="195">
      <c r="AX195" s="1"/>
      <c r="BW195" s="2"/>
      <c r="BX195" s="550">
        <v>250.0</v>
      </c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DK195" s="2"/>
      <c r="DL195" s="2"/>
      <c r="DM195" s="2"/>
      <c r="DN195" s="2"/>
      <c r="FB195" s="3"/>
    </row>
    <row r="196">
      <c r="AX196" s="1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DK196" s="2"/>
      <c r="DL196" s="2"/>
      <c r="DM196" s="2"/>
      <c r="DN196" s="2"/>
      <c r="FB196" s="3"/>
    </row>
    <row r="197">
      <c r="AX197" s="1" t="s">
        <v>557</v>
      </c>
      <c r="AY197" s="3">
        <f t="shared" ref="AY197:BG197" si="522">AY180-AY144</f>
        <v>0</v>
      </c>
      <c r="AZ197" s="3">
        <f t="shared" si="522"/>
        <v>71840</v>
      </c>
      <c r="BA197" s="3">
        <f t="shared" si="522"/>
        <v>-1539729</v>
      </c>
      <c r="BB197" s="3">
        <f t="shared" si="522"/>
        <v>-254578</v>
      </c>
      <c r="BC197" s="3">
        <f t="shared" si="522"/>
        <v>1865864</v>
      </c>
      <c r="BD197" s="3">
        <f t="shared" si="522"/>
        <v>-935504</v>
      </c>
      <c r="BE197" s="3">
        <f t="shared" si="522"/>
        <v>-1831814</v>
      </c>
      <c r="BF197" s="3">
        <f t="shared" si="522"/>
        <v>-750077</v>
      </c>
      <c r="BG197" s="3">
        <f t="shared" si="522"/>
        <v>-238034</v>
      </c>
      <c r="BK197" s="3">
        <f t="shared" ref="BK197:CH197" si="523">BK180-BK144</f>
        <v>-368873.9</v>
      </c>
      <c r="BL197" s="3">
        <f t="shared" si="523"/>
        <v>1388620</v>
      </c>
      <c r="BM197" s="3">
        <f t="shared" si="523"/>
        <v>1874317.85</v>
      </c>
      <c r="BN197" s="3">
        <f t="shared" si="523"/>
        <v>3658371</v>
      </c>
      <c r="BO197" s="3">
        <f t="shared" si="523"/>
        <v>-610114</v>
      </c>
      <c r="BP197" s="3">
        <f t="shared" si="523"/>
        <v>230756.5</v>
      </c>
      <c r="BQ197" s="3">
        <f t="shared" si="523"/>
        <v>2707768</v>
      </c>
      <c r="BR197" s="3">
        <f t="shared" si="523"/>
        <v>-740696</v>
      </c>
      <c r="BS197" s="3">
        <f t="shared" si="523"/>
        <v>1287562.96</v>
      </c>
      <c r="BT197" s="3">
        <f t="shared" si="523"/>
        <v>3375710.17</v>
      </c>
      <c r="BU197" s="3">
        <f t="shared" si="523"/>
        <v>-906858</v>
      </c>
      <c r="BV197" s="3">
        <f t="shared" si="523"/>
        <v>2542360.47</v>
      </c>
      <c r="BW197" s="197">
        <f t="shared" si="523"/>
        <v>-3894794</v>
      </c>
      <c r="BX197" s="197">
        <f t="shared" si="523"/>
        <v>-427247</v>
      </c>
      <c r="BY197" s="197">
        <f t="shared" si="523"/>
        <v>3835404</v>
      </c>
      <c r="BZ197" s="197">
        <f t="shared" si="523"/>
        <v>1437672</v>
      </c>
      <c r="CA197" s="197">
        <f t="shared" si="523"/>
        <v>4480286.32</v>
      </c>
      <c r="CB197" s="197">
        <f t="shared" si="523"/>
        <v>2847037</v>
      </c>
      <c r="CC197" s="197">
        <f t="shared" si="523"/>
        <v>0</v>
      </c>
      <c r="CD197" s="197">
        <f t="shared" si="523"/>
        <v>0</v>
      </c>
      <c r="CE197" s="197">
        <f t="shared" si="523"/>
        <v>0</v>
      </c>
      <c r="CF197" s="197">
        <f t="shared" si="523"/>
        <v>0</v>
      </c>
      <c r="CG197" s="197">
        <f t="shared" si="523"/>
        <v>0</v>
      </c>
      <c r="CH197" s="197">
        <f t="shared" si="523"/>
        <v>0</v>
      </c>
      <c r="DK197" s="2"/>
      <c r="DL197" s="2"/>
      <c r="DM197" s="2"/>
      <c r="DN197" s="2"/>
      <c r="FB197" s="3"/>
    </row>
    <row r="198">
      <c r="AX198" s="1" t="s">
        <v>558</v>
      </c>
      <c r="AY198" s="3">
        <f t="shared" ref="AY198:BG198" si="524">AY181-AY146</f>
        <v>711952.92</v>
      </c>
      <c r="AZ198" s="445">
        <f t="shared" si="524"/>
        <v>-793460.13</v>
      </c>
      <c r="BA198" s="445">
        <f t="shared" si="524"/>
        <v>9898.52</v>
      </c>
      <c r="BB198" s="445">
        <f t="shared" si="524"/>
        <v>-235099.35</v>
      </c>
      <c r="BC198" s="445">
        <f t="shared" si="524"/>
        <v>-322770.77</v>
      </c>
      <c r="BD198" s="445">
        <f t="shared" si="524"/>
        <v>-480673.29</v>
      </c>
      <c r="BE198" s="445">
        <f t="shared" si="524"/>
        <v>-478375.64</v>
      </c>
      <c r="BF198" s="445">
        <f t="shared" si="524"/>
        <v>-392090.62</v>
      </c>
      <c r="BG198" s="445">
        <f t="shared" si="524"/>
        <v>-394911.34</v>
      </c>
      <c r="BK198" s="3">
        <f t="shared" ref="BK198:CH198" si="525">BK181-BK146</f>
        <v>-42587.94</v>
      </c>
      <c r="BL198" s="445">
        <f t="shared" si="525"/>
        <v>-107288.26</v>
      </c>
      <c r="BM198" s="445">
        <f t="shared" si="525"/>
        <v>-24031.8</v>
      </c>
      <c r="BN198" s="445">
        <f t="shared" si="525"/>
        <v>108767.32</v>
      </c>
      <c r="BO198" s="445">
        <f t="shared" si="525"/>
        <v>-32199.1</v>
      </c>
      <c r="BP198" s="445">
        <f t="shared" si="525"/>
        <v>-372.1</v>
      </c>
      <c r="BQ198" s="445">
        <f t="shared" si="525"/>
        <v>-60540.17</v>
      </c>
      <c r="BR198" s="445">
        <f t="shared" si="525"/>
        <v>-162771.41</v>
      </c>
      <c r="BS198" s="445">
        <f t="shared" si="525"/>
        <v>160645.92</v>
      </c>
      <c r="BT198" s="445">
        <f t="shared" si="525"/>
        <v>367418.72</v>
      </c>
      <c r="BU198" s="445">
        <f t="shared" si="525"/>
        <v>309998.78</v>
      </c>
      <c r="BV198" s="445">
        <f t="shared" si="525"/>
        <v>146725.14</v>
      </c>
      <c r="BW198" s="551">
        <f t="shared" si="525"/>
        <v>313458.71</v>
      </c>
      <c r="BX198" s="551">
        <f t="shared" si="525"/>
        <v>185041.43</v>
      </c>
      <c r="BY198" s="551">
        <f t="shared" si="525"/>
        <v>-13339.38</v>
      </c>
      <c r="BZ198" s="551">
        <f t="shared" si="525"/>
        <v>44023.57</v>
      </c>
      <c r="CA198" s="551">
        <f t="shared" si="525"/>
        <v>95411.51</v>
      </c>
      <c r="CB198" s="551">
        <f t="shared" si="525"/>
        <v>132410.87</v>
      </c>
      <c r="CC198" s="551">
        <f t="shared" si="525"/>
        <v>-4856920</v>
      </c>
      <c r="CD198" s="551">
        <f t="shared" si="525"/>
        <v>-4758424</v>
      </c>
      <c r="CE198" s="551">
        <f t="shared" si="525"/>
        <v>-4867288</v>
      </c>
      <c r="CF198" s="551">
        <f t="shared" si="525"/>
        <v>-5249064</v>
      </c>
      <c r="CG198" s="551">
        <f t="shared" si="525"/>
        <v>-4438056</v>
      </c>
      <c r="CH198" s="551">
        <f t="shared" si="525"/>
        <v>-4906920</v>
      </c>
      <c r="DK198" s="2"/>
      <c r="DL198" s="2"/>
      <c r="DM198" s="2"/>
      <c r="DN198" s="2"/>
      <c r="FB198" s="3"/>
    </row>
    <row r="199">
      <c r="AX199" s="1" t="s">
        <v>559</v>
      </c>
      <c r="AY199" s="3">
        <f t="shared" ref="AY199:BG199" si="526">AY182-AY159</f>
        <v>81008.28</v>
      </c>
      <c r="AZ199" s="3">
        <f t="shared" si="526"/>
        <v>20303.02</v>
      </c>
      <c r="BA199" s="3">
        <f t="shared" si="526"/>
        <v>-309868.2</v>
      </c>
      <c r="BB199" s="3">
        <f t="shared" si="526"/>
        <v>3209.01</v>
      </c>
      <c r="BC199" s="3">
        <f t="shared" si="526"/>
        <v>52218.76</v>
      </c>
      <c r="BD199" s="3">
        <f t="shared" si="526"/>
        <v>26152.96</v>
      </c>
      <c r="BE199" s="3">
        <f t="shared" si="526"/>
        <v>23643.19</v>
      </c>
      <c r="BF199" s="3">
        <f t="shared" si="526"/>
        <v>247435.93</v>
      </c>
      <c r="BG199" s="3">
        <f t="shared" si="526"/>
        <v>134597.9</v>
      </c>
      <c r="BK199" s="3">
        <f t="shared" ref="BK199:CH199" si="527">BK182-BK159</f>
        <v>19663.72</v>
      </c>
      <c r="BL199" s="3">
        <f t="shared" si="527"/>
        <v>32386.54</v>
      </c>
      <c r="BM199" s="3">
        <f t="shared" si="527"/>
        <v>53031.72</v>
      </c>
      <c r="BN199" s="3">
        <f t="shared" si="527"/>
        <v>37767.91</v>
      </c>
      <c r="BO199" s="3">
        <f t="shared" si="527"/>
        <v>120466.26</v>
      </c>
      <c r="BP199" s="3">
        <f t="shared" si="527"/>
        <v>115279.26</v>
      </c>
      <c r="BQ199" s="3">
        <f t="shared" si="527"/>
        <v>94266.28</v>
      </c>
      <c r="BR199" s="3">
        <f t="shared" si="527"/>
        <v>256868.68</v>
      </c>
      <c r="BS199" s="3">
        <f t="shared" si="527"/>
        <v>304286.55</v>
      </c>
      <c r="BT199" s="3">
        <f t="shared" si="527"/>
        <v>405419.53</v>
      </c>
      <c r="BU199" s="3">
        <f t="shared" si="527"/>
        <v>453415.17</v>
      </c>
      <c r="BV199" s="3">
        <f t="shared" si="527"/>
        <v>483475.36</v>
      </c>
      <c r="BW199" s="197">
        <f t="shared" si="527"/>
        <v>63622.32</v>
      </c>
      <c r="BX199" s="197">
        <f t="shared" si="527"/>
        <v>-115263.02</v>
      </c>
      <c r="BY199" s="197">
        <f t="shared" si="527"/>
        <v>-79819.28</v>
      </c>
      <c r="BZ199" s="197">
        <f t="shared" si="527"/>
        <v>-40294.72</v>
      </c>
      <c r="CA199" s="197">
        <f t="shared" si="527"/>
        <v>-161640.37</v>
      </c>
      <c r="CB199" s="197">
        <f t="shared" si="527"/>
        <v>-301130.28</v>
      </c>
      <c r="CC199" s="197">
        <f t="shared" si="527"/>
        <v>-2187551</v>
      </c>
      <c r="CD199" s="197">
        <f t="shared" si="527"/>
        <v>-2150967</v>
      </c>
      <c r="CE199" s="197">
        <f t="shared" si="527"/>
        <v>-2302992</v>
      </c>
      <c r="CF199" s="197">
        <f t="shared" si="527"/>
        <v>-2233129</v>
      </c>
      <c r="CG199" s="197">
        <f t="shared" si="527"/>
        <v>-2180234</v>
      </c>
      <c r="CH199" s="197">
        <f t="shared" si="527"/>
        <v>-2538491</v>
      </c>
      <c r="DK199" s="2"/>
      <c r="DL199" s="2"/>
      <c r="DM199" s="2"/>
      <c r="DN199" s="2"/>
      <c r="FB199" s="3"/>
    </row>
    <row r="200">
      <c r="AX200" s="1" t="s">
        <v>560</v>
      </c>
      <c r="AY200" s="3">
        <f t="shared" ref="AY200:BG200" si="528">AY183-AY163</f>
        <v>-61943.14</v>
      </c>
      <c r="AZ200" s="3">
        <f t="shared" si="528"/>
        <v>-30362.97</v>
      </c>
      <c r="BA200" s="3">
        <f t="shared" si="528"/>
        <v>-124167.15</v>
      </c>
      <c r="BB200" s="3">
        <f t="shared" si="528"/>
        <v>-232641.02</v>
      </c>
      <c r="BC200" s="445">
        <f t="shared" si="528"/>
        <v>8354.19</v>
      </c>
      <c r="BD200" s="445">
        <f t="shared" si="528"/>
        <v>107482.56</v>
      </c>
      <c r="BE200" s="445">
        <f t="shared" si="528"/>
        <v>-170797.14</v>
      </c>
      <c r="BF200" s="445">
        <f t="shared" si="528"/>
        <v>-528605.46</v>
      </c>
      <c r="BG200" s="445">
        <f t="shared" si="528"/>
        <v>-161977.51</v>
      </c>
      <c r="BK200" s="3">
        <f t="shared" ref="BK200:CH200" si="529">BK183-BK163</f>
        <v>-7799</v>
      </c>
      <c r="BL200" s="3">
        <f t="shared" si="529"/>
        <v>-1743.88</v>
      </c>
      <c r="BM200" s="3">
        <f t="shared" si="529"/>
        <v>-39751.6</v>
      </c>
      <c r="BN200" s="3">
        <f t="shared" si="529"/>
        <v>139987.25</v>
      </c>
      <c r="BO200" s="445">
        <f t="shared" si="529"/>
        <v>-110127.31</v>
      </c>
      <c r="BP200" s="445">
        <f t="shared" si="529"/>
        <v>-151314.45</v>
      </c>
      <c r="BQ200" s="445">
        <f t="shared" si="529"/>
        <v>98647.65</v>
      </c>
      <c r="BR200" s="445">
        <f t="shared" si="529"/>
        <v>-30055</v>
      </c>
      <c r="BS200" s="445">
        <f t="shared" si="529"/>
        <v>436581.64</v>
      </c>
      <c r="BT200" s="445">
        <f t="shared" si="529"/>
        <v>373387.51</v>
      </c>
      <c r="BU200" s="445">
        <f t="shared" si="529"/>
        <v>214020.48</v>
      </c>
      <c r="BV200" s="445">
        <f t="shared" si="529"/>
        <v>-495887.42</v>
      </c>
      <c r="BW200" s="551">
        <f t="shared" si="529"/>
        <v>212945.24</v>
      </c>
      <c r="BX200" s="551">
        <f t="shared" si="529"/>
        <v>-20560.19</v>
      </c>
      <c r="BY200" s="551">
        <f t="shared" si="529"/>
        <v>-15905.06</v>
      </c>
      <c r="BZ200" s="551">
        <f t="shared" si="529"/>
        <v>-3723.87</v>
      </c>
      <c r="CA200" s="551">
        <f t="shared" si="529"/>
        <v>79771.73</v>
      </c>
      <c r="CB200" s="551">
        <f t="shared" si="529"/>
        <v>248454.23</v>
      </c>
      <c r="CC200" s="551">
        <f t="shared" si="529"/>
        <v>-1773962.64</v>
      </c>
      <c r="CD200" s="551">
        <f t="shared" si="529"/>
        <v>-1844933.11</v>
      </c>
      <c r="CE200" s="551">
        <f t="shared" si="529"/>
        <v>-1788192.39</v>
      </c>
      <c r="CF200" s="551">
        <f t="shared" si="529"/>
        <v>-1768924.78</v>
      </c>
      <c r="CG200" s="551">
        <f t="shared" si="529"/>
        <v>-1635039.78</v>
      </c>
      <c r="CH200" s="551">
        <f t="shared" si="529"/>
        <v>-1655270.48</v>
      </c>
      <c r="DK200" s="2"/>
      <c r="DL200" s="2"/>
      <c r="DM200" s="2"/>
      <c r="DN200" s="2"/>
      <c r="FB200" s="3"/>
    </row>
    <row r="201">
      <c r="AX201" s="1" t="s">
        <v>561</v>
      </c>
      <c r="AY201" s="129">
        <f t="shared" ref="AY201:BG201" si="530">AY184-AY178</f>
        <v>406438.78</v>
      </c>
      <c r="AZ201" s="129">
        <f t="shared" si="530"/>
        <v>-958291.18</v>
      </c>
      <c r="BA201" s="129">
        <f t="shared" si="530"/>
        <v>310627.87</v>
      </c>
      <c r="BB201" s="129">
        <f t="shared" si="530"/>
        <v>-174156.34</v>
      </c>
      <c r="BC201" s="129">
        <f t="shared" si="530"/>
        <v>-661579.72</v>
      </c>
      <c r="BD201" s="129">
        <f t="shared" si="530"/>
        <v>-949597.81</v>
      </c>
      <c r="BE201" s="129">
        <f t="shared" si="530"/>
        <v>-438761.69</v>
      </c>
      <c r="BF201" s="129">
        <f t="shared" si="530"/>
        <v>-383525.09</v>
      </c>
      <c r="BG201" s="84" t="str">
        <f t="shared" si="530"/>
        <v>#REF!</v>
      </c>
      <c r="BK201" s="129">
        <f t="shared" ref="BK201:CH201" si="531">BK184-BK178</f>
        <v>-54452.66</v>
      </c>
      <c r="BL201" s="129">
        <f t="shared" si="531"/>
        <v>-137930.92</v>
      </c>
      <c r="BM201" s="129">
        <f t="shared" si="531"/>
        <v>-37311.92</v>
      </c>
      <c r="BN201" s="129">
        <f t="shared" si="531"/>
        <v>-68987.84</v>
      </c>
      <c r="BO201" s="129">
        <f t="shared" si="531"/>
        <v>-42538.05</v>
      </c>
      <c r="BP201" s="129">
        <f t="shared" si="531"/>
        <v>35663.09</v>
      </c>
      <c r="BQ201" s="129">
        <f t="shared" si="531"/>
        <v>-253454.1</v>
      </c>
      <c r="BR201" s="129">
        <f t="shared" si="531"/>
        <v>-389585.09</v>
      </c>
      <c r="BS201" s="129">
        <f t="shared" si="531"/>
        <v>-380588.88</v>
      </c>
      <c r="BT201" s="129">
        <f t="shared" si="531"/>
        <v>-329982.45</v>
      </c>
      <c r="BU201" s="129">
        <f t="shared" si="531"/>
        <v>-365822.27</v>
      </c>
      <c r="BV201" s="129">
        <f t="shared" si="531"/>
        <v>84227.99</v>
      </c>
      <c r="BW201" s="552">
        <f t="shared" si="531"/>
        <v>-43292.47</v>
      </c>
      <c r="BX201" s="553">
        <f t="shared" si="531"/>
        <v>243299.64</v>
      </c>
      <c r="BY201" s="553">
        <f t="shared" si="531"/>
        <v>6873.96</v>
      </c>
      <c r="BZ201" s="553">
        <f t="shared" si="531"/>
        <v>64602.16</v>
      </c>
      <c r="CA201" s="553">
        <f t="shared" si="531"/>
        <v>90692.85</v>
      </c>
      <c r="CB201" s="553">
        <f t="shared" si="531"/>
        <v>92547.24</v>
      </c>
      <c r="CC201" s="553">
        <f t="shared" si="531"/>
        <v>-913090.36</v>
      </c>
      <c r="CD201" s="553">
        <f t="shared" si="531"/>
        <v>-778289.89</v>
      </c>
      <c r="CE201" s="553">
        <f t="shared" si="531"/>
        <v>-789712.61</v>
      </c>
      <c r="CF201" s="553">
        <f t="shared" si="531"/>
        <v>-1258453.22</v>
      </c>
      <c r="CG201" s="553">
        <f t="shared" si="531"/>
        <v>-632659.22</v>
      </c>
      <c r="CH201" s="553">
        <f t="shared" si="531"/>
        <v>-720923.52</v>
      </c>
      <c r="DK201" s="2"/>
      <c r="DL201" s="2"/>
      <c r="DM201" s="2"/>
      <c r="DN201" s="2"/>
      <c r="FB201" s="3"/>
    </row>
    <row r="202">
      <c r="DK202" s="2"/>
      <c r="DL202" s="2"/>
      <c r="DM202" s="2"/>
      <c r="DN202" s="2"/>
      <c r="FB202" s="3"/>
    </row>
    <row r="203">
      <c r="DK203" s="2"/>
      <c r="DL203" s="2"/>
      <c r="DM203" s="2"/>
      <c r="DN203" s="2"/>
      <c r="FB203" s="3"/>
    </row>
    <row r="204">
      <c r="DK204" s="2"/>
      <c r="DL204" s="2"/>
      <c r="DM204" s="2"/>
      <c r="DN204" s="2"/>
      <c r="FB204" s="3"/>
    </row>
    <row r="205">
      <c r="DK205" s="2"/>
      <c r="DL205" s="2"/>
      <c r="DM205" s="2"/>
      <c r="DN205" s="2"/>
      <c r="FB205" s="3"/>
    </row>
    <row r="206">
      <c r="BZ206" s="1">
        <v>4247595.0</v>
      </c>
      <c r="DK206" s="2"/>
      <c r="DL206" s="2"/>
      <c r="DM206" s="2"/>
      <c r="DN206" s="2"/>
      <c r="FB206" s="3"/>
    </row>
    <row r="207">
      <c r="CC207" s="131"/>
      <c r="DK207" s="2"/>
      <c r="DL207" s="2"/>
      <c r="DM207" s="2"/>
      <c r="DN207" s="2"/>
      <c r="FB207" s="3"/>
    </row>
    <row r="208">
      <c r="DK208" s="2"/>
      <c r="DL208" s="2"/>
      <c r="DM208" s="2"/>
      <c r="DN208" s="2"/>
      <c r="FB208" s="3"/>
    </row>
    <row r="209">
      <c r="BY209" s="1" t="s">
        <v>505</v>
      </c>
      <c r="BZ209" s="1">
        <v>1891295.0</v>
      </c>
      <c r="CA209" s="3">
        <f>BZ159</f>
        <v>1962307</v>
      </c>
    </row>
    <row r="210">
      <c r="BY210" s="1" t="s">
        <v>581</v>
      </c>
      <c r="BZ210" s="1">
        <v>1413774.0</v>
      </c>
      <c r="CA210" s="3">
        <f>BZ163</f>
        <v>1705190.39</v>
      </c>
      <c r="DK210" s="2"/>
      <c r="DL210" s="2"/>
      <c r="DM210" s="2"/>
      <c r="DN210" s="2"/>
      <c r="FB210" s="3"/>
    </row>
    <row r="211">
      <c r="BY211" s="1" t="s">
        <v>176</v>
      </c>
      <c r="BZ211" s="84">
        <f t="shared" ref="BZ211:CA211" si="532">SUM(BZ209:BZ210)</f>
        <v>3305069</v>
      </c>
      <c r="CA211" s="3">
        <f t="shared" si="532"/>
        <v>3667497.39</v>
      </c>
      <c r="CB211" s="3">
        <f>CA211-BZ211</f>
        <v>362428.39</v>
      </c>
      <c r="DK211" s="2"/>
      <c r="DL211" s="2"/>
      <c r="DM211" s="2"/>
      <c r="DN211" s="2"/>
      <c r="FB211" s="3"/>
    </row>
    <row r="212">
      <c r="CB212" s="1">
        <v>389034.0</v>
      </c>
      <c r="DK212" s="2"/>
      <c r="DL212" s="2"/>
      <c r="DM212" s="2"/>
      <c r="DN212" s="2"/>
      <c r="FB212" s="3"/>
    </row>
    <row r="213">
      <c r="BY213" s="1" t="s">
        <v>582</v>
      </c>
      <c r="BZ213" s="1">
        <v>51881.0</v>
      </c>
      <c r="CB213" s="3">
        <f>CB212-CB211</f>
        <v>26605.61</v>
      </c>
      <c r="DK213" s="2"/>
      <c r="DL213" s="2"/>
      <c r="DM213" s="2"/>
      <c r="DN213" s="2"/>
      <c r="FB213" s="3"/>
    </row>
    <row r="214">
      <c r="DK214" s="2"/>
      <c r="DL214" s="2"/>
      <c r="DM214" s="2"/>
      <c r="DN214" s="2"/>
      <c r="FB214" s="3"/>
    </row>
    <row r="215">
      <c r="DK215" s="2"/>
      <c r="DL215" s="2"/>
      <c r="DM215" s="2"/>
      <c r="DN215" s="2"/>
      <c r="FB215" s="3"/>
    </row>
    <row r="216">
      <c r="DK216" s="2"/>
      <c r="DL216" s="2"/>
      <c r="DM216" s="2"/>
      <c r="DN216" s="2"/>
      <c r="FB216" s="3"/>
    </row>
    <row r="217">
      <c r="DK217" s="2"/>
      <c r="DL217" s="2"/>
      <c r="DM217" s="2"/>
      <c r="DN217" s="2"/>
      <c r="FB217" s="3"/>
    </row>
    <row r="218">
      <c r="DK218" s="2"/>
      <c r="DL218" s="2"/>
      <c r="DM218" s="2"/>
      <c r="DN218" s="2"/>
      <c r="FB218" s="3"/>
    </row>
    <row r="219">
      <c r="CG219" s="84">
        <f>54.5/46.4</f>
        <v>1.174568966</v>
      </c>
      <c r="DK219" s="2"/>
      <c r="DL219" s="2"/>
      <c r="DM219" s="2"/>
      <c r="DN219" s="2"/>
      <c r="FB219" s="3"/>
    </row>
    <row r="220">
      <c r="DK220" s="2"/>
      <c r="DL220" s="2"/>
      <c r="DM220" s="2"/>
      <c r="DN220" s="2"/>
      <c r="FB220" s="3"/>
    </row>
    <row r="221">
      <c r="DK221" s="2"/>
      <c r="DL221" s="2"/>
      <c r="DM221" s="2"/>
      <c r="DN221" s="2"/>
      <c r="FB221" s="3"/>
    </row>
    <row r="222">
      <c r="DK222" s="2"/>
      <c r="DL222" s="2"/>
      <c r="DM222" s="2"/>
      <c r="DN222" s="2"/>
      <c r="FB222" s="3"/>
    </row>
    <row r="223">
      <c r="DK223" s="2"/>
      <c r="DL223" s="2"/>
      <c r="DM223" s="2"/>
      <c r="DN223" s="2"/>
      <c r="FB223" s="3"/>
    </row>
    <row r="224">
      <c r="DK224" s="2"/>
      <c r="DL224" s="2"/>
      <c r="DM224" s="2"/>
      <c r="DN224" s="2"/>
      <c r="FB224" s="3"/>
    </row>
    <row r="225">
      <c r="DK225" s="2"/>
      <c r="DL225" s="2"/>
      <c r="DM225" s="2"/>
      <c r="DN225" s="2"/>
      <c r="FB225" s="3"/>
    </row>
    <row r="226">
      <c r="DK226" s="2"/>
      <c r="DL226" s="2"/>
      <c r="DM226" s="2"/>
      <c r="DN226" s="2"/>
      <c r="FB226" s="3"/>
    </row>
    <row r="227">
      <c r="DK227" s="2"/>
      <c r="DL227" s="2"/>
      <c r="DM227" s="2"/>
      <c r="DN227" s="2"/>
      <c r="FB227" s="3"/>
    </row>
    <row r="228">
      <c r="DK228" s="2"/>
      <c r="DL228" s="2"/>
      <c r="DM228" s="2"/>
      <c r="DN228" s="2"/>
      <c r="FB228" s="3"/>
    </row>
    <row r="229">
      <c r="DK229" s="2"/>
      <c r="DL229" s="2"/>
      <c r="DM229" s="2"/>
      <c r="DN229" s="2"/>
      <c r="FB229" s="3"/>
    </row>
    <row r="230">
      <c r="DK230" s="2"/>
      <c r="DL230" s="2"/>
      <c r="DM230" s="2"/>
      <c r="DN230" s="2"/>
      <c r="FB230" s="3"/>
    </row>
    <row r="231">
      <c r="DK231" s="2"/>
      <c r="DL231" s="2"/>
      <c r="DM231" s="2"/>
      <c r="DN231" s="2"/>
      <c r="FB231" s="3"/>
    </row>
    <row r="232">
      <c r="DK232" s="2"/>
      <c r="DL232" s="2"/>
      <c r="DM232" s="2"/>
      <c r="DN232" s="2"/>
      <c r="FB232" s="3"/>
    </row>
    <row r="233">
      <c r="DK233" s="2"/>
      <c r="DL233" s="2"/>
      <c r="DM233" s="2"/>
      <c r="DN233" s="2"/>
      <c r="FB233" s="3"/>
    </row>
    <row r="234">
      <c r="DK234" s="2"/>
      <c r="DL234" s="2"/>
      <c r="DM234" s="2"/>
      <c r="DN234" s="2"/>
      <c r="FB234" s="3"/>
    </row>
    <row r="235">
      <c r="DK235" s="2"/>
      <c r="DL235" s="2"/>
      <c r="DM235" s="2"/>
      <c r="DN235" s="2"/>
      <c r="FB235" s="3"/>
    </row>
    <row r="236">
      <c r="DK236" s="2"/>
      <c r="DL236" s="2"/>
      <c r="DM236" s="2"/>
      <c r="DN236" s="2"/>
      <c r="FB236" s="3"/>
    </row>
    <row r="237">
      <c r="DK237" s="2"/>
      <c r="DL237" s="2"/>
      <c r="DM237" s="2"/>
      <c r="DN237" s="2"/>
      <c r="FB237" s="3"/>
    </row>
    <row r="238">
      <c r="DK238" s="2"/>
      <c r="DL238" s="2"/>
      <c r="DM238" s="2"/>
      <c r="DN238" s="2"/>
      <c r="FB238" s="3"/>
    </row>
    <row r="239">
      <c r="DK239" s="2"/>
      <c r="DL239" s="2"/>
      <c r="DM239" s="2"/>
      <c r="DN239" s="2"/>
      <c r="FB239" s="3"/>
    </row>
    <row r="240">
      <c r="DK240" s="2"/>
      <c r="DL240" s="2"/>
      <c r="DM240" s="2"/>
      <c r="DN240" s="2"/>
      <c r="FB240" s="3"/>
    </row>
    <row r="241">
      <c r="DK241" s="2"/>
      <c r="DL241" s="2"/>
      <c r="DM241" s="2"/>
      <c r="DN241" s="2"/>
      <c r="FB241" s="3"/>
    </row>
    <row r="242">
      <c r="DK242" s="2"/>
      <c r="DL242" s="2"/>
      <c r="DM242" s="2"/>
      <c r="DN242" s="2"/>
      <c r="FB242" s="3"/>
    </row>
    <row r="243">
      <c r="DK243" s="2"/>
      <c r="DL243" s="2"/>
      <c r="DM243" s="2"/>
      <c r="DN243" s="2"/>
      <c r="FB243" s="3"/>
    </row>
    <row r="244">
      <c r="DK244" s="2"/>
      <c r="DL244" s="2"/>
      <c r="DM244" s="2"/>
      <c r="DN244" s="2"/>
      <c r="FB244" s="3"/>
    </row>
    <row r="245">
      <c r="DK245" s="2"/>
      <c r="DL245" s="2"/>
      <c r="DM245" s="2"/>
      <c r="DN245" s="2"/>
      <c r="FB245" s="3"/>
    </row>
    <row r="246">
      <c r="DK246" s="2"/>
      <c r="DL246" s="2"/>
      <c r="DM246" s="2"/>
      <c r="DN246" s="2"/>
      <c r="FB246" s="3"/>
    </row>
    <row r="247">
      <c r="DK247" s="2"/>
      <c r="DL247" s="2"/>
      <c r="DM247" s="2"/>
      <c r="DN247" s="2"/>
      <c r="FB247" s="3"/>
    </row>
    <row r="248">
      <c r="DK248" s="2"/>
      <c r="DL248" s="2"/>
      <c r="DM248" s="2"/>
      <c r="DN248" s="2"/>
      <c r="FB248" s="3"/>
    </row>
    <row r="249">
      <c r="DK249" s="2"/>
      <c r="DL249" s="2"/>
      <c r="DM249" s="2"/>
      <c r="DN249" s="2"/>
      <c r="FB249" s="3"/>
    </row>
    <row r="250">
      <c r="DK250" s="2"/>
      <c r="DL250" s="2"/>
      <c r="DM250" s="2"/>
      <c r="DN250" s="2"/>
      <c r="FB250" s="3"/>
    </row>
    <row r="251">
      <c r="DK251" s="2"/>
      <c r="DL251" s="2"/>
      <c r="DM251" s="2"/>
      <c r="DN251" s="2"/>
      <c r="FB251" s="3"/>
    </row>
    <row r="252">
      <c r="DK252" s="2"/>
      <c r="DL252" s="2"/>
      <c r="DM252" s="2"/>
      <c r="DN252" s="2"/>
      <c r="FB252" s="3"/>
    </row>
    <row r="253">
      <c r="DK253" s="2"/>
      <c r="DL253" s="2"/>
      <c r="DM253" s="2"/>
      <c r="DN253" s="2"/>
      <c r="FB253" s="3"/>
    </row>
    <row r="254">
      <c r="DK254" s="2"/>
      <c r="DL254" s="2"/>
      <c r="DM254" s="2"/>
      <c r="DN254" s="2"/>
      <c r="FB254" s="3"/>
    </row>
    <row r="255">
      <c r="DK255" s="2"/>
      <c r="DL255" s="2"/>
      <c r="DM255" s="2"/>
      <c r="DN255" s="2"/>
      <c r="FB255" s="3"/>
    </row>
    <row r="256">
      <c r="DK256" s="2"/>
      <c r="DL256" s="2"/>
      <c r="DM256" s="2"/>
      <c r="DN256" s="2"/>
      <c r="FB256" s="3"/>
    </row>
    <row r="257">
      <c r="DK257" s="2"/>
      <c r="DL257" s="2"/>
      <c r="DM257" s="2"/>
      <c r="DN257" s="2"/>
      <c r="FB257" s="3"/>
    </row>
    <row r="258">
      <c r="DK258" s="2"/>
      <c r="DL258" s="2"/>
      <c r="DM258" s="2"/>
      <c r="DN258" s="2"/>
      <c r="FB258" s="3"/>
    </row>
    <row r="259">
      <c r="DK259" s="2"/>
      <c r="DL259" s="2"/>
      <c r="DM259" s="2"/>
      <c r="DN259" s="2"/>
      <c r="FB259" s="3"/>
    </row>
    <row r="260">
      <c r="DK260" s="2"/>
      <c r="DL260" s="2"/>
      <c r="DM260" s="2"/>
      <c r="DN260" s="2"/>
      <c r="FB260" s="3"/>
    </row>
    <row r="261">
      <c r="DK261" s="2"/>
      <c r="DL261" s="2"/>
      <c r="DM261" s="2"/>
      <c r="DN261" s="2"/>
      <c r="FB261" s="3"/>
    </row>
    <row r="262">
      <c r="DK262" s="2"/>
      <c r="DL262" s="2"/>
      <c r="DM262" s="2"/>
      <c r="DN262" s="2"/>
      <c r="FB262" s="3"/>
    </row>
    <row r="263">
      <c r="DK263" s="2"/>
      <c r="DL263" s="2"/>
      <c r="DM263" s="2"/>
      <c r="DN263" s="2"/>
      <c r="FB263" s="3"/>
    </row>
    <row r="264">
      <c r="DK264" s="2"/>
      <c r="DL264" s="2"/>
      <c r="DM264" s="2"/>
      <c r="DN264" s="2"/>
      <c r="FB264" s="3"/>
    </row>
    <row r="265">
      <c r="DK265" s="2"/>
      <c r="DL265" s="2"/>
      <c r="DM265" s="2"/>
      <c r="DN265" s="2"/>
      <c r="FB265" s="3"/>
    </row>
    <row r="266">
      <c r="DK266" s="2"/>
      <c r="DL266" s="2"/>
      <c r="DM266" s="2"/>
      <c r="DN266" s="2"/>
      <c r="FB266" s="3"/>
    </row>
    <row r="267">
      <c r="DK267" s="2"/>
      <c r="DL267" s="2"/>
      <c r="DM267" s="2"/>
      <c r="DN267" s="2"/>
      <c r="FB267" s="3"/>
    </row>
    <row r="268">
      <c r="DK268" s="2"/>
      <c r="DL268" s="2"/>
      <c r="DM268" s="2"/>
      <c r="DN268" s="2"/>
      <c r="FB268" s="3"/>
    </row>
    <row r="269">
      <c r="DK269" s="2"/>
      <c r="DL269" s="2"/>
      <c r="DM269" s="2"/>
      <c r="DN269" s="2"/>
      <c r="FB269" s="3"/>
    </row>
    <row r="270">
      <c r="DK270" s="2"/>
      <c r="DL270" s="2"/>
      <c r="DM270" s="2"/>
      <c r="DN270" s="2"/>
      <c r="FB270" s="3"/>
    </row>
    <row r="271">
      <c r="DK271" s="2"/>
      <c r="DL271" s="2"/>
      <c r="DM271" s="2"/>
      <c r="DN271" s="2"/>
      <c r="FB271" s="3"/>
    </row>
    <row r="272">
      <c r="DK272" s="2"/>
      <c r="DL272" s="2"/>
      <c r="DM272" s="2"/>
      <c r="DN272" s="2"/>
      <c r="FB272" s="3"/>
    </row>
    <row r="273">
      <c r="DK273" s="2"/>
      <c r="DL273" s="2"/>
      <c r="DM273" s="2"/>
      <c r="DN273" s="2"/>
      <c r="FB273" s="3"/>
    </row>
    <row r="274">
      <c r="DK274" s="2"/>
      <c r="DL274" s="2"/>
      <c r="DM274" s="2"/>
      <c r="DN274" s="2"/>
      <c r="FB274" s="3"/>
    </row>
    <row r="275">
      <c r="DK275" s="2"/>
      <c r="DL275" s="2"/>
      <c r="DM275" s="2"/>
      <c r="DN275" s="2"/>
      <c r="FB275" s="3"/>
    </row>
    <row r="276">
      <c r="DK276" s="2"/>
      <c r="DL276" s="2"/>
      <c r="DM276" s="2"/>
      <c r="DN276" s="2"/>
      <c r="FB276" s="3"/>
    </row>
    <row r="277">
      <c r="DK277" s="2"/>
      <c r="DL277" s="2"/>
      <c r="DM277" s="2"/>
      <c r="DN277" s="2"/>
      <c r="FB277" s="3"/>
    </row>
    <row r="278">
      <c r="DK278" s="2"/>
      <c r="DL278" s="2"/>
      <c r="DM278" s="2"/>
      <c r="DN278" s="2"/>
      <c r="FB278" s="3"/>
    </row>
    <row r="279">
      <c r="DK279" s="2"/>
      <c r="DL279" s="2"/>
      <c r="DM279" s="2"/>
      <c r="DN279" s="2"/>
      <c r="FB279" s="3"/>
    </row>
    <row r="280">
      <c r="DK280" s="2"/>
      <c r="DL280" s="2"/>
      <c r="DM280" s="2"/>
      <c r="DN280" s="2"/>
      <c r="FB280" s="3"/>
    </row>
    <row r="281">
      <c r="DK281" s="2"/>
      <c r="DL281" s="2"/>
      <c r="DM281" s="2"/>
      <c r="DN281" s="2"/>
      <c r="FB281" s="3"/>
    </row>
    <row r="282">
      <c r="DK282" s="2"/>
      <c r="DL282" s="2"/>
      <c r="DM282" s="2"/>
      <c r="DN282" s="2"/>
      <c r="FB282" s="3"/>
    </row>
    <row r="283">
      <c r="DK283" s="2"/>
      <c r="DL283" s="2"/>
      <c r="DM283" s="2"/>
      <c r="DN283" s="2"/>
      <c r="FB283" s="3"/>
    </row>
    <row r="284">
      <c r="DK284" s="2"/>
      <c r="DL284" s="2"/>
      <c r="DM284" s="2"/>
      <c r="DN284" s="2"/>
      <c r="FB284" s="3"/>
    </row>
    <row r="285">
      <c r="DK285" s="2"/>
      <c r="DL285" s="2"/>
      <c r="DM285" s="2"/>
      <c r="DN285" s="2"/>
      <c r="FB285" s="3"/>
    </row>
    <row r="286">
      <c r="DK286" s="2"/>
      <c r="DL286" s="2"/>
      <c r="DM286" s="2"/>
      <c r="DN286" s="2"/>
      <c r="FB286" s="3"/>
    </row>
    <row r="287">
      <c r="DK287" s="2"/>
      <c r="DL287" s="2"/>
      <c r="DM287" s="2"/>
      <c r="DN287" s="2"/>
      <c r="FB287" s="3"/>
    </row>
    <row r="288">
      <c r="DK288" s="2"/>
      <c r="DL288" s="2"/>
      <c r="DM288" s="2"/>
      <c r="DN288" s="2"/>
      <c r="FB288" s="3"/>
    </row>
    <row r="289">
      <c r="DK289" s="2"/>
      <c r="DL289" s="2"/>
      <c r="DM289" s="2"/>
      <c r="DN289" s="2"/>
      <c r="FB289" s="3"/>
    </row>
    <row r="290">
      <c r="DK290" s="2"/>
      <c r="DL290" s="2"/>
      <c r="DM290" s="2"/>
      <c r="DN290" s="2"/>
      <c r="FB290" s="3"/>
    </row>
    <row r="291">
      <c r="DK291" s="2"/>
      <c r="DL291" s="2"/>
      <c r="DM291" s="2"/>
      <c r="DN291" s="2"/>
      <c r="FB291" s="3"/>
    </row>
    <row r="292">
      <c r="DK292" s="2"/>
      <c r="DL292" s="2"/>
      <c r="DM292" s="2"/>
      <c r="DN292" s="2"/>
      <c r="FB292" s="3"/>
    </row>
    <row r="293">
      <c r="DK293" s="2"/>
      <c r="DL293" s="2"/>
      <c r="DM293" s="2"/>
      <c r="DN293" s="2"/>
      <c r="FB293" s="3"/>
    </row>
    <row r="294">
      <c r="DK294" s="2"/>
      <c r="DL294" s="2"/>
      <c r="DM294" s="2"/>
      <c r="DN294" s="2"/>
      <c r="FB294" s="3"/>
    </row>
    <row r="295">
      <c r="DK295" s="2"/>
      <c r="DL295" s="2"/>
      <c r="DM295" s="2"/>
      <c r="DN295" s="2"/>
      <c r="FB295" s="3"/>
    </row>
    <row r="296">
      <c r="DK296" s="2"/>
      <c r="DL296" s="2"/>
      <c r="DM296" s="2"/>
      <c r="DN296" s="2"/>
      <c r="FB296" s="3"/>
    </row>
    <row r="297">
      <c r="DK297" s="2"/>
      <c r="DL297" s="2"/>
      <c r="DM297" s="2"/>
      <c r="DN297" s="2"/>
      <c r="FB297" s="3"/>
    </row>
    <row r="298">
      <c r="DK298" s="2"/>
      <c r="DL298" s="2"/>
      <c r="DM298" s="2"/>
      <c r="DN298" s="2"/>
      <c r="FB298" s="3"/>
    </row>
    <row r="299">
      <c r="DK299" s="2"/>
      <c r="DL299" s="2"/>
      <c r="DM299" s="2"/>
      <c r="DN299" s="2"/>
      <c r="FB299" s="3"/>
    </row>
    <row r="300">
      <c r="DK300" s="2"/>
      <c r="DL300" s="2"/>
      <c r="DM300" s="2"/>
      <c r="DN300" s="2"/>
      <c r="FB300" s="3"/>
    </row>
    <row r="301">
      <c r="DK301" s="2"/>
      <c r="DL301" s="2"/>
      <c r="DM301" s="2"/>
      <c r="DN301" s="2"/>
      <c r="FB301" s="3"/>
    </row>
    <row r="302">
      <c r="DK302" s="2"/>
      <c r="DL302" s="2"/>
      <c r="DM302" s="2"/>
      <c r="DN302" s="2"/>
      <c r="FB302" s="3"/>
    </row>
    <row r="303">
      <c r="DK303" s="2"/>
      <c r="DL303" s="2"/>
      <c r="DM303" s="2"/>
      <c r="DN303" s="2"/>
      <c r="FB303" s="3"/>
    </row>
    <row r="304">
      <c r="DK304" s="2"/>
      <c r="DL304" s="2"/>
      <c r="DM304" s="2"/>
      <c r="DN304" s="2"/>
      <c r="FB304" s="3"/>
    </row>
    <row r="305">
      <c r="DK305" s="2"/>
      <c r="DL305" s="2"/>
      <c r="DM305" s="2"/>
      <c r="DN305" s="2"/>
      <c r="FB305" s="3"/>
    </row>
    <row r="306">
      <c r="DK306" s="2"/>
      <c r="DL306" s="2"/>
      <c r="DM306" s="2"/>
      <c r="DN306" s="2"/>
      <c r="FB306" s="3"/>
    </row>
    <row r="307">
      <c r="DK307" s="2"/>
      <c r="DL307" s="2"/>
      <c r="DM307" s="2"/>
      <c r="DN307" s="2"/>
      <c r="FB307" s="3"/>
    </row>
    <row r="308">
      <c r="DK308" s="2"/>
      <c r="DL308" s="2"/>
      <c r="DM308" s="2"/>
      <c r="DN308" s="2"/>
      <c r="FB308" s="3"/>
    </row>
    <row r="309">
      <c r="DK309" s="2"/>
      <c r="DL309" s="2"/>
      <c r="DM309" s="2"/>
      <c r="DN309" s="2"/>
      <c r="FB309" s="3"/>
    </row>
    <row r="310">
      <c r="DK310" s="2"/>
      <c r="DL310" s="2"/>
      <c r="DM310" s="2"/>
      <c r="DN310" s="2"/>
      <c r="FB310" s="3"/>
    </row>
    <row r="311">
      <c r="DK311" s="2"/>
      <c r="DL311" s="2"/>
      <c r="DM311" s="2"/>
      <c r="DN311" s="2"/>
      <c r="FB311" s="3"/>
    </row>
    <row r="312">
      <c r="DK312" s="2"/>
      <c r="DL312" s="2"/>
      <c r="DM312" s="2"/>
      <c r="DN312" s="2"/>
      <c r="FB312" s="3"/>
    </row>
    <row r="313">
      <c r="DK313" s="2"/>
      <c r="DL313" s="2"/>
      <c r="DM313" s="2"/>
      <c r="DN313" s="2"/>
      <c r="FB313" s="3"/>
    </row>
    <row r="314">
      <c r="DK314" s="2"/>
      <c r="DL314" s="2"/>
      <c r="DM314" s="2"/>
      <c r="DN314" s="2"/>
      <c r="FB314" s="3"/>
    </row>
    <row r="315">
      <c r="DK315" s="2"/>
      <c r="DL315" s="2"/>
      <c r="DM315" s="2"/>
      <c r="DN315" s="2"/>
      <c r="FB315" s="3"/>
    </row>
    <row r="316">
      <c r="DK316" s="2"/>
      <c r="DL316" s="2"/>
      <c r="DM316" s="2"/>
      <c r="DN316" s="2"/>
      <c r="FB316" s="3"/>
    </row>
    <row r="317">
      <c r="DK317" s="2"/>
      <c r="DL317" s="2"/>
      <c r="DM317" s="2"/>
      <c r="DN317" s="2"/>
      <c r="FB317" s="3"/>
    </row>
    <row r="318">
      <c r="DK318" s="2"/>
      <c r="DL318" s="2"/>
      <c r="DM318" s="2"/>
      <c r="DN318" s="2"/>
      <c r="FB318" s="3"/>
    </row>
    <row r="319">
      <c r="DK319" s="2"/>
      <c r="DL319" s="2"/>
      <c r="DM319" s="2"/>
      <c r="DN319" s="2"/>
      <c r="FB319" s="3"/>
    </row>
    <row r="320">
      <c r="DK320" s="2"/>
      <c r="DL320" s="2"/>
      <c r="DM320" s="2"/>
      <c r="DN320" s="2"/>
      <c r="FB320" s="3"/>
    </row>
    <row r="321">
      <c r="DK321" s="2"/>
      <c r="DL321" s="2"/>
      <c r="DM321" s="2"/>
      <c r="DN321" s="2"/>
      <c r="FB321" s="3"/>
    </row>
    <row r="322">
      <c r="DK322" s="2"/>
      <c r="DL322" s="2"/>
      <c r="DM322" s="2"/>
      <c r="DN322" s="2"/>
      <c r="FB322" s="3"/>
    </row>
    <row r="323">
      <c r="DK323" s="2"/>
      <c r="DL323" s="2"/>
      <c r="DM323" s="2"/>
      <c r="DN323" s="2"/>
      <c r="FB323" s="3"/>
    </row>
    <row r="324">
      <c r="DK324" s="2"/>
      <c r="DL324" s="2"/>
      <c r="DM324" s="2"/>
      <c r="DN324" s="2"/>
      <c r="FB324" s="3"/>
    </row>
    <row r="325">
      <c r="DK325" s="2"/>
      <c r="DL325" s="2"/>
      <c r="DM325" s="2"/>
      <c r="DN325" s="2"/>
      <c r="FB325" s="3"/>
    </row>
    <row r="326">
      <c r="DK326" s="2"/>
      <c r="DL326" s="2"/>
      <c r="DM326" s="2"/>
      <c r="DN326" s="2"/>
      <c r="FB326" s="3"/>
    </row>
    <row r="327">
      <c r="DK327" s="2"/>
      <c r="DL327" s="2"/>
      <c r="DM327" s="2"/>
      <c r="DN327" s="2"/>
      <c r="FB327" s="3"/>
    </row>
    <row r="328">
      <c r="DK328" s="2"/>
      <c r="DL328" s="2"/>
      <c r="DM328" s="2"/>
      <c r="DN328" s="2"/>
      <c r="FB328" s="3"/>
    </row>
    <row r="329">
      <c r="DK329" s="2"/>
      <c r="DL329" s="2"/>
      <c r="DM329" s="2"/>
      <c r="DN329" s="2"/>
      <c r="FB329" s="3"/>
    </row>
    <row r="330">
      <c r="DK330" s="2"/>
      <c r="DL330" s="2"/>
      <c r="DM330" s="2"/>
      <c r="DN330" s="2"/>
      <c r="FB330" s="3"/>
    </row>
    <row r="331">
      <c r="DK331" s="2"/>
      <c r="DL331" s="2"/>
      <c r="DM331" s="2"/>
      <c r="DN331" s="2"/>
      <c r="FB331" s="3"/>
    </row>
    <row r="332">
      <c r="DK332" s="2"/>
      <c r="DL332" s="2"/>
      <c r="DM332" s="2"/>
      <c r="DN332" s="2"/>
      <c r="FB332" s="3"/>
    </row>
    <row r="333">
      <c r="DK333" s="2"/>
      <c r="DL333" s="2"/>
      <c r="DM333" s="2"/>
      <c r="DN333" s="2"/>
      <c r="FB333" s="3"/>
    </row>
    <row r="334">
      <c r="DK334" s="2"/>
      <c r="DL334" s="2"/>
      <c r="DM334" s="2"/>
      <c r="DN334" s="2"/>
      <c r="FB334" s="3"/>
    </row>
    <row r="335">
      <c r="DK335" s="2"/>
      <c r="DL335" s="2"/>
      <c r="DM335" s="2"/>
      <c r="DN335" s="2"/>
      <c r="FB335" s="3"/>
    </row>
    <row r="336">
      <c r="DK336" s="2"/>
      <c r="DL336" s="2"/>
      <c r="DM336" s="2"/>
      <c r="DN336" s="2"/>
      <c r="FB336" s="3"/>
    </row>
    <row r="337">
      <c r="DK337" s="2"/>
      <c r="DL337" s="2"/>
      <c r="DM337" s="2"/>
      <c r="DN337" s="2"/>
      <c r="FB337" s="3"/>
    </row>
    <row r="338">
      <c r="DK338" s="2"/>
      <c r="DL338" s="2"/>
      <c r="DM338" s="2"/>
      <c r="DN338" s="2"/>
      <c r="FB338" s="3"/>
    </row>
    <row r="339">
      <c r="DK339" s="2"/>
      <c r="DL339" s="2"/>
      <c r="DM339" s="2"/>
      <c r="DN339" s="2"/>
      <c r="FB339" s="3"/>
    </row>
    <row r="340">
      <c r="DK340" s="2"/>
      <c r="DL340" s="2"/>
      <c r="DM340" s="2"/>
      <c r="DN340" s="2"/>
      <c r="FB340" s="3"/>
    </row>
    <row r="341">
      <c r="DK341" s="2"/>
      <c r="DL341" s="2"/>
      <c r="DM341" s="2"/>
      <c r="DN341" s="2"/>
      <c r="FB341" s="3"/>
    </row>
    <row r="342">
      <c r="DK342" s="2"/>
      <c r="DL342" s="2"/>
      <c r="DM342" s="2"/>
      <c r="DN342" s="2"/>
      <c r="FB342" s="3"/>
    </row>
    <row r="343">
      <c r="DK343" s="2"/>
      <c r="DL343" s="2"/>
      <c r="DM343" s="2"/>
      <c r="DN343" s="2"/>
      <c r="FB343" s="3"/>
    </row>
    <row r="344">
      <c r="DK344" s="2"/>
      <c r="DL344" s="2"/>
      <c r="DM344" s="2"/>
      <c r="DN344" s="2"/>
      <c r="FB344" s="3"/>
    </row>
    <row r="345">
      <c r="DK345" s="2"/>
      <c r="DL345" s="2"/>
      <c r="DM345" s="2"/>
      <c r="DN345" s="2"/>
      <c r="FB345" s="3"/>
    </row>
    <row r="346">
      <c r="DK346" s="2"/>
      <c r="DL346" s="2"/>
      <c r="DM346" s="2"/>
      <c r="DN346" s="2"/>
      <c r="FB346" s="3"/>
    </row>
    <row r="347">
      <c r="DK347" s="2"/>
      <c r="DL347" s="2"/>
      <c r="DM347" s="2"/>
      <c r="DN347" s="2"/>
      <c r="FB347" s="3"/>
    </row>
    <row r="348">
      <c r="DK348" s="2"/>
      <c r="DL348" s="2"/>
      <c r="DM348" s="2"/>
      <c r="DN348" s="2"/>
      <c r="FB348" s="3"/>
    </row>
    <row r="349">
      <c r="DK349" s="2"/>
      <c r="DL349" s="2"/>
      <c r="DM349" s="2"/>
      <c r="DN349" s="2"/>
      <c r="FB349" s="3"/>
    </row>
    <row r="350">
      <c r="DK350" s="2"/>
      <c r="DL350" s="2"/>
      <c r="DM350" s="2"/>
      <c r="DN350" s="2"/>
      <c r="FB350" s="3"/>
    </row>
    <row r="351">
      <c r="DK351" s="2"/>
      <c r="DL351" s="2"/>
      <c r="DM351" s="2"/>
      <c r="DN351" s="2"/>
      <c r="FB351" s="3"/>
    </row>
    <row r="352">
      <c r="DK352" s="2"/>
      <c r="DL352" s="2"/>
      <c r="DM352" s="2"/>
      <c r="DN352" s="2"/>
      <c r="FB352" s="3"/>
    </row>
    <row r="353">
      <c r="DK353" s="2"/>
      <c r="DL353" s="2"/>
      <c r="DM353" s="2"/>
      <c r="DN353" s="2"/>
      <c r="FB353" s="3"/>
    </row>
    <row r="354">
      <c r="DK354" s="2"/>
      <c r="DL354" s="2"/>
      <c r="DM354" s="2"/>
      <c r="DN354" s="2"/>
      <c r="FB354" s="3"/>
    </row>
    <row r="355">
      <c r="DK355" s="2"/>
      <c r="DL355" s="2"/>
      <c r="DM355" s="2"/>
      <c r="DN355" s="2"/>
      <c r="FB355" s="3"/>
    </row>
    <row r="356">
      <c r="DK356" s="2"/>
      <c r="DL356" s="2"/>
      <c r="DM356" s="2"/>
      <c r="DN356" s="2"/>
      <c r="FB356" s="3"/>
    </row>
    <row r="357">
      <c r="DK357" s="2"/>
      <c r="DL357" s="2"/>
      <c r="DM357" s="2"/>
      <c r="DN357" s="2"/>
      <c r="FB357" s="3"/>
    </row>
    <row r="358">
      <c r="DK358" s="2"/>
      <c r="DL358" s="2"/>
      <c r="DM358" s="2"/>
      <c r="DN358" s="2"/>
      <c r="FB358" s="3"/>
    </row>
    <row r="359">
      <c r="DK359" s="2"/>
      <c r="DL359" s="2"/>
      <c r="DM359" s="2"/>
      <c r="DN359" s="2"/>
      <c r="FB359" s="3"/>
    </row>
    <row r="360">
      <c r="DK360" s="2"/>
      <c r="DL360" s="2"/>
      <c r="DM360" s="2"/>
      <c r="DN360" s="2"/>
      <c r="FB360" s="3"/>
    </row>
    <row r="361">
      <c r="DK361" s="2"/>
      <c r="DL361" s="2"/>
      <c r="DM361" s="2"/>
      <c r="DN361" s="2"/>
      <c r="FB361" s="3"/>
    </row>
    <row r="362">
      <c r="DK362" s="2"/>
      <c r="DL362" s="2"/>
      <c r="DM362" s="2"/>
      <c r="DN362" s="2"/>
      <c r="FB362" s="3"/>
    </row>
    <row r="363">
      <c r="DK363" s="2"/>
      <c r="DL363" s="2"/>
      <c r="DM363" s="2"/>
      <c r="DN363" s="2"/>
      <c r="FB363" s="3"/>
    </row>
    <row r="364">
      <c r="DK364" s="2"/>
      <c r="DL364" s="2"/>
      <c r="DM364" s="2"/>
      <c r="DN364" s="2"/>
      <c r="FB364" s="3"/>
    </row>
    <row r="365">
      <c r="DK365" s="2"/>
      <c r="DL365" s="2"/>
      <c r="DM365" s="2"/>
      <c r="DN365" s="2"/>
      <c r="FB365" s="3"/>
    </row>
    <row r="366">
      <c r="DK366" s="2"/>
      <c r="DL366" s="2"/>
      <c r="DM366" s="2"/>
      <c r="DN366" s="2"/>
      <c r="FB366" s="3"/>
    </row>
    <row r="367">
      <c r="DK367" s="2"/>
      <c r="DL367" s="2"/>
      <c r="DM367" s="2"/>
      <c r="DN367" s="2"/>
      <c r="FB367" s="3"/>
    </row>
    <row r="368">
      <c r="DK368" s="2"/>
      <c r="DL368" s="2"/>
      <c r="DM368" s="2"/>
      <c r="DN368" s="2"/>
      <c r="FB368" s="3"/>
    </row>
    <row r="369">
      <c r="DK369" s="2"/>
      <c r="DL369" s="2"/>
      <c r="DM369" s="2"/>
      <c r="DN369" s="2"/>
      <c r="FB369" s="3"/>
    </row>
    <row r="370">
      <c r="DK370" s="2"/>
      <c r="DL370" s="2"/>
      <c r="DM370" s="2"/>
      <c r="DN370" s="2"/>
      <c r="FB370" s="3"/>
    </row>
    <row r="371">
      <c r="DK371" s="2"/>
      <c r="DL371" s="2"/>
      <c r="DM371" s="2"/>
      <c r="DN371" s="2"/>
      <c r="FB371" s="3"/>
    </row>
    <row r="372">
      <c r="DK372" s="2"/>
      <c r="DL372" s="2"/>
      <c r="DM372" s="2"/>
      <c r="DN372" s="2"/>
      <c r="FB372" s="3"/>
    </row>
    <row r="373">
      <c r="DK373" s="2"/>
      <c r="DL373" s="2"/>
      <c r="DM373" s="2"/>
      <c r="DN373" s="2"/>
      <c r="FB373" s="3"/>
    </row>
    <row r="374">
      <c r="DK374" s="2"/>
      <c r="DL374" s="2"/>
      <c r="DM374" s="2"/>
      <c r="DN374" s="2"/>
      <c r="FB374" s="3"/>
    </row>
    <row r="375">
      <c r="DK375" s="2"/>
      <c r="DL375" s="2"/>
      <c r="DM375" s="2"/>
      <c r="DN375" s="2"/>
      <c r="FB375" s="3"/>
    </row>
    <row r="376">
      <c r="DK376" s="2"/>
      <c r="DL376" s="2"/>
      <c r="DM376" s="2"/>
      <c r="DN376" s="2"/>
      <c r="FB376" s="3"/>
    </row>
    <row r="377">
      <c r="DK377" s="2"/>
      <c r="DL377" s="2"/>
      <c r="DM377" s="2"/>
      <c r="DN377" s="2"/>
      <c r="FB377" s="3"/>
    </row>
    <row r="378">
      <c r="DK378" s="2"/>
      <c r="DL378" s="2"/>
      <c r="DM378" s="2"/>
      <c r="DN378" s="2"/>
      <c r="FB378" s="3"/>
    </row>
    <row r="379">
      <c r="DK379" s="2"/>
      <c r="DL379" s="2"/>
      <c r="DM379" s="2"/>
      <c r="DN379" s="2"/>
      <c r="FB379" s="3"/>
    </row>
    <row r="380">
      <c r="DK380" s="2"/>
      <c r="DL380" s="2"/>
      <c r="DM380" s="2"/>
      <c r="DN380" s="2"/>
      <c r="FB380" s="3"/>
    </row>
    <row r="381">
      <c r="DK381" s="2"/>
      <c r="DL381" s="2"/>
      <c r="DM381" s="2"/>
      <c r="DN381" s="2"/>
      <c r="FB381" s="3"/>
    </row>
    <row r="382">
      <c r="DK382" s="2"/>
      <c r="DL382" s="2"/>
      <c r="DM382" s="2"/>
      <c r="DN382" s="2"/>
      <c r="FB382" s="3"/>
    </row>
    <row r="383">
      <c r="DK383" s="2"/>
      <c r="DL383" s="2"/>
      <c r="DM383" s="2"/>
      <c r="DN383" s="2"/>
      <c r="FB383" s="3"/>
    </row>
    <row r="384">
      <c r="DK384" s="2"/>
      <c r="DL384" s="2"/>
      <c r="DM384" s="2"/>
      <c r="DN384" s="2"/>
      <c r="FB384" s="3"/>
    </row>
    <row r="385">
      <c r="DK385" s="2"/>
      <c r="DL385" s="2"/>
      <c r="DM385" s="2"/>
      <c r="DN385" s="2"/>
      <c r="FB385" s="3"/>
    </row>
    <row r="386">
      <c r="DK386" s="2"/>
      <c r="DL386" s="2"/>
      <c r="DM386" s="2"/>
      <c r="DN386" s="2"/>
      <c r="FB386" s="3"/>
    </row>
    <row r="387">
      <c r="DK387" s="2"/>
      <c r="DL387" s="2"/>
      <c r="DM387" s="2"/>
      <c r="DN387" s="2"/>
      <c r="FB387" s="3"/>
    </row>
    <row r="388">
      <c r="DK388" s="2"/>
      <c r="DL388" s="2"/>
      <c r="DM388" s="2"/>
      <c r="DN388" s="2"/>
      <c r="FB388" s="3"/>
    </row>
    <row r="389">
      <c r="DK389" s="2"/>
      <c r="DL389" s="2"/>
      <c r="DM389" s="2"/>
      <c r="DN389" s="2"/>
      <c r="FB389" s="3"/>
    </row>
    <row r="390">
      <c r="DK390" s="2"/>
      <c r="DL390" s="2"/>
      <c r="DM390" s="2"/>
      <c r="DN390" s="2"/>
      <c r="FB390" s="3"/>
    </row>
    <row r="391">
      <c r="DK391" s="2"/>
      <c r="DL391" s="2"/>
      <c r="DM391" s="2"/>
      <c r="DN391" s="2"/>
      <c r="FB391" s="3"/>
    </row>
    <row r="392">
      <c r="DK392" s="2"/>
      <c r="DL392" s="2"/>
      <c r="DM392" s="2"/>
      <c r="DN392" s="2"/>
      <c r="FB392" s="3"/>
    </row>
    <row r="393">
      <c r="DK393" s="2"/>
      <c r="DL393" s="2"/>
      <c r="DM393" s="2"/>
      <c r="DN393" s="2"/>
      <c r="FB393" s="3"/>
    </row>
    <row r="394">
      <c r="DK394" s="2"/>
      <c r="DL394" s="2"/>
      <c r="DM394" s="2"/>
      <c r="DN394" s="2"/>
      <c r="FB394" s="3"/>
    </row>
    <row r="395">
      <c r="DK395" s="2"/>
      <c r="DL395" s="2"/>
      <c r="DM395" s="2"/>
      <c r="DN395" s="2"/>
      <c r="FB395" s="3"/>
    </row>
    <row r="396">
      <c r="DK396" s="2"/>
      <c r="DL396" s="2"/>
      <c r="DM396" s="2"/>
      <c r="DN396" s="2"/>
      <c r="FB396" s="3"/>
    </row>
    <row r="397">
      <c r="DK397" s="2"/>
      <c r="DL397" s="2"/>
      <c r="DM397" s="2"/>
      <c r="DN397" s="2"/>
      <c r="FB397" s="3"/>
    </row>
    <row r="398">
      <c r="DK398" s="2"/>
      <c r="DL398" s="2"/>
      <c r="DM398" s="2"/>
      <c r="DN398" s="2"/>
      <c r="FB398" s="3"/>
    </row>
    <row r="399">
      <c r="DK399" s="2"/>
      <c r="DL399" s="2"/>
      <c r="DM399" s="2"/>
      <c r="DN399" s="2"/>
      <c r="FB399" s="3"/>
    </row>
    <row r="400">
      <c r="DK400" s="2"/>
      <c r="DL400" s="2"/>
      <c r="DM400" s="2"/>
      <c r="DN400" s="2"/>
      <c r="FB400" s="3"/>
    </row>
    <row r="401">
      <c r="DK401" s="2"/>
      <c r="DL401" s="2"/>
      <c r="DM401" s="2"/>
      <c r="DN401" s="2"/>
      <c r="FB401" s="3"/>
    </row>
    <row r="402">
      <c r="DK402" s="2"/>
      <c r="DL402" s="2"/>
      <c r="DM402" s="2"/>
      <c r="DN402" s="2"/>
      <c r="FB402" s="3"/>
    </row>
    <row r="403">
      <c r="DK403" s="2"/>
      <c r="DL403" s="2"/>
      <c r="DM403" s="2"/>
      <c r="DN403" s="2"/>
      <c r="FB403" s="3"/>
    </row>
    <row r="404">
      <c r="DK404" s="2"/>
      <c r="DL404" s="2"/>
      <c r="DM404" s="2"/>
      <c r="DN404" s="2"/>
      <c r="FB404" s="3"/>
    </row>
    <row r="405">
      <c r="DK405" s="2"/>
      <c r="DL405" s="2"/>
      <c r="DM405" s="2"/>
      <c r="DN405" s="2"/>
      <c r="FB405" s="3"/>
    </row>
    <row r="406">
      <c r="DK406" s="2"/>
      <c r="DL406" s="2"/>
      <c r="DM406" s="2"/>
      <c r="DN406" s="2"/>
      <c r="FB406" s="3"/>
    </row>
    <row r="407">
      <c r="DK407" s="2"/>
      <c r="DL407" s="2"/>
      <c r="DM407" s="2"/>
      <c r="DN407" s="2"/>
      <c r="FB407" s="3"/>
    </row>
    <row r="408">
      <c r="DK408" s="2"/>
      <c r="DL408" s="2"/>
      <c r="DM408" s="2"/>
      <c r="DN408" s="2"/>
      <c r="FB408" s="3"/>
    </row>
    <row r="409">
      <c r="DK409" s="2"/>
      <c r="DL409" s="2"/>
      <c r="DM409" s="2"/>
      <c r="DN409" s="2"/>
      <c r="FB409" s="3"/>
    </row>
    <row r="410">
      <c r="DK410" s="2"/>
      <c r="DL410" s="2"/>
      <c r="DM410" s="2"/>
      <c r="DN410" s="2"/>
      <c r="FB410" s="3"/>
    </row>
    <row r="411">
      <c r="DK411" s="2"/>
      <c r="DL411" s="2"/>
      <c r="DM411" s="2"/>
      <c r="DN411" s="2"/>
      <c r="FB411" s="3"/>
    </row>
    <row r="412">
      <c r="DK412" s="2"/>
      <c r="DL412" s="2"/>
      <c r="DM412" s="2"/>
      <c r="DN412" s="2"/>
      <c r="FB412" s="3"/>
    </row>
    <row r="413">
      <c r="DK413" s="2"/>
      <c r="DL413" s="2"/>
      <c r="DM413" s="2"/>
      <c r="DN413" s="2"/>
      <c r="FB413" s="3"/>
    </row>
    <row r="414">
      <c r="DK414" s="2"/>
      <c r="DL414" s="2"/>
      <c r="DM414" s="2"/>
      <c r="DN414" s="2"/>
      <c r="FB414" s="3"/>
    </row>
    <row r="415">
      <c r="DK415" s="2"/>
      <c r="DL415" s="2"/>
      <c r="DM415" s="2"/>
      <c r="DN415" s="2"/>
      <c r="FB415" s="3"/>
    </row>
    <row r="416">
      <c r="DK416" s="2"/>
      <c r="DL416" s="2"/>
      <c r="DM416" s="2"/>
      <c r="DN416" s="2"/>
      <c r="FB416" s="3"/>
    </row>
    <row r="417">
      <c r="DK417" s="2"/>
      <c r="DL417" s="2"/>
      <c r="DM417" s="2"/>
      <c r="DN417" s="2"/>
      <c r="FB417" s="3"/>
    </row>
    <row r="418">
      <c r="DK418" s="2"/>
      <c r="DL418" s="2"/>
      <c r="DM418" s="2"/>
      <c r="DN418" s="2"/>
      <c r="FB418" s="3"/>
    </row>
    <row r="419">
      <c r="DK419" s="2"/>
      <c r="DL419" s="2"/>
      <c r="DM419" s="2"/>
      <c r="DN419" s="2"/>
      <c r="FB419" s="3"/>
    </row>
    <row r="420">
      <c r="DK420" s="2"/>
      <c r="DL420" s="2"/>
      <c r="DM420" s="2"/>
      <c r="DN420" s="2"/>
      <c r="FB420" s="3"/>
    </row>
    <row r="421">
      <c r="DK421" s="2"/>
      <c r="DL421" s="2"/>
      <c r="DM421" s="2"/>
      <c r="DN421" s="2"/>
      <c r="FB421" s="3"/>
    </row>
    <row r="422">
      <c r="DK422" s="2"/>
      <c r="DL422" s="2"/>
      <c r="DM422" s="2"/>
      <c r="DN422" s="2"/>
      <c r="FB422" s="3"/>
    </row>
    <row r="423">
      <c r="DK423" s="2"/>
      <c r="DL423" s="2"/>
      <c r="DM423" s="2"/>
      <c r="DN423" s="2"/>
      <c r="FB423" s="3"/>
    </row>
    <row r="424">
      <c r="DK424" s="2"/>
      <c r="DL424" s="2"/>
      <c r="DM424" s="2"/>
      <c r="DN424" s="2"/>
      <c r="FB424" s="3"/>
    </row>
    <row r="425">
      <c r="DK425" s="2"/>
      <c r="DL425" s="2"/>
      <c r="DM425" s="2"/>
      <c r="DN425" s="2"/>
      <c r="FB425" s="3"/>
    </row>
    <row r="426">
      <c r="DK426" s="2"/>
      <c r="DL426" s="2"/>
      <c r="DM426" s="2"/>
      <c r="DN426" s="2"/>
      <c r="FB426" s="3"/>
    </row>
    <row r="427">
      <c r="DK427" s="2"/>
      <c r="DL427" s="2"/>
      <c r="DM427" s="2"/>
      <c r="DN427" s="2"/>
      <c r="FB427" s="3"/>
    </row>
    <row r="428">
      <c r="DK428" s="2"/>
      <c r="DL428" s="2"/>
      <c r="DM428" s="2"/>
      <c r="DN428" s="2"/>
      <c r="FB428" s="3"/>
    </row>
    <row r="429">
      <c r="DK429" s="2"/>
      <c r="DL429" s="2"/>
      <c r="DM429" s="2"/>
      <c r="DN429" s="2"/>
      <c r="FB429" s="3"/>
    </row>
    <row r="430">
      <c r="DK430" s="2"/>
      <c r="DL430" s="2"/>
      <c r="DM430" s="2"/>
      <c r="DN430" s="2"/>
      <c r="FB430" s="3"/>
    </row>
    <row r="431">
      <c r="DK431" s="2"/>
      <c r="DL431" s="2"/>
      <c r="DM431" s="2"/>
      <c r="DN431" s="2"/>
      <c r="FB431" s="3"/>
    </row>
    <row r="432">
      <c r="DK432" s="2"/>
      <c r="DL432" s="2"/>
      <c r="DM432" s="2"/>
      <c r="DN432" s="2"/>
      <c r="FB432" s="3"/>
    </row>
    <row r="433">
      <c r="DK433" s="2"/>
      <c r="DL433" s="2"/>
      <c r="DM433" s="2"/>
      <c r="DN433" s="2"/>
      <c r="FB433" s="3"/>
    </row>
    <row r="434">
      <c r="DK434" s="2"/>
      <c r="DL434" s="2"/>
      <c r="DM434" s="2"/>
      <c r="DN434" s="2"/>
      <c r="FB434" s="3"/>
    </row>
    <row r="435">
      <c r="DK435" s="2"/>
      <c r="DL435" s="2"/>
      <c r="DM435" s="2"/>
      <c r="DN435" s="2"/>
      <c r="FB435" s="3"/>
    </row>
    <row r="436">
      <c r="DK436" s="2"/>
      <c r="DL436" s="2"/>
      <c r="DM436" s="2"/>
      <c r="DN436" s="2"/>
      <c r="FB436" s="3"/>
    </row>
    <row r="437">
      <c r="DK437" s="2"/>
      <c r="DL437" s="2"/>
      <c r="DM437" s="2"/>
      <c r="DN437" s="2"/>
      <c r="FB437" s="3"/>
    </row>
    <row r="438">
      <c r="DK438" s="2"/>
      <c r="DL438" s="2"/>
      <c r="DM438" s="2"/>
      <c r="DN438" s="2"/>
      <c r="FB438" s="3"/>
    </row>
    <row r="439">
      <c r="DK439" s="2"/>
      <c r="DL439" s="2"/>
      <c r="DM439" s="2"/>
      <c r="DN439" s="2"/>
      <c r="FB439" s="3"/>
    </row>
    <row r="440">
      <c r="DK440" s="2"/>
      <c r="DL440" s="2"/>
      <c r="DM440" s="2"/>
      <c r="DN440" s="2"/>
      <c r="FB440" s="3"/>
    </row>
    <row r="441">
      <c r="DK441" s="2"/>
      <c r="DL441" s="2"/>
      <c r="DM441" s="2"/>
      <c r="DN441" s="2"/>
      <c r="FB441" s="3"/>
    </row>
    <row r="442">
      <c r="DK442" s="2"/>
      <c r="DL442" s="2"/>
      <c r="DM442" s="2"/>
      <c r="DN442" s="2"/>
      <c r="FB442" s="3"/>
    </row>
    <row r="443">
      <c r="DK443" s="2"/>
      <c r="DL443" s="2"/>
      <c r="DM443" s="2"/>
      <c r="DN443" s="2"/>
      <c r="FB443" s="3"/>
    </row>
    <row r="444">
      <c r="DK444" s="2"/>
      <c r="DL444" s="2"/>
      <c r="DM444" s="2"/>
      <c r="DN444" s="2"/>
      <c r="FB444" s="3"/>
    </row>
    <row r="445">
      <c r="DK445" s="2"/>
      <c r="DL445" s="2"/>
      <c r="DM445" s="2"/>
      <c r="DN445" s="2"/>
      <c r="FB445" s="3"/>
    </row>
    <row r="446">
      <c r="DK446" s="2"/>
      <c r="DL446" s="2"/>
      <c r="DM446" s="2"/>
      <c r="DN446" s="2"/>
      <c r="FB446" s="3"/>
    </row>
    <row r="447">
      <c r="DK447" s="2"/>
      <c r="DL447" s="2"/>
      <c r="DM447" s="2"/>
      <c r="DN447" s="2"/>
      <c r="FB447" s="3"/>
    </row>
    <row r="448">
      <c r="DK448" s="2"/>
      <c r="DL448" s="2"/>
      <c r="DM448" s="2"/>
      <c r="DN448" s="2"/>
      <c r="FB448" s="3"/>
    </row>
    <row r="449">
      <c r="DK449" s="2"/>
      <c r="DL449" s="2"/>
      <c r="DM449" s="2"/>
      <c r="DN449" s="2"/>
      <c r="FB449" s="3"/>
    </row>
    <row r="450">
      <c r="DK450" s="2"/>
      <c r="DL450" s="2"/>
      <c r="DM450" s="2"/>
      <c r="DN450" s="2"/>
      <c r="FB450" s="3"/>
    </row>
    <row r="451">
      <c r="DK451" s="2"/>
      <c r="DL451" s="2"/>
      <c r="DM451" s="2"/>
      <c r="DN451" s="2"/>
      <c r="FB451" s="3"/>
    </row>
    <row r="452">
      <c r="DK452" s="2"/>
      <c r="DL452" s="2"/>
      <c r="DM452" s="2"/>
      <c r="DN452" s="2"/>
      <c r="FB452" s="3"/>
    </row>
    <row r="453">
      <c r="DK453" s="2"/>
      <c r="DL453" s="2"/>
      <c r="DM453" s="2"/>
      <c r="DN453" s="2"/>
      <c r="FB453" s="3"/>
    </row>
    <row r="454">
      <c r="DK454" s="2"/>
      <c r="DL454" s="2"/>
      <c r="DM454" s="2"/>
      <c r="DN454" s="2"/>
      <c r="FB454" s="3"/>
    </row>
    <row r="455">
      <c r="DK455" s="2"/>
      <c r="DL455" s="2"/>
      <c r="DM455" s="2"/>
      <c r="DN455" s="2"/>
      <c r="FB455" s="3"/>
    </row>
    <row r="456">
      <c r="DK456" s="2"/>
      <c r="DL456" s="2"/>
      <c r="DM456" s="2"/>
      <c r="DN456" s="2"/>
      <c r="FB456" s="3"/>
    </row>
    <row r="457">
      <c r="DK457" s="2"/>
      <c r="DL457" s="2"/>
      <c r="DM457" s="2"/>
      <c r="DN457" s="2"/>
      <c r="FB457" s="3"/>
    </row>
    <row r="458">
      <c r="DK458" s="2"/>
      <c r="DL458" s="2"/>
      <c r="DM458" s="2"/>
      <c r="DN458" s="2"/>
      <c r="FB458" s="3"/>
    </row>
    <row r="459">
      <c r="DK459" s="2"/>
      <c r="DL459" s="2"/>
      <c r="DM459" s="2"/>
      <c r="DN459" s="2"/>
      <c r="FB459" s="3"/>
    </row>
    <row r="460">
      <c r="DK460" s="2"/>
      <c r="DL460" s="2"/>
      <c r="DM460" s="2"/>
      <c r="DN460" s="2"/>
      <c r="FB460" s="3"/>
    </row>
    <row r="461">
      <c r="DK461" s="2"/>
      <c r="DL461" s="2"/>
      <c r="DM461" s="2"/>
      <c r="DN461" s="2"/>
      <c r="FB461" s="3"/>
    </row>
    <row r="462">
      <c r="DK462" s="2"/>
      <c r="DL462" s="2"/>
      <c r="DM462" s="2"/>
      <c r="DN462" s="2"/>
      <c r="FB462" s="3"/>
    </row>
    <row r="463">
      <c r="DK463" s="2"/>
      <c r="DL463" s="2"/>
      <c r="DM463" s="2"/>
      <c r="DN463" s="2"/>
      <c r="FB463" s="3"/>
    </row>
    <row r="464">
      <c r="DK464" s="2"/>
      <c r="DL464" s="2"/>
      <c r="DM464" s="2"/>
      <c r="DN464" s="2"/>
      <c r="FB464" s="3"/>
    </row>
    <row r="465">
      <c r="DK465" s="2"/>
      <c r="DL465" s="2"/>
      <c r="DM465" s="2"/>
      <c r="DN465" s="2"/>
      <c r="FB465" s="3"/>
    </row>
    <row r="466">
      <c r="DK466" s="2"/>
      <c r="DL466" s="2"/>
      <c r="DM466" s="2"/>
      <c r="DN466" s="2"/>
      <c r="FB466" s="3"/>
    </row>
    <row r="467">
      <c r="DK467" s="2"/>
      <c r="DL467" s="2"/>
      <c r="DM467" s="2"/>
      <c r="DN467" s="2"/>
      <c r="FB467" s="3"/>
    </row>
    <row r="468">
      <c r="DK468" s="2"/>
      <c r="DL468" s="2"/>
      <c r="DM468" s="2"/>
      <c r="DN468" s="2"/>
      <c r="FB468" s="3"/>
    </row>
    <row r="469">
      <c r="DK469" s="2"/>
      <c r="DL469" s="2"/>
      <c r="DM469" s="2"/>
      <c r="DN469" s="2"/>
      <c r="FB469" s="3"/>
    </row>
    <row r="470">
      <c r="DK470" s="2"/>
      <c r="DL470" s="2"/>
      <c r="DM470" s="2"/>
      <c r="DN470" s="2"/>
      <c r="FB470" s="3"/>
    </row>
    <row r="471">
      <c r="DK471" s="2"/>
      <c r="DL471" s="2"/>
      <c r="DM471" s="2"/>
      <c r="DN471" s="2"/>
      <c r="FB471" s="3"/>
    </row>
    <row r="472">
      <c r="DK472" s="2"/>
      <c r="DL472" s="2"/>
      <c r="DM472" s="2"/>
      <c r="DN472" s="2"/>
      <c r="FB472" s="3"/>
    </row>
    <row r="473">
      <c r="DK473" s="2"/>
      <c r="DL473" s="2"/>
      <c r="DM473" s="2"/>
      <c r="DN473" s="2"/>
      <c r="FB473" s="3"/>
    </row>
    <row r="474">
      <c r="DK474" s="2"/>
      <c r="DL474" s="2"/>
      <c r="DM474" s="2"/>
      <c r="DN474" s="2"/>
      <c r="FB474" s="3"/>
    </row>
    <row r="475">
      <c r="DK475" s="2"/>
      <c r="DL475" s="2"/>
      <c r="DM475" s="2"/>
      <c r="DN475" s="2"/>
      <c r="FB475" s="3"/>
    </row>
    <row r="476">
      <c r="DK476" s="2"/>
      <c r="DL476" s="2"/>
      <c r="DM476" s="2"/>
      <c r="DN476" s="2"/>
      <c r="FB476" s="3"/>
    </row>
    <row r="477">
      <c r="DK477" s="2"/>
      <c r="DL477" s="2"/>
      <c r="DM477" s="2"/>
      <c r="DN477" s="2"/>
      <c r="FB477" s="3"/>
    </row>
    <row r="478">
      <c r="DK478" s="2"/>
      <c r="DL478" s="2"/>
      <c r="DM478" s="2"/>
      <c r="DN478" s="2"/>
      <c r="FB478" s="3"/>
    </row>
    <row r="479">
      <c r="DK479" s="2"/>
      <c r="DL479" s="2"/>
      <c r="DM479" s="2"/>
      <c r="DN479" s="2"/>
      <c r="FB479" s="3"/>
    </row>
    <row r="480">
      <c r="DK480" s="2"/>
      <c r="DL480" s="2"/>
      <c r="DM480" s="2"/>
      <c r="DN480" s="2"/>
      <c r="FB480" s="3"/>
    </row>
    <row r="481">
      <c r="DK481" s="2"/>
      <c r="DL481" s="2"/>
      <c r="DM481" s="2"/>
      <c r="DN481" s="2"/>
      <c r="FB481" s="3"/>
    </row>
    <row r="482">
      <c r="DK482" s="2"/>
      <c r="DL482" s="2"/>
      <c r="DM482" s="2"/>
      <c r="DN482" s="2"/>
      <c r="FB482" s="3"/>
    </row>
    <row r="483">
      <c r="DK483" s="2"/>
      <c r="DL483" s="2"/>
      <c r="DM483" s="2"/>
      <c r="DN483" s="2"/>
      <c r="FB483" s="3"/>
    </row>
    <row r="484">
      <c r="DK484" s="2"/>
      <c r="DL484" s="2"/>
      <c r="DM484" s="2"/>
      <c r="DN484" s="2"/>
      <c r="FB484" s="3"/>
    </row>
    <row r="485">
      <c r="DK485" s="2"/>
      <c r="DL485" s="2"/>
      <c r="DM485" s="2"/>
      <c r="DN485" s="2"/>
      <c r="FB485" s="3"/>
    </row>
    <row r="486">
      <c r="DK486" s="2"/>
      <c r="DL486" s="2"/>
      <c r="DM486" s="2"/>
      <c r="DN486" s="2"/>
      <c r="FB486" s="3"/>
    </row>
    <row r="487">
      <c r="DK487" s="2"/>
      <c r="DL487" s="2"/>
      <c r="DM487" s="2"/>
      <c r="DN487" s="2"/>
      <c r="FB487" s="3"/>
    </row>
    <row r="488">
      <c r="DK488" s="2"/>
      <c r="DL488" s="2"/>
      <c r="DM488" s="2"/>
      <c r="DN488" s="2"/>
      <c r="FB488" s="3"/>
    </row>
    <row r="489">
      <c r="DK489" s="2"/>
      <c r="DL489" s="2"/>
      <c r="DM489" s="2"/>
      <c r="DN489" s="2"/>
      <c r="FB489" s="3"/>
    </row>
    <row r="490">
      <c r="DK490" s="2"/>
      <c r="DL490" s="2"/>
      <c r="DM490" s="2"/>
      <c r="DN490" s="2"/>
      <c r="FB490" s="3"/>
    </row>
    <row r="491">
      <c r="DK491" s="2"/>
      <c r="DL491" s="2"/>
      <c r="DM491" s="2"/>
      <c r="DN491" s="2"/>
      <c r="FB491" s="3"/>
    </row>
    <row r="492">
      <c r="DK492" s="2"/>
      <c r="DL492" s="2"/>
      <c r="DM492" s="2"/>
      <c r="DN492" s="2"/>
      <c r="FB492" s="3"/>
    </row>
    <row r="493">
      <c r="DK493" s="2"/>
      <c r="DL493" s="2"/>
      <c r="DM493" s="2"/>
      <c r="DN493" s="2"/>
      <c r="FB493" s="3"/>
    </row>
    <row r="494">
      <c r="DK494" s="2"/>
      <c r="DL494" s="2"/>
      <c r="DM494" s="2"/>
      <c r="DN494" s="2"/>
      <c r="FB494" s="3"/>
    </row>
    <row r="495">
      <c r="DK495" s="2"/>
      <c r="DL495" s="2"/>
      <c r="DM495" s="2"/>
      <c r="DN495" s="2"/>
      <c r="FB495" s="3"/>
    </row>
    <row r="496">
      <c r="DK496" s="2"/>
      <c r="DL496" s="2"/>
      <c r="DM496" s="2"/>
      <c r="DN496" s="2"/>
      <c r="FB496" s="3"/>
    </row>
    <row r="497">
      <c r="DK497" s="2"/>
      <c r="DL497" s="2"/>
      <c r="DM497" s="2"/>
      <c r="DN497" s="2"/>
      <c r="FB497" s="3"/>
    </row>
    <row r="498">
      <c r="DK498" s="2"/>
      <c r="DL498" s="2"/>
      <c r="DM498" s="2"/>
      <c r="DN498" s="2"/>
      <c r="FB498" s="3"/>
    </row>
    <row r="499">
      <c r="DK499" s="2"/>
      <c r="DL499" s="2"/>
      <c r="DM499" s="2"/>
      <c r="DN499" s="2"/>
      <c r="FB499" s="3"/>
    </row>
    <row r="500">
      <c r="DK500" s="2"/>
      <c r="DL500" s="2"/>
      <c r="DM500" s="2"/>
      <c r="DN500" s="2"/>
      <c r="FB500" s="3"/>
    </row>
    <row r="501">
      <c r="DK501" s="2"/>
      <c r="DL501" s="2"/>
      <c r="DM501" s="2"/>
      <c r="DN501" s="2"/>
      <c r="FB501" s="3"/>
    </row>
    <row r="502">
      <c r="DK502" s="2"/>
      <c r="DL502" s="2"/>
      <c r="DM502" s="2"/>
      <c r="DN502" s="2"/>
      <c r="FB502" s="3"/>
    </row>
    <row r="503">
      <c r="DK503" s="2"/>
      <c r="DL503" s="2"/>
      <c r="DM503" s="2"/>
      <c r="DN503" s="2"/>
      <c r="FB503" s="3"/>
    </row>
    <row r="504">
      <c r="DK504" s="2"/>
      <c r="DL504" s="2"/>
      <c r="DM504" s="2"/>
      <c r="DN504" s="2"/>
      <c r="FB504" s="3"/>
    </row>
    <row r="505">
      <c r="DK505" s="2"/>
      <c r="DL505" s="2"/>
      <c r="DM505" s="2"/>
      <c r="DN505" s="2"/>
      <c r="FB505" s="3"/>
    </row>
    <row r="506">
      <c r="DK506" s="2"/>
      <c r="DL506" s="2"/>
      <c r="DM506" s="2"/>
      <c r="DN506" s="2"/>
      <c r="FB506" s="3"/>
    </row>
    <row r="507">
      <c r="DK507" s="2"/>
      <c r="DL507" s="2"/>
      <c r="DM507" s="2"/>
      <c r="DN507" s="2"/>
      <c r="FB507" s="3"/>
    </row>
    <row r="508">
      <c r="DK508" s="2"/>
      <c r="DL508" s="2"/>
      <c r="DM508" s="2"/>
      <c r="DN508" s="2"/>
      <c r="FB508" s="3"/>
    </row>
    <row r="509">
      <c r="DK509" s="2"/>
      <c r="DL509" s="2"/>
      <c r="DM509" s="2"/>
      <c r="DN509" s="2"/>
      <c r="FB509" s="3"/>
    </row>
    <row r="510">
      <c r="DK510" s="2"/>
      <c r="DL510" s="2"/>
      <c r="DM510" s="2"/>
      <c r="DN510" s="2"/>
      <c r="FB510" s="3"/>
    </row>
    <row r="511">
      <c r="DK511" s="2"/>
      <c r="DL511" s="2"/>
      <c r="DM511" s="2"/>
      <c r="DN511" s="2"/>
      <c r="FB511" s="3"/>
    </row>
    <row r="512">
      <c r="DK512" s="2"/>
      <c r="DL512" s="2"/>
      <c r="DM512" s="2"/>
      <c r="DN512" s="2"/>
      <c r="FB512" s="3"/>
    </row>
    <row r="513">
      <c r="DK513" s="2"/>
      <c r="DL513" s="2"/>
      <c r="DM513" s="2"/>
      <c r="DN513" s="2"/>
      <c r="FB513" s="3"/>
    </row>
    <row r="514">
      <c r="DK514" s="2"/>
      <c r="DL514" s="2"/>
      <c r="DM514" s="2"/>
      <c r="DN514" s="2"/>
      <c r="FB514" s="3"/>
    </row>
    <row r="515">
      <c r="DK515" s="2"/>
      <c r="DL515" s="2"/>
      <c r="DM515" s="2"/>
      <c r="DN515" s="2"/>
      <c r="FB515" s="3"/>
    </row>
    <row r="516">
      <c r="DK516" s="2"/>
      <c r="DL516" s="2"/>
      <c r="DM516" s="2"/>
      <c r="DN516" s="2"/>
      <c r="FB516" s="3"/>
    </row>
    <row r="517">
      <c r="DK517" s="2"/>
      <c r="DL517" s="2"/>
      <c r="DM517" s="2"/>
      <c r="DN517" s="2"/>
      <c r="FB517" s="3"/>
    </row>
    <row r="518">
      <c r="DK518" s="2"/>
      <c r="DL518" s="2"/>
      <c r="DM518" s="2"/>
      <c r="DN518" s="2"/>
      <c r="FB518" s="3"/>
    </row>
    <row r="519">
      <c r="DK519" s="2"/>
      <c r="DL519" s="2"/>
      <c r="DM519" s="2"/>
      <c r="DN519" s="2"/>
      <c r="FB519" s="3"/>
    </row>
    <row r="520">
      <c r="DK520" s="2"/>
      <c r="DL520" s="2"/>
      <c r="DM520" s="2"/>
      <c r="DN520" s="2"/>
      <c r="FB520" s="3"/>
    </row>
    <row r="521">
      <c r="DK521" s="2"/>
      <c r="DL521" s="2"/>
      <c r="DM521" s="2"/>
      <c r="DN521" s="2"/>
      <c r="FB521" s="3"/>
    </row>
    <row r="522">
      <c r="DK522" s="2"/>
      <c r="DL522" s="2"/>
      <c r="DM522" s="2"/>
      <c r="DN522" s="2"/>
      <c r="FB522" s="3"/>
    </row>
    <row r="523">
      <c r="DK523" s="2"/>
      <c r="DL523" s="2"/>
      <c r="DM523" s="2"/>
      <c r="DN523" s="2"/>
      <c r="FB523" s="3"/>
    </row>
    <row r="524">
      <c r="DK524" s="2"/>
      <c r="DL524" s="2"/>
      <c r="DM524" s="2"/>
      <c r="DN524" s="2"/>
      <c r="FB524" s="3"/>
    </row>
    <row r="525">
      <c r="DK525" s="2"/>
      <c r="DL525" s="2"/>
      <c r="DM525" s="2"/>
      <c r="DN525" s="2"/>
      <c r="FB525" s="3"/>
    </row>
    <row r="526">
      <c r="DK526" s="2"/>
      <c r="DL526" s="2"/>
      <c r="DM526" s="2"/>
      <c r="DN526" s="2"/>
      <c r="FB526" s="3"/>
    </row>
    <row r="527">
      <c r="DK527" s="2"/>
      <c r="DL527" s="2"/>
      <c r="DM527" s="2"/>
      <c r="DN527" s="2"/>
      <c r="FB527" s="3"/>
    </row>
    <row r="528">
      <c r="DK528" s="2"/>
      <c r="DL528" s="2"/>
      <c r="DM528" s="2"/>
      <c r="DN528" s="2"/>
      <c r="FB528" s="3"/>
    </row>
    <row r="529">
      <c r="DK529" s="2"/>
      <c r="DL529" s="2"/>
      <c r="DM529" s="2"/>
      <c r="DN529" s="2"/>
      <c r="FB529" s="3"/>
    </row>
    <row r="530">
      <c r="DK530" s="2"/>
      <c r="DL530" s="2"/>
      <c r="DM530" s="2"/>
      <c r="DN530" s="2"/>
      <c r="FB530" s="3"/>
    </row>
    <row r="531">
      <c r="DK531" s="2"/>
      <c r="DL531" s="2"/>
      <c r="DM531" s="2"/>
      <c r="DN531" s="2"/>
      <c r="FB531" s="3"/>
    </row>
    <row r="532">
      <c r="DK532" s="2"/>
      <c r="DL532" s="2"/>
      <c r="DM532" s="2"/>
      <c r="DN532" s="2"/>
      <c r="FB532" s="3"/>
    </row>
    <row r="533">
      <c r="DK533" s="2"/>
      <c r="DL533" s="2"/>
      <c r="DM533" s="2"/>
      <c r="DN533" s="2"/>
      <c r="FB533" s="3"/>
    </row>
    <row r="534">
      <c r="DK534" s="2"/>
      <c r="DL534" s="2"/>
      <c r="DM534" s="2"/>
      <c r="DN534" s="2"/>
      <c r="FB534" s="3"/>
    </row>
    <row r="535">
      <c r="DK535" s="2"/>
      <c r="DL535" s="2"/>
      <c r="DM535" s="2"/>
      <c r="DN535" s="2"/>
      <c r="FB535" s="3"/>
    </row>
    <row r="536">
      <c r="DK536" s="2"/>
      <c r="DL536" s="2"/>
      <c r="DM536" s="2"/>
      <c r="DN536" s="2"/>
      <c r="FB536" s="3"/>
    </row>
    <row r="537">
      <c r="DK537" s="2"/>
      <c r="DL537" s="2"/>
      <c r="DM537" s="2"/>
      <c r="DN537" s="2"/>
      <c r="FB537" s="3"/>
    </row>
    <row r="538">
      <c r="DK538" s="2"/>
      <c r="DL538" s="2"/>
      <c r="DM538" s="2"/>
      <c r="DN538" s="2"/>
      <c r="FB538" s="3"/>
    </row>
    <row r="539">
      <c r="DK539" s="2"/>
      <c r="DL539" s="2"/>
      <c r="DM539" s="2"/>
      <c r="DN539" s="2"/>
      <c r="FB539" s="3"/>
    </row>
    <row r="540">
      <c r="DK540" s="2"/>
      <c r="DL540" s="2"/>
      <c r="DM540" s="2"/>
      <c r="DN540" s="2"/>
      <c r="FB540" s="3"/>
    </row>
    <row r="541">
      <c r="DK541" s="2"/>
      <c r="DL541" s="2"/>
      <c r="DM541" s="2"/>
      <c r="DN541" s="2"/>
      <c r="FB541" s="3"/>
    </row>
    <row r="542">
      <c r="DK542" s="2"/>
      <c r="DL542" s="2"/>
      <c r="DM542" s="2"/>
      <c r="DN542" s="2"/>
      <c r="FB542" s="3"/>
    </row>
    <row r="543">
      <c r="DK543" s="2"/>
      <c r="DL543" s="2"/>
      <c r="DM543" s="2"/>
      <c r="DN543" s="2"/>
      <c r="FB543" s="3"/>
    </row>
    <row r="544">
      <c r="DK544" s="2"/>
      <c r="DL544" s="2"/>
      <c r="DM544" s="2"/>
      <c r="DN544" s="2"/>
      <c r="FB544" s="3"/>
    </row>
    <row r="545">
      <c r="DK545" s="2"/>
      <c r="DL545" s="2"/>
      <c r="DM545" s="2"/>
      <c r="DN545" s="2"/>
      <c r="FB545" s="3"/>
    </row>
    <row r="546">
      <c r="DK546" s="2"/>
      <c r="DL546" s="2"/>
      <c r="DM546" s="2"/>
      <c r="DN546" s="2"/>
      <c r="FB546" s="3"/>
    </row>
    <row r="547">
      <c r="DK547" s="2"/>
      <c r="DL547" s="2"/>
      <c r="DM547" s="2"/>
      <c r="DN547" s="2"/>
      <c r="FB547" s="3"/>
    </row>
    <row r="548">
      <c r="DK548" s="2"/>
      <c r="DL548" s="2"/>
      <c r="DM548" s="2"/>
      <c r="DN548" s="2"/>
      <c r="FB548" s="3"/>
    </row>
    <row r="549">
      <c r="DK549" s="2"/>
      <c r="DL549" s="2"/>
      <c r="DM549" s="2"/>
      <c r="DN549" s="2"/>
      <c r="FB549" s="3"/>
    </row>
    <row r="550">
      <c r="DK550" s="2"/>
      <c r="DL550" s="2"/>
      <c r="DM550" s="2"/>
      <c r="DN550" s="2"/>
      <c r="FB550" s="3"/>
    </row>
    <row r="551">
      <c r="DK551" s="2"/>
      <c r="DL551" s="2"/>
      <c r="DM551" s="2"/>
      <c r="DN551" s="2"/>
      <c r="FB551" s="3"/>
    </row>
    <row r="552">
      <c r="DK552" s="2"/>
      <c r="DL552" s="2"/>
      <c r="DM552" s="2"/>
      <c r="DN552" s="2"/>
      <c r="FB552" s="3"/>
    </row>
    <row r="553">
      <c r="DK553" s="2"/>
      <c r="DL553" s="2"/>
      <c r="DM553" s="2"/>
      <c r="DN553" s="2"/>
      <c r="FB553" s="3"/>
    </row>
    <row r="554">
      <c r="DK554" s="2"/>
      <c r="DL554" s="2"/>
      <c r="DM554" s="2"/>
      <c r="DN554" s="2"/>
      <c r="FB554" s="3"/>
    </row>
    <row r="555">
      <c r="DK555" s="2"/>
      <c r="DL555" s="2"/>
      <c r="DM555" s="2"/>
      <c r="DN555" s="2"/>
      <c r="FB555" s="3"/>
    </row>
    <row r="556">
      <c r="DK556" s="2"/>
      <c r="DL556" s="2"/>
      <c r="DM556" s="2"/>
      <c r="DN556" s="2"/>
      <c r="FB556" s="3"/>
    </row>
    <row r="557">
      <c r="DK557" s="2"/>
      <c r="DL557" s="2"/>
      <c r="DM557" s="2"/>
      <c r="DN557" s="2"/>
      <c r="FB557" s="3"/>
    </row>
    <row r="558">
      <c r="DK558" s="2"/>
      <c r="DL558" s="2"/>
      <c r="DM558" s="2"/>
      <c r="DN558" s="2"/>
      <c r="FB558" s="3"/>
    </row>
    <row r="559">
      <c r="DK559" s="2"/>
      <c r="DL559" s="2"/>
      <c r="DM559" s="2"/>
      <c r="DN559" s="2"/>
      <c r="FB559" s="3"/>
    </row>
    <row r="560">
      <c r="DK560" s="2"/>
      <c r="DL560" s="2"/>
      <c r="DM560" s="2"/>
      <c r="DN560" s="2"/>
      <c r="FB560" s="3"/>
    </row>
    <row r="561">
      <c r="DK561" s="2"/>
      <c r="DL561" s="2"/>
      <c r="DM561" s="2"/>
      <c r="DN561" s="2"/>
      <c r="FB561" s="3"/>
    </row>
    <row r="562">
      <c r="DK562" s="2"/>
      <c r="DL562" s="2"/>
      <c r="DM562" s="2"/>
      <c r="DN562" s="2"/>
      <c r="FB562" s="3"/>
    </row>
    <row r="563">
      <c r="DK563" s="2"/>
      <c r="DL563" s="2"/>
      <c r="DM563" s="2"/>
      <c r="DN563" s="2"/>
      <c r="FB563" s="3"/>
    </row>
    <row r="564">
      <c r="DK564" s="2"/>
      <c r="DL564" s="2"/>
      <c r="DM564" s="2"/>
      <c r="DN564" s="2"/>
      <c r="FB564" s="3"/>
    </row>
    <row r="565">
      <c r="DK565" s="2"/>
      <c r="DL565" s="2"/>
      <c r="DM565" s="2"/>
      <c r="DN565" s="2"/>
      <c r="FB565" s="3"/>
    </row>
    <row r="566">
      <c r="DK566" s="2"/>
      <c r="DL566" s="2"/>
      <c r="DM566" s="2"/>
      <c r="DN566" s="2"/>
      <c r="FB566" s="3"/>
    </row>
    <row r="567">
      <c r="DK567" s="2"/>
      <c r="DL567" s="2"/>
      <c r="DM567" s="2"/>
      <c r="DN567" s="2"/>
      <c r="FB567" s="3"/>
    </row>
    <row r="568">
      <c r="DK568" s="2"/>
      <c r="DL568" s="2"/>
      <c r="DM568" s="2"/>
      <c r="DN568" s="2"/>
      <c r="FB568" s="3"/>
    </row>
    <row r="569">
      <c r="DK569" s="2"/>
      <c r="DL569" s="2"/>
      <c r="DM569" s="2"/>
      <c r="DN569" s="2"/>
      <c r="FB569" s="3"/>
    </row>
    <row r="570">
      <c r="DK570" s="2"/>
      <c r="DL570" s="2"/>
      <c r="DM570" s="2"/>
      <c r="DN570" s="2"/>
      <c r="FB570" s="3"/>
    </row>
    <row r="571">
      <c r="DK571" s="2"/>
      <c r="DL571" s="2"/>
      <c r="DM571" s="2"/>
      <c r="DN571" s="2"/>
      <c r="FB571" s="3"/>
    </row>
    <row r="572">
      <c r="DK572" s="2"/>
      <c r="DL572" s="2"/>
      <c r="DM572" s="2"/>
      <c r="DN572" s="2"/>
      <c r="FB572" s="3"/>
    </row>
    <row r="573">
      <c r="DK573" s="2"/>
      <c r="DL573" s="2"/>
      <c r="DM573" s="2"/>
      <c r="DN573" s="2"/>
      <c r="FB573" s="3"/>
    </row>
    <row r="574">
      <c r="DK574" s="2"/>
      <c r="DL574" s="2"/>
      <c r="DM574" s="2"/>
      <c r="DN574" s="2"/>
      <c r="FB574" s="3"/>
    </row>
    <row r="575">
      <c r="DK575" s="2"/>
      <c r="DL575" s="2"/>
      <c r="DM575" s="2"/>
      <c r="DN575" s="2"/>
      <c r="FB575" s="3"/>
    </row>
    <row r="576">
      <c r="DK576" s="2"/>
      <c r="DL576" s="2"/>
      <c r="DM576" s="2"/>
      <c r="DN576" s="2"/>
      <c r="FB576" s="3"/>
    </row>
    <row r="577">
      <c r="DK577" s="2"/>
      <c r="DL577" s="2"/>
      <c r="DM577" s="2"/>
      <c r="DN577" s="2"/>
      <c r="FB577" s="3"/>
    </row>
    <row r="578">
      <c r="DK578" s="2"/>
      <c r="DL578" s="2"/>
      <c r="DM578" s="2"/>
      <c r="DN578" s="2"/>
      <c r="FB578" s="3"/>
    </row>
    <row r="579">
      <c r="DK579" s="2"/>
      <c r="DL579" s="2"/>
      <c r="DM579" s="2"/>
      <c r="DN579" s="2"/>
      <c r="FB579" s="3"/>
    </row>
    <row r="580">
      <c r="DK580" s="2"/>
      <c r="DL580" s="2"/>
      <c r="DM580" s="2"/>
      <c r="DN580" s="2"/>
      <c r="FB580" s="3"/>
    </row>
    <row r="581">
      <c r="DK581" s="2"/>
      <c r="DL581" s="2"/>
      <c r="DM581" s="2"/>
      <c r="DN581" s="2"/>
      <c r="FB581" s="3"/>
    </row>
    <row r="582">
      <c r="DK582" s="2"/>
      <c r="DL582" s="2"/>
      <c r="DM582" s="2"/>
      <c r="DN582" s="2"/>
      <c r="FB582" s="3"/>
    </row>
    <row r="583">
      <c r="DK583" s="2"/>
      <c r="DL583" s="2"/>
      <c r="DM583" s="2"/>
      <c r="DN583" s="2"/>
      <c r="FB583" s="3"/>
    </row>
    <row r="584">
      <c r="DK584" s="2"/>
      <c r="DL584" s="2"/>
      <c r="DM584" s="2"/>
      <c r="DN584" s="2"/>
      <c r="FB584" s="3"/>
    </row>
    <row r="585">
      <c r="DK585" s="2"/>
      <c r="DL585" s="2"/>
      <c r="DM585" s="2"/>
      <c r="DN585" s="2"/>
      <c r="FB585" s="3"/>
    </row>
    <row r="586">
      <c r="DK586" s="2"/>
      <c r="DL586" s="2"/>
      <c r="DM586" s="2"/>
      <c r="DN586" s="2"/>
      <c r="FB586" s="3"/>
    </row>
    <row r="587">
      <c r="DK587" s="2"/>
      <c r="DL587" s="2"/>
      <c r="DM587" s="2"/>
      <c r="DN587" s="2"/>
      <c r="FB587" s="3"/>
    </row>
    <row r="588">
      <c r="DK588" s="2"/>
      <c r="DL588" s="2"/>
      <c r="DM588" s="2"/>
      <c r="DN588" s="2"/>
      <c r="FB588" s="3"/>
    </row>
    <row r="589">
      <c r="DK589" s="2"/>
      <c r="DL589" s="2"/>
      <c r="DM589" s="2"/>
      <c r="DN589" s="2"/>
      <c r="FB589" s="3"/>
    </row>
    <row r="590">
      <c r="DK590" s="2"/>
      <c r="DL590" s="2"/>
      <c r="DM590" s="2"/>
      <c r="DN590" s="2"/>
      <c r="FB590" s="3"/>
    </row>
    <row r="591">
      <c r="DK591" s="2"/>
      <c r="DL591" s="2"/>
      <c r="DM591" s="2"/>
      <c r="DN591" s="2"/>
      <c r="FB591" s="3"/>
    </row>
    <row r="592">
      <c r="DK592" s="2"/>
      <c r="DL592" s="2"/>
      <c r="DM592" s="2"/>
      <c r="DN592" s="2"/>
      <c r="FB592" s="3"/>
    </row>
    <row r="593">
      <c r="DK593" s="2"/>
      <c r="DL593" s="2"/>
      <c r="DM593" s="2"/>
      <c r="DN593" s="2"/>
      <c r="FB593" s="3"/>
    </row>
    <row r="594">
      <c r="DK594" s="2"/>
      <c r="DL594" s="2"/>
      <c r="DM594" s="2"/>
      <c r="DN594" s="2"/>
      <c r="FB594" s="3"/>
    </row>
    <row r="595">
      <c r="DK595" s="2"/>
      <c r="DL595" s="2"/>
      <c r="DM595" s="2"/>
      <c r="DN595" s="2"/>
      <c r="FB595" s="3"/>
    </row>
    <row r="596">
      <c r="DK596" s="2"/>
      <c r="DL596" s="2"/>
      <c r="DM596" s="2"/>
      <c r="DN596" s="2"/>
      <c r="FB596" s="3"/>
    </row>
    <row r="597">
      <c r="DK597" s="2"/>
      <c r="DL597" s="2"/>
      <c r="DM597" s="2"/>
      <c r="DN597" s="2"/>
      <c r="FB597" s="3"/>
    </row>
    <row r="598">
      <c r="DK598" s="2"/>
      <c r="DL598" s="2"/>
      <c r="DM598" s="2"/>
      <c r="DN598" s="2"/>
      <c r="FB598" s="3"/>
    </row>
    <row r="599">
      <c r="DK599" s="2"/>
      <c r="DL599" s="2"/>
      <c r="DM599" s="2"/>
      <c r="DN599" s="2"/>
      <c r="FB599" s="3"/>
    </row>
    <row r="600">
      <c r="DK600" s="2"/>
      <c r="DL600" s="2"/>
      <c r="DM600" s="2"/>
      <c r="DN600" s="2"/>
      <c r="FB600" s="3"/>
    </row>
    <row r="601">
      <c r="DK601" s="2"/>
      <c r="DL601" s="2"/>
      <c r="DM601" s="2"/>
      <c r="DN601" s="2"/>
      <c r="FB601" s="3"/>
    </row>
    <row r="602">
      <c r="DK602" s="2"/>
      <c r="DL602" s="2"/>
      <c r="DM602" s="2"/>
      <c r="DN602" s="2"/>
      <c r="FB602" s="3"/>
    </row>
    <row r="603">
      <c r="DK603" s="2"/>
      <c r="DL603" s="2"/>
      <c r="DM603" s="2"/>
      <c r="DN603" s="2"/>
      <c r="FB603" s="3"/>
    </row>
    <row r="604">
      <c r="DK604" s="2"/>
      <c r="DL604" s="2"/>
      <c r="DM604" s="2"/>
      <c r="DN604" s="2"/>
      <c r="FB604" s="3"/>
    </row>
    <row r="605">
      <c r="DK605" s="2"/>
      <c r="DL605" s="2"/>
      <c r="DM605" s="2"/>
      <c r="DN605" s="2"/>
      <c r="FB605" s="3"/>
    </row>
    <row r="606">
      <c r="DK606" s="2"/>
      <c r="DL606" s="2"/>
      <c r="DM606" s="2"/>
      <c r="DN606" s="2"/>
      <c r="FB606" s="3"/>
    </row>
    <row r="607">
      <c r="DK607" s="2"/>
      <c r="DL607" s="2"/>
      <c r="DM607" s="2"/>
      <c r="DN607" s="2"/>
      <c r="FB607" s="3"/>
    </row>
    <row r="608">
      <c r="DK608" s="2"/>
      <c r="DL608" s="2"/>
      <c r="DM608" s="2"/>
      <c r="DN608" s="2"/>
      <c r="FB608" s="3"/>
    </row>
    <row r="609">
      <c r="DK609" s="2"/>
      <c r="DL609" s="2"/>
      <c r="DM609" s="2"/>
      <c r="DN609" s="2"/>
      <c r="FB609" s="3"/>
    </row>
    <row r="610">
      <c r="DK610" s="2"/>
      <c r="DL610" s="2"/>
      <c r="DM610" s="2"/>
      <c r="DN610" s="2"/>
      <c r="FB610" s="3"/>
    </row>
    <row r="611">
      <c r="DK611" s="2"/>
      <c r="DL611" s="2"/>
      <c r="DM611" s="2"/>
      <c r="DN611" s="2"/>
      <c r="FB611" s="3"/>
    </row>
    <row r="612">
      <c r="DK612" s="2"/>
      <c r="DL612" s="2"/>
      <c r="DM612" s="2"/>
      <c r="DN612" s="2"/>
      <c r="FB612" s="3"/>
    </row>
    <row r="613">
      <c r="DK613" s="2"/>
      <c r="DL613" s="2"/>
      <c r="DM613" s="2"/>
      <c r="DN613" s="2"/>
      <c r="FB613" s="3"/>
    </row>
    <row r="614">
      <c r="DK614" s="2"/>
      <c r="DL614" s="2"/>
      <c r="DM614" s="2"/>
      <c r="DN614" s="2"/>
      <c r="FB614" s="3"/>
    </row>
    <row r="615">
      <c r="DK615" s="2"/>
      <c r="DL615" s="2"/>
      <c r="DM615" s="2"/>
      <c r="DN615" s="2"/>
      <c r="FB615" s="3"/>
    </row>
    <row r="616">
      <c r="DK616" s="2"/>
      <c r="DL616" s="2"/>
      <c r="DM616" s="2"/>
      <c r="DN616" s="2"/>
      <c r="FB616" s="3"/>
    </row>
    <row r="617">
      <c r="DK617" s="2"/>
      <c r="DL617" s="2"/>
      <c r="DM617" s="2"/>
      <c r="DN617" s="2"/>
      <c r="FB617" s="3"/>
    </row>
    <row r="618">
      <c r="DK618" s="2"/>
      <c r="DL618" s="2"/>
      <c r="DM618" s="2"/>
      <c r="DN618" s="2"/>
      <c r="FB618" s="3"/>
    </row>
    <row r="619">
      <c r="DK619" s="2"/>
      <c r="DL619" s="2"/>
      <c r="DM619" s="2"/>
      <c r="DN619" s="2"/>
      <c r="FB619" s="3"/>
    </row>
    <row r="620">
      <c r="DK620" s="2"/>
      <c r="DL620" s="2"/>
      <c r="DM620" s="2"/>
      <c r="DN620" s="2"/>
      <c r="FB620" s="3"/>
    </row>
    <row r="621">
      <c r="DK621" s="2"/>
      <c r="DL621" s="2"/>
      <c r="DM621" s="2"/>
      <c r="DN621" s="2"/>
      <c r="FB621" s="3"/>
    </row>
    <row r="622">
      <c r="DK622" s="2"/>
      <c r="DL622" s="2"/>
      <c r="DM622" s="2"/>
      <c r="DN622" s="2"/>
      <c r="FB622" s="3"/>
    </row>
    <row r="623">
      <c r="DK623" s="2"/>
      <c r="DL623" s="2"/>
      <c r="DM623" s="2"/>
      <c r="DN623" s="2"/>
      <c r="FB623" s="3"/>
    </row>
    <row r="624">
      <c r="DK624" s="2"/>
      <c r="DL624" s="2"/>
      <c r="DM624" s="2"/>
      <c r="DN624" s="2"/>
      <c r="FB624" s="3"/>
    </row>
    <row r="625">
      <c r="DK625" s="2"/>
      <c r="DL625" s="2"/>
      <c r="DM625" s="2"/>
      <c r="DN625" s="2"/>
      <c r="FB625" s="3"/>
    </row>
    <row r="626">
      <c r="DK626" s="2"/>
      <c r="DL626" s="2"/>
      <c r="DM626" s="2"/>
      <c r="DN626" s="2"/>
      <c r="FB626" s="3"/>
    </row>
    <row r="627">
      <c r="DK627" s="2"/>
      <c r="DL627" s="2"/>
      <c r="DM627" s="2"/>
      <c r="DN627" s="2"/>
      <c r="FB627" s="3"/>
    </row>
    <row r="628">
      <c r="DK628" s="2"/>
      <c r="DL628" s="2"/>
      <c r="DM628" s="2"/>
      <c r="DN628" s="2"/>
      <c r="FB628" s="3"/>
    </row>
    <row r="629">
      <c r="DK629" s="2"/>
      <c r="DL629" s="2"/>
      <c r="DM629" s="2"/>
      <c r="DN629" s="2"/>
      <c r="FB629" s="3"/>
    </row>
    <row r="630">
      <c r="DK630" s="2"/>
      <c r="DL630" s="2"/>
      <c r="DM630" s="2"/>
      <c r="DN630" s="2"/>
      <c r="FB630" s="3"/>
    </row>
    <row r="631">
      <c r="DK631" s="2"/>
      <c r="DL631" s="2"/>
      <c r="DM631" s="2"/>
      <c r="DN631" s="2"/>
      <c r="FB631" s="3"/>
    </row>
    <row r="632">
      <c r="DK632" s="2"/>
      <c r="DL632" s="2"/>
      <c r="DM632" s="2"/>
      <c r="DN632" s="2"/>
      <c r="FB632" s="3"/>
    </row>
    <row r="633">
      <c r="DK633" s="2"/>
      <c r="DL633" s="2"/>
      <c r="DM633" s="2"/>
      <c r="DN633" s="2"/>
      <c r="FB633" s="3"/>
    </row>
    <row r="634">
      <c r="DK634" s="2"/>
      <c r="DL634" s="2"/>
      <c r="DM634" s="2"/>
      <c r="DN634" s="2"/>
      <c r="FB634" s="3"/>
    </row>
    <row r="635">
      <c r="DK635" s="2"/>
      <c r="DL635" s="2"/>
      <c r="DM635" s="2"/>
      <c r="DN635" s="2"/>
      <c r="FB635" s="3"/>
    </row>
    <row r="636">
      <c r="DK636" s="2"/>
      <c r="DL636" s="2"/>
      <c r="DM636" s="2"/>
      <c r="DN636" s="2"/>
      <c r="FB636" s="3"/>
    </row>
    <row r="637">
      <c r="DK637" s="2"/>
      <c r="DL637" s="2"/>
      <c r="DM637" s="2"/>
      <c r="DN637" s="2"/>
      <c r="FB637" s="3"/>
    </row>
    <row r="638">
      <c r="DK638" s="2"/>
      <c r="DL638" s="2"/>
      <c r="DM638" s="2"/>
      <c r="DN638" s="2"/>
      <c r="FB638" s="3"/>
    </row>
    <row r="639">
      <c r="DK639" s="2"/>
      <c r="DL639" s="2"/>
      <c r="DM639" s="2"/>
      <c r="DN639" s="2"/>
      <c r="FB639" s="3"/>
    </row>
    <row r="640">
      <c r="DK640" s="2"/>
      <c r="DL640" s="2"/>
      <c r="DM640" s="2"/>
      <c r="DN640" s="2"/>
      <c r="FB640" s="3"/>
    </row>
    <row r="641">
      <c r="DK641" s="2"/>
      <c r="DL641" s="2"/>
      <c r="DM641" s="2"/>
      <c r="DN641" s="2"/>
      <c r="FB641" s="3"/>
    </row>
    <row r="642">
      <c r="DK642" s="2"/>
      <c r="DL642" s="2"/>
      <c r="DM642" s="2"/>
      <c r="DN642" s="2"/>
      <c r="FB642" s="3"/>
    </row>
    <row r="643">
      <c r="DK643" s="2"/>
      <c r="DL643" s="2"/>
      <c r="DM643" s="2"/>
      <c r="DN643" s="2"/>
      <c r="FB643" s="3"/>
    </row>
    <row r="644">
      <c r="DK644" s="2"/>
      <c r="DL644" s="2"/>
      <c r="DM644" s="2"/>
      <c r="DN644" s="2"/>
      <c r="FB644" s="3"/>
    </row>
    <row r="645">
      <c r="DK645" s="2"/>
      <c r="DL645" s="2"/>
      <c r="DM645" s="2"/>
      <c r="DN645" s="2"/>
      <c r="FB645" s="3"/>
    </row>
    <row r="646">
      <c r="DK646" s="2"/>
      <c r="DL646" s="2"/>
      <c r="DM646" s="2"/>
      <c r="DN646" s="2"/>
      <c r="FB646" s="3"/>
    </row>
    <row r="647">
      <c r="DK647" s="2"/>
      <c r="DL647" s="2"/>
      <c r="DM647" s="2"/>
      <c r="DN647" s="2"/>
      <c r="FB647" s="3"/>
    </row>
    <row r="648">
      <c r="DK648" s="2"/>
      <c r="DL648" s="2"/>
      <c r="DM648" s="2"/>
      <c r="DN648" s="2"/>
      <c r="FB648" s="3"/>
    </row>
    <row r="649">
      <c r="DK649" s="2"/>
      <c r="DL649" s="2"/>
      <c r="DM649" s="2"/>
      <c r="DN649" s="2"/>
      <c r="FB649" s="3"/>
    </row>
    <row r="650">
      <c r="DK650" s="2"/>
      <c r="DL650" s="2"/>
      <c r="DM650" s="2"/>
      <c r="DN650" s="2"/>
      <c r="FB650" s="3"/>
    </row>
    <row r="651">
      <c r="DK651" s="2"/>
      <c r="DL651" s="2"/>
      <c r="DM651" s="2"/>
      <c r="DN651" s="2"/>
      <c r="FB651" s="3"/>
    </row>
    <row r="652">
      <c r="DK652" s="2"/>
      <c r="DL652" s="2"/>
      <c r="DM652" s="2"/>
      <c r="DN652" s="2"/>
      <c r="FB652" s="3"/>
    </row>
    <row r="653">
      <c r="DK653" s="2"/>
      <c r="DL653" s="2"/>
      <c r="DM653" s="2"/>
      <c r="DN653" s="2"/>
      <c r="FB653" s="3"/>
    </row>
    <row r="654">
      <c r="DK654" s="2"/>
      <c r="DL654" s="2"/>
      <c r="DM654" s="2"/>
      <c r="DN654" s="2"/>
      <c r="FB654" s="3"/>
    </row>
    <row r="655">
      <c r="DK655" s="2"/>
      <c r="DL655" s="2"/>
      <c r="DM655" s="2"/>
      <c r="DN655" s="2"/>
      <c r="FB655" s="3"/>
    </row>
    <row r="656">
      <c r="DK656" s="2"/>
      <c r="DL656" s="2"/>
      <c r="DM656" s="2"/>
      <c r="DN656" s="2"/>
      <c r="FB656" s="3"/>
    </row>
    <row r="657">
      <c r="DK657" s="2"/>
      <c r="DL657" s="2"/>
      <c r="DM657" s="2"/>
      <c r="DN657" s="2"/>
      <c r="FB657" s="3"/>
    </row>
    <row r="658">
      <c r="DK658" s="2"/>
      <c r="DL658" s="2"/>
      <c r="DM658" s="2"/>
      <c r="DN658" s="2"/>
      <c r="FB658" s="3"/>
    </row>
    <row r="659">
      <c r="DK659" s="2"/>
      <c r="DL659" s="2"/>
      <c r="DM659" s="2"/>
      <c r="DN659" s="2"/>
      <c r="FB659" s="3"/>
    </row>
    <row r="660">
      <c r="DK660" s="2"/>
      <c r="DL660" s="2"/>
      <c r="DM660" s="2"/>
      <c r="DN660" s="2"/>
      <c r="FB660" s="3"/>
    </row>
    <row r="661">
      <c r="DK661" s="2"/>
      <c r="DL661" s="2"/>
      <c r="DM661" s="2"/>
      <c r="DN661" s="2"/>
      <c r="FB661" s="3"/>
    </row>
    <row r="662">
      <c r="DK662" s="2"/>
      <c r="DL662" s="2"/>
      <c r="DM662" s="2"/>
      <c r="DN662" s="2"/>
      <c r="FB662" s="3"/>
    </row>
    <row r="663">
      <c r="DK663" s="2"/>
      <c r="DL663" s="2"/>
      <c r="DM663" s="2"/>
      <c r="DN663" s="2"/>
      <c r="FB663" s="3"/>
    </row>
    <row r="664">
      <c r="DK664" s="2"/>
      <c r="DL664" s="2"/>
      <c r="DM664" s="2"/>
      <c r="DN664" s="2"/>
      <c r="FB664" s="3"/>
    </row>
    <row r="665">
      <c r="DK665" s="2"/>
      <c r="DL665" s="2"/>
      <c r="DM665" s="2"/>
      <c r="DN665" s="2"/>
      <c r="FB665" s="3"/>
    </row>
    <row r="666">
      <c r="DK666" s="2"/>
      <c r="DL666" s="2"/>
      <c r="DM666" s="2"/>
      <c r="DN666" s="2"/>
      <c r="FB666" s="3"/>
    </row>
    <row r="667">
      <c r="DK667" s="2"/>
      <c r="DL667" s="2"/>
      <c r="DM667" s="2"/>
      <c r="DN667" s="2"/>
      <c r="FB667" s="3"/>
    </row>
    <row r="668">
      <c r="DK668" s="2"/>
      <c r="DL668" s="2"/>
      <c r="DM668" s="2"/>
      <c r="DN668" s="2"/>
      <c r="FB668" s="3"/>
    </row>
    <row r="669">
      <c r="DK669" s="2"/>
      <c r="DL669" s="2"/>
      <c r="DM669" s="2"/>
      <c r="DN669" s="2"/>
      <c r="FB669" s="3"/>
    </row>
    <row r="670">
      <c r="DK670" s="2"/>
      <c r="DL670" s="2"/>
      <c r="DM670" s="2"/>
      <c r="DN670" s="2"/>
      <c r="FB670" s="3"/>
    </row>
    <row r="671">
      <c r="DK671" s="2"/>
      <c r="DL671" s="2"/>
      <c r="DM671" s="2"/>
      <c r="DN671" s="2"/>
      <c r="FB671" s="3"/>
    </row>
    <row r="672">
      <c r="DK672" s="2"/>
      <c r="DL672" s="2"/>
      <c r="DM672" s="2"/>
      <c r="DN672" s="2"/>
      <c r="FB672" s="3"/>
    </row>
    <row r="673">
      <c r="DK673" s="2"/>
      <c r="DL673" s="2"/>
      <c r="DM673" s="2"/>
      <c r="DN673" s="2"/>
      <c r="FB673" s="3"/>
    </row>
    <row r="674">
      <c r="DK674" s="2"/>
      <c r="DL674" s="2"/>
      <c r="DM674" s="2"/>
      <c r="DN674" s="2"/>
      <c r="FB674" s="3"/>
    </row>
    <row r="675">
      <c r="DK675" s="2"/>
      <c r="DL675" s="2"/>
      <c r="DM675" s="2"/>
      <c r="DN675" s="2"/>
      <c r="FB675" s="3"/>
    </row>
    <row r="676">
      <c r="DK676" s="2"/>
      <c r="DL676" s="2"/>
      <c r="DM676" s="2"/>
      <c r="DN676" s="2"/>
      <c r="FB676" s="3"/>
    </row>
    <row r="677">
      <c r="DK677" s="2"/>
      <c r="DL677" s="2"/>
      <c r="DM677" s="2"/>
      <c r="DN677" s="2"/>
      <c r="FB677" s="3"/>
    </row>
    <row r="678">
      <c r="DK678" s="2"/>
      <c r="DL678" s="2"/>
      <c r="DM678" s="2"/>
      <c r="DN678" s="2"/>
      <c r="FB678" s="3"/>
    </row>
    <row r="679">
      <c r="DK679" s="2"/>
      <c r="DL679" s="2"/>
      <c r="DM679" s="2"/>
      <c r="DN679" s="2"/>
      <c r="FB679" s="3"/>
    </row>
    <row r="680">
      <c r="DK680" s="2"/>
      <c r="DL680" s="2"/>
      <c r="DM680" s="2"/>
      <c r="DN680" s="2"/>
      <c r="FB680" s="3"/>
    </row>
    <row r="681">
      <c r="DK681" s="2"/>
      <c r="DL681" s="2"/>
      <c r="DM681" s="2"/>
      <c r="DN681" s="2"/>
      <c r="FB681" s="3"/>
    </row>
    <row r="682">
      <c r="DK682" s="2"/>
      <c r="DL682" s="2"/>
      <c r="DM682" s="2"/>
      <c r="DN682" s="2"/>
      <c r="FB682" s="3"/>
    </row>
    <row r="683">
      <c r="DK683" s="2"/>
      <c r="DL683" s="2"/>
      <c r="DM683" s="2"/>
      <c r="DN683" s="2"/>
      <c r="FB683" s="3"/>
    </row>
    <row r="684">
      <c r="DK684" s="2"/>
      <c r="DL684" s="2"/>
      <c r="DM684" s="2"/>
      <c r="DN684" s="2"/>
      <c r="FB684" s="3"/>
    </row>
    <row r="685">
      <c r="DK685" s="2"/>
      <c r="DL685" s="2"/>
      <c r="DM685" s="2"/>
      <c r="DN685" s="2"/>
      <c r="FB685" s="3"/>
    </row>
    <row r="686">
      <c r="DK686" s="2"/>
      <c r="DL686" s="2"/>
      <c r="DM686" s="2"/>
      <c r="DN686" s="2"/>
      <c r="FB686" s="3"/>
    </row>
    <row r="687">
      <c r="DK687" s="2"/>
      <c r="DL687" s="2"/>
      <c r="DM687" s="2"/>
      <c r="DN687" s="2"/>
      <c r="FB687" s="3"/>
    </row>
    <row r="688">
      <c r="DK688" s="2"/>
      <c r="DL688" s="2"/>
      <c r="DM688" s="2"/>
      <c r="DN688" s="2"/>
      <c r="FB688" s="3"/>
    </row>
    <row r="689">
      <c r="DK689" s="2"/>
      <c r="DL689" s="2"/>
      <c r="DM689" s="2"/>
      <c r="DN689" s="2"/>
      <c r="FB689" s="3"/>
    </row>
    <row r="690">
      <c r="DK690" s="2"/>
      <c r="DL690" s="2"/>
      <c r="DM690" s="2"/>
      <c r="DN690" s="2"/>
      <c r="FB690" s="3"/>
    </row>
    <row r="691">
      <c r="DK691" s="2"/>
      <c r="DL691" s="2"/>
      <c r="DM691" s="2"/>
      <c r="DN691" s="2"/>
      <c r="FB691" s="3"/>
    </row>
    <row r="692">
      <c r="DK692" s="2"/>
      <c r="DL692" s="2"/>
      <c r="DM692" s="2"/>
      <c r="DN692" s="2"/>
      <c r="FB692" s="3"/>
    </row>
    <row r="693">
      <c r="DK693" s="2"/>
      <c r="DL693" s="2"/>
      <c r="DM693" s="2"/>
      <c r="DN693" s="2"/>
      <c r="FB693" s="3"/>
    </row>
    <row r="694">
      <c r="DK694" s="2"/>
      <c r="DL694" s="2"/>
      <c r="DM694" s="2"/>
      <c r="DN694" s="2"/>
      <c r="FB694" s="3"/>
    </row>
    <row r="695">
      <c r="DK695" s="2"/>
      <c r="DL695" s="2"/>
      <c r="DM695" s="2"/>
      <c r="DN695" s="2"/>
      <c r="FB695" s="3"/>
    </row>
    <row r="696">
      <c r="DK696" s="2"/>
      <c r="DL696" s="2"/>
      <c r="DM696" s="2"/>
      <c r="DN696" s="2"/>
      <c r="FB696" s="3"/>
    </row>
    <row r="697">
      <c r="DK697" s="2"/>
      <c r="DL697" s="2"/>
      <c r="DM697" s="2"/>
      <c r="DN697" s="2"/>
      <c r="FB697" s="3"/>
    </row>
    <row r="698">
      <c r="DK698" s="2"/>
      <c r="DL698" s="2"/>
      <c r="DM698" s="2"/>
      <c r="DN698" s="2"/>
      <c r="FB698" s="3"/>
    </row>
    <row r="699">
      <c r="DK699" s="2"/>
      <c r="DL699" s="2"/>
      <c r="DM699" s="2"/>
      <c r="DN699" s="2"/>
      <c r="FB699" s="3"/>
    </row>
    <row r="700">
      <c r="DK700" s="2"/>
      <c r="DL700" s="2"/>
      <c r="DM700" s="2"/>
      <c r="DN700" s="2"/>
      <c r="FB700" s="3"/>
    </row>
    <row r="701">
      <c r="DK701" s="2"/>
      <c r="DL701" s="2"/>
      <c r="DM701" s="2"/>
      <c r="DN701" s="2"/>
      <c r="FB701" s="3"/>
    </row>
    <row r="702">
      <c r="DK702" s="2"/>
      <c r="DL702" s="2"/>
      <c r="DM702" s="2"/>
      <c r="DN702" s="2"/>
      <c r="FB702" s="3"/>
    </row>
    <row r="703">
      <c r="DK703" s="2"/>
      <c r="DL703" s="2"/>
      <c r="DM703" s="2"/>
      <c r="DN703" s="2"/>
      <c r="FB703" s="3"/>
    </row>
    <row r="704">
      <c r="DK704" s="2"/>
      <c r="DL704" s="2"/>
      <c r="DM704" s="2"/>
      <c r="DN704" s="2"/>
      <c r="FB704" s="3"/>
    </row>
    <row r="705">
      <c r="DK705" s="2"/>
      <c r="DL705" s="2"/>
      <c r="DM705" s="2"/>
      <c r="DN705" s="2"/>
      <c r="FB705" s="3"/>
    </row>
    <row r="706">
      <c r="DK706" s="2"/>
      <c r="DL706" s="2"/>
      <c r="DM706" s="2"/>
      <c r="DN706" s="2"/>
      <c r="FB706" s="3"/>
    </row>
    <row r="707">
      <c r="DK707" s="2"/>
      <c r="DL707" s="2"/>
      <c r="DM707" s="2"/>
      <c r="DN707" s="2"/>
      <c r="FB707" s="3"/>
    </row>
    <row r="708">
      <c r="DK708" s="2"/>
      <c r="DL708" s="2"/>
      <c r="DM708" s="2"/>
      <c r="DN708" s="2"/>
      <c r="FB708" s="3"/>
    </row>
    <row r="709">
      <c r="DK709" s="2"/>
      <c r="DL709" s="2"/>
      <c r="DM709" s="2"/>
      <c r="DN709" s="2"/>
      <c r="FB709" s="3"/>
    </row>
    <row r="710">
      <c r="DK710" s="2"/>
      <c r="DL710" s="2"/>
      <c r="DM710" s="2"/>
      <c r="DN710" s="2"/>
      <c r="FB710" s="3"/>
    </row>
    <row r="711">
      <c r="DK711" s="2"/>
      <c r="DL711" s="2"/>
      <c r="DM711" s="2"/>
      <c r="DN711" s="2"/>
      <c r="FB711" s="3"/>
    </row>
    <row r="712">
      <c r="DK712" s="2"/>
      <c r="DL712" s="2"/>
      <c r="DM712" s="2"/>
      <c r="DN712" s="2"/>
      <c r="FB712" s="3"/>
    </row>
    <row r="713">
      <c r="DK713" s="2"/>
      <c r="DL713" s="2"/>
      <c r="DM713" s="2"/>
      <c r="DN713" s="2"/>
      <c r="FB713" s="3"/>
    </row>
    <row r="714">
      <c r="DK714" s="2"/>
      <c r="DL714" s="2"/>
      <c r="DM714" s="2"/>
      <c r="DN714" s="2"/>
      <c r="FB714" s="3"/>
    </row>
    <row r="715">
      <c r="DK715" s="2"/>
      <c r="DL715" s="2"/>
      <c r="DM715" s="2"/>
      <c r="DN715" s="2"/>
      <c r="FB715" s="3"/>
    </row>
    <row r="716">
      <c r="DK716" s="2"/>
      <c r="DL716" s="2"/>
      <c r="DM716" s="2"/>
      <c r="DN716" s="2"/>
      <c r="FB716" s="3"/>
    </row>
    <row r="717">
      <c r="DK717" s="2"/>
      <c r="DL717" s="2"/>
      <c r="DM717" s="2"/>
      <c r="DN717" s="2"/>
      <c r="FB717" s="3"/>
    </row>
    <row r="718">
      <c r="DK718" s="2"/>
      <c r="DL718" s="2"/>
      <c r="DM718" s="2"/>
      <c r="DN718" s="2"/>
      <c r="FB718" s="3"/>
    </row>
    <row r="719">
      <c r="DK719" s="2"/>
      <c r="DL719" s="2"/>
      <c r="DM719" s="2"/>
      <c r="DN719" s="2"/>
      <c r="FB719" s="3"/>
    </row>
    <row r="720">
      <c r="DK720" s="2"/>
      <c r="DL720" s="2"/>
      <c r="DM720" s="2"/>
      <c r="DN720" s="2"/>
      <c r="FB720" s="3"/>
    </row>
    <row r="721">
      <c r="DK721" s="2"/>
      <c r="DL721" s="2"/>
      <c r="DM721" s="2"/>
      <c r="DN721" s="2"/>
      <c r="FB721" s="3"/>
    </row>
    <row r="722">
      <c r="DK722" s="2"/>
      <c r="DL722" s="2"/>
      <c r="DM722" s="2"/>
      <c r="DN722" s="2"/>
      <c r="FB722" s="3"/>
    </row>
    <row r="723">
      <c r="DK723" s="2"/>
      <c r="DL723" s="2"/>
      <c r="DM723" s="2"/>
      <c r="DN723" s="2"/>
      <c r="FB723" s="3"/>
    </row>
    <row r="724">
      <c r="DK724" s="2"/>
      <c r="DL724" s="2"/>
      <c r="DM724" s="2"/>
      <c r="DN724" s="2"/>
      <c r="FB724" s="3"/>
    </row>
    <row r="725">
      <c r="DK725" s="2"/>
      <c r="DL725" s="2"/>
      <c r="DM725" s="2"/>
      <c r="DN725" s="2"/>
      <c r="FB725" s="3"/>
    </row>
    <row r="726">
      <c r="DK726" s="2"/>
      <c r="DL726" s="2"/>
      <c r="DM726" s="2"/>
      <c r="DN726" s="2"/>
      <c r="FB726" s="3"/>
    </row>
    <row r="727">
      <c r="DK727" s="2"/>
      <c r="DL727" s="2"/>
      <c r="DM727" s="2"/>
      <c r="DN727" s="2"/>
      <c r="FB727" s="3"/>
    </row>
    <row r="728">
      <c r="DK728" s="2"/>
      <c r="DL728" s="2"/>
      <c r="DM728" s="2"/>
      <c r="DN728" s="2"/>
      <c r="FB728" s="3"/>
    </row>
    <row r="729">
      <c r="DK729" s="2"/>
      <c r="DL729" s="2"/>
      <c r="DM729" s="2"/>
      <c r="DN729" s="2"/>
      <c r="FB729" s="3"/>
    </row>
    <row r="730">
      <c r="DK730" s="2"/>
      <c r="DL730" s="2"/>
      <c r="DM730" s="2"/>
      <c r="DN730" s="2"/>
      <c r="FB730" s="3"/>
    </row>
    <row r="731">
      <c r="DK731" s="2"/>
      <c r="DL731" s="2"/>
      <c r="DM731" s="2"/>
      <c r="DN731" s="2"/>
      <c r="FB731" s="3"/>
    </row>
    <row r="732">
      <c r="DK732" s="2"/>
      <c r="DL732" s="2"/>
      <c r="DM732" s="2"/>
      <c r="DN732" s="2"/>
      <c r="FB732" s="3"/>
    </row>
    <row r="733">
      <c r="DK733" s="2"/>
      <c r="DL733" s="2"/>
      <c r="DM733" s="2"/>
      <c r="DN733" s="2"/>
      <c r="FB733" s="3"/>
    </row>
    <row r="734">
      <c r="DK734" s="2"/>
      <c r="DL734" s="2"/>
      <c r="DM734" s="2"/>
      <c r="DN734" s="2"/>
      <c r="FB734" s="3"/>
    </row>
    <row r="735">
      <c r="DK735" s="2"/>
      <c r="DL735" s="2"/>
      <c r="DM735" s="2"/>
      <c r="DN735" s="2"/>
      <c r="FB735" s="3"/>
    </row>
    <row r="736">
      <c r="DK736" s="2"/>
      <c r="DL736" s="2"/>
      <c r="DM736" s="2"/>
      <c r="DN736" s="2"/>
      <c r="FB736" s="3"/>
    </row>
    <row r="737">
      <c r="DK737" s="2"/>
      <c r="DL737" s="2"/>
      <c r="DM737" s="2"/>
      <c r="DN737" s="2"/>
      <c r="FB737" s="3"/>
    </row>
    <row r="738">
      <c r="DK738" s="2"/>
      <c r="DL738" s="2"/>
      <c r="DM738" s="2"/>
      <c r="DN738" s="2"/>
      <c r="FB738" s="3"/>
    </row>
    <row r="739">
      <c r="DK739" s="2"/>
      <c r="DL739" s="2"/>
      <c r="DM739" s="2"/>
      <c r="DN739" s="2"/>
      <c r="FB739" s="3"/>
    </row>
    <row r="740">
      <c r="DK740" s="2"/>
      <c r="DL740" s="2"/>
      <c r="DM740" s="2"/>
      <c r="DN740" s="2"/>
      <c r="FB740" s="3"/>
    </row>
    <row r="741">
      <c r="DK741" s="2"/>
      <c r="DL741" s="2"/>
      <c r="DM741" s="2"/>
      <c r="DN741" s="2"/>
      <c r="FB741" s="3"/>
    </row>
    <row r="742">
      <c r="DK742" s="2"/>
      <c r="DL742" s="2"/>
      <c r="DM742" s="2"/>
      <c r="DN742" s="2"/>
      <c r="FB742" s="3"/>
    </row>
    <row r="743">
      <c r="DK743" s="2"/>
      <c r="DL743" s="2"/>
      <c r="DM743" s="2"/>
      <c r="DN743" s="2"/>
      <c r="FB743" s="3"/>
    </row>
    <row r="744">
      <c r="DK744" s="2"/>
      <c r="DL744" s="2"/>
      <c r="DM744" s="2"/>
      <c r="DN744" s="2"/>
      <c r="FB744" s="3"/>
    </row>
    <row r="745">
      <c r="DK745" s="2"/>
      <c r="DL745" s="2"/>
      <c r="DM745" s="2"/>
      <c r="DN745" s="2"/>
      <c r="FB745" s="3"/>
    </row>
    <row r="746">
      <c r="DK746" s="2"/>
      <c r="DL746" s="2"/>
      <c r="DM746" s="2"/>
      <c r="DN746" s="2"/>
      <c r="FB746" s="3"/>
    </row>
    <row r="747">
      <c r="DK747" s="2"/>
      <c r="DL747" s="2"/>
      <c r="DM747" s="2"/>
      <c r="DN747" s="2"/>
      <c r="FB747" s="3"/>
    </row>
    <row r="748">
      <c r="DK748" s="2"/>
      <c r="DL748" s="2"/>
      <c r="DM748" s="2"/>
      <c r="DN748" s="2"/>
      <c r="FB748" s="3"/>
    </row>
    <row r="749">
      <c r="DK749" s="2"/>
      <c r="DL749" s="2"/>
      <c r="DM749" s="2"/>
      <c r="DN749" s="2"/>
      <c r="FB749" s="3"/>
    </row>
    <row r="750">
      <c r="DK750" s="2"/>
      <c r="DL750" s="2"/>
      <c r="DM750" s="2"/>
      <c r="DN750" s="2"/>
      <c r="FB750" s="3"/>
    </row>
    <row r="751">
      <c r="DK751" s="2"/>
      <c r="DL751" s="2"/>
      <c r="DM751" s="2"/>
      <c r="DN751" s="2"/>
      <c r="FB751" s="3"/>
    </row>
    <row r="752">
      <c r="DK752" s="2"/>
      <c r="DL752" s="2"/>
      <c r="DM752" s="2"/>
      <c r="DN752" s="2"/>
      <c r="FB752" s="3"/>
    </row>
    <row r="753">
      <c r="DK753" s="2"/>
      <c r="DL753" s="2"/>
      <c r="DM753" s="2"/>
      <c r="DN753" s="2"/>
      <c r="FB753" s="3"/>
    </row>
    <row r="754">
      <c r="DK754" s="2"/>
      <c r="DL754" s="2"/>
      <c r="DM754" s="2"/>
      <c r="DN754" s="2"/>
      <c r="FB754" s="3"/>
    </row>
    <row r="755">
      <c r="DK755" s="2"/>
      <c r="DL755" s="2"/>
      <c r="DM755" s="2"/>
      <c r="DN755" s="2"/>
      <c r="FB755" s="3"/>
    </row>
    <row r="756">
      <c r="DK756" s="2"/>
      <c r="DL756" s="2"/>
      <c r="DM756" s="2"/>
      <c r="DN756" s="2"/>
      <c r="FB756" s="3"/>
    </row>
    <row r="757">
      <c r="DK757" s="2"/>
      <c r="DL757" s="2"/>
      <c r="DM757" s="2"/>
      <c r="DN757" s="2"/>
      <c r="FB757" s="3"/>
    </row>
    <row r="758">
      <c r="DK758" s="2"/>
      <c r="DL758" s="2"/>
      <c r="DM758" s="2"/>
      <c r="DN758" s="2"/>
      <c r="FB758" s="3"/>
    </row>
    <row r="759">
      <c r="DK759" s="2"/>
      <c r="DL759" s="2"/>
      <c r="DM759" s="2"/>
      <c r="DN759" s="2"/>
      <c r="FB759" s="3"/>
    </row>
    <row r="760">
      <c r="DK760" s="2"/>
      <c r="DL760" s="2"/>
      <c r="DM760" s="2"/>
      <c r="DN760" s="2"/>
      <c r="FB760" s="3"/>
    </row>
    <row r="761">
      <c r="DK761" s="2"/>
      <c r="DL761" s="2"/>
      <c r="DM761" s="2"/>
      <c r="DN761" s="2"/>
      <c r="FB761" s="3"/>
    </row>
    <row r="762">
      <c r="DK762" s="2"/>
      <c r="DL762" s="2"/>
      <c r="DM762" s="2"/>
      <c r="DN762" s="2"/>
      <c r="FB762" s="3"/>
    </row>
    <row r="763">
      <c r="DK763" s="2"/>
      <c r="DL763" s="2"/>
      <c r="DM763" s="2"/>
      <c r="DN763" s="2"/>
      <c r="FB763" s="3"/>
    </row>
    <row r="764">
      <c r="DK764" s="2"/>
      <c r="DL764" s="2"/>
      <c r="DM764" s="2"/>
      <c r="DN764" s="2"/>
      <c r="FB764" s="3"/>
    </row>
    <row r="765">
      <c r="DK765" s="2"/>
      <c r="DL765" s="2"/>
      <c r="DM765" s="2"/>
      <c r="DN765" s="2"/>
      <c r="FB765" s="3"/>
    </row>
    <row r="766">
      <c r="DK766" s="2"/>
      <c r="DL766" s="2"/>
      <c r="DM766" s="2"/>
      <c r="DN766" s="2"/>
      <c r="FB766" s="3"/>
    </row>
    <row r="767">
      <c r="DK767" s="2"/>
      <c r="DL767" s="2"/>
      <c r="DM767" s="2"/>
      <c r="DN767" s="2"/>
      <c r="FB767" s="3"/>
    </row>
    <row r="768">
      <c r="DK768" s="2"/>
      <c r="DL768" s="2"/>
      <c r="DM768" s="2"/>
      <c r="DN768" s="2"/>
      <c r="FB768" s="3"/>
    </row>
    <row r="769">
      <c r="DK769" s="2"/>
      <c r="DL769" s="2"/>
      <c r="DM769" s="2"/>
      <c r="DN769" s="2"/>
      <c r="FB769" s="3"/>
    </row>
    <row r="770">
      <c r="DK770" s="2"/>
      <c r="DL770" s="2"/>
      <c r="DM770" s="2"/>
      <c r="DN770" s="2"/>
      <c r="FB770" s="3"/>
    </row>
    <row r="771">
      <c r="DK771" s="2"/>
      <c r="DL771" s="2"/>
      <c r="DM771" s="2"/>
      <c r="DN771" s="2"/>
      <c r="FB771" s="3"/>
    </row>
    <row r="772">
      <c r="DK772" s="2"/>
      <c r="DL772" s="2"/>
      <c r="DM772" s="2"/>
      <c r="DN772" s="2"/>
      <c r="FB772" s="3"/>
    </row>
    <row r="773">
      <c r="DK773" s="2"/>
      <c r="DL773" s="2"/>
      <c r="DM773" s="2"/>
      <c r="DN773" s="2"/>
      <c r="FB773" s="3"/>
    </row>
    <row r="774">
      <c r="DK774" s="2"/>
      <c r="DL774" s="2"/>
      <c r="DM774" s="2"/>
      <c r="DN774" s="2"/>
      <c r="FB774" s="3"/>
    </row>
    <row r="775">
      <c r="DK775" s="2"/>
      <c r="DL775" s="2"/>
      <c r="DM775" s="2"/>
      <c r="DN775" s="2"/>
      <c r="FB775" s="3"/>
    </row>
    <row r="776">
      <c r="DK776" s="2"/>
      <c r="DL776" s="2"/>
      <c r="DM776" s="2"/>
      <c r="DN776" s="2"/>
      <c r="FB776" s="3"/>
    </row>
    <row r="777">
      <c r="DK777" s="2"/>
      <c r="DL777" s="2"/>
      <c r="DM777" s="2"/>
      <c r="DN777" s="2"/>
      <c r="FB777" s="3"/>
    </row>
    <row r="778">
      <c r="DK778" s="2"/>
      <c r="DL778" s="2"/>
      <c r="DM778" s="2"/>
      <c r="DN778" s="2"/>
      <c r="FB778" s="3"/>
    </row>
    <row r="779">
      <c r="DK779" s="2"/>
      <c r="DL779" s="2"/>
      <c r="DM779" s="2"/>
      <c r="DN779" s="2"/>
      <c r="FB779" s="3"/>
    </row>
    <row r="780">
      <c r="DK780" s="2"/>
      <c r="DL780" s="2"/>
      <c r="DM780" s="2"/>
      <c r="DN780" s="2"/>
      <c r="FB780" s="3"/>
    </row>
    <row r="781">
      <c r="DK781" s="2"/>
      <c r="DL781" s="2"/>
      <c r="DM781" s="2"/>
      <c r="DN781" s="2"/>
      <c r="FB781" s="3"/>
    </row>
    <row r="782">
      <c r="DK782" s="2"/>
      <c r="DL782" s="2"/>
      <c r="DM782" s="2"/>
      <c r="DN782" s="2"/>
      <c r="FB782" s="3"/>
    </row>
    <row r="783">
      <c r="DK783" s="2"/>
      <c r="DL783" s="2"/>
      <c r="DM783" s="2"/>
      <c r="DN783" s="2"/>
      <c r="FB783" s="3"/>
    </row>
    <row r="784">
      <c r="DK784" s="2"/>
      <c r="DL784" s="2"/>
      <c r="DM784" s="2"/>
      <c r="DN784" s="2"/>
      <c r="FB784" s="3"/>
    </row>
    <row r="785">
      <c r="DK785" s="2"/>
      <c r="DL785" s="2"/>
      <c r="DM785" s="2"/>
      <c r="DN785" s="2"/>
      <c r="FB785" s="3"/>
    </row>
    <row r="786">
      <c r="DK786" s="2"/>
      <c r="DL786" s="2"/>
      <c r="DM786" s="2"/>
      <c r="DN786" s="2"/>
      <c r="FB786" s="3"/>
    </row>
  </sheetData>
  <mergeCells count="1">
    <mergeCell ref="DS2:GL2"/>
  </mergeCells>
  <conditionalFormatting sqref="CM93:CV93 CY93:DB93 DE93:DH93 C96:CH99 CK96:FD99 FE96:FF102 FG96:FP99 FQ96:FR102 FS96:GM99 CK101:CK108 CL101:CX101 DD101:DI101 CL106:CX114 DD106:DD114 CY108:DC108 DE108:DI108 CK111:CK114 CY111:DC114 DE111:DI114">
    <cfRule type="cellIs" dxfId="0" priority="1" operator="greaterThan">
      <formula>0.5</formula>
    </cfRule>
  </conditionalFormatting>
  <conditionalFormatting sqref="C119:CH119 CK119:GM119">
    <cfRule type="cellIs" dxfId="0" priority="2" operator="greaterThan">
      <formula>0.2</formula>
    </cfRule>
  </conditionalFormatting>
  <conditionalFormatting sqref="C117:CH117 CK117:GM117">
    <cfRule type="cellIs" dxfId="1" priority="3" operator="greaterThan">
      <formula>0.6</formula>
    </cfRule>
  </conditionalFormatting>
  <conditionalFormatting sqref="C118:CH118 CK118:GM118">
    <cfRule type="cellIs" dxfId="1" priority="4" operator="greaterThan">
      <formula>0.35</formula>
    </cfRule>
  </conditionalFormatting>
  <conditionalFormatting sqref="AA130:CH133 CK130:DQ133 EE130:GM133 DR131:ED131 DR133:ED133">
    <cfRule type="cellIs" dxfId="0" priority="5" operator="greaterThan">
      <formula>150</formula>
    </cfRule>
  </conditionalFormatting>
  <conditionalFormatting sqref="AA135:CH136 CK135:GM136">
    <cfRule type="expression" dxfId="0" priority="6">
      <formula>if</formula>
    </cfRule>
  </conditionalFormatting>
  <conditionalFormatting sqref="AY201:BG201 BK201:CH201">
    <cfRule type="cellIs" dxfId="0" priority="7" operator="greaterThan">
      <formula>0</formula>
    </cfRule>
  </conditionalFormatting>
  <conditionalFormatting sqref="AY201:BG201 BK201:CH201">
    <cfRule type="cellIs" dxfId="2" priority="8" operator="lessThan">
      <formula>0</formula>
    </cfRule>
  </conditionalFormatting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7.14"/>
    <col customWidth="1" min="2" max="2" width="25.57"/>
    <col customWidth="1" min="4" max="7" width="25.14"/>
    <col customWidth="1" min="8" max="8" width="26.71"/>
    <col customWidth="1" min="9" max="9" width="17.86"/>
    <col customWidth="1" min="10" max="10" width="21.43"/>
    <col customWidth="1" min="13" max="13" width="15.71"/>
  </cols>
  <sheetData>
    <row r="3">
      <c r="B3" s="66" t="s">
        <v>31</v>
      </c>
      <c r="C3" s="67"/>
      <c r="D3" s="68" t="s">
        <v>32</v>
      </c>
      <c r="E3" s="71">
        <f>'QBO Analysis'!AV69</f>
        <v>51</v>
      </c>
      <c r="F3" s="67"/>
      <c r="G3" s="68" t="s">
        <v>33</v>
      </c>
      <c r="H3" s="74">
        <f>$E$5*$E$4*0.9</f>
        <v>2148120</v>
      </c>
    </row>
    <row r="4">
      <c r="B4" s="67"/>
      <c r="C4" s="67"/>
      <c r="D4" s="75" t="s">
        <v>34</v>
      </c>
      <c r="E4" s="76">
        <f>(40*52/12)*E3</f>
        <v>8840</v>
      </c>
      <c r="F4" s="67"/>
      <c r="G4" s="75" t="s">
        <v>35</v>
      </c>
      <c r="H4" s="78">
        <f>$E$5*$E$4*0.8</f>
        <v>1909440</v>
      </c>
    </row>
    <row r="5">
      <c r="B5" s="67"/>
      <c r="C5" s="67"/>
      <c r="D5" s="80" t="s">
        <v>36</v>
      </c>
      <c r="E5" s="81">
        <v>270.0</v>
      </c>
      <c r="F5" s="67"/>
      <c r="G5" s="80" t="s">
        <v>37</v>
      </c>
      <c r="H5" s="82">
        <f>$E$5*$E$4*0.7</f>
        <v>1670760</v>
      </c>
    </row>
    <row r="6">
      <c r="C6" s="83"/>
      <c r="K6" s="1">
        <v>7.0</v>
      </c>
      <c r="L6" s="1">
        <v>2.0</v>
      </c>
      <c r="N6" s="1">
        <v>38.0</v>
      </c>
      <c r="O6" s="84">
        <f t="shared" ref="O6:O7" si="1">N6/K6</f>
        <v>5.428571429</v>
      </c>
      <c r="Q6" s="84">
        <f>5*9</f>
        <v>45</v>
      </c>
    </row>
    <row r="7">
      <c r="B7" s="66" t="s">
        <v>38</v>
      </c>
      <c r="C7" s="67"/>
      <c r="D7" s="66" t="s">
        <v>39</v>
      </c>
      <c r="E7" s="85">
        <v>0.25</v>
      </c>
      <c r="F7" s="67"/>
      <c r="G7" s="66" t="s">
        <v>40</v>
      </c>
      <c r="H7" s="86">
        <f>10000000*$E$7/3</f>
        <v>833333.3333</v>
      </c>
      <c r="K7" s="1">
        <v>5.0</v>
      </c>
      <c r="L7" s="1">
        <v>2.0</v>
      </c>
      <c r="N7" s="1">
        <v>10.0</v>
      </c>
      <c r="O7" s="84">
        <f t="shared" si="1"/>
        <v>2</v>
      </c>
      <c r="Q7" s="84">
        <f>2*7</f>
        <v>14</v>
      </c>
    </row>
    <row r="8">
      <c r="B8" s="67"/>
      <c r="C8" s="67"/>
      <c r="D8" s="67"/>
      <c r="E8" s="67"/>
      <c r="F8" s="67"/>
      <c r="G8" s="66" t="s">
        <v>41</v>
      </c>
      <c r="H8" s="86">
        <f>8000000*$E$7/3</f>
        <v>666666.6667</v>
      </c>
      <c r="K8" s="1">
        <v>1.0</v>
      </c>
    </row>
    <row r="9">
      <c r="B9" s="67"/>
      <c r="C9" s="67"/>
      <c r="D9" s="67"/>
      <c r="E9" s="67"/>
      <c r="F9" s="67"/>
      <c r="G9" s="66" t="s">
        <v>42</v>
      </c>
      <c r="H9" s="86">
        <f>6000000*$E$7/3</f>
        <v>500000</v>
      </c>
    </row>
    <row r="11">
      <c r="B11" s="1" t="s">
        <v>43</v>
      </c>
      <c r="C11" s="87"/>
      <c r="H11" s="83">
        <f t="shared" ref="H11:H13" si="2">sum(H3,H7)</f>
        <v>2981453.333</v>
      </c>
    </row>
    <row r="12">
      <c r="C12" s="88"/>
      <c r="H12" s="83">
        <f t="shared" si="2"/>
        <v>2576106.667</v>
      </c>
    </row>
    <row r="13">
      <c r="H13" s="83">
        <f t="shared" si="2"/>
        <v>2170760</v>
      </c>
    </row>
    <row r="17">
      <c r="B17" s="89" t="s">
        <v>44</v>
      </c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</row>
    <row r="19">
      <c r="D19" s="1" t="s">
        <v>45</v>
      </c>
      <c r="E19" s="1" t="s">
        <v>46</v>
      </c>
      <c r="F19" s="1" t="s">
        <v>47</v>
      </c>
      <c r="G19" s="1" t="s">
        <v>48</v>
      </c>
      <c r="H19" s="91" t="s">
        <v>16</v>
      </c>
    </row>
    <row r="20">
      <c r="B20" s="92" t="s">
        <v>49</v>
      </c>
      <c r="D20" s="44">
        <v>5518015.789999999</v>
      </c>
      <c r="E20" s="44">
        <v>4494229.32</v>
      </c>
      <c r="F20" s="44">
        <v>5206791.96</v>
      </c>
      <c r="G20" s="44">
        <v>6829659.62</v>
      </c>
      <c r="H20" s="44">
        <f>sum(D20:G20)</f>
        <v>22048696.69</v>
      </c>
      <c r="M20" s="49"/>
      <c r="N20" s="49"/>
    </row>
    <row r="21">
      <c r="B21" s="1" t="s">
        <v>50</v>
      </c>
      <c r="D21" s="93">
        <f>'QBO Analysis'!BT69</f>
        <v>50</v>
      </c>
      <c r="E21" s="93">
        <f>'QBO Analysis'!BU69</f>
        <v>46</v>
      </c>
      <c r="F21" s="94">
        <f>'QBO Analysis'!BV69</f>
        <v>50.66666667</v>
      </c>
      <c r="G21" s="94">
        <f>'QBO Analysis'!BW69</f>
        <v>49.66666667</v>
      </c>
      <c r="H21" s="94">
        <f>average('QBO Analysis'!AM69:AX69)</f>
        <v>49.08333333</v>
      </c>
    </row>
    <row r="22">
      <c r="B22" s="95" t="s">
        <v>51</v>
      </c>
      <c r="C22" s="96"/>
      <c r="D22" s="97">
        <f t="shared" ref="D22:H22" si="3">D20/D21</f>
        <v>110360.3158</v>
      </c>
      <c r="E22" s="97">
        <f t="shared" si="3"/>
        <v>97700.63739</v>
      </c>
      <c r="F22" s="97">
        <f t="shared" si="3"/>
        <v>102765.6308</v>
      </c>
      <c r="G22" s="97">
        <f t="shared" si="3"/>
        <v>137509.9252</v>
      </c>
      <c r="H22" s="97">
        <f t="shared" si="3"/>
        <v>449209.4402</v>
      </c>
      <c r="M22" s="98"/>
      <c r="N22" s="98"/>
    </row>
    <row r="23">
      <c r="B23" s="1" t="s">
        <v>52</v>
      </c>
      <c r="D23" s="94">
        <f>sum('QBO Analysis'!BT68:BT69)</f>
        <v>76.33333333</v>
      </c>
      <c r="E23" s="93">
        <f>sum('QBO Analysis'!BU68:BU69)</f>
        <v>78</v>
      </c>
      <c r="F23" s="94">
        <f>sum('QBO Analysis'!BV68:BV69)</f>
        <v>85.33333333</v>
      </c>
      <c r="G23" s="94">
        <f>sum('QBO Analysis'!BW68:BW69)</f>
        <v>90.66666667</v>
      </c>
      <c r="H23" s="99">
        <v>87.0</v>
      </c>
    </row>
    <row r="24">
      <c r="B24" s="1" t="s">
        <v>53</v>
      </c>
      <c r="D24" s="100">
        <f t="shared" ref="D24:H24" si="4">D20/D23</f>
        <v>72288.41646</v>
      </c>
      <c r="E24" s="100">
        <f t="shared" si="4"/>
        <v>57618.32462</v>
      </c>
      <c r="F24" s="100">
        <f t="shared" si="4"/>
        <v>61017.09328</v>
      </c>
      <c r="G24" s="100">
        <f t="shared" si="4"/>
        <v>75327.12816</v>
      </c>
      <c r="H24" s="100">
        <f t="shared" si="4"/>
        <v>253433.2953</v>
      </c>
      <c r="I24" s="83">
        <f>H24/4</f>
        <v>63358.32382</v>
      </c>
      <c r="M24" s="83"/>
      <c r="N24" s="83"/>
    </row>
    <row r="28">
      <c r="D28" s="84" t="s">
        <v>45</v>
      </c>
      <c r="E28" s="84" t="s">
        <v>46</v>
      </c>
      <c r="F28" s="84" t="s">
        <v>47</v>
      </c>
      <c r="G28" s="84" t="s">
        <v>48</v>
      </c>
      <c r="H28" s="91" t="s">
        <v>11</v>
      </c>
    </row>
    <row r="29">
      <c r="B29" s="101" t="s">
        <v>49</v>
      </c>
      <c r="D29" s="102">
        <v>4000000.0</v>
      </c>
      <c r="E29" s="102">
        <v>7000000.0</v>
      </c>
      <c r="F29" s="102">
        <v>8000000.0</v>
      </c>
      <c r="G29" s="102">
        <v>9000000.0</v>
      </c>
      <c r="H29" s="87">
        <f>sum(D29:G29)</f>
        <v>28000000</v>
      </c>
    </row>
    <row r="30">
      <c r="B30" s="84" t="s">
        <v>50</v>
      </c>
      <c r="D30" s="1">
        <v>48.0</v>
      </c>
      <c r="E30" s="1">
        <v>62.0</v>
      </c>
      <c r="F30" s="103">
        <v>67.0</v>
      </c>
      <c r="G30" s="103">
        <v>71.0</v>
      </c>
    </row>
    <row r="31">
      <c r="B31" s="84" t="s">
        <v>51</v>
      </c>
      <c r="D31" s="83">
        <v>110360.31579999998</v>
      </c>
      <c r="E31" s="83">
        <v>97700.63739130435</v>
      </c>
      <c r="F31" s="83">
        <v>102765.63078947368</v>
      </c>
      <c r="G31" s="83">
        <v>137509.92523489933</v>
      </c>
    </row>
    <row r="32">
      <c r="B32" s="1" t="s">
        <v>54</v>
      </c>
      <c r="D32" s="103">
        <v>43.0</v>
      </c>
      <c r="E32" s="103">
        <v>43.0</v>
      </c>
      <c r="F32" s="103">
        <v>43.0</v>
      </c>
      <c r="G32" s="103">
        <v>42.0</v>
      </c>
    </row>
    <row r="33">
      <c r="D33" s="104">
        <f t="shared" ref="D33:G33" si="5">D32+D30</f>
        <v>91</v>
      </c>
      <c r="E33" s="104">
        <f t="shared" si="5"/>
        <v>105</v>
      </c>
      <c r="F33" s="104">
        <f t="shared" si="5"/>
        <v>110</v>
      </c>
      <c r="G33" s="104">
        <f t="shared" si="5"/>
        <v>113</v>
      </c>
      <c r="H33" s="1">
        <v>113.0</v>
      </c>
    </row>
    <row r="34">
      <c r="B34" s="84" t="s">
        <v>53</v>
      </c>
      <c r="D34" s="83">
        <f t="shared" ref="D34:G34" si="6">D29/D33</f>
        <v>43956.04396</v>
      </c>
      <c r="E34" s="83">
        <f t="shared" si="6"/>
        <v>66666.66667</v>
      </c>
      <c r="F34" s="83">
        <f t="shared" si="6"/>
        <v>72727.27273</v>
      </c>
      <c r="G34" s="83">
        <f t="shared" si="6"/>
        <v>79646.0177</v>
      </c>
      <c r="H34" s="83">
        <f>H29/H33/4</f>
        <v>61946.90265</v>
      </c>
      <c r="I34" s="106">
        <f>H34/I24</f>
        <v>0.9777231928</v>
      </c>
    </row>
    <row r="35">
      <c r="D35" s="107">
        <f t="shared" ref="D35:G35" si="7">D34/D24</f>
        <v>0.608064834</v>
      </c>
      <c r="E35" s="107">
        <f t="shared" si="7"/>
        <v>1.157039312</v>
      </c>
      <c r="F35" s="107">
        <f t="shared" si="7"/>
        <v>1.191916376</v>
      </c>
      <c r="G35" s="107">
        <f t="shared" si="7"/>
        <v>1.057335115</v>
      </c>
    </row>
    <row r="37">
      <c r="I37" s="106"/>
    </row>
    <row r="38">
      <c r="E38" s="102"/>
      <c r="F38" s="102"/>
      <c r="G38" s="102"/>
      <c r="H38" s="108">
        <v>527197.27</v>
      </c>
      <c r="I38" s="108">
        <v>394514.58999999997</v>
      </c>
      <c r="J38" s="108">
        <v>498308.91000000003</v>
      </c>
      <c r="K38" s="108">
        <v>391804.75</v>
      </c>
      <c r="L38" s="108">
        <v>736952.26</v>
      </c>
      <c r="M38" s="108">
        <v>461093.24</v>
      </c>
      <c r="N38" s="108">
        <v>710208.99</v>
      </c>
      <c r="O38" s="108">
        <v>819073.8</v>
      </c>
      <c r="P38" s="108">
        <v>655594.4</v>
      </c>
      <c r="Q38" s="108">
        <v>721630.35</v>
      </c>
      <c r="R38" s="108">
        <v>660148.61</v>
      </c>
      <c r="S38" s="108">
        <v>617741.94</v>
      </c>
      <c r="T38" s="108">
        <v>662290.41</v>
      </c>
      <c r="U38" s="108">
        <v>767687.8</v>
      </c>
      <c r="V38" s="108">
        <v>629309.68</v>
      </c>
    </row>
    <row r="42">
      <c r="B42" s="109"/>
      <c r="C42" s="110"/>
      <c r="D42" s="110"/>
      <c r="E42" s="110"/>
      <c r="F42" s="110"/>
      <c r="G42" s="110"/>
      <c r="H42" s="110"/>
    </row>
    <row r="43">
      <c r="B43" s="89" t="s">
        <v>55</v>
      </c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</row>
    <row r="44">
      <c r="B44" s="109"/>
      <c r="C44" s="110"/>
      <c r="D44" s="110"/>
      <c r="E44" s="110"/>
      <c r="F44" s="110"/>
      <c r="G44" s="110"/>
      <c r="H44" s="110"/>
    </row>
    <row r="45">
      <c r="B45" s="1" t="s">
        <v>56</v>
      </c>
      <c r="C45" s="111">
        <v>4563965.01</v>
      </c>
      <c r="D45" s="110"/>
      <c r="E45" s="110"/>
      <c r="F45" s="110"/>
      <c r="G45" s="110"/>
      <c r="H45" s="110"/>
    </row>
    <row r="46">
      <c r="B46" s="112" t="s">
        <v>57</v>
      </c>
      <c r="C46" s="113">
        <f>1056+80</f>
        <v>1136</v>
      </c>
      <c r="D46" s="110"/>
      <c r="E46" s="110"/>
      <c r="F46" s="110"/>
      <c r="G46" s="110"/>
      <c r="H46" s="110"/>
      <c r="K46" s="1" t="s">
        <v>30</v>
      </c>
      <c r="L46" s="87">
        <v>1.2E7</v>
      </c>
    </row>
    <row r="47">
      <c r="B47" s="112" t="s">
        <v>58</v>
      </c>
      <c r="C47" s="114">
        <v>0.8</v>
      </c>
      <c r="D47" s="110"/>
      <c r="E47" s="110"/>
      <c r="F47" s="110"/>
      <c r="G47" s="110"/>
      <c r="H47" s="110"/>
      <c r="K47" s="1" t="s">
        <v>59</v>
      </c>
      <c r="L47" s="115">
        <v>0.25</v>
      </c>
    </row>
    <row r="48">
      <c r="B48" s="112" t="s">
        <v>57</v>
      </c>
      <c r="C48" s="113">
        <f>C46*C47</f>
        <v>908.8</v>
      </c>
      <c r="D48" s="110"/>
      <c r="E48" s="110"/>
      <c r="F48" s="110"/>
      <c r="G48" s="110"/>
      <c r="H48" s="110"/>
      <c r="L48" s="83">
        <f>L46*L47</f>
        <v>3000000</v>
      </c>
    </row>
    <row r="49">
      <c r="B49" s="112" t="s">
        <v>60</v>
      </c>
      <c r="C49" s="116">
        <v>325.0</v>
      </c>
      <c r="D49" s="110"/>
      <c r="E49" s="110"/>
      <c r="F49" s="110"/>
      <c r="G49" s="110"/>
      <c r="H49" s="110"/>
    </row>
    <row r="50">
      <c r="B50" s="112"/>
      <c r="C50" s="117"/>
      <c r="E50" s="117" t="s">
        <v>60</v>
      </c>
      <c r="F50" s="117"/>
      <c r="G50" s="117"/>
      <c r="H50" s="117"/>
      <c r="I50" s="118"/>
    </row>
    <row r="51">
      <c r="B51" s="112"/>
      <c r="C51" s="117"/>
      <c r="E51" s="119">
        <v>300.0</v>
      </c>
      <c r="F51" s="119">
        <v>325.0</v>
      </c>
      <c r="G51" s="119">
        <v>350.0</v>
      </c>
      <c r="H51" s="119">
        <v>375.0</v>
      </c>
      <c r="I51" s="120">
        <v>400.0</v>
      </c>
    </row>
    <row r="52">
      <c r="B52" s="112"/>
      <c r="C52" s="117"/>
      <c r="D52" s="119">
        <v>23.0</v>
      </c>
      <c r="E52" s="117">
        <f t="shared" ref="E52:I52" si="8">(($D52*E$51*$C$48)+$C$45)/1000</f>
        <v>10834.68501</v>
      </c>
      <c r="F52" s="117">
        <f t="shared" si="8"/>
        <v>11357.24501</v>
      </c>
      <c r="G52" s="117">
        <f t="shared" si="8"/>
        <v>11879.80501</v>
      </c>
      <c r="H52" s="117">
        <f t="shared" si="8"/>
        <v>12402.36501</v>
      </c>
      <c r="I52" s="117">
        <f t="shared" si="8"/>
        <v>12924.92501</v>
      </c>
    </row>
    <row r="53">
      <c r="B53" s="112"/>
      <c r="C53" s="117"/>
      <c r="D53" s="119">
        <v>24.0</v>
      </c>
      <c r="E53" s="117">
        <f t="shared" ref="E53:I53" si="9">(($D53*E$51*$C$48)+$C$45)/1000</f>
        <v>11107.32501</v>
      </c>
      <c r="F53" s="117">
        <f t="shared" si="9"/>
        <v>11652.60501</v>
      </c>
      <c r="G53" s="117">
        <f t="shared" si="9"/>
        <v>12197.88501</v>
      </c>
      <c r="H53" s="117">
        <f t="shared" si="9"/>
        <v>12743.16501</v>
      </c>
      <c r="I53" s="117">
        <f t="shared" si="9"/>
        <v>13288.44501</v>
      </c>
    </row>
    <row r="54">
      <c r="B54" s="112"/>
      <c r="C54" s="117"/>
      <c r="D54" s="119">
        <v>25.0</v>
      </c>
      <c r="E54" s="117">
        <f t="shared" ref="E54:I54" si="10">(($D54*E$51*$C$48)+$C$45)/1000</f>
        <v>11379.96501</v>
      </c>
      <c r="F54" s="117">
        <f t="shared" si="10"/>
        <v>11947.96501</v>
      </c>
      <c r="G54" s="117">
        <f t="shared" si="10"/>
        <v>12515.96501</v>
      </c>
      <c r="H54" s="117">
        <f t="shared" si="10"/>
        <v>13083.96501</v>
      </c>
      <c r="I54" s="117">
        <f t="shared" si="10"/>
        <v>13651.96501</v>
      </c>
    </row>
    <row r="55">
      <c r="B55" s="112"/>
      <c r="C55" s="117" t="s">
        <v>61</v>
      </c>
      <c r="D55" s="119">
        <v>26.0</v>
      </c>
      <c r="E55" s="117">
        <f t="shared" ref="E55:I55" si="11">(($D55*E$51*$C$48)+$C$45)/1000</f>
        <v>11652.60501</v>
      </c>
      <c r="F55" s="117">
        <f t="shared" si="11"/>
        <v>12243.32501</v>
      </c>
      <c r="G55" s="117">
        <f t="shared" si="11"/>
        <v>12834.04501</v>
      </c>
      <c r="H55" s="117">
        <f t="shared" si="11"/>
        <v>13424.76501</v>
      </c>
      <c r="I55" s="117">
        <f t="shared" si="11"/>
        <v>14015.48501</v>
      </c>
    </row>
    <row r="56">
      <c r="B56" s="112"/>
      <c r="C56" s="117"/>
      <c r="D56" s="119">
        <v>27.0</v>
      </c>
      <c r="E56" s="117">
        <f t="shared" ref="E56:I56" si="12">(($D56*E$51*$C$48)+$C$45)/1000</f>
        <v>11925.24501</v>
      </c>
      <c r="F56" s="117">
        <f t="shared" si="12"/>
        <v>12538.68501</v>
      </c>
      <c r="G56" s="117">
        <f t="shared" si="12"/>
        <v>13152.12501</v>
      </c>
      <c r="H56" s="117">
        <f t="shared" si="12"/>
        <v>13765.56501</v>
      </c>
      <c r="I56" s="117">
        <f t="shared" si="12"/>
        <v>14379.00501</v>
      </c>
      <c r="K56" s="122" t="s">
        <v>62</v>
      </c>
      <c r="L56" s="122" t="s">
        <v>63</v>
      </c>
      <c r="M56" s="122" t="s">
        <v>36</v>
      </c>
      <c r="N56" s="122" t="s">
        <v>64</v>
      </c>
    </row>
    <row r="57">
      <c r="B57" s="112"/>
      <c r="C57" s="117"/>
      <c r="D57" s="119">
        <v>28.0</v>
      </c>
      <c r="E57" s="117">
        <f t="shared" ref="E57:I57" si="13">(($D57*E$51*$C$48)+$C$45)/1000</f>
        <v>12197.88501</v>
      </c>
      <c r="F57" s="117">
        <f t="shared" si="13"/>
        <v>12834.04501</v>
      </c>
      <c r="G57" s="117">
        <f t="shared" si="13"/>
        <v>13470.20501</v>
      </c>
      <c r="H57" s="117">
        <f t="shared" si="13"/>
        <v>14106.36501</v>
      </c>
      <c r="I57" s="117">
        <f t="shared" si="13"/>
        <v>14742.52501</v>
      </c>
      <c r="K57" s="1">
        <v>22.0</v>
      </c>
      <c r="L57" s="1">
        <v>1040.0</v>
      </c>
      <c r="M57" s="1">
        <v>320.0</v>
      </c>
      <c r="N57" s="83">
        <f>K57*L57*M57</f>
        <v>7321600</v>
      </c>
    </row>
    <row r="58">
      <c r="B58" s="112"/>
      <c r="C58" s="117"/>
      <c r="D58" s="119">
        <v>29.0</v>
      </c>
      <c r="E58" s="117">
        <f t="shared" ref="E58:I58" si="14">(($D58*E$51*$C$48)+$C$45)/1000</f>
        <v>12470.52501</v>
      </c>
      <c r="F58" s="117">
        <f t="shared" si="14"/>
        <v>13129.40501</v>
      </c>
      <c r="G58" s="117">
        <f t="shared" si="14"/>
        <v>13788.28501</v>
      </c>
      <c r="H58" s="117">
        <f t="shared" si="14"/>
        <v>14447.16501</v>
      </c>
      <c r="I58" s="117">
        <f t="shared" si="14"/>
        <v>15106.04501</v>
      </c>
    </row>
    <row r="59">
      <c r="B59" s="112"/>
      <c r="C59" s="117"/>
      <c r="D59" s="119">
        <v>30.0</v>
      </c>
      <c r="E59" s="117">
        <f t="shared" ref="E59:I59" si="15">(($D59*E$51*$C$48)+$C$45)/1000</f>
        <v>12743.16501</v>
      </c>
      <c r="F59" s="117">
        <f t="shared" si="15"/>
        <v>13424.76501</v>
      </c>
      <c r="G59" s="117">
        <f t="shared" si="15"/>
        <v>14106.36501</v>
      </c>
      <c r="H59" s="117">
        <f t="shared" si="15"/>
        <v>14787.96501</v>
      </c>
      <c r="I59" s="117">
        <f t="shared" si="15"/>
        <v>15469.56501</v>
      </c>
      <c r="N59" s="83">
        <f>(N57/1000)+I59</f>
        <v>22791.16501</v>
      </c>
    </row>
    <row r="60">
      <c r="B60" s="112"/>
      <c r="C60" s="117"/>
      <c r="D60" s="117"/>
      <c r="E60" s="117"/>
      <c r="F60" s="117"/>
      <c r="G60" s="117"/>
      <c r="H60" s="117"/>
      <c r="I60" s="118"/>
    </row>
    <row r="61">
      <c r="B61" s="112"/>
      <c r="C61" s="117"/>
      <c r="D61" s="117"/>
      <c r="E61" s="117"/>
      <c r="F61" s="117"/>
      <c r="G61" s="117"/>
      <c r="H61" s="117"/>
      <c r="I61" s="118"/>
    </row>
    <row r="62">
      <c r="B62" s="112"/>
      <c r="C62" s="117"/>
      <c r="D62" s="117"/>
      <c r="E62" s="117"/>
      <c r="F62" s="117"/>
      <c r="G62" s="117"/>
      <c r="H62" s="117"/>
      <c r="I62" s="118"/>
    </row>
    <row r="63">
      <c r="B63" s="112"/>
      <c r="C63" s="117"/>
      <c r="E63" s="117" t="s">
        <v>65</v>
      </c>
      <c r="F63" s="117"/>
      <c r="G63" s="117"/>
      <c r="H63" s="117"/>
      <c r="I63" s="118"/>
    </row>
    <row r="64">
      <c r="B64" s="112"/>
      <c r="C64" s="117"/>
      <c r="E64" s="124">
        <v>0.7</v>
      </c>
      <c r="F64" s="124">
        <v>0.75</v>
      </c>
      <c r="G64" s="124">
        <v>0.8</v>
      </c>
      <c r="H64" s="124">
        <v>0.85</v>
      </c>
      <c r="I64" s="125">
        <v>0.9</v>
      </c>
    </row>
    <row r="65">
      <c r="B65" s="112"/>
      <c r="C65" s="117"/>
      <c r="D65" s="119">
        <v>23.0</v>
      </c>
      <c r="E65" s="117">
        <f t="shared" ref="E65:I65" si="16">(($D65*E$64*$C$49*$C$46)+$C$45)/1000</f>
        <v>10508.08501</v>
      </c>
      <c r="F65" s="117">
        <f t="shared" si="16"/>
        <v>10932.66501</v>
      </c>
      <c r="G65" s="117">
        <f t="shared" si="16"/>
        <v>11357.24501</v>
      </c>
      <c r="H65" s="117">
        <f t="shared" si="16"/>
        <v>11781.82501</v>
      </c>
      <c r="I65" s="117">
        <f t="shared" si="16"/>
        <v>12206.40501</v>
      </c>
    </row>
    <row r="66">
      <c r="B66" s="112"/>
      <c r="C66" s="117"/>
      <c r="D66" s="119">
        <v>24.0</v>
      </c>
      <c r="E66" s="117">
        <f t="shared" ref="E66:I66" si="17">(($D66*E$64*$C$49*$C$46)+$C$45)/1000</f>
        <v>10766.52501</v>
      </c>
      <c r="F66" s="117">
        <f t="shared" si="17"/>
        <v>11209.56501</v>
      </c>
      <c r="G66" s="117">
        <f t="shared" si="17"/>
        <v>11652.60501</v>
      </c>
      <c r="H66" s="117">
        <f t="shared" si="17"/>
        <v>12095.64501</v>
      </c>
      <c r="I66" s="117">
        <f t="shared" si="17"/>
        <v>12538.68501</v>
      </c>
    </row>
    <row r="67">
      <c r="B67" s="112"/>
      <c r="C67" s="117"/>
      <c r="D67" s="119">
        <v>25.0</v>
      </c>
      <c r="E67" s="117">
        <f t="shared" ref="E67:I67" si="18">(($D67*E$64*$C$49*$C$46)+$C$45)/1000</f>
        <v>11024.96501</v>
      </c>
      <c r="F67" s="117">
        <f t="shared" si="18"/>
        <v>11486.46501</v>
      </c>
      <c r="G67" s="117">
        <f t="shared" si="18"/>
        <v>11947.96501</v>
      </c>
      <c r="H67" s="117">
        <f t="shared" si="18"/>
        <v>12409.46501</v>
      </c>
      <c r="I67" s="117">
        <f t="shared" si="18"/>
        <v>12870.96501</v>
      </c>
    </row>
    <row r="68">
      <c r="B68" s="112"/>
      <c r="C68" s="117" t="s">
        <v>61</v>
      </c>
      <c r="D68" s="119">
        <v>26.0</v>
      </c>
      <c r="E68" s="117">
        <f t="shared" ref="E68:I68" si="19">(($D68*E$64*$C$49*$C$46)+$C$45)/1000</f>
        <v>11283.40501</v>
      </c>
      <c r="F68" s="117">
        <f t="shared" si="19"/>
        <v>11763.36501</v>
      </c>
      <c r="G68" s="117">
        <f t="shared" si="19"/>
        <v>12243.32501</v>
      </c>
      <c r="H68" s="117">
        <f t="shared" si="19"/>
        <v>12723.28501</v>
      </c>
      <c r="I68" s="117">
        <f t="shared" si="19"/>
        <v>13203.24501</v>
      </c>
    </row>
    <row r="69">
      <c r="B69" s="112"/>
      <c r="C69" s="117"/>
      <c r="D69" s="119">
        <v>27.0</v>
      </c>
      <c r="E69" s="117">
        <f t="shared" ref="E69:I69" si="20">(($D69*E$64*$C$49*$C$46)+$C$45)/1000</f>
        <v>11541.84501</v>
      </c>
      <c r="F69" s="117">
        <f t="shared" si="20"/>
        <v>12040.26501</v>
      </c>
      <c r="G69" s="117">
        <f t="shared" si="20"/>
        <v>12538.68501</v>
      </c>
      <c r="H69" s="117">
        <f t="shared" si="20"/>
        <v>13037.10501</v>
      </c>
      <c r="I69" s="117">
        <f t="shared" si="20"/>
        <v>13535.52501</v>
      </c>
    </row>
    <row r="70">
      <c r="B70" s="112"/>
      <c r="C70" s="117"/>
      <c r="D70" s="119">
        <v>28.0</v>
      </c>
      <c r="E70" s="117">
        <f t="shared" ref="E70:I70" si="21">(($D70*E$64*$C$49*$C$46)+$C$45)/1000</f>
        <v>11800.28501</v>
      </c>
      <c r="F70" s="117">
        <f t="shared" si="21"/>
        <v>12317.16501</v>
      </c>
      <c r="G70" s="117">
        <f t="shared" si="21"/>
        <v>12834.04501</v>
      </c>
      <c r="H70" s="117">
        <f t="shared" si="21"/>
        <v>13350.92501</v>
      </c>
      <c r="I70" s="117">
        <f t="shared" si="21"/>
        <v>13867.80501</v>
      </c>
    </row>
    <row r="71">
      <c r="B71" s="112"/>
      <c r="C71" s="117"/>
      <c r="D71" s="119">
        <v>29.0</v>
      </c>
      <c r="E71" s="117">
        <f t="shared" ref="E71:I71" si="22">(($D71*E$64*$C$49*$C$46)+$C$45)/1000</f>
        <v>12058.72501</v>
      </c>
      <c r="F71" s="117">
        <f t="shared" si="22"/>
        <v>12594.06501</v>
      </c>
      <c r="G71" s="117">
        <f t="shared" si="22"/>
        <v>13129.40501</v>
      </c>
      <c r="H71" s="117">
        <f t="shared" si="22"/>
        <v>13664.74501</v>
      </c>
      <c r="I71" s="117">
        <f t="shared" si="22"/>
        <v>14200.08501</v>
      </c>
    </row>
    <row r="72">
      <c r="B72" s="112"/>
      <c r="C72" s="117"/>
      <c r="D72" s="119">
        <v>30.0</v>
      </c>
      <c r="E72" s="117">
        <f t="shared" ref="E72:I72" si="23">(($D72*E$64*$C$49*$C$46)+$C$45)/1000</f>
        <v>12317.16501</v>
      </c>
      <c r="F72" s="117">
        <f t="shared" si="23"/>
        <v>12870.96501</v>
      </c>
      <c r="G72" s="117">
        <f t="shared" si="23"/>
        <v>13424.76501</v>
      </c>
      <c r="H72" s="117">
        <f t="shared" si="23"/>
        <v>13978.56501</v>
      </c>
      <c r="I72" s="117">
        <f t="shared" si="23"/>
        <v>14532.36501</v>
      </c>
    </row>
    <row r="73">
      <c r="B73" s="112"/>
      <c r="C73" s="117"/>
      <c r="D73" s="117"/>
      <c r="E73" s="117"/>
      <c r="F73" s="117"/>
      <c r="G73" s="117"/>
      <c r="H73" s="117"/>
      <c r="I73" s="118"/>
    </row>
    <row r="74">
      <c r="B74" s="112"/>
      <c r="C74" s="117"/>
      <c r="D74" s="117"/>
      <c r="E74" s="117"/>
      <c r="F74" s="117"/>
      <c r="G74" s="117"/>
      <c r="H74" s="117"/>
      <c r="I74" s="118"/>
    </row>
    <row r="75">
      <c r="B75" s="112"/>
      <c r="C75" s="117"/>
      <c r="D75" s="117"/>
      <c r="E75" s="117"/>
      <c r="F75" s="117"/>
      <c r="G75" s="117"/>
      <c r="H75" s="117"/>
      <c r="I75" s="118"/>
    </row>
    <row r="76">
      <c r="B76" s="109"/>
      <c r="C76" s="110"/>
      <c r="D76" s="110"/>
      <c r="E76" s="110"/>
      <c r="F76" s="110"/>
      <c r="G76" s="110"/>
      <c r="H76" s="110"/>
    </row>
    <row r="77">
      <c r="B77" s="109"/>
      <c r="C77" s="110"/>
      <c r="D77" s="110"/>
      <c r="E77" s="110"/>
      <c r="F77" s="110"/>
      <c r="G77" s="110"/>
      <c r="H77" s="110"/>
    </row>
    <row r="78">
      <c r="B78" s="126" t="s">
        <v>66</v>
      </c>
      <c r="C78" s="127" t="s">
        <v>67</v>
      </c>
      <c r="D78" s="127" t="s">
        <v>68</v>
      </c>
      <c r="E78" s="127" t="s">
        <v>69</v>
      </c>
      <c r="F78" s="127" t="s">
        <v>70</v>
      </c>
      <c r="G78" s="127" t="s">
        <v>58</v>
      </c>
      <c r="H78" s="127" t="s">
        <v>71</v>
      </c>
    </row>
    <row r="79">
      <c r="B79" s="128">
        <v>44949.0</v>
      </c>
      <c r="C79" s="129">
        <v>3988181.0500000003</v>
      </c>
      <c r="D79" s="129">
        <v>134400.0</v>
      </c>
      <c r="E79" s="102">
        <v>1954210.2</v>
      </c>
      <c r="F79" s="102">
        <v>1035424.82</v>
      </c>
      <c r="G79" s="88">
        <v>0.6806490384615385</v>
      </c>
      <c r="H79" s="108">
        <v>527197.27</v>
      </c>
      <c r="I79" s="115"/>
      <c r="J79" s="102"/>
      <c r="K79" s="102"/>
      <c r="L79" s="102"/>
      <c r="M79" s="102"/>
      <c r="N79" s="102"/>
      <c r="O79" s="102"/>
      <c r="P79" s="102"/>
      <c r="Q79" s="102"/>
      <c r="R79" s="102"/>
      <c r="S79" s="102"/>
    </row>
    <row r="80">
      <c r="B80" s="128">
        <v>44980.0</v>
      </c>
      <c r="C80" s="129">
        <v>3975692.5</v>
      </c>
      <c r="D80" s="129">
        <v>846864.0</v>
      </c>
      <c r="E80" s="102">
        <v>1936196.69</v>
      </c>
      <c r="F80" s="102">
        <v>1078554.42</v>
      </c>
      <c r="G80" s="88">
        <v>0.5816937869822485</v>
      </c>
      <c r="H80" s="108">
        <v>394514.58999999997</v>
      </c>
    </row>
    <row r="81">
      <c r="B81" s="128">
        <v>45008.0</v>
      </c>
      <c r="C81" s="129">
        <v>4027017.47</v>
      </c>
      <c r="D81" s="129">
        <v>1827624.0</v>
      </c>
      <c r="E81" s="102">
        <v>1627608.9</v>
      </c>
      <c r="F81" s="102">
        <v>962816.82</v>
      </c>
      <c r="G81" s="88">
        <v>0.7400769230769231</v>
      </c>
      <c r="H81" s="108">
        <v>498308.91000000003</v>
      </c>
    </row>
    <row r="82">
      <c r="B82" s="128">
        <v>45039.0</v>
      </c>
      <c r="C82" s="129">
        <v>3796139.55</v>
      </c>
      <c r="D82" s="129">
        <v>552923.41</v>
      </c>
      <c r="E82" s="102">
        <v>1380644.79</v>
      </c>
      <c r="F82" s="102">
        <v>1128874.88</v>
      </c>
      <c r="G82" s="88">
        <v>0.7053846153846154</v>
      </c>
      <c r="H82" s="108">
        <v>391804.75</v>
      </c>
    </row>
    <row r="83">
      <c r="B83" s="128">
        <v>45069.0</v>
      </c>
      <c r="C83" s="129">
        <v>1983813.4500000002</v>
      </c>
      <c r="D83" s="129">
        <v>857590.0</v>
      </c>
      <c r="E83" s="102">
        <v>1024531.5900000001</v>
      </c>
      <c r="F83" s="102">
        <v>1192177.76</v>
      </c>
      <c r="G83" s="88">
        <v>0.7061036789297659</v>
      </c>
      <c r="H83" s="108">
        <v>736952.26</v>
      </c>
    </row>
    <row r="84">
      <c r="B84" s="128">
        <v>45100.0</v>
      </c>
      <c r="C84" s="129">
        <v>1575213.3699999999</v>
      </c>
      <c r="D84" s="129">
        <v>2370127.4</v>
      </c>
      <c r="E84" s="102">
        <v>2089052.94</v>
      </c>
      <c r="F84" s="102">
        <v>935614.2</v>
      </c>
      <c r="G84" s="88">
        <v>0.6414893617021277</v>
      </c>
      <c r="H84" s="108">
        <v>461093.24</v>
      </c>
    </row>
    <row r="85">
      <c r="B85" s="128">
        <v>45130.0</v>
      </c>
      <c r="C85" s="129">
        <v>216949.4900000001</v>
      </c>
      <c r="D85" s="129">
        <v>1015910.0</v>
      </c>
      <c r="E85" s="102">
        <v>1094866.25</v>
      </c>
      <c r="F85" s="102">
        <v>1194415.76</v>
      </c>
      <c r="G85" s="88">
        <v>0.4832025117739403</v>
      </c>
      <c r="H85" s="108">
        <v>710208.99</v>
      </c>
    </row>
    <row r="86">
      <c r="B86" s="128">
        <v>45161.0</v>
      </c>
      <c r="C86" s="129">
        <v>374396.1799999991</v>
      </c>
      <c r="D86" s="129">
        <v>2102478.0</v>
      </c>
      <c r="E86" s="102">
        <v>2367443.7299999995</v>
      </c>
      <c r="F86" s="102">
        <v>1342642.2000000002</v>
      </c>
      <c r="G86" s="88">
        <v>0.5774778106508875</v>
      </c>
      <c r="H86" s="108">
        <v>819073.8</v>
      </c>
    </row>
    <row r="87">
      <c r="B87" s="128">
        <v>45192.0</v>
      </c>
      <c r="C87" s="129">
        <v>-101258.43000000028</v>
      </c>
      <c r="D87" s="129">
        <v>1227118.0</v>
      </c>
      <c r="E87" s="102">
        <v>1744481.9800000002</v>
      </c>
      <c r="F87" s="102">
        <v>1035135.7899999999</v>
      </c>
      <c r="G87" s="88">
        <v>0.5244343891402715</v>
      </c>
      <c r="H87" s="108">
        <v>655594.4</v>
      </c>
    </row>
    <row r="88">
      <c r="B88" s="128">
        <v>45222.0</v>
      </c>
      <c r="C88" s="129">
        <v>-981011.1900000006</v>
      </c>
      <c r="D88" s="129">
        <v>1426203.0</v>
      </c>
      <c r="E88" s="102">
        <v>1462805.0</v>
      </c>
      <c r="F88" s="102">
        <v>1104682.36</v>
      </c>
      <c r="G88" s="88">
        <v>0.6199095022624435</v>
      </c>
      <c r="H88" s="108">
        <v>721630.35</v>
      </c>
    </row>
    <row r="89">
      <c r="B89" s="128">
        <v>45253.0</v>
      </c>
      <c r="C89" s="129">
        <v>151631.94999999972</v>
      </c>
      <c r="D89" s="129">
        <v>3399512.32</v>
      </c>
      <c r="E89" s="102">
        <v>2745143.62</v>
      </c>
      <c r="F89" s="102">
        <v>1030364.1799999999</v>
      </c>
      <c r="G89" s="88">
        <v>0.5809615384615385</v>
      </c>
      <c r="H89" s="108">
        <v>660148.61</v>
      </c>
    </row>
    <row r="90">
      <c r="B90" s="128">
        <v>45283.0</v>
      </c>
      <c r="C90" s="129">
        <v>584784.2899999996</v>
      </c>
      <c r="D90" s="129">
        <v>3318570.0</v>
      </c>
      <c r="E90" s="102">
        <v>2708165.27</v>
      </c>
      <c r="F90" s="102">
        <v>1062589.85</v>
      </c>
      <c r="G90" s="88">
        <v>0.5490384615384616</v>
      </c>
      <c r="H90" s="108">
        <v>617741.94</v>
      </c>
    </row>
    <row r="91">
      <c r="B91" s="128">
        <v>45314.0</v>
      </c>
      <c r="C91" s="129">
        <v>-606547.2900000003</v>
      </c>
      <c r="D91" s="129">
        <v>57000.0</v>
      </c>
      <c r="E91" s="102">
        <v>970065.9900000001</v>
      </c>
      <c r="F91" s="102">
        <v>1314378.32</v>
      </c>
      <c r="G91" s="88">
        <v>0.5793780687397708</v>
      </c>
      <c r="H91" s="108">
        <v>662290.41</v>
      </c>
      <c r="M91" s="83"/>
    </row>
    <row r="92">
      <c r="B92" s="128">
        <v>45345.0</v>
      </c>
      <c r="C92" s="129">
        <v>-1788380.3600000003</v>
      </c>
      <c r="D92" s="129">
        <v>402890.0</v>
      </c>
      <c r="E92" s="102">
        <v>962170.87</v>
      </c>
      <c r="F92" s="102">
        <v>1204686.5</v>
      </c>
      <c r="G92" s="88">
        <v>0.5923895253682487</v>
      </c>
      <c r="H92" s="108">
        <v>767687.8</v>
      </c>
    </row>
    <row r="93">
      <c r="B93" s="128">
        <v>45374.0</v>
      </c>
      <c r="C93" s="129">
        <v>-697563.5100000007</v>
      </c>
      <c r="D93" s="129">
        <v>5460271.0</v>
      </c>
      <c r="E93" s="102">
        <v>3025187.86</v>
      </c>
      <c r="F93" s="102">
        <v>1216485.02</v>
      </c>
      <c r="G93" s="88">
        <v>0.603974358974359</v>
      </c>
      <c r="H93" s="108">
        <v>629309.68</v>
      </c>
      <c r="K93" s="87"/>
      <c r="L93" s="87"/>
      <c r="M93" s="87"/>
      <c r="N93" s="87"/>
    </row>
    <row r="94">
      <c r="J94" s="130"/>
    </row>
    <row r="95">
      <c r="J95" s="130"/>
    </row>
    <row r="96">
      <c r="J96" s="130"/>
    </row>
    <row r="97">
      <c r="L97" s="131"/>
      <c r="M97" s="131"/>
    </row>
    <row r="98">
      <c r="B98" s="1" t="s">
        <v>72</v>
      </c>
      <c r="C98" s="1" t="s">
        <v>73</v>
      </c>
      <c r="D98" s="122" t="s">
        <v>74</v>
      </c>
      <c r="E98" s="122" t="s">
        <v>58</v>
      </c>
      <c r="F98" s="1" t="s">
        <v>75</v>
      </c>
      <c r="G98" s="122" t="s">
        <v>76</v>
      </c>
      <c r="H98" s="122" t="s">
        <v>77</v>
      </c>
      <c r="I98" s="122" t="s">
        <v>78</v>
      </c>
      <c r="J98" s="132"/>
      <c r="K98" s="132"/>
    </row>
    <row r="99">
      <c r="B99" s="133">
        <v>2023.0</v>
      </c>
      <c r="C99" s="1" t="s">
        <v>79</v>
      </c>
      <c r="D99" s="1">
        <v>1.0</v>
      </c>
      <c r="E99" s="1">
        <v>94.0</v>
      </c>
      <c r="F99" s="84">
        <f>average(E99:E102)</f>
        <v>95.75</v>
      </c>
      <c r="G99" s="1">
        <v>24.0</v>
      </c>
      <c r="H99" s="1">
        <v>176.0</v>
      </c>
      <c r="I99" s="83">
        <f>(G99*H99)*290*(F99/100)</f>
        <v>1172899.2</v>
      </c>
      <c r="J99" s="134"/>
      <c r="K99" s="134"/>
    </row>
    <row r="100">
      <c r="D100" s="1">
        <v>2.0</v>
      </c>
      <c r="E100" s="1">
        <v>93.0</v>
      </c>
      <c r="J100" s="134"/>
      <c r="K100" s="134"/>
    </row>
    <row r="101">
      <c r="D101" s="1">
        <v>3.0</v>
      </c>
      <c r="E101" s="1">
        <v>108.0</v>
      </c>
      <c r="J101" s="134"/>
      <c r="K101" s="134"/>
    </row>
    <row r="102">
      <c r="D102" s="1">
        <v>4.0</v>
      </c>
      <c r="E102" s="1">
        <v>88.0</v>
      </c>
      <c r="J102" s="134"/>
      <c r="K102" s="134"/>
    </row>
    <row r="103">
      <c r="C103" s="1" t="s">
        <v>80</v>
      </c>
      <c r="D103" s="1">
        <v>5.0</v>
      </c>
      <c r="E103" s="1">
        <v>94.0</v>
      </c>
      <c r="F103" s="84">
        <f>average(E103:E107)</f>
        <v>82</v>
      </c>
      <c r="G103" s="1">
        <v>25.0</v>
      </c>
      <c r="H103" s="1">
        <v>160.0</v>
      </c>
      <c r="I103" s="83">
        <f>(G103*H103)*290*(F103/100)</f>
        <v>951200</v>
      </c>
      <c r="J103" s="134"/>
      <c r="K103" s="134"/>
    </row>
    <row r="104">
      <c r="D104" s="1">
        <v>6.0</v>
      </c>
      <c r="E104" s="1">
        <v>90.0</v>
      </c>
      <c r="J104" s="134"/>
      <c r="K104" s="134"/>
    </row>
    <row r="105">
      <c r="D105" s="1">
        <v>7.0</v>
      </c>
      <c r="E105" s="1">
        <v>84.0</v>
      </c>
      <c r="J105" s="134"/>
      <c r="K105" s="134"/>
    </row>
    <row r="106">
      <c r="D106" s="1">
        <v>8.0</v>
      </c>
      <c r="E106" s="1">
        <v>72.0</v>
      </c>
      <c r="J106" s="134"/>
      <c r="K106" s="134"/>
    </row>
    <row r="107">
      <c r="D107" s="1">
        <v>9.0</v>
      </c>
      <c r="E107" s="1">
        <v>70.0</v>
      </c>
      <c r="J107" s="134"/>
      <c r="K107" s="134"/>
    </row>
    <row r="108">
      <c r="C108" s="1" t="s">
        <v>81</v>
      </c>
      <c r="D108" s="1">
        <v>10.0</v>
      </c>
      <c r="E108" s="1">
        <v>80.0</v>
      </c>
      <c r="F108" s="84">
        <f>average(E108:E111)</f>
        <v>63</v>
      </c>
      <c r="G108" s="1">
        <v>24.0</v>
      </c>
      <c r="H108" s="1">
        <v>184.0</v>
      </c>
      <c r="I108" s="83">
        <f>(G108*H108)*290*(F108/100)</f>
        <v>806803.2</v>
      </c>
      <c r="J108" s="134"/>
      <c r="K108" s="134"/>
    </row>
    <row r="109">
      <c r="D109" s="1">
        <v>11.0</v>
      </c>
      <c r="E109" s="1">
        <v>88.0</v>
      </c>
      <c r="J109" s="134"/>
      <c r="K109" s="134"/>
    </row>
    <row r="110">
      <c r="D110" s="1">
        <v>12.0</v>
      </c>
      <c r="E110" s="1">
        <v>9.0</v>
      </c>
      <c r="J110" s="134"/>
      <c r="K110" s="134"/>
    </row>
    <row r="111">
      <c r="D111" s="1">
        <v>13.0</v>
      </c>
      <c r="E111" s="1">
        <v>75.0</v>
      </c>
      <c r="J111" s="134"/>
      <c r="K111" s="134"/>
    </row>
    <row r="112">
      <c r="C112" s="1" t="s">
        <v>82</v>
      </c>
      <c r="D112" s="1">
        <v>14.0</v>
      </c>
      <c r="E112" s="1">
        <v>81.0</v>
      </c>
      <c r="F112" s="84">
        <f>average(E112:E115)</f>
        <v>86</v>
      </c>
      <c r="G112" s="1">
        <v>22.0</v>
      </c>
      <c r="H112" s="1">
        <v>160.0</v>
      </c>
      <c r="I112" s="83">
        <f>(G112*H112)*290*(F112/100)</f>
        <v>877888</v>
      </c>
      <c r="J112" s="134"/>
      <c r="K112" s="134"/>
    </row>
    <row r="113">
      <c r="D113" s="1">
        <v>15.0</v>
      </c>
      <c r="E113" s="1">
        <v>73.0</v>
      </c>
      <c r="J113" s="134"/>
      <c r="K113" s="134"/>
    </row>
    <row r="114">
      <c r="D114" s="1">
        <v>16.0</v>
      </c>
      <c r="E114" s="1">
        <v>85.0</v>
      </c>
      <c r="J114" s="134"/>
      <c r="K114" s="134"/>
    </row>
    <row r="115">
      <c r="D115" s="1">
        <v>17.0</v>
      </c>
      <c r="E115" s="1">
        <v>105.0</v>
      </c>
      <c r="J115" s="134"/>
      <c r="K115" s="134"/>
    </row>
    <row r="116">
      <c r="C116" s="1" t="s">
        <v>83</v>
      </c>
      <c r="D116" s="1">
        <v>18.0</v>
      </c>
      <c r="E116" s="1">
        <v>95.0</v>
      </c>
      <c r="F116" s="84">
        <f>average(E116:E119)</f>
        <v>92.25</v>
      </c>
      <c r="G116" s="1">
        <v>22.0</v>
      </c>
      <c r="H116" s="1">
        <v>184.0</v>
      </c>
      <c r="I116" s="83">
        <f>(G116*H116)*290*(F116/100)</f>
        <v>1082941.2</v>
      </c>
      <c r="J116" s="134"/>
      <c r="K116" s="134"/>
    </row>
    <row r="117">
      <c r="D117" s="1">
        <v>19.0</v>
      </c>
      <c r="E117" s="1">
        <v>105.0</v>
      </c>
      <c r="J117" s="134"/>
      <c r="K117" s="134"/>
    </row>
    <row r="118">
      <c r="D118" s="1">
        <v>20.0</v>
      </c>
      <c r="E118" s="1">
        <v>71.0</v>
      </c>
      <c r="J118" s="134"/>
      <c r="K118" s="134"/>
    </row>
    <row r="119">
      <c r="D119" s="1">
        <v>21.0</v>
      </c>
      <c r="E119" s="1">
        <v>98.0</v>
      </c>
      <c r="J119" s="134"/>
      <c r="K119" s="134"/>
    </row>
    <row r="120">
      <c r="C120" s="1" t="s">
        <v>84</v>
      </c>
      <c r="D120" s="1">
        <v>22.0</v>
      </c>
      <c r="E120" s="1">
        <v>96.0</v>
      </c>
      <c r="F120" s="84">
        <f>average(E120:E123)</f>
        <v>91.5</v>
      </c>
      <c r="G120" s="1">
        <v>23.0</v>
      </c>
      <c r="H120" s="1">
        <v>176.0</v>
      </c>
      <c r="I120" s="83">
        <f>(G120*H120)*290*(F120/100)</f>
        <v>1074136.8</v>
      </c>
      <c r="J120" s="134"/>
      <c r="K120" s="134"/>
    </row>
    <row r="121">
      <c r="D121" s="1">
        <v>23.0</v>
      </c>
      <c r="E121" s="1">
        <v>97.0</v>
      </c>
      <c r="J121" s="134"/>
      <c r="K121" s="134"/>
    </row>
    <row r="122">
      <c r="D122" s="1">
        <v>24.0</v>
      </c>
      <c r="E122" s="1">
        <v>85.0</v>
      </c>
      <c r="J122" s="134"/>
      <c r="K122" s="134"/>
    </row>
    <row r="123">
      <c r="D123" s="1">
        <v>25.0</v>
      </c>
      <c r="E123" s="1">
        <v>88.0</v>
      </c>
      <c r="J123" s="134"/>
      <c r="K123" s="134"/>
    </row>
    <row r="124">
      <c r="C124" s="1" t="s">
        <v>85</v>
      </c>
      <c r="D124" s="1">
        <v>26.0</v>
      </c>
      <c r="E124" s="1">
        <v>86.0</v>
      </c>
      <c r="F124" s="84">
        <f>average(E124:E128)</f>
        <v>75.2</v>
      </c>
      <c r="G124" s="1">
        <v>24.0</v>
      </c>
      <c r="H124" s="1">
        <v>168.0</v>
      </c>
      <c r="I124" s="83">
        <f>(G124*H124)*290*(F124/100)</f>
        <v>879298.56</v>
      </c>
      <c r="J124" s="134"/>
      <c r="K124" s="134"/>
    </row>
    <row r="125">
      <c r="D125" s="1">
        <v>27.0</v>
      </c>
      <c r="E125" s="1">
        <v>71.0</v>
      </c>
      <c r="J125" s="134"/>
      <c r="K125" s="134"/>
    </row>
    <row r="126">
      <c r="D126" s="1">
        <v>28.0</v>
      </c>
      <c r="E126" s="1">
        <v>88.0</v>
      </c>
      <c r="J126" s="134"/>
      <c r="K126" s="134"/>
    </row>
    <row r="127">
      <c r="D127" s="1">
        <v>29.0</v>
      </c>
      <c r="E127" s="1">
        <v>45.0</v>
      </c>
      <c r="J127" s="134"/>
      <c r="K127" s="134"/>
    </row>
    <row r="128">
      <c r="D128" s="1">
        <v>30.0</v>
      </c>
      <c r="E128" s="1">
        <v>86.0</v>
      </c>
      <c r="J128" s="134"/>
      <c r="K128" s="134"/>
    </row>
    <row r="129">
      <c r="C129" s="1" t="s">
        <v>86</v>
      </c>
      <c r="D129" s="1">
        <v>31.0</v>
      </c>
      <c r="E129" s="1">
        <v>80.0</v>
      </c>
      <c r="F129" s="84">
        <f>average(E129:E132)</f>
        <v>74.75</v>
      </c>
      <c r="G129" s="1">
        <v>25.0</v>
      </c>
      <c r="H129" s="1">
        <v>184.0</v>
      </c>
      <c r="I129" s="83">
        <f>(G129*H129)*290*(F129/100)</f>
        <v>997165</v>
      </c>
      <c r="J129" s="134"/>
      <c r="K129" s="134"/>
    </row>
    <row r="130">
      <c r="D130" s="1">
        <v>32.0</v>
      </c>
      <c r="E130" s="1">
        <v>70.0</v>
      </c>
      <c r="J130" s="134"/>
      <c r="K130" s="134"/>
    </row>
    <row r="131">
      <c r="D131" s="1">
        <v>33.0</v>
      </c>
      <c r="E131" s="1">
        <v>75.0</v>
      </c>
      <c r="J131" s="134"/>
      <c r="K131" s="134"/>
    </row>
    <row r="132">
      <c r="D132" s="1">
        <v>34.0</v>
      </c>
      <c r="E132" s="1">
        <v>74.0</v>
      </c>
      <c r="J132" s="134"/>
      <c r="K132" s="134"/>
    </row>
    <row r="133">
      <c r="C133" s="1" t="s">
        <v>87</v>
      </c>
      <c r="D133" s="1">
        <v>35.0</v>
      </c>
      <c r="E133" s="1">
        <v>71.0</v>
      </c>
      <c r="F133" s="84">
        <f>average(E133:E137)</f>
        <v>68.6</v>
      </c>
      <c r="G133" s="1">
        <v>25.0</v>
      </c>
      <c r="H133" s="1">
        <v>168.0</v>
      </c>
      <c r="I133" s="83">
        <f>(G133*H133)*290*(F133/100)</f>
        <v>835548</v>
      </c>
      <c r="J133" s="134"/>
      <c r="K133" s="134"/>
    </row>
    <row r="134">
      <c r="D134" s="1">
        <v>36.0</v>
      </c>
      <c r="E134" s="1">
        <v>67.0</v>
      </c>
      <c r="J134" s="134"/>
      <c r="K134" s="134"/>
    </row>
    <row r="135">
      <c r="D135" s="1">
        <v>37.0</v>
      </c>
      <c r="E135" s="1">
        <v>63.0</v>
      </c>
      <c r="J135" s="134"/>
      <c r="K135" s="134"/>
    </row>
    <row r="136">
      <c r="D136" s="1">
        <v>38.0</v>
      </c>
      <c r="E136" s="1">
        <v>74.0</v>
      </c>
      <c r="J136" s="134"/>
      <c r="K136" s="134"/>
    </row>
    <row r="137">
      <c r="D137" s="1">
        <v>39.0</v>
      </c>
      <c r="E137" s="1">
        <v>68.0</v>
      </c>
      <c r="J137" s="134"/>
      <c r="K137" s="134"/>
    </row>
    <row r="138">
      <c r="C138" s="1" t="s">
        <v>88</v>
      </c>
      <c r="D138" s="1">
        <v>40.0</v>
      </c>
      <c r="E138" s="1">
        <v>79.0</v>
      </c>
      <c r="F138" s="84">
        <f>average(E138:E141)</f>
        <v>76</v>
      </c>
      <c r="G138" s="1">
        <v>25.0</v>
      </c>
      <c r="H138" s="1">
        <v>176.0</v>
      </c>
      <c r="I138" s="83">
        <f>(G138*H138)*290*(F138/100)</f>
        <v>969760</v>
      </c>
      <c r="J138" s="134"/>
      <c r="K138" s="134"/>
    </row>
    <row r="139">
      <c r="D139" s="1">
        <v>41.0</v>
      </c>
      <c r="E139" s="1">
        <v>70.0</v>
      </c>
      <c r="J139" s="134"/>
      <c r="K139" s="134"/>
    </row>
    <row r="140">
      <c r="D140" s="1">
        <v>42.0</v>
      </c>
      <c r="E140" s="1">
        <v>80.0</v>
      </c>
      <c r="J140" s="134"/>
      <c r="K140" s="134"/>
    </row>
    <row r="141">
      <c r="D141" s="1">
        <v>43.0</v>
      </c>
      <c r="E141" s="1">
        <v>75.0</v>
      </c>
      <c r="J141" s="134"/>
      <c r="K141" s="134"/>
    </row>
    <row r="142">
      <c r="C142" s="1" t="s">
        <v>90</v>
      </c>
      <c r="D142" s="1">
        <v>44.0</v>
      </c>
      <c r="E142" s="1">
        <v>73.0</v>
      </c>
      <c r="F142" s="84">
        <f>average(E142:E145)</f>
        <v>76.5</v>
      </c>
      <c r="G142" s="1">
        <v>25.0</v>
      </c>
      <c r="H142" s="1">
        <v>176.0</v>
      </c>
      <c r="I142" s="83">
        <f>(G142*H142)*290*(F142/100)</f>
        <v>976140</v>
      </c>
      <c r="J142" s="134"/>
      <c r="K142" s="134"/>
    </row>
    <row r="143">
      <c r="D143" s="1">
        <v>45.0</v>
      </c>
      <c r="E143" s="1">
        <v>85.0</v>
      </c>
      <c r="J143" s="134"/>
      <c r="K143" s="134"/>
    </row>
    <row r="144">
      <c r="D144" s="1">
        <v>46.0</v>
      </c>
      <c r="E144" s="1">
        <v>80.0</v>
      </c>
      <c r="J144" s="134"/>
      <c r="K144" s="134"/>
    </row>
    <row r="145">
      <c r="D145" s="1">
        <v>47.0</v>
      </c>
      <c r="E145" s="1">
        <v>68.0</v>
      </c>
      <c r="J145" s="134"/>
      <c r="K145" s="134"/>
    </row>
    <row r="146">
      <c r="C146" s="1" t="s">
        <v>91</v>
      </c>
      <c r="D146" s="1">
        <v>48.0</v>
      </c>
      <c r="E146" s="1">
        <v>73.0</v>
      </c>
      <c r="F146" s="84">
        <f>average(E146:E150)</f>
        <v>66.6</v>
      </c>
      <c r="G146" s="1">
        <v>24.0</v>
      </c>
      <c r="H146" s="1">
        <v>168.0</v>
      </c>
      <c r="I146" s="83">
        <f>(G146*H146)*290*(F146/100)</f>
        <v>778740.48</v>
      </c>
      <c r="J146" s="134"/>
      <c r="K146" s="134"/>
    </row>
    <row r="147">
      <c r="D147" s="1">
        <v>49.0</v>
      </c>
      <c r="E147" s="1">
        <v>82.0</v>
      </c>
      <c r="J147" s="134"/>
      <c r="K147" s="134"/>
    </row>
    <row r="148">
      <c r="D148" s="1">
        <v>50.0</v>
      </c>
      <c r="E148" s="1">
        <v>88.0</v>
      </c>
      <c r="J148" s="134"/>
      <c r="K148" s="134"/>
    </row>
    <row r="149">
      <c r="D149" s="1">
        <v>51.0</v>
      </c>
      <c r="E149" s="1">
        <v>67.0</v>
      </c>
      <c r="J149" s="134"/>
      <c r="K149" s="134"/>
    </row>
    <row r="150">
      <c r="D150" s="1">
        <v>52.0</v>
      </c>
      <c r="E150" s="1">
        <v>23.0</v>
      </c>
      <c r="J150" s="134"/>
      <c r="K150" s="134"/>
    </row>
    <row r="151">
      <c r="B151" s="133">
        <v>2024.0</v>
      </c>
      <c r="C151" s="1" t="s">
        <v>79</v>
      </c>
      <c r="D151" s="1">
        <v>1.0</v>
      </c>
      <c r="E151" s="1">
        <v>59.0</v>
      </c>
      <c r="F151" s="84">
        <f>average(E151:E154)</f>
        <v>58.75</v>
      </c>
      <c r="G151" s="1">
        <v>24.0</v>
      </c>
      <c r="H151" s="1">
        <v>184.0</v>
      </c>
      <c r="I151" s="83">
        <f>(G151*H151)*290*(F151/100)</f>
        <v>752376</v>
      </c>
      <c r="J151" s="108">
        <v>587141.3300000001</v>
      </c>
      <c r="K151" s="132"/>
    </row>
    <row r="152">
      <c r="D152" s="1">
        <v>2.0</v>
      </c>
      <c r="E152" s="1">
        <v>48.0</v>
      </c>
      <c r="K152" s="134"/>
    </row>
    <row r="153">
      <c r="D153" s="1">
        <v>3.0</v>
      </c>
      <c r="E153" s="1">
        <v>70.0</v>
      </c>
      <c r="K153" s="134"/>
    </row>
    <row r="154">
      <c r="D154" s="1">
        <v>4.0</v>
      </c>
      <c r="E154" s="1">
        <v>58.0</v>
      </c>
      <c r="K154" s="134"/>
    </row>
    <row r="155">
      <c r="C155" s="1" t="s">
        <v>80</v>
      </c>
      <c r="D155" s="1">
        <v>5.0</v>
      </c>
      <c r="E155" s="1">
        <v>55.0</v>
      </c>
      <c r="F155" s="84">
        <f>average(E155:E158)</f>
        <v>54.25</v>
      </c>
      <c r="G155" s="1">
        <v>24.0</v>
      </c>
      <c r="H155" s="1">
        <v>168.0</v>
      </c>
      <c r="I155" s="83">
        <f>(G155*H155)*290*(F155/100)</f>
        <v>634334.4</v>
      </c>
      <c r="J155" s="108">
        <v>595079.35</v>
      </c>
      <c r="K155" s="134"/>
    </row>
    <row r="156">
      <c r="D156" s="1">
        <v>6.0</v>
      </c>
      <c r="E156" s="1">
        <v>57.0</v>
      </c>
      <c r="K156" s="134"/>
    </row>
    <row r="157">
      <c r="D157" s="1">
        <v>7.0</v>
      </c>
      <c r="E157" s="1">
        <v>55.0</v>
      </c>
      <c r="K157" s="134"/>
    </row>
    <row r="158">
      <c r="D158" s="1">
        <v>8.0</v>
      </c>
      <c r="E158" s="1">
        <v>50.0</v>
      </c>
      <c r="K158" s="134"/>
    </row>
    <row r="159">
      <c r="C159" s="1" t="s">
        <v>81</v>
      </c>
      <c r="D159" s="1">
        <v>9.0</v>
      </c>
      <c r="E159" s="1">
        <v>55.0</v>
      </c>
      <c r="F159" s="84">
        <f>average(E159:E163)</f>
        <v>56.6</v>
      </c>
      <c r="G159" s="1">
        <v>24.0</v>
      </c>
      <c r="H159" s="1">
        <v>168.0</v>
      </c>
      <c r="I159" s="83">
        <f>(G159*H159)*290*(F159/100)</f>
        <v>661812.48</v>
      </c>
      <c r="J159" s="108">
        <v>2377455.67</v>
      </c>
      <c r="K159" s="134"/>
    </row>
    <row r="160">
      <c r="D160" s="1">
        <v>10.0</v>
      </c>
      <c r="E160" s="1">
        <v>54.0</v>
      </c>
      <c r="K160" s="134"/>
    </row>
    <row r="161">
      <c r="D161" s="1">
        <v>11.0</v>
      </c>
      <c r="E161" s="1">
        <v>53.0</v>
      </c>
      <c r="K161" s="134"/>
    </row>
    <row r="162">
      <c r="D162" s="1">
        <v>12.0</v>
      </c>
      <c r="E162" s="1">
        <v>64.0</v>
      </c>
      <c r="J162" s="134"/>
      <c r="K162" s="134"/>
    </row>
    <row r="163">
      <c r="D163" s="1">
        <v>13.0</v>
      </c>
      <c r="E163" s="1">
        <v>57.0</v>
      </c>
      <c r="J163" s="134"/>
      <c r="K163" s="134"/>
      <c r="L163" s="139"/>
    </row>
    <row r="164">
      <c r="C164" s="1" t="s">
        <v>82</v>
      </c>
      <c r="D164" s="1">
        <v>14.0</v>
      </c>
      <c r="E164" s="1">
        <v>73.0</v>
      </c>
      <c r="F164" s="84">
        <f>average(E164:E167)</f>
        <v>75</v>
      </c>
      <c r="G164" s="1">
        <v>23.0</v>
      </c>
      <c r="H164" s="1">
        <v>176.0</v>
      </c>
      <c r="I164" s="83">
        <f>(G164*H164)*290*(F164/100)</f>
        <v>880440</v>
      </c>
      <c r="J164" s="108">
        <v>841754.33</v>
      </c>
      <c r="K164" s="134"/>
      <c r="L164" s="134"/>
    </row>
    <row r="165">
      <c r="D165" s="1">
        <v>15.0</v>
      </c>
      <c r="E165" s="1">
        <v>76.0</v>
      </c>
      <c r="K165" s="134"/>
      <c r="L165" s="134"/>
    </row>
    <row r="166">
      <c r="D166" s="1">
        <v>16.0</v>
      </c>
      <c r="E166" s="1">
        <v>76.0</v>
      </c>
      <c r="J166" s="134"/>
      <c r="K166" s="134"/>
      <c r="L166" s="134"/>
    </row>
    <row r="167">
      <c r="D167" s="1">
        <v>17.0</v>
      </c>
      <c r="E167" s="1">
        <v>75.0</v>
      </c>
      <c r="J167" s="134"/>
      <c r="K167" s="134"/>
      <c r="L167" s="134"/>
    </row>
    <row r="168">
      <c r="C168" s="1" t="s">
        <v>83</v>
      </c>
      <c r="D168" s="1">
        <v>18.0</v>
      </c>
      <c r="E168" s="1">
        <v>71.0</v>
      </c>
      <c r="F168" s="84">
        <f>average(E168:E171)</f>
        <v>77.75</v>
      </c>
      <c r="G168" s="1">
        <v>23.0</v>
      </c>
      <c r="H168" s="1">
        <v>184.0</v>
      </c>
      <c r="I168" s="83">
        <f>(G168*H168)*290*(F168/100)</f>
        <v>954210.2</v>
      </c>
      <c r="J168" s="108">
        <v>1408390.33</v>
      </c>
      <c r="K168" s="134"/>
      <c r="L168" s="134"/>
    </row>
    <row r="169">
      <c r="D169" s="1">
        <v>19.0</v>
      </c>
      <c r="E169" s="1">
        <v>64.0</v>
      </c>
      <c r="J169" s="134"/>
      <c r="K169" s="134"/>
      <c r="L169" s="134"/>
    </row>
    <row r="170">
      <c r="D170" s="1">
        <v>20.0</v>
      </c>
      <c r="E170" s="1">
        <v>91.0</v>
      </c>
      <c r="J170" s="134"/>
      <c r="K170" s="134"/>
      <c r="L170" s="134"/>
    </row>
    <row r="171">
      <c r="D171" s="1">
        <v>21.0</v>
      </c>
      <c r="E171" s="1">
        <v>85.0</v>
      </c>
      <c r="J171" s="143"/>
      <c r="K171" s="139"/>
      <c r="L171" s="134"/>
    </row>
    <row r="172">
      <c r="C172" s="1" t="s">
        <v>84</v>
      </c>
      <c r="D172" s="1">
        <v>22.0</v>
      </c>
      <c r="E172" s="1">
        <v>94.0</v>
      </c>
      <c r="F172" s="84">
        <f>average(E172:E175)</f>
        <v>90.5</v>
      </c>
      <c r="G172" s="1">
        <v>23.0</v>
      </c>
      <c r="H172" s="1">
        <v>160.0</v>
      </c>
      <c r="I172" s="83">
        <f>(G172*H172)*290*(F172/100)</f>
        <v>965816</v>
      </c>
      <c r="J172" s="144"/>
      <c r="K172" s="134"/>
      <c r="L172" s="134"/>
    </row>
    <row r="173">
      <c r="D173" s="1">
        <v>23.0</v>
      </c>
      <c r="E173" s="1">
        <v>88.0</v>
      </c>
      <c r="J173" s="144"/>
      <c r="K173" s="134"/>
      <c r="L173" s="134"/>
      <c r="M173" s="137"/>
      <c r="N173" s="137"/>
      <c r="O173" s="145"/>
      <c r="P173" s="137"/>
      <c r="Q173" s="137"/>
    </row>
    <row r="174">
      <c r="D174" s="1">
        <v>24.0</v>
      </c>
      <c r="E174" s="146">
        <v>90.0</v>
      </c>
      <c r="J174" s="144"/>
      <c r="K174" s="134"/>
      <c r="L174" s="134"/>
    </row>
    <row r="175">
      <c r="D175" s="1">
        <v>25.0</v>
      </c>
      <c r="E175" s="147">
        <f t="shared" ref="E175:E202" si="24">E174</f>
        <v>90</v>
      </c>
      <c r="J175" s="144"/>
      <c r="K175" s="134"/>
      <c r="L175" s="134"/>
    </row>
    <row r="176">
      <c r="D176" s="1">
        <v>26.0</v>
      </c>
      <c r="E176" s="147">
        <f t="shared" si="24"/>
        <v>90</v>
      </c>
      <c r="J176" s="144"/>
      <c r="K176" s="134"/>
      <c r="L176" s="134"/>
    </row>
    <row r="177">
      <c r="C177" s="1" t="s">
        <v>85</v>
      </c>
      <c r="D177" s="1">
        <v>27.0</v>
      </c>
      <c r="E177" s="147">
        <f t="shared" si="24"/>
        <v>90</v>
      </c>
      <c r="F177" s="84">
        <f>average(E177:E180)</f>
        <v>90</v>
      </c>
      <c r="G177" s="146">
        <v>23.0</v>
      </c>
      <c r="H177" s="1">
        <v>184.0</v>
      </c>
      <c r="I177" s="83">
        <f>(G177*H177)*290*(F177/100)</f>
        <v>1104552</v>
      </c>
      <c r="J177" s="144"/>
      <c r="K177" s="134"/>
      <c r="L177" s="134"/>
    </row>
    <row r="178">
      <c r="D178" s="1">
        <v>28.0</v>
      </c>
      <c r="E178" s="147">
        <f t="shared" si="24"/>
        <v>90</v>
      </c>
      <c r="J178" s="144"/>
      <c r="K178" s="134"/>
      <c r="L178" s="134"/>
    </row>
    <row r="179">
      <c r="D179" s="1">
        <v>29.0</v>
      </c>
      <c r="E179" s="147">
        <f t="shared" si="24"/>
        <v>90</v>
      </c>
      <c r="J179" s="144"/>
      <c r="K179" s="134"/>
      <c r="L179" s="134"/>
    </row>
    <row r="180">
      <c r="D180" s="1">
        <v>30.0</v>
      </c>
      <c r="E180" s="147">
        <f t="shared" si="24"/>
        <v>90</v>
      </c>
      <c r="J180" s="144"/>
      <c r="K180" s="134"/>
      <c r="L180" s="134"/>
    </row>
    <row r="181">
      <c r="C181" s="1" t="s">
        <v>86</v>
      </c>
      <c r="D181" s="1">
        <v>31.0</v>
      </c>
      <c r="E181" s="147">
        <f t="shared" si="24"/>
        <v>90</v>
      </c>
      <c r="F181" s="84">
        <f>average(E181:E184)</f>
        <v>90</v>
      </c>
      <c r="G181" s="146">
        <v>24.0</v>
      </c>
      <c r="H181" s="1">
        <v>176.0</v>
      </c>
      <c r="I181" s="83">
        <f>(G181*H181)*290*(F181/100)</f>
        <v>1102464</v>
      </c>
      <c r="J181" s="144"/>
      <c r="K181" s="134"/>
      <c r="L181" s="134"/>
    </row>
    <row r="182">
      <c r="D182" s="1">
        <v>32.0</v>
      </c>
      <c r="E182" s="147">
        <f t="shared" si="24"/>
        <v>90</v>
      </c>
      <c r="J182" s="144"/>
      <c r="K182" s="134"/>
      <c r="L182" s="134"/>
    </row>
    <row r="183">
      <c r="D183" s="1">
        <v>33.0</v>
      </c>
      <c r="E183" s="147">
        <f t="shared" si="24"/>
        <v>90</v>
      </c>
      <c r="J183" s="144"/>
      <c r="K183" s="134"/>
      <c r="L183" s="134"/>
    </row>
    <row r="184">
      <c r="D184" s="1">
        <v>34.0</v>
      </c>
      <c r="E184" s="147">
        <f t="shared" si="24"/>
        <v>90</v>
      </c>
      <c r="J184" s="144"/>
      <c r="K184" s="134"/>
      <c r="L184" s="134"/>
    </row>
    <row r="185">
      <c r="D185" s="1">
        <v>35.0</v>
      </c>
      <c r="E185" s="147">
        <f t="shared" si="24"/>
        <v>90</v>
      </c>
      <c r="J185" s="144"/>
      <c r="K185" s="134"/>
      <c r="L185" s="134"/>
    </row>
    <row r="186">
      <c r="C186" s="1" t="s">
        <v>87</v>
      </c>
      <c r="D186" s="1">
        <v>36.0</v>
      </c>
      <c r="E186" s="147">
        <f t="shared" si="24"/>
        <v>90</v>
      </c>
      <c r="F186" s="84">
        <f>average(E186:E189)</f>
        <v>90</v>
      </c>
      <c r="G186" s="146">
        <v>24.0</v>
      </c>
      <c r="H186" s="1">
        <v>168.0</v>
      </c>
      <c r="I186" s="83">
        <f>(G186*H186)*290*(F186/100)</f>
        <v>1052352</v>
      </c>
      <c r="J186" s="144"/>
      <c r="K186" s="134"/>
      <c r="L186" s="134"/>
    </row>
    <row r="187">
      <c r="D187" s="1">
        <v>37.0</v>
      </c>
      <c r="E187" s="147">
        <f t="shared" si="24"/>
        <v>90</v>
      </c>
      <c r="J187" s="144"/>
      <c r="K187" s="134"/>
      <c r="L187" s="134"/>
    </row>
    <row r="188">
      <c r="D188" s="1">
        <v>38.0</v>
      </c>
      <c r="E188" s="147">
        <f t="shared" si="24"/>
        <v>90</v>
      </c>
      <c r="J188" s="144"/>
      <c r="K188" s="134"/>
      <c r="L188" s="134"/>
    </row>
    <row r="189">
      <c r="D189" s="1">
        <v>39.0</v>
      </c>
      <c r="E189" s="147">
        <f t="shared" si="24"/>
        <v>90</v>
      </c>
      <c r="J189" s="144"/>
      <c r="K189" s="134"/>
      <c r="L189" s="134"/>
    </row>
    <row r="190">
      <c r="C190" s="1" t="s">
        <v>88</v>
      </c>
      <c r="D190" s="1">
        <v>40.0</v>
      </c>
      <c r="E190" s="147">
        <f t="shared" si="24"/>
        <v>90</v>
      </c>
      <c r="F190" s="84">
        <f>average(E190:E193)</f>
        <v>90</v>
      </c>
      <c r="G190" s="146">
        <v>25.0</v>
      </c>
      <c r="H190" s="1">
        <v>184.0</v>
      </c>
      <c r="I190" s="83">
        <f>(G190*H190)*290*(F190/100)</f>
        <v>1200600</v>
      </c>
      <c r="J190" s="144"/>
      <c r="K190" s="134"/>
      <c r="L190" s="134"/>
    </row>
    <row r="191">
      <c r="D191" s="1">
        <v>41.0</v>
      </c>
      <c r="E191" s="147">
        <f t="shared" si="24"/>
        <v>90</v>
      </c>
      <c r="J191" s="144"/>
      <c r="K191" s="134"/>
      <c r="L191" s="134"/>
    </row>
    <row r="192">
      <c r="D192" s="1">
        <v>42.0</v>
      </c>
      <c r="E192" s="147">
        <f t="shared" si="24"/>
        <v>90</v>
      </c>
      <c r="J192" s="144"/>
      <c r="K192" s="134"/>
    </row>
    <row r="193">
      <c r="D193" s="1">
        <v>43.0</v>
      </c>
      <c r="E193" s="147">
        <f t="shared" si="24"/>
        <v>90</v>
      </c>
      <c r="J193" s="144"/>
      <c r="K193" s="134"/>
    </row>
    <row r="194">
      <c r="C194" s="1" t="s">
        <v>90</v>
      </c>
      <c r="D194" s="1">
        <v>44.0</v>
      </c>
      <c r="E194" s="147">
        <f t="shared" si="24"/>
        <v>90</v>
      </c>
      <c r="F194" s="84">
        <f>average(E194:E197)</f>
        <v>90</v>
      </c>
      <c r="G194" s="146">
        <v>25.0</v>
      </c>
      <c r="H194" s="1">
        <v>168.0</v>
      </c>
      <c r="I194" s="83">
        <f>(G194*H194)*290*(F194/100)</f>
        <v>1096200</v>
      </c>
      <c r="J194" s="144"/>
      <c r="K194" s="134"/>
    </row>
    <row r="195">
      <c r="D195" s="1">
        <v>45.0</v>
      </c>
      <c r="E195" s="147">
        <f t="shared" si="24"/>
        <v>90</v>
      </c>
      <c r="J195" s="144"/>
      <c r="K195" s="134"/>
    </row>
    <row r="196">
      <c r="D196" s="1">
        <v>46.0</v>
      </c>
      <c r="E196" s="147">
        <f t="shared" si="24"/>
        <v>90</v>
      </c>
      <c r="J196" s="144"/>
      <c r="K196" s="134"/>
    </row>
    <row r="197">
      <c r="D197" s="1">
        <v>47.0</v>
      </c>
      <c r="E197" s="147">
        <f t="shared" si="24"/>
        <v>90</v>
      </c>
      <c r="J197" s="144"/>
      <c r="K197" s="134"/>
    </row>
    <row r="198">
      <c r="D198" s="1">
        <v>48.0</v>
      </c>
      <c r="E198" s="147">
        <f t="shared" si="24"/>
        <v>90</v>
      </c>
      <c r="J198" s="144"/>
      <c r="K198" s="134"/>
    </row>
    <row r="199">
      <c r="C199" s="1" t="s">
        <v>91</v>
      </c>
      <c r="D199" s="1">
        <v>49.0</v>
      </c>
      <c r="E199" s="147">
        <f t="shared" si="24"/>
        <v>90</v>
      </c>
      <c r="F199" s="84">
        <f>average(E199:E202)</f>
        <v>90</v>
      </c>
      <c r="G199" s="146">
        <v>25.0</v>
      </c>
      <c r="H199" s="1">
        <v>176.0</v>
      </c>
      <c r="I199" s="83">
        <f>(G199*H199)*290*(F199/100)</f>
        <v>1148400</v>
      </c>
      <c r="J199" s="144"/>
      <c r="K199" s="134"/>
    </row>
    <row r="200">
      <c r="D200" s="1">
        <v>50.0</v>
      </c>
      <c r="E200" s="147">
        <f t="shared" si="24"/>
        <v>90</v>
      </c>
    </row>
    <row r="201">
      <c r="D201" s="1">
        <v>51.0</v>
      </c>
      <c r="E201" s="147">
        <f t="shared" si="24"/>
        <v>90</v>
      </c>
    </row>
    <row r="202">
      <c r="D202" s="1">
        <v>52.0</v>
      </c>
      <c r="E202" s="147">
        <f t="shared" si="24"/>
        <v>90</v>
      </c>
    </row>
    <row r="204">
      <c r="H204" s="1" t="s">
        <v>101</v>
      </c>
      <c r="I204" s="168">
        <f>sum(I172:I199,C45)</f>
        <v>12234349.01</v>
      </c>
    </row>
    <row r="211">
      <c r="B211" s="1" t="s">
        <v>103</v>
      </c>
      <c r="C211" s="1" t="s">
        <v>105</v>
      </c>
      <c r="D211" s="1" t="s">
        <v>106</v>
      </c>
      <c r="E211" s="1" t="s">
        <v>107</v>
      </c>
      <c r="F211" s="1" t="s">
        <v>108</v>
      </c>
      <c r="G211" s="1" t="s">
        <v>109</v>
      </c>
      <c r="H211" s="1" t="s">
        <v>110</v>
      </c>
      <c r="I211" s="1" t="s">
        <v>110</v>
      </c>
      <c r="J211" s="1" t="s">
        <v>112</v>
      </c>
      <c r="K211" s="1" t="s">
        <v>113</v>
      </c>
      <c r="L211" s="1" t="s">
        <v>114</v>
      </c>
      <c r="M211" s="1" t="s">
        <v>115</v>
      </c>
    </row>
    <row r="212">
      <c r="B212" s="1" t="s">
        <v>116</v>
      </c>
      <c r="C212" s="87">
        <v>385000.0</v>
      </c>
      <c r="D212" s="87">
        <v>2076800.0</v>
      </c>
      <c r="E212" s="87">
        <v>2330132.0</v>
      </c>
      <c r="F212" s="87">
        <v>2890770.0</v>
      </c>
      <c r="G212" s="87">
        <v>1285048.0</v>
      </c>
      <c r="H212" s="87">
        <v>2048860.0</v>
      </c>
      <c r="I212" s="87">
        <v>1524640.0</v>
      </c>
      <c r="J212" s="87">
        <v>4914232.0</v>
      </c>
      <c r="K212" s="87">
        <v>759420.0</v>
      </c>
      <c r="L212" s="87">
        <v>1645968.0</v>
      </c>
      <c r="M212" s="83"/>
    </row>
    <row r="213">
      <c r="B213" s="1" t="s">
        <v>117</v>
      </c>
      <c r="C213" s="87">
        <v>2986150.0</v>
      </c>
      <c r="D213" s="87">
        <v>2391090.0</v>
      </c>
      <c r="E213" s="87">
        <v>3206360.0</v>
      </c>
      <c r="F213" s="87">
        <v>4763100.0</v>
      </c>
      <c r="G213" s="87">
        <v>1252800.0</v>
      </c>
      <c r="H213" s="87">
        <v>1560728.0</v>
      </c>
      <c r="I213" s="87">
        <v>2693648.0</v>
      </c>
      <c r="J213" s="87">
        <v>2628471.0</v>
      </c>
      <c r="K213" s="87">
        <v>5002490.0</v>
      </c>
      <c r="L213" s="87">
        <v>4368296.0</v>
      </c>
      <c r="M213" s="83"/>
    </row>
    <row r="215">
      <c r="B215" s="1" t="s">
        <v>120</v>
      </c>
      <c r="G215" s="106">
        <f t="shared" ref="G215:L215" si="25">(G212-C212)/C212</f>
        <v>2.337787013</v>
      </c>
      <c r="H215" s="106">
        <f t="shared" si="25"/>
        <v>-0.01345338983</v>
      </c>
      <c r="I215" s="106">
        <f t="shared" si="25"/>
        <v>-0.3456851372</v>
      </c>
      <c r="J215" s="106">
        <f t="shared" si="25"/>
        <v>0.6999733635</v>
      </c>
      <c r="K215" s="106">
        <f t="shared" si="25"/>
        <v>-0.4090337482</v>
      </c>
      <c r="L215" s="106">
        <f t="shared" si="25"/>
        <v>-0.1966420351</v>
      </c>
    </row>
    <row r="216">
      <c r="B216" s="1" t="s">
        <v>121</v>
      </c>
      <c r="G216" s="106">
        <f t="shared" ref="G216:L216" si="26">(G213-C213)/C213</f>
        <v>-0.5804631382</v>
      </c>
      <c r="H216" s="106">
        <f t="shared" si="26"/>
        <v>-0.3472734192</v>
      </c>
      <c r="I216" s="106">
        <f t="shared" si="26"/>
        <v>-0.1599046894</v>
      </c>
      <c r="J216" s="106">
        <f t="shared" si="26"/>
        <v>-0.4481596019</v>
      </c>
      <c r="K216" s="106">
        <f t="shared" si="26"/>
        <v>2.993047573</v>
      </c>
      <c r="L216" s="106">
        <f t="shared" si="26"/>
        <v>1.798883598</v>
      </c>
    </row>
    <row r="220"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</row>
    <row r="222">
      <c r="E222" s="23" t="s">
        <v>18</v>
      </c>
      <c r="F222" s="24" t="s">
        <v>20</v>
      </c>
      <c r="G222" s="24" t="s">
        <v>22</v>
      </c>
      <c r="H222" s="26" t="s">
        <v>23</v>
      </c>
      <c r="I222" s="18" t="s">
        <v>12</v>
      </c>
      <c r="J222" s="18" t="s">
        <v>13</v>
      </c>
      <c r="K222" s="18" t="s">
        <v>14</v>
      </c>
      <c r="L222" s="20" t="s">
        <v>15</v>
      </c>
      <c r="M222" s="18" t="s">
        <v>7</v>
      </c>
      <c r="N222" s="18" t="s">
        <v>8</v>
      </c>
      <c r="O222" s="18" t="s">
        <v>9</v>
      </c>
      <c r="P222" s="20" t="s">
        <v>10</v>
      </c>
    </row>
    <row r="223">
      <c r="D223" s="184" t="s">
        <v>125</v>
      </c>
      <c r="E223" s="88">
        <v>0.28165683942371667</v>
      </c>
      <c r="F223" s="88">
        <v>0.29910718734119196</v>
      </c>
      <c r="G223" s="88">
        <v>0.2770482349565815</v>
      </c>
      <c r="H223" s="88">
        <v>0.2993268737557726</v>
      </c>
      <c r="I223" s="88">
        <v>0.3411396143284603</v>
      </c>
      <c r="J223" s="88">
        <v>0.3376540106079838</v>
      </c>
      <c r="K223" s="88">
        <v>0.4074274191826523</v>
      </c>
      <c r="L223" s="88">
        <v>0.4517196588764478</v>
      </c>
      <c r="M223" s="88">
        <v>0.4231306969899841</v>
      </c>
      <c r="N223" s="88">
        <v>0.37207872068066267</v>
      </c>
      <c r="O223" s="88">
        <v>0.38520280088802517</v>
      </c>
      <c r="P223" s="88">
        <v>0.4037752629009943</v>
      </c>
    </row>
    <row r="224">
      <c r="D224" s="184" t="s">
        <v>126</v>
      </c>
      <c r="E224" s="88">
        <v>0.08449483952216426</v>
      </c>
      <c r="F224" s="88">
        <v>0.07591124684874996</v>
      </c>
      <c r="G224" s="88">
        <v>0.07248401861244844</v>
      </c>
      <c r="H224" s="88">
        <v>0.11567226042776654</v>
      </c>
      <c r="I224" s="88">
        <v>0.05918700600617799</v>
      </c>
      <c r="J224" s="88">
        <v>0.07329930277146152</v>
      </c>
      <c r="K224" s="88">
        <v>0.08743629047599721</v>
      </c>
      <c r="L224" s="88">
        <v>0.08494786536778008</v>
      </c>
      <c r="M224" s="88">
        <v>0.08628982391628216</v>
      </c>
      <c r="N224" s="88">
        <v>0.07882012183449212</v>
      </c>
      <c r="O224" s="88">
        <v>0.09443507773950595</v>
      </c>
      <c r="P224" s="88">
        <v>0.0612805146606898</v>
      </c>
    </row>
    <row r="225">
      <c r="D225" s="184" t="s">
        <v>128</v>
      </c>
      <c r="E225" s="88">
        <v>0.2734923280029689</v>
      </c>
      <c r="F225" s="88">
        <v>0.24913583506880438</v>
      </c>
      <c r="G225" s="88">
        <v>0.2144334061443672</v>
      </c>
      <c r="H225" s="88">
        <v>0.22968964471231765</v>
      </c>
      <c r="I225" s="88">
        <v>0.24109730344675834</v>
      </c>
      <c r="J225" s="88">
        <v>0.3240651157145908</v>
      </c>
      <c r="K225" s="88">
        <v>0.40763900683832066</v>
      </c>
      <c r="L225" s="88">
        <v>0.41885815019538836</v>
      </c>
      <c r="M225" s="88">
        <v>0.4251793032693331</v>
      </c>
      <c r="N225" s="88">
        <v>0.3974034766643273</v>
      </c>
      <c r="O225" s="88">
        <v>0.3927108426519885</v>
      </c>
      <c r="P225" s="88">
        <v>0.35542283187561535</v>
      </c>
    </row>
    <row r="226">
      <c r="D226" s="184" t="s">
        <v>129</v>
      </c>
      <c r="E226" s="88">
        <v>0.07960232712357769</v>
      </c>
      <c r="F226" s="88">
        <v>0.10519968711699233</v>
      </c>
      <c r="G226" s="88">
        <v>0.09235193554975196</v>
      </c>
      <c r="H226" s="88">
        <v>0.14944667573556533</v>
      </c>
      <c r="I226" s="88">
        <v>0.07928110528016641</v>
      </c>
      <c r="J226" s="88">
        <v>0.13399815664309278</v>
      </c>
      <c r="K226" s="88">
        <v>0.12484902739887024</v>
      </c>
      <c r="L226" s="88">
        <v>0.09312566219411514</v>
      </c>
      <c r="M226" s="88">
        <v>0.14043837033352216</v>
      </c>
      <c r="N226" s="88">
        <v>0.18474142783316821</v>
      </c>
      <c r="O226" s="88">
        <v>0.08635214041588432</v>
      </c>
      <c r="P226" s="88">
        <v>0.08538709558464917</v>
      </c>
    </row>
    <row r="227">
      <c r="D227" s="184" t="s">
        <v>130</v>
      </c>
      <c r="E227" s="88">
        <v>0.28075366592757245</v>
      </c>
      <c r="F227" s="88">
        <v>0.27064604362426137</v>
      </c>
      <c r="G227" s="88">
        <v>0.3436824047368509</v>
      </c>
      <c r="H227" s="88">
        <v>0.20586454536857787</v>
      </c>
      <c r="I227" s="88">
        <v>0.27929497093843697</v>
      </c>
      <c r="J227" s="88">
        <v>0.13098341426287113</v>
      </c>
      <c r="K227" s="88">
        <v>-0.0273517438958404</v>
      </c>
      <c r="L227" s="88">
        <v>-0.04865133663373137</v>
      </c>
      <c r="M227" s="88">
        <v>-0.07503819450912158</v>
      </c>
      <c r="N227" s="88">
        <v>-0.03304374701265034</v>
      </c>
      <c r="O227" s="88">
        <v>0.041299138304596084</v>
      </c>
      <c r="P227" s="88">
        <v>0.09413429497805133</v>
      </c>
    </row>
    <row r="306">
      <c r="B306" s="18" t="s">
        <v>131</v>
      </c>
      <c r="C306" s="18" t="s">
        <v>7</v>
      </c>
      <c r="D306" s="18" t="s">
        <v>8</v>
      </c>
      <c r="E306" s="18" t="s">
        <v>9</v>
      </c>
      <c r="F306" s="20" t="s">
        <v>10</v>
      </c>
      <c r="G306" s="18" t="s">
        <v>2</v>
      </c>
      <c r="H306" s="18" t="s">
        <v>3</v>
      </c>
      <c r="I306" s="18" t="s">
        <v>4</v>
      </c>
      <c r="J306" s="20" t="s">
        <v>5</v>
      </c>
    </row>
    <row r="307">
      <c r="B307" s="1" t="s">
        <v>132</v>
      </c>
      <c r="C307" s="137">
        <v>241742.0</v>
      </c>
      <c r="D307" s="137">
        <v>224766.0</v>
      </c>
      <c r="E307" s="137">
        <v>223700.0</v>
      </c>
      <c r="F307" s="137">
        <v>260613.0</v>
      </c>
      <c r="G307" s="102">
        <v>305663.0</v>
      </c>
      <c r="H307" s="102">
        <v>171663.0</v>
      </c>
      <c r="I307" s="102">
        <v>145613.0</v>
      </c>
      <c r="J307" s="102">
        <v>0.0</v>
      </c>
    </row>
    <row r="308">
      <c r="B308" s="1" t="s">
        <v>133</v>
      </c>
      <c r="G308" s="102">
        <v>102168.0</v>
      </c>
      <c r="H308" s="102">
        <v>129870.45000000001</v>
      </c>
      <c r="I308" s="102">
        <v>151120.42</v>
      </c>
    </row>
    <row r="309">
      <c r="B309" s="1" t="s">
        <v>134</v>
      </c>
      <c r="G309" s="102">
        <v>0.0</v>
      </c>
      <c r="H309" s="102">
        <v>95004.67</v>
      </c>
      <c r="I309" s="102">
        <v>136805.25</v>
      </c>
    </row>
    <row r="310">
      <c r="B310" s="1" t="s">
        <v>135</v>
      </c>
      <c r="F310" s="1" t="s">
        <v>135</v>
      </c>
      <c r="G310" s="3">
        <f t="shared" ref="G310:I310" si="27">SUM(G308:G309)</f>
        <v>102168</v>
      </c>
      <c r="H310" s="3">
        <f t="shared" si="27"/>
        <v>224875.12</v>
      </c>
      <c r="I310" s="3">
        <f t="shared" si="27"/>
        <v>287925.67</v>
      </c>
      <c r="J310" s="190">
        <f>F351+F346</f>
        <v>637120.42</v>
      </c>
      <c r="K310" s="191"/>
    </row>
    <row r="311">
      <c r="B311" s="1" t="s">
        <v>136</v>
      </c>
      <c r="F311" s="1" t="s">
        <v>136</v>
      </c>
      <c r="G311" s="102">
        <v>75000.0</v>
      </c>
      <c r="H311" s="102">
        <v>85000.0</v>
      </c>
      <c r="I311" s="192">
        <v>150000.0</v>
      </c>
      <c r="J311" s="192">
        <v>265000.0</v>
      </c>
      <c r="K311" s="193"/>
    </row>
    <row r="312">
      <c r="B312" s="1" t="s">
        <v>137</v>
      </c>
      <c r="F312" s="1" t="s">
        <v>137</v>
      </c>
      <c r="G312" s="102">
        <v>75000.0</v>
      </c>
      <c r="H312" s="102">
        <v>125000.0</v>
      </c>
      <c r="I312" s="192">
        <v>330000.0</v>
      </c>
      <c r="J312" s="192">
        <v>515000.0</v>
      </c>
      <c r="K312" s="193"/>
    </row>
    <row r="313">
      <c r="B313" s="1" t="s">
        <v>138</v>
      </c>
      <c r="F313" s="1" t="s">
        <v>138</v>
      </c>
      <c r="G313" s="3">
        <v>102168.34</v>
      </c>
      <c r="H313" s="3">
        <v>210000.0</v>
      </c>
      <c r="I313" s="194">
        <v>480000.0</v>
      </c>
      <c r="J313" s="194">
        <v>770000.0</v>
      </c>
      <c r="K313" s="193"/>
    </row>
    <row r="314" ht="3.75" customHeight="1">
      <c r="B314" s="1"/>
      <c r="G314" s="102"/>
      <c r="H314" s="102"/>
      <c r="I314" s="102"/>
      <c r="J314" s="102"/>
      <c r="K314" s="102"/>
    </row>
    <row r="315">
      <c r="B315" s="1" t="s">
        <v>139</v>
      </c>
      <c r="F315" s="1" t="s">
        <v>139</v>
      </c>
      <c r="G315" s="102">
        <v>102168.0</v>
      </c>
      <c r="H315" s="102">
        <v>129870.45000000001</v>
      </c>
      <c r="I315" s="102">
        <v>151120.42</v>
      </c>
      <c r="J315" s="102">
        <v>0.0</v>
      </c>
      <c r="K315" s="102"/>
    </row>
    <row r="316">
      <c r="B316" s="1" t="s">
        <v>140</v>
      </c>
      <c r="G316" s="102">
        <v>78776.34999999999</v>
      </c>
      <c r="H316" s="102">
        <v>88364.76999999999</v>
      </c>
      <c r="I316" s="102">
        <v>106751.28</v>
      </c>
      <c r="J316" s="102">
        <v>0.0</v>
      </c>
      <c r="K316" s="102"/>
    </row>
    <row r="317">
      <c r="B317" s="1" t="s">
        <v>141</v>
      </c>
      <c r="G317" s="3">
        <f t="shared" ref="G317:J317" si="28">G315-G316</f>
        <v>23391.65</v>
      </c>
      <c r="H317" s="3">
        <f t="shared" si="28"/>
        <v>41505.68</v>
      </c>
      <c r="I317" s="3">
        <f t="shared" si="28"/>
        <v>44369.14</v>
      </c>
      <c r="J317" s="3">
        <f t="shared" si="28"/>
        <v>0</v>
      </c>
    </row>
    <row r="318">
      <c r="B318" s="1" t="s">
        <v>142</v>
      </c>
      <c r="G318" s="106">
        <f t="shared" ref="G318:J318" si="29">IFERROR(ROUND(G317/G315,2),0)</f>
        <v>0.23</v>
      </c>
      <c r="H318" s="106">
        <f t="shared" si="29"/>
        <v>0.32</v>
      </c>
      <c r="I318" s="106">
        <f t="shared" si="29"/>
        <v>0.29</v>
      </c>
      <c r="J318" s="106">
        <f t="shared" si="29"/>
        <v>0</v>
      </c>
    </row>
    <row r="319" ht="3.75" customHeight="1">
      <c r="B319" s="1"/>
      <c r="G319" s="102"/>
      <c r="H319" s="102"/>
      <c r="I319" s="102"/>
      <c r="J319" s="102"/>
      <c r="K319" s="102"/>
    </row>
    <row r="320">
      <c r="B320" s="1" t="s">
        <v>143</v>
      </c>
      <c r="F320" s="1" t="s">
        <v>143</v>
      </c>
      <c r="G320" s="102">
        <v>0.0</v>
      </c>
      <c r="H320" s="102">
        <v>95004.67</v>
      </c>
      <c r="I320" s="102">
        <v>136805.25</v>
      </c>
      <c r="J320" s="102">
        <v>0.0</v>
      </c>
      <c r="K320" s="102"/>
    </row>
    <row r="321">
      <c r="B321" s="1" t="s">
        <v>144</v>
      </c>
      <c r="G321" s="102">
        <v>11589.03</v>
      </c>
      <c r="H321" s="102">
        <v>36674.979999999996</v>
      </c>
      <c r="I321" s="102">
        <v>82693.23</v>
      </c>
      <c r="J321" s="102">
        <v>0.0</v>
      </c>
      <c r="K321" s="102"/>
    </row>
    <row r="322">
      <c r="B322" s="1" t="s">
        <v>145</v>
      </c>
      <c r="G322" s="3">
        <f t="shared" ref="G322:J322" si="30">G320-G321</f>
        <v>-11589.03</v>
      </c>
      <c r="H322" s="3">
        <f t="shared" si="30"/>
        <v>58329.69</v>
      </c>
      <c r="I322" s="3">
        <f t="shared" si="30"/>
        <v>54112.02</v>
      </c>
      <c r="J322" s="3">
        <f t="shared" si="30"/>
        <v>0</v>
      </c>
    </row>
    <row r="323">
      <c r="B323" s="1" t="s">
        <v>146</v>
      </c>
      <c r="G323" s="106">
        <f t="shared" ref="G323:J323" si="31">IFERROR(ROUND(G322/G320,2),0)</f>
        <v>0</v>
      </c>
      <c r="H323" s="106">
        <f t="shared" si="31"/>
        <v>0.61</v>
      </c>
      <c r="I323" s="106">
        <f t="shared" si="31"/>
        <v>0.4</v>
      </c>
      <c r="J323" s="106">
        <f t="shared" si="31"/>
        <v>0</v>
      </c>
    </row>
    <row r="345">
      <c r="C345" s="195" t="s">
        <v>2</v>
      </c>
      <c r="D345" s="195" t="s">
        <v>3</v>
      </c>
      <c r="E345" s="195" t="s">
        <v>4</v>
      </c>
      <c r="F345" s="196" t="s">
        <v>5</v>
      </c>
    </row>
    <row r="346">
      <c r="B346" s="1" t="s">
        <v>139</v>
      </c>
      <c r="C346" s="197">
        <v>102168.0</v>
      </c>
      <c r="D346" s="197">
        <v>129870.45000000001</v>
      </c>
      <c r="E346" s="197">
        <v>151120.42</v>
      </c>
      <c r="F346" s="198">
        <v>184120.42</v>
      </c>
    </row>
    <row r="347">
      <c r="B347" s="1" t="s">
        <v>140</v>
      </c>
      <c r="C347" s="197">
        <v>78776.34999999999</v>
      </c>
      <c r="D347" s="197">
        <v>88364.76999999999</v>
      </c>
      <c r="E347" s="197">
        <v>106751.28</v>
      </c>
      <c r="F347" s="197">
        <v>106751.28</v>
      </c>
    </row>
    <row r="348">
      <c r="B348" s="1" t="s">
        <v>141</v>
      </c>
      <c r="C348" s="197">
        <f t="shared" ref="C348:F348" si="32">C346-C347</f>
        <v>23391.65</v>
      </c>
      <c r="D348" s="197">
        <f t="shared" si="32"/>
        <v>41505.68</v>
      </c>
      <c r="E348" s="197">
        <f t="shared" si="32"/>
        <v>44369.14</v>
      </c>
      <c r="F348" s="197">
        <f t="shared" si="32"/>
        <v>77369.14</v>
      </c>
    </row>
    <row r="349">
      <c r="B349" s="1" t="s">
        <v>142</v>
      </c>
      <c r="C349" s="199">
        <f t="shared" ref="C349:F349" si="33">IFERROR(ROUND(C348/C346,2),0)</f>
        <v>0.23</v>
      </c>
      <c r="D349" s="199">
        <f t="shared" si="33"/>
        <v>0.32</v>
      </c>
      <c r="E349" s="199">
        <f t="shared" si="33"/>
        <v>0.29</v>
      </c>
      <c r="F349" s="199">
        <f t="shared" si="33"/>
        <v>0.42</v>
      </c>
    </row>
    <row r="350">
      <c r="B350" s="1"/>
      <c r="C350" s="54"/>
      <c r="D350" s="54"/>
      <c r="E350" s="54"/>
      <c r="F350" s="54"/>
    </row>
    <row r="351">
      <c r="B351" s="1" t="s">
        <v>143</v>
      </c>
      <c r="C351" s="197">
        <v>0.0</v>
      </c>
      <c r="D351" s="197">
        <v>95004.67</v>
      </c>
      <c r="E351" s="197">
        <v>136805.25</v>
      </c>
      <c r="F351" s="198">
        <v>453000.0</v>
      </c>
    </row>
    <row r="352">
      <c r="B352" s="1" t="s">
        <v>144</v>
      </c>
      <c r="C352" s="197">
        <v>11589.03</v>
      </c>
      <c r="D352" s="197">
        <v>36674.979999999996</v>
      </c>
      <c r="E352" s="197">
        <v>82693.23</v>
      </c>
      <c r="F352" s="198">
        <v>130000.0</v>
      </c>
    </row>
    <row r="353">
      <c r="B353" s="1" t="s">
        <v>145</v>
      </c>
      <c r="C353" s="197">
        <f t="shared" ref="C353:F353" si="34">C351-C352</f>
        <v>-11589.03</v>
      </c>
      <c r="D353" s="197">
        <f t="shared" si="34"/>
        <v>58329.69</v>
      </c>
      <c r="E353" s="197">
        <f t="shared" si="34"/>
        <v>54112.02</v>
      </c>
      <c r="F353" s="197">
        <f t="shared" si="34"/>
        <v>323000</v>
      </c>
    </row>
    <row r="354">
      <c r="B354" s="1" t="s">
        <v>146</v>
      </c>
      <c r="C354" s="199">
        <f t="shared" ref="C354:F354" si="35">IFERROR(ROUND(C353/C351,2),0)</f>
        <v>0</v>
      </c>
      <c r="D354" s="199">
        <f t="shared" si="35"/>
        <v>0.61</v>
      </c>
      <c r="E354" s="199">
        <f t="shared" si="35"/>
        <v>0.4</v>
      </c>
      <c r="F354" s="199">
        <f t="shared" si="35"/>
        <v>0.71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 outlineLevelRow="1"/>
  <cols>
    <col customWidth="1" min="1" max="1" width="6.86"/>
    <col customWidth="1" min="2" max="2" width="27.29"/>
    <col customWidth="1" min="3" max="25" width="14.71" outlineLevel="2"/>
    <col customWidth="1" min="26" max="26" width="10.0" outlineLevel="2"/>
    <col customWidth="1" min="27" max="37" width="14.71" outlineLevel="1"/>
    <col customWidth="1" min="38" max="38" width="16.29" outlineLevel="1"/>
    <col customWidth="1" min="39" max="50" width="14.71" outlineLevel="1"/>
    <col customWidth="1" min="51" max="74" width="14.71"/>
    <col customWidth="1" min="75" max="75" width="5.71"/>
    <col customWidth="1" min="76" max="76" width="15.57"/>
    <col customWidth="1" min="77" max="77" width="4.43"/>
    <col min="78" max="81" width="14.43" outlineLevel="1"/>
    <col customWidth="1" min="83" max="83" width="4.43"/>
    <col min="84" max="87" width="14.43" outlineLevel="1"/>
    <col customWidth="1" min="89" max="89" width="5.57"/>
    <col min="90" max="93" width="14.43" outlineLevel="1"/>
    <col customWidth="1" min="95" max="95" width="5.57"/>
    <col min="96" max="99" width="14.43" outlineLevel="1"/>
    <col customWidth="1" min="101" max="101" width="5.57"/>
    <col collapsed="1" min="103" max="103" width="14.43"/>
    <col customWidth="1" hidden="1" min="104" max="114" width="14.71" outlineLevel="1"/>
    <col customWidth="1" hidden="1" min="115" max="115" width="10.0" outlineLevel="1"/>
    <col customWidth="1" min="116" max="126" width="14.71"/>
    <col customWidth="1" min="127" max="127" width="16.29"/>
    <col customWidth="1" min="128" max="141" width="14.71"/>
    <col customWidth="1" min="142" max="142" width="10.86"/>
    <col customWidth="1" min="143" max="153" width="14.71"/>
    <col customWidth="1" min="154" max="154" width="10.86"/>
    <col customWidth="1" min="155" max="164" width="14.71"/>
  </cols>
  <sheetData>
    <row r="1" ht="7.5" customHeight="1">
      <c r="A1" s="1" t="s">
        <v>0</v>
      </c>
      <c r="CR1" s="2"/>
      <c r="CS1" s="2"/>
      <c r="CT1" s="2"/>
      <c r="CU1" s="2"/>
      <c r="EI1" s="3"/>
    </row>
    <row r="2">
      <c r="C2" s="4">
        <v>2020.0</v>
      </c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4">
        <v>2021.0</v>
      </c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4">
        <v>2022.0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4">
        <v>2023.0</v>
      </c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CR2" s="7"/>
      <c r="CS2" s="7"/>
      <c r="CT2" s="7"/>
      <c r="CU2" s="7"/>
      <c r="CZ2" s="8" t="s">
        <v>1</v>
      </c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10"/>
      <c r="FH2" s="11"/>
    </row>
    <row r="3">
      <c r="B3" s="12"/>
      <c r="C3" s="13">
        <v>43831.0</v>
      </c>
      <c r="D3" s="13">
        <v>43862.0</v>
      </c>
      <c r="E3" s="13">
        <v>43891.0</v>
      </c>
      <c r="F3" s="13">
        <v>43922.0</v>
      </c>
      <c r="G3" s="13">
        <v>43952.0</v>
      </c>
      <c r="H3" s="13">
        <v>43983.0</v>
      </c>
      <c r="I3" s="13">
        <v>44013.0</v>
      </c>
      <c r="J3" s="13">
        <v>44044.0</v>
      </c>
      <c r="K3" s="13">
        <v>44075.0</v>
      </c>
      <c r="L3" s="13">
        <v>44105.0</v>
      </c>
      <c r="M3" s="13">
        <v>44136.0</v>
      </c>
      <c r="N3" s="13">
        <v>44166.0</v>
      </c>
      <c r="O3" s="13">
        <v>44197.0</v>
      </c>
      <c r="P3" s="13">
        <v>44228.0</v>
      </c>
      <c r="Q3" s="13">
        <v>44256.0</v>
      </c>
      <c r="R3" s="13">
        <v>44287.0</v>
      </c>
      <c r="S3" s="13">
        <v>44317.0</v>
      </c>
      <c r="T3" s="13">
        <v>44348.0</v>
      </c>
      <c r="U3" s="13">
        <v>44378.0</v>
      </c>
      <c r="V3" s="13">
        <v>44409.0</v>
      </c>
      <c r="W3" s="13">
        <v>44440.0</v>
      </c>
      <c r="X3" s="13">
        <v>44470.0</v>
      </c>
      <c r="Y3" s="13">
        <v>44501.0</v>
      </c>
      <c r="Z3" s="13">
        <v>44531.0</v>
      </c>
      <c r="AA3" s="13">
        <v>44562.0</v>
      </c>
      <c r="AB3" s="13">
        <v>44593.0</v>
      </c>
      <c r="AC3" s="13">
        <v>44621.0</v>
      </c>
      <c r="AD3" s="13">
        <v>44652.0</v>
      </c>
      <c r="AE3" s="13">
        <v>44682.0</v>
      </c>
      <c r="AF3" s="13">
        <v>44713.0</v>
      </c>
      <c r="AG3" s="13">
        <v>44743.0</v>
      </c>
      <c r="AH3" s="13">
        <v>44774.0</v>
      </c>
      <c r="AI3" s="13">
        <v>44805.0</v>
      </c>
      <c r="AJ3" s="13">
        <v>44835.0</v>
      </c>
      <c r="AK3" s="13">
        <v>44866.0</v>
      </c>
      <c r="AL3" s="13">
        <v>44896.0</v>
      </c>
      <c r="AM3" s="13">
        <v>44927.0</v>
      </c>
      <c r="AN3" s="13">
        <v>44958.0</v>
      </c>
      <c r="AO3" s="13">
        <v>44986.0</v>
      </c>
      <c r="AP3" s="13">
        <v>45017.0</v>
      </c>
      <c r="AQ3" s="13">
        <v>45047.0</v>
      </c>
      <c r="AR3" s="13">
        <v>45078.0</v>
      </c>
      <c r="AS3" s="13">
        <v>45108.0</v>
      </c>
      <c r="AT3" s="13">
        <v>45139.0</v>
      </c>
      <c r="AU3" s="13">
        <v>45170.0</v>
      </c>
      <c r="AV3" s="13">
        <v>45200.0</v>
      </c>
      <c r="AW3" s="13">
        <v>45231.0</v>
      </c>
      <c r="AX3" s="13">
        <v>45261.0</v>
      </c>
      <c r="AY3" s="13">
        <v>45292.0</v>
      </c>
      <c r="AZ3" s="13">
        <v>45323.0</v>
      </c>
      <c r="BA3" s="13">
        <v>45352.0</v>
      </c>
      <c r="BB3" s="13">
        <v>45383.0</v>
      </c>
      <c r="BC3" s="14">
        <v>45413.0</v>
      </c>
      <c r="BD3" s="13">
        <v>45444.0</v>
      </c>
      <c r="BE3" s="13">
        <v>45474.0</v>
      </c>
      <c r="BF3" s="13">
        <v>45505.0</v>
      </c>
      <c r="BG3" s="13">
        <v>45536.0</v>
      </c>
      <c r="BH3" s="13">
        <v>45566.0</v>
      </c>
      <c r="BI3" s="13">
        <v>45597.0</v>
      </c>
      <c r="BJ3" s="13">
        <v>45627.0</v>
      </c>
      <c r="BK3" s="13">
        <v>45658.0</v>
      </c>
      <c r="BL3" s="13">
        <v>45689.0</v>
      </c>
      <c r="BM3" s="13">
        <v>45717.0</v>
      </c>
      <c r="BN3" s="13">
        <v>45748.0</v>
      </c>
      <c r="BO3" s="13">
        <v>45778.0</v>
      </c>
      <c r="BP3" s="13">
        <v>45809.0</v>
      </c>
      <c r="BQ3" s="13">
        <v>45839.0</v>
      </c>
      <c r="BR3" s="13">
        <v>45870.0</v>
      </c>
      <c r="BS3" s="13">
        <v>45901.0</v>
      </c>
      <c r="BT3" s="13">
        <v>45931.0</v>
      </c>
      <c r="BU3" s="13">
        <v>45962.0</v>
      </c>
      <c r="BV3" s="13">
        <v>45992.0</v>
      </c>
      <c r="BW3" s="15"/>
      <c r="BX3" s="16" t="str">
        <f>"TTM as of "&amp;TEXT('GAAP Summary'!B2,"MMM 'YY")</f>
        <v>TTM as of Jun '26</v>
      </c>
      <c r="BY3" s="17"/>
      <c r="BZ3" s="18" t="s">
        <v>2</v>
      </c>
      <c r="CA3" s="18" t="s">
        <v>3</v>
      </c>
      <c r="CB3" s="18" t="s">
        <v>4</v>
      </c>
      <c r="CC3" s="20" t="s">
        <v>5</v>
      </c>
      <c r="CD3" s="16" t="s">
        <v>6</v>
      </c>
      <c r="CE3" s="17"/>
      <c r="CF3" s="18" t="s">
        <v>7</v>
      </c>
      <c r="CG3" s="18" t="s">
        <v>8</v>
      </c>
      <c r="CH3" s="18" t="s">
        <v>9</v>
      </c>
      <c r="CI3" s="20" t="s">
        <v>10</v>
      </c>
      <c r="CJ3" s="16" t="s">
        <v>11</v>
      </c>
      <c r="CK3" s="17"/>
      <c r="CL3" s="18" t="s">
        <v>12</v>
      </c>
      <c r="CM3" s="18" t="s">
        <v>13</v>
      </c>
      <c r="CN3" s="18" t="s">
        <v>14</v>
      </c>
      <c r="CO3" s="20" t="s">
        <v>15</v>
      </c>
      <c r="CP3" s="16" t="s">
        <v>16</v>
      </c>
      <c r="CR3" s="23" t="s">
        <v>18</v>
      </c>
      <c r="CS3" s="24" t="s">
        <v>20</v>
      </c>
      <c r="CT3" s="24" t="s">
        <v>22</v>
      </c>
      <c r="CU3" s="26" t="s">
        <v>23</v>
      </c>
      <c r="CV3" s="28" t="s">
        <v>25</v>
      </c>
      <c r="CW3" s="30"/>
      <c r="CX3" s="28" t="s">
        <v>26</v>
      </c>
      <c r="CY3" s="30"/>
      <c r="CZ3" s="13">
        <v>44197.0</v>
      </c>
      <c r="DA3" s="13">
        <v>44228.0</v>
      </c>
      <c r="DB3" s="13">
        <v>44256.0</v>
      </c>
      <c r="DC3" s="13">
        <v>44287.0</v>
      </c>
      <c r="DD3" s="13">
        <v>44317.0</v>
      </c>
      <c r="DE3" s="13">
        <v>44348.0</v>
      </c>
      <c r="DF3" s="13">
        <v>44378.0</v>
      </c>
      <c r="DG3" s="13">
        <v>44409.0</v>
      </c>
      <c r="DH3" s="13">
        <v>44440.0</v>
      </c>
      <c r="DI3" s="13">
        <v>44470.0</v>
      </c>
      <c r="DJ3" s="13">
        <v>44501.0</v>
      </c>
      <c r="DK3" s="13">
        <v>44531.0</v>
      </c>
      <c r="DL3" s="13">
        <v>44562.0</v>
      </c>
      <c r="DM3" s="13">
        <v>44593.0</v>
      </c>
      <c r="DN3" s="13">
        <v>44621.0</v>
      </c>
      <c r="DO3" s="13">
        <v>44652.0</v>
      </c>
      <c r="DP3" s="13">
        <v>44682.0</v>
      </c>
      <c r="DQ3" s="13">
        <v>44713.0</v>
      </c>
      <c r="DR3" s="13">
        <v>44743.0</v>
      </c>
      <c r="DS3" s="13">
        <v>44774.0</v>
      </c>
      <c r="DT3" s="13">
        <v>44805.0</v>
      </c>
      <c r="DU3" s="13">
        <v>44835.0</v>
      </c>
      <c r="DV3" s="13">
        <v>44866.0</v>
      </c>
      <c r="DW3" s="13">
        <v>44896.0</v>
      </c>
      <c r="DX3" s="13">
        <v>44927.0</v>
      </c>
      <c r="DY3" s="13">
        <v>44958.0</v>
      </c>
      <c r="DZ3" s="13">
        <v>44986.0</v>
      </c>
      <c r="EA3" s="13">
        <v>45017.0</v>
      </c>
      <c r="EB3" s="13">
        <v>45047.0</v>
      </c>
      <c r="EC3" s="13">
        <v>45078.0</v>
      </c>
      <c r="ED3" s="13">
        <v>45108.0</v>
      </c>
      <c r="EE3" s="13">
        <v>45139.0</v>
      </c>
      <c r="EF3" s="13">
        <v>45170.0</v>
      </c>
      <c r="EG3" s="13">
        <v>45200.0</v>
      </c>
      <c r="EH3" s="13">
        <v>45231.0</v>
      </c>
      <c r="EI3" s="13">
        <v>45261.0</v>
      </c>
      <c r="EJ3" s="13">
        <v>45292.0</v>
      </c>
      <c r="EK3" s="13">
        <v>45323.0</v>
      </c>
      <c r="EL3" s="13">
        <v>45352.0</v>
      </c>
      <c r="EM3" s="13">
        <v>45383.0</v>
      </c>
      <c r="EN3" s="14">
        <v>45413.0</v>
      </c>
      <c r="EO3" s="13">
        <v>45444.0</v>
      </c>
      <c r="EP3" s="13">
        <v>45474.0</v>
      </c>
      <c r="EQ3" s="13">
        <v>45505.0</v>
      </c>
      <c r="ER3" s="13">
        <v>45536.0</v>
      </c>
      <c r="ES3" s="13">
        <v>45566.0</v>
      </c>
      <c r="ET3" s="13">
        <v>45597.0</v>
      </c>
      <c r="EU3" s="13">
        <v>45627.0</v>
      </c>
      <c r="EV3" s="13">
        <v>45658.0</v>
      </c>
      <c r="EW3" s="13">
        <v>45689.0</v>
      </c>
      <c r="EX3" s="13">
        <v>45717.0</v>
      </c>
      <c r="EY3" s="13">
        <v>45748.0</v>
      </c>
      <c r="EZ3" s="14">
        <v>45778.0</v>
      </c>
      <c r="FA3" s="13">
        <v>45809.0</v>
      </c>
      <c r="FB3" s="13">
        <v>45839.0</v>
      </c>
      <c r="FC3" s="13">
        <v>45870.0</v>
      </c>
      <c r="FD3" s="13">
        <v>45901.0</v>
      </c>
      <c r="FE3" s="13">
        <v>45931.0</v>
      </c>
      <c r="FF3" s="13">
        <v>45962.0</v>
      </c>
      <c r="FG3" s="13">
        <v>45992.0</v>
      </c>
      <c r="FH3" s="31"/>
    </row>
    <row r="4" ht="4.5" customHeight="1">
      <c r="B4" s="32"/>
      <c r="BW4" s="33"/>
      <c r="BX4" s="34"/>
      <c r="CD4" s="34"/>
      <c r="CJ4" s="34"/>
      <c r="CP4" s="34"/>
      <c r="CR4" s="2"/>
      <c r="CS4" s="2"/>
      <c r="CT4" s="2"/>
      <c r="CU4" s="2"/>
      <c r="CV4" s="34"/>
      <c r="CX4" s="34"/>
      <c r="EI4" s="3"/>
    </row>
    <row r="5">
      <c r="A5" s="35"/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9"/>
      <c r="BX5" s="40"/>
      <c r="BY5" s="41"/>
      <c r="BZ5" s="37"/>
      <c r="CA5" s="37"/>
      <c r="CB5" s="37"/>
      <c r="CC5" s="37"/>
      <c r="CD5" s="40"/>
      <c r="CE5" s="41"/>
      <c r="CF5" s="37"/>
      <c r="CG5" s="37"/>
      <c r="CH5" s="37"/>
      <c r="CI5" s="37"/>
      <c r="CJ5" s="40"/>
      <c r="CK5" s="37"/>
      <c r="CL5" s="37"/>
      <c r="CM5" s="37"/>
      <c r="CN5" s="37"/>
      <c r="CO5" s="37"/>
      <c r="CP5" s="40"/>
      <c r="CQ5" s="37"/>
      <c r="CR5" s="37"/>
      <c r="CS5" s="37"/>
      <c r="CT5" s="37"/>
      <c r="CU5" s="37"/>
      <c r="CV5" s="40"/>
      <c r="CW5" s="37"/>
      <c r="CX5" s="40"/>
      <c r="CY5" s="44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</row>
    <row r="6">
      <c r="B6" s="45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>
        <f t="shared" ref="AA6:BR6" si="1">AA18/AA117</f>
        <v>48950.875</v>
      </c>
      <c r="AB6" s="44">
        <f t="shared" si="1"/>
        <v>37808.64286</v>
      </c>
      <c r="AC6" s="44">
        <f t="shared" si="1"/>
        <v>44602.41935</v>
      </c>
      <c r="AD6" s="44">
        <f t="shared" si="1"/>
        <v>35214.76471</v>
      </c>
      <c r="AE6" s="44">
        <f t="shared" si="1"/>
        <v>36490.05714</v>
      </c>
      <c r="AF6" s="44">
        <f t="shared" si="1"/>
        <v>42772.94444</v>
      </c>
      <c r="AG6" s="44">
        <f t="shared" si="1"/>
        <v>34012.25641</v>
      </c>
      <c r="AH6" s="44">
        <f t="shared" si="1"/>
        <v>47156.39024</v>
      </c>
      <c r="AI6" s="44">
        <f t="shared" si="1"/>
        <v>39676.39024</v>
      </c>
      <c r="AJ6" s="44">
        <f t="shared" si="1"/>
        <v>49030.84211</v>
      </c>
      <c r="AK6" s="44">
        <f t="shared" si="1"/>
        <v>41518.02326</v>
      </c>
      <c r="AL6" s="44">
        <f t="shared" si="1"/>
        <v>26321.59574</v>
      </c>
      <c r="AM6" s="44">
        <f t="shared" si="1"/>
        <v>44420.875</v>
      </c>
      <c r="AN6" s="44">
        <f t="shared" si="1"/>
        <v>37381.53846</v>
      </c>
      <c r="AO6" s="44">
        <f t="shared" si="1"/>
        <v>44546.02</v>
      </c>
      <c r="AP6" s="44">
        <f t="shared" si="1"/>
        <v>40989.46667</v>
      </c>
      <c r="AQ6" s="44">
        <f t="shared" si="1"/>
        <v>41321.63043</v>
      </c>
      <c r="AR6" s="44">
        <f t="shared" si="1"/>
        <v>39175.02128</v>
      </c>
      <c r="AS6" s="44">
        <f t="shared" si="1"/>
        <v>33351.16327</v>
      </c>
      <c r="AT6" s="44">
        <f t="shared" si="1"/>
        <v>38181.59615</v>
      </c>
      <c r="AU6" s="44">
        <f t="shared" si="1"/>
        <v>30963.54902</v>
      </c>
      <c r="AV6" s="44">
        <f t="shared" si="1"/>
        <v>36633.31373</v>
      </c>
      <c r="AW6" s="44">
        <f t="shared" si="1"/>
        <v>33146.96</v>
      </c>
      <c r="AX6" s="44">
        <f t="shared" si="1"/>
        <v>32710.45833</v>
      </c>
      <c r="AY6" s="44">
        <f t="shared" si="1"/>
        <v>35794.50894</v>
      </c>
      <c r="AZ6" s="44">
        <f t="shared" si="1"/>
        <v>39764.44404</v>
      </c>
      <c r="BA6" s="44">
        <f t="shared" si="1"/>
        <v>42495.27822</v>
      </c>
      <c r="BB6" s="44">
        <f t="shared" si="1"/>
        <v>45539.15114</v>
      </c>
      <c r="BC6" s="44">
        <f t="shared" si="1"/>
        <v>43546.61886</v>
      </c>
      <c r="BD6" s="44">
        <f t="shared" si="1"/>
        <v>40689.26022</v>
      </c>
      <c r="BE6" s="44">
        <f t="shared" si="1"/>
        <v>44274.92255</v>
      </c>
      <c r="BF6" s="44">
        <f t="shared" si="1"/>
        <v>43344.1276</v>
      </c>
      <c r="BG6" s="44">
        <f t="shared" si="1"/>
        <v>40837.46528</v>
      </c>
      <c r="BH6" s="44">
        <f t="shared" si="1"/>
        <v>51475.35745</v>
      </c>
      <c r="BI6" s="44">
        <f t="shared" si="1"/>
        <v>41834.79424</v>
      </c>
      <c r="BJ6" s="44">
        <f t="shared" si="1"/>
        <v>39172.31758</v>
      </c>
      <c r="BK6" s="44">
        <f t="shared" si="1"/>
        <v>39663.01538</v>
      </c>
      <c r="BL6" s="44">
        <f t="shared" si="1"/>
        <v>37191.78462</v>
      </c>
      <c r="BM6" s="44">
        <f t="shared" si="1"/>
        <v>37938.26563</v>
      </c>
      <c r="BN6" s="44">
        <f t="shared" si="1"/>
        <v>40223.86791</v>
      </c>
      <c r="BO6" s="44">
        <f t="shared" si="1"/>
        <v>36737.07254</v>
      </c>
      <c r="BP6" s="44">
        <f t="shared" si="1"/>
        <v>35258.122</v>
      </c>
      <c r="BQ6" s="44">
        <f t="shared" si="1"/>
        <v>39278.91128</v>
      </c>
      <c r="BR6" s="44">
        <f t="shared" si="1"/>
        <v>36438.12456</v>
      </c>
      <c r="BS6" s="49"/>
      <c r="BT6" s="49"/>
      <c r="BU6" s="49"/>
      <c r="BV6" s="49"/>
      <c r="BW6" s="50"/>
      <c r="BX6" s="51"/>
      <c r="BY6" s="52"/>
      <c r="BZ6" s="44"/>
      <c r="CA6" s="44"/>
      <c r="CB6" s="44"/>
      <c r="CC6" s="44"/>
      <c r="CD6" s="51"/>
      <c r="CE6" s="52"/>
      <c r="CF6" s="44"/>
      <c r="CG6" s="44"/>
      <c r="CH6" s="44"/>
      <c r="CI6" s="44"/>
      <c r="CJ6" s="51"/>
      <c r="CK6" s="44"/>
      <c r="CL6" s="44"/>
      <c r="CM6" s="44"/>
      <c r="CN6" s="44"/>
      <c r="CO6" s="44"/>
      <c r="CP6" s="51"/>
      <c r="CQ6" s="44"/>
      <c r="CR6" s="44"/>
      <c r="CS6" s="44"/>
      <c r="CT6" s="44"/>
      <c r="CU6" s="44"/>
      <c r="CV6" s="51"/>
      <c r="CW6" s="44"/>
      <c r="CX6" s="51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</row>
    <row r="7">
      <c r="B7" s="45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>
        <f t="shared" ref="AA7:BR7" si="2">AA18/sum(AA116:AA117)</f>
        <v>29370.525</v>
      </c>
      <c r="AB7" s="44">
        <f t="shared" si="2"/>
        <v>23525.37778</v>
      </c>
      <c r="AC7" s="44">
        <f t="shared" si="2"/>
        <v>28217.85714</v>
      </c>
      <c r="AD7" s="44">
        <f t="shared" si="2"/>
        <v>23476.5098</v>
      </c>
      <c r="AE7" s="44">
        <f t="shared" si="2"/>
        <v>24560.61538</v>
      </c>
      <c r="AF7" s="44">
        <f t="shared" si="2"/>
        <v>27996.83636</v>
      </c>
      <c r="AG7" s="44">
        <f t="shared" si="2"/>
        <v>22870.31034</v>
      </c>
      <c r="AH7" s="44">
        <f t="shared" si="2"/>
        <v>31184.06452</v>
      </c>
      <c r="AI7" s="44">
        <f t="shared" si="2"/>
        <v>25026.64615</v>
      </c>
      <c r="AJ7" s="44">
        <f t="shared" si="2"/>
        <v>30051.16129</v>
      </c>
      <c r="AK7" s="44">
        <f t="shared" si="2"/>
        <v>26254.04412</v>
      </c>
      <c r="AL7" s="44">
        <f t="shared" si="2"/>
        <v>16946.78082</v>
      </c>
      <c r="AM7" s="44">
        <f t="shared" si="2"/>
        <v>28429.36</v>
      </c>
      <c r="AN7" s="44">
        <f t="shared" si="2"/>
        <v>24921.02564</v>
      </c>
      <c r="AO7" s="44">
        <f t="shared" si="2"/>
        <v>29306.59211</v>
      </c>
      <c r="AP7" s="44">
        <f t="shared" si="2"/>
        <v>24593.68</v>
      </c>
      <c r="AQ7" s="44">
        <f t="shared" si="2"/>
        <v>24369.16667</v>
      </c>
      <c r="AR7" s="44">
        <f t="shared" si="2"/>
        <v>22731.18519</v>
      </c>
      <c r="AS7" s="44">
        <f t="shared" si="2"/>
        <v>19689.24096</v>
      </c>
      <c r="AT7" s="44">
        <f t="shared" si="2"/>
        <v>22821.18391</v>
      </c>
      <c r="AU7" s="44">
        <f t="shared" si="2"/>
        <v>18362.10465</v>
      </c>
      <c r="AV7" s="44">
        <f t="shared" si="2"/>
        <v>20307.59783</v>
      </c>
      <c r="AW7" s="44">
        <f t="shared" si="2"/>
        <v>18414.97778</v>
      </c>
      <c r="AX7" s="44">
        <f t="shared" si="2"/>
        <v>17445.57778</v>
      </c>
      <c r="AY7" s="44">
        <f t="shared" si="2"/>
        <v>18692.688</v>
      </c>
      <c r="AZ7" s="44">
        <f t="shared" si="2"/>
        <v>20765.87633</v>
      </c>
      <c r="BA7" s="44">
        <f t="shared" si="2"/>
        <v>21980.31632</v>
      </c>
      <c r="BB7" s="44">
        <f t="shared" si="2"/>
        <v>23299.10058</v>
      </c>
      <c r="BC7" s="44">
        <f t="shared" si="2"/>
        <v>21528.66551</v>
      </c>
      <c r="BD7" s="44">
        <f t="shared" si="2"/>
        <v>20344.63011</v>
      </c>
      <c r="BE7" s="44">
        <f t="shared" si="2"/>
        <v>21904.43537</v>
      </c>
      <c r="BF7" s="44">
        <f t="shared" si="2"/>
        <v>22114.35082</v>
      </c>
      <c r="BG7" s="44">
        <f t="shared" si="2"/>
        <v>22085.56796</v>
      </c>
      <c r="BH7" s="44">
        <f t="shared" si="2"/>
        <v>28597.42081</v>
      </c>
      <c r="BI7" s="44">
        <f t="shared" si="2"/>
        <v>23733.20058</v>
      </c>
      <c r="BJ7" s="44">
        <f t="shared" si="2"/>
        <v>22697.97841</v>
      </c>
      <c r="BK7" s="44">
        <f t="shared" si="2"/>
        <v>23871.25926</v>
      </c>
      <c r="BL7" s="44">
        <f t="shared" si="2"/>
        <v>22593.14019</v>
      </c>
      <c r="BM7" s="44">
        <f t="shared" si="2"/>
        <v>22692.04673</v>
      </c>
      <c r="BN7" s="44">
        <f t="shared" si="2"/>
        <v>24499.99227</v>
      </c>
      <c r="BO7" s="44">
        <f t="shared" si="2"/>
        <v>23082.5854</v>
      </c>
      <c r="BP7" s="44">
        <f t="shared" si="2"/>
        <v>22409.82331</v>
      </c>
      <c r="BQ7" s="44">
        <f t="shared" si="2"/>
        <v>25320.28992</v>
      </c>
      <c r="BR7" s="44">
        <f t="shared" si="2"/>
        <v>23595.17902</v>
      </c>
      <c r="BS7" s="49"/>
      <c r="BT7" s="49"/>
      <c r="BU7" s="49"/>
      <c r="BV7" s="49"/>
      <c r="BW7" s="50"/>
      <c r="BX7" s="51"/>
      <c r="BY7" s="52"/>
      <c r="BZ7" s="44"/>
      <c r="CA7" s="44"/>
      <c r="CB7" s="44"/>
      <c r="CC7" s="44"/>
      <c r="CD7" s="51"/>
      <c r="CE7" s="52"/>
      <c r="CF7" s="44"/>
      <c r="CG7" s="44"/>
      <c r="CH7" s="44"/>
      <c r="CI7" s="44"/>
      <c r="CJ7" s="51"/>
      <c r="CK7" s="44"/>
      <c r="CL7" s="44"/>
      <c r="CM7" s="44"/>
      <c r="CN7" s="44"/>
      <c r="CO7" s="44"/>
      <c r="CP7" s="51"/>
      <c r="CQ7" s="44"/>
      <c r="CR7" s="44"/>
      <c r="CS7" s="44"/>
      <c r="CT7" s="44"/>
      <c r="CU7" s="44"/>
      <c r="CV7" s="51"/>
      <c r="CW7" s="44"/>
      <c r="CX7" s="51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</row>
    <row r="8">
      <c r="B8" s="45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50"/>
      <c r="BX8" s="51"/>
      <c r="BY8" s="52"/>
      <c r="BZ8" s="44">
        <f t="shared" ref="BZ8:CB8" si="3">BZ18/sum(BZ116,BZ117)</f>
        <v>69164.07764</v>
      </c>
      <c r="CA8" s="44">
        <f t="shared" si="3"/>
        <v>69921.03035</v>
      </c>
      <c r="CB8" s="44">
        <f t="shared" si="3"/>
        <v>73362.55457</v>
      </c>
      <c r="CC8" s="44"/>
      <c r="CD8" s="44"/>
      <c r="CE8" s="52"/>
      <c r="CF8" s="44">
        <f t="shared" ref="CF8:CJ8" si="4">CF18/sum(CF116,CF117)</f>
        <v>61388.29562</v>
      </c>
      <c r="CG8" s="44">
        <f t="shared" si="4"/>
        <v>65103.2897</v>
      </c>
      <c r="CH8" s="44">
        <f t="shared" si="4"/>
        <v>66108.38557</v>
      </c>
      <c r="CI8" s="44">
        <f t="shared" si="4"/>
        <v>74787.88268</v>
      </c>
      <c r="CJ8" s="44">
        <f t="shared" si="4"/>
        <v>245370.4211</v>
      </c>
      <c r="CK8" s="44"/>
      <c r="CL8" s="44">
        <f t="shared" ref="CL8:CP8" si="5">CL18/sum(CL116,CL117)</f>
        <v>82576.54585</v>
      </c>
      <c r="CM8" s="44">
        <f t="shared" si="5"/>
        <v>71622.39744</v>
      </c>
      <c r="CN8" s="44">
        <f t="shared" si="5"/>
        <v>60923.33203</v>
      </c>
      <c r="CO8" s="44">
        <f t="shared" si="5"/>
        <v>56203.11397</v>
      </c>
      <c r="CP8" s="44">
        <f t="shared" si="5"/>
        <v>244681.2132</v>
      </c>
      <c r="CQ8" s="44"/>
      <c r="CR8" s="44">
        <f t="shared" ref="CR8:CV8" si="6">CR18/sum(CR116,CR117)</f>
        <v>80958.31343</v>
      </c>
      <c r="CS8" s="44">
        <f t="shared" si="6"/>
        <v>76220.50633</v>
      </c>
      <c r="CT8" s="44">
        <f t="shared" si="6"/>
        <v>79242.51892</v>
      </c>
      <c r="CU8" s="44">
        <f t="shared" si="6"/>
        <v>72200.42365</v>
      </c>
      <c r="CV8" s="44">
        <f t="shared" si="6"/>
        <v>257181.3103</v>
      </c>
      <c r="CW8" s="44"/>
      <c r="CX8" s="51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</row>
    <row r="9">
      <c r="B9" s="45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50"/>
      <c r="BX9" s="51"/>
      <c r="BY9" s="52"/>
      <c r="BZ9" s="44"/>
      <c r="CA9" s="44"/>
      <c r="CB9" s="44"/>
      <c r="CC9" s="44"/>
      <c r="CD9" s="51"/>
      <c r="CE9" s="52"/>
      <c r="CF9" s="44"/>
      <c r="CG9" s="44"/>
      <c r="CH9" s="44"/>
      <c r="CI9" s="44"/>
      <c r="CJ9" s="51"/>
      <c r="CK9" s="44"/>
      <c r="CL9" s="44"/>
      <c r="CM9" s="44"/>
      <c r="CN9" s="44"/>
      <c r="CO9" s="44"/>
      <c r="CP9" s="51"/>
      <c r="CQ9" s="44"/>
      <c r="CR9" s="44"/>
      <c r="CS9" s="44"/>
      <c r="CT9" s="44"/>
      <c r="CU9" s="44"/>
      <c r="CV9" s="51"/>
      <c r="CW9" s="44"/>
      <c r="CX9" s="51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</row>
    <row r="10">
      <c r="A10" s="35"/>
      <c r="B10" s="36" t="s">
        <v>29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9"/>
      <c r="BX10" s="40"/>
      <c r="BY10" s="41"/>
      <c r="BZ10" s="37"/>
      <c r="CA10" s="37"/>
      <c r="CB10" s="37"/>
      <c r="CC10" s="37"/>
      <c r="CD10" s="40"/>
      <c r="CE10" s="41"/>
      <c r="CF10" s="37"/>
      <c r="CG10" s="37"/>
      <c r="CH10" s="37"/>
      <c r="CI10" s="37"/>
      <c r="CJ10" s="40"/>
      <c r="CK10" s="37"/>
      <c r="CL10" s="37"/>
      <c r="CM10" s="37"/>
      <c r="CN10" s="37"/>
      <c r="CO10" s="37"/>
      <c r="CP10" s="40"/>
      <c r="CQ10" s="37"/>
      <c r="CR10" s="37"/>
      <c r="CS10" s="37"/>
      <c r="CT10" s="37"/>
      <c r="CU10" s="37"/>
      <c r="CV10" s="40"/>
      <c r="CW10" s="37"/>
      <c r="CX10" s="40"/>
      <c r="CY10" s="44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</row>
    <row r="11" ht="9.0" customHeight="1">
      <c r="B11" s="53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50"/>
      <c r="BX11" s="60"/>
      <c r="BY11" s="49"/>
      <c r="BZ11" s="49"/>
      <c r="CA11" s="105"/>
      <c r="CB11" s="57"/>
      <c r="CC11" s="49"/>
      <c r="CD11" s="60"/>
      <c r="CE11" s="49"/>
      <c r="CF11" s="62"/>
      <c r="CG11" s="62"/>
      <c r="CH11" s="62"/>
      <c r="CI11" s="62"/>
      <c r="CJ11" s="61"/>
      <c r="CK11" s="49"/>
      <c r="CL11" s="62">
        <f t="shared" ref="CL11:CO11" si="7">CL13/$CP$13</f>
        <v>0.1314925741</v>
      </c>
      <c r="CM11" s="62">
        <f t="shared" si="7"/>
        <v>0.2096496604</v>
      </c>
      <c r="CN11" s="62">
        <f t="shared" si="7"/>
        <v>0.1560088325</v>
      </c>
      <c r="CO11" s="62">
        <f t="shared" si="7"/>
        <v>0.502848933</v>
      </c>
      <c r="CP11" s="60"/>
      <c r="CQ11" s="49"/>
      <c r="CR11" s="49"/>
      <c r="CS11" s="49"/>
      <c r="CT11" s="49"/>
      <c r="CU11" s="57"/>
      <c r="CV11" s="60"/>
      <c r="CW11" s="49"/>
      <c r="CX11" s="60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</row>
    <row r="12">
      <c r="B12" s="63" t="s">
        <v>30</v>
      </c>
      <c r="C12" s="64">
        <f t="shared" ref="C12:BV12" si="8">sum(C13:C16)</f>
        <v>0</v>
      </c>
      <c r="D12" s="64">
        <f t="shared" si="8"/>
        <v>0</v>
      </c>
      <c r="E12" s="64">
        <f t="shared" si="8"/>
        <v>0</v>
      </c>
      <c r="F12" s="64">
        <f t="shared" si="8"/>
        <v>0</v>
      </c>
      <c r="G12" s="64">
        <f t="shared" si="8"/>
        <v>0</v>
      </c>
      <c r="H12" s="64">
        <f t="shared" si="8"/>
        <v>0</v>
      </c>
      <c r="I12" s="64">
        <f t="shared" si="8"/>
        <v>0</v>
      </c>
      <c r="J12" s="64">
        <f t="shared" si="8"/>
        <v>0</v>
      </c>
      <c r="K12" s="64">
        <f t="shared" si="8"/>
        <v>0</v>
      </c>
      <c r="L12" s="64">
        <f t="shared" si="8"/>
        <v>0</v>
      </c>
      <c r="M12" s="64">
        <f t="shared" si="8"/>
        <v>0</v>
      </c>
      <c r="N12" s="64">
        <f t="shared" si="8"/>
        <v>0</v>
      </c>
      <c r="O12" s="64">
        <f t="shared" si="8"/>
        <v>0</v>
      </c>
      <c r="P12" s="64">
        <f t="shared" si="8"/>
        <v>0</v>
      </c>
      <c r="Q12" s="64">
        <f t="shared" si="8"/>
        <v>0</v>
      </c>
      <c r="R12" s="64">
        <f t="shared" si="8"/>
        <v>0</v>
      </c>
      <c r="S12" s="64">
        <f t="shared" si="8"/>
        <v>0</v>
      </c>
      <c r="T12" s="64">
        <f t="shared" si="8"/>
        <v>0</v>
      </c>
      <c r="U12" s="64">
        <f t="shared" si="8"/>
        <v>0</v>
      </c>
      <c r="V12" s="64">
        <f t="shared" si="8"/>
        <v>0</v>
      </c>
      <c r="W12" s="64">
        <f t="shared" si="8"/>
        <v>0</v>
      </c>
      <c r="X12" s="64">
        <f t="shared" si="8"/>
        <v>0</v>
      </c>
      <c r="Y12" s="64">
        <f t="shared" si="8"/>
        <v>0</v>
      </c>
      <c r="Z12" s="64">
        <f t="shared" si="8"/>
        <v>0</v>
      </c>
      <c r="AA12" s="64">
        <f t="shared" si="8"/>
        <v>144820</v>
      </c>
      <c r="AB12" s="64">
        <f t="shared" si="8"/>
        <v>235440</v>
      </c>
      <c r="AC12" s="64">
        <f t="shared" si="8"/>
        <v>3111130</v>
      </c>
      <c r="AD12" s="64">
        <f t="shared" si="8"/>
        <v>664960</v>
      </c>
      <c r="AE12" s="64">
        <f t="shared" si="8"/>
        <v>4043265</v>
      </c>
      <c r="AF12" s="64">
        <f t="shared" si="8"/>
        <v>2799443</v>
      </c>
      <c r="AG12" s="64">
        <f t="shared" si="8"/>
        <v>3135342</v>
      </c>
      <c r="AH12" s="64">
        <f t="shared" si="8"/>
        <v>327020</v>
      </c>
      <c r="AI12" s="64">
        <f t="shared" si="8"/>
        <v>2247442.4</v>
      </c>
      <c r="AJ12" s="64">
        <f t="shared" si="8"/>
        <v>2640608</v>
      </c>
      <c r="AK12" s="64">
        <f t="shared" si="8"/>
        <v>991898.8</v>
      </c>
      <c r="AL12" s="64">
        <f t="shared" si="8"/>
        <v>4262101.36</v>
      </c>
      <c r="AM12" s="64">
        <f t="shared" si="8"/>
        <v>134400</v>
      </c>
      <c r="AN12" s="64">
        <f t="shared" si="8"/>
        <v>846864</v>
      </c>
      <c r="AO12" s="64">
        <f t="shared" si="8"/>
        <v>1827624</v>
      </c>
      <c r="AP12" s="64">
        <f t="shared" si="8"/>
        <v>552923.41</v>
      </c>
      <c r="AQ12" s="64">
        <f t="shared" si="8"/>
        <v>857590</v>
      </c>
      <c r="AR12" s="64">
        <f t="shared" si="8"/>
        <v>2370127.4</v>
      </c>
      <c r="AS12" s="64">
        <f t="shared" si="8"/>
        <v>1015910</v>
      </c>
      <c r="AT12" s="64">
        <f t="shared" si="8"/>
        <v>2102478</v>
      </c>
      <c r="AU12" s="64">
        <f t="shared" si="8"/>
        <v>1227118</v>
      </c>
      <c r="AV12" s="64">
        <f t="shared" si="8"/>
        <v>1426203</v>
      </c>
      <c r="AW12" s="64">
        <f t="shared" si="8"/>
        <v>3399512.32</v>
      </c>
      <c r="AX12" s="64">
        <f t="shared" si="8"/>
        <v>3318570</v>
      </c>
      <c r="AY12" s="64">
        <f t="shared" si="8"/>
        <v>57000</v>
      </c>
      <c r="AZ12" s="64">
        <f t="shared" si="8"/>
        <v>383850</v>
      </c>
      <c r="BA12" s="64">
        <f t="shared" si="8"/>
        <v>5440973</v>
      </c>
      <c r="BB12" s="64">
        <f t="shared" si="8"/>
        <v>1612652</v>
      </c>
      <c r="BC12" s="64">
        <f t="shared" si="8"/>
        <v>3867754</v>
      </c>
      <c r="BD12" s="64">
        <f t="shared" si="8"/>
        <v>1064496</v>
      </c>
      <c r="BE12" s="64">
        <f t="shared" si="8"/>
        <v>1406220</v>
      </c>
      <c r="BF12" s="64">
        <f t="shared" si="8"/>
        <v>2487957</v>
      </c>
      <c r="BG12" s="64">
        <f t="shared" si="8"/>
        <v>2307330</v>
      </c>
      <c r="BH12" s="64">
        <f t="shared" si="8"/>
        <v>2618159.4</v>
      </c>
      <c r="BI12" s="64">
        <f t="shared" si="8"/>
        <v>3091804.77</v>
      </c>
      <c r="BJ12" s="64">
        <f t="shared" si="8"/>
        <v>3826914.9</v>
      </c>
      <c r="BK12" s="64">
        <f t="shared" si="8"/>
        <v>1131126.1</v>
      </c>
      <c r="BL12" s="64">
        <f t="shared" si="8"/>
        <v>3388620</v>
      </c>
      <c r="BM12" s="64">
        <f t="shared" si="8"/>
        <v>3874317.85</v>
      </c>
      <c r="BN12" s="64">
        <f t="shared" si="8"/>
        <v>5658371</v>
      </c>
      <c r="BO12" s="64">
        <f t="shared" si="8"/>
        <v>2939886</v>
      </c>
      <c r="BP12" s="64">
        <f t="shared" si="8"/>
        <v>3780756.5</v>
      </c>
      <c r="BQ12" s="64">
        <f t="shared" si="8"/>
        <v>4707768</v>
      </c>
      <c r="BR12" s="64">
        <f t="shared" si="8"/>
        <v>2809304</v>
      </c>
      <c r="BS12" s="64">
        <f t="shared" si="8"/>
        <v>0</v>
      </c>
      <c r="BT12" s="64">
        <f t="shared" si="8"/>
        <v>0</v>
      </c>
      <c r="BU12" s="64">
        <f t="shared" si="8"/>
        <v>0</v>
      </c>
      <c r="BV12" s="64">
        <f t="shared" si="8"/>
        <v>0</v>
      </c>
      <c r="BW12" s="50"/>
      <c r="BX12" s="121" t="str">
        <f t="array" ref="BX12">SUM(INDIRECT(XLOOKUP('GAAP Summary'!$B$2,'TTM Dates'!$B:$B,'TTM Dates'!$E:$E)&amp;ROW($BW12)&amp;":"&amp;XLOOKUP('GAAP Summary'!$B$2,'TTM Dates'!$B:$B,'TTM Dates'!$C:$C)&amp;ROW($BW12)))</f>
        <v>#REF!</v>
      </c>
      <c r="BY12" s="70"/>
      <c r="BZ12" s="64">
        <f t="shared" ref="BZ12:BZ16" si="9">sum(BK12:BM12)</f>
        <v>8394063.95</v>
      </c>
      <c r="CA12" s="64">
        <f t="shared" ref="CA12:CA16" si="10">sum(BN12:BP12)</f>
        <v>12379013.5</v>
      </c>
      <c r="CB12" s="64">
        <f t="shared" ref="CB12:CB16" si="11">sum(BQ12:BS12)</f>
        <v>7517072</v>
      </c>
      <c r="CC12" s="64">
        <f t="shared" ref="CC12:CC16" si="12">sum(BT12:BV12)</f>
        <v>0</v>
      </c>
      <c r="CD12" s="77">
        <f t="shared" ref="CD12:CD16" si="13">sum(BK12:BV12)</f>
        <v>28290149.45</v>
      </c>
      <c r="CE12" s="123"/>
      <c r="CF12" s="64">
        <f t="shared" ref="CF12:CF16" si="14">sum(AY12:BA12)</f>
        <v>5881823</v>
      </c>
      <c r="CG12" s="64">
        <f t="shared" ref="CG12:CG16" si="15">sum(BB12:BD12)</f>
        <v>6544902</v>
      </c>
      <c r="CH12" s="64">
        <f t="shared" ref="CH12:CH16" si="16">sum(BE12:BG12)</f>
        <v>6201507</v>
      </c>
      <c r="CI12" s="64">
        <f t="shared" ref="CI12:CI16" si="17">sum(BH12:BJ12)</f>
        <v>9536879.07</v>
      </c>
      <c r="CJ12" s="77">
        <f t="shared" ref="CJ12:CJ16" si="18">sum(AY12:BJ12)</f>
        <v>28165111.07</v>
      </c>
      <c r="CK12" s="57"/>
      <c r="CL12" s="64">
        <f t="shared" ref="CL12:CL15" si="19">sum(AM12:AO12)</f>
        <v>2808888</v>
      </c>
      <c r="CM12" s="64">
        <f t="shared" ref="CM12:CM15" si="20">sum(AP12:AR12)</f>
        <v>3780640.81</v>
      </c>
      <c r="CN12" s="64">
        <f t="shared" ref="CN12:CN15" si="21">sum(AS12:AU12)</f>
        <v>4345506</v>
      </c>
      <c r="CO12" s="64">
        <f t="shared" ref="CO12:CO15" si="22">sum(AV12:AX12)</f>
        <v>8144285.32</v>
      </c>
      <c r="CP12" s="77">
        <f>sum(CL13:CO15)</f>
        <v>19079320.13</v>
      </c>
      <c r="CQ12" s="44"/>
      <c r="CR12" s="64">
        <f t="shared" ref="CR12:CR16" si="23">sum(AA12:AC12)</f>
        <v>3491390</v>
      </c>
      <c r="CS12" s="64">
        <f t="shared" ref="CS12:CS16" si="24">sum(AD12:AF12)</f>
        <v>7507668</v>
      </c>
      <c r="CT12" s="64">
        <f t="shared" ref="CT12:CT16" si="25">sum(AG12:AI12)</f>
        <v>5709804.4</v>
      </c>
      <c r="CU12" s="64">
        <f t="shared" ref="CU12:CU16" si="26">sum(AJ12:AL12)</f>
        <v>7894608.16</v>
      </c>
      <c r="CV12" s="77">
        <f t="shared" ref="CV12:CV16" si="27">sum(AA12:AL12)</f>
        <v>24603470.56</v>
      </c>
      <c r="CW12" s="44"/>
      <c r="CX12" s="77">
        <f>sum(O12:Z12)</f>
        <v>0</v>
      </c>
      <c r="CY12" s="44"/>
      <c r="CZ12" s="64">
        <f t="array" ref="CZ12">IF(CZ$3&gt;'GAAP Summary'!$B$2,0,SUM(INDIRECT(XLOOKUP(CZ$3,'TTM Dates'!$B:$B,'TTM Dates'!$E:$E)&amp;ROW($BW12)&amp;":"&amp;XLOOKUP(CZ$3,'TTM Dates'!$B:$B,'TTM Dates'!$C:$C)&amp;ROW($BW12))))</f>
        <v>0</v>
      </c>
      <c r="DA12" s="64">
        <f t="array" ref="DA12">IF(DA$3&gt;'GAAP Summary'!$B$2,0,SUM(INDIRECT(XLOOKUP(DA$3,'TTM Dates'!$B:$B,'TTM Dates'!$E:$E)&amp;ROW($BW12)&amp;":"&amp;XLOOKUP(DA$3,'TTM Dates'!$B:$B,'TTM Dates'!$C:$C)&amp;ROW($BW12))))</f>
        <v>0</v>
      </c>
      <c r="DB12" s="64">
        <f t="array" ref="DB12">IF(DB$3&gt;'GAAP Summary'!$B$2,0,SUM(INDIRECT(XLOOKUP(DB$3,'TTM Dates'!$B:$B,'TTM Dates'!$E:$E)&amp;ROW($BW12)&amp;":"&amp;XLOOKUP(DB$3,'TTM Dates'!$B:$B,'TTM Dates'!$C:$C)&amp;ROW($BW12))))</f>
        <v>0</v>
      </c>
      <c r="DC12" s="64">
        <f t="array" ref="DC12">IF(DC$3&gt;'GAAP Summary'!$B$2,0,SUM(INDIRECT(XLOOKUP(DC$3,'TTM Dates'!$B:$B,'TTM Dates'!$E:$E)&amp;ROW($BW12)&amp;":"&amp;XLOOKUP(DC$3,'TTM Dates'!$B:$B,'TTM Dates'!$C:$C)&amp;ROW($BW12))))</f>
        <v>0</v>
      </c>
      <c r="DD12" s="64">
        <f t="array" ref="DD12">IF(DD$3&gt;'GAAP Summary'!$B$2,0,SUM(INDIRECT(XLOOKUP(DD$3,'TTM Dates'!$B:$B,'TTM Dates'!$E:$E)&amp;ROW($BW12)&amp;":"&amp;XLOOKUP(DD$3,'TTM Dates'!$B:$B,'TTM Dates'!$C:$C)&amp;ROW($BW12))))</f>
        <v>0</v>
      </c>
      <c r="DE12" s="64">
        <f t="array" ref="DE12">IF(DE$3&gt;'GAAP Summary'!$B$2,0,SUM(INDIRECT(XLOOKUP(DE$3,'TTM Dates'!$B:$B,'TTM Dates'!$E:$E)&amp;ROW($BW12)&amp;":"&amp;XLOOKUP(DE$3,'TTM Dates'!$B:$B,'TTM Dates'!$C:$C)&amp;ROW($BW12))))</f>
        <v>0</v>
      </c>
      <c r="DF12" s="64">
        <f t="array" ref="DF12">IF(DF$3&gt;'GAAP Summary'!$B$2,0,SUM(INDIRECT(XLOOKUP(DF$3,'TTM Dates'!$B:$B,'TTM Dates'!$E:$E)&amp;ROW($BW12)&amp;":"&amp;XLOOKUP(DF$3,'TTM Dates'!$B:$B,'TTM Dates'!$C:$C)&amp;ROW($BW12))))</f>
        <v>0</v>
      </c>
      <c r="DG12" s="64">
        <f t="array" ref="DG12">IF(DG$3&gt;'GAAP Summary'!$B$2,0,SUM(INDIRECT(XLOOKUP(DG$3,'TTM Dates'!$B:$B,'TTM Dates'!$E:$E)&amp;ROW($BW12)&amp;":"&amp;XLOOKUP(DG$3,'TTM Dates'!$B:$B,'TTM Dates'!$C:$C)&amp;ROW($BW12))))</f>
        <v>0</v>
      </c>
      <c r="DH12" s="64">
        <f t="array" ref="DH12">IF(DH$3&gt;'GAAP Summary'!$B$2,0,SUM(INDIRECT(XLOOKUP(DH$3,'TTM Dates'!$B:$B,'TTM Dates'!$E:$E)&amp;ROW($BW12)&amp;":"&amp;XLOOKUP(DH$3,'TTM Dates'!$B:$B,'TTM Dates'!$C:$C)&amp;ROW($BW12))))</f>
        <v>0</v>
      </c>
      <c r="DI12" s="64">
        <f t="array" ref="DI12">IF(DI$3&gt;'GAAP Summary'!$B$2,0,SUM(INDIRECT(XLOOKUP(DI$3,'TTM Dates'!$B:$B,'TTM Dates'!$E:$E)&amp;ROW($BW12)&amp;":"&amp;XLOOKUP(DI$3,'TTM Dates'!$B:$B,'TTM Dates'!$C:$C)&amp;ROW($BW12))))</f>
        <v>0</v>
      </c>
      <c r="DJ12" s="64">
        <f t="array" ref="DJ12">IF(DJ$3&gt;'GAAP Summary'!$B$2,0,SUM(INDIRECT(XLOOKUP(DJ$3,'TTM Dates'!$B:$B,'TTM Dates'!$E:$E)&amp;ROW($BW12)&amp;":"&amp;XLOOKUP(DJ$3,'TTM Dates'!$B:$B,'TTM Dates'!$C:$C)&amp;ROW($BW12))))</f>
        <v>0</v>
      </c>
      <c r="DK12" s="64">
        <f t="array" ref="DK12">IF(DK$3&gt;'GAAP Summary'!$B$2,0,SUM(INDIRECT(XLOOKUP(DK$3,'TTM Dates'!$B:$B,'TTM Dates'!$E:$E)&amp;ROW($BW12)&amp;":"&amp;XLOOKUP(DK$3,'TTM Dates'!$B:$B,'TTM Dates'!$C:$C)&amp;ROW($BW12))))</f>
        <v>0</v>
      </c>
      <c r="DL12" s="64">
        <f t="array" ref="DL12">IF(DL$3&gt;'GAAP Summary'!$B$2,0,SUM(INDIRECT(XLOOKUP(DL$3,'TTM Dates'!$B:$B,'TTM Dates'!$E:$E)&amp;ROW($BW12)&amp;":"&amp;XLOOKUP(DL$3,'TTM Dates'!$B:$B,'TTM Dates'!$C:$C)&amp;ROW($BW12))))</f>
        <v>144820</v>
      </c>
      <c r="DM12" s="64">
        <f t="array" ref="DM12">IF(DM$3&gt;'GAAP Summary'!$B$2,0,SUM(INDIRECT(XLOOKUP(DM$3,'TTM Dates'!$B:$B,'TTM Dates'!$E:$E)&amp;ROW($BW12)&amp;":"&amp;XLOOKUP(DM$3,'TTM Dates'!$B:$B,'TTM Dates'!$C:$C)&amp;ROW($BW12))))</f>
        <v>380260</v>
      </c>
      <c r="DN12" s="64">
        <f t="array" ref="DN12">IF(DN$3&gt;'GAAP Summary'!$B$2,0,SUM(INDIRECT(XLOOKUP(DN$3,'TTM Dates'!$B:$B,'TTM Dates'!$E:$E)&amp;ROW($BW12)&amp;":"&amp;XLOOKUP(DN$3,'TTM Dates'!$B:$B,'TTM Dates'!$C:$C)&amp;ROW($BW12))))</f>
        <v>3491390</v>
      </c>
      <c r="DO12" s="64">
        <f t="array" ref="DO12">IF(DO$3&gt;'GAAP Summary'!$B$2,0,SUM(INDIRECT(XLOOKUP(DO$3,'TTM Dates'!$B:$B,'TTM Dates'!$E:$E)&amp;ROW($BW12)&amp;":"&amp;XLOOKUP(DO$3,'TTM Dates'!$B:$B,'TTM Dates'!$C:$C)&amp;ROW($BW12))))</f>
        <v>4156350</v>
      </c>
      <c r="DP12" s="64">
        <f t="array" ref="DP12">IF(DP$3&gt;'GAAP Summary'!$B$2,0,SUM(INDIRECT(XLOOKUP(DP$3,'TTM Dates'!$B:$B,'TTM Dates'!$E:$E)&amp;ROW($BW12)&amp;":"&amp;XLOOKUP(DP$3,'TTM Dates'!$B:$B,'TTM Dates'!$C:$C)&amp;ROW($BW12))))</f>
        <v>8199615</v>
      </c>
      <c r="DQ12" s="64">
        <f t="array" ref="DQ12">IF(DQ$3&gt;'GAAP Summary'!$B$2,0,SUM(INDIRECT(XLOOKUP(DQ$3,'TTM Dates'!$B:$B,'TTM Dates'!$E:$E)&amp;ROW($BW12)&amp;":"&amp;XLOOKUP(DQ$3,'TTM Dates'!$B:$B,'TTM Dates'!$C:$C)&amp;ROW($BW12))))</f>
        <v>10999058</v>
      </c>
      <c r="DR12" s="64">
        <f t="array" ref="DR12">IF(DR$3&gt;'GAAP Summary'!$B$2,0,SUM(INDIRECT(XLOOKUP(DR$3,'TTM Dates'!$B:$B,'TTM Dates'!$E:$E)&amp;ROW($BW12)&amp;":"&amp;XLOOKUP(DR$3,'TTM Dates'!$B:$B,'TTM Dates'!$C:$C)&amp;ROW($BW12))))</f>
        <v>14134400</v>
      </c>
      <c r="DS12" s="64">
        <f t="array" ref="DS12">IF(DS$3&gt;'GAAP Summary'!$B$2,0,SUM(INDIRECT(XLOOKUP(DS$3,'TTM Dates'!$B:$B,'TTM Dates'!$E:$E)&amp;ROW($BW12)&amp;":"&amp;XLOOKUP(DS$3,'TTM Dates'!$B:$B,'TTM Dates'!$C:$C)&amp;ROW($BW12))))</f>
        <v>14461420</v>
      </c>
      <c r="DT12" s="64">
        <f t="array" ref="DT12">IF(DT$3&gt;'GAAP Summary'!$B$2,0,SUM(INDIRECT(XLOOKUP(DT$3,'TTM Dates'!$B:$B,'TTM Dates'!$E:$E)&amp;ROW($BW12)&amp;":"&amp;XLOOKUP(DT$3,'TTM Dates'!$B:$B,'TTM Dates'!$C:$C)&amp;ROW($BW12))))</f>
        <v>16708862.4</v>
      </c>
      <c r="DU12" s="64">
        <f t="array" ref="DU12">IF(DU$3&gt;'GAAP Summary'!$B$2,0,SUM(INDIRECT(XLOOKUP(DU$3,'TTM Dates'!$B:$B,'TTM Dates'!$E:$E)&amp;ROW($BW12)&amp;":"&amp;XLOOKUP(DU$3,'TTM Dates'!$B:$B,'TTM Dates'!$C:$C)&amp;ROW($BW12))))</f>
        <v>19349470.4</v>
      </c>
      <c r="DV12" s="64">
        <f t="array" ref="DV12">IF(DV$3&gt;'GAAP Summary'!$B$2,0,SUM(INDIRECT(XLOOKUP(DV$3,'TTM Dates'!$B:$B,'TTM Dates'!$E:$E)&amp;ROW($BW12)&amp;":"&amp;XLOOKUP(DV$3,'TTM Dates'!$B:$B,'TTM Dates'!$C:$C)&amp;ROW($BW12))))</f>
        <v>20341369.2</v>
      </c>
      <c r="DW12" s="64">
        <f t="array" ref="DW12">IF(DW$3&gt;'GAAP Summary'!$B$2,0,SUM(INDIRECT(XLOOKUP(DW$3,'TTM Dates'!$B:$B,'TTM Dates'!$E:$E)&amp;ROW($BW12)&amp;":"&amp;XLOOKUP(DW$3,'TTM Dates'!$B:$B,'TTM Dates'!$C:$C)&amp;ROW($BW12))))</f>
        <v>24603470.56</v>
      </c>
      <c r="DX12" s="64">
        <f t="array" ref="DX12">IF(DX$3&gt;'GAAP Summary'!$B$2,0,SUM(INDIRECT(XLOOKUP(DX$3,'TTM Dates'!$B:$B,'TTM Dates'!$E:$E)&amp;ROW($BW12)&amp;":"&amp;XLOOKUP(DX$3,'TTM Dates'!$B:$B,'TTM Dates'!$C:$C)&amp;ROW($BW12))))</f>
        <v>24593050.56</v>
      </c>
      <c r="DY12" s="64">
        <f t="array" ref="DY12">IF(DY$3&gt;'GAAP Summary'!$B$2,0,SUM(INDIRECT(XLOOKUP(DY$3,'TTM Dates'!$B:$B,'TTM Dates'!$E:$E)&amp;ROW($BW12)&amp;":"&amp;XLOOKUP(DY$3,'TTM Dates'!$B:$B,'TTM Dates'!$C:$C)&amp;ROW($BW12))))</f>
        <v>25204474.56</v>
      </c>
      <c r="DZ12" s="64">
        <f t="array" ref="DZ12">IF(DZ$3&gt;'GAAP Summary'!$B$2,0,SUM(INDIRECT(XLOOKUP(DZ$3,'TTM Dates'!$B:$B,'TTM Dates'!$E:$E)&amp;ROW($BW12)&amp;":"&amp;XLOOKUP(DZ$3,'TTM Dates'!$B:$B,'TTM Dates'!$C:$C)&amp;ROW($BW12))))</f>
        <v>23920968.56</v>
      </c>
      <c r="EA12" s="64">
        <f t="array" ref="EA12">IF(EA$3&gt;'GAAP Summary'!$B$2,0,SUM(INDIRECT(XLOOKUP(EA$3,'TTM Dates'!$B:$B,'TTM Dates'!$E:$E)&amp;ROW($BW12)&amp;":"&amp;XLOOKUP(EA$3,'TTM Dates'!$B:$B,'TTM Dates'!$C:$C)&amp;ROW($BW12))))</f>
        <v>23808931.97</v>
      </c>
      <c r="EB12" s="64">
        <f t="array" ref="EB12">IF(EB$3&gt;'GAAP Summary'!$B$2,0,SUM(INDIRECT(XLOOKUP(EB$3,'TTM Dates'!$B:$B,'TTM Dates'!$E:$E)&amp;ROW($BW12)&amp;":"&amp;XLOOKUP(EB$3,'TTM Dates'!$B:$B,'TTM Dates'!$C:$C)&amp;ROW($BW12))))</f>
        <v>20623256.97</v>
      </c>
      <c r="EC12" s="64">
        <f t="array" ref="EC12">IF(EC$3&gt;'GAAP Summary'!$B$2,0,SUM(INDIRECT(XLOOKUP(EC$3,'TTM Dates'!$B:$B,'TTM Dates'!$E:$E)&amp;ROW($BW12)&amp;":"&amp;XLOOKUP(EC$3,'TTM Dates'!$B:$B,'TTM Dates'!$C:$C)&amp;ROW($BW12))))</f>
        <v>20193941.37</v>
      </c>
      <c r="ED12" s="64">
        <f t="array" ref="ED12">IF(ED$3&gt;'GAAP Summary'!$B$2,0,SUM(INDIRECT(XLOOKUP(ED$3,'TTM Dates'!$B:$B,'TTM Dates'!$E:$E)&amp;ROW($BW12)&amp;":"&amp;XLOOKUP(ED$3,'TTM Dates'!$B:$B,'TTM Dates'!$C:$C)&amp;ROW($BW12))))</f>
        <v>18074509.37</v>
      </c>
      <c r="EE12" s="64">
        <f t="array" ref="EE12">IF(EE$3&gt;'GAAP Summary'!$B$2,0,SUM(INDIRECT(XLOOKUP(EE$3,'TTM Dates'!$B:$B,'TTM Dates'!$E:$E)&amp;ROW($BW12)&amp;":"&amp;XLOOKUP(EE$3,'TTM Dates'!$B:$B,'TTM Dates'!$C:$C)&amp;ROW($BW12))))</f>
        <v>19849967.37</v>
      </c>
      <c r="EF12" s="64">
        <f t="array" ref="EF12">IF(EF$3&gt;'GAAP Summary'!$B$2,0,SUM(INDIRECT(XLOOKUP(EF$3,'TTM Dates'!$B:$B,'TTM Dates'!$E:$E)&amp;ROW($BW12)&amp;":"&amp;XLOOKUP(EF$3,'TTM Dates'!$B:$B,'TTM Dates'!$C:$C)&amp;ROW($BW12))))</f>
        <v>18829642.97</v>
      </c>
      <c r="EG12" s="64">
        <f t="array" ref="EG12">IF(EG$3&gt;'GAAP Summary'!$B$2,0,SUM(INDIRECT(XLOOKUP(EG$3,'TTM Dates'!$B:$B,'TTM Dates'!$E:$E)&amp;ROW($BW12)&amp;":"&amp;XLOOKUP(EG$3,'TTM Dates'!$B:$B,'TTM Dates'!$C:$C)&amp;ROW($BW12))))</f>
        <v>17615237.97</v>
      </c>
      <c r="EH12" s="64">
        <f t="array" ref="EH12">IF(EH$3&gt;'GAAP Summary'!$B$2,0,SUM(INDIRECT(XLOOKUP(EH$3,'TTM Dates'!$B:$B,'TTM Dates'!$E:$E)&amp;ROW($BW12)&amp;":"&amp;XLOOKUP(EH$3,'TTM Dates'!$B:$B,'TTM Dates'!$C:$C)&amp;ROW($BW12))))</f>
        <v>20022851.49</v>
      </c>
      <c r="EI12" s="64">
        <f t="array" ref="EI12">IF(EI$3&gt;'GAAP Summary'!$B$2,0,SUM(INDIRECT(XLOOKUP(EI$3,'TTM Dates'!$B:$B,'TTM Dates'!$E:$E)&amp;ROW($BW12)&amp;":"&amp;XLOOKUP(EI$3,'TTM Dates'!$B:$B,'TTM Dates'!$C:$C)&amp;ROW($BW12))))</f>
        <v>19079320.13</v>
      </c>
      <c r="EJ12" s="64">
        <f t="array" ref="EJ12">IF(EJ$3&gt;'GAAP Summary'!$B$2,0,SUM(INDIRECT(XLOOKUP(EJ$3,'TTM Dates'!$B:$B,'TTM Dates'!$E:$E)&amp;ROW($BW12)&amp;":"&amp;XLOOKUP(EJ$3,'TTM Dates'!$B:$B,'TTM Dates'!$C:$C)&amp;ROW($BW12))))</f>
        <v>19001920.13</v>
      </c>
      <c r="EK12" s="64">
        <f t="array" ref="EK12">IF(EK$3&gt;'GAAP Summary'!$B$2,0,SUM(INDIRECT(XLOOKUP(EK$3,'TTM Dates'!$B:$B,'TTM Dates'!$E:$E)&amp;ROW($BW12)&amp;":"&amp;XLOOKUP(EK$3,'TTM Dates'!$B:$B,'TTM Dates'!$C:$C)&amp;ROW($BW12))))</f>
        <v>18538906.13</v>
      </c>
      <c r="EL12" s="64">
        <f t="array" ref="EL12">IF(EL$3&gt;'GAAP Summary'!$B$2,0,SUM(INDIRECT(XLOOKUP(EL$3,'TTM Dates'!$B:$B,'TTM Dates'!$E:$E)&amp;ROW($BW12)&amp;":"&amp;XLOOKUP(EL$3,'TTM Dates'!$B:$B,'TTM Dates'!$C:$C)&amp;ROW($BW12))))</f>
        <v>22152255.13</v>
      </c>
      <c r="EM12" s="64">
        <f t="array" ref="EM12">IF(EM$3&gt;'GAAP Summary'!$B$2,0,SUM(INDIRECT(XLOOKUP(EM$3,'TTM Dates'!$B:$B,'TTM Dates'!$E:$E)&amp;ROW($BW12)&amp;":"&amp;XLOOKUP(EM$3,'TTM Dates'!$B:$B,'TTM Dates'!$C:$C)&amp;ROW($BW12))))</f>
        <v>23211983.72</v>
      </c>
      <c r="EN12" s="64">
        <f t="array" ref="EN12">IF(EN$3&gt;'GAAP Summary'!$B$2,0,SUM(INDIRECT(XLOOKUP(EN$3,'TTM Dates'!$B:$B,'TTM Dates'!$E:$E)&amp;ROW($BW12)&amp;":"&amp;XLOOKUP(EN$3,'TTM Dates'!$B:$B,'TTM Dates'!$C:$C)&amp;ROW($BW12))))</f>
        <v>26222147.72</v>
      </c>
      <c r="EO12" s="64">
        <f t="array" ref="EO12">IF(EO$3&gt;'GAAP Summary'!$B$2,0,SUM(INDIRECT(XLOOKUP(EO$3,'TTM Dates'!$B:$B,'TTM Dates'!$E:$E)&amp;ROW($BW12)&amp;":"&amp;XLOOKUP(EO$3,'TTM Dates'!$B:$B,'TTM Dates'!$C:$C)&amp;ROW($BW12))))</f>
        <v>24916516.32</v>
      </c>
      <c r="EP12" s="64">
        <f t="array" ref="EP12">IF(EP$3&gt;'GAAP Summary'!$B$2,0,SUM(INDIRECT(XLOOKUP(EP$3,'TTM Dates'!$B:$B,'TTM Dates'!$E:$E)&amp;ROW($BW12)&amp;":"&amp;XLOOKUP(EP$3,'TTM Dates'!$B:$B,'TTM Dates'!$C:$C)&amp;ROW($BW12))))</f>
        <v>25306826.32</v>
      </c>
      <c r="EQ12" s="64">
        <f t="array" ref="EQ12">IF(EQ$3&gt;'GAAP Summary'!$B$2,0,SUM(INDIRECT(XLOOKUP(EQ$3,'TTM Dates'!$B:$B,'TTM Dates'!$E:$E)&amp;ROW($BW12)&amp;":"&amp;XLOOKUP(EQ$3,'TTM Dates'!$B:$B,'TTM Dates'!$C:$C)&amp;ROW($BW12))))</f>
        <v>25692305.32</v>
      </c>
      <c r="ER12" s="64">
        <f t="array" ref="ER12">IF(ER$3&gt;'GAAP Summary'!$B$2,0,SUM(INDIRECT(XLOOKUP(ER$3,'TTM Dates'!$B:$B,'TTM Dates'!$E:$E)&amp;ROW($BW12)&amp;":"&amp;XLOOKUP(ER$3,'TTM Dates'!$B:$B,'TTM Dates'!$C:$C)&amp;ROW($BW12))))</f>
        <v>26772517.32</v>
      </c>
      <c r="ES12" s="64">
        <f t="array" ref="ES12">IF(ES$3&gt;'GAAP Summary'!$B$2,0,SUM(INDIRECT(XLOOKUP(ES$3,'TTM Dates'!$B:$B,'TTM Dates'!$E:$E)&amp;ROW($BW12)&amp;":"&amp;XLOOKUP(ES$3,'TTM Dates'!$B:$B,'TTM Dates'!$C:$C)&amp;ROW($BW12))))</f>
        <v>27964473.72</v>
      </c>
      <c r="ET12" s="64">
        <f t="array" ref="ET12">IF(ET$3&gt;'GAAP Summary'!$B$2,0,SUM(INDIRECT(XLOOKUP(ET$3,'TTM Dates'!$B:$B,'TTM Dates'!$E:$E)&amp;ROW($BW12)&amp;":"&amp;XLOOKUP(ET$3,'TTM Dates'!$B:$B,'TTM Dates'!$C:$C)&amp;ROW($BW12))))</f>
        <v>27656766.17</v>
      </c>
      <c r="EU12" s="64">
        <f t="array" ref="EU12">IF(EU$3&gt;'GAAP Summary'!$B$2,0,SUM(INDIRECT(XLOOKUP(EU$3,'TTM Dates'!$B:$B,'TTM Dates'!$E:$E)&amp;ROW($BW12)&amp;":"&amp;XLOOKUP(EU$3,'TTM Dates'!$B:$B,'TTM Dates'!$C:$C)&amp;ROW($BW12))))</f>
        <v>28165111.07</v>
      </c>
      <c r="EV12" s="64">
        <f t="array" ref="EV12">IF(EV$3&gt;'GAAP Summary'!$B$2,0,SUM(INDIRECT(XLOOKUP(EV$3,'TTM Dates'!$B:$B,'TTM Dates'!$E:$E)&amp;ROW($BW12)&amp;":"&amp;XLOOKUP(EV$3,'TTM Dates'!$B:$B,'TTM Dates'!$C:$C)&amp;ROW($BW12))))</f>
        <v>29239237.17</v>
      </c>
      <c r="EW12" s="64">
        <f t="array" ref="EW12">IF(EW$3&gt;'GAAP Summary'!$B$2,0,SUM(INDIRECT(XLOOKUP(EW$3,'TTM Dates'!$B:$B,'TTM Dates'!$E:$E)&amp;ROW($BW12)&amp;":"&amp;XLOOKUP(EW$3,'TTM Dates'!$B:$B,'TTM Dates'!$C:$C)&amp;ROW($BW12))))</f>
        <v>32244007.17</v>
      </c>
      <c r="EX12" s="64">
        <f t="array" ref="EX12">IF(EX$3&gt;'GAAP Summary'!$B$2,0,SUM(INDIRECT(XLOOKUP(EX$3,'TTM Dates'!$B:$B,'TTM Dates'!$E:$E)&amp;ROW($BW12)&amp;":"&amp;XLOOKUP(EX$3,'TTM Dates'!$B:$B,'TTM Dates'!$C:$C)&amp;ROW($BW12))))</f>
        <v>30677352.02</v>
      </c>
      <c r="EY12" s="64">
        <f t="array" ref="EY12">IF(EY$3&gt;'GAAP Summary'!$B$2,0,SUM(INDIRECT(XLOOKUP(EY$3,'TTM Dates'!$B:$B,'TTM Dates'!$E:$E)&amp;ROW($BW12)&amp;":"&amp;XLOOKUP(EY$3,'TTM Dates'!$B:$B,'TTM Dates'!$C:$C)&amp;ROW($BW12))))</f>
        <v>34723071.02</v>
      </c>
      <c r="EZ12" s="64">
        <f t="array" ref="EZ12">IF(EZ$3&gt;'GAAP Summary'!$B$2,0,SUM(INDIRECT(XLOOKUP(EZ$3,'TTM Dates'!$B:$B,'TTM Dates'!$E:$E)&amp;ROW($BW12)&amp;":"&amp;XLOOKUP(EZ$3,'TTM Dates'!$B:$B,'TTM Dates'!$C:$C)&amp;ROW($BW12))))</f>
        <v>33795203.02</v>
      </c>
      <c r="FA12" s="64">
        <f t="array" ref="FA12">IF(FA$3&gt;'GAAP Summary'!$B$2,0,SUM(INDIRECT(XLOOKUP(FA$3,'TTM Dates'!$B:$B,'TTM Dates'!$E:$E)&amp;ROW($BW12)&amp;":"&amp;XLOOKUP(FA$3,'TTM Dates'!$B:$B,'TTM Dates'!$C:$C)&amp;ROW($BW12))))</f>
        <v>36511463.52</v>
      </c>
      <c r="FB12" s="64">
        <f t="array" ref="FB12">IF(FB$3&gt;'GAAP Summary'!$B$2,0,SUM(INDIRECT(XLOOKUP(FB$3,'TTM Dates'!$B:$B,'TTM Dates'!$E:$E)&amp;ROW($BW12)&amp;":"&amp;XLOOKUP(FB$3,'TTM Dates'!$B:$B,'TTM Dates'!$C:$C)&amp;ROW($BW12))))</f>
        <v>39813011.52</v>
      </c>
      <c r="FC12" s="64">
        <f t="array" ref="FC12">IF(FC$3&gt;'GAAP Summary'!$B$2,0,SUM(INDIRECT(XLOOKUP(FC$3,'TTM Dates'!$B:$B,'TTM Dates'!$E:$E)&amp;ROW($BW12)&amp;":"&amp;XLOOKUP(FC$3,'TTM Dates'!$B:$B,'TTM Dates'!$C:$C)&amp;ROW($BW12))))</f>
        <v>40134358.52</v>
      </c>
      <c r="FD12" s="64">
        <f t="array" ref="FD12">IF(FD$3&gt;'GAAP Summary'!$B$2,0,SUM(INDIRECT(XLOOKUP(FD$3,'TTM Dates'!$B:$B,'TTM Dates'!$E:$E)&amp;ROW($BW12)&amp;":"&amp;XLOOKUP(FD$3,'TTM Dates'!$B:$B,'TTM Dates'!$C:$C)&amp;ROW($BW12))))</f>
        <v>37827028.52</v>
      </c>
      <c r="FE12" s="64">
        <f t="array" ref="FE12">IF(FE$3&gt;'GAAP Summary'!$B$2,0,SUM(INDIRECT(XLOOKUP(FE$3,'TTM Dates'!$B:$B,'TTM Dates'!$E:$E)&amp;ROW($BW12)&amp;":"&amp;XLOOKUP(FE$3,'TTM Dates'!$B:$B,'TTM Dates'!$C:$C)&amp;ROW($BW12))))</f>
        <v>35208869.12</v>
      </c>
      <c r="FF12" s="64">
        <f t="array" ref="FF12">IF(FF$3&gt;'GAAP Summary'!$B$2,0,SUM(INDIRECT(XLOOKUP(FF$3,'TTM Dates'!$B:$B,'TTM Dates'!$E:$E)&amp;ROW($BW12)&amp;":"&amp;XLOOKUP(FF$3,'TTM Dates'!$B:$B,'TTM Dates'!$C:$C)&amp;ROW($BW12))))</f>
        <v>32117064.35</v>
      </c>
      <c r="FG12" s="64">
        <f t="array" ref="FG12">IF(FG$3&gt;'GAAP Summary'!$B$2,0,SUM(INDIRECT(XLOOKUP(FG$3,'TTM Dates'!$B:$B,'TTM Dates'!$E:$E)&amp;ROW($BW12)&amp;":"&amp;XLOOKUP(FG$3,'TTM Dates'!$B:$B,'TTM Dates'!$C:$C)&amp;ROW($BW12))))</f>
        <v>28290149.45</v>
      </c>
      <c r="FH12" s="64"/>
    </row>
    <row r="13">
      <c r="B13" s="135" t="s">
        <v>89</v>
      </c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7"/>
      <c r="R13" s="137"/>
      <c r="S13" s="136"/>
      <c r="T13" s="137"/>
      <c r="U13" s="137"/>
      <c r="V13" s="136"/>
      <c r="W13" s="137"/>
      <c r="X13" s="136"/>
      <c r="Y13" s="137"/>
      <c r="Z13" s="137"/>
      <c r="AA13" s="136">
        <v>99720.0</v>
      </c>
      <c r="AB13" s="137">
        <v>80640.0</v>
      </c>
      <c r="AC13" s="136">
        <v>204640.0</v>
      </c>
      <c r="AD13" s="136">
        <v>415440.0</v>
      </c>
      <c r="AE13" s="136">
        <v>586400.0</v>
      </c>
      <c r="AF13" s="136">
        <v>1074960.0</v>
      </c>
      <c r="AG13" s="137">
        <v>1328420.0</v>
      </c>
      <c r="AH13" s="137">
        <v>79040.0</v>
      </c>
      <c r="AI13" s="137">
        <v>922672.0</v>
      </c>
      <c r="AJ13" s="137">
        <v>1649000.0</v>
      </c>
      <c r="AK13" s="136">
        <v>427800.0</v>
      </c>
      <c r="AL13" s="137">
        <v>813970.0</v>
      </c>
      <c r="AM13" s="136">
        <v>134400.0</v>
      </c>
      <c r="AN13" s="136">
        <v>349104.0</v>
      </c>
      <c r="AO13" s="137">
        <v>801544.0</v>
      </c>
      <c r="AP13" s="136">
        <v>331413.01</v>
      </c>
      <c r="AQ13" s="136">
        <v>732202.0</v>
      </c>
      <c r="AR13" s="137">
        <v>985245.0</v>
      </c>
      <c r="AS13" s="137">
        <v>111000.0</v>
      </c>
      <c r="AT13" s="137">
        <v>1120200.0</v>
      </c>
      <c r="AU13" s="137">
        <v>293440.0</v>
      </c>
      <c r="AV13" s="137">
        <f>57600+216000+87680+106880+25000+345900</f>
        <v>839060</v>
      </c>
      <c r="AW13" s="137">
        <v>2468100.0</v>
      </c>
      <c r="AX13" s="137">
        <v>1607072.0</v>
      </c>
      <c r="AY13" s="137">
        <v>0.0</v>
      </c>
      <c r="AZ13" s="137">
        <f>60700+34560</f>
        <v>95260</v>
      </c>
      <c r="BA13" s="137">
        <v>664160.0</v>
      </c>
      <c r="BB13" s="137">
        <v>245840.0</v>
      </c>
      <c r="BC13" s="137">
        <v>1070080.0</v>
      </c>
      <c r="BD13" s="137">
        <v>595296.0</v>
      </c>
      <c r="BE13" s="137">
        <v>710760.0</v>
      </c>
      <c r="BF13" s="137">
        <v>1387561.0</v>
      </c>
      <c r="BG13" s="137">
        <v>286700.0</v>
      </c>
      <c r="BH13" s="137">
        <v>436906.0</v>
      </c>
      <c r="BI13" s="137">
        <v>2447618.0</v>
      </c>
      <c r="BJ13" s="137">
        <v>1341556.0</v>
      </c>
      <c r="BK13" s="137">
        <v>119460.0</v>
      </c>
      <c r="BL13" s="137">
        <v>115760.0</v>
      </c>
      <c r="BM13" s="137">
        <v>404780.0</v>
      </c>
      <c r="BN13" s="137">
        <v>1148000.0</v>
      </c>
      <c r="BO13" s="137">
        <v>433500.0</v>
      </c>
      <c r="BP13" s="137">
        <v>1071080.0</v>
      </c>
      <c r="BQ13" s="137">
        <v>825056.0</v>
      </c>
      <c r="BR13" s="137">
        <v>951820.0</v>
      </c>
      <c r="BS13" s="137"/>
      <c r="BT13" s="137"/>
      <c r="BU13" s="137"/>
      <c r="BV13" s="137"/>
      <c r="BW13" s="50"/>
      <c r="BX13" s="142" t="str">
        <f t="array" ref="BX13">SUM(INDIRECT(XLOOKUP('GAAP Summary'!$B$2,'TTM Dates'!$B:$B,'TTM Dates'!$E:$E)&amp;ROW($BW13)&amp;":"&amp;XLOOKUP('GAAP Summary'!$B$2,'TTM Dates'!$B:$B,'TTM Dates'!$C:$C)&amp;ROW($BW13)))</f>
        <v>#REF!</v>
      </c>
      <c r="BY13" s="70"/>
      <c r="BZ13" s="137">
        <f t="shared" si="9"/>
        <v>640000</v>
      </c>
      <c r="CA13" s="137">
        <f t="shared" si="10"/>
        <v>2652580</v>
      </c>
      <c r="CB13" s="137">
        <f t="shared" si="11"/>
        <v>1776876</v>
      </c>
      <c r="CC13" s="137">
        <f t="shared" si="12"/>
        <v>0</v>
      </c>
      <c r="CD13" s="142">
        <f t="shared" si="13"/>
        <v>5069456</v>
      </c>
      <c r="CE13" s="70"/>
      <c r="CF13" s="137">
        <f t="shared" si="14"/>
        <v>759420</v>
      </c>
      <c r="CG13" s="137">
        <f t="shared" si="15"/>
        <v>1911216</v>
      </c>
      <c r="CH13" s="137">
        <f t="shared" si="16"/>
        <v>2385021</v>
      </c>
      <c r="CI13" s="137">
        <f t="shared" si="17"/>
        <v>4226080</v>
      </c>
      <c r="CJ13" s="142">
        <f t="shared" si="18"/>
        <v>9281737</v>
      </c>
      <c r="CK13" s="137"/>
      <c r="CL13" s="137">
        <f t="shared" si="19"/>
        <v>1285048</v>
      </c>
      <c r="CM13" s="137">
        <f t="shared" si="20"/>
        <v>2048860.01</v>
      </c>
      <c r="CN13" s="137">
        <f t="shared" si="21"/>
        <v>1524640</v>
      </c>
      <c r="CO13" s="137">
        <f t="shared" si="22"/>
        <v>4914232</v>
      </c>
      <c r="CP13" s="142">
        <f t="shared" ref="CP13:CP15" si="28">sum(AM13:AX13)</f>
        <v>9772780.01</v>
      </c>
      <c r="CQ13" s="137"/>
      <c r="CR13" s="137">
        <f t="shared" si="23"/>
        <v>385000</v>
      </c>
      <c r="CS13" s="137">
        <f t="shared" si="24"/>
        <v>2076800</v>
      </c>
      <c r="CT13" s="137">
        <f t="shared" si="25"/>
        <v>2330132</v>
      </c>
      <c r="CU13" s="137">
        <f t="shared" si="26"/>
        <v>2890770</v>
      </c>
      <c r="CV13" s="142">
        <f t="shared" si="27"/>
        <v>7682702</v>
      </c>
      <c r="CW13" s="137"/>
      <c r="CX13" s="142">
        <f t="shared" ref="CX13:CX14" si="29">SUM(O13:Z13)</f>
        <v>0</v>
      </c>
      <c r="CY13" s="44"/>
      <c r="CZ13" s="136">
        <f t="array" ref="CZ13">IF(CZ$3&gt;'GAAP Summary'!$B$2,0,SUM(INDIRECT(XLOOKUP(CZ$3,'TTM Dates'!$B:$B,'TTM Dates'!$E:$E)&amp;ROW($BW13)&amp;":"&amp;XLOOKUP(CZ$3,'TTM Dates'!$B:$B,'TTM Dates'!$C:$C)&amp;ROW($BW13))))</f>
        <v>0</v>
      </c>
      <c r="DA13" s="136">
        <f t="array" ref="DA13">IF(DA$3&gt;'GAAP Summary'!$B$2,0,SUM(INDIRECT(XLOOKUP(DA$3,'TTM Dates'!$B:$B,'TTM Dates'!$E:$E)&amp;ROW($BW13)&amp;":"&amp;XLOOKUP(DA$3,'TTM Dates'!$B:$B,'TTM Dates'!$C:$C)&amp;ROW($BW13))))</f>
        <v>0</v>
      </c>
      <c r="DB13" s="136">
        <f t="array" ref="DB13">IF(DB$3&gt;'GAAP Summary'!$B$2,0,SUM(INDIRECT(XLOOKUP(DB$3,'TTM Dates'!$B:$B,'TTM Dates'!$E:$E)&amp;ROW($BW13)&amp;":"&amp;XLOOKUP(DB$3,'TTM Dates'!$B:$B,'TTM Dates'!$C:$C)&amp;ROW($BW13))))</f>
        <v>0</v>
      </c>
      <c r="DC13" s="136">
        <f t="array" ref="DC13">IF(DC$3&gt;'GAAP Summary'!$B$2,0,SUM(INDIRECT(XLOOKUP(DC$3,'TTM Dates'!$B:$B,'TTM Dates'!$E:$E)&amp;ROW($BW13)&amp;":"&amp;XLOOKUP(DC$3,'TTM Dates'!$B:$B,'TTM Dates'!$C:$C)&amp;ROW($BW13))))</f>
        <v>0</v>
      </c>
      <c r="DD13" s="136">
        <f t="array" ref="DD13">IF(DD$3&gt;'GAAP Summary'!$B$2,0,SUM(INDIRECT(XLOOKUP(DD$3,'TTM Dates'!$B:$B,'TTM Dates'!$E:$E)&amp;ROW($BW13)&amp;":"&amp;XLOOKUP(DD$3,'TTM Dates'!$B:$B,'TTM Dates'!$C:$C)&amp;ROW($BW13))))</f>
        <v>0</v>
      </c>
      <c r="DE13" s="136">
        <f t="array" ref="DE13">IF(DE$3&gt;'GAAP Summary'!$B$2,0,SUM(INDIRECT(XLOOKUP(DE$3,'TTM Dates'!$B:$B,'TTM Dates'!$E:$E)&amp;ROW($BW13)&amp;":"&amp;XLOOKUP(DE$3,'TTM Dates'!$B:$B,'TTM Dates'!$C:$C)&amp;ROW($BW13))))</f>
        <v>0</v>
      </c>
      <c r="DF13" s="136">
        <f t="array" ref="DF13">IF(DF$3&gt;'GAAP Summary'!$B$2,0,SUM(INDIRECT(XLOOKUP(DF$3,'TTM Dates'!$B:$B,'TTM Dates'!$E:$E)&amp;ROW($BW13)&amp;":"&amp;XLOOKUP(DF$3,'TTM Dates'!$B:$B,'TTM Dates'!$C:$C)&amp;ROW($BW13))))</f>
        <v>0</v>
      </c>
      <c r="DG13" s="136">
        <f t="array" ref="DG13">IF(DG$3&gt;'GAAP Summary'!$B$2,0,SUM(INDIRECT(XLOOKUP(DG$3,'TTM Dates'!$B:$B,'TTM Dates'!$E:$E)&amp;ROW($BW13)&amp;":"&amp;XLOOKUP(DG$3,'TTM Dates'!$B:$B,'TTM Dates'!$C:$C)&amp;ROW($BW13))))</f>
        <v>0</v>
      </c>
      <c r="DH13" s="136">
        <f t="array" ref="DH13">IF(DH$3&gt;'GAAP Summary'!$B$2,0,SUM(INDIRECT(XLOOKUP(DH$3,'TTM Dates'!$B:$B,'TTM Dates'!$E:$E)&amp;ROW($BW13)&amp;":"&amp;XLOOKUP(DH$3,'TTM Dates'!$B:$B,'TTM Dates'!$C:$C)&amp;ROW($BW13))))</f>
        <v>0</v>
      </c>
      <c r="DI13" s="136">
        <f t="array" ref="DI13">IF(DI$3&gt;'GAAP Summary'!$B$2,0,SUM(INDIRECT(XLOOKUP(DI$3,'TTM Dates'!$B:$B,'TTM Dates'!$E:$E)&amp;ROW($BW13)&amp;":"&amp;XLOOKUP(DI$3,'TTM Dates'!$B:$B,'TTM Dates'!$C:$C)&amp;ROW($BW13))))</f>
        <v>0</v>
      </c>
      <c r="DJ13" s="136">
        <f t="array" ref="DJ13">IF(DJ$3&gt;'GAAP Summary'!$B$2,0,SUM(INDIRECT(XLOOKUP(DJ$3,'TTM Dates'!$B:$B,'TTM Dates'!$E:$E)&amp;ROW($BW13)&amp;":"&amp;XLOOKUP(DJ$3,'TTM Dates'!$B:$B,'TTM Dates'!$C:$C)&amp;ROW($BW13))))</f>
        <v>0</v>
      </c>
      <c r="DK13" s="136">
        <f t="array" ref="DK13">IF(DK$3&gt;'GAAP Summary'!$B$2,0,SUM(INDIRECT(XLOOKUP(DK$3,'TTM Dates'!$B:$B,'TTM Dates'!$E:$E)&amp;ROW($BW13)&amp;":"&amp;XLOOKUP(DK$3,'TTM Dates'!$B:$B,'TTM Dates'!$C:$C)&amp;ROW($BW13))))</f>
        <v>0</v>
      </c>
      <c r="DL13" s="136">
        <f t="array" ref="DL13">IF(DL$3&gt;'GAAP Summary'!$B$2,0,SUM(INDIRECT(XLOOKUP(DL$3,'TTM Dates'!$B:$B,'TTM Dates'!$E:$E)&amp;ROW($BW13)&amp;":"&amp;XLOOKUP(DL$3,'TTM Dates'!$B:$B,'TTM Dates'!$C:$C)&amp;ROW($BW13))))</f>
        <v>99720</v>
      </c>
      <c r="DM13" s="136">
        <f t="array" ref="DM13">IF(DM$3&gt;'GAAP Summary'!$B$2,0,SUM(INDIRECT(XLOOKUP(DM$3,'TTM Dates'!$B:$B,'TTM Dates'!$E:$E)&amp;ROW($BW13)&amp;":"&amp;XLOOKUP(DM$3,'TTM Dates'!$B:$B,'TTM Dates'!$C:$C)&amp;ROW($BW13))))</f>
        <v>180360</v>
      </c>
      <c r="DN13" s="136">
        <f t="array" ref="DN13">IF(DN$3&gt;'GAAP Summary'!$B$2,0,SUM(INDIRECT(XLOOKUP(DN$3,'TTM Dates'!$B:$B,'TTM Dates'!$E:$E)&amp;ROW($BW13)&amp;":"&amp;XLOOKUP(DN$3,'TTM Dates'!$B:$B,'TTM Dates'!$C:$C)&amp;ROW($BW13))))</f>
        <v>385000</v>
      </c>
      <c r="DO13" s="136">
        <f t="array" ref="DO13">IF(DO$3&gt;'GAAP Summary'!$B$2,0,SUM(INDIRECT(XLOOKUP(DO$3,'TTM Dates'!$B:$B,'TTM Dates'!$E:$E)&amp;ROW($BW13)&amp;":"&amp;XLOOKUP(DO$3,'TTM Dates'!$B:$B,'TTM Dates'!$C:$C)&amp;ROW($BW13))))</f>
        <v>800440</v>
      </c>
      <c r="DP13" s="136">
        <f t="array" ref="DP13">IF(DP$3&gt;'GAAP Summary'!$B$2,0,SUM(INDIRECT(XLOOKUP(DP$3,'TTM Dates'!$B:$B,'TTM Dates'!$E:$E)&amp;ROW($BW13)&amp;":"&amp;XLOOKUP(DP$3,'TTM Dates'!$B:$B,'TTM Dates'!$C:$C)&amp;ROW($BW13))))</f>
        <v>1386840</v>
      </c>
      <c r="DQ13" s="136">
        <f t="array" ref="DQ13">IF(DQ$3&gt;'GAAP Summary'!$B$2,0,SUM(INDIRECT(XLOOKUP(DQ$3,'TTM Dates'!$B:$B,'TTM Dates'!$E:$E)&amp;ROW($BW13)&amp;":"&amp;XLOOKUP(DQ$3,'TTM Dates'!$B:$B,'TTM Dates'!$C:$C)&amp;ROW($BW13))))</f>
        <v>2461800</v>
      </c>
      <c r="DR13" s="136">
        <f t="array" ref="DR13">IF(DR$3&gt;'GAAP Summary'!$B$2,0,SUM(INDIRECT(XLOOKUP(DR$3,'TTM Dates'!$B:$B,'TTM Dates'!$E:$E)&amp;ROW($BW13)&amp;":"&amp;XLOOKUP(DR$3,'TTM Dates'!$B:$B,'TTM Dates'!$C:$C)&amp;ROW($BW13))))</f>
        <v>3790220</v>
      </c>
      <c r="DS13" s="136">
        <f t="array" ref="DS13">IF(DS$3&gt;'GAAP Summary'!$B$2,0,SUM(INDIRECT(XLOOKUP(DS$3,'TTM Dates'!$B:$B,'TTM Dates'!$E:$E)&amp;ROW($BW13)&amp;":"&amp;XLOOKUP(DS$3,'TTM Dates'!$B:$B,'TTM Dates'!$C:$C)&amp;ROW($BW13))))</f>
        <v>3869260</v>
      </c>
      <c r="DT13" s="136">
        <f t="array" ref="DT13">IF(DT$3&gt;'GAAP Summary'!$B$2,0,SUM(INDIRECT(XLOOKUP(DT$3,'TTM Dates'!$B:$B,'TTM Dates'!$E:$E)&amp;ROW($BW13)&amp;":"&amp;XLOOKUP(DT$3,'TTM Dates'!$B:$B,'TTM Dates'!$C:$C)&amp;ROW($BW13))))</f>
        <v>4791932</v>
      </c>
      <c r="DU13" s="136">
        <f t="array" ref="DU13">IF(DU$3&gt;'GAAP Summary'!$B$2,0,SUM(INDIRECT(XLOOKUP(DU$3,'TTM Dates'!$B:$B,'TTM Dates'!$E:$E)&amp;ROW($BW13)&amp;":"&amp;XLOOKUP(DU$3,'TTM Dates'!$B:$B,'TTM Dates'!$C:$C)&amp;ROW($BW13))))</f>
        <v>6440932</v>
      </c>
      <c r="DV13" s="136">
        <f t="array" ref="DV13">IF(DV$3&gt;'GAAP Summary'!$B$2,0,SUM(INDIRECT(XLOOKUP(DV$3,'TTM Dates'!$B:$B,'TTM Dates'!$E:$E)&amp;ROW($BW13)&amp;":"&amp;XLOOKUP(DV$3,'TTM Dates'!$B:$B,'TTM Dates'!$C:$C)&amp;ROW($BW13))))</f>
        <v>6868732</v>
      </c>
      <c r="DW13" s="136">
        <f t="array" ref="DW13">IF(DW$3&gt;'GAAP Summary'!$B$2,0,SUM(INDIRECT(XLOOKUP(DW$3,'TTM Dates'!$B:$B,'TTM Dates'!$E:$E)&amp;ROW($BW13)&amp;":"&amp;XLOOKUP(DW$3,'TTM Dates'!$B:$B,'TTM Dates'!$C:$C)&amp;ROW($BW13))))</f>
        <v>7682702</v>
      </c>
      <c r="DX13" s="136">
        <f t="array" ref="DX13">IF(DX$3&gt;'GAAP Summary'!$B$2,0,SUM(INDIRECT(XLOOKUP(DX$3,'TTM Dates'!$B:$B,'TTM Dates'!$E:$E)&amp;ROW($BW13)&amp;":"&amp;XLOOKUP(DX$3,'TTM Dates'!$B:$B,'TTM Dates'!$C:$C)&amp;ROW($BW13))))</f>
        <v>7717382</v>
      </c>
      <c r="DY13" s="136">
        <f t="array" ref="DY13">IF(DY$3&gt;'GAAP Summary'!$B$2,0,SUM(INDIRECT(XLOOKUP(DY$3,'TTM Dates'!$B:$B,'TTM Dates'!$E:$E)&amp;ROW($BW13)&amp;":"&amp;XLOOKUP(DY$3,'TTM Dates'!$B:$B,'TTM Dates'!$C:$C)&amp;ROW($BW13))))</f>
        <v>7985846</v>
      </c>
      <c r="DZ13" s="136">
        <f t="array" ref="DZ13">IF(DZ$3&gt;'GAAP Summary'!$B$2,0,SUM(INDIRECT(XLOOKUP(DZ$3,'TTM Dates'!$B:$B,'TTM Dates'!$E:$E)&amp;ROW($BW13)&amp;":"&amp;XLOOKUP(DZ$3,'TTM Dates'!$B:$B,'TTM Dates'!$C:$C)&amp;ROW($BW13))))</f>
        <v>8582750</v>
      </c>
      <c r="EA13" s="136">
        <f t="array" ref="EA13">IF(EA$3&gt;'GAAP Summary'!$B$2,0,SUM(INDIRECT(XLOOKUP(EA$3,'TTM Dates'!$B:$B,'TTM Dates'!$E:$E)&amp;ROW($BW13)&amp;":"&amp;XLOOKUP(EA$3,'TTM Dates'!$B:$B,'TTM Dates'!$C:$C)&amp;ROW($BW13))))</f>
        <v>8498723.01</v>
      </c>
      <c r="EB13" s="136">
        <f t="array" ref="EB13">IF(EB$3&gt;'GAAP Summary'!$B$2,0,SUM(INDIRECT(XLOOKUP(EB$3,'TTM Dates'!$B:$B,'TTM Dates'!$E:$E)&amp;ROW($BW13)&amp;":"&amp;XLOOKUP(EB$3,'TTM Dates'!$B:$B,'TTM Dates'!$C:$C)&amp;ROW($BW13))))</f>
        <v>8644525.01</v>
      </c>
      <c r="EC13" s="136">
        <f t="array" ref="EC13">IF(EC$3&gt;'GAAP Summary'!$B$2,0,SUM(INDIRECT(XLOOKUP(EC$3,'TTM Dates'!$B:$B,'TTM Dates'!$E:$E)&amp;ROW($BW13)&amp;":"&amp;XLOOKUP(EC$3,'TTM Dates'!$B:$B,'TTM Dates'!$C:$C)&amp;ROW($BW13))))</f>
        <v>8554810.01</v>
      </c>
      <c r="ED13" s="136">
        <f t="array" ref="ED13">IF(ED$3&gt;'GAAP Summary'!$B$2,0,SUM(INDIRECT(XLOOKUP(ED$3,'TTM Dates'!$B:$B,'TTM Dates'!$E:$E)&amp;ROW($BW13)&amp;":"&amp;XLOOKUP(ED$3,'TTM Dates'!$B:$B,'TTM Dates'!$C:$C)&amp;ROW($BW13))))</f>
        <v>7337390.01</v>
      </c>
      <c r="EE13" s="136">
        <f t="array" ref="EE13">IF(EE$3&gt;'GAAP Summary'!$B$2,0,SUM(INDIRECT(XLOOKUP(EE$3,'TTM Dates'!$B:$B,'TTM Dates'!$E:$E)&amp;ROW($BW13)&amp;":"&amp;XLOOKUP(EE$3,'TTM Dates'!$B:$B,'TTM Dates'!$C:$C)&amp;ROW($BW13))))</f>
        <v>8378550.01</v>
      </c>
      <c r="EF13" s="136">
        <f t="array" ref="EF13">IF(EF$3&gt;'GAAP Summary'!$B$2,0,SUM(INDIRECT(XLOOKUP(EF$3,'TTM Dates'!$B:$B,'TTM Dates'!$E:$E)&amp;ROW($BW13)&amp;":"&amp;XLOOKUP(EF$3,'TTM Dates'!$B:$B,'TTM Dates'!$C:$C)&amp;ROW($BW13))))</f>
        <v>7749318.01</v>
      </c>
      <c r="EG13" s="136">
        <f t="array" ref="EG13">IF(EG$3&gt;'GAAP Summary'!$B$2,0,SUM(INDIRECT(XLOOKUP(EG$3,'TTM Dates'!$B:$B,'TTM Dates'!$E:$E)&amp;ROW($BW13)&amp;":"&amp;XLOOKUP(EG$3,'TTM Dates'!$B:$B,'TTM Dates'!$C:$C)&amp;ROW($BW13))))</f>
        <v>6939378.01</v>
      </c>
      <c r="EH13" s="136">
        <f t="array" ref="EH13">IF(EH$3&gt;'GAAP Summary'!$B$2,0,SUM(INDIRECT(XLOOKUP(EH$3,'TTM Dates'!$B:$B,'TTM Dates'!$E:$E)&amp;ROW($BW13)&amp;":"&amp;XLOOKUP(EH$3,'TTM Dates'!$B:$B,'TTM Dates'!$C:$C)&amp;ROW($BW13))))</f>
        <v>8979678.01</v>
      </c>
      <c r="EI13" s="136">
        <f t="array" ref="EI13">IF(EI$3&gt;'GAAP Summary'!$B$2,0,SUM(INDIRECT(XLOOKUP(EI$3,'TTM Dates'!$B:$B,'TTM Dates'!$E:$E)&amp;ROW($BW13)&amp;":"&amp;XLOOKUP(EI$3,'TTM Dates'!$B:$B,'TTM Dates'!$C:$C)&amp;ROW($BW13))))</f>
        <v>9772780.01</v>
      </c>
      <c r="EJ13" s="136">
        <f t="array" ref="EJ13">IF(EJ$3&gt;'GAAP Summary'!$B$2,0,SUM(INDIRECT(XLOOKUP(EJ$3,'TTM Dates'!$B:$B,'TTM Dates'!$E:$E)&amp;ROW($BW13)&amp;":"&amp;XLOOKUP(EJ$3,'TTM Dates'!$B:$B,'TTM Dates'!$C:$C)&amp;ROW($BW13))))</f>
        <v>9638380.01</v>
      </c>
      <c r="EK13" s="136">
        <f t="array" ref="EK13">IF(EK$3&gt;'GAAP Summary'!$B$2,0,SUM(INDIRECT(XLOOKUP(EK$3,'TTM Dates'!$B:$B,'TTM Dates'!$E:$E)&amp;ROW($BW13)&amp;":"&amp;XLOOKUP(EK$3,'TTM Dates'!$B:$B,'TTM Dates'!$C:$C)&amp;ROW($BW13))))</f>
        <v>9384536.01</v>
      </c>
      <c r="EL13" s="136">
        <f t="array" ref="EL13">IF(EL$3&gt;'GAAP Summary'!$B$2,0,SUM(INDIRECT(XLOOKUP(EL$3,'TTM Dates'!$B:$B,'TTM Dates'!$E:$E)&amp;ROW($BW13)&amp;":"&amp;XLOOKUP(EL$3,'TTM Dates'!$B:$B,'TTM Dates'!$C:$C)&amp;ROW($BW13))))</f>
        <v>9247152.01</v>
      </c>
      <c r="EM13" s="136">
        <f t="array" ref="EM13">IF(EM$3&gt;'GAAP Summary'!$B$2,0,SUM(INDIRECT(XLOOKUP(EM$3,'TTM Dates'!$B:$B,'TTM Dates'!$E:$E)&amp;ROW($BW13)&amp;":"&amp;XLOOKUP(EM$3,'TTM Dates'!$B:$B,'TTM Dates'!$C:$C)&amp;ROW($BW13))))</f>
        <v>9161579</v>
      </c>
      <c r="EN13" s="136">
        <f t="array" ref="EN13">IF(EN$3&gt;'GAAP Summary'!$B$2,0,SUM(INDIRECT(XLOOKUP(EN$3,'TTM Dates'!$B:$B,'TTM Dates'!$E:$E)&amp;ROW($BW13)&amp;":"&amp;XLOOKUP(EN$3,'TTM Dates'!$B:$B,'TTM Dates'!$C:$C)&amp;ROW($BW13))))</f>
        <v>9499457</v>
      </c>
      <c r="EO13" s="136">
        <f t="array" ref="EO13">IF(EO$3&gt;'GAAP Summary'!$B$2,0,SUM(INDIRECT(XLOOKUP(EO$3,'TTM Dates'!$B:$B,'TTM Dates'!$E:$E)&amp;ROW($BW13)&amp;":"&amp;XLOOKUP(EO$3,'TTM Dates'!$B:$B,'TTM Dates'!$C:$C)&amp;ROW($BW13))))</f>
        <v>9109508</v>
      </c>
      <c r="EP13" s="136">
        <f t="array" ref="EP13">IF(EP$3&gt;'GAAP Summary'!$B$2,0,SUM(INDIRECT(XLOOKUP(EP$3,'TTM Dates'!$B:$B,'TTM Dates'!$E:$E)&amp;ROW($BW13)&amp;":"&amp;XLOOKUP(EP$3,'TTM Dates'!$B:$B,'TTM Dates'!$C:$C)&amp;ROW($BW13))))</f>
        <v>9709268</v>
      </c>
      <c r="EQ13" s="136">
        <f t="array" ref="EQ13">IF(EQ$3&gt;'GAAP Summary'!$B$2,0,SUM(INDIRECT(XLOOKUP(EQ$3,'TTM Dates'!$B:$B,'TTM Dates'!$E:$E)&amp;ROW($BW13)&amp;":"&amp;XLOOKUP(EQ$3,'TTM Dates'!$B:$B,'TTM Dates'!$C:$C)&amp;ROW($BW13))))</f>
        <v>9976629</v>
      </c>
      <c r="ER13" s="136">
        <f t="array" ref="ER13">IF(ER$3&gt;'GAAP Summary'!$B$2,0,SUM(INDIRECT(XLOOKUP(ER$3,'TTM Dates'!$B:$B,'TTM Dates'!$E:$E)&amp;ROW($BW13)&amp;":"&amp;XLOOKUP(ER$3,'TTM Dates'!$B:$B,'TTM Dates'!$C:$C)&amp;ROW($BW13))))</f>
        <v>9969889</v>
      </c>
      <c r="ES13" s="136">
        <f t="array" ref="ES13">IF(ES$3&gt;'GAAP Summary'!$B$2,0,SUM(INDIRECT(XLOOKUP(ES$3,'TTM Dates'!$B:$B,'TTM Dates'!$E:$E)&amp;ROW($BW13)&amp;":"&amp;XLOOKUP(ES$3,'TTM Dates'!$B:$B,'TTM Dates'!$C:$C)&amp;ROW($BW13))))</f>
        <v>9567735</v>
      </c>
      <c r="ET13" s="136">
        <f t="array" ref="ET13">IF(ET$3&gt;'GAAP Summary'!$B$2,0,SUM(INDIRECT(XLOOKUP(ET$3,'TTM Dates'!$B:$B,'TTM Dates'!$E:$E)&amp;ROW($BW13)&amp;":"&amp;XLOOKUP(ET$3,'TTM Dates'!$B:$B,'TTM Dates'!$C:$C)&amp;ROW($BW13))))</f>
        <v>9547253</v>
      </c>
      <c r="EU13" s="136">
        <f t="array" ref="EU13">IF(EU$3&gt;'GAAP Summary'!$B$2,0,SUM(INDIRECT(XLOOKUP(EU$3,'TTM Dates'!$B:$B,'TTM Dates'!$E:$E)&amp;ROW($BW13)&amp;":"&amp;XLOOKUP(EU$3,'TTM Dates'!$B:$B,'TTM Dates'!$C:$C)&amp;ROW($BW13))))</f>
        <v>9281737</v>
      </c>
      <c r="EV13" s="136">
        <f t="array" ref="EV13">IF(EV$3&gt;'GAAP Summary'!$B$2,0,SUM(INDIRECT(XLOOKUP(EV$3,'TTM Dates'!$B:$B,'TTM Dates'!$E:$E)&amp;ROW($BW13)&amp;":"&amp;XLOOKUP(EV$3,'TTM Dates'!$B:$B,'TTM Dates'!$C:$C)&amp;ROW($BW13))))</f>
        <v>9401197</v>
      </c>
      <c r="EW13" s="136">
        <f t="array" ref="EW13">IF(EW$3&gt;'GAAP Summary'!$B$2,0,SUM(INDIRECT(XLOOKUP(EW$3,'TTM Dates'!$B:$B,'TTM Dates'!$E:$E)&amp;ROW($BW13)&amp;":"&amp;XLOOKUP(EW$3,'TTM Dates'!$B:$B,'TTM Dates'!$C:$C)&amp;ROW($BW13))))</f>
        <v>9421697</v>
      </c>
      <c r="EX13" s="136">
        <f t="array" ref="EX13">IF(EX$3&gt;'GAAP Summary'!$B$2,0,SUM(INDIRECT(XLOOKUP(EX$3,'TTM Dates'!$B:$B,'TTM Dates'!$E:$E)&amp;ROW($BW13)&amp;":"&amp;XLOOKUP(EX$3,'TTM Dates'!$B:$B,'TTM Dates'!$C:$C)&amp;ROW($BW13))))</f>
        <v>9162317</v>
      </c>
      <c r="EY13" s="136">
        <f t="array" ref="EY13">IF(EY$3&gt;'GAAP Summary'!$B$2,0,SUM(INDIRECT(XLOOKUP(EY$3,'TTM Dates'!$B:$B,'TTM Dates'!$E:$E)&amp;ROW($BW13)&amp;":"&amp;XLOOKUP(EY$3,'TTM Dates'!$B:$B,'TTM Dates'!$C:$C)&amp;ROW($BW13))))</f>
        <v>10064477</v>
      </c>
      <c r="EZ13" s="136">
        <f t="array" ref="EZ13">IF(EZ$3&gt;'GAAP Summary'!$B$2,0,SUM(INDIRECT(XLOOKUP(EZ$3,'TTM Dates'!$B:$B,'TTM Dates'!$E:$E)&amp;ROW($BW13)&amp;":"&amp;XLOOKUP(EZ$3,'TTM Dates'!$B:$B,'TTM Dates'!$C:$C)&amp;ROW($BW13))))</f>
        <v>9427897</v>
      </c>
      <c r="FA13" s="136">
        <f t="array" ref="FA13">IF(FA$3&gt;'GAAP Summary'!$B$2,0,SUM(INDIRECT(XLOOKUP(FA$3,'TTM Dates'!$B:$B,'TTM Dates'!$E:$E)&amp;ROW($BW13)&amp;":"&amp;XLOOKUP(FA$3,'TTM Dates'!$B:$B,'TTM Dates'!$C:$C)&amp;ROW($BW13))))</f>
        <v>9903681</v>
      </c>
      <c r="FB13" s="136">
        <f t="array" ref="FB13">IF(FB$3&gt;'GAAP Summary'!$B$2,0,SUM(INDIRECT(XLOOKUP(FB$3,'TTM Dates'!$B:$B,'TTM Dates'!$E:$E)&amp;ROW($BW13)&amp;":"&amp;XLOOKUP(FB$3,'TTM Dates'!$B:$B,'TTM Dates'!$C:$C)&amp;ROW($BW13))))</f>
        <v>10017977</v>
      </c>
      <c r="FC13" s="136">
        <f t="array" ref="FC13">IF(FC$3&gt;'GAAP Summary'!$B$2,0,SUM(INDIRECT(XLOOKUP(FC$3,'TTM Dates'!$B:$B,'TTM Dates'!$E:$E)&amp;ROW($BW13)&amp;":"&amp;XLOOKUP(FC$3,'TTM Dates'!$B:$B,'TTM Dates'!$C:$C)&amp;ROW($BW13))))</f>
        <v>9582236</v>
      </c>
      <c r="FD13" s="136">
        <f t="array" ref="FD13">IF(FD$3&gt;'GAAP Summary'!$B$2,0,SUM(INDIRECT(XLOOKUP(FD$3,'TTM Dates'!$B:$B,'TTM Dates'!$E:$E)&amp;ROW($BW13)&amp;":"&amp;XLOOKUP(FD$3,'TTM Dates'!$B:$B,'TTM Dates'!$C:$C)&amp;ROW($BW13))))</f>
        <v>9295536</v>
      </c>
      <c r="FE13" s="136">
        <f t="array" ref="FE13">IF(FE$3&gt;'GAAP Summary'!$B$2,0,SUM(INDIRECT(XLOOKUP(FE$3,'TTM Dates'!$B:$B,'TTM Dates'!$E:$E)&amp;ROW($BW13)&amp;":"&amp;XLOOKUP(FE$3,'TTM Dates'!$B:$B,'TTM Dates'!$C:$C)&amp;ROW($BW13))))</f>
        <v>8858630</v>
      </c>
      <c r="FF13" s="136">
        <f t="array" ref="FF13">IF(FF$3&gt;'GAAP Summary'!$B$2,0,SUM(INDIRECT(XLOOKUP(FF$3,'TTM Dates'!$B:$B,'TTM Dates'!$E:$E)&amp;ROW($BW13)&amp;":"&amp;XLOOKUP(FF$3,'TTM Dates'!$B:$B,'TTM Dates'!$C:$C)&amp;ROW($BW13))))</f>
        <v>6411012</v>
      </c>
      <c r="FG13" s="136">
        <f t="array" ref="FG13">IF(FG$3&gt;'GAAP Summary'!$B$2,0,SUM(INDIRECT(XLOOKUP(FG$3,'TTM Dates'!$B:$B,'TTM Dates'!$E:$E)&amp;ROW($BW13)&amp;":"&amp;XLOOKUP(FG$3,'TTM Dates'!$B:$B,'TTM Dates'!$C:$C)&amp;ROW($BW13))))</f>
        <v>5069456</v>
      </c>
      <c r="FH13" s="136"/>
    </row>
    <row r="14">
      <c r="B14" s="53" t="s">
        <v>159</v>
      </c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>
        <v>45100.0</v>
      </c>
      <c r="AB14" s="136">
        <v>34560.0</v>
      </c>
      <c r="AC14" s="136">
        <v>2906490.0</v>
      </c>
      <c r="AD14" s="136">
        <v>240400.0</v>
      </c>
      <c r="AE14" s="136">
        <v>3445490.0</v>
      </c>
      <c r="AF14" s="136">
        <v>1705200.0</v>
      </c>
      <c r="AG14" s="136">
        <v>1642900.0</v>
      </c>
      <c r="AH14" s="136">
        <v>240000.0</v>
      </c>
      <c r="AI14" s="136">
        <v>1323460.0</v>
      </c>
      <c r="AJ14" s="136">
        <v>977400.0</v>
      </c>
      <c r="AK14" s="136">
        <v>459420.0</v>
      </c>
      <c r="AL14" s="136">
        <v>3326280.0</v>
      </c>
      <c r="AM14" s="136">
        <v>0.0</v>
      </c>
      <c r="AN14" s="136">
        <v>245760.0</v>
      </c>
      <c r="AO14" s="137">
        <v>1007040.0</v>
      </c>
      <c r="AP14" s="136">
        <v>220200.0</v>
      </c>
      <c r="AQ14" s="136">
        <v>103200.0</v>
      </c>
      <c r="AR14" s="136">
        <v>1237328.0</v>
      </c>
      <c r="AS14" s="137">
        <v>796400.0</v>
      </c>
      <c r="AT14" s="137">
        <v>968070.0</v>
      </c>
      <c r="AU14" s="137">
        <v>929178.0</v>
      </c>
      <c r="AV14" s="137">
        <f>249600+81000+40500+20025+103200</f>
        <v>494325</v>
      </c>
      <c r="AW14" s="137">
        <v>874546.0</v>
      </c>
      <c r="AX14" s="137">
        <v>1259600.0</v>
      </c>
      <c r="AY14" s="137">
        <v>57000.0</v>
      </c>
      <c r="AZ14" s="137">
        <v>235790.0</v>
      </c>
      <c r="BA14" s="137">
        <v>4709700.0</v>
      </c>
      <c r="BB14" s="137">
        <v>1366812.0</v>
      </c>
      <c r="BC14" s="137">
        <v>2795784.0</v>
      </c>
      <c r="BD14" s="137">
        <v>395700.0</v>
      </c>
      <c r="BE14" s="137">
        <v>689600.0</v>
      </c>
      <c r="BF14" s="137">
        <v>685920.0</v>
      </c>
      <c r="BG14" s="137">
        <v>2020630.0</v>
      </c>
      <c r="BH14" s="137">
        <v>2156205.2</v>
      </c>
      <c r="BI14" s="137">
        <v>479693.52</v>
      </c>
      <c r="BJ14" s="137">
        <v>2235526.2</v>
      </c>
      <c r="BK14" s="137">
        <v>919568.5</v>
      </c>
      <c r="BL14" s="137">
        <v>2372860.0</v>
      </c>
      <c r="BM14" s="137">
        <v>3187678.0</v>
      </c>
      <c r="BN14" s="137">
        <v>4195676.0</v>
      </c>
      <c r="BO14" s="137">
        <v>2326386.0</v>
      </c>
      <c r="BP14" s="137">
        <v>2388176.5</v>
      </c>
      <c r="BQ14" s="137">
        <v>3882712.0</v>
      </c>
      <c r="BR14" s="137">
        <v>1782484.0</v>
      </c>
      <c r="BS14" s="137"/>
      <c r="BT14" s="137"/>
      <c r="BU14" s="137"/>
      <c r="BV14" s="137"/>
      <c r="BW14" s="50"/>
      <c r="BX14" s="142" t="str">
        <f t="array" ref="BX14">SUM(INDIRECT(XLOOKUP('GAAP Summary'!$B$2,'TTM Dates'!$B:$B,'TTM Dates'!$E:$E)&amp;ROW($BW14)&amp;":"&amp;XLOOKUP('GAAP Summary'!$B$2,'TTM Dates'!$B:$B,'TTM Dates'!$C:$C)&amp;ROW($BW14)))</f>
        <v>#REF!</v>
      </c>
      <c r="BY14" s="70"/>
      <c r="BZ14" s="137">
        <f t="shared" si="9"/>
        <v>6480106.5</v>
      </c>
      <c r="CA14" s="137">
        <f t="shared" si="10"/>
        <v>8910238.5</v>
      </c>
      <c r="CB14" s="137">
        <f t="shared" si="11"/>
        <v>5665196</v>
      </c>
      <c r="CC14" s="137">
        <f t="shared" si="12"/>
        <v>0</v>
      </c>
      <c r="CD14" s="142">
        <f t="shared" si="13"/>
        <v>21055541</v>
      </c>
      <c r="CE14" s="70"/>
      <c r="CF14" s="137">
        <f t="shared" si="14"/>
        <v>5002490</v>
      </c>
      <c r="CG14" s="137">
        <f t="shared" si="15"/>
        <v>4558296</v>
      </c>
      <c r="CH14" s="137">
        <f t="shared" si="16"/>
        <v>3396150</v>
      </c>
      <c r="CI14" s="137">
        <f t="shared" si="17"/>
        <v>4871424.92</v>
      </c>
      <c r="CJ14" s="142">
        <f t="shared" si="18"/>
        <v>17828360.92</v>
      </c>
      <c r="CK14" s="203"/>
      <c r="CL14" s="137">
        <f t="shared" si="19"/>
        <v>1252800</v>
      </c>
      <c r="CM14" s="137">
        <f t="shared" si="20"/>
        <v>1560728</v>
      </c>
      <c r="CN14" s="137">
        <f t="shared" si="21"/>
        <v>2693648</v>
      </c>
      <c r="CO14" s="137">
        <f t="shared" si="22"/>
        <v>2628471</v>
      </c>
      <c r="CP14" s="142">
        <f t="shared" si="28"/>
        <v>8135647</v>
      </c>
      <c r="CQ14" s="137"/>
      <c r="CR14" s="137">
        <f t="shared" si="23"/>
        <v>2986150</v>
      </c>
      <c r="CS14" s="137">
        <f t="shared" si="24"/>
        <v>5391090</v>
      </c>
      <c r="CT14" s="137">
        <f t="shared" si="25"/>
        <v>3206360</v>
      </c>
      <c r="CU14" s="137">
        <f t="shared" si="26"/>
        <v>4763100</v>
      </c>
      <c r="CV14" s="142">
        <f t="shared" si="27"/>
        <v>16346700</v>
      </c>
      <c r="CW14" s="137"/>
      <c r="CX14" s="142">
        <f t="shared" si="29"/>
        <v>0</v>
      </c>
      <c r="CY14" s="44"/>
      <c r="CZ14" s="136">
        <f t="array" ref="CZ14">IF(CZ$3&gt;'GAAP Summary'!$B$2,0,SUM(INDIRECT(XLOOKUP(CZ$3,'TTM Dates'!$B:$B,'TTM Dates'!$E:$E)&amp;ROW($BW14)&amp;":"&amp;XLOOKUP(CZ$3,'TTM Dates'!$B:$B,'TTM Dates'!$C:$C)&amp;ROW($BW14))))</f>
        <v>0</v>
      </c>
      <c r="DA14" s="136">
        <f t="array" ref="DA14">IF(DA$3&gt;'GAAP Summary'!$B$2,0,SUM(INDIRECT(XLOOKUP(DA$3,'TTM Dates'!$B:$B,'TTM Dates'!$E:$E)&amp;ROW($BW14)&amp;":"&amp;XLOOKUP(DA$3,'TTM Dates'!$B:$B,'TTM Dates'!$C:$C)&amp;ROW($BW14))))</f>
        <v>0</v>
      </c>
      <c r="DB14" s="136">
        <f t="array" ref="DB14">IF(DB$3&gt;'GAAP Summary'!$B$2,0,SUM(INDIRECT(XLOOKUP(DB$3,'TTM Dates'!$B:$B,'TTM Dates'!$E:$E)&amp;ROW($BW14)&amp;":"&amp;XLOOKUP(DB$3,'TTM Dates'!$B:$B,'TTM Dates'!$C:$C)&amp;ROW($BW14))))</f>
        <v>0</v>
      </c>
      <c r="DC14" s="136">
        <f t="array" ref="DC14">IF(DC$3&gt;'GAAP Summary'!$B$2,0,SUM(INDIRECT(XLOOKUP(DC$3,'TTM Dates'!$B:$B,'TTM Dates'!$E:$E)&amp;ROW($BW14)&amp;":"&amp;XLOOKUP(DC$3,'TTM Dates'!$B:$B,'TTM Dates'!$C:$C)&amp;ROW($BW14))))</f>
        <v>0</v>
      </c>
      <c r="DD14" s="136">
        <f t="array" ref="DD14">IF(DD$3&gt;'GAAP Summary'!$B$2,0,SUM(INDIRECT(XLOOKUP(DD$3,'TTM Dates'!$B:$B,'TTM Dates'!$E:$E)&amp;ROW($BW14)&amp;":"&amp;XLOOKUP(DD$3,'TTM Dates'!$B:$B,'TTM Dates'!$C:$C)&amp;ROW($BW14))))</f>
        <v>0</v>
      </c>
      <c r="DE14" s="136">
        <f t="array" ref="DE14">IF(DE$3&gt;'GAAP Summary'!$B$2,0,SUM(INDIRECT(XLOOKUP(DE$3,'TTM Dates'!$B:$B,'TTM Dates'!$E:$E)&amp;ROW($BW14)&amp;":"&amp;XLOOKUP(DE$3,'TTM Dates'!$B:$B,'TTM Dates'!$C:$C)&amp;ROW($BW14))))</f>
        <v>0</v>
      </c>
      <c r="DF14" s="136">
        <f t="array" ref="DF14">IF(DF$3&gt;'GAAP Summary'!$B$2,0,SUM(INDIRECT(XLOOKUP(DF$3,'TTM Dates'!$B:$B,'TTM Dates'!$E:$E)&amp;ROW($BW14)&amp;":"&amp;XLOOKUP(DF$3,'TTM Dates'!$B:$B,'TTM Dates'!$C:$C)&amp;ROW($BW14))))</f>
        <v>0</v>
      </c>
      <c r="DG14" s="136">
        <f t="array" ref="DG14">IF(DG$3&gt;'GAAP Summary'!$B$2,0,SUM(INDIRECT(XLOOKUP(DG$3,'TTM Dates'!$B:$B,'TTM Dates'!$E:$E)&amp;ROW($BW14)&amp;":"&amp;XLOOKUP(DG$3,'TTM Dates'!$B:$B,'TTM Dates'!$C:$C)&amp;ROW($BW14))))</f>
        <v>0</v>
      </c>
      <c r="DH14" s="136">
        <f t="array" ref="DH14">IF(DH$3&gt;'GAAP Summary'!$B$2,0,SUM(INDIRECT(XLOOKUP(DH$3,'TTM Dates'!$B:$B,'TTM Dates'!$E:$E)&amp;ROW($BW14)&amp;":"&amp;XLOOKUP(DH$3,'TTM Dates'!$B:$B,'TTM Dates'!$C:$C)&amp;ROW($BW14))))</f>
        <v>0</v>
      </c>
      <c r="DI14" s="136">
        <f t="array" ref="DI14">IF(DI$3&gt;'GAAP Summary'!$B$2,0,SUM(INDIRECT(XLOOKUP(DI$3,'TTM Dates'!$B:$B,'TTM Dates'!$E:$E)&amp;ROW($BW14)&amp;":"&amp;XLOOKUP(DI$3,'TTM Dates'!$B:$B,'TTM Dates'!$C:$C)&amp;ROW($BW14))))</f>
        <v>0</v>
      </c>
      <c r="DJ14" s="136">
        <f t="array" ref="DJ14">IF(DJ$3&gt;'GAAP Summary'!$B$2,0,SUM(INDIRECT(XLOOKUP(DJ$3,'TTM Dates'!$B:$B,'TTM Dates'!$E:$E)&amp;ROW($BW14)&amp;":"&amp;XLOOKUP(DJ$3,'TTM Dates'!$B:$B,'TTM Dates'!$C:$C)&amp;ROW($BW14))))</f>
        <v>0</v>
      </c>
      <c r="DK14" s="136">
        <f t="array" ref="DK14">IF(DK$3&gt;'GAAP Summary'!$B$2,0,SUM(INDIRECT(XLOOKUP(DK$3,'TTM Dates'!$B:$B,'TTM Dates'!$E:$E)&amp;ROW($BW14)&amp;":"&amp;XLOOKUP(DK$3,'TTM Dates'!$B:$B,'TTM Dates'!$C:$C)&amp;ROW($BW14))))</f>
        <v>0</v>
      </c>
      <c r="DL14" s="136">
        <f t="array" ref="DL14">IF(DL$3&gt;'GAAP Summary'!$B$2,0,SUM(INDIRECT(XLOOKUP(DL$3,'TTM Dates'!$B:$B,'TTM Dates'!$E:$E)&amp;ROW($BW14)&amp;":"&amp;XLOOKUP(DL$3,'TTM Dates'!$B:$B,'TTM Dates'!$C:$C)&amp;ROW($BW14))))</f>
        <v>45100</v>
      </c>
      <c r="DM14" s="136">
        <f t="array" ref="DM14">IF(DM$3&gt;'GAAP Summary'!$B$2,0,SUM(INDIRECT(XLOOKUP(DM$3,'TTM Dates'!$B:$B,'TTM Dates'!$E:$E)&amp;ROW($BW14)&amp;":"&amp;XLOOKUP(DM$3,'TTM Dates'!$B:$B,'TTM Dates'!$C:$C)&amp;ROW($BW14))))</f>
        <v>79660</v>
      </c>
      <c r="DN14" s="136">
        <f t="array" ref="DN14">IF(DN$3&gt;'GAAP Summary'!$B$2,0,SUM(INDIRECT(XLOOKUP(DN$3,'TTM Dates'!$B:$B,'TTM Dates'!$E:$E)&amp;ROW($BW14)&amp;":"&amp;XLOOKUP(DN$3,'TTM Dates'!$B:$B,'TTM Dates'!$C:$C)&amp;ROW($BW14))))</f>
        <v>2986150</v>
      </c>
      <c r="DO14" s="136">
        <f t="array" ref="DO14">IF(DO$3&gt;'GAAP Summary'!$B$2,0,SUM(INDIRECT(XLOOKUP(DO$3,'TTM Dates'!$B:$B,'TTM Dates'!$E:$E)&amp;ROW($BW14)&amp;":"&amp;XLOOKUP(DO$3,'TTM Dates'!$B:$B,'TTM Dates'!$C:$C)&amp;ROW($BW14))))</f>
        <v>3226550</v>
      </c>
      <c r="DP14" s="136">
        <f t="array" ref="DP14">IF(DP$3&gt;'GAAP Summary'!$B$2,0,SUM(INDIRECT(XLOOKUP(DP$3,'TTM Dates'!$B:$B,'TTM Dates'!$E:$E)&amp;ROW($BW14)&amp;":"&amp;XLOOKUP(DP$3,'TTM Dates'!$B:$B,'TTM Dates'!$C:$C)&amp;ROW($BW14))))</f>
        <v>6672040</v>
      </c>
      <c r="DQ14" s="136">
        <f t="array" ref="DQ14">IF(DQ$3&gt;'GAAP Summary'!$B$2,0,SUM(INDIRECT(XLOOKUP(DQ$3,'TTM Dates'!$B:$B,'TTM Dates'!$E:$E)&amp;ROW($BW14)&amp;":"&amp;XLOOKUP(DQ$3,'TTM Dates'!$B:$B,'TTM Dates'!$C:$C)&amp;ROW($BW14))))</f>
        <v>8377240</v>
      </c>
      <c r="DR14" s="136">
        <f t="array" ref="DR14">IF(DR$3&gt;'GAAP Summary'!$B$2,0,SUM(INDIRECT(XLOOKUP(DR$3,'TTM Dates'!$B:$B,'TTM Dates'!$E:$E)&amp;ROW($BW14)&amp;":"&amp;XLOOKUP(DR$3,'TTM Dates'!$B:$B,'TTM Dates'!$C:$C)&amp;ROW($BW14))))</f>
        <v>10020140</v>
      </c>
      <c r="DS14" s="136">
        <f t="array" ref="DS14">IF(DS$3&gt;'GAAP Summary'!$B$2,0,SUM(INDIRECT(XLOOKUP(DS$3,'TTM Dates'!$B:$B,'TTM Dates'!$E:$E)&amp;ROW($BW14)&amp;":"&amp;XLOOKUP(DS$3,'TTM Dates'!$B:$B,'TTM Dates'!$C:$C)&amp;ROW($BW14))))</f>
        <v>10260140</v>
      </c>
      <c r="DT14" s="136">
        <f t="array" ref="DT14">IF(DT$3&gt;'GAAP Summary'!$B$2,0,SUM(INDIRECT(XLOOKUP(DT$3,'TTM Dates'!$B:$B,'TTM Dates'!$E:$E)&amp;ROW($BW14)&amp;":"&amp;XLOOKUP(DT$3,'TTM Dates'!$B:$B,'TTM Dates'!$C:$C)&amp;ROW($BW14))))</f>
        <v>11583600</v>
      </c>
      <c r="DU14" s="136">
        <f t="array" ref="DU14">IF(DU$3&gt;'GAAP Summary'!$B$2,0,SUM(INDIRECT(XLOOKUP(DU$3,'TTM Dates'!$B:$B,'TTM Dates'!$E:$E)&amp;ROW($BW14)&amp;":"&amp;XLOOKUP(DU$3,'TTM Dates'!$B:$B,'TTM Dates'!$C:$C)&amp;ROW($BW14))))</f>
        <v>12561000</v>
      </c>
      <c r="DV14" s="136">
        <f t="array" ref="DV14">IF(DV$3&gt;'GAAP Summary'!$B$2,0,SUM(INDIRECT(XLOOKUP(DV$3,'TTM Dates'!$B:$B,'TTM Dates'!$E:$E)&amp;ROW($BW14)&amp;":"&amp;XLOOKUP(DV$3,'TTM Dates'!$B:$B,'TTM Dates'!$C:$C)&amp;ROW($BW14))))</f>
        <v>13020420</v>
      </c>
      <c r="DW14" s="136">
        <f t="array" ref="DW14">IF(DW$3&gt;'GAAP Summary'!$B$2,0,SUM(INDIRECT(XLOOKUP(DW$3,'TTM Dates'!$B:$B,'TTM Dates'!$E:$E)&amp;ROW($BW14)&amp;":"&amp;XLOOKUP(DW$3,'TTM Dates'!$B:$B,'TTM Dates'!$C:$C)&amp;ROW($BW14))))</f>
        <v>16346700</v>
      </c>
      <c r="DX14" s="136">
        <f t="array" ref="DX14">IF(DX$3&gt;'GAAP Summary'!$B$2,0,SUM(INDIRECT(XLOOKUP(DX$3,'TTM Dates'!$B:$B,'TTM Dates'!$E:$E)&amp;ROW($BW14)&amp;":"&amp;XLOOKUP(DX$3,'TTM Dates'!$B:$B,'TTM Dates'!$C:$C)&amp;ROW($BW14))))</f>
        <v>16301600</v>
      </c>
      <c r="DY14" s="136">
        <f t="array" ref="DY14">IF(DY$3&gt;'GAAP Summary'!$B$2,0,SUM(INDIRECT(XLOOKUP(DY$3,'TTM Dates'!$B:$B,'TTM Dates'!$E:$E)&amp;ROW($BW14)&amp;":"&amp;XLOOKUP(DY$3,'TTM Dates'!$B:$B,'TTM Dates'!$C:$C)&amp;ROW($BW14))))</f>
        <v>16512800</v>
      </c>
      <c r="DZ14" s="136">
        <f t="array" ref="DZ14">IF(DZ$3&gt;'GAAP Summary'!$B$2,0,SUM(INDIRECT(XLOOKUP(DZ$3,'TTM Dates'!$B:$B,'TTM Dates'!$E:$E)&amp;ROW($BW14)&amp;":"&amp;XLOOKUP(DZ$3,'TTM Dates'!$B:$B,'TTM Dates'!$C:$C)&amp;ROW($BW14))))</f>
        <v>14613350</v>
      </c>
      <c r="EA14" s="136">
        <f t="array" ref="EA14">IF(EA$3&gt;'GAAP Summary'!$B$2,0,SUM(INDIRECT(XLOOKUP(EA$3,'TTM Dates'!$B:$B,'TTM Dates'!$E:$E)&amp;ROW($BW14)&amp;":"&amp;XLOOKUP(EA$3,'TTM Dates'!$B:$B,'TTM Dates'!$C:$C)&amp;ROW($BW14))))</f>
        <v>14593150</v>
      </c>
      <c r="EB14" s="136">
        <f t="array" ref="EB14">IF(EB$3&gt;'GAAP Summary'!$B$2,0,SUM(INDIRECT(XLOOKUP(EB$3,'TTM Dates'!$B:$B,'TTM Dates'!$E:$E)&amp;ROW($BW14)&amp;":"&amp;XLOOKUP(EB$3,'TTM Dates'!$B:$B,'TTM Dates'!$C:$C)&amp;ROW($BW14))))</f>
        <v>11250860</v>
      </c>
      <c r="EC14" s="136">
        <f t="array" ref="EC14">IF(EC$3&gt;'GAAP Summary'!$B$2,0,SUM(INDIRECT(XLOOKUP(EC$3,'TTM Dates'!$B:$B,'TTM Dates'!$E:$E)&amp;ROW($BW14)&amp;":"&amp;XLOOKUP(EC$3,'TTM Dates'!$B:$B,'TTM Dates'!$C:$C)&amp;ROW($BW14))))</f>
        <v>10782988</v>
      </c>
      <c r="ED14" s="136">
        <f t="array" ref="ED14">IF(ED$3&gt;'GAAP Summary'!$B$2,0,SUM(INDIRECT(XLOOKUP(ED$3,'TTM Dates'!$B:$B,'TTM Dates'!$E:$E)&amp;ROW($BW14)&amp;":"&amp;XLOOKUP(ED$3,'TTM Dates'!$B:$B,'TTM Dates'!$C:$C)&amp;ROW($BW14))))</f>
        <v>9936488</v>
      </c>
      <c r="EE14" s="136">
        <f t="array" ref="EE14">IF(EE$3&gt;'GAAP Summary'!$B$2,0,SUM(INDIRECT(XLOOKUP(EE$3,'TTM Dates'!$B:$B,'TTM Dates'!$E:$E)&amp;ROW($BW14)&amp;":"&amp;XLOOKUP(EE$3,'TTM Dates'!$B:$B,'TTM Dates'!$C:$C)&amp;ROW($BW14))))</f>
        <v>10664558</v>
      </c>
      <c r="EF14" s="136">
        <f t="array" ref="EF14">IF(EF$3&gt;'GAAP Summary'!$B$2,0,SUM(INDIRECT(XLOOKUP(EF$3,'TTM Dates'!$B:$B,'TTM Dates'!$E:$E)&amp;ROW($BW14)&amp;":"&amp;XLOOKUP(EF$3,'TTM Dates'!$B:$B,'TTM Dates'!$C:$C)&amp;ROW($BW14))))</f>
        <v>10270276</v>
      </c>
      <c r="EG14" s="136">
        <f t="array" ref="EG14">IF(EG$3&gt;'GAAP Summary'!$B$2,0,SUM(INDIRECT(XLOOKUP(EG$3,'TTM Dates'!$B:$B,'TTM Dates'!$E:$E)&amp;ROW($BW14)&amp;":"&amp;XLOOKUP(EG$3,'TTM Dates'!$B:$B,'TTM Dates'!$C:$C)&amp;ROW($BW14))))</f>
        <v>9787201</v>
      </c>
      <c r="EH14" s="136">
        <f t="array" ref="EH14">IF(EH$3&gt;'GAAP Summary'!$B$2,0,SUM(INDIRECT(XLOOKUP(EH$3,'TTM Dates'!$B:$B,'TTM Dates'!$E:$E)&amp;ROW($BW14)&amp;":"&amp;XLOOKUP(EH$3,'TTM Dates'!$B:$B,'TTM Dates'!$C:$C)&amp;ROW($BW14))))</f>
        <v>10202327</v>
      </c>
      <c r="EI14" s="136">
        <f t="array" ref="EI14">IF(EI$3&gt;'GAAP Summary'!$B$2,0,SUM(INDIRECT(XLOOKUP(EI$3,'TTM Dates'!$B:$B,'TTM Dates'!$E:$E)&amp;ROW($BW14)&amp;":"&amp;XLOOKUP(EI$3,'TTM Dates'!$B:$B,'TTM Dates'!$C:$C)&amp;ROW($BW14))))</f>
        <v>8135647</v>
      </c>
      <c r="EJ14" s="136">
        <f t="array" ref="EJ14">IF(EJ$3&gt;'GAAP Summary'!$B$2,0,SUM(INDIRECT(XLOOKUP(EJ$3,'TTM Dates'!$B:$B,'TTM Dates'!$E:$E)&amp;ROW($BW14)&amp;":"&amp;XLOOKUP(EJ$3,'TTM Dates'!$B:$B,'TTM Dates'!$C:$C)&amp;ROW($BW14))))</f>
        <v>8192647</v>
      </c>
      <c r="EK14" s="136">
        <f t="array" ref="EK14">IF(EK$3&gt;'GAAP Summary'!$B$2,0,SUM(INDIRECT(XLOOKUP(EK$3,'TTM Dates'!$B:$B,'TTM Dates'!$E:$E)&amp;ROW($BW14)&amp;":"&amp;XLOOKUP(EK$3,'TTM Dates'!$B:$B,'TTM Dates'!$C:$C)&amp;ROW($BW14))))</f>
        <v>8182677</v>
      </c>
      <c r="EL14" s="136">
        <f t="array" ref="EL14">IF(EL$3&gt;'GAAP Summary'!$B$2,0,SUM(INDIRECT(XLOOKUP(EL$3,'TTM Dates'!$B:$B,'TTM Dates'!$E:$E)&amp;ROW($BW14)&amp;":"&amp;XLOOKUP(EL$3,'TTM Dates'!$B:$B,'TTM Dates'!$C:$C)&amp;ROW($BW14))))</f>
        <v>11885337</v>
      </c>
      <c r="EM14" s="136">
        <f t="array" ref="EM14">IF(EM$3&gt;'GAAP Summary'!$B$2,0,SUM(INDIRECT(XLOOKUP(EM$3,'TTM Dates'!$B:$B,'TTM Dates'!$E:$E)&amp;ROW($BW14)&amp;":"&amp;XLOOKUP(EM$3,'TTM Dates'!$B:$B,'TTM Dates'!$C:$C)&amp;ROW($BW14))))</f>
        <v>13031949</v>
      </c>
      <c r="EN14" s="136">
        <f t="array" ref="EN14">IF(EN$3&gt;'GAAP Summary'!$B$2,0,SUM(INDIRECT(XLOOKUP(EN$3,'TTM Dates'!$B:$B,'TTM Dates'!$E:$E)&amp;ROW($BW14)&amp;":"&amp;XLOOKUP(EN$3,'TTM Dates'!$B:$B,'TTM Dates'!$C:$C)&amp;ROW($BW14))))</f>
        <v>15724533</v>
      </c>
      <c r="EO14" s="136">
        <f t="array" ref="EO14">IF(EO$3&gt;'GAAP Summary'!$B$2,0,SUM(INDIRECT(XLOOKUP(EO$3,'TTM Dates'!$B:$B,'TTM Dates'!$E:$E)&amp;ROW($BW14)&amp;":"&amp;XLOOKUP(EO$3,'TTM Dates'!$B:$B,'TTM Dates'!$C:$C)&amp;ROW($BW14))))</f>
        <v>14882905</v>
      </c>
      <c r="EP14" s="136">
        <f t="array" ref="EP14">IF(EP$3&gt;'GAAP Summary'!$B$2,0,SUM(INDIRECT(XLOOKUP(EP$3,'TTM Dates'!$B:$B,'TTM Dates'!$E:$E)&amp;ROW($BW14)&amp;":"&amp;XLOOKUP(EP$3,'TTM Dates'!$B:$B,'TTM Dates'!$C:$C)&amp;ROW($BW14))))</f>
        <v>14776105</v>
      </c>
      <c r="EQ14" s="136">
        <f t="array" ref="EQ14">IF(EQ$3&gt;'GAAP Summary'!$B$2,0,SUM(INDIRECT(XLOOKUP(EQ$3,'TTM Dates'!$B:$B,'TTM Dates'!$E:$E)&amp;ROW($BW14)&amp;":"&amp;XLOOKUP(EQ$3,'TTM Dates'!$B:$B,'TTM Dates'!$C:$C)&amp;ROW($BW14))))</f>
        <v>14493955</v>
      </c>
      <c r="ER14" s="136">
        <f t="array" ref="ER14">IF(ER$3&gt;'GAAP Summary'!$B$2,0,SUM(INDIRECT(XLOOKUP(ER$3,'TTM Dates'!$B:$B,'TTM Dates'!$E:$E)&amp;ROW($BW14)&amp;":"&amp;XLOOKUP(ER$3,'TTM Dates'!$B:$B,'TTM Dates'!$C:$C)&amp;ROW($BW14))))</f>
        <v>15585407</v>
      </c>
      <c r="ES14" s="136">
        <f t="array" ref="ES14">IF(ES$3&gt;'GAAP Summary'!$B$2,0,SUM(INDIRECT(XLOOKUP(ES$3,'TTM Dates'!$B:$B,'TTM Dates'!$E:$E)&amp;ROW($BW14)&amp;":"&amp;XLOOKUP(ES$3,'TTM Dates'!$B:$B,'TTM Dates'!$C:$C)&amp;ROW($BW14))))</f>
        <v>17247287.2</v>
      </c>
      <c r="ET14" s="136">
        <f t="array" ref="ET14">IF(ET$3&gt;'GAAP Summary'!$B$2,0,SUM(INDIRECT(XLOOKUP(ET$3,'TTM Dates'!$B:$B,'TTM Dates'!$E:$E)&amp;ROW($BW14)&amp;":"&amp;XLOOKUP(ET$3,'TTM Dates'!$B:$B,'TTM Dates'!$C:$C)&amp;ROW($BW14))))</f>
        <v>16852434.72</v>
      </c>
      <c r="EU14" s="136">
        <f t="array" ref="EU14">IF(EU$3&gt;'GAAP Summary'!$B$2,0,SUM(INDIRECT(XLOOKUP(EU$3,'TTM Dates'!$B:$B,'TTM Dates'!$E:$E)&amp;ROW($BW14)&amp;":"&amp;XLOOKUP(EU$3,'TTM Dates'!$B:$B,'TTM Dates'!$C:$C)&amp;ROW($BW14))))</f>
        <v>17828360.92</v>
      </c>
      <c r="EV14" s="136">
        <f t="array" ref="EV14">IF(EV$3&gt;'GAAP Summary'!$B$2,0,SUM(INDIRECT(XLOOKUP(EV$3,'TTM Dates'!$B:$B,'TTM Dates'!$E:$E)&amp;ROW($BW14)&amp;":"&amp;XLOOKUP(EV$3,'TTM Dates'!$B:$B,'TTM Dates'!$C:$C)&amp;ROW($BW14))))</f>
        <v>18690929.42</v>
      </c>
      <c r="EW14" s="136">
        <f t="array" ref="EW14">IF(EW$3&gt;'GAAP Summary'!$B$2,0,SUM(INDIRECT(XLOOKUP(EW$3,'TTM Dates'!$B:$B,'TTM Dates'!$E:$E)&amp;ROW($BW14)&amp;":"&amp;XLOOKUP(EW$3,'TTM Dates'!$B:$B,'TTM Dates'!$C:$C)&amp;ROW($BW14))))</f>
        <v>20827999.42</v>
      </c>
      <c r="EX14" s="136">
        <f t="array" ref="EX14">IF(EX$3&gt;'GAAP Summary'!$B$2,0,SUM(INDIRECT(XLOOKUP(EX$3,'TTM Dates'!$B:$B,'TTM Dates'!$E:$E)&amp;ROW($BW14)&amp;":"&amp;XLOOKUP(EX$3,'TTM Dates'!$B:$B,'TTM Dates'!$C:$C)&amp;ROW($BW14))))</f>
        <v>19305977.42</v>
      </c>
      <c r="EY14" s="136">
        <f t="array" ref="EY14">IF(EY$3&gt;'GAAP Summary'!$B$2,0,SUM(INDIRECT(XLOOKUP(EY$3,'TTM Dates'!$B:$B,'TTM Dates'!$E:$E)&amp;ROW($BW14)&amp;":"&amp;XLOOKUP(EY$3,'TTM Dates'!$B:$B,'TTM Dates'!$C:$C)&amp;ROW($BW14))))</f>
        <v>22134841.42</v>
      </c>
      <c r="EZ14" s="136">
        <f t="array" ref="EZ14">IF(EZ$3&gt;'GAAP Summary'!$B$2,0,SUM(INDIRECT(XLOOKUP(EZ$3,'TTM Dates'!$B:$B,'TTM Dates'!$E:$E)&amp;ROW($BW14)&amp;":"&amp;XLOOKUP(EZ$3,'TTM Dates'!$B:$B,'TTM Dates'!$C:$C)&amp;ROW($BW14))))</f>
        <v>21665443.42</v>
      </c>
      <c r="FA14" s="136">
        <f t="array" ref="FA14">IF(FA$3&gt;'GAAP Summary'!$B$2,0,SUM(INDIRECT(XLOOKUP(FA$3,'TTM Dates'!$B:$B,'TTM Dates'!$E:$E)&amp;ROW($BW14)&amp;":"&amp;XLOOKUP(FA$3,'TTM Dates'!$B:$B,'TTM Dates'!$C:$C)&amp;ROW($BW14))))</f>
        <v>23657919.92</v>
      </c>
      <c r="FB14" s="136">
        <f t="array" ref="FB14">IF(FB$3&gt;'GAAP Summary'!$B$2,0,SUM(INDIRECT(XLOOKUP(FB$3,'TTM Dates'!$B:$B,'TTM Dates'!$E:$E)&amp;ROW($BW14)&amp;":"&amp;XLOOKUP(FB$3,'TTM Dates'!$B:$B,'TTM Dates'!$C:$C)&amp;ROW($BW14))))</f>
        <v>26851031.92</v>
      </c>
      <c r="FC14" s="136">
        <f t="array" ref="FC14">IF(FC$3&gt;'GAAP Summary'!$B$2,0,SUM(INDIRECT(XLOOKUP(FC$3,'TTM Dates'!$B:$B,'TTM Dates'!$E:$E)&amp;ROW($BW14)&amp;":"&amp;XLOOKUP(FC$3,'TTM Dates'!$B:$B,'TTM Dates'!$C:$C)&amp;ROW($BW14))))</f>
        <v>27947595.92</v>
      </c>
      <c r="FD14" s="136">
        <f t="array" ref="FD14">IF(FD$3&gt;'GAAP Summary'!$B$2,0,SUM(INDIRECT(XLOOKUP(FD$3,'TTM Dates'!$B:$B,'TTM Dates'!$E:$E)&amp;ROW($BW14)&amp;":"&amp;XLOOKUP(FD$3,'TTM Dates'!$B:$B,'TTM Dates'!$C:$C)&amp;ROW($BW14))))</f>
        <v>25926965.92</v>
      </c>
      <c r="FE14" s="136">
        <f t="array" ref="FE14">IF(FE$3&gt;'GAAP Summary'!$B$2,0,SUM(INDIRECT(XLOOKUP(FE$3,'TTM Dates'!$B:$B,'TTM Dates'!$E:$E)&amp;ROW($BW14)&amp;":"&amp;XLOOKUP(FE$3,'TTM Dates'!$B:$B,'TTM Dates'!$C:$C)&amp;ROW($BW14))))</f>
        <v>23770760.72</v>
      </c>
      <c r="FF14" s="136">
        <f t="array" ref="FF14">IF(FF$3&gt;'GAAP Summary'!$B$2,0,SUM(INDIRECT(XLOOKUP(FF$3,'TTM Dates'!$B:$B,'TTM Dates'!$E:$E)&amp;ROW($BW14)&amp;":"&amp;XLOOKUP(FF$3,'TTM Dates'!$B:$B,'TTM Dates'!$C:$C)&amp;ROW($BW14))))</f>
        <v>23291067.2</v>
      </c>
      <c r="FG14" s="136">
        <f t="array" ref="FG14">IF(FG$3&gt;'GAAP Summary'!$B$2,0,SUM(INDIRECT(XLOOKUP(FG$3,'TTM Dates'!$B:$B,'TTM Dates'!$E:$E)&amp;ROW($BW14)&amp;":"&amp;XLOOKUP(FG$3,'TTM Dates'!$B:$B,'TTM Dates'!$C:$C)&amp;ROW($BW14))))</f>
        <v>21055541</v>
      </c>
      <c r="FH14" s="136"/>
    </row>
    <row r="15">
      <c r="B15" s="257" t="s">
        <v>193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136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>
        <v>0.0</v>
      </c>
      <c r="AB15" s="137">
        <v>120240.0</v>
      </c>
      <c r="AC15" s="137">
        <v>0.0</v>
      </c>
      <c r="AD15" s="137">
        <v>9120.0</v>
      </c>
      <c r="AE15" s="137">
        <v>11375.0</v>
      </c>
      <c r="AF15" s="137">
        <v>19283.0</v>
      </c>
      <c r="AG15" s="137">
        <v>164022.0</v>
      </c>
      <c r="AH15" s="137">
        <v>7980.0</v>
      </c>
      <c r="AI15" s="137">
        <v>1310.4</v>
      </c>
      <c r="AJ15" s="137">
        <v>14208.0</v>
      </c>
      <c r="AK15" s="137">
        <v>104678.8</v>
      </c>
      <c r="AL15" s="137">
        <v>121851.36</v>
      </c>
      <c r="AM15" s="137">
        <v>0.0</v>
      </c>
      <c r="AN15" s="137">
        <v>252000.0</v>
      </c>
      <c r="AO15" s="137">
        <v>19040.0</v>
      </c>
      <c r="AP15" s="137">
        <v>1310.4</v>
      </c>
      <c r="AQ15" s="137">
        <v>22188.0</v>
      </c>
      <c r="AR15" s="137">
        <v>147554.4</v>
      </c>
      <c r="AS15" s="137">
        <v>108510.0</v>
      </c>
      <c r="AT15" s="137">
        <v>14208.0</v>
      </c>
      <c r="AU15" s="137">
        <v>4500.0</v>
      </c>
      <c r="AV15" s="137">
        <v>92818.0</v>
      </c>
      <c r="AW15" s="137">
        <v>56866.32</v>
      </c>
      <c r="AX15" s="137">
        <v>451898.0</v>
      </c>
      <c r="AY15" s="137">
        <v>0.0</v>
      </c>
      <c r="AZ15" s="137">
        <v>52800.0</v>
      </c>
      <c r="BA15" s="137">
        <v>67113.0</v>
      </c>
      <c r="BB15" s="49"/>
      <c r="BC15" s="137">
        <v>1890.0</v>
      </c>
      <c r="BD15" s="137">
        <v>73500.0</v>
      </c>
      <c r="BE15" s="202">
        <v>5860.0</v>
      </c>
      <c r="BF15" s="202">
        <v>47660.0</v>
      </c>
      <c r="BG15" s="49"/>
      <c r="BH15" s="202">
        <v>3931.2</v>
      </c>
      <c r="BI15" s="202">
        <v>84511.25</v>
      </c>
      <c r="BJ15" s="202">
        <v>229832.7</v>
      </c>
      <c r="BK15" s="137">
        <v>92097.6</v>
      </c>
      <c r="BL15" s="137">
        <v>0.0</v>
      </c>
      <c r="BM15" s="137"/>
      <c r="BN15" s="137">
        <v>11088.0</v>
      </c>
      <c r="BO15" s="137"/>
      <c r="BP15" s="137">
        <v>73500.0</v>
      </c>
      <c r="BQ15" s="202">
        <v>0.0</v>
      </c>
      <c r="BR15" s="202"/>
      <c r="BS15" s="49"/>
      <c r="BT15" s="202"/>
      <c r="BU15" s="202"/>
      <c r="BV15" s="202"/>
      <c r="BW15" s="50"/>
      <c r="BX15" s="142" t="str">
        <f t="array" ref="BX15">SUM(INDIRECT(XLOOKUP('GAAP Summary'!$B$2,'TTM Dates'!$B:$B,'TTM Dates'!$E:$E)&amp;ROW($BW15)&amp;":"&amp;XLOOKUP('GAAP Summary'!$B$2,'TTM Dates'!$B:$B,'TTM Dates'!$C:$C)&amp;ROW($BW15)))</f>
        <v>#REF!</v>
      </c>
      <c r="BY15" s="70"/>
      <c r="BZ15" s="137">
        <f t="shared" si="9"/>
        <v>92097.6</v>
      </c>
      <c r="CA15" s="137">
        <f t="shared" si="10"/>
        <v>84588</v>
      </c>
      <c r="CB15" s="137">
        <f t="shared" si="11"/>
        <v>0</v>
      </c>
      <c r="CC15" s="137">
        <f t="shared" si="12"/>
        <v>0</v>
      </c>
      <c r="CD15" s="142">
        <f t="shared" si="13"/>
        <v>176685.6</v>
      </c>
      <c r="CE15" s="70"/>
      <c r="CF15" s="137">
        <f t="shared" si="14"/>
        <v>119913</v>
      </c>
      <c r="CG15" s="137">
        <f t="shared" si="15"/>
        <v>75390</v>
      </c>
      <c r="CH15" s="137">
        <f t="shared" si="16"/>
        <v>53520</v>
      </c>
      <c r="CI15" s="137">
        <f t="shared" si="17"/>
        <v>318275.15</v>
      </c>
      <c r="CJ15" s="142">
        <f t="shared" si="18"/>
        <v>567098.15</v>
      </c>
      <c r="CK15" s="49"/>
      <c r="CL15" s="137">
        <f t="shared" si="19"/>
        <v>271040</v>
      </c>
      <c r="CM15" s="137">
        <f t="shared" si="20"/>
        <v>171052.8</v>
      </c>
      <c r="CN15" s="137">
        <f t="shared" si="21"/>
        <v>127218</v>
      </c>
      <c r="CO15" s="137">
        <f t="shared" si="22"/>
        <v>601582.32</v>
      </c>
      <c r="CP15" s="142">
        <f t="shared" si="28"/>
        <v>1170893.12</v>
      </c>
      <c r="CQ15" s="49"/>
      <c r="CR15" s="137">
        <f t="shared" si="23"/>
        <v>120240</v>
      </c>
      <c r="CS15" s="137">
        <f t="shared" si="24"/>
        <v>39778</v>
      </c>
      <c r="CT15" s="137">
        <f t="shared" si="25"/>
        <v>173312.4</v>
      </c>
      <c r="CU15" s="137">
        <f t="shared" si="26"/>
        <v>240738.16</v>
      </c>
      <c r="CV15" s="142">
        <f t="shared" si="27"/>
        <v>574068.56</v>
      </c>
      <c r="CW15" s="49"/>
      <c r="CX15" s="60"/>
      <c r="CZ15" s="136">
        <f t="array" ref="CZ15">IF(CZ$3&gt;'GAAP Summary'!$B$2,0,SUM(INDIRECT(XLOOKUP(CZ$3,'TTM Dates'!$B:$B,'TTM Dates'!$E:$E)&amp;ROW($BW15)&amp;":"&amp;XLOOKUP(CZ$3,'TTM Dates'!$B:$B,'TTM Dates'!$C:$C)&amp;ROW($BW15))))</f>
        <v>0</v>
      </c>
      <c r="DA15" s="136">
        <f t="array" ref="DA15">IF(DA$3&gt;'GAAP Summary'!$B$2,0,SUM(INDIRECT(XLOOKUP(DA$3,'TTM Dates'!$B:$B,'TTM Dates'!$E:$E)&amp;ROW($BW15)&amp;":"&amp;XLOOKUP(DA$3,'TTM Dates'!$B:$B,'TTM Dates'!$C:$C)&amp;ROW($BW15))))</f>
        <v>0</v>
      </c>
      <c r="DB15" s="136">
        <f t="array" ref="DB15">IF(DB$3&gt;'GAAP Summary'!$B$2,0,SUM(INDIRECT(XLOOKUP(DB$3,'TTM Dates'!$B:$B,'TTM Dates'!$E:$E)&amp;ROW($BW15)&amp;":"&amp;XLOOKUP(DB$3,'TTM Dates'!$B:$B,'TTM Dates'!$C:$C)&amp;ROW($BW15))))</f>
        <v>0</v>
      </c>
      <c r="DC15" s="136">
        <f t="array" ref="DC15">IF(DC$3&gt;'GAAP Summary'!$B$2,0,SUM(INDIRECT(XLOOKUP(DC$3,'TTM Dates'!$B:$B,'TTM Dates'!$E:$E)&amp;ROW($BW15)&amp;":"&amp;XLOOKUP(DC$3,'TTM Dates'!$B:$B,'TTM Dates'!$C:$C)&amp;ROW($BW15))))</f>
        <v>0</v>
      </c>
      <c r="DD15" s="136">
        <f t="array" ref="DD15">IF(DD$3&gt;'GAAP Summary'!$B$2,0,SUM(INDIRECT(XLOOKUP(DD$3,'TTM Dates'!$B:$B,'TTM Dates'!$E:$E)&amp;ROW($BW15)&amp;":"&amp;XLOOKUP(DD$3,'TTM Dates'!$B:$B,'TTM Dates'!$C:$C)&amp;ROW($BW15))))</f>
        <v>0</v>
      </c>
      <c r="DE15" s="136">
        <f t="array" ref="DE15">IF(DE$3&gt;'GAAP Summary'!$B$2,0,SUM(INDIRECT(XLOOKUP(DE$3,'TTM Dates'!$B:$B,'TTM Dates'!$E:$E)&amp;ROW($BW15)&amp;":"&amp;XLOOKUP(DE$3,'TTM Dates'!$B:$B,'TTM Dates'!$C:$C)&amp;ROW($BW15))))</f>
        <v>0</v>
      </c>
      <c r="DF15" s="136">
        <f t="array" ref="DF15">IF(DF$3&gt;'GAAP Summary'!$B$2,0,SUM(INDIRECT(XLOOKUP(DF$3,'TTM Dates'!$B:$B,'TTM Dates'!$E:$E)&amp;ROW($BW15)&amp;":"&amp;XLOOKUP(DF$3,'TTM Dates'!$B:$B,'TTM Dates'!$C:$C)&amp;ROW($BW15))))</f>
        <v>0</v>
      </c>
      <c r="DG15" s="136">
        <f t="array" ref="DG15">IF(DG$3&gt;'GAAP Summary'!$B$2,0,SUM(INDIRECT(XLOOKUP(DG$3,'TTM Dates'!$B:$B,'TTM Dates'!$E:$E)&amp;ROW($BW15)&amp;":"&amp;XLOOKUP(DG$3,'TTM Dates'!$B:$B,'TTM Dates'!$C:$C)&amp;ROW($BW15))))</f>
        <v>0</v>
      </c>
      <c r="DH15" s="136">
        <f t="array" ref="DH15">IF(DH$3&gt;'GAAP Summary'!$B$2,0,SUM(INDIRECT(XLOOKUP(DH$3,'TTM Dates'!$B:$B,'TTM Dates'!$E:$E)&amp;ROW($BW15)&amp;":"&amp;XLOOKUP(DH$3,'TTM Dates'!$B:$B,'TTM Dates'!$C:$C)&amp;ROW($BW15))))</f>
        <v>0</v>
      </c>
      <c r="DI15" s="136">
        <f t="array" ref="DI15">IF(DI$3&gt;'GAAP Summary'!$B$2,0,SUM(INDIRECT(XLOOKUP(DI$3,'TTM Dates'!$B:$B,'TTM Dates'!$E:$E)&amp;ROW($BW15)&amp;":"&amp;XLOOKUP(DI$3,'TTM Dates'!$B:$B,'TTM Dates'!$C:$C)&amp;ROW($BW15))))</f>
        <v>0</v>
      </c>
      <c r="DJ15" s="136">
        <f t="array" ref="DJ15">IF(DJ$3&gt;'GAAP Summary'!$B$2,0,SUM(INDIRECT(XLOOKUP(DJ$3,'TTM Dates'!$B:$B,'TTM Dates'!$E:$E)&amp;ROW($BW15)&amp;":"&amp;XLOOKUP(DJ$3,'TTM Dates'!$B:$B,'TTM Dates'!$C:$C)&amp;ROW($BW15))))</f>
        <v>0</v>
      </c>
      <c r="DK15" s="136">
        <f t="array" ref="DK15">IF(DK$3&gt;'GAAP Summary'!$B$2,0,SUM(INDIRECT(XLOOKUP(DK$3,'TTM Dates'!$B:$B,'TTM Dates'!$E:$E)&amp;ROW($BW15)&amp;":"&amp;XLOOKUP(DK$3,'TTM Dates'!$B:$B,'TTM Dates'!$C:$C)&amp;ROW($BW15))))</f>
        <v>0</v>
      </c>
      <c r="DL15" s="136">
        <f t="array" ref="DL15">IF(DL$3&gt;'GAAP Summary'!$B$2,0,SUM(INDIRECT(XLOOKUP(DL$3,'TTM Dates'!$B:$B,'TTM Dates'!$E:$E)&amp;ROW($BW15)&amp;":"&amp;XLOOKUP(DL$3,'TTM Dates'!$B:$B,'TTM Dates'!$C:$C)&amp;ROW($BW15))))</f>
        <v>0</v>
      </c>
      <c r="DM15" s="136">
        <f t="array" ref="DM15">IF(DM$3&gt;'GAAP Summary'!$B$2,0,SUM(INDIRECT(XLOOKUP(DM$3,'TTM Dates'!$B:$B,'TTM Dates'!$E:$E)&amp;ROW($BW15)&amp;":"&amp;XLOOKUP(DM$3,'TTM Dates'!$B:$B,'TTM Dates'!$C:$C)&amp;ROW($BW15))))</f>
        <v>120240</v>
      </c>
      <c r="DN15" s="136">
        <f t="array" ref="DN15">IF(DN$3&gt;'GAAP Summary'!$B$2,0,SUM(INDIRECT(XLOOKUP(DN$3,'TTM Dates'!$B:$B,'TTM Dates'!$E:$E)&amp;ROW($BW15)&amp;":"&amp;XLOOKUP(DN$3,'TTM Dates'!$B:$B,'TTM Dates'!$C:$C)&amp;ROW($BW15))))</f>
        <v>120240</v>
      </c>
      <c r="DO15" s="136">
        <f t="array" ref="DO15">IF(DO$3&gt;'GAAP Summary'!$B$2,0,SUM(INDIRECT(XLOOKUP(DO$3,'TTM Dates'!$B:$B,'TTM Dates'!$E:$E)&amp;ROW($BW15)&amp;":"&amp;XLOOKUP(DO$3,'TTM Dates'!$B:$B,'TTM Dates'!$C:$C)&amp;ROW($BW15))))</f>
        <v>129360</v>
      </c>
      <c r="DP15" s="136">
        <f t="array" ref="DP15">IF(DP$3&gt;'GAAP Summary'!$B$2,0,SUM(INDIRECT(XLOOKUP(DP$3,'TTM Dates'!$B:$B,'TTM Dates'!$E:$E)&amp;ROW($BW15)&amp;":"&amp;XLOOKUP(DP$3,'TTM Dates'!$B:$B,'TTM Dates'!$C:$C)&amp;ROW($BW15))))</f>
        <v>140735</v>
      </c>
      <c r="DQ15" s="136">
        <f t="array" ref="DQ15">IF(DQ$3&gt;'GAAP Summary'!$B$2,0,SUM(INDIRECT(XLOOKUP(DQ$3,'TTM Dates'!$B:$B,'TTM Dates'!$E:$E)&amp;ROW($BW15)&amp;":"&amp;XLOOKUP(DQ$3,'TTM Dates'!$B:$B,'TTM Dates'!$C:$C)&amp;ROW($BW15))))</f>
        <v>160018</v>
      </c>
      <c r="DR15" s="136">
        <f t="array" ref="DR15">IF(DR$3&gt;'GAAP Summary'!$B$2,0,SUM(INDIRECT(XLOOKUP(DR$3,'TTM Dates'!$B:$B,'TTM Dates'!$E:$E)&amp;ROW($BW15)&amp;":"&amp;XLOOKUP(DR$3,'TTM Dates'!$B:$B,'TTM Dates'!$C:$C)&amp;ROW($BW15))))</f>
        <v>324040</v>
      </c>
      <c r="DS15" s="136">
        <f t="array" ref="DS15">IF(DS$3&gt;'GAAP Summary'!$B$2,0,SUM(INDIRECT(XLOOKUP(DS$3,'TTM Dates'!$B:$B,'TTM Dates'!$E:$E)&amp;ROW($BW15)&amp;":"&amp;XLOOKUP(DS$3,'TTM Dates'!$B:$B,'TTM Dates'!$C:$C)&amp;ROW($BW15))))</f>
        <v>332020</v>
      </c>
      <c r="DT15" s="136">
        <f t="array" ref="DT15">IF(DT$3&gt;'GAAP Summary'!$B$2,0,SUM(INDIRECT(XLOOKUP(DT$3,'TTM Dates'!$B:$B,'TTM Dates'!$E:$E)&amp;ROW($BW15)&amp;":"&amp;XLOOKUP(DT$3,'TTM Dates'!$B:$B,'TTM Dates'!$C:$C)&amp;ROW($BW15))))</f>
        <v>333330.4</v>
      </c>
      <c r="DU15" s="136">
        <f t="array" ref="DU15">IF(DU$3&gt;'GAAP Summary'!$B$2,0,SUM(INDIRECT(XLOOKUP(DU$3,'TTM Dates'!$B:$B,'TTM Dates'!$E:$E)&amp;ROW($BW15)&amp;":"&amp;XLOOKUP(DU$3,'TTM Dates'!$B:$B,'TTM Dates'!$C:$C)&amp;ROW($BW15))))</f>
        <v>347538.4</v>
      </c>
      <c r="DV15" s="136">
        <f t="array" ref="DV15">IF(DV$3&gt;'GAAP Summary'!$B$2,0,SUM(INDIRECT(XLOOKUP(DV$3,'TTM Dates'!$B:$B,'TTM Dates'!$E:$E)&amp;ROW($BW15)&amp;":"&amp;XLOOKUP(DV$3,'TTM Dates'!$B:$B,'TTM Dates'!$C:$C)&amp;ROW($BW15))))</f>
        <v>452217.2</v>
      </c>
      <c r="DW15" s="136">
        <f t="array" ref="DW15">IF(DW$3&gt;'GAAP Summary'!$B$2,0,SUM(INDIRECT(XLOOKUP(DW$3,'TTM Dates'!$B:$B,'TTM Dates'!$E:$E)&amp;ROW($BW15)&amp;":"&amp;XLOOKUP(DW$3,'TTM Dates'!$B:$B,'TTM Dates'!$C:$C)&amp;ROW($BW15))))</f>
        <v>574068.56</v>
      </c>
      <c r="DX15" s="136">
        <f t="array" ref="DX15">IF(DX$3&gt;'GAAP Summary'!$B$2,0,SUM(INDIRECT(XLOOKUP(DX$3,'TTM Dates'!$B:$B,'TTM Dates'!$E:$E)&amp;ROW($BW15)&amp;":"&amp;XLOOKUP(DX$3,'TTM Dates'!$B:$B,'TTM Dates'!$C:$C)&amp;ROW($BW15))))</f>
        <v>574068.56</v>
      </c>
      <c r="DY15" s="136">
        <f t="array" ref="DY15">IF(DY$3&gt;'GAAP Summary'!$B$2,0,SUM(INDIRECT(XLOOKUP(DY$3,'TTM Dates'!$B:$B,'TTM Dates'!$E:$E)&amp;ROW($BW15)&amp;":"&amp;XLOOKUP(DY$3,'TTM Dates'!$B:$B,'TTM Dates'!$C:$C)&amp;ROW($BW15))))</f>
        <v>705828.56</v>
      </c>
      <c r="DZ15" s="136">
        <f t="array" ref="DZ15">IF(DZ$3&gt;'GAAP Summary'!$B$2,0,SUM(INDIRECT(XLOOKUP(DZ$3,'TTM Dates'!$B:$B,'TTM Dates'!$E:$E)&amp;ROW($BW15)&amp;":"&amp;XLOOKUP(DZ$3,'TTM Dates'!$B:$B,'TTM Dates'!$C:$C)&amp;ROW($BW15))))</f>
        <v>724868.56</v>
      </c>
      <c r="EA15" s="136">
        <f t="array" ref="EA15">IF(EA$3&gt;'GAAP Summary'!$B$2,0,SUM(INDIRECT(XLOOKUP(EA$3,'TTM Dates'!$B:$B,'TTM Dates'!$E:$E)&amp;ROW($BW15)&amp;":"&amp;XLOOKUP(EA$3,'TTM Dates'!$B:$B,'TTM Dates'!$C:$C)&amp;ROW($BW15))))</f>
        <v>717058.96</v>
      </c>
      <c r="EB15" s="136">
        <f t="array" ref="EB15">IF(EB$3&gt;'GAAP Summary'!$B$2,0,SUM(INDIRECT(XLOOKUP(EB$3,'TTM Dates'!$B:$B,'TTM Dates'!$E:$E)&amp;ROW($BW15)&amp;":"&amp;XLOOKUP(EB$3,'TTM Dates'!$B:$B,'TTM Dates'!$C:$C)&amp;ROW($BW15))))</f>
        <v>727871.96</v>
      </c>
      <c r="EC15" s="136">
        <f t="array" ref="EC15">IF(EC$3&gt;'GAAP Summary'!$B$2,0,SUM(INDIRECT(XLOOKUP(EC$3,'TTM Dates'!$B:$B,'TTM Dates'!$E:$E)&amp;ROW($BW15)&amp;":"&amp;XLOOKUP(EC$3,'TTM Dates'!$B:$B,'TTM Dates'!$C:$C)&amp;ROW($BW15))))</f>
        <v>856143.36</v>
      </c>
      <c r="ED15" s="136">
        <f t="array" ref="ED15">IF(ED$3&gt;'GAAP Summary'!$B$2,0,SUM(INDIRECT(XLOOKUP(ED$3,'TTM Dates'!$B:$B,'TTM Dates'!$E:$E)&amp;ROW($BW15)&amp;":"&amp;XLOOKUP(ED$3,'TTM Dates'!$B:$B,'TTM Dates'!$C:$C)&amp;ROW($BW15))))</f>
        <v>800631.36</v>
      </c>
      <c r="EE15" s="136">
        <f t="array" ref="EE15">IF(EE$3&gt;'GAAP Summary'!$B$2,0,SUM(INDIRECT(XLOOKUP(EE$3,'TTM Dates'!$B:$B,'TTM Dates'!$E:$E)&amp;ROW($BW15)&amp;":"&amp;XLOOKUP(EE$3,'TTM Dates'!$B:$B,'TTM Dates'!$C:$C)&amp;ROW($BW15))))</f>
        <v>806859.36</v>
      </c>
      <c r="EF15" s="136">
        <f t="array" ref="EF15">IF(EF$3&gt;'GAAP Summary'!$B$2,0,SUM(INDIRECT(XLOOKUP(EF$3,'TTM Dates'!$B:$B,'TTM Dates'!$E:$E)&amp;ROW($BW15)&amp;":"&amp;XLOOKUP(EF$3,'TTM Dates'!$B:$B,'TTM Dates'!$C:$C)&amp;ROW($BW15))))</f>
        <v>810048.96</v>
      </c>
      <c r="EG15" s="136">
        <f t="array" ref="EG15">IF(EG$3&gt;'GAAP Summary'!$B$2,0,SUM(INDIRECT(XLOOKUP(EG$3,'TTM Dates'!$B:$B,'TTM Dates'!$E:$E)&amp;ROW($BW15)&amp;":"&amp;XLOOKUP(EG$3,'TTM Dates'!$B:$B,'TTM Dates'!$C:$C)&amp;ROW($BW15))))</f>
        <v>888658.96</v>
      </c>
      <c r="EH15" s="136">
        <f t="array" ref="EH15">IF(EH$3&gt;'GAAP Summary'!$B$2,0,SUM(INDIRECT(XLOOKUP(EH$3,'TTM Dates'!$B:$B,'TTM Dates'!$E:$E)&amp;ROW($BW15)&amp;":"&amp;XLOOKUP(EH$3,'TTM Dates'!$B:$B,'TTM Dates'!$C:$C)&amp;ROW($BW15))))</f>
        <v>840846.48</v>
      </c>
      <c r="EI15" s="136">
        <f t="array" ref="EI15">IF(EI$3&gt;'GAAP Summary'!$B$2,0,SUM(INDIRECT(XLOOKUP(EI$3,'TTM Dates'!$B:$B,'TTM Dates'!$E:$E)&amp;ROW($BW15)&amp;":"&amp;XLOOKUP(EI$3,'TTM Dates'!$B:$B,'TTM Dates'!$C:$C)&amp;ROW($BW15))))</f>
        <v>1170893.12</v>
      </c>
      <c r="EJ15" s="136">
        <f t="array" ref="EJ15">IF(EJ$3&gt;'GAAP Summary'!$B$2,0,SUM(INDIRECT(XLOOKUP(EJ$3,'TTM Dates'!$B:$B,'TTM Dates'!$E:$E)&amp;ROW($BW15)&amp;":"&amp;XLOOKUP(EJ$3,'TTM Dates'!$B:$B,'TTM Dates'!$C:$C)&amp;ROW($BW15))))</f>
        <v>1170893.12</v>
      </c>
      <c r="EK15" s="136">
        <f t="array" ref="EK15">IF(EK$3&gt;'GAAP Summary'!$B$2,0,SUM(INDIRECT(XLOOKUP(EK$3,'TTM Dates'!$B:$B,'TTM Dates'!$E:$E)&amp;ROW($BW15)&amp;":"&amp;XLOOKUP(EK$3,'TTM Dates'!$B:$B,'TTM Dates'!$C:$C)&amp;ROW($BW15))))</f>
        <v>971693.12</v>
      </c>
      <c r="EL15" s="136">
        <f t="array" ref="EL15">IF(EL$3&gt;'GAAP Summary'!$B$2,0,SUM(INDIRECT(XLOOKUP(EL$3,'TTM Dates'!$B:$B,'TTM Dates'!$E:$E)&amp;ROW($BW15)&amp;":"&amp;XLOOKUP(EL$3,'TTM Dates'!$B:$B,'TTM Dates'!$C:$C)&amp;ROW($BW15))))</f>
        <v>1019766.12</v>
      </c>
      <c r="EM15" s="136">
        <f t="array" ref="EM15">IF(EM$3&gt;'GAAP Summary'!$B$2,0,SUM(INDIRECT(XLOOKUP(EM$3,'TTM Dates'!$B:$B,'TTM Dates'!$E:$E)&amp;ROW($BW15)&amp;":"&amp;XLOOKUP(EM$3,'TTM Dates'!$B:$B,'TTM Dates'!$C:$C)&amp;ROW($BW15))))</f>
        <v>1018455.72</v>
      </c>
      <c r="EN15" s="136">
        <f t="array" ref="EN15">IF(EN$3&gt;'GAAP Summary'!$B$2,0,SUM(INDIRECT(XLOOKUP(EN$3,'TTM Dates'!$B:$B,'TTM Dates'!$E:$E)&amp;ROW($BW15)&amp;":"&amp;XLOOKUP(EN$3,'TTM Dates'!$B:$B,'TTM Dates'!$C:$C)&amp;ROW($BW15))))</f>
        <v>998157.72</v>
      </c>
      <c r="EO15" s="136">
        <f t="array" ref="EO15">IF(EO$3&gt;'GAAP Summary'!$B$2,0,SUM(INDIRECT(XLOOKUP(EO$3,'TTM Dates'!$B:$B,'TTM Dates'!$E:$E)&amp;ROW($BW15)&amp;":"&amp;XLOOKUP(EO$3,'TTM Dates'!$B:$B,'TTM Dates'!$C:$C)&amp;ROW($BW15))))</f>
        <v>924103.32</v>
      </c>
      <c r="EP15" s="136">
        <f t="array" ref="EP15">IF(EP$3&gt;'GAAP Summary'!$B$2,0,SUM(INDIRECT(XLOOKUP(EP$3,'TTM Dates'!$B:$B,'TTM Dates'!$E:$E)&amp;ROW($BW15)&amp;":"&amp;XLOOKUP(EP$3,'TTM Dates'!$B:$B,'TTM Dates'!$C:$C)&amp;ROW($BW15))))</f>
        <v>821453.32</v>
      </c>
      <c r="EQ15" s="136">
        <f t="array" ref="EQ15">IF(EQ$3&gt;'GAAP Summary'!$B$2,0,SUM(INDIRECT(XLOOKUP(EQ$3,'TTM Dates'!$B:$B,'TTM Dates'!$E:$E)&amp;ROW($BW15)&amp;":"&amp;XLOOKUP(EQ$3,'TTM Dates'!$B:$B,'TTM Dates'!$C:$C)&amp;ROW($BW15))))</f>
        <v>854905.32</v>
      </c>
      <c r="ER15" s="136">
        <f t="array" ref="ER15">IF(ER$3&gt;'GAAP Summary'!$B$2,0,SUM(INDIRECT(XLOOKUP(ER$3,'TTM Dates'!$B:$B,'TTM Dates'!$E:$E)&amp;ROW($BW15)&amp;":"&amp;XLOOKUP(ER$3,'TTM Dates'!$B:$B,'TTM Dates'!$C:$C)&amp;ROW($BW15))))</f>
        <v>850405.32</v>
      </c>
      <c r="ES15" s="136">
        <f t="array" ref="ES15">IF(ES$3&gt;'GAAP Summary'!$B$2,0,SUM(INDIRECT(XLOOKUP(ES$3,'TTM Dates'!$B:$B,'TTM Dates'!$E:$E)&amp;ROW($BW15)&amp;":"&amp;XLOOKUP(ES$3,'TTM Dates'!$B:$B,'TTM Dates'!$C:$C)&amp;ROW($BW15))))</f>
        <v>761518.52</v>
      </c>
      <c r="ET15" s="136">
        <f t="array" ref="ET15">IF(ET$3&gt;'GAAP Summary'!$B$2,0,SUM(INDIRECT(XLOOKUP(ET$3,'TTM Dates'!$B:$B,'TTM Dates'!$E:$E)&amp;ROW($BW15)&amp;":"&amp;XLOOKUP(ET$3,'TTM Dates'!$B:$B,'TTM Dates'!$C:$C)&amp;ROW($BW15))))</f>
        <v>789163.45</v>
      </c>
      <c r="EU15" s="136">
        <f t="array" ref="EU15">IF(EU$3&gt;'GAAP Summary'!$B$2,0,SUM(INDIRECT(XLOOKUP(EU$3,'TTM Dates'!$B:$B,'TTM Dates'!$E:$E)&amp;ROW($BW15)&amp;":"&amp;XLOOKUP(EU$3,'TTM Dates'!$B:$B,'TTM Dates'!$C:$C)&amp;ROW($BW15))))</f>
        <v>567098.15</v>
      </c>
      <c r="EV15" s="136">
        <f t="array" ref="EV15">IF(EV$3&gt;'GAAP Summary'!$B$2,0,SUM(INDIRECT(XLOOKUP(EV$3,'TTM Dates'!$B:$B,'TTM Dates'!$E:$E)&amp;ROW($BW15)&amp;":"&amp;XLOOKUP(EV$3,'TTM Dates'!$B:$B,'TTM Dates'!$C:$C)&amp;ROW($BW15))))</f>
        <v>659195.75</v>
      </c>
      <c r="EW15" s="136">
        <f t="array" ref="EW15">IF(EW$3&gt;'GAAP Summary'!$B$2,0,SUM(INDIRECT(XLOOKUP(EW$3,'TTM Dates'!$B:$B,'TTM Dates'!$E:$E)&amp;ROW($BW15)&amp;":"&amp;XLOOKUP(EW$3,'TTM Dates'!$B:$B,'TTM Dates'!$C:$C)&amp;ROW($BW15))))</f>
        <v>606395.75</v>
      </c>
      <c r="EX15" s="136">
        <f t="array" ref="EX15">IF(EX$3&gt;'GAAP Summary'!$B$2,0,SUM(INDIRECT(XLOOKUP(EX$3,'TTM Dates'!$B:$B,'TTM Dates'!$E:$E)&amp;ROW($BW15)&amp;":"&amp;XLOOKUP(EX$3,'TTM Dates'!$B:$B,'TTM Dates'!$C:$C)&amp;ROW($BW15))))</f>
        <v>539282.75</v>
      </c>
      <c r="EY15" s="136">
        <f t="array" ref="EY15">IF(EY$3&gt;'GAAP Summary'!$B$2,0,SUM(INDIRECT(XLOOKUP(EY$3,'TTM Dates'!$B:$B,'TTM Dates'!$E:$E)&amp;ROW($BW15)&amp;":"&amp;XLOOKUP(EY$3,'TTM Dates'!$B:$B,'TTM Dates'!$C:$C)&amp;ROW($BW15))))</f>
        <v>550370.75</v>
      </c>
      <c r="EZ15" s="136">
        <f t="array" ref="EZ15">IF(EZ$3&gt;'GAAP Summary'!$B$2,0,SUM(INDIRECT(XLOOKUP(EZ$3,'TTM Dates'!$B:$B,'TTM Dates'!$E:$E)&amp;ROW($BW15)&amp;":"&amp;XLOOKUP(EZ$3,'TTM Dates'!$B:$B,'TTM Dates'!$C:$C)&amp;ROW($BW15))))</f>
        <v>548480.75</v>
      </c>
      <c r="FA15" s="136">
        <f t="array" ref="FA15">IF(FA$3&gt;'GAAP Summary'!$B$2,0,SUM(INDIRECT(XLOOKUP(FA$3,'TTM Dates'!$B:$B,'TTM Dates'!$E:$E)&amp;ROW($BW15)&amp;":"&amp;XLOOKUP(FA$3,'TTM Dates'!$B:$B,'TTM Dates'!$C:$C)&amp;ROW($BW15))))</f>
        <v>548480.75</v>
      </c>
      <c r="FB15" s="136">
        <f t="array" ref="FB15">IF(FB$3&gt;'GAAP Summary'!$B$2,0,SUM(INDIRECT(XLOOKUP(FB$3,'TTM Dates'!$B:$B,'TTM Dates'!$E:$E)&amp;ROW($BW15)&amp;":"&amp;XLOOKUP(FB$3,'TTM Dates'!$B:$B,'TTM Dates'!$C:$C)&amp;ROW($BW15))))</f>
        <v>542620.75</v>
      </c>
      <c r="FC15" s="136">
        <f t="array" ref="FC15">IF(FC$3&gt;'GAAP Summary'!$B$2,0,SUM(INDIRECT(XLOOKUP(FC$3,'TTM Dates'!$B:$B,'TTM Dates'!$E:$E)&amp;ROW($BW15)&amp;":"&amp;XLOOKUP(FC$3,'TTM Dates'!$B:$B,'TTM Dates'!$C:$C)&amp;ROW($BW15))))</f>
        <v>494960.75</v>
      </c>
      <c r="FD15" s="136">
        <f t="array" ref="FD15">IF(FD$3&gt;'GAAP Summary'!$B$2,0,SUM(INDIRECT(XLOOKUP(FD$3,'TTM Dates'!$B:$B,'TTM Dates'!$E:$E)&amp;ROW($BW15)&amp;":"&amp;XLOOKUP(FD$3,'TTM Dates'!$B:$B,'TTM Dates'!$C:$C)&amp;ROW($BW15))))</f>
        <v>494960.75</v>
      </c>
      <c r="FE15" s="136">
        <f t="array" ref="FE15">IF(FE$3&gt;'GAAP Summary'!$B$2,0,SUM(INDIRECT(XLOOKUP(FE$3,'TTM Dates'!$B:$B,'TTM Dates'!$E:$E)&amp;ROW($BW15)&amp;":"&amp;XLOOKUP(FE$3,'TTM Dates'!$B:$B,'TTM Dates'!$C:$C)&amp;ROW($BW15))))</f>
        <v>491029.55</v>
      </c>
      <c r="FF15" s="136">
        <f t="array" ref="FF15">IF(FF$3&gt;'GAAP Summary'!$B$2,0,SUM(INDIRECT(XLOOKUP(FF$3,'TTM Dates'!$B:$B,'TTM Dates'!$E:$E)&amp;ROW($BW15)&amp;":"&amp;XLOOKUP(FF$3,'TTM Dates'!$B:$B,'TTM Dates'!$C:$C)&amp;ROW($BW15))))</f>
        <v>406518.3</v>
      </c>
      <c r="FG15" s="136">
        <f t="array" ref="FG15">IF(FG$3&gt;'GAAP Summary'!$B$2,0,SUM(INDIRECT(XLOOKUP(FG$3,'TTM Dates'!$B:$B,'TTM Dates'!$E:$E)&amp;ROW($BW15)&amp;":"&amp;XLOOKUP(FG$3,'TTM Dates'!$B:$B,'TTM Dates'!$C:$C)&amp;ROW($BW15))))</f>
        <v>176685.6</v>
      </c>
      <c r="FH15" s="136"/>
    </row>
    <row r="16">
      <c r="B16" s="267" t="s">
        <v>216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202">
        <v>366816.0</v>
      </c>
      <c r="BG16" s="49"/>
      <c r="BH16" s="202">
        <v>21117.0</v>
      </c>
      <c r="BI16" s="202">
        <v>79982.0</v>
      </c>
      <c r="BJ16" s="202">
        <v>20000.0</v>
      </c>
      <c r="BK16" s="49"/>
      <c r="BL16" s="202">
        <v>900000.0</v>
      </c>
      <c r="BM16" s="202">
        <v>281859.85</v>
      </c>
      <c r="BN16" s="202">
        <v>303607.0</v>
      </c>
      <c r="BO16" s="202">
        <v>180000.0</v>
      </c>
      <c r="BP16" s="202">
        <v>248000.0</v>
      </c>
      <c r="BQ16" s="202">
        <v>0.0</v>
      </c>
      <c r="BR16" s="202">
        <v>75000.0</v>
      </c>
      <c r="BS16" s="49"/>
      <c r="BT16" s="202"/>
      <c r="BU16" s="202"/>
      <c r="BV16" s="202"/>
      <c r="BW16" s="50"/>
      <c r="BX16" s="60"/>
      <c r="BY16" s="49"/>
      <c r="BZ16" s="137">
        <f t="shared" si="9"/>
        <v>1181859.85</v>
      </c>
      <c r="CA16" s="137">
        <f t="shared" si="10"/>
        <v>731607</v>
      </c>
      <c r="CB16" s="137">
        <f t="shared" si="11"/>
        <v>75000</v>
      </c>
      <c r="CC16" s="137">
        <f t="shared" si="12"/>
        <v>0</v>
      </c>
      <c r="CD16" s="142">
        <f t="shared" si="13"/>
        <v>1988466.85</v>
      </c>
      <c r="CE16" s="49"/>
      <c r="CF16" s="137">
        <f t="shared" si="14"/>
        <v>0</v>
      </c>
      <c r="CG16" s="137">
        <f t="shared" si="15"/>
        <v>0</v>
      </c>
      <c r="CH16" s="137">
        <f t="shared" si="16"/>
        <v>366816</v>
      </c>
      <c r="CI16" s="137">
        <f t="shared" si="17"/>
        <v>121099</v>
      </c>
      <c r="CJ16" s="142">
        <f t="shared" si="18"/>
        <v>487915</v>
      </c>
      <c r="CK16" s="49"/>
      <c r="CL16" s="137"/>
      <c r="CM16" s="137"/>
      <c r="CN16" s="137"/>
      <c r="CO16" s="137"/>
      <c r="CP16" s="60"/>
      <c r="CQ16" s="49"/>
      <c r="CR16" s="137">
        <f t="shared" si="23"/>
        <v>0</v>
      </c>
      <c r="CS16" s="137">
        <f t="shared" si="24"/>
        <v>0</v>
      </c>
      <c r="CT16" s="137">
        <f t="shared" si="25"/>
        <v>0</v>
      </c>
      <c r="CU16" s="137">
        <f t="shared" si="26"/>
        <v>0</v>
      </c>
      <c r="CV16" s="142">
        <f t="shared" si="27"/>
        <v>0</v>
      </c>
      <c r="CW16" s="49"/>
      <c r="CX16" s="60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136">
        <f t="array" ref="DL16">IF(DL$3&gt;'GAAP Summary'!$B$2,0,SUM(INDIRECT(XLOOKUP(DL$3,'TTM Dates'!$B:$B,'TTM Dates'!$E:$E)&amp;ROW($BW16)&amp;":"&amp;XLOOKUP(DL$3,'TTM Dates'!$B:$B,'TTM Dates'!$C:$C)&amp;ROW($BW16))))</f>
        <v>0</v>
      </c>
      <c r="DM16" s="136">
        <f t="array" ref="DM16">IF(DM$3&gt;'GAAP Summary'!$B$2,0,SUM(INDIRECT(XLOOKUP(DM$3,'TTM Dates'!$B:$B,'TTM Dates'!$E:$E)&amp;ROW($BW16)&amp;":"&amp;XLOOKUP(DM$3,'TTM Dates'!$B:$B,'TTM Dates'!$C:$C)&amp;ROW($BW16))))</f>
        <v>0</v>
      </c>
      <c r="DN16" s="136">
        <f t="array" ref="DN16">IF(DN$3&gt;'GAAP Summary'!$B$2,0,SUM(INDIRECT(XLOOKUP(DN$3,'TTM Dates'!$B:$B,'TTM Dates'!$E:$E)&amp;ROW($BW16)&amp;":"&amp;XLOOKUP(DN$3,'TTM Dates'!$B:$B,'TTM Dates'!$C:$C)&amp;ROW($BW16))))</f>
        <v>0</v>
      </c>
      <c r="DO16" s="136">
        <f t="array" ref="DO16">IF(DO$3&gt;'GAAP Summary'!$B$2,0,SUM(INDIRECT(XLOOKUP(DO$3,'TTM Dates'!$B:$B,'TTM Dates'!$E:$E)&amp;ROW($BW16)&amp;":"&amp;XLOOKUP(DO$3,'TTM Dates'!$B:$B,'TTM Dates'!$C:$C)&amp;ROW($BW16))))</f>
        <v>0</v>
      </c>
      <c r="DP16" s="136">
        <f t="array" ref="DP16">IF(DP$3&gt;'GAAP Summary'!$B$2,0,SUM(INDIRECT(XLOOKUP(DP$3,'TTM Dates'!$B:$B,'TTM Dates'!$E:$E)&amp;ROW($BW16)&amp;":"&amp;XLOOKUP(DP$3,'TTM Dates'!$B:$B,'TTM Dates'!$C:$C)&amp;ROW($BW16))))</f>
        <v>0</v>
      </c>
      <c r="DQ16" s="136">
        <f t="array" ref="DQ16">IF(DQ$3&gt;'GAAP Summary'!$B$2,0,SUM(INDIRECT(XLOOKUP(DQ$3,'TTM Dates'!$B:$B,'TTM Dates'!$E:$E)&amp;ROW($BW16)&amp;":"&amp;XLOOKUP(DQ$3,'TTM Dates'!$B:$B,'TTM Dates'!$C:$C)&amp;ROW($BW16))))</f>
        <v>0</v>
      </c>
      <c r="DR16" s="136">
        <f t="array" ref="DR16">IF(DR$3&gt;'GAAP Summary'!$B$2,0,SUM(INDIRECT(XLOOKUP(DR$3,'TTM Dates'!$B:$B,'TTM Dates'!$E:$E)&amp;ROW($BW16)&amp;":"&amp;XLOOKUP(DR$3,'TTM Dates'!$B:$B,'TTM Dates'!$C:$C)&amp;ROW($BW16))))</f>
        <v>0</v>
      </c>
      <c r="DS16" s="136">
        <f t="array" ref="DS16">IF(DS$3&gt;'GAAP Summary'!$B$2,0,SUM(INDIRECT(XLOOKUP(DS$3,'TTM Dates'!$B:$B,'TTM Dates'!$E:$E)&amp;ROW($BW16)&amp;":"&amp;XLOOKUP(DS$3,'TTM Dates'!$B:$B,'TTM Dates'!$C:$C)&amp;ROW($BW16))))</f>
        <v>0</v>
      </c>
      <c r="DT16" s="136">
        <f t="array" ref="DT16">IF(DT$3&gt;'GAAP Summary'!$B$2,0,SUM(INDIRECT(XLOOKUP(DT$3,'TTM Dates'!$B:$B,'TTM Dates'!$E:$E)&amp;ROW($BW16)&amp;":"&amp;XLOOKUP(DT$3,'TTM Dates'!$B:$B,'TTM Dates'!$C:$C)&amp;ROW($BW16))))</f>
        <v>0</v>
      </c>
      <c r="DU16" s="136">
        <f t="array" ref="DU16">IF(DU$3&gt;'GAAP Summary'!$B$2,0,SUM(INDIRECT(XLOOKUP(DU$3,'TTM Dates'!$B:$B,'TTM Dates'!$E:$E)&amp;ROW($BW16)&amp;":"&amp;XLOOKUP(DU$3,'TTM Dates'!$B:$B,'TTM Dates'!$C:$C)&amp;ROW($BW16))))</f>
        <v>0</v>
      </c>
      <c r="DV16" s="136">
        <f t="array" ref="DV16">IF(DV$3&gt;'GAAP Summary'!$B$2,0,SUM(INDIRECT(XLOOKUP(DV$3,'TTM Dates'!$B:$B,'TTM Dates'!$E:$E)&amp;ROW($BW16)&amp;":"&amp;XLOOKUP(DV$3,'TTM Dates'!$B:$B,'TTM Dates'!$C:$C)&amp;ROW($BW16))))</f>
        <v>0</v>
      </c>
      <c r="DW16" s="136">
        <f t="array" ref="DW16">IF(DW$3&gt;'GAAP Summary'!$B$2,0,SUM(INDIRECT(XLOOKUP(DW$3,'TTM Dates'!$B:$B,'TTM Dates'!$E:$E)&amp;ROW($BW16)&amp;":"&amp;XLOOKUP(DW$3,'TTM Dates'!$B:$B,'TTM Dates'!$C:$C)&amp;ROW($BW16))))</f>
        <v>0</v>
      </c>
      <c r="DX16" s="136">
        <f t="array" ref="DX16">IF(DX$3&gt;'GAAP Summary'!$B$2,0,SUM(INDIRECT(XLOOKUP(DX$3,'TTM Dates'!$B:$B,'TTM Dates'!$E:$E)&amp;ROW($BW16)&amp;":"&amp;XLOOKUP(DX$3,'TTM Dates'!$B:$B,'TTM Dates'!$C:$C)&amp;ROW($BW16))))</f>
        <v>0</v>
      </c>
      <c r="DY16" s="136">
        <f t="array" ref="DY16">IF(DY$3&gt;'GAAP Summary'!$B$2,0,SUM(INDIRECT(XLOOKUP(DY$3,'TTM Dates'!$B:$B,'TTM Dates'!$E:$E)&amp;ROW($BW16)&amp;":"&amp;XLOOKUP(DY$3,'TTM Dates'!$B:$B,'TTM Dates'!$C:$C)&amp;ROW($BW16))))</f>
        <v>0</v>
      </c>
      <c r="DZ16" s="136">
        <f t="array" ref="DZ16">IF(DZ$3&gt;'GAAP Summary'!$B$2,0,SUM(INDIRECT(XLOOKUP(DZ$3,'TTM Dates'!$B:$B,'TTM Dates'!$E:$E)&amp;ROW($BW16)&amp;":"&amp;XLOOKUP(DZ$3,'TTM Dates'!$B:$B,'TTM Dates'!$C:$C)&amp;ROW($BW16))))</f>
        <v>0</v>
      </c>
      <c r="EA16" s="136">
        <f t="array" ref="EA16">IF(EA$3&gt;'GAAP Summary'!$B$2,0,SUM(INDIRECT(XLOOKUP(EA$3,'TTM Dates'!$B:$B,'TTM Dates'!$E:$E)&amp;ROW($BW16)&amp;":"&amp;XLOOKUP(EA$3,'TTM Dates'!$B:$B,'TTM Dates'!$C:$C)&amp;ROW($BW16))))</f>
        <v>0</v>
      </c>
      <c r="EB16" s="136">
        <f t="array" ref="EB16">IF(EB$3&gt;'GAAP Summary'!$B$2,0,SUM(INDIRECT(XLOOKUP(EB$3,'TTM Dates'!$B:$B,'TTM Dates'!$E:$E)&amp;ROW($BW16)&amp;":"&amp;XLOOKUP(EB$3,'TTM Dates'!$B:$B,'TTM Dates'!$C:$C)&amp;ROW($BW16))))</f>
        <v>0</v>
      </c>
      <c r="EC16" s="136">
        <f t="array" ref="EC16">IF(EC$3&gt;'GAAP Summary'!$B$2,0,SUM(INDIRECT(XLOOKUP(EC$3,'TTM Dates'!$B:$B,'TTM Dates'!$E:$E)&amp;ROW($BW16)&amp;":"&amp;XLOOKUP(EC$3,'TTM Dates'!$B:$B,'TTM Dates'!$C:$C)&amp;ROW($BW16))))</f>
        <v>0</v>
      </c>
      <c r="ED16" s="136">
        <f t="array" ref="ED16">IF(ED$3&gt;'GAAP Summary'!$B$2,0,SUM(INDIRECT(XLOOKUP(ED$3,'TTM Dates'!$B:$B,'TTM Dates'!$E:$E)&amp;ROW($BW16)&amp;":"&amp;XLOOKUP(ED$3,'TTM Dates'!$B:$B,'TTM Dates'!$C:$C)&amp;ROW($BW16))))</f>
        <v>0</v>
      </c>
      <c r="EE16" s="136">
        <f t="array" ref="EE16">IF(EE$3&gt;'GAAP Summary'!$B$2,0,SUM(INDIRECT(XLOOKUP(EE$3,'TTM Dates'!$B:$B,'TTM Dates'!$E:$E)&amp;ROW($BW16)&amp;":"&amp;XLOOKUP(EE$3,'TTM Dates'!$B:$B,'TTM Dates'!$C:$C)&amp;ROW($BW16))))</f>
        <v>0</v>
      </c>
      <c r="EF16" s="136">
        <f t="array" ref="EF16">IF(EF$3&gt;'GAAP Summary'!$B$2,0,SUM(INDIRECT(XLOOKUP(EF$3,'TTM Dates'!$B:$B,'TTM Dates'!$E:$E)&amp;ROW($BW16)&amp;":"&amp;XLOOKUP(EF$3,'TTM Dates'!$B:$B,'TTM Dates'!$C:$C)&amp;ROW($BW16))))</f>
        <v>0</v>
      </c>
      <c r="EG16" s="136">
        <f t="array" ref="EG16">IF(EG$3&gt;'GAAP Summary'!$B$2,0,SUM(INDIRECT(XLOOKUP(EG$3,'TTM Dates'!$B:$B,'TTM Dates'!$E:$E)&amp;ROW($BW16)&amp;":"&amp;XLOOKUP(EG$3,'TTM Dates'!$B:$B,'TTM Dates'!$C:$C)&amp;ROW($BW16))))</f>
        <v>0</v>
      </c>
      <c r="EH16" s="136">
        <f t="array" ref="EH16">IF(EH$3&gt;'GAAP Summary'!$B$2,0,SUM(INDIRECT(XLOOKUP(EH$3,'TTM Dates'!$B:$B,'TTM Dates'!$E:$E)&amp;ROW($BW16)&amp;":"&amp;XLOOKUP(EH$3,'TTM Dates'!$B:$B,'TTM Dates'!$C:$C)&amp;ROW($BW16))))</f>
        <v>0</v>
      </c>
      <c r="EI16" s="136">
        <f t="array" ref="EI16">IF(EI$3&gt;'GAAP Summary'!$B$2,0,SUM(INDIRECT(XLOOKUP(EI$3,'TTM Dates'!$B:$B,'TTM Dates'!$E:$E)&amp;ROW($BW16)&amp;":"&amp;XLOOKUP(EI$3,'TTM Dates'!$B:$B,'TTM Dates'!$C:$C)&amp;ROW($BW16))))</f>
        <v>0</v>
      </c>
      <c r="EJ16" s="136">
        <f t="array" ref="EJ16">IF(EJ$3&gt;'GAAP Summary'!$B$2,0,SUM(INDIRECT(XLOOKUP(EJ$3,'TTM Dates'!$B:$B,'TTM Dates'!$E:$E)&amp;ROW($BW16)&amp;":"&amp;XLOOKUP(EJ$3,'TTM Dates'!$B:$B,'TTM Dates'!$C:$C)&amp;ROW($BW16))))</f>
        <v>0</v>
      </c>
      <c r="EK16" s="136">
        <f t="array" ref="EK16">IF(EK$3&gt;'GAAP Summary'!$B$2,0,SUM(INDIRECT(XLOOKUP(EK$3,'TTM Dates'!$B:$B,'TTM Dates'!$E:$E)&amp;ROW($BW16)&amp;":"&amp;XLOOKUP(EK$3,'TTM Dates'!$B:$B,'TTM Dates'!$C:$C)&amp;ROW($BW16))))</f>
        <v>0</v>
      </c>
      <c r="EL16" s="136">
        <f t="array" ref="EL16">IF(EL$3&gt;'GAAP Summary'!$B$2,0,SUM(INDIRECT(XLOOKUP(EL$3,'TTM Dates'!$B:$B,'TTM Dates'!$E:$E)&amp;ROW($BW16)&amp;":"&amp;XLOOKUP(EL$3,'TTM Dates'!$B:$B,'TTM Dates'!$C:$C)&amp;ROW($BW16))))</f>
        <v>0</v>
      </c>
      <c r="EM16" s="136">
        <f t="array" ref="EM16">IF(EM$3&gt;'GAAP Summary'!$B$2,0,SUM(INDIRECT(XLOOKUP(EM$3,'TTM Dates'!$B:$B,'TTM Dates'!$E:$E)&amp;ROW($BW16)&amp;":"&amp;XLOOKUP(EM$3,'TTM Dates'!$B:$B,'TTM Dates'!$C:$C)&amp;ROW($BW16))))</f>
        <v>0</v>
      </c>
      <c r="EN16" s="136">
        <f t="array" ref="EN16">IF(EN$3&gt;'GAAP Summary'!$B$2,0,SUM(INDIRECT(XLOOKUP(EN$3,'TTM Dates'!$B:$B,'TTM Dates'!$E:$E)&amp;ROW($BW16)&amp;":"&amp;XLOOKUP(EN$3,'TTM Dates'!$B:$B,'TTM Dates'!$C:$C)&amp;ROW($BW16))))</f>
        <v>0</v>
      </c>
      <c r="EO16" s="136">
        <f t="array" ref="EO16">IF(EO$3&gt;'GAAP Summary'!$B$2,0,SUM(INDIRECT(XLOOKUP(EO$3,'TTM Dates'!$B:$B,'TTM Dates'!$E:$E)&amp;ROW($BW16)&amp;":"&amp;XLOOKUP(EO$3,'TTM Dates'!$B:$B,'TTM Dates'!$C:$C)&amp;ROW($BW16))))</f>
        <v>0</v>
      </c>
      <c r="EP16" s="136">
        <f t="array" ref="EP16">IF(EP$3&gt;'GAAP Summary'!$B$2,0,SUM(INDIRECT(XLOOKUP(EP$3,'TTM Dates'!$B:$B,'TTM Dates'!$E:$E)&amp;ROW($BW16)&amp;":"&amp;XLOOKUP(EP$3,'TTM Dates'!$B:$B,'TTM Dates'!$C:$C)&amp;ROW($BW16))))</f>
        <v>0</v>
      </c>
      <c r="EQ16" s="136">
        <f t="array" ref="EQ16">IF(EQ$3&gt;'GAAP Summary'!$B$2,0,SUM(INDIRECT(XLOOKUP(EQ$3,'TTM Dates'!$B:$B,'TTM Dates'!$E:$E)&amp;ROW($BW16)&amp;":"&amp;XLOOKUP(EQ$3,'TTM Dates'!$B:$B,'TTM Dates'!$C:$C)&amp;ROW($BW16))))</f>
        <v>366816</v>
      </c>
      <c r="ER16" s="136">
        <f t="array" ref="ER16">IF(ER$3&gt;'GAAP Summary'!$B$2,0,SUM(INDIRECT(XLOOKUP(ER$3,'TTM Dates'!$B:$B,'TTM Dates'!$E:$E)&amp;ROW($BW16)&amp;":"&amp;XLOOKUP(ER$3,'TTM Dates'!$B:$B,'TTM Dates'!$C:$C)&amp;ROW($BW16))))</f>
        <v>366816</v>
      </c>
      <c r="ES16" s="136">
        <f t="array" ref="ES16">IF(ES$3&gt;'GAAP Summary'!$B$2,0,SUM(INDIRECT(XLOOKUP(ES$3,'TTM Dates'!$B:$B,'TTM Dates'!$E:$E)&amp;ROW($BW16)&amp;":"&amp;XLOOKUP(ES$3,'TTM Dates'!$B:$B,'TTM Dates'!$C:$C)&amp;ROW($BW16))))</f>
        <v>387933</v>
      </c>
      <c r="ET16" s="136">
        <f t="array" ref="ET16">IF(ET$3&gt;'GAAP Summary'!$B$2,0,SUM(INDIRECT(XLOOKUP(ET$3,'TTM Dates'!$B:$B,'TTM Dates'!$E:$E)&amp;ROW($BW16)&amp;":"&amp;XLOOKUP(ET$3,'TTM Dates'!$B:$B,'TTM Dates'!$C:$C)&amp;ROW($BW16))))</f>
        <v>467915</v>
      </c>
      <c r="EU16" s="136">
        <f t="array" ref="EU16">IF(EU$3&gt;'GAAP Summary'!$B$2,0,SUM(INDIRECT(XLOOKUP(EU$3,'TTM Dates'!$B:$B,'TTM Dates'!$E:$E)&amp;ROW($BW16)&amp;":"&amp;XLOOKUP(EU$3,'TTM Dates'!$B:$B,'TTM Dates'!$C:$C)&amp;ROW($BW16))))</f>
        <v>487915</v>
      </c>
      <c r="EV16" s="136">
        <f t="array" ref="EV16">IF(EV$3&gt;'GAAP Summary'!$B$2,0,SUM(INDIRECT(XLOOKUP(EV$3,'TTM Dates'!$B:$B,'TTM Dates'!$E:$E)&amp;ROW($BW16)&amp;":"&amp;XLOOKUP(EV$3,'TTM Dates'!$B:$B,'TTM Dates'!$C:$C)&amp;ROW($BW16))))</f>
        <v>487915</v>
      </c>
      <c r="EW16" s="136">
        <f t="array" ref="EW16">IF(EW$3&gt;'GAAP Summary'!$B$2,0,SUM(INDIRECT(XLOOKUP(EW$3,'TTM Dates'!$B:$B,'TTM Dates'!$E:$E)&amp;ROW($BW16)&amp;":"&amp;XLOOKUP(EW$3,'TTM Dates'!$B:$B,'TTM Dates'!$C:$C)&amp;ROW($BW16))))</f>
        <v>1387915</v>
      </c>
      <c r="EX16" s="136">
        <f t="array" ref="EX16">IF(EX$3&gt;'GAAP Summary'!$B$2,0,SUM(INDIRECT(XLOOKUP(EX$3,'TTM Dates'!$B:$B,'TTM Dates'!$E:$E)&amp;ROW($BW16)&amp;":"&amp;XLOOKUP(EX$3,'TTM Dates'!$B:$B,'TTM Dates'!$C:$C)&amp;ROW($BW16))))</f>
        <v>1669774.85</v>
      </c>
      <c r="EY16" s="136">
        <f t="array" ref="EY16">IF(EY$3&gt;'GAAP Summary'!$B$2,0,SUM(INDIRECT(XLOOKUP(EY$3,'TTM Dates'!$B:$B,'TTM Dates'!$E:$E)&amp;ROW($BW16)&amp;":"&amp;XLOOKUP(EY$3,'TTM Dates'!$B:$B,'TTM Dates'!$C:$C)&amp;ROW($BW16))))</f>
        <v>1973381.85</v>
      </c>
      <c r="EZ16" s="136">
        <f t="array" ref="EZ16">IF(EZ$3&gt;'GAAP Summary'!$B$2,0,SUM(INDIRECT(XLOOKUP(EZ$3,'TTM Dates'!$B:$B,'TTM Dates'!$E:$E)&amp;ROW($BW16)&amp;":"&amp;XLOOKUP(EZ$3,'TTM Dates'!$B:$B,'TTM Dates'!$C:$C)&amp;ROW($BW16))))</f>
        <v>2153381.85</v>
      </c>
      <c r="FA16" s="136">
        <f t="array" ref="FA16">IF(FA$3&gt;'GAAP Summary'!$B$2,0,SUM(INDIRECT(XLOOKUP(FA$3,'TTM Dates'!$B:$B,'TTM Dates'!$E:$E)&amp;ROW($BW16)&amp;":"&amp;XLOOKUP(FA$3,'TTM Dates'!$B:$B,'TTM Dates'!$C:$C)&amp;ROW($BW16))))</f>
        <v>2401381.85</v>
      </c>
      <c r="FB16" s="136">
        <f t="array" ref="FB16">IF(FB$3&gt;'GAAP Summary'!$B$2,0,SUM(INDIRECT(XLOOKUP(FB$3,'TTM Dates'!$B:$B,'TTM Dates'!$E:$E)&amp;ROW($BW16)&amp;":"&amp;XLOOKUP(FB$3,'TTM Dates'!$B:$B,'TTM Dates'!$C:$C)&amp;ROW($BW16))))</f>
        <v>2401381.85</v>
      </c>
      <c r="FC16" s="136">
        <f t="array" ref="FC16">IF(FC$3&gt;'GAAP Summary'!$B$2,0,SUM(INDIRECT(XLOOKUP(FC$3,'TTM Dates'!$B:$B,'TTM Dates'!$E:$E)&amp;ROW($BW16)&amp;":"&amp;XLOOKUP(FC$3,'TTM Dates'!$B:$B,'TTM Dates'!$C:$C)&amp;ROW($BW16))))</f>
        <v>2109565.85</v>
      </c>
      <c r="FD16" s="136">
        <f t="array" ref="FD16">IF(FD$3&gt;'GAAP Summary'!$B$2,0,SUM(INDIRECT(XLOOKUP(FD$3,'TTM Dates'!$B:$B,'TTM Dates'!$E:$E)&amp;ROW($BW16)&amp;":"&amp;XLOOKUP(FD$3,'TTM Dates'!$B:$B,'TTM Dates'!$C:$C)&amp;ROW($BW16))))</f>
        <v>2109565.85</v>
      </c>
      <c r="FE16" s="136">
        <f t="array" ref="FE16">IF(FE$3&gt;'GAAP Summary'!$B$2,0,SUM(INDIRECT(XLOOKUP(FE$3,'TTM Dates'!$B:$B,'TTM Dates'!$E:$E)&amp;ROW($BW16)&amp;":"&amp;XLOOKUP(FE$3,'TTM Dates'!$B:$B,'TTM Dates'!$C:$C)&amp;ROW($BW16))))</f>
        <v>2088448.85</v>
      </c>
      <c r="FF16" s="136">
        <f t="array" ref="FF16">IF(FF$3&gt;'GAAP Summary'!$B$2,0,SUM(INDIRECT(XLOOKUP(FF$3,'TTM Dates'!$B:$B,'TTM Dates'!$E:$E)&amp;ROW($BW16)&amp;":"&amp;XLOOKUP(FF$3,'TTM Dates'!$B:$B,'TTM Dates'!$C:$C)&amp;ROW($BW16))))</f>
        <v>2008466.85</v>
      </c>
      <c r="FG16" s="136">
        <f t="array" ref="FG16">IF(FG$3&gt;'GAAP Summary'!$B$2,0,SUM(INDIRECT(XLOOKUP(FG$3,'TTM Dates'!$B:$B,'TTM Dates'!$E:$E)&amp;ROW($BW16)&amp;":"&amp;XLOOKUP(FG$3,'TTM Dates'!$B:$B,'TTM Dates'!$C:$C)&amp;ROW($BW16))))</f>
        <v>1988466.85</v>
      </c>
      <c r="FH16" s="136"/>
    </row>
    <row r="17">
      <c r="B17" s="53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105"/>
      <c r="BO17" s="49"/>
      <c r="BP17" s="49"/>
      <c r="BQ17" s="49"/>
      <c r="BR17" s="49"/>
      <c r="BS17" s="49"/>
      <c r="BT17" s="49"/>
      <c r="BU17" s="49"/>
      <c r="BV17" s="49"/>
      <c r="BW17" s="50"/>
      <c r="BX17" s="61"/>
      <c r="BY17" s="49"/>
      <c r="BZ17" s="62"/>
      <c r="CA17" s="49"/>
      <c r="CB17" s="269"/>
      <c r="CC17" s="49"/>
      <c r="CD17" s="60"/>
      <c r="CE17" s="49"/>
      <c r="CF17" s="49"/>
      <c r="CG17" s="49"/>
      <c r="CH17" s="269"/>
      <c r="CI17" s="57"/>
      <c r="CJ17" s="61"/>
      <c r="CK17" s="49"/>
      <c r="CL17" s="49"/>
      <c r="CM17" s="49">
        <f>CM18*1.25</f>
        <v>6983183.75</v>
      </c>
      <c r="CN17" s="49">
        <f>CN18*1.35</f>
        <v>7018367.85</v>
      </c>
      <c r="CO17" s="49">
        <f>CO18*1.25</f>
        <v>6369686.25</v>
      </c>
      <c r="CP17" s="60"/>
      <c r="CQ17" s="49"/>
      <c r="CR17" s="49"/>
      <c r="CS17" s="49"/>
      <c r="CT17" s="49"/>
      <c r="CU17" s="49"/>
      <c r="CV17" s="60"/>
      <c r="CW17" s="49"/>
      <c r="CX17" s="60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</row>
    <row r="18">
      <c r="B18" s="63" t="s">
        <v>101</v>
      </c>
      <c r="C18" s="270">
        <f t="shared" ref="C18:Z18" si="30">C19+C24</f>
        <v>0</v>
      </c>
      <c r="D18" s="270">
        <f t="shared" si="30"/>
        <v>0</v>
      </c>
      <c r="E18" s="270">
        <f t="shared" si="30"/>
        <v>0</v>
      </c>
      <c r="F18" s="270">
        <f t="shared" si="30"/>
        <v>0</v>
      </c>
      <c r="G18" s="270">
        <f t="shared" si="30"/>
        <v>0</v>
      </c>
      <c r="H18" s="270">
        <f t="shared" si="30"/>
        <v>0</v>
      </c>
      <c r="I18" s="270">
        <f t="shared" si="30"/>
        <v>0</v>
      </c>
      <c r="J18" s="270">
        <f t="shared" si="30"/>
        <v>0</v>
      </c>
      <c r="K18" s="270">
        <f t="shared" si="30"/>
        <v>0</v>
      </c>
      <c r="L18" s="270">
        <f t="shared" si="30"/>
        <v>0</v>
      </c>
      <c r="M18" s="270">
        <f t="shared" si="30"/>
        <v>0</v>
      </c>
      <c r="N18" s="270">
        <f t="shared" si="30"/>
        <v>0</v>
      </c>
      <c r="O18" s="270">
        <f t="shared" si="30"/>
        <v>0</v>
      </c>
      <c r="P18" s="270">
        <f t="shared" si="30"/>
        <v>0</v>
      </c>
      <c r="Q18" s="270">
        <f t="shared" si="30"/>
        <v>0</v>
      </c>
      <c r="R18" s="270">
        <f t="shared" si="30"/>
        <v>0</v>
      </c>
      <c r="S18" s="270">
        <f t="shared" si="30"/>
        <v>0</v>
      </c>
      <c r="T18" s="270">
        <f t="shared" si="30"/>
        <v>0</v>
      </c>
      <c r="U18" s="270">
        <f t="shared" si="30"/>
        <v>0</v>
      </c>
      <c r="V18" s="270">
        <f t="shared" si="30"/>
        <v>0</v>
      </c>
      <c r="W18" s="270">
        <f t="shared" si="30"/>
        <v>0</v>
      </c>
      <c r="X18" s="270">
        <f t="shared" si="30"/>
        <v>0</v>
      </c>
      <c r="Y18" s="270">
        <f t="shared" si="30"/>
        <v>0</v>
      </c>
      <c r="Z18" s="270">
        <f t="shared" si="30"/>
        <v>0</v>
      </c>
      <c r="AA18" s="270">
        <v>1174821.0</v>
      </c>
      <c r="AB18" s="270">
        <v>1058642.0</v>
      </c>
      <c r="AC18" s="270">
        <v>1382675.0</v>
      </c>
      <c r="AD18" s="270">
        <v>1197302.0</v>
      </c>
      <c r="AE18" s="270">
        <v>1277152.0</v>
      </c>
      <c r="AF18" s="270">
        <v>1539826.0</v>
      </c>
      <c r="AG18" s="270">
        <v>1326478.0</v>
      </c>
      <c r="AH18" s="270">
        <v>1933412.0</v>
      </c>
      <c r="AI18" s="270">
        <v>1626732.0</v>
      </c>
      <c r="AJ18" s="270">
        <v>1863172.0</v>
      </c>
      <c r="AK18" s="270">
        <v>1785275.0</v>
      </c>
      <c r="AL18" s="270">
        <v>1237115.0</v>
      </c>
      <c r="AM18" s="270">
        <v>2132202.0</v>
      </c>
      <c r="AN18" s="270">
        <v>1943840.0</v>
      </c>
      <c r="AO18" s="270">
        <v>2227301.0</v>
      </c>
      <c r="AP18" s="270">
        <v>1844526.0</v>
      </c>
      <c r="AQ18" s="270">
        <v>1900795.0</v>
      </c>
      <c r="AR18" s="270">
        <v>1841226.0</v>
      </c>
      <c r="AS18" s="270">
        <v>1634207.0</v>
      </c>
      <c r="AT18" s="270">
        <v>1985443.0</v>
      </c>
      <c r="AU18" s="270">
        <v>1579141.0</v>
      </c>
      <c r="AV18" s="270">
        <v>1868299.0</v>
      </c>
      <c r="AW18" s="270">
        <v>1657348.0</v>
      </c>
      <c r="AX18" s="270">
        <v>1570102.0</v>
      </c>
      <c r="AY18" s="270">
        <f t="shared" ref="AY18:BV18" si="31">AY19+AY24</f>
        <v>1682341.92</v>
      </c>
      <c r="AZ18" s="270">
        <f t="shared" si="31"/>
        <v>1868928.87</v>
      </c>
      <c r="BA18" s="270">
        <f t="shared" si="31"/>
        <v>1912287.52</v>
      </c>
      <c r="BB18" s="270">
        <f t="shared" si="31"/>
        <v>2003722.65</v>
      </c>
      <c r="BC18" s="270">
        <f t="shared" si="31"/>
        <v>1916051.23</v>
      </c>
      <c r="BD18" s="270">
        <f t="shared" si="31"/>
        <v>1831016.71</v>
      </c>
      <c r="BE18" s="270">
        <f t="shared" si="31"/>
        <v>2080921.36</v>
      </c>
      <c r="BF18" s="270">
        <f t="shared" si="31"/>
        <v>2167206.38</v>
      </c>
      <c r="BG18" s="270">
        <f t="shared" si="31"/>
        <v>2164385.66</v>
      </c>
      <c r="BH18" s="270">
        <f t="shared" si="31"/>
        <v>2831144.66</v>
      </c>
      <c r="BI18" s="270">
        <f t="shared" si="31"/>
        <v>2468252.86</v>
      </c>
      <c r="BJ18" s="270">
        <f t="shared" si="31"/>
        <v>2428683.69</v>
      </c>
      <c r="BK18" s="270">
        <f t="shared" si="31"/>
        <v>2578096</v>
      </c>
      <c r="BL18" s="270">
        <f t="shared" si="31"/>
        <v>2417466</v>
      </c>
      <c r="BM18" s="270">
        <f t="shared" si="31"/>
        <v>2428049</v>
      </c>
      <c r="BN18" s="270">
        <f t="shared" si="31"/>
        <v>2694999.15</v>
      </c>
      <c r="BO18" s="270">
        <f t="shared" si="31"/>
        <v>2608332.15</v>
      </c>
      <c r="BP18" s="270">
        <f t="shared" si="31"/>
        <v>2644359.15</v>
      </c>
      <c r="BQ18" s="270">
        <f t="shared" si="31"/>
        <v>3063755.08</v>
      </c>
      <c r="BR18" s="270">
        <f t="shared" si="31"/>
        <v>2878611.84</v>
      </c>
      <c r="BS18" s="270">
        <f t="shared" si="31"/>
        <v>0</v>
      </c>
      <c r="BT18" s="270">
        <f t="shared" si="31"/>
        <v>0</v>
      </c>
      <c r="BU18" s="270">
        <f t="shared" si="31"/>
        <v>0</v>
      </c>
      <c r="BV18" s="270">
        <f t="shared" si="31"/>
        <v>0</v>
      </c>
      <c r="BW18" s="50"/>
      <c r="BX18" s="121" t="str">
        <f t="array" ref="BX18">SUM(INDIRECT(XLOOKUP('GAAP Summary'!$B$2,'TTM Dates'!$B:$B,'TTM Dates'!$E:$E)&amp;ROW($BW18)&amp;":"&amp;XLOOKUP('GAAP Summary'!$B$2,'TTM Dates'!$B:$B,'TTM Dates'!$C:$C)&amp;ROW($BW18)))</f>
        <v>#REF!</v>
      </c>
      <c r="BY18" s="49"/>
      <c r="BZ18" s="270">
        <f t="shared" ref="BZ18:BZ22" si="33">sum(BK18:BM18)</f>
        <v>7423611</v>
      </c>
      <c r="CA18" s="270">
        <f t="shared" ref="CA18:CA22" si="34">sum(BN18:BP18)</f>
        <v>7947690.45</v>
      </c>
      <c r="CB18" s="270">
        <f t="shared" ref="CB18:CB22" si="35">sum(BQ18:BS18)</f>
        <v>5942366.92</v>
      </c>
      <c r="CC18" s="270">
        <f t="shared" ref="CC18:CC22" si="36">sum(BT18:BV18)</f>
        <v>0</v>
      </c>
      <c r="CD18" s="121">
        <f t="shared" ref="CD18:CD22" si="37">sum(BK18:BV18)</f>
        <v>21313668.37</v>
      </c>
      <c r="CE18" s="49"/>
      <c r="CF18" s="270">
        <f t="shared" ref="CF18:CF22" si="38">sum(AY18:BA18)</f>
        <v>5463558.31</v>
      </c>
      <c r="CG18" s="270">
        <f t="shared" ref="CG18:CG22" si="39">sum(BB18:BD18)</f>
        <v>5750790.59</v>
      </c>
      <c r="CH18" s="270">
        <f t="shared" ref="CH18:CH22" si="40">sum(BE18:BG18)</f>
        <v>6412513.4</v>
      </c>
      <c r="CI18" s="270">
        <f t="shared" ref="CI18:CI22" si="41">sum(BH18:BJ18)</f>
        <v>7728081.21</v>
      </c>
      <c r="CJ18" s="121">
        <f t="shared" ref="CJ18:CJ22" si="42">sum(AY18:BJ18)</f>
        <v>25354943.51</v>
      </c>
      <c r="CK18" s="57"/>
      <c r="CL18" s="270">
        <f t="shared" ref="CL18:CL22" si="43">sum(AM18:AO18)</f>
        <v>6303343</v>
      </c>
      <c r="CM18" s="270">
        <f t="shared" ref="CM18:CM22" si="44">sum(AP18:AR18)</f>
        <v>5586547</v>
      </c>
      <c r="CN18" s="270">
        <f t="shared" ref="CN18:CN22" si="45">sum(AS18:AU18)</f>
        <v>5198791</v>
      </c>
      <c r="CO18" s="270">
        <f t="shared" ref="CO18:CO22" si="46">sum(AV18:AX18)</f>
        <v>5095749</v>
      </c>
      <c r="CP18" s="121">
        <f t="shared" ref="CP18:CP22" si="47">sum(AM18:AX18)</f>
        <v>22184430</v>
      </c>
      <c r="CQ18" s="57"/>
      <c r="CR18" s="270">
        <f t="shared" ref="CR18:CR22" si="48">sum(AA18:AC18)</f>
        <v>3616138</v>
      </c>
      <c r="CS18" s="270">
        <f t="shared" ref="CS18:CS22" si="49">sum(AD18:AF18)</f>
        <v>4014280</v>
      </c>
      <c r="CT18" s="270">
        <f t="shared" ref="CT18:CT22" si="50">sum(AG18:AI18)</f>
        <v>4886622</v>
      </c>
      <c r="CU18" s="270">
        <f t="shared" ref="CU18:CU22" si="51">sum(AJ18:AL18)</f>
        <v>4885562</v>
      </c>
      <c r="CV18" s="121">
        <f t="shared" ref="CV18:CV22" si="52">sum(AA18:AL18)</f>
        <v>17402602</v>
      </c>
      <c r="CW18" s="57"/>
      <c r="CX18" s="121">
        <f>SUM(O18:Z18)</f>
        <v>0</v>
      </c>
      <c r="CY18" s="44"/>
      <c r="CZ18" s="64">
        <f t="array" ref="CZ18">IF(CZ$3&gt;'GAAP Summary'!$B$2,0,SUM(INDIRECT(XLOOKUP(CZ$3,'TTM Dates'!$B:$B,'TTM Dates'!$E:$E)&amp;ROW($BW18)&amp;":"&amp;XLOOKUP(CZ$3,'TTM Dates'!$B:$B,'TTM Dates'!$C:$C)&amp;ROW($BW18))))</f>
        <v>0</v>
      </c>
      <c r="DA18" s="64">
        <f t="array" ref="DA18">IF(DA$3&gt;'GAAP Summary'!$B$2,0,SUM(INDIRECT(XLOOKUP(DA$3,'TTM Dates'!$B:$B,'TTM Dates'!$E:$E)&amp;ROW($BW18)&amp;":"&amp;XLOOKUP(DA$3,'TTM Dates'!$B:$B,'TTM Dates'!$C:$C)&amp;ROW($BW18))))</f>
        <v>0</v>
      </c>
      <c r="DB18" s="64">
        <f t="array" ref="DB18">IF(DB$3&gt;'GAAP Summary'!$B$2,0,SUM(INDIRECT(XLOOKUP(DB$3,'TTM Dates'!$B:$B,'TTM Dates'!$E:$E)&amp;ROW($BW18)&amp;":"&amp;XLOOKUP(DB$3,'TTM Dates'!$B:$B,'TTM Dates'!$C:$C)&amp;ROW($BW18))))</f>
        <v>0</v>
      </c>
      <c r="DC18" s="64">
        <f t="array" ref="DC18">IF(DC$3&gt;'GAAP Summary'!$B$2,0,SUM(INDIRECT(XLOOKUP(DC$3,'TTM Dates'!$B:$B,'TTM Dates'!$E:$E)&amp;ROW($BW18)&amp;":"&amp;XLOOKUP(DC$3,'TTM Dates'!$B:$B,'TTM Dates'!$C:$C)&amp;ROW($BW18))))</f>
        <v>0</v>
      </c>
      <c r="DD18" s="64">
        <f t="array" ref="DD18">IF(DD$3&gt;'GAAP Summary'!$B$2,0,SUM(INDIRECT(XLOOKUP(DD$3,'TTM Dates'!$B:$B,'TTM Dates'!$E:$E)&amp;ROW($BW18)&amp;":"&amp;XLOOKUP(DD$3,'TTM Dates'!$B:$B,'TTM Dates'!$C:$C)&amp;ROW($BW18))))</f>
        <v>0</v>
      </c>
      <c r="DE18" s="64">
        <f t="array" ref="DE18">IF(DE$3&gt;'GAAP Summary'!$B$2,0,SUM(INDIRECT(XLOOKUP(DE$3,'TTM Dates'!$B:$B,'TTM Dates'!$E:$E)&amp;ROW($BW18)&amp;":"&amp;XLOOKUP(DE$3,'TTM Dates'!$B:$B,'TTM Dates'!$C:$C)&amp;ROW($BW18))))</f>
        <v>0</v>
      </c>
      <c r="DF18" s="64">
        <f t="array" ref="DF18">IF(DF$3&gt;'GAAP Summary'!$B$2,0,SUM(INDIRECT(XLOOKUP(DF$3,'TTM Dates'!$B:$B,'TTM Dates'!$E:$E)&amp;ROW($BW18)&amp;":"&amp;XLOOKUP(DF$3,'TTM Dates'!$B:$B,'TTM Dates'!$C:$C)&amp;ROW($BW18))))</f>
        <v>0</v>
      </c>
      <c r="DG18" s="64">
        <f t="array" ref="DG18">IF(DG$3&gt;'GAAP Summary'!$B$2,0,SUM(INDIRECT(XLOOKUP(DG$3,'TTM Dates'!$B:$B,'TTM Dates'!$E:$E)&amp;ROW($BW18)&amp;":"&amp;XLOOKUP(DG$3,'TTM Dates'!$B:$B,'TTM Dates'!$C:$C)&amp;ROW($BW18))))</f>
        <v>0</v>
      </c>
      <c r="DH18" s="64">
        <f t="array" ref="DH18">IF(DH$3&gt;'GAAP Summary'!$B$2,0,SUM(INDIRECT(XLOOKUP(DH$3,'TTM Dates'!$B:$B,'TTM Dates'!$E:$E)&amp;ROW($BW18)&amp;":"&amp;XLOOKUP(DH$3,'TTM Dates'!$B:$B,'TTM Dates'!$C:$C)&amp;ROW($BW18))))</f>
        <v>0</v>
      </c>
      <c r="DI18" s="64">
        <f t="array" ref="DI18">IF(DI$3&gt;'GAAP Summary'!$B$2,0,SUM(INDIRECT(XLOOKUP(DI$3,'TTM Dates'!$B:$B,'TTM Dates'!$E:$E)&amp;ROW($BW18)&amp;":"&amp;XLOOKUP(DI$3,'TTM Dates'!$B:$B,'TTM Dates'!$C:$C)&amp;ROW($BW18))))</f>
        <v>0</v>
      </c>
      <c r="DJ18" s="64">
        <f t="array" ref="DJ18">IF(DJ$3&gt;'GAAP Summary'!$B$2,0,SUM(INDIRECT(XLOOKUP(DJ$3,'TTM Dates'!$B:$B,'TTM Dates'!$E:$E)&amp;ROW($BW18)&amp;":"&amp;XLOOKUP(DJ$3,'TTM Dates'!$B:$B,'TTM Dates'!$C:$C)&amp;ROW($BW18))))</f>
        <v>0</v>
      </c>
      <c r="DK18" s="64">
        <f t="array" ref="DK18">IF(DK$3&gt;'GAAP Summary'!$B$2,0,SUM(INDIRECT(XLOOKUP(DK$3,'TTM Dates'!$B:$B,'TTM Dates'!$E:$E)&amp;ROW($BW18)&amp;":"&amp;XLOOKUP(DK$3,'TTM Dates'!$B:$B,'TTM Dates'!$C:$C)&amp;ROW($BW18))))</f>
        <v>0</v>
      </c>
      <c r="DL18" s="64">
        <f t="array" ref="DL18">IF(DL$3&gt;'GAAP Summary'!$B$2,0,SUM(INDIRECT(XLOOKUP(DL$3,'TTM Dates'!$B:$B,'TTM Dates'!$E:$E)&amp;ROW($BW18)&amp;":"&amp;XLOOKUP(DL$3,'TTM Dates'!$B:$B,'TTM Dates'!$C:$C)&amp;ROW($BW18))))</f>
        <v>1174821</v>
      </c>
      <c r="DM18" s="64">
        <f t="array" ref="DM18">IF(DM$3&gt;'GAAP Summary'!$B$2,0,SUM(INDIRECT(XLOOKUP(DM$3,'TTM Dates'!$B:$B,'TTM Dates'!$E:$E)&amp;ROW($BW18)&amp;":"&amp;XLOOKUP(DM$3,'TTM Dates'!$B:$B,'TTM Dates'!$C:$C)&amp;ROW($BW18))))</f>
        <v>2233463</v>
      </c>
      <c r="DN18" s="64">
        <f t="array" ref="DN18">IF(DN$3&gt;'GAAP Summary'!$B$2,0,SUM(INDIRECT(XLOOKUP(DN$3,'TTM Dates'!$B:$B,'TTM Dates'!$E:$E)&amp;ROW($BW18)&amp;":"&amp;XLOOKUP(DN$3,'TTM Dates'!$B:$B,'TTM Dates'!$C:$C)&amp;ROW($BW18))))</f>
        <v>3616138</v>
      </c>
      <c r="DO18" s="64">
        <f t="array" ref="DO18">IF(DO$3&gt;'GAAP Summary'!$B$2,0,SUM(INDIRECT(XLOOKUP(DO$3,'TTM Dates'!$B:$B,'TTM Dates'!$E:$E)&amp;ROW($BW18)&amp;":"&amp;XLOOKUP(DO$3,'TTM Dates'!$B:$B,'TTM Dates'!$C:$C)&amp;ROW($BW18))))</f>
        <v>4813440</v>
      </c>
      <c r="DP18" s="64">
        <f t="array" ref="DP18">IF(DP$3&gt;'GAAP Summary'!$B$2,0,SUM(INDIRECT(XLOOKUP(DP$3,'TTM Dates'!$B:$B,'TTM Dates'!$E:$E)&amp;ROW($BW18)&amp;":"&amp;XLOOKUP(DP$3,'TTM Dates'!$B:$B,'TTM Dates'!$C:$C)&amp;ROW($BW18))))</f>
        <v>6090592</v>
      </c>
      <c r="DQ18" s="64">
        <f t="array" ref="DQ18">IF(DQ$3&gt;'GAAP Summary'!$B$2,0,SUM(INDIRECT(XLOOKUP(DQ$3,'TTM Dates'!$B:$B,'TTM Dates'!$E:$E)&amp;ROW($BW18)&amp;":"&amp;XLOOKUP(DQ$3,'TTM Dates'!$B:$B,'TTM Dates'!$C:$C)&amp;ROW($BW18))))</f>
        <v>7630418</v>
      </c>
      <c r="DR18" s="64">
        <f t="array" ref="DR18">IF(DR$3&gt;'GAAP Summary'!$B$2,0,SUM(INDIRECT(XLOOKUP(DR$3,'TTM Dates'!$B:$B,'TTM Dates'!$E:$E)&amp;ROW($BW18)&amp;":"&amp;XLOOKUP(DR$3,'TTM Dates'!$B:$B,'TTM Dates'!$C:$C)&amp;ROW($BW18))))</f>
        <v>8956896</v>
      </c>
      <c r="DS18" s="64">
        <f t="array" ref="DS18">IF(DS$3&gt;'GAAP Summary'!$B$2,0,SUM(INDIRECT(XLOOKUP(DS$3,'TTM Dates'!$B:$B,'TTM Dates'!$E:$E)&amp;ROW($BW18)&amp;":"&amp;XLOOKUP(DS$3,'TTM Dates'!$B:$B,'TTM Dates'!$C:$C)&amp;ROW($BW18))))</f>
        <v>10890308</v>
      </c>
      <c r="DT18" s="64">
        <f t="array" ref="DT18">IF(DT$3&gt;'GAAP Summary'!$B$2,0,SUM(INDIRECT(XLOOKUP(DT$3,'TTM Dates'!$B:$B,'TTM Dates'!$E:$E)&amp;ROW($BW18)&amp;":"&amp;XLOOKUP(DT$3,'TTM Dates'!$B:$B,'TTM Dates'!$C:$C)&amp;ROW($BW18))))</f>
        <v>12517040</v>
      </c>
      <c r="DU18" s="64">
        <f t="array" ref="DU18">IF(DU$3&gt;'GAAP Summary'!$B$2,0,SUM(INDIRECT(XLOOKUP(DU$3,'TTM Dates'!$B:$B,'TTM Dates'!$E:$E)&amp;ROW($BW18)&amp;":"&amp;XLOOKUP(DU$3,'TTM Dates'!$B:$B,'TTM Dates'!$C:$C)&amp;ROW($BW18))))</f>
        <v>14380212</v>
      </c>
      <c r="DV18" s="64">
        <f t="array" ref="DV18">IF(DV$3&gt;'GAAP Summary'!$B$2,0,SUM(INDIRECT(XLOOKUP(DV$3,'TTM Dates'!$B:$B,'TTM Dates'!$E:$E)&amp;ROW($BW18)&amp;":"&amp;XLOOKUP(DV$3,'TTM Dates'!$B:$B,'TTM Dates'!$C:$C)&amp;ROW($BW18))))</f>
        <v>16165487</v>
      </c>
      <c r="DW18" s="64">
        <f t="array" ref="DW18">IF(DW$3&gt;'GAAP Summary'!$B$2,0,SUM(INDIRECT(XLOOKUP(DW$3,'TTM Dates'!$B:$B,'TTM Dates'!$E:$E)&amp;ROW($BW18)&amp;":"&amp;XLOOKUP(DW$3,'TTM Dates'!$B:$B,'TTM Dates'!$C:$C)&amp;ROW($BW18))))</f>
        <v>17402602</v>
      </c>
      <c r="DX18" s="64">
        <f t="array" ref="DX18">IF(DX$3&gt;'GAAP Summary'!$B$2,0,SUM(INDIRECT(XLOOKUP(DX$3,'TTM Dates'!$B:$B,'TTM Dates'!$E:$E)&amp;ROW($BW18)&amp;":"&amp;XLOOKUP(DX$3,'TTM Dates'!$B:$B,'TTM Dates'!$C:$C)&amp;ROW($BW18))))</f>
        <v>18359983</v>
      </c>
      <c r="DY18" s="64">
        <f t="array" ref="DY18">IF(DY$3&gt;'GAAP Summary'!$B$2,0,SUM(INDIRECT(XLOOKUP(DY$3,'TTM Dates'!$B:$B,'TTM Dates'!$E:$E)&amp;ROW($BW18)&amp;":"&amp;XLOOKUP(DY$3,'TTM Dates'!$B:$B,'TTM Dates'!$C:$C)&amp;ROW($BW18))))</f>
        <v>19245181</v>
      </c>
      <c r="DZ18" s="64">
        <f t="array" ref="DZ18">IF(DZ$3&gt;'GAAP Summary'!$B$2,0,SUM(INDIRECT(XLOOKUP(DZ$3,'TTM Dates'!$B:$B,'TTM Dates'!$E:$E)&amp;ROW($BW18)&amp;":"&amp;XLOOKUP(DZ$3,'TTM Dates'!$B:$B,'TTM Dates'!$C:$C)&amp;ROW($BW18))))</f>
        <v>20089807</v>
      </c>
      <c r="EA18" s="64">
        <f t="array" ref="EA18">IF(EA$3&gt;'GAAP Summary'!$B$2,0,SUM(INDIRECT(XLOOKUP(EA$3,'TTM Dates'!$B:$B,'TTM Dates'!$E:$E)&amp;ROW($BW18)&amp;":"&amp;XLOOKUP(EA$3,'TTM Dates'!$B:$B,'TTM Dates'!$C:$C)&amp;ROW($BW18))))</f>
        <v>20737031</v>
      </c>
      <c r="EB18" s="64">
        <f t="array" ref="EB18">IF(EB$3&gt;'GAAP Summary'!$B$2,0,SUM(INDIRECT(XLOOKUP(EB$3,'TTM Dates'!$B:$B,'TTM Dates'!$E:$E)&amp;ROW($BW18)&amp;":"&amp;XLOOKUP(EB$3,'TTM Dates'!$B:$B,'TTM Dates'!$C:$C)&amp;ROW($BW18))))</f>
        <v>21360674</v>
      </c>
      <c r="EC18" s="64">
        <f t="array" ref="EC18">IF(EC$3&gt;'GAAP Summary'!$B$2,0,SUM(INDIRECT(XLOOKUP(EC$3,'TTM Dates'!$B:$B,'TTM Dates'!$E:$E)&amp;ROW($BW18)&amp;":"&amp;XLOOKUP(EC$3,'TTM Dates'!$B:$B,'TTM Dates'!$C:$C)&amp;ROW($BW18))))</f>
        <v>21662074</v>
      </c>
      <c r="ED18" s="64">
        <f t="array" ref="ED18">IF(ED$3&gt;'GAAP Summary'!$B$2,0,SUM(INDIRECT(XLOOKUP(ED$3,'TTM Dates'!$B:$B,'TTM Dates'!$E:$E)&amp;ROW($BW18)&amp;":"&amp;XLOOKUP(ED$3,'TTM Dates'!$B:$B,'TTM Dates'!$C:$C)&amp;ROW($BW18))))</f>
        <v>21969803</v>
      </c>
      <c r="EE18" s="64">
        <f t="array" ref="EE18">IF(EE$3&gt;'GAAP Summary'!$B$2,0,SUM(INDIRECT(XLOOKUP(EE$3,'TTM Dates'!$B:$B,'TTM Dates'!$E:$E)&amp;ROW($BW18)&amp;":"&amp;XLOOKUP(EE$3,'TTM Dates'!$B:$B,'TTM Dates'!$C:$C)&amp;ROW($BW18))))</f>
        <v>22021834</v>
      </c>
      <c r="EF18" s="64">
        <f t="array" ref="EF18">IF(EF$3&gt;'GAAP Summary'!$B$2,0,SUM(INDIRECT(XLOOKUP(EF$3,'TTM Dates'!$B:$B,'TTM Dates'!$E:$E)&amp;ROW($BW18)&amp;":"&amp;XLOOKUP(EF$3,'TTM Dates'!$B:$B,'TTM Dates'!$C:$C)&amp;ROW($BW18))))</f>
        <v>21974243</v>
      </c>
      <c r="EG18" s="64">
        <f t="array" ref="EG18">IF(EG$3&gt;'GAAP Summary'!$B$2,0,SUM(INDIRECT(XLOOKUP(EG$3,'TTM Dates'!$B:$B,'TTM Dates'!$E:$E)&amp;ROW($BW18)&amp;":"&amp;XLOOKUP(EG$3,'TTM Dates'!$B:$B,'TTM Dates'!$C:$C)&amp;ROW($BW18))))</f>
        <v>21979370</v>
      </c>
      <c r="EH18" s="64">
        <f t="array" ref="EH18">IF(EH$3&gt;'GAAP Summary'!$B$2,0,SUM(INDIRECT(XLOOKUP(EH$3,'TTM Dates'!$B:$B,'TTM Dates'!$E:$E)&amp;ROW($BW18)&amp;":"&amp;XLOOKUP(EH$3,'TTM Dates'!$B:$B,'TTM Dates'!$C:$C)&amp;ROW($BW18))))</f>
        <v>21851443</v>
      </c>
      <c r="EI18" s="64">
        <f t="array" ref="EI18">IF(EI$3&gt;'GAAP Summary'!$B$2,0,SUM(INDIRECT(XLOOKUP(EI$3,'TTM Dates'!$B:$B,'TTM Dates'!$E:$E)&amp;ROW($BW18)&amp;":"&amp;XLOOKUP(EI$3,'TTM Dates'!$B:$B,'TTM Dates'!$C:$C)&amp;ROW($BW18))))</f>
        <v>22184430</v>
      </c>
      <c r="EJ18" s="64">
        <f t="array" ref="EJ18">IF(EJ$3&gt;'GAAP Summary'!$B$2,0,SUM(INDIRECT(XLOOKUP(EJ$3,'TTM Dates'!$B:$B,'TTM Dates'!$E:$E)&amp;ROW($BW18)&amp;":"&amp;XLOOKUP(EJ$3,'TTM Dates'!$B:$B,'TTM Dates'!$C:$C)&amp;ROW($BW18))))</f>
        <v>21734569.92</v>
      </c>
      <c r="EK18" s="64">
        <f t="array" ref="EK18">IF(EK$3&gt;'GAAP Summary'!$B$2,0,SUM(INDIRECT(XLOOKUP(EK$3,'TTM Dates'!$B:$B,'TTM Dates'!$E:$E)&amp;ROW($BW18)&amp;":"&amp;XLOOKUP(EK$3,'TTM Dates'!$B:$B,'TTM Dates'!$C:$C)&amp;ROW($BW18))))</f>
        <v>21659658.79</v>
      </c>
      <c r="EL18" s="64">
        <f t="array" ref="EL18">IF(EL$3&gt;'GAAP Summary'!$B$2,0,SUM(INDIRECT(XLOOKUP(EL$3,'TTM Dates'!$B:$B,'TTM Dates'!$E:$E)&amp;ROW($BW18)&amp;":"&amp;XLOOKUP(EL$3,'TTM Dates'!$B:$B,'TTM Dates'!$C:$C)&amp;ROW($BW18))))</f>
        <v>21344645.31</v>
      </c>
      <c r="EM18" s="64">
        <f t="array" ref="EM18">IF(EM$3&gt;'GAAP Summary'!$B$2,0,SUM(INDIRECT(XLOOKUP(EM$3,'TTM Dates'!$B:$B,'TTM Dates'!$E:$E)&amp;ROW($BW18)&amp;":"&amp;XLOOKUP(EM$3,'TTM Dates'!$B:$B,'TTM Dates'!$C:$C)&amp;ROW($BW18))))</f>
        <v>21503841.96</v>
      </c>
      <c r="EN18" s="64">
        <f t="array" ref="EN18">IF(EN$3&gt;'GAAP Summary'!$B$2,0,SUM(INDIRECT(XLOOKUP(EN$3,'TTM Dates'!$B:$B,'TTM Dates'!$E:$E)&amp;ROW($BW18)&amp;":"&amp;XLOOKUP(EN$3,'TTM Dates'!$B:$B,'TTM Dates'!$C:$C)&amp;ROW($BW18))))</f>
        <v>21519098.19</v>
      </c>
      <c r="EO18" s="64">
        <f t="array" ref="EO18">IF(EO$3&gt;'GAAP Summary'!$B$2,0,SUM(INDIRECT(XLOOKUP(EO$3,'TTM Dates'!$B:$B,'TTM Dates'!$E:$E)&amp;ROW($BW18)&amp;":"&amp;XLOOKUP(EO$3,'TTM Dates'!$B:$B,'TTM Dates'!$C:$C)&amp;ROW($BW18))))</f>
        <v>21508888.9</v>
      </c>
      <c r="EP18" s="64">
        <f t="array" ref="EP18">IF(EP$3&gt;'GAAP Summary'!$B$2,0,SUM(INDIRECT(XLOOKUP(EP$3,'TTM Dates'!$B:$B,'TTM Dates'!$E:$E)&amp;ROW($BW18)&amp;":"&amp;XLOOKUP(EP$3,'TTM Dates'!$B:$B,'TTM Dates'!$C:$C)&amp;ROW($BW18))))</f>
        <v>21955603.26</v>
      </c>
      <c r="EQ18" s="64">
        <f t="array" ref="EQ18">IF(EQ$3&gt;'GAAP Summary'!$B$2,0,SUM(INDIRECT(XLOOKUP(EQ$3,'TTM Dates'!$B:$B,'TTM Dates'!$E:$E)&amp;ROW($BW18)&amp;":"&amp;XLOOKUP(EQ$3,'TTM Dates'!$B:$B,'TTM Dates'!$C:$C)&amp;ROW($BW18))))</f>
        <v>22137366.64</v>
      </c>
      <c r="ER18" s="64">
        <f t="array" ref="ER18">IF(ER$3&gt;'GAAP Summary'!$B$2,0,SUM(INDIRECT(XLOOKUP(ER$3,'TTM Dates'!$B:$B,'TTM Dates'!$E:$E)&amp;ROW($BW18)&amp;":"&amp;XLOOKUP(ER$3,'TTM Dates'!$B:$B,'TTM Dates'!$C:$C)&amp;ROW($BW18))))</f>
        <v>22722611.3</v>
      </c>
      <c r="ES18" s="64">
        <f t="array" ref="ES18">IF(ES$3&gt;'GAAP Summary'!$B$2,0,SUM(INDIRECT(XLOOKUP(ES$3,'TTM Dates'!$B:$B,'TTM Dates'!$E:$E)&amp;ROW($BW18)&amp;":"&amp;XLOOKUP(ES$3,'TTM Dates'!$B:$B,'TTM Dates'!$C:$C)&amp;ROW($BW18))))</f>
        <v>23685456.96</v>
      </c>
      <c r="ET18" s="64">
        <f t="array" ref="ET18">IF(ET$3&gt;'GAAP Summary'!$B$2,0,SUM(INDIRECT(XLOOKUP(ET$3,'TTM Dates'!$B:$B,'TTM Dates'!$E:$E)&amp;ROW($BW18)&amp;":"&amp;XLOOKUP(ET$3,'TTM Dates'!$B:$B,'TTM Dates'!$C:$C)&amp;ROW($BW18))))</f>
        <v>24496361.82</v>
      </c>
      <c r="EU18" s="64">
        <f t="array" ref="EU18">IF(EU$3&gt;'GAAP Summary'!$B$2,0,SUM(INDIRECT(XLOOKUP(EU$3,'TTM Dates'!$B:$B,'TTM Dates'!$E:$E)&amp;ROW($BW18)&amp;":"&amp;XLOOKUP(EU$3,'TTM Dates'!$B:$B,'TTM Dates'!$C:$C)&amp;ROW($BW18))))</f>
        <v>25354943.51</v>
      </c>
      <c r="EV18" s="64">
        <f t="array" ref="EV18">IF(EV$3&gt;'GAAP Summary'!$B$2,0,SUM(INDIRECT(XLOOKUP(EV$3,'TTM Dates'!$B:$B,'TTM Dates'!$E:$E)&amp;ROW($BW18)&amp;":"&amp;XLOOKUP(EV$3,'TTM Dates'!$B:$B,'TTM Dates'!$C:$C)&amp;ROW($BW18))))</f>
        <v>26250697.59</v>
      </c>
      <c r="EW18" s="64">
        <f t="array" ref="EW18">IF(EW$3&gt;'GAAP Summary'!$B$2,0,SUM(INDIRECT(XLOOKUP(EW$3,'TTM Dates'!$B:$B,'TTM Dates'!$E:$E)&amp;ROW($BW18)&amp;":"&amp;XLOOKUP(EW$3,'TTM Dates'!$B:$B,'TTM Dates'!$C:$C)&amp;ROW($BW18))))</f>
        <v>26799234.72</v>
      </c>
      <c r="EX18" s="64">
        <f t="array" ref="EX18">IF(EX$3&gt;'GAAP Summary'!$B$2,0,SUM(INDIRECT(XLOOKUP(EX$3,'TTM Dates'!$B:$B,'TTM Dates'!$E:$E)&amp;ROW($BW18)&amp;":"&amp;XLOOKUP(EX$3,'TTM Dates'!$B:$B,'TTM Dates'!$C:$C)&amp;ROW($BW18))))</f>
        <v>27314996.2</v>
      </c>
      <c r="EY18" s="64">
        <f t="array" ref="EY18">IF(EY$3&gt;'GAAP Summary'!$B$2,0,SUM(INDIRECT(XLOOKUP(EY$3,'TTM Dates'!$B:$B,'TTM Dates'!$E:$E)&amp;ROW($BW18)&amp;":"&amp;XLOOKUP(EY$3,'TTM Dates'!$B:$B,'TTM Dates'!$C:$C)&amp;ROW($BW18))))</f>
        <v>28006272.7</v>
      </c>
      <c r="EZ18" s="64">
        <f t="array" ref="EZ18">IF(EZ$3&gt;'GAAP Summary'!$B$2,0,SUM(INDIRECT(XLOOKUP(EZ$3,'TTM Dates'!$B:$B,'TTM Dates'!$E:$E)&amp;ROW($BW18)&amp;":"&amp;XLOOKUP(EZ$3,'TTM Dates'!$B:$B,'TTM Dates'!$C:$C)&amp;ROW($BW18))))</f>
        <v>28698553.62</v>
      </c>
      <c r="FA18" s="64">
        <f t="array" ref="FA18">IF(FA$3&gt;'GAAP Summary'!$B$2,0,SUM(INDIRECT(XLOOKUP(FA$3,'TTM Dates'!$B:$B,'TTM Dates'!$E:$E)&amp;ROW($BW18)&amp;":"&amp;XLOOKUP(FA$3,'TTM Dates'!$B:$B,'TTM Dates'!$C:$C)&amp;ROW($BW18))))</f>
        <v>29511896.06</v>
      </c>
      <c r="FB18" s="64">
        <f t="array" ref="FB18">IF(FB$3&gt;'GAAP Summary'!$B$2,0,SUM(INDIRECT(XLOOKUP(FB$3,'TTM Dates'!$B:$B,'TTM Dates'!$E:$E)&amp;ROW($BW18)&amp;":"&amp;XLOOKUP(FB$3,'TTM Dates'!$B:$B,'TTM Dates'!$C:$C)&amp;ROW($BW18))))</f>
        <v>30494729.78</v>
      </c>
      <c r="FC18" s="64">
        <f t="array" ref="FC18">IF(FC$3&gt;'GAAP Summary'!$B$2,0,SUM(INDIRECT(XLOOKUP(FC$3,'TTM Dates'!$B:$B,'TTM Dates'!$E:$E)&amp;ROW($BW18)&amp;":"&amp;XLOOKUP(FC$3,'TTM Dates'!$B:$B,'TTM Dates'!$C:$C)&amp;ROW($BW18))))</f>
        <v>31206135.24</v>
      </c>
      <c r="FD18" s="64">
        <f t="array" ref="FD18">IF(FD$3&gt;'GAAP Summary'!$B$2,0,SUM(INDIRECT(XLOOKUP(FD$3,'TTM Dates'!$B:$B,'TTM Dates'!$E:$E)&amp;ROW($BW18)&amp;":"&amp;XLOOKUP(FD$3,'TTM Dates'!$B:$B,'TTM Dates'!$C:$C)&amp;ROW($BW18))))</f>
        <v>29041749.58</v>
      </c>
      <c r="FE18" s="64">
        <f t="array" ref="FE18">IF(FE$3&gt;'GAAP Summary'!$B$2,0,SUM(INDIRECT(XLOOKUP(FE$3,'TTM Dates'!$B:$B,'TTM Dates'!$E:$E)&amp;ROW($BW18)&amp;":"&amp;XLOOKUP(FE$3,'TTM Dates'!$B:$B,'TTM Dates'!$C:$C)&amp;ROW($BW18))))</f>
        <v>26210604.92</v>
      </c>
      <c r="FF18" s="64">
        <f t="array" ref="FF18">IF(FF$3&gt;'GAAP Summary'!$B$2,0,SUM(INDIRECT(XLOOKUP(FF$3,'TTM Dates'!$B:$B,'TTM Dates'!$E:$E)&amp;ROW($BW18)&amp;":"&amp;XLOOKUP(FF$3,'TTM Dates'!$B:$B,'TTM Dates'!$C:$C)&amp;ROW($BW18))))</f>
        <v>23742352.06</v>
      </c>
      <c r="FG18" s="64">
        <f t="array" ref="FG18">IF(FG$3&gt;'GAAP Summary'!$B$2,0,SUM(INDIRECT(XLOOKUP(FG$3,'TTM Dates'!$B:$B,'TTM Dates'!$E:$E)&amp;ROW($BW18)&amp;":"&amp;XLOOKUP(FG$3,'TTM Dates'!$B:$B,'TTM Dates'!$C:$C)&amp;ROW($BW18))))</f>
        <v>21313668.37</v>
      </c>
      <c r="FH18" s="64"/>
    </row>
    <row r="19">
      <c r="B19" s="280" t="s">
        <v>89</v>
      </c>
      <c r="C19" s="108">
        <f t="shared" ref="C19:BV19" si="32">SUM(C20:C22)</f>
        <v>0</v>
      </c>
      <c r="D19" s="108">
        <f t="shared" si="32"/>
        <v>0</v>
      </c>
      <c r="E19" s="108">
        <f t="shared" si="32"/>
        <v>0</v>
      </c>
      <c r="F19" s="108">
        <f t="shared" si="32"/>
        <v>0</v>
      </c>
      <c r="G19" s="108">
        <f t="shared" si="32"/>
        <v>0</v>
      </c>
      <c r="H19" s="108">
        <f t="shared" si="32"/>
        <v>0</v>
      </c>
      <c r="I19" s="108">
        <f t="shared" si="32"/>
        <v>0</v>
      </c>
      <c r="J19" s="108">
        <f t="shared" si="32"/>
        <v>0</v>
      </c>
      <c r="K19" s="108">
        <f t="shared" si="32"/>
        <v>0</v>
      </c>
      <c r="L19" s="108">
        <f t="shared" si="32"/>
        <v>0</v>
      </c>
      <c r="M19" s="108">
        <f t="shared" si="32"/>
        <v>0</v>
      </c>
      <c r="N19" s="108">
        <f t="shared" si="32"/>
        <v>0</v>
      </c>
      <c r="O19" s="108">
        <f t="shared" si="32"/>
        <v>0</v>
      </c>
      <c r="P19" s="108">
        <f t="shared" si="32"/>
        <v>0</v>
      </c>
      <c r="Q19" s="108">
        <f t="shared" si="32"/>
        <v>0</v>
      </c>
      <c r="R19" s="108">
        <f t="shared" si="32"/>
        <v>0</v>
      </c>
      <c r="S19" s="108">
        <f t="shared" si="32"/>
        <v>0</v>
      </c>
      <c r="T19" s="108">
        <f t="shared" si="32"/>
        <v>0</v>
      </c>
      <c r="U19" s="108">
        <f t="shared" si="32"/>
        <v>0</v>
      </c>
      <c r="V19" s="108">
        <f t="shared" si="32"/>
        <v>0</v>
      </c>
      <c r="W19" s="108">
        <f t="shared" si="32"/>
        <v>0</v>
      </c>
      <c r="X19" s="108">
        <f t="shared" si="32"/>
        <v>0</v>
      </c>
      <c r="Y19" s="108">
        <f t="shared" si="32"/>
        <v>0</v>
      </c>
      <c r="Z19" s="108">
        <f t="shared" si="32"/>
        <v>0</v>
      </c>
      <c r="AA19" s="108">
        <f t="shared" si="32"/>
        <v>0</v>
      </c>
      <c r="AB19" s="108">
        <f t="shared" si="32"/>
        <v>0</v>
      </c>
      <c r="AC19" s="108">
        <f t="shared" si="32"/>
        <v>0</v>
      </c>
      <c r="AD19" s="108">
        <f t="shared" si="32"/>
        <v>0</v>
      </c>
      <c r="AE19" s="108">
        <f t="shared" si="32"/>
        <v>0</v>
      </c>
      <c r="AF19" s="108">
        <f t="shared" si="32"/>
        <v>0</v>
      </c>
      <c r="AG19" s="108">
        <f t="shared" si="32"/>
        <v>0</v>
      </c>
      <c r="AH19" s="108">
        <f t="shared" si="32"/>
        <v>0</v>
      </c>
      <c r="AI19" s="108">
        <f t="shared" si="32"/>
        <v>0</v>
      </c>
      <c r="AJ19" s="108">
        <f t="shared" si="32"/>
        <v>0</v>
      </c>
      <c r="AK19" s="108">
        <f t="shared" si="32"/>
        <v>0</v>
      </c>
      <c r="AL19" s="108">
        <f t="shared" si="32"/>
        <v>0</v>
      </c>
      <c r="AM19" s="108">
        <f t="shared" si="32"/>
        <v>0</v>
      </c>
      <c r="AN19" s="108">
        <f t="shared" si="32"/>
        <v>0</v>
      </c>
      <c r="AO19" s="108">
        <f t="shared" si="32"/>
        <v>0</v>
      </c>
      <c r="AP19" s="108">
        <f t="shared" si="32"/>
        <v>0</v>
      </c>
      <c r="AQ19" s="108">
        <f t="shared" si="32"/>
        <v>0</v>
      </c>
      <c r="AR19" s="108">
        <f t="shared" si="32"/>
        <v>0</v>
      </c>
      <c r="AS19" s="108">
        <f t="shared" si="32"/>
        <v>0</v>
      </c>
      <c r="AT19" s="108">
        <f t="shared" si="32"/>
        <v>0</v>
      </c>
      <c r="AU19" s="108">
        <f t="shared" si="32"/>
        <v>0</v>
      </c>
      <c r="AV19" s="108">
        <f t="shared" si="32"/>
        <v>0</v>
      </c>
      <c r="AW19" s="108">
        <f t="shared" si="32"/>
        <v>0</v>
      </c>
      <c r="AX19" s="108">
        <f t="shared" si="32"/>
        <v>0</v>
      </c>
      <c r="AY19" s="108">
        <f t="shared" si="32"/>
        <v>911260.09</v>
      </c>
      <c r="AZ19" s="108">
        <f t="shared" si="32"/>
        <v>1046385.28</v>
      </c>
      <c r="BA19" s="108">
        <f t="shared" si="32"/>
        <v>1105121.68</v>
      </c>
      <c r="BB19" s="108">
        <f t="shared" si="32"/>
        <v>952348.33</v>
      </c>
      <c r="BC19" s="108">
        <f t="shared" si="32"/>
        <v>758335.87</v>
      </c>
      <c r="BD19" s="108">
        <f t="shared" si="32"/>
        <v>701159.96</v>
      </c>
      <c r="BE19" s="108">
        <f t="shared" si="32"/>
        <v>817553.73</v>
      </c>
      <c r="BF19" s="108">
        <f t="shared" si="32"/>
        <v>805291.54</v>
      </c>
      <c r="BG19" s="108">
        <f t="shared" si="32"/>
        <v>862119.54</v>
      </c>
      <c r="BH19" s="108">
        <f t="shared" si="32"/>
        <v>1209692.26</v>
      </c>
      <c r="BI19" s="108">
        <f t="shared" si="32"/>
        <v>1014296.27</v>
      </c>
      <c r="BJ19" s="108">
        <f t="shared" si="32"/>
        <v>933913.62</v>
      </c>
      <c r="BK19" s="108">
        <f t="shared" si="32"/>
        <v>1038791</v>
      </c>
      <c r="BL19" s="108">
        <f t="shared" si="32"/>
        <v>874682</v>
      </c>
      <c r="BM19" s="108">
        <f t="shared" si="32"/>
        <v>740055</v>
      </c>
      <c r="BN19" s="108">
        <f t="shared" si="32"/>
        <v>890171.15</v>
      </c>
      <c r="BO19" s="108">
        <f t="shared" si="32"/>
        <v>820527.15</v>
      </c>
      <c r="BP19" s="108">
        <f t="shared" si="32"/>
        <v>784577.15</v>
      </c>
      <c r="BQ19" s="108">
        <f t="shared" si="32"/>
        <v>795383.08</v>
      </c>
      <c r="BR19" s="108">
        <f t="shared" si="32"/>
        <v>838610.84</v>
      </c>
      <c r="BS19" s="108">
        <f t="shared" si="32"/>
        <v>0</v>
      </c>
      <c r="BT19" s="108">
        <f t="shared" si="32"/>
        <v>0</v>
      </c>
      <c r="BU19" s="108">
        <f t="shared" si="32"/>
        <v>0</v>
      </c>
      <c r="BV19" s="108">
        <f t="shared" si="32"/>
        <v>0</v>
      </c>
      <c r="BW19" s="33"/>
      <c r="BX19" s="282" t="str">
        <f t="array" ref="BX19">SUM(INDIRECT(XLOOKUP('GAAP Summary'!$B$2,'TTM Dates'!$B:$B,'TTM Dates'!$E:$E)&amp;ROW($BW19)&amp;":"&amp;XLOOKUP('GAAP Summary'!$B$2,'TTM Dates'!$B:$B,'TTM Dates'!$C:$C)&amp;ROW($BW19)))</f>
        <v>#REF!</v>
      </c>
      <c r="BY19" s="283"/>
      <c r="BZ19" s="108">
        <f t="shared" si="33"/>
        <v>2653528</v>
      </c>
      <c r="CA19" s="108">
        <f t="shared" si="34"/>
        <v>2495275.45</v>
      </c>
      <c r="CB19" s="108">
        <f t="shared" si="35"/>
        <v>1633993.92</v>
      </c>
      <c r="CC19" s="108">
        <f t="shared" si="36"/>
        <v>0</v>
      </c>
      <c r="CD19" s="282">
        <f t="shared" si="37"/>
        <v>6782797.37</v>
      </c>
      <c r="CE19" s="283"/>
      <c r="CF19" s="108">
        <f t="shared" si="38"/>
        <v>3062767.05</v>
      </c>
      <c r="CG19" s="108">
        <f t="shared" si="39"/>
        <v>2411844.16</v>
      </c>
      <c r="CH19" s="108">
        <f t="shared" si="40"/>
        <v>2484964.81</v>
      </c>
      <c r="CI19" s="108">
        <f t="shared" si="41"/>
        <v>3157902.15</v>
      </c>
      <c r="CJ19" s="282">
        <f t="shared" si="42"/>
        <v>11117478.17</v>
      </c>
      <c r="CK19" s="283"/>
      <c r="CL19" s="108">
        <f t="shared" si="43"/>
        <v>0</v>
      </c>
      <c r="CM19" s="108">
        <f t="shared" si="44"/>
        <v>0</v>
      </c>
      <c r="CN19" s="108">
        <f t="shared" si="45"/>
        <v>0</v>
      </c>
      <c r="CO19" s="108">
        <f t="shared" si="46"/>
        <v>0</v>
      </c>
      <c r="CP19" s="282">
        <f t="shared" si="47"/>
        <v>0</v>
      </c>
      <c r="CQ19" s="284"/>
      <c r="CR19" s="137">
        <f t="shared" si="48"/>
        <v>0</v>
      </c>
      <c r="CS19" s="137">
        <f t="shared" si="49"/>
        <v>0</v>
      </c>
      <c r="CT19" s="137">
        <f t="shared" si="50"/>
        <v>0</v>
      </c>
      <c r="CU19" s="137">
        <f t="shared" si="51"/>
        <v>0</v>
      </c>
      <c r="CV19" s="142">
        <f t="shared" si="52"/>
        <v>0</v>
      </c>
      <c r="CW19" s="284"/>
      <c r="CX19" s="285"/>
      <c r="CY19" s="44"/>
      <c r="CZ19" s="286">
        <f t="array" ref="CZ19">IF(CZ$3&gt;'GAAP Summary'!$B$2,0,SUM(INDIRECT(XLOOKUP(CZ$3,'TTM Dates'!$B:$B,'TTM Dates'!$E:$E)&amp;ROW($BW19)&amp;":"&amp;XLOOKUP(CZ$3,'TTM Dates'!$B:$B,'TTM Dates'!$C:$C)&amp;ROW($BW19))))</f>
        <v>0</v>
      </c>
      <c r="DA19" s="286">
        <f t="array" ref="DA19">IF(DA$3&gt;'GAAP Summary'!$B$2,0,SUM(INDIRECT(XLOOKUP(DA$3,'TTM Dates'!$B:$B,'TTM Dates'!$E:$E)&amp;ROW($BW19)&amp;":"&amp;XLOOKUP(DA$3,'TTM Dates'!$B:$B,'TTM Dates'!$C:$C)&amp;ROW($BW19))))</f>
        <v>0</v>
      </c>
      <c r="DB19" s="286">
        <f t="array" ref="DB19">IF(DB$3&gt;'GAAP Summary'!$B$2,0,SUM(INDIRECT(XLOOKUP(DB$3,'TTM Dates'!$B:$B,'TTM Dates'!$E:$E)&amp;ROW($BW19)&amp;":"&amp;XLOOKUP(DB$3,'TTM Dates'!$B:$B,'TTM Dates'!$C:$C)&amp;ROW($BW19))))</f>
        <v>0</v>
      </c>
      <c r="DC19" s="286">
        <f t="array" ref="DC19">IF(DC$3&gt;'GAAP Summary'!$B$2,0,SUM(INDIRECT(XLOOKUP(DC$3,'TTM Dates'!$B:$B,'TTM Dates'!$E:$E)&amp;ROW($BW19)&amp;":"&amp;XLOOKUP(DC$3,'TTM Dates'!$B:$B,'TTM Dates'!$C:$C)&amp;ROW($BW19))))</f>
        <v>0</v>
      </c>
      <c r="DD19" s="286">
        <f t="array" ref="DD19">IF(DD$3&gt;'GAAP Summary'!$B$2,0,SUM(INDIRECT(XLOOKUP(DD$3,'TTM Dates'!$B:$B,'TTM Dates'!$E:$E)&amp;ROW($BW19)&amp;":"&amp;XLOOKUP(DD$3,'TTM Dates'!$B:$B,'TTM Dates'!$C:$C)&amp;ROW($BW19))))</f>
        <v>0</v>
      </c>
      <c r="DE19" s="286">
        <f t="array" ref="DE19">IF(DE$3&gt;'GAAP Summary'!$B$2,0,SUM(INDIRECT(XLOOKUP(DE$3,'TTM Dates'!$B:$B,'TTM Dates'!$E:$E)&amp;ROW($BW19)&amp;":"&amp;XLOOKUP(DE$3,'TTM Dates'!$B:$B,'TTM Dates'!$C:$C)&amp;ROW($BW19))))</f>
        <v>0</v>
      </c>
      <c r="DF19" s="286">
        <f t="array" ref="DF19">IF(DF$3&gt;'GAAP Summary'!$B$2,0,SUM(INDIRECT(XLOOKUP(DF$3,'TTM Dates'!$B:$B,'TTM Dates'!$E:$E)&amp;ROW($BW19)&amp;":"&amp;XLOOKUP(DF$3,'TTM Dates'!$B:$B,'TTM Dates'!$C:$C)&amp;ROW($BW19))))</f>
        <v>0</v>
      </c>
      <c r="DG19" s="286">
        <f t="array" ref="DG19">IF(DG$3&gt;'GAAP Summary'!$B$2,0,SUM(INDIRECT(XLOOKUP(DG$3,'TTM Dates'!$B:$B,'TTM Dates'!$E:$E)&amp;ROW($BW19)&amp;":"&amp;XLOOKUP(DG$3,'TTM Dates'!$B:$B,'TTM Dates'!$C:$C)&amp;ROW($BW19))))</f>
        <v>0</v>
      </c>
      <c r="DH19" s="286">
        <f t="array" ref="DH19">IF(DH$3&gt;'GAAP Summary'!$B$2,0,SUM(INDIRECT(XLOOKUP(DH$3,'TTM Dates'!$B:$B,'TTM Dates'!$E:$E)&amp;ROW($BW19)&amp;":"&amp;XLOOKUP(DH$3,'TTM Dates'!$B:$B,'TTM Dates'!$C:$C)&amp;ROW($BW19))))</f>
        <v>0</v>
      </c>
      <c r="DI19" s="286">
        <f t="array" ref="DI19">IF(DI$3&gt;'GAAP Summary'!$B$2,0,SUM(INDIRECT(XLOOKUP(DI$3,'TTM Dates'!$B:$B,'TTM Dates'!$E:$E)&amp;ROW($BW19)&amp;":"&amp;XLOOKUP(DI$3,'TTM Dates'!$B:$B,'TTM Dates'!$C:$C)&amp;ROW($BW19))))</f>
        <v>0</v>
      </c>
      <c r="DJ19" s="286">
        <f t="array" ref="DJ19">IF(DJ$3&gt;'GAAP Summary'!$B$2,0,SUM(INDIRECT(XLOOKUP(DJ$3,'TTM Dates'!$B:$B,'TTM Dates'!$E:$E)&amp;ROW($BW19)&amp;":"&amp;XLOOKUP(DJ$3,'TTM Dates'!$B:$B,'TTM Dates'!$C:$C)&amp;ROW($BW19))))</f>
        <v>0</v>
      </c>
      <c r="DK19" s="286">
        <f t="array" ref="DK19">IF(DK$3&gt;'GAAP Summary'!$B$2,0,SUM(INDIRECT(XLOOKUP(DK$3,'TTM Dates'!$B:$B,'TTM Dates'!$E:$E)&amp;ROW($BW19)&amp;":"&amp;XLOOKUP(DK$3,'TTM Dates'!$B:$B,'TTM Dates'!$C:$C)&amp;ROW($BW19))))</f>
        <v>0</v>
      </c>
      <c r="DL19" s="286">
        <f t="array" ref="DL19">IF(DL$3&gt;'GAAP Summary'!$B$2,0,SUM(INDIRECT(XLOOKUP(DL$3,'TTM Dates'!$B:$B,'TTM Dates'!$E:$E)&amp;ROW($BW19)&amp;":"&amp;XLOOKUP(DL$3,'TTM Dates'!$B:$B,'TTM Dates'!$C:$C)&amp;ROW($BW19))))</f>
        <v>0</v>
      </c>
      <c r="DM19" s="286">
        <f t="array" ref="DM19">IF(DM$3&gt;'GAAP Summary'!$B$2,0,SUM(INDIRECT(XLOOKUP(DM$3,'TTM Dates'!$B:$B,'TTM Dates'!$E:$E)&amp;ROW($BW19)&amp;":"&amp;XLOOKUP(DM$3,'TTM Dates'!$B:$B,'TTM Dates'!$C:$C)&amp;ROW($BW19))))</f>
        <v>0</v>
      </c>
      <c r="DN19" s="286">
        <f t="array" ref="DN19">IF(DN$3&gt;'GAAP Summary'!$B$2,0,SUM(INDIRECT(XLOOKUP(DN$3,'TTM Dates'!$B:$B,'TTM Dates'!$E:$E)&amp;ROW($BW19)&amp;":"&amp;XLOOKUP(DN$3,'TTM Dates'!$B:$B,'TTM Dates'!$C:$C)&amp;ROW($BW19))))</f>
        <v>0</v>
      </c>
      <c r="DO19" s="286">
        <f t="array" ref="DO19">IF(DO$3&gt;'GAAP Summary'!$B$2,0,SUM(INDIRECT(XLOOKUP(DO$3,'TTM Dates'!$B:$B,'TTM Dates'!$E:$E)&amp;ROW($BW19)&amp;":"&amp;XLOOKUP(DO$3,'TTM Dates'!$B:$B,'TTM Dates'!$C:$C)&amp;ROW($BW19))))</f>
        <v>0</v>
      </c>
      <c r="DP19" s="286">
        <f t="array" ref="DP19">IF(DP$3&gt;'GAAP Summary'!$B$2,0,SUM(INDIRECT(XLOOKUP(DP$3,'TTM Dates'!$B:$B,'TTM Dates'!$E:$E)&amp;ROW($BW19)&amp;":"&amp;XLOOKUP(DP$3,'TTM Dates'!$B:$B,'TTM Dates'!$C:$C)&amp;ROW($BW19))))</f>
        <v>0</v>
      </c>
      <c r="DQ19" s="286">
        <f t="array" ref="DQ19">IF(DQ$3&gt;'GAAP Summary'!$B$2,0,SUM(INDIRECT(XLOOKUP(DQ$3,'TTM Dates'!$B:$B,'TTM Dates'!$E:$E)&amp;ROW($BW19)&amp;":"&amp;XLOOKUP(DQ$3,'TTM Dates'!$B:$B,'TTM Dates'!$C:$C)&amp;ROW($BW19))))</f>
        <v>0</v>
      </c>
      <c r="DR19" s="286">
        <f t="array" ref="DR19">IF(DR$3&gt;'GAAP Summary'!$B$2,0,SUM(INDIRECT(XLOOKUP(DR$3,'TTM Dates'!$B:$B,'TTM Dates'!$E:$E)&amp;ROW($BW19)&amp;":"&amp;XLOOKUP(DR$3,'TTM Dates'!$B:$B,'TTM Dates'!$C:$C)&amp;ROW($BW19))))</f>
        <v>0</v>
      </c>
      <c r="DS19" s="286">
        <f t="array" ref="DS19">IF(DS$3&gt;'GAAP Summary'!$B$2,0,SUM(INDIRECT(XLOOKUP(DS$3,'TTM Dates'!$B:$B,'TTM Dates'!$E:$E)&amp;ROW($BW19)&amp;":"&amp;XLOOKUP(DS$3,'TTM Dates'!$B:$B,'TTM Dates'!$C:$C)&amp;ROW($BW19))))</f>
        <v>0</v>
      </c>
      <c r="DT19" s="286">
        <f t="array" ref="DT19">IF(DT$3&gt;'GAAP Summary'!$B$2,0,SUM(INDIRECT(XLOOKUP(DT$3,'TTM Dates'!$B:$B,'TTM Dates'!$E:$E)&amp;ROW($BW19)&amp;":"&amp;XLOOKUP(DT$3,'TTM Dates'!$B:$B,'TTM Dates'!$C:$C)&amp;ROW($BW19))))</f>
        <v>0</v>
      </c>
      <c r="DU19" s="286">
        <f t="array" ref="DU19">IF(DU$3&gt;'GAAP Summary'!$B$2,0,SUM(INDIRECT(XLOOKUP(DU$3,'TTM Dates'!$B:$B,'TTM Dates'!$E:$E)&amp;ROW($BW19)&amp;":"&amp;XLOOKUP(DU$3,'TTM Dates'!$B:$B,'TTM Dates'!$C:$C)&amp;ROW($BW19))))</f>
        <v>0</v>
      </c>
      <c r="DV19" s="286">
        <f t="array" ref="DV19">IF(DV$3&gt;'GAAP Summary'!$B$2,0,SUM(INDIRECT(XLOOKUP(DV$3,'TTM Dates'!$B:$B,'TTM Dates'!$E:$E)&amp;ROW($BW19)&amp;":"&amp;XLOOKUP(DV$3,'TTM Dates'!$B:$B,'TTM Dates'!$C:$C)&amp;ROW($BW19))))</f>
        <v>0</v>
      </c>
      <c r="DW19" s="286">
        <f t="array" ref="DW19">IF(DW$3&gt;'GAAP Summary'!$B$2,0,SUM(INDIRECT(XLOOKUP(DW$3,'TTM Dates'!$B:$B,'TTM Dates'!$E:$E)&amp;ROW($BW19)&amp;":"&amp;XLOOKUP(DW$3,'TTM Dates'!$B:$B,'TTM Dates'!$C:$C)&amp;ROW($BW19))))</f>
        <v>0</v>
      </c>
      <c r="DX19" s="286">
        <f t="array" ref="DX19">IF(DX$3&gt;'GAAP Summary'!$B$2,0,SUM(INDIRECT(XLOOKUP(DX$3,'TTM Dates'!$B:$B,'TTM Dates'!$E:$E)&amp;ROW($BW19)&amp;":"&amp;XLOOKUP(DX$3,'TTM Dates'!$B:$B,'TTM Dates'!$C:$C)&amp;ROW($BW19))))</f>
        <v>0</v>
      </c>
      <c r="DY19" s="286">
        <f t="array" ref="DY19">IF(DY$3&gt;'GAAP Summary'!$B$2,0,SUM(INDIRECT(XLOOKUP(DY$3,'TTM Dates'!$B:$B,'TTM Dates'!$E:$E)&amp;ROW($BW19)&amp;":"&amp;XLOOKUP(DY$3,'TTM Dates'!$B:$B,'TTM Dates'!$C:$C)&amp;ROW($BW19))))</f>
        <v>0</v>
      </c>
      <c r="DZ19" s="286">
        <f t="array" ref="DZ19">IF(DZ$3&gt;'GAAP Summary'!$B$2,0,SUM(INDIRECT(XLOOKUP(DZ$3,'TTM Dates'!$B:$B,'TTM Dates'!$E:$E)&amp;ROW($BW19)&amp;":"&amp;XLOOKUP(DZ$3,'TTM Dates'!$B:$B,'TTM Dates'!$C:$C)&amp;ROW($BW19))))</f>
        <v>0</v>
      </c>
      <c r="EA19" s="286">
        <f t="array" ref="EA19">IF(EA$3&gt;'GAAP Summary'!$B$2,0,SUM(INDIRECT(XLOOKUP(EA$3,'TTM Dates'!$B:$B,'TTM Dates'!$E:$E)&amp;ROW($BW19)&amp;":"&amp;XLOOKUP(EA$3,'TTM Dates'!$B:$B,'TTM Dates'!$C:$C)&amp;ROW($BW19))))</f>
        <v>0</v>
      </c>
      <c r="EB19" s="286">
        <f t="array" ref="EB19">IF(EB$3&gt;'GAAP Summary'!$B$2,0,SUM(INDIRECT(XLOOKUP(EB$3,'TTM Dates'!$B:$B,'TTM Dates'!$E:$E)&amp;ROW($BW19)&amp;":"&amp;XLOOKUP(EB$3,'TTM Dates'!$B:$B,'TTM Dates'!$C:$C)&amp;ROW($BW19))))</f>
        <v>0</v>
      </c>
      <c r="EC19" s="286">
        <f t="array" ref="EC19">IF(EC$3&gt;'GAAP Summary'!$B$2,0,SUM(INDIRECT(XLOOKUP(EC$3,'TTM Dates'!$B:$B,'TTM Dates'!$E:$E)&amp;ROW($BW19)&amp;":"&amp;XLOOKUP(EC$3,'TTM Dates'!$B:$B,'TTM Dates'!$C:$C)&amp;ROW($BW19))))</f>
        <v>0</v>
      </c>
      <c r="ED19" s="286">
        <f t="array" ref="ED19">IF(ED$3&gt;'GAAP Summary'!$B$2,0,SUM(INDIRECT(XLOOKUP(ED$3,'TTM Dates'!$B:$B,'TTM Dates'!$E:$E)&amp;ROW($BW19)&amp;":"&amp;XLOOKUP(ED$3,'TTM Dates'!$B:$B,'TTM Dates'!$C:$C)&amp;ROW($BW19))))</f>
        <v>0</v>
      </c>
      <c r="EE19" s="286">
        <f t="array" ref="EE19">IF(EE$3&gt;'GAAP Summary'!$B$2,0,SUM(INDIRECT(XLOOKUP(EE$3,'TTM Dates'!$B:$B,'TTM Dates'!$E:$E)&amp;ROW($BW19)&amp;":"&amp;XLOOKUP(EE$3,'TTM Dates'!$B:$B,'TTM Dates'!$C:$C)&amp;ROW($BW19))))</f>
        <v>0</v>
      </c>
      <c r="EF19" s="286">
        <f t="array" ref="EF19">IF(EF$3&gt;'GAAP Summary'!$B$2,0,SUM(INDIRECT(XLOOKUP(EF$3,'TTM Dates'!$B:$B,'TTM Dates'!$E:$E)&amp;ROW($BW19)&amp;":"&amp;XLOOKUP(EF$3,'TTM Dates'!$B:$B,'TTM Dates'!$C:$C)&amp;ROW($BW19))))</f>
        <v>0</v>
      </c>
      <c r="EG19" s="286">
        <f t="array" ref="EG19">IF(EG$3&gt;'GAAP Summary'!$B$2,0,SUM(INDIRECT(XLOOKUP(EG$3,'TTM Dates'!$B:$B,'TTM Dates'!$E:$E)&amp;ROW($BW19)&amp;":"&amp;XLOOKUP(EG$3,'TTM Dates'!$B:$B,'TTM Dates'!$C:$C)&amp;ROW($BW19))))</f>
        <v>0</v>
      </c>
      <c r="EH19" s="286">
        <f t="array" ref="EH19">IF(EH$3&gt;'GAAP Summary'!$B$2,0,SUM(INDIRECT(XLOOKUP(EH$3,'TTM Dates'!$B:$B,'TTM Dates'!$E:$E)&amp;ROW($BW19)&amp;":"&amp;XLOOKUP(EH$3,'TTM Dates'!$B:$B,'TTM Dates'!$C:$C)&amp;ROW($BW19))))</f>
        <v>0</v>
      </c>
      <c r="EI19" s="286">
        <f t="array" ref="EI19">IF(EI$3&gt;'GAAP Summary'!$B$2,0,SUM(INDIRECT(XLOOKUP(EI$3,'TTM Dates'!$B:$B,'TTM Dates'!$E:$E)&amp;ROW($BW19)&amp;":"&amp;XLOOKUP(EI$3,'TTM Dates'!$B:$B,'TTM Dates'!$C:$C)&amp;ROW($BW19))))</f>
        <v>0</v>
      </c>
      <c r="EJ19" s="286">
        <f t="array" ref="EJ19">IF(EJ$3&gt;'GAAP Summary'!$B$2,0,SUM(INDIRECT(XLOOKUP(EJ$3,'TTM Dates'!$B:$B,'TTM Dates'!$E:$E)&amp;ROW($BW19)&amp;":"&amp;XLOOKUP(EJ$3,'TTM Dates'!$B:$B,'TTM Dates'!$C:$C)&amp;ROW($BW19))))</f>
        <v>911260.09</v>
      </c>
      <c r="EK19" s="286">
        <f t="array" ref="EK19">IF(EK$3&gt;'GAAP Summary'!$B$2,0,SUM(INDIRECT(XLOOKUP(EK$3,'TTM Dates'!$B:$B,'TTM Dates'!$E:$E)&amp;ROW($BW19)&amp;":"&amp;XLOOKUP(EK$3,'TTM Dates'!$B:$B,'TTM Dates'!$C:$C)&amp;ROW($BW19))))</f>
        <v>1957645.37</v>
      </c>
      <c r="EL19" s="286">
        <f t="array" ref="EL19">IF(EL$3&gt;'GAAP Summary'!$B$2,0,SUM(INDIRECT(XLOOKUP(EL$3,'TTM Dates'!$B:$B,'TTM Dates'!$E:$E)&amp;ROW($BW19)&amp;":"&amp;XLOOKUP(EL$3,'TTM Dates'!$B:$B,'TTM Dates'!$C:$C)&amp;ROW($BW19))))</f>
        <v>3062767.05</v>
      </c>
      <c r="EM19" s="286">
        <f t="array" ref="EM19">IF(EM$3&gt;'GAAP Summary'!$B$2,0,SUM(INDIRECT(XLOOKUP(EM$3,'TTM Dates'!$B:$B,'TTM Dates'!$E:$E)&amp;ROW($BW19)&amp;":"&amp;XLOOKUP(EM$3,'TTM Dates'!$B:$B,'TTM Dates'!$C:$C)&amp;ROW($BW19))))</f>
        <v>4015115.38</v>
      </c>
      <c r="EN19" s="286">
        <f t="array" ref="EN19">IF(EN$3&gt;'GAAP Summary'!$B$2,0,SUM(INDIRECT(XLOOKUP(EN$3,'TTM Dates'!$B:$B,'TTM Dates'!$E:$E)&amp;ROW($BW19)&amp;":"&amp;XLOOKUP(EN$3,'TTM Dates'!$B:$B,'TTM Dates'!$C:$C)&amp;ROW($BW19))))</f>
        <v>4773451.25</v>
      </c>
      <c r="EO19" s="286">
        <f t="array" ref="EO19">IF(EO$3&gt;'GAAP Summary'!$B$2,0,SUM(INDIRECT(XLOOKUP(EO$3,'TTM Dates'!$B:$B,'TTM Dates'!$E:$E)&amp;ROW($BW19)&amp;":"&amp;XLOOKUP(EO$3,'TTM Dates'!$B:$B,'TTM Dates'!$C:$C)&amp;ROW($BW19))))</f>
        <v>5474611.21</v>
      </c>
      <c r="EP19" s="286">
        <f t="array" ref="EP19">IF(EP$3&gt;'GAAP Summary'!$B$2,0,SUM(INDIRECT(XLOOKUP(EP$3,'TTM Dates'!$B:$B,'TTM Dates'!$E:$E)&amp;ROW($BW19)&amp;":"&amp;XLOOKUP(EP$3,'TTM Dates'!$B:$B,'TTM Dates'!$C:$C)&amp;ROW($BW19))))</f>
        <v>6292164.94</v>
      </c>
      <c r="EQ19" s="286">
        <f t="array" ref="EQ19">IF(EQ$3&gt;'GAAP Summary'!$B$2,0,SUM(INDIRECT(XLOOKUP(EQ$3,'TTM Dates'!$B:$B,'TTM Dates'!$E:$E)&amp;ROW($BW19)&amp;":"&amp;XLOOKUP(EQ$3,'TTM Dates'!$B:$B,'TTM Dates'!$C:$C)&amp;ROW($BW19))))</f>
        <v>7097456.48</v>
      </c>
      <c r="ER19" s="286">
        <f t="array" ref="ER19">IF(ER$3&gt;'GAAP Summary'!$B$2,0,SUM(INDIRECT(XLOOKUP(ER$3,'TTM Dates'!$B:$B,'TTM Dates'!$E:$E)&amp;ROW($BW19)&amp;":"&amp;XLOOKUP(ER$3,'TTM Dates'!$B:$B,'TTM Dates'!$C:$C)&amp;ROW($BW19))))</f>
        <v>7959576.02</v>
      </c>
      <c r="ES19" s="286">
        <f t="array" ref="ES19">IF(ES$3&gt;'GAAP Summary'!$B$2,0,SUM(INDIRECT(XLOOKUP(ES$3,'TTM Dates'!$B:$B,'TTM Dates'!$E:$E)&amp;ROW($BW19)&amp;":"&amp;XLOOKUP(ES$3,'TTM Dates'!$B:$B,'TTM Dates'!$C:$C)&amp;ROW($BW19))))</f>
        <v>9169268.28</v>
      </c>
      <c r="ET19" s="286">
        <f t="array" ref="ET19">IF(ET$3&gt;'GAAP Summary'!$B$2,0,SUM(INDIRECT(XLOOKUP(ET$3,'TTM Dates'!$B:$B,'TTM Dates'!$E:$E)&amp;ROW($BW19)&amp;":"&amp;XLOOKUP(ET$3,'TTM Dates'!$B:$B,'TTM Dates'!$C:$C)&amp;ROW($BW19))))</f>
        <v>10183564.55</v>
      </c>
      <c r="EU19" s="286">
        <f t="array" ref="EU19">IF(EU$3&gt;'GAAP Summary'!$B$2,0,SUM(INDIRECT(XLOOKUP(EU$3,'TTM Dates'!$B:$B,'TTM Dates'!$E:$E)&amp;ROW($BW19)&amp;":"&amp;XLOOKUP(EU$3,'TTM Dates'!$B:$B,'TTM Dates'!$C:$C)&amp;ROW($BW19))))</f>
        <v>11117478.17</v>
      </c>
      <c r="EV19" s="286">
        <f t="array" ref="EV19">IF(EV$3&gt;'GAAP Summary'!$B$2,0,SUM(INDIRECT(XLOOKUP(EV$3,'TTM Dates'!$B:$B,'TTM Dates'!$E:$E)&amp;ROW($BW19)&amp;":"&amp;XLOOKUP(EV$3,'TTM Dates'!$B:$B,'TTM Dates'!$C:$C)&amp;ROW($BW19))))</f>
        <v>11245009.08</v>
      </c>
      <c r="EW19" s="286">
        <f t="array" ref="EW19">IF(EW$3&gt;'GAAP Summary'!$B$2,0,SUM(INDIRECT(XLOOKUP(EW$3,'TTM Dates'!$B:$B,'TTM Dates'!$E:$E)&amp;ROW($BW19)&amp;":"&amp;XLOOKUP(EW$3,'TTM Dates'!$B:$B,'TTM Dates'!$C:$C)&amp;ROW($BW19))))</f>
        <v>11073305.8</v>
      </c>
      <c r="EX19" s="286">
        <f t="array" ref="EX19">IF(EX$3&gt;'GAAP Summary'!$B$2,0,SUM(INDIRECT(XLOOKUP(EX$3,'TTM Dates'!$B:$B,'TTM Dates'!$E:$E)&amp;ROW($BW19)&amp;":"&amp;XLOOKUP(EX$3,'TTM Dates'!$B:$B,'TTM Dates'!$C:$C)&amp;ROW($BW19))))</f>
        <v>10708239.12</v>
      </c>
      <c r="EY19" s="286">
        <f t="array" ref="EY19">IF(EY$3&gt;'GAAP Summary'!$B$2,0,SUM(INDIRECT(XLOOKUP(EY$3,'TTM Dates'!$B:$B,'TTM Dates'!$E:$E)&amp;ROW($BW19)&amp;":"&amp;XLOOKUP(EY$3,'TTM Dates'!$B:$B,'TTM Dates'!$C:$C)&amp;ROW($BW19))))</f>
        <v>10646061.94</v>
      </c>
      <c r="EZ19" s="286">
        <f t="array" ref="EZ19">IF(EZ$3&gt;'GAAP Summary'!$B$2,0,SUM(INDIRECT(XLOOKUP(EZ$3,'TTM Dates'!$B:$B,'TTM Dates'!$E:$E)&amp;ROW($BW19)&amp;":"&amp;XLOOKUP(EZ$3,'TTM Dates'!$B:$B,'TTM Dates'!$C:$C)&amp;ROW($BW19))))</f>
        <v>10708253.22</v>
      </c>
      <c r="FA19" s="286">
        <f t="array" ref="FA19">IF(FA$3&gt;'GAAP Summary'!$B$2,0,SUM(INDIRECT(XLOOKUP(FA$3,'TTM Dates'!$B:$B,'TTM Dates'!$E:$E)&amp;ROW($BW19)&amp;":"&amp;XLOOKUP(FA$3,'TTM Dates'!$B:$B,'TTM Dates'!$C:$C)&amp;ROW($BW19))))</f>
        <v>10791670.41</v>
      </c>
      <c r="FB19" s="286">
        <f t="array" ref="FB19">IF(FB$3&gt;'GAAP Summary'!$B$2,0,SUM(INDIRECT(XLOOKUP(FB$3,'TTM Dates'!$B:$B,'TTM Dates'!$E:$E)&amp;ROW($BW19)&amp;":"&amp;XLOOKUP(FB$3,'TTM Dates'!$B:$B,'TTM Dates'!$C:$C)&amp;ROW($BW19))))</f>
        <v>10769499.76</v>
      </c>
      <c r="FC19" s="286">
        <f t="array" ref="FC19">IF(FC$3&gt;'GAAP Summary'!$B$2,0,SUM(INDIRECT(XLOOKUP(FC$3,'TTM Dates'!$B:$B,'TTM Dates'!$E:$E)&amp;ROW($BW19)&amp;":"&amp;XLOOKUP(FC$3,'TTM Dates'!$B:$B,'TTM Dates'!$C:$C)&amp;ROW($BW19))))</f>
        <v>10802819.06</v>
      </c>
      <c r="FD19" s="286">
        <f t="array" ref="FD19">IF(FD$3&gt;'GAAP Summary'!$B$2,0,SUM(INDIRECT(XLOOKUP(FD$3,'TTM Dates'!$B:$B,'TTM Dates'!$E:$E)&amp;ROW($BW19)&amp;":"&amp;XLOOKUP(FD$3,'TTM Dates'!$B:$B,'TTM Dates'!$C:$C)&amp;ROW($BW19))))</f>
        <v>9940699.52</v>
      </c>
      <c r="FE19" s="286">
        <f t="array" ref="FE19">IF(FE$3&gt;'GAAP Summary'!$B$2,0,SUM(INDIRECT(XLOOKUP(FE$3,'TTM Dates'!$B:$B,'TTM Dates'!$E:$E)&amp;ROW($BW19)&amp;":"&amp;XLOOKUP(FE$3,'TTM Dates'!$B:$B,'TTM Dates'!$C:$C)&amp;ROW($BW19))))</f>
        <v>8731007.26</v>
      </c>
      <c r="FF19" s="286">
        <f t="array" ref="FF19">IF(FF$3&gt;'GAAP Summary'!$B$2,0,SUM(INDIRECT(XLOOKUP(FF$3,'TTM Dates'!$B:$B,'TTM Dates'!$E:$E)&amp;ROW($BW19)&amp;":"&amp;XLOOKUP(FF$3,'TTM Dates'!$B:$B,'TTM Dates'!$C:$C)&amp;ROW($BW19))))</f>
        <v>7716710.99</v>
      </c>
      <c r="FG19" s="286">
        <f t="array" ref="FG19">IF(FG$3&gt;'GAAP Summary'!$B$2,0,SUM(INDIRECT(XLOOKUP(FG$3,'TTM Dates'!$B:$B,'TTM Dates'!$E:$E)&amp;ROW($BW19)&amp;":"&amp;XLOOKUP(FG$3,'TTM Dates'!$B:$B,'TTM Dates'!$C:$C)&amp;ROW($BW19))))</f>
        <v>6782797.37</v>
      </c>
      <c r="FH19" s="286"/>
    </row>
    <row r="20" outlineLevel="1">
      <c r="B20" s="135" t="s">
        <v>305</v>
      </c>
      <c r="C20" s="281"/>
      <c r="D20" s="281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81"/>
      <c r="AB20" s="281"/>
      <c r="AC20" s="281"/>
      <c r="AD20" s="281"/>
      <c r="AE20" s="281"/>
      <c r="AF20" s="281"/>
      <c r="AG20" s="281"/>
      <c r="AH20" s="281"/>
      <c r="AI20" s="281"/>
      <c r="AJ20" s="281"/>
      <c r="AK20" s="281"/>
      <c r="AL20" s="281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>
        <v>830517.09</v>
      </c>
      <c r="AZ20" s="137">
        <v>966762.28</v>
      </c>
      <c r="BA20" s="145">
        <v>1023745.68</v>
      </c>
      <c r="BB20" s="137">
        <v>879742.33</v>
      </c>
      <c r="BC20" s="137">
        <v>672022.87</v>
      </c>
      <c r="BD20" s="137">
        <v>621978.96</v>
      </c>
      <c r="BE20" s="137">
        <v>736704.73</v>
      </c>
      <c r="BF20" s="137">
        <v>730984.54</v>
      </c>
      <c r="BG20" s="137">
        <v>781523.54</v>
      </c>
      <c r="BH20" s="137">
        <v>1033979.26</v>
      </c>
      <c r="BI20" s="137">
        <v>839033.27</v>
      </c>
      <c r="BJ20" s="137">
        <v>753392.62</v>
      </c>
      <c r="BK20" s="137">
        <v>875394.0</v>
      </c>
      <c r="BL20" s="137">
        <v>757328.0</v>
      </c>
      <c r="BM20" s="145">
        <v>612975.0</v>
      </c>
      <c r="BN20" s="145">
        <v>779274.0</v>
      </c>
      <c r="BO20" s="287">
        <v>723585.0</v>
      </c>
      <c r="BP20" s="137">
        <v>690883.0</v>
      </c>
      <c r="BQ20" s="137">
        <v>696347.0</v>
      </c>
      <c r="BR20" s="137">
        <v>724050.0</v>
      </c>
      <c r="BS20" s="137"/>
      <c r="BT20" s="137"/>
      <c r="BU20" s="137"/>
      <c r="BV20" s="137"/>
      <c r="BW20" s="33"/>
      <c r="BX20" s="288" t="str">
        <f t="array" ref="BX20">SUM(INDIRECT(XLOOKUP('GAAP Summary'!$B$2,'TTM Dates'!$B:$B,'TTM Dates'!$E:$E)&amp;ROW($BW20)&amp;":"&amp;XLOOKUP('GAAP Summary'!$B$2,'TTM Dates'!$B:$B,'TTM Dates'!$C:$C)&amp;ROW($BW20)))</f>
        <v>#REF!</v>
      </c>
      <c r="BY20" s="136"/>
      <c r="BZ20" s="137">
        <f t="shared" si="33"/>
        <v>2245697</v>
      </c>
      <c r="CA20" s="137">
        <f t="shared" si="34"/>
        <v>2193742</v>
      </c>
      <c r="CB20" s="137">
        <f t="shared" si="35"/>
        <v>1420397</v>
      </c>
      <c r="CC20" s="137">
        <f t="shared" si="36"/>
        <v>0</v>
      </c>
      <c r="CD20" s="142">
        <f t="shared" si="37"/>
        <v>5859836</v>
      </c>
      <c r="CE20" s="136"/>
      <c r="CF20" s="137">
        <f t="shared" si="38"/>
        <v>2821025.05</v>
      </c>
      <c r="CG20" s="137">
        <f t="shared" si="39"/>
        <v>2173744.16</v>
      </c>
      <c r="CH20" s="137">
        <f t="shared" si="40"/>
        <v>2249212.81</v>
      </c>
      <c r="CI20" s="137">
        <f t="shared" si="41"/>
        <v>2626405.15</v>
      </c>
      <c r="CJ20" s="142">
        <f t="shared" si="42"/>
        <v>9870387.17</v>
      </c>
      <c r="CK20" s="136"/>
      <c r="CL20" s="136">
        <f t="shared" si="43"/>
        <v>0</v>
      </c>
      <c r="CM20" s="136">
        <f t="shared" si="44"/>
        <v>0</v>
      </c>
      <c r="CN20" s="136">
        <f t="shared" si="45"/>
        <v>0</v>
      </c>
      <c r="CO20" s="136">
        <f t="shared" si="46"/>
        <v>0</v>
      </c>
      <c r="CP20" s="292">
        <f t="shared" si="47"/>
        <v>0</v>
      </c>
      <c r="CQ20" s="284"/>
      <c r="CR20" s="137">
        <f t="shared" si="48"/>
        <v>0</v>
      </c>
      <c r="CS20" s="137">
        <f t="shared" si="49"/>
        <v>0</v>
      </c>
      <c r="CT20" s="137">
        <f t="shared" si="50"/>
        <v>0</v>
      </c>
      <c r="CU20" s="137">
        <f t="shared" si="51"/>
        <v>0</v>
      </c>
      <c r="CV20" s="142">
        <f t="shared" si="52"/>
        <v>0</v>
      </c>
      <c r="CW20" s="284"/>
      <c r="CX20" s="292"/>
      <c r="CY20" s="284"/>
      <c r="CZ20" s="136">
        <f t="array" ref="CZ20">IF(CZ$3&gt;'GAAP Summary'!$B$2,0,SUM(INDIRECT(XLOOKUP(CZ$3,'TTM Dates'!$B:$B,'TTM Dates'!$E:$E)&amp;ROW($BW20)&amp;":"&amp;XLOOKUP(CZ$3,'TTM Dates'!$B:$B,'TTM Dates'!$C:$C)&amp;ROW($BW20))))</f>
        <v>0</v>
      </c>
      <c r="DA20" s="136">
        <f t="array" ref="DA20">IF(DA$3&gt;'GAAP Summary'!$B$2,0,SUM(INDIRECT(XLOOKUP(DA$3,'TTM Dates'!$B:$B,'TTM Dates'!$E:$E)&amp;ROW($BW20)&amp;":"&amp;XLOOKUP(DA$3,'TTM Dates'!$B:$B,'TTM Dates'!$C:$C)&amp;ROW($BW20))))</f>
        <v>0</v>
      </c>
      <c r="DB20" s="136">
        <f t="array" ref="DB20">IF(DB$3&gt;'GAAP Summary'!$B$2,0,SUM(INDIRECT(XLOOKUP(DB$3,'TTM Dates'!$B:$B,'TTM Dates'!$E:$E)&amp;ROW($BW20)&amp;":"&amp;XLOOKUP(DB$3,'TTM Dates'!$B:$B,'TTM Dates'!$C:$C)&amp;ROW($BW20))))</f>
        <v>0</v>
      </c>
      <c r="DC20" s="136">
        <f t="array" ref="DC20">IF(DC$3&gt;'GAAP Summary'!$B$2,0,SUM(INDIRECT(XLOOKUP(DC$3,'TTM Dates'!$B:$B,'TTM Dates'!$E:$E)&amp;ROW($BW20)&amp;":"&amp;XLOOKUP(DC$3,'TTM Dates'!$B:$B,'TTM Dates'!$C:$C)&amp;ROW($BW20))))</f>
        <v>0</v>
      </c>
      <c r="DD20" s="136">
        <f t="array" ref="DD20">IF(DD$3&gt;'GAAP Summary'!$B$2,0,SUM(INDIRECT(XLOOKUP(DD$3,'TTM Dates'!$B:$B,'TTM Dates'!$E:$E)&amp;ROW($BW20)&amp;":"&amp;XLOOKUP(DD$3,'TTM Dates'!$B:$B,'TTM Dates'!$C:$C)&amp;ROW($BW20))))</f>
        <v>0</v>
      </c>
      <c r="DE20" s="136">
        <f t="array" ref="DE20">IF(DE$3&gt;'GAAP Summary'!$B$2,0,SUM(INDIRECT(XLOOKUP(DE$3,'TTM Dates'!$B:$B,'TTM Dates'!$E:$E)&amp;ROW($BW20)&amp;":"&amp;XLOOKUP(DE$3,'TTM Dates'!$B:$B,'TTM Dates'!$C:$C)&amp;ROW($BW20))))</f>
        <v>0</v>
      </c>
      <c r="DF20" s="136">
        <f t="array" ref="DF20">IF(DF$3&gt;'GAAP Summary'!$B$2,0,SUM(INDIRECT(XLOOKUP(DF$3,'TTM Dates'!$B:$B,'TTM Dates'!$E:$E)&amp;ROW($BW20)&amp;":"&amp;XLOOKUP(DF$3,'TTM Dates'!$B:$B,'TTM Dates'!$C:$C)&amp;ROW($BW20))))</f>
        <v>0</v>
      </c>
      <c r="DG20" s="136">
        <f t="array" ref="DG20">IF(DG$3&gt;'GAAP Summary'!$B$2,0,SUM(INDIRECT(XLOOKUP(DG$3,'TTM Dates'!$B:$B,'TTM Dates'!$E:$E)&amp;ROW($BW20)&amp;":"&amp;XLOOKUP(DG$3,'TTM Dates'!$B:$B,'TTM Dates'!$C:$C)&amp;ROW($BW20))))</f>
        <v>0</v>
      </c>
      <c r="DH20" s="136">
        <f t="array" ref="DH20">IF(DH$3&gt;'GAAP Summary'!$B$2,0,SUM(INDIRECT(XLOOKUP(DH$3,'TTM Dates'!$B:$B,'TTM Dates'!$E:$E)&amp;ROW($BW20)&amp;":"&amp;XLOOKUP(DH$3,'TTM Dates'!$B:$B,'TTM Dates'!$C:$C)&amp;ROW($BW20))))</f>
        <v>0</v>
      </c>
      <c r="DI20" s="136">
        <f t="array" ref="DI20">IF(DI$3&gt;'GAAP Summary'!$B$2,0,SUM(INDIRECT(XLOOKUP(DI$3,'TTM Dates'!$B:$B,'TTM Dates'!$E:$E)&amp;ROW($BW20)&amp;":"&amp;XLOOKUP(DI$3,'TTM Dates'!$B:$B,'TTM Dates'!$C:$C)&amp;ROW($BW20))))</f>
        <v>0</v>
      </c>
      <c r="DJ20" s="136">
        <f t="array" ref="DJ20">IF(DJ$3&gt;'GAAP Summary'!$B$2,0,SUM(INDIRECT(XLOOKUP(DJ$3,'TTM Dates'!$B:$B,'TTM Dates'!$E:$E)&amp;ROW($BW20)&amp;":"&amp;XLOOKUP(DJ$3,'TTM Dates'!$B:$B,'TTM Dates'!$C:$C)&amp;ROW($BW20))))</f>
        <v>0</v>
      </c>
      <c r="DK20" s="136">
        <f t="array" ref="DK20">IF(DK$3&gt;'GAAP Summary'!$B$2,0,SUM(INDIRECT(XLOOKUP(DK$3,'TTM Dates'!$B:$B,'TTM Dates'!$E:$E)&amp;ROW($BW20)&amp;":"&amp;XLOOKUP(DK$3,'TTM Dates'!$B:$B,'TTM Dates'!$C:$C)&amp;ROW($BW20))))</f>
        <v>0</v>
      </c>
      <c r="DL20" s="136">
        <f t="array" ref="DL20">IF(DL$3&gt;'GAAP Summary'!$B$2,0,SUM(INDIRECT(XLOOKUP(DL$3,'TTM Dates'!$B:$B,'TTM Dates'!$E:$E)&amp;ROW($BW20)&amp;":"&amp;XLOOKUP(DL$3,'TTM Dates'!$B:$B,'TTM Dates'!$C:$C)&amp;ROW($BW20))))</f>
        <v>0</v>
      </c>
      <c r="DM20" s="136">
        <f t="array" ref="DM20">IF(DM$3&gt;'GAAP Summary'!$B$2,0,SUM(INDIRECT(XLOOKUP(DM$3,'TTM Dates'!$B:$B,'TTM Dates'!$E:$E)&amp;ROW($BW20)&amp;":"&amp;XLOOKUP(DM$3,'TTM Dates'!$B:$B,'TTM Dates'!$C:$C)&amp;ROW($BW20))))</f>
        <v>0</v>
      </c>
      <c r="DN20" s="136">
        <f t="array" ref="DN20">IF(DN$3&gt;'GAAP Summary'!$B$2,0,SUM(INDIRECT(XLOOKUP(DN$3,'TTM Dates'!$B:$B,'TTM Dates'!$E:$E)&amp;ROW($BW20)&amp;":"&amp;XLOOKUP(DN$3,'TTM Dates'!$B:$B,'TTM Dates'!$C:$C)&amp;ROW($BW20))))</f>
        <v>0</v>
      </c>
      <c r="DO20" s="136">
        <f t="array" ref="DO20">IF(DO$3&gt;'GAAP Summary'!$B$2,0,SUM(INDIRECT(XLOOKUP(DO$3,'TTM Dates'!$B:$B,'TTM Dates'!$E:$E)&amp;ROW($BW20)&amp;":"&amp;XLOOKUP(DO$3,'TTM Dates'!$B:$B,'TTM Dates'!$C:$C)&amp;ROW($BW20))))</f>
        <v>0</v>
      </c>
      <c r="DP20" s="136">
        <f t="array" ref="DP20">IF(DP$3&gt;'GAAP Summary'!$B$2,0,SUM(INDIRECT(XLOOKUP(DP$3,'TTM Dates'!$B:$B,'TTM Dates'!$E:$E)&amp;ROW($BW20)&amp;":"&amp;XLOOKUP(DP$3,'TTM Dates'!$B:$B,'TTM Dates'!$C:$C)&amp;ROW($BW20))))</f>
        <v>0</v>
      </c>
      <c r="DQ20" s="136">
        <f t="array" ref="DQ20">IF(DQ$3&gt;'GAAP Summary'!$B$2,0,SUM(INDIRECT(XLOOKUP(DQ$3,'TTM Dates'!$B:$B,'TTM Dates'!$E:$E)&amp;ROW($BW20)&amp;":"&amp;XLOOKUP(DQ$3,'TTM Dates'!$B:$B,'TTM Dates'!$C:$C)&amp;ROW($BW20))))</f>
        <v>0</v>
      </c>
      <c r="DR20" s="136">
        <f t="array" ref="DR20">IF(DR$3&gt;'GAAP Summary'!$B$2,0,SUM(INDIRECT(XLOOKUP(DR$3,'TTM Dates'!$B:$B,'TTM Dates'!$E:$E)&amp;ROW($BW20)&amp;":"&amp;XLOOKUP(DR$3,'TTM Dates'!$B:$B,'TTM Dates'!$C:$C)&amp;ROW($BW20))))</f>
        <v>0</v>
      </c>
      <c r="DS20" s="136">
        <f t="array" ref="DS20">IF(DS$3&gt;'GAAP Summary'!$B$2,0,SUM(INDIRECT(XLOOKUP(DS$3,'TTM Dates'!$B:$B,'TTM Dates'!$E:$E)&amp;ROW($BW20)&amp;":"&amp;XLOOKUP(DS$3,'TTM Dates'!$B:$B,'TTM Dates'!$C:$C)&amp;ROW($BW20))))</f>
        <v>0</v>
      </c>
      <c r="DT20" s="136">
        <f t="array" ref="DT20">IF(DT$3&gt;'GAAP Summary'!$B$2,0,SUM(INDIRECT(XLOOKUP(DT$3,'TTM Dates'!$B:$B,'TTM Dates'!$E:$E)&amp;ROW($BW20)&amp;":"&amp;XLOOKUP(DT$3,'TTM Dates'!$B:$B,'TTM Dates'!$C:$C)&amp;ROW($BW20))))</f>
        <v>0</v>
      </c>
      <c r="DU20" s="136">
        <f t="array" ref="DU20">IF(DU$3&gt;'GAAP Summary'!$B$2,0,SUM(INDIRECT(XLOOKUP(DU$3,'TTM Dates'!$B:$B,'TTM Dates'!$E:$E)&amp;ROW($BW20)&amp;":"&amp;XLOOKUP(DU$3,'TTM Dates'!$B:$B,'TTM Dates'!$C:$C)&amp;ROW($BW20))))</f>
        <v>0</v>
      </c>
      <c r="DV20" s="136">
        <f t="array" ref="DV20">IF(DV$3&gt;'GAAP Summary'!$B$2,0,SUM(INDIRECT(XLOOKUP(DV$3,'TTM Dates'!$B:$B,'TTM Dates'!$E:$E)&amp;ROW($BW20)&amp;":"&amp;XLOOKUP(DV$3,'TTM Dates'!$B:$B,'TTM Dates'!$C:$C)&amp;ROW($BW20))))</f>
        <v>0</v>
      </c>
      <c r="DW20" s="136">
        <f t="array" ref="DW20">IF(DW$3&gt;'GAAP Summary'!$B$2,0,SUM(INDIRECT(XLOOKUP(DW$3,'TTM Dates'!$B:$B,'TTM Dates'!$E:$E)&amp;ROW($BW20)&amp;":"&amp;XLOOKUP(DW$3,'TTM Dates'!$B:$B,'TTM Dates'!$C:$C)&amp;ROW($BW20))))</f>
        <v>0</v>
      </c>
      <c r="DX20" s="136">
        <f t="array" ref="DX20">IF(DX$3&gt;'GAAP Summary'!$B$2,0,SUM(INDIRECT(XLOOKUP(DX$3,'TTM Dates'!$B:$B,'TTM Dates'!$E:$E)&amp;ROW($BW20)&amp;":"&amp;XLOOKUP(DX$3,'TTM Dates'!$B:$B,'TTM Dates'!$C:$C)&amp;ROW($BW20))))</f>
        <v>0</v>
      </c>
      <c r="DY20" s="136">
        <f t="array" ref="DY20">IF(DY$3&gt;'GAAP Summary'!$B$2,0,SUM(INDIRECT(XLOOKUP(DY$3,'TTM Dates'!$B:$B,'TTM Dates'!$E:$E)&amp;ROW($BW20)&amp;":"&amp;XLOOKUP(DY$3,'TTM Dates'!$B:$B,'TTM Dates'!$C:$C)&amp;ROW($BW20))))</f>
        <v>0</v>
      </c>
      <c r="DZ20" s="136">
        <f t="array" ref="DZ20">IF(DZ$3&gt;'GAAP Summary'!$B$2,0,SUM(INDIRECT(XLOOKUP(DZ$3,'TTM Dates'!$B:$B,'TTM Dates'!$E:$E)&amp;ROW($BW20)&amp;":"&amp;XLOOKUP(DZ$3,'TTM Dates'!$B:$B,'TTM Dates'!$C:$C)&amp;ROW($BW20))))</f>
        <v>0</v>
      </c>
      <c r="EA20" s="136">
        <f t="array" ref="EA20">IF(EA$3&gt;'GAAP Summary'!$B$2,0,SUM(INDIRECT(XLOOKUP(EA$3,'TTM Dates'!$B:$B,'TTM Dates'!$E:$E)&amp;ROW($BW20)&amp;":"&amp;XLOOKUP(EA$3,'TTM Dates'!$B:$B,'TTM Dates'!$C:$C)&amp;ROW($BW20))))</f>
        <v>0</v>
      </c>
      <c r="EB20" s="136">
        <f t="array" ref="EB20">IF(EB$3&gt;'GAAP Summary'!$B$2,0,SUM(INDIRECT(XLOOKUP(EB$3,'TTM Dates'!$B:$B,'TTM Dates'!$E:$E)&amp;ROW($BW20)&amp;":"&amp;XLOOKUP(EB$3,'TTM Dates'!$B:$B,'TTM Dates'!$C:$C)&amp;ROW($BW20))))</f>
        <v>0</v>
      </c>
      <c r="EC20" s="136">
        <f t="array" ref="EC20">IF(EC$3&gt;'GAAP Summary'!$B$2,0,SUM(INDIRECT(XLOOKUP(EC$3,'TTM Dates'!$B:$B,'TTM Dates'!$E:$E)&amp;ROW($BW20)&amp;":"&amp;XLOOKUP(EC$3,'TTM Dates'!$B:$B,'TTM Dates'!$C:$C)&amp;ROW($BW20))))</f>
        <v>0</v>
      </c>
      <c r="ED20" s="136">
        <f t="array" ref="ED20">IF(ED$3&gt;'GAAP Summary'!$B$2,0,SUM(INDIRECT(XLOOKUP(ED$3,'TTM Dates'!$B:$B,'TTM Dates'!$E:$E)&amp;ROW($BW20)&amp;":"&amp;XLOOKUP(ED$3,'TTM Dates'!$B:$B,'TTM Dates'!$C:$C)&amp;ROW($BW20))))</f>
        <v>0</v>
      </c>
      <c r="EE20" s="136">
        <f t="array" ref="EE20">IF(EE$3&gt;'GAAP Summary'!$B$2,0,SUM(INDIRECT(XLOOKUP(EE$3,'TTM Dates'!$B:$B,'TTM Dates'!$E:$E)&amp;ROW($BW20)&amp;":"&amp;XLOOKUP(EE$3,'TTM Dates'!$B:$B,'TTM Dates'!$C:$C)&amp;ROW($BW20))))</f>
        <v>0</v>
      </c>
      <c r="EF20" s="136">
        <f t="array" ref="EF20">IF(EF$3&gt;'GAAP Summary'!$B$2,0,SUM(INDIRECT(XLOOKUP(EF$3,'TTM Dates'!$B:$B,'TTM Dates'!$E:$E)&amp;ROW($BW20)&amp;":"&amp;XLOOKUP(EF$3,'TTM Dates'!$B:$B,'TTM Dates'!$C:$C)&amp;ROW($BW20))))</f>
        <v>0</v>
      </c>
      <c r="EG20" s="136">
        <f t="array" ref="EG20">IF(EG$3&gt;'GAAP Summary'!$B$2,0,SUM(INDIRECT(XLOOKUP(EG$3,'TTM Dates'!$B:$B,'TTM Dates'!$E:$E)&amp;ROW($BW20)&amp;":"&amp;XLOOKUP(EG$3,'TTM Dates'!$B:$B,'TTM Dates'!$C:$C)&amp;ROW($BW20))))</f>
        <v>0</v>
      </c>
      <c r="EH20" s="136">
        <f t="array" ref="EH20">IF(EH$3&gt;'GAAP Summary'!$B$2,0,SUM(INDIRECT(XLOOKUP(EH$3,'TTM Dates'!$B:$B,'TTM Dates'!$E:$E)&amp;ROW($BW20)&amp;":"&amp;XLOOKUP(EH$3,'TTM Dates'!$B:$B,'TTM Dates'!$C:$C)&amp;ROW($BW20))))</f>
        <v>0</v>
      </c>
      <c r="EI20" s="136">
        <f t="array" ref="EI20">IF(EI$3&gt;'GAAP Summary'!$B$2,0,SUM(INDIRECT(XLOOKUP(EI$3,'TTM Dates'!$B:$B,'TTM Dates'!$E:$E)&amp;ROW($BW20)&amp;":"&amp;XLOOKUP(EI$3,'TTM Dates'!$B:$B,'TTM Dates'!$C:$C)&amp;ROW($BW20))))</f>
        <v>0</v>
      </c>
      <c r="EJ20" s="136">
        <f t="array" ref="EJ20">IF(EJ$3&gt;'GAAP Summary'!$B$2,0,SUM(INDIRECT(XLOOKUP(EJ$3,'TTM Dates'!$B:$B,'TTM Dates'!$E:$E)&amp;ROW($BW20)&amp;":"&amp;XLOOKUP(EJ$3,'TTM Dates'!$B:$B,'TTM Dates'!$C:$C)&amp;ROW($BW20))))</f>
        <v>830517.09</v>
      </c>
      <c r="EK20" s="136">
        <f t="array" ref="EK20">IF(EK$3&gt;'GAAP Summary'!$B$2,0,SUM(INDIRECT(XLOOKUP(EK$3,'TTM Dates'!$B:$B,'TTM Dates'!$E:$E)&amp;ROW($BW20)&amp;":"&amp;XLOOKUP(EK$3,'TTM Dates'!$B:$B,'TTM Dates'!$C:$C)&amp;ROW($BW20))))</f>
        <v>1797279.37</v>
      </c>
      <c r="EL20" s="136">
        <f t="array" ref="EL20">IF(EL$3&gt;'GAAP Summary'!$B$2,0,SUM(INDIRECT(XLOOKUP(EL$3,'TTM Dates'!$B:$B,'TTM Dates'!$E:$E)&amp;ROW($BW20)&amp;":"&amp;XLOOKUP(EL$3,'TTM Dates'!$B:$B,'TTM Dates'!$C:$C)&amp;ROW($BW20))))</f>
        <v>2821025.05</v>
      </c>
      <c r="EM20" s="136">
        <f t="array" ref="EM20">IF(EM$3&gt;'GAAP Summary'!$B$2,0,SUM(INDIRECT(XLOOKUP(EM$3,'TTM Dates'!$B:$B,'TTM Dates'!$E:$E)&amp;ROW($BW20)&amp;":"&amp;XLOOKUP(EM$3,'TTM Dates'!$B:$B,'TTM Dates'!$C:$C)&amp;ROW($BW20))))</f>
        <v>3700767.38</v>
      </c>
      <c r="EN20" s="136">
        <f t="array" ref="EN20">IF(EN$3&gt;'GAAP Summary'!$B$2,0,SUM(INDIRECT(XLOOKUP(EN$3,'TTM Dates'!$B:$B,'TTM Dates'!$E:$E)&amp;ROW($BW20)&amp;":"&amp;XLOOKUP(EN$3,'TTM Dates'!$B:$B,'TTM Dates'!$C:$C)&amp;ROW($BW20))))</f>
        <v>4372790.25</v>
      </c>
      <c r="EO20" s="136">
        <f t="array" ref="EO20">IF(EO$3&gt;'GAAP Summary'!$B$2,0,SUM(INDIRECT(XLOOKUP(EO$3,'TTM Dates'!$B:$B,'TTM Dates'!$E:$E)&amp;ROW($BW20)&amp;":"&amp;XLOOKUP(EO$3,'TTM Dates'!$B:$B,'TTM Dates'!$C:$C)&amp;ROW($BW20))))</f>
        <v>4994769.21</v>
      </c>
      <c r="EP20" s="136">
        <f t="array" ref="EP20">IF(EP$3&gt;'GAAP Summary'!$B$2,0,SUM(INDIRECT(XLOOKUP(EP$3,'TTM Dates'!$B:$B,'TTM Dates'!$E:$E)&amp;ROW($BW20)&amp;":"&amp;XLOOKUP(EP$3,'TTM Dates'!$B:$B,'TTM Dates'!$C:$C)&amp;ROW($BW20))))</f>
        <v>5731473.94</v>
      </c>
      <c r="EQ20" s="136">
        <f t="array" ref="EQ20">IF(EQ$3&gt;'GAAP Summary'!$B$2,0,SUM(INDIRECT(XLOOKUP(EQ$3,'TTM Dates'!$B:$B,'TTM Dates'!$E:$E)&amp;ROW($BW20)&amp;":"&amp;XLOOKUP(EQ$3,'TTM Dates'!$B:$B,'TTM Dates'!$C:$C)&amp;ROW($BW20))))</f>
        <v>6462458.48</v>
      </c>
      <c r="ER20" s="136">
        <f t="array" ref="ER20">IF(ER$3&gt;'GAAP Summary'!$B$2,0,SUM(INDIRECT(XLOOKUP(ER$3,'TTM Dates'!$B:$B,'TTM Dates'!$E:$E)&amp;ROW($BW20)&amp;":"&amp;XLOOKUP(ER$3,'TTM Dates'!$B:$B,'TTM Dates'!$C:$C)&amp;ROW($BW20))))</f>
        <v>7243982.02</v>
      </c>
      <c r="ES20" s="136">
        <f t="array" ref="ES20">IF(ES$3&gt;'GAAP Summary'!$B$2,0,SUM(INDIRECT(XLOOKUP(ES$3,'TTM Dates'!$B:$B,'TTM Dates'!$E:$E)&amp;ROW($BW20)&amp;":"&amp;XLOOKUP(ES$3,'TTM Dates'!$B:$B,'TTM Dates'!$C:$C)&amp;ROW($BW20))))</f>
        <v>8277961.28</v>
      </c>
      <c r="ET20" s="136">
        <f t="array" ref="ET20">IF(ET$3&gt;'GAAP Summary'!$B$2,0,SUM(INDIRECT(XLOOKUP(ET$3,'TTM Dates'!$B:$B,'TTM Dates'!$E:$E)&amp;ROW($BW20)&amp;":"&amp;XLOOKUP(ET$3,'TTM Dates'!$B:$B,'TTM Dates'!$C:$C)&amp;ROW($BW20))))</f>
        <v>9116994.55</v>
      </c>
      <c r="EU20" s="136">
        <f t="array" ref="EU20">IF(EU$3&gt;'GAAP Summary'!$B$2,0,SUM(INDIRECT(XLOOKUP(EU$3,'TTM Dates'!$B:$B,'TTM Dates'!$E:$E)&amp;ROW($BW20)&amp;":"&amp;XLOOKUP(EU$3,'TTM Dates'!$B:$B,'TTM Dates'!$C:$C)&amp;ROW($BW20))))</f>
        <v>9870387.17</v>
      </c>
      <c r="EV20" s="136">
        <f t="array" ref="EV20">IF(EV$3&gt;'GAAP Summary'!$B$2,0,SUM(INDIRECT(XLOOKUP(EV$3,'TTM Dates'!$B:$B,'TTM Dates'!$E:$E)&amp;ROW($BW20)&amp;":"&amp;XLOOKUP(EV$3,'TTM Dates'!$B:$B,'TTM Dates'!$C:$C)&amp;ROW($BW20))))</f>
        <v>9915264.08</v>
      </c>
      <c r="EW20" s="136">
        <f t="array" ref="EW20">IF(EW$3&gt;'GAAP Summary'!$B$2,0,SUM(INDIRECT(XLOOKUP(EW$3,'TTM Dates'!$B:$B,'TTM Dates'!$E:$E)&amp;ROW($BW20)&amp;":"&amp;XLOOKUP(EW$3,'TTM Dates'!$B:$B,'TTM Dates'!$C:$C)&amp;ROW($BW20))))</f>
        <v>9705829.8</v>
      </c>
      <c r="EX20" s="136">
        <f t="array" ref="EX20">IF(EX$3&gt;'GAAP Summary'!$B$2,0,SUM(INDIRECT(XLOOKUP(EX$3,'TTM Dates'!$B:$B,'TTM Dates'!$E:$E)&amp;ROW($BW20)&amp;":"&amp;XLOOKUP(EX$3,'TTM Dates'!$B:$B,'TTM Dates'!$C:$C)&amp;ROW($BW20))))</f>
        <v>9295059.12</v>
      </c>
      <c r="EY20" s="136">
        <f t="array" ref="EY20">IF(EY$3&gt;'GAAP Summary'!$B$2,0,SUM(INDIRECT(XLOOKUP(EY$3,'TTM Dates'!$B:$B,'TTM Dates'!$E:$E)&amp;ROW($BW20)&amp;":"&amp;XLOOKUP(EY$3,'TTM Dates'!$B:$B,'TTM Dates'!$C:$C)&amp;ROW($BW20))))</f>
        <v>9194590.79</v>
      </c>
      <c r="EZ20" s="136">
        <f t="array" ref="EZ20">IF(EZ$3&gt;'GAAP Summary'!$B$2,0,SUM(INDIRECT(XLOOKUP(EZ$3,'TTM Dates'!$B:$B,'TTM Dates'!$E:$E)&amp;ROW($BW20)&amp;":"&amp;XLOOKUP(EZ$3,'TTM Dates'!$B:$B,'TTM Dates'!$C:$C)&amp;ROW($BW20))))</f>
        <v>9246152.92</v>
      </c>
      <c r="FA20" s="136">
        <f t="array" ref="FA20">IF(FA$3&gt;'GAAP Summary'!$B$2,0,SUM(INDIRECT(XLOOKUP(FA$3,'TTM Dates'!$B:$B,'TTM Dates'!$E:$E)&amp;ROW($BW20)&amp;":"&amp;XLOOKUP(FA$3,'TTM Dates'!$B:$B,'TTM Dates'!$C:$C)&amp;ROW($BW20))))</f>
        <v>9315056.96</v>
      </c>
      <c r="FB20" s="136">
        <f t="array" ref="FB20">IF(FB$3&gt;'GAAP Summary'!$B$2,0,SUM(INDIRECT(XLOOKUP(FB$3,'TTM Dates'!$B:$B,'TTM Dates'!$E:$E)&amp;ROW($BW20)&amp;":"&amp;XLOOKUP(FB$3,'TTM Dates'!$B:$B,'TTM Dates'!$C:$C)&amp;ROW($BW20))))</f>
        <v>9274699.23</v>
      </c>
      <c r="FC20" s="136">
        <f t="array" ref="FC20">IF(FC$3&gt;'GAAP Summary'!$B$2,0,SUM(INDIRECT(XLOOKUP(FC$3,'TTM Dates'!$B:$B,'TTM Dates'!$E:$E)&amp;ROW($BW20)&amp;":"&amp;XLOOKUP(FC$3,'TTM Dates'!$B:$B,'TTM Dates'!$C:$C)&amp;ROW($BW20))))</f>
        <v>9267764.69</v>
      </c>
      <c r="FD20" s="136">
        <f t="array" ref="FD20">IF(FD$3&gt;'GAAP Summary'!$B$2,0,SUM(INDIRECT(XLOOKUP(FD$3,'TTM Dates'!$B:$B,'TTM Dates'!$E:$E)&amp;ROW($BW20)&amp;":"&amp;XLOOKUP(FD$3,'TTM Dates'!$B:$B,'TTM Dates'!$C:$C)&amp;ROW($BW20))))</f>
        <v>8486241.15</v>
      </c>
      <c r="FE20" s="136">
        <f t="array" ref="FE20">IF(FE$3&gt;'GAAP Summary'!$B$2,0,SUM(INDIRECT(XLOOKUP(FE$3,'TTM Dates'!$B:$B,'TTM Dates'!$E:$E)&amp;ROW($BW20)&amp;":"&amp;XLOOKUP(FE$3,'TTM Dates'!$B:$B,'TTM Dates'!$C:$C)&amp;ROW($BW20))))</f>
        <v>7452261.89</v>
      </c>
      <c r="FF20" s="136">
        <f t="array" ref="FF20">IF(FF$3&gt;'GAAP Summary'!$B$2,0,SUM(INDIRECT(XLOOKUP(FF$3,'TTM Dates'!$B:$B,'TTM Dates'!$E:$E)&amp;ROW($BW20)&amp;":"&amp;XLOOKUP(FF$3,'TTM Dates'!$B:$B,'TTM Dates'!$C:$C)&amp;ROW($BW20))))</f>
        <v>6613228.62</v>
      </c>
      <c r="FG20" s="136">
        <f t="array" ref="FG20">IF(FG$3&gt;'GAAP Summary'!$B$2,0,SUM(INDIRECT(XLOOKUP(FG$3,'TTM Dates'!$B:$B,'TTM Dates'!$E:$E)&amp;ROW($BW20)&amp;":"&amp;XLOOKUP(FG$3,'TTM Dates'!$B:$B,'TTM Dates'!$C:$C)&amp;ROW($BW20))))</f>
        <v>5859836</v>
      </c>
      <c r="FH20" s="136"/>
    </row>
    <row r="21" outlineLevel="1">
      <c r="B21" s="135" t="s">
        <v>322</v>
      </c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>
        <v>80743.0</v>
      </c>
      <c r="AZ21" s="294">
        <v>79623.0</v>
      </c>
      <c r="BA21" s="145">
        <v>81376.0</v>
      </c>
      <c r="BB21" s="137">
        <v>72606.0</v>
      </c>
      <c r="BC21" s="137">
        <v>79646.0</v>
      </c>
      <c r="BD21" s="137">
        <v>72514.0</v>
      </c>
      <c r="BE21" s="137">
        <v>74182.0</v>
      </c>
      <c r="BF21" s="137">
        <v>74307.0</v>
      </c>
      <c r="BG21" s="137">
        <v>75211.0</v>
      </c>
      <c r="BH21" s="137">
        <v>87133.0</v>
      </c>
      <c r="BI21" s="137">
        <v>86683.0</v>
      </c>
      <c r="BJ21" s="137">
        <v>86797.0</v>
      </c>
      <c r="BK21" s="295">
        <v>127809.0</v>
      </c>
      <c r="BL21" s="294">
        <v>84064.0</v>
      </c>
      <c r="BM21" s="145">
        <v>93790.0</v>
      </c>
      <c r="BN21" s="145">
        <v>77607.0</v>
      </c>
      <c r="BO21" s="137">
        <v>48652.0</v>
      </c>
      <c r="BP21" s="137">
        <v>45404.0</v>
      </c>
      <c r="BQ21" s="295">
        <v>50745.93</v>
      </c>
      <c r="BR21" s="137">
        <v>66270.69</v>
      </c>
      <c r="BS21" s="137"/>
      <c r="BT21" s="137"/>
      <c r="BU21" s="137"/>
      <c r="BV21" s="137"/>
      <c r="BW21" s="33"/>
      <c r="BX21" s="288" t="str">
        <f t="array" ref="BX21">SUM(INDIRECT(XLOOKUP('GAAP Summary'!$B$2,'TTM Dates'!$B:$B,'TTM Dates'!$E:$E)&amp;ROW($BW21)&amp;":"&amp;XLOOKUP('GAAP Summary'!$B$2,'TTM Dates'!$B:$B,'TTM Dates'!$C:$C)&amp;ROW($BW21)))</f>
        <v>#REF!</v>
      </c>
      <c r="BY21" s="136"/>
      <c r="BZ21" s="137">
        <f t="shared" si="33"/>
        <v>305663</v>
      </c>
      <c r="CA21" s="137">
        <f t="shared" si="34"/>
        <v>171663</v>
      </c>
      <c r="CB21" s="137">
        <f t="shared" si="35"/>
        <v>117016.62</v>
      </c>
      <c r="CC21" s="137">
        <f t="shared" si="36"/>
        <v>0</v>
      </c>
      <c r="CD21" s="142">
        <f t="shared" si="37"/>
        <v>594342.62</v>
      </c>
      <c r="CE21" s="136"/>
      <c r="CF21" s="137">
        <f t="shared" si="38"/>
        <v>241742</v>
      </c>
      <c r="CG21" s="137">
        <f t="shared" si="39"/>
        <v>224766</v>
      </c>
      <c r="CH21" s="137">
        <f t="shared" si="40"/>
        <v>223700</v>
      </c>
      <c r="CI21" s="137">
        <f t="shared" si="41"/>
        <v>260613</v>
      </c>
      <c r="CJ21" s="142">
        <f t="shared" si="42"/>
        <v>950821</v>
      </c>
      <c r="CK21" s="136"/>
      <c r="CL21" s="136">
        <f t="shared" si="43"/>
        <v>0</v>
      </c>
      <c r="CM21" s="136">
        <f t="shared" si="44"/>
        <v>0</v>
      </c>
      <c r="CN21" s="136">
        <f t="shared" si="45"/>
        <v>0</v>
      </c>
      <c r="CO21" s="136">
        <f t="shared" si="46"/>
        <v>0</v>
      </c>
      <c r="CP21" s="292">
        <f t="shared" si="47"/>
        <v>0</v>
      </c>
      <c r="CQ21" s="284"/>
      <c r="CR21" s="137">
        <f t="shared" si="48"/>
        <v>0</v>
      </c>
      <c r="CS21" s="137">
        <f t="shared" si="49"/>
        <v>0</v>
      </c>
      <c r="CT21" s="137">
        <f t="shared" si="50"/>
        <v>0</v>
      </c>
      <c r="CU21" s="137">
        <f t="shared" si="51"/>
        <v>0</v>
      </c>
      <c r="CV21" s="142">
        <f t="shared" si="52"/>
        <v>0</v>
      </c>
      <c r="CW21" s="284"/>
      <c r="CX21" s="292"/>
      <c r="CY21" s="284"/>
      <c r="CZ21" s="136">
        <f t="array" ref="CZ21">IF(CZ$3&gt;'GAAP Summary'!$B$2,0,SUM(INDIRECT(XLOOKUP(CZ$3,'TTM Dates'!$B:$B,'TTM Dates'!$E:$E)&amp;ROW($BW21)&amp;":"&amp;XLOOKUP(CZ$3,'TTM Dates'!$B:$B,'TTM Dates'!$C:$C)&amp;ROW($BW21))))</f>
        <v>0</v>
      </c>
      <c r="DA21" s="136">
        <f t="array" ref="DA21">IF(DA$3&gt;'GAAP Summary'!$B$2,0,SUM(INDIRECT(XLOOKUP(DA$3,'TTM Dates'!$B:$B,'TTM Dates'!$E:$E)&amp;ROW($BW21)&amp;":"&amp;XLOOKUP(DA$3,'TTM Dates'!$B:$B,'TTM Dates'!$C:$C)&amp;ROW($BW21))))</f>
        <v>0</v>
      </c>
      <c r="DB21" s="136">
        <f t="array" ref="DB21">IF(DB$3&gt;'GAAP Summary'!$B$2,0,SUM(INDIRECT(XLOOKUP(DB$3,'TTM Dates'!$B:$B,'TTM Dates'!$E:$E)&amp;ROW($BW21)&amp;":"&amp;XLOOKUP(DB$3,'TTM Dates'!$B:$B,'TTM Dates'!$C:$C)&amp;ROW($BW21))))</f>
        <v>0</v>
      </c>
      <c r="DC21" s="136">
        <f t="array" ref="DC21">IF(DC$3&gt;'GAAP Summary'!$B$2,0,SUM(INDIRECT(XLOOKUP(DC$3,'TTM Dates'!$B:$B,'TTM Dates'!$E:$E)&amp;ROW($BW21)&amp;":"&amp;XLOOKUP(DC$3,'TTM Dates'!$B:$B,'TTM Dates'!$C:$C)&amp;ROW($BW21))))</f>
        <v>0</v>
      </c>
      <c r="DD21" s="136">
        <f t="array" ref="DD21">IF(DD$3&gt;'GAAP Summary'!$B$2,0,SUM(INDIRECT(XLOOKUP(DD$3,'TTM Dates'!$B:$B,'TTM Dates'!$E:$E)&amp;ROW($BW21)&amp;":"&amp;XLOOKUP(DD$3,'TTM Dates'!$B:$B,'TTM Dates'!$C:$C)&amp;ROW($BW21))))</f>
        <v>0</v>
      </c>
      <c r="DE21" s="136">
        <f t="array" ref="DE21">IF(DE$3&gt;'GAAP Summary'!$B$2,0,SUM(INDIRECT(XLOOKUP(DE$3,'TTM Dates'!$B:$B,'TTM Dates'!$E:$E)&amp;ROW($BW21)&amp;":"&amp;XLOOKUP(DE$3,'TTM Dates'!$B:$B,'TTM Dates'!$C:$C)&amp;ROW($BW21))))</f>
        <v>0</v>
      </c>
      <c r="DF21" s="136">
        <f t="array" ref="DF21">IF(DF$3&gt;'GAAP Summary'!$B$2,0,SUM(INDIRECT(XLOOKUP(DF$3,'TTM Dates'!$B:$B,'TTM Dates'!$E:$E)&amp;ROW($BW21)&amp;":"&amp;XLOOKUP(DF$3,'TTM Dates'!$B:$B,'TTM Dates'!$C:$C)&amp;ROW($BW21))))</f>
        <v>0</v>
      </c>
      <c r="DG21" s="136">
        <f t="array" ref="DG21">IF(DG$3&gt;'GAAP Summary'!$B$2,0,SUM(INDIRECT(XLOOKUP(DG$3,'TTM Dates'!$B:$B,'TTM Dates'!$E:$E)&amp;ROW($BW21)&amp;":"&amp;XLOOKUP(DG$3,'TTM Dates'!$B:$B,'TTM Dates'!$C:$C)&amp;ROW($BW21))))</f>
        <v>0</v>
      </c>
      <c r="DH21" s="136">
        <f t="array" ref="DH21">IF(DH$3&gt;'GAAP Summary'!$B$2,0,SUM(INDIRECT(XLOOKUP(DH$3,'TTM Dates'!$B:$B,'TTM Dates'!$E:$E)&amp;ROW($BW21)&amp;":"&amp;XLOOKUP(DH$3,'TTM Dates'!$B:$B,'TTM Dates'!$C:$C)&amp;ROW($BW21))))</f>
        <v>0</v>
      </c>
      <c r="DI21" s="136">
        <f t="array" ref="DI21">IF(DI$3&gt;'GAAP Summary'!$B$2,0,SUM(INDIRECT(XLOOKUP(DI$3,'TTM Dates'!$B:$B,'TTM Dates'!$E:$E)&amp;ROW($BW21)&amp;":"&amp;XLOOKUP(DI$3,'TTM Dates'!$B:$B,'TTM Dates'!$C:$C)&amp;ROW($BW21))))</f>
        <v>0</v>
      </c>
      <c r="DJ21" s="136">
        <f t="array" ref="DJ21">IF(DJ$3&gt;'GAAP Summary'!$B$2,0,SUM(INDIRECT(XLOOKUP(DJ$3,'TTM Dates'!$B:$B,'TTM Dates'!$E:$E)&amp;ROW($BW21)&amp;":"&amp;XLOOKUP(DJ$3,'TTM Dates'!$B:$B,'TTM Dates'!$C:$C)&amp;ROW($BW21))))</f>
        <v>0</v>
      </c>
      <c r="DK21" s="136">
        <f t="array" ref="DK21">IF(DK$3&gt;'GAAP Summary'!$B$2,0,SUM(INDIRECT(XLOOKUP(DK$3,'TTM Dates'!$B:$B,'TTM Dates'!$E:$E)&amp;ROW($BW21)&amp;":"&amp;XLOOKUP(DK$3,'TTM Dates'!$B:$B,'TTM Dates'!$C:$C)&amp;ROW($BW21))))</f>
        <v>0</v>
      </c>
      <c r="DL21" s="136">
        <f t="array" ref="DL21">IF(DL$3&gt;'GAAP Summary'!$B$2,0,SUM(INDIRECT(XLOOKUP(DL$3,'TTM Dates'!$B:$B,'TTM Dates'!$E:$E)&amp;ROW($BW21)&amp;":"&amp;XLOOKUP(DL$3,'TTM Dates'!$B:$B,'TTM Dates'!$C:$C)&amp;ROW($BW21))))</f>
        <v>0</v>
      </c>
      <c r="DM21" s="136">
        <f t="array" ref="DM21">IF(DM$3&gt;'GAAP Summary'!$B$2,0,SUM(INDIRECT(XLOOKUP(DM$3,'TTM Dates'!$B:$B,'TTM Dates'!$E:$E)&amp;ROW($BW21)&amp;":"&amp;XLOOKUP(DM$3,'TTM Dates'!$B:$B,'TTM Dates'!$C:$C)&amp;ROW($BW21))))</f>
        <v>0</v>
      </c>
      <c r="DN21" s="136">
        <f t="array" ref="DN21">IF(DN$3&gt;'GAAP Summary'!$B$2,0,SUM(INDIRECT(XLOOKUP(DN$3,'TTM Dates'!$B:$B,'TTM Dates'!$E:$E)&amp;ROW($BW21)&amp;":"&amp;XLOOKUP(DN$3,'TTM Dates'!$B:$B,'TTM Dates'!$C:$C)&amp;ROW($BW21))))</f>
        <v>0</v>
      </c>
      <c r="DO21" s="136">
        <f t="array" ref="DO21">IF(DO$3&gt;'GAAP Summary'!$B$2,0,SUM(INDIRECT(XLOOKUP(DO$3,'TTM Dates'!$B:$B,'TTM Dates'!$E:$E)&amp;ROW($BW21)&amp;":"&amp;XLOOKUP(DO$3,'TTM Dates'!$B:$B,'TTM Dates'!$C:$C)&amp;ROW($BW21))))</f>
        <v>0</v>
      </c>
      <c r="DP21" s="136">
        <f t="array" ref="DP21">IF(DP$3&gt;'GAAP Summary'!$B$2,0,SUM(INDIRECT(XLOOKUP(DP$3,'TTM Dates'!$B:$B,'TTM Dates'!$E:$E)&amp;ROW($BW21)&amp;":"&amp;XLOOKUP(DP$3,'TTM Dates'!$B:$B,'TTM Dates'!$C:$C)&amp;ROW($BW21))))</f>
        <v>0</v>
      </c>
      <c r="DQ21" s="136">
        <f t="array" ref="DQ21">IF(DQ$3&gt;'GAAP Summary'!$B$2,0,SUM(INDIRECT(XLOOKUP(DQ$3,'TTM Dates'!$B:$B,'TTM Dates'!$E:$E)&amp;ROW($BW21)&amp;":"&amp;XLOOKUP(DQ$3,'TTM Dates'!$B:$B,'TTM Dates'!$C:$C)&amp;ROW($BW21))))</f>
        <v>0</v>
      </c>
      <c r="DR21" s="136">
        <f t="array" ref="DR21">IF(DR$3&gt;'GAAP Summary'!$B$2,0,SUM(INDIRECT(XLOOKUP(DR$3,'TTM Dates'!$B:$B,'TTM Dates'!$E:$E)&amp;ROW($BW21)&amp;":"&amp;XLOOKUP(DR$3,'TTM Dates'!$B:$B,'TTM Dates'!$C:$C)&amp;ROW($BW21))))</f>
        <v>0</v>
      </c>
      <c r="DS21" s="136">
        <f t="array" ref="DS21">IF(DS$3&gt;'GAAP Summary'!$B$2,0,SUM(INDIRECT(XLOOKUP(DS$3,'TTM Dates'!$B:$B,'TTM Dates'!$E:$E)&amp;ROW($BW21)&amp;":"&amp;XLOOKUP(DS$3,'TTM Dates'!$B:$B,'TTM Dates'!$C:$C)&amp;ROW($BW21))))</f>
        <v>0</v>
      </c>
      <c r="DT21" s="136">
        <f t="array" ref="DT21">IF(DT$3&gt;'GAAP Summary'!$B$2,0,SUM(INDIRECT(XLOOKUP(DT$3,'TTM Dates'!$B:$B,'TTM Dates'!$E:$E)&amp;ROW($BW21)&amp;":"&amp;XLOOKUP(DT$3,'TTM Dates'!$B:$B,'TTM Dates'!$C:$C)&amp;ROW($BW21))))</f>
        <v>0</v>
      </c>
      <c r="DU21" s="136">
        <f t="array" ref="DU21">IF(DU$3&gt;'GAAP Summary'!$B$2,0,SUM(INDIRECT(XLOOKUP(DU$3,'TTM Dates'!$B:$B,'TTM Dates'!$E:$E)&amp;ROW($BW21)&amp;":"&amp;XLOOKUP(DU$3,'TTM Dates'!$B:$B,'TTM Dates'!$C:$C)&amp;ROW($BW21))))</f>
        <v>0</v>
      </c>
      <c r="DV21" s="136">
        <f t="array" ref="DV21">IF(DV$3&gt;'GAAP Summary'!$B$2,0,SUM(INDIRECT(XLOOKUP(DV$3,'TTM Dates'!$B:$B,'TTM Dates'!$E:$E)&amp;ROW($BW21)&amp;":"&amp;XLOOKUP(DV$3,'TTM Dates'!$B:$B,'TTM Dates'!$C:$C)&amp;ROW($BW21))))</f>
        <v>0</v>
      </c>
      <c r="DW21" s="136">
        <f t="array" ref="DW21">IF(DW$3&gt;'GAAP Summary'!$B$2,0,SUM(INDIRECT(XLOOKUP(DW$3,'TTM Dates'!$B:$B,'TTM Dates'!$E:$E)&amp;ROW($BW21)&amp;":"&amp;XLOOKUP(DW$3,'TTM Dates'!$B:$B,'TTM Dates'!$C:$C)&amp;ROW($BW21))))</f>
        <v>0</v>
      </c>
      <c r="DX21" s="136">
        <f t="array" ref="DX21">IF(DX$3&gt;'GAAP Summary'!$B$2,0,SUM(INDIRECT(XLOOKUP(DX$3,'TTM Dates'!$B:$B,'TTM Dates'!$E:$E)&amp;ROW($BW21)&amp;":"&amp;XLOOKUP(DX$3,'TTM Dates'!$B:$B,'TTM Dates'!$C:$C)&amp;ROW($BW21))))</f>
        <v>0</v>
      </c>
      <c r="DY21" s="136">
        <f t="array" ref="DY21">IF(DY$3&gt;'GAAP Summary'!$B$2,0,SUM(INDIRECT(XLOOKUP(DY$3,'TTM Dates'!$B:$B,'TTM Dates'!$E:$E)&amp;ROW($BW21)&amp;":"&amp;XLOOKUP(DY$3,'TTM Dates'!$B:$B,'TTM Dates'!$C:$C)&amp;ROW($BW21))))</f>
        <v>0</v>
      </c>
      <c r="DZ21" s="136">
        <f t="array" ref="DZ21">IF(DZ$3&gt;'GAAP Summary'!$B$2,0,SUM(INDIRECT(XLOOKUP(DZ$3,'TTM Dates'!$B:$B,'TTM Dates'!$E:$E)&amp;ROW($BW21)&amp;":"&amp;XLOOKUP(DZ$3,'TTM Dates'!$B:$B,'TTM Dates'!$C:$C)&amp;ROW($BW21))))</f>
        <v>0</v>
      </c>
      <c r="EA21" s="136">
        <f t="array" ref="EA21">IF(EA$3&gt;'GAAP Summary'!$B$2,0,SUM(INDIRECT(XLOOKUP(EA$3,'TTM Dates'!$B:$B,'TTM Dates'!$E:$E)&amp;ROW($BW21)&amp;":"&amp;XLOOKUP(EA$3,'TTM Dates'!$B:$B,'TTM Dates'!$C:$C)&amp;ROW($BW21))))</f>
        <v>0</v>
      </c>
      <c r="EB21" s="136">
        <f t="array" ref="EB21">IF(EB$3&gt;'GAAP Summary'!$B$2,0,SUM(INDIRECT(XLOOKUP(EB$3,'TTM Dates'!$B:$B,'TTM Dates'!$E:$E)&amp;ROW($BW21)&amp;":"&amp;XLOOKUP(EB$3,'TTM Dates'!$B:$B,'TTM Dates'!$C:$C)&amp;ROW($BW21))))</f>
        <v>0</v>
      </c>
      <c r="EC21" s="136">
        <f t="array" ref="EC21">IF(EC$3&gt;'GAAP Summary'!$B$2,0,SUM(INDIRECT(XLOOKUP(EC$3,'TTM Dates'!$B:$B,'TTM Dates'!$E:$E)&amp;ROW($BW21)&amp;":"&amp;XLOOKUP(EC$3,'TTM Dates'!$B:$B,'TTM Dates'!$C:$C)&amp;ROW($BW21))))</f>
        <v>0</v>
      </c>
      <c r="ED21" s="136">
        <f t="array" ref="ED21">IF(ED$3&gt;'GAAP Summary'!$B$2,0,SUM(INDIRECT(XLOOKUP(ED$3,'TTM Dates'!$B:$B,'TTM Dates'!$E:$E)&amp;ROW($BW21)&amp;":"&amp;XLOOKUP(ED$3,'TTM Dates'!$B:$B,'TTM Dates'!$C:$C)&amp;ROW($BW21))))</f>
        <v>0</v>
      </c>
      <c r="EE21" s="136">
        <f t="array" ref="EE21">IF(EE$3&gt;'GAAP Summary'!$B$2,0,SUM(INDIRECT(XLOOKUP(EE$3,'TTM Dates'!$B:$B,'TTM Dates'!$E:$E)&amp;ROW($BW21)&amp;":"&amp;XLOOKUP(EE$3,'TTM Dates'!$B:$B,'TTM Dates'!$C:$C)&amp;ROW($BW21))))</f>
        <v>0</v>
      </c>
      <c r="EF21" s="136">
        <f t="array" ref="EF21">IF(EF$3&gt;'GAAP Summary'!$B$2,0,SUM(INDIRECT(XLOOKUP(EF$3,'TTM Dates'!$B:$B,'TTM Dates'!$E:$E)&amp;ROW($BW21)&amp;":"&amp;XLOOKUP(EF$3,'TTM Dates'!$B:$B,'TTM Dates'!$C:$C)&amp;ROW($BW21))))</f>
        <v>0</v>
      </c>
      <c r="EG21" s="136">
        <f t="array" ref="EG21">IF(EG$3&gt;'GAAP Summary'!$B$2,0,SUM(INDIRECT(XLOOKUP(EG$3,'TTM Dates'!$B:$B,'TTM Dates'!$E:$E)&amp;ROW($BW21)&amp;":"&amp;XLOOKUP(EG$3,'TTM Dates'!$B:$B,'TTM Dates'!$C:$C)&amp;ROW($BW21))))</f>
        <v>0</v>
      </c>
      <c r="EH21" s="136">
        <f t="array" ref="EH21">IF(EH$3&gt;'GAAP Summary'!$B$2,0,SUM(INDIRECT(XLOOKUP(EH$3,'TTM Dates'!$B:$B,'TTM Dates'!$E:$E)&amp;ROW($BW21)&amp;":"&amp;XLOOKUP(EH$3,'TTM Dates'!$B:$B,'TTM Dates'!$C:$C)&amp;ROW($BW21))))</f>
        <v>0</v>
      </c>
      <c r="EI21" s="136">
        <f t="array" ref="EI21">IF(EI$3&gt;'GAAP Summary'!$B$2,0,SUM(INDIRECT(XLOOKUP(EI$3,'TTM Dates'!$B:$B,'TTM Dates'!$E:$E)&amp;ROW($BW21)&amp;":"&amp;XLOOKUP(EI$3,'TTM Dates'!$B:$B,'TTM Dates'!$C:$C)&amp;ROW($BW21))))</f>
        <v>0</v>
      </c>
      <c r="EJ21" s="136">
        <f t="array" ref="EJ21">IF(EJ$3&gt;'GAAP Summary'!$B$2,0,SUM(INDIRECT(XLOOKUP(EJ$3,'TTM Dates'!$B:$B,'TTM Dates'!$E:$E)&amp;ROW($BW21)&amp;":"&amp;XLOOKUP(EJ$3,'TTM Dates'!$B:$B,'TTM Dates'!$C:$C)&amp;ROW($BW21))))</f>
        <v>80743</v>
      </c>
      <c r="EK21" s="136">
        <f t="array" ref="EK21">IF(EK$3&gt;'GAAP Summary'!$B$2,0,SUM(INDIRECT(XLOOKUP(EK$3,'TTM Dates'!$B:$B,'TTM Dates'!$E:$E)&amp;ROW($BW21)&amp;":"&amp;XLOOKUP(EK$3,'TTM Dates'!$B:$B,'TTM Dates'!$C:$C)&amp;ROW($BW21))))</f>
        <v>160366</v>
      </c>
      <c r="EL21" s="136">
        <f t="array" ref="EL21">IF(EL$3&gt;'GAAP Summary'!$B$2,0,SUM(INDIRECT(XLOOKUP(EL$3,'TTM Dates'!$B:$B,'TTM Dates'!$E:$E)&amp;ROW($BW21)&amp;":"&amp;XLOOKUP(EL$3,'TTM Dates'!$B:$B,'TTM Dates'!$C:$C)&amp;ROW($BW21))))</f>
        <v>241742</v>
      </c>
      <c r="EM21" s="136">
        <f t="array" ref="EM21">IF(EM$3&gt;'GAAP Summary'!$B$2,0,SUM(INDIRECT(XLOOKUP(EM$3,'TTM Dates'!$B:$B,'TTM Dates'!$E:$E)&amp;ROW($BW21)&amp;":"&amp;XLOOKUP(EM$3,'TTM Dates'!$B:$B,'TTM Dates'!$C:$C)&amp;ROW($BW21))))</f>
        <v>314348</v>
      </c>
      <c r="EN21" s="136">
        <f t="array" ref="EN21">IF(EN$3&gt;'GAAP Summary'!$B$2,0,SUM(INDIRECT(XLOOKUP(EN$3,'TTM Dates'!$B:$B,'TTM Dates'!$E:$E)&amp;ROW($BW21)&amp;":"&amp;XLOOKUP(EN$3,'TTM Dates'!$B:$B,'TTM Dates'!$C:$C)&amp;ROW($BW21))))</f>
        <v>393994</v>
      </c>
      <c r="EO21" s="136">
        <f t="array" ref="EO21">IF(EO$3&gt;'GAAP Summary'!$B$2,0,SUM(INDIRECT(XLOOKUP(EO$3,'TTM Dates'!$B:$B,'TTM Dates'!$E:$E)&amp;ROW($BW21)&amp;":"&amp;XLOOKUP(EO$3,'TTM Dates'!$B:$B,'TTM Dates'!$C:$C)&amp;ROW($BW21))))</f>
        <v>466508</v>
      </c>
      <c r="EP21" s="136">
        <f t="array" ref="EP21">IF(EP$3&gt;'GAAP Summary'!$B$2,0,SUM(INDIRECT(XLOOKUP(EP$3,'TTM Dates'!$B:$B,'TTM Dates'!$E:$E)&amp;ROW($BW21)&amp;":"&amp;XLOOKUP(EP$3,'TTM Dates'!$B:$B,'TTM Dates'!$C:$C)&amp;ROW($BW21))))</f>
        <v>540690</v>
      </c>
      <c r="EQ21" s="136">
        <f t="array" ref="EQ21">IF(EQ$3&gt;'GAAP Summary'!$B$2,0,SUM(INDIRECT(XLOOKUP(EQ$3,'TTM Dates'!$B:$B,'TTM Dates'!$E:$E)&amp;ROW($BW21)&amp;":"&amp;XLOOKUP(EQ$3,'TTM Dates'!$B:$B,'TTM Dates'!$C:$C)&amp;ROW($BW21))))</f>
        <v>614997</v>
      </c>
      <c r="ER21" s="136">
        <f t="array" ref="ER21">IF(ER$3&gt;'GAAP Summary'!$B$2,0,SUM(INDIRECT(XLOOKUP(ER$3,'TTM Dates'!$B:$B,'TTM Dates'!$E:$E)&amp;ROW($BW21)&amp;":"&amp;XLOOKUP(ER$3,'TTM Dates'!$B:$B,'TTM Dates'!$C:$C)&amp;ROW($BW21))))</f>
        <v>690208</v>
      </c>
      <c r="ES21" s="136">
        <f t="array" ref="ES21">IF(ES$3&gt;'GAAP Summary'!$B$2,0,SUM(INDIRECT(XLOOKUP(ES$3,'TTM Dates'!$B:$B,'TTM Dates'!$E:$E)&amp;ROW($BW21)&amp;":"&amp;XLOOKUP(ES$3,'TTM Dates'!$B:$B,'TTM Dates'!$C:$C)&amp;ROW($BW21))))</f>
        <v>777341</v>
      </c>
      <c r="ET21" s="136">
        <f t="array" ref="ET21">IF(ET$3&gt;'GAAP Summary'!$B$2,0,SUM(INDIRECT(XLOOKUP(ET$3,'TTM Dates'!$B:$B,'TTM Dates'!$E:$E)&amp;ROW($BW21)&amp;":"&amp;XLOOKUP(ET$3,'TTM Dates'!$B:$B,'TTM Dates'!$C:$C)&amp;ROW($BW21))))</f>
        <v>864024</v>
      </c>
      <c r="EU21" s="136">
        <f t="array" ref="EU21">IF(EU$3&gt;'GAAP Summary'!$B$2,0,SUM(INDIRECT(XLOOKUP(EU$3,'TTM Dates'!$B:$B,'TTM Dates'!$E:$E)&amp;ROW($BW21)&amp;":"&amp;XLOOKUP(EU$3,'TTM Dates'!$B:$B,'TTM Dates'!$C:$C)&amp;ROW($BW21))))</f>
        <v>950821</v>
      </c>
      <c r="EV21" s="136">
        <f t="array" ref="EV21">IF(EV$3&gt;'GAAP Summary'!$B$2,0,SUM(INDIRECT(XLOOKUP(EV$3,'TTM Dates'!$B:$B,'TTM Dates'!$E:$E)&amp;ROW($BW21)&amp;":"&amp;XLOOKUP(EV$3,'TTM Dates'!$B:$B,'TTM Dates'!$C:$C)&amp;ROW($BW21))))</f>
        <v>997887</v>
      </c>
      <c r="EW21" s="136">
        <f t="array" ref="EW21">IF(EW$3&gt;'GAAP Summary'!$B$2,0,SUM(INDIRECT(XLOOKUP(EW$3,'TTM Dates'!$B:$B,'TTM Dates'!$E:$E)&amp;ROW($BW21)&amp;":"&amp;XLOOKUP(EW$3,'TTM Dates'!$B:$B,'TTM Dates'!$C:$C)&amp;ROW($BW21))))</f>
        <v>1002328</v>
      </c>
      <c r="EX21" s="136">
        <f t="array" ref="EX21">IF(EX$3&gt;'GAAP Summary'!$B$2,0,SUM(INDIRECT(XLOOKUP(EX$3,'TTM Dates'!$B:$B,'TTM Dates'!$E:$E)&amp;ROW($BW21)&amp;":"&amp;XLOOKUP(EX$3,'TTM Dates'!$B:$B,'TTM Dates'!$C:$C)&amp;ROW($BW21))))</f>
        <v>1014742</v>
      </c>
      <c r="EY21" s="136">
        <f t="array" ref="EY21">IF(EY$3&gt;'GAAP Summary'!$B$2,0,SUM(INDIRECT(XLOOKUP(EY$3,'TTM Dates'!$B:$B,'TTM Dates'!$E:$E)&amp;ROW($BW21)&amp;":"&amp;XLOOKUP(EY$3,'TTM Dates'!$B:$B,'TTM Dates'!$C:$C)&amp;ROW($BW21))))</f>
        <v>1019743</v>
      </c>
      <c r="EZ21" s="136">
        <f t="array" ref="EZ21">IF(EZ$3&gt;'GAAP Summary'!$B$2,0,SUM(INDIRECT(XLOOKUP(EZ$3,'TTM Dates'!$B:$B,'TTM Dates'!$E:$E)&amp;ROW($BW21)&amp;":"&amp;XLOOKUP(EZ$3,'TTM Dates'!$B:$B,'TTM Dates'!$C:$C)&amp;ROW($BW21))))</f>
        <v>988749</v>
      </c>
      <c r="FA21" s="136">
        <f t="array" ref="FA21">IF(FA$3&gt;'GAAP Summary'!$B$2,0,SUM(INDIRECT(XLOOKUP(FA$3,'TTM Dates'!$B:$B,'TTM Dates'!$E:$E)&amp;ROW($BW21)&amp;":"&amp;XLOOKUP(FA$3,'TTM Dates'!$B:$B,'TTM Dates'!$C:$C)&amp;ROW($BW21))))</f>
        <v>961639</v>
      </c>
      <c r="FB21" s="136">
        <f t="array" ref="FB21">IF(FB$3&gt;'GAAP Summary'!$B$2,0,SUM(INDIRECT(XLOOKUP(FB$3,'TTM Dates'!$B:$B,'TTM Dates'!$E:$E)&amp;ROW($BW21)&amp;":"&amp;XLOOKUP(FB$3,'TTM Dates'!$B:$B,'TTM Dates'!$C:$C)&amp;ROW($BW21))))</f>
        <v>938202.93</v>
      </c>
      <c r="FC21" s="136">
        <f t="array" ref="FC21">IF(FC$3&gt;'GAAP Summary'!$B$2,0,SUM(INDIRECT(XLOOKUP(FC$3,'TTM Dates'!$B:$B,'TTM Dates'!$E:$E)&amp;ROW($BW21)&amp;":"&amp;XLOOKUP(FC$3,'TTM Dates'!$B:$B,'TTM Dates'!$C:$C)&amp;ROW($BW21))))</f>
        <v>930166.62</v>
      </c>
      <c r="FD21" s="136">
        <f t="array" ref="FD21">IF(FD$3&gt;'GAAP Summary'!$B$2,0,SUM(INDIRECT(XLOOKUP(FD$3,'TTM Dates'!$B:$B,'TTM Dates'!$E:$E)&amp;ROW($BW21)&amp;":"&amp;XLOOKUP(FD$3,'TTM Dates'!$B:$B,'TTM Dates'!$C:$C)&amp;ROW($BW21))))</f>
        <v>854955.62</v>
      </c>
      <c r="FE21" s="136">
        <f t="array" ref="FE21">IF(FE$3&gt;'GAAP Summary'!$B$2,0,SUM(INDIRECT(XLOOKUP(FE$3,'TTM Dates'!$B:$B,'TTM Dates'!$E:$E)&amp;ROW($BW21)&amp;":"&amp;XLOOKUP(FE$3,'TTM Dates'!$B:$B,'TTM Dates'!$C:$C)&amp;ROW($BW21))))</f>
        <v>767822.62</v>
      </c>
      <c r="FF21" s="136">
        <f t="array" ref="FF21">IF(FF$3&gt;'GAAP Summary'!$B$2,0,SUM(INDIRECT(XLOOKUP(FF$3,'TTM Dates'!$B:$B,'TTM Dates'!$E:$E)&amp;ROW($BW21)&amp;":"&amp;XLOOKUP(FF$3,'TTM Dates'!$B:$B,'TTM Dates'!$C:$C)&amp;ROW($BW21))))</f>
        <v>681139.62</v>
      </c>
      <c r="FG21" s="136">
        <f t="array" ref="FG21">IF(FG$3&gt;'GAAP Summary'!$B$2,0,SUM(INDIRECT(XLOOKUP(FG$3,'TTM Dates'!$B:$B,'TTM Dates'!$E:$E)&amp;ROW($BW21)&amp;":"&amp;XLOOKUP(FG$3,'TTM Dates'!$B:$B,'TTM Dates'!$C:$C)&amp;ROW($BW21))))</f>
        <v>594342.62</v>
      </c>
      <c r="FH21" s="136"/>
    </row>
    <row r="22" outlineLevel="1">
      <c r="A22" s="310" t="s">
        <v>466</v>
      </c>
      <c r="B22" s="311" t="s">
        <v>467</v>
      </c>
      <c r="C22" s="281"/>
      <c r="D22" s="281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  <c r="AC22" s="281"/>
      <c r="AD22" s="281"/>
      <c r="AE22" s="281"/>
      <c r="AF22" s="281"/>
      <c r="AG22" s="281"/>
      <c r="AH22" s="281"/>
      <c r="AI22" s="281"/>
      <c r="AJ22" s="281"/>
      <c r="AK22" s="281"/>
      <c r="AL22" s="281"/>
      <c r="AM22" s="281"/>
      <c r="AN22" s="281"/>
      <c r="AO22" s="281"/>
      <c r="AP22" s="281"/>
      <c r="AQ22" s="281"/>
      <c r="AR22" s="281"/>
      <c r="AS22" s="281"/>
      <c r="AT22" s="281"/>
      <c r="AU22" s="281"/>
      <c r="AV22" s="281"/>
      <c r="AW22" s="281"/>
      <c r="AX22" s="281"/>
      <c r="AY22" s="281">
        <v>0.0</v>
      </c>
      <c r="AZ22" s="281">
        <v>0.0</v>
      </c>
      <c r="BA22" s="281">
        <v>0.0</v>
      </c>
      <c r="BB22" s="281">
        <v>0.0</v>
      </c>
      <c r="BC22" s="281">
        <v>6667.0</v>
      </c>
      <c r="BD22" s="281">
        <v>6667.0</v>
      </c>
      <c r="BE22" s="281">
        <v>6667.0</v>
      </c>
      <c r="BF22" s="281">
        <v>0.0</v>
      </c>
      <c r="BG22" s="281">
        <v>5385.0</v>
      </c>
      <c r="BH22" s="281">
        <v>88580.0</v>
      </c>
      <c r="BI22" s="281">
        <v>88580.0</v>
      </c>
      <c r="BJ22" s="281">
        <v>93724.0</v>
      </c>
      <c r="BK22" s="312">
        <v>35588.0</v>
      </c>
      <c r="BL22" s="281">
        <v>33290.0</v>
      </c>
      <c r="BM22" s="281">
        <v>33290.0</v>
      </c>
      <c r="BN22" s="281">
        <v>33290.15</v>
      </c>
      <c r="BO22" s="281">
        <v>48290.15</v>
      </c>
      <c r="BP22" s="281">
        <v>48290.15</v>
      </c>
      <c r="BQ22" s="312">
        <v>48290.15</v>
      </c>
      <c r="BR22" s="312">
        <v>48290.15</v>
      </c>
      <c r="BS22" s="281"/>
      <c r="BT22" s="281"/>
      <c r="BU22" s="281"/>
      <c r="BV22" s="281"/>
      <c r="BW22" s="313"/>
      <c r="BX22" s="314" t="str">
        <f t="array" ref="BX22">SUM(INDIRECT(XLOOKUP('GAAP Summary'!$B$2,'TTM Dates'!$B:$B,'TTM Dates'!$E:$E)&amp;ROW($BW22)&amp;":"&amp;XLOOKUP('GAAP Summary'!$B$2,'TTM Dates'!$B:$B,'TTM Dates'!$C:$C)&amp;ROW($BW22)))</f>
        <v>#REF!</v>
      </c>
      <c r="BY22" s="315"/>
      <c r="BZ22" s="281">
        <f t="shared" si="33"/>
        <v>102168</v>
      </c>
      <c r="CA22" s="281">
        <f t="shared" si="34"/>
        <v>129870.45</v>
      </c>
      <c r="CB22" s="281">
        <f t="shared" si="35"/>
        <v>96580.3</v>
      </c>
      <c r="CC22" s="281">
        <f t="shared" si="36"/>
        <v>0</v>
      </c>
      <c r="CD22" s="316">
        <f t="shared" si="37"/>
        <v>328618.75</v>
      </c>
      <c r="CE22" s="315"/>
      <c r="CF22" s="281">
        <f t="shared" si="38"/>
        <v>0</v>
      </c>
      <c r="CG22" s="281">
        <f t="shared" si="39"/>
        <v>13334</v>
      </c>
      <c r="CH22" s="281">
        <f t="shared" si="40"/>
        <v>12052</v>
      </c>
      <c r="CI22" s="281">
        <f t="shared" si="41"/>
        <v>270884</v>
      </c>
      <c r="CJ22" s="316">
        <f t="shared" si="42"/>
        <v>296270</v>
      </c>
      <c r="CK22" s="315"/>
      <c r="CL22" s="315">
        <f t="shared" si="43"/>
        <v>0</v>
      </c>
      <c r="CM22" s="315">
        <f t="shared" si="44"/>
        <v>0</v>
      </c>
      <c r="CN22" s="315">
        <f t="shared" si="45"/>
        <v>0</v>
      </c>
      <c r="CO22" s="315">
        <f t="shared" si="46"/>
        <v>0</v>
      </c>
      <c r="CP22" s="314">
        <f t="shared" si="47"/>
        <v>0</v>
      </c>
      <c r="CQ22" s="317"/>
      <c r="CR22" s="281">
        <f t="shared" si="48"/>
        <v>0</v>
      </c>
      <c r="CS22" s="281">
        <f t="shared" si="49"/>
        <v>0</v>
      </c>
      <c r="CT22" s="281">
        <f t="shared" si="50"/>
        <v>0</v>
      </c>
      <c r="CU22" s="281">
        <f t="shared" si="51"/>
        <v>0</v>
      </c>
      <c r="CV22" s="316">
        <f t="shared" si="52"/>
        <v>0</v>
      </c>
      <c r="CW22" s="317"/>
      <c r="CX22" s="314"/>
      <c r="CY22" s="317"/>
      <c r="CZ22" s="315">
        <f t="array" ref="CZ22">IF(CZ$3&gt;'GAAP Summary'!$B$2,0,SUM(INDIRECT(XLOOKUP(CZ$3,'TTM Dates'!$B:$B,'TTM Dates'!$E:$E)&amp;ROW($BW22)&amp;":"&amp;XLOOKUP(CZ$3,'TTM Dates'!$B:$B,'TTM Dates'!$C:$C)&amp;ROW($BW22))))</f>
        <v>0</v>
      </c>
      <c r="DA22" s="315">
        <f t="array" ref="DA22">IF(DA$3&gt;'GAAP Summary'!$B$2,0,SUM(INDIRECT(XLOOKUP(DA$3,'TTM Dates'!$B:$B,'TTM Dates'!$E:$E)&amp;ROW($BW22)&amp;":"&amp;XLOOKUP(DA$3,'TTM Dates'!$B:$B,'TTM Dates'!$C:$C)&amp;ROW($BW22))))</f>
        <v>0</v>
      </c>
      <c r="DB22" s="315">
        <f t="array" ref="DB22">IF(DB$3&gt;'GAAP Summary'!$B$2,0,SUM(INDIRECT(XLOOKUP(DB$3,'TTM Dates'!$B:$B,'TTM Dates'!$E:$E)&amp;ROW($BW22)&amp;":"&amp;XLOOKUP(DB$3,'TTM Dates'!$B:$B,'TTM Dates'!$C:$C)&amp;ROW($BW22))))</f>
        <v>0</v>
      </c>
      <c r="DC22" s="315">
        <f t="array" ref="DC22">IF(DC$3&gt;'GAAP Summary'!$B$2,0,SUM(INDIRECT(XLOOKUP(DC$3,'TTM Dates'!$B:$B,'TTM Dates'!$E:$E)&amp;ROW($BW22)&amp;":"&amp;XLOOKUP(DC$3,'TTM Dates'!$B:$B,'TTM Dates'!$C:$C)&amp;ROW($BW22))))</f>
        <v>0</v>
      </c>
      <c r="DD22" s="315">
        <f t="array" ref="DD22">IF(DD$3&gt;'GAAP Summary'!$B$2,0,SUM(INDIRECT(XLOOKUP(DD$3,'TTM Dates'!$B:$B,'TTM Dates'!$E:$E)&amp;ROW($BW22)&amp;":"&amp;XLOOKUP(DD$3,'TTM Dates'!$B:$B,'TTM Dates'!$C:$C)&amp;ROW($BW22))))</f>
        <v>0</v>
      </c>
      <c r="DE22" s="315">
        <f t="array" ref="DE22">IF(DE$3&gt;'GAAP Summary'!$B$2,0,SUM(INDIRECT(XLOOKUP(DE$3,'TTM Dates'!$B:$B,'TTM Dates'!$E:$E)&amp;ROW($BW22)&amp;":"&amp;XLOOKUP(DE$3,'TTM Dates'!$B:$B,'TTM Dates'!$C:$C)&amp;ROW($BW22))))</f>
        <v>0</v>
      </c>
      <c r="DF22" s="315">
        <f t="array" ref="DF22">IF(DF$3&gt;'GAAP Summary'!$B$2,0,SUM(INDIRECT(XLOOKUP(DF$3,'TTM Dates'!$B:$B,'TTM Dates'!$E:$E)&amp;ROW($BW22)&amp;":"&amp;XLOOKUP(DF$3,'TTM Dates'!$B:$B,'TTM Dates'!$C:$C)&amp;ROW($BW22))))</f>
        <v>0</v>
      </c>
      <c r="DG22" s="315">
        <f t="array" ref="DG22">IF(DG$3&gt;'GAAP Summary'!$B$2,0,SUM(INDIRECT(XLOOKUP(DG$3,'TTM Dates'!$B:$B,'TTM Dates'!$E:$E)&amp;ROW($BW22)&amp;":"&amp;XLOOKUP(DG$3,'TTM Dates'!$B:$B,'TTM Dates'!$C:$C)&amp;ROW($BW22))))</f>
        <v>0</v>
      </c>
      <c r="DH22" s="315">
        <f t="array" ref="DH22">IF(DH$3&gt;'GAAP Summary'!$B$2,0,SUM(INDIRECT(XLOOKUP(DH$3,'TTM Dates'!$B:$B,'TTM Dates'!$E:$E)&amp;ROW($BW22)&amp;":"&amp;XLOOKUP(DH$3,'TTM Dates'!$B:$B,'TTM Dates'!$C:$C)&amp;ROW($BW22))))</f>
        <v>0</v>
      </c>
      <c r="DI22" s="315">
        <f t="array" ref="DI22">IF(DI$3&gt;'GAAP Summary'!$B$2,0,SUM(INDIRECT(XLOOKUP(DI$3,'TTM Dates'!$B:$B,'TTM Dates'!$E:$E)&amp;ROW($BW22)&amp;":"&amp;XLOOKUP(DI$3,'TTM Dates'!$B:$B,'TTM Dates'!$C:$C)&amp;ROW($BW22))))</f>
        <v>0</v>
      </c>
      <c r="DJ22" s="315">
        <f t="array" ref="DJ22">IF(DJ$3&gt;'GAAP Summary'!$B$2,0,SUM(INDIRECT(XLOOKUP(DJ$3,'TTM Dates'!$B:$B,'TTM Dates'!$E:$E)&amp;ROW($BW22)&amp;":"&amp;XLOOKUP(DJ$3,'TTM Dates'!$B:$B,'TTM Dates'!$C:$C)&amp;ROW($BW22))))</f>
        <v>0</v>
      </c>
      <c r="DK22" s="315">
        <f t="array" ref="DK22">IF(DK$3&gt;'GAAP Summary'!$B$2,0,SUM(INDIRECT(XLOOKUP(DK$3,'TTM Dates'!$B:$B,'TTM Dates'!$E:$E)&amp;ROW($BW22)&amp;":"&amp;XLOOKUP(DK$3,'TTM Dates'!$B:$B,'TTM Dates'!$C:$C)&amp;ROW($BW22))))</f>
        <v>0</v>
      </c>
      <c r="DL22" s="315">
        <f t="array" ref="DL22">IF(DL$3&gt;'GAAP Summary'!$B$2,0,SUM(INDIRECT(XLOOKUP(DL$3,'TTM Dates'!$B:$B,'TTM Dates'!$E:$E)&amp;ROW($BW22)&amp;":"&amp;XLOOKUP(DL$3,'TTM Dates'!$B:$B,'TTM Dates'!$C:$C)&amp;ROW($BW22))))</f>
        <v>0</v>
      </c>
      <c r="DM22" s="315">
        <f t="array" ref="DM22">IF(DM$3&gt;'GAAP Summary'!$B$2,0,SUM(INDIRECT(XLOOKUP(DM$3,'TTM Dates'!$B:$B,'TTM Dates'!$E:$E)&amp;ROW($BW22)&amp;":"&amp;XLOOKUP(DM$3,'TTM Dates'!$B:$B,'TTM Dates'!$C:$C)&amp;ROW($BW22))))</f>
        <v>0</v>
      </c>
      <c r="DN22" s="315">
        <f t="array" ref="DN22">IF(DN$3&gt;'GAAP Summary'!$B$2,0,SUM(INDIRECT(XLOOKUP(DN$3,'TTM Dates'!$B:$B,'TTM Dates'!$E:$E)&amp;ROW($BW22)&amp;":"&amp;XLOOKUP(DN$3,'TTM Dates'!$B:$B,'TTM Dates'!$C:$C)&amp;ROW($BW22))))</f>
        <v>0</v>
      </c>
      <c r="DO22" s="315">
        <f t="array" ref="DO22">IF(DO$3&gt;'GAAP Summary'!$B$2,0,SUM(INDIRECT(XLOOKUP(DO$3,'TTM Dates'!$B:$B,'TTM Dates'!$E:$E)&amp;ROW($BW22)&amp;":"&amp;XLOOKUP(DO$3,'TTM Dates'!$B:$B,'TTM Dates'!$C:$C)&amp;ROW($BW22))))</f>
        <v>0</v>
      </c>
      <c r="DP22" s="315">
        <f t="array" ref="DP22">IF(DP$3&gt;'GAAP Summary'!$B$2,0,SUM(INDIRECT(XLOOKUP(DP$3,'TTM Dates'!$B:$B,'TTM Dates'!$E:$E)&amp;ROW($BW22)&amp;":"&amp;XLOOKUP(DP$3,'TTM Dates'!$B:$B,'TTM Dates'!$C:$C)&amp;ROW($BW22))))</f>
        <v>0</v>
      </c>
      <c r="DQ22" s="315">
        <f t="array" ref="DQ22">IF(DQ$3&gt;'GAAP Summary'!$B$2,0,SUM(INDIRECT(XLOOKUP(DQ$3,'TTM Dates'!$B:$B,'TTM Dates'!$E:$E)&amp;ROW($BW22)&amp;":"&amp;XLOOKUP(DQ$3,'TTM Dates'!$B:$B,'TTM Dates'!$C:$C)&amp;ROW($BW22))))</f>
        <v>0</v>
      </c>
      <c r="DR22" s="315">
        <f t="array" ref="DR22">IF(DR$3&gt;'GAAP Summary'!$B$2,0,SUM(INDIRECT(XLOOKUP(DR$3,'TTM Dates'!$B:$B,'TTM Dates'!$E:$E)&amp;ROW($BW22)&amp;":"&amp;XLOOKUP(DR$3,'TTM Dates'!$B:$B,'TTM Dates'!$C:$C)&amp;ROW($BW22))))</f>
        <v>0</v>
      </c>
      <c r="DS22" s="315">
        <f t="array" ref="DS22">IF(DS$3&gt;'GAAP Summary'!$B$2,0,SUM(INDIRECT(XLOOKUP(DS$3,'TTM Dates'!$B:$B,'TTM Dates'!$E:$E)&amp;ROW($BW22)&amp;":"&amp;XLOOKUP(DS$3,'TTM Dates'!$B:$B,'TTM Dates'!$C:$C)&amp;ROW($BW22))))</f>
        <v>0</v>
      </c>
      <c r="DT22" s="315">
        <f t="array" ref="DT22">IF(DT$3&gt;'GAAP Summary'!$B$2,0,SUM(INDIRECT(XLOOKUP(DT$3,'TTM Dates'!$B:$B,'TTM Dates'!$E:$E)&amp;ROW($BW22)&amp;":"&amp;XLOOKUP(DT$3,'TTM Dates'!$B:$B,'TTM Dates'!$C:$C)&amp;ROW($BW22))))</f>
        <v>0</v>
      </c>
      <c r="DU22" s="315">
        <f t="array" ref="DU22">IF(DU$3&gt;'GAAP Summary'!$B$2,0,SUM(INDIRECT(XLOOKUP(DU$3,'TTM Dates'!$B:$B,'TTM Dates'!$E:$E)&amp;ROW($BW22)&amp;":"&amp;XLOOKUP(DU$3,'TTM Dates'!$B:$B,'TTM Dates'!$C:$C)&amp;ROW($BW22))))</f>
        <v>0</v>
      </c>
      <c r="DV22" s="315">
        <f t="array" ref="DV22">IF(DV$3&gt;'GAAP Summary'!$B$2,0,SUM(INDIRECT(XLOOKUP(DV$3,'TTM Dates'!$B:$B,'TTM Dates'!$E:$E)&amp;ROW($BW22)&amp;":"&amp;XLOOKUP(DV$3,'TTM Dates'!$B:$B,'TTM Dates'!$C:$C)&amp;ROW($BW22))))</f>
        <v>0</v>
      </c>
      <c r="DW22" s="315">
        <f t="array" ref="DW22">IF(DW$3&gt;'GAAP Summary'!$B$2,0,SUM(INDIRECT(XLOOKUP(DW$3,'TTM Dates'!$B:$B,'TTM Dates'!$E:$E)&amp;ROW($BW22)&amp;":"&amp;XLOOKUP(DW$3,'TTM Dates'!$B:$B,'TTM Dates'!$C:$C)&amp;ROW($BW22))))</f>
        <v>0</v>
      </c>
      <c r="DX22" s="315">
        <f t="array" ref="DX22">IF(DX$3&gt;'GAAP Summary'!$B$2,0,SUM(INDIRECT(XLOOKUP(DX$3,'TTM Dates'!$B:$B,'TTM Dates'!$E:$E)&amp;ROW($BW22)&amp;":"&amp;XLOOKUP(DX$3,'TTM Dates'!$B:$B,'TTM Dates'!$C:$C)&amp;ROW($BW22))))</f>
        <v>0</v>
      </c>
      <c r="DY22" s="315">
        <f t="array" ref="DY22">IF(DY$3&gt;'GAAP Summary'!$B$2,0,SUM(INDIRECT(XLOOKUP(DY$3,'TTM Dates'!$B:$B,'TTM Dates'!$E:$E)&amp;ROW($BW22)&amp;":"&amp;XLOOKUP(DY$3,'TTM Dates'!$B:$B,'TTM Dates'!$C:$C)&amp;ROW($BW22))))</f>
        <v>0</v>
      </c>
      <c r="DZ22" s="315">
        <f t="array" ref="DZ22">IF(DZ$3&gt;'GAAP Summary'!$B$2,0,SUM(INDIRECT(XLOOKUP(DZ$3,'TTM Dates'!$B:$B,'TTM Dates'!$E:$E)&amp;ROW($BW22)&amp;":"&amp;XLOOKUP(DZ$3,'TTM Dates'!$B:$B,'TTM Dates'!$C:$C)&amp;ROW($BW22))))</f>
        <v>0</v>
      </c>
      <c r="EA22" s="315">
        <f t="array" ref="EA22">IF(EA$3&gt;'GAAP Summary'!$B$2,0,SUM(INDIRECT(XLOOKUP(EA$3,'TTM Dates'!$B:$B,'TTM Dates'!$E:$E)&amp;ROW($BW22)&amp;":"&amp;XLOOKUP(EA$3,'TTM Dates'!$B:$B,'TTM Dates'!$C:$C)&amp;ROW($BW22))))</f>
        <v>0</v>
      </c>
      <c r="EB22" s="315">
        <f t="array" ref="EB22">IF(EB$3&gt;'GAAP Summary'!$B$2,0,SUM(INDIRECT(XLOOKUP(EB$3,'TTM Dates'!$B:$B,'TTM Dates'!$E:$E)&amp;ROW($BW22)&amp;":"&amp;XLOOKUP(EB$3,'TTM Dates'!$B:$B,'TTM Dates'!$C:$C)&amp;ROW($BW22))))</f>
        <v>0</v>
      </c>
      <c r="EC22" s="315">
        <f t="array" ref="EC22">IF(EC$3&gt;'GAAP Summary'!$B$2,0,SUM(INDIRECT(XLOOKUP(EC$3,'TTM Dates'!$B:$B,'TTM Dates'!$E:$E)&amp;ROW($BW22)&amp;":"&amp;XLOOKUP(EC$3,'TTM Dates'!$B:$B,'TTM Dates'!$C:$C)&amp;ROW($BW22))))</f>
        <v>0</v>
      </c>
      <c r="ED22" s="315">
        <f t="array" ref="ED22">IF(ED$3&gt;'GAAP Summary'!$B$2,0,SUM(INDIRECT(XLOOKUP(ED$3,'TTM Dates'!$B:$B,'TTM Dates'!$E:$E)&amp;ROW($BW22)&amp;":"&amp;XLOOKUP(ED$3,'TTM Dates'!$B:$B,'TTM Dates'!$C:$C)&amp;ROW($BW22))))</f>
        <v>0</v>
      </c>
      <c r="EE22" s="315">
        <f t="array" ref="EE22">IF(EE$3&gt;'GAAP Summary'!$B$2,0,SUM(INDIRECT(XLOOKUP(EE$3,'TTM Dates'!$B:$B,'TTM Dates'!$E:$E)&amp;ROW($BW22)&amp;":"&amp;XLOOKUP(EE$3,'TTM Dates'!$B:$B,'TTM Dates'!$C:$C)&amp;ROW($BW22))))</f>
        <v>0</v>
      </c>
      <c r="EF22" s="315">
        <f t="array" ref="EF22">IF(EF$3&gt;'GAAP Summary'!$B$2,0,SUM(INDIRECT(XLOOKUP(EF$3,'TTM Dates'!$B:$B,'TTM Dates'!$E:$E)&amp;ROW($BW22)&amp;":"&amp;XLOOKUP(EF$3,'TTM Dates'!$B:$B,'TTM Dates'!$C:$C)&amp;ROW($BW22))))</f>
        <v>0</v>
      </c>
      <c r="EG22" s="315">
        <f t="array" ref="EG22">IF(EG$3&gt;'GAAP Summary'!$B$2,0,SUM(INDIRECT(XLOOKUP(EG$3,'TTM Dates'!$B:$B,'TTM Dates'!$E:$E)&amp;ROW($BW22)&amp;":"&amp;XLOOKUP(EG$3,'TTM Dates'!$B:$B,'TTM Dates'!$C:$C)&amp;ROW($BW22))))</f>
        <v>0</v>
      </c>
      <c r="EH22" s="315">
        <f t="array" ref="EH22">IF(EH$3&gt;'GAAP Summary'!$B$2,0,SUM(INDIRECT(XLOOKUP(EH$3,'TTM Dates'!$B:$B,'TTM Dates'!$E:$E)&amp;ROW($BW22)&amp;":"&amp;XLOOKUP(EH$3,'TTM Dates'!$B:$B,'TTM Dates'!$C:$C)&amp;ROW($BW22))))</f>
        <v>0</v>
      </c>
      <c r="EI22" s="315">
        <f t="array" ref="EI22">IF(EI$3&gt;'GAAP Summary'!$B$2,0,SUM(INDIRECT(XLOOKUP(EI$3,'TTM Dates'!$B:$B,'TTM Dates'!$E:$E)&amp;ROW($BW22)&amp;":"&amp;XLOOKUP(EI$3,'TTM Dates'!$B:$B,'TTM Dates'!$C:$C)&amp;ROW($BW22))))</f>
        <v>0</v>
      </c>
      <c r="EJ22" s="315">
        <f t="array" ref="EJ22">IF(EJ$3&gt;'GAAP Summary'!$B$2,0,SUM(INDIRECT(XLOOKUP(EJ$3,'TTM Dates'!$B:$B,'TTM Dates'!$E:$E)&amp;ROW($BW22)&amp;":"&amp;XLOOKUP(EJ$3,'TTM Dates'!$B:$B,'TTM Dates'!$C:$C)&amp;ROW($BW22))))</f>
        <v>0</v>
      </c>
      <c r="EK22" s="315">
        <f t="array" ref="EK22">IF(EK$3&gt;'GAAP Summary'!$B$2,0,SUM(INDIRECT(XLOOKUP(EK$3,'TTM Dates'!$B:$B,'TTM Dates'!$E:$E)&amp;ROW($BW22)&amp;":"&amp;XLOOKUP(EK$3,'TTM Dates'!$B:$B,'TTM Dates'!$C:$C)&amp;ROW($BW22))))</f>
        <v>0</v>
      </c>
      <c r="EL22" s="315">
        <f t="array" ref="EL22">IF(EL$3&gt;'GAAP Summary'!$B$2,0,SUM(INDIRECT(XLOOKUP(EL$3,'TTM Dates'!$B:$B,'TTM Dates'!$E:$E)&amp;ROW($BW22)&amp;":"&amp;XLOOKUP(EL$3,'TTM Dates'!$B:$B,'TTM Dates'!$C:$C)&amp;ROW($BW22))))</f>
        <v>0</v>
      </c>
      <c r="EM22" s="315">
        <f t="array" ref="EM22">IF(EM$3&gt;'GAAP Summary'!$B$2,0,SUM(INDIRECT(XLOOKUP(EM$3,'TTM Dates'!$B:$B,'TTM Dates'!$E:$E)&amp;ROW($BW22)&amp;":"&amp;XLOOKUP(EM$3,'TTM Dates'!$B:$B,'TTM Dates'!$C:$C)&amp;ROW($BW22))))</f>
        <v>0</v>
      </c>
      <c r="EN22" s="315">
        <f t="array" ref="EN22">IF(EN$3&gt;'GAAP Summary'!$B$2,0,SUM(INDIRECT(XLOOKUP(EN$3,'TTM Dates'!$B:$B,'TTM Dates'!$E:$E)&amp;ROW($BW22)&amp;":"&amp;XLOOKUP(EN$3,'TTM Dates'!$B:$B,'TTM Dates'!$C:$C)&amp;ROW($BW22))))</f>
        <v>6667</v>
      </c>
      <c r="EO22" s="315">
        <f t="array" ref="EO22">IF(EO$3&gt;'GAAP Summary'!$B$2,0,SUM(INDIRECT(XLOOKUP(EO$3,'TTM Dates'!$B:$B,'TTM Dates'!$E:$E)&amp;ROW($BW22)&amp;":"&amp;XLOOKUP(EO$3,'TTM Dates'!$B:$B,'TTM Dates'!$C:$C)&amp;ROW($BW22))))</f>
        <v>13334</v>
      </c>
      <c r="EP22" s="315">
        <f t="array" ref="EP22">IF(EP$3&gt;'GAAP Summary'!$B$2,0,SUM(INDIRECT(XLOOKUP(EP$3,'TTM Dates'!$B:$B,'TTM Dates'!$E:$E)&amp;ROW($BW22)&amp;":"&amp;XLOOKUP(EP$3,'TTM Dates'!$B:$B,'TTM Dates'!$C:$C)&amp;ROW($BW22))))</f>
        <v>20001</v>
      </c>
      <c r="EQ22" s="315">
        <f t="array" ref="EQ22">IF(EQ$3&gt;'GAAP Summary'!$B$2,0,SUM(INDIRECT(XLOOKUP(EQ$3,'TTM Dates'!$B:$B,'TTM Dates'!$E:$E)&amp;ROW($BW22)&amp;":"&amp;XLOOKUP(EQ$3,'TTM Dates'!$B:$B,'TTM Dates'!$C:$C)&amp;ROW($BW22))))</f>
        <v>20001</v>
      </c>
      <c r="ER22" s="315">
        <f t="array" ref="ER22">IF(ER$3&gt;'GAAP Summary'!$B$2,0,SUM(INDIRECT(XLOOKUP(ER$3,'TTM Dates'!$B:$B,'TTM Dates'!$E:$E)&amp;ROW($BW22)&amp;":"&amp;XLOOKUP(ER$3,'TTM Dates'!$B:$B,'TTM Dates'!$C:$C)&amp;ROW($BW22))))</f>
        <v>25386</v>
      </c>
      <c r="ES22" s="315">
        <f t="array" ref="ES22">IF(ES$3&gt;'GAAP Summary'!$B$2,0,SUM(INDIRECT(XLOOKUP(ES$3,'TTM Dates'!$B:$B,'TTM Dates'!$E:$E)&amp;ROW($BW22)&amp;":"&amp;XLOOKUP(ES$3,'TTM Dates'!$B:$B,'TTM Dates'!$C:$C)&amp;ROW($BW22))))</f>
        <v>113966</v>
      </c>
      <c r="ET22" s="315">
        <f t="array" ref="ET22">IF(ET$3&gt;'GAAP Summary'!$B$2,0,SUM(INDIRECT(XLOOKUP(ET$3,'TTM Dates'!$B:$B,'TTM Dates'!$E:$E)&amp;ROW($BW22)&amp;":"&amp;XLOOKUP(ET$3,'TTM Dates'!$B:$B,'TTM Dates'!$C:$C)&amp;ROW($BW22))))</f>
        <v>202546</v>
      </c>
      <c r="EU22" s="315">
        <f t="array" ref="EU22">IF(EU$3&gt;'GAAP Summary'!$B$2,0,SUM(INDIRECT(XLOOKUP(EU$3,'TTM Dates'!$B:$B,'TTM Dates'!$E:$E)&amp;ROW($BW22)&amp;":"&amp;XLOOKUP(EU$3,'TTM Dates'!$B:$B,'TTM Dates'!$C:$C)&amp;ROW($BW22))))</f>
        <v>296270</v>
      </c>
      <c r="EV22" s="315">
        <f t="array" ref="EV22">IF(EV$3&gt;'GAAP Summary'!$B$2,0,SUM(INDIRECT(XLOOKUP(EV$3,'TTM Dates'!$B:$B,'TTM Dates'!$E:$E)&amp;ROW($BW22)&amp;":"&amp;XLOOKUP(EV$3,'TTM Dates'!$B:$B,'TTM Dates'!$C:$C)&amp;ROW($BW22))))</f>
        <v>331858</v>
      </c>
      <c r="EW22" s="315">
        <f t="array" ref="EW22">IF(EW$3&gt;'GAAP Summary'!$B$2,0,SUM(INDIRECT(XLOOKUP(EW$3,'TTM Dates'!$B:$B,'TTM Dates'!$E:$E)&amp;ROW($BW22)&amp;":"&amp;XLOOKUP(EW$3,'TTM Dates'!$B:$B,'TTM Dates'!$C:$C)&amp;ROW($BW22))))</f>
        <v>365148</v>
      </c>
      <c r="EX22" s="315">
        <f t="array" ref="EX22">IF(EX$3&gt;'GAAP Summary'!$B$2,0,SUM(INDIRECT(XLOOKUP(EX$3,'TTM Dates'!$B:$B,'TTM Dates'!$E:$E)&amp;ROW($BW22)&amp;":"&amp;XLOOKUP(EX$3,'TTM Dates'!$B:$B,'TTM Dates'!$C:$C)&amp;ROW($BW22))))</f>
        <v>398438</v>
      </c>
      <c r="EY22" s="315">
        <f t="array" ref="EY22">IF(EY$3&gt;'GAAP Summary'!$B$2,0,SUM(INDIRECT(XLOOKUP(EY$3,'TTM Dates'!$B:$B,'TTM Dates'!$E:$E)&amp;ROW($BW22)&amp;":"&amp;XLOOKUP(EY$3,'TTM Dates'!$B:$B,'TTM Dates'!$C:$C)&amp;ROW($BW22))))</f>
        <v>431728.15</v>
      </c>
      <c r="EZ22" s="315">
        <f t="array" ref="EZ22">IF(EZ$3&gt;'GAAP Summary'!$B$2,0,SUM(INDIRECT(XLOOKUP(EZ$3,'TTM Dates'!$B:$B,'TTM Dates'!$E:$E)&amp;ROW($BW22)&amp;":"&amp;XLOOKUP(EZ$3,'TTM Dates'!$B:$B,'TTM Dates'!$C:$C)&amp;ROW($BW22))))</f>
        <v>473351.3</v>
      </c>
      <c r="FA22" s="315">
        <f t="array" ref="FA22">IF(FA$3&gt;'GAAP Summary'!$B$2,0,SUM(INDIRECT(XLOOKUP(FA$3,'TTM Dates'!$B:$B,'TTM Dates'!$E:$E)&amp;ROW($BW22)&amp;":"&amp;XLOOKUP(FA$3,'TTM Dates'!$B:$B,'TTM Dates'!$C:$C)&amp;ROW($BW22))))</f>
        <v>514974.45</v>
      </c>
      <c r="FB22" s="315">
        <f t="array" ref="FB22">IF(FB$3&gt;'GAAP Summary'!$B$2,0,SUM(INDIRECT(XLOOKUP(FB$3,'TTM Dates'!$B:$B,'TTM Dates'!$E:$E)&amp;ROW($BW22)&amp;":"&amp;XLOOKUP(FB$3,'TTM Dates'!$B:$B,'TTM Dates'!$C:$C)&amp;ROW($BW22))))</f>
        <v>556597.6</v>
      </c>
      <c r="FC22" s="315">
        <f t="array" ref="FC22">IF(FC$3&gt;'GAAP Summary'!$B$2,0,SUM(INDIRECT(XLOOKUP(FC$3,'TTM Dates'!$B:$B,'TTM Dates'!$E:$E)&amp;ROW($BW22)&amp;":"&amp;XLOOKUP(FC$3,'TTM Dates'!$B:$B,'TTM Dates'!$C:$C)&amp;ROW($BW22))))</f>
        <v>604887.75</v>
      </c>
      <c r="FD22" s="315">
        <f t="array" ref="FD22">IF(FD$3&gt;'GAAP Summary'!$B$2,0,SUM(INDIRECT(XLOOKUP(FD$3,'TTM Dates'!$B:$B,'TTM Dates'!$E:$E)&amp;ROW($BW22)&amp;":"&amp;XLOOKUP(FD$3,'TTM Dates'!$B:$B,'TTM Dates'!$C:$C)&amp;ROW($BW22))))</f>
        <v>599502.75</v>
      </c>
      <c r="FE22" s="315">
        <f t="array" ref="FE22">IF(FE$3&gt;'GAAP Summary'!$B$2,0,SUM(INDIRECT(XLOOKUP(FE$3,'TTM Dates'!$B:$B,'TTM Dates'!$E:$E)&amp;ROW($BW22)&amp;":"&amp;XLOOKUP(FE$3,'TTM Dates'!$B:$B,'TTM Dates'!$C:$C)&amp;ROW($BW22))))</f>
        <v>510922.75</v>
      </c>
      <c r="FF22" s="315">
        <f t="array" ref="FF22">IF(FF$3&gt;'GAAP Summary'!$B$2,0,SUM(INDIRECT(XLOOKUP(FF$3,'TTM Dates'!$B:$B,'TTM Dates'!$E:$E)&amp;ROW($BW22)&amp;":"&amp;XLOOKUP(FF$3,'TTM Dates'!$B:$B,'TTM Dates'!$C:$C)&amp;ROW($BW22))))</f>
        <v>422342.75</v>
      </c>
      <c r="FG22" s="315">
        <f t="array" ref="FG22">IF(FG$3&gt;'GAAP Summary'!$B$2,0,SUM(INDIRECT(XLOOKUP(FG$3,'TTM Dates'!$B:$B,'TTM Dates'!$E:$E)&amp;ROW($BW22)&amp;":"&amp;XLOOKUP(FG$3,'TTM Dates'!$B:$B,'TTM Dates'!$C:$C)&amp;ROW($BW22))))</f>
        <v>328618.75</v>
      </c>
      <c r="FH22" s="315"/>
    </row>
    <row r="23" outlineLevel="1">
      <c r="A23" s="310" t="s">
        <v>501</v>
      </c>
      <c r="B23" s="311"/>
      <c r="C23" s="281"/>
      <c r="D23" s="281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1"/>
      <c r="R23" s="281"/>
      <c r="S23" s="281"/>
      <c r="T23" s="281"/>
      <c r="U23" s="281"/>
      <c r="V23" s="281"/>
      <c r="W23" s="281"/>
      <c r="X23" s="281"/>
      <c r="Y23" s="281"/>
      <c r="Z23" s="281"/>
      <c r="AA23" s="281"/>
      <c r="AB23" s="281"/>
      <c r="AC23" s="281"/>
      <c r="AD23" s="281"/>
      <c r="AE23" s="281"/>
      <c r="AF23" s="281"/>
      <c r="AG23" s="281"/>
      <c r="AH23" s="281"/>
      <c r="AI23" s="281"/>
      <c r="AJ23" s="281"/>
      <c r="AK23" s="281"/>
      <c r="AL23" s="281"/>
      <c r="AM23" s="281"/>
      <c r="AN23" s="281"/>
      <c r="AO23" s="281"/>
      <c r="AP23" s="281"/>
      <c r="AQ23" s="281"/>
      <c r="AR23" s="281"/>
      <c r="AS23" s="281"/>
      <c r="AT23" s="281"/>
      <c r="AU23" s="281"/>
      <c r="AV23" s="281"/>
      <c r="AW23" s="281"/>
      <c r="AX23" s="281"/>
      <c r="AY23" s="281"/>
      <c r="AZ23" s="281"/>
      <c r="BA23" s="281"/>
      <c r="BB23" s="281"/>
      <c r="BC23" s="281"/>
      <c r="BD23" s="281"/>
      <c r="BE23" s="281"/>
      <c r="BF23" s="281"/>
      <c r="BG23" s="281"/>
      <c r="BH23" s="281"/>
      <c r="BI23" s="281"/>
      <c r="BJ23" s="281"/>
      <c r="BK23" s="312"/>
      <c r="BL23" s="281"/>
      <c r="BM23" s="281"/>
      <c r="BN23" s="281">
        <v>14801.17</v>
      </c>
      <c r="BO23" s="281">
        <v>40101.75</v>
      </c>
      <c r="BP23" s="281">
        <v>40101.75</v>
      </c>
      <c r="BQ23" s="312">
        <v>45601.75</v>
      </c>
      <c r="BR23" s="312">
        <v>45601.75</v>
      </c>
      <c r="BS23" s="281"/>
      <c r="BT23" s="281"/>
      <c r="BU23" s="281"/>
      <c r="BV23" s="281"/>
      <c r="BW23" s="313"/>
      <c r="BX23" s="314"/>
      <c r="BY23" s="315"/>
      <c r="BZ23" s="281"/>
      <c r="CA23" s="281"/>
      <c r="CB23" s="281"/>
      <c r="CC23" s="281"/>
      <c r="CD23" s="316"/>
      <c r="CE23" s="315"/>
      <c r="CF23" s="281"/>
      <c r="CG23" s="281"/>
      <c r="CH23" s="281"/>
      <c r="CI23" s="281"/>
      <c r="CJ23" s="316"/>
      <c r="CK23" s="315"/>
      <c r="CL23" s="315"/>
      <c r="CM23" s="315"/>
      <c r="CN23" s="315"/>
      <c r="CO23" s="315"/>
      <c r="CP23" s="314"/>
      <c r="CQ23" s="317"/>
      <c r="CR23" s="281"/>
      <c r="CS23" s="281"/>
      <c r="CT23" s="281"/>
      <c r="CU23" s="281"/>
      <c r="CV23" s="316"/>
      <c r="CW23" s="317"/>
      <c r="CX23" s="314"/>
      <c r="CY23" s="317"/>
      <c r="CZ23" s="315"/>
      <c r="DA23" s="315"/>
      <c r="DB23" s="315"/>
      <c r="DC23" s="315"/>
      <c r="DD23" s="315"/>
      <c r="DE23" s="315"/>
      <c r="DF23" s="315"/>
      <c r="DG23" s="315"/>
      <c r="DH23" s="315"/>
      <c r="DI23" s="315"/>
      <c r="DJ23" s="315"/>
      <c r="DK23" s="315"/>
      <c r="DL23" s="315"/>
      <c r="DM23" s="315"/>
      <c r="DN23" s="315"/>
      <c r="DO23" s="315"/>
      <c r="DP23" s="315"/>
      <c r="DQ23" s="315"/>
      <c r="DR23" s="315"/>
      <c r="DS23" s="315"/>
      <c r="DT23" s="315"/>
      <c r="DU23" s="315"/>
      <c r="DV23" s="315"/>
      <c r="DW23" s="315"/>
      <c r="DX23" s="315"/>
      <c r="DY23" s="315"/>
      <c r="DZ23" s="315"/>
      <c r="EA23" s="315"/>
      <c r="EB23" s="315"/>
      <c r="EC23" s="315"/>
      <c r="ED23" s="315"/>
      <c r="EE23" s="315"/>
      <c r="EF23" s="315"/>
      <c r="EG23" s="315"/>
      <c r="EH23" s="315"/>
      <c r="EI23" s="315"/>
      <c r="EJ23" s="315"/>
      <c r="EK23" s="315"/>
      <c r="EL23" s="315"/>
      <c r="EM23" s="315"/>
      <c r="EN23" s="315"/>
      <c r="EO23" s="315"/>
      <c r="EP23" s="315"/>
      <c r="EQ23" s="315"/>
      <c r="ER23" s="315"/>
      <c r="ES23" s="315"/>
      <c r="ET23" s="315"/>
      <c r="EU23" s="315"/>
      <c r="EV23" s="315"/>
      <c r="EW23" s="315"/>
      <c r="EX23" s="315"/>
      <c r="EY23" s="315"/>
      <c r="EZ23" s="315"/>
      <c r="FA23" s="315"/>
      <c r="FB23" s="315"/>
      <c r="FC23" s="315"/>
      <c r="FD23" s="315"/>
      <c r="FE23" s="315"/>
      <c r="FF23" s="315"/>
      <c r="FG23" s="315"/>
      <c r="FH23" s="315"/>
    </row>
    <row r="24">
      <c r="B24" s="280" t="s">
        <v>502</v>
      </c>
      <c r="C24" s="108">
        <f t="shared" ref="C24:BV24" si="53">SUM(C25:C27)</f>
        <v>0</v>
      </c>
      <c r="D24" s="108">
        <f t="shared" si="53"/>
        <v>0</v>
      </c>
      <c r="E24" s="108">
        <f t="shared" si="53"/>
        <v>0</v>
      </c>
      <c r="F24" s="108">
        <f t="shared" si="53"/>
        <v>0</v>
      </c>
      <c r="G24" s="108">
        <f t="shared" si="53"/>
        <v>0</v>
      </c>
      <c r="H24" s="108">
        <f t="shared" si="53"/>
        <v>0</v>
      </c>
      <c r="I24" s="108">
        <f t="shared" si="53"/>
        <v>0</v>
      </c>
      <c r="J24" s="108">
        <f t="shared" si="53"/>
        <v>0</v>
      </c>
      <c r="K24" s="108">
        <f t="shared" si="53"/>
        <v>0</v>
      </c>
      <c r="L24" s="108">
        <f t="shared" si="53"/>
        <v>0</v>
      </c>
      <c r="M24" s="108">
        <f t="shared" si="53"/>
        <v>0</v>
      </c>
      <c r="N24" s="108">
        <f t="shared" si="53"/>
        <v>0</v>
      </c>
      <c r="O24" s="108">
        <f t="shared" si="53"/>
        <v>0</v>
      </c>
      <c r="P24" s="108">
        <f t="shared" si="53"/>
        <v>0</v>
      </c>
      <c r="Q24" s="108">
        <f t="shared" si="53"/>
        <v>0</v>
      </c>
      <c r="R24" s="108">
        <f t="shared" si="53"/>
        <v>0</v>
      </c>
      <c r="S24" s="108">
        <f t="shared" si="53"/>
        <v>0</v>
      </c>
      <c r="T24" s="108">
        <f t="shared" si="53"/>
        <v>0</v>
      </c>
      <c r="U24" s="108">
        <f t="shared" si="53"/>
        <v>0</v>
      </c>
      <c r="V24" s="108">
        <f t="shared" si="53"/>
        <v>0</v>
      </c>
      <c r="W24" s="108">
        <f t="shared" si="53"/>
        <v>0</v>
      </c>
      <c r="X24" s="108">
        <f t="shared" si="53"/>
        <v>0</v>
      </c>
      <c r="Y24" s="108">
        <f t="shared" si="53"/>
        <v>0</v>
      </c>
      <c r="Z24" s="108">
        <f t="shared" si="53"/>
        <v>0</v>
      </c>
      <c r="AA24" s="108">
        <f t="shared" si="53"/>
        <v>0</v>
      </c>
      <c r="AB24" s="108">
        <f t="shared" si="53"/>
        <v>0</v>
      </c>
      <c r="AC24" s="108">
        <f t="shared" si="53"/>
        <v>0</v>
      </c>
      <c r="AD24" s="108">
        <f t="shared" si="53"/>
        <v>0</v>
      </c>
      <c r="AE24" s="108">
        <f t="shared" si="53"/>
        <v>0</v>
      </c>
      <c r="AF24" s="108">
        <f t="shared" si="53"/>
        <v>0</v>
      </c>
      <c r="AG24" s="108">
        <f t="shared" si="53"/>
        <v>0</v>
      </c>
      <c r="AH24" s="108">
        <f t="shared" si="53"/>
        <v>0</v>
      </c>
      <c r="AI24" s="108">
        <f t="shared" si="53"/>
        <v>0</v>
      </c>
      <c r="AJ24" s="108">
        <f t="shared" si="53"/>
        <v>0</v>
      </c>
      <c r="AK24" s="108">
        <f t="shared" si="53"/>
        <v>0</v>
      </c>
      <c r="AL24" s="108">
        <f t="shared" si="53"/>
        <v>0</v>
      </c>
      <c r="AM24" s="108">
        <f t="shared" si="53"/>
        <v>0</v>
      </c>
      <c r="AN24" s="108">
        <f t="shared" si="53"/>
        <v>0</v>
      </c>
      <c r="AO24" s="108">
        <f t="shared" si="53"/>
        <v>0</v>
      </c>
      <c r="AP24" s="108">
        <f t="shared" si="53"/>
        <v>0</v>
      </c>
      <c r="AQ24" s="108">
        <f t="shared" si="53"/>
        <v>0</v>
      </c>
      <c r="AR24" s="108">
        <f t="shared" si="53"/>
        <v>0</v>
      </c>
      <c r="AS24" s="108">
        <f t="shared" si="53"/>
        <v>0</v>
      </c>
      <c r="AT24" s="108">
        <f t="shared" si="53"/>
        <v>0</v>
      </c>
      <c r="AU24" s="108">
        <f t="shared" si="53"/>
        <v>0</v>
      </c>
      <c r="AV24" s="108">
        <f t="shared" si="53"/>
        <v>0</v>
      </c>
      <c r="AW24" s="108">
        <f t="shared" si="53"/>
        <v>0</v>
      </c>
      <c r="AX24" s="108">
        <f t="shared" si="53"/>
        <v>0</v>
      </c>
      <c r="AY24" s="108">
        <f t="shared" si="53"/>
        <v>771081.83</v>
      </c>
      <c r="AZ24" s="108">
        <f t="shared" si="53"/>
        <v>822543.59</v>
      </c>
      <c r="BA24" s="108">
        <f t="shared" si="53"/>
        <v>807165.84</v>
      </c>
      <c r="BB24" s="108">
        <f t="shared" si="53"/>
        <v>1051374.32</v>
      </c>
      <c r="BC24" s="108">
        <f t="shared" si="53"/>
        <v>1157715.36</v>
      </c>
      <c r="BD24" s="108">
        <f t="shared" si="53"/>
        <v>1129856.75</v>
      </c>
      <c r="BE24" s="108">
        <f t="shared" si="53"/>
        <v>1263367.63</v>
      </c>
      <c r="BF24" s="108">
        <f t="shared" si="53"/>
        <v>1361914.84</v>
      </c>
      <c r="BG24" s="108">
        <f t="shared" si="53"/>
        <v>1302266.12</v>
      </c>
      <c r="BH24" s="108">
        <f t="shared" si="53"/>
        <v>1621452.4</v>
      </c>
      <c r="BI24" s="108">
        <f t="shared" si="53"/>
        <v>1453956.59</v>
      </c>
      <c r="BJ24" s="108">
        <f t="shared" si="53"/>
        <v>1494770.07</v>
      </c>
      <c r="BK24" s="108">
        <f t="shared" si="53"/>
        <v>1539305</v>
      </c>
      <c r="BL24" s="108">
        <f t="shared" si="53"/>
        <v>1542784</v>
      </c>
      <c r="BM24" s="108">
        <f t="shared" si="53"/>
        <v>1687994</v>
      </c>
      <c r="BN24" s="108">
        <f t="shared" si="53"/>
        <v>1804828</v>
      </c>
      <c r="BO24" s="108">
        <f t="shared" si="53"/>
        <v>1787805</v>
      </c>
      <c r="BP24" s="108">
        <f t="shared" si="53"/>
        <v>1859782</v>
      </c>
      <c r="BQ24" s="108">
        <f t="shared" si="53"/>
        <v>2268372</v>
      </c>
      <c r="BR24" s="108">
        <f t="shared" si="53"/>
        <v>2040001</v>
      </c>
      <c r="BS24" s="108">
        <f t="shared" si="53"/>
        <v>0</v>
      </c>
      <c r="BT24" s="108">
        <f t="shared" si="53"/>
        <v>0</v>
      </c>
      <c r="BU24" s="108">
        <f t="shared" si="53"/>
        <v>0</v>
      </c>
      <c r="BV24" s="108">
        <f t="shared" si="53"/>
        <v>0</v>
      </c>
      <c r="BW24" s="33"/>
      <c r="BX24" s="282" t="str">
        <f t="array" ref="BX24">SUM(INDIRECT(XLOOKUP('GAAP Summary'!$B$2,'TTM Dates'!$B:$B,'TTM Dates'!$E:$E)&amp;ROW($BW24)&amp;":"&amp;XLOOKUP('GAAP Summary'!$B$2,'TTM Dates'!$B:$B,'TTM Dates'!$C:$C)&amp;ROW($BW24)))</f>
        <v>#REF!</v>
      </c>
      <c r="BY24" s="291"/>
      <c r="BZ24" s="108">
        <f t="shared" ref="BZ24:BZ30" si="54">sum(BK24:BM24)</f>
        <v>4770083</v>
      </c>
      <c r="CA24" s="108">
        <f t="shared" ref="CA24:CA30" si="55">sum(BN24:BP24)</f>
        <v>5452415</v>
      </c>
      <c r="CB24" s="108">
        <f t="shared" ref="CB24:CB30" si="56">sum(BQ24:BS24)</f>
        <v>4308373</v>
      </c>
      <c r="CC24" s="108">
        <f t="shared" ref="CC24:CC30" si="57">sum(BT24:BV24)</f>
        <v>0</v>
      </c>
      <c r="CD24" s="282">
        <f t="shared" ref="CD24:CD30" si="58">sum(BK24:BV24)</f>
        <v>14530871</v>
      </c>
      <c r="CE24" s="283"/>
      <c r="CF24" s="108">
        <f t="shared" ref="CF24:CF30" si="59">sum(AY24:BA24)</f>
        <v>2400791.26</v>
      </c>
      <c r="CG24" s="108">
        <f t="shared" ref="CG24:CG30" si="60">sum(BB24:BD24)</f>
        <v>3338946.43</v>
      </c>
      <c r="CH24" s="108">
        <f t="shared" ref="CH24:CH30" si="61">sum(BE24:BG24)</f>
        <v>3927548.59</v>
      </c>
      <c r="CI24" s="108">
        <f t="shared" ref="CI24:CI30" si="62">sum(BH24:BJ24)</f>
        <v>4570179.06</v>
      </c>
      <c r="CJ24" s="282">
        <f t="shared" ref="CJ24:CJ30" si="63">sum(AY24:BJ24)</f>
        <v>14237465.34</v>
      </c>
      <c r="CK24" s="283"/>
      <c r="CL24" s="108">
        <f t="shared" ref="CL24:CL30" si="64">sum(AM24:AO24)</f>
        <v>0</v>
      </c>
      <c r="CM24" s="108">
        <f t="shared" ref="CM24:CM30" si="65">sum(AP24:AR24)</f>
        <v>0</v>
      </c>
      <c r="CN24" s="108">
        <f t="shared" ref="CN24:CN30" si="66">sum(AS24:AU24)</f>
        <v>0</v>
      </c>
      <c r="CO24" s="108">
        <f t="shared" ref="CO24:CO30" si="67">sum(AV24:AX24)</f>
        <v>0</v>
      </c>
      <c r="CP24" s="282">
        <f t="shared" ref="CP24:CP30" si="68">sum(AM24:AX24)</f>
        <v>0</v>
      </c>
      <c r="CQ24" s="284"/>
      <c r="CR24" s="108"/>
      <c r="CS24" s="108"/>
      <c r="CT24" s="108"/>
      <c r="CU24" s="108"/>
      <c r="CV24" s="282"/>
      <c r="CW24" s="284"/>
      <c r="CX24" s="285"/>
      <c r="CY24" s="44"/>
      <c r="CZ24" s="136">
        <f t="array" ref="CZ24">IF(CZ$3&gt;'GAAP Summary'!$B$2,0,SUM(INDIRECT(XLOOKUP(CZ$3,'TTM Dates'!$B:$B,'TTM Dates'!$E:$E)&amp;ROW($BW24)&amp;":"&amp;XLOOKUP(CZ$3,'TTM Dates'!$B:$B,'TTM Dates'!$C:$C)&amp;ROW($BW24))))</f>
        <v>0</v>
      </c>
      <c r="DA24" s="286">
        <f t="array" ref="DA24">IF(DA$3&gt;'GAAP Summary'!$B$2,0,SUM(INDIRECT(XLOOKUP(DA$3,'TTM Dates'!$B:$B,'TTM Dates'!$E:$E)&amp;ROW($BW24)&amp;":"&amp;XLOOKUP(DA$3,'TTM Dates'!$B:$B,'TTM Dates'!$C:$C)&amp;ROW($BW24))))</f>
        <v>0</v>
      </c>
      <c r="DB24" s="286">
        <f t="array" ref="DB24">IF(DB$3&gt;'GAAP Summary'!$B$2,0,SUM(INDIRECT(XLOOKUP(DB$3,'TTM Dates'!$B:$B,'TTM Dates'!$E:$E)&amp;ROW($BW24)&amp;":"&amp;XLOOKUP(DB$3,'TTM Dates'!$B:$B,'TTM Dates'!$C:$C)&amp;ROW($BW24))))</f>
        <v>0</v>
      </c>
      <c r="DC24" s="286">
        <f t="array" ref="DC24">IF(DC$3&gt;'GAAP Summary'!$B$2,0,SUM(INDIRECT(XLOOKUP(DC$3,'TTM Dates'!$B:$B,'TTM Dates'!$E:$E)&amp;ROW($BW24)&amp;":"&amp;XLOOKUP(DC$3,'TTM Dates'!$B:$B,'TTM Dates'!$C:$C)&amp;ROW($BW24))))</f>
        <v>0</v>
      </c>
      <c r="DD24" s="286">
        <f t="array" ref="DD24">IF(DD$3&gt;'GAAP Summary'!$B$2,0,SUM(INDIRECT(XLOOKUP(DD$3,'TTM Dates'!$B:$B,'TTM Dates'!$E:$E)&amp;ROW($BW24)&amp;":"&amp;XLOOKUP(DD$3,'TTM Dates'!$B:$B,'TTM Dates'!$C:$C)&amp;ROW($BW24))))</f>
        <v>0</v>
      </c>
      <c r="DE24" s="286">
        <f t="array" ref="DE24">IF(DE$3&gt;'GAAP Summary'!$B$2,0,SUM(INDIRECT(XLOOKUP(DE$3,'TTM Dates'!$B:$B,'TTM Dates'!$E:$E)&amp;ROW($BW24)&amp;":"&amp;XLOOKUP(DE$3,'TTM Dates'!$B:$B,'TTM Dates'!$C:$C)&amp;ROW($BW24))))</f>
        <v>0</v>
      </c>
      <c r="DF24" s="286">
        <f t="array" ref="DF24">IF(DF$3&gt;'GAAP Summary'!$B$2,0,SUM(INDIRECT(XLOOKUP(DF$3,'TTM Dates'!$B:$B,'TTM Dates'!$E:$E)&amp;ROW($BW24)&amp;":"&amp;XLOOKUP(DF$3,'TTM Dates'!$B:$B,'TTM Dates'!$C:$C)&amp;ROW($BW24))))</f>
        <v>0</v>
      </c>
      <c r="DG24" s="286">
        <f t="array" ref="DG24">IF(DG$3&gt;'GAAP Summary'!$B$2,0,SUM(INDIRECT(XLOOKUP(DG$3,'TTM Dates'!$B:$B,'TTM Dates'!$E:$E)&amp;ROW($BW24)&amp;":"&amp;XLOOKUP(DG$3,'TTM Dates'!$B:$B,'TTM Dates'!$C:$C)&amp;ROW($BW24))))</f>
        <v>0</v>
      </c>
      <c r="DH24" s="286">
        <f t="array" ref="DH24">IF(DH$3&gt;'GAAP Summary'!$B$2,0,SUM(INDIRECT(XLOOKUP(DH$3,'TTM Dates'!$B:$B,'TTM Dates'!$E:$E)&amp;ROW($BW24)&amp;":"&amp;XLOOKUP(DH$3,'TTM Dates'!$B:$B,'TTM Dates'!$C:$C)&amp;ROW($BW24))))</f>
        <v>0</v>
      </c>
      <c r="DI24" s="286">
        <f t="array" ref="DI24">IF(DI$3&gt;'GAAP Summary'!$B$2,0,SUM(INDIRECT(XLOOKUP(DI$3,'TTM Dates'!$B:$B,'TTM Dates'!$E:$E)&amp;ROW($BW24)&amp;":"&amp;XLOOKUP(DI$3,'TTM Dates'!$B:$B,'TTM Dates'!$C:$C)&amp;ROW($BW24))))</f>
        <v>0</v>
      </c>
      <c r="DJ24" s="286">
        <f t="array" ref="DJ24">IF(DJ$3&gt;'GAAP Summary'!$B$2,0,SUM(INDIRECT(XLOOKUP(DJ$3,'TTM Dates'!$B:$B,'TTM Dates'!$E:$E)&amp;ROW($BW24)&amp;":"&amp;XLOOKUP(DJ$3,'TTM Dates'!$B:$B,'TTM Dates'!$C:$C)&amp;ROW($BW24))))</f>
        <v>0</v>
      </c>
      <c r="DK24" s="286">
        <f t="array" ref="DK24">IF(DK$3&gt;'GAAP Summary'!$B$2,0,SUM(INDIRECT(XLOOKUP(DK$3,'TTM Dates'!$B:$B,'TTM Dates'!$E:$E)&amp;ROW($BW24)&amp;":"&amp;XLOOKUP(DK$3,'TTM Dates'!$B:$B,'TTM Dates'!$C:$C)&amp;ROW($BW24))))</f>
        <v>0</v>
      </c>
      <c r="DL24" s="286">
        <f t="array" ref="DL24">IF(DL$3&gt;'GAAP Summary'!$B$2,0,SUM(INDIRECT(XLOOKUP(DL$3,'TTM Dates'!$B:$B,'TTM Dates'!$E:$E)&amp;ROW($BW24)&amp;":"&amp;XLOOKUP(DL$3,'TTM Dates'!$B:$B,'TTM Dates'!$C:$C)&amp;ROW($BW24))))</f>
        <v>0</v>
      </c>
      <c r="DM24" s="286">
        <f t="array" ref="DM24">IF(DM$3&gt;'GAAP Summary'!$B$2,0,SUM(INDIRECT(XLOOKUP(DM$3,'TTM Dates'!$B:$B,'TTM Dates'!$E:$E)&amp;ROW($BW24)&amp;":"&amp;XLOOKUP(DM$3,'TTM Dates'!$B:$B,'TTM Dates'!$C:$C)&amp;ROW($BW24))))</f>
        <v>0</v>
      </c>
      <c r="DN24" s="286">
        <f t="array" ref="DN24">IF(DN$3&gt;'GAAP Summary'!$B$2,0,SUM(INDIRECT(XLOOKUP(DN$3,'TTM Dates'!$B:$B,'TTM Dates'!$E:$E)&amp;ROW($BW24)&amp;":"&amp;XLOOKUP(DN$3,'TTM Dates'!$B:$B,'TTM Dates'!$C:$C)&amp;ROW($BW24))))</f>
        <v>0</v>
      </c>
      <c r="DO24" s="286">
        <f t="array" ref="DO24">IF(DO$3&gt;'GAAP Summary'!$B$2,0,SUM(INDIRECT(XLOOKUP(DO$3,'TTM Dates'!$B:$B,'TTM Dates'!$E:$E)&amp;ROW($BW24)&amp;":"&amp;XLOOKUP(DO$3,'TTM Dates'!$B:$B,'TTM Dates'!$C:$C)&amp;ROW($BW24))))</f>
        <v>0</v>
      </c>
      <c r="DP24" s="286">
        <f t="array" ref="DP24">IF(DP$3&gt;'GAAP Summary'!$B$2,0,SUM(INDIRECT(XLOOKUP(DP$3,'TTM Dates'!$B:$B,'TTM Dates'!$E:$E)&amp;ROW($BW24)&amp;":"&amp;XLOOKUP(DP$3,'TTM Dates'!$B:$B,'TTM Dates'!$C:$C)&amp;ROW($BW24))))</f>
        <v>0</v>
      </c>
      <c r="DQ24" s="286">
        <f t="array" ref="DQ24">IF(DQ$3&gt;'GAAP Summary'!$B$2,0,SUM(INDIRECT(XLOOKUP(DQ$3,'TTM Dates'!$B:$B,'TTM Dates'!$E:$E)&amp;ROW($BW24)&amp;":"&amp;XLOOKUP(DQ$3,'TTM Dates'!$B:$B,'TTM Dates'!$C:$C)&amp;ROW($BW24))))</f>
        <v>0</v>
      </c>
      <c r="DR24" s="286">
        <f t="array" ref="DR24">IF(DR$3&gt;'GAAP Summary'!$B$2,0,SUM(INDIRECT(XLOOKUP(DR$3,'TTM Dates'!$B:$B,'TTM Dates'!$E:$E)&amp;ROW($BW24)&amp;":"&amp;XLOOKUP(DR$3,'TTM Dates'!$B:$B,'TTM Dates'!$C:$C)&amp;ROW($BW24))))</f>
        <v>0</v>
      </c>
      <c r="DS24" s="286">
        <f t="array" ref="DS24">IF(DS$3&gt;'GAAP Summary'!$B$2,0,SUM(INDIRECT(XLOOKUP(DS$3,'TTM Dates'!$B:$B,'TTM Dates'!$E:$E)&amp;ROW($BW24)&amp;":"&amp;XLOOKUP(DS$3,'TTM Dates'!$B:$B,'TTM Dates'!$C:$C)&amp;ROW($BW24))))</f>
        <v>0</v>
      </c>
      <c r="DT24" s="286">
        <f t="array" ref="DT24">IF(DT$3&gt;'GAAP Summary'!$B$2,0,SUM(INDIRECT(XLOOKUP(DT$3,'TTM Dates'!$B:$B,'TTM Dates'!$E:$E)&amp;ROW($BW24)&amp;":"&amp;XLOOKUP(DT$3,'TTM Dates'!$B:$B,'TTM Dates'!$C:$C)&amp;ROW($BW24))))</f>
        <v>0</v>
      </c>
      <c r="DU24" s="286">
        <f t="array" ref="DU24">IF(DU$3&gt;'GAAP Summary'!$B$2,0,SUM(INDIRECT(XLOOKUP(DU$3,'TTM Dates'!$B:$B,'TTM Dates'!$E:$E)&amp;ROW($BW24)&amp;":"&amp;XLOOKUP(DU$3,'TTM Dates'!$B:$B,'TTM Dates'!$C:$C)&amp;ROW($BW24))))</f>
        <v>0</v>
      </c>
      <c r="DV24" s="286">
        <f t="array" ref="DV24">IF(DV$3&gt;'GAAP Summary'!$B$2,0,SUM(INDIRECT(XLOOKUP(DV$3,'TTM Dates'!$B:$B,'TTM Dates'!$E:$E)&amp;ROW($BW24)&amp;":"&amp;XLOOKUP(DV$3,'TTM Dates'!$B:$B,'TTM Dates'!$C:$C)&amp;ROW($BW24))))</f>
        <v>0</v>
      </c>
      <c r="DW24" s="286">
        <f t="array" ref="DW24">IF(DW$3&gt;'GAAP Summary'!$B$2,0,SUM(INDIRECT(XLOOKUP(DW$3,'TTM Dates'!$B:$B,'TTM Dates'!$E:$E)&amp;ROW($BW24)&amp;":"&amp;XLOOKUP(DW$3,'TTM Dates'!$B:$B,'TTM Dates'!$C:$C)&amp;ROW($BW24))))</f>
        <v>0</v>
      </c>
      <c r="DX24" s="286">
        <f t="array" ref="DX24">IF(DX$3&gt;'GAAP Summary'!$B$2,0,SUM(INDIRECT(XLOOKUP(DX$3,'TTM Dates'!$B:$B,'TTM Dates'!$E:$E)&amp;ROW($BW24)&amp;":"&amp;XLOOKUP(DX$3,'TTM Dates'!$B:$B,'TTM Dates'!$C:$C)&amp;ROW($BW24))))</f>
        <v>0</v>
      </c>
      <c r="DY24" s="286">
        <f t="array" ref="DY24">IF(DY$3&gt;'GAAP Summary'!$B$2,0,SUM(INDIRECT(XLOOKUP(DY$3,'TTM Dates'!$B:$B,'TTM Dates'!$E:$E)&amp;ROW($BW24)&amp;":"&amp;XLOOKUP(DY$3,'TTM Dates'!$B:$B,'TTM Dates'!$C:$C)&amp;ROW($BW24))))</f>
        <v>0</v>
      </c>
      <c r="DZ24" s="286">
        <f t="array" ref="DZ24">IF(DZ$3&gt;'GAAP Summary'!$B$2,0,SUM(INDIRECT(XLOOKUP(DZ$3,'TTM Dates'!$B:$B,'TTM Dates'!$E:$E)&amp;ROW($BW24)&amp;":"&amp;XLOOKUP(DZ$3,'TTM Dates'!$B:$B,'TTM Dates'!$C:$C)&amp;ROW($BW24))))</f>
        <v>0</v>
      </c>
      <c r="EA24" s="286">
        <f t="array" ref="EA24">IF(EA$3&gt;'GAAP Summary'!$B$2,0,SUM(INDIRECT(XLOOKUP(EA$3,'TTM Dates'!$B:$B,'TTM Dates'!$E:$E)&amp;ROW($BW24)&amp;":"&amp;XLOOKUP(EA$3,'TTM Dates'!$B:$B,'TTM Dates'!$C:$C)&amp;ROW($BW24))))</f>
        <v>0</v>
      </c>
      <c r="EB24" s="286">
        <f t="array" ref="EB24">IF(EB$3&gt;'GAAP Summary'!$B$2,0,SUM(INDIRECT(XLOOKUP(EB$3,'TTM Dates'!$B:$B,'TTM Dates'!$E:$E)&amp;ROW($BW24)&amp;":"&amp;XLOOKUP(EB$3,'TTM Dates'!$B:$B,'TTM Dates'!$C:$C)&amp;ROW($BW24))))</f>
        <v>0</v>
      </c>
      <c r="EC24" s="286">
        <f t="array" ref="EC24">IF(EC$3&gt;'GAAP Summary'!$B$2,0,SUM(INDIRECT(XLOOKUP(EC$3,'TTM Dates'!$B:$B,'TTM Dates'!$E:$E)&amp;ROW($BW24)&amp;":"&amp;XLOOKUP(EC$3,'TTM Dates'!$B:$B,'TTM Dates'!$C:$C)&amp;ROW($BW24))))</f>
        <v>0</v>
      </c>
      <c r="ED24" s="286">
        <f t="array" ref="ED24">IF(ED$3&gt;'GAAP Summary'!$B$2,0,SUM(INDIRECT(XLOOKUP(ED$3,'TTM Dates'!$B:$B,'TTM Dates'!$E:$E)&amp;ROW($BW24)&amp;":"&amp;XLOOKUP(ED$3,'TTM Dates'!$B:$B,'TTM Dates'!$C:$C)&amp;ROW($BW24))))</f>
        <v>0</v>
      </c>
      <c r="EE24" s="286">
        <f t="array" ref="EE24">IF(EE$3&gt;'GAAP Summary'!$B$2,0,SUM(INDIRECT(XLOOKUP(EE$3,'TTM Dates'!$B:$B,'TTM Dates'!$E:$E)&amp;ROW($BW24)&amp;":"&amp;XLOOKUP(EE$3,'TTM Dates'!$B:$B,'TTM Dates'!$C:$C)&amp;ROW($BW24))))</f>
        <v>0</v>
      </c>
      <c r="EF24" s="286">
        <f t="array" ref="EF24">IF(EF$3&gt;'GAAP Summary'!$B$2,0,SUM(INDIRECT(XLOOKUP(EF$3,'TTM Dates'!$B:$B,'TTM Dates'!$E:$E)&amp;ROW($BW24)&amp;":"&amp;XLOOKUP(EF$3,'TTM Dates'!$B:$B,'TTM Dates'!$C:$C)&amp;ROW($BW24))))</f>
        <v>0</v>
      </c>
      <c r="EG24" s="286">
        <f t="array" ref="EG24">IF(EG$3&gt;'GAAP Summary'!$B$2,0,SUM(INDIRECT(XLOOKUP(EG$3,'TTM Dates'!$B:$B,'TTM Dates'!$E:$E)&amp;ROW($BW24)&amp;":"&amp;XLOOKUP(EG$3,'TTM Dates'!$B:$B,'TTM Dates'!$C:$C)&amp;ROW($BW24))))</f>
        <v>0</v>
      </c>
      <c r="EH24" s="286">
        <f t="array" ref="EH24">IF(EH$3&gt;'GAAP Summary'!$B$2,0,SUM(INDIRECT(XLOOKUP(EH$3,'TTM Dates'!$B:$B,'TTM Dates'!$E:$E)&amp;ROW($BW24)&amp;":"&amp;XLOOKUP(EH$3,'TTM Dates'!$B:$B,'TTM Dates'!$C:$C)&amp;ROW($BW24))))</f>
        <v>0</v>
      </c>
      <c r="EI24" s="286">
        <f t="array" ref="EI24">IF(EI$3&gt;'GAAP Summary'!$B$2,0,SUM(INDIRECT(XLOOKUP(EI$3,'TTM Dates'!$B:$B,'TTM Dates'!$E:$E)&amp;ROW($BW24)&amp;":"&amp;XLOOKUP(EI$3,'TTM Dates'!$B:$B,'TTM Dates'!$C:$C)&amp;ROW($BW24))))</f>
        <v>0</v>
      </c>
      <c r="EJ24" s="286">
        <f t="array" ref="EJ24">IF(EJ$3&gt;'GAAP Summary'!$B$2,0,SUM(INDIRECT(XLOOKUP(EJ$3,'TTM Dates'!$B:$B,'TTM Dates'!$E:$E)&amp;ROW($BW24)&amp;":"&amp;XLOOKUP(EJ$3,'TTM Dates'!$B:$B,'TTM Dates'!$C:$C)&amp;ROW($BW24))))</f>
        <v>771081.83</v>
      </c>
      <c r="EK24" s="286">
        <f t="array" ref="EK24">IF(EK$3&gt;'GAAP Summary'!$B$2,0,SUM(INDIRECT(XLOOKUP(EK$3,'TTM Dates'!$B:$B,'TTM Dates'!$E:$E)&amp;ROW($BW24)&amp;":"&amp;XLOOKUP(EK$3,'TTM Dates'!$B:$B,'TTM Dates'!$C:$C)&amp;ROW($BW24))))</f>
        <v>1593625.42</v>
      </c>
      <c r="EL24" s="286">
        <f t="array" ref="EL24">IF(EL$3&gt;'GAAP Summary'!$B$2,0,SUM(INDIRECT(XLOOKUP(EL$3,'TTM Dates'!$B:$B,'TTM Dates'!$E:$E)&amp;ROW($BW24)&amp;":"&amp;XLOOKUP(EL$3,'TTM Dates'!$B:$B,'TTM Dates'!$C:$C)&amp;ROW($BW24))))</f>
        <v>2400791.26</v>
      </c>
      <c r="EM24" s="286">
        <f t="array" ref="EM24">IF(EM$3&gt;'GAAP Summary'!$B$2,0,SUM(INDIRECT(XLOOKUP(EM$3,'TTM Dates'!$B:$B,'TTM Dates'!$E:$E)&amp;ROW($BW24)&amp;":"&amp;XLOOKUP(EM$3,'TTM Dates'!$B:$B,'TTM Dates'!$C:$C)&amp;ROW($BW24))))</f>
        <v>3452165.58</v>
      </c>
      <c r="EN24" s="286">
        <f t="array" ref="EN24">IF(EN$3&gt;'GAAP Summary'!$B$2,0,SUM(INDIRECT(XLOOKUP(EN$3,'TTM Dates'!$B:$B,'TTM Dates'!$E:$E)&amp;ROW($BW24)&amp;":"&amp;XLOOKUP(EN$3,'TTM Dates'!$B:$B,'TTM Dates'!$C:$C)&amp;ROW($BW24))))</f>
        <v>4609880.94</v>
      </c>
      <c r="EO24" s="286">
        <f t="array" ref="EO24">IF(EO$3&gt;'GAAP Summary'!$B$2,0,SUM(INDIRECT(XLOOKUP(EO$3,'TTM Dates'!$B:$B,'TTM Dates'!$E:$E)&amp;ROW($BW24)&amp;":"&amp;XLOOKUP(EO$3,'TTM Dates'!$B:$B,'TTM Dates'!$C:$C)&amp;ROW($BW24))))</f>
        <v>5739737.69</v>
      </c>
      <c r="EP24" s="286">
        <f t="array" ref="EP24">IF(EP$3&gt;'GAAP Summary'!$B$2,0,SUM(INDIRECT(XLOOKUP(EP$3,'TTM Dates'!$B:$B,'TTM Dates'!$E:$E)&amp;ROW($BW24)&amp;":"&amp;XLOOKUP(EP$3,'TTM Dates'!$B:$B,'TTM Dates'!$C:$C)&amp;ROW($BW24))))</f>
        <v>7003105.32</v>
      </c>
      <c r="EQ24" s="286">
        <f t="array" ref="EQ24">IF(EQ$3&gt;'GAAP Summary'!$B$2,0,SUM(INDIRECT(XLOOKUP(EQ$3,'TTM Dates'!$B:$B,'TTM Dates'!$E:$E)&amp;ROW($BW24)&amp;":"&amp;XLOOKUP(EQ$3,'TTM Dates'!$B:$B,'TTM Dates'!$C:$C)&amp;ROW($BW24))))</f>
        <v>8365020.16</v>
      </c>
      <c r="ER24" s="286">
        <f t="array" ref="ER24">IF(ER$3&gt;'GAAP Summary'!$B$2,0,SUM(INDIRECT(XLOOKUP(ER$3,'TTM Dates'!$B:$B,'TTM Dates'!$E:$E)&amp;ROW($BW24)&amp;":"&amp;XLOOKUP(ER$3,'TTM Dates'!$B:$B,'TTM Dates'!$C:$C)&amp;ROW($BW24))))</f>
        <v>9667286.28</v>
      </c>
      <c r="ES24" s="286">
        <f t="array" ref="ES24">IF(ES$3&gt;'GAAP Summary'!$B$2,0,SUM(INDIRECT(XLOOKUP(ES$3,'TTM Dates'!$B:$B,'TTM Dates'!$E:$E)&amp;ROW($BW24)&amp;":"&amp;XLOOKUP(ES$3,'TTM Dates'!$B:$B,'TTM Dates'!$C:$C)&amp;ROW($BW24))))</f>
        <v>11288738.68</v>
      </c>
      <c r="ET24" s="286">
        <f t="array" ref="ET24">IF(ET$3&gt;'GAAP Summary'!$B$2,0,SUM(INDIRECT(XLOOKUP(ET$3,'TTM Dates'!$B:$B,'TTM Dates'!$E:$E)&amp;ROW($BW24)&amp;":"&amp;XLOOKUP(ET$3,'TTM Dates'!$B:$B,'TTM Dates'!$C:$C)&amp;ROW($BW24))))</f>
        <v>12742695.27</v>
      </c>
      <c r="EU24" s="286">
        <f t="array" ref="EU24">IF(EU$3&gt;'GAAP Summary'!$B$2,0,SUM(INDIRECT(XLOOKUP(EU$3,'TTM Dates'!$B:$B,'TTM Dates'!$E:$E)&amp;ROW($BW24)&amp;":"&amp;XLOOKUP(EU$3,'TTM Dates'!$B:$B,'TTM Dates'!$C:$C)&amp;ROW($BW24))))</f>
        <v>14237465.34</v>
      </c>
      <c r="EV24" s="286">
        <f t="array" ref="EV24">IF(EV$3&gt;'GAAP Summary'!$B$2,0,SUM(INDIRECT(XLOOKUP(EV$3,'TTM Dates'!$B:$B,'TTM Dates'!$E:$E)&amp;ROW($BW24)&amp;":"&amp;XLOOKUP(EV$3,'TTM Dates'!$B:$B,'TTM Dates'!$C:$C)&amp;ROW($BW24))))</f>
        <v>15005688.51</v>
      </c>
      <c r="EW24" s="286">
        <f t="array" ref="EW24">IF(EW$3&gt;'GAAP Summary'!$B$2,0,SUM(INDIRECT(XLOOKUP(EW$3,'TTM Dates'!$B:$B,'TTM Dates'!$E:$E)&amp;ROW($BW24)&amp;":"&amp;XLOOKUP(EW$3,'TTM Dates'!$B:$B,'TTM Dates'!$C:$C)&amp;ROW($BW24))))</f>
        <v>15725928.92</v>
      </c>
      <c r="EX24" s="286">
        <f t="array" ref="EX24">IF(EX$3&gt;'GAAP Summary'!$B$2,0,SUM(INDIRECT(XLOOKUP(EX$3,'TTM Dates'!$B:$B,'TTM Dates'!$E:$E)&amp;ROW($BW24)&amp;":"&amp;XLOOKUP(EX$3,'TTM Dates'!$B:$B,'TTM Dates'!$C:$C)&amp;ROW($BW24))))</f>
        <v>16606757.08</v>
      </c>
      <c r="EY24" s="286">
        <f t="array" ref="EY24">IF(EY$3&gt;'GAAP Summary'!$B$2,0,SUM(INDIRECT(XLOOKUP(EY$3,'TTM Dates'!$B:$B,'TTM Dates'!$E:$E)&amp;ROW($BW24)&amp;":"&amp;XLOOKUP(EY$3,'TTM Dates'!$B:$B,'TTM Dates'!$C:$C)&amp;ROW($BW24))))</f>
        <v>17360210.76</v>
      </c>
      <c r="EZ24" s="286">
        <f t="array" ref="EZ24">IF(EZ$3&gt;'GAAP Summary'!$B$2,0,SUM(INDIRECT(XLOOKUP(EZ$3,'TTM Dates'!$B:$B,'TTM Dates'!$E:$E)&amp;ROW($BW24)&amp;":"&amp;XLOOKUP(EZ$3,'TTM Dates'!$B:$B,'TTM Dates'!$C:$C)&amp;ROW($BW24))))</f>
        <v>17990300.4</v>
      </c>
      <c r="FA24" s="286">
        <f t="array" ref="FA24">IF(FA$3&gt;'GAAP Summary'!$B$2,0,SUM(INDIRECT(XLOOKUP(FA$3,'TTM Dates'!$B:$B,'TTM Dates'!$E:$E)&amp;ROW($BW24)&amp;":"&amp;XLOOKUP(FA$3,'TTM Dates'!$B:$B,'TTM Dates'!$C:$C)&amp;ROW($BW24))))</f>
        <v>18720225.65</v>
      </c>
      <c r="FB24" s="286">
        <f t="array" ref="FB24">IF(FB$3&gt;'GAAP Summary'!$B$2,0,SUM(INDIRECT(XLOOKUP(FB$3,'TTM Dates'!$B:$B,'TTM Dates'!$E:$E)&amp;ROW($BW24)&amp;":"&amp;XLOOKUP(FB$3,'TTM Dates'!$B:$B,'TTM Dates'!$C:$C)&amp;ROW($BW24))))</f>
        <v>19725230.02</v>
      </c>
      <c r="FC24" s="286">
        <f t="array" ref="FC24">IF(FC$3&gt;'GAAP Summary'!$B$2,0,SUM(INDIRECT(XLOOKUP(FC$3,'TTM Dates'!$B:$B,'TTM Dates'!$E:$E)&amp;ROW($BW24)&amp;":"&amp;XLOOKUP(FC$3,'TTM Dates'!$B:$B,'TTM Dates'!$C:$C)&amp;ROW($BW24))))</f>
        <v>20403316.18</v>
      </c>
      <c r="FD24" s="286">
        <f t="array" ref="FD24">IF(FD$3&gt;'GAAP Summary'!$B$2,0,SUM(INDIRECT(XLOOKUP(FD$3,'TTM Dates'!$B:$B,'TTM Dates'!$E:$E)&amp;ROW($BW24)&amp;":"&amp;XLOOKUP(FD$3,'TTM Dates'!$B:$B,'TTM Dates'!$C:$C)&amp;ROW($BW24))))</f>
        <v>19101050.06</v>
      </c>
      <c r="FE24" s="286">
        <f t="array" ref="FE24">IF(FE$3&gt;'GAAP Summary'!$B$2,0,SUM(INDIRECT(XLOOKUP(FE$3,'TTM Dates'!$B:$B,'TTM Dates'!$E:$E)&amp;ROW($BW24)&amp;":"&amp;XLOOKUP(FE$3,'TTM Dates'!$B:$B,'TTM Dates'!$C:$C)&amp;ROW($BW24))))</f>
        <v>17479597.66</v>
      </c>
      <c r="FF24" s="286">
        <f t="array" ref="FF24">IF(FF$3&gt;'GAAP Summary'!$B$2,0,SUM(INDIRECT(XLOOKUP(FF$3,'TTM Dates'!$B:$B,'TTM Dates'!$E:$E)&amp;ROW($BW24)&amp;":"&amp;XLOOKUP(FF$3,'TTM Dates'!$B:$B,'TTM Dates'!$C:$C)&amp;ROW($BW24))))</f>
        <v>16025641.07</v>
      </c>
      <c r="FG24" s="286">
        <f t="array" ref="FG24">IF(FG$3&gt;'GAAP Summary'!$B$2,0,SUM(INDIRECT(XLOOKUP(FG$3,'TTM Dates'!$B:$B,'TTM Dates'!$E:$E)&amp;ROW($BW24)&amp;":"&amp;XLOOKUP(FG$3,'TTM Dates'!$B:$B,'TTM Dates'!$C:$C)&amp;ROW($BW24))))</f>
        <v>14530871</v>
      </c>
      <c r="FH24" s="286"/>
    </row>
    <row r="25" outlineLevel="1">
      <c r="B25" s="135" t="s">
        <v>305</v>
      </c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>
        <v>771081.83</v>
      </c>
      <c r="AZ25" s="137">
        <v>769743.59</v>
      </c>
      <c r="BA25" s="145">
        <v>807165.84</v>
      </c>
      <c r="BB25" s="137">
        <v>1051374.32</v>
      </c>
      <c r="BC25" s="137">
        <v>1157715.36</v>
      </c>
      <c r="BD25" s="137">
        <v>1129856.75</v>
      </c>
      <c r="BE25" s="137">
        <v>1257534.63</v>
      </c>
      <c r="BF25" s="137">
        <v>1356081.84</v>
      </c>
      <c r="BG25" s="137">
        <v>1296433.12</v>
      </c>
      <c r="BH25" s="137">
        <v>1615619.4</v>
      </c>
      <c r="BI25" s="137">
        <v>1448123.59</v>
      </c>
      <c r="BJ25" s="137">
        <v>1488937.07</v>
      </c>
      <c r="BK25" s="137">
        <v>1533472.0</v>
      </c>
      <c r="BL25" s="137">
        <v>1536951.0</v>
      </c>
      <c r="BM25" s="145">
        <v>1682161.0</v>
      </c>
      <c r="BN25" s="145">
        <v>1798995.0</v>
      </c>
      <c r="BO25" s="287">
        <v>1781972.0</v>
      </c>
      <c r="BP25" s="137">
        <v>1853949.0</v>
      </c>
      <c r="BQ25" s="137">
        <v>2268372.0</v>
      </c>
      <c r="BR25" s="137">
        <v>2040001.0</v>
      </c>
      <c r="BS25" s="137"/>
      <c r="BT25" s="137"/>
      <c r="BU25" s="137"/>
      <c r="BV25" s="137"/>
      <c r="BW25" s="33"/>
      <c r="BX25" s="288" t="str">
        <f t="array" ref="BX25">SUM(INDIRECT(XLOOKUP('GAAP Summary'!$B$2,'TTM Dates'!$B:$B,'TTM Dates'!$E:$E)&amp;ROW($BW25)&amp;":"&amp;XLOOKUP('GAAP Summary'!$B$2,'TTM Dates'!$B:$B,'TTM Dates'!$C:$C)&amp;ROW($BW25)))</f>
        <v>#REF!</v>
      </c>
      <c r="BY25" s="136"/>
      <c r="BZ25" s="136">
        <f t="shared" si="54"/>
        <v>4752584</v>
      </c>
      <c r="CA25" s="136">
        <f t="shared" si="55"/>
        <v>5434916</v>
      </c>
      <c r="CB25" s="136">
        <f t="shared" si="56"/>
        <v>4308373</v>
      </c>
      <c r="CC25" s="136">
        <f t="shared" si="57"/>
        <v>0</v>
      </c>
      <c r="CD25" s="292">
        <f t="shared" si="58"/>
        <v>14495873</v>
      </c>
      <c r="CE25" s="136"/>
      <c r="CF25" s="136">
        <f t="shared" si="59"/>
        <v>2347991.26</v>
      </c>
      <c r="CG25" s="136">
        <f t="shared" si="60"/>
        <v>3338946.43</v>
      </c>
      <c r="CH25" s="136">
        <f t="shared" si="61"/>
        <v>3910049.59</v>
      </c>
      <c r="CI25" s="136">
        <f t="shared" si="62"/>
        <v>4552680.06</v>
      </c>
      <c r="CJ25" s="292">
        <f t="shared" si="63"/>
        <v>14149667.34</v>
      </c>
      <c r="CK25" s="136"/>
      <c r="CL25" s="136">
        <f t="shared" si="64"/>
        <v>0</v>
      </c>
      <c r="CM25" s="136">
        <f t="shared" si="65"/>
        <v>0</v>
      </c>
      <c r="CN25" s="136">
        <f t="shared" si="66"/>
        <v>0</v>
      </c>
      <c r="CO25" s="136">
        <f t="shared" si="67"/>
        <v>0</v>
      </c>
      <c r="CP25" s="292">
        <f t="shared" si="68"/>
        <v>0</v>
      </c>
      <c r="CQ25" s="136"/>
      <c r="CR25" s="137">
        <f t="shared" ref="CR25:CR30" si="69">sum(AA25:AC25)</f>
        <v>0</v>
      </c>
      <c r="CS25" s="137">
        <f t="shared" ref="CS25:CS30" si="70">sum(AD25:AF25)</f>
        <v>0</v>
      </c>
      <c r="CT25" s="137">
        <f t="shared" ref="CT25:CT30" si="71">sum(AG25:AI25)</f>
        <v>0</v>
      </c>
      <c r="CU25" s="137">
        <f t="shared" ref="CU25:CU30" si="72">sum(AJ25:AL25)</f>
        <v>0</v>
      </c>
      <c r="CV25" s="142">
        <f t="shared" ref="CV25:CV30" si="73">sum(AA25:AL25)</f>
        <v>0</v>
      </c>
      <c r="CW25" s="136"/>
      <c r="CX25" s="292"/>
      <c r="CY25" s="136"/>
      <c r="CZ25" s="136">
        <f t="array" ref="CZ25">IF(CZ$3&gt;'GAAP Summary'!$B$2,0,SUM(INDIRECT(XLOOKUP(CZ$3,'TTM Dates'!$B:$B,'TTM Dates'!$E:$E)&amp;ROW($BW25)&amp;":"&amp;XLOOKUP(CZ$3,'TTM Dates'!$B:$B,'TTM Dates'!$C:$C)&amp;ROW($BW25))))</f>
        <v>0</v>
      </c>
      <c r="DA25" s="136">
        <f t="array" ref="DA25">IF(DA$3&gt;'GAAP Summary'!$B$2,0,SUM(INDIRECT(XLOOKUP(DA$3,'TTM Dates'!$B:$B,'TTM Dates'!$E:$E)&amp;ROW($BW25)&amp;":"&amp;XLOOKUP(DA$3,'TTM Dates'!$B:$B,'TTM Dates'!$C:$C)&amp;ROW($BW25))))</f>
        <v>0</v>
      </c>
      <c r="DB25" s="136">
        <f t="array" ref="DB25">IF(DB$3&gt;'GAAP Summary'!$B$2,0,SUM(INDIRECT(XLOOKUP(DB$3,'TTM Dates'!$B:$B,'TTM Dates'!$E:$E)&amp;ROW($BW25)&amp;":"&amp;XLOOKUP(DB$3,'TTM Dates'!$B:$B,'TTM Dates'!$C:$C)&amp;ROW($BW25))))</f>
        <v>0</v>
      </c>
      <c r="DC25" s="136">
        <f t="array" ref="DC25">IF(DC$3&gt;'GAAP Summary'!$B$2,0,SUM(INDIRECT(XLOOKUP(DC$3,'TTM Dates'!$B:$B,'TTM Dates'!$E:$E)&amp;ROW($BW25)&amp;":"&amp;XLOOKUP(DC$3,'TTM Dates'!$B:$B,'TTM Dates'!$C:$C)&amp;ROW($BW25))))</f>
        <v>0</v>
      </c>
      <c r="DD25" s="136">
        <f t="array" ref="DD25">IF(DD$3&gt;'GAAP Summary'!$B$2,0,SUM(INDIRECT(XLOOKUP(DD$3,'TTM Dates'!$B:$B,'TTM Dates'!$E:$E)&amp;ROW($BW25)&amp;":"&amp;XLOOKUP(DD$3,'TTM Dates'!$B:$B,'TTM Dates'!$C:$C)&amp;ROW($BW25))))</f>
        <v>0</v>
      </c>
      <c r="DE25" s="136">
        <f t="array" ref="DE25">IF(DE$3&gt;'GAAP Summary'!$B$2,0,SUM(INDIRECT(XLOOKUP(DE$3,'TTM Dates'!$B:$B,'TTM Dates'!$E:$E)&amp;ROW($BW25)&amp;":"&amp;XLOOKUP(DE$3,'TTM Dates'!$B:$B,'TTM Dates'!$C:$C)&amp;ROW($BW25))))</f>
        <v>0</v>
      </c>
      <c r="DF25" s="136">
        <f t="array" ref="DF25">IF(DF$3&gt;'GAAP Summary'!$B$2,0,SUM(INDIRECT(XLOOKUP(DF$3,'TTM Dates'!$B:$B,'TTM Dates'!$E:$E)&amp;ROW($BW25)&amp;":"&amp;XLOOKUP(DF$3,'TTM Dates'!$B:$B,'TTM Dates'!$C:$C)&amp;ROW($BW25))))</f>
        <v>0</v>
      </c>
      <c r="DG25" s="136">
        <f t="array" ref="DG25">IF(DG$3&gt;'GAAP Summary'!$B$2,0,SUM(INDIRECT(XLOOKUP(DG$3,'TTM Dates'!$B:$B,'TTM Dates'!$E:$E)&amp;ROW($BW25)&amp;":"&amp;XLOOKUP(DG$3,'TTM Dates'!$B:$B,'TTM Dates'!$C:$C)&amp;ROW($BW25))))</f>
        <v>0</v>
      </c>
      <c r="DH25" s="136">
        <f t="array" ref="DH25">IF(DH$3&gt;'GAAP Summary'!$B$2,0,SUM(INDIRECT(XLOOKUP(DH$3,'TTM Dates'!$B:$B,'TTM Dates'!$E:$E)&amp;ROW($BW25)&amp;":"&amp;XLOOKUP(DH$3,'TTM Dates'!$B:$B,'TTM Dates'!$C:$C)&amp;ROW($BW25))))</f>
        <v>0</v>
      </c>
      <c r="DI25" s="136">
        <f t="array" ref="DI25">IF(DI$3&gt;'GAAP Summary'!$B$2,0,SUM(INDIRECT(XLOOKUP(DI$3,'TTM Dates'!$B:$B,'TTM Dates'!$E:$E)&amp;ROW($BW25)&amp;":"&amp;XLOOKUP(DI$3,'TTM Dates'!$B:$B,'TTM Dates'!$C:$C)&amp;ROW($BW25))))</f>
        <v>0</v>
      </c>
      <c r="DJ25" s="136">
        <f t="array" ref="DJ25">IF(DJ$3&gt;'GAAP Summary'!$B$2,0,SUM(INDIRECT(XLOOKUP(DJ$3,'TTM Dates'!$B:$B,'TTM Dates'!$E:$E)&amp;ROW($BW25)&amp;":"&amp;XLOOKUP(DJ$3,'TTM Dates'!$B:$B,'TTM Dates'!$C:$C)&amp;ROW($BW25))))</f>
        <v>0</v>
      </c>
      <c r="DK25" s="136">
        <f t="array" ref="DK25">IF(DK$3&gt;'GAAP Summary'!$B$2,0,SUM(INDIRECT(XLOOKUP(DK$3,'TTM Dates'!$B:$B,'TTM Dates'!$E:$E)&amp;ROW($BW25)&amp;":"&amp;XLOOKUP(DK$3,'TTM Dates'!$B:$B,'TTM Dates'!$C:$C)&amp;ROW($BW25))))</f>
        <v>0</v>
      </c>
      <c r="DL25" s="136">
        <f t="array" ref="DL25">IF(DL$3&gt;'GAAP Summary'!$B$2,0,SUM(INDIRECT(XLOOKUP(DL$3,'TTM Dates'!$B:$B,'TTM Dates'!$E:$E)&amp;ROW($BW25)&amp;":"&amp;XLOOKUP(DL$3,'TTM Dates'!$B:$B,'TTM Dates'!$C:$C)&amp;ROW($BW25))))</f>
        <v>0</v>
      </c>
      <c r="DM25" s="136">
        <f t="array" ref="DM25">IF(DM$3&gt;'GAAP Summary'!$B$2,0,SUM(INDIRECT(XLOOKUP(DM$3,'TTM Dates'!$B:$B,'TTM Dates'!$E:$E)&amp;ROW($BW25)&amp;":"&amp;XLOOKUP(DM$3,'TTM Dates'!$B:$B,'TTM Dates'!$C:$C)&amp;ROW($BW25))))</f>
        <v>0</v>
      </c>
      <c r="DN25" s="136">
        <f t="array" ref="DN25">IF(DN$3&gt;'GAAP Summary'!$B$2,0,SUM(INDIRECT(XLOOKUP(DN$3,'TTM Dates'!$B:$B,'TTM Dates'!$E:$E)&amp;ROW($BW25)&amp;":"&amp;XLOOKUP(DN$3,'TTM Dates'!$B:$B,'TTM Dates'!$C:$C)&amp;ROW($BW25))))</f>
        <v>0</v>
      </c>
      <c r="DO25" s="136">
        <f t="array" ref="DO25">IF(DO$3&gt;'GAAP Summary'!$B$2,0,SUM(INDIRECT(XLOOKUP(DO$3,'TTM Dates'!$B:$B,'TTM Dates'!$E:$E)&amp;ROW($BW25)&amp;":"&amp;XLOOKUP(DO$3,'TTM Dates'!$B:$B,'TTM Dates'!$C:$C)&amp;ROW($BW25))))</f>
        <v>0</v>
      </c>
      <c r="DP25" s="136">
        <f t="array" ref="DP25">IF(DP$3&gt;'GAAP Summary'!$B$2,0,SUM(INDIRECT(XLOOKUP(DP$3,'TTM Dates'!$B:$B,'TTM Dates'!$E:$E)&amp;ROW($BW25)&amp;":"&amp;XLOOKUP(DP$3,'TTM Dates'!$B:$B,'TTM Dates'!$C:$C)&amp;ROW($BW25))))</f>
        <v>0</v>
      </c>
      <c r="DQ25" s="136">
        <f t="array" ref="DQ25">IF(DQ$3&gt;'GAAP Summary'!$B$2,0,SUM(INDIRECT(XLOOKUP(DQ$3,'TTM Dates'!$B:$B,'TTM Dates'!$E:$E)&amp;ROW($BW25)&amp;":"&amp;XLOOKUP(DQ$3,'TTM Dates'!$B:$B,'TTM Dates'!$C:$C)&amp;ROW($BW25))))</f>
        <v>0</v>
      </c>
      <c r="DR25" s="136">
        <f t="array" ref="DR25">IF(DR$3&gt;'GAAP Summary'!$B$2,0,SUM(INDIRECT(XLOOKUP(DR$3,'TTM Dates'!$B:$B,'TTM Dates'!$E:$E)&amp;ROW($BW25)&amp;":"&amp;XLOOKUP(DR$3,'TTM Dates'!$B:$B,'TTM Dates'!$C:$C)&amp;ROW($BW25))))</f>
        <v>0</v>
      </c>
      <c r="DS25" s="136">
        <f t="array" ref="DS25">IF(DS$3&gt;'GAAP Summary'!$B$2,0,SUM(INDIRECT(XLOOKUP(DS$3,'TTM Dates'!$B:$B,'TTM Dates'!$E:$E)&amp;ROW($BW25)&amp;":"&amp;XLOOKUP(DS$3,'TTM Dates'!$B:$B,'TTM Dates'!$C:$C)&amp;ROW($BW25))))</f>
        <v>0</v>
      </c>
      <c r="DT25" s="136">
        <f t="array" ref="DT25">IF(DT$3&gt;'GAAP Summary'!$B$2,0,SUM(INDIRECT(XLOOKUP(DT$3,'TTM Dates'!$B:$B,'TTM Dates'!$E:$E)&amp;ROW($BW25)&amp;":"&amp;XLOOKUP(DT$3,'TTM Dates'!$B:$B,'TTM Dates'!$C:$C)&amp;ROW($BW25))))</f>
        <v>0</v>
      </c>
      <c r="DU25" s="136">
        <f t="array" ref="DU25">IF(DU$3&gt;'GAAP Summary'!$B$2,0,SUM(INDIRECT(XLOOKUP(DU$3,'TTM Dates'!$B:$B,'TTM Dates'!$E:$E)&amp;ROW($BW25)&amp;":"&amp;XLOOKUP(DU$3,'TTM Dates'!$B:$B,'TTM Dates'!$C:$C)&amp;ROW($BW25))))</f>
        <v>0</v>
      </c>
      <c r="DV25" s="136">
        <f t="array" ref="DV25">IF(DV$3&gt;'GAAP Summary'!$B$2,0,SUM(INDIRECT(XLOOKUP(DV$3,'TTM Dates'!$B:$B,'TTM Dates'!$E:$E)&amp;ROW($BW25)&amp;":"&amp;XLOOKUP(DV$3,'TTM Dates'!$B:$B,'TTM Dates'!$C:$C)&amp;ROW($BW25))))</f>
        <v>0</v>
      </c>
      <c r="DW25" s="136">
        <f t="array" ref="DW25">IF(DW$3&gt;'GAAP Summary'!$B$2,0,SUM(INDIRECT(XLOOKUP(DW$3,'TTM Dates'!$B:$B,'TTM Dates'!$E:$E)&amp;ROW($BW25)&amp;":"&amp;XLOOKUP(DW$3,'TTM Dates'!$B:$B,'TTM Dates'!$C:$C)&amp;ROW($BW25))))</f>
        <v>0</v>
      </c>
      <c r="DX25" s="136">
        <f t="array" ref="DX25">IF(DX$3&gt;'GAAP Summary'!$B$2,0,SUM(INDIRECT(XLOOKUP(DX$3,'TTM Dates'!$B:$B,'TTM Dates'!$E:$E)&amp;ROW($BW25)&amp;":"&amp;XLOOKUP(DX$3,'TTM Dates'!$B:$B,'TTM Dates'!$C:$C)&amp;ROW($BW25))))</f>
        <v>0</v>
      </c>
      <c r="DY25" s="136">
        <f t="array" ref="DY25">IF(DY$3&gt;'GAAP Summary'!$B$2,0,SUM(INDIRECT(XLOOKUP(DY$3,'TTM Dates'!$B:$B,'TTM Dates'!$E:$E)&amp;ROW($BW25)&amp;":"&amp;XLOOKUP(DY$3,'TTM Dates'!$B:$B,'TTM Dates'!$C:$C)&amp;ROW($BW25))))</f>
        <v>0</v>
      </c>
      <c r="DZ25" s="136">
        <f t="array" ref="DZ25">IF(DZ$3&gt;'GAAP Summary'!$B$2,0,SUM(INDIRECT(XLOOKUP(DZ$3,'TTM Dates'!$B:$B,'TTM Dates'!$E:$E)&amp;ROW($BW25)&amp;":"&amp;XLOOKUP(DZ$3,'TTM Dates'!$B:$B,'TTM Dates'!$C:$C)&amp;ROW($BW25))))</f>
        <v>0</v>
      </c>
      <c r="EA25" s="136">
        <f t="array" ref="EA25">IF(EA$3&gt;'GAAP Summary'!$B$2,0,SUM(INDIRECT(XLOOKUP(EA$3,'TTM Dates'!$B:$B,'TTM Dates'!$E:$E)&amp;ROW($BW25)&amp;":"&amp;XLOOKUP(EA$3,'TTM Dates'!$B:$B,'TTM Dates'!$C:$C)&amp;ROW($BW25))))</f>
        <v>0</v>
      </c>
      <c r="EB25" s="136">
        <f t="array" ref="EB25">IF(EB$3&gt;'GAAP Summary'!$B$2,0,SUM(INDIRECT(XLOOKUP(EB$3,'TTM Dates'!$B:$B,'TTM Dates'!$E:$E)&amp;ROW($BW25)&amp;":"&amp;XLOOKUP(EB$3,'TTM Dates'!$B:$B,'TTM Dates'!$C:$C)&amp;ROW($BW25))))</f>
        <v>0</v>
      </c>
      <c r="EC25" s="136">
        <f t="array" ref="EC25">IF(EC$3&gt;'GAAP Summary'!$B$2,0,SUM(INDIRECT(XLOOKUP(EC$3,'TTM Dates'!$B:$B,'TTM Dates'!$E:$E)&amp;ROW($BW25)&amp;":"&amp;XLOOKUP(EC$3,'TTM Dates'!$B:$B,'TTM Dates'!$C:$C)&amp;ROW($BW25))))</f>
        <v>0</v>
      </c>
      <c r="ED25" s="136">
        <f t="array" ref="ED25">IF(ED$3&gt;'GAAP Summary'!$B$2,0,SUM(INDIRECT(XLOOKUP(ED$3,'TTM Dates'!$B:$B,'TTM Dates'!$E:$E)&amp;ROW($BW25)&amp;":"&amp;XLOOKUP(ED$3,'TTM Dates'!$B:$B,'TTM Dates'!$C:$C)&amp;ROW($BW25))))</f>
        <v>0</v>
      </c>
      <c r="EE25" s="136">
        <f t="array" ref="EE25">IF(EE$3&gt;'GAAP Summary'!$B$2,0,SUM(INDIRECT(XLOOKUP(EE$3,'TTM Dates'!$B:$B,'TTM Dates'!$E:$E)&amp;ROW($BW25)&amp;":"&amp;XLOOKUP(EE$3,'TTM Dates'!$B:$B,'TTM Dates'!$C:$C)&amp;ROW($BW25))))</f>
        <v>0</v>
      </c>
      <c r="EF25" s="136">
        <f t="array" ref="EF25">IF(EF$3&gt;'GAAP Summary'!$B$2,0,SUM(INDIRECT(XLOOKUP(EF$3,'TTM Dates'!$B:$B,'TTM Dates'!$E:$E)&amp;ROW($BW25)&amp;":"&amp;XLOOKUP(EF$3,'TTM Dates'!$B:$B,'TTM Dates'!$C:$C)&amp;ROW($BW25))))</f>
        <v>0</v>
      </c>
      <c r="EG25" s="136">
        <f t="array" ref="EG25">IF(EG$3&gt;'GAAP Summary'!$B$2,0,SUM(INDIRECT(XLOOKUP(EG$3,'TTM Dates'!$B:$B,'TTM Dates'!$E:$E)&amp;ROW($BW25)&amp;":"&amp;XLOOKUP(EG$3,'TTM Dates'!$B:$B,'TTM Dates'!$C:$C)&amp;ROW($BW25))))</f>
        <v>0</v>
      </c>
      <c r="EH25" s="136">
        <f t="array" ref="EH25">IF(EH$3&gt;'GAAP Summary'!$B$2,0,SUM(INDIRECT(XLOOKUP(EH$3,'TTM Dates'!$B:$B,'TTM Dates'!$E:$E)&amp;ROW($BW25)&amp;":"&amp;XLOOKUP(EH$3,'TTM Dates'!$B:$B,'TTM Dates'!$C:$C)&amp;ROW($BW25))))</f>
        <v>0</v>
      </c>
      <c r="EI25" s="136">
        <f t="array" ref="EI25">IF(EI$3&gt;'GAAP Summary'!$B$2,0,SUM(INDIRECT(XLOOKUP(EI$3,'TTM Dates'!$B:$B,'TTM Dates'!$E:$E)&amp;ROW($BW25)&amp;":"&amp;XLOOKUP(EI$3,'TTM Dates'!$B:$B,'TTM Dates'!$C:$C)&amp;ROW($BW25))))</f>
        <v>0</v>
      </c>
      <c r="EJ25" s="136">
        <f t="array" ref="EJ25">IF(EJ$3&gt;'GAAP Summary'!$B$2,0,SUM(INDIRECT(XLOOKUP(EJ$3,'TTM Dates'!$B:$B,'TTM Dates'!$E:$E)&amp;ROW($BW25)&amp;":"&amp;XLOOKUP(EJ$3,'TTM Dates'!$B:$B,'TTM Dates'!$C:$C)&amp;ROW($BW25))))</f>
        <v>771081.83</v>
      </c>
      <c r="EK25" s="136">
        <f t="array" ref="EK25">IF(EK$3&gt;'GAAP Summary'!$B$2,0,SUM(INDIRECT(XLOOKUP(EK$3,'TTM Dates'!$B:$B,'TTM Dates'!$E:$E)&amp;ROW($BW25)&amp;":"&amp;XLOOKUP(EK$3,'TTM Dates'!$B:$B,'TTM Dates'!$C:$C)&amp;ROW($BW25))))</f>
        <v>1540825.42</v>
      </c>
      <c r="EL25" s="136">
        <f t="array" ref="EL25">IF(EL$3&gt;'GAAP Summary'!$B$2,0,SUM(INDIRECT(XLOOKUP(EL$3,'TTM Dates'!$B:$B,'TTM Dates'!$E:$E)&amp;ROW($BW25)&amp;":"&amp;XLOOKUP(EL$3,'TTM Dates'!$B:$B,'TTM Dates'!$C:$C)&amp;ROW($BW25))))</f>
        <v>2347991.26</v>
      </c>
      <c r="EM25" s="136">
        <f t="array" ref="EM25">IF(EM$3&gt;'GAAP Summary'!$B$2,0,SUM(INDIRECT(XLOOKUP(EM$3,'TTM Dates'!$B:$B,'TTM Dates'!$E:$E)&amp;ROW($BW25)&amp;":"&amp;XLOOKUP(EM$3,'TTM Dates'!$B:$B,'TTM Dates'!$C:$C)&amp;ROW($BW25))))</f>
        <v>3399365.58</v>
      </c>
      <c r="EN25" s="136">
        <f t="array" ref="EN25">IF(EN$3&gt;'GAAP Summary'!$B$2,0,SUM(INDIRECT(XLOOKUP(EN$3,'TTM Dates'!$B:$B,'TTM Dates'!$E:$E)&amp;ROW($BW25)&amp;":"&amp;XLOOKUP(EN$3,'TTM Dates'!$B:$B,'TTM Dates'!$C:$C)&amp;ROW($BW25))))</f>
        <v>4557080.94</v>
      </c>
      <c r="EO25" s="136">
        <f t="array" ref="EO25">IF(EO$3&gt;'GAAP Summary'!$B$2,0,SUM(INDIRECT(XLOOKUP(EO$3,'TTM Dates'!$B:$B,'TTM Dates'!$E:$E)&amp;ROW($BW25)&amp;":"&amp;XLOOKUP(EO$3,'TTM Dates'!$B:$B,'TTM Dates'!$C:$C)&amp;ROW($BW25))))</f>
        <v>5686937.69</v>
      </c>
      <c r="EP25" s="136">
        <f t="array" ref="EP25">IF(EP$3&gt;'GAAP Summary'!$B$2,0,SUM(INDIRECT(XLOOKUP(EP$3,'TTM Dates'!$B:$B,'TTM Dates'!$E:$E)&amp;ROW($BW25)&amp;":"&amp;XLOOKUP(EP$3,'TTM Dates'!$B:$B,'TTM Dates'!$C:$C)&amp;ROW($BW25))))</f>
        <v>6944472.32</v>
      </c>
      <c r="EQ25" s="136">
        <f t="array" ref="EQ25">IF(EQ$3&gt;'GAAP Summary'!$B$2,0,SUM(INDIRECT(XLOOKUP(EQ$3,'TTM Dates'!$B:$B,'TTM Dates'!$E:$E)&amp;ROW($BW25)&amp;":"&amp;XLOOKUP(EQ$3,'TTM Dates'!$B:$B,'TTM Dates'!$C:$C)&amp;ROW($BW25))))</f>
        <v>8300554.16</v>
      </c>
      <c r="ER25" s="136">
        <f t="array" ref="ER25">IF(ER$3&gt;'GAAP Summary'!$B$2,0,SUM(INDIRECT(XLOOKUP(ER$3,'TTM Dates'!$B:$B,'TTM Dates'!$E:$E)&amp;ROW($BW25)&amp;":"&amp;XLOOKUP(ER$3,'TTM Dates'!$B:$B,'TTM Dates'!$C:$C)&amp;ROW($BW25))))</f>
        <v>9596987.28</v>
      </c>
      <c r="ES25" s="136">
        <f t="array" ref="ES25">IF(ES$3&gt;'GAAP Summary'!$B$2,0,SUM(INDIRECT(XLOOKUP(ES$3,'TTM Dates'!$B:$B,'TTM Dates'!$E:$E)&amp;ROW($BW25)&amp;":"&amp;XLOOKUP(ES$3,'TTM Dates'!$B:$B,'TTM Dates'!$C:$C)&amp;ROW($BW25))))</f>
        <v>11212606.68</v>
      </c>
      <c r="ET25" s="136">
        <f t="array" ref="ET25">IF(ET$3&gt;'GAAP Summary'!$B$2,0,SUM(INDIRECT(XLOOKUP(ET$3,'TTM Dates'!$B:$B,'TTM Dates'!$E:$E)&amp;ROW($BW25)&amp;":"&amp;XLOOKUP(ET$3,'TTM Dates'!$B:$B,'TTM Dates'!$C:$C)&amp;ROW($BW25))))</f>
        <v>12660730.27</v>
      </c>
      <c r="EU25" s="136">
        <f t="array" ref="EU25">IF(EU$3&gt;'GAAP Summary'!$B$2,0,SUM(INDIRECT(XLOOKUP(EU$3,'TTM Dates'!$B:$B,'TTM Dates'!$E:$E)&amp;ROW($BW25)&amp;":"&amp;XLOOKUP(EU$3,'TTM Dates'!$B:$B,'TTM Dates'!$C:$C)&amp;ROW($BW25))))</f>
        <v>14149667.34</v>
      </c>
      <c r="EV25" s="136">
        <f t="array" ref="EV25">IF(EV$3&gt;'GAAP Summary'!$B$2,0,SUM(INDIRECT(XLOOKUP(EV$3,'TTM Dates'!$B:$B,'TTM Dates'!$E:$E)&amp;ROW($BW25)&amp;":"&amp;XLOOKUP(EV$3,'TTM Dates'!$B:$B,'TTM Dates'!$C:$C)&amp;ROW($BW25))))</f>
        <v>14912057.51</v>
      </c>
      <c r="EW25" s="136">
        <f t="array" ref="EW25">IF(EW$3&gt;'GAAP Summary'!$B$2,0,SUM(INDIRECT(XLOOKUP(EW$3,'TTM Dates'!$B:$B,'TTM Dates'!$E:$E)&amp;ROW($BW25)&amp;":"&amp;XLOOKUP(EW$3,'TTM Dates'!$B:$B,'TTM Dates'!$C:$C)&amp;ROW($BW25))))</f>
        <v>15679264.92</v>
      </c>
      <c r="EX25" s="136">
        <f t="array" ref="EX25">IF(EX$3&gt;'GAAP Summary'!$B$2,0,SUM(INDIRECT(XLOOKUP(EX$3,'TTM Dates'!$B:$B,'TTM Dates'!$E:$E)&amp;ROW($BW25)&amp;":"&amp;XLOOKUP(EX$3,'TTM Dates'!$B:$B,'TTM Dates'!$C:$C)&amp;ROW($BW25))))</f>
        <v>16554260.08</v>
      </c>
      <c r="EY25" s="136">
        <f t="array" ref="EY25">IF(EY$3&gt;'GAAP Summary'!$B$2,0,SUM(INDIRECT(XLOOKUP(EY$3,'TTM Dates'!$B:$B,'TTM Dates'!$E:$E)&amp;ROW($BW25)&amp;":"&amp;XLOOKUP(EY$3,'TTM Dates'!$B:$B,'TTM Dates'!$C:$C)&amp;ROW($BW25))))</f>
        <v>17301880.76</v>
      </c>
      <c r="EZ25" s="136">
        <f t="array" ref="EZ25">IF(EZ$3&gt;'GAAP Summary'!$B$2,0,SUM(INDIRECT(XLOOKUP(EZ$3,'TTM Dates'!$B:$B,'TTM Dates'!$E:$E)&amp;ROW($BW25)&amp;":"&amp;XLOOKUP(EZ$3,'TTM Dates'!$B:$B,'TTM Dates'!$C:$C)&amp;ROW($BW25))))</f>
        <v>17926137.4</v>
      </c>
      <c r="FA25" s="136">
        <f t="array" ref="FA25">IF(FA$3&gt;'GAAP Summary'!$B$2,0,SUM(INDIRECT(XLOOKUP(FA$3,'TTM Dates'!$B:$B,'TTM Dates'!$E:$E)&amp;ROW($BW25)&amp;":"&amp;XLOOKUP(FA$3,'TTM Dates'!$B:$B,'TTM Dates'!$C:$C)&amp;ROW($BW25))))</f>
        <v>18650229.65</v>
      </c>
      <c r="FB25" s="136">
        <f t="array" ref="FB25">IF(FB$3&gt;'GAAP Summary'!$B$2,0,SUM(INDIRECT(XLOOKUP(FB$3,'TTM Dates'!$B:$B,'TTM Dates'!$E:$E)&amp;ROW($BW25)&amp;":"&amp;XLOOKUP(FB$3,'TTM Dates'!$B:$B,'TTM Dates'!$C:$C)&amp;ROW($BW25))))</f>
        <v>19661067.02</v>
      </c>
      <c r="FC25" s="136">
        <f t="array" ref="FC25">IF(FC$3&gt;'GAAP Summary'!$B$2,0,SUM(INDIRECT(XLOOKUP(FC$3,'TTM Dates'!$B:$B,'TTM Dates'!$E:$E)&amp;ROW($BW25)&amp;":"&amp;XLOOKUP(FC$3,'TTM Dates'!$B:$B,'TTM Dates'!$C:$C)&amp;ROW($BW25))))</f>
        <v>20344986.18</v>
      </c>
      <c r="FD25" s="136">
        <f t="array" ref="FD25">IF(FD$3&gt;'GAAP Summary'!$B$2,0,SUM(INDIRECT(XLOOKUP(FD$3,'TTM Dates'!$B:$B,'TTM Dates'!$E:$E)&amp;ROW($BW25)&amp;":"&amp;XLOOKUP(FD$3,'TTM Dates'!$B:$B,'TTM Dates'!$C:$C)&amp;ROW($BW25))))</f>
        <v>19048553.06</v>
      </c>
      <c r="FE25" s="136">
        <f t="array" ref="FE25">IF(FE$3&gt;'GAAP Summary'!$B$2,0,SUM(INDIRECT(XLOOKUP(FE$3,'TTM Dates'!$B:$B,'TTM Dates'!$E:$E)&amp;ROW($BW25)&amp;":"&amp;XLOOKUP(FE$3,'TTM Dates'!$B:$B,'TTM Dates'!$C:$C)&amp;ROW($BW25))))</f>
        <v>17432933.66</v>
      </c>
      <c r="FF25" s="136">
        <f t="array" ref="FF25">IF(FF$3&gt;'GAAP Summary'!$B$2,0,SUM(INDIRECT(XLOOKUP(FF$3,'TTM Dates'!$B:$B,'TTM Dates'!$E:$E)&amp;ROW($BW25)&amp;":"&amp;XLOOKUP(FF$3,'TTM Dates'!$B:$B,'TTM Dates'!$C:$C)&amp;ROW($BW25))))</f>
        <v>15984810.07</v>
      </c>
      <c r="FG25" s="136">
        <f t="array" ref="FG25">IF(FG$3&gt;'GAAP Summary'!$B$2,0,SUM(INDIRECT(XLOOKUP(FG$3,'TTM Dates'!$B:$B,'TTM Dates'!$E:$E)&amp;ROW($BW25)&amp;":"&amp;XLOOKUP(FG$3,'TTM Dates'!$B:$B,'TTM Dates'!$C:$C)&amp;ROW($BW25))))</f>
        <v>14495873</v>
      </c>
      <c r="FH25" s="136"/>
    </row>
    <row r="26" outlineLevel="1">
      <c r="B26" s="135" t="s">
        <v>322</v>
      </c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7"/>
      <c r="AN26" s="137"/>
      <c r="AO26" s="137"/>
      <c r="AP26" s="137"/>
      <c r="AQ26" s="137"/>
      <c r="AR26" s="137"/>
      <c r="AS26" s="137"/>
      <c r="AT26" s="137"/>
      <c r="AU26" s="136"/>
      <c r="AV26" s="137"/>
      <c r="AW26" s="137"/>
      <c r="AX26" s="137"/>
      <c r="AY26" s="137">
        <v>0.0</v>
      </c>
      <c r="AZ26" s="137">
        <v>52800.0</v>
      </c>
      <c r="BA26" s="137">
        <v>0.0</v>
      </c>
      <c r="BB26" s="137">
        <v>0.0</v>
      </c>
      <c r="BC26" s="137">
        <v>0.0</v>
      </c>
      <c r="BD26" s="137">
        <v>0.0</v>
      </c>
      <c r="BE26" s="137">
        <v>5833.0</v>
      </c>
      <c r="BF26" s="137">
        <v>5833.0</v>
      </c>
      <c r="BG26" s="137">
        <v>5833.0</v>
      </c>
      <c r="BH26" s="137">
        <v>5833.0</v>
      </c>
      <c r="BI26" s="137">
        <v>5833.0</v>
      </c>
      <c r="BJ26" s="137">
        <v>5833.0</v>
      </c>
      <c r="BK26" s="137">
        <v>5833.0</v>
      </c>
      <c r="BL26" s="137">
        <v>5833.0</v>
      </c>
      <c r="BM26" s="137">
        <v>5833.0</v>
      </c>
      <c r="BN26" s="137">
        <v>5833.0</v>
      </c>
      <c r="BO26" s="137">
        <v>5833.0</v>
      </c>
      <c r="BP26" s="137">
        <v>5833.0</v>
      </c>
      <c r="BQ26" s="137">
        <v>0.0</v>
      </c>
      <c r="BR26" s="137"/>
      <c r="BS26" s="137"/>
      <c r="BT26" s="137"/>
      <c r="BU26" s="137"/>
      <c r="BV26" s="137"/>
      <c r="BW26" s="33"/>
      <c r="BX26" s="288" t="str">
        <f t="array" ref="BX26">SUM(INDIRECT(XLOOKUP('GAAP Summary'!$B$2,'TTM Dates'!$B:$B,'TTM Dates'!$E:$E)&amp;ROW($BW26)&amp;":"&amp;XLOOKUP('GAAP Summary'!$B$2,'TTM Dates'!$B:$B,'TTM Dates'!$C:$C)&amp;ROW($BW26)))</f>
        <v>#REF!</v>
      </c>
      <c r="BY26" s="136"/>
      <c r="BZ26" s="136">
        <f t="shared" si="54"/>
        <v>17499</v>
      </c>
      <c r="CA26" s="136">
        <f t="shared" si="55"/>
        <v>17499</v>
      </c>
      <c r="CB26" s="136">
        <f t="shared" si="56"/>
        <v>0</v>
      </c>
      <c r="CC26" s="136">
        <f t="shared" si="57"/>
        <v>0</v>
      </c>
      <c r="CD26" s="292">
        <f t="shared" si="58"/>
        <v>34998</v>
      </c>
      <c r="CE26" s="136"/>
      <c r="CF26" s="136">
        <f t="shared" si="59"/>
        <v>52800</v>
      </c>
      <c r="CG26" s="136">
        <f t="shared" si="60"/>
        <v>0</v>
      </c>
      <c r="CH26" s="136">
        <f t="shared" si="61"/>
        <v>17499</v>
      </c>
      <c r="CI26" s="136">
        <f t="shared" si="62"/>
        <v>17499</v>
      </c>
      <c r="CJ26" s="292">
        <f t="shared" si="63"/>
        <v>87798</v>
      </c>
      <c r="CK26" s="136"/>
      <c r="CL26" s="136">
        <f t="shared" si="64"/>
        <v>0</v>
      </c>
      <c r="CM26" s="136">
        <f t="shared" si="65"/>
        <v>0</v>
      </c>
      <c r="CN26" s="136">
        <f t="shared" si="66"/>
        <v>0</v>
      </c>
      <c r="CO26" s="136">
        <f t="shared" si="67"/>
        <v>0</v>
      </c>
      <c r="CP26" s="292">
        <f t="shared" si="68"/>
        <v>0</v>
      </c>
      <c r="CQ26" s="136"/>
      <c r="CR26" s="137">
        <f t="shared" si="69"/>
        <v>0</v>
      </c>
      <c r="CS26" s="137">
        <f t="shared" si="70"/>
        <v>0</v>
      </c>
      <c r="CT26" s="137">
        <f t="shared" si="71"/>
        <v>0</v>
      </c>
      <c r="CU26" s="137">
        <f t="shared" si="72"/>
        <v>0</v>
      </c>
      <c r="CV26" s="142">
        <f t="shared" si="73"/>
        <v>0</v>
      </c>
      <c r="CW26" s="136"/>
      <c r="CX26" s="292"/>
      <c r="CY26" s="136"/>
      <c r="CZ26" s="136">
        <f t="array" ref="CZ26">IF(CZ$3&gt;'GAAP Summary'!$B$2,0,SUM(INDIRECT(XLOOKUP(CZ$3,'TTM Dates'!$B:$B,'TTM Dates'!$E:$E)&amp;ROW($BW26)&amp;":"&amp;XLOOKUP(CZ$3,'TTM Dates'!$B:$B,'TTM Dates'!$C:$C)&amp;ROW($BW26))))</f>
        <v>0</v>
      </c>
      <c r="DA26" s="136">
        <f t="array" ref="DA26">IF(DA$3&gt;'GAAP Summary'!$B$2,0,SUM(INDIRECT(XLOOKUP(DA$3,'TTM Dates'!$B:$B,'TTM Dates'!$E:$E)&amp;ROW($BW26)&amp;":"&amp;XLOOKUP(DA$3,'TTM Dates'!$B:$B,'TTM Dates'!$C:$C)&amp;ROW($BW26))))</f>
        <v>0</v>
      </c>
      <c r="DB26" s="136">
        <f t="array" ref="DB26">IF(DB$3&gt;'GAAP Summary'!$B$2,0,SUM(INDIRECT(XLOOKUP(DB$3,'TTM Dates'!$B:$B,'TTM Dates'!$E:$E)&amp;ROW($BW26)&amp;":"&amp;XLOOKUP(DB$3,'TTM Dates'!$B:$B,'TTM Dates'!$C:$C)&amp;ROW($BW26))))</f>
        <v>0</v>
      </c>
      <c r="DC26" s="136">
        <f t="array" ref="DC26">IF(DC$3&gt;'GAAP Summary'!$B$2,0,SUM(INDIRECT(XLOOKUP(DC$3,'TTM Dates'!$B:$B,'TTM Dates'!$E:$E)&amp;ROW($BW26)&amp;":"&amp;XLOOKUP(DC$3,'TTM Dates'!$B:$B,'TTM Dates'!$C:$C)&amp;ROW($BW26))))</f>
        <v>0</v>
      </c>
      <c r="DD26" s="136">
        <f t="array" ref="DD26">IF(DD$3&gt;'GAAP Summary'!$B$2,0,SUM(INDIRECT(XLOOKUP(DD$3,'TTM Dates'!$B:$B,'TTM Dates'!$E:$E)&amp;ROW($BW26)&amp;":"&amp;XLOOKUP(DD$3,'TTM Dates'!$B:$B,'TTM Dates'!$C:$C)&amp;ROW($BW26))))</f>
        <v>0</v>
      </c>
      <c r="DE26" s="136">
        <f t="array" ref="DE26">IF(DE$3&gt;'GAAP Summary'!$B$2,0,SUM(INDIRECT(XLOOKUP(DE$3,'TTM Dates'!$B:$B,'TTM Dates'!$E:$E)&amp;ROW($BW26)&amp;":"&amp;XLOOKUP(DE$3,'TTM Dates'!$B:$B,'TTM Dates'!$C:$C)&amp;ROW($BW26))))</f>
        <v>0</v>
      </c>
      <c r="DF26" s="136">
        <f t="array" ref="DF26">IF(DF$3&gt;'GAAP Summary'!$B$2,0,SUM(INDIRECT(XLOOKUP(DF$3,'TTM Dates'!$B:$B,'TTM Dates'!$E:$E)&amp;ROW($BW26)&amp;":"&amp;XLOOKUP(DF$3,'TTM Dates'!$B:$B,'TTM Dates'!$C:$C)&amp;ROW($BW26))))</f>
        <v>0</v>
      </c>
      <c r="DG26" s="136">
        <f t="array" ref="DG26">IF(DG$3&gt;'GAAP Summary'!$B$2,0,SUM(INDIRECT(XLOOKUP(DG$3,'TTM Dates'!$B:$B,'TTM Dates'!$E:$E)&amp;ROW($BW26)&amp;":"&amp;XLOOKUP(DG$3,'TTM Dates'!$B:$B,'TTM Dates'!$C:$C)&amp;ROW($BW26))))</f>
        <v>0</v>
      </c>
      <c r="DH26" s="136">
        <f t="array" ref="DH26">IF(DH$3&gt;'GAAP Summary'!$B$2,0,SUM(INDIRECT(XLOOKUP(DH$3,'TTM Dates'!$B:$B,'TTM Dates'!$E:$E)&amp;ROW($BW26)&amp;":"&amp;XLOOKUP(DH$3,'TTM Dates'!$B:$B,'TTM Dates'!$C:$C)&amp;ROW($BW26))))</f>
        <v>0</v>
      </c>
      <c r="DI26" s="136">
        <f t="array" ref="DI26">IF(DI$3&gt;'GAAP Summary'!$B$2,0,SUM(INDIRECT(XLOOKUP(DI$3,'TTM Dates'!$B:$B,'TTM Dates'!$E:$E)&amp;ROW($BW26)&amp;":"&amp;XLOOKUP(DI$3,'TTM Dates'!$B:$B,'TTM Dates'!$C:$C)&amp;ROW($BW26))))</f>
        <v>0</v>
      </c>
      <c r="DJ26" s="136">
        <f t="array" ref="DJ26">IF(DJ$3&gt;'GAAP Summary'!$B$2,0,SUM(INDIRECT(XLOOKUP(DJ$3,'TTM Dates'!$B:$B,'TTM Dates'!$E:$E)&amp;ROW($BW26)&amp;":"&amp;XLOOKUP(DJ$3,'TTM Dates'!$B:$B,'TTM Dates'!$C:$C)&amp;ROW($BW26))))</f>
        <v>0</v>
      </c>
      <c r="DK26" s="136">
        <f t="array" ref="DK26">IF(DK$3&gt;'GAAP Summary'!$B$2,0,SUM(INDIRECT(XLOOKUP(DK$3,'TTM Dates'!$B:$B,'TTM Dates'!$E:$E)&amp;ROW($BW26)&amp;":"&amp;XLOOKUP(DK$3,'TTM Dates'!$B:$B,'TTM Dates'!$C:$C)&amp;ROW($BW26))))</f>
        <v>0</v>
      </c>
      <c r="DL26" s="136">
        <f t="array" ref="DL26">IF(DL$3&gt;'GAAP Summary'!$B$2,0,SUM(INDIRECT(XLOOKUP(DL$3,'TTM Dates'!$B:$B,'TTM Dates'!$E:$E)&amp;ROW($BW26)&amp;":"&amp;XLOOKUP(DL$3,'TTM Dates'!$B:$B,'TTM Dates'!$C:$C)&amp;ROW($BW26))))</f>
        <v>0</v>
      </c>
      <c r="DM26" s="136">
        <f t="array" ref="DM26">IF(DM$3&gt;'GAAP Summary'!$B$2,0,SUM(INDIRECT(XLOOKUP(DM$3,'TTM Dates'!$B:$B,'TTM Dates'!$E:$E)&amp;ROW($BW26)&amp;":"&amp;XLOOKUP(DM$3,'TTM Dates'!$B:$B,'TTM Dates'!$C:$C)&amp;ROW($BW26))))</f>
        <v>0</v>
      </c>
      <c r="DN26" s="136">
        <f t="array" ref="DN26">IF(DN$3&gt;'GAAP Summary'!$B$2,0,SUM(INDIRECT(XLOOKUP(DN$3,'TTM Dates'!$B:$B,'TTM Dates'!$E:$E)&amp;ROW($BW26)&amp;":"&amp;XLOOKUP(DN$3,'TTM Dates'!$B:$B,'TTM Dates'!$C:$C)&amp;ROW($BW26))))</f>
        <v>0</v>
      </c>
      <c r="DO26" s="136">
        <f t="array" ref="DO26">IF(DO$3&gt;'GAAP Summary'!$B$2,0,SUM(INDIRECT(XLOOKUP(DO$3,'TTM Dates'!$B:$B,'TTM Dates'!$E:$E)&amp;ROW($BW26)&amp;":"&amp;XLOOKUP(DO$3,'TTM Dates'!$B:$B,'TTM Dates'!$C:$C)&amp;ROW($BW26))))</f>
        <v>0</v>
      </c>
      <c r="DP26" s="136">
        <f t="array" ref="DP26">IF(DP$3&gt;'GAAP Summary'!$B$2,0,SUM(INDIRECT(XLOOKUP(DP$3,'TTM Dates'!$B:$B,'TTM Dates'!$E:$E)&amp;ROW($BW26)&amp;":"&amp;XLOOKUP(DP$3,'TTM Dates'!$B:$B,'TTM Dates'!$C:$C)&amp;ROW($BW26))))</f>
        <v>0</v>
      </c>
      <c r="DQ26" s="136">
        <f t="array" ref="DQ26">IF(DQ$3&gt;'GAAP Summary'!$B$2,0,SUM(INDIRECT(XLOOKUP(DQ$3,'TTM Dates'!$B:$B,'TTM Dates'!$E:$E)&amp;ROW($BW26)&amp;":"&amp;XLOOKUP(DQ$3,'TTM Dates'!$B:$B,'TTM Dates'!$C:$C)&amp;ROW($BW26))))</f>
        <v>0</v>
      </c>
      <c r="DR26" s="136">
        <f t="array" ref="DR26">IF(DR$3&gt;'GAAP Summary'!$B$2,0,SUM(INDIRECT(XLOOKUP(DR$3,'TTM Dates'!$B:$B,'TTM Dates'!$E:$E)&amp;ROW($BW26)&amp;":"&amp;XLOOKUP(DR$3,'TTM Dates'!$B:$B,'TTM Dates'!$C:$C)&amp;ROW($BW26))))</f>
        <v>0</v>
      </c>
      <c r="DS26" s="136">
        <f t="array" ref="DS26">IF(DS$3&gt;'GAAP Summary'!$B$2,0,SUM(INDIRECT(XLOOKUP(DS$3,'TTM Dates'!$B:$B,'TTM Dates'!$E:$E)&amp;ROW($BW26)&amp;":"&amp;XLOOKUP(DS$3,'TTM Dates'!$B:$B,'TTM Dates'!$C:$C)&amp;ROW($BW26))))</f>
        <v>0</v>
      </c>
      <c r="DT26" s="136">
        <f t="array" ref="DT26">IF(DT$3&gt;'GAAP Summary'!$B$2,0,SUM(INDIRECT(XLOOKUP(DT$3,'TTM Dates'!$B:$B,'TTM Dates'!$E:$E)&amp;ROW($BW26)&amp;":"&amp;XLOOKUP(DT$3,'TTM Dates'!$B:$B,'TTM Dates'!$C:$C)&amp;ROW($BW26))))</f>
        <v>0</v>
      </c>
      <c r="DU26" s="136">
        <f t="array" ref="DU26">IF(DU$3&gt;'GAAP Summary'!$B$2,0,SUM(INDIRECT(XLOOKUP(DU$3,'TTM Dates'!$B:$B,'TTM Dates'!$E:$E)&amp;ROW($BW26)&amp;":"&amp;XLOOKUP(DU$3,'TTM Dates'!$B:$B,'TTM Dates'!$C:$C)&amp;ROW($BW26))))</f>
        <v>0</v>
      </c>
      <c r="DV26" s="136">
        <f t="array" ref="DV26">IF(DV$3&gt;'GAAP Summary'!$B$2,0,SUM(INDIRECT(XLOOKUP(DV$3,'TTM Dates'!$B:$B,'TTM Dates'!$E:$E)&amp;ROW($BW26)&amp;":"&amp;XLOOKUP(DV$3,'TTM Dates'!$B:$B,'TTM Dates'!$C:$C)&amp;ROW($BW26))))</f>
        <v>0</v>
      </c>
      <c r="DW26" s="136">
        <f t="array" ref="DW26">IF(DW$3&gt;'GAAP Summary'!$B$2,0,SUM(INDIRECT(XLOOKUP(DW$3,'TTM Dates'!$B:$B,'TTM Dates'!$E:$E)&amp;ROW($BW26)&amp;":"&amp;XLOOKUP(DW$3,'TTM Dates'!$B:$B,'TTM Dates'!$C:$C)&amp;ROW($BW26))))</f>
        <v>0</v>
      </c>
      <c r="DX26" s="136">
        <f t="array" ref="DX26">IF(DX$3&gt;'GAAP Summary'!$B$2,0,SUM(INDIRECT(XLOOKUP(DX$3,'TTM Dates'!$B:$B,'TTM Dates'!$E:$E)&amp;ROW($BW26)&amp;":"&amp;XLOOKUP(DX$3,'TTM Dates'!$B:$B,'TTM Dates'!$C:$C)&amp;ROW($BW26))))</f>
        <v>0</v>
      </c>
      <c r="DY26" s="136">
        <f t="array" ref="DY26">IF(DY$3&gt;'GAAP Summary'!$B$2,0,SUM(INDIRECT(XLOOKUP(DY$3,'TTM Dates'!$B:$B,'TTM Dates'!$E:$E)&amp;ROW($BW26)&amp;":"&amp;XLOOKUP(DY$3,'TTM Dates'!$B:$B,'TTM Dates'!$C:$C)&amp;ROW($BW26))))</f>
        <v>0</v>
      </c>
      <c r="DZ26" s="136">
        <f t="array" ref="DZ26">IF(DZ$3&gt;'GAAP Summary'!$B$2,0,SUM(INDIRECT(XLOOKUP(DZ$3,'TTM Dates'!$B:$B,'TTM Dates'!$E:$E)&amp;ROW($BW26)&amp;":"&amp;XLOOKUP(DZ$3,'TTM Dates'!$B:$B,'TTM Dates'!$C:$C)&amp;ROW($BW26))))</f>
        <v>0</v>
      </c>
      <c r="EA26" s="136">
        <f t="array" ref="EA26">IF(EA$3&gt;'GAAP Summary'!$B$2,0,SUM(INDIRECT(XLOOKUP(EA$3,'TTM Dates'!$B:$B,'TTM Dates'!$E:$E)&amp;ROW($BW26)&amp;":"&amp;XLOOKUP(EA$3,'TTM Dates'!$B:$B,'TTM Dates'!$C:$C)&amp;ROW($BW26))))</f>
        <v>0</v>
      </c>
      <c r="EB26" s="136">
        <f t="array" ref="EB26">IF(EB$3&gt;'GAAP Summary'!$B$2,0,SUM(INDIRECT(XLOOKUP(EB$3,'TTM Dates'!$B:$B,'TTM Dates'!$E:$E)&amp;ROW($BW26)&amp;":"&amp;XLOOKUP(EB$3,'TTM Dates'!$B:$B,'TTM Dates'!$C:$C)&amp;ROW($BW26))))</f>
        <v>0</v>
      </c>
      <c r="EC26" s="136">
        <f t="array" ref="EC26">IF(EC$3&gt;'GAAP Summary'!$B$2,0,SUM(INDIRECT(XLOOKUP(EC$3,'TTM Dates'!$B:$B,'TTM Dates'!$E:$E)&amp;ROW($BW26)&amp;":"&amp;XLOOKUP(EC$3,'TTM Dates'!$B:$B,'TTM Dates'!$C:$C)&amp;ROW($BW26))))</f>
        <v>0</v>
      </c>
      <c r="ED26" s="136">
        <f t="array" ref="ED26">IF(ED$3&gt;'GAAP Summary'!$B$2,0,SUM(INDIRECT(XLOOKUP(ED$3,'TTM Dates'!$B:$B,'TTM Dates'!$E:$E)&amp;ROW($BW26)&amp;":"&amp;XLOOKUP(ED$3,'TTM Dates'!$B:$B,'TTM Dates'!$C:$C)&amp;ROW($BW26))))</f>
        <v>0</v>
      </c>
      <c r="EE26" s="136">
        <f t="array" ref="EE26">IF(EE$3&gt;'GAAP Summary'!$B$2,0,SUM(INDIRECT(XLOOKUP(EE$3,'TTM Dates'!$B:$B,'TTM Dates'!$E:$E)&amp;ROW($BW26)&amp;":"&amp;XLOOKUP(EE$3,'TTM Dates'!$B:$B,'TTM Dates'!$C:$C)&amp;ROW($BW26))))</f>
        <v>0</v>
      </c>
      <c r="EF26" s="136">
        <f t="array" ref="EF26">IF(EF$3&gt;'GAAP Summary'!$B$2,0,SUM(INDIRECT(XLOOKUP(EF$3,'TTM Dates'!$B:$B,'TTM Dates'!$E:$E)&amp;ROW($BW26)&amp;":"&amp;XLOOKUP(EF$3,'TTM Dates'!$B:$B,'TTM Dates'!$C:$C)&amp;ROW($BW26))))</f>
        <v>0</v>
      </c>
      <c r="EG26" s="136">
        <f t="array" ref="EG26">IF(EG$3&gt;'GAAP Summary'!$B$2,0,SUM(INDIRECT(XLOOKUP(EG$3,'TTM Dates'!$B:$B,'TTM Dates'!$E:$E)&amp;ROW($BW26)&amp;":"&amp;XLOOKUP(EG$3,'TTM Dates'!$B:$B,'TTM Dates'!$C:$C)&amp;ROW($BW26))))</f>
        <v>0</v>
      </c>
      <c r="EH26" s="136">
        <f t="array" ref="EH26">IF(EH$3&gt;'GAAP Summary'!$B$2,0,SUM(INDIRECT(XLOOKUP(EH$3,'TTM Dates'!$B:$B,'TTM Dates'!$E:$E)&amp;ROW($BW26)&amp;":"&amp;XLOOKUP(EH$3,'TTM Dates'!$B:$B,'TTM Dates'!$C:$C)&amp;ROW($BW26))))</f>
        <v>0</v>
      </c>
      <c r="EI26" s="136">
        <f t="array" ref="EI26">IF(EI$3&gt;'GAAP Summary'!$B$2,0,SUM(INDIRECT(XLOOKUP(EI$3,'TTM Dates'!$B:$B,'TTM Dates'!$E:$E)&amp;ROW($BW26)&amp;":"&amp;XLOOKUP(EI$3,'TTM Dates'!$B:$B,'TTM Dates'!$C:$C)&amp;ROW($BW26))))</f>
        <v>0</v>
      </c>
      <c r="EJ26" s="136">
        <f t="array" ref="EJ26">IF(EJ$3&gt;'GAAP Summary'!$B$2,0,SUM(INDIRECT(XLOOKUP(EJ$3,'TTM Dates'!$B:$B,'TTM Dates'!$E:$E)&amp;ROW($BW26)&amp;":"&amp;XLOOKUP(EJ$3,'TTM Dates'!$B:$B,'TTM Dates'!$C:$C)&amp;ROW($BW26))))</f>
        <v>0</v>
      </c>
      <c r="EK26" s="136">
        <f t="array" ref="EK26">IF(EK$3&gt;'GAAP Summary'!$B$2,0,SUM(INDIRECT(XLOOKUP(EK$3,'TTM Dates'!$B:$B,'TTM Dates'!$E:$E)&amp;ROW($BW26)&amp;":"&amp;XLOOKUP(EK$3,'TTM Dates'!$B:$B,'TTM Dates'!$C:$C)&amp;ROW($BW26))))</f>
        <v>52800</v>
      </c>
      <c r="EL26" s="136">
        <f t="array" ref="EL26">IF(EL$3&gt;'GAAP Summary'!$B$2,0,SUM(INDIRECT(XLOOKUP(EL$3,'TTM Dates'!$B:$B,'TTM Dates'!$E:$E)&amp;ROW($BW26)&amp;":"&amp;XLOOKUP(EL$3,'TTM Dates'!$B:$B,'TTM Dates'!$C:$C)&amp;ROW($BW26))))</f>
        <v>52800</v>
      </c>
      <c r="EM26" s="136">
        <f t="array" ref="EM26">IF(EM$3&gt;'GAAP Summary'!$B$2,0,SUM(INDIRECT(XLOOKUP(EM$3,'TTM Dates'!$B:$B,'TTM Dates'!$E:$E)&amp;ROW($BW26)&amp;":"&amp;XLOOKUP(EM$3,'TTM Dates'!$B:$B,'TTM Dates'!$C:$C)&amp;ROW($BW26))))</f>
        <v>52800</v>
      </c>
      <c r="EN26" s="136">
        <f t="array" ref="EN26">IF(EN$3&gt;'GAAP Summary'!$B$2,0,SUM(INDIRECT(XLOOKUP(EN$3,'TTM Dates'!$B:$B,'TTM Dates'!$E:$E)&amp;ROW($BW26)&amp;":"&amp;XLOOKUP(EN$3,'TTM Dates'!$B:$B,'TTM Dates'!$C:$C)&amp;ROW($BW26))))</f>
        <v>52800</v>
      </c>
      <c r="EO26" s="136">
        <f t="array" ref="EO26">IF(EO$3&gt;'GAAP Summary'!$B$2,0,SUM(INDIRECT(XLOOKUP(EO$3,'TTM Dates'!$B:$B,'TTM Dates'!$E:$E)&amp;ROW($BW26)&amp;":"&amp;XLOOKUP(EO$3,'TTM Dates'!$B:$B,'TTM Dates'!$C:$C)&amp;ROW($BW26))))</f>
        <v>52800</v>
      </c>
      <c r="EP26" s="136">
        <f t="array" ref="EP26">IF(EP$3&gt;'GAAP Summary'!$B$2,0,SUM(INDIRECT(XLOOKUP(EP$3,'TTM Dates'!$B:$B,'TTM Dates'!$E:$E)&amp;ROW($BW26)&amp;":"&amp;XLOOKUP(EP$3,'TTM Dates'!$B:$B,'TTM Dates'!$C:$C)&amp;ROW($BW26))))</f>
        <v>58633</v>
      </c>
      <c r="EQ26" s="136">
        <f t="array" ref="EQ26">IF(EQ$3&gt;'GAAP Summary'!$B$2,0,SUM(INDIRECT(XLOOKUP(EQ$3,'TTM Dates'!$B:$B,'TTM Dates'!$E:$E)&amp;ROW($BW26)&amp;":"&amp;XLOOKUP(EQ$3,'TTM Dates'!$B:$B,'TTM Dates'!$C:$C)&amp;ROW($BW26))))</f>
        <v>64466</v>
      </c>
      <c r="ER26" s="136">
        <f t="array" ref="ER26">IF(ER$3&gt;'GAAP Summary'!$B$2,0,SUM(INDIRECT(XLOOKUP(ER$3,'TTM Dates'!$B:$B,'TTM Dates'!$E:$E)&amp;ROW($BW26)&amp;":"&amp;XLOOKUP(ER$3,'TTM Dates'!$B:$B,'TTM Dates'!$C:$C)&amp;ROW($BW26))))</f>
        <v>70299</v>
      </c>
      <c r="ES26" s="136">
        <f t="array" ref="ES26">IF(ES$3&gt;'GAAP Summary'!$B$2,0,SUM(INDIRECT(XLOOKUP(ES$3,'TTM Dates'!$B:$B,'TTM Dates'!$E:$E)&amp;ROW($BW26)&amp;":"&amp;XLOOKUP(ES$3,'TTM Dates'!$B:$B,'TTM Dates'!$C:$C)&amp;ROW($BW26))))</f>
        <v>76132</v>
      </c>
      <c r="ET26" s="136">
        <f t="array" ref="ET26">IF(ET$3&gt;'GAAP Summary'!$B$2,0,SUM(INDIRECT(XLOOKUP(ET$3,'TTM Dates'!$B:$B,'TTM Dates'!$E:$E)&amp;ROW($BW26)&amp;":"&amp;XLOOKUP(ET$3,'TTM Dates'!$B:$B,'TTM Dates'!$C:$C)&amp;ROW($BW26))))</f>
        <v>81965</v>
      </c>
      <c r="EU26" s="136">
        <f t="array" ref="EU26">IF(EU$3&gt;'GAAP Summary'!$B$2,0,SUM(INDIRECT(XLOOKUP(EU$3,'TTM Dates'!$B:$B,'TTM Dates'!$E:$E)&amp;ROW($BW26)&amp;":"&amp;XLOOKUP(EU$3,'TTM Dates'!$B:$B,'TTM Dates'!$C:$C)&amp;ROW($BW26))))</f>
        <v>87798</v>
      </c>
      <c r="EV26" s="136">
        <f t="array" ref="EV26">IF(EV$3&gt;'GAAP Summary'!$B$2,0,SUM(INDIRECT(XLOOKUP(EV$3,'TTM Dates'!$B:$B,'TTM Dates'!$E:$E)&amp;ROW($BW26)&amp;":"&amp;XLOOKUP(EV$3,'TTM Dates'!$B:$B,'TTM Dates'!$C:$C)&amp;ROW($BW26))))</f>
        <v>93631</v>
      </c>
      <c r="EW26" s="136">
        <f t="array" ref="EW26">IF(EW$3&gt;'GAAP Summary'!$B$2,0,SUM(INDIRECT(XLOOKUP(EW$3,'TTM Dates'!$B:$B,'TTM Dates'!$E:$E)&amp;ROW($BW26)&amp;":"&amp;XLOOKUP(EW$3,'TTM Dates'!$B:$B,'TTM Dates'!$C:$C)&amp;ROW($BW26))))</f>
        <v>46664</v>
      </c>
      <c r="EX26" s="136">
        <f t="array" ref="EX26">IF(EX$3&gt;'GAAP Summary'!$B$2,0,SUM(INDIRECT(XLOOKUP(EX$3,'TTM Dates'!$B:$B,'TTM Dates'!$E:$E)&amp;ROW($BW26)&amp;":"&amp;XLOOKUP(EX$3,'TTM Dates'!$B:$B,'TTM Dates'!$C:$C)&amp;ROW($BW26))))</f>
        <v>52497</v>
      </c>
      <c r="EY26" s="136">
        <f t="array" ref="EY26">IF(EY$3&gt;'GAAP Summary'!$B$2,0,SUM(INDIRECT(XLOOKUP(EY$3,'TTM Dates'!$B:$B,'TTM Dates'!$E:$E)&amp;ROW($BW26)&amp;":"&amp;XLOOKUP(EY$3,'TTM Dates'!$B:$B,'TTM Dates'!$C:$C)&amp;ROW($BW26))))</f>
        <v>58330</v>
      </c>
      <c r="EZ26" s="136">
        <f t="array" ref="EZ26">IF(EZ$3&gt;'GAAP Summary'!$B$2,0,SUM(INDIRECT(XLOOKUP(EZ$3,'TTM Dates'!$B:$B,'TTM Dates'!$E:$E)&amp;ROW($BW26)&amp;":"&amp;XLOOKUP(EZ$3,'TTM Dates'!$B:$B,'TTM Dates'!$C:$C)&amp;ROW($BW26))))</f>
        <v>64163</v>
      </c>
      <c r="FA26" s="136">
        <f t="array" ref="FA26">IF(FA$3&gt;'GAAP Summary'!$B$2,0,SUM(INDIRECT(XLOOKUP(FA$3,'TTM Dates'!$B:$B,'TTM Dates'!$E:$E)&amp;ROW($BW26)&amp;":"&amp;XLOOKUP(FA$3,'TTM Dates'!$B:$B,'TTM Dates'!$C:$C)&amp;ROW($BW26))))</f>
        <v>69996</v>
      </c>
      <c r="FB26" s="136">
        <f t="array" ref="FB26">IF(FB$3&gt;'GAAP Summary'!$B$2,0,SUM(INDIRECT(XLOOKUP(FB$3,'TTM Dates'!$B:$B,'TTM Dates'!$E:$E)&amp;ROW($BW26)&amp;":"&amp;XLOOKUP(FB$3,'TTM Dates'!$B:$B,'TTM Dates'!$C:$C)&amp;ROW($BW26))))</f>
        <v>64163</v>
      </c>
      <c r="FC26" s="136">
        <f t="array" ref="FC26">IF(FC$3&gt;'GAAP Summary'!$B$2,0,SUM(INDIRECT(XLOOKUP(FC$3,'TTM Dates'!$B:$B,'TTM Dates'!$E:$E)&amp;ROW($BW26)&amp;":"&amp;XLOOKUP(FC$3,'TTM Dates'!$B:$B,'TTM Dates'!$C:$C)&amp;ROW($BW26))))</f>
        <v>58330</v>
      </c>
      <c r="FD26" s="136">
        <f t="array" ref="FD26">IF(FD$3&gt;'GAAP Summary'!$B$2,0,SUM(INDIRECT(XLOOKUP(FD$3,'TTM Dates'!$B:$B,'TTM Dates'!$E:$E)&amp;ROW($BW26)&amp;":"&amp;XLOOKUP(FD$3,'TTM Dates'!$B:$B,'TTM Dates'!$C:$C)&amp;ROW($BW26))))</f>
        <v>52497</v>
      </c>
      <c r="FE26" s="136">
        <f t="array" ref="FE26">IF(FE$3&gt;'GAAP Summary'!$B$2,0,SUM(INDIRECT(XLOOKUP(FE$3,'TTM Dates'!$B:$B,'TTM Dates'!$E:$E)&amp;ROW($BW26)&amp;":"&amp;XLOOKUP(FE$3,'TTM Dates'!$B:$B,'TTM Dates'!$C:$C)&amp;ROW($BW26))))</f>
        <v>46664</v>
      </c>
      <c r="FF26" s="136">
        <f t="array" ref="FF26">IF(FF$3&gt;'GAAP Summary'!$B$2,0,SUM(INDIRECT(XLOOKUP(FF$3,'TTM Dates'!$B:$B,'TTM Dates'!$E:$E)&amp;ROW($BW26)&amp;":"&amp;XLOOKUP(FF$3,'TTM Dates'!$B:$B,'TTM Dates'!$C:$C)&amp;ROW($BW26))))</f>
        <v>40831</v>
      </c>
      <c r="FG26" s="136">
        <f t="array" ref="FG26">IF(FG$3&gt;'GAAP Summary'!$B$2,0,SUM(INDIRECT(XLOOKUP(FG$3,'TTM Dates'!$B:$B,'TTM Dates'!$E:$E)&amp;ROW($BW26)&amp;":"&amp;XLOOKUP(FG$3,'TTM Dates'!$B:$B,'TTM Dates'!$C:$C)&amp;ROW($BW26))))</f>
        <v>34998</v>
      </c>
      <c r="FH26" s="136"/>
    </row>
    <row r="27" outlineLevel="1">
      <c r="B27" s="135" t="s">
        <v>467</v>
      </c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37"/>
      <c r="BJ27" s="137"/>
      <c r="BK27" s="137"/>
      <c r="BL27" s="137"/>
      <c r="BM27" s="137"/>
      <c r="BN27" s="137"/>
      <c r="BO27" s="137"/>
      <c r="BP27" s="137"/>
      <c r="BQ27" s="137"/>
      <c r="BR27" s="137"/>
      <c r="BS27" s="137"/>
      <c r="BT27" s="137"/>
      <c r="BU27" s="137"/>
      <c r="BV27" s="137"/>
      <c r="BW27" s="33"/>
      <c r="BX27" s="288" t="str">
        <f t="array" ref="BX27">SUM(INDIRECT(XLOOKUP('GAAP Summary'!$B$2,'TTM Dates'!$B:$B,'TTM Dates'!$E:$E)&amp;ROW($BW27)&amp;":"&amp;XLOOKUP('GAAP Summary'!$B$2,'TTM Dates'!$B:$B,'TTM Dates'!$C:$C)&amp;ROW($BW27)))</f>
        <v>#REF!</v>
      </c>
      <c r="BY27" s="136"/>
      <c r="BZ27" s="136">
        <f t="shared" si="54"/>
        <v>0</v>
      </c>
      <c r="CA27" s="136">
        <f t="shared" si="55"/>
        <v>0</v>
      </c>
      <c r="CB27" s="136">
        <f t="shared" si="56"/>
        <v>0</v>
      </c>
      <c r="CC27" s="136">
        <f t="shared" si="57"/>
        <v>0</v>
      </c>
      <c r="CD27" s="292">
        <f t="shared" si="58"/>
        <v>0</v>
      </c>
      <c r="CE27" s="136"/>
      <c r="CF27" s="136">
        <f t="shared" si="59"/>
        <v>0</v>
      </c>
      <c r="CG27" s="136">
        <f t="shared" si="60"/>
        <v>0</v>
      </c>
      <c r="CH27" s="136">
        <f t="shared" si="61"/>
        <v>0</v>
      </c>
      <c r="CI27" s="136">
        <f t="shared" si="62"/>
        <v>0</v>
      </c>
      <c r="CJ27" s="292">
        <f t="shared" si="63"/>
        <v>0</v>
      </c>
      <c r="CK27" s="136"/>
      <c r="CL27" s="136">
        <f t="shared" si="64"/>
        <v>0</v>
      </c>
      <c r="CM27" s="136">
        <f t="shared" si="65"/>
        <v>0</v>
      </c>
      <c r="CN27" s="136">
        <f t="shared" si="66"/>
        <v>0</v>
      </c>
      <c r="CO27" s="136">
        <f t="shared" si="67"/>
        <v>0</v>
      </c>
      <c r="CP27" s="292">
        <f t="shared" si="68"/>
        <v>0</v>
      </c>
      <c r="CQ27" s="136"/>
      <c r="CR27" s="137">
        <f t="shared" si="69"/>
        <v>0</v>
      </c>
      <c r="CS27" s="137">
        <f t="shared" si="70"/>
        <v>0</v>
      </c>
      <c r="CT27" s="137">
        <f t="shared" si="71"/>
        <v>0</v>
      </c>
      <c r="CU27" s="137">
        <f t="shared" si="72"/>
        <v>0</v>
      </c>
      <c r="CV27" s="142">
        <f t="shared" si="73"/>
        <v>0</v>
      </c>
      <c r="CW27" s="136"/>
      <c r="CX27" s="292"/>
      <c r="CY27" s="136"/>
      <c r="CZ27" s="136">
        <f t="array" ref="CZ27">IF(CZ$3&gt;'GAAP Summary'!$B$2,0,SUM(INDIRECT(XLOOKUP(CZ$3,'TTM Dates'!$B:$B,'TTM Dates'!$E:$E)&amp;ROW($BW27)&amp;":"&amp;XLOOKUP(CZ$3,'TTM Dates'!$B:$B,'TTM Dates'!$C:$C)&amp;ROW($BW27))))</f>
        <v>0</v>
      </c>
      <c r="DA27" s="136">
        <f t="array" ref="DA27">IF(DA$3&gt;'GAAP Summary'!$B$2,0,SUM(INDIRECT(XLOOKUP(DA$3,'TTM Dates'!$B:$B,'TTM Dates'!$E:$E)&amp;ROW($BW27)&amp;":"&amp;XLOOKUP(DA$3,'TTM Dates'!$B:$B,'TTM Dates'!$C:$C)&amp;ROW($BW27))))</f>
        <v>0</v>
      </c>
      <c r="DB27" s="136">
        <f t="array" ref="DB27">IF(DB$3&gt;'GAAP Summary'!$B$2,0,SUM(INDIRECT(XLOOKUP(DB$3,'TTM Dates'!$B:$B,'TTM Dates'!$E:$E)&amp;ROW($BW27)&amp;":"&amp;XLOOKUP(DB$3,'TTM Dates'!$B:$B,'TTM Dates'!$C:$C)&amp;ROW($BW27))))</f>
        <v>0</v>
      </c>
      <c r="DC27" s="136">
        <f t="array" ref="DC27">IF(DC$3&gt;'GAAP Summary'!$B$2,0,SUM(INDIRECT(XLOOKUP(DC$3,'TTM Dates'!$B:$B,'TTM Dates'!$E:$E)&amp;ROW($BW27)&amp;":"&amp;XLOOKUP(DC$3,'TTM Dates'!$B:$B,'TTM Dates'!$C:$C)&amp;ROW($BW27))))</f>
        <v>0</v>
      </c>
      <c r="DD27" s="136">
        <f t="array" ref="DD27">IF(DD$3&gt;'GAAP Summary'!$B$2,0,SUM(INDIRECT(XLOOKUP(DD$3,'TTM Dates'!$B:$B,'TTM Dates'!$E:$E)&amp;ROW($BW27)&amp;":"&amp;XLOOKUP(DD$3,'TTM Dates'!$B:$B,'TTM Dates'!$C:$C)&amp;ROW($BW27))))</f>
        <v>0</v>
      </c>
      <c r="DE27" s="136">
        <f t="array" ref="DE27">IF(DE$3&gt;'GAAP Summary'!$B$2,0,SUM(INDIRECT(XLOOKUP(DE$3,'TTM Dates'!$B:$B,'TTM Dates'!$E:$E)&amp;ROW($BW27)&amp;":"&amp;XLOOKUP(DE$3,'TTM Dates'!$B:$B,'TTM Dates'!$C:$C)&amp;ROW($BW27))))</f>
        <v>0</v>
      </c>
      <c r="DF27" s="136">
        <f t="array" ref="DF27">IF(DF$3&gt;'GAAP Summary'!$B$2,0,SUM(INDIRECT(XLOOKUP(DF$3,'TTM Dates'!$B:$B,'TTM Dates'!$E:$E)&amp;ROW($BW27)&amp;":"&amp;XLOOKUP(DF$3,'TTM Dates'!$B:$B,'TTM Dates'!$C:$C)&amp;ROW($BW27))))</f>
        <v>0</v>
      </c>
      <c r="DG27" s="136">
        <f t="array" ref="DG27">IF(DG$3&gt;'GAAP Summary'!$B$2,0,SUM(INDIRECT(XLOOKUP(DG$3,'TTM Dates'!$B:$B,'TTM Dates'!$E:$E)&amp;ROW($BW27)&amp;":"&amp;XLOOKUP(DG$3,'TTM Dates'!$B:$B,'TTM Dates'!$C:$C)&amp;ROW($BW27))))</f>
        <v>0</v>
      </c>
      <c r="DH27" s="136">
        <f t="array" ref="DH27">IF(DH$3&gt;'GAAP Summary'!$B$2,0,SUM(INDIRECT(XLOOKUP(DH$3,'TTM Dates'!$B:$B,'TTM Dates'!$E:$E)&amp;ROW($BW27)&amp;":"&amp;XLOOKUP(DH$3,'TTM Dates'!$B:$B,'TTM Dates'!$C:$C)&amp;ROW($BW27))))</f>
        <v>0</v>
      </c>
      <c r="DI27" s="136">
        <f t="array" ref="DI27">IF(DI$3&gt;'GAAP Summary'!$B$2,0,SUM(INDIRECT(XLOOKUP(DI$3,'TTM Dates'!$B:$B,'TTM Dates'!$E:$E)&amp;ROW($BW27)&amp;":"&amp;XLOOKUP(DI$3,'TTM Dates'!$B:$B,'TTM Dates'!$C:$C)&amp;ROW($BW27))))</f>
        <v>0</v>
      </c>
      <c r="DJ27" s="136">
        <f t="array" ref="DJ27">IF(DJ$3&gt;'GAAP Summary'!$B$2,0,SUM(INDIRECT(XLOOKUP(DJ$3,'TTM Dates'!$B:$B,'TTM Dates'!$E:$E)&amp;ROW($BW27)&amp;":"&amp;XLOOKUP(DJ$3,'TTM Dates'!$B:$B,'TTM Dates'!$C:$C)&amp;ROW($BW27))))</f>
        <v>0</v>
      </c>
      <c r="DK27" s="136">
        <f t="array" ref="DK27">IF(DK$3&gt;'GAAP Summary'!$B$2,0,SUM(INDIRECT(XLOOKUP(DK$3,'TTM Dates'!$B:$B,'TTM Dates'!$E:$E)&amp;ROW($BW27)&amp;":"&amp;XLOOKUP(DK$3,'TTM Dates'!$B:$B,'TTM Dates'!$C:$C)&amp;ROW($BW27))))</f>
        <v>0</v>
      </c>
      <c r="DL27" s="136">
        <f t="array" ref="DL27">IF(DL$3&gt;'GAAP Summary'!$B$2,0,SUM(INDIRECT(XLOOKUP(DL$3,'TTM Dates'!$B:$B,'TTM Dates'!$E:$E)&amp;ROW($BW27)&amp;":"&amp;XLOOKUP(DL$3,'TTM Dates'!$B:$B,'TTM Dates'!$C:$C)&amp;ROW($BW27))))</f>
        <v>0</v>
      </c>
      <c r="DM27" s="136">
        <f t="array" ref="DM27">IF(DM$3&gt;'GAAP Summary'!$B$2,0,SUM(INDIRECT(XLOOKUP(DM$3,'TTM Dates'!$B:$B,'TTM Dates'!$E:$E)&amp;ROW($BW27)&amp;":"&amp;XLOOKUP(DM$3,'TTM Dates'!$B:$B,'TTM Dates'!$C:$C)&amp;ROW($BW27))))</f>
        <v>0</v>
      </c>
      <c r="DN27" s="136">
        <f t="array" ref="DN27">IF(DN$3&gt;'GAAP Summary'!$B$2,0,SUM(INDIRECT(XLOOKUP(DN$3,'TTM Dates'!$B:$B,'TTM Dates'!$E:$E)&amp;ROW($BW27)&amp;":"&amp;XLOOKUP(DN$3,'TTM Dates'!$B:$B,'TTM Dates'!$C:$C)&amp;ROW($BW27))))</f>
        <v>0</v>
      </c>
      <c r="DO27" s="136">
        <f t="array" ref="DO27">IF(DO$3&gt;'GAAP Summary'!$B$2,0,SUM(INDIRECT(XLOOKUP(DO$3,'TTM Dates'!$B:$B,'TTM Dates'!$E:$E)&amp;ROW($BW27)&amp;":"&amp;XLOOKUP(DO$3,'TTM Dates'!$B:$B,'TTM Dates'!$C:$C)&amp;ROW($BW27))))</f>
        <v>0</v>
      </c>
      <c r="DP27" s="136">
        <f t="array" ref="DP27">IF(DP$3&gt;'GAAP Summary'!$B$2,0,SUM(INDIRECT(XLOOKUP(DP$3,'TTM Dates'!$B:$B,'TTM Dates'!$E:$E)&amp;ROW($BW27)&amp;":"&amp;XLOOKUP(DP$3,'TTM Dates'!$B:$B,'TTM Dates'!$C:$C)&amp;ROW($BW27))))</f>
        <v>0</v>
      </c>
      <c r="DQ27" s="136">
        <f t="array" ref="DQ27">IF(DQ$3&gt;'GAAP Summary'!$B$2,0,SUM(INDIRECT(XLOOKUP(DQ$3,'TTM Dates'!$B:$B,'TTM Dates'!$E:$E)&amp;ROW($BW27)&amp;":"&amp;XLOOKUP(DQ$3,'TTM Dates'!$B:$B,'TTM Dates'!$C:$C)&amp;ROW($BW27))))</f>
        <v>0</v>
      </c>
      <c r="DR27" s="136">
        <f t="array" ref="DR27">IF(DR$3&gt;'GAAP Summary'!$B$2,0,SUM(INDIRECT(XLOOKUP(DR$3,'TTM Dates'!$B:$B,'TTM Dates'!$E:$E)&amp;ROW($BW27)&amp;":"&amp;XLOOKUP(DR$3,'TTM Dates'!$B:$B,'TTM Dates'!$C:$C)&amp;ROW($BW27))))</f>
        <v>0</v>
      </c>
      <c r="DS27" s="136">
        <f t="array" ref="DS27">IF(DS$3&gt;'GAAP Summary'!$B$2,0,SUM(INDIRECT(XLOOKUP(DS$3,'TTM Dates'!$B:$B,'TTM Dates'!$E:$E)&amp;ROW($BW27)&amp;":"&amp;XLOOKUP(DS$3,'TTM Dates'!$B:$B,'TTM Dates'!$C:$C)&amp;ROW($BW27))))</f>
        <v>0</v>
      </c>
      <c r="DT27" s="136">
        <f t="array" ref="DT27">IF(DT$3&gt;'GAAP Summary'!$B$2,0,SUM(INDIRECT(XLOOKUP(DT$3,'TTM Dates'!$B:$B,'TTM Dates'!$E:$E)&amp;ROW($BW27)&amp;":"&amp;XLOOKUP(DT$3,'TTM Dates'!$B:$B,'TTM Dates'!$C:$C)&amp;ROW($BW27))))</f>
        <v>0</v>
      </c>
      <c r="DU27" s="136">
        <f t="array" ref="DU27">IF(DU$3&gt;'GAAP Summary'!$B$2,0,SUM(INDIRECT(XLOOKUP(DU$3,'TTM Dates'!$B:$B,'TTM Dates'!$E:$E)&amp;ROW($BW27)&amp;":"&amp;XLOOKUP(DU$3,'TTM Dates'!$B:$B,'TTM Dates'!$C:$C)&amp;ROW($BW27))))</f>
        <v>0</v>
      </c>
      <c r="DV27" s="136">
        <f t="array" ref="DV27">IF(DV$3&gt;'GAAP Summary'!$B$2,0,SUM(INDIRECT(XLOOKUP(DV$3,'TTM Dates'!$B:$B,'TTM Dates'!$E:$E)&amp;ROW($BW27)&amp;":"&amp;XLOOKUP(DV$3,'TTM Dates'!$B:$B,'TTM Dates'!$C:$C)&amp;ROW($BW27))))</f>
        <v>0</v>
      </c>
      <c r="DW27" s="136">
        <f t="array" ref="DW27">IF(DW$3&gt;'GAAP Summary'!$B$2,0,SUM(INDIRECT(XLOOKUP(DW$3,'TTM Dates'!$B:$B,'TTM Dates'!$E:$E)&amp;ROW($BW27)&amp;":"&amp;XLOOKUP(DW$3,'TTM Dates'!$B:$B,'TTM Dates'!$C:$C)&amp;ROW($BW27))))</f>
        <v>0</v>
      </c>
      <c r="DX27" s="136">
        <f t="array" ref="DX27">IF(DX$3&gt;'GAAP Summary'!$B$2,0,SUM(INDIRECT(XLOOKUP(DX$3,'TTM Dates'!$B:$B,'TTM Dates'!$E:$E)&amp;ROW($BW27)&amp;":"&amp;XLOOKUP(DX$3,'TTM Dates'!$B:$B,'TTM Dates'!$C:$C)&amp;ROW($BW27))))</f>
        <v>0</v>
      </c>
      <c r="DY27" s="136">
        <f t="array" ref="DY27">IF(DY$3&gt;'GAAP Summary'!$B$2,0,SUM(INDIRECT(XLOOKUP(DY$3,'TTM Dates'!$B:$B,'TTM Dates'!$E:$E)&amp;ROW($BW27)&amp;":"&amp;XLOOKUP(DY$3,'TTM Dates'!$B:$B,'TTM Dates'!$C:$C)&amp;ROW($BW27))))</f>
        <v>0</v>
      </c>
      <c r="DZ27" s="136">
        <f t="array" ref="DZ27">IF(DZ$3&gt;'GAAP Summary'!$B$2,0,SUM(INDIRECT(XLOOKUP(DZ$3,'TTM Dates'!$B:$B,'TTM Dates'!$E:$E)&amp;ROW($BW27)&amp;":"&amp;XLOOKUP(DZ$3,'TTM Dates'!$B:$B,'TTM Dates'!$C:$C)&amp;ROW($BW27))))</f>
        <v>0</v>
      </c>
      <c r="EA27" s="136">
        <f t="array" ref="EA27">IF(EA$3&gt;'GAAP Summary'!$B$2,0,SUM(INDIRECT(XLOOKUP(EA$3,'TTM Dates'!$B:$B,'TTM Dates'!$E:$E)&amp;ROW($BW27)&amp;":"&amp;XLOOKUP(EA$3,'TTM Dates'!$B:$B,'TTM Dates'!$C:$C)&amp;ROW($BW27))))</f>
        <v>0</v>
      </c>
      <c r="EB27" s="136">
        <f t="array" ref="EB27">IF(EB$3&gt;'GAAP Summary'!$B$2,0,SUM(INDIRECT(XLOOKUP(EB$3,'TTM Dates'!$B:$B,'TTM Dates'!$E:$E)&amp;ROW($BW27)&amp;":"&amp;XLOOKUP(EB$3,'TTM Dates'!$B:$B,'TTM Dates'!$C:$C)&amp;ROW($BW27))))</f>
        <v>0</v>
      </c>
      <c r="EC27" s="136">
        <f t="array" ref="EC27">IF(EC$3&gt;'GAAP Summary'!$B$2,0,SUM(INDIRECT(XLOOKUP(EC$3,'TTM Dates'!$B:$B,'TTM Dates'!$E:$E)&amp;ROW($BW27)&amp;":"&amp;XLOOKUP(EC$3,'TTM Dates'!$B:$B,'TTM Dates'!$C:$C)&amp;ROW($BW27))))</f>
        <v>0</v>
      </c>
      <c r="ED27" s="136">
        <f t="array" ref="ED27">IF(ED$3&gt;'GAAP Summary'!$B$2,0,SUM(INDIRECT(XLOOKUP(ED$3,'TTM Dates'!$B:$B,'TTM Dates'!$E:$E)&amp;ROW($BW27)&amp;":"&amp;XLOOKUP(ED$3,'TTM Dates'!$B:$B,'TTM Dates'!$C:$C)&amp;ROW($BW27))))</f>
        <v>0</v>
      </c>
      <c r="EE27" s="136">
        <f t="array" ref="EE27">IF(EE$3&gt;'GAAP Summary'!$B$2,0,SUM(INDIRECT(XLOOKUP(EE$3,'TTM Dates'!$B:$B,'TTM Dates'!$E:$E)&amp;ROW($BW27)&amp;":"&amp;XLOOKUP(EE$3,'TTM Dates'!$B:$B,'TTM Dates'!$C:$C)&amp;ROW($BW27))))</f>
        <v>0</v>
      </c>
      <c r="EF27" s="136">
        <f t="array" ref="EF27">IF(EF$3&gt;'GAAP Summary'!$B$2,0,SUM(INDIRECT(XLOOKUP(EF$3,'TTM Dates'!$B:$B,'TTM Dates'!$E:$E)&amp;ROW($BW27)&amp;":"&amp;XLOOKUP(EF$3,'TTM Dates'!$B:$B,'TTM Dates'!$C:$C)&amp;ROW($BW27))))</f>
        <v>0</v>
      </c>
      <c r="EG27" s="136">
        <f t="array" ref="EG27">IF(EG$3&gt;'GAAP Summary'!$B$2,0,SUM(INDIRECT(XLOOKUP(EG$3,'TTM Dates'!$B:$B,'TTM Dates'!$E:$E)&amp;ROW($BW27)&amp;":"&amp;XLOOKUP(EG$3,'TTM Dates'!$B:$B,'TTM Dates'!$C:$C)&amp;ROW($BW27))))</f>
        <v>0</v>
      </c>
      <c r="EH27" s="136">
        <f t="array" ref="EH27">IF(EH$3&gt;'GAAP Summary'!$B$2,0,SUM(INDIRECT(XLOOKUP(EH$3,'TTM Dates'!$B:$B,'TTM Dates'!$E:$E)&amp;ROW($BW27)&amp;":"&amp;XLOOKUP(EH$3,'TTM Dates'!$B:$B,'TTM Dates'!$C:$C)&amp;ROW($BW27))))</f>
        <v>0</v>
      </c>
      <c r="EI27" s="136">
        <f t="array" ref="EI27">IF(EI$3&gt;'GAAP Summary'!$B$2,0,SUM(INDIRECT(XLOOKUP(EI$3,'TTM Dates'!$B:$B,'TTM Dates'!$E:$E)&amp;ROW($BW27)&amp;":"&amp;XLOOKUP(EI$3,'TTM Dates'!$B:$B,'TTM Dates'!$C:$C)&amp;ROW($BW27))))</f>
        <v>0</v>
      </c>
      <c r="EJ27" s="136">
        <f t="array" ref="EJ27">IF(EJ$3&gt;'GAAP Summary'!$B$2,0,SUM(INDIRECT(XLOOKUP(EJ$3,'TTM Dates'!$B:$B,'TTM Dates'!$E:$E)&amp;ROW($BW27)&amp;":"&amp;XLOOKUP(EJ$3,'TTM Dates'!$B:$B,'TTM Dates'!$C:$C)&amp;ROW($BW27))))</f>
        <v>0</v>
      </c>
      <c r="EK27" s="136">
        <f t="array" ref="EK27">IF(EK$3&gt;'GAAP Summary'!$B$2,0,SUM(INDIRECT(XLOOKUP(EK$3,'TTM Dates'!$B:$B,'TTM Dates'!$E:$E)&amp;ROW($BW27)&amp;":"&amp;XLOOKUP(EK$3,'TTM Dates'!$B:$B,'TTM Dates'!$C:$C)&amp;ROW($BW27))))</f>
        <v>0</v>
      </c>
      <c r="EL27" s="136">
        <f t="array" ref="EL27">IF(EL$3&gt;'GAAP Summary'!$B$2,0,SUM(INDIRECT(XLOOKUP(EL$3,'TTM Dates'!$B:$B,'TTM Dates'!$E:$E)&amp;ROW($BW27)&amp;":"&amp;XLOOKUP(EL$3,'TTM Dates'!$B:$B,'TTM Dates'!$C:$C)&amp;ROW($BW27))))</f>
        <v>0</v>
      </c>
      <c r="EM27" s="136">
        <f t="array" ref="EM27">IF(EM$3&gt;'GAAP Summary'!$B$2,0,SUM(INDIRECT(XLOOKUP(EM$3,'TTM Dates'!$B:$B,'TTM Dates'!$E:$E)&amp;ROW($BW27)&amp;":"&amp;XLOOKUP(EM$3,'TTM Dates'!$B:$B,'TTM Dates'!$C:$C)&amp;ROW($BW27))))</f>
        <v>0</v>
      </c>
      <c r="EN27" s="136">
        <f t="array" ref="EN27">IF(EN$3&gt;'GAAP Summary'!$B$2,0,SUM(INDIRECT(XLOOKUP(EN$3,'TTM Dates'!$B:$B,'TTM Dates'!$E:$E)&amp;ROW($BW27)&amp;":"&amp;XLOOKUP(EN$3,'TTM Dates'!$B:$B,'TTM Dates'!$C:$C)&amp;ROW($BW27))))</f>
        <v>0</v>
      </c>
      <c r="EO27" s="136">
        <f t="array" ref="EO27">IF(EO$3&gt;'GAAP Summary'!$B$2,0,SUM(INDIRECT(XLOOKUP(EO$3,'TTM Dates'!$B:$B,'TTM Dates'!$E:$E)&amp;ROW($BW27)&amp;":"&amp;XLOOKUP(EO$3,'TTM Dates'!$B:$B,'TTM Dates'!$C:$C)&amp;ROW($BW27))))</f>
        <v>0</v>
      </c>
      <c r="EP27" s="136">
        <f t="array" ref="EP27">IF(EP$3&gt;'GAAP Summary'!$B$2,0,SUM(INDIRECT(XLOOKUP(EP$3,'TTM Dates'!$B:$B,'TTM Dates'!$E:$E)&amp;ROW($BW27)&amp;":"&amp;XLOOKUP(EP$3,'TTM Dates'!$B:$B,'TTM Dates'!$C:$C)&amp;ROW($BW27))))</f>
        <v>0</v>
      </c>
      <c r="EQ27" s="136">
        <f t="array" ref="EQ27">IF(EQ$3&gt;'GAAP Summary'!$B$2,0,SUM(INDIRECT(XLOOKUP(EQ$3,'TTM Dates'!$B:$B,'TTM Dates'!$E:$E)&amp;ROW($BW27)&amp;":"&amp;XLOOKUP(EQ$3,'TTM Dates'!$B:$B,'TTM Dates'!$C:$C)&amp;ROW($BW27))))</f>
        <v>0</v>
      </c>
      <c r="ER27" s="136">
        <f t="array" ref="ER27">IF(ER$3&gt;'GAAP Summary'!$B$2,0,SUM(INDIRECT(XLOOKUP(ER$3,'TTM Dates'!$B:$B,'TTM Dates'!$E:$E)&amp;ROW($BW27)&amp;":"&amp;XLOOKUP(ER$3,'TTM Dates'!$B:$B,'TTM Dates'!$C:$C)&amp;ROW($BW27))))</f>
        <v>0</v>
      </c>
      <c r="ES27" s="136">
        <f t="array" ref="ES27">IF(ES$3&gt;'GAAP Summary'!$B$2,0,SUM(INDIRECT(XLOOKUP(ES$3,'TTM Dates'!$B:$B,'TTM Dates'!$E:$E)&amp;ROW($BW27)&amp;":"&amp;XLOOKUP(ES$3,'TTM Dates'!$B:$B,'TTM Dates'!$C:$C)&amp;ROW($BW27))))</f>
        <v>0</v>
      </c>
      <c r="ET27" s="136">
        <f t="array" ref="ET27">IF(ET$3&gt;'GAAP Summary'!$B$2,0,SUM(INDIRECT(XLOOKUP(ET$3,'TTM Dates'!$B:$B,'TTM Dates'!$E:$E)&amp;ROW($BW27)&amp;":"&amp;XLOOKUP(ET$3,'TTM Dates'!$B:$B,'TTM Dates'!$C:$C)&amp;ROW($BW27))))</f>
        <v>0</v>
      </c>
      <c r="EU27" s="136">
        <f t="array" ref="EU27">IF(EU$3&gt;'GAAP Summary'!$B$2,0,SUM(INDIRECT(XLOOKUP(EU$3,'TTM Dates'!$B:$B,'TTM Dates'!$E:$E)&amp;ROW($BW27)&amp;":"&amp;XLOOKUP(EU$3,'TTM Dates'!$B:$B,'TTM Dates'!$C:$C)&amp;ROW($BW27))))</f>
        <v>0</v>
      </c>
      <c r="EV27" s="136">
        <f t="array" ref="EV27">IF(EV$3&gt;'GAAP Summary'!$B$2,0,SUM(INDIRECT(XLOOKUP(EV$3,'TTM Dates'!$B:$B,'TTM Dates'!$E:$E)&amp;ROW($BW27)&amp;":"&amp;XLOOKUP(EV$3,'TTM Dates'!$B:$B,'TTM Dates'!$C:$C)&amp;ROW($BW27))))</f>
        <v>0</v>
      </c>
      <c r="EW27" s="136">
        <f t="array" ref="EW27">IF(EW$3&gt;'GAAP Summary'!$B$2,0,SUM(INDIRECT(XLOOKUP(EW$3,'TTM Dates'!$B:$B,'TTM Dates'!$E:$E)&amp;ROW($BW27)&amp;":"&amp;XLOOKUP(EW$3,'TTM Dates'!$B:$B,'TTM Dates'!$C:$C)&amp;ROW($BW27))))</f>
        <v>0</v>
      </c>
      <c r="EX27" s="136">
        <f t="array" ref="EX27">IF(EX$3&gt;'GAAP Summary'!$B$2,0,SUM(INDIRECT(XLOOKUP(EX$3,'TTM Dates'!$B:$B,'TTM Dates'!$E:$E)&amp;ROW($BW27)&amp;":"&amp;XLOOKUP(EX$3,'TTM Dates'!$B:$B,'TTM Dates'!$C:$C)&amp;ROW($BW27))))</f>
        <v>0</v>
      </c>
      <c r="EY27" s="136">
        <f t="array" ref="EY27">IF(EY$3&gt;'GAAP Summary'!$B$2,0,SUM(INDIRECT(XLOOKUP(EY$3,'TTM Dates'!$B:$B,'TTM Dates'!$E:$E)&amp;ROW($BW27)&amp;":"&amp;XLOOKUP(EY$3,'TTM Dates'!$B:$B,'TTM Dates'!$C:$C)&amp;ROW($BW27))))</f>
        <v>0</v>
      </c>
      <c r="EZ27" s="136">
        <f t="array" ref="EZ27">IF(EZ$3&gt;'GAAP Summary'!$B$2,0,SUM(INDIRECT(XLOOKUP(EZ$3,'TTM Dates'!$B:$B,'TTM Dates'!$E:$E)&amp;ROW($BW27)&amp;":"&amp;XLOOKUP(EZ$3,'TTM Dates'!$B:$B,'TTM Dates'!$C:$C)&amp;ROW($BW27))))</f>
        <v>0</v>
      </c>
      <c r="FA27" s="136">
        <f t="array" ref="FA27">IF(FA$3&gt;'GAAP Summary'!$B$2,0,SUM(INDIRECT(XLOOKUP(FA$3,'TTM Dates'!$B:$B,'TTM Dates'!$E:$E)&amp;ROW($BW27)&amp;":"&amp;XLOOKUP(FA$3,'TTM Dates'!$B:$B,'TTM Dates'!$C:$C)&amp;ROW($BW27))))</f>
        <v>0</v>
      </c>
      <c r="FB27" s="136">
        <f t="array" ref="FB27">IF(FB$3&gt;'GAAP Summary'!$B$2,0,SUM(INDIRECT(XLOOKUP(FB$3,'TTM Dates'!$B:$B,'TTM Dates'!$E:$E)&amp;ROW($BW27)&amp;":"&amp;XLOOKUP(FB$3,'TTM Dates'!$B:$B,'TTM Dates'!$C:$C)&amp;ROW($BW27))))</f>
        <v>0</v>
      </c>
      <c r="FC27" s="136">
        <f t="array" ref="FC27">IF(FC$3&gt;'GAAP Summary'!$B$2,0,SUM(INDIRECT(XLOOKUP(FC$3,'TTM Dates'!$B:$B,'TTM Dates'!$E:$E)&amp;ROW($BW27)&amp;":"&amp;XLOOKUP(FC$3,'TTM Dates'!$B:$B,'TTM Dates'!$C:$C)&amp;ROW($BW27))))</f>
        <v>0</v>
      </c>
      <c r="FD27" s="136">
        <f t="array" ref="FD27">IF(FD$3&gt;'GAAP Summary'!$B$2,0,SUM(INDIRECT(XLOOKUP(FD$3,'TTM Dates'!$B:$B,'TTM Dates'!$E:$E)&amp;ROW($BW27)&amp;":"&amp;XLOOKUP(FD$3,'TTM Dates'!$B:$B,'TTM Dates'!$C:$C)&amp;ROW($BW27))))</f>
        <v>0</v>
      </c>
      <c r="FE27" s="136">
        <f t="array" ref="FE27">IF(FE$3&gt;'GAAP Summary'!$B$2,0,SUM(INDIRECT(XLOOKUP(FE$3,'TTM Dates'!$B:$B,'TTM Dates'!$E:$E)&amp;ROW($BW27)&amp;":"&amp;XLOOKUP(FE$3,'TTM Dates'!$B:$B,'TTM Dates'!$C:$C)&amp;ROW($BW27))))</f>
        <v>0</v>
      </c>
      <c r="FF27" s="136">
        <f t="array" ref="FF27">IF(FF$3&gt;'GAAP Summary'!$B$2,0,SUM(INDIRECT(XLOOKUP(FF$3,'TTM Dates'!$B:$B,'TTM Dates'!$E:$E)&amp;ROW($BW27)&amp;":"&amp;XLOOKUP(FF$3,'TTM Dates'!$B:$B,'TTM Dates'!$C:$C)&amp;ROW($BW27))))</f>
        <v>0</v>
      </c>
      <c r="FG27" s="136">
        <f t="array" ref="FG27">IF(FG$3&gt;'GAAP Summary'!$B$2,0,SUM(INDIRECT(XLOOKUP(FG$3,'TTM Dates'!$B:$B,'TTM Dates'!$E:$E)&amp;ROW($BW27)&amp;":"&amp;XLOOKUP(FG$3,'TTM Dates'!$B:$B,'TTM Dates'!$C:$C)&amp;ROW($BW27))))</f>
        <v>0</v>
      </c>
      <c r="FH27" s="136"/>
    </row>
    <row r="28">
      <c r="A28" s="101"/>
      <c r="B28" s="340" t="s">
        <v>504</v>
      </c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3"/>
      <c r="P28" s="283"/>
      <c r="Q28" s="283"/>
      <c r="R28" s="283"/>
      <c r="S28" s="283"/>
      <c r="T28" s="283"/>
      <c r="U28" s="283"/>
      <c r="V28" s="283"/>
      <c r="W28" s="283"/>
      <c r="X28" s="283"/>
      <c r="Y28" s="283"/>
      <c r="Z28" s="283"/>
      <c r="AA28" s="341">
        <v>1143669.0</v>
      </c>
      <c r="AB28" s="341">
        <v>1028683.0</v>
      </c>
      <c r="AC28" s="341">
        <v>1352064.0</v>
      </c>
      <c r="AD28" s="341">
        <v>1147004.0</v>
      </c>
      <c r="AE28" s="341">
        <v>1244549.0</v>
      </c>
      <c r="AF28" s="341">
        <v>1491129.0</v>
      </c>
      <c r="AG28" s="341">
        <v>1287410.0</v>
      </c>
      <c r="AH28" s="341">
        <v>1888401.0</v>
      </c>
      <c r="AI28" s="341">
        <v>1579699.0</v>
      </c>
      <c r="AJ28" s="341">
        <v>1828195.0</v>
      </c>
      <c r="AK28" s="341">
        <v>1724117.0</v>
      </c>
      <c r="AL28" s="341">
        <v>1178549.0</v>
      </c>
      <c r="AM28" s="341">
        <v>2070143.0</v>
      </c>
      <c r="AN28" s="341">
        <v>1837048.0</v>
      </c>
      <c r="AO28" s="341">
        <v>2158000.0</v>
      </c>
      <c r="AP28" s="341">
        <v>1764880.0</v>
      </c>
      <c r="AQ28" s="341">
        <v>1839846.0</v>
      </c>
      <c r="AR28" s="341">
        <v>1763751.0</v>
      </c>
      <c r="AS28" s="341">
        <v>1526951.0</v>
      </c>
      <c r="AT28" s="341">
        <v>1895072.0</v>
      </c>
      <c r="AU28" s="341">
        <v>1506266.0</v>
      </c>
      <c r="AV28" s="341">
        <v>1727134.0</v>
      </c>
      <c r="AW28" s="341">
        <v>1582123.0</v>
      </c>
      <c r="AX28" s="341">
        <v>1495367.0</v>
      </c>
      <c r="AY28" s="341">
        <f t="shared" ref="AY28:BV28" si="74">AY20+AY25</f>
        <v>1601598.92</v>
      </c>
      <c r="AZ28" s="341">
        <f t="shared" si="74"/>
        <v>1736505.87</v>
      </c>
      <c r="BA28" s="341">
        <f t="shared" si="74"/>
        <v>1830911.52</v>
      </c>
      <c r="BB28" s="341">
        <f t="shared" si="74"/>
        <v>1931116.65</v>
      </c>
      <c r="BC28" s="341">
        <f t="shared" si="74"/>
        <v>1829738.23</v>
      </c>
      <c r="BD28" s="341">
        <f t="shared" si="74"/>
        <v>1751835.71</v>
      </c>
      <c r="BE28" s="341">
        <f t="shared" si="74"/>
        <v>1994239.36</v>
      </c>
      <c r="BF28" s="341">
        <f t="shared" si="74"/>
        <v>2087066.38</v>
      </c>
      <c r="BG28" s="341">
        <f t="shared" si="74"/>
        <v>2077956.66</v>
      </c>
      <c r="BH28" s="341">
        <f t="shared" si="74"/>
        <v>2649598.66</v>
      </c>
      <c r="BI28" s="341">
        <f t="shared" si="74"/>
        <v>2287156.86</v>
      </c>
      <c r="BJ28" s="341">
        <f t="shared" si="74"/>
        <v>2242329.69</v>
      </c>
      <c r="BK28" s="341">
        <f t="shared" si="74"/>
        <v>2408866</v>
      </c>
      <c r="BL28" s="341">
        <f t="shared" si="74"/>
        <v>2294279</v>
      </c>
      <c r="BM28" s="341">
        <f t="shared" si="74"/>
        <v>2295136</v>
      </c>
      <c r="BN28" s="341">
        <f t="shared" si="74"/>
        <v>2578269</v>
      </c>
      <c r="BO28" s="341">
        <f t="shared" si="74"/>
        <v>2505557</v>
      </c>
      <c r="BP28" s="341">
        <f t="shared" si="74"/>
        <v>2544832</v>
      </c>
      <c r="BQ28" s="341">
        <f t="shared" si="74"/>
        <v>2964719</v>
      </c>
      <c r="BR28" s="341">
        <f t="shared" si="74"/>
        <v>2764051</v>
      </c>
      <c r="BS28" s="341">
        <f t="shared" si="74"/>
        <v>0</v>
      </c>
      <c r="BT28" s="341">
        <f t="shared" si="74"/>
        <v>0</v>
      </c>
      <c r="BU28" s="341">
        <f t="shared" si="74"/>
        <v>0</v>
      </c>
      <c r="BV28" s="341">
        <f t="shared" si="74"/>
        <v>0</v>
      </c>
      <c r="BW28" s="342"/>
      <c r="BX28" s="282" t="str">
        <f t="array" ref="BX28">SUM(INDIRECT(XLOOKUP('GAAP Summary'!$B$2,'TTM Dates'!$B:$B,'TTM Dates'!$E:$E)&amp;ROW($BW28)&amp;":"&amp;XLOOKUP('GAAP Summary'!$B$2,'TTM Dates'!$B:$B,'TTM Dates'!$C:$C)&amp;ROW($BW28)))</f>
        <v>#REF!</v>
      </c>
      <c r="BY28" s="283"/>
      <c r="BZ28" s="283">
        <f t="shared" si="54"/>
        <v>6998281</v>
      </c>
      <c r="CA28" s="283">
        <f t="shared" si="55"/>
        <v>7628658</v>
      </c>
      <c r="CB28" s="283">
        <f t="shared" si="56"/>
        <v>5728770</v>
      </c>
      <c r="CC28" s="283">
        <f t="shared" si="57"/>
        <v>0</v>
      </c>
      <c r="CD28" s="343">
        <f t="shared" si="58"/>
        <v>20355709</v>
      </c>
      <c r="CE28" s="283"/>
      <c r="CF28" s="283">
        <f t="shared" si="59"/>
        <v>5169016.31</v>
      </c>
      <c r="CG28" s="283">
        <f t="shared" si="60"/>
        <v>5512690.59</v>
      </c>
      <c r="CH28" s="283">
        <f t="shared" si="61"/>
        <v>6159262.4</v>
      </c>
      <c r="CI28" s="283">
        <f t="shared" si="62"/>
        <v>7179085.21</v>
      </c>
      <c r="CJ28" s="343">
        <f t="shared" si="63"/>
        <v>24020054.51</v>
      </c>
      <c r="CK28" s="283"/>
      <c r="CL28" s="283">
        <f t="shared" si="64"/>
        <v>6065191</v>
      </c>
      <c r="CM28" s="283">
        <f t="shared" si="65"/>
        <v>5368477</v>
      </c>
      <c r="CN28" s="283">
        <f t="shared" si="66"/>
        <v>4928289</v>
      </c>
      <c r="CO28" s="283">
        <f t="shared" si="67"/>
        <v>4804624</v>
      </c>
      <c r="CP28" s="343">
        <f t="shared" si="68"/>
        <v>21166581</v>
      </c>
      <c r="CQ28" s="283"/>
      <c r="CR28" s="341">
        <f t="shared" si="69"/>
        <v>3524416</v>
      </c>
      <c r="CS28" s="341">
        <f t="shared" si="70"/>
        <v>3882682</v>
      </c>
      <c r="CT28" s="341">
        <f t="shared" si="71"/>
        <v>4755510</v>
      </c>
      <c r="CU28" s="341">
        <f t="shared" si="72"/>
        <v>4730861</v>
      </c>
      <c r="CV28" s="344">
        <f t="shared" si="73"/>
        <v>16893469</v>
      </c>
      <c r="CW28" s="283"/>
      <c r="CX28" s="343"/>
      <c r="CY28" s="283"/>
      <c r="CZ28" s="283">
        <f t="array" ref="CZ28">IF(CZ$3&gt;'GAAP Summary'!$B$2,0,SUM(INDIRECT(XLOOKUP(CZ$3,'TTM Dates'!$B:$B,'TTM Dates'!$E:$E)&amp;ROW($BW28)&amp;":"&amp;XLOOKUP(CZ$3,'TTM Dates'!$B:$B,'TTM Dates'!$C:$C)&amp;ROW($BW28))))</f>
        <v>0</v>
      </c>
      <c r="DA28" s="283">
        <f t="array" ref="DA28">IF(DA$3&gt;'GAAP Summary'!$B$2,0,SUM(INDIRECT(XLOOKUP(DA$3,'TTM Dates'!$B:$B,'TTM Dates'!$E:$E)&amp;ROW($BW28)&amp;":"&amp;XLOOKUP(DA$3,'TTM Dates'!$B:$B,'TTM Dates'!$C:$C)&amp;ROW($BW28))))</f>
        <v>0</v>
      </c>
      <c r="DB28" s="283">
        <f t="array" ref="DB28">IF(DB$3&gt;'GAAP Summary'!$B$2,0,SUM(INDIRECT(XLOOKUP(DB$3,'TTM Dates'!$B:$B,'TTM Dates'!$E:$E)&amp;ROW($BW28)&amp;":"&amp;XLOOKUP(DB$3,'TTM Dates'!$B:$B,'TTM Dates'!$C:$C)&amp;ROW($BW28))))</f>
        <v>0</v>
      </c>
      <c r="DC28" s="283">
        <f t="array" ref="DC28">IF(DC$3&gt;'GAAP Summary'!$B$2,0,SUM(INDIRECT(XLOOKUP(DC$3,'TTM Dates'!$B:$B,'TTM Dates'!$E:$E)&amp;ROW($BW28)&amp;":"&amp;XLOOKUP(DC$3,'TTM Dates'!$B:$B,'TTM Dates'!$C:$C)&amp;ROW($BW28))))</f>
        <v>0</v>
      </c>
      <c r="DD28" s="283">
        <f t="array" ref="DD28">IF(DD$3&gt;'GAAP Summary'!$B$2,0,SUM(INDIRECT(XLOOKUP(DD$3,'TTM Dates'!$B:$B,'TTM Dates'!$E:$E)&amp;ROW($BW28)&amp;":"&amp;XLOOKUP(DD$3,'TTM Dates'!$B:$B,'TTM Dates'!$C:$C)&amp;ROW($BW28))))</f>
        <v>0</v>
      </c>
      <c r="DE28" s="283">
        <f t="array" ref="DE28">IF(DE$3&gt;'GAAP Summary'!$B$2,0,SUM(INDIRECT(XLOOKUP(DE$3,'TTM Dates'!$B:$B,'TTM Dates'!$E:$E)&amp;ROW($BW28)&amp;":"&amp;XLOOKUP(DE$3,'TTM Dates'!$B:$B,'TTM Dates'!$C:$C)&amp;ROW($BW28))))</f>
        <v>0</v>
      </c>
      <c r="DF28" s="283">
        <f t="array" ref="DF28">IF(DF$3&gt;'GAAP Summary'!$B$2,0,SUM(INDIRECT(XLOOKUP(DF$3,'TTM Dates'!$B:$B,'TTM Dates'!$E:$E)&amp;ROW($BW28)&amp;":"&amp;XLOOKUP(DF$3,'TTM Dates'!$B:$B,'TTM Dates'!$C:$C)&amp;ROW($BW28))))</f>
        <v>0</v>
      </c>
      <c r="DG28" s="283">
        <f t="array" ref="DG28">IF(DG$3&gt;'GAAP Summary'!$B$2,0,SUM(INDIRECT(XLOOKUP(DG$3,'TTM Dates'!$B:$B,'TTM Dates'!$E:$E)&amp;ROW($BW28)&amp;":"&amp;XLOOKUP(DG$3,'TTM Dates'!$B:$B,'TTM Dates'!$C:$C)&amp;ROW($BW28))))</f>
        <v>0</v>
      </c>
      <c r="DH28" s="283">
        <f t="array" ref="DH28">IF(DH$3&gt;'GAAP Summary'!$B$2,0,SUM(INDIRECT(XLOOKUP(DH$3,'TTM Dates'!$B:$B,'TTM Dates'!$E:$E)&amp;ROW($BW28)&amp;":"&amp;XLOOKUP(DH$3,'TTM Dates'!$B:$B,'TTM Dates'!$C:$C)&amp;ROW($BW28))))</f>
        <v>0</v>
      </c>
      <c r="DI28" s="283">
        <f t="array" ref="DI28">IF(DI$3&gt;'GAAP Summary'!$B$2,0,SUM(INDIRECT(XLOOKUP(DI$3,'TTM Dates'!$B:$B,'TTM Dates'!$E:$E)&amp;ROW($BW28)&amp;":"&amp;XLOOKUP(DI$3,'TTM Dates'!$B:$B,'TTM Dates'!$C:$C)&amp;ROW($BW28))))</f>
        <v>0</v>
      </c>
      <c r="DJ28" s="283">
        <f t="array" ref="DJ28">IF(DJ$3&gt;'GAAP Summary'!$B$2,0,SUM(INDIRECT(XLOOKUP(DJ$3,'TTM Dates'!$B:$B,'TTM Dates'!$E:$E)&amp;ROW($BW28)&amp;":"&amp;XLOOKUP(DJ$3,'TTM Dates'!$B:$B,'TTM Dates'!$C:$C)&amp;ROW($BW28))))</f>
        <v>0</v>
      </c>
      <c r="DK28" s="283">
        <f t="array" ref="DK28">IF(DK$3&gt;'GAAP Summary'!$B$2,0,SUM(INDIRECT(XLOOKUP(DK$3,'TTM Dates'!$B:$B,'TTM Dates'!$E:$E)&amp;ROW($BW28)&amp;":"&amp;XLOOKUP(DK$3,'TTM Dates'!$B:$B,'TTM Dates'!$C:$C)&amp;ROW($BW28))))</f>
        <v>0</v>
      </c>
      <c r="DL28" s="283">
        <f t="array" ref="DL28">IF(DL$3&gt;'GAAP Summary'!$B$2,0,SUM(INDIRECT(XLOOKUP(DL$3,'TTM Dates'!$B:$B,'TTM Dates'!$E:$E)&amp;ROW($BW28)&amp;":"&amp;XLOOKUP(DL$3,'TTM Dates'!$B:$B,'TTM Dates'!$C:$C)&amp;ROW($BW28))))</f>
        <v>1143669</v>
      </c>
      <c r="DM28" s="283">
        <f t="array" ref="DM28">IF(DM$3&gt;'GAAP Summary'!$B$2,0,SUM(INDIRECT(XLOOKUP(DM$3,'TTM Dates'!$B:$B,'TTM Dates'!$E:$E)&amp;ROW($BW28)&amp;":"&amp;XLOOKUP(DM$3,'TTM Dates'!$B:$B,'TTM Dates'!$C:$C)&amp;ROW($BW28))))</f>
        <v>2172352</v>
      </c>
      <c r="DN28" s="283">
        <f t="array" ref="DN28">IF(DN$3&gt;'GAAP Summary'!$B$2,0,SUM(INDIRECT(XLOOKUP(DN$3,'TTM Dates'!$B:$B,'TTM Dates'!$E:$E)&amp;ROW($BW28)&amp;":"&amp;XLOOKUP(DN$3,'TTM Dates'!$B:$B,'TTM Dates'!$C:$C)&amp;ROW($BW28))))</f>
        <v>3524416</v>
      </c>
      <c r="DO28" s="283">
        <f t="array" ref="DO28">IF(DO$3&gt;'GAAP Summary'!$B$2,0,SUM(INDIRECT(XLOOKUP(DO$3,'TTM Dates'!$B:$B,'TTM Dates'!$E:$E)&amp;ROW($BW28)&amp;":"&amp;XLOOKUP(DO$3,'TTM Dates'!$B:$B,'TTM Dates'!$C:$C)&amp;ROW($BW28))))</f>
        <v>4671420</v>
      </c>
      <c r="DP28" s="283">
        <f t="array" ref="DP28">IF(DP$3&gt;'GAAP Summary'!$B$2,0,SUM(INDIRECT(XLOOKUP(DP$3,'TTM Dates'!$B:$B,'TTM Dates'!$E:$E)&amp;ROW($BW28)&amp;":"&amp;XLOOKUP(DP$3,'TTM Dates'!$B:$B,'TTM Dates'!$C:$C)&amp;ROW($BW28))))</f>
        <v>5915969</v>
      </c>
      <c r="DQ28" s="283">
        <f t="array" ref="DQ28">IF(DQ$3&gt;'GAAP Summary'!$B$2,0,SUM(INDIRECT(XLOOKUP(DQ$3,'TTM Dates'!$B:$B,'TTM Dates'!$E:$E)&amp;ROW($BW28)&amp;":"&amp;XLOOKUP(DQ$3,'TTM Dates'!$B:$B,'TTM Dates'!$C:$C)&amp;ROW($BW28))))</f>
        <v>7407098</v>
      </c>
      <c r="DR28" s="283">
        <f t="array" ref="DR28">IF(DR$3&gt;'GAAP Summary'!$B$2,0,SUM(INDIRECT(XLOOKUP(DR$3,'TTM Dates'!$B:$B,'TTM Dates'!$E:$E)&amp;ROW($BW28)&amp;":"&amp;XLOOKUP(DR$3,'TTM Dates'!$B:$B,'TTM Dates'!$C:$C)&amp;ROW($BW28))))</f>
        <v>8694508</v>
      </c>
      <c r="DS28" s="283">
        <f t="array" ref="DS28">IF(DS$3&gt;'GAAP Summary'!$B$2,0,SUM(INDIRECT(XLOOKUP(DS$3,'TTM Dates'!$B:$B,'TTM Dates'!$E:$E)&amp;ROW($BW28)&amp;":"&amp;XLOOKUP(DS$3,'TTM Dates'!$B:$B,'TTM Dates'!$C:$C)&amp;ROW($BW28))))</f>
        <v>10582909</v>
      </c>
      <c r="DT28" s="283">
        <f t="array" ref="DT28">IF(DT$3&gt;'GAAP Summary'!$B$2,0,SUM(INDIRECT(XLOOKUP(DT$3,'TTM Dates'!$B:$B,'TTM Dates'!$E:$E)&amp;ROW($BW28)&amp;":"&amp;XLOOKUP(DT$3,'TTM Dates'!$B:$B,'TTM Dates'!$C:$C)&amp;ROW($BW28))))</f>
        <v>12162608</v>
      </c>
      <c r="DU28" s="283">
        <f t="array" ref="DU28">IF(DU$3&gt;'GAAP Summary'!$B$2,0,SUM(INDIRECT(XLOOKUP(DU$3,'TTM Dates'!$B:$B,'TTM Dates'!$E:$E)&amp;ROW($BW28)&amp;":"&amp;XLOOKUP(DU$3,'TTM Dates'!$B:$B,'TTM Dates'!$C:$C)&amp;ROW($BW28))))</f>
        <v>13990803</v>
      </c>
      <c r="DV28" s="283">
        <f t="array" ref="DV28">IF(DV$3&gt;'GAAP Summary'!$B$2,0,SUM(INDIRECT(XLOOKUP(DV$3,'TTM Dates'!$B:$B,'TTM Dates'!$E:$E)&amp;ROW($BW28)&amp;":"&amp;XLOOKUP(DV$3,'TTM Dates'!$B:$B,'TTM Dates'!$C:$C)&amp;ROW($BW28))))</f>
        <v>15714920</v>
      </c>
      <c r="DW28" s="283">
        <f t="array" ref="DW28">IF(DW$3&gt;'GAAP Summary'!$B$2,0,SUM(INDIRECT(XLOOKUP(DW$3,'TTM Dates'!$B:$B,'TTM Dates'!$E:$E)&amp;ROW($BW28)&amp;":"&amp;XLOOKUP(DW$3,'TTM Dates'!$B:$B,'TTM Dates'!$C:$C)&amp;ROW($BW28))))</f>
        <v>16893469</v>
      </c>
      <c r="DX28" s="283">
        <f t="array" ref="DX28">IF(DX$3&gt;'GAAP Summary'!$B$2,0,SUM(INDIRECT(XLOOKUP(DX$3,'TTM Dates'!$B:$B,'TTM Dates'!$E:$E)&amp;ROW($BW28)&amp;":"&amp;XLOOKUP(DX$3,'TTM Dates'!$B:$B,'TTM Dates'!$C:$C)&amp;ROW($BW28))))</f>
        <v>17819943</v>
      </c>
      <c r="DY28" s="283">
        <f t="array" ref="DY28">IF(DY$3&gt;'GAAP Summary'!$B$2,0,SUM(INDIRECT(XLOOKUP(DY$3,'TTM Dates'!$B:$B,'TTM Dates'!$E:$E)&amp;ROW($BW28)&amp;":"&amp;XLOOKUP(DY$3,'TTM Dates'!$B:$B,'TTM Dates'!$C:$C)&amp;ROW($BW28))))</f>
        <v>18628308</v>
      </c>
      <c r="DZ28" s="283">
        <f t="array" ref="DZ28">IF(DZ$3&gt;'GAAP Summary'!$B$2,0,SUM(INDIRECT(XLOOKUP(DZ$3,'TTM Dates'!$B:$B,'TTM Dates'!$E:$E)&amp;ROW($BW28)&amp;":"&amp;XLOOKUP(DZ$3,'TTM Dates'!$B:$B,'TTM Dates'!$C:$C)&amp;ROW($BW28))))</f>
        <v>19434244</v>
      </c>
      <c r="EA28" s="283">
        <f t="array" ref="EA28">IF(EA$3&gt;'GAAP Summary'!$B$2,0,SUM(INDIRECT(XLOOKUP(EA$3,'TTM Dates'!$B:$B,'TTM Dates'!$E:$E)&amp;ROW($BW28)&amp;":"&amp;XLOOKUP(EA$3,'TTM Dates'!$B:$B,'TTM Dates'!$C:$C)&amp;ROW($BW28))))</f>
        <v>20052120</v>
      </c>
      <c r="EB28" s="283">
        <f t="array" ref="EB28">IF(EB$3&gt;'GAAP Summary'!$B$2,0,SUM(INDIRECT(XLOOKUP(EB$3,'TTM Dates'!$B:$B,'TTM Dates'!$E:$E)&amp;ROW($BW28)&amp;":"&amp;XLOOKUP(EB$3,'TTM Dates'!$B:$B,'TTM Dates'!$C:$C)&amp;ROW($BW28))))</f>
        <v>20647417</v>
      </c>
      <c r="EC28" s="283">
        <f t="array" ref="EC28">IF(EC$3&gt;'GAAP Summary'!$B$2,0,SUM(INDIRECT(XLOOKUP(EC$3,'TTM Dates'!$B:$B,'TTM Dates'!$E:$E)&amp;ROW($BW28)&amp;":"&amp;XLOOKUP(EC$3,'TTM Dates'!$B:$B,'TTM Dates'!$C:$C)&amp;ROW($BW28))))</f>
        <v>20920039</v>
      </c>
      <c r="ED28" s="283">
        <f t="array" ref="ED28">IF(ED$3&gt;'GAAP Summary'!$B$2,0,SUM(INDIRECT(XLOOKUP(ED$3,'TTM Dates'!$B:$B,'TTM Dates'!$E:$E)&amp;ROW($BW28)&amp;":"&amp;XLOOKUP(ED$3,'TTM Dates'!$B:$B,'TTM Dates'!$C:$C)&amp;ROW($BW28))))</f>
        <v>21159580</v>
      </c>
      <c r="EE28" s="283">
        <f t="array" ref="EE28">IF(EE$3&gt;'GAAP Summary'!$B$2,0,SUM(INDIRECT(XLOOKUP(EE$3,'TTM Dates'!$B:$B,'TTM Dates'!$E:$E)&amp;ROW($BW28)&amp;":"&amp;XLOOKUP(EE$3,'TTM Dates'!$B:$B,'TTM Dates'!$C:$C)&amp;ROW($BW28))))</f>
        <v>21166251</v>
      </c>
      <c r="EF28" s="283">
        <f t="array" ref="EF28">IF(EF$3&gt;'GAAP Summary'!$B$2,0,SUM(INDIRECT(XLOOKUP(EF$3,'TTM Dates'!$B:$B,'TTM Dates'!$E:$E)&amp;ROW($BW28)&amp;":"&amp;XLOOKUP(EF$3,'TTM Dates'!$B:$B,'TTM Dates'!$C:$C)&amp;ROW($BW28))))</f>
        <v>21092818</v>
      </c>
      <c r="EG28" s="283">
        <f t="array" ref="EG28">IF(EG$3&gt;'GAAP Summary'!$B$2,0,SUM(INDIRECT(XLOOKUP(EG$3,'TTM Dates'!$B:$B,'TTM Dates'!$E:$E)&amp;ROW($BW28)&amp;":"&amp;XLOOKUP(EG$3,'TTM Dates'!$B:$B,'TTM Dates'!$C:$C)&amp;ROW($BW28))))</f>
        <v>20991757</v>
      </c>
      <c r="EH28" s="283">
        <f t="array" ref="EH28">IF(EH$3&gt;'GAAP Summary'!$B$2,0,SUM(INDIRECT(XLOOKUP(EH$3,'TTM Dates'!$B:$B,'TTM Dates'!$E:$E)&amp;ROW($BW28)&amp;":"&amp;XLOOKUP(EH$3,'TTM Dates'!$B:$B,'TTM Dates'!$C:$C)&amp;ROW($BW28))))</f>
        <v>20849763</v>
      </c>
      <c r="EI28" s="283">
        <f t="array" ref="EI28">IF(EI$3&gt;'GAAP Summary'!$B$2,0,SUM(INDIRECT(XLOOKUP(EI$3,'TTM Dates'!$B:$B,'TTM Dates'!$E:$E)&amp;ROW($BW28)&amp;":"&amp;XLOOKUP(EI$3,'TTM Dates'!$B:$B,'TTM Dates'!$C:$C)&amp;ROW($BW28))))</f>
        <v>21166581</v>
      </c>
      <c r="EJ28" s="283">
        <f t="array" ref="EJ28">IF(EJ$3&gt;'GAAP Summary'!$B$2,0,SUM(INDIRECT(XLOOKUP(EJ$3,'TTM Dates'!$B:$B,'TTM Dates'!$E:$E)&amp;ROW($BW28)&amp;":"&amp;XLOOKUP(EJ$3,'TTM Dates'!$B:$B,'TTM Dates'!$C:$C)&amp;ROW($BW28))))</f>
        <v>20698036.92</v>
      </c>
      <c r="EK28" s="283">
        <f t="array" ref="EK28">IF(EK$3&gt;'GAAP Summary'!$B$2,0,SUM(INDIRECT(XLOOKUP(EK$3,'TTM Dates'!$B:$B,'TTM Dates'!$E:$E)&amp;ROW($BW28)&amp;":"&amp;XLOOKUP(EK$3,'TTM Dates'!$B:$B,'TTM Dates'!$C:$C)&amp;ROW($BW28))))</f>
        <v>20597494.79</v>
      </c>
      <c r="EL28" s="283">
        <f t="array" ref="EL28">IF(EL$3&gt;'GAAP Summary'!$B$2,0,SUM(INDIRECT(XLOOKUP(EL$3,'TTM Dates'!$B:$B,'TTM Dates'!$E:$E)&amp;ROW($BW28)&amp;":"&amp;XLOOKUP(EL$3,'TTM Dates'!$B:$B,'TTM Dates'!$C:$C)&amp;ROW($BW28))))</f>
        <v>20270406.31</v>
      </c>
      <c r="EM28" s="283">
        <f t="array" ref="EM28">IF(EM$3&gt;'GAAP Summary'!$B$2,0,SUM(INDIRECT(XLOOKUP(EM$3,'TTM Dates'!$B:$B,'TTM Dates'!$E:$E)&amp;ROW($BW28)&amp;":"&amp;XLOOKUP(EM$3,'TTM Dates'!$B:$B,'TTM Dates'!$C:$C)&amp;ROW($BW28))))</f>
        <v>20436642.96</v>
      </c>
      <c r="EN28" s="283">
        <f t="array" ref="EN28">IF(EN$3&gt;'GAAP Summary'!$B$2,0,SUM(INDIRECT(XLOOKUP(EN$3,'TTM Dates'!$B:$B,'TTM Dates'!$E:$E)&amp;ROW($BW28)&amp;":"&amp;XLOOKUP(EN$3,'TTM Dates'!$B:$B,'TTM Dates'!$C:$C)&amp;ROW($BW28))))</f>
        <v>20426535.19</v>
      </c>
      <c r="EO28" s="283">
        <f t="array" ref="EO28">IF(EO$3&gt;'GAAP Summary'!$B$2,0,SUM(INDIRECT(XLOOKUP(EO$3,'TTM Dates'!$B:$B,'TTM Dates'!$E:$E)&amp;ROW($BW28)&amp;":"&amp;XLOOKUP(EO$3,'TTM Dates'!$B:$B,'TTM Dates'!$C:$C)&amp;ROW($BW28))))</f>
        <v>20414619.9</v>
      </c>
      <c r="EP28" s="283">
        <f t="array" ref="EP28">IF(EP$3&gt;'GAAP Summary'!$B$2,0,SUM(INDIRECT(XLOOKUP(EP$3,'TTM Dates'!$B:$B,'TTM Dates'!$E:$E)&amp;ROW($BW28)&amp;":"&amp;XLOOKUP(EP$3,'TTM Dates'!$B:$B,'TTM Dates'!$C:$C)&amp;ROW($BW28))))</f>
        <v>20881908.26</v>
      </c>
      <c r="EQ28" s="283">
        <f t="array" ref="EQ28">IF(EQ$3&gt;'GAAP Summary'!$B$2,0,SUM(INDIRECT(XLOOKUP(EQ$3,'TTM Dates'!$B:$B,'TTM Dates'!$E:$E)&amp;ROW($BW28)&amp;":"&amp;XLOOKUP(EQ$3,'TTM Dates'!$B:$B,'TTM Dates'!$C:$C)&amp;ROW($BW28))))</f>
        <v>21073902.64</v>
      </c>
      <c r="ER28" s="283">
        <f t="array" ref="ER28">IF(ER$3&gt;'GAAP Summary'!$B$2,0,SUM(INDIRECT(XLOOKUP(ER$3,'TTM Dates'!$B:$B,'TTM Dates'!$E:$E)&amp;ROW($BW28)&amp;":"&amp;XLOOKUP(ER$3,'TTM Dates'!$B:$B,'TTM Dates'!$C:$C)&amp;ROW($BW28))))</f>
        <v>21645593.3</v>
      </c>
      <c r="ES28" s="283">
        <f t="array" ref="ES28">IF(ES$3&gt;'GAAP Summary'!$B$2,0,SUM(INDIRECT(XLOOKUP(ES$3,'TTM Dates'!$B:$B,'TTM Dates'!$E:$E)&amp;ROW($BW28)&amp;":"&amp;XLOOKUP(ES$3,'TTM Dates'!$B:$B,'TTM Dates'!$C:$C)&amp;ROW($BW28))))</f>
        <v>22568057.96</v>
      </c>
      <c r="ET28" s="283">
        <f t="array" ref="ET28">IF(ET$3&gt;'GAAP Summary'!$B$2,0,SUM(INDIRECT(XLOOKUP(ET$3,'TTM Dates'!$B:$B,'TTM Dates'!$E:$E)&amp;ROW($BW28)&amp;":"&amp;XLOOKUP(ET$3,'TTM Dates'!$B:$B,'TTM Dates'!$C:$C)&amp;ROW($BW28))))</f>
        <v>23273091.82</v>
      </c>
      <c r="EU28" s="283">
        <f t="array" ref="EU28">IF(EU$3&gt;'GAAP Summary'!$B$2,0,SUM(INDIRECT(XLOOKUP(EU$3,'TTM Dates'!$B:$B,'TTM Dates'!$E:$E)&amp;ROW($BW28)&amp;":"&amp;XLOOKUP(EU$3,'TTM Dates'!$B:$B,'TTM Dates'!$C:$C)&amp;ROW($BW28))))</f>
        <v>24020054.51</v>
      </c>
      <c r="EV28" s="283">
        <f t="array" ref="EV28">IF(EV$3&gt;'GAAP Summary'!$B$2,0,SUM(INDIRECT(XLOOKUP(EV$3,'TTM Dates'!$B:$B,'TTM Dates'!$E:$E)&amp;ROW($BW28)&amp;":"&amp;XLOOKUP(EV$3,'TTM Dates'!$B:$B,'TTM Dates'!$C:$C)&amp;ROW($BW28))))</f>
        <v>24827321.59</v>
      </c>
      <c r="EW28" s="283">
        <f t="array" ref="EW28">IF(EW$3&gt;'GAAP Summary'!$B$2,0,SUM(INDIRECT(XLOOKUP(EW$3,'TTM Dates'!$B:$B,'TTM Dates'!$E:$E)&amp;ROW($BW28)&amp;":"&amp;XLOOKUP(EW$3,'TTM Dates'!$B:$B,'TTM Dates'!$C:$C)&amp;ROW($BW28))))</f>
        <v>25385094.72</v>
      </c>
      <c r="EX28" s="283">
        <f t="array" ref="EX28">IF(EX$3&gt;'GAAP Summary'!$B$2,0,SUM(INDIRECT(XLOOKUP(EX$3,'TTM Dates'!$B:$B,'TTM Dates'!$E:$E)&amp;ROW($BW28)&amp;":"&amp;XLOOKUP(EX$3,'TTM Dates'!$B:$B,'TTM Dates'!$C:$C)&amp;ROW($BW28))))</f>
        <v>25849319.2</v>
      </c>
      <c r="EY28" s="283">
        <f t="array" ref="EY28">IF(EY$3&gt;'GAAP Summary'!$B$2,0,SUM(INDIRECT(XLOOKUP(EY$3,'TTM Dates'!$B:$B,'TTM Dates'!$E:$E)&amp;ROW($BW28)&amp;":"&amp;XLOOKUP(EY$3,'TTM Dates'!$B:$B,'TTM Dates'!$C:$C)&amp;ROW($BW28))))</f>
        <v>26496471.55</v>
      </c>
      <c r="EZ28" s="283">
        <f t="array" ref="EZ28">IF(EZ$3&gt;'GAAP Summary'!$B$2,0,SUM(INDIRECT(XLOOKUP(EZ$3,'TTM Dates'!$B:$B,'TTM Dates'!$E:$E)&amp;ROW($BW28)&amp;":"&amp;XLOOKUP(EZ$3,'TTM Dates'!$B:$B,'TTM Dates'!$C:$C)&amp;ROW($BW28))))</f>
        <v>27172290.32</v>
      </c>
      <c r="FA28" s="283">
        <f t="array" ref="FA28">IF(FA$3&gt;'GAAP Summary'!$B$2,0,SUM(INDIRECT(XLOOKUP(FA$3,'TTM Dates'!$B:$B,'TTM Dates'!$E:$E)&amp;ROW($BW28)&amp;":"&amp;XLOOKUP(FA$3,'TTM Dates'!$B:$B,'TTM Dates'!$C:$C)&amp;ROW($BW28))))</f>
        <v>27965286.61</v>
      </c>
      <c r="FB28" s="283">
        <f t="array" ref="FB28">IF(FB$3&gt;'GAAP Summary'!$B$2,0,SUM(INDIRECT(XLOOKUP(FB$3,'TTM Dates'!$B:$B,'TTM Dates'!$E:$E)&amp;ROW($BW28)&amp;":"&amp;XLOOKUP(FB$3,'TTM Dates'!$B:$B,'TTM Dates'!$C:$C)&amp;ROW($BW28))))</f>
        <v>28935766.25</v>
      </c>
      <c r="FC28" s="283">
        <f t="array" ref="FC28">IF(FC$3&gt;'GAAP Summary'!$B$2,0,SUM(INDIRECT(XLOOKUP(FC$3,'TTM Dates'!$B:$B,'TTM Dates'!$E:$E)&amp;ROW($BW28)&amp;":"&amp;XLOOKUP(FC$3,'TTM Dates'!$B:$B,'TTM Dates'!$C:$C)&amp;ROW($BW28))))</f>
        <v>29612750.87</v>
      </c>
      <c r="FD28" s="283">
        <f t="array" ref="FD28">IF(FD$3&gt;'GAAP Summary'!$B$2,0,SUM(INDIRECT(XLOOKUP(FD$3,'TTM Dates'!$B:$B,'TTM Dates'!$E:$E)&amp;ROW($BW28)&amp;":"&amp;XLOOKUP(FD$3,'TTM Dates'!$B:$B,'TTM Dates'!$C:$C)&amp;ROW($BW28))))</f>
        <v>27534794.21</v>
      </c>
      <c r="FE28" s="283">
        <f t="array" ref="FE28">IF(FE$3&gt;'GAAP Summary'!$B$2,0,SUM(INDIRECT(XLOOKUP(FE$3,'TTM Dates'!$B:$B,'TTM Dates'!$E:$E)&amp;ROW($BW28)&amp;":"&amp;XLOOKUP(FE$3,'TTM Dates'!$B:$B,'TTM Dates'!$C:$C)&amp;ROW($BW28))))</f>
        <v>24885195.55</v>
      </c>
      <c r="FF28" s="283">
        <f t="array" ref="FF28">IF(FF$3&gt;'GAAP Summary'!$B$2,0,SUM(INDIRECT(XLOOKUP(FF$3,'TTM Dates'!$B:$B,'TTM Dates'!$E:$E)&amp;ROW($BW28)&amp;":"&amp;XLOOKUP(FF$3,'TTM Dates'!$B:$B,'TTM Dates'!$C:$C)&amp;ROW($BW28))))</f>
        <v>22598038.69</v>
      </c>
      <c r="FG28" s="283">
        <f t="array" ref="FG28">IF(FG$3&gt;'GAAP Summary'!$B$2,0,SUM(INDIRECT(XLOOKUP(FG$3,'TTM Dates'!$B:$B,'TTM Dates'!$E:$E)&amp;ROW($BW28)&amp;":"&amp;XLOOKUP(FG$3,'TTM Dates'!$B:$B,'TTM Dates'!$C:$C)&amp;ROW($BW28))))</f>
        <v>20355709</v>
      </c>
      <c r="FH28" s="283"/>
    </row>
    <row r="29">
      <c r="A29" s="101"/>
      <c r="B29" s="340" t="s">
        <v>507</v>
      </c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3"/>
      <c r="P29" s="283"/>
      <c r="Q29" s="283"/>
      <c r="R29" s="283"/>
      <c r="S29" s="283"/>
      <c r="T29" s="283"/>
      <c r="U29" s="283"/>
      <c r="V29" s="283"/>
      <c r="W29" s="283"/>
      <c r="X29" s="283"/>
      <c r="Y29" s="283"/>
      <c r="Z29" s="283"/>
      <c r="AA29" s="341">
        <v>31151.0</v>
      </c>
      <c r="AB29" s="341">
        <v>29959.0</v>
      </c>
      <c r="AC29" s="341">
        <v>30610.0</v>
      </c>
      <c r="AD29" s="341">
        <v>50298.0</v>
      </c>
      <c r="AE29" s="341">
        <v>32603.0</v>
      </c>
      <c r="AF29" s="341">
        <v>48697.0</v>
      </c>
      <c r="AG29" s="341">
        <v>39067.0</v>
      </c>
      <c r="AH29" s="341">
        <v>45011.0</v>
      </c>
      <c r="AI29" s="341">
        <v>47033.0</v>
      </c>
      <c r="AJ29" s="341">
        <v>34977.0</v>
      </c>
      <c r="AK29" s="341">
        <v>61158.0</v>
      </c>
      <c r="AL29" s="341">
        <v>58566.0</v>
      </c>
      <c r="AM29" s="341">
        <v>62059.0</v>
      </c>
      <c r="AN29" s="341">
        <v>106792.0</v>
      </c>
      <c r="AO29" s="341">
        <v>69301.0</v>
      </c>
      <c r="AP29" s="341">
        <v>79646.0</v>
      </c>
      <c r="AQ29" s="341">
        <v>60949.0</v>
      </c>
      <c r="AR29" s="341">
        <v>77475.0</v>
      </c>
      <c r="AS29" s="341">
        <v>107256.0</v>
      </c>
      <c r="AT29" s="341">
        <v>90370.0</v>
      </c>
      <c r="AU29" s="341">
        <v>72875.0</v>
      </c>
      <c r="AV29" s="341">
        <v>141165.0</v>
      </c>
      <c r="AW29" s="341">
        <v>75225.0</v>
      </c>
      <c r="AX29" s="341">
        <v>74735.0</v>
      </c>
      <c r="AY29" s="341">
        <f t="shared" ref="AY29:BV29" si="75">AY21+AY26</f>
        <v>80743</v>
      </c>
      <c r="AZ29" s="341">
        <f t="shared" si="75"/>
        <v>132423</v>
      </c>
      <c r="BA29" s="341">
        <f t="shared" si="75"/>
        <v>81376</v>
      </c>
      <c r="BB29" s="341">
        <f t="shared" si="75"/>
        <v>72606</v>
      </c>
      <c r="BC29" s="341">
        <f t="shared" si="75"/>
        <v>79646</v>
      </c>
      <c r="BD29" s="341">
        <f t="shared" si="75"/>
        <v>72514</v>
      </c>
      <c r="BE29" s="341">
        <f t="shared" si="75"/>
        <v>80015</v>
      </c>
      <c r="BF29" s="341">
        <f t="shared" si="75"/>
        <v>80140</v>
      </c>
      <c r="BG29" s="341">
        <f t="shared" si="75"/>
        <v>81044</v>
      </c>
      <c r="BH29" s="341">
        <f t="shared" si="75"/>
        <v>92966</v>
      </c>
      <c r="BI29" s="341">
        <f t="shared" si="75"/>
        <v>92516</v>
      </c>
      <c r="BJ29" s="341">
        <f t="shared" si="75"/>
        <v>92630</v>
      </c>
      <c r="BK29" s="341">
        <f t="shared" si="75"/>
        <v>133642</v>
      </c>
      <c r="BL29" s="341">
        <f t="shared" si="75"/>
        <v>89897</v>
      </c>
      <c r="BM29" s="341">
        <f t="shared" si="75"/>
        <v>99623</v>
      </c>
      <c r="BN29" s="341">
        <f t="shared" si="75"/>
        <v>83440</v>
      </c>
      <c r="BO29" s="341">
        <f t="shared" si="75"/>
        <v>54485</v>
      </c>
      <c r="BP29" s="341">
        <f t="shared" si="75"/>
        <v>51237</v>
      </c>
      <c r="BQ29" s="341">
        <f t="shared" si="75"/>
        <v>50745.93</v>
      </c>
      <c r="BR29" s="341">
        <f t="shared" si="75"/>
        <v>66270.69</v>
      </c>
      <c r="BS29" s="341">
        <f t="shared" si="75"/>
        <v>0</v>
      </c>
      <c r="BT29" s="341">
        <f t="shared" si="75"/>
        <v>0</v>
      </c>
      <c r="BU29" s="341">
        <f t="shared" si="75"/>
        <v>0</v>
      </c>
      <c r="BV29" s="341">
        <f t="shared" si="75"/>
        <v>0</v>
      </c>
      <c r="BW29" s="346"/>
      <c r="BX29" s="282" t="str">
        <f t="array" ref="BX29">SUM(INDIRECT(XLOOKUP('GAAP Summary'!$B$2,'TTM Dates'!$B:$B,'TTM Dates'!$E:$E)&amp;ROW($BW29)&amp;":"&amp;XLOOKUP('GAAP Summary'!$B$2,'TTM Dates'!$B:$B,'TTM Dates'!$C:$C)&amp;ROW($BW29)))</f>
        <v>#REF!</v>
      </c>
      <c r="BY29" s="283"/>
      <c r="BZ29" s="283">
        <f t="shared" si="54"/>
        <v>323162</v>
      </c>
      <c r="CA29" s="283">
        <f t="shared" si="55"/>
        <v>189162</v>
      </c>
      <c r="CB29" s="283">
        <f t="shared" si="56"/>
        <v>117016.62</v>
      </c>
      <c r="CC29" s="283">
        <f t="shared" si="57"/>
        <v>0</v>
      </c>
      <c r="CD29" s="343">
        <f t="shared" si="58"/>
        <v>629340.62</v>
      </c>
      <c r="CE29" s="283"/>
      <c r="CF29" s="283">
        <f t="shared" si="59"/>
        <v>294542</v>
      </c>
      <c r="CG29" s="283">
        <f t="shared" si="60"/>
        <v>224766</v>
      </c>
      <c r="CH29" s="283">
        <f t="shared" si="61"/>
        <v>241199</v>
      </c>
      <c r="CI29" s="283">
        <f t="shared" si="62"/>
        <v>278112</v>
      </c>
      <c r="CJ29" s="343">
        <f t="shared" si="63"/>
        <v>1038619</v>
      </c>
      <c r="CK29" s="283"/>
      <c r="CL29" s="283">
        <f t="shared" si="64"/>
        <v>238152</v>
      </c>
      <c r="CM29" s="283">
        <f t="shared" si="65"/>
        <v>218070</v>
      </c>
      <c r="CN29" s="283">
        <f t="shared" si="66"/>
        <v>270501</v>
      </c>
      <c r="CO29" s="283">
        <f t="shared" si="67"/>
        <v>291125</v>
      </c>
      <c r="CP29" s="343">
        <f t="shared" si="68"/>
        <v>1017848</v>
      </c>
      <c r="CQ29" s="283"/>
      <c r="CR29" s="341">
        <f t="shared" si="69"/>
        <v>91720</v>
      </c>
      <c r="CS29" s="341">
        <f t="shared" si="70"/>
        <v>131598</v>
      </c>
      <c r="CT29" s="341">
        <f t="shared" si="71"/>
        <v>131111</v>
      </c>
      <c r="CU29" s="341">
        <f t="shared" si="72"/>
        <v>154701</v>
      </c>
      <c r="CV29" s="344">
        <f t="shared" si="73"/>
        <v>509130</v>
      </c>
      <c r="CW29" s="283"/>
      <c r="CX29" s="343"/>
      <c r="CY29" s="283"/>
      <c r="CZ29" s="283">
        <f t="array" ref="CZ29">IF(CZ$3&gt;'GAAP Summary'!$B$2,0,SUM(INDIRECT(XLOOKUP(CZ$3,'TTM Dates'!$B:$B,'TTM Dates'!$E:$E)&amp;ROW($BW29)&amp;":"&amp;XLOOKUP(CZ$3,'TTM Dates'!$B:$B,'TTM Dates'!$C:$C)&amp;ROW($BW29))))</f>
        <v>0</v>
      </c>
      <c r="DA29" s="283">
        <f t="array" ref="DA29">IF(DA$3&gt;'GAAP Summary'!$B$2,0,SUM(INDIRECT(XLOOKUP(DA$3,'TTM Dates'!$B:$B,'TTM Dates'!$E:$E)&amp;ROW($BW29)&amp;":"&amp;XLOOKUP(DA$3,'TTM Dates'!$B:$B,'TTM Dates'!$C:$C)&amp;ROW($BW29))))</f>
        <v>0</v>
      </c>
      <c r="DB29" s="283">
        <f t="array" ref="DB29">IF(DB$3&gt;'GAAP Summary'!$B$2,0,SUM(INDIRECT(XLOOKUP(DB$3,'TTM Dates'!$B:$B,'TTM Dates'!$E:$E)&amp;ROW($BW29)&amp;":"&amp;XLOOKUP(DB$3,'TTM Dates'!$B:$B,'TTM Dates'!$C:$C)&amp;ROW($BW29))))</f>
        <v>0</v>
      </c>
      <c r="DC29" s="283">
        <f t="array" ref="DC29">IF(DC$3&gt;'GAAP Summary'!$B$2,0,SUM(INDIRECT(XLOOKUP(DC$3,'TTM Dates'!$B:$B,'TTM Dates'!$E:$E)&amp;ROW($BW29)&amp;":"&amp;XLOOKUP(DC$3,'TTM Dates'!$B:$B,'TTM Dates'!$C:$C)&amp;ROW($BW29))))</f>
        <v>0</v>
      </c>
      <c r="DD29" s="283">
        <f t="array" ref="DD29">IF(DD$3&gt;'GAAP Summary'!$B$2,0,SUM(INDIRECT(XLOOKUP(DD$3,'TTM Dates'!$B:$B,'TTM Dates'!$E:$E)&amp;ROW($BW29)&amp;":"&amp;XLOOKUP(DD$3,'TTM Dates'!$B:$B,'TTM Dates'!$C:$C)&amp;ROW($BW29))))</f>
        <v>0</v>
      </c>
      <c r="DE29" s="283">
        <f t="array" ref="DE29">IF(DE$3&gt;'GAAP Summary'!$B$2,0,SUM(INDIRECT(XLOOKUP(DE$3,'TTM Dates'!$B:$B,'TTM Dates'!$E:$E)&amp;ROW($BW29)&amp;":"&amp;XLOOKUP(DE$3,'TTM Dates'!$B:$B,'TTM Dates'!$C:$C)&amp;ROW($BW29))))</f>
        <v>0</v>
      </c>
      <c r="DF29" s="283">
        <f t="array" ref="DF29">IF(DF$3&gt;'GAAP Summary'!$B$2,0,SUM(INDIRECT(XLOOKUP(DF$3,'TTM Dates'!$B:$B,'TTM Dates'!$E:$E)&amp;ROW($BW29)&amp;":"&amp;XLOOKUP(DF$3,'TTM Dates'!$B:$B,'TTM Dates'!$C:$C)&amp;ROW($BW29))))</f>
        <v>0</v>
      </c>
      <c r="DG29" s="283">
        <f t="array" ref="DG29">IF(DG$3&gt;'GAAP Summary'!$B$2,0,SUM(INDIRECT(XLOOKUP(DG$3,'TTM Dates'!$B:$B,'TTM Dates'!$E:$E)&amp;ROW($BW29)&amp;":"&amp;XLOOKUP(DG$3,'TTM Dates'!$B:$B,'TTM Dates'!$C:$C)&amp;ROW($BW29))))</f>
        <v>0</v>
      </c>
      <c r="DH29" s="283">
        <f t="array" ref="DH29">IF(DH$3&gt;'GAAP Summary'!$B$2,0,SUM(INDIRECT(XLOOKUP(DH$3,'TTM Dates'!$B:$B,'TTM Dates'!$E:$E)&amp;ROW($BW29)&amp;":"&amp;XLOOKUP(DH$3,'TTM Dates'!$B:$B,'TTM Dates'!$C:$C)&amp;ROW($BW29))))</f>
        <v>0</v>
      </c>
      <c r="DI29" s="283">
        <f t="array" ref="DI29">IF(DI$3&gt;'GAAP Summary'!$B$2,0,SUM(INDIRECT(XLOOKUP(DI$3,'TTM Dates'!$B:$B,'TTM Dates'!$E:$E)&amp;ROW($BW29)&amp;":"&amp;XLOOKUP(DI$3,'TTM Dates'!$B:$B,'TTM Dates'!$C:$C)&amp;ROW($BW29))))</f>
        <v>0</v>
      </c>
      <c r="DJ29" s="283">
        <f t="array" ref="DJ29">IF(DJ$3&gt;'GAAP Summary'!$B$2,0,SUM(INDIRECT(XLOOKUP(DJ$3,'TTM Dates'!$B:$B,'TTM Dates'!$E:$E)&amp;ROW($BW29)&amp;":"&amp;XLOOKUP(DJ$3,'TTM Dates'!$B:$B,'TTM Dates'!$C:$C)&amp;ROW($BW29))))</f>
        <v>0</v>
      </c>
      <c r="DK29" s="283">
        <f t="array" ref="DK29">IF(DK$3&gt;'GAAP Summary'!$B$2,0,SUM(INDIRECT(XLOOKUP(DK$3,'TTM Dates'!$B:$B,'TTM Dates'!$E:$E)&amp;ROW($BW29)&amp;":"&amp;XLOOKUP(DK$3,'TTM Dates'!$B:$B,'TTM Dates'!$C:$C)&amp;ROW($BW29))))</f>
        <v>0</v>
      </c>
      <c r="DL29" s="283">
        <f t="array" ref="DL29">IF(DL$3&gt;'GAAP Summary'!$B$2,0,SUM(INDIRECT(XLOOKUP(DL$3,'TTM Dates'!$B:$B,'TTM Dates'!$E:$E)&amp;ROW($BW29)&amp;":"&amp;XLOOKUP(DL$3,'TTM Dates'!$B:$B,'TTM Dates'!$C:$C)&amp;ROW($BW29))))</f>
        <v>31151</v>
      </c>
      <c r="DM29" s="283">
        <f t="array" ref="DM29">IF(DM$3&gt;'GAAP Summary'!$B$2,0,SUM(INDIRECT(XLOOKUP(DM$3,'TTM Dates'!$B:$B,'TTM Dates'!$E:$E)&amp;ROW($BW29)&amp;":"&amp;XLOOKUP(DM$3,'TTM Dates'!$B:$B,'TTM Dates'!$C:$C)&amp;ROW($BW29))))</f>
        <v>61110</v>
      </c>
      <c r="DN29" s="283">
        <f t="array" ref="DN29">IF(DN$3&gt;'GAAP Summary'!$B$2,0,SUM(INDIRECT(XLOOKUP(DN$3,'TTM Dates'!$B:$B,'TTM Dates'!$E:$E)&amp;ROW($BW29)&amp;":"&amp;XLOOKUP(DN$3,'TTM Dates'!$B:$B,'TTM Dates'!$C:$C)&amp;ROW($BW29))))</f>
        <v>91720</v>
      </c>
      <c r="DO29" s="283">
        <f t="array" ref="DO29">IF(DO$3&gt;'GAAP Summary'!$B$2,0,SUM(INDIRECT(XLOOKUP(DO$3,'TTM Dates'!$B:$B,'TTM Dates'!$E:$E)&amp;ROW($BW29)&amp;":"&amp;XLOOKUP(DO$3,'TTM Dates'!$B:$B,'TTM Dates'!$C:$C)&amp;ROW($BW29))))</f>
        <v>142018</v>
      </c>
      <c r="DP29" s="283">
        <f t="array" ref="DP29">IF(DP$3&gt;'GAAP Summary'!$B$2,0,SUM(INDIRECT(XLOOKUP(DP$3,'TTM Dates'!$B:$B,'TTM Dates'!$E:$E)&amp;ROW($BW29)&amp;":"&amp;XLOOKUP(DP$3,'TTM Dates'!$B:$B,'TTM Dates'!$C:$C)&amp;ROW($BW29))))</f>
        <v>174621</v>
      </c>
      <c r="DQ29" s="283">
        <f t="array" ref="DQ29">IF(DQ$3&gt;'GAAP Summary'!$B$2,0,SUM(INDIRECT(XLOOKUP(DQ$3,'TTM Dates'!$B:$B,'TTM Dates'!$E:$E)&amp;ROW($BW29)&amp;":"&amp;XLOOKUP(DQ$3,'TTM Dates'!$B:$B,'TTM Dates'!$C:$C)&amp;ROW($BW29))))</f>
        <v>223318</v>
      </c>
      <c r="DR29" s="283">
        <f t="array" ref="DR29">IF(DR$3&gt;'GAAP Summary'!$B$2,0,SUM(INDIRECT(XLOOKUP(DR$3,'TTM Dates'!$B:$B,'TTM Dates'!$E:$E)&amp;ROW($BW29)&amp;":"&amp;XLOOKUP(DR$3,'TTM Dates'!$B:$B,'TTM Dates'!$C:$C)&amp;ROW($BW29))))</f>
        <v>262385</v>
      </c>
      <c r="DS29" s="283">
        <f t="array" ref="DS29">IF(DS$3&gt;'GAAP Summary'!$B$2,0,SUM(INDIRECT(XLOOKUP(DS$3,'TTM Dates'!$B:$B,'TTM Dates'!$E:$E)&amp;ROW($BW29)&amp;":"&amp;XLOOKUP(DS$3,'TTM Dates'!$B:$B,'TTM Dates'!$C:$C)&amp;ROW($BW29))))</f>
        <v>307396</v>
      </c>
      <c r="DT29" s="283">
        <f t="array" ref="DT29">IF(DT$3&gt;'GAAP Summary'!$B$2,0,SUM(INDIRECT(XLOOKUP(DT$3,'TTM Dates'!$B:$B,'TTM Dates'!$E:$E)&amp;ROW($BW29)&amp;":"&amp;XLOOKUP(DT$3,'TTM Dates'!$B:$B,'TTM Dates'!$C:$C)&amp;ROW($BW29))))</f>
        <v>354429</v>
      </c>
      <c r="DU29" s="283">
        <f t="array" ref="DU29">IF(DU$3&gt;'GAAP Summary'!$B$2,0,SUM(INDIRECT(XLOOKUP(DU$3,'TTM Dates'!$B:$B,'TTM Dates'!$E:$E)&amp;ROW($BW29)&amp;":"&amp;XLOOKUP(DU$3,'TTM Dates'!$B:$B,'TTM Dates'!$C:$C)&amp;ROW($BW29))))</f>
        <v>389406</v>
      </c>
      <c r="DV29" s="283">
        <f t="array" ref="DV29">IF(DV$3&gt;'GAAP Summary'!$B$2,0,SUM(INDIRECT(XLOOKUP(DV$3,'TTM Dates'!$B:$B,'TTM Dates'!$E:$E)&amp;ROW($BW29)&amp;":"&amp;XLOOKUP(DV$3,'TTM Dates'!$B:$B,'TTM Dates'!$C:$C)&amp;ROW($BW29))))</f>
        <v>450564</v>
      </c>
      <c r="DW29" s="283">
        <f t="array" ref="DW29">IF(DW$3&gt;'GAAP Summary'!$B$2,0,SUM(INDIRECT(XLOOKUP(DW$3,'TTM Dates'!$B:$B,'TTM Dates'!$E:$E)&amp;ROW($BW29)&amp;":"&amp;XLOOKUP(DW$3,'TTM Dates'!$B:$B,'TTM Dates'!$C:$C)&amp;ROW($BW29))))</f>
        <v>509130</v>
      </c>
      <c r="DX29" s="283">
        <f t="array" ref="DX29">IF(DX$3&gt;'GAAP Summary'!$B$2,0,SUM(INDIRECT(XLOOKUP(DX$3,'TTM Dates'!$B:$B,'TTM Dates'!$E:$E)&amp;ROW($BW29)&amp;":"&amp;XLOOKUP(DX$3,'TTM Dates'!$B:$B,'TTM Dates'!$C:$C)&amp;ROW($BW29))))</f>
        <v>540038</v>
      </c>
      <c r="DY29" s="283">
        <f t="array" ref="DY29">IF(DY$3&gt;'GAAP Summary'!$B$2,0,SUM(INDIRECT(XLOOKUP(DY$3,'TTM Dates'!$B:$B,'TTM Dates'!$E:$E)&amp;ROW($BW29)&amp;":"&amp;XLOOKUP(DY$3,'TTM Dates'!$B:$B,'TTM Dates'!$C:$C)&amp;ROW($BW29))))</f>
        <v>616871</v>
      </c>
      <c r="DZ29" s="283">
        <f t="array" ref="DZ29">IF(DZ$3&gt;'GAAP Summary'!$B$2,0,SUM(INDIRECT(XLOOKUP(DZ$3,'TTM Dates'!$B:$B,'TTM Dates'!$E:$E)&amp;ROW($BW29)&amp;":"&amp;XLOOKUP(DZ$3,'TTM Dates'!$B:$B,'TTM Dates'!$C:$C)&amp;ROW($BW29))))</f>
        <v>655562</v>
      </c>
      <c r="EA29" s="283">
        <f t="array" ref="EA29">IF(EA$3&gt;'GAAP Summary'!$B$2,0,SUM(INDIRECT(XLOOKUP(EA$3,'TTM Dates'!$B:$B,'TTM Dates'!$E:$E)&amp;ROW($BW29)&amp;":"&amp;XLOOKUP(EA$3,'TTM Dates'!$B:$B,'TTM Dates'!$C:$C)&amp;ROW($BW29))))</f>
        <v>684910</v>
      </c>
      <c r="EB29" s="283">
        <f t="array" ref="EB29">IF(EB$3&gt;'GAAP Summary'!$B$2,0,SUM(INDIRECT(XLOOKUP(EB$3,'TTM Dates'!$B:$B,'TTM Dates'!$E:$E)&amp;ROW($BW29)&amp;":"&amp;XLOOKUP(EB$3,'TTM Dates'!$B:$B,'TTM Dates'!$C:$C)&amp;ROW($BW29))))</f>
        <v>713256</v>
      </c>
      <c r="EC29" s="283">
        <f t="array" ref="EC29">IF(EC$3&gt;'GAAP Summary'!$B$2,0,SUM(INDIRECT(XLOOKUP(EC$3,'TTM Dates'!$B:$B,'TTM Dates'!$E:$E)&amp;ROW($BW29)&amp;":"&amp;XLOOKUP(EC$3,'TTM Dates'!$B:$B,'TTM Dates'!$C:$C)&amp;ROW($BW29))))</f>
        <v>742034</v>
      </c>
      <c r="ED29" s="283">
        <f t="array" ref="ED29">IF(ED$3&gt;'GAAP Summary'!$B$2,0,SUM(INDIRECT(XLOOKUP(ED$3,'TTM Dates'!$B:$B,'TTM Dates'!$E:$E)&amp;ROW($BW29)&amp;":"&amp;XLOOKUP(ED$3,'TTM Dates'!$B:$B,'TTM Dates'!$C:$C)&amp;ROW($BW29))))</f>
        <v>810223</v>
      </c>
      <c r="EE29" s="283">
        <f t="array" ref="EE29">IF(EE$3&gt;'GAAP Summary'!$B$2,0,SUM(INDIRECT(XLOOKUP(EE$3,'TTM Dates'!$B:$B,'TTM Dates'!$E:$E)&amp;ROW($BW29)&amp;":"&amp;XLOOKUP(EE$3,'TTM Dates'!$B:$B,'TTM Dates'!$C:$C)&amp;ROW($BW29))))</f>
        <v>855582</v>
      </c>
      <c r="EF29" s="283">
        <f t="array" ref="EF29">IF(EF$3&gt;'GAAP Summary'!$B$2,0,SUM(INDIRECT(XLOOKUP(EF$3,'TTM Dates'!$B:$B,'TTM Dates'!$E:$E)&amp;ROW($BW29)&amp;":"&amp;XLOOKUP(EF$3,'TTM Dates'!$B:$B,'TTM Dates'!$C:$C)&amp;ROW($BW29))))</f>
        <v>881424</v>
      </c>
      <c r="EG29" s="283">
        <f t="array" ref="EG29">IF(EG$3&gt;'GAAP Summary'!$B$2,0,SUM(INDIRECT(XLOOKUP(EG$3,'TTM Dates'!$B:$B,'TTM Dates'!$E:$E)&amp;ROW($BW29)&amp;":"&amp;XLOOKUP(EG$3,'TTM Dates'!$B:$B,'TTM Dates'!$C:$C)&amp;ROW($BW29))))</f>
        <v>987612</v>
      </c>
      <c r="EH29" s="283">
        <f t="array" ref="EH29">IF(EH$3&gt;'GAAP Summary'!$B$2,0,SUM(INDIRECT(XLOOKUP(EH$3,'TTM Dates'!$B:$B,'TTM Dates'!$E:$E)&amp;ROW($BW29)&amp;":"&amp;XLOOKUP(EH$3,'TTM Dates'!$B:$B,'TTM Dates'!$C:$C)&amp;ROW($BW29))))</f>
        <v>1001679</v>
      </c>
      <c r="EI29" s="283">
        <f t="array" ref="EI29">IF(EI$3&gt;'GAAP Summary'!$B$2,0,SUM(INDIRECT(XLOOKUP(EI$3,'TTM Dates'!$B:$B,'TTM Dates'!$E:$E)&amp;ROW($BW29)&amp;":"&amp;XLOOKUP(EI$3,'TTM Dates'!$B:$B,'TTM Dates'!$C:$C)&amp;ROW($BW29))))</f>
        <v>1017848</v>
      </c>
      <c r="EJ29" s="283">
        <f t="array" ref="EJ29">IF(EJ$3&gt;'GAAP Summary'!$B$2,0,SUM(INDIRECT(XLOOKUP(EJ$3,'TTM Dates'!$B:$B,'TTM Dates'!$E:$E)&amp;ROW($BW29)&amp;":"&amp;XLOOKUP(EJ$3,'TTM Dates'!$B:$B,'TTM Dates'!$C:$C)&amp;ROW($BW29))))</f>
        <v>1036532</v>
      </c>
      <c r="EK29" s="283">
        <f t="array" ref="EK29">IF(EK$3&gt;'GAAP Summary'!$B$2,0,SUM(INDIRECT(XLOOKUP(EK$3,'TTM Dates'!$B:$B,'TTM Dates'!$E:$E)&amp;ROW($BW29)&amp;":"&amp;XLOOKUP(EK$3,'TTM Dates'!$B:$B,'TTM Dates'!$C:$C)&amp;ROW($BW29))))</f>
        <v>1062163</v>
      </c>
      <c r="EL29" s="283">
        <f t="array" ref="EL29">IF(EL$3&gt;'GAAP Summary'!$B$2,0,SUM(INDIRECT(XLOOKUP(EL$3,'TTM Dates'!$B:$B,'TTM Dates'!$E:$E)&amp;ROW($BW29)&amp;":"&amp;XLOOKUP(EL$3,'TTM Dates'!$B:$B,'TTM Dates'!$C:$C)&amp;ROW($BW29))))</f>
        <v>1074238</v>
      </c>
      <c r="EM29" s="283">
        <f t="array" ref="EM29">IF(EM$3&gt;'GAAP Summary'!$B$2,0,SUM(INDIRECT(XLOOKUP(EM$3,'TTM Dates'!$B:$B,'TTM Dates'!$E:$E)&amp;ROW($BW29)&amp;":"&amp;XLOOKUP(EM$3,'TTM Dates'!$B:$B,'TTM Dates'!$C:$C)&amp;ROW($BW29))))</f>
        <v>1067198</v>
      </c>
      <c r="EN29" s="283">
        <f t="array" ref="EN29">IF(EN$3&gt;'GAAP Summary'!$B$2,0,SUM(INDIRECT(XLOOKUP(EN$3,'TTM Dates'!$B:$B,'TTM Dates'!$E:$E)&amp;ROW($BW29)&amp;":"&amp;XLOOKUP(EN$3,'TTM Dates'!$B:$B,'TTM Dates'!$C:$C)&amp;ROW($BW29))))</f>
        <v>1085895</v>
      </c>
      <c r="EO29" s="283">
        <f t="array" ref="EO29">IF(EO$3&gt;'GAAP Summary'!$B$2,0,SUM(INDIRECT(XLOOKUP(EO$3,'TTM Dates'!$B:$B,'TTM Dates'!$E:$E)&amp;ROW($BW29)&amp;":"&amp;XLOOKUP(EO$3,'TTM Dates'!$B:$B,'TTM Dates'!$C:$C)&amp;ROW($BW29))))</f>
        <v>1080934</v>
      </c>
      <c r="EP29" s="283">
        <f t="array" ref="EP29">IF(EP$3&gt;'GAAP Summary'!$B$2,0,SUM(INDIRECT(XLOOKUP(EP$3,'TTM Dates'!$B:$B,'TTM Dates'!$E:$E)&amp;ROW($BW29)&amp;":"&amp;XLOOKUP(EP$3,'TTM Dates'!$B:$B,'TTM Dates'!$C:$C)&amp;ROW($BW29))))</f>
        <v>1053693</v>
      </c>
      <c r="EQ29" s="283">
        <f t="array" ref="EQ29">IF(EQ$3&gt;'GAAP Summary'!$B$2,0,SUM(INDIRECT(XLOOKUP(EQ$3,'TTM Dates'!$B:$B,'TTM Dates'!$E:$E)&amp;ROW($BW29)&amp;":"&amp;XLOOKUP(EQ$3,'TTM Dates'!$B:$B,'TTM Dates'!$C:$C)&amp;ROW($BW29))))</f>
        <v>1043463</v>
      </c>
      <c r="ER29" s="283">
        <f t="array" ref="ER29">IF(ER$3&gt;'GAAP Summary'!$B$2,0,SUM(INDIRECT(XLOOKUP(ER$3,'TTM Dates'!$B:$B,'TTM Dates'!$E:$E)&amp;ROW($BW29)&amp;":"&amp;XLOOKUP(ER$3,'TTM Dates'!$B:$B,'TTM Dates'!$C:$C)&amp;ROW($BW29))))</f>
        <v>1051632</v>
      </c>
      <c r="ES29" s="283">
        <f t="array" ref="ES29">IF(ES$3&gt;'GAAP Summary'!$B$2,0,SUM(INDIRECT(XLOOKUP(ES$3,'TTM Dates'!$B:$B,'TTM Dates'!$E:$E)&amp;ROW($BW29)&amp;":"&amp;XLOOKUP(ES$3,'TTM Dates'!$B:$B,'TTM Dates'!$C:$C)&amp;ROW($BW29))))</f>
        <v>1003433</v>
      </c>
      <c r="ET29" s="283">
        <f t="array" ref="ET29">IF(ET$3&gt;'GAAP Summary'!$B$2,0,SUM(INDIRECT(XLOOKUP(ET$3,'TTM Dates'!$B:$B,'TTM Dates'!$E:$E)&amp;ROW($BW29)&amp;":"&amp;XLOOKUP(ET$3,'TTM Dates'!$B:$B,'TTM Dates'!$C:$C)&amp;ROW($BW29))))</f>
        <v>1020724</v>
      </c>
      <c r="EU29" s="283">
        <f t="array" ref="EU29">IF(EU$3&gt;'GAAP Summary'!$B$2,0,SUM(INDIRECT(XLOOKUP(EU$3,'TTM Dates'!$B:$B,'TTM Dates'!$E:$E)&amp;ROW($BW29)&amp;":"&amp;XLOOKUP(EU$3,'TTM Dates'!$B:$B,'TTM Dates'!$C:$C)&amp;ROW($BW29))))</f>
        <v>1038619</v>
      </c>
      <c r="EV29" s="283">
        <f t="array" ref="EV29">IF(EV$3&gt;'GAAP Summary'!$B$2,0,SUM(INDIRECT(XLOOKUP(EV$3,'TTM Dates'!$B:$B,'TTM Dates'!$E:$E)&amp;ROW($BW29)&amp;":"&amp;XLOOKUP(EV$3,'TTM Dates'!$B:$B,'TTM Dates'!$C:$C)&amp;ROW($BW29))))</f>
        <v>1091518</v>
      </c>
      <c r="EW29" s="283">
        <f t="array" ref="EW29">IF(EW$3&gt;'GAAP Summary'!$B$2,0,SUM(INDIRECT(XLOOKUP(EW$3,'TTM Dates'!$B:$B,'TTM Dates'!$E:$E)&amp;ROW($BW29)&amp;":"&amp;XLOOKUP(EW$3,'TTM Dates'!$B:$B,'TTM Dates'!$C:$C)&amp;ROW($BW29))))</f>
        <v>1048992</v>
      </c>
      <c r="EX29" s="283">
        <f t="array" ref="EX29">IF(EX$3&gt;'GAAP Summary'!$B$2,0,SUM(INDIRECT(XLOOKUP(EX$3,'TTM Dates'!$B:$B,'TTM Dates'!$E:$E)&amp;ROW($BW29)&amp;":"&amp;XLOOKUP(EX$3,'TTM Dates'!$B:$B,'TTM Dates'!$C:$C)&amp;ROW($BW29))))</f>
        <v>1067239</v>
      </c>
      <c r="EY29" s="283">
        <f t="array" ref="EY29">IF(EY$3&gt;'GAAP Summary'!$B$2,0,SUM(INDIRECT(XLOOKUP(EY$3,'TTM Dates'!$B:$B,'TTM Dates'!$E:$E)&amp;ROW($BW29)&amp;":"&amp;XLOOKUP(EY$3,'TTM Dates'!$B:$B,'TTM Dates'!$C:$C)&amp;ROW($BW29))))</f>
        <v>1078073</v>
      </c>
      <c r="EZ29" s="283">
        <f t="array" ref="EZ29">IF(EZ$3&gt;'GAAP Summary'!$B$2,0,SUM(INDIRECT(XLOOKUP(EZ$3,'TTM Dates'!$B:$B,'TTM Dates'!$E:$E)&amp;ROW($BW29)&amp;":"&amp;XLOOKUP(EZ$3,'TTM Dates'!$B:$B,'TTM Dates'!$C:$C)&amp;ROW($BW29))))</f>
        <v>1052912</v>
      </c>
      <c r="FA29" s="283">
        <f t="array" ref="FA29">IF(FA$3&gt;'GAAP Summary'!$B$2,0,SUM(INDIRECT(XLOOKUP(FA$3,'TTM Dates'!$B:$B,'TTM Dates'!$E:$E)&amp;ROW($BW29)&amp;":"&amp;XLOOKUP(FA$3,'TTM Dates'!$B:$B,'TTM Dates'!$C:$C)&amp;ROW($BW29))))</f>
        <v>1031635</v>
      </c>
      <c r="FB29" s="283">
        <f t="array" ref="FB29">IF(FB$3&gt;'GAAP Summary'!$B$2,0,SUM(INDIRECT(XLOOKUP(FB$3,'TTM Dates'!$B:$B,'TTM Dates'!$E:$E)&amp;ROW($BW29)&amp;":"&amp;XLOOKUP(FB$3,'TTM Dates'!$B:$B,'TTM Dates'!$C:$C)&amp;ROW($BW29))))</f>
        <v>1002365.93</v>
      </c>
      <c r="FC29" s="283">
        <f t="array" ref="FC29">IF(FC$3&gt;'GAAP Summary'!$B$2,0,SUM(INDIRECT(XLOOKUP(FC$3,'TTM Dates'!$B:$B,'TTM Dates'!$E:$E)&amp;ROW($BW29)&amp;":"&amp;XLOOKUP(FC$3,'TTM Dates'!$B:$B,'TTM Dates'!$C:$C)&amp;ROW($BW29))))</f>
        <v>988496.62</v>
      </c>
      <c r="FD29" s="283">
        <f t="array" ref="FD29">IF(FD$3&gt;'GAAP Summary'!$B$2,0,SUM(INDIRECT(XLOOKUP(FD$3,'TTM Dates'!$B:$B,'TTM Dates'!$E:$E)&amp;ROW($BW29)&amp;":"&amp;XLOOKUP(FD$3,'TTM Dates'!$B:$B,'TTM Dates'!$C:$C)&amp;ROW($BW29))))</f>
        <v>907452.62</v>
      </c>
      <c r="FE29" s="283">
        <f t="array" ref="FE29">IF(FE$3&gt;'GAAP Summary'!$B$2,0,SUM(INDIRECT(XLOOKUP(FE$3,'TTM Dates'!$B:$B,'TTM Dates'!$E:$E)&amp;ROW($BW29)&amp;":"&amp;XLOOKUP(FE$3,'TTM Dates'!$B:$B,'TTM Dates'!$C:$C)&amp;ROW($BW29))))</f>
        <v>814486.62</v>
      </c>
      <c r="FF29" s="283">
        <f t="array" ref="FF29">IF(FF$3&gt;'GAAP Summary'!$B$2,0,SUM(INDIRECT(XLOOKUP(FF$3,'TTM Dates'!$B:$B,'TTM Dates'!$E:$E)&amp;ROW($BW29)&amp;":"&amp;XLOOKUP(FF$3,'TTM Dates'!$B:$B,'TTM Dates'!$C:$C)&amp;ROW($BW29))))</f>
        <v>721970.62</v>
      </c>
      <c r="FG29" s="283">
        <f t="array" ref="FG29">IF(FG$3&gt;'GAAP Summary'!$B$2,0,SUM(INDIRECT(XLOOKUP(FG$3,'TTM Dates'!$B:$B,'TTM Dates'!$E:$E)&amp;ROW($BW29)&amp;":"&amp;XLOOKUP(FG$3,'TTM Dates'!$B:$B,'TTM Dates'!$C:$C)&amp;ROW($BW29))))</f>
        <v>629340.62</v>
      </c>
      <c r="FH29" s="283"/>
    </row>
    <row r="30">
      <c r="A30" s="101"/>
      <c r="B30" s="340" t="s">
        <v>509</v>
      </c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3"/>
      <c r="R30" s="283"/>
      <c r="S30" s="283"/>
      <c r="T30" s="283"/>
      <c r="U30" s="283"/>
      <c r="V30" s="283"/>
      <c r="W30" s="283"/>
      <c r="X30" s="283"/>
      <c r="Y30" s="283"/>
      <c r="Z30" s="283"/>
      <c r="AA30" s="341">
        <v>0.0</v>
      </c>
      <c r="AB30" s="341">
        <v>0.0</v>
      </c>
      <c r="AC30" s="341">
        <v>0.0</v>
      </c>
      <c r="AD30" s="341">
        <v>0.0</v>
      </c>
      <c r="AE30" s="341">
        <v>0.0</v>
      </c>
      <c r="AF30" s="341">
        <v>0.0</v>
      </c>
      <c r="AG30" s="341">
        <v>0.0</v>
      </c>
      <c r="AH30" s="341">
        <v>0.0</v>
      </c>
      <c r="AI30" s="341">
        <v>0.0</v>
      </c>
      <c r="AJ30" s="341">
        <v>0.0</v>
      </c>
      <c r="AK30" s="341">
        <v>0.0</v>
      </c>
      <c r="AL30" s="341">
        <v>0.0</v>
      </c>
      <c r="AM30" s="341">
        <v>0.0</v>
      </c>
      <c r="AN30" s="341">
        <v>0.0</v>
      </c>
      <c r="AO30" s="341">
        <v>0.0</v>
      </c>
      <c r="AP30" s="341">
        <v>0.0</v>
      </c>
      <c r="AQ30" s="341">
        <v>0.0</v>
      </c>
      <c r="AR30" s="341">
        <v>0.0</v>
      </c>
      <c r="AS30" s="341">
        <v>0.0</v>
      </c>
      <c r="AT30" s="341">
        <v>0.0</v>
      </c>
      <c r="AU30" s="341">
        <v>0.0</v>
      </c>
      <c r="AV30" s="341">
        <v>0.0</v>
      </c>
      <c r="AW30" s="341">
        <v>0.0</v>
      </c>
      <c r="AX30" s="341">
        <v>0.0</v>
      </c>
      <c r="AY30" s="341">
        <f t="shared" ref="AY30:BV30" si="76">AY22+AY27</f>
        <v>0</v>
      </c>
      <c r="AZ30" s="341">
        <f t="shared" si="76"/>
        <v>0</v>
      </c>
      <c r="BA30" s="341">
        <f t="shared" si="76"/>
        <v>0</v>
      </c>
      <c r="BB30" s="341">
        <f t="shared" si="76"/>
        <v>0</v>
      </c>
      <c r="BC30" s="341">
        <f t="shared" si="76"/>
        <v>6667</v>
      </c>
      <c r="BD30" s="341">
        <f t="shared" si="76"/>
        <v>6667</v>
      </c>
      <c r="BE30" s="341">
        <f t="shared" si="76"/>
        <v>6667</v>
      </c>
      <c r="BF30" s="341">
        <f t="shared" si="76"/>
        <v>0</v>
      </c>
      <c r="BG30" s="341">
        <f t="shared" si="76"/>
        <v>5385</v>
      </c>
      <c r="BH30" s="341">
        <f t="shared" si="76"/>
        <v>88580</v>
      </c>
      <c r="BI30" s="341">
        <f t="shared" si="76"/>
        <v>88580</v>
      </c>
      <c r="BJ30" s="341">
        <f t="shared" si="76"/>
        <v>93724</v>
      </c>
      <c r="BK30" s="341">
        <f t="shared" si="76"/>
        <v>35588</v>
      </c>
      <c r="BL30" s="341">
        <f t="shared" si="76"/>
        <v>33290</v>
      </c>
      <c r="BM30" s="341">
        <f t="shared" si="76"/>
        <v>33290</v>
      </c>
      <c r="BN30" s="341">
        <f t="shared" si="76"/>
        <v>33290.15</v>
      </c>
      <c r="BO30" s="341">
        <f t="shared" si="76"/>
        <v>48290.15</v>
      </c>
      <c r="BP30" s="341">
        <f t="shared" si="76"/>
        <v>48290.15</v>
      </c>
      <c r="BQ30" s="341">
        <f t="shared" si="76"/>
        <v>48290.15</v>
      </c>
      <c r="BR30" s="341">
        <f t="shared" si="76"/>
        <v>48290.15</v>
      </c>
      <c r="BS30" s="341">
        <f t="shared" si="76"/>
        <v>0</v>
      </c>
      <c r="BT30" s="341">
        <f t="shared" si="76"/>
        <v>0</v>
      </c>
      <c r="BU30" s="341">
        <f t="shared" si="76"/>
        <v>0</v>
      </c>
      <c r="BV30" s="341">
        <f t="shared" si="76"/>
        <v>0</v>
      </c>
      <c r="BW30" s="342"/>
      <c r="BX30" s="282" t="str">
        <f t="array" ref="BX30">SUM(INDIRECT(XLOOKUP('GAAP Summary'!$B$2,'TTM Dates'!$B:$B,'TTM Dates'!$E:$E)&amp;ROW($BW30)&amp;":"&amp;XLOOKUP('GAAP Summary'!$B$2,'TTM Dates'!$B:$B,'TTM Dates'!$C:$C)&amp;ROW($BW30)))</f>
        <v>#REF!</v>
      </c>
      <c r="BY30" s="283"/>
      <c r="BZ30" s="283">
        <f t="shared" si="54"/>
        <v>102168</v>
      </c>
      <c r="CA30" s="283">
        <f t="shared" si="55"/>
        <v>129870.45</v>
      </c>
      <c r="CB30" s="283">
        <f t="shared" si="56"/>
        <v>96580.3</v>
      </c>
      <c r="CC30" s="283">
        <f t="shared" si="57"/>
        <v>0</v>
      </c>
      <c r="CD30" s="343">
        <f t="shared" si="58"/>
        <v>328618.75</v>
      </c>
      <c r="CE30" s="283"/>
      <c r="CF30" s="283">
        <f t="shared" si="59"/>
        <v>0</v>
      </c>
      <c r="CG30" s="283">
        <f t="shared" si="60"/>
        <v>13334</v>
      </c>
      <c r="CH30" s="283">
        <f t="shared" si="61"/>
        <v>12052</v>
      </c>
      <c r="CI30" s="283">
        <f t="shared" si="62"/>
        <v>270884</v>
      </c>
      <c r="CJ30" s="343">
        <f t="shared" si="63"/>
        <v>296270</v>
      </c>
      <c r="CK30" s="283"/>
      <c r="CL30" s="283">
        <f t="shared" si="64"/>
        <v>0</v>
      </c>
      <c r="CM30" s="283">
        <f t="shared" si="65"/>
        <v>0</v>
      </c>
      <c r="CN30" s="283">
        <f t="shared" si="66"/>
        <v>0</v>
      </c>
      <c r="CO30" s="283">
        <f t="shared" si="67"/>
        <v>0</v>
      </c>
      <c r="CP30" s="343">
        <f t="shared" si="68"/>
        <v>0</v>
      </c>
      <c r="CQ30" s="283"/>
      <c r="CR30" s="341">
        <f t="shared" si="69"/>
        <v>0</v>
      </c>
      <c r="CS30" s="341">
        <f t="shared" si="70"/>
        <v>0</v>
      </c>
      <c r="CT30" s="341">
        <f t="shared" si="71"/>
        <v>0</v>
      </c>
      <c r="CU30" s="341">
        <f t="shared" si="72"/>
        <v>0</v>
      </c>
      <c r="CV30" s="344">
        <f t="shared" si="73"/>
        <v>0</v>
      </c>
      <c r="CW30" s="283"/>
      <c r="CX30" s="343"/>
      <c r="CY30" s="283"/>
      <c r="CZ30" s="283">
        <f t="array" ref="CZ30">IF(CZ$3&gt;'GAAP Summary'!$B$2,0,SUM(INDIRECT(XLOOKUP(CZ$3,'TTM Dates'!$B:$B,'TTM Dates'!$E:$E)&amp;ROW($BW30)&amp;":"&amp;XLOOKUP(CZ$3,'TTM Dates'!$B:$B,'TTM Dates'!$C:$C)&amp;ROW($BW30))))</f>
        <v>0</v>
      </c>
      <c r="DA30" s="283">
        <f t="array" ref="DA30">IF(DA$3&gt;'GAAP Summary'!$B$2,0,SUM(INDIRECT(XLOOKUP(DA$3,'TTM Dates'!$B:$B,'TTM Dates'!$E:$E)&amp;ROW($BW30)&amp;":"&amp;XLOOKUP(DA$3,'TTM Dates'!$B:$B,'TTM Dates'!$C:$C)&amp;ROW($BW30))))</f>
        <v>0</v>
      </c>
      <c r="DB30" s="283">
        <f t="array" ref="DB30">IF(DB$3&gt;'GAAP Summary'!$B$2,0,SUM(INDIRECT(XLOOKUP(DB$3,'TTM Dates'!$B:$B,'TTM Dates'!$E:$E)&amp;ROW($BW30)&amp;":"&amp;XLOOKUP(DB$3,'TTM Dates'!$B:$B,'TTM Dates'!$C:$C)&amp;ROW($BW30))))</f>
        <v>0</v>
      </c>
      <c r="DC30" s="283">
        <f t="array" ref="DC30">IF(DC$3&gt;'GAAP Summary'!$B$2,0,SUM(INDIRECT(XLOOKUP(DC$3,'TTM Dates'!$B:$B,'TTM Dates'!$E:$E)&amp;ROW($BW30)&amp;":"&amp;XLOOKUP(DC$3,'TTM Dates'!$B:$B,'TTM Dates'!$C:$C)&amp;ROW($BW30))))</f>
        <v>0</v>
      </c>
      <c r="DD30" s="283">
        <f t="array" ref="DD30">IF(DD$3&gt;'GAAP Summary'!$B$2,0,SUM(INDIRECT(XLOOKUP(DD$3,'TTM Dates'!$B:$B,'TTM Dates'!$E:$E)&amp;ROW($BW30)&amp;":"&amp;XLOOKUP(DD$3,'TTM Dates'!$B:$B,'TTM Dates'!$C:$C)&amp;ROW($BW30))))</f>
        <v>0</v>
      </c>
      <c r="DE30" s="283">
        <f t="array" ref="DE30">IF(DE$3&gt;'GAAP Summary'!$B$2,0,SUM(INDIRECT(XLOOKUP(DE$3,'TTM Dates'!$B:$B,'TTM Dates'!$E:$E)&amp;ROW($BW30)&amp;":"&amp;XLOOKUP(DE$3,'TTM Dates'!$B:$B,'TTM Dates'!$C:$C)&amp;ROW($BW30))))</f>
        <v>0</v>
      </c>
      <c r="DF30" s="283">
        <f t="array" ref="DF30">IF(DF$3&gt;'GAAP Summary'!$B$2,0,SUM(INDIRECT(XLOOKUP(DF$3,'TTM Dates'!$B:$B,'TTM Dates'!$E:$E)&amp;ROW($BW30)&amp;":"&amp;XLOOKUP(DF$3,'TTM Dates'!$B:$B,'TTM Dates'!$C:$C)&amp;ROW($BW30))))</f>
        <v>0</v>
      </c>
      <c r="DG30" s="283">
        <f t="array" ref="DG30">IF(DG$3&gt;'GAAP Summary'!$B$2,0,SUM(INDIRECT(XLOOKUP(DG$3,'TTM Dates'!$B:$B,'TTM Dates'!$E:$E)&amp;ROW($BW30)&amp;":"&amp;XLOOKUP(DG$3,'TTM Dates'!$B:$B,'TTM Dates'!$C:$C)&amp;ROW($BW30))))</f>
        <v>0</v>
      </c>
      <c r="DH30" s="283">
        <f t="array" ref="DH30">IF(DH$3&gt;'GAAP Summary'!$B$2,0,SUM(INDIRECT(XLOOKUP(DH$3,'TTM Dates'!$B:$B,'TTM Dates'!$E:$E)&amp;ROW($BW30)&amp;":"&amp;XLOOKUP(DH$3,'TTM Dates'!$B:$B,'TTM Dates'!$C:$C)&amp;ROW($BW30))))</f>
        <v>0</v>
      </c>
      <c r="DI30" s="283">
        <f t="array" ref="DI30">IF(DI$3&gt;'GAAP Summary'!$B$2,0,SUM(INDIRECT(XLOOKUP(DI$3,'TTM Dates'!$B:$B,'TTM Dates'!$E:$E)&amp;ROW($BW30)&amp;":"&amp;XLOOKUP(DI$3,'TTM Dates'!$B:$B,'TTM Dates'!$C:$C)&amp;ROW($BW30))))</f>
        <v>0</v>
      </c>
      <c r="DJ30" s="283">
        <f t="array" ref="DJ30">IF(DJ$3&gt;'GAAP Summary'!$B$2,0,SUM(INDIRECT(XLOOKUP(DJ$3,'TTM Dates'!$B:$B,'TTM Dates'!$E:$E)&amp;ROW($BW30)&amp;":"&amp;XLOOKUP(DJ$3,'TTM Dates'!$B:$B,'TTM Dates'!$C:$C)&amp;ROW($BW30))))</f>
        <v>0</v>
      </c>
      <c r="DK30" s="283">
        <f t="array" ref="DK30">IF(DK$3&gt;'GAAP Summary'!$B$2,0,SUM(INDIRECT(XLOOKUP(DK$3,'TTM Dates'!$B:$B,'TTM Dates'!$E:$E)&amp;ROW($BW30)&amp;":"&amp;XLOOKUP(DK$3,'TTM Dates'!$B:$B,'TTM Dates'!$C:$C)&amp;ROW($BW30))))</f>
        <v>0</v>
      </c>
      <c r="DL30" s="283">
        <f t="array" ref="DL30">IF(DL$3&gt;'GAAP Summary'!$B$2,0,SUM(INDIRECT(XLOOKUP(DL$3,'TTM Dates'!$B:$B,'TTM Dates'!$E:$E)&amp;ROW($BW30)&amp;":"&amp;XLOOKUP(DL$3,'TTM Dates'!$B:$B,'TTM Dates'!$C:$C)&amp;ROW($BW30))))</f>
        <v>0</v>
      </c>
      <c r="DM30" s="283">
        <f t="array" ref="DM30">IF(DM$3&gt;'GAAP Summary'!$B$2,0,SUM(INDIRECT(XLOOKUP(DM$3,'TTM Dates'!$B:$B,'TTM Dates'!$E:$E)&amp;ROW($BW30)&amp;":"&amp;XLOOKUP(DM$3,'TTM Dates'!$B:$B,'TTM Dates'!$C:$C)&amp;ROW($BW30))))</f>
        <v>0</v>
      </c>
      <c r="DN30" s="283">
        <f t="array" ref="DN30">IF(DN$3&gt;'GAAP Summary'!$B$2,0,SUM(INDIRECT(XLOOKUP(DN$3,'TTM Dates'!$B:$B,'TTM Dates'!$E:$E)&amp;ROW($BW30)&amp;":"&amp;XLOOKUP(DN$3,'TTM Dates'!$B:$B,'TTM Dates'!$C:$C)&amp;ROW($BW30))))</f>
        <v>0</v>
      </c>
      <c r="DO30" s="283">
        <f t="array" ref="DO30">IF(DO$3&gt;'GAAP Summary'!$B$2,0,SUM(INDIRECT(XLOOKUP(DO$3,'TTM Dates'!$B:$B,'TTM Dates'!$E:$E)&amp;ROW($BW30)&amp;":"&amp;XLOOKUP(DO$3,'TTM Dates'!$B:$B,'TTM Dates'!$C:$C)&amp;ROW($BW30))))</f>
        <v>0</v>
      </c>
      <c r="DP30" s="283">
        <f t="array" ref="DP30">IF(DP$3&gt;'GAAP Summary'!$B$2,0,SUM(INDIRECT(XLOOKUP(DP$3,'TTM Dates'!$B:$B,'TTM Dates'!$E:$E)&amp;ROW($BW30)&amp;":"&amp;XLOOKUP(DP$3,'TTM Dates'!$B:$B,'TTM Dates'!$C:$C)&amp;ROW($BW30))))</f>
        <v>0</v>
      </c>
      <c r="DQ30" s="283">
        <f t="array" ref="DQ30">IF(DQ$3&gt;'GAAP Summary'!$B$2,0,SUM(INDIRECT(XLOOKUP(DQ$3,'TTM Dates'!$B:$B,'TTM Dates'!$E:$E)&amp;ROW($BW30)&amp;":"&amp;XLOOKUP(DQ$3,'TTM Dates'!$B:$B,'TTM Dates'!$C:$C)&amp;ROW($BW30))))</f>
        <v>0</v>
      </c>
      <c r="DR30" s="283">
        <f t="array" ref="DR30">IF(DR$3&gt;'GAAP Summary'!$B$2,0,SUM(INDIRECT(XLOOKUP(DR$3,'TTM Dates'!$B:$B,'TTM Dates'!$E:$E)&amp;ROW($BW30)&amp;":"&amp;XLOOKUP(DR$3,'TTM Dates'!$B:$B,'TTM Dates'!$C:$C)&amp;ROW($BW30))))</f>
        <v>0</v>
      </c>
      <c r="DS30" s="283">
        <f t="array" ref="DS30">IF(DS$3&gt;'GAAP Summary'!$B$2,0,SUM(INDIRECT(XLOOKUP(DS$3,'TTM Dates'!$B:$B,'TTM Dates'!$E:$E)&amp;ROW($BW30)&amp;":"&amp;XLOOKUP(DS$3,'TTM Dates'!$B:$B,'TTM Dates'!$C:$C)&amp;ROW($BW30))))</f>
        <v>0</v>
      </c>
      <c r="DT30" s="283">
        <f t="array" ref="DT30">IF(DT$3&gt;'GAAP Summary'!$B$2,0,SUM(INDIRECT(XLOOKUP(DT$3,'TTM Dates'!$B:$B,'TTM Dates'!$E:$E)&amp;ROW($BW30)&amp;":"&amp;XLOOKUP(DT$3,'TTM Dates'!$B:$B,'TTM Dates'!$C:$C)&amp;ROW($BW30))))</f>
        <v>0</v>
      </c>
      <c r="DU30" s="283">
        <f t="array" ref="DU30">IF(DU$3&gt;'GAAP Summary'!$B$2,0,SUM(INDIRECT(XLOOKUP(DU$3,'TTM Dates'!$B:$B,'TTM Dates'!$E:$E)&amp;ROW($BW30)&amp;":"&amp;XLOOKUP(DU$3,'TTM Dates'!$B:$B,'TTM Dates'!$C:$C)&amp;ROW($BW30))))</f>
        <v>0</v>
      </c>
      <c r="DV30" s="283">
        <f t="array" ref="DV30">IF(DV$3&gt;'GAAP Summary'!$B$2,0,SUM(INDIRECT(XLOOKUP(DV$3,'TTM Dates'!$B:$B,'TTM Dates'!$E:$E)&amp;ROW($BW30)&amp;":"&amp;XLOOKUP(DV$3,'TTM Dates'!$B:$B,'TTM Dates'!$C:$C)&amp;ROW($BW30))))</f>
        <v>0</v>
      </c>
      <c r="DW30" s="283">
        <f t="array" ref="DW30">IF(DW$3&gt;'GAAP Summary'!$B$2,0,SUM(INDIRECT(XLOOKUP(DW$3,'TTM Dates'!$B:$B,'TTM Dates'!$E:$E)&amp;ROW($BW30)&amp;":"&amp;XLOOKUP(DW$3,'TTM Dates'!$B:$B,'TTM Dates'!$C:$C)&amp;ROW($BW30))))</f>
        <v>0</v>
      </c>
      <c r="DX30" s="283">
        <f t="array" ref="DX30">IF(DX$3&gt;'GAAP Summary'!$B$2,0,SUM(INDIRECT(XLOOKUP(DX$3,'TTM Dates'!$B:$B,'TTM Dates'!$E:$E)&amp;ROW($BW30)&amp;":"&amp;XLOOKUP(DX$3,'TTM Dates'!$B:$B,'TTM Dates'!$C:$C)&amp;ROW($BW30))))</f>
        <v>0</v>
      </c>
      <c r="DY30" s="283">
        <f t="array" ref="DY30">IF(DY$3&gt;'GAAP Summary'!$B$2,0,SUM(INDIRECT(XLOOKUP(DY$3,'TTM Dates'!$B:$B,'TTM Dates'!$E:$E)&amp;ROW($BW30)&amp;":"&amp;XLOOKUP(DY$3,'TTM Dates'!$B:$B,'TTM Dates'!$C:$C)&amp;ROW($BW30))))</f>
        <v>0</v>
      </c>
      <c r="DZ30" s="283">
        <f t="array" ref="DZ30">IF(DZ$3&gt;'GAAP Summary'!$B$2,0,SUM(INDIRECT(XLOOKUP(DZ$3,'TTM Dates'!$B:$B,'TTM Dates'!$E:$E)&amp;ROW($BW30)&amp;":"&amp;XLOOKUP(DZ$3,'TTM Dates'!$B:$B,'TTM Dates'!$C:$C)&amp;ROW($BW30))))</f>
        <v>0</v>
      </c>
      <c r="EA30" s="283">
        <f t="array" ref="EA30">IF(EA$3&gt;'GAAP Summary'!$B$2,0,SUM(INDIRECT(XLOOKUP(EA$3,'TTM Dates'!$B:$B,'TTM Dates'!$E:$E)&amp;ROW($BW30)&amp;":"&amp;XLOOKUP(EA$3,'TTM Dates'!$B:$B,'TTM Dates'!$C:$C)&amp;ROW($BW30))))</f>
        <v>0</v>
      </c>
      <c r="EB30" s="283">
        <f t="array" ref="EB30">IF(EB$3&gt;'GAAP Summary'!$B$2,0,SUM(INDIRECT(XLOOKUP(EB$3,'TTM Dates'!$B:$B,'TTM Dates'!$E:$E)&amp;ROW($BW30)&amp;":"&amp;XLOOKUP(EB$3,'TTM Dates'!$B:$B,'TTM Dates'!$C:$C)&amp;ROW($BW30))))</f>
        <v>0</v>
      </c>
      <c r="EC30" s="283">
        <f t="array" ref="EC30">IF(EC$3&gt;'GAAP Summary'!$B$2,0,SUM(INDIRECT(XLOOKUP(EC$3,'TTM Dates'!$B:$B,'TTM Dates'!$E:$E)&amp;ROW($BW30)&amp;":"&amp;XLOOKUP(EC$3,'TTM Dates'!$B:$B,'TTM Dates'!$C:$C)&amp;ROW($BW30))))</f>
        <v>0</v>
      </c>
      <c r="ED30" s="283">
        <f t="array" ref="ED30">IF(ED$3&gt;'GAAP Summary'!$B$2,0,SUM(INDIRECT(XLOOKUP(ED$3,'TTM Dates'!$B:$B,'TTM Dates'!$E:$E)&amp;ROW($BW30)&amp;":"&amp;XLOOKUP(ED$3,'TTM Dates'!$B:$B,'TTM Dates'!$C:$C)&amp;ROW($BW30))))</f>
        <v>0</v>
      </c>
      <c r="EE30" s="283">
        <f t="array" ref="EE30">IF(EE$3&gt;'GAAP Summary'!$B$2,0,SUM(INDIRECT(XLOOKUP(EE$3,'TTM Dates'!$B:$B,'TTM Dates'!$E:$E)&amp;ROW($BW30)&amp;":"&amp;XLOOKUP(EE$3,'TTM Dates'!$B:$B,'TTM Dates'!$C:$C)&amp;ROW($BW30))))</f>
        <v>0</v>
      </c>
      <c r="EF30" s="283">
        <f t="array" ref="EF30">IF(EF$3&gt;'GAAP Summary'!$B$2,0,SUM(INDIRECT(XLOOKUP(EF$3,'TTM Dates'!$B:$B,'TTM Dates'!$E:$E)&amp;ROW($BW30)&amp;":"&amp;XLOOKUP(EF$3,'TTM Dates'!$B:$B,'TTM Dates'!$C:$C)&amp;ROW($BW30))))</f>
        <v>0</v>
      </c>
      <c r="EG30" s="283">
        <f t="array" ref="EG30">IF(EG$3&gt;'GAAP Summary'!$B$2,0,SUM(INDIRECT(XLOOKUP(EG$3,'TTM Dates'!$B:$B,'TTM Dates'!$E:$E)&amp;ROW($BW30)&amp;":"&amp;XLOOKUP(EG$3,'TTM Dates'!$B:$B,'TTM Dates'!$C:$C)&amp;ROW($BW30))))</f>
        <v>0</v>
      </c>
      <c r="EH30" s="283">
        <f t="array" ref="EH30">IF(EH$3&gt;'GAAP Summary'!$B$2,0,SUM(INDIRECT(XLOOKUP(EH$3,'TTM Dates'!$B:$B,'TTM Dates'!$E:$E)&amp;ROW($BW30)&amp;":"&amp;XLOOKUP(EH$3,'TTM Dates'!$B:$B,'TTM Dates'!$C:$C)&amp;ROW($BW30))))</f>
        <v>0</v>
      </c>
      <c r="EI30" s="283">
        <f t="array" ref="EI30">IF(EI$3&gt;'GAAP Summary'!$B$2,0,SUM(INDIRECT(XLOOKUP(EI$3,'TTM Dates'!$B:$B,'TTM Dates'!$E:$E)&amp;ROW($BW30)&amp;":"&amp;XLOOKUP(EI$3,'TTM Dates'!$B:$B,'TTM Dates'!$C:$C)&amp;ROW($BW30))))</f>
        <v>0</v>
      </c>
      <c r="EJ30" s="283">
        <f t="array" ref="EJ30">IF(EJ$3&gt;'GAAP Summary'!$B$2,0,SUM(INDIRECT(XLOOKUP(EJ$3,'TTM Dates'!$B:$B,'TTM Dates'!$E:$E)&amp;ROW($BW30)&amp;":"&amp;XLOOKUP(EJ$3,'TTM Dates'!$B:$B,'TTM Dates'!$C:$C)&amp;ROW($BW30))))</f>
        <v>0</v>
      </c>
      <c r="EK30" s="283">
        <f t="array" ref="EK30">IF(EK$3&gt;'GAAP Summary'!$B$2,0,SUM(INDIRECT(XLOOKUP(EK$3,'TTM Dates'!$B:$B,'TTM Dates'!$E:$E)&amp;ROW($BW30)&amp;":"&amp;XLOOKUP(EK$3,'TTM Dates'!$B:$B,'TTM Dates'!$C:$C)&amp;ROW($BW30))))</f>
        <v>0</v>
      </c>
      <c r="EL30" s="283">
        <f t="array" ref="EL30">IF(EL$3&gt;'GAAP Summary'!$B$2,0,SUM(INDIRECT(XLOOKUP(EL$3,'TTM Dates'!$B:$B,'TTM Dates'!$E:$E)&amp;ROW($BW30)&amp;":"&amp;XLOOKUP(EL$3,'TTM Dates'!$B:$B,'TTM Dates'!$C:$C)&amp;ROW($BW30))))</f>
        <v>0</v>
      </c>
      <c r="EM30" s="283">
        <f t="array" ref="EM30">IF(EM$3&gt;'GAAP Summary'!$B$2,0,SUM(INDIRECT(XLOOKUP(EM$3,'TTM Dates'!$B:$B,'TTM Dates'!$E:$E)&amp;ROW($BW30)&amp;":"&amp;XLOOKUP(EM$3,'TTM Dates'!$B:$B,'TTM Dates'!$C:$C)&amp;ROW($BW30))))</f>
        <v>0</v>
      </c>
      <c r="EN30" s="283">
        <f t="array" ref="EN30">IF(EN$3&gt;'GAAP Summary'!$B$2,0,SUM(INDIRECT(XLOOKUP(EN$3,'TTM Dates'!$B:$B,'TTM Dates'!$E:$E)&amp;ROW($BW30)&amp;":"&amp;XLOOKUP(EN$3,'TTM Dates'!$B:$B,'TTM Dates'!$C:$C)&amp;ROW($BW30))))</f>
        <v>6667</v>
      </c>
      <c r="EO30" s="283">
        <f t="array" ref="EO30">IF(EO$3&gt;'GAAP Summary'!$B$2,0,SUM(INDIRECT(XLOOKUP(EO$3,'TTM Dates'!$B:$B,'TTM Dates'!$E:$E)&amp;ROW($BW30)&amp;":"&amp;XLOOKUP(EO$3,'TTM Dates'!$B:$B,'TTM Dates'!$C:$C)&amp;ROW($BW30))))</f>
        <v>13334</v>
      </c>
      <c r="EP30" s="283">
        <f t="array" ref="EP30">IF(EP$3&gt;'GAAP Summary'!$B$2,0,SUM(INDIRECT(XLOOKUP(EP$3,'TTM Dates'!$B:$B,'TTM Dates'!$E:$E)&amp;ROW($BW30)&amp;":"&amp;XLOOKUP(EP$3,'TTM Dates'!$B:$B,'TTM Dates'!$C:$C)&amp;ROW($BW30))))</f>
        <v>20001</v>
      </c>
      <c r="EQ30" s="283">
        <f t="array" ref="EQ30">IF(EQ$3&gt;'GAAP Summary'!$B$2,0,SUM(INDIRECT(XLOOKUP(EQ$3,'TTM Dates'!$B:$B,'TTM Dates'!$E:$E)&amp;ROW($BW30)&amp;":"&amp;XLOOKUP(EQ$3,'TTM Dates'!$B:$B,'TTM Dates'!$C:$C)&amp;ROW($BW30))))</f>
        <v>20001</v>
      </c>
      <c r="ER30" s="283">
        <f t="array" ref="ER30">IF(ER$3&gt;'GAAP Summary'!$B$2,0,SUM(INDIRECT(XLOOKUP(ER$3,'TTM Dates'!$B:$B,'TTM Dates'!$E:$E)&amp;ROW($BW30)&amp;":"&amp;XLOOKUP(ER$3,'TTM Dates'!$B:$B,'TTM Dates'!$C:$C)&amp;ROW($BW30))))</f>
        <v>25386</v>
      </c>
      <c r="ES30" s="283">
        <f t="array" ref="ES30">IF(ES$3&gt;'GAAP Summary'!$B$2,0,SUM(INDIRECT(XLOOKUP(ES$3,'TTM Dates'!$B:$B,'TTM Dates'!$E:$E)&amp;ROW($BW30)&amp;":"&amp;XLOOKUP(ES$3,'TTM Dates'!$B:$B,'TTM Dates'!$C:$C)&amp;ROW($BW30))))</f>
        <v>113966</v>
      </c>
      <c r="ET30" s="283">
        <f t="array" ref="ET30">IF(ET$3&gt;'GAAP Summary'!$B$2,0,SUM(INDIRECT(XLOOKUP(ET$3,'TTM Dates'!$B:$B,'TTM Dates'!$E:$E)&amp;ROW($BW30)&amp;":"&amp;XLOOKUP(ET$3,'TTM Dates'!$B:$B,'TTM Dates'!$C:$C)&amp;ROW($BW30))))</f>
        <v>202546</v>
      </c>
      <c r="EU30" s="283">
        <f t="array" ref="EU30">IF(EU$3&gt;'GAAP Summary'!$B$2,0,SUM(INDIRECT(XLOOKUP(EU$3,'TTM Dates'!$B:$B,'TTM Dates'!$E:$E)&amp;ROW($BW30)&amp;":"&amp;XLOOKUP(EU$3,'TTM Dates'!$B:$B,'TTM Dates'!$C:$C)&amp;ROW($BW30))))</f>
        <v>296270</v>
      </c>
      <c r="EV30" s="283">
        <f t="array" ref="EV30">IF(EV$3&gt;'GAAP Summary'!$B$2,0,SUM(INDIRECT(XLOOKUP(EV$3,'TTM Dates'!$B:$B,'TTM Dates'!$E:$E)&amp;ROW($BW30)&amp;":"&amp;XLOOKUP(EV$3,'TTM Dates'!$B:$B,'TTM Dates'!$C:$C)&amp;ROW($BW30))))</f>
        <v>331858</v>
      </c>
      <c r="EW30" s="283">
        <f t="array" ref="EW30">IF(EW$3&gt;'GAAP Summary'!$B$2,0,SUM(INDIRECT(XLOOKUP(EW$3,'TTM Dates'!$B:$B,'TTM Dates'!$E:$E)&amp;ROW($BW30)&amp;":"&amp;XLOOKUP(EW$3,'TTM Dates'!$B:$B,'TTM Dates'!$C:$C)&amp;ROW($BW30))))</f>
        <v>365148</v>
      </c>
      <c r="EX30" s="283">
        <f t="array" ref="EX30">IF(EX$3&gt;'GAAP Summary'!$B$2,0,SUM(INDIRECT(XLOOKUP(EX$3,'TTM Dates'!$B:$B,'TTM Dates'!$E:$E)&amp;ROW($BW30)&amp;":"&amp;XLOOKUP(EX$3,'TTM Dates'!$B:$B,'TTM Dates'!$C:$C)&amp;ROW($BW30))))</f>
        <v>398438</v>
      </c>
      <c r="EY30" s="283">
        <f t="array" ref="EY30">IF(EY$3&gt;'GAAP Summary'!$B$2,0,SUM(INDIRECT(XLOOKUP(EY$3,'TTM Dates'!$B:$B,'TTM Dates'!$E:$E)&amp;ROW($BW30)&amp;":"&amp;XLOOKUP(EY$3,'TTM Dates'!$B:$B,'TTM Dates'!$C:$C)&amp;ROW($BW30))))</f>
        <v>431728.15</v>
      </c>
      <c r="EZ30" s="283">
        <f t="array" ref="EZ30">IF(EZ$3&gt;'GAAP Summary'!$B$2,0,SUM(INDIRECT(XLOOKUP(EZ$3,'TTM Dates'!$B:$B,'TTM Dates'!$E:$E)&amp;ROW($BW30)&amp;":"&amp;XLOOKUP(EZ$3,'TTM Dates'!$B:$B,'TTM Dates'!$C:$C)&amp;ROW($BW30))))</f>
        <v>473351.3</v>
      </c>
      <c r="FA30" s="283">
        <f t="array" ref="FA30">IF(FA$3&gt;'GAAP Summary'!$B$2,0,SUM(INDIRECT(XLOOKUP(FA$3,'TTM Dates'!$B:$B,'TTM Dates'!$E:$E)&amp;ROW($BW30)&amp;":"&amp;XLOOKUP(FA$3,'TTM Dates'!$B:$B,'TTM Dates'!$C:$C)&amp;ROW($BW30))))</f>
        <v>514974.45</v>
      </c>
      <c r="FB30" s="283">
        <f t="array" ref="FB30">IF(FB$3&gt;'GAAP Summary'!$B$2,0,SUM(INDIRECT(XLOOKUP(FB$3,'TTM Dates'!$B:$B,'TTM Dates'!$E:$E)&amp;ROW($BW30)&amp;":"&amp;XLOOKUP(FB$3,'TTM Dates'!$B:$B,'TTM Dates'!$C:$C)&amp;ROW($BW30))))</f>
        <v>556597.6</v>
      </c>
      <c r="FC30" s="283">
        <f t="array" ref="FC30">IF(FC$3&gt;'GAAP Summary'!$B$2,0,SUM(INDIRECT(XLOOKUP(FC$3,'TTM Dates'!$B:$B,'TTM Dates'!$E:$E)&amp;ROW($BW30)&amp;":"&amp;XLOOKUP(FC$3,'TTM Dates'!$B:$B,'TTM Dates'!$C:$C)&amp;ROW($BW30))))</f>
        <v>604887.75</v>
      </c>
      <c r="FD30" s="283">
        <f t="array" ref="FD30">IF(FD$3&gt;'GAAP Summary'!$B$2,0,SUM(INDIRECT(XLOOKUP(FD$3,'TTM Dates'!$B:$B,'TTM Dates'!$E:$E)&amp;ROW($BW30)&amp;":"&amp;XLOOKUP(FD$3,'TTM Dates'!$B:$B,'TTM Dates'!$C:$C)&amp;ROW($BW30))))</f>
        <v>599502.75</v>
      </c>
      <c r="FE30" s="283">
        <f t="array" ref="FE30">IF(FE$3&gt;'GAAP Summary'!$B$2,0,SUM(INDIRECT(XLOOKUP(FE$3,'TTM Dates'!$B:$B,'TTM Dates'!$E:$E)&amp;ROW($BW30)&amp;":"&amp;XLOOKUP(FE$3,'TTM Dates'!$B:$B,'TTM Dates'!$C:$C)&amp;ROW($BW30))))</f>
        <v>510922.75</v>
      </c>
      <c r="FF30" s="283">
        <f t="array" ref="FF30">IF(FF$3&gt;'GAAP Summary'!$B$2,0,SUM(INDIRECT(XLOOKUP(FF$3,'TTM Dates'!$B:$B,'TTM Dates'!$E:$E)&amp;ROW($BW30)&amp;":"&amp;XLOOKUP(FF$3,'TTM Dates'!$B:$B,'TTM Dates'!$C:$C)&amp;ROW($BW30))))</f>
        <v>422342.75</v>
      </c>
      <c r="FG30" s="283">
        <f t="array" ref="FG30">IF(FG$3&gt;'GAAP Summary'!$B$2,0,SUM(INDIRECT(XLOOKUP(FG$3,'TTM Dates'!$B:$B,'TTM Dates'!$E:$E)&amp;ROW($BW30)&amp;":"&amp;XLOOKUP(FG$3,'TTM Dates'!$B:$B,'TTM Dates'!$C:$C)&amp;ROW($BW30))))</f>
        <v>328618.75</v>
      </c>
      <c r="FH30" s="283"/>
    </row>
    <row r="31">
      <c r="B31" s="135" t="s">
        <v>268</v>
      </c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350">
        <f t="shared" ref="AA31:BN31" si="77">AA18-SUM(AA28:AA30)</f>
        <v>1</v>
      </c>
      <c r="AB31" s="350">
        <f t="shared" si="77"/>
        <v>0</v>
      </c>
      <c r="AC31" s="350">
        <f t="shared" si="77"/>
        <v>1</v>
      </c>
      <c r="AD31" s="350">
        <f t="shared" si="77"/>
        <v>0</v>
      </c>
      <c r="AE31" s="350">
        <f t="shared" si="77"/>
        <v>0</v>
      </c>
      <c r="AF31" s="350">
        <f t="shared" si="77"/>
        <v>0</v>
      </c>
      <c r="AG31" s="350">
        <f t="shared" si="77"/>
        <v>1</v>
      </c>
      <c r="AH31" s="350">
        <f t="shared" si="77"/>
        <v>0</v>
      </c>
      <c r="AI31" s="350">
        <f t="shared" si="77"/>
        <v>0</v>
      </c>
      <c r="AJ31" s="350">
        <f t="shared" si="77"/>
        <v>0</v>
      </c>
      <c r="AK31" s="350">
        <f t="shared" si="77"/>
        <v>0</v>
      </c>
      <c r="AL31" s="350">
        <f t="shared" si="77"/>
        <v>0</v>
      </c>
      <c r="AM31" s="350">
        <f t="shared" si="77"/>
        <v>0</v>
      </c>
      <c r="AN31" s="350">
        <f t="shared" si="77"/>
        <v>0</v>
      </c>
      <c r="AO31" s="350">
        <f t="shared" si="77"/>
        <v>0</v>
      </c>
      <c r="AP31" s="350">
        <f t="shared" si="77"/>
        <v>0</v>
      </c>
      <c r="AQ31" s="350">
        <f t="shared" si="77"/>
        <v>0</v>
      </c>
      <c r="AR31" s="350">
        <f t="shared" si="77"/>
        <v>0</v>
      </c>
      <c r="AS31" s="350">
        <f t="shared" si="77"/>
        <v>0</v>
      </c>
      <c r="AT31" s="350">
        <f t="shared" si="77"/>
        <v>1</v>
      </c>
      <c r="AU31" s="350">
        <f t="shared" si="77"/>
        <v>0</v>
      </c>
      <c r="AV31" s="350">
        <f t="shared" si="77"/>
        <v>0</v>
      </c>
      <c r="AW31" s="350">
        <f t="shared" si="77"/>
        <v>0</v>
      </c>
      <c r="AX31" s="350">
        <f t="shared" si="77"/>
        <v>0</v>
      </c>
      <c r="AY31" s="350">
        <f t="shared" si="77"/>
        <v>0</v>
      </c>
      <c r="AZ31" s="350">
        <f t="shared" si="77"/>
        <v>0</v>
      </c>
      <c r="BA31" s="350">
        <f t="shared" si="77"/>
        <v>0</v>
      </c>
      <c r="BB31" s="350">
        <f t="shared" si="77"/>
        <v>0</v>
      </c>
      <c r="BC31" s="350">
        <f t="shared" si="77"/>
        <v>0</v>
      </c>
      <c r="BD31" s="350">
        <f t="shared" si="77"/>
        <v>0</v>
      </c>
      <c r="BE31" s="350">
        <f t="shared" si="77"/>
        <v>0</v>
      </c>
      <c r="BF31" s="350">
        <f t="shared" si="77"/>
        <v>0</v>
      </c>
      <c r="BG31" s="350">
        <f t="shared" si="77"/>
        <v>0</v>
      </c>
      <c r="BH31" s="350">
        <f t="shared" si="77"/>
        <v>0</v>
      </c>
      <c r="BI31" s="350">
        <f t="shared" si="77"/>
        <v>0</v>
      </c>
      <c r="BJ31" s="350">
        <f t="shared" si="77"/>
        <v>0</v>
      </c>
      <c r="BK31" s="350">
        <f t="shared" si="77"/>
        <v>0</v>
      </c>
      <c r="BL31" s="350">
        <f t="shared" si="77"/>
        <v>0</v>
      </c>
      <c r="BM31" s="350">
        <f t="shared" si="77"/>
        <v>0</v>
      </c>
      <c r="BN31" s="350">
        <f t="shared" si="77"/>
        <v>0</v>
      </c>
      <c r="BO31" s="350"/>
      <c r="BP31" s="350"/>
      <c r="BQ31" s="350"/>
      <c r="BR31" s="350"/>
      <c r="BS31" s="136"/>
      <c r="BT31" s="136"/>
      <c r="BU31" s="136"/>
      <c r="BV31" s="136"/>
      <c r="BW31" s="33"/>
      <c r="BX31" s="292"/>
      <c r="BY31" s="136"/>
      <c r="BZ31" s="269" t="str">
        <f t="shared" ref="BZ31:CC31" si="78">IF(BZ18=0,"", TEXT(BZ18,"0,000")&amp;" "&amp;"("&amp;TEXT((BZ18-CF18)/CF18,"0%")&amp;" YoY)")</f>
        <v>7,423,611 (36% YoY)</v>
      </c>
      <c r="CA31" s="269" t="str">
        <f t="shared" si="78"/>
        <v>7,947,690 (38% YoY)</v>
      </c>
      <c r="CB31" s="269" t="str">
        <f t="shared" si="78"/>
        <v>5,942,367 (-7% YoY)</v>
      </c>
      <c r="CC31" s="269" t="str">
        <f t="shared" si="78"/>
        <v/>
      </c>
      <c r="CD31" s="347">
        <f>(CD18-CJ18)/CJ18</f>
        <v>-0.1593880554</v>
      </c>
      <c r="CE31" s="136"/>
      <c r="CF31" s="269" t="str">
        <f t="shared" ref="CF31:CI31" si="79">IF(CF18=0,"", TEXT(CF18,"0,000")&amp;" "&amp;"("&amp;TEXT((CF18-CL18)/CL18,"0%")&amp;" YoY)")</f>
        <v>5,463,558 (-13% YoY)</v>
      </c>
      <c r="CG31" s="269" t="str">
        <f t="shared" si="79"/>
        <v>5,750,791 (3% YoY)</v>
      </c>
      <c r="CH31" s="269" t="str">
        <f t="shared" si="79"/>
        <v>6,412,513 (23% YoY)</v>
      </c>
      <c r="CI31" s="269" t="str">
        <f t="shared" si="79"/>
        <v>7,728,081 (52% YoY)</v>
      </c>
      <c r="CJ31" s="347">
        <f>(CJ18-CP18)/CP18</f>
        <v>0.1429161583</v>
      </c>
      <c r="CK31" s="136"/>
      <c r="CL31" s="269" t="str">
        <f t="shared" ref="CL31:CO31" si="80">IF(CL18=0,"", TEXT(CL18,"0,000")&amp;" "&amp;"("&amp;TEXT((CL18-CR18)/CR18,"0%")&amp;" YoY)")</f>
        <v>6,303,343 (74% YoY)</v>
      </c>
      <c r="CM31" s="269" t="str">
        <f t="shared" si="80"/>
        <v>5,586,547 (39% YoY)</v>
      </c>
      <c r="CN31" s="269" t="str">
        <f t="shared" si="80"/>
        <v>5,198,791 (6% YoY)</v>
      </c>
      <c r="CO31" s="269" t="str">
        <f t="shared" si="80"/>
        <v>5,095,749 (4% YoY)</v>
      </c>
      <c r="CP31" s="347">
        <f>(CP18-CV18)/CV18</f>
        <v>0.274776611</v>
      </c>
      <c r="CQ31" s="136"/>
      <c r="CR31" s="269"/>
      <c r="CS31" s="269"/>
      <c r="CT31" s="269"/>
      <c r="CU31" s="269"/>
      <c r="CV31" s="347"/>
      <c r="CW31" s="136"/>
      <c r="CX31" s="292"/>
      <c r="CY31" s="136"/>
      <c r="CZ31" s="136"/>
      <c r="DA31" s="136"/>
      <c r="DB31" s="136"/>
      <c r="DC31" s="136"/>
      <c r="DD31" s="136"/>
      <c r="DE31" s="136"/>
      <c r="DF31" s="136"/>
      <c r="DG31" s="136"/>
      <c r="DH31" s="136"/>
      <c r="DI31" s="136"/>
      <c r="DJ31" s="136"/>
      <c r="DK31" s="136"/>
      <c r="DL31" s="136"/>
      <c r="DM31" s="136"/>
      <c r="DN31" s="136"/>
      <c r="DO31" s="136"/>
      <c r="DP31" s="136"/>
      <c r="DQ31" s="136"/>
      <c r="DR31" s="136"/>
      <c r="DS31" s="136"/>
      <c r="DT31" s="136"/>
      <c r="DU31" s="136"/>
      <c r="DV31" s="136"/>
      <c r="DW31" s="136"/>
      <c r="DX31" s="136"/>
      <c r="DY31" s="136"/>
      <c r="DZ31" s="136"/>
      <c r="EA31" s="136"/>
      <c r="EB31" s="136"/>
      <c r="EC31" s="136"/>
      <c r="ED31" s="136"/>
      <c r="EE31" s="136"/>
      <c r="EF31" s="136"/>
      <c r="EG31" s="136"/>
      <c r="EH31" s="136"/>
      <c r="EI31" s="136"/>
      <c r="EJ31" s="136"/>
      <c r="EK31" s="136"/>
      <c r="EL31" s="136"/>
      <c r="EM31" s="136"/>
      <c r="EN31" s="136"/>
      <c r="EO31" s="136"/>
      <c r="EP31" s="136"/>
      <c r="EQ31" s="136"/>
      <c r="ER31" s="136"/>
      <c r="ES31" s="136"/>
      <c r="ET31" s="136"/>
      <c r="EU31" s="136"/>
      <c r="EV31" s="136"/>
      <c r="EW31" s="136"/>
      <c r="EX31" s="136"/>
      <c r="EY31" s="136"/>
      <c r="EZ31" s="136"/>
      <c r="FA31" s="136"/>
      <c r="FB31" s="136"/>
      <c r="FC31" s="136"/>
      <c r="FD31" s="136"/>
      <c r="FE31" s="136"/>
      <c r="FF31" s="136"/>
      <c r="FG31" s="136"/>
      <c r="FH31" s="136"/>
    </row>
    <row r="32" ht="14.25" customHeight="1">
      <c r="CR32" s="2"/>
      <c r="CS32" s="2"/>
      <c r="CT32" s="2"/>
      <c r="CU32" s="2"/>
      <c r="EI32" s="3"/>
    </row>
    <row r="33">
      <c r="B33" s="63" t="s">
        <v>505</v>
      </c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>
        <v>285690.0</v>
      </c>
      <c r="AB33" s="64">
        <v>371270.0</v>
      </c>
      <c r="AC33" s="64">
        <v>361550.0</v>
      </c>
      <c r="AD33" s="64">
        <v>420980.0</v>
      </c>
      <c r="AE33" s="64">
        <v>391670.0</v>
      </c>
      <c r="AF33" s="64">
        <v>388050.0</v>
      </c>
      <c r="AG33" s="64">
        <v>448730.0</v>
      </c>
      <c r="AH33" s="64">
        <v>445170.0</v>
      </c>
      <c r="AI33" s="64">
        <v>459930.0</v>
      </c>
      <c r="AJ33" s="64">
        <v>435680.0</v>
      </c>
      <c r="AK33" s="64">
        <v>530320.0</v>
      </c>
      <c r="AL33" s="64">
        <v>496380.0</v>
      </c>
      <c r="AM33" s="64">
        <v>811370.0</v>
      </c>
      <c r="AN33" s="64">
        <v>645870.0</v>
      </c>
      <c r="AO33" s="64">
        <v>693080.0</v>
      </c>
      <c r="AP33" s="64">
        <v>607530.0</v>
      </c>
      <c r="AQ33" s="64">
        <v>664010.0</v>
      </c>
      <c r="AR33" s="64">
        <v>614780.0</v>
      </c>
      <c r="AS33" s="64">
        <v>746830.0</v>
      </c>
      <c r="AT33" s="64">
        <v>680200.0</v>
      </c>
      <c r="AU33" s="64">
        <v>691100.0</v>
      </c>
      <c r="AV33" s="64">
        <v>740540.0</v>
      </c>
      <c r="AW33" s="64">
        <v>723480.0</v>
      </c>
      <c r="AX33" s="64">
        <v>837830.0</v>
      </c>
      <c r="AY33" s="270">
        <v>802368.93</v>
      </c>
      <c r="AZ33" s="270">
        <v>679388.74</v>
      </c>
      <c r="BA33" s="270">
        <v>833181.33</v>
      </c>
      <c r="BB33" s="270">
        <v>708966.42</v>
      </c>
      <c r="BC33" s="270">
        <v>729873.85</v>
      </c>
      <c r="BD33" s="270">
        <v>704597.78</v>
      </c>
      <c r="BE33" s="270">
        <v>847542.3</v>
      </c>
      <c r="BF33" s="270">
        <v>767329.76</v>
      </c>
      <c r="BG33" s="270">
        <v>835289.67</v>
      </c>
      <c r="BH33" s="270">
        <v>936229.56</v>
      </c>
      <c r="BI33" s="270">
        <v>931755.35</v>
      </c>
      <c r="BJ33" s="270">
        <v>1048654.26</v>
      </c>
      <c r="BK33" s="270">
        <f t="shared" ref="BK33:BR33" si="81">BK34+BK44+BK47+BK48</f>
        <v>1119926.34</v>
      </c>
      <c r="BL33" s="270">
        <f t="shared" si="81"/>
        <v>1048344.9</v>
      </c>
      <c r="BM33" s="270">
        <f t="shared" si="81"/>
        <v>1057048.21</v>
      </c>
      <c r="BN33" s="270">
        <f t="shared" si="81"/>
        <v>1048328.78</v>
      </c>
      <c r="BO33" s="270">
        <f t="shared" si="81"/>
        <v>1159914.36</v>
      </c>
      <c r="BP33" s="270">
        <f t="shared" si="81"/>
        <v>1138086.55</v>
      </c>
      <c r="BQ33" s="270">
        <f t="shared" si="81"/>
        <v>1240606.57</v>
      </c>
      <c r="BR33" s="270">
        <f t="shared" si="81"/>
        <v>1303612.91</v>
      </c>
      <c r="BS33" s="270"/>
      <c r="BT33" s="270"/>
      <c r="BU33" s="270"/>
      <c r="BV33" s="270"/>
      <c r="BW33" s="270"/>
      <c r="BX33" s="121" t="str">
        <f t="array" ref="BX33">SUM(INDIRECT(XLOOKUP('GAAP Summary'!$B$2,'TTM Dates'!$B:$B,'TTM Dates'!$E:$E)&amp;ROW($BW33)&amp;":"&amp;XLOOKUP('GAAP Summary'!$B$2,'TTM Dates'!$B:$B,'TTM Dates'!$C:$C)&amp;ROW($BW33)))</f>
        <v>#REF!</v>
      </c>
      <c r="BY33" s="121"/>
      <c r="BZ33" s="270">
        <f>sum(BK33:BM33)</f>
        <v>3225319.45</v>
      </c>
      <c r="CA33" s="270">
        <f>sum(BN33:BP33)</f>
        <v>3346329.69</v>
      </c>
      <c r="CB33" s="270">
        <f>sum(BQ33:BS33)</f>
        <v>2544219.48</v>
      </c>
      <c r="CC33" s="270">
        <f>sum(BT33:BV33)</f>
        <v>0</v>
      </c>
      <c r="CD33" s="121">
        <f>sum(BK33:BV33)</f>
        <v>9115868.62</v>
      </c>
      <c r="CE33" s="108"/>
      <c r="CF33" s="270">
        <f>sum(AY33:BA33)</f>
        <v>2314939</v>
      </c>
      <c r="CG33" s="270">
        <f>sum(BB33:BD33)</f>
        <v>2143438.05</v>
      </c>
      <c r="CH33" s="270">
        <f>sum(BE33:BG33)</f>
        <v>2450161.73</v>
      </c>
      <c r="CI33" s="270">
        <f>sum(BH33:BJ33)</f>
        <v>2916639.17</v>
      </c>
      <c r="CJ33" s="121">
        <f>sum(AY33:BJ33)</f>
        <v>9825177.95</v>
      </c>
      <c r="CK33" s="49">
        <f>(CJ18-CJ33)/CJ18</f>
        <v>0.6124945833</v>
      </c>
      <c r="CL33" s="270">
        <f>sum(AM33:AO33)</f>
        <v>2150320</v>
      </c>
      <c r="CM33" s="270">
        <f>sum(AP33:AR33)</f>
        <v>1886320</v>
      </c>
      <c r="CN33" s="270">
        <f>sum(AS33:AU33)</f>
        <v>2118130</v>
      </c>
      <c r="CO33" s="270">
        <f>sum(AV33:AX33)</f>
        <v>2301850</v>
      </c>
      <c r="CP33" s="121">
        <f>sum(AM33:AX33)</f>
        <v>8456620</v>
      </c>
      <c r="CQ33" s="49"/>
      <c r="CR33" s="270">
        <f>sum(AA33:AC33)</f>
        <v>1018510</v>
      </c>
      <c r="CS33" s="270">
        <f>sum(AD33:AF33)</f>
        <v>1200700</v>
      </c>
      <c r="CT33" s="270">
        <f>sum(AG33:AI33)</f>
        <v>1353830</v>
      </c>
      <c r="CU33" s="270">
        <f>sum(AJ33:AL33)</f>
        <v>1462380</v>
      </c>
      <c r="CV33" s="121">
        <f>sum(AA33:AL33)</f>
        <v>5035420</v>
      </c>
      <c r="CW33" s="49"/>
      <c r="CX33" s="121"/>
      <c r="CY33" s="136"/>
      <c r="CZ33" s="64">
        <f t="array" ref="CZ33">IF(CZ$3&gt;'GAAP Summary'!$B$2,0,SUM(INDIRECT(XLOOKUP(CZ$3,'TTM Dates'!$B:$B,'TTM Dates'!$E:$E)&amp;ROW($BW33)&amp;":"&amp;XLOOKUP(CZ$3,'TTM Dates'!$B:$B,'TTM Dates'!$C:$C)&amp;ROW($BW33))))</f>
        <v>0</v>
      </c>
      <c r="DA33" s="64">
        <f t="array" ref="DA33">IF(DA$3&gt;'GAAP Summary'!$B$2,0,SUM(INDIRECT(XLOOKUP(DA$3,'TTM Dates'!$B:$B,'TTM Dates'!$E:$E)&amp;ROW($BW33)&amp;":"&amp;XLOOKUP(DA$3,'TTM Dates'!$B:$B,'TTM Dates'!$C:$C)&amp;ROW($BW33))))</f>
        <v>0</v>
      </c>
      <c r="DB33" s="64">
        <f t="array" ref="DB33">IF(DB$3&gt;'GAAP Summary'!$B$2,0,SUM(INDIRECT(XLOOKUP(DB$3,'TTM Dates'!$B:$B,'TTM Dates'!$E:$E)&amp;ROW($BW33)&amp;":"&amp;XLOOKUP(DB$3,'TTM Dates'!$B:$B,'TTM Dates'!$C:$C)&amp;ROW($BW33))))</f>
        <v>0</v>
      </c>
      <c r="DC33" s="64">
        <f t="array" ref="DC33">IF(DC$3&gt;'GAAP Summary'!$B$2,0,SUM(INDIRECT(XLOOKUP(DC$3,'TTM Dates'!$B:$B,'TTM Dates'!$E:$E)&amp;ROW($BW33)&amp;":"&amp;XLOOKUP(DC$3,'TTM Dates'!$B:$B,'TTM Dates'!$C:$C)&amp;ROW($BW33))))</f>
        <v>0</v>
      </c>
      <c r="DD33" s="64">
        <f t="array" ref="DD33">IF(DD$3&gt;'GAAP Summary'!$B$2,0,SUM(INDIRECT(XLOOKUP(DD$3,'TTM Dates'!$B:$B,'TTM Dates'!$E:$E)&amp;ROW($BW33)&amp;":"&amp;XLOOKUP(DD$3,'TTM Dates'!$B:$B,'TTM Dates'!$C:$C)&amp;ROW($BW33))))</f>
        <v>0</v>
      </c>
      <c r="DE33" s="64">
        <f t="array" ref="DE33">IF(DE$3&gt;'GAAP Summary'!$B$2,0,SUM(INDIRECT(XLOOKUP(DE$3,'TTM Dates'!$B:$B,'TTM Dates'!$E:$E)&amp;ROW($BW33)&amp;":"&amp;XLOOKUP(DE$3,'TTM Dates'!$B:$B,'TTM Dates'!$C:$C)&amp;ROW($BW33))))</f>
        <v>0</v>
      </c>
      <c r="DF33" s="64">
        <f t="array" ref="DF33">IF(DF$3&gt;'GAAP Summary'!$B$2,0,SUM(INDIRECT(XLOOKUP(DF$3,'TTM Dates'!$B:$B,'TTM Dates'!$E:$E)&amp;ROW($BW33)&amp;":"&amp;XLOOKUP(DF$3,'TTM Dates'!$B:$B,'TTM Dates'!$C:$C)&amp;ROW($BW33))))</f>
        <v>0</v>
      </c>
      <c r="DG33" s="64">
        <f t="array" ref="DG33">IF(DG$3&gt;'GAAP Summary'!$B$2,0,SUM(INDIRECT(XLOOKUP(DG$3,'TTM Dates'!$B:$B,'TTM Dates'!$E:$E)&amp;ROW($BW33)&amp;":"&amp;XLOOKUP(DG$3,'TTM Dates'!$B:$B,'TTM Dates'!$C:$C)&amp;ROW($BW33))))</f>
        <v>0</v>
      </c>
      <c r="DH33" s="64">
        <f t="array" ref="DH33">IF(DH$3&gt;'GAAP Summary'!$B$2,0,SUM(INDIRECT(XLOOKUP(DH$3,'TTM Dates'!$B:$B,'TTM Dates'!$E:$E)&amp;ROW($BW33)&amp;":"&amp;XLOOKUP(DH$3,'TTM Dates'!$B:$B,'TTM Dates'!$C:$C)&amp;ROW($BW33))))</f>
        <v>0</v>
      </c>
      <c r="DI33" s="64">
        <f t="array" ref="DI33">IF(DI$3&gt;'GAAP Summary'!$B$2,0,SUM(INDIRECT(XLOOKUP(DI$3,'TTM Dates'!$B:$B,'TTM Dates'!$E:$E)&amp;ROW($BW33)&amp;":"&amp;XLOOKUP(DI$3,'TTM Dates'!$B:$B,'TTM Dates'!$C:$C)&amp;ROW($BW33))))</f>
        <v>0</v>
      </c>
      <c r="DJ33" s="64">
        <f t="array" ref="DJ33">IF(DJ$3&gt;'GAAP Summary'!$B$2,0,SUM(INDIRECT(XLOOKUP(DJ$3,'TTM Dates'!$B:$B,'TTM Dates'!$E:$E)&amp;ROW($BW33)&amp;":"&amp;XLOOKUP(DJ$3,'TTM Dates'!$B:$B,'TTM Dates'!$C:$C)&amp;ROW($BW33))))</f>
        <v>0</v>
      </c>
      <c r="DK33" s="64">
        <f t="array" ref="DK33">IF(DK$3&gt;'GAAP Summary'!$B$2,0,SUM(INDIRECT(XLOOKUP(DK$3,'TTM Dates'!$B:$B,'TTM Dates'!$E:$E)&amp;ROW($BW33)&amp;":"&amp;XLOOKUP(DK$3,'TTM Dates'!$B:$B,'TTM Dates'!$C:$C)&amp;ROW($BW33))))</f>
        <v>0</v>
      </c>
      <c r="DL33" s="64">
        <f t="array" ref="DL33">IF(DL$3&gt;'GAAP Summary'!$B$2,0,SUM(INDIRECT(XLOOKUP(DL$3,'TTM Dates'!$B:$B,'TTM Dates'!$E:$E)&amp;ROW($BW33)&amp;":"&amp;XLOOKUP(DL$3,'TTM Dates'!$B:$B,'TTM Dates'!$C:$C)&amp;ROW($BW33))))</f>
        <v>285690</v>
      </c>
      <c r="DM33" s="64">
        <f t="array" ref="DM33">IF(DM$3&gt;'GAAP Summary'!$B$2,0,SUM(INDIRECT(XLOOKUP(DM$3,'TTM Dates'!$B:$B,'TTM Dates'!$E:$E)&amp;ROW($BW33)&amp;":"&amp;XLOOKUP(DM$3,'TTM Dates'!$B:$B,'TTM Dates'!$C:$C)&amp;ROW($BW33))))</f>
        <v>656960</v>
      </c>
      <c r="DN33" s="64">
        <f t="array" ref="DN33">IF(DN$3&gt;'GAAP Summary'!$B$2,0,SUM(INDIRECT(XLOOKUP(DN$3,'TTM Dates'!$B:$B,'TTM Dates'!$E:$E)&amp;ROW($BW33)&amp;":"&amp;XLOOKUP(DN$3,'TTM Dates'!$B:$B,'TTM Dates'!$C:$C)&amp;ROW($BW33))))</f>
        <v>1018510</v>
      </c>
      <c r="DO33" s="64">
        <f t="array" ref="DO33">IF(DO$3&gt;'GAAP Summary'!$B$2,0,SUM(INDIRECT(XLOOKUP(DO$3,'TTM Dates'!$B:$B,'TTM Dates'!$E:$E)&amp;ROW($BW33)&amp;":"&amp;XLOOKUP(DO$3,'TTM Dates'!$B:$B,'TTM Dates'!$C:$C)&amp;ROW($BW33))))</f>
        <v>1439490</v>
      </c>
      <c r="DP33" s="64">
        <f t="array" ref="DP33">IF(DP$3&gt;'GAAP Summary'!$B$2,0,SUM(INDIRECT(XLOOKUP(DP$3,'TTM Dates'!$B:$B,'TTM Dates'!$E:$E)&amp;ROW($BW33)&amp;":"&amp;XLOOKUP(DP$3,'TTM Dates'!$B:$B,'TTM Dates'!$C:$C)&amp;ROW($BW33))))</f>
        <v>1831160</v>
      </c>
      <c r="DQ33" s="64">
        <f t="array" ref="DQ33">IF(DQ$3&gt;'GAAP Summary'!$B$2,0,SUM(INDIRECT(XLOOKUP(DQ$3,'TTM Dates'!$B:$B,'TTM Dates'!$E:$E)&amp;ROW($BW33)&amp;":"&amp;XLOOKUP(DQ$3,'TTM Dates'!$B:$B,'TTM Dates'!$C:$C)&amp;ROW($BW33))))</f>
        <v>2219210</v>
      </c>
      <c r="DR33" s="64">
        <f t="array" ref="DR33">IF(DR$3&gt;'GAAP Summary'!$B$2,0,SUM(INDIRECT(XLOOKUP(DR$3,'TTM Dates'!$B:$B,'TTM Dates'!$E:$E)&amp;ROW($BW33)&amp;":"&amp;XLOOKUP(DR$3,'TTM Dates'!$B:$B,'TTM Dates'!$C:$C)&amp;ROW($BW33))))</f>
        <v>2667940</v>
      </c>
      <c r="DS33" s="64">
        <f t="array" ref="DS33">IF(DS$3&gt;'GAAP Summary'!$B$2,0,SUM(INDIRECT(XLOOKUP(DS$3,'TTM Dates'!$B:$B,'TTM Dates'!$E:$E)&amp;ROW($BW33)&amp;":"&amp;XLOOKUP(DS$3,'TTM Dates'!$B:$B,'TTM Dates'!$C:$C)&amp;ROW($BW33))))</f>
        <v>3113110</v>
      </c>
      <c r="DT33" s="64">
        <f t="array" ref="DT33">IF(DT$3&gt;'GAAP Summary'!$B$2,0,SUM(INDIRECT(XLOOKUP(DT$3,'TTM Dates'!$B:$B,'TTM Dates'!$E:$E)&amp;ROW($BW33)&amp;":"&amp;XLOOKUP(DT$3,'TTM Dates'!$B:$B,'TTM Dates'!$C:$C)&amp;ROW($BW33))))</f>
        <v>3573040</v>
      </c>
      <c r="DU33" s="64">
        <f t="array" ref="DU33">IF(DU$3&gt;'GAAP Summary'!$B$2,0,SUM(INDIRECT(XLOOKUP(DU$3,'TTM Dates'!$B:$B,'TTM Dates'!$E:$E)&amp;ROW($BW33)&amp;":"&amp;XLOOKUP(DU$3,'TTM Dates'!$B:$B,'TTM Dates'!$C:$C)&amp;ROW($BW33))))</f>
        <v>4008720</v>
      </c>
      <c r="DV33" s="64">
        <f t="array" ref="DV33">IF(DV$3&gt;'GAAP Summary'!$B$2,0,SUM(INDIRECT(XLOOKUP(DV$3,'TTM Dates'!$B:$B,'TTM Dates'!$E:$E)&amp;ROW($BW33)&amp;":"&amp;XLOOKUP(DV$3,'TTM Dates'!$B:$B,'TTM Dates'!$C:$C)&amp;ROW($BW33))))</f>
        <v>4539040</v>
      </c>
      <c r="DW33" s="64">
        <f t="array" ref="DW33">IF(DW$3&gt;'GAAP Summary'!$B$2,0,SUM(INDIRECT(XLOOKUP(DW$3,'TTM Dates'!$B:$B,'TTM Dates'!$E:$E)&amp;ROW($BW33)&amp;":"&amp;XLOOKUP(DW$3,'TTM Dates'!$B:$B,'TTM Dates'!$C:$C)&amp;ROW($BW33))))</f>
        <v>5035420</v>
      </c>
      <c r="DX33" s="64">
        <f t="array" ref="DX33">IF(DX$3&gt;'GAAP Summary'!$B$2,0,SUM(INDIRECT(XLOOKUP(DX$3,'TTM Dates'!$B:$B,'TTM Dates'!$E:$E)&amp;ROW($BW33)&amp;":"&amp;XLOOKUP(DX$3,'TTM Dates'!$B:$B,'TTM Dates'!$C:$C)&amp;ROW($BW33))))</f>
        <v>5561100</v>
      </c>
      <c r="DY33" s="64">
        <f t="array" ref="DY33">IF(DY$3&gt;'GAAP Summary'!$B$2,0,SUM(INDIRECT(XLOOKUP(DY$3,'TTM Dates'!$B:$B,'TTM Dates'!$E:$E)&amp;ROW($BW33)&amp;":"&amp;XLOOKUP(DY$3,'TTM Dates'!$B:$B,'TTM Dates'!$C:$C)&amp;ROW($BW33))))</f>
        <v>5835700</v>
      </c>
      <c r="DZ33" s="64">
        <f t="array" ref="DZ33">IF(DZ$3&gt;'GAAP Summary'!$B$2,0,SUM(INDIRECT(XLOOKUP(DZ$3,'TTM Dates'!$B:$B,'TTM Dates'!$E:$E)&amp;ROW($BW33)&amp;":"&amp;XLOOKUP(DZ$3,'TTM Dates'!$B:$B,'TTM Dates'!$C:$C)&amp;ROW($BW33))))</f>
        <v>6167230</v>
      </c>
      <c r="EA33" s="64">
        <f t="array" ref="EA33">IF(EA$3&gt;'GAAP Summary'!$B$2,0,SUM(INDIRECT(XLOOKUP(EA$3,'TTM Dates'!$B:$B,'TTM Dates'!$E:$E)&amp;ROW($BW33)&amp;":"&amp;XLOOKUP(EA$3,'TTM Dates'!$B:$B,'TTM Dates'!$C:$C)&amp;ROW($BW33))))</f>
        <v>6353780</v>
      </c>
      <c r="EB33" s="64">
        <f t="array" ref="EB33">IF(EB$3&gt;'GAAP Summary'!$B$2,0,SUM(INDIRECT(XLOOKUP(EB$3,'TTM Dates'!$B:$B,'TTM Dates'!$E:$E)&amp;ROW($BW33)&amp;":"&amp;XLOOKUP(EB$3,'TTM Dates'!$B:$B,'TTM Dates'!$C:$C)&amp;ROW($BW33))))</f>
        <v>6626120</v>
      </c>
      <c r="EC33" s="64">
        <f t="array" ref="EC33">IF(EC$3&gt;'GAAP Summary'!$B$2,0,SUM(INDIRECT(XLOOKUP(EC$3,'TTM Dates'!$B:$B,'TTM Dates'!$E:$E)&amp;ROW($BW33)&amp;":"&amp;XLOOKUP(EC$3,'TTM Dates'!$B:$B,'TTM Dates'!$C:$C)&amp;ROW($BW33))))</f>
        <v>6852850</v>
      </c>
      <c r="ED33" s="64">
        <f t="array" ref="ED33">IF(ED$3&gt;'GAAP Summary'!$B$2,0,SUM(INDIRECT(XLOOKUP(ED$3,'TTM Dates'!$B:$B,'TTM Dates'!$E:$E)&amp;ROW($BW33)&amp;":"&amp;XLOOKUP(ED$3,'TTM Dates'!$B:$B,'TTM Dates'!$C:$C)&amp;ROW($BW33))))</f>
        <v>7150950</v>
      </c>
      <c r="EE33" s="64">
        <f t="array" ref="EE33">IF(EE$3&gt;'GAAP Summary'!$B$2,0,SUM(INDIRECT(XLOOKUP(EE$3,'TTM Dates'!$B:$B,'TTM Dates'!$E:$E)&amp;ROW($BW33)&amp;":"&amp;XLOOKUP(EE$3,'TTM Dates'!$B:$B,'TTM Dates'!$C:$C)&amp;ROW($BW33))))</f>
        <v>7385980</v>
      </c>
      <c r="EF33" s="64">
        <f t="array" ref="EF33">IF(EF$3&gt;'GAAP Summary'!$B$2,0,SUM(INDIRECT(XLOOKUP(EF$3,'TTM Dates'!$B:$B,'TTM Dates'!$E:$E)&amp;ROW($BW33)&amp;":"&amp;XLOOKUP(EF$3,'TTM Dates'!$B:$B,'TTM Dates'!$C:$C)&amp;ROW($BW33))))</f>
        <v>7617150</v>
      </c>
      <c r="EG33" s="64">
        <f t="array" ref="EG33">IF(EG$3&gt;'GAAP Summary'!$B$2,0,SUM(INDIRECT(XLOOKUP(EG$3,'TTM Dates'!$B:$B,'TTM Dates'!$E:$E)&amp;ROW($BW33)&amp;":"&amp;XLOOKUP(EG$3,'TTM Dates'!$B:$B,'TTM Dates'!$C:$C)&amp;ROW($BW33))))</f>
        <v>7922010</v>
      </c>
      <c r="EH33" s="64">
        <f t="array" ref="EH33">IF(EH$3&gt;'GAAP Summary'!$B$2,0,SUM(INDIRECT(XLOOKUP(EH$3,'TTM Dates'!$B:$B,'TTM Dates'!$E:$E)&amp;ROW($BW33)&amp;":"&amp;XLOOKUP(EH$3,'TTM Dates'!$B:$B,'TTM Dates'!$C:$C)&amp;ROW($BW33))))</f>
        <v>8115170</v>
      </c>
      <c r="EI33" s="64">
        <f t="array" ref="EI33">IF(EI$3&gt;'GAAP Summary'!$B$2,0,SUM(INDIRECT(XLOOKUP(EI$3,'TTM Dates'!$B:$B,'TTM Dates'!$E:$E)&amp;ROW($BW33)&amp;":"&amp;XLOOKUP(EI$3,'TTM Dates'!$B:$B,'TTM Dates'!$C:$C)&amp;ROW($BW33))))</f>
        <v>8456620</v>
      </c>
      <c r="EJ33" s="64">
        <f t="array" ref="EJ33">IF(EJ$3&gt;'GAAP Summary'!$B$2,0,SUM(INDIRECT(XLOOKUP(EJ$3,'TTM Dates'!$B:$B,'TTM Dates'!$E:$E)&amp;ROW($BW33)&amp;":"&amp;XLOOKUP(EJ$3,'TTM Dates'!$B:$B,'TTM Dates'!$C:$C)&amp;ROW($BW33))))</f>
        <v>8447618.93</v>
      </c>
      <c r="EK33" s="64">
        <f t="array" ref="EK33">IF(EK$3&gt;'GAAP Summary'!$B$2,0,SUM(INDIRECT(XLOOKUP(EK$3,'TTM Dates'!$B:$B,'TTM Dates'!$E:$E)&amp;ROW($BW33)&amp;":"&amp;XLOOKUP(EK$3,'TTM Dates'!$B:$B,'TTM Dates'!$C:$C)&amp;ROW($BW33))))</f>
        <v>8481137.67</v>
      </c>
      <c r="EL33" s="64">
        <f t="array" ref="EL33">IF(EL$3&gt;'GAAP Summary'!$B$2,0,SUM(INDIRECT(XLOOKUP(EL$3,'TTM Dates'!$B:$B,'TTM Dates'!$E:$E)&amp;ROW($BW33)&amp;":"&amp;XLOOKUP(EL$3,'TTM Dates'!$B:$B,'TTM Dates'!$C:$C)&amp;ROW($BW33))))</f>
        <v>8621239</v>
      </c>
      <c r="EM33" s="64">
        <f t="array" ref="EM33">IF(EM$3&gt;'GAAP Summary'!$B$2,0,SUM(INDIRECT(XLOOKUP(EM$3,'TTM Dates'!$B:$B,'TTM Dates'!$E:$E)&amp;ROW($BW33)&amp;":"&amp;XLOOKUP(EM$3,'TTM Dates'!$B:$B,'TTM Dates'!$C:$C)&amp;ROW($BW33))))</f>
        <v>8722675.42</v>
      </c>
      <c r="EN33" s="64">
        <f t="array" ref="EN33">IF(EN$3&gt;'GAAP Summary'!$B$2,0,SUM(INDIRECT(XLOOKUP(EN$3,'TTM Dates'!$B:$B,'TTM Dates'!$E:$E)&amp;ROW($BW33)&amp;":"&amp;XLOOKUP(EN$3,'TTM Dates'!$B:$B,'TTM Dates'!$C:$C)&amp;ROW($BW33))))</f>
        <v>8788539.27</v>
      </c>
      <c r="EO33" s="64">
        <f t="array" ref="EO33">IF(EO$3&gt;'GAAP Summary'!$B$2,0,SUM(INDIRECT(XLOOKUP(EO$3,'TTM Dates'!$B:$B,'TTM Dates'!$E:$E)&amp;ROW($BW33)&amp;":"&amp;XLOOKUP(EO$3,'TTM Dates'!$B:$B,'TTM Dates'!$C:$C)&amp;ROW($BW33))))</f>
        <v>8878357.05</v>
      </c>
      <c r="EP33" s="64">
        <f t="array" ref="EP33">IF(EP$3&gt;'GAAP Summary'!$B$2,0,SUM(INDIRECT(XLOOKUP(EP$3,'TTM Dates'!$B:$B,'TTM Dates'!$E:$E)&amp;ROW($BW33)&amp;":"&amp;XLOOKUP(EP$3,'TTM Dates'!$B:$B,'TTM Dates'!$C:$C)&amp;ROW($BW33))))</f>
        <v>8979069.35</v>
      </c>
      <c r="EQ33" s="64">
        <f t="array" ref="EQ33">IF(EQ$3&gt;'GAAP Summary'!$B$2,0,SUM(INDIRECT(XLOOKUP(EQ$3,'TTM Dates'!$B:$B,'TTM Dates'!$E:$E)&amp;ROW($BW33)&amp;":"&amp;XLOOKUP(EQ$3,'TTM Dates'!$B:$B,'TTM Dates'!$C:$C)&amp;ROW($BW33))))</f>
        <v>9066199.11</v>
      </c>
      <c r="ER33" s="64">
        <f t="array" ref="ER33">IF(ER$3&gt;'GAAP Summary'!$B$2,0,SUM(INDIRECT(XLOOKUP(ER$3,'TTM Dates'!$B:$B,'TTM Dates'!$E:$E)&amp;ROW($BW33)&amp;":"&amp;XLOOKUP(ER$3,'TTM Dates'!$B:$B,'TTM Dates'!$C:$C)&amp;ROW($BW33))))</f>
        <v>9210388.78</v>
      </c>
      <c r="ES33" s="64">
        <f t="array" ref="ES33">IF(ES$3&gt;'GAAP Summary'!$B$2,0,SUM(INDIRECT(XLOOKUP(ES$3,'TTM Dates'!$B:$B,'TTM Dates'!$E:$E)&amp;ROW($BW33)&amp;":"&amp;XLOOKUP(ES$3,'TTM Dates'!$B:$B,'TTM Dates'!$C:$C)&amp;ROW($BW33))))</f>
        <v>9406078.34</v>
      </c>
      <c r="ET33" s="64">
        <f t="array" ref="ET33">IF(ET$3&gt;'GAAP Summary'!$B$2,0,SUM(INDIRECT(XLOOKUP(ET$3,'TTM Dates'!$B:$B,'TTM Dates'!$E:$E)&amp;ROW($BW33)&amp;":"&amp;XLOOKUP(ET$3,'TTM Dates'!$B:$B,'TTM Dates'!$C:$C)&amp;ROW($BW33))))</f>
        <v>9614353.69</v>
      </c>
      <c r="EU33" s="64">
        <f t="array" ref="EU33">IF(EU$3&gt;'GAAP Summary'!$B$2,0,SUM(INDIRECT(XLOOKUP(EU$3,'TTM Dates'!$B:$B,'TTM Dates'!$E:$E)&amp;ROW($BW33)&amp;":"&amp;XLOOKUP(EU$3,'TTM Dates'!$B:$B,'TTM Dates'!$C:$C)&amp;ROW($BW33))))</f>
        <v>9825177.95</v>
      </c>
      <c r="EV33" s="64">
        <f t="array" ref="EV33">IF(EV$3&gt;'GAAP Summary'!$B$2,0,SUM(INDIRECT(XLOOKUP(EV$3,'TTM Dates'!$B:$B,'TTM Dates'!$E:$E)&amp;ROW($BW33)&amp;":"&amp;XLOOKUP(EV$3,'TTM Dates'!$B:$B,'TTM Dates'!$C:$C)&amp;ROW($BW33))))</f>
        <v>10142735.36</v>
      </c>
      <c r="EW33" s="64">
        <f t="array" ref="EW33">IF(EW$3&gt;'GAAP Summary'!$B$2,0,SUM(INDIRECT(XLOOKUP(EW$3,'TTM Dates'!$B:$B,'TTM Dates'!$E:$E)&amp;ROW($BW33)&amp;":"&amp;XLOOKUP(EW$3,'TTM Dates'!$B:$B,'TTM Dates'!$C:$C)&amp;ROW($BW33))))</f>
        <v>10511691.52</v>
      </c>
      <c r="EX33" s="64">
        <f t="array" ref="EX33">IF(EX$3&gt;'GAAP Summary'!$B$2,0,SUM(INDIRECT(XLOOKUP(EX$3,'TTM Dates'!$B:$B,'TTM Dates'!$E:$E)&amp;ROW($BW33)&amp;":"&amp;XLOOKUP(EX$3,'TTM Dates'!$B:$B,'TTM Dates'!$C:$C)&amp;ROW($BW33))))</f>
        <v>10735558.4</v>
      </c>
      <c r="EY33" s="64">
        <f t="array" ref="EY33">IF(EY$3&gt;'GAAP Summary'!$B$2,0,SUM(INDIRECT(XLOOKUP(EY$3,'TTM Dates'!$B:$B,'TTM Dates'!$E:$E)&amp;ROW($BW33)&amp;":"&amp;XLOOKUP(EY$3,'TTM Dates'!$B:$B,'TTM Dates'!$C:$C)&amp;ROW($BW33))))</f>
        <v>11074920.76</v>
      </c>
      <c r="EZ33" s="64">
        <f t="array" ref="EZ33">IF(EZ$3&gt;'GAAP Summary'!$B$2,0,SUM(INDIRECT(XLOOKUP(EZ$3,'TTM Dates'!$B:$B,'TTM Dates'!$E:$E)&amp;ROW($BW33)&amp;":"&amp;XLOOKUP(EZ$3,'TTM Dates'!$B:$B,'TTM Dates'!$C:$C)&amp;ROW($BW33))))</f>
        <v>11504961.27</v>
      </c>
      <c r="FA33" s="64">
        <f t="array" ref="FA33">IF(FA$3&gt;'GAAP Summary'!$B$2,0,SUM(INDIRECT(XLOOKUP(FA$3,'TTM Dates'!$B:$B,'TTM Dates'!$E:$E)&amp;ROW($BW33)&amp;":"&amp;XLOOKUP(FA$3,'TTM Dates'!$B:$B,'TTM Dates'!$C:$C)&amp;ROW($BW33))))</f>
        <v>11938450.04</v>
      </c>
      <c r="FB33" s="64">
        <f t="array" ref="FB33">IF(FB$3&gt;'GAAP Summary'!$B$2,0,SUM(INDIRECT(XLOOKUP(FB$3,'TTM Dates'!$B:$B,'TTM Dates'!$E:$E)&amp;ROW($BW33)&amp;":"&amp;XLOOKUP(FB$3,'TTM Dates'!$B:$B,'TTM Dates'!$C:$C)&amp;ROW($BW33))))</f>
        <v>12331514.31</v>
      </c>
      <c r="FC33" s="64">
        <f t="array" ref="FC33">IF(FC$3&gt;'GAAP Summary'!$B$2,0,SUM(INDIRECT(XLOOKUP(FC$3,'TTM Dates'!$B:$B,'TTM Dates'!$E:$E)&amp;ROW($BW33)&amp;":"&amp;XLOOKUP(FC$3,'TTM Dates'!$B:$B,'TTM Dates'!$C:$C)&amp;ROW($BW33))))</f>
        <v>12867797.46</v>
      </c>
      <c r="FD33" s="64">
        <f t="array" ref="FD33">IF(FD$3&gt;'GAAP Summary'!$B$2,0,SUM(INDIRECT(XLOOKUP(FD$3,'TTM Dates'!$B:$B,'TTM Dates'!$E:$E)&amp;ROW($BW33)&amp;":"&amp;XLOOKUP(FD$3,'TTM Dates'!$B:$B,'TTM Dates'!$C:$C)&amp;ROW($BW33))))</f>
        <v>12032507.79</v>
      </c>
      <c r="FE33" s="64">
        <f t="array" ref="FE33">IF(FE$3&gt;'GAAP Summary'!$B$2,0,SUM(INDIRECT(XLOOKUP(FE$3,'TTM Dates'!$B:$B,'TTM Dates'!$E:$E)&amp;ROW($BW33)&amp;":"&amp;XLOOKUP(FE$3,'TTM Dates'!$B:$B,'TTM Dates'!$C:$C)&amp;ROW($BW33))))</f>
        <v>11096278.23</v>
      </c>
      <c r="FF33" s="64">
        <f t="array" ref="FF33">IF(FF$3&gt;'GAAP Summary'!$B$2,0,SUM(INDIRECT(XLOOKUP(FF$3,'TTM Dates'!$B:$B,'TTM Dates'!$E:$E)&amp;ROW($BW33)&amp;":"&amp;XLOOKUP(FF$3,'TTM Dates'!$B:$B,'TTM Dates'!$C:$C)&amp;ROW($BW33))))</f>
        <v>10164522.88</v>
      </c>
      <c r="FG33" s="64">
        <f t="array" ref="FG33">IF(FG$3&gt;'GAAP Summary'!$B$2,0,SUM(INDIRECT(XLOOKUP(FG$3,'TTM Dates'!$B:$B,'TTM Dates'!$E:$E)&amp;ROW($BW33)&amp;":"&amp;XLOOKUP(FG$3,'TTM Dates'!$B:$B,'TTM Dates'!$C:$C)&amp;ROW($BW33))))</f>
        <v>9115868.62</v>
      </c>
      <c r="FH33" s="64"/>
    </row>
    <row r="34">
      <c r="B34" s="280" t="s">
        <v>511</v>
      </c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352">
        <v>1072422.62</v>
      </c>
      <c r="BL34" s="352">
        <v>967878.36</v>
      </c>
      <c r="BM34" s="352">
        <v>1014416.49</v>
      </c>
      <c r="BN34" s="352">
        <v>1040436.14</v>
      </c>
      <c r="BO34" s="352">
        <v>1104830.93</v>
      </c>
      <c r="BP34" s="108">
        <v>1123883.16</v>
      </c>
      <c r="BQ34" s="108">
        <v>1223413.84</v>
      </c>
      <c r="BR34" s="352">
        <v>1182437.78</v>
      </c>
      <c r="BS34" s="108"/>
      <c r="BT34" s="108"/>
      <c r="BU34" s="108"/>
      <c r="BV34" s="108"/>
      <c r="BW34" s="108"/>
      <c r="BX34" s="282"/>
      <c r="BY34" s="282"/>
      <c r="BZ34" s="108"/>
      <c r="CA34" s="108"/>
      <c r="CB34" s="108"/>
      <c r="CC34" s="108"/>
      <c r="CD34" s="282"/>
      <c r="CE34" s="108"/>
      <c r="CF34" s="108"/>
      <c r="CG34" s="108"/>
      <c r="CH34" s="108"/>
      <c r="CI34" s="108"/>
      <c r="CJ34" s="282"/>
      <c r="CK34" s="283"/>
      <c r="CL34" s="108"/>
      <c r="CM34" s="108"/>
      <c r="CN34" s="108"/>
      <c r="CO34" s="108"/>
      <c r="CP34" s="282"/>
      <c r="CQ34" s="284"/>
      <c r="CR34" s="137"/>
      <c r="CS34" s="137"/>
      <c r="CT34" s="137"/>
      <c r="CU34" s="137"/>
      <c r="CV34" s="142"/>
      <c r="CW34" s="284"/>
      <c r="CX34" s="285"/>
      <c r="CY34" s="44"/>
      <c r="CZ34" s="286"/>
      <c r="DA34" s="286"/>
      <c r="DB34" s="286"/>
      <c r="DC34" s="286"/>
      <c r="DD34" s="286"/>
      <c r="DE34" s="286"/>
      <c r="DF34" s="286"/>
      <c r="DG34" s="286"/>
      <c r="DH34" s="286"/>
      <c r="DI34" s="286"/>
      <c r="DJ34" s="286"/>
      <c r="DK34" s="286"/>
      <c r="DL34" s="286"/>
      <c r="DM34" s="286"/>
      <c r="DN34" s="286"/>
      <c r="DO34" s="286"/>
      <c r="DP34" s="286"/>
      <c r="DQ34" s="286"/>
      <c r="DR34" s="286"/>
      <c r="DS34" s="286"/>
      <c r="DT34" s="286"/>
      <c r="DU34" s="286"/>
      <c r="DV34" s="286"/>
      <c r="DW34" s="286"/>
      <c r="DX34" s="286"/>
      <c r="DY34" s="286"/>
      <c r="DZ34" s="286"/>
      <c r="EA34" s="286"/>
      <c r="EB34" s="286"/>
      <c r="EC34" s="286"/>
      <c r="ED34" s="286"/>
      <c r="EE34" s="286"/>
      <c r="EF34" s="286"/>
      <c r="EG34" s="286"/>
      <c r="EH34" s="286"/>
      <c r="EI34" s="286"/>
      <c r="EJ34" s="286"/>
      <c r="EK34" s="286"/>
      <c r="EL34" s="286"/>
      <c r="EM34" s="286"/>
      <c r="EN34" s="286"/>
      <c r="EO34" s="286"/>
      <c r="EP34" s="286"/>
      <c r="EQ34" s="286"/>
      <c r="ER34" s="286"/>
      <c r="ES34" s="286"/>
      <c r="ET34" s="286"/>
      <c r="EU34" s="286"/>
      <c r="EV34" s="286"/>
      <c r="EW34" s="286"/>
      <c r="EX34" s="286"/>
      <c r="EY34" s="286"/>
      <c r="EZ34" s="286"/>
      <c r="FA34" s="286"/>
      <c r="FB34" s="286"/>
      <c r="FC34" s="286"/>
      <c r="FD34" s="286"/>
      <c r="FE34" s="286"/>
      <c r="FF34" s="286"/>
      <c r="FG34" s="286"/>
      <c r="FH34" s="286"/>
    </row>
    <row r="35" outlineLevel="1">
      <c r="B35" s="135" t="s">
        <v>506</v>
      </c>
      <c r="C35" s="135" t="s">
        <v>506</v>
      </c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  <c r="AY35" s="108"/>
      <c r="AZ35" s="108"/>
      <c r="BA35" s="108"/>
      <c r="BB35" s="108"/>
      <c r="BC35" s="108"/>
      <c r="BD35" s="108"/>
      <c r="BE35" s="108"/>
      <c r="BF35" s="108"/>
      <c r="BG35" s="108"/>
      <c r="BH35" s="108"/>
      <c r="BI35" s="108"/>
      <c r="BJ35" s="108"/>
      <c r="BK35" s="108">
        <f t="shared" ref="BK35:BR35" si="82">SUM(BK36:BK39,BK45,BK47)</f>
        <v>454253.31</v>
      </c>
      <c r="BL35" s="108">
        <f t="shared" si="82"/>
        <v>375788.27</v>
      </c>
      <c r="BM35" s="108">
        <f t="shared" si="82"/>
        <v>389488.42</v>
      </c>
      <c r="BN35" s="108">
        <f t="shared" si="82"/>
        <v>392207.58</v>
      </c>
      <c r="BO35" s="108">
        <f t="shared" si="82"/>
        <v>437865.3</v>
      </c>
      <c r="BP35" s="108">
        <f t="shared" si="82"/>
        <v>406444.42</v>
      </c>
      <c r="BQ35" s="108">
        <f t="shared" si="82"/>
        <v>441860.53</v>
      </c>
      <c r="BR35" s="108">
        <f t="shared" si="82"/>
        <v>448808.93</v>
      </c>
      <c r="BS35" s="108"/>
      <c r="BT35" s="108"/>
      <c r="BU35" s="108"/>
      <c r="BV35" s="108"/>
      <c r="BW35" s="108"/>
      <c r="BX35" s="282"/>
      <c r="BY35" s="108"/>
      <c r="BZ35" s="108"/>
      <c r="CA35" s="108"/>
      <c r="CB35" s="108"/>
      <c r="CC35" s="108"/>
      <c r="CD35" s="282"/>
      <c r="CE35" s="108"/>
      <c r="CF35" s="108"/>
      <c r="CG35" s="108"/>
      <c r="CH35" s="108"/>
      <c r="CI35" s="108"/>
      <c r="CJ35" s="282"/>
      <c r="CK35" s="108"/>
      <c r="CL35" s="108"/>
      <c r="CM35" s="108"/>
      <c r="CN35" s="108"/>
      <c r="CO35" s="108"/>
      <c r="CP35" s="282"/>
      <c r="CQ35" s="108"/>
      <c r="CR35" s="108"/>
      <c r="CS35" s="108"/>
      <c r="CT35" s="108"/>
      <c r="CU35" s="108"/>
      <c r="CV35" s="282"/>
      <c r="CW35" s="108"/>
      <c r="CX35" s="282"/>
      <c r="CY35" s="108"/>
      <c r="CZ35" s="108"/>
      <c r="DA35" s="108"/>
      <c r="DB35" s="108"/>
      <c r="DC35" s="108"/>
      <c r="DD35" s="108"/>
      <c r="DE35" s="108"/>
      <c r="DF35" s="108"/>
      <c r="DG35" s="108"/>
      <c r="DH35" s="108"/>
      <c r="DI35" s="108"/>
      <c r="DJ35" s="108"/>
      <c r="DK35" s="108"/>
      <c r="DL35" s="108"/>
      <c r="DM35" s="108"/>
      <c r="DN35" s="108"/>
      <c r="DO35" s="108"/>
      <c r="DP35" s="108"/>
      <c r="DQ35" s="108"/>
      <c r="DR35" s="108"/>
      <c r="DS35" s="108"/>
      <c r="DT35" s="108"/>
      <c r="DU35" s="108"/>
      <c r="DV35" s="108"/>
      <c r="DW35" s="108"/>
      <c r="DX35" s="108"/>
      <c r="DY35" s="108"/>
      <c r="DZ35" s="108"/>
      <c r="EA35" s="108"/>
      <c r="EB35" s="108"/>
      <c r="EC35" s="108"/>
      <c r="ED35" s="108"/>
      <c r="EE35" s="108"/>
      <c r="EF35" s="108"/>
      <c r="EG35" s="108"/>
      <c r="EH35" s="108"/>
      <c r="EI35" s="108"/>
      <c r="EJ35" s="108"/>
      <c r="EK35" s="108"/>
      <c r="EL35" s="108"/>
      <c r="EM35" s="108"/>
      <c r="EN35" s="108"/>
      <c r="EO35" s="108"/>
      <c r="EP35" s="108"/>
      <c r="EQ35" s="108"/>
      <c r="ER35" s="108"/>
      <c r="ES35" s="108"/>
      <c r="ET35" s="108"/>
      <c r="EU35" s="108"/>
      <c r="EV35" s="108"/>
      <c r="EW35" s="108"/>
      <c r="EX35" s="108"/>
      <c r="EY35" s="108"/>
      <c r="EZ35" s="108"/>
      <c r="FA35" s="108"/>
      <c r="FB35" s="108"/>
      <c r="FC35" s="108"/>
      <c r="FD35" s="108"/>
      <c r="FE35" s="108"/>
      <c r="FF35" s="108"/>
      <c r="FG35" s="108"/>
      <c r="FH35" s="108"/>
    </row>
    <row r="36" outlineLevel="1">
      <c r="B36" s="135" t="s">
        <v>512</v>
      </c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294"/>
      <c r="BA36" s="145"/>
      <c r="BB36" s="137"/>
      <c r="BC36" s="137"/>
      <c r="BD36" s="137"/>
      <c r="BE36" s="137"/>
      <c r="BF36" s="137"/>
      <c r="BG36" s="137"/>
      <c r="BH36" s="137"/>
      <c r="BI36" s="137"/>
      <c r="BJ36" s="137"/>
      <c r="BK36" s="295">
        <v>415288.96</v>
      </c>
      <c r="BL36" s="295">
        <v>342495.35</v>
      </c>
      <c r="BM36" s="295">
        <v>349268.25</v>
      </c>
      <c r="BN36" s="295">
        <v>346977.75</v>
      </c>
      <c r="BO36" s="295">
        <v>379162.22</v>
      </c>
      <c r="BP36" s="137">
        <v>360402.88</v>
      </c>
      <c r="BQ36" s="137">
        <v>384013.17</v>
      </c>
      <c r="BR36" s="137">
        <v>339049.57</v>
      </c>
      <c r="BS36" s="137"/>
      <c r="BT36" s="137"/>
      <c r="BU36" s="137"/>
      <c r="BV36" s="137"/>
      <c r="BW36" s="33"/>
      <c r="BX36" s="288"/>
      <c r="BY36" s="136"/>
      <c r="BZ36" s="137"/>
      <c r="CA36" s="137"/>
      <c r="CB36" s="137"/>
      <c r="CC36" s="137"/>
      <c r="CD36" s="142"/>
      <c r="CE36" s="137"/>
      <c r="CF36" s="137"/>
      <c r="CG36" s="137"/>
      <c r="CH36" s="137"/>
      <c r="CI36" s="137"/>
      <c r="CJ36" s="142"/>
      <c r="CK36" s="136"/>
      <c r="CL36" s="136"/>
      <c r="CM36" s="136"/>
      <c r="CN36" s="136"/>
      <c r="CO36" s="136"/>
      <c r="CP36" s="292"/>
      <c r="CQ36" s="284"/>
      <c r="CR36" s="137"/>
      <c r="CS36" s="137"/>
      <c r="CT36" s="137"/>
      <c r="CU36" s="137"/>
      <c r="CV36" s="142"/>
      <c r="CW36" s="284"/>
      <c r="CX36" s="292"/>
      <c r="CY36" s="284"/>
      <c r="CZ36" s="136"/>
      <c r="DA36" s="136"/>
      <c r="DB36" s="136"/>
      <c r="DC36" s="136"/>
      <c r="DD36" s="136"/>
      <c r="DE36" s="136"/>
      <c r="DF36" s="136"/>
      <c r="DG36" s="136"/>
      <c r="DH36" s="136"/>
      <c r="DI36" s="136"/>
      <c r="DJ36" s="136"/>
      <c r="DK36" s="136"/>
      <c r="DL36" s="136"/>
      <c r="DM36" s="136"/>
      <c r="DN36" s="136"/>
      <c r="DO36" s="136"/>
      <c r="DP36" s="136"/>
      <c r="DQ36" s="136"/>
      <c r="DR36" s="136"/>
      <c r="DS36" s="136"/>
      <c r="DT36" s="136"/>
      <c r="DU36" s="136"/>
      <c r="DV36" s="136"/>
      <c r="DW36" s="136"/>
      <c r="DX36" s="136"/>
      <c r="DY36" s="136"/>
      <c r="DZ36" s="136"/>
      <c r="EA36" s="136"/>
      <c r="EB36" s="136"/>
      <c r="EC36" s="136"/>
      <c r="ED36" s="136"/>
      <c r="EE36" s="136"/>
      <c r="EF36" s="136"/>
      <c r="EG36" s="136"/>
      <c r="EH36" s="136"/>
      <c r="EI36" s="136"/>
      <c r="EJ36" s="136"/>
      <c r="EK36" s="136"/>
      <c r="EL36" s="136"/>
      <c r="EM36" s="136"/>
      <c r="EN36" s="136"/>
      <c r="EO36" s="136"/>
      <c r="EP36" s="136"/>
      <c r="EQ36" s="136"/>
      <c r="ER36" s="136"/>
      <c r="ES36" s="136"/>
      <c r="ET36" s="136"/>
      <c r="EU36" s="136"/>
      <c r="EV36" s="136"/>
      <c r="EW36" s="136"/>
      <c r="EX36" s="136"/>
      <c r="EY36" s="136"/>
      <c r="EZ36" s="136"/>
      <c r="FA36" s="136"/>
      <c r="FB36" s="136"/>
      <c r="FC36" s="136"/>
      <c r="FD36" s="136"/>
      <c r="FE36" s="136"/>
      <c r="FF36" s="136"/>
      <c r="FG36" s="136"/>
      <c r="FH36" s="136"/>
    </row>
    <row r="37" outlineLevel="1">
      <c r="B37" s="135" t="s">
        <v>513</v>
      </c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294"/>
      <c r="BA37" s="145"/>
      <c r="BB37" s="137"/>
      <c r="BC37" s="137"/>
      <c r="BD37" s="137"/>
      <c r="BE37" s="137"/>
      <c r="BF37" s="137"/>
      <c r="BG37" s="137"/>
      <c r="BH37" s="137"/>
      <c r="BI37" s="137"/>
      <c r="BJ37" s="137"/>
      <c r="BK37" s="295"/>
      <c r="BL37" s="294"/>
      <c r="BM37" s="145"/>
      <c r="BN37" s="145"/>
      <c r="BO37" s="137"/>
      <c r="BP37" s="137"/>
      <c r="BQ37" s="137"/>
      <c r="BR37" s="137"/>
      <c r="BS37" s="137"/>
      <c r="BT37" s="137"/>
      <c r="BU37" s="137"/>
      <c r="BV37" s="137"/>
      <c r="BW37" s="33"/>
      <c r="BX37" s="288"/>
      <c r="BY37" s="136"/>
      <c r="BZ37" s="137"/>
      <c r="CA37" s="137"/>
      <c r="CB37" s="137"/>
      <c r="CC37" s="137"/>
      <c r="CD37" s="142"/>
      <c r="CE37" s="137"/>
      <c r="CF37" s="137"/>
      <c r="CG37" s="137"/>
      <c r="CH37" s="137"/>
      <c r="CI37" s="137"/>
      <c r="CJ37" s="142"/>
      <c r="CK37" s="136"/>
      <c r="CL37" s="136"/>
      <c r="CM37" s="136"/>
      <c r="CN37" s="136"/>
      <c r="CO37" s="136"/>
      <c r="CP37" s="292"/>
      <c r="CQ37" s="284"/>
      <c r="CR37" s="137"/>
      <c r="CS37" s="137"/>
      <c r="CT37" s="137"/>
      <c r="CU37" s="137"/>
      <c r="CV37" s="142"/>
      <c r="CW37" s="284"/>
      <c r="CX37" s="292"/>
      <c r="CY37" s="284"/>
      <c r="CZ37" s="136"/>
      <c r="DA37" s="136"/>
      <c r="DB37" s="136"/>
      <c r="DC37" s="136"/>
      <c r="DD37" s="136"/>
      <c r="DE37" s="136"/>
      <c r="DF37" s="136"/>
      <c r="DG37" s="136"/>
      <c r="DH37" s="136"/>
      <c r="DI37" s="136"/>
      <c r="DJ37" s="136"/>
      <c r="DK37" s="136"/>
      <c r="DL37" s="136"/>
      <c r="DM37" s="136"/>
      <c r="DN37" s="136"/>
      <c r="DO37" s="136"/>
      <c r="DP37" s="136"/>
      <c r="DQ37" s="136"/>
      <c r="DR37" s="136"/>
      <c r="DS37" s="136"/>
      <c r="DT37" s="136"/>
      <c r="DU37" s="136"/>
      <c r="DV37" s="136"/>
      <c r="DW37" s="136"/>
      <c r="DX37" s="136"/>
      <c r="DY37" s="136"/>
      <c r="DZ37" s="136"/>
      <c r="EA37" s="136"/>
      <c r="EB37" s="136"/>
      <c r="EC37" s="136"/>
      <c r="ED37" s="136"/>
      <c r="EE37" s="136"/>
      <c r="EF37" s="136"/>
      <c r="EG37" s="136"/>
      <c r="EH37" s="136"/>
      <c r="EI37" s="136"/>
      <c r="EJ37" s="136"/>
      <c r="EK37" s="136"/>
      <c r="EL37" s="136"/>
      <c r="EM37" s="136"/>
      <c r="EN37" s="136"/>
      <c r="EO37" s="136"/>
      <c r="EP37" s="136"/>
      <c r="EQ37" s="136"/>
      <c r="ER37" s="136"/>
      <c r="ES37" s="136"/>
      <c r="ET37" s="136"/>
      <c r="EU37" s="136"/>
      <c r="EV37" s="136"/>
      <c r="EW37" s="136"/>
      <c r="EX37" s="136"/>
      <c r="EY37" s="136"/>
      <c r="EZ37" s="136"/>
      <c r="FA37" s="136"/>
      <c r="FB37" s="136"/>
      <c r="FC37" s="136"/>
      <c r="FD37" s="136"/>
      <c r="FE37" s="136"/>
      <c r="FF37" s="136"/>
      <c r="FG37" s="136"/>
      <c r="FH37" s="136"/>
    </row>
    <row r="38" outlineLevel="1">
      <c r="B38" s="135" t="s">
        <v>514</v>
      </c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294"/>
      <c r="BA38" s="145"/>
      <c r="BB38" s="137"/>
      <c r="BC38" s="137"/>
      <c r="BD38" s="137"/>
      <c r="BE38" s="137"/>
      <c r="BF38" s="137"/>
      <c r="BG38" s="137"/>
      <c r="BH38" s="137"/>
      <c r="BI38" s="137"/>
      <c r="BJ38" s="137"/>
      <c r="BK38" s="295">
        <v>28521.12</v>
      </c>
      <c r="BL38" s="295">
        <v>25529.25</v>
      </c>
      <c r="BM38" s="295">
        <v>24725.98</v>
      </c>
      <c r="BN38" s="295">
        <v>30567.51</v>
      </c>
      <c r="BO38" s="295">
        <v>30050.76</v>
      </c>
      <c r="BP38" s="137">
        <v>27746.5</v>
      </c>
      <c r="BQ38" s="137">
        <v>30163.5</v>
      </c>
      <c r="BR38" s="137">
        <v>36239.69</v>
      </c>
      <c r="BS38" s="137"/>
      <c r="BT38" s="137"/>
      <c r="BU38" s="137"/>
      <c r="BV38" s="137"/>
      <c r="BW38" s="33"/>
      <c r="BX38" s="288"/>
      <c r="BY38" s="136"/>
      <c r="BZ38" s="137"/>
      <c r="CA38" s="137"/>
      <c r="CB38" s="137"/>
      <c r="CC38" s="137"/>
      <c r="CD38" s="142"/>
      <c r="CE38" s="137"/>
      <c r="CF38" s="137"/>
      <c r="CG38" s="137"/>
      <c r="CH38" s="137"/>
      <c r="CI38" s="137"/>
      <c r="CJ38" s="142"/>
      <c r="CK38" s="136"/>
      <c r="CL38" s="136"/>
      <c r="CM38" s="136"/>
      <c r="CN38" s="136"/>
      <c r="CO38" s="136"/>
      <c r="CP38" s="292"/>
      <c r="CQ38" s="284"/>
      <c r="CR38" s="137"/>
      <c r="CS38" s="137"/>
      <c r="CT38" s="137"/>
      <c r="CU38" s="137"/>
      <c r="CV38" s="142"/>
      <c r="CW38" s="284"/>
      <c r="CX38" s="292"/>
      <c r="CY38" s="284"/>
      <c r="CZ38" s="136"/>
      <c r="DA38" s="136"/>
      <c r="DB38" s="136"/>
      <c r="DC38" s="136"/>
      <c r="DD38" s="136"/>
      <c r="DE38" s="136"/>
      <c r="DF38" s="136"/>
      <c r="DG38" s="136"/>
      <c r="DH38" s="136"/>
      <c r="DI38" s="136"/>
      <c r="DJ38" s="136"/>
      <c r="DK38" s="136"/>
      <c r="DL38" s="136"/>
      <c r="DM38" s="136"/>
      <c r="DN38" s="136"/>
      <c r="DO38" s="136"/>
      <c r="DP38" s="136"/>
      <c r="DQ38" s="136"/>
      <c r="DR38" s="136"/>
      <c r="DS38" s="136"/>
      <c r="DT38" s="136"/>
      <c r="DU38" s="136"/>
      <c r="DV38" s="136"/>
      <c r="DW38" s="136"/>
      <c r="DX38" s="136"/>
      <c r="DY38" s="136"/>
      <c r="DZ38" s="136"/>
      <c r="EA38" s="136"/>
      <c r="EB38" s="136"/>
      <c r="EC38" s="136"/>
      <c r="ED38" s="136"/>
      <c r="EE38" s="136"/>
      <c r="EF38" s="136"/>
      <c r="EG38" s="136"/>
      <c r="EH38" s="136"/>
      <c r="EI38" s="136"/>
      <c r="EJ38" s="136"/>
      <c r="EK38" s="136"/>
      <c r="EL38" s="136"/>
      <c r="EM38" s="136"/>
      <c r="EN38" s="136"/>
      <c r="EO38" s="136"/>
      <c r="EP38" s="136"/>
      <c r="EQ38" s="136"/>
      <c r="ER38" s="136"/>
      <c r="ES38" s="136"/>
      <c r="ET38" s="136"/>
      <c r="EU38" s="136"/>
      <c r="EV38" s="136"/>
      <c r="EW38" s="136"/>
      <c r="EX38" s="136"/>
      <c r="EY38" s="136"/>
      <c r="EZ38" s="136"/>
      <c r="FA38" s="136"/>
      <c r="FB38" s="136"/>
      <c r="FC38" s="136"/>
      <c r="FD38" s="136"/>
      <c r="FE38" s="136"/>
      <c r="FF38" s="136"/>
      <c r="FG38" s="136"/>
      <c r="FH38" s="136"/>
    </row>
    <row r="39" outlineLevel="1">
      <c r="B39" s="135" t="s">
        <v>515</v>
      </c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294"/>
      <c r="BA39" s="145"/>
      <c r="BB39" s="137"/>
      <c r="BC39" s="137"/>
      <c r="BD39" s="137"/>
      <c r="BE39" s="137"/>
      <c r="BF39" s="137"/>
      <c r="BG39" s="137"/>
      <c r="BH39" s="137"/>
      <c r="BI39" s="137"/>
      <c r="BJ39" s="137"/>
      <c r="BK39" s="295">
        <v>0.0</v>
      </c>
      <c r="BL39" s="294">
        <v>0.0</v>
      </c>
      <c r="BM39" s="294">
        <v>11589.03</v>
      </c>
      <c r="BN39" s="294">
        <v>12503.92</v>
      </c>
      <c r="BO39" s="294">
        <v>12326.13</v>
      </c>
      <c r="BP39" s="137">
        <v>11844.93</v>
      </c>
      <c r="BQ39" s="137">
        <v>23062.46</v>
      </c>
      <c r="BR39" s="137">
        <v>28809.38</v>
      </c>
      <c r="BS39" s="137"/>
      <c r="BT39" s="137"/>
      <c r="BU39" s="137"/>
      <c r="BV39" s="137"/>
      <c r="BW39" s="33"/>
      <c r="BX39" s="288"/>
      <c r="BY39" s="136"/>
      <c r="BZ39" s="137"/>
      <c r="CA39" s="137"/>
      <c r="CB39" s="137"/>
      <c r="CC39" s="137"/>
      <c r="CD39" s="142"/>
      <c r="CE39" s="137"/>
      <c r="CF39" s="137"/>
      <c r="CG39" s="137"/>
      <c r="CH39" s="137"/>
      <c r="CI39" s="137"/>
      <c r="CJ39" s="142"/>
      <c r="CK39" s="136"/>
      <c r="CL39" s="136"/>
      <c r="CM39" s="136"/>
      <c r="CN39" s="136"/>
      <c r="CO39" s="136"/>
      <c r="CP39" s="292"/>
      <c r="CQ39" s="284"/>
      <c r="CR39" s="137"/>
      <c r="CS39" s="137"/>
      <c r="CT39" s="137"/>
      <c r="CU39" s="137"/>
      <c r="CV39" s="142"/>
      <c r="CW39" s="284"/>
      <c r="CX39" s="292"/>
      <c r="CY39" s="284"/>
      <c r="CZ39" s="136"/>
      <c r="DA39" s="136"/>
      <c r="DB39" s="136"/>
      <c r="DC39" s="136"/>
      <c r="DD39" s="136"/>
      <c r="DE39" s="136"/>
      <c r="DF39" s="136"/>
      <c r="DG39" s="136"/>
      <c r="DH39" s="136"/>
      <c r="DI39" s="136"/>
      <c r="DJ39" s="136"/>
      <c r="DK39" s="136"/>
      <c r="DL39" s="136"/>
      <c r="DM39" s="136"/>
      <c r="DN39" s="136"/>
      <c r="DO39" s="136"/>
      <c r="DP39" s="136"/>
      <c r="DQ39" s="136"/>
      <c r="DR39" s="136"/>
      <c r="DS39" s="136"/>
      <c r="DT39" s="136"/>
      <c r="DU39" s="136"/>
      <c r="DV39" s="136"/>
      <c r="DW39" s="136"/>
      <c r="DX39" s="136"/>
      <c r="DY39" s="136"/>
      <c r="DZ39" s="136"/>
      <c r="EA39" s="136"/>
      <c r="EB39" s="136"/>
      <c r="EC39" s="136"/>
      <c r="ED39" s="136"/>
      <c r="EE39" s="136"/>
      <c r="EF39" s="136"/>
      <c r="EG39" s="136"/>
      <c r="EH39" s="136"/>
      <c r="EI39" s="136"/>
      <c r="EJ39" s="136"/>
      <c r="EK39" s="136"/>
      <c r="EL39" s="136"/>
      <c r="EM39" s="136"/>
      <c r="EN39" s="136"/>
      <c r="EO39" s="136"/>
      <c r="EP39" s="136"/>
      <c r="EQ39" s="136"/>
      <c r="ER39" s="136"/>
      <c r="ES39" s="136"/>
      <c r="ET39" s="136"/>
      <c r="EU39" s="136"/>
      <c r="EV39" s="136"/>
      <c r="EW39" s="136"/>
      <c r="EX39" s="136"/>
      <c r="EY39" s="136"/>
      <c r="EZ39" s="136"/>
      <c r="FA39" s="136"/>
      <c r="FB39" s="136"/>
      <c r="FC39" s="136"/>
      <c r="FD39" s="136"/>
      <c r="FE39" s="136"/>
      <c r="FF39" s="136"/>
      <c r="FG39" s="136"/>
      <c r="FH39" s="136"/>
    </row>
    <row r="40" outlineLevel="1">
      <c r="B40" s="135" t="s">
        <v>508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8"/>
      <c r="AX40" s="108"/>
      <c r="AY40" s="108"/>
      <c r="AZ40" s="108"/>
      <c r="BA40" s="108"/>
      <c r="BB40" s="108"/>
      <c r="BC40" s="108"/>
      <c r="BD40" s="108"/>
      <c r="BE40" s="108"/>
      <c r="BF40" s="108"/>
      <c r="BG40" s="108"/>
      <c r="BH40" s="108"/>
      <c r="BI40" s="108"/>
      <c r="BJ40" s="108"/>
      <c r="BK40" s="108">
        <f t="shared" ref="BK40:BR40" si="83">sum(BK41,BK46,BK48)</f>
        <v>665673.41</v>
      </c>
      <c r="BL40" s="108">
        <f t="shared" si="83"/>
        <v>672556.27</v>
      </c>
      <c r="BM40" s="108">
        <f t="shared" si="83"/>
        <v>667559.3</v>
      </c>
      <c r="BN40" s="108">
        <f t="shared" si="83"/>
        <v>656121.06</v>
      </c>
      <c r="BO40" s="108">
        <f t="shared" si="83"/>
        <v>722049.13</v>
      </c>
      <c r="BP40" s="108">
        <f t="shared" si="83"/>
        <v>731641.97</v>
      </c>
      <c r="BQ40" s="108">
        <f t="shared" si="83"/>
        <v>798746.2</v>
      </c>
      <c r="BR40" s="108">
        <f t="shared" si="83"/>
        <v>854803.98</v>
      </c>
      <c r="BS40" s="108"/>
      <c r="BT40" s="108"/>
      <c r="BU40" s="108"/>
      <c r="BV40" s="108"/>
      <c r="BW40" s="108"/>
      <c r="BX40" s="288"/>
      <c r="BY40" s="108"/>
      <c r="BZ40" s="108"/>
      <c r="CA40" s="108"/>
      <c r="CB40" s="108"/>
      <c r="CC40" s="108"/>
      <c r="CD40" s="108"/>
      <c r="CE40" s="108"/>
      <c r="CF40" s="108"/>
      <c r="CG40" s="108"/>
      <c r="CH40" s="108"/>
      <c r="CI40" s="108"/>
      <c r="CJ40" s="282"/>
      <c r="CK40" s="108"/>
      <c r="CL40" s="108"/>
      <c r="CM40" s="108"/>
      <c r="CN40" s="108"/>
      <c r="CO40" s="108"/>
      <c r="CP40" s="282"/>
      <c r="CQ40" s="108"/>
      <c r="CR40" s="108"/>
      <c r="CS40" s="108"/>
      <c r="CT40" s="108"/>
      <c r="CU40" s="108"/>
      <c r="CV40" s="282"/>
      <c r="CW40" s="108"/>
      <c r="CX40" s="282"/>
      <c r="CY40" s="108"/>
      <c r="CZ40" s="108"/>
      <c r="DA40" s="108"/>
      <c r="DB40" s="108"/>
      <c r="DC40" s="108"/>
      <c r="DD40" s="108"/>
      <c r="DE40" s="108"/>
      <c r="DF40" s="108"/>
      <c r="DG40" s="108"/>
      <c r="DH40" s="108"/>
      <c r="DI40" s="108"/>
      <c r="DJ40" s="108"/>
      <c r="DK40" s="108"/>
      <c r="DL40" s="108"/>
      <c r="DM40" s="108"/>
      <c r="DN40" s="108"/>
      <c r="DO40" s="108"/>
      <c r="DP40" s="108"/>
      <c r="DQ40" s="108"/>
      <c r="DR40" s="108"/>
      <c r="DS40" s="108"/>
      <c r="DT40" s="108"/>
      <c r="DU40" s="108"/>
      <c r="DV40" s="108"/>
      <c r="DW40" s="108"/>
      <c r="DX40" s="108"/>
      <c r="DY40" s="108"/>
      <c r="DZ40" s="108"/>
      <c r="EA40" s="108"/>
      <c r="EB40" s="108"/>
      <c r="EC40" s="108"/>
      <c r="ED40" s="108"/>
      <c r="EE40" s="108"/>
      <c r="EF40" s="108"/>
      <c r="EG40" s="108"/>
      <c r="EH40" s="108"/>
      <c r="EI40" s="108"/>
      <c r="EJ40" s="108"/>
      <c r="EK40" s="108"/>
      <c r="EL40" s="108"/>
      <c r="EM40" s="108"/>
      <c r="EN40" s="108"/>
      <c r="EO40" s="108"/>
      <c r="EP40" s="108"/>
      <c r="EQ40" s="108"/>
      <c r="ER40" s="108"/>
      <c r="ES40" s="108"/>
      <c r="ET40" s="108"/>
      <c r="EU40" s="108"/>
      <c r="EV40" s="108"/>
      <c r="EW40" s="108"/>
      <c r="EX40" s="108"/>
      <c r="EY40" s="108"/>
      <c r="EZ40" s="108"/>
      <c r="FA40" s="108"/>
      <c r="FB40" s="108"/>
      <c r="FC40" s="108"/>
      <c r="FD40" s="108"/>
      <c r="FE40" s="108"/>
      <c r="FF40" s="108"/>
      <c r="FG40" s="108"/>
      <c r="FH40" s="108"/>
    </row>
    <row r="41" outlineLevel="1">
      <c r="B41" s="135" t="s">
        <v>516</v>
      </c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294"/>
      <c r="BA41" s="145"/>
      <c r="BB41" s="137"/>
      <c r="BC41" s="137"/>
      <c r="BD41" s="137"/>
      <c r="BE41" s="137"/>
      <c r="BF41" s="137"/>
      <c r="BG41" s="137"/>
      <c r="BH41" s="137"/>
      <c r="BI41" s="137"/>
      <c r="BJ41" s="137"/>
      <c r="BK41" s="295">
        <f>-1649.62+630262.54 
</f>
        <v>628612.92</v>
      </c>
      <c r="BL41" s="294">
        <f>-4250.36+604103.76 
</f>
        <v>599853.4</v>
      </c>
      <c r="BM41" s="145">
        <f>-3390.61+632223.35 
</f>
        <v>628832.74</v>
      </c>
      <c r="BN41" s="145">
        <f>-1480.49+651867.31 
</f>
        <v>650386.82</v>
      </c>
      <c r="BO41" s="137">
        <f>7373.89+675918 
</f>
        <v>683291.89</v>
      </c>
      <c r="BP41" s="137">
        <f>7254.83+716633.86 
</f>
        <v>723888.69</v>
      </c>
      <c r="BQ41" s="137">
        <f>778388.99+7785.88</f>
        <v>786174.87</v>
      </c>
      <c r="BR41" s="137">
        <v>778339.14</v>
      </c>
      <c r="BS41" s="137"/>
      <c r="BT41" s="137"/>
      <c r="BU41" s="137"/>
      <c r="BV41" s="137"/>
      <c r="BW41" s="33"/>
      <c r="BX41" s="288"/>
      <c r="BY41" s="136"/>
      <c r="BZ41" s="137"/>
      <c r="CA41" s="137"/>
      <c r="CB41" s="137"/>
      <c r="CC41" s="137"/>
      <c r="CD41" s="142"/>
      <c r="CE41" s="137"/>
      <c r="CF41" s="137"/>
      <c r="CG41" s="137"/>
      <c r="CH41" s="137"/>
      <c r="CI41" s="137"/>
      <c r="CJ41" s="142"/>
      <c r="CK41" s="136"/>
      <c r="CL41" s="136"/>
      <c r="CM41" s="136"/>
      <c r="CN41" s="136"/>
      <c r="CO41" s="136"/>
      <c r="CP41" s="292"/>
      <c r="CQ41" s="284"/>
      <c r="CR41" s="137"/>
      <c r="CS41" s="137"/>
      <c r="CT41" s="137"/>
      <c r="CU41" s="137"/>
      <c r="CV41" s="142"/>
      <c r="CW41" s="284"/>
      <c r="CX41" s="292"/>
      <c r="CY41" s="284"/>
      <c r="CZ41" s="136"/>
      <c r="DA41" s="136"/>
      <c r="DB41" s="136"/>
      <c r="DC41" s="136"/>
      <c r="DD41" s="136"/>
      <c r="DE41" s="136"/>
      <c r="DF41" s="136"/>
      <c r="DG41" s="136"/>
      <c r="DH41" s="136"/>
      <c r="DI41" s="136"/>
      <c r="DJ41" s="136"/>
      <c r="DK41" s="136"/>
      <c r="DL41" s="136"/>
      <c r="DM41" s="136"/>
      <c r="DN41" s="136"/>
      <c r="DO41" s="136"/>
      <c r="DP41" s="136"/>
      <c r="DQ41" s="136"/>
      <c r="DR41" s="136"/>
      <c r="DS41" s="136"/>
      <c r="DT41" s="136"/>
      <c r="DU41" s="136"/>
      <c r="DV41" s="136"/>
      <c r="DW41" s="136"/>
      <c r="DX41" s="136"/>
      <c r="DY41" s="136"/>
      <c r="DZ41" s="136"/>
      <c r="EA41" s="136"/>
      <c r="EB41" s="136"/>
      <c r="EC41" s="136"/>
      <c r="ED41" s="136"/>
      <c r="EE41" s="136"/>
      <c r="EF41" s="136"/>
      <c r="EG41" s="136"/>
      <c r="EH41" s="136"/>
      <c r="EI41" s="136"/>
      <c r="EJ41" s="136"/>
      <c r="EK41" s="136"/>
      <c r="EL41" s="136"/>
      <c r="EM41" s="136"/>
      <c r="EN41" s="136"/>
      <c r="EO41" s="136"/>
      <c r="EP41" s="136"/>
      <c r="EQ41" s="136"/>
      <c r="ER41" s="136"/>
      <c r="ES41" s="136"/>
      <c r="ET41" s="136"/>
      <c r="EU41" s="136"/>
      <c r="EV41" s="136"/>
      <c r="EW41" s="136"/>
      <c r="EX41" s="136"/>
      <c r="EY41" s="136"/>
      <c r="EZ41" s="136"/>
      <c r="FA41" s="136"/>
      <c r="FB41" s="136"/>
      <c r="FC41" s="136"/>
      <c r="FD41" s="136"/>
      <c r="FE41" s="136"/>
      <c r="FF41" s="136"/>
      <c r="FG41" s="136"/>
      <c r="FH41" s="136"/>
    </row>
    <row r="42" outlineLevel="1">
      <c r="B42" s="135" t="s">
        <v>517</v>
      </c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294"/>
      <c r="BA42" s="145"/>
      <c r="BB42" s="137"/>
      <c r="BC42" s="137"/>
      <c r="BD42" s="137"/>
      <c r="BE42" s="137"/>
      <c r="BF42" s="137"/>
      <c r="BG42" s="137"/>
      <c r="BH42" s="137"/>
      <c r="BI42" s="137"/>
      <c r="BJ42" s="137"/>
      <c r="BK42" s="295"/>
      <c r="BL42" s="294"/>
      <c r="BM42" s="145"/>
      <c r="BN42" s="145"/>
      <c r="BO42" s="137"/>
      <c r="BP42" s="137"/>
      <c r="BQ42" s="295"/>
      <c r="BR42" s="137"/>
      <c r="BS42" s="137"/>
      <c r="BT42" s="137"/>
      <c r="BU42" s="137"/>
      <c r="BV42" s="137"/>
      <c r="BW42" s="33"/>
      <c r="BX42" s="288"/>
      <c r="BY42" s="136"/>
      <c r="BZ42" s="137"/>
      <c r="CA42" s="137"/>
      <c r="CB42" s="137"/>
      <c r="CC42" s="137"/>
      <c r="CD42" s="142"/>
      <c r="CE42" s="137"/>
      <c r="CF42" s="137"/>
      <c r="CG42" s="137"/>
      <c r="CH42" s="137"/>
      <c r="CI42" s="137"/>
      <c r="CJ42" s="142"/>
      <c r="CK42" s="136"/>
      <c r="CL42" s="136"/>
      <c r="CM42" s="136"/>
      <c r="CN42" s="136"/>
      <c r="CO42" s="136"/>
      <c r="CP42" s="292"/>
      <c r="CQ42" s="284"/>
      <c r="CR42" s="137"/>
      <c r="CS42" s="137"/>
      <c r="CT42" s="137"/>
      <c r="CU42" s="137"/>
      <c r="CV42" s="142"/>
      <c r="CW42" s="284"/>
      <c r="CX42" s="292"/>
      <c r="CY42" s="284"/>
      <c r="CZ42" s="136"/>
      <c r="DA42" s="136"/>
      <c r="DB42" s="136"/>
      <c r="DC42" s="136"/>
      <c r="DD42" s="136"/>
      <c r="DE42" s="136"/>
      <c r="DF42" s="136"/>
      <c r="DG42" s="136"/>
      <c r="DH42" s="136"/>
      <c r="DI42" s="136"/>
      <c r="DJ42" s="136"/>
      <c r="DK42" s="136"/>
      <c r="DL42" s="136"/>
      <c r="DM42" s="136"/>
      <c r="DN42" s="136"/>
      <c r="DO42" s="136"/>
      <c r="DP42" s="136"/>
      <c r="DQ42" s="136"/>
      <c r="DR42" s="136"/>
      <c r="DS42" s="136"/>
      <c r="DT42" s="136"/>
      <c r="DU42" s="136"/>
      <c r="DV42" s="136"/>
      <c r="DW42" s="136"/>
      <c r="DX42" s="136"/>
      <c r="DY42" s="136"/>
      <c r="DZ42" s="136"/>
      <c r="EA42" s="136"/>
      <c r="EB42" s="136"/>
      <c r="EC42" s="136"/>
      <c r="ED42" s="136"/>
      <c r="EE42" s="136"/>
      <c r="EF42" s="136"/>
      <c r="EG42" s="136"/>
      <c r="EH42" s="136"/>
      <c r="EI42" s="136"/>
      <c r="EJ42" s="136"/>
      <c r="EK42" s="136"/>
      <c r="EL42" s="136"/>
      <c r="EM42" s="136"/>
      <c r="EN42" s="136"/>
      <c r="EO42" s="136"/>
      <c r="EP42" s="136"/>
      <c r="EQ42" s="136"/>
      <c r="ER42" s="136"/>
      <c r="ES42" s="136"/>
      <c r="ET42" s="136"/>
      <c r="EU42" s="136"/>
      <c r="EV42" s="136"/>
      <c r="EW42" s="136"/>
      <c r="EX42" s="136"/>
      <c r="EY42" s="136"/>
      <c r="EZ42" s="136"/>
      <c r="FA42" s="136"/>
      <c r="FB42" s="136"/>
      <c r="FC42" s="136"/>
      <c r="FD42" s="136"/>
      <c r="FE42" s="136"/>
      <c r="FF42" s="136"/>
      <c r="FG42" s="136"/>
      <c r="FH42" s="136"/>
    </row>
    <row r="43" outlineLevel="1">
      <c r="B43" s="135" t="s">
        <v>518</v>
      </c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294"/>
      <c r="BA43" s="145"/>
      <c r="BB43" s="137"/>
      <c r="BC43" s="137"/>
      <c r="BD43" s="137"/>
      <c r="BE43" s="137"/>
      <c r="BF43" s="137"/>
      <c r="BG43" s="137"/>
      <c r="BH43" s="137"/>
      <c r="BI43" s="137"/>
      <c r="BJ43" s="137"/>
      <c r="BK43" s="295"/>
      <c r="BL43" s="294"/>
      <c r="BM43" s="145"/>
      <c r="BN43" s="145"/>
      <c r="BO43" s="137"/>
      <c r="BP43" s="137"/>
      <c r="BQ43" s="295"/>
      <c r="BR43" s="137"/>
      <c r="BS43" s="137"/>
      <c r="BT43" s="137"/>
      <c r="BU43" s="137"/>
      <c r="BV43" s="137"/>
      <c r="BW43" s="33"/>
      <c r="BX43" s="288"/>
      <c r="BY43" s="136"/>
      <c r="BZ43" s="137"/>
      <c r="CA43" s="137"/>
      <c r="CB43" s="137"/>
      <c r="CC43" s="137"/>
      <c r="CD43" s="142"/>
      <c r="CE43" s="137"/>
      <c r="CF43" s="137"/>
      <c r="CG43" s="137"/>
      <c r="CH43" s="137"/>
      <c r="CI43" s="137"/>
      <c r="CJ43" s="142"/>
      <c r="CK43" s="136"/>
      <c r="CL43" s="136"/>
      <c r="CM43" s="136"/>
      <c r="CN43" s="136"/>
      <c r="CO43" s="136"/>
      <c r="CP43" s="292"/>
      <c r="CQ43" s="284"/>
      <c r="CR43" s="137"/>
      <c r="CS43" s="137"/>
      <c r="CT43" s="137"/>
      <c r="CU43" s="137"/>
      <c r="CV43" s="142"/>
      <c r="CW43" s="284"/>
      <c r="CX43" s="292"/>
      <c r="CY43" s="284"/>
      <c r="CZ43" s="136"/>
      <c r="DA43" s="136"/>
      <c r="DB43" s="136"/>
      <c r="DC43" s="136"/>
      <c r="DD43" s="136"/>
      <c r="DE43" s="136"/>
      <c r="DF43" s="136"/>
      <c r="DG43" s="136"/>
      <c r="DH43" s="136"/>
      <c r="DI43" s="136"/>
      <c r="DJ43" s="136"/>
      <c r="DK43" s="136"/>
      <c r="DL43" s="136"/>
      <c r="DM43" s="136"/>
      <c r="DN43" s="136"/>
      <c r="DO43" s="136"/>
      <c r="DP43" s="136"/>
      <c r="DQ43" s="136"/>
      <c r="DR43" s="136"/>
      <c r="DS43" s="136"/>
      <c r="DT43" s="136"/>
      <c r="DU43" s="136"/>
      <c r="DV43" s="136"/>
      <c r="DW43" s="136"/>
      <c r="DX43" s="136"/>
      <c r="DY43" s="136"/>
      <c r="DZ43" s="136"/>
      <c r="EA43" s="136"/>
      <c r="EB43" s="136"/>
      <c r="EC43" s="136"/>
      <c r="ED43" s="136"/>
      <c r="EE43" s="136"/>
      <c r="EF43" s="136"/>
      <c r="EG43" s="136"/>
      <c r="EH43" s="136"/>
      <c r="EI43" s="136"/>
      <c r="EJ43" s="136"/>
      <c r="EK43" s="136"/>
      <c r="EL43" s="136"/>
      <c r="EM43" s="136"/>
      <c r="EN43" s="136"/>
      <c r="EO43" s="136"/>
      <c r="EP43" s="136"/>
      <c r="EQ43" s="136"/>
      <c r="ER43" s="136"/>
      <c r="ES43" s="136"/>
      <c r="ET43" s="136"/>
      <c r="EU43" s="136"/>
      <c r="EV43" s="136"/>
      <c r="EW43" s="136"/>
      <c r="EX43" s="136"/>
      <c r="EY43" s="136"/>
      <c r="EZ43" s="136"/>
      <c r="FA43" s="136"/>
      <c r="FB43" s="136"/>
      <c r="FC43" s="136"/>
      <c r="FD43" s="136"/>
      <c r="FE43" s="136"/>
      <c r="FF43" s="136"/>
      <c r="FG43" s="136"/>
      <c r="FH43" s="136"/>
    </row>
    <row r="44" outlineLevel="1">
      <c r="B44" s="280" t="s">
        <v>519</v>
      </c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8"/>
      <c r="AX44" s="108"/>
      <c r="AY44" s="108"/>
      <c r="AZ44" s="108"/>
      <c r="BA44" s="108"/>
      <c r="BB44" s="108"/>
      <c r="BC44" s="108"/>
      <c r="BD44" s="108"/>
      <c r="BE44" s="108"/>
      <c r="BF44" s="108"/>
      <c r="BG44" s="108"/>
      <c r="BH44" s="108"/>
      <c r="BI44" s="108"/>
      <c r="BJ44" s="108"/>
      <c r="BK44" s="108">
        <f t="shared" ref="BK44:BR44" si="84">SUM(BK45:BK46)</f>
        <v>19663.72</v>
      </c>
      <c r="BL44" s="108">
        <f t="shared" si="84"/>
        <v>32386.54</v>
      </c>
      <c r="BM44" s="108">
        <f t="shared" si="84"/>
        <v>13031.72</v>
      </c>
      <c r="BN44" s="108">
        <f t="shared" si="84"/>
        <v>7012.64</v>
      </c>
      <c r="BO44" s="108">
        <f t="shared" si="84"/>
        <v>35723.43</v>
      </c>
      <c r="BP44" s="108">
        <f t="shared" si="84"/>
        <v>14203.39</v>
      </c>
      <c r="BQ44" s="108">
        <f t="shared" si="84"/>
        <v>17192.73</v>
      </c>
      <c r="BR44" s="108">
        <f t="shared" si="84"/>
        <v>103359.7</v>
      </c>
      <c r="BS44" s="108"/>
      <c r="BT44" s="108"/>
      <c r="BU44" s="108"/>
      <c r="BV44" s="108"/>
      <c r="BW44" s="108"/>
      <c r="BX44" s="282"/>
      <c r="BY44" s="108"/>
      <c r="BZ44" s="108"/>
      <c r="CA44" s="108"/>
      <c r="CB44" s="108"/>
      <c r="CC44" s="108"/>
      <c r="CD44" s="282"/>
      <c r="CE44" s="108"/>
      <c r="CF44" s="108"/>
      <c r="CG44" s="108"/>
      <c r="CH44" s="108"/>
      <c r="CI44" s="108"/>
      <c r="CJ44" s="282"/>
      <c r="CK44" s="108"/>
      <c r="CL44" s="108"/>
      <c r="CM44" s="108"/>
      <c r="CN44" s="108"/>
      <c r="CO44" s="108"/>
      <c r="CP44" s="282"/>
      <c r="CQ44" s="284"/>
      <c r="CR44" s="137"/>
      <c r="CS44" s="137"/>
      <c r="CT44" s="137"/>
      <c r="CU44" s="137"/>
      <c r="CV44" s="142"/>
      <c r="CW44" s="284"/>
      <c r="CX44" s="285"/>
      <c r="CY44" s="44"/>
      <c r="CZ44" s="286"/>
      <c r="DA44" s="286"/>
      <c r="DB44" s="286"/>
      <c r="DC44" s="286"/>
      <c r="DD44" s="286"/>
      <c r="DE44" s="286"/>
      <c r="DF44" s="286"/>
      <c r="DG44" s="286"/>
      <c r="DH44" s="286"/>
      <c r="DI44" s="286"/>
      <c r="DJ44" s="286"/>
      <c r="DK44" s="286"/>
      <c r="DL44" s="286"/>
      <c r="DM44" s="286"/>
      <c r="DN44" s="286"/>
      <c r="DO44" s="286"/>
      <c r="DP44" s="286"/>
      <c r="DQ44" s="286"/>
      <c r="DR44" s="286"/>
      <c r="DS44" s="286"/>
      <c r="DT44" s="286"/>
      <c r="DU44" s="286"/>
      <c r="DV44" s="286"/>
      <c r="DW44" s="286"/>
      <c r="DX44" s="286"/>
      <c r="DY44" s="286"/>
      <c r="DZ44" s="286"/>
      <c r="EA44" s="286"/>
      <c r="EB44" s="286"/>
      <c r="EC44" s="286"/>
      <c r="ED44" s="286"/>
      <c r="EE44" s="286"/>
      <c r="EF44" s="286"/>
      <c r="EG44" s="286"/>
      <c r="EH44" s="286"/>
      <c r="EI44" s="286"/>
      <c r="EJ44" s="286"/>
      <c r="EK44" s="286"/>
      <c r="EL44" s="286"/>
      <c r="EM44" s="286"/>
      <c r="EN44" s="286"/>
      <c r="EO44" s="286"/>
      <c r="EP44" s="286"/>
      <c r="EQ44" s="286"/>
      <c r="ER44" s="286"/>
      <c r="ES44" s="286"/>
      <c r="ET44" s="286"/>
      <c r="EU44" s="286"/>
      <c r="EV44" s="286"/>
      <c r="EW44" s="286"/>
      <c r="EX44" s="286"/>
      <c r="EY44" s="286"/>
      <c r="EZ44" s="286"/>
      <c r="FA44" s="286"/>
      <c r="FB44" s="286"/>
      <c r="FC44" s="286"/>
      <c r="FD44" s="286"/>
      <c r="FE44" s="286"/>
      <c r="FF44" s="286"/>
      <c r="FG44" s="286"/>
      <c r="FH44" s="286"/>
    </row>
    <row r="45" outlineLevel="1">
      <c r="B45" s="135" t="s">
        <v>520</v>
      </c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337"/>
      <c r="AY45" s="353"/>
      <c r="AZ45" s="353"/>
      <c r="BA45" s="353"/>
      <c r="BB45" s="353"/>
      <c r="BC45" s="353"/>
      <c r="BD45" s="353"/>
      <c r="BE45" s="353"/>
      <c r="BF45" s="353"/>
      <c r="BG45" s="353"/>
      <c r="BH45" s="353"/>
      <c r="BI45" s="353"/>
      <c r="BJ45" s="353"/>
      <c r="BK45" s="354">
        <v>10443.23</v>
      </c>
      <c r="BL45" s="354">
        <v>7763.67</v>
      </c>
      <c r="BM45" s="354">
        <v>3905.16</v>
      </c>
      <c r="BN45" s="354">
        <v>2158.4</v>
      </c>
      <c r="BO45" s="354">
        <v>16326.19</v>
      </c>
      <c r="BP45" s="354">
        <v>6450.11</v>
      </c>
      <c r="BQ45" s="354">
        <v>4621.4</v>
      </c>
      <c r="BR45" s="354">
        <v>26894.86</v>
      </c>
      <c r="BS45" s="337"/>
      <c r="BT45" s="337"/>
      <c r="BU45" s="337"/>
      <c r="BV45" s="337"/>
      <c r="BW45" s="33"/>
      <c r="BX45" s="292"/>
      <c r="BY45" s="49"/>
      <c r="BZ45" s="136"/>
      <c r="CA45" s="136"/>
      <c r="CB45" s="136"/>
      <c r="CC45" s="136"/>
      <c r="CD45" s="292"/>
      <c r="CE45" s="49"/>
      <c r="CF45" s="136"/>
      <c r="CG45" s="136"/>
      <c r="CH45" s="136"/>
      <c r="CI45" s="136"/>
      <c r="CJ45" s="292"/>
      <c r="CK45" s="136"/>
      <c r="CL45" s="136"/>
      <c r="CM45" s="136"/>
      <c r="CN45" s="136"/>
      <c r="CO45" s="136"/>
      <c r="CP45" s="292"/>
      <c r="CQ45" s="136"/>
      <c r="CR45" s="137"/>
      <c r="CS45" s="137"/>
      <c r="CT45" s="137"/>
      <c r="CU45" s="137"/>
      <c r="CV45" s="142"/>
      <c r="CW45" s="136"/>
      <c r="CX45" s="292"/>
      <c r="CY45" s="136"/>
      <c r="CZ45" s="136"/>
      <c r="DA45" s="136"/>
      <c r="DB45" s="136"/>
      <c r="DC45" s="136"/>
      <c r="DD45" s="136"/>
      <c r="DE45" s="136"/>
      <c r="DF45" s="136"/>
      <c r="DG45" s="136"/>
      <c r="DH45" s="136"/>
      <c r="DI45" s="136"/>
      <c r="DJ45" s="136"/>
      <c r="DK45" s="136"/>
      <c r="DL45" s="136"/>
      <c r="DM45" s="136"/>
      <c r="DN45" s="136"/>
      <c r="DO45" s="136"/>
      <c r="DP45" s="136"/>
      <c r="DQ45" s="136"/>
      <c r="DR45" s="136"/>
      <c r="DS45" s="136"/>
      <c r="DT45" s="136"/>
      <c r="DU45" s="136"/>
      <c r="DV45" s="136"/>
      <c r="DW45" s="136"/>
      <c r="DX45" s="136"/>
      <c r="DY45" s="136"/>
      <c r="DZ45" s="136"/>
      <c r="EA45" s="136"/>
      <c r="EB45" s="136"/>
      <c r="EC45" s="136"/>
      <c r="ED45" s="136"/>
      <c r="EE45" s="136"/>
      <c r="EF45" s="136"/>
      <c r="EG45" s="136"/>
      <c r="EH45" s="136"/>
      <c r="EI45" s="136"/>
      <c r="EJ45" s="136"/>
      <c r="EK45" s="136"/>
      <c r="EL45" s="136"/>
      <c r="EM45" s="136"/>
      <c r="EN45" s="136"/>
      <c r="EO45" s="136"/>
      <c r="EP45" s="136"/>
      <c r="EQ45" s="136"/>
      <c r="ER45" s="136"/>
      <c r="ES45" s="136"/>
      <c r="ET45" s="136"/>
      <c r="EU45" s="136"/>
      <c r="EV45" s="136"/>
      <c r="EW45" s="136"/>
      <c r="EX45" s="136"/>
      <c r="EY45" s="136"/>
      <c r="EZ45" s="136"/>
      <c r="FA45" s="136"/>
      <c r="FB45" s="136"/>
      <c r="FC45" s="136"/>
      <c r="FD45" s="136"/>
      <c r="FE45" s="136"/>
      <c r="FF45" s="136"/>
      <c r="FG45" s="136"/>
      <c r="FH45" s="136"/>
    </row>
    <row r="46" outlineLevel="1">
      <c r="B46" s="135" t="s">
        <v>521</v>
      </c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337"/>
      <c r="AY46" s="353"/>
      <c r="AZ46" s="353"/>
      <c r="BA46" s="353"/>
      <c r="BB46" s="353"/>
      <c r="BC46" s="353"/>
      <c r="BD46" s="353"/>
      <c r="BE46" s="353"/>
      <c r="BF46" s="353"/>
      <c r="BG46" s="353"/>
      <c r="BH46" s="353"/>
      <c r="BI46" s="353"/>
      <c r="BJ46" s="353"/>
      <c r="BK46" s="354">
        <v>9220.49</v>
      </c>
      <c r="BL46" s="354">
        <v>24622.87</v>
      </c>
      <c r="BM46" s="354">
        <v>9126.56</v>
      </c>
      <c r="BN46" s="354">
        <v>4854.24</v>
      </c>
      <c r="BO46" s="354">
        <v>19397.24</v>
      </c>
      <c r="BP46" s="354">
        <v>7753.28</v>
      </c>
      <c r="BQ46" s="354">
        <v>12571.33</v>
      </c>
      <c r="BR46" s="354">
        <v>76464.84</v>
      </c>
      <c r="BS46" s="337"/>
      <c r="BT46" s="337"/>
      <c r="BU46" s="337"/>
      <c r="BV46" s="337"/>
      <c r="BW46" s="33"/>
      <c r="BX46" s="292"/>
      <c r="BY46" s="49"/>
      <c r="BZ46" s="136"/>
      <c r="CA46" s="136"/>
      <c r="CB46" s="136"/>
      <c r="CC46" s="136"/>
      <c r="CD46" s="292"/>
      <c r="CE46" s="49"/>
      <c r="CF46" s="136"/>
      <c r="CG46" s="136"/>
      <c r="CH46" s="136"/>
      <c r="CI46" s="136"/>
      <c r="CJ46" s="292"/>
      <c r="CK46" s="136"/>
      <c r="CL46" s="136"/>
      <c r="CM46" s="136"/>
      <c r="CN46" s="136"/>
      <c r="CO46" s="136"/>
      <c r="CP46" s="292"/>
      <c r="CQ46" s="136"/>
      <c r="CR46" s="137"/>
      <c r="CS46" s="137"/>
      <c r="CT46" s="137"/>
      <c r="CU46" s="137"/>
      <c r="CV46" s="142"/>
      <c r="CW46" s="136"/>
      <c r="CX46" s="292"/>
      <c r="CY46" s="136"/>
      <c r="CZ46" s="136"/>
      <c r="DA46" s="136"/>
      <c r="DB46" s="136"/>
      <c r="DC46" s="136"/>
      <c r="DD46" s="136"/>
      <c r="DE46" s="136"/>
      <c r="DF46" s="136"/>
      <c r="DG46" s="136"/>
      <c r="DH46" s="136"/>
      <c r="DI46" s="136"/>
      <c r="DJ46" s="136"/>
      <c r="DK46" s="136"/>
      <c r="DL46" s="136"/>
      <c r="DM46" s="136"/>
      <c r="DN46" s="136"/>
      <c r="DO46" s="136"/>
      <c r="DP46" s="136"/>
      <c r="DQ46" s="136"/>
      <c r="DR46" s="136"/>
      <c r="DS46" s="136"/>
      <c r="DT46" s="136"/>
      <c r="DU46" s="136"/>
      <c r="DV46" s="136"/>
      <c r="DW46" s="136"/>
      <c r="DX46" s="136"/>
      <c r="DY46" s="136"/>
      <c r="DZ46" s="136"/>
      <c r="EA46" s="136"/>
      <c r="EB46" s="136"/>
      <c r="EC46" s="136"/>
      <c r="ED46" s="136"/>
      <c r="EE46" s="136"/>
      <c r="EF46" s="136"/>
      <c r="EG46" s="136"/>
      <c r="EH46" s="136"/>
      <c r="EI46" s="136"/>
      <c r="EJ46" s="136"/>
      <c r="EK46" s="136"/>
      <c r="EL46" s="136"/>
      <c r="EM46" s="136"/>
      <c r="EN46" s="136"/>
      <c r="EO46" s="136"/>
      <c r="EP46" s="136"/>
      <c r="EQ46" s="136"/>
      <c r="ER46" s="136"/>
      <c r="ES46" s="136"/>
      <c r="ET46" s="136"/>
      <c r="EU46" s="136"/>
      <c r="EV46" s="136"/>
      <c r="EW46" s="136"/>
      <c r="EX46" s="136"/>
      <c r="EY46" s="136"/>
      <c r="EZ46" s="136"/>
      <c r="FA46" s="136"/>
      <c r="FB46" s="136"/>
      <c r="FC46" s="136"/>
      <c r="FD46" s="136"/>
      <c r="FE46" s="136"/>
      <c r="FF46" s="136"/>
      <c r="FG46" s="136"/>
      <c r="FH46" s="136"/>
    </row>
    <row r="47" outlineLevel="1">
      <c r="B47" s="280" t="s">
        <v>522</v>
      </c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108"/>
      <c r="AH47" s="108"/>
      <c r="AI47" s="108"/>
      <c r="AJ47" s="108"/>
      <c r="AK47" s="108"/>
      <c r="AL47" s="108"/>
      <c r="AM47" s="108"/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108"/>
      <c r="AZ47" s="108"/>
      <c r="BA47" s="108"/>
      <c r="BB47" s="108"/>
      <c r="BC47" s="108"/>
      <c r="BD47" s="108"/>
      <c r="BE47" s="108"/>
      <c r="BF47" s="108"/>
      <c r="BG47" s="108"/>
      <c r="BH47" s="108"/>
      <c r="BI47" s="108"/>
      <c r="BJ47" s="108"/>
      <c r="BK47" s="352">
        <v>0.0</v>
      </c>
      <c r="BL47" s="352">
        <v>0.0</v>
      </c>
      <c r="BM47" s="352">
        <v>0.0</v>
      </c>
      <c r="BN47" s="352">
        <v>0.0</v>
      </c>
      <c r="BO47" s="352">
        <v>0.0</v>
      </c>
      <c r="BP47" s="352">
        <v>0.0</v>
      </c>
      <c r="BQ47" s="352">
        <v>0.0</v>
      </c>
      <c r="BR47" s="352">
        <v>17815.43</v>
      </c>
      <c r="BS47" s="108"/>
      <c r="BT47" s="108"/>
      <c r="BU47" s="108"/>
      <c r="BV47" s="108"/>
      <c r="BW47" s="108"/>
      <c r="BX47" s="282"/>
      <c r="BY47" s="108"/>
      <c r="BZ47" s="108"/>
      <c r="CA47" s="108"/>
      <c r="CB47" s="108"/>
      <c r="CC47" s="108"/>
      <c r="CD47" s="282"/>
      <c r="CE47" s="108"/>
      <c r="CF47" s="108"/>
      <c r="CG47" s="108"/>
      <c r="CH47" s="108"/>
      <c r="CI47" s="108"/>
      <c r="CJ47" s="282"/>
      <c r="CK47" s="108"/>
      <c r="CL47" s="108"/>
      <c r="CM47" s="108"/>
      <c r="CN47" s="108"/>
      <c r="CO47" s="108"/>
      <c r="CP47" s="282"/>
      <c r="CQ47" s="284"/>
      <c r="CR47" s="137"/>
      <c r="CS47" s="137"/>
      <c r="CT47" s="137"/>
      <c r="CU47" s="137"/>
      <c r="CV47" s="142"/>
      <c r="CW47" s="284"/>
      <c r="CX47" s="285"/>
      <c r="CY47" s="44"/>
      <c r="CZ47" s="286"/>
      <c r="DA47" s="286"/>
      <c r="DB47" s="286"/>
      <c r="DC47" s="286"/>
      <c r="DD47" s="286"/>
      <c r="DE47" s="286"/>
      <c r="DF47" s="286"/>
      <c r="DG47" s="286"/>
      <c r="DH47" s="286"/>
      <c r="DI47" s="286"/>
      <c r="DJ47" s="286"/>
      <c r="DK47" s="286"/>
      <c r="DL47" s="286"/>
      <c r="DM47" s="286"/>
      <c r="DN47" s="286"/>
      <c r="DO47" s="286"/>
      <c r="DP47" s="286"/>
      <c r="DQ47" s="286"/>
      <c r="DR47" s="286"/>
      <c r="DS47" s="286"/>
      <c r="DT47" s="286"/>
      <c r="DU47" s="286"/>
      <c r="DV47" s="286"/>
      <c r="DW47" s="286"/>
      <c r="DX47" s="286"/>
      <c r="DY47" s="286"/>
      <c r="DZ47" s="286"/>
      <c r="EA47" s="286"/>
      <c r="EB47" s="286"/>
      <c r="EC47" s="286"/>
      <c r="ED47" s="286"/>
      <c r="EE47" s="286"/>
      <c r="EF47" s="286"/>
      <c r="EG47" s="286"/>
      <c r="EH47" s="286"/>
      <c r="EI47" s="286"/>
      <c r="EJ47" s="286"/>
      <c r="EK47" s="286"/>
      <c r="EL47" s="286"/>
      <c r="EM47" s="286"/>
      <c r="EN47" s="286"/>
      <c r="EO47" s="286"/>
      <c r="EP47" s="286"/>
      <c r="EQ47" s="286"/>
      <c r="ER47" s="286"/>
      <c r="ES47" s="286"/>
      <c r="ET47" s="286"/>
      <c r="EU47" s="286"/>
      <c r="EV47" s="286"/>
      <c r="EW47" s="286"/>
      <c r="EX47" s="286"/>
      <c r="EY47" s="286"/>
      <c r="EZ47" s="286"/>
      <c r="FA47" s="286"/>
      <c r="FB47" s="286"/>
      <c r="FC47" s="286"/>
      <c r="FD47" s="286"/>
      <c r="FE47" s="286"/>
      <c r="FF47" s="286"/>
      <c r="FG47" s="286"/>
      <c r="FH47" s="286"/>
    </row>
    <row r="48">
      <c r="B48" s="280" t="s">
        <v>523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270"/>
      <c r="AN48" s="270"/>
      <c r="AO48" s="270"/>
      <c r="AP48" s="270"/>
      <c r="AQ48" s="270"/>
      <c r="AR48" s="270"/>
      <c r="AS48" s="270"/>
      <c r="AT48" s="270"/>
      <c r="AU48" s="270"/>
      <c r="AV48" s="270"/>
      <c r="AW48" s="270"/>
      <c r="AX48" s="270"/>
      <c r="AY48" s="270"/>
      <c r="AZ48" s="270"/>
      <c r="BA48" s="270"/>
      <c r="BB48" s="270"/>
      <c r="BC48" s="270"/>
      <c r="BD48" s="270"/>
      <c r="BE48" s="270"/>
      <c r="BF48" s="280"/>
      <c r="BG48" s="280"/>
      <c r="BH48" s="280"/>
      <c r="BI48" s="280"/>
      <c r="BJ48" s="280"/>
      <c r="BK48" s="352">
        <v>27840.0</v>
      </c>
      <c r="BL48" s="352">
        <v>48080.0</v>
      </c>
      <c r="BM48" s="352">
        <v>29600.0</v>
      </c>
      <c r="BN48" s="352">
        <v>880.0</v>
      </c>
      <c r="BO48" s="352">
        <v>19360.0</v>
      </c>
      <c r="BP48" s="352">
        <v>0.0</v>
      </c>
      <c r="BQ48" s="352">
        <v>0.0</v>
      </c>
      <c r="BR48" s="352">
        <v>0.0</v>
      </c>
      <c r="BS48" s="280"/>
      <c r="BT48" s="280"/>
      <c r="BU48" s="280"/>
      <c r="BV48" s="280"/>
      <c r="BW48" s="280"/>
      <c r="BX48" s="282"/>
      <c r="BY48" s="108"/>
      <c r="BZ48" s="108"/>
      <c r="CA48" s="108"/>
      <c r="CB48" s="108"/>
      <c r="CC48" s="108"/>
      <c r="CD48" s="282"/>
      <c r="CE48" s="108"/>
      <c r="CF48" s="108"/>
      <c r="CG48" s="108"/>
      <c r="CH48" s="108"/>
      <c r="CI48" s="108"/>
      <c r="CJ48" s="282"/>
      <c r="CK48" s="108"/>
      <c r="CL48" s="108"/>
      <c r="CM48" s="108"/>
      <c r="CN48" s="108"/>
      <c r="CO48" s="108"/>
      <c r="CP48" s="282"/>
      <c r="CQ48" s="284"/>
      <c r="CR48" s="137"/>
      <c r="CS48" s="137"/>
      <c r="CT48" s="137"/>
      <c r="CU48" s="137"/>
      <c r="CV48" s="282"/>
      <c r="CW48" s="49"/>
      <c r="CX48" s="282"/>
      <c r="CY48" s="136"/>
      <c r="CZ48" s="64"/>
      <c r="DA48" s="64"/>
      <c r="DB48" s="64"/>
      <c r="DC48" s="64"/>
      <c r="DD48" s="64"/>
      <c r="DE48" s="64"/>
      <c r="DF48" s="64"/>
      <c r="DG48" s="64"/>
      <c r="DH48" s="64"/>
      <c r="DI48" s="64"/>
      <c r="DJ48" s="64"/>
      <c r="DK48" s="64"/>
      <c r="DL48" s="64"/>
      <c r="DM48" s="64"/>
      <c r="DN48" s="64"/>
      <c r="DO48" s="64"/>
      <c r="DP48" s="64"/>
      <c r="DQ48" s="64"/>
      <c r="DR48" s="64"/>
      <c r="DS48" s="64"/>
      <c r="DT48" s="64"/>
      <c r="DU48" s="64"/>
      <c r="DV48" s="64"/>
      <c r="DW48" s="64"/>
      <c r="DX48" s="64"/>
      <c r="DY48" s="64"/>
      <c r="DZ48" s="64"/>
      <c r="EA48" s="64"/>
      <c r="EB48" s="64"/>
      <c r="EC48" s="64"/>
      <c r="ED48" s="64"/>
      <c r="EE48" s="64"/>
      <c r="EF48" s="64"/>
      <c r="EG48" s="64"/>
      <c r="EH48" s="64"/>
      <c r="EI48" s="64"/>
      <c r="EJ48" s="64"/>
      <c r="EK48" s="64"/>
      <c r="EL48" s="64"/>
      <c r="EM48" s="64"/>
      <c r="EN48" s="64"/>
      <c r="EO48" s="64"/>
      <c r="EP48" s="64"/>
      <c r="EQ48" s="64"/>
      <c r="ER48" s="64"/>
      <c r="ES48" s="64"/>
      <c r="ET48" s="64"/>
      <c r="EU48" s="64"/>
      <c r="EV48" s="64"/>
      <c r="EW48" s="64"/>
      <c r="EX48" s="64"/>
      <c r="EY48" s="64"/>
      <c r="EZ48" s="64"/>
      <c r="FA48" s="64"/>
      <c r="FB48" s="64"/>
      <c r="FC48" s="64"/>
      <c r="FD48" s="64"/>
      <c r="FE48" s="64"/>
      <c r="FF48" s="64"/>
      <c r="FG48" s="64"/>
      <c r="FH48" s="64"/>
    </row>
    <row r="49">
      <c r="B49" s="63" t="s">
        <v>524</v>
      </c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270"/>
      <c r="AN49" s="270"/>
      <c r="AO49" s="270"/>
      <c r="AP49" s="270"/>
      <c r="AQ49" s="270"/>
      <c r="AR49" s="270"/>
      <c r="AS49" s="270"/>
      <c r="AT49" s="270"/>
      <c r="AU49" s="270"/>
      <c r="AV49" s="270"/>
      <c r="AW49" s="270"/>
      <c r="AX49" s="270"/>
      <c r="AY49" s="270"/>
      <c r="AZ49" s="270"/>
      <c r="BA49" s="270"/>
      <c r="BB49" s="270"/>
      <c r="BC49" s="270"/>
      <c r="BD49" s="270"/>
      <c r="BE49" s="270"/>
      <c r="BF49" s="270"/>
      <c r="BG49" s="270"/>
      <c r="BH49" s="270"/>
      <c r="BI49" s="270"/>
      <c r="BJ49" s="270"/>
      <c r="BK49" s="270">
        <f t="shared" ref="BK49:BR49" si="85">BK18-BK33</f>
        <v>1458169.66</v>
      </c>
      <c r="BL49" s="270">
        <f t="shared" si="85"/>
        <v>1369121.1</v>
      </c>
      <c r="BM49" s="270">
        <f t="shared" si="85"/>
        <v>1371000.79</v>
      </c>
      <c r="BN49" s="270">
        <f t="shared" si="85"/>
        <v>1646670.37</v>
      </c>
      <c r="BO49" s="270">
        <f t="shared" si="85"/>
        <v>1448417.79</v>
      </c>
      <c r="BP49" s="270">
        <f t="shared" si="85"/>
        <v>1506272.6</v>
      </c>
      <c r="BQ49" s="270">
        <f t="shared" si="85"/>
        <v>1823148.51</v>
      </c>
      <c r="BR49" s="270">
        <f t="shared" si="85"/>
        <v>1574998.93</v>
      </c>
      <c r="BS49" s="270"/>
      <c r="BT49" s="270"/>
      <c r="BU49" s="270"/>
      <c r="BV49" s="270"/>
      <c r="BW49" s="270"/>
      <c r="BX49" s="121"/>
      <c r="BY49" s="270"/>
      <c r="BZ49" s="270"/>
      <c r="CA49" s="270"/>
      <c r="CB49" s="270"/>
      <c r="CC49" s="270"/>
      <c r="CD49" s="121"/>
      <c r="CE49" s="270"/>
      <c r="CF49" s="270"/>
      <c r="CG49" s="270"/>
      <c r="CH49" s="270"/>
      <c r="CI49" s="270"/>
      <c r="CJ49" s="121"/>
      <c r="CK49" s="270"/>
      <c r="CL49" s="270"/>
      <c r="CM49" s="270"/>
      <c r="CN49" s="270"/>
      <c r="CO49" s="270"/>
      <c r="CP49" s="121"/>
      <c r="CQ49" s="270"/>
      <c r="CR49" s="270"/>
      <c r="CS49" s="270"/>
      <c r="CT49" s="270"/>
      <c r="CU49" s="270"/>
      <c r="CV49" s="121"/>
      <c r="CW49" s="49"/>
      <c r="CX49" s="121"/>
      <c r="CY49" s="136"/>
      <c r="CZ49" s="64"/>
      <c r="DA49" s="64"/>
      <c r="DB49" s="64"/>
      <c r="DC49" s="64"/>
      <c r="DD49" s="64"/>
      <c r="DE49" s="64"/>
      <c r="DF49" s="64"/>
      <c r="DG49" s="64"/>
      <c r="DH49" s="64"/>
      <c r="DI49" s="64"/>
      <c r="DJ49" s="64"/>
      <c r="DK49" s="64"/>
      <c r="DL49" s="64"/>
      <c r="DM49" s="64"/>
      <c r="DN49" s="64"/>
      <c r="DO49" s="64"/>
      <c r="DP49" s="64"/>
      <c r="DQ49" s="64"/>
      <c r="DR49" s="64"/>
      <c r="DS49" s="64"/>
      <c r="DT49" s="64"/>
      <c r="DU49" s="64"/>
      <c r="DV49" s="64"/>
      <c r="DW49" s="64"/>
      <c r="DX49" s="64"/>
      <c r="DY49" s="64"/>
      <c r="DZ49" s="64"/>
      <c r="EA49" s="64"/>
      <c r="EB49" s="64"/>
      <c r="EC49" s="64"/>
      <c r="ED49" s="64"/>
      <c r="EE49" s="64"/>
      <c r="EF49" s="64"/>
      <c r="EG49" s="64"/>
      <c r="EH49" s="64"/>
      <c r="EI49" s="64"/>
      <c r="EJ49" s="64"/>
      <c r="EK49" s="64"/>
      <c r="EL49" s="64"/>
      <c r="EM49" s="64"/>
      <c r="EN49" s="64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</row>
    <row r="50" outlineLevel="1">
      <c r="B50" s="355" t="s">
        <v>506</v>
      </c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8"/>
      <c r="AX50" s="108"/>
      <c r="AY50" s="108"/>
      <c r="AZ50" s="108"/>
      <c r="BA50" s="108"/>
      <c r="BB50" s="108"/>
      <c r="BC50" s="108"/>
      <c r="BD50" s="108"/>
      <c r="BE50" s="108"/>
      <c r="BF50" s="108"/>
      <c r="BG50" s="108"/>
      <c r="BH50" s="108"/>
      <c r="BI50" s="108"/>
      <c r="BJ50" s="108"/>
      <c r="BK50" s="108">
        <f t="shared" ref="BK50:BR50" si="86">BK19-BK35</f>
        <v>584537.69</v>
      </c>
      <c r="BL50" s="108">
        <f t="shared" si="86"/>
        <v>498893.73</v>
      </c>
      <c r="BM50" s="108">
        <f t="shared" si="86"/>
        <v>350566.58</v>
      </c>
      <c r="BN50" s="108">
        <f t="shared" si="86"/>
        <v>497963.57</v>
      </c>
      <c r="BO50" s="108">
        <f t="shared" si="86"/>
        <v>382661.85</v>
      </c>
      <c r="BP50" s="108">
        <f t="shared" si="86"/>
        <v>378132.73</v>
      </c>
      <c r="BQ50" s="108">
        <f t="shared" si="86"/>
        <v>353522.55</v>
      </c>
      <c r="BR50" s="108">
        <f t="shared" si="86"/>
        <v>389801.91</v>
      </c>
      <c r="BS50" s="108"/>
      <c r="BT50" s="108"/>
      <c r="BU50" s="108"/>
      <c r="BV50" s="108"/>
      <c r="BW50" s="108"/>
      <c r="BX50" s="282"/>
      <c r="BY50" s="108"/>
      <c r="BZ50" s="108"/>
      <c r="CA50" s="108"/>
      <c r="CB50" s="108"/>
      <c r="CC50" s="108"/>
      <c r="CD50" s="282"/>
      <c r="CE50" s="108"/>
      <c r="CF50" s="108"/>
      <c r="CG50" s="108"/>
      <c r="CH50" s="108"/>
      <c r="CI50" s="108"/>
      <c r="CJ50" s="282"/>
      <c r="CK50" s="108"/>
      <c r="CL50" s="108"/>
      <c r="CM50" s="108"/>
      <c r="CN50" s="108"/>
      <c r="CO50" s="108"/>
      <c r="CP50" s="282"/>
      <c r="CQ50" s="108"/>
      <c r="CR50" s="108"/>
      <c r="CS50" s="108"/>
      <c r="CT50" s="108"/>
      <c r="CU50" s="108"/>
      <c r="CV50" s="282"/>
      <c r="CW50" s="49"/>
      <c r="CX50" s="285"/>
      <c r="CY50" s="108"/>
      <c r="CZ50" s="108"/>
      <c r="DA50" s="108"/>
      <c r="DB50" s="108"/>
      <c r="DC50" s="108"/>
      <c r="DD50" s="108"/>
      <c r="DE50" s="108"/>
      <c r="DF50" s="108"/>
      <c r="DG50" s="108"/>
      <c r="DH50" s="108"/>
      <c r="DI50" s="108"/>
      <c r="DJ50" s="108"/>
      <c r="DK50" s="108"/>
      <c r="DL50" s="108"/>
      <c r="DM50" s="108"/>
      <c r="DN50" s="108"/>
      <c r="DO50" s="108"/>
      <c r="DP50" s="108"/>
      <c r="DQ50" s="108"/>
      <c r="DR50" s="108"/>
      <c r="DS50" s="108"/>
      <c r="DT50" s="108"/>
      <c r="DU50" s="108"/>
      <c r="DV50" s="108"/>
      <c r="DW50" s="108"/>
      <c r="DX50" s="108"/>
      <c r="DY50" s="108"/>
      <c r="DZ50" s="108"/>
      <c r="EA50" s="108"/>
      <c r="EB50" s="108"/>
      <c r="EC50" s="108"/>
      <c r="ED50" s="108"/>
      <c r="EE50" s="108"/>
      <c r="EF50" s="108"/>
      <c r="EG50" s="108"/>
      <c r="EH50" s="108"/>
      <c r="EI50" s="108"/>
      <c r="EJ50" s="108"/>
      <c r="EK50" s="108"/>
      <c r="EL50" s="108"/>
      <c r="EM50" s="108"/>
      <c r="EN50" s="108"/>
      <c r="EO50" s="108"/>
      <c r="EP50" s="108"/>
      <c r="EQ50" s="108"/>
      <c r="ER50" s="108"/>
      <c r="ES50" s="108"/>
      <c r="ET50" s="108"/>
      <c r="EU50" s="108"/>
      <c r="EV50" s="108"/>
      <c r="EW50" s="108"/>
      <c r="EX50" s="108"/>
      <c r="EY50" s="108"/>
      <c r="EZ50" s="108"/>
      <c r="FA50" s="108"/>
      <c r="FB50" s="108"/>
      <c r="FC50" s="108"/>
      <c r="FD50" s="108"/>
      <c r="FE50" s="108"/>
      <c r="FF50" s="108"/>
      <c r="FG50" s="108"/>
      <c r="FH50" s="108"/>
    </row>
    <row r="51" outlineLevel="1">
      <c r="B51" s="135" t="s">
        <v>512</v>
      </c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337"/>
      <c r="AY51" s="353"/>
      <c r="AZ51" s="353"/>
      <c r="BA51" s="353"/>
      <c r="BB51" s="353"/>
      <c r="BC51" s="353"/>
      <c r="BD51" s="353"/>
      <c r="BE51" s="353"/>
      <c r="BF51" s="353"/>
      <c r="BG51" s="353"/>
      <c r="BH51" s="353"/>
      <c r="BI51" s="353"/>
      <c r="BJ51" s="353"/>
      <c r="BK51" s="137">
        <f t="shared" ref="BK51:BR51" si="87">BK20-BK36-BK45</f>
        <v>449661.81</v>
      </c>
      <c r="BL51" s="137">
        <f t="shared" si="87"/>
        <v>407068.98</v>
      </c>
      <c r="BM51" s="137">
        <f t="shared" si="87"/>
        <v>259801.59</v>
      </c>
      <c r="BN51" s="137">
        <f t="shared" si="87"/>
        <v>430137.85</v>
      </c>
      <c r="BO51" s="137">
        <f t="shared" si="87"/>
        <v>328096.59</v>
      </c>
      <c r="BP51" s="137">
        <f t="shared" si="87"/>
        <v>324030.01</v>
      </c>
      <c r="BQ51" s="137">
        <f t="shared" si="87"/>
        <v>307712.43</v>
      </c>
      <c r="BR51" s="137">
        <f t="shared" si="87"/>
        <v>358105.57</v>
      </c>
      <c r="BS51" s="337"/>
      <c r="BT51" s="337"/>
      <c r="BU51" s="337"/>
      <c r="BV51" s="337"/>
      <c r="BW51" s="33"/>
      <c r="BX51" s="292"/>
      <c r="BY51" s="136"/>
      <c r="BZ51" s="136"/>
      <c r="CA51" s="136"/>
      <c r="CB51" s="136"/>
      <c r="CC51" s="136"/>
      <c r="CD51" s="292"/>
      <c r="CE51" s="49"/>
      <c r="CF51" s="136"/>
      <c r="CG51" s="136"/>
      <c r="CH51" s="136"/>
      <c r="CI51" s="136"/>
      <c r="CJ51" s="292"/>
      <c r="CK51" s="136"/>
      <c r="CL51" s="136"/>
      <c r="CM51" s="136"/>
      <c r="CN51" s="136"/>
      <c r="CO51" s="136"/>
      <c r="CP51" s="292"/>
      <c r="CQ51" s="136"/>
      <c r="CR51" s="137"/>
      <c r="CS51" s="137"/>
      <c r="CT51" s="137"/>
      <c r="CU51" s="137"/>
      <c r="CV51" s="142"/>
      <c r="CW51" s="136"/>
      <c r="CX51" s="292"/>
      <c r="CY51" s="136"/>
      <c r="CZ51" s="136"/>
      <c r="DA51" s="136"/>
      <c r="DB51" s="136"/>
      <c r="DC51" s="136"/>
      <c r="DD51" s="136"/>
      <c r="DE51" s="136"/>
      <c r="DF51" s="136"/>
      <c r="DG51" s="136"/>
      <c r="DH51" s="136"/>
      <c r="DI51" s="136"/>
      <c r="DJ51" s="136"/>
      <c r="DK51" s="136"/>
      <c r="DL51" s="136"/>
      <c r="DM51" s="136"/>
      <c r="DN51" s="136"/>
      <c r="DO51" s="136"/>
      <c r="DP51" s="136"/>
      <c r="DQ51" s="136"/>
      <c r="DR51" s="136"/>
      <c r="DS51" s="136"/>
      <c r="DT51" s="136"/>
      <c r="DU51" s="136"/>
      <c r="DV51" s="136"/>
      <c r="DW51" s="136"/>
      <c r="DX51" s="136"/>
      <c r="DY51" s="136"/>
      <c r="DZ51" s="136"/>
      <c r="EA51" s="136"/>
      <c r="EB51" s="136"/>
      <c r="EC51" s="136"/>
      <c r="ED51" s="136"/>
      <c r="EE51" s="136"/>
      <c r="EF51" s="136"/>
      <c r="EG51" s="136"/>
      <c r="EH51" s="136"/>
      <c r="EI51" s="136"/>
      <c r="EJ51" s="136"/>
      <c r="EK51" s="136"/>
      <c r="EL51" s="136"/>
      <c r="EM51" s="136"/>
      <c r="EN51" s="136"/>
      <c r="EO51" s="136"/>
      <c r="EP51" s="136"/>
      <c r="EQ51" s="136"/>
      <c r="ER51" s="136"/>
      <c r="ES51" s="136"/>
      <c r="ET51" s="136"/>
      <c r="EU51" s="136"/>
      <c r="EV51" s="136"/>
      <c r="EW51" s="136"/>
      <c r="EX51" s="136"/>
      <c r="EY51" s="136"/>
      <c r="EZ51" s="136"/>
      <c r="FA51" s="136"/>
      <c r="FB51" s="136"/>
      <c r="FC51" s="136"/>
      <c r="FD51" s="136"/>
      <c r="FE51" s="136"/>
      <c r="FF51" s="136"/>
      <c r="FG51" s="136"/>
      <c r="FH51" s="136"/>
    </row>
    <row r="52" outlineLevel="1">
      <c r="B52" s="135" t="s">
        <v>513</v>
      </c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337"/>
      <c r="AY52" s="353"/>
      <c r="AZ52" s="353"/>
      <c r="BA52" s="353"/>
      <c r="BB52" s="353"/>
      <c r="BC52" s="353"/>
      <c r="BD52" s="353"/>
      <c r="BE52" s="353"/>
      <c r="BF52" s="353"/>
      <c r="BG52" s="353"/>
      <c r="BH52" s="353"/>
      <c r="BI52" s="353"/>
      <c r="BJ52" s="353"/>
      <c r="BK52" s="137"/>
      <c r="BL52" s="137"/>
      <c r="BM52" s="137"/>
      <c r="BN52" s="137"/>
      <c r="BO52" s="137"/>
      <c r="BP52" s="137"/>
      <c r="BQ52" s="137"/>
      <c r="BR52" s="137">
        <f>BR21-BR47</f>
        <v>48455.26</v>
      </c>
      <c r="BS52" s="337"/>
      <c r="BT52" s="337"/>
      <c r="BU52" s="337"/>
      <c r="BV52" s="337"/>
      <c r="BW52" s="33"/>
      <c r="BX52" s="292"/>
      <c r="BY52" s="136"/>
      <c r="BZ52" s="136"/>
      <c r="CA52" s="136"/>
      <c r="CB52" s="136"/>
      <c r="CC52" s="136"/>
      <c r="CD52" s="292"/>
      <c r="CE52" s="49"/>
      <c r="CF52" s="136"/>
      <c r="CG52" s="136"/>
      <c r="CH52" s="136"/>
      <c r="CI52" s="136"/>
      <c r="CJ52" s="292"/>
      <c r="CK52" s="136"/>
      <c r="CL52" s="136"/>
      <c r="CM52" s="136"/>
      <c r="CN52" s="136"/>
      <c r="CO52" s="136"/>
      <c r="CP52" s="292"/>
      <c r="CQ52" s="136"/>
      <c r="CR52" s="137"/>
      <c r="CS52" s="137"/>
      <c r="CT52" s="137"/>
      <c r="CU52" s="137"/>
      <c r="CV52" s="142"/>
      <c r="CW52" s="136"/>
      <c r="CX52" s="292"/>
      <c r="CY52" s="136"/>
      <c r="CZ52" s="136"/>
      <c r="DA52" s="136"/>
      <c r="DB52" s="136"/>
      <c r="DC52" s="136"/>
      <c r="DD52" s="136"/>
      <c r="DE52" s="136"/>
      <c r="DF52" s="136"/>
      <c r="DG52" s="136"/>
      <c r="DH52" s="136"/>
      <c r="DI52" s="136"/>
      <c r="DJ52" s="136"/>
      <c r="DK52" s="136"/>
      <c r="DL52" s="136"/>
      <c r="DM52" s="136"/>
      <c r="DN52" s="136"/>
      <c r="DO52" s="136"/>
      <c r="DP52" s="136"/>
      <c r="DQ52" s="136"/>
      <c r="DR52" s="136"/>
      <c r="DS52" s="136"/>
      <c r="DT52" s="136"/>
      <c r="DU52" s="136"/>
      <c r="DV52" s="136"/>
      <c r="DW52" s="136"/>
      <c r="DX52" s="136"/>
      <c r="DY52" s="136"/>
      <c r="DZ52" s="136"/>
      <c r="EA52" s="136"/>
      <c r="EB52" s="136"/>
      <c r="EC52" s="136"/>
      <c r="ED52" s="136"/>
      <c r="EE52" s="136"/>
      <c r="EF52" s="136"/>
      <c r="EG52" s="136"/>
      <c r="EH52" s="136"/>
      <c r="EI52" s="136"/>
      <c r="EJ52" s="136"/>
      <c r="EK52" s="136"/>
      <c r="EL52" s="136"/>
      <c r="EM52" s="136"/>
      <c r="EN52" s="136"/>
      <c r="EO52" s="136"/>
      <c r="EP52" s="136"/>
      <c r="EQ52" s="136"/>
      <c r="ER52" s="136"/>
      <c r="ES52" s="136"/>
      <c r="ET52" s="136"/>
      <c r="EU52" s="136"/>
      <c r="EV52" s="136"/>
      <c r="EW52" s="136"/>
      <c r="EX52" s="136"/>
      <c r="EY52" s="136"/>
      <c r="EZ52" s="136"/>
      <c r="FA52" s="136"/>
      <c r="FB52" s="136"/>
      <c r="FC52" s="136"/>
      <c r="FD52" s="136"/>
      <c r="FE52" s="136"/>
      <c r="FF52" s="136"/>
      <c r="FG52" s="136"/>
      <c r="FH52" s="136"/>
    </row>
    <row r="53" outlineLevel="1">
      <c r="B53" s="135" t="s">
        <v>514</v>
      </c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337"/>
      <c r="AY53" s="353"/>
      <c r="AZ53" s="353"/>
      <c r="BA53" s="353"/>
      <c r="BB53" s="353"/>
      <c r="BC53" s="353"/>
      <c r="BD53" s="353"/>
      <c r="BE53" s="353"/>
      <c r="BF53" s="353"/>
      <c r="BG53" s="353"/>
      <c r="BH53" s="353"/>
      <c r="BI53" s="353"/>
      <c r="BJ53" s="353"/>
      <c r="BK53" s="137">
        <f t="shared" ref="BK53:BR53" si="88">BK22-BK38</f>
        <v>7066.88</v>
      </c>
      <c r="BL53" s="137">
        <f t="shared" si="88"/>
        <v>7760.75</v>
      </c>
      <c r="BM53" s="137">
        <f t="shared" si="88"/>
        <v>8564.02</v>
      </c>
      <c r="BN53" s="137">
        <f t="shared" si="88"/>
        <v>2722.64</v>
      </c>
      <c r="BO53" s="137">
        <f t="shared" si="88"/>
        <v>18239.39</v>
      </c>
      <c r="BP53" s="137">
        <f t="shared" si="88"/>
        <v>20543.65</v>
      </c>
      <c r="BQ53" s="137">
        <f t="shared" si="88"/>
        <v>18126.65</v>
      </c>
      <c r="BR53" s="137">
        <f t="shared" si="88"/>
        <v>12050.46</v>
      </c>
      <c r="BS53" s="337"/>
      <c r="BT53" s="337"/>
      <c r="BU53" s="337"/>
      <c r="BV53" s="337"/>
      <c r="BW53" s="33"/>
      <c r="BX53" s="292"/>
      <c r="BY53" s="136"/>
      <c r="BZ53" s="136"/>
      <c r="CA53" s="136"/>
      <c r="CB53" s="136"/>
      <c r="CC53" s="136"/>
      <c r="CD53" s="292"/>
      <c r="CE53" s="49"/>
      <c r="CF53" s="136"/>
      <c r="CG53" s="136"/>
      <c r="CH53" s="136"/>
      <c r="CI53" s="136"/>
      <c r="CJ53" s="292"/>
      <c r="CK53" s="136"/>
      <c r="CL53" s="136"/>
      <c r="CM53" s="136"/>
      <c r="CN53" s="136"/>
      <c r="CO53" s="136"/>
      <c r="CP53" s="292"/>
      <c r="CQ53" s="136"/>
      <c r="CR53" s="137"/>
      <c r="CS53" s="137"/>
      <c r="CT53" s="137"/>
      <c r="CU53" s="137"/>
      <c r="CV53" s="142"/>
      <c r="CW53" s="136"/>
      <c r="CX53" s="292"/>
      <c r="CY53" s="136"/>
      <c r="CZ53" s="136"/>
      <c r="DA53" s="136"/>
      <c r="DB53" s="136"/>
      <c r="DC53" s="136"/>
      <c r="DD53" s="136"/>
      <c r="DE53" s="136"/>
      <c r="DF53" s="136"/>
      <c r="DG53" s="136"/>
      <c r="DH53" s="136"/>
      <c r="DI53" s="136"/>
      <c r="DJ53" s="136"/>
      <c r="DK53" s="136"/>
      <c r="DL53" s="136"/>
      <c r="DM53" s="136"/>
      <c r="DN53" s="136"/>
      <c r="DO53" s="136"/>
      <c r="DP53" s="136"/>
      <c r="DQ53" s="136"/>
      <c r="DR53" s="136"/>
      <c r="DS53" s="136"/>
      <c r="DT53" s="136"/>
      <c r="DU53" s="136"/>
      <c r="DV53" s="136"/>
      <c r="DW53" s="136"/>
      <c r="DX53" s="136"/>
      <c r="DY53" s="136"/>
      <c r="DZ53" s="136"/>
      <c r="EA53" s="136"/>
      <c r="EB53" s="136"/>
      <c r="EC53" s="136"/>
      <c r="ED53" s="136"/>
      <c r="EE53" s="136"/>
      <c r="EF53" s="136"/>
      <c r="EG53" s="136"/>
      <c r="EH53" s="136"/>
      <c r="EI53" s="136"/>
      <c r="EJ53" s="136"/>
      <c r="EK53" s="136"/>
      <c r="EL53" s="136"/>
      <c r="EM53" s="136"/>
      <c r="EN53" s="136"/>
      <c r="EO53" s="136"/>
      <c r="EP53" s="136"/>
      <c r="EQ53" s="136"/>
      <c r="ER53" s="136"/>
      <c r="ES53" s="136"/>
      <c r="ET53" s="136"/>
      <c r="EU53" s="136"/>
      <c r="EV53" s="136"/>
      <c r="EW53" s="136"/>
      <c r="EX53" s="136"/>
      <c r="EY53" s="136"/>
      <c r="EZ53" s="136"/>
      <c r="FA53" s="136"/>
      <c r="FB53" s="136"/>
      <c r="FC53" s="136"/>
      <c r="FD53" s="136"/>
      <c r="FE53" s="136"/>
      <c r="FF53" s="136"/>
      <c r="FG53" s="136"/>
      <c r="FH53" s="136"/>
    </row>
    <row r="54" outlineLevel="1">
      <c r="B54" s="135" t="s">
        <v>515</v>
      </c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337"/>
      <c r="AY54" s="353"/>
      <c r="AZ54" s="353"/>
      <c r="BA54" s="353"/>
      <c r="BB54" s="353"/>
      <c r="BC54" s="353"/>
      <c r="BD54" s="353"/>
      <c r="BE54" s="353"/>
      <c r="BF54" s="353"/>
      <c r="BG54" s="353"/>
      <c r="BH54" s="353"/>
      <c r="BI54" s="353"/>
      <c r="BJ54" s="353"/>
      <c r="BK54" s="137">
        <f t="shared" ref="BK54:BR54" si="89">BK23-BK39</f>
        <v>0</v>
      </c>
      <c r="BL54" s="137">
        <f t="shared" si="89"/>
        <v>0</v>
      </c>
      <c r="BM54" s="137">
        <f t="shared" si="89"/>
        <v>-11589.03</v>
      </c>
      <c r="BN54" s="137">
        <f t="shared" si="89"/>
        <v>2297.25</v>
      </c>
      <c r="BO54" s="137">
        <f t="shared" si="89"/>
        <v>27775.62</v>
      </c>
      <c r="BP54" s="137">
        <f t="shared" si="89"/>
        <v>28256.82</v>
      </c>
      <c r="BQ54" s="137">
        <f t="shared" si="89"/>
        <v>22539.29</v>
      </c>
      <c r="BR54" s="137">
        <f t="shared" si="89"/>
        <v>16792.37</v>
      </c>
      <c r="BS54" s="337"/>
      <c r="BT54" s="337"/>
      <c r="BU54" s="337"/>
      <c r="BV54" s="337"/>
      <c r="BW54" s="33"/>
      <c r="BX54" s="292"/>
      <c r="BY54" s="136"/>
      <c r="BZ54" s="136"/>
      <c r="CA54" s="136"/>
      <c r="CB54" s="136"/>
      <c r="CC54" s="136"/>
      <c r="CD54" s="292"/>
      <c r="CE54" s="49"/>
      <c r="CF54" s="136"/>
      <c r="CG54" s="136"/>
      <c r="CH54" s="136"/>
      <c r="CI54" s="136"/>
      <c r="CJ54" s="292"/>
      <c r="CK54" s="136"/>
      <c r="CL54" s="136"/>
      <c r="CM54" s="136"/>
      <c r="CN54" s="136"/>
      <c r="CO54" s="136"/>
      <c r="CP54" s="292"/>
      <c r="CQ54" s="136"/>
      <c r="CR54" s="137"/>
      <c r="CS54" s="137"/>
      <c r="CT54" s="137"/>
      <c r="CU54" s="137"/>
      <c r="CV54" s="142"/>
      <c r="CW54" s="136"/>
      <c r="CX54" s="292"/>
      <c r="CY54" s="136"/>
      <c r="CZ54" s="136"/>
      <c r="DA54" s="136"/>
      <c r="DB54" s="136"/>
      <c r="DC54" s="136"/>
      <c r="DD54" s="136"/>
      <c r="DE54" s="136"/>
      <c r="DF54" s="136"/>
      <c r="DG54" s="136"/>
      <c r="DH54" s="136"/>
      <c r="DI54" s="136"/>
      <c r="DJ54" s="136"/>
      <c r="DK54" s="136"/>
      <c r="DL54" s="136"/>
      <c r="DM54" s="136"/>
      <c r="DN54" s="136"/>
      <c r="DO54" s="136"/>
      <c r="DP54" s="136"/>
      <c r="DQ54" s="136"/>
      <c r="DR54" s="136"/>
      <c r="DS54" s="136"/>
      <c r="DT54" s="136"/>
      <c r="DU54" s="136"/>
      <c r="DV54" s="136"/>
      <c r="DW54" s="136"/>
      <c r="DX54" s="136"/>
      <c r="DY54" s="136"/>
      <c r="DZ54" s="136"/>
      <c r="EA54" s="136"/>
      <c r="EB54" s="136"/>
      <c r="EC54" s="136"/>
      <c r="ED54" s="136"/>
      <c r="EE54" s="136"/>
      <c r="EF54" s="136"/>
      <c r="EG54" s="136"/>
      <c r="EH54" s="136"/>
      <c r="EI54" s="136"/>
      <c r="EJ54" s="136"/>
      <c r="EK54" s="136"/>
      <c r="EL54" s="136"/>
      <c r="EM54" s="136"/>
      <c r="EN54" s="136"/>
      <c r="EO54" s="136"/>
      <c r="EP54" s="136"/>
      <c r="EQ54" s="136"/>
      <c r="ER54" s="136"/>
      <c r="ES54" s="136"/>
      <c r="ET54" s="136"/>
      <c r="EU54" s="136"/>
      <c r="EV54" s="136"/>
      <c r="EW54" s="136"/>
      <c r="EX54" s="136"/>
      <c r="EY54" s="136"/>
      <c r="EZ54" s="136"/>
      <c r="FA54" s="136"/>
      <c r="FB54" s="136"/>
      <c r="FC54" s="136"/>
      <c r="FD54" s="136"/>
      <c r="FE54" s="136"/>
      <c r="FF54" s="136"/>
      <c r="FG54" s="136"/>
      <c r="FH54" s="136"/>
    </row>
    <row r="55" outlineLevel="1">
      <c r="B55" s="355" t="s">
        <v>508</v>
      </c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08"/>
      <c r="AH55" s="108"/>
      <c r="AI55" s="108"/>
      <c r="AJ55" s="108"/>
      <c r="AK55" s="108"/>
      <c r="AL55" s="108"/>
      <c r="AM55" s="108"/>
      <c r="AN55" s="108"/>
      <c r="AO55" s="108"/>
      <c r="AP55" s="108"/>
      <c r="AQ55" s="108"/>
      <c r="AR55" s="108"/>
      <c r="AS55" s="108"/>
      <c r="AT55" s="108"/>
      <c r="AU55" s="108"/>
      <c r="AV55" s="108"/>
      <c r="AW55" s="108"/>
      <c r="AX55" s="108"/>
      <c r="AY55" s="108"/>
      <c r="AZ55" s="108"/>
      <c r="BA55" s="108"/>
      <c r="BB55" s="108"/>
      <c r="BC55" s="108"/>
      <c r="BD55" s="108"/>
      <c r="BE55" s="108"/>
      <c r="BF55" s="108"/>
      <c r="BG55" s="108"/>
      <c r="BH55" s="108"/>
      <c r="BI55" s="108"/>
      <c r="BJ55" s="108"/>
      <c r="BK55" s="108">
        <f t="shared" ref="BK55:BR55" si="90">BK24-BK40</f>
        <v>873631.59</v>
      </c>
      <c r="BL55" s="108">
        <f t="shared" si="90"/>
        <v>870227.73</v>
      </c>
      <c r="BM55" s="108">
        <f t="shared" si="90"/>
        <v>1020434.7</v>
      </c>
      <c r="BN55" s="108">
        <f t="shared" si="90"/>
        <v>1148706.94</v>
      </c>
      <c r="BO55" s="108">
        <f t="shared" si="90"/>
        <v>1065755.87</v>
      </c>
      <c r="BP55" s="108">
        <f t="shared" si="90"/>
        <v>1128140.03</v>
      </c>
      <c r="BQ55" s="108">
        <f t="shared" si="90"/>
        <v>1469625.8</v>
      </c>
      <c r="BR55" s="108">
        <f t="shared" si="90"/>
        <v>1185197.02</v>
      </c>
      <c r="BS55" s="108"/>
      <c r="BT55" s="108"/>
      <c r="BU55" s="108"/>
      <c r="BV55" s="108"/>
      <c r="BW55" s="108"/>
      <c r="BX55" s="108"/>
      <c r="BY55" s="108"/>
      <c r="BZ55" s="108"/>
      <c r="CA55" s="108"/>
      <c r="CB55" s="108"/>
      <c r="CC55" s="108"/>
      <c r="CD55" s="288"/>
      <c r="CE55" s="108"/>
      <c r="CF55" s="108"/>
      <c r="CG55" s="108"/>
      <c r="CH55" s="108"/>
      <c r="CI55" s="108"/>
      <c r="CJ55" s="288"/>
      <c r="CK55" s="108"/>
      <c r="CL55" s="108"/>
      <c r="CM55" s="108"/>
      <c r="CN55" s="108"/>
      <c r="CO55" s="108"/>
      <c r="CP55" s="282"/>
      <c r="CQ55" s="108"/>
      <c r="CR55" s="108"/>
      <c r="CS55" s="108"/>
      <c r="CT55" s="108"/>
      <c r="CU55" s="108"/>
      <c r="CV55" s="108"/>
      <c r="CW55" s="108"/>
      <c r="CX55" s="108"/>
      <c r="CY55" s="108"/>
      <c r="CZ55" s="108"/>
      <c r="DA55" s="108"/>
      <c r="DB55" s="108"/>
      <c r="DC55" s="108"/>
      <c r="DD55" s="108"/>
      <c r="DE55" s="108"/>
      <c r="DF55" s="108"/>
      <c r="DG55" s="108"/>
      <c r="DH55" s="108"/>
      <c r="DI55" s="108"/>
      <c r="DJ55" s="108"/>
      <c r="DK55" s="108"/>
      <c r="DL55" s="108"/>
      <c r="DM55" s="108"/>
      <c r="DN55" s="108"/>
      <c r="DO55" s="108"/>
      <c r="DP55" s="108"/>
      <c r="DQ55" s="108"/>
      <c r="DR55" s="108"/>
      <c r="DS55" s="108"/>
      <c r="DT55" s="108"/>
      <c r="DU55" s="108"/>
      <c r="DV55" s="108"/>
      <c r="DW55" s="108"/>
      <c r="DX55" s="108"/>
      <c r="DY55" s="108"/>
      <c r="DZ55" s="108"/>
      <c r="EA55" s="108"/>
      <c r="EB55" s="108"/>
      <c r="EC55" s="108"/>
      <c r="ED55" s="108"/>
      <c r="EE55" s="108"/>
      <c r="EF55" s="108"/>
      <c r="EG55" s="108"/>
      <c r="EH55" s="108"/>
      <c r="EI55" s="108"/>
      <c r="EJ55" s="108"/>
      <c r="EK55" s="108"/>
      <c r="EL55" s="108"/>
      <c r="EM55" s="108"/>
      <c r="EN55" s="108"/>
      <c r="EO55" s="108"/>
      <c r="EP55" s="108"/>
      <c r="EQ55" s="108"/>
      <c r="ER55" s="108"/>
      <c r="ES55" s="108"/>
      <c r="ET55" s="108"/>
      <c r="EU55" s="108"/>
      <c r="EV55" s="108"/>
      <c r="EW55" s="108"/>
      <c r="EX55" s="108"/>
      <c r="EY55" s="108"/>
      <c r="EZ55" s="108"/>
      <c r="FA55" s="108"/>
      <c r="FB55" s="108"/>
      <c r="FC55" s="108"/>
      <c r="FD55" s="108"/>
      <c r="FE55" s="108"/>
      <c r="FF55" s="108"/>
      <c r="FG55" s="108"/>
      <c r="FH55" s="108"/>
    </row>
    <row r="56" outlineLevel="1">
      <c r="B56" s="135" t="s">
        <v>516</v>
      </c>
      <c r="C56" s="136"/>
      <c r="D56" s="136"/>
      <c r="E56" s="136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337"/>
      <c r="AY56" s="353"/>
      <c r="AZ56" s="353"/>
      <c r="BA56" s="353"/>
      <c r="BB56" s="353"/>
      <c r="BC56" s="353"/>
      <c r="BD56" s="353"/>
      <c r="BE56" s="353"/>
      <c r="BF56" s="353"/>
      <c r="BG56" s="353"/>
      <c r="BH56" s="353"/>
      <c r="BI56" s="353"/>
      <c r="BJ56" s="353"/>
      <c r="BK56" s="137">
        <f t="shared" ref="BK56:BR56" si="91">BK25-BK41</f>
        <v>904859.08</v>
      </c>
      <c r="BL56" s="137">
        <f t="shared" si="91"/>
        <v>937097.6</v>
      </c>
      <c r="BM56" s="137">
        <f t="shared" si="91"/>
        <v>1053328.26</v>
      </c>
      <c r="BN56" s="137">
        <f t="shared" si="91"/>
        <v>1148608.18</v>
      </c>
      <c r="BO56" s="137">
        <f t="shared" si="91"/>
        <v>1098680.11</v>
      </c>
      <c r="BP56" s="137">
        <f t="shared" si="91"/>
        <v>1130060.31</v>
      </c>
      <c r="BQ56" s="137">
        <f t="shared" si="91"/>
        <v>1482197.13</v>
      </c>
      <c r="BR56" s="137">
        <f t="shared" si="91"/>
        <v>1261661.86</v>
      </c>
      <c r="BS56" s="337"/>
      <c r="BT56" s="337"/>
      <c r="BU56" s="337"/>
      <c r="BV56" s="337"/>
      <c r="BW56" s="337"/>
      <c r="BX56" s="292"/>
      <c r="BY56" s="136"/>
      <c r="BZ56" s="136"/>
      <c r="CA56" s="136"/>
      <c r="CB56" s="136"/>
      <c r="CC56" s="136"/>
      <c r="CD56" s="292"/>
      <c r="CE56" s="49"/>
      <c r="CF56" s="136"/>
      <c r="CG56" s="136"/>
      <c r="CH56" s="136"/>
      <c r="CI56" s="136"/>
      <c r="CJ56" s="292"/>
      <c r="CK56" s="136"/>
      <c r="CL56" s="136"/>
      <c r="CM56" s="136"/>
      <c r="CN56" s="136"/>
      <c r="CO56" s="136"/>
      <c r="CP56" s="292"/>
      <c r="CQ56" s="136"/>
      <c r="CR56" s="137"/>
      <c r="CS56" s="137"/>
      <c r="CT56" s="137"/>
      <c r="CU56" s="137"/>
      <c r="CV56" s="142"/>
      <c r="CW56" s="136"/>
      <c r="CX56" s="292"/>
      <c r="CY56" s="136"/>
      <c r="CZ56" s="136"/>
      <c r="DA56" s="136"/>
      <c r="DB56" s="136"/>
      <c r="DC56" s="136"/>
      <c r="DD56" s="136"/>
      <c r="DE56" s="136"/>
      <c r="DF56" s="136"/>
      <c r="DG56" s="136"/>
      <c r="DH56" s="136"/>
      <c r="DI56" s="136"/>
      <c r="DJ56" s="136"/>
      <c r="DK56" s="136"/>
      <c r="DL56" s="136"/>
      <c r="DM56" s="136"/>
      <c r="DN56" s="136"/>
      <c r="DO56" s="136"/>
      <c r="DP56" s="136"/>
      <c r="DQ56" s="136"/>
      <c r="DR56" s="136"/>
      <c r="DS56" s="136"/>
      <c r="DT56" s="136"/>
      <c r="DU56" s="136"/>
      <c r="DV56" s="136"/>
      <c r="DW56" s="136"/>
      <c r="DX56" s="136"/>
      <c r="DY56" s="136"/>
      <c r="DZ56" s="136"/>
      <c r="EA56" s="136"/>
      <c r="EB56" s="136"/>
      <c r="EC56" s="136"/>
      <c r="ED56" s="136"/>
      <c r="EE56" s="136"/>
      <c r="EF56" s="136"/>
      <c r="EG56" s="136"/>
      <c r="EH56" s="136"/>
      <c r="EI56" s="136"/>
      <c r="EJ56" s="136"/>
      <c r="EK56" s="136"/>
      <c r="EL56" s="136"/>
      <c r="EM56" s="136"/>
      <c r="EN56" s="136"/>
      <c r="EO56" s="136"/>
      <c r="EP56" s="136"/>
      <c r="EQ56" s="136"/>
      <c r="ER56" s="136"/>
      <c r="ES56" s="136"/>
      <c r="ET56" s="136"/>
      <c r="EU56" s="136"/>
      <c r="EV56" s="136"/>
      <c r="EW56" s="136"/>
      <c r="EX56" s="136"/>
      <c r="EY56" s="136"/>
      <c r="EZ56" s="136"/>
      <c r="FA56" s="136"/>
      <c r="FB56" s="136"/>
      <c r="FC56" s="136"/>
      <c r="FD56" s="136"/>
      <c r="FE56" s="136"/>
      <c r="FF56" s="136"/>
      <c r="FG56" s="136"/>
      <c r="FH56" s="136"/>
    </row>
    <row r="57" outlineLevel="1">
      <c r="B57" s="135" t="s">
        <v>517</v>
      </c>
      <c r="C57" s="136"/>
      <c r="D57" s="136"/>
      <c r="E57" s="136"/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337"/>
      <c r="AY57" s="353"/>
      <c r="AZ57" s="353"/>
      <c r="BA57" s="353"/>
      <c r="BB57" s="353"/>
      <c r="BC57" s="353"/>
      <c r="BD57" s="353"/>
      <c r="BE57" s="353"/>
      <c r="BF57" s="353"/>
      <c r="BG57" s="353"/>
      <c r="BH57" s="353"/>
      <c r="BI57" s="353"/>
      <c r="BJ57" s="353"/>
      <c r="BK57" s="353"/>
      <c r="BL57" s="353"/>
      <c r="BM57" s="353"/>
      <c r="BN57" s="353"/>
      <c r="BO57" s="353"/>
      <c r="BP57" s="353"/>
      <c r="BQ57" s="353"/>
      <c r="BR57" s="353"/>
      <c r="BS57" s="337"/>
      <c r="BT57" s="337"/>
      <c r="BU57" s="337"/>
      <c r="BV57" s="337"/>
      <c r="BW57" s="337"/>
      <c r="BX57" s="292"/>
      <c r="BY57" s="136"/>
      <c r="BZ57" s="136"/>
      <c r="CA57" s="136"/>
      <c r="CB57" s="136"/>
      <c r="CC57" s="136"/>
      <c r="CD57" s="292"/>
      <c r="CE57" s="49"/>
      <c r="CF57" s="136"/>
      <c r="CG57" s="136"/>
      <c r="CH57" s="136"/>
      <c r="CI57" s="136"/>
      <c r="CJ57" s="292"/>
      <c r="CK57" s="136"/>
      <c r="CL57" s="136"/>
      <c r="CM57" s="136"/>
      <c r="CN57" s="136"/>
      <c r="CO57" s="136"/>
      <c r="CP57" s="292"/>
      <c r="CQ57" s="136"/>
      <c r="CR57" s="137"/>
      <c r="CS57" s="137"/>
      <c r="CT57" s="137"/>
      <c r="CU57" s="137"/>
      <c r="CV57" s="142"/>
      <c r="CW57" s="136"/>
      <c r="CX57" s="292"/>
      <c r="CY57" s="136"/>
      <c r="CZ57" s="136"/>
      <c r="DA57" s="136"/>
      <c r="DB57" s="136"/>
      <c r="DC57" s="136"/>
      <c r="DD57" s="136"/>
      <c r="DE57" s="136"/>
      <c r="DF57" s="136"/>
      <c r="DG57" s="136"/>
      <c r="DH57" s="136"/>
      <c r="DI57" s="136"/>
      <c r="DJ57" s="136"/>
      <c r="DK57" s="136"/>
      <c r="DL57" s="136"/>
      <c r="DM57" s="136"/>
      <c r="DN57" s="136"/>
      <c r="DO57" s="136"/>
      <c r="DP57" s="136"/>
      <c r="DQ57" s="136"/>
      <c r="DR57" s="136"/>
      <c r="DS57" s="136"/>
      <c r="DT57" s="136"/>
      <c r="DU57" s="136"/>
      <c r="DV57" s="136"/>
      <c r="DW57" s="136"/>
      <c r="DX57" s="136"/>
      <c r="DY57" s="136"/>
      <c r="DZ57" s="136"/>
      <c r="EA57" s="136"/>
      <c r="EB57" s="136"/>
      <c r="EC57" s="136"/>
      <c r="ED57" s="136"/>
      <c r="EE57" s="136"/>
      <c r="EF57" s="136"/>
      <c r="EG57" s="136"/>
      <c r="EH57" s="136"/>
      <c r="EI57" s="136"/>
      <c r="EJ57" s="136"/>
      <c r="EK57" s="136"/>
      <c r="EL57" s="136"/>
      <c r="EM57" s="136"/>
      <c r="EN57" s="136"/>
      <c r="EO57" s="136"/>
      <c r="EP57" s="136"/>
      <c r="EQ57" s="136"/>
      <c r="ER57" s="136"/>
      <c r="ES57" s="136"/>
      <c r="ET57" s="136"/>
      <c r="EU57" s="136"/>
      <c r="EV57" s="136"/>
      <c r="EW57" s="136"/>
      <c r="EX57" s="136"/>
      <c r="EY57" s="136"/>
      <c r="EZ57" s="136"/>
      <c r="FA57" s="136"/>
      <c r="FB57" s="136"/>
      <c r="FC57" s="136"/>
      <c r="FD57" s="136"/>
      <c r="FE57" s="136"/>
      <c r="FF57" s="136"/>
      <c r="FG57" s="136"/>
      <c r="FH57" s="136"/>
    </row>
    <row r="58" outlineLevel="1">
      <c r="B58" s="135" t="s">
        <v>518</v>
      </c>
      <c r="C58" s="136"/>
      <c r="D58" s="136"/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337"/>
      <c r="AY58" s="353"/>
      <c r="AZ58" s="353"/>
      <c r="BA58" s="353"/>
      <c r="BB58" s="353"/>
      <c r="BC58" s="353"/>
      <c r="BD58" s="353"/>
      <c r="BE58" s="353"/>
      <c r="BF58" s="353"/>
      <c r="BG58" s="353"/>
      <c r="BH58" s="353"/>
      <c r="BI58" s="353"/>
      <c r="BJ58" s="353"/>
      <c r="BK58" s="353"/>
      <c r="BL58" s="353"/>
      <c r="BM58" s="353"/>
      <c r="BN58" s="353"/>
      <c r="BO58" s="353"/>
      <c r="BP58" s="353"/>
      <c r="BQ58" s="353"/>
      <c r="BR58" s="353"/>
      <c r="BS58" s="337"/>
      <c r="BT58" s="337"/>
      <c r="BU58" s="337"/>
      <c r="BV58" s="337"/>
      <c r="BW58" s="337"/>
      <c r="BX58" s="292"/>
      <c r="BY58" s="136"/>
      <c r="BZ58" s="136"/>
      <c r="CA58" s="136"/>
      <c r="CB58" s="136"/>
      <c r="CC58" s="136"/>
      <c r="CD58" s="292"/>
      <c r="CE58" s="49"/>
      <c r="CF58" s="136"/>
      <c r="CG58" s="136"/>
      <c r="CH58" s="136"/>
      <c r="CI58" s="136"/>
      <c r="CJ58" s="292"/>
      <c r="CK58" s="136"/>
      <c r="CL58" s="136"/>
      <c r="CM58" s="136"/>
      <c r="CN58" s="136"/>
      <c r="CO58" s="136"/>
      <c r="CP58" s="292"/>
      <c r="CQ58" s="136"/>
      <c r="CR58" s="137"/>
      <c r="CS58" s="137"/>
      <c r="CT58" s="137"/>
      <c r="CU58" s="137"/>
      <c r="CV58" s="142"/>
      <c r="CW58" s="136"/>
      <c r="CX58" s="292"/>
      <c r="CY58" s="136"/>
      <c r="CZ58" s="136"/>
      <c r="DA58" s="136"/>
      <c r="DB58" s="136"/>
      <c r="DC58" s="136"/>
      <c r="DD58" s="136"/>
      <c r="DE58" s="136"/>
      <c r="DF58" s="136"/>
      <c r="DG58" s="136"/>
      <c r="DH58" s="136"/>
      <c r="DI58" s="136"/>
      <c r="DJ58" s="136"/>
      <c r="DK58" s="136"/>
      <c r="DL58" s="136"/>
      <c r="DM58" s="136"/>
      <c r="DN58" s="136"/>
      <c r="DO58" s="136"/>
      <c r="DP58" s="136"/>
      <c r="DQ58" s="136"/>
      <c r="DR58" s="136"/>
      <c r="DS58" s="136"/>
      <c r="DT58" s="136"/>
      <c r="DU58" s="136"/>
      <c r="DV58" s="136"/>
      <c r="DW58" s="136"/>
      <c r="DX58" s="136"/>
      <c r="DY58" s="136"/>
      <c r="DZ58" s="136"/>
      <c r="EA58" s="136"/>
      <c r="EB58" s="136"/>
      <c r="EC58" s="136"/>
      <c r="ED58" s="136"/>
      <c r="EE58" s="136"/>
      <c r="EF58" s="136"/>
      <c r="EG58" s="136"/>
      <c r="EH58" s="136"/>
      <c r="EI58" s="136"/>
      <c r="EJ58" s="136"/>
      <c r="EK58" s="136"/>
      <c r="EL58" s="136"/>
      <c r="EM58" s="136"/>
      <c r="EN58" s="136"/>
      <c r="EO58" s="136"/>
      <c r="EP58" s="136"/>
      <c r="EQ58" s="136"/>
      <c r="ER58" s="136"/>
      <c r="ES58" s="136"/>
      <c r="ET58" s="136"/>
      <c r="EU58" s="136"/>
      <c r="EV58" s="136"/>
      <c r="EW58" s="136"/>
      <c r="EX58" s="136"/>
      <c r="EY58" s="136"/>
      <c r="EZ58" s="136"/>
      <c r="FA58" s="136"/>
      <c r="FB58" s="136"/>
      <c r="FC58" s="136"/>
      <c r="FD58" s="136"/>
      <c r="FE58" s="136"/>
      <c r="FF58" s="136"/>
      <c r="FG58" s="136"/>
      <c r="FH58" s="136"/>
    </row>
    <row r="59">
      <c r="B59" s="63" t="s">
        <v>525</v>
      </c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270"/>
      <c r="AN59" s="270"/>
      <c r="AO59" s="270"/>
      <c r="AP59" s="270"/>
      <c r="AQ59" s="270"/>
      <c r="AR59" s="270"/>
      <c r="AS59" s="270"/>
      <c r="AT59" s="270"/>
      <c r="AU59" s="270"/>
      <c r="AV59" s="270"/>
      <c r="AW59" s="270"/>
      <c r="AX59" s="270"/>
      <c r="AY59" s="270"/>
      <c r="AZ59" s="270"/>
      <c r="BA59" s="270"/>
      <c r="BB59" s="270"/>
      <c r="BC59" s="270"/>
      <c r="BD59" s="270"/>
      <c r="BE59" s="270"/>
      <c r="BF59" s="270"/>
      <c r="BG59" s="270"/>
      <c r="BH59" s="270"/>
      <c r="BI59" s="270"/>
      <c r="BJ59" s="270"/>
      <c r="BK59" s="358">
        <f t="shared" ref="BK59:BR59" si="92">BK49/BK18</f>
        <v>0.5655994424</v>
      </c>
      <c r="BL59" s="358">
        <f t="shared" si="92"/>
        <v>0.5663455453</v>
      </c>
      <c r="BM59" s="358">
        <f t="shared" si="92"/>
        <v>0.5646512035</v>
      </c>
      <c r="BN59" s="358">
        <f t="shared" si="92"/>
        <v>0.6110096064</v>
      </c>
      <c r="BO59" s="358">
        <f t="shared" si="92"/>
        <v>0.555304197</v>
      </c>
      <c r="BP59" s="358">
        <f t="shared" si="92"/>
        <v>0.5696172549</v>
      </c>
      <c r="BQ59" s="358">
        <f t="shared" si="92"/>
        <v>0.5950699264</v>
      </c>
      <c r="BR59" s="358">
        <f t="shared" si="92"/>
        <v>0.5471383492</v>
      </c>
      <c r="BS59" s="270"/>
      <c r="BT59" s="270"/>
      <c r="BU59" s="270"/>
      <c r="BV59" s="270"/>
      <c r="BW59" s="270"/>
      <c r="BX59" s="121"/>
      <c r="BY59" s="270"/>
      <c r="BZ59" s="270"/>
      <c r="CA59" s="270"/>
      <c r="CB59" s="270"/>
      <c r="CC59" s="270"/>
      <c r="CD59" s="121"/>
      <c r="CE59" s="270"/>
      <c r="CF59" s="270"/>
      <c r="CG59" s="270"/>
      <c r="CH59" s="270"/>
      <c r="CI59" s="270"/>
      <c r="CJ59" s="121"/>
      <c r="CK59" s="270"/>
      <c r="CL59" s="270"/>
      <c r="CM59" s="270"/>
      <c r="CN59" s="270"/>
      <c r="CO59" s="270"/>
      <c r="CP59" s="121"/>
      <c r="CQ59" s="270"/>
      <c r="CR59" s="270"/>
      <c r="CS59" s="270"/>
      <c r="CT59" s="270"/>
      <c r="CU59" s="270"/>
      <c r="CV59" s="121"/>
      <c r="CW59" s="49"/>
      <c r="CX59" s="121"/>
      <c r="CY59" s="136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64"/>
      <c r="DK59" s="64"/>
      <c r="DL59" s="64"/>
      <c r="DM59" s="64"/>
      <c r="DN59" s="64"/>
      <c r="DO59" s="64"/>
      <c r="DP59" s="64"/>
      <c r="DQ59" s="64"/>
      <c r="DR59" s="64"/>
      <c r="DS59" s="64"/>
      <c r="DT59" s="64"/>
      <c r="DU59" s="64"/>
      <c r="DV59" s="64"/>
      <c r="DW59" s="64"/>
      <c r="DX59" s="64"/>
      <c r="DY59" s="64"/>
      <c r="DZ59" s="64"/>
      <c r="EA59" s="64"/>
      <c r="EB59" s="64"/>
      <c r="EC59" s="64"/>
      <c r="ED59" s="64"/>
      <c r="EE59" s="64"/>
      <c r="EF59" s="64"/>
      <c r="EG59" s="64"/>
      <c r="EH59" s="64"/>
      <c r="EI59" s="64"/>
      <c r="EJ59" s="64"/>
      <c r="EK59" s="64"/>
      <c r="EL59" s="64"/>
      <c r="EM59" s="64"/>
      <c r="EN59" s="64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4"/>
      <c r="FH59" s="64"/>
    </row>
    <row r="60" outlineLevel="1">
      <c r="A60" s="359"/>
      <c r="B60" s="355" t="s">
        <v>506</v>
      </c>
      <c r="C60" s="286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286"/>
      <c r="S60" s="286"/>
      <c r="T60" s="286"/>
      <c r="U60" s="286"/>
      <c r="V60" s="286"/>
      <c r="W60" s="286"/>
      <c r="X60" s="286"/>
      <c r="Y60" s="286"/>
      <c r="Z60" s="286"/>
      <c r="AA60" s="286"/>
      <c r="AB60" s="286"/>
      <c r="AC60" s="286"/>
      <c r="AD60" s="286"/>
      <c r="AE60" s="286"/>
      <c r="AF60" s="286"/>
      <c r="AG60" s="286"/>
      <c r="AH60" s="286"/>
      <c r="AI60" s="286"/>
      <c r="AJ60" s="286"/>
      <c r="AK60" s="286"/>
      <c r="AL60" s="286"/>
      <c r="AM60" s="360"/>
      <c r="AN60" s="360"/>
      <c r="AO60" s="360"/>
      <c r="AP60" s="360"/>
      <c r="AQ60" s="360"/>
      <c r="AR60" s="360"/>
      <c r="AS60" s="360"/>
      <c r="AT60" s="360"/>
      <c r="AU60" s="360"/>
      <c r="AV60" s="360"/>
      <c r="AW60" s="360"/>
      <c r="AX60" s="361"/>
      <c r="AY60" s="362"/>
      <c r="AZ60" s="362"/>
      <c r="BA60" s="362"/>
      <c r="BB60" s="362"/>
      <c r="BC60" s="362"/>
      <c r="BD60" s="362"/>
      <c r="BE60" s="362"/>
      <c r="BF60" s="362"/>
      <c r="BG60" s="362"/>
      <c r="BH60" s="362"/>
      <c r="BI60" s="362"/>
      <c r="BJ60" s="362"/>
      <c r="BK60" s="362">
        <f t="shared" ref="BK60:BR60" si="93">BK50/BK19</f>
        <v>0.5627096211</v>
      </c>
      <c r="BL60" s="362">
        <f t="shared" si="93"/>
        <v>0.5703715522</v>
      </c>
      <c r="BM60" s="362">
        <f t="shared" si="93"/>
        <v>0.4737034139</v>
      </c>
      <c r="BN60" s="362">
        <f t="shared" si="93"/>
        <v>0.5594020543</v>
      </c>
      <c r="BO60" s="362">
        <f t="shared" si="93"/>
        <v>0.4663609851</v>
      </c>
      <c r="BP60" s="362">
        <f t="shared" si="93"/>
        <v>0.4819573575</v>
      </c>
      <c r="BQ60" s="362">
        <f t="shared" si="93"/>
        <v>0.4444682806</v>
      </c>
      <c r="BR60" s="362">
        <f t="shared" si="93"/>
        <v>0.4648185921</v>
      </c>
      <c r="BS60" s="361"/>
      <c r="BT60" s="361"/>
      <c r="BU60" s="361"/>
      <c r="BV60" s="361"/>
      <c r="BW60" s="363"/>
      <c r="BX60" s="288"/>
      <c r="BY60" s="286"/>
      <c r="BZ60" s="286"/>
      <c r="CA60" s="286"/>
      <c r="CB60" s="286"/>
      <c r="CC60" s="286"/>
      <c r="CD60" s="288"/>
      <c r="CE60" s="364"/>
      <c r="CF60" s="286"/>
      <c r="CG60" s="286"/>
      <c r="CH60" s="286"/>
      <c r="CI60" s="286"/>
      <c r="CJ60" s="288"/>
      <c r="CK60" s="286"/>
      <c r="CL60" s="286"/>
      <c r="CM60" s="286"/>
      <c r="CN60" s="286"/>
      <c r="CO60" s="286"/>
      <c r="CP60" s="288"/>
      <c r="CQ60" s="360"/>
      <c r="CR60" s="360"/>
      <c r="CS60" s="360"/>
      <c r="CT60" s="360"/>
      <c r="CU60" s="360"/>
      <c r="CV60" s="365"/>
      <c r="CW60" s="286"/>
      <c r="CX60" s="288"/>
      <c r="CY60" s="286"/>
      <c r="CZ60" s="286"/>
      <c r="DA60" s="286"/>
      <c r="DB60" s="286"/>
      <c r="DC60" s="286"/>
      <c r="DD60" s="286"/>
      <c r="DE60" s="286"/>
      <c r="DF60" s="286"/>
      <c r="DG60" s="286"/>
      <c r="DH60" s="286"/>
      <c r="DI60" s="286"/>
      <c r="DJ60" s="286"/>
      <c r="DK60" s="286"/>
      <c r="DL60" s="286"/>
      <c r="DM60" s="286"/>
      <c r="DN60" s="286"/>
      <c r="DO60" s="286"/>
      <c r="DP60" s="286"/>
      <c r="DQ60" s="286"/>
      <c r="DR60" s="286"/>
      <c r="DS60" s="286"/>
      <c r="DT60" s="286"/>
      <c r="DU60" s="286"/>
      <c r="DV60" s="286"/>
      <c r="DW60" s="286"/>
      <c r="DX60" s="286"/>
      <c r="DY60" s="286"/>
      <c r="DZ60" s="286"/>
      <c r="EA60" s="286"/>
      <c r="EB60" s="286"/>
      <c r="EC60" s="286"/>
      <c r="ED60" s="286"/>
      <c r="EE60" s="286"/>
      <c r="EF60" s="286"/>
      <c r="EG60" s="286"/>
      <c r="EH60" s="286"/>
      <c r="EI60" s="286"/>
      <c r="EJ60" s="286"/>
      <c r="EK60" s="286"/>
      <c r="EL60" s="286"/>
      <c r="EM60" s="286"/>
      <c r="EN60" s="286"/>
      <c r="EO60" s="286"/>
      <c r="EP60" s="286"/>
      <c r="EQ60" s="286"/>
      <c r="ER60" s="286"/>
      <c r="ES60" s="286"/>
      <c r="ET60" s="286"/>
      <c r="EU60" s="286"/>
      <c r="EV60" s="286"/>
      <c r="EW60" s="286"/>
      <c r="EX60" s="286"/>
      <c r="EY60" s="286"/>
      <c r="EZ60" s="286"/>
      <c r="FA60" s="286"/>
      <c r="FB60" s="286"/>
      <c r="FC60" s="286"/>
      <c r="FD60" s="286"/>
      <c r="FE60" s="286"/>
      <c r="FF60" s="286"/>
      <c r="FG60" s="286"/>
      <c r="FH60" s="286"/>
    </row>
    <row r="61" outlineLevel="1">
      <c r="B61" s="135" t="s">
        <v>512</v>
      </c>
      <c r="C61" s="136"/>
      <c r="D61" s="136"/>
      <c r="E61" s="136"/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337"/>
      <c r="AY61" s="353"/>
      <c r="AZ61" s="353"/>
      <c r="BA61" s="353"/>
      <c r="BB61" s="353"/>
      <c r="BC61" s="353"/>
      <c r="BD61" s="353"/>
      <c r="BE61" s="353"/>
      <c r="BF61" s="353"/>
      <c r="BG61" s="353"/>
      <c r="BH61" s="353"/>
      <c r="BI61" s="353"/>
      <c r="BJ61" s="353"/>
      <c r="BK61" s="353">
        <f t="shared" ref="BK61:BR61" si="94">BK51/BK20</f>
        <v>0.5136679141</v>
      </c>
      <c r="BL61" s="353">
        <f t="shared" si="94"/>
        <v>0.5375068398</v>
      </c>
      <c r="BM61" s="353">
        <f t="shared" si="94"/>
        <v>0.4238371712</v>
      </c>
      <c r="BN61" s="353">
        <f t="shared" si="94"/>
        <v>0.5519725411</v>
      </c>
      <c r="BO61" s="353">
        <f t="shared" si="94"/>
        <v>0.4534319949</v>
      </c>
      <c r="BP61" s="353">
        <f t="shared" si="94"/>
        <v>0.4690085152</v>
      </c>
      <c r="BQ61" s="353">
        <f t="shared" si="94"/>
        <v>0.4418952476</v>
      </c>
      <c r="BR61" s="353">
        <f t="shared" si="94"/>
        <v>0.4945867965</v>
      </c>
      <c r="BS61" s="337"/>
      <c r="BT61" s="337"/>
      <c r="BU61" s="337"/>
      <c r="BV61" s="337"/>
      <c r="BW61" s="33"/>
      <c r="BX61" s="292"/>
      <c r="BY61" s="49"/>
      <c r="BZ61" s="136"/>
      <c r="CA61" s="136"/>
      <c r="CB61" s="136"/>
      <c r="CC61" s="136"/>
      <c r="CD61" s="292"/>
      <c r="CE61" s="49"/>
      <c r="CF61" s="136"/>
      <c r="CG61" s="136"/>
      <c r="CH61" s="136"/>
      <c r="CI61" s="136"/>
      <c r="CJ61" s="292"/>
      <c r="CK61" s="136"/>
      <c r="CL61" s="136"/>
      <c r="CM61" s="136"/>
      <c r="CN61" s="136"/>
      <c r="CO61" s="136"/>
      <c r="CP61" s="292"/>
      <c r="CQ61" s="136"/>
      <c r="CR61" s="137"/>
      <c r="CS61" s="137"/>
      <c r="CT61" s="137"/>
      <c r="CU61" s="137"/>
      <c r="CV61" s="142"/>
      <c r="CW61" s="136"/>
      <c r="CX61" s="292"/>
      <c r="CY61" s="136"/>
      <c r="CZ61" s="136"/>
      <c r="DA61" s="136"/>
      <c r="DB61" s="136"/>
      <c r="DC61" s="136"/>
      <c r="DD61" s="136"/>
      <c r="DE61" s="136"/>
      <c r="DF61" s="136"/>
      <c r="DG61" s="136"/>
      <c r="DH61" s="136"/>
      <c r="DI61" s="136"/>
      <c r="DJ61" s="136"/>
      <c r="DK61" s="136"/>
      <c r="DL61" s="136"/>
      <c r="DM61" s="136"/>
      <c r="DN61" s="136"/>
      <c r="DO61" s="136"/>
      <c r="DP61" s="136"/>
      <c r="DQ61" s="136"/>
      <c r="DR61" s="136"/>
      <c r="DS61" s="136"/>
      <c r="DT61" s="136"/>
      <c r="DU61" s="136"/>
      <c r="DV61" s="136"/>
      <c r="DW61" s="136"/>
      <c r="DX61" s="136"/>
      <c r="DY61" s="136"/>
      <c r="DZ61" s="136"/>
      <c r="EA61" s="136"/>
      <c r="EB61" s="136"/>
      <c r="EC61" s="136"/>
      <c r="ED61" s="136"/>
      <c r="EE61" s="136"/>
      <c r="EF61" s="136"/>
      <c r="EG61" s="136"/>
      <c r="EH61" s="136"/>
      <c r="EI61" s="136"/>
      <c r="EJ61" s="136"/>
      <c r="EK61" s="136"/>
      <c r="EL61" s="136"/>
      <c r="EM61" s="136"/>
      <c r="EN61" s="136"/>
      <c r="EO61" s="136"/>
      <c r="EP61" s="136"/>
      <c r="EQ61" s="136"/>
      <c r="ER61" s="136"/>
      <c r="ES61" s="136"/>
      <c r="ET61" s="136"/>
      <c r="EU61" s="136"/>
      <c r="EV61" s="136"/>
      <c r="EW61" s="136"/>
      <c r="EX61" s="136"/>
      <c r="EY61" s="136"/>
      <c r="EZ61" s="136"/>
      <c r="FA61" s="136"/>
      <c r="FB61" s="136"/>
      <c r="FC61" s="136"/>
      <c r="FD61" s="136"/>
      <c r="FE61" s="136"/>
      <c r="FF61" s="136"/>
      <c r="FG61" s="136"/>
      <c r="FH61" s="136"/>
    </row>
    <row r="62" outlineLevel="1">
      <c r="B62" s="135" t="s">
        <v>513</v>
      </c>
      <c r="C62" s="136"/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337"/>
      <c r="AY62" s="353"/>
      <c r="AZ62" s="353"/>
      <c r="BA62" s="353"/>
      <c r="BB62" s="353"/>
      <c r="BC62" s="353"/>
      <c r="BD62" s="353"/>
      <c r="BE62" s="353"/>
      <c r="BF62" s="353"/>
      <c r="BG62" s="353"/>
      <c r="BH62" s="353"/>
      <c r="BI62" s="353"/>
      <c r="BJ62" s="353"/>
      <c r="BK62" s="353"/>
      <c r="BL62" s="353"/>
      <c r="BM62" s="353"/>
      <c r="BN62" s="353"/>
      <c r="BO62" s="353"/>
      <c r="BP62" s="353"/>
      <c r="BQ62" s="353"/>
      <c r="BR62" s="353">
        <f>BR52/BR21</f>
        <v>0.7311718046</v>
      </c>
      <c r="BS62" s="337"/>
      <c r="BT62" s="337"/>
      <c r="BU62" s="337"/>
      <c r="BV62" s="337"/>
      <c r="BW62" s="33"/>
      <c r="BX62" s="292"/>
      <c r="BY62" s="49"/>
      <c r="BZ62" s="136"/>
      <c r="CA62" s="136"/>
      <c r="CB62" s="136"/>
      <c r="CC62" s="136"/>
      <c r="CD62" s="292"/>
      <c r="CE62" s="49"/>
      <c r="CF62" s="136"/>
      <c r="CG62" s="136"/>
      <c r="CH62" s="136"/>
      <c r="CI62" s="136"/>
      <c r="CJ62" s="292"/>
      <c r="CK62" s="136"/>
      <c r="CL62" s="136"/>
      <c r="CM62" s="136"/>
      <c r="CN62" s="136"/>
      <c r="CO62" s="136"/>
      <c r="CP62" s="292"/>
      <c r="CQ62" s="136"/>
      <c r="CR62" s="137"/>
      <c r="CS62" s="137"/>
      <c r="CT62" s="137"/>
      <c r="CU62" s="137"/>
      <c r="CV62" s="142"/>
      <c r="CW62" s="136"/>
      <c r="CX62" s="292"/>
      <c r="CY62" s="136"/>
      <c r="CZ62" s="136"/>
      <c r="DA62" s="136"/>
      <c r="DB62" s="136"/>
      <c r="DC62" s="136"/>
      <c r="DD62" s="136"/>
      <c r="DE62" s="136"/>
      <c r="DF62" s="136"/>
      <c r="DG62" s="136"/>
      <c r="DH62" s="136"/>
      <c r="DI62" s="136"/>
      <c r="DJ62" s="136"/>
      <c r="DK62" s="136"/>
      <c r="DL62" s="136"/>
      <c r="DM62" s="136"/>
      <c r="DN62" s="136"/>
      <c r="DO62" s="136"/>
      <c r="DP62" s="136"/>
      <c r="DQ62" s="136"/>
      <c r="DR62" s="136"/>
      <c r="DS62" s="136"/>
      <c r="DT62" s="136"/>
      <c r="DU62" s="136"/>
      <c r="DV62" s="136"/>
      <c r="DW62" s="136"/>
      <c r="DX62" s="136"/>
      <c r="DY62" s="136"/>
      <c r="DZ62" s="136"/>
      <c r="EA62" s="136"/>
      <c r="EB62" s="136"/>
      <c r="EC62" s="136"/>
      <c r="ED62" s="136"/>
      <c r="EE62" s="136"/>
      <c r="EF62" s="136"/>
      <c r="EG62" s="136"/>
      <c r="EH62" s="136"/>
      <c r="EI62" s="136"/>
      <c r="EJ62" s="136"/>
      <c r="EK62" s="136"/>
      <c r="EL62" s="136"/>
      <c r="EM62" s="136"/>
      <c r="EN62" s="136"/>
      <c r="EO62" s="136"/>
      <c r="EP62" s="136"/>
      <c r="EQ62" s="136"/>
      <c r="ER62" s="136"/>
      <c r="ES62" s="136"/>
      <c r="ET62" s="136"/>
      <c r="EU62" s="136"/>
      <c r="EV62" s="136"/>
      <c r="EW62" s="136"/>
      <c r="EX62" s="136"/>
      <c r="EY62" s="136"/>
      <c r="EZ62" s="136"/>
      <c r="FA62" s="136"/>
      <c r="FB62" s="136"/>
      <c r="FC62" s="136"/>
      <c r="FD62" s="136"/>
      <c r="FE62" s="136"/>
      <c r="FF62" s="136"/>
      <c r="FG62" s="136"/>
      <c r="FH62" s="136"/>
    </row>
    <row r="63" outlineLevel="1">
      <c r="B63" s="135" t="s">
        <v>514</v>
      </c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337"/>
      <c r="AY63" s="353"/>
      <c r="AZ63" s="353"/>
      <c r="BA63" s="353"/>
      <c r="BB63" s="353"/>
      <c r="BC63" s="353"/>
      <c r="BD63" s="353"/>
      <c r="BE63" s="353"/>
      <c r="BF63" s="353"/>
      <c r="BG63" s="353"/>
      <c r="BH63" s="353"/>
      <c r="BI63" s="353"/>
      <c r="BJ63" s="353"/>
      <c r="BK63" s="353">
        <f t="shared" ref="BK63:BR63" si="95">BK53/BK22</f>
        <v>0.1985748005</v>
      </c>
      <c r="BL63" s="353">
        <f t="shared" si="95"/>
        <v>0.2331255632</v>
      </c>
      <c r="BM63" s="353">
        <f t="shared" si="95"/>
        <v>0.2572550315</v>
      </c>
      <c r="BN63" s="353">
        <f t="shared" si="95"/>
        <v>0.08178515267</v>
      </c>
      <c r="BO63" s="353">
        <f t="shared" si="95"/>
        <v>0.3777041488</v>
      </c>
      <c r="BP63" s="353">
        <f t="shared" si="95"/>
        <v>0.4254211263</v>
      </c>
      <c r="BQ63" s="353">
        <f t="shared" si="95"/>
        <v>0.3753695112</v>
      </c>
      <c r="BR63" s="353">
        <f t="shared" si="95"/>
        <v>0.2495428157</v>
      </c>
      <c r="BS63" s="337"/>
      <c r="BT63" s="337"/>
      <c r="BU63" s="337"/>
      <c r="BV63" s="337"/>
      <c r="BW63" s="33"/>
      <c r="BX63" s="292"/>
      <c r="BY63" s="49"/>
      <c r="BZ63" s="136"/>
      <c r="CA63" s="136"/>
      <c r="CB63" s="136"/>
      <c r="CC63" s="136"/>
      <c r="CD63" s="292"/>
      <c r="CE63" s="49"/>
      <c r="CF63" s="136"/>
      <c r="CG63" s="136"/>
      <c r="CH63" s="136"/>
      <c r="CI63" s="136"/>
      <c r="CJ63" s="292"/>
      <c r="CK63" s="136"/>
      <c r="CL63" s="136"/>
      <c r="CM63" s="136"/>
      <c r="CN63" s="136"/>
      <c r="CO63" s="136"/>
      <c r="CP63" s="292"/>
      <c r="CQ63" s="136"/>
      <c r="CR63" s="137"/>
      <c r="CS63" s="137"/>
      <c r="CT63" s="137"/>
      <c r="CU63" s="137"/>
      <c r="CV63" s="142"/>
      <c r="CW63" s="136"/>
      <c r="CX63" s="292"/>
      <c r="CY63" s="136"/>
      <c r="CZ63" s="136"/>
      <c r="DA63" s="136"/>
      <c r="DB63" s="136"/>
      <c r="DC63" s="136"/>
      <c r="DD63" s="136"/>
      <c r="DE63" s="136"/>
      <c r="DF63" s="136"/>
      <c r="DG63" s="136"/>
      <c r="DH63" s="136"/>
      <c r="DI63" s="136"/>
      <c r="DJ63" s="136"/>
      <c r="DK63" s="136"/>
      <c r="DL63" s="136"/>
      <c r="DM63" s="136"/>
      <c r="DN63" s="136"/>
      <c r="DO63" s="136"/>
      <c r="DP63" s="136"/>
      <c r="DQ63" s="136"/>
      <c r="DR63" s="136"/>
      <c r="DS63" s="136"/>
      <c r="DT63" s="136"/>
      <c r="DU63" s="136"/>
      <c r="DV63" s="136"/>
      <c r="DW63" s="136"/>
      <c r="DX63" s="136"/>
      <c r="DY63" s="136"/>
      <c r="DZ63" s="136"/>
      <c r="EA63" s="136"/>
      <c r="EB63" s="136"/>
      <c r="EC63" s="136"/>
      <c r="ED63" s="136"/>
      <c r="EE63" s="136"/>
      <c r="EF63" s="136"/>
      <c r="EG63" s="136"/>
      <c r="EH63" s="136"/>
      <c r="EI63" s="136"/>
      <c r="EJ63" s="136"/>
      <c r="EK63" s="136"/>
      <c r="EL63" s="136"/>
      <c r="EM63" s="136"/>
      <c r="EN63" s="136"/>
      <c r="EO63" s="136"/>
      <c r="EP63" s="136"/>
      <c r="EQ63" s="136"/>
      <c r="ER63" s="136"/>
      <c r="ES63" s="136"/>
      <c r="ET63" s="136"/>
      <c r="EU63" s="136"/>
      <c r="EV63" s="136"/>
      <c r="EW63" s="136"/>
      <c r="EX63" s="136"/>
      <c r="EY63" s="136"/>
      <c r="EZ63" s="136"/>
      <c r="FA63" s="136"/>
      <c r="FB63" s="136"/>
      <c r="FC63" s="136"/>
      <c r="FD63" s="136"/>
      <c r="FE63" s="136"/>
      <c r="FF63" s="136"/>
      <c r="FG63" s="136"/>
      <c r="FH63" s="136"/>
    </row>
    <row r="64" outlineLevel="1">
      <c r="B64" s="135" t="s">
        <v>515</v>
      </c>
      <c r="C64" s="136"/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337"/>
      <c r="AY64" s="353"/>
      <c r="AZ64" s="353"/>
      <c r="BA64" s="353"/>
      <c r="BB64" s="353"/>
      <c r="BC64" s="353"/>
      <c r="BD64" s="353"/>
      <c r="BE64" s="353"/>
      <c r="BF64" s="353"/>
      <c r="BG64" s="353"/>
      <c r="BH64" s="353"/>
      <c r="BI64" s="353"/>
      <c r="BJ64" s="353"/>
      <c r="BK64" s="353"/>
      <c r="BL64" s="353"/>
      <c r="BM64" s="353"/>
      <c r="BN64" s="353">
        <f t="shared" ref="BN64:BR64" si="96">BN54/BN23</f>
        <v>0.1552073248</v>
      </c>
      <c r="BO64" s="353">
        <f t="shared" si="96"/>
        <v>0.6926286259</v>
      </c>
      <c r="BP64" s="353">
        <f t="shared" si="96"/>
        <v>0.7046281023</v>
      </c>
      <c r="BQ64" s="353">
        <f t="shared" si="96"/>
        <v>0.494263707</v>
      </c>
      <c r="BR64" s="353">
        <f t="shared" si="96"/>
        <v>0.3682395961</v>
      </c>
      <c r="BS64" s="337"/>
      <c r="BT64" s="337"/>
      <c r="BU64" s="337"/>
      <c r="BV64" s="337"/>
      <c r="BW64" s="33"/>
      <c r="BX64" s="292"/>
      <c r="BY64" s="49"/>
      <c r="BZ64" s="136"/>
      <c r="CA64" s="136"/>
      <c r="CB64" s="136"/>
      <c r="CC64" s="136"/>
      <c r="CD64" s="292"/>
      <c r="CE64" s="49"/>
      <c r="CF64" s="136"/>
      <c r="CG64" s="136"/>
      <c r="CH64" s="136"/>
      <c r="CI64" s="136"/>
      <c r="CJ64" s="292"/>
      <c r="CK64" s="136"/>
      <c r="CL64" s="136"/>
      <c r="CM64" s="136"/>
      <c r="CN64" s="136"/>
      <c r="CO64" s="136"/>
      <c r="CP64" s="292"/>
      <c r="CQ64" s="136"/>
      <c r="CR64" s="137"/>
      <c r="CS64" s="137"/>
      <c r="CT64" s="137"/>
      <c r="CU64" s="137"/>
      <c r="CV64" s="142"/>
      <c r="CW64" s="136"/>
      <c r="CX64" s="292"/>
      <c r="CY64" s="136"/>
      <c r="CZ64" s="136"/>
      <c r="DA64" s="136"/>
      <c r="DB64" s="136"/>
      <c r="DC64" s="136"/>
      <c r="DD64" s="136"/>
      <c r="DE64" s="136"/>
      <c r="DF64" s="136"/>
      <c r="DG64" s="136"/>
      <c r="DH64" s="136"/>
      <c r="DI64" s="136"/>
      <c r="DJ64" s="136"/>
      <c r="DK64" s="136"/>
      <c r="DL64" s="136"/>
      <c r="DM64" s="136"/>
      <c r="DN64" s="136"/>
      <c r="DO64" s="136"/>
      <c r="DP64" s="136"/>
      <c r="DQ64" s="136"/>
      <c r="DR64" s="136"/>
      <c r="DS64" s="136"/>
      <c r="DT64" s="136"/>
      <c r="DU64" s="136"/>
      <c r="DV64" s="136"/>
      <c r="DW64" s="136"/>
      <c r="DX64" s="136"/>
      <c r="DY64" s="136"/>
      <c r="DZ64" s="136"/>
      <c r="EA64" s="136"/>
      <c r="EB64" s="136"/>
      <c r="EC64" s="136"/>
      <c r="ED64" s="136"/>
      <c r="EE64" s="136"/>
      <c r="EF64" s="136"/>
      <c r="EG64" s="136"/>
      <c r="EH64" s="136"/>
      <c r="EI64" s="136"/>
      <c r="EJ64" s="136"/>
      <c r="EK64" s="136"/>
      <c r="EL64" s="136"/>
      <c r="EM64" s="136"/>
      <c r="EN64" s="136"/>
      <c r="EO64" s="136"/>
      <c r="EP64" s="136"/>
      <c r="EQ64" s="136"/>
      <c r="ER64" s="136"/>
      <c r="ES64" s="136"/>
      <c r="ET64" s="136"/>
      <c r="EU64" s="136"/>
      <c r="EV64" s="136"/>
      <c r="EW64" s="136"/>
      <c r="EX64" s="136"/>
      <c r="EY64" s="136"/>
      <c r="EZ64" s="136"/>
      <c r="FA64" s="136"/>
      <c r="FB64" s="136"/>
      <c r="FC64" s="136"/>
      <c r="FD64" s="136"/>
      <c r="FE64" s="136"/>
      <c r="FF64" s="136"/>
      <c r="FG64" s="136"/>
      <c r="FH64" s="136"/>
    </row>
    <row r="65" outlineLevel="1">
      <c r="A65" s="359"/>
      <c r="B65" s="355" t="s">
        <v>508</v>
      </c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  <c r="U65" s="286"/>
      <c r="V65" s="286"/>
      <c r="W65" s="286"/>
      <c r="X65" s="286"/>
      <c r="Y65" s="286"/>
      <c r="Z65" s="286"/>
      <c r="AA65" s="286"/>
      <c r="AB65" s="286"/>
      <c r="AC65" s="286"/>
      <c r="AD65" s="286"/>
      <c r="AE65" s="286"/>
      <c r="AF65" s="286"/>
      <c r="AG65" s="286"/>
      <c r="AH65" s="286"/>
      <c r="AI65" s="286"/>
      <c r="AJ65" s="286"/>
      <c r="AK65" s="286"/>
      <c r="AL65" s="286"/>
      <c r="AM65" s="360"/>
      <c r="AN65" s="360"/>
      <c r="AO65" s="360"/>
      <c r="AP65" s="360"/>
      <c r="AQ65" s="360"/>
      <c r="AR65" s="360"/>
      <c r="AS65" s="360"/>
      <c r="AT65" s="360"/>
      <c r="AU65" s="360"/>
      <c r="AV65" s="360"/>
      <c r="AW65" s="360"/>
      <c r="AX65" s="361"/>
      <c r="AY65" s="362"/>
      <c r="AZ65" s="362"/>
      <c r="BA65" s="362"/>
      <c r="BB65" s="362"/>
      <c r="BC65" s="362"/>
      <c r="BD65" s="362"/>
      <c r="BE65" s="362"/>
      <c r="BF65" s="362"/>
      <c r="BG65" s="362"/>
      <c r="BH65" s="362"/>
      <c r="BI65" s="362"/>
      <c r="BJ65" s="362"/>
      <c r="BK65" s="362">
        <f t="shared" ref="BK65:BR65" si="97">BK55/BK24</f>
        <v>0.5675493746</v>
      </c>
      <c r="BL65" s="362">
        <f t="shared" si="97"/>
        <v>0.5640632324</v>
      </c>
      <c r="BM65" s="362">
        <f t="shared" si="97"/>
        <v>0.6045250753</v>
      </c>
      <c r="BN65" s="362">
        <f t="shared" si="97"/>
        <v>0.636463386</v>
      </c>
      <c r="BO65" s="362">
        <f t="shared" si="97"/>
        <v>0.5961253436</v>
      </c>
      <c r="BP65" s="362">
        <f t="shared" si="97"/>
        <v>0.6065979937</v>
      </c>
      <c r="BQ65" s="362">
        <f t="shared" si="97"/>
        <v>0.6478768914</v>
      </c>
      <c r="BR65" s="362">
        <f t="shared" si="97"/>
        <v>0.5809786466</v>
      </c>
      <c r="BS65" s="361"/>
      <c r="BT65" s="361"/>
      <c r="BU65" s="361"/>
      <c r="BV65" s="361"/>
      <c r="BW65" s="363"/>
      <c r="BX65" s="288"/>
      <c r="BY65" s="364"/>
      <c r="BZ65" s="286"/>
      <c r="CA65" s="286"/>
      <c r="CB65" s="286"/>
      <c r="CC65" s="286"/>
      <c r="CD65" s="288"/>
      <c r="CE65" s="364"/>
      <c r="CF65" s="286"/>
      <c r="CG65" s="286"/>
      <c r="CH65" s="286"/>
      <c r="CI65" s="286"/>
      <c r="CJ65" s="288"/>
      <c r="CK65" s="286"/>
      <c r="CL65" s="286"/>
      <c r="CM65" s="286"/>
      <c r="CN65" s="286"/>
      <c r="CO65" s="286"/>
      <c r="CP65" s="288"/>
      <c r="CQ65" s="286"/>
      <c r="CR65" s="360"/>
      <c r="CS65" s="360"/>
      <c r="CT65" s="360"/>
      <c r="CU65" s="360"/>
      <c r="CV65" s="365"/>
      <c r="CW65" s="286"/>
      <c r="CX65" s="288"/>
      <c r="CY65" s="286"/>
      <c r="CZ65" s="286"/>
      <c r="DA65" s="286"/>
      <c r="DB65" s="286"/>
      <c r="DC65" s="286"/>
      <c r="DD65" s="286"/>
      <c r="DE65" s="286"/>
      <c r="DF65" s="286"/>
      <c r="DG65" s="286"/>
      <c r="DH65" s="286"/>
      <c r="DI65" s="286"/>
      <c r="DJ65" s="286"/>
      <c r="DK65" s="286"/>
      <c r="DL65" s="286"/>
      <c r="DM65" s="286"/>
      <c r="DN65" s="286"/>
      <c r="DO65" s="286"/>
      <c r="DP65" s="286"/>
      <c r="DQ65" s="286"/>
      <c r="DR65" s="286"/>
      <c r="DS65" s="286"/>
      <c r="DT65" s="286"/>
      <c r="DU65" s="286"/>
      <c r="DV65" s="286"/>
      <c r="DW65" s="286"/>
      <c r="DX65" s="286"/>
      <c r="DY65" s="286"/>
      <c r="DZ65" s="286"/>
      <c r="EA65" s="286"/>
      <c r="EB65" s="286"/>
      <c r="EC65" s="286"/>
      <c r="ED65" s="286"/>
      <c r="EE65" s="286"/>
      <c r="EF65" s="286"/>
      <c r="EG65" s="286"/>
      <c r="EH65" s="286"/>
      <c r="EI65" s="286"/>
      <c r="EJ65" s="286"/>
      <c r="EK65" s="286"/>
      <c r="EL65" s="286"/>
      <c r="EM65" s="286"/>
      <c r="EN65" s="286"/>
      <c r="EO65" s="286"/>
      <c r="EP65" s="286"/>
      <c r="EQ65" s="286"/>
      <c r="ER65" s="286"/>
      <c r="ES65" s="286"/>
      <c r="ET65" s="286"/>
      <c r="EU65" s="286"/>
      <c r="EV65" s="286"/>
      <c r="EW65" s="286"/>
      <c r="EX65" s="286"/>
      <c r="EY65" s="286"/>
      <c r="EZ65" s="286"/>
      <c r="FA65" s="286"/>
      <c r="FB65" s="286"/>
      <c r="FC65" s="286"/>
      <c r="FD65" s="286"/>
      <c r="FE65" s="286"/>
      <c r="FF65" s="286"/>
      <c r="FG65" s="286"/>
      <c r="FH65" s="286"/>
    </row>
    <row r="66" outlineLevel="1">
      <c r="B66" s="135" t="s">
        <v>516</v>
      </c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337"/>
      <c r="AY66" s="353"/>
      <c r="AZ66" s="353"/>
      <c r="BA66" s="353"/>
      <c r="BB66" s="353"/>
      <c r="BC66" s="353"/>
      <c r="BD66" s="353"/>
      <c r="BE66" s="353"/>
      <c r="BF66" s="353"/>
      <c r="BG66" s="353"/>
      <c r="BH66" s="353"/>
      <c r="BI66" s="353"/>
      <c r="BJ66" s="353"/>
      <c r="BK66" s="353">
        <f t="shared" ref="BK66:BR66" si="98">BK56/BK25</f>
        <v>0.5900721239</v>
      </c>
      <c r="BL66" s="353">
        <f t="shared" si="98"/>
        <v>0.6097120858</v>
      </c>
      <c r="BM66" s="353">
        <f t="shared" si="98"/>
        <v>0.6261756514</v>
      </c>
      <c r="BN66" s="353">
        <f t="shared" si="98"/>
        <v>0.6384721358</v>
      </c>
      <c r="BO66" s="353">
        <f t="shared" si="98"/>
        <v>0.6165529593</v>
      </c>
      <c r="BP66" s="353">
        <f t="shared" si="98"/>
        <v>0.6095422851</v>
      </c>
      <c r="BQ66" s="353">
        <f t="shared" si="98"/>
        <v>0.6534188969</v>
      </c>
      <c r="BR66" s="353">
        <f t="shared" si="98"/>
        <v>0.6184613929</v>
      </c>
      <c r="BS66" s="337"/>
      <c r="BT66" s="337"/>
      <c r="BU66" s="337"/>
      <c r="BV66" s="337"/>
      <c r="BW66" s="33"/>
      <c r="BX66" s="292"/>
      <c r="BY66" s="49"/>
      <c r="BZ66" s="136"/>
      <c r="CA66" s="136"/>
      <c r="CB66" s="136"/>
      <c r="CC66" s="136"/>
      <c r="CD66" s="292"/>
      <c r="CE66" s="49"/>
      <c r="CF66" s="136"/>
      <c r="CG66" s="136"/>
      <c r="CH66" s="136"/>
      <c r="CI66" s="136"/>
      <c r="CJ66" s="292"/>
      <c r="CK66" s="136"/>
      <c r="CL66" s="136"/>
      <c r="CM66" s="136"/>
      <c r="CN66" s="136"/>
      <c r="CO66" s="136"/>
      <c r="CP66" s="292"/>
      <c r="CQ66" s="136"/>
      <c r="CR66" s="137"/>
      <c r="CS66" s="137"/>
      <c r="CT66" s="137"/>
      <c r="CU66" s="137"/>
      <c r="CV66" s="142"/>
      <c r="CW66" s="136"/>
      <c r="CX66" s="292"/>
      <c r="CY66" s="136"/>
      <c r="CZ66" s="136"/>
      <c r="DA66" s="136"/>
      <c r="DB66" s="136"/>
      <c r="DC66" s="136"/>
      <c r="DD66" s="136"/>
      <c r="DE66" s="136"/>
      <c r="DF66" s="136"/>
      <c r="DG66" s="136"/>
      <c r="DH66" s="136"/>
      <c r="DI66" s="136"/>
      <c r="DJ66" s="136"/>
      <c r="DK66" s="136"/>
      <c r="DL66" s="136"/>
      <c r="DM66" s="136"/>
      <c r="DN66" s="136"/>
      <c r="DO66" s="136"/>
      <c r="DP66" s="136"/>
      <c r="DQ66" s="136"/>
      <c r="DR66" s="136"/>
      <c r="DS66" s="136"/>
      <c r="DT66" s="136"/>
      <c r="DU66" s="136"/>
      <c r="DV66" s="136"/>
      <c r="DW66" s="136"/>
      <c r="DX66" s="136"/>
      <c r="DY66" s="136"/>
      <c r="DZ66" s="136"/>
      <c r="EA66" s="136"/>
      <c r="EB66" s="136"/>
      <c r="EC66" s="136"/>
      <c r="ED66" s="136"/>
      <c r="EE66" s="136"/>
      <c r="EF66" s="136"/>
      <c r="EG66" s="136"/>
      <c r="EH66" s="136"/>
      <c r="EI66" s="136"/>
      <c r="EJ66" s="136"/>
      <c r="EK66" s="136"/>
      <c r="EL66" s="136"/>
      <c r="EM66" s="136"/>
      <c r="EN66" s="136"/>
      <c r="EO66" s="136"/>
      <c r="EP66" s="136"/>
      <c r="EQ66" s="136"/>
      <c r="ER66" s="136"/>
      <c r="ES66" s="136"/>
      <c r="ET66" s="136"/>
      <c r="EU66" s="136"/>
      <c r="EV66" s="136"/>
      <c r="EW66" s="136"/>
      <c r="EX66" s="136"/>
      <c r="EY66" s="136"/>
      <c r="EZ66" s="136"/>
      <c r="FA66" s="136"/>
      <c r="FB66" s="136"/>
      <c r="FC66" s="136"/>
      <c r="FD66" s="136"/>
      <c r="FE66" s="136"/>
      <c r="FF66" s="136"/>
      <c r="FG66" s="136"/>
      <c r="FH66" s="136"/>
    </row>
    <row r="67" outlineLevel="1">
      <c r="B67" s="135" t="s">
        <v>517</v>
      </c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337"/>
      <c r="AY67" s="353"/>
      <c r="AZ67" s="353"/>
      <c r="BA67" s="353"/>
      <c r="BB67" s="353"/>
      <c r="BC67" s="353"/>
      <c r="BD67" s="353"/>
      <c r="BE67" s="353"/>
      <c r="BF67" s="353"/>
      <c r="BG67" s="353"/>
      <c r="BH67" s="353"/>
      <c r="BI67" s="353"/>
      <c r="BJ67" s="353"/>
      <c r="BK67" s="353"/>
      <c r="BL67" s="353"/>
      <c r="BM67" s="353"/>
      <c r="BN67" s="353"/>
      <c r="BO67" s="353"/>
      <c r="BP67" s="353"/>
      <c r="BQ67" s="353"/>
      <c r="BR67" s="353"/>
      <c r="BS67" s="337"/>
      <c r="BT67" s="337"/>
      <c r="BU67" s="337"/>
      <c r="BV67" s="337"/>
      <c r="BW67" s="33"/>
      <c r="BX67" s="292"/>
      <c r="BY67" s="49"/>
      <c r="BZ67" s="136"/>
      <c r="CA67" s="136"/>
      <c r="CB67" s="136"/>
      <c r="CC67" s="136"/>
      <c r="CD67" s="292"/>
      <c r="CE67" s="49"/>
      <c r="CF67" s="136"/>
      <c r="CG67" s="136"/>
      <c r="CH67" s="136"/>
      <c r="CI67" s="136"/>
      <c r="CJ67" s="292"/>
      <c r="CK67" s="136"/>
      <c r="CL67" s="136"/>
      <c r="CM67" s="136"/>
      <c r="CN67" s="136"/>
      <c r="CO67" s="136"/>
      <c r="CP67" s="292"/>
      <c r="CQ67" s="136"/>
      <c r="CR67" s="137"/>
      <c r="CS67" s="137"/>
      <c r="CT67" s="137"/>
      <c r="CU67" s="137"/>
      <c r="CV67" s="142"/>
      <c r="CW67" s="136"/>
      <c r="CX67" s="292"/>
      <c r="CY67" s="136"/>
      <c r="CZ67" s="136"/>
      <c r="DA67" s="136"/>
      <c r="DB67" s="136"/>
      <c r="DC67" s="136"/>
      <c r="DD67" s="136"/>
      <c r="DE67" s="136"/>
      <c r="DF67" s="136"/>
      <c r="DG67" s="136"/>
      <c r="DH67" s="136"/>
      <c r="DI67" s="136"/>
      <c r="DJ67" s="136"/>
      <c r="DK67" s="136"/>
      <c r="DL67" s="136"/>
      <c r="DM67" s="136"/>
      <c r="DN67" s="136"/>
      <c r="DO67" s="136"/>
      <c r="DP67" s="136"/>
      <c r="DQ67" s="136"/>
      <c r="DR67" s="136"/>
      <c r="DS67" s="136"/>
      <c r="DT67" s="136"/>
      <c r="DU67" s="136"/>
      <c r="DV67" s="136"/>
      <c r="DW67" s="136"/>
      <c r="DX67" s="136"/>
      <c r="DY67" s="136"/>
      <c r="DZ67" s="136"/>
      <c r="EA67" s="136"/>
      <c r="EB67" s="136"/>
      <c r="EC67" s="136"/>
      <c r="ED67" s="136"/>
      <c r="EE67" s="136"/>
      <c r="EF67" s="136"/>
      <c r="EG67" s="136"/>
      <c r="EH67" s="136"/>
      <c r="EI67" s="136"/>
      <c r="EJ67" s="136"/>
      <c r="EK67" s="136"/>
      <c r="EL67" s="136"/>
      <c r="EM67" s="136"/>
      <c r="EN67" s="136"/>
      <c r="EO67" s="136"/>
      <c r="EP67" s="136"/>
      <c r="EQ67" s="136"/>
      <c r="ER67" s="136"/>
      <c r="ES67" s="136"/>
      <c r="ET67" s="136"/>
      <c r="EU67" s="136"/>
      <c r="EV67" s="136"/>
      <c r="EW67" s="136"/>
      <c r="EX67" s="136"/>
      <c r="EY67" s="136"/>
      <c r="EZ67" s="136"/>
      <c r="FA67" s="136"/>
      <c r="FB67" s="136"/>
      <c r="FC67" s="136"/>
      <c r="FD67" s="136"/>
      <c r="FE67" s="136"/>
      <c r="FF67" s="136"/>
      <c r="FG67" s="136"/>
      <c r="FH67" s="136"/>
    </row>
    <row r="68" outlineLevel="1">
      <c r="B68" s="135" t="s">
        <v>518</v>
      </c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337"/>
      <c r="AY68" s="353"/>
      <c r="AZ68" s="353"/>
      <c r="BA68" s="353"/>
      <c r="BB68" s="353"/>
      <c r="BC68" s="353"/>
      <c r="BD68" s="353"/>
      <c r="BE68" s="353"/>
      <c r="BF68" s="353"/>
      <c r="BG68" s="353"/>
      <c r="BH68" s="353"/>
      <c r="BI68" s="353"/>
      <c r="BJ68" s="353"/>
      <c r="BK68" s="353"/>
      <c r="BL68" s="353"/>
      <c r="BM68" s="353"/>
      <c r="BN68" s="353"/>
      <c r="BO68" s="353"/>
      <c r="BP68" s="353"/>
      <c r="BQ68" s="353"/>
      <c r="BR68" s="353"/>
      <c r="BS68" s="337"/>
      <c r="BT68" s="337"/>
      <c r="BU68" s="337"/>
      <c r="BV68" s="337"/>
      <c r="BW68" s="33"/>
      <c r="BX68" s="292"/>
      <c r="BY68" s="49"/>
      <c r="BZ68" s="136"/>
      <c r="CA68" s="136"/>
      <c r="CB68" s="136"/>
      <c r="CC68" s="136"/>
      <c r="CD68" s="292"/>
      <c r="CE68" s="49"/>
      <c r="CF68" s="136"/>
      <c r="CG68" s="136"/>
      <c r="CH68" s="136"/>
      <c r="CI68" s="136"/>
      <c r="CJ68" s="292"/>
      <c r="CK68" s="136"/>
      <c r="CL68" s="136"/>
      <c r="CM68" s="136"/>
      <c r="CN68" s="136"/>
      <c r="CO68" s="136"/>
      <c r="CP68" s="292"/>
      <c r="CQ68" s="136"/>
      <c r="CR68" s="137"/>
      <c r="CS68" s="137"/>
      <c r="CT68" s="137"/>
      <c r="CU68" s="137"/>
      <c r="CV68" s="142"/>
      <c r="CW68" s="136"/>
      <c r="CX68" s="292"/>
      <c r="CY68" s="136"/>
      <c r="CZ68" s="136"/>
      <c r="DA68" s="136"/>
      <c r="DB68" s="136"/>
      <c r="DC68" s="136"/>
      <c r="DD68" s="136"/>
      <c r="DE68" s="136"/>
      <c r="DF68" s="136"/>
      <c r="DG68" s="136"/>
      <c r="DH68" s="136"/>
      <c r="DI68" s="136"/>
      <c r="DJ68" s="136"/>
      <c r="DK68" s="136"/>
      <c r="DL68" s="136"/>
      <c r="DM68" s="136"/>
      <c r="DN68" s="136"/>
      <c r="DO68" s="136"/>
      <c r="DP68" s="136"/>
      <c r="DQ68" s="136"/>
      <c r="DR68" s="136"/>
      <c r="DS68" s="136"/>
      <c r="DT68" s="136"/>
      <c r="DU68" s="136"/>
      <c r="DV68" s="136"/>
      <c r="DW68" s="136"/>
      <c r="DX68" s="136"/>
      <c r="DY68" s="136"/>
      <c r="DZ68" s="136"/>
      <c r="EA68" s="136"/>
      <c r="EB68" s="136"/>
      <c r="EC68" s="136"/>
      <c r="ED68" s="136"/>
      <c r="EE68" s="136"/>
      <c r="EF68" s="136"/>
      <c r="EG68" s="136"/>
      <c r="EH68" s="136"/>
      <c r="EI68" s="136"/>
      <c r="EJ68" s="136"/>
      <c r="EK68" s="136"/>
      <c r="EL68" s="136"/>
      <c r="EM68" s="136"/>
      <c r="EN68" s="136"/>
      <c r="EO68" s="136"/>
      <c r="EP68" s="136"/>
      <c r="EQ68" s="136"/>
      <c r="ER68" s="136"/>
      <c r="ES68" s="136"/>
      <c r="ET68" s="136"/>
      <c r="EU68" s="136"/>
      <c r="EV68" s="136"/>
      <c r="EW68" s="136"/>
      <c r="EX68" s="136"/>
      <c r="EY68" s="136"/>
      <c r="EZ68" s="136"/>
      <c r="FA68" s="136"/>
      <c r="FB68" s="136"/>
      <c r="FC68" s="136"/>
      <c r="FD68" s="136"/>
      <c r="FE68" s="136"/>
      <c r="FF68" s="136"/>
      <c r="FG68" s="136"/>
      <c r="FH68" s="136"/>
    </row>
    <row r="69">
      <c r="B69" s="135" t="s">
        <v>525</v>
      </c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269">
        <f t="shared" ref="AA69:BV69" si="99">1-IFERROR(AA33/AA18,0)</f>
        <v>0.7568225287</v>
      </c>
      <c r="AB69" s="269">
        <f t="shared" si="99"/>
        <v>0.6492959849</v>
      </c>
      <c r="AC69" s="269">
        <f t="shared" si="99"/>
        <v>0.7385141121</v>
      </c>
      <c r="AD69" s="269">
        <f t="shared" si="99"/>
        <v>0.6483928032</v>
      </c>
      <c r="AE69" s="269">
        <f t="shared" si="99"/>
        <v>0.6933254617</v>
      </c>
      <c r="AF69" s="269">
        <f t="shared" si="99"/>
        <v>0.7479910068</v>
      </c>
      <c r="AG69" s="269">
        <f t="shared" si="99"/>
        <v>0.6617131984</v>
      </c>
      <c r="AH69" s="269">
        <f t="shared" si="99"/>
        <v>0.769749024</v>
      </c>
      <c r="AI69" s="269">
        <f t="shared" si="99"/>
        <v>0.7172675032</v>
      </c>
      <c r="AJ69" s="269">
        <f t="shared" si="99"/>
        <v>0.7661622223</v>
      </c>
      <c r="AK69" s="269">
        <f t="shared" si="99"/>
        <v>0.7029477251</v>
      </c>
      <c r="AL69" s="269">
        <f t="shared" si="99"/>
        <v>0.5987600183</v>
      </c>
      <c r="AM69" s="269">
        <f t="shared" si="99"/>
        <v>0.6194685119</v>
      </c>
      <c r="AN69" s="269">
        <f t="shared" si="99"/>
        <v>0.6677349988</v>
      </c>
      <c r="AO69" s="269">
        <f t="shared" si="99"/>
        <v>0.6888251745</v>
      </c>
      <c r="AP69" s="269">
        <f t="shared" si="99"/>
        <v>0.6706308287</v>
      </c>
      <c r="AQ69" s="269">
        <f t="shared" si="99"/>
        <v>0.6506672208</v>
      </c>
      <c r="AR69" s="269">
        <f t="shared" si="99"/>
        <v>0.6661029119</v>
      </c>
      <c r="AS69" s="269">
        <f t="shared" si="99"/>
        <v>0.5430015904</v>
      </c>
      <c r="AT69" s="269">
        <f t="shared" si="99"/>
        <v>0.6574064327</v>
      </c>
      <c r="AU69" s="269">
        <f t="shared" si="99"/>
        <v>0.562357003</v>
      </c>
      <c r="AV69" s="269">
        <f t="shared" si="99"/>
        <v>0.6036287554</v>
      </c>
      <c r="AW69" s="269">
        <f t="shared" si="99"/>
        <v>0.5634712806</v>
      </c>
      <c r="AX69" s="269">
        <f t="shared" si="99"/>
        <v>0.4663849865</v>
      </c>
      <c r="AY69" s="269">
        <f t="shared" si="99"/>
        <v>0.5230642948</v>
      </c>
      <c r="AZ69" s="269">
        <f t="shared" si="99"/>
        <v>0.6364822916</v>
      </c>
      <c r="BA69" s="269">
        <f t="shared" si="99"/>
        <v>0.564301225</v>
      </c>
      <c r="BB69" s="269">
        <f t="shared" si="99"/>
        <v>0.6461753726</v>
      </c>
      <c r="BC69" s="269">
        <f t="shared" si="99"/>
        <v>0.6190739378</v>
      </c>
      <c r="BD69" s="269">
        <f t="shared" si="99"/>
        <v>0.6151876844</v>
      </c>
      <c r="BE69" s="269">
        <f t="shared" si="99"/>
        <v>0.592708155</v>
      </c>
      <c r="BF69" s="269">
        <f t="shared" si="99"/>
        <v>0.6459359999</v>
      </c>
      <c r="BG69" s="269">
        <f t="shared" si="99"/>
        <v>0.6140754</v>
      </c>
      <c r="BH69" s="269">
        <f t="shared" si="99"/>
        <v>0.669310589</v>
      </c>
      <c r="BI69" s="269">
        <f t="shared" si="99"/>
        <v>0.6225040938</v>
      </c>
      <c r="BJ69" s="269">
        <f t="shared" si="99"/>
        <v>0.5682211462</v>
      </c>
      <c r="BK69" s="269">
        <f t="shared" si="99"/>
        <v>0.5655994424</v>
      </c>
      <c r="BL69" s="269">
        <f t="shared" si="99"/>
        <v>0.5663455453</v>
      </c>
      <c r="BM69" s="269">
        <f t="shared" si="99"/>
        <v>0.5646512035</v>
      </c>
      <c r="BN69" s="269">
        <f t="shared" si="99"/>
        <v>0.6110096064</v>
      </c>
      <c r="BO69" s="269">
        <f t="shared" si="99"/>
        <v>0.555304197</v>
      </c>
      <c r="BP69" s="269">
        <f t="shared" si="99"/>
        <v>0.5696172549</v>
      </c>
      <c r="BQ69" s="269">
        <f t="shared" si="99"/>
        <v>0.5950699264</v>
      </c>
      <c r="BR69" s="269">
        <f t="shared" si="99"/>
        <v>0.5471383492</v>
      </c>
      <c r="BS69" s="269">
        <f t="shared" si="99"/>
        <v>1</v>
      </c>
      <c r="BT69" s="269">
        <f t="shared" si="99"/>
        <v>1</v>
      </c>
      <c r="BU69" s="269">
        <f t="shared" si="99"/>
        <v>1</v>
      </c>
      <c r="BV69" s="269">
        <f t="shared" si="99"/>
        <v>1</v>
      </c>
      <c r="BW69" s="33"/>
      <c r="BX69" s="292"/>
      <c r="BY69" s="136"/>
      <c r="BZ69" s="136"/>
      <c r="CA69" s="136"/>
      <c r="CB69" s="136"/>
      <c r="CC69" s="136"/>
      <c r="CD69" s="269"/>
      <c r="CE69" s="136"/>
      <c r="CF69" s="136"/>
      <c r="CG69" s="136"/>
      <c r="CH69" s="136"/>
      <c r="CI69" s="136"/>
      <c r="CJ69" s="269"/>
      <c r="CK69" s="136"/>
      <c r="CL69" s="136"/>
      <c r="CM69" s="136"/>
      <c r="CN69" s="136"/>
      <c r="CO69" s="136"/>
      <c r="CP69" s="347"/>
      <c r="CQ69" s="136"/>
      <c r="CR69" s="136"/>
      <c r="CS69" s="136"/>
      <c r="CT69" s="136"/>
      <c r="CU69" s="136"/>
      <c r="CV69" s="347"/>
      <c r="CW69" s="136"/>
      <c r="CX69" s="292"/>
      <c r="CY69" s="136"/>
      <c r="CZ69" s="136"/>
      <c r="DA69" s="136"/>
      <c r="DB69" s="136"/>
      <c r="DC69" s="136"/>
      <c r="DD69" s="136"/>
      <c r="DE69" s="136"/>
      <c r="DF69" s="136"/>
      <c r="DG69" s="136"/>
      <c r="DH69" s="136"/>
      <c r="DI69" s="136"/>
      <c r="DJ69" s="136"/>
      <c r="DK69" s="136"/>
      <c r="DL69" s="136"/>
      <c r="DM69" s="136"/>
      <c r="DN69" s="136"/>
      <c r="DO69" s="136"/>
      <c r="DP69" s="136"/>
      <c r="DQ69" s="136"/>
      <c r="DR69" s="136"/>
      <c r="DS69" s="136"/>
      <c r="DT69" s="136"/>
      <c r="DU69" s="136"/>
      <c r="DV69" s="136"/>
      <c r="DW69" s="136"/>
      <c r="DX69" s="136"/>
      <c r="DY69" s="136"/>
      <c r="DZ69" s="136"/>
      <c r="EA69" s="136"/>
      <c r="EB69" s="136"/>
      <c r="EC69" s="136"/>
      <c r="ED69" s="136"/>
      <c r="EE69" s="136"/>
      <c r="EF69" s="136"/>
      <c r="EG69" s="136"/>
      <c r="EH69" s="136"/>
      <c r="EI69" s="136"/>
      <c r="EJ69" s="136"/>
      <c r="EK69" s="136"/>
      <c r="EL69" s="136"/>
      <c r="EM69" s="136"/>
      <c r="EN69" s="136"/>
      <c r="EO69" s="136"/>
      <c r="EP69" s="136"/>
      <c r="EQ69" s="136"/>
      <c r="ER69" s="136"/>
      <c r="ES69" s="136"/>
      <c r="ET69" s="136"/>
      <c r="EU69" s="136"/>
      <c r="EV69" s="136"/>
      <c r="EW69" s="136"/>
      <c r="EX69" s="136"/>
      <c r="EY69" s="136"/>
      <c r="EZ69" s="136"/>
      <c r="FA69" s="136"/>
      <c r="FB69" s="136"/>
      <c r="FC69" s="136"/>
      <c r="FD69" s="136"/>
      <c r="FE69" s="136"/>
      <c r="FF69" s="136"/>
      <c r="FG69" s="136"/>
      <c r="FH69" s="136"/>
    </row>
    <row r="70" ht="14.25" customHeight="1">
      <c r="CR70" s="2"/>
      <c r="CS70" s="2"/>
      <c r="CT70" s="2"/>
      <c r="CU70" s="2"/>
      <c r="EI70" s="3"/>
    </row>
    <row r="71">
      <c r="B71" s="63" t="s">
        <v>198</v>
      </c>
      <c r="C71" s="64">
        <f t="shared" ref="C71:AL71" si="100">SUM(C72:C83)</f>
        <v>0</v>
      </c>
      <c r="D71" s="64">
        <f t="shared" si="100"/>
        <v>0</v>
      </c>
      <c r="E71" s="64">
        <f t="shared" si="100"/>
        <v>0</v>
      </c>
      <c r="F71" s="64">
        <f t="shared" si="100"/>
        <v>0</v>
      </c>
      <c r="G71" s="64">
        <f t="shared" si="100"/>
        <v>0</v>
      </c>
      <c r="H71" s="64">
        <f t="shared" si="100"/>
        <v>0</v>
      </c>
      <c r="I71" s="64">
        <f t="shared" si="100"/>
        <v>0</v>
      </c>
      <c r="J71" s="64">
        <f t="shared" si="100"/>
        <v>0</v>
      </c>
      <c r="K71" s="64">
        <f t="shared" si="100"/>
        <v>0</v>
      </c>
      <c r="L71" s="64">
        <f t="shared" si="100"/>
        <v>0</v>
      </c>
      <c r="M71" s="64">
        <f t="shared" si="100"/>
        <v>0</v>
      </c>
      <c r="N71" s="64">
        <f t="shared" si="100"/>
        <v>0</v>
      </c>
      <c r="O71" s="64">
        <f t="shared" si="100"/>
        <v>0</v>
      </c>
      <c r="P71" s="64">
        <f t="shared" si="100"/>
        <v>0</v>
      </c>
      <c r="Q71" s="64">
        <f t="shared" si="100"/>
        <v>0</v>
      </c>
      <c r="R71" s="64">
        <f t="shared" si="100"/>
        <v>0</v>
      </c>
      <c r="S71" s="64">
        <f t="shared" si="100"/>
        <v>0</v>
      </c>
      <c r="T71" s="64">
        <f t="shared" si="100"/>
        <v>0</v>
      </c>
      <c r="U71" s="64">
        <f t="shared" si="100"/>
        <v>0</v>
      </c>
      <c r="V71" s="64">
        <f t="shared" si="100"/>
        <v>0</v>
      </c>
      <c r="W71" s="64">
        <f t="shared" si="100"/>
        <v>0</v>
      </c>
      <c r="X71" s="64">
        <f t="shared" si="100"/>
        <v>0</v>
      </c>
      <c r="Y71" s="64">
        <f t="shared" si="100"/>
        <v>0</v>
      </c>
      <c r="Z71" s="64">
        <f t="shared" si="100"/>
        <v>0</v>
      </c>
      <c r="AA71" s="64">
        <f t="shared" si="100"/>
        <v>457303</v>
      </c>
      <c r="AB71" s="64">
        <f t="shared" si="100"/>
        <v>524328</v>
      </c>
      <c r="AC71" s="64">
        <f t="shared" si="100"/>
        <v>600753</v>
      </c>
      <c r="AD71" s="64">
        <f t="shared" si="100"/>
        <v>547611</v>
      </c>
      <c r="AE71" s="64">
        <f t="shared" si="100"/>
        <v>580864</v>
      </c>
      <c r="AF71" s="64">
        <f t="shared" si="100"/>
        <v>598656</v>
      </c>
      <c r="AG71" s="64">
        <f t="shared" si="100"/>
        <v>602459</v>
      </c>
      <c r="AH71" s="64">
        <f t="shared" si="100"/>
        <v>568237</v>
      </c>
      <c r="AI71" s="64">
        <f t="shared" si="100"/>
        <v>682650</v>
      </c>
      <c r="AJ71" s="64">
        <f t="shared" si="100"/>
        <v>851601</v>
      </c>
      <c r="AK71" s="64">
        <f t="shared" si="100"/>
        <v>759184</v>
      </c>
      <c r="AL71" s="64">
        <f t="shared" si="100"/>
        <v>806633</v>
      </c>
      <c r="AM71" s="270">
        <f t="shared" ref="AM71:AX71" si="101">SUM(AM72,AM76,AM80)</f>
        <v>750785</v>
      </c>
      <c r="AN71" s="270">
        <f t="shared" si="101"/>
        <v>807790</v>
      </c>
      <c r="AO71" s="270">
        <f t="shared" si="101"/>
        <v>833956</v>
      </c>
      <c r="AP71" s="270">
        <f t="shared" si="101"/>
        <v>1057484</v>
      </c>
      <c r="AQ71" s="270">
        <f t="shared" si="101"/>
        <v>935219</v>
      </c>
      <c r="AR71" s="270">
        <f t="shared" si="101"/>
        <v>975779</v>
      </c>
      <c r="AS71" s="270">
        <f t="shared" si="101"/>
        <v>1202190</v>
      </c>
      <c r="AT71" s="270">
        <f t="shared" si="101"/>
        <v>1006119</v>
      </c>
      <c r="AU71" s="270">
        <f t="shared" si="101"/>
        <v>1014548</v>
      </c>
      <c r="AV71" s="270">
        <f t="shared" si="101"/>
        <v>1054237</v>
      </c>
      <c r="AW71" s="270">
        <f t="shared" si="101"/>
        <v>1045399</v>
      </c>
      <c r="AX71" s="270">
        <f t="shared" si="101"/>
        <v>942178</v>
      </c>
      <c r="AY71" s="270">
        <v>1312056.86</v>
      </c>
      <c r="AZ71" s="270">
        <v>1056956.03</v>
      </c>
      <c r="BA71" s="270">
        <v>1205039.85</v>
      </c>
      <c r="BB71" s="270">
        <v>1159759.98</v>
      </c>
      <c r="BC71" s="270">
        <v>1264048.19</v>
      </c>
      <c r="BD71" s="270">
        <v>1325176.56</v>
      </c>
      <c r="BE71" s="270">
        <v>1148718.86</v>
      </c>
      <c r="BF71" s="270">
        <v>1082979.54</v>
      </c>
      <c r="BG71" s="270">
        <v>1177369.49</v>
      </c>
      <c r="BH71" s="270">
        <v>1174268.99</v>
      </c>
      <c r="BI71" s="270">
        <v>1110814.68</v>
      </c>
      <c r="BJ71" s="270">
        <v>1193483.08</v>
      </c>
      <c r="BK71" s="270">
        <v>1349799.03</v>
      </c>
      <c r="BL71" s="270">
        <v>1003637.85</v>
      </c>
      <c r="BM71" s="270">
        <v>1072361.86</v>
      </c>
      <c r="BN71" s="270">
        <v>1413998.25</v>
      </c>
      <c r="BO71" s="270">
        <v>1451019.69</v>
      </c>
      <c r="BP71" s="270">
        <v>1362210.55</v>
      </c>
      <c r="BQ71" s="270">
        <v>1337099.65</v>
      </c>
      <c r="BR71" s="270">
        <f t="shared" ref="BR71:BV71" si="102">SUM(BR72,BR76,BR80)</f>
        <v>1504466</v>
      </c>
      <c r="BS71" s="270">
        <f t="shared" si="102"/>
        <v>0</v>
      </c>
      <c r="BT71" s="270">
        <f t="shared" si="102"/>
        <v>0</v>
      </c>
      <c r="BU71" s="270">
        <f t="shared" si="102"/>
        <v>0</v>
      </c>
      <c r="BV71" s="270">
        <f t="shared" si="102"/>
        <v>0</v>
      </c>
      <c r="BW71" s="33"/>
      <c r="BX71" s="121" t="str">
        <f t="array" ref="BX71">SUM(INDIRECT(XLOOKUP('GAAP Summary'!$B$2,'TTM Dates'!$B:$B,'TTM Dates'!$E:$E)&amp;ROW($BW71)&amp;":"&amp;XLOOKUP('GAAP Summary'!$B$2,'TTM Dates'!$B:$B,'TTM Dates'!$C:$C)&amp;ROW($BW71)))</f>
        <v>#REF!</v>
      </c>
      <c r="BY71" s="49"/>
      <c r="BZ71" s="270">
        <f t="shared" ref="BZ71:BZ83" si="104">sum(BK71:BM71)</f>
        <v>3425798.74</v>
      </c>
      <c r="CA71" s="270">
        <f t="shared" ref="CA71:CA83" si="105">sum(BN71:BP71)</f>
        <v>4227228.49</v>
      </c>
      <c r="CB71" s="270">
        <f t="shared" ref="CB71:CB83" si="106">sum(BQ71:BS71)</f>
        <v>2841565.65</v>
      </c>
      <c r="CC71" s="270">
        <f t="shared" ref="CC71:CC83" si="107">sum(BT71:BV71)</f>
        <v>0</v>
      </c>
      <c r="CD71" s="121">
        <f t="shared" ref="CD71:CD83" si="108">sum(BK71:BV71)</f>
        <v>10494592.88</v>
      </c>
      <c r="CE71" s="49"/>
      <c r="CF71" s="270">
        <f t="shared" ref="CF71:CF83" si="109">sum(AY71:BA71)</f>
        <v>3574052.74</v>
      </c>
      <c r="CG71" s="270">
        <f t="shared" ref="CG71:CG83" si="110">sum(BB71:BD71)</f>
        <v>3748984.73</v>
      </c>
      <c r="CH71" s="270">
        <f t="shared" ref="CH71:CH83" si="111">sum(BE71:BG71)</f>
        <v>3409067.89</v>
      </c>
      <c r="CI71" s="270">
        <f t="shared" ref="CI71:CI83" si="112">sum(BH71:BJ71)</f>
        <v>3478566.75</v>
      </c>
      <c r="CJ71" s="121">
        <f t="shared" ref="CJ71:CJ83" si="113">sum(AY71:BJ71)</f>
        <v>14210672.11</v>
      </c>
      <c r="CK71" s="49"/>
      <c r="CL71" s="270">
        <f t="shared" ref="CL71:CL83" si="114">sum(AM71:AO71)</f>
        <v>2392531</v>
      </c>
      <c r="CM71" s="270">
        <f t="shared" ref="CM71:CM83" si="115">sum(AP71:AR71)</f>
        <v>2968482</v>
      </c>
      <c r="CN71" s="270">
        <f t="shared" ref="CN71:CN83" si="116">sum(AS71:AU71)</f>
        <v>3222857</v>
      </c>
      <c r="CO71" s="270">
        <f t="shared" ref="CO71:CO83" si="117">sum(AV71:AX71)</f>
        <v>3041814</v>
      </c>
      <c r="CP71" s="121">
        <f t="shared" ref="CP71:CP83" si="118">sum(AM71:AX71)</f>
        <v>11625684</v>
      </c>
      <c r="CQ71" s="49"/>
      <c r="CR71" s="270">
        <f t="shared" ref="CR71:CR72" si="119">sum(AA71:AC71)</f>
        <v>1582384</v>
      </c>
      <c r="CS71" s="270">
        <f t="shared" ref="CS71:CS72" si="120">sum(AD71:AF71)</f>
        <v>1727131</v>
      </c>
      <c r="CT71" s="270">
        <f t="shared" ref="CT71:CT72" si="121">sum(AG71:AI71)</f>
        <v>1853346</v>
      </c>
      <c r="CU71" s="270">
        <f t="shared" ref="CU71:CU72" si="122">sum(AJ71:AL71)</f>
        <v>2417418</v>
      </c>
      <c r="CV71" s="121">
        <f>sum(CV72:CV80)</f>
        <v>7580279</v>
      </c>
      <c r="CW71" s="49"/>
      <c r="CX71" s="121">
        <f>sum(CX72:CX80)</f>
        <v>0</v>
      </c>
      <c r="CY71" s="136"/>
      <c r="CZ71" s="64">
        <f t="array" ref="CZ71">IF(CZ$3&gt;'GAAP Summary'!$B$2,0,SUM(INDIRECT(XLOOKUP(CZ$3,'TTM Dates'!$B:$B,'TTM Dates'!$E:$E)&amp;ROW($BW71)&amp;":"&amp;XLOOKUP(CZ$3,'TTM Dates'!$B:$B,'TTM Dates'!$C:$C)&amp;ROW($BW71))))</f>
        <v>0</v>
      </c>
      <c r="DA71" s="64">
        <f t="array" ref="DA71">IF(DA$3&gt;'GAAP Summary'!$B$2,0,SUM(INDIRECT(XLOOKUP(DA$3,'TTM Dates'!$B:$B,'TTM Dates'!$E:$E)&amp;ROW($BW71)&amp;":"&amp;XLOOKUP(DA$3,'TTM Dates'!$B:$B,'TTM Dates'!$C:$C)&amp;ROW($BW71))))</f>
        <v>0</v>
      </c>
      <c r="DB71" s="64">
        <f t="array" ref="DB71">IF(DB$3&gt;'GAAP Summary'!$B$2,0,SUM(INDIRECT(XLOOKUP(DB$3,'TTM Dates'!$B:$B,'TTM Dates'!$E:$E)&amp;ROW($BW71)&amp;":"&amp;XLOOKUP(DB$3,'TTM Dates'!$B:$B,'TTM Dates'!$C:$C)&amp;ROW($BW71))))</f>
        <v>0</v>
      </c>
      <c r="DC71" s="64">
        <f t="array" ref="DC71">IF(DC$3&gt;'GAAP Summary'!$B$2,0,SUM(INDIRECT(XLOOKUP(DC$3,'TTM Dates'!$B:$B,'TTM Dates'!$E:$E)&amp;ROW($BW71)&amp;":"&amp;XLOOKUP(DC$3,'TTM Dates'!$B:$B,'TTM Dates'!$C:$C)&amp;ROW($BW71))))</f>
        <v>0</v>
      </c>
      <c r="DD71" s="64">
        <f t="array" ref="DD71">IF(DD$3&gt;'GAAP Summary'!$B$2,0,SUM(INDIRECT(XLOOKUP(DD$3,'TTM Dates'!$B:$B,'TTM Dates'!$E:$E)&amp;ROW($BW71)&amp;":"&amp;XLOOKUP(DD$3,'TTM Dates'!$B:$B,'TTM Dates'!$C:$C)&amp;ROW($BW71))))</f>
        <v>0</v>
      </c>
      <c r="DE71" s="64">
        <f t="array" ref="DE71">IF(DE$3&gt;'GAAP Summary'!$B$2,0,SUM(INDIRECT(XLOOKUP(DE$3,'TTM Dates'!$B:$B,'TTM Dates'!$E:$E)&amp;ROW($BW71)&amp;":"&amp;XLOOKUP(DE$3,'TTM Dates'!$B:$B,'TTM Dates'!$C:$C)&amp;ROW($BW71))))</f>
        <v>0</v>
      </c>
      <c r="DF71" s="64">
        <f t="array" ref="DF71">IF(DF$3&gt;'GAAP Summary'!$B$2,0,SUM(INDIRECT(XLOOKUP(DF$3,'TTM Dates'!$B:$B,'TTM Dates'!$E:$E)&amp;ROW($BW71)&amp;":"&amp;XLOOKUP(DF$3,'TTM Dates'!$B:$B,'TTM Dates'!$C:$C)&amp;ROW($BW71))))</f>
        <v>0</v>
      </c>
      <c r="DG71" s="64">
        <f t="array" ref="DG71">IF(DG$3&gt;'GAAP Summary'!$B$2,0,SUM(INDIRECT(XLOOKUP(DG$3,'TTM Dates'!$B:$B,'TTM Dates'!$E:$E)&amp;ROW($BW71)&amp;":"&amp;XLOOKUP(DG$3,'TTM Dates'!$B:$B,'TTM Dates'!$C:$C)&amp;ROW($BW71))))</f>
        <v>0</v>
      </c>
      <c r="DH71" s="64">
        <f t="array" ref="DH71">IF(DH$3&gt;'GAAP Summary'!$B$2,0,SUM(INDIRECT(XLOOKUP(DH$3,'TTM Dates'!$B:$B,'TTM Dates'!$E:$E)&amp;ROW($BW71)&amp;":"&amp;XLOOKUP(DH$3,'TTM Dates'!$B:$B,'TTM Dates'!$C:$C)&amp;ROW($BW71))))</f>
        <v>0</v>
      </c>
      <c r="DI71" s="64">
        <f t="array" ref="DI71">IF(DI$3&gt;'GAAP Summary'!$B$2,0,SUM(INDIRECT(XLOOKUP(DI$3,'TTM Dates'!$B:$B,'TTM Dates'!$E:$E)&amp;ROW($BW71)&amp;":"&amp;XLOOKUP(DI$3,'TTM Dates'!$B:$B,'TTM Dates'!$C:$C)&amp;ROW($BW71))))</f>
        <v>0</v>
      </c>
      <c r="DJ71" s="64">
        <f t="array" ref="DJ71">IF(DJ$3&gt;'GAAP Summary'!$B$2,0,SUM(INDIRECT(XLOOKUP(DJ$3,'TTM Dates'!$B:$B,'TTM Dates'!$E:$E)&amp;ROW($BW71)&amp;":"&amp;XLOOKUP(DJ$3,'TTM Dates'!$B:$B,'TTM Dates'!$C:$C)&amp;ROW($BW71))))</f>
        <v>0</v>
      </c>
      <c r="DK71" s="64">
        <f t="array" ref="DK71">IF(DK$3&gt;'GAAP Summary'!$B$2,0,SUM(INDIRECT(XLOOKUP(DK$3,'TTM Dates'!$B:$B,'TTM Dates'!$E:$E)&amp;ROW($BW71)&amp;":"&amp;XLOOKUP(DK$3,'TTM Dates'!$B:$B,'TTM Dates'!$C:$C)&amp;ROW($BW71))))</f>
        <v>0</v>
      </c>
      <c r="DL71" s="64">
        <f t="array" ref="DL71">IF(DL$3&gt;'GAAP Summary'!$B$2,0,SUM(INDIRECT(XLOOKUP(DL$3,'TTM Dates'!$B:$B,'TTM Dates'!$E:$E)&amp;ROW($BW71)&amp;":"&amp;XLOOKUP(DL$3,'TTM Dates'!$B:$B,'TTM Dates'!$C:$C)&amp;ROW($BW71))))</f>
        <v>457303</v>
      </c>
      <c r="DM71" s="64">
        <f t="array" ref="DM71">IF(DM$3&gt;'GAAP Summary'!$B$2,0,SUM(INDIRECT(XLOOKUP(DM$3,'TTM Dates'!$B:$B,'TTM Dates'!$E:$E)&amp;ROW($BW71)&amp;":"&amp;XLOOKUP(DM$3,'TTM Dates'!$B:$B,'TTM Dates'!$C:$C)&amp;ROW($BW71))))</f>
        <v>981631</v>
      </c>
      <c r="DN71" s="64">
        <f t="array" ref="DN71">IF(DN$3&gt;'GAAP Summary'!$B$2,0,SUM(INDIRECT(XLOOKUP(DN$3,'TTM Dates'!$B:$B,'TTM Dates'!$E:$E)&amp;ROW($BW71)&amp;":"&amp;XLOOKUP(DN$3,'TTM Dates'!$B:$B,'TTM Dates'!$C:$C)&amp;ROW($BW71))))</f>
        <v>1582384</v>
      </c>
      <c r="DO71" s="64">
        <f t="array" ref="DO71">IF(DO$3&gt;'GAAP Summary'!$B$2,0,SUM(INDIRECT(XLOOKUP(DO$3,'TTM Dates'!$B:$B,'TTM Dates'!$E:$E)&amp;ROW($BW71)&amp;":"&amp;XLOOKUP(DO$3,'TTM Dates'!$B:$B,'TTM Dates'!$C:$C)&amp;ROW($BW71))))</f>
        <v>2129995</v>
      </c>
      <c r="DP71" s="64">
        <f t="array" ref="DP71">IF(DP$3&gt;'GAAP Summary'!$B$2,0,SUM(INDIRECT(XLOOKUP(DP$3,'TTM Dates'!$B:$B,'TTM Dates'!$E:$E)&amp;ROW($BW71)&amp;":"&amp;XLOOKUP(DP$3,'TTM Dates'!$B:$B,'TTM Dates'!$C:$C)&amp;ROW($BW71))))</f>
        <v>2710859</v>
      </c>
      <c r="DQ71" s="64">
        <f t="array" ref="DQ71">IF(DQ$3&gt;'GAAP Summary'!$B$2,0,SUM(INDIRECT(XLOOKUP(DQ$3,'TTM Dates'!$B:$B,'TTM Dates'!$E:$E)&amp;ROW($BW71)&amp;":"&amp;XLOOKUP(DQ$3,'TTM Dates'!$B:$B,'TTM Dates'!$C:$C)&amp;ROW($BW71))))</f>
        <v>3309515</v>
      </c>
      <c r="DR71" s="64">
        <f t="array" ref="DR71">IF(DR$3&gt;'GAAP Summary'!$B$2,0,SUM(INDIRECT(XLOOKUP(DR$3,'TTM Dates'!$B:$B,'TTM Dates'!$E:$E)&amp;ROW($BW71)&amp;":"&amp;XLOOKUP(DR$3,'TTM Dates'!$B:$B,'TTM Dates'!$C:$C)&amp;ROW($BW71))))</f>
        <v>3911974</v>
      </c>
      <c r="DS71" s="64">
        <f t="array" ref="DS71">IF(DS$3&gt;'GAAP Summary'!$B$2,0,SUM(INDIRECT(XLOOKUP(DS$3,'TTM Dates'!$B:$B,'TTM Dates'!$E:$E)&amp;ROW($BW71)&amp;":"&amp;XLOOKUP(DS$3,'TTM Dates'!$B:$B,'TTM Dates'!$C:$C)&amp;ROW($BW71))))</f>
        <v>4480211</v>
      </c>
      <c r="DT71" s="64">
        <f t="array" ref="DT71">IF(DT$3&gt;'GAAP Summary'!$B$2,0,SUM(INDIRECT(XLOOKUP(DT$3,'TTM Dates'!$B:$B,'TTM Dates'!$E:$E)&amp;ROW($BW71)&amp;":"&amp;XLOOKUP(DT$3,'TTM Dates'!$B:$B,'TTM Dates'!$C:$C)&amp;ROW($BW71))))</f>
        <v>5162861</v>
      </c>
      <c r="DU71" s="64">
        <f t="array" ref="DU71">IF(DU$3&gt;'GAAP Summary'!$B$2,0,SUM(INDIRECT(XLOOKUP(DU$3,'TTM Dates'!$B:$B,'TTM Dates'!$E:$E)&amp;ROW($BW71)&amp;":"&amp;XLOOKUP(DU$3,'TTM Dates'!$B:$B,'TTM Dates'!$C:$C)&amp;ROW($BW71))))</f>
        <v>6014462</v>
      </c>
      <c r="DV71" s="64">
        <f t="array" ref="DV71">IF(DV$3&gt;'GAAP Summary'!$B$2,0,SUM(INDIRECT(XLOOKUP(DV$3,'TTM Dates'!$B:$B,'TTM Dates'!$E:$E)&amp;ROW($BW71)&amp;":"&amp;XLOOKUP(DV$3,'TTM Dates'!$B:$B,'TTM Dates'!$C:$C)&amp;ROW($BW71))))</f>
        <v>6773646</v>
      </c>
      <c r="DW71" s="64">
        <f t="array" ref="DW71">IF(DW$3&gt;'GAAP Summary'!$B$2,0,SUM(INDIRECT(XLOOKUP(DW$3,'TTM Dates'!$B:$B,'TTM Dates'!$E:$E)&amp;ROW($BW71)&amp;":"&amp;XLOOKUP(DW$3,'TTM Dates'!$B:$B,'TTM Dates'!$C:$C)&amp;ROW($BW71))))</f>
        <v>7580279</v>
      </c>
      <c r="DX71" s="64">
        <f t="array" ref="DX71">IF(DX$3&gt;'GAAP Summary'!$B$2,0,SUM(INDIRECT(XLOOKUP(DX$3,'TTM Dates'!$B:$B,'TTM Dates'!$E:$E)&amp;ROW($BW71)&amp;":"&amp;XLOOKUP(DX$3,'TTM Dates'!$B:$B,'TTM Dates'!$C:$C)&amp;ROW($BW71))))</f>
        <v>7873761</v>
      </c>
      <c r="DY71" s="64">
        <f t="array" ref="DY71">IF(DY$3&gt;'GAAP Summary'!$B$2,0,SUM(INDIRECT(XLOOKUP(DY$3,'TTM Dates'!$B:$B,'TTM Dates'!$E:$E)&amp;ROW($BW71)&amp;":"&amp;XLOOKUP(DY$3,'TTM Dates'!$B:$B,'TTM Dates'!$C:$C)&amp;ROW($BW71))))</f>
        <v>8157223</v>
      </c>
      <c r="DZ71" s="64">
        <f t="array" ref="DZ71">IF(DZ$3&gt;'GAAP Summary'!$B$2,0,SUM(INDIRECT(XLOOKUP(DZ$3,'TTM Dates'!$B:$B,'TTM Dates'!$E:$E)&amp;ROW($BW71)&amp;":"&amp;XLOOKUP(DZ$3,'TTM Dates'!$B:$B,'TTM Dates'!$C:$C)&amp;ROW($BW71))))</f>
        <v>8390426</v>
      </c>
      <c r="EA71" s="64">
        <f t="array" ref="EA71">IF(EA$3&gt;'GAAP Summary'!$B$2,0,SUM(INDIRECT(XLOOKUP(EA$3,'TTM Dates'!$B:$B,'TTM Dates'!$E:$E)&amp;ROW($BW71)&amp;":"&amp;XLOOKUP(EA$3,'TTM Dates'!$B:$B,'TTM Dates'!$C:$C)&amp;ROW($BW71))))</f>
        <v>8900299</v>
      </c>
      <c r="EB71" s="64">
        <f t="array" ref="EB71">IF(EB$3&gt;'GAAP Summary'!$B$2,0,SUM(INDIRECT(XLOOKUP(EB$3,'TTM Dates'!$B:$B,'TTM Dates'!$E:$E)&amp;ROW($BW71)&amp;":"&amp;XLOOKUP(EB$3,'TTM Dates'!$B:$B,'TTM Dates'!$C:$C)&amp;ROW($BW71))))</f>
        <v>9254654</v>
      </c>
      <c r="EC71" s="64">
        <f t="array" ref="EC71">IF(EC$3&gt;'GAAP Summary'!$B$2,0,SUM(INDIRECT(XLOOKUP(EC$3,'TTM Dates'!$B:$B,'TTM Dates'!$E:$E)&amp;ROW($BW71)&amp;":"&amp;XLOOKUP(EC$3,'TTM Dates'!$B:$B,'TTM Dates'!$C:$C)&amp;ROW($BW71))))</f>
        <v>9631777</v>
      </c>
      <c r="ED71" s="64">
        <f t="array" ref="ED71">IF(ED$3&gt;'GAAP Summary'!$B$2,0,SUM(INDIRECT(XLOOKUP(ED$3,'TTM Dates'!$B:$B,'TTM Dates'!$E:$E)&amp;ROW($BW71)&amp;":"&amp;XLOOKUP(ED$3,'TTM Dates'!$B:$B,'TTM Dates'!$C:$C)&amp;ROW($BW71))))</f>
        <v>10231508</v>
      </c>
      <c r="EE71" s="64">
        <f t="array" ref="EE71">IF(EE$3&gt;'GAAP Summary'!$B$2,0,SUM(INDIRECT(XLOOKUP(EE$3,'TTM Dates'!$B:$B,'TTM Dates'!$E:$E)&amp;ROW($BW71)&amp;":"&amp;XLOOKUP(EE$3,'TTM Dates'!$B:$B,'TTM Dates'!$C:$C)&amp;ROW($BW71))))</f>
        <v>10669390</v>
      </c>
      <c r="EF71" s="64">
        <f t="array" ref="EF71">IF(EF$3&gt;'GAAP Summary'!$B$2,0,SUM(INDIRECT(XLOOKUP(EF$3,'TTM Dates'!$B:$B,'TTM Dates'!$E:$E)&amp;ROW($BW71)&amp;":"&amp;XLOOKUP(EF$3,'TTM Dates'!$B:$B,'TTM Dates'!$C:$C)&amp;ROW($BW71))))</f>
        <v>11001288</v>
      </c>
      <c r="EG71" s="64">
        <f t="array" ref="EG71">IF(EG$3&gt;'GAAP Summary'!$B$2,0,SUM(INDIRECT(XLOOKUP(EG$3,'TTM Dates'!$B:$B,'TTM Dates'!$E:$E)&amp;ROW($BW71)&amp;":"&amp;XLOOKUP(EG$3,'TTM Dates'!$B:$B,'TTM Dates'!$C:$C)&amp;ROW($BW71))))</f>
        <v>11203924</v>
      </c>
      <c r="EH71" s="64">
        <f t="array" ref="EH71">IF(EH$3&gt;'GAAP Summary'!$B$2,0,SUM(INDIRECT(XLOOKUP(EH$3,'TTM Dates'!$B:$B,'TTM Dates'!$E:$E)&amp;ROW($BW71)&amp;":"&amp;XLOOKUP(EH$3,'TTM Dates'!$B:$B,'TTM Dates'!$C:$C)&amp;ROW($BW71))))</f>
        <v>11490139</v>
      </c>
      <c r="EI71" s="64">
        <f t="array" ref="EI71">IF(EI$3&gt;'GAAP Summary'!$B$2,0,SUM(INDIRECT(XLOOKUP(EI$3,'TTM Dates'!$B:$B,'TTM Dates'!$E:$E)&amp;ROW($BW71)&amp;":"&amp;XLOOKUP(EI$3,'TTM Dates'!$B:$B,'TTM Dates'!$C:$C)&amp;ROW($BW71))))</f>
        <v>11625684</v>
      </c>
      <c r="EJ71" s="64">
        <f t="array" ref="EJ71">IF(EJ$3&gt;'GAAP Summary'!$B$2,0,SUM(INDIRECT(XLOOKUP(EJ$3,'TTM Dates'!$B:$B,'TTM Dates'!$E:$E)&amp;ROW($BW71)&amp;":"&amp;XLOOKUP(EJ$3,'TTM Dates'!$B:$B,'TTM Dates'!$C:$C)&amp;ROW($BW71))))</f>
        <v>12186955.86</v>
      </c>
      <c r="EK71" s="64">
        <f t="array" ref="EK71">IF(EK$3&gt;'GAAP Summary'!$B$2,0,SUM(INDIRECT(XLOOKUP(EK$3,'TTM Dates'!$B:$B,'TTM Dates'!$E:$E)&amp;ROW($BW71)&amp;":"&amp;XLOOKUP(EK$3,'TTM Dates'!$B:$B,'TTM Dates'!$C:$C)&amp;ROW($BW71))))</f>
        <v>12436121.89</v>
      </c>
      <c r="EL71" s="64">
        <f t="array" ref="EL71">IF(EL$3&gt;'GAAP Summary'!$B$2,0,SUM(INDIRECT(XLOOKUP(EL$3,'TTM Dates'!$B:$B,'TTM Dates'!$E:$E)&amp;ROW($BW71)&amp;":"&amp;XLOOKUP(EL$3,'TTM Dates'!$B:$B,'TTM Dates'!$C:$C)&amp;ROW($BW71))))</f>
        <v>12807205.74</v>
      </c>
      <c r="EM71" s="64">
        <f t="array" ref="EM71">IF(EM$3&gt;'GAAP Summary'!$B$2,0,SUM(INDIRECT(XLOOKUP(EM$3,'TTM Dates'!$B:$B,'TTM Dates'!$E:$E)&amp;ROW($BW71)&amp;":"&amp;XLOOKUP(EM$3,'TTM Dates'!$B:$B,'TTM Dates'!$C:$C)&amp;ROW($BW71))))</f>
        <v>12909481.72</v>
      </c>
      <c r="EN71" s="64">
        <f t="array" ref="EN71">IF(EN$3&gt;'GAAP Summary'!$B$2,0,SUM(INDIRECT(XLOOKUP(EN$3,'TTM Dates'!$B:$B,'TTM Dates'!$E:$E)&amp;ROW($BW71)&amp;":"&amp;XLOOKUP(EN$3,'TTM Dates'!$B:$B,'TTM Dates'!$C:$C)&amp;ROW($BW71))))</f>
        <v>13238310.91</v>
      </c>
      <c r="EO71" s="64">
        <f t="array" ref="EO71">IF(EO$3&gt;'GAAP Summary'!$B$2,0,SUM(INDIRECT(XLOOKUP(EO$3,'TTM Dates'!$B:$B,'TTM Dates'!$E:$E)&amp;ROW($BW71)&amp;":"&amp;XLOOKUP(EO$3,'TTM Dates'!$B:$B,'TTM Dates'!$C:$C)&amp;ROW($BW71))))</f>
        <v>13587708.47</v>
      </c>
      <c r="EP71" s="64">
        <f t="array" ref="EP71">IF(EP$3&gt;'GAAP Summary'!$B$2,0,SUM(INDIRECT(XLOOKUP(EP$3,'TTM Dates'!$B:$B,'TTM Dates'!$E:$E)&amp;ROW($BW71)&amp;":"&amp;XLOOKUP(EP$3,'TTM Dates'!$B:$B,'TTM Dates'!$C:$C)&amp;ROW($BW71))))</f>
        <v>13534237.33</v>
      </c>
      <c r="EQ71" s="64">
        <f t="array" ref="EQ71">IF(EQ$3&gt;'GAAP Summary'!$B$2,0,SUM(INDIRECT(XLOOKUP(EQ$3,'TTM Dates'!$B:$B,'TTM Dates'!$E:$E)&amp;ROW($BW71)&amp;":"&amp;XLOOKUP(EQ$3,'TTM Dates'!$B:$B,'TTM Dates'!$C:$C)&amp;ROW($BW71))))</f>
        <v>13611097.87</v>
      </c>
      <c r="ER71" s="64">
        <f t="array" ref="ER71">IF(ER$3&gt;'GAAP Summary'!$B$2,0,SUM(INDIRECT(XLOOKUP(ER$3,'TTM Dates'!$B:$B,'TTM Dates'!$E:$E)&amp;ROW($BW71)&amp;":"&amp;XLOOKUP(ER$3,'TTM Dates'!$B:$B,'TTM Dates'!$C:$C)&amp;ROW($BW71))))</f>
        <v>13773919.36</v>
      </c>
      <c r="ES71" s="64">
        <f t="array" ref="ES71">IF(ES$3&gt;'GAAP Summary'!$B$2,0,SUM(INDIRECT(XLOOKUP(ES$3,'TTM Dates'!$B:$B,'TTM Dates'!$E:$E)&amp;ROW($BW71)&amp;":"&amp;XLOOKUP(ES$3,'TTM Dates'!$B:$B,'TTM Dates'!$C:$C)&amp;ROW($BW71))))</f>
        <v>13893951.35</v>
      </c>
      <c r="ET71" s="64">
        <f t="array" ref="ET71">IF(ET$3&gt;'GAAP Summary'!$B$2,0,SUM(INDIRECT(XLOOKUP(ET$3,'TTM Dates'!$B:$B,'TTM Dates'!$E:$E)&amp;ROW($BW71)&amp;":"&amp;XLOOKUP(ET$3,'TTM Dates'!$B:$B,'TTM Dates'!$C:$C)&amp;ROW($BW71))))</f>
        <v>13959367.03</v>
      </c>
      <c r="EU71" s="64">
        <f t="array" ref="EU71">IF(EU$3&gt;'GAAP Summary'!$B$2,0,SUM(INDIRECT(XLOOKUP(EU$3,'TTM Dates'!$B:$B,'TTM Dates'!$E:$E)&amp;ROW($BW71)&amp;":"&amp;XLOOKUP(EU$3,'TTM Dates'!$B:$B,'TTM Dates'!$C:$C)&amp;ROW($BW71))))</f>
        <v>14210672.11</v>
      </c>
      <c r="EV71" s="64">
        <f t="array" ref="EV71">IF(EV$3&gt;'GAAP Summary'!$B$2,0,SUM(INDIRECT(XLOOKUP(EV$3,'TTM Dates'!$B:$B,'TTM Dates'!$E:$E)&amp;ROW($BW71)&amp;":"&amp;XLOOKUP(EV$3,'TTM Dates'!$B:$B,'TTM Dates'!$C:$C)&amp;ROW($BW71))))</f>
        <v>14248414.28</v>
      </c>
      <c r="EW71" s="64">
        <f t="array" ref="EW71">IF(EW$3&gt;'GAAP Summary'!$B$2,0,SUM(INDIRECT(XLOOKUP(EW$3,'TTM Dates'!$B:$B,'TTM Dates'!$E:$E)&amp;ROW($BW71)&amp;":"&amp;XLOOKUP(EW$3,'TTM Dates'!$B:$B,'TTM Dates'!$C:$C)&amp;ROW($BW71))))</f>
        <v>14195096.1</v>
      </c>
      <c r="EX71" s="64">
        <f t="array" ref="EX71">IF(EX$3&gt;'GAAP Summary'!$B$2,0,SUM(INDIRECT(XLOOKUP(EX$3,'TTM Dates'!$B:$B,'TTM Dates'!$E:$E)&amp;ROW($BW71)&amp;":"&amp;XLOOKUP(EX$3,'TTM Dates'!$B:$B,'TTM Dates'!$C:$C)&amp;ROW($BW71))))</f>
        <v>14062418.11</v>
      </c>
      <c r="EY71" s="64">
        <f t="array" ref="EY71">IF(EY$3&gt;'GAAP Summary'!$B$2,0,SUM(INDIRECT(XLOOKUP(EY$3,'TTM Dates'!$B:$B,'TTM Dates'!$E:$E)&amp;ROW($BW71)&amp;":"&amp;XLOOKUP(EY$3,'TTM Dates'!$B:$B,'TTM Dates'!$C:$C)&amp;ROW($BW71))))</f>
        <v>14316656.38</v>
      </c>
      <c r="EZ71" s="64">
        <f t="array" ref="EZ71">IF(EZ$3&gt;'GAAP Summary'!$B$2,0,SUM(INDIRECT(XLOOKUP(EZ$3,'TTM Dates'!$B:$B,'TTM Dates'!$E:$E)&amp;ROW($BW71)&amp;":"&amp;XLOOKUP(EZ$3,'TTM Dates'!$B:$B,'TTM Dates'!$C:$C)&amp;ROW($BW71))))</f>
        <v>14503627.88</v>
      </c>
      <c r="FA71" s="64">
        <f t="array" ref="FA71">IF(FA$3&gt;'GAAP Summary'!$B$2,0,SUM(INDIRECT(XLOOKUP(FA$3,'TTM Dates'!$B:$B,'TTM Dates'!$E:$E)&amp;ROW($BW71)&amp;":"&amp;XLOOKUP(FA$3,'TTM Dates'!$B:$B,'TTM Dates'!$C:$C)&amp;ROW($BW71))))</f>
        <v>14540661.87</v>
      </c>
      <c r="FB71" s="64">
        <f t="array" ref="FB71">IF(FB$3&gt;'GAAP Summary'!$B$2,0,SUM(INDIRECT(XLOOKUP(FB$3,'TTM Dates'!$B:$B,'TTM Dates'!$E:$E)&amp;ROW($BW71)&amp;":"&amp;XLOOKUP(FB$3,'TTM Dates'!$B:$B,'TTM Dates'!$C:$C)&amp;ROW($BW71))))</f>
        <v>14729042.66</v>
      </c>
      <c r="FC71" s="64">
        <f t="array" ref="FC71">IF(FC$3&gt;'GAAP Summary'!$B$2,0,SUM(INDIRECT(XLOOKUP(FC$3,'TTM Dates'!$B:$B,'TTM Dates'!$E:$E)&amp;ROW($BW71)&amp;":"&amp;XLOOKUP(FC$3,'TTM Dates'!$B:$B,'TTM Dates'!$C:$C)&amp;ROW($BW71))))</f>
        <v>15150529.12</v>
      </c>
      <c r="FD71" s="64">
        <f t="array" ref="FD71">IF(FD$3&gt;'GAAP Summary'!$B$2,0,SUM(INDIRECT(XLOOKUP(FD$3,'TTM Dates'!$B:$B,'TTM Dates'!$E:$E)&amp;ROW($BW71)&amp;":"&amp;XLOOKUP(FD$3,'TTM Dates'!$B:$B,'TTM Dates'!$C:$C)&amp;ROW($BW71))))</f>
        <v>13973159.63</v>
      </c>
      <c r="FE71" s="64">
        <f t="array" ref="FE71">IF(FE$3&gt;'GAAP Summary'!$B$2,0,SUM(INDIRECT(XLOOKUP(FE$3,'TTM Dates'!$B:$B,'TTM Dates'!$E:$E)&amp;ROW($BW71)&amp;":"&amp;XLOOKUP(FE$3,'TTM Dates'!$B:$B,'TTM Dates'!$C:$C)&amp;ROW($BW71))))</f>
        <v>12798890.64</v>
      </c>
      <c r="FF71" s="64">
        <f t="array" ref="FF71">IF(FF$3&gt;'GAAP Summary'!$B$2,0,SUM(INDIRECT(XLOOKUP(FF$3,'TTM Dates'!$B:$B,'TTM Dates'!$E:$E)&amp;ROW($BW71)&amp;":"&amp;XLOOKUP(FF$3,'TTM Dates'!$B:$B,'TTM Dates'!$C:$C)&amp;ROW($BW71))))</f>
        <v>11688075.96</v>
      </c>
      <c r="FG71" s="64">
        <f t="array" ref="FG71">IF(FG$3&gt;'GAAP Summary'!$B$2,0,SUM(INDIRECT(XLOOKUP(FG$3,'TTM Dates'!$B:$B,'TTM Dates'!$E:$E)&amp;ROW($BW71)&amp;":"&amp;XLOOKUP(FG$3,'TTM Dates'!$B:$B,'TTM Dates'!$C:$C)&amp;ROW($BW71))))</f>
        <v>10494592.88</v>
      </c>
      <c r="FH71" s="64"/>
    </row>
    <row r="72">
      <c r="B72" s="280" t="s">
        <v>294</v>
      </c>
      <c r="C72" s="108">
        <f t="shared" ref="C72:Z72" si="103">SUM(C73:C75)</f>
        <v>0</v>
      </c>
      <c r="D72" s="108">
        <f t="shared" si="103"/>
        <v>0</v>
      </c>
      <c r="E72" s="108">
        <f t="shared" si="103"/>
        <v>0</v>
      </c>
      <c r="F72" s="108">
        <f t="shared" si="103"/>
        <v>0</v>
      </c>
      <c r="G72" s="108">
        <f t="shared" si="103"/>
        <v>0</v>
      </c>
      <c r="H72" s="108">
        <f t="shared" si="103"/>
        <v>0</v>
      </c>
      <c r="I72" s="108">
        <f t="shared" si="103"/>
        <v>0</v>
      </c>
      <c r="J72" s="108">
        <f t="shared" si="103"/>
        <v>0</v>
      </c>
      <c r="K72" s="108">
        <f t="shared" si="103"/>
        <v>0</v>
      </c>
      <c r="L72" s="108">
        <f t="shared" si="103"/>
        <v>0</v>
      </c>
      <c r="M72" s="108">
        <f t="shared" si="103"/>
        <v>0</v>
      </c>
      <c r="N72" s="108">
        <f t="shared" si="103"/>
        <v>0</v>
      </c>
      <c r="O72" s="108">
        <f t="shared" si="103"/>
        <v>0</v>
      </c>
      <c r="P72" s="108">
        <f t="shared" si="103"/>
        <v>0</v>
      </c>
      <c r="Q72" s="108">
        <f t="shared" si="103"/>
        <v>0</v>
      </c>
      <c r="R72" s="108">
        <f t="shared" si="103"/>
        <v>0</v>
      </c>
      <c r="S72" s="108">
        <f t="shared" si="103"/>
        <v>0</v>
      </c>
      <c r="T72" s="108">
        <f t="shared" si="103"/>
        <v>0</v>
      </c>
      <c r="U72" s="108">
        <f t="shared" si="103"/>
        <v>0</v>
      </c>
      <c r="V72" s="108">
        <f t="shared" si="103"/>
        <v>0</v>
      </c>
      <c r="W72" s="108">
        <f t="shared" si="103"/>
        <v>0</v>
      </c>
      <c r="X72" s="108">
        <f t="shared" si="103"/>
        <v>0</v>
      </c>
      <c r="Y72" s="108">
        <f t="shared" si="103"/>
        <v>0</v>
      </c>
      <c r="Z72" s="108">
        <f t="shared" si="103"/>
        <v>0</v>
      </c>
      <c r="AA72" s="352">
        <v>88236.0</v>
      </c>
      <c r="AB72" s="352">
        <v>114630.0</v>
      </c>
      <c r="AC72" s="352">
        <v>102679.0</v>
      </c>
      <c r="AD72" s="352">
        <v>96679.0</v>
      </c>
      <c r="AE72" s="352">
        <v>101159.0</v>
      </c>
      <c r="AF72" s="352">
        <v>106891.0</v>
      </c>
      <c r="AG72" s="352">
        <v>115084.0</v>
      </c>
      <c r="AH72" s="352">
        <v>88548.0</v>
      </c>
      <c r="AI72" s="352">
        <v>150570.0</v>
      </c>
      <c r="AJ72" s="352">
        <v>159203.0</v>
      </c>
      <c r="AK72" s="352">
        <v>236348.0</v>
      </c>
      <c r="AL72" s="352">
        <v>169573.0</v>
      </c>
      <c r="AM72" s="352">
        <v>145164.0</v>
      </c>
      <c r="AN72" s="352">
        <v>131830.0</v>
      </c>
      <c r="AO72" s="352">
        <v>96082.0</v>
      </c>
      <c r="AP72" s="352">
        <v>158825.0</v>
      </c>
      <c r="AQ72" s="352">
        <v>100797.0</v>
      </c>
      <c r="AR72" s="352">
        <v>149868.0</v>
      </c>
      <c r="AS72" s="352">
        <v>130304.0</v>
      </c>
      <c r="AT72" s="352">
        <v>168903.0</v>
      </c>
      <c r="AU72" s="352">
        <v>155356.0</v>
      </c>
      <c r="AV72" s="352">
        <v>150802.0</v>
      </c>
      <c r="AW72" s="352">
        <v>132597.0</v>
      </c>
      <c r="AX72" s="352">
        <v>149474.0</v>
      </c>
      <c r="AY72" s="352">
        <v>156897.0</v>
      </c>
      <c r="AZ72" s="352">
        <v>182877.0</v>
      </c>
      <c r="BA72" s="352">
        <v>193516.0</v>
      </c>
      <c r="BB72" s="352">
        <v>169018.0</v>
      </c>
      <c r="BC72" s="352">
        <v>143886.0</v>
      </c>
      <c r="BD72" s="352">
        <v>130321.0</v>
      </c>
      <c r="BE72" s="352">
        <v>135692.0</v>
      </c>
      <c r="BF72" s="352">
        <v>139356.0</v>
      </c>
      <c r="BG72" s="352">
        <v>250729.0</v>
      </c>
      <c r="BH72" s="352">
        <v>143546.0</v>
      </c>
      <c r="BI72" s="352">
        <v>161291.0</v>
      </c>
      <c r="BJ72" s="352">
        <v>153253.0</v>
      </c>
      <c r="BK72" s="352">
        <v>194896.0</v>
      </c>
      <c r="BL72" s="352">
        <v>160730.0</v>
      </c>
      <c r="BM72" s="352">
        <v>168697.0</v>
      </c>
      <c r="BN72" s="352">
        <v>179355.0</v>
      </c>
      <c r="BO72" s="352">
        <v>170717.0</v>
      </c>
      <c r="BP72" s="352">
        <v>159610.0</v>
      </c>
      <c r="BQ72" s="352">
        <v>184811.0</v>
      </c>
      <c r="BR72" s="352">
        <v>253451.0</v>
      </c>
      <c r="BS72" s="352"/>
      <c r="BT72" s="352"/>
      <c r="BU72" s="352"/>
      <c r="BV72" s="352"/>
      <c r="BW72" s="33"/>
      <c r="BX72" s="282" t="str">
        <f t="array" ref="BX72">SUM(INDIRECT(XLOOKUP('GAAP Summary'!$B$2,'TTM Dates'!$B:$B,'TTM Dates'!$E:$E)&amp;ROW($BW72)&amp;":"&amp;XLOOKUP('GAAP Summary'!$B$2,'TTM Dates'!$B:$B,'TTM Dates'!$C:$C)&amp;ROW($BW72)))</f>
        <v>#REF!</v>
      </c>
      <c r="BY72" s="49"/>
      <c r="BZ72" s="108">
        <f t="shared" si="104"/>
        <v>524323</v>
      </c>
      <c r="CA72" s="108">
        <f t="shared" si="105"/>
        <v>509682</v>
      </c>
      <c r="CB72" s="108">
        <f t="shared" si="106"/>
        <v>438262</v>
      </c>
      <c r="CC72" s="108">
        <f t="shared" si="107"/>
        <v>0</v>
      </c>
      <c r="CD72" s="282">
        <f t="shared" si="108"/>
        <v>1472267</v>
      </c>
      <c r="CE72" s="49"/>
      <c r="CF72" s="108">
        <f t="shared" si="109"/>
        <v>533290</v>
      </c>
      <c r="CG72" s="108">
        <f t="shared" si="110"/>
        <v>443225</v>
      </c>
      <c r="CH72" s="108">
        <f t="shared" si="111"/>
        <v>525777</v>
      </c>
      <c r="CI72" s="108">
        <f t="shared" si="112"/>
        <v>458090</v>
      </c>
      <c r="CJ72" s="282">
        <f t="shared" si="113"/>
        <v>1960382</v>
      </c>
      <c r="CK72" s="283"/>
      <c r="CL72" s="108">
        <f t="shared" si="114"/>
        <v>373076</v>
      </c>
      <c r="CM72" s="108">
        <f t="shared" si="115"/>
        <v>409490</v>
      </c>
      <c r="CN72" s="108">
        <f t="shared" si="116"/>
        <v>454563</v>
      </c>
      <c r="CO72" s="108">
        <f t="shared" si="117"/>
        <v>432873</v>
      </c>
      <c r="CP72" s="282">
        <f t="shared" si="118"/>
        <v>1670002</v>
      </c>
      <c r="CQ72" s="283"/>
      <c r="CR72" s="108">
        <f t="shared" si="119"/>
        <v>305545</v>
      </c>
      <c r="CS72" s="108">
        <f t="shared" si="120"/>
        <v>304729</v>
      </c>
      <c r="CT72" s="108">
        <f t="shared" si="121"/>
        <v>354202</v>
      </c>
      <c r="CU72" s="108">
        <f t="shared" si="122"/>
        <v>565124</v>
      </c>
      <c r="CV72" s="282">
        <f>sum(AA72:AL72)</f>
        <v>1529600</v>
      </c>
      <c r="CW72" s="283"/>
      <c r="CX72" s="282">
        <f>SUM(O72:Z72)</f>
        <v>0</v>
      </c>
      <c r="CY72" s="136"/>
      <c r="CZ72" s="286">
        <f t="array" ref="CZ72">IF(CZ$3&gt;'GAAP Summary'!$B$2,0,SUM(INDIRECT(XLOOKUP(CZ$3,'TTM Dates'!$B:$B,'TTM Dates'!$E:$E)&amp;ROW($BW72)&amp;":"&amp;XLOOKUP(CZ$3,'TTM Dates'!$B:$B,'TTM Dates'!$C:$C)&amp;ROW($BW72))))</f>
        <v>0</v>
      </c>
      <c r="DA72" s="286">
        <f t="array" ref="DA72">IF(DA$3&gt;'GAAP Summary'!$B$2,0,SUM(INDIRECT(XLOOKUP(DA$3,'TTM Dates'!$B:$B,'TTM Dates'!$E:$E)&amp;ROW($BW72)&amp;":"&amp;XLOOKUP(DA$3,'TTM Dates'!$B:$B,'TTM Dates'!$C:$C)&amp;ROW($BW72))))</f>
        <v>0</v>
      </c>
      <c r="DB72" s="286">
        <f t="array" ref="DB72">IF(DB$3&gt;'GAAP Summary'!$B$2,0,SUM(INDIRECT(XLOOKUP(DB$3,'TTM Dates'!$B:$B,'TTM Dates'!$E:$E)&amp;ROW($BW72)&amp;":"&amp;XLOOKUP(DB$3,'TTM Dates'!$B:$B,'TTM Dates'!$C:$C)&amp;ROW($BW72))))</f>
        <v>0</v>
      </c>
      <c r="DC72" s="286">
        <f t="array" ref="DC72">IF(DC$3&gt;'GAAP Summary'!$B$2,0,SUM(INDIRECT(XLOOKUP(DC$3,'TTM Dates'!$B:$B,'TTM Dates'!$E:$E)&amp;ROW($BW72)&amp;":"&amp;XLOOKUP(DC$3,'TTM Dates'!$B:$B,'TTM Dates'!$C:$C)&amp;ROW($BW72))))</f>
        <v>0</v>
      </c>
      <c r="DD72" s="286">
        <f t="array" ref="DD72">IF(DD$3&gt;'GAAP Summary'!$B$2,0,SUM(INDIRECT(XLOOKUP(DD$3,'TTM Dates'!$B:$B,'TTM Dates'!$E:$E)&amp;ROW($BW72)&amp;":"&amp;XLOOKUP(DD$3,'TTM Dates'!$B:$B,'TTM Dates'!$C:$C)&amp;ROW($BW72))))</f>
        <v>0</v>
      </c>
      <c r="DE72" s="286">
        <f t="array" ref="DE72">IF(DE$3&gt;'GAAP Summary'!$B$2,0,SUM(INDIRECT(XLOOKUP(DE$3,'TTM Dates'!$B:$B,'TTM Dates'!$E:$E)&amp;ROW($BW72)&amp;":"&amp;XLOOKUP(DE$3,'TTM Dates'!$B:$B,'TTM Dates'!$C:$C)&amp;ROW($BW72))))</f>
        <v>0</v>
      </c>
      <c r="DF72" s="286">
        <f t="array" ref="DF72">IF(DF$3&gt;'GAAP Summary'!$B$2,0,SUM(INDIRECT(XLOOKUP(DF$3,'TTM Dates'!$B:$B,'TTM Dates'!$E:$E)&amp;ROW($BW72)&amp;":"&amp;XLOOKUP(DF$3,'TTM Dates'!$B:$B,'TTM Dates'!$C:$C)&amp;ROW($BW72))))</f>
        <v>0</v>
      </c>
      <c r="DG72" s="286">
        <f t="array" ref="DG72">IF(DG$3&gt;'GAAP Summary'!$B$2,0,SUM(INDIRECT(XLOOKUP(DG$3,'TTM Dates'!$B:$B,'TTM Dates'!$E:$E)&amp;ROW($BW72)&amp;":"&amp;XLOOKUP(DG$3,'TTM Dates'!$B:$B,'TTM Dates'!$C:$C)&amp;ROW($BW72))))</f>
        <v>0</v>
      </c>
      <c r="DH72" s="286">
        <f t="array" ref="DH72">IF(DH$3&gt;'GAAP Summary'!$B$2,0,SUM(INDIRECT(XLOOKUP(DH$3,'TTM Dates'!$B:$B,'TTM Dates'!$E:$E)&amp;ROW($BW72)&amp;":"&amp;XLOOKUP(DH$3,'TTM Dates'!$B:$B,'TTM Dates'!$C:$C)&amp;ROW($BW72))))</f>
        <v>0</v>
      </c>
      <c r="DI72" s="286">
        <f t="array" ref="DI72">IF(DI$3&gt;'GAAP Summary'!$B$2,0,SUM(INDIRECT(XLOOKUP(DI$3,'TTM Dates'!$B:$B,'TTM Dates'!$E:$E)&amp;ROW($BW72)&amp;":"&amp;XLOOKUP(DI$3,'TTM Dates'!$B:$B,'TTM Dates'!$C:$C)&amp;ROW($BW72))))</f>
        <v>0</v>
      </c>
      <c r="DJ72" s="286">
        <f t="array" ref="DJ72">IF(DJ$3&gt;'GAAP Summary'!$B$2,0,SUM(INDIRECT(XLOOKUP(DJ$3,'TTM Dates'!$B:$B,'TTM Dates'!$E:$E)&amp;ROW($BW72)&amp;":"&amp;XLOOKUP(DJ$3,'TTM Dates'!$B:$B,'TTM Dates'!$C:$C)&amp;ROW($BW72))))</f>
        <v>0</v>
      </c>
      <c r="DK72" s="286">
        <f t="array" ref="DK72">IF(DK$3&gt;'GAAP Summary'!$B$2,0,SUM(INDIRECT(XLOOKUP(DK$3,'TTM Dates'!$B:$B,'TTM Dates'!$E:$E)&amp;ROW($BW72)&amp;":"&amp;XLOOKUP(DK$3,'TTM Dates'!$B:$B,'TTM Dates'!$C:$C)&amp;ROW($BW72))))</f>
        <v>0</v>
      </c>
      <c r="DL72" s="286">
        <f t="array" ref="DL72">IF(DL$3&gt;'GAAP Summary'!$B$2,0,SUM(INDIRECT(XLOOKUP(DL$3,'TTM Dates'!$B:$B,'TTM Dates'!$E:$E)&amp;ROW($BW72)&amp;":"&amp;XLOOKUP(DL$3,'TTM Dates'!$B:$B,'TTM Dates'!$C:$C)&amp;ROW($BW72))))</f>
        <v>88236</v>
      </c>
      <c r="DM72" s="286">
        <f t="array" ref="DM72">IF(DM$3&gt;'GAAP Summary'!$B$2,0,SUM(INDIRECT(XLOOKUP(DM$3,'TTM Dates'!$B:$B,'TTM Dates'!$E:$E)&amp;ROW($BW72)&amp;":"&amp;XLOOKUP(DM$3,'TTM Dates'!$B:$B,'TTM Dates'!$C:$C)&amp;ROW($BW72))))</f>
        <v>202866</v>
      </c>
      <c r="DN72" s="286">
        <f t="array" ref="DN72">IF(DN$3&gt;'GAAP Summary'!$B$2,0,SUM(INDIRECT(XLOOKUP(DN$3,'TTM Dates'!$B:$B,'TTM Dates'!$E:$E)&amp;ROW($BW72)&amp;":"&amp;XLOOKUP(DN$3,'TTM Dates'!$B:$B,'TTM Dates'!$C:$C)&amp;ROW($BW72))))</f>
        <v>305545</v>
      </c>
      <c r="DO72" s="286">
        <f t="array" ref="DO72">IF(DO$3&gt;'GAAP Summary'!$B$2,0,SUM(INDIRECT(XLOOKUP(DO$3,'TTM Dates'!$B:$B,'TTM Dates'!$E:$E)&amp;ROW($BW72)&amp;":"&amp;XLOOKUP(DO$3,'TTM Dates'!$B:$B,'TTM Dates'!$C:$C)&amp;ROW($BW72))))</f>
        <v>402224</v>
      </c>
      <c r="DP72" s="286">
        <f t="array" ref="DP72">IF(DP$3&gt;'GAAP Summary'!$B$2,0,SUM(INDIRECT(XLOOKUP(DP$3,'TTM Dates'!$B:$B,'TTM Dates'!$E:$E)&amp;ROW($BW72)&amp;":"&amp;XLOOKUP(DP$3,'TTM Dates'!$B:$B,'TTM Dates'!$C:$C)&amp;ROW($BW72))))</f>
        <v>503383</v>
      </c>
      <c r="DQ72" s="286">
        <f t="array" ref="DQ72">IF(DQ$3&gt;'GAAP Summary'!$B$2,0,SUM(INDIRECT(XLOOKUP(DQ$3,'TTM Dates'!$B:$B,'TTM Dates'!$E:$E)&amp;ROW($BW72)&amp;":"&amp;XLOOKUP(DQ$3,'TTM Dates'!$B:$B,'TTM Dates'!$C:$C)&amp;ROW($BW72))))</f>
        <v>610274</v>
      </c>
      <c r="DR72" s="286">
        <f t="array" ref="DR72">IF(DR$3&gt;'GAAP Summary'!$B$2,0,SUM(INDIRECT(XLOOKUP(DR$3,'TTM Dates'!$B:$B,'TTM Dates'!$E:$E)&amp;ROW($BW72)&amp;":"&amp;XLOOKUP(DR$3,'TTM Dates'!$B:$B,'TTM Dates'!$C:$C)&amp;ROW($BW72))))</f>
        <v>725358</v>
      </c>
      <c r="DS72" s="286">
        <f t="array" ref="DS72">IF(DS$3&gt;'GAAP Summary'!$B$2,0,SUM(INDIRECT(XLOOKUP(DS$3,'TTM Dates'!$B:$B,'TTM Dates'!$E:$E)&amp;ROW($BW72)&amp;":"&amp;XLOOKUP(DS$3,'TTM Dates'!$B:$B,'TTM Dates'!$C:$C)&amp;ROW($BW72))))</f>
        <v>813906</v>
      </c>
      <c r="DT72" s="286">
        <f t="array" ref="DT72">IF(DT$3&gt;'GAAP Summary'!$B$2,0,SUM(INDIRECT(XLOOKUP(DT$3,'TTM Dates'!$B:$B,'TTM Dates'!$E:$E)&amp;ROW($BW72)&amp;":"&amp;XLOOKUP(DT$3,'TTM Dates'!$B:$B,'TTM Dates'!$C:$C)&amp;ROW($BW72))))</f>
        <v>964476</v>
      </c>
      <c r="DU72" s="286">
        <f t="array" ref="DU72">IF(DU$3&gt;'GAAP Summary'!$B$2,0,SUM(INDIRECT(XLOOKUP(DU$3,'TTM Dates'!$B:$B,'TTM Dates'!$E:$E)&amp;ROW($BW72)&amp;":"&amp;XLOOKUP(DU$3,'TTM Dates'!$B:$B,'TTM Dates'!$C:$C)&amp;ROW($BW72))))</f>
        <v>1123679</v>
      </c>
      <c r="DV72" s="286">
        <f t="array" ref="DV72">IF(DV$3&gt;'GAAP Summary'!$B$2,0,SUM(INDIRECT(XLOOKUP(DV$3,'TTM Dates'!$B:$B,'TTM Dates'!$E:$E)&amp;ROW($BW72)&amp;":"&amp;XLOOKUP(DV$3,'TTM Dates'!$B:$B,'TTM Dates'!$C:$C)&amp;ROW($BW72))))</f>
        <v>1360027</v>
      </c>
      <c r="DW72" s="286">
        <f t="array" ref="DW72">IF(DW$3&gt;'GAAP Summary'!$B$2,0,SUM(INDIRECT(XLOOKUP(DW$3,'TTM Dates'!$B:$B,'TTM Dates'!$E:$E)&amp;ROW($BW72)&amp;":"&amp;XLOOKUP(DW$3,'TTM Dates'!$B:$B,'TTM Dates'!$C:$C)&amp;ROW($BW72))))</f>
        <v>1529600</v>
      </c>
      <c r="DX72" s="286">
        <f t="array" ref="DX72">IF(DX$3&gt;'GAAP Summary'!$B$2,0,SUM(INDIRECT(XLOOKUP(DX$3,'TTM Dates'!$B:$B,'TTM Dates'!$E:$E)&amp;ROW($BW72)&amp;":"&amp;XLOOKUP(DX$3,'TTM Dates'!$B:$B,'TTM Dates'!$C:$C)&amp;ROW($BW72))))</f>
        <v>1586528</v>
      </c>
      <c r="DY72" s="286">
        <f t="array" ref="DY72">IF(DY$3&gt;'GAAP Summary'!$B$2,0,SUM(INDIRECT(XLOOKUP(DY$3,'TTM Dates'!$B:$B,'TTM Dates'!$E:$E)&amp;ROW($BW72)&amp;":"&amp;XLOOKUP(DY$3,'TTM Dates'!$B:$B,'TTM Dates'!$C:$C)&amp;ROW($BW72))))</f>
        <v>1603728</v>
      </c>
      <c r="DZ72" s="286">
        <f t="array" ref="DZ72">IF(DZ$3&gt;'GAAP Summary'!$B$2,0,SUM(INDIRECT(XLOOKUP(DZ$3,'TTM Dates'!$B:$B,'TTM Dates'!$E:$E)&amp;ROW($BW72)&amp;":"&amp;XLOOKUP(DZ$3,'TTM Dates'!$B:$B,'TTM Dates'!$C:$C)&amp;ROW($BW72))))</f>
        <v>1597131</v>
      </c>
      <c r="EA72" s="286">
        <f t="array" ref="EA72">IF(EA$3&gt;'GAAP Summary'!$B$2,0,SUM(INDIRECT(XLOOKUP(EA$3,'TTM Dates'!$B:$B,'TTM Dates'!$E:$E)&amp;ROW($BW72)&amp;":"&amp;XLOOKUP(EA$3,'TTM Dates'!$B:$B,'TTM Dates'!$C:$C)&amp;ROW($BW72))))</f>
        <v>1659277</v>
      </c>
      <c r="EB72" s="286">
        <f t="array" ref="EB72">IF(EB$3&gt;'GAAP Summary'!$B$2,0,SUM(INDIRECT(XLOOKUP(EB$3,'TTM Dates'!$B:$B,'TTM Dates'!$E:$E)&amp;ROW($BW72)&amp;":"&amp;XLOOKUP(EB$3,'TTM Dates'!$B:$B,'TTM Dates'!$C:$C)&amp;ROW($BW72))))</f>
        <v>1658915</v>
      </c>
      <c r="EC72" s="286">
        <f t="array" ref="EC72">IF(EC$3&gt;'GAAP Summary'!$B$2,0,SUM(INDIRECT(XLOOKUP(EC$3,'TTM Dates'!$B:$B,'TTM Dates'!$E:$E)&amp;ROW($BW72)&amp;":"&amp;XLOOKUP(EC$3,'TTM Dates'!$B:$B,'TTM Dates'!$C:$C)&amp;ROW($BW72))))</f>
        <v>1701892</v>
      </c>
      <c r="ED72" s="286">
        <f t="array" ref="ED72">IF(ED$3&gt;'GAAP Summary'!$B$2,0,SUM(INDIRECT(XLOOKUP(ED$3,'TTM Dates'!$B:$B,'TTM Dates'!$E:$E)&amp;ROW($BW72)&amp;":"&amp;XLOOKUP(ED$3,'TTM Dates'!$B:$B,'TTM Dates'!$C:$C)&amp;ROW($BW72))))</f>
        <v>1717112</v>
      </c>
      <c r="EE72" s="286">
        <f t="array" ref="EE72">IF(EE$3&gt;'GAAP Summary'!$B$2,0,SUM(INDIRECT(XLOOKUP(EE$3,'TTM Dates'!$B:$B,'TTM Dates'!$E:$E)&amp;ROW($BW72)&amp;":"&amp;XLOOKUP(EE$3,'TTM Dates'!$B:$B,'TTM Dates'!$C:$C)&amp;ROW($BW72))))</f>
        <v>1797467</v>
      </c>
      <c r="EF72" s="286">
        <f t="array" ref="EF72">IF(EF$3&gt;'GAAP Summary'!$B$2,0,SUM(INDIRECT(XLOOKUP(EF$3,'TTM Dates'!$B:$B,'TTM Dates'!$E:$E)&amp;ROW($BW72)&amp;":"&amp;XLOOKUP(EF$3,'TTM Dates'!$B:$B,'TTM Dates'!$C:$C)&amp;ROW($BW72))))</f>
        <v>1802253</v>
      </c>
      <c r="EG72" s="286">
        <f t="array" ref="EG72">IF(EG$3&gt;'GAAP Summary'!$B$2,0,SUM(INDIRECT(XLOOKUP(EG$3,'TTM Dates'!$B:$B,'TTM Dates'!$E:$E)&amp;ROW($BW72)&amp;":"&amp;XLOOKUP(EG$3,'TTM Dates'!$B:$B,'TTM Dates'!$C:$C)&amp;ROW($BW72))))</f>
        <v>1793852</v>
      </c>
      <c r="EH72" s="286">
        <f t="array" ref="EH72">IF(EH$3&gt;'GAAP Summary'!$B$2,0,SUM(INDIRECT(XLOOKUP(EH$3,'TTM Dates'!$B:$B,'TTM Dates'!$E:$E)&amp;ROW($BW72)&amp;":"&amp;XLOOKUP(EH$3,'TTM Dates'!$B:$B,'TTM Dates'!$C:$C)&amp;ROW($BW72))))</f>
        <v>1690101</v>
      </c>
      <c r="EI72" s="286">
        <f t="array" ref="EI72">IF(EI$3&gt;'GAAP Summary'!$B$2,0,SUM(INDIRECT(XLOOKUP(EI$3,'TTM Dates'!$B:$B,'TTM Dates'!$E:$E)&amp;ROW($BW72)&amp;":"&amp;XLOOKUP(EI$3,'TTM Dates'!$B:$B,'TTM Dates'!$C:$C)&amp;ROW($BW72))))</f>
        <v>1670002</v>
      </c>
      <c r="EJ72" s="286">
        <f t="array" ref="EJ72">IF(EJ$3&gt;'GAAP Summary'!$B$2,0,SUM(INDIRECT(XLOOKUP(EJ$3,'TTM Dates'!$B:$B,'TTM Dates'!$E:$E)&amp;ROW($BW72)&amp;":"&amp;XLOOKUP(EJ$3,'TTM Dates'!$B:$B,'TTM Dates'!$C:$C)&amp;ROW($BW72))))</f>
        <v>1681735</v>
      </c>
      <c r="EK72" s="286">
        <f t="array" ref="EK72">IF(EK$3&gt;'GAAP Summary'!$B$2,0,SUM(INDIRECT(XLOOKUP(EK$3,'TTM Dates'!$B:$B,'TTM Dates'!$E:$E)&amp;ROW($BW72)&amp;":"&amp;XLOOKUP(EK$3,'TTM Dates'!$B:$B,'TTM Dates'!$C:$C)&amp;ROW($BW72))))</f>
        <v>1732782</v>
      </c>
      <c r="EL72" s="286">
        <f t="array" ref="EL72">IF(EL$3&gt;'GAAP Summary'!$B$2,0,SUM(INDIRECT(XLOOKUP(EL$3,'TTM Dates'!$B:$B,'TTM Dates'!$E:$E)&amp;ROW($BW72)&amp;":"&amp;XLOOKUP(EL$3,'TTM Dates'!$B:$B,'TTM Dates'!$C:$C)&amp;ROW($BW72))))</f>
        <v>1830216</v>
      </c>
      <c r="EM72" s="286">
        <f t="array" ref="EM72">IF(EM$3&gt;'GAAP Summary'!$B$2,0,SUM(INDIRECT(XLOOKUP(EM$3,'TTM Dates'!$B:$B,'TTM Dates'!$E:$E)&amp;ROW($BW72)&amp;":"&amp;XLOOKUP(EM$3,'TTM Dates'!$B:$B,'TTM Dates'!$C:$C)&amp;ROW($BW72))))</f>
        <v>1840409</v>
      </c>
      <c r="EN72" s="286">
        <f t="array" ref="EN72">IF(EN$3&gt;'GAAP Summary'!$B$2,0,SUM(INDIRECT(XLOOKUP(EN$3,'TTM Dates'!$B:$B,'TTM Dates'!$E:$E)&amp;ROW($BW72)&amp;":"&amp;XLOOKUP(EN$3,'TTM Dates'!$B:$B,'TTM Dates'!$C:$C)&amp;ROW($BW72))))</f>
        <v>1883498</v>
      </c>
      <c r="EO72" s="286">
        <f t="array" ref="EO72">IF(EO$3&gt;'GAAP Summary'!$B$2,0,SUM(INDIRECT(XLOOKUP(EO$3,'TTM Dates'!$B:$B,'TTM Dates'!$E:$E)&amp;ROW($BW72)&amp;":"&amp;XLOOKUP(EO$3,'TTM Dates'!$B:$B,'TTM Dates'!$C:$C)&amp;ROW($BW72))))</f>
        <v>1863951</v>
      </c>
      <c r="EP72" s="286">
        <f t="array" ref="EP72">IF(EP$3&gt;'GAAP Summary'!$B$2,0,SUM(INDIRECT(XLOOKUP(EP$3,'TTM Dates'!$B:$B,'TTM Dates'!$E:$E)&amp;ROW($BW72)&amp;":"&amp;XLOOKUP(EP$3,'TTM Dates'!$B:$B,'TTM Dates'!$C:$C)&amp;ROW($BW72))))</f>
        <v>1869339</v>
      </c>
      <c r="EQ72" s="286">
        <f t="array" ref="EQ72">IF(EQ$3&gt;'GAAP Summary'!$B$2,0,SUM(INDIRECT(XLOOKUP(EQ$3,'TTM Dates'!$B:$B,'TTM Dates'!$E:$E)&amp;ROW($BW72)&amp;":"&amp;XLOOKUP(EQ$3,'TTM Dates'!$B:$B,'TTM Dates'!$C:$C)&amp;ROW($BW72))))</f>
        <v>1839792</v>
      </c>
      <c r="ER72" s="286">
        <f t="array" ref="ER72">IF(ER$3&gt;'GAAP Summary'!$B$2,0,SUM(INDIRECT(XLOOKUP(ER$3,'TTM Dates'!$B:$B,'TTM Dates'!$E:$E)&amp;ROW($BW72)&amp;":"&amp;XLOOKUP(ER$3,'TTM Dates'!$B:$B,'TTM Dates'!$C:$C)&amp;ROW($BW72))))</f>
        <v>1935165</v>
      </c>
      <c r="ES72" s="286">
        <f t="array" ref="ES72">IF(ES$3&gt;'GAAP Summary'!$B$2,0,SUM(INDIRECT(XLOOKUP(ES$3,'TTM Dates'!$B:$B,'TTM Dates'!$E:$E)&amp;ROW($BW72)&amp;":"&amp;XLOOKUP(ES$3,'TTM Dates'!$B:$B,'TTM Dates'!$C:$C)&amp;ROW($BW72))))</f>
        <v>1927909</v>
      </c>
      <c r="ET72" s="286">
        <f t="array" ref="ET72">IF(ET$3&gt;'GAAP Summary'!$B$2,0,SUM(INDIRECT(XLOOKUP(ET$3,'TTM Dates'!$B:$B,'TTM Dates'!$E:$E)&amp;ROW($BW72)&amp;":"&amp;XLOOKUP(ET$3,'TTM Dates'!$B:$B,'TTM Dates'!$C:$C)&amp;ROW($BW72))))</f>
        <v>1956603</v>
      </c>
      <c r="EU72" s="286">
        <f t="array" ref="EU72">IF(EU$3&gt;'GAAP Summary'!$B$2,0,SUM(INDIRECT(XLOOKUP(EU$3,'TTM Dates'!$B:$B,'TTM Dates'!$E:$E)&amp;ROW($BW72)&amp;":"&amp;XLOOKUP(EU$3,'TTM Dates'!$B:$B,'TTM Dates'!$C:$C)&amp;ROW($BW72))))</f>
        <v>1960382</v>
      </c>
      <c r="EV72" s="286">
        <f t="array" ref="EV72">IF(EV$3&gt;'GAAP Summary'!$B$2,0,SUM(INDIRECT(XLOOKUP(EV$3,'TTM Dates'!$B:$B,'TTM Dates'!$E:$E)&amp;ROW($BW72)&amp;":"&amp;XLOOKUP(EV$3,'TTM Dates'!$B:$B,'TTM Dates'!$C:$C)&amp;ROW($BW72))))</f>
        <v>1998381</v>
      </c>
      <c r="EW72" s="286">
        <f t="array" ref="EW72">IF(EW$3&gt;'GAAP Summary'!$B$2,0,SUM(INDIRECT(XLOOKUP(EW$3,'TTM Dates'!$B:$B,'TTM Dates'!$E:$E)&amp;ROW($BW72)&amp;":"&amp;XLOOKUP(EW$3,'TTM Dates'!$B:$B,'TTM Dates'!$C:$C)&amp;ROW($BW72))))</f>
        <v>1976234</v>
      </c>
      <c r="EX72" s="286">
        <f t="array" ref="EX72">IF(EX$3&gt;'GAAP Summary'!$B$2,0,SUM(INDIRECT(XLOOKUP(EX$3,'TTM Dates'!$B:$B,'TTM Dates'!$E:$E)&amp;ROW($BW72)&amp;":"&amp;XLOOKUP(EX$3,'TTM Dates'!$B:$B,'TTM Dates'!$C:$C)&amp;ROW($BW72))))</f>
        <v>1951415</v>
      </c>
      <c r="EY72" s="286">
        <f t="array" ref="EY72">IF(EY$3&gt;'GAAP Summary'!$B$2,0,SUM(INDIRECT(XLOOKUP(EY$3,'TTM Dates'!$B:$B,'TTM Dates'!$E:$E)&amp;ROW($BW72)&amp;":"&amp;XLOOKUP(EY$3,'TTM Dates'!$B:$B,'TTM Dates'!$C:$C)&amp;ROW($BW72))))</f>
        <v>1961752</v>
      </c>
      <c r="EZ72" s="286">
        <f t="array" ref="EZ72">IF(EZ$3&gt;'GAAP Summary'!$B$2,0,SUM(INDIRECT(XLOOKUP(EZ$3,'TTM Dates'!$B:$B,'TTM Dates'!$E:$E)&amp;ROW($BW72)&amp;":"&amp;XLOOKUP(EZ$3,'TTM Dates'!$B:$B,'TTM Dates'!$C:$C)&amp;ROW($BW72))))</f>
        <v>1988583</v>
      </c>
      <c r="FA72" s="286">
        <f t="array" ref="FA72">IF(FA$3&gt;'GAAP Summary'!$B$2,0,SUM(INDIRECT(XLOOKUP(FA$3,'TTM Dates'!$B:$B,'TTM Dates'!$E:$E)&amp;ROW($BW72)&amp;":"&amp;XLOOKUP(FA$3,'TTM Dates'!$B:$B,'TTM Dates'!$C:$C)&amp;ROW($BW72))))</f>
        <v>2017872</v>
      </c>
      <c r="FB72" s="286">
        <f t="array" ref="FB72">IF(FB$3&gt;'GAAP Summary'!$B$2,0,SUM(INDIRECT(XLOOKUP(FB$3,'TTM Dates'!$B:$B,'TTM Dates'!$E:$E)&amp;ROW($BW72)&amp;":"&amp;XLOOKUP(FB$3,'TTM Dates'!$B:$B,'TTM Dates'!$C:$C)&amp;ROW($BW72))))</f>
        <v>2066991</v>
      </c>
      <c r="FC72" s="286">
        <f t="array" ref="FC72">IF(FC$3&gt;'GAAP Summary'!$B$2,0,SUM(INDIRECT(XLOOKUP(FC$3,'TTM Dates'!$B:$B,'TTM Dates'!$E:$E)&amp;ROW($BW72)&amp;":"&amp;XLOOKUP(FC$3,'TTM Dates'!$B:$B,'TTM Dates'!$C:$C)&amp;ROW($BW72))))</f>
        <v>2181086</v>
      </c>
      <c r="FD72" s="286">
        <f t="array" ref="FD72">IF(FD$3&gt;'GAAP Summary'!$B$2,0,SUM(INDIRECT(XLOOKUP(FD$3,'TTM Dates'!$B:$B,'TTM Dates'!$E:$E)&amp;ROW($BW72)&amp;":"&amp;XLOOKUP(FD$3,'TTM Dates'!$B:$B,'TTM Dates'!$C:$C)&amp;ROW($BW72))))</f>
        <v>1930357</v>
      </c>
      <c r="FE72" s="286">
        <f t="array" ref="FE72">IF(FE$3&gt;'GAAP Summary'!$B$2,0,SUM(INDIRECT(XLOOKUP(FE$3,'TTM Dates'!$B:$B,'TTM Dates'!$E:$E)&amp;ROW($BW72)&amp;":"&amp;XLOOKUP(FE$3,'TTM Dates'!$B:$B,'TTM Dates'!$C:$C)&amp;ROW($BW72))))</f>
        <v>1786811</v>
      </c>
      <c r="FF72" s="286">
        <f t="array" ref="FF72">IF(FF$3&gt;'GAAP Summary'!$B$2,0,SUM(INDIRECT(XLOOKUP(FF$3,'TTM Dates'!$B:$B,'TTM Dates'!$E:$E)&amp;ROW($BW72)&amp;":"&amp;XLOOKUP(FF$3,'TTM Dates'!$B:$B,'TTM Dates'!$C:$C)&amp;ROW($BW72))))</f>
        <v>1625520</v>
      </c>
      <c r="FG72" s="286">
        <f t="array" ref="FG72">IF(FG$3&gt;'GAAP Summary'!$B$2,0,SUM(INDIRECT(XLOOKUP(FG$3,'TTM Dates'!$B:$B,'TTM Dates'!$E:$E)&amp;ROW($BW72)&amp;":"&amp;XLOOKUP(FG$3,'TTM Dates'!$B:$B,'TTM Dates'!$C:$C)&amp;ROW($BW72))))</f>
        <v>1472267</v>
      </c>
      <c r="FH72" s="286"/>
    </row>
    <row r="73" outlineLevel="1">
      <c r="B73" s="135" t="s">
        <v>506</v>
      </c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7"/>
      <c r="AN73" s="136"/>
      <c r="AO73" s="136"/>
      <c r="AP73" s="136"/>
      <c r="AQ73" s="136"/>
      <c r="AR73" s="136"/>
      <c r="AS73" s="136"/>
      <c r="AT73" s="137"/>
      <c r="AU73" s="137"/>
      <c r="AV73" s="137"/>
      <c r="AW73" s="137"/>
      <c r="AX73" s="337"/>
      <c r="AY73" s="337"/>
      <c r="AZ73" s="337"/>
      <c r="BA73" s="337"/>
      <c r="BB73" s="337"/>
      <c r="BC73" s="337"/>
      <c r="BD73" s="337"/>
      <c r="BE73" s="337"/>
      <c r="BF73" s="337"/>
      <c r="BG73" s="337"/>
      <c r="BH73" s="337"/>
      <c r="BI73" s="337"/>
      <c r="BJ73" s="337"/>
      <c r="BK73" s="337"/>
      <c r="BL73" s="337"/>
      <c r="BM73" s="337"/>
      <c r="BN73" s="337"/>
      <c r="BO73" s="337"/>
      <c r="BP73" s="337"/>
      <c r="BQ73" s="337"/>
      <c r="BR73" s="337"/>
      <c r="BS73" s="337"/>
      <c r="BT73" s="337"/>
      <c r="BU73" s="337"/>
      <c r="BV73" s="337"/>
      <c r="BW73" s="33"/>
      <c r="BX73" s="288" t="str">
        <f t="array" ref="BX73">SUM(INDIRECT(XLOOKUP('GAAP Summary'!$B$2,'TTM Dates'!$B:$B,'TTM Dates'!$E:$E)&amp;ROW($BW73)&amp;":"&amp;XLOOKUP('GAAP Summary'!$B$2,'TTM Dates'!$B:$B,'TTM Dates'!$C:$C)&amp;ROW($BW73)))</f>
        <v>#REF!</v>
      </c>
      <c r="BY73" s="49"/>
      <c r="BZ73" s="136">
        <f t="shared" si="104"/>
        <v>0</v>
      </c>
      <c r="CA73" s="136">
        <f t="shared" si="105"/>
        <v>0</v>
      </c>
      <c r="CB73" s="136">
        <f t="shared" si="106"/>
        <v>0</v>
      </c>
      <c r="CC73" s="136">
        <f t="shared" si="107"/>
        <v>0</v>
      </c>
      <c r="CD73" s="292">
        <f t="shared" si="108"/>
        <v>0</v>
      </c>
      <c r="CE73" s="49"/>
      <c r="CF73" s="136">
        <f t="shared" si="109"/>
        <v>0</v>
      </c>
      <c r="CG73" s="136">
        <f t="shared" si="110"/>
        <v>0</v>
      </c>
      <c r="CH73" s="136">
        <f t="shared" si="111"/>
        <v>0</v>
      </c>
      <c r="CI73" s="136">
        <f t="shared" si="112"/>
        <v>0</v>
      </c>
      <c r="CJ73" s="292">
        <f t="shared" si="113"/>
        <v>0</v>
      </c>
      <c r="CK73" s="136"/>
      <c r="CL73" s="136">
        <f t="shared" si="114"/>
        <v>0</v>
      </c>
      <c r="CM73" s="136">
        <f t="shared" si="115"/>
        <v>0</v>
      </c>
      <c r="CN73" s="136">
        <f t="shared" si="116"/>
        <v>0</v>
      </c>
      <c r="CO73" s="136">
        <f t="shared" si="117"/>
        <v>0</v>
      </c>
      <c r="CP73" s="292">
        <f t="shared" si="118"/>
        <v>0</v>
      </c>
      <c r="CQ73" s="136"/>
      <c r="CR73" s="136"/>
      <c r="CS73" s="136"/>
      <c r="CT73" s="136"/>
      <c r="CU73" s="136"/>
      <c r="CV73" s="292"/>
      <c r="CW73" s="136"/>
      <c r="CX73" s="292"/>
      <c r="CY73" s="136"/>
      <c r="CZ73" s="136">
        <f t="array" ref="CZ73">IF(CZ$3&gt;'GAAP Summary'!$B$2,0,SUM(INDIRECT(XLOOKUP(CZ$3,'TTM Dates'!$B:$B,'TTM Dates'!$E:$E)&amp;ROW($BW73)&amp;":"&amp;XLOOKUP(CZ$3,'TTM Dates'!$B:$B,'TTM Dates'!$C:$C)&amp;ROW($BW73))))</f>
        <v>0</v>
      </c>
      <c r="DA73" s="136">
        <f t="array" ref="DA73">IF(DA$3&gt;'GAAP Summary'!$B$2,0,SUM(INDIRECT(XLOOKUP(DA$3,'TTM Dates'!$B:$B,'TTM Dates'!$E:$E)&amp;ROW($BW73)&amp;":"&amp;XLOOKUP(DA$3,'TTM Dates'!$B:$B,'TTM Dates'!$C:$C)&amp;ROW($BW73))))</f>
        <v>0</v>
      </c>
      <c r="DB73" s="136">
        <f t="array" ref="DB73">IF(DB$3&gt;'GAAP Summary'!$B$2,0,SUM(INDIRECT(XLOOKUP(DB$3,'TTM Dates'!$B:$B,'TTM Dates'!$E:$E)&amp;ROW($BW73)&amp;":"&amp;XLOOKUP(DB$3,'TTM Dates'!$B:$B,'TTM Dates'!$C:$C)&amp;ROW($BW73))))</f>
        <v>0</v>
      </c>
      <c r="DC73" s="136">
        <f t="array" ref="DC73">IF(DC$3&gt;'GAAP Summary'!$B$2,0,SUM(INDIRECT(XLOOKUP(DC$3,'TTM Dates'!$B:$B,'TTM Dates'!$E:$E)&amp;ROW($BW73)&amp;":"&amp;XLOOKUP(DC$3,'TTM Dates'!$B:$B,'TTM Dates'!$C:$C)&amp;ROW($BW73))))</f>
        <v>0</v>
      </c>
      <c r="DD73" s="136">
        <f t="array" ref="DD73">IF(DD$3&gt;'GAAP Summary'!$B$2,0,SUM(INDIRECT(XLOOKUP(DD$3,'TTM Dates'!$B:$B,'TTM Dates'!$E:$E)&amp;ROW($BW73)&amp;":"&amp;XLOOKUP(DD$3,'TTM Dates'!$B:$B,'TTM Dates'!$C:$C)&amp;ROW($BW73))))</f>
        <v>0</v>
      </c>
      <c r="DE73" s="136">
        <f t="array" ref="DE73">IF(DE$3&gt;'GAAP Summary'!$B$2,0,SUM(INDIRECT(XLOOKUP(DE$3,'TTM Dates'!$B:$B,'TTM Dates'!$E:$E)&amp;ROW($BW73)&amp;":"&amp;XLOOKUP(DE$3,'TTM Dates'!$B:$B,'TTM Dates'!$C:$C)&amp;ROW($BW73))))</f>
        <v>0</v>
      </c>
      <c r="DF73" s="136">
        <f t="array" ref="DF73">IF(DF$3&gt;'GAAP Summary'!$B$2,0,SUM(INDIRECT(XLOOKUP(DF$3,'TTM Dates'!$B:$B,'TTM Dates'!$E:$E)&amp;ROW($BW73)&amp;":"&amp;XLOOKUP(DF$3,'TTM Dates'!$B:$B,'TTM Dates'!$C:$C)&amp;ROW($BW73))))</f>
        <v>0</v>
      </c>
      <c r="DG73" s="136">
        <f t="array" ref="DG73">IF(DG$3&gt;'GAAP Summary'!$B$2,0,SUM(INDIRECT(XLOOKUP(DG$3,'TTM Dates'!$B:$B,'TTM Dates'!$E:$E)&amp;ROW($BW73)&amp;":"&amp;XLOOKUP(DG$3,'TTM Dates'!$B:$B,'TTM Dates'!$C:$C)&amp;ROW($BW73))))</f>
        <v>0</v>
      </c>
      <c r="DH73" s="136">
        <f t="array" ref="DH73">IF(DH$3&gt;'GAAP Summary'!$B$2,0,SUM(INDIRECT(XLOOKUP(DH$3,'TTM Dates'!$B:$B,'TTM Dates'!$E:$E)&amp;ROW($BW73)&amp;":"&amp;XLOOKUP(DH$3,'TTM Dates'!$B:$B,'TTM Dates'!$C:$C)&amp;ROW($BW73))))</f>
        <v>0</v>
      </c>
      <c r="DI73" s="136">
        <f t="array" ref="DI73">IF(DI$3&gt;'GAAP Summary'!$B$2,0,SUM(INDIRECT(XLOOKUP(DI$3,'TTM Dates'!$B:$B,'TTM Dates'!$E:$E)&amp;ROW($BW73)&amp;":"&amp;XLOOKUP(DI$3,'TTM Dates'!$B:$B,'TTM Dates'!$C:$C)&amp;ROW($BW73))))</f>
        <v>0</v>
      </c>
      <c r="DJ73" s="136">
        <f t="array" ref="DJ73">IF(DJ$3&gt;'GAAP Summary'!$B$2,0,SUM(INDIRECT(XLOOKUP(DJ$3,'TTM Dates'!$B:$B,'TTM Dates'!$E:$E)&amp;ROW($BW73)&amp;":"&amp;XLOOKUP(DJ$3,'TTM Dates'!$B:$B,'TTM Dates'!$C:$C)&amp;ROW($BW73))))</f>
        <v>0</v>
      </c>
      <c r="DK73" s="136">
        <f t="array" ref="DK73">IF(DK$3&gt;'GAAP Summary'!$B$2,0,SUM(INDIRECT(XLOOKUP(DK$3,'TTM Dates'!$B:$B,'TTM Dates'!$E:$E)&amp;ROW($BW73)&amp;":"&amp;XLOOKUP(DK$3,'TTM Dates'!$B:$B,'TTM Dates'!$C:$C)&amp;ROW($BW73))))</f>
        <v>0</v>
      </c>
      <c r="DL73" s="136">
        <f t="array" ref="DL73">IF(DL$3&gt;'GAAP Summary'!$B$2,0,SUM(INDIRECT(XLOOKUP(DL$3,'TTM Dates'!$B:$B,'TTM Dates'!$E:$E)&amp;ROW($BW73)&amp;":"&amp;XLOOKUP(DL$3,'TTM Dates'!$B:$B,'TTM Dates'!$C:$C)&amp;ROW($BW73))))</f>
        <v>0</v>
      </c>
      <c r="DM73" s="136">
        <f t="array" ref="DM73">IF(DM$3&gt;'GAAP Summary'!$B$2,0,SUM(INDIRECT(XLOOKUP(DM$3,'TTM Dates'!$B:$B,'TTM Dates'!$E:$E)&amp;ROW($BW73)&amp;":"&amp;XLOOKUP(DM$3,'TTM Dates'!$B:$B,'TTM Dates'!$C:$C)&amp;ROW($BW73))))</f>
        <v>0</v>
      </c>
      <c r="DN73" s="136">
        <f t="array" ref="DN73">IF(DN$3&gt;'GAAP Summary'!$B$2,0,SUM(INDIRECT(XLOOKUP(DN$3,'TTM Dates'!$B:$B,'TTM Dates'!$E:$E)&amp;ROW($BW73)&amp;":"&amp;XLOOKUP(DN$3,'TTM Dates'!$B:$B,'TTM Dates'!$C:$C)&amp;ROW($BW73))))</f>
        <v>0</v>
      </c>
      <c r="DO73" s="136">
        <f t="array" ref="DO73">IF(DO$3&gt;'GAAP Summary'!$B$2,0,SUM(INDIRECT(XLOOKUP(DO$3,'TTM Dates'!$B:$B,'TTM Dates'!$E:$E)&amp;ROW($BW73)&amp;":"&amp;XLOOKUP(DO$3,'TTM Dates'!$B:$B,'TTM Dates'!$C:$C)&amp;ROW($BW73))))</f>
        <v>0</v>
      </c>
      <c r="DP73" s="136">
        <f t="array" ref="DP73">IF(DP$3&gt;'GAAP Summary'!$B$2,0,SUM(INDIRECT(XLOOKUP(DP$3,'TTM Dates'!$B:$B,'TTM Dates'!$E:$E)&amp;ROW($BW73)&amp;":"&amp;XLOOKUP(DP$3,'TTM Dates'!$B:$B,'TTM Dates'!$C:$C)&amp;ROW($BW73))))</f>
        <v>0</v>
      </c>
      <c r="DQ73" s="136">
        <f t="array" ref="DQ73">IF(DQ$3&gt;'GAAP Summary'!$B$2,0,SUM(INDIRECT(XLOOKUP(DQ$3,'TTM Dates'!$B:$B,'TTM Dates'!$E:$E)&amp;ROW($BW73)&amp;":"&amp;XLOOKUP(DQ$3,'TTM Dates'!$B:$B,'TTM Dates'!$C:$C)&amp;ROW($BW73))))</f>
        <v>0</v>
      </c>
      <c r="DR73" s="136">
        <f t="array" ref="DR73">IF(DR$3&gt;'GAAP Summary'!$B$2,0,SUM(INDIRECT(XLOOKUP(DR$3,'TTM Dates'!$B:$B,'TTM Dates'!$E:$E)&amp;ROW($BW73)&amp;":"&amp;XLOOKUP(DR$3,'TTM Dates'!$B:$B,'TTM Dates'!$C:$C)&amp;ROW($BW73))))</f>
        <v>0</v>
      </c>
      <c r="DS73" s="136">
        <f t="array" ref="DS73">IF(DS$3&gt;'GAAP Summary'!$B$2,0,SUM(INDIRECT(XLOOKUP(DS$3,'TTM Dates'!$B:$B,'TTM Dates'!$E:$E)&amp;ROW($BW73)&amp;":"&amp;XLOOKUP(DS$3,'TTM Dates'!$B:$B,'TTM Dates'!$C:$C)&amp;ROW($BW73))))</f>
        <v>0</v>
      </c>
      <c r="DT73" s="136">
        <f t="array" ref="DT73">IF(DT$3&gt;'GAAP Summary'!$B$2,0,SUM(INDIRECT(XLOOKUP(DT$3,'TTM Dates'!$B:$B,'TTM Dates'!$E:$E)&amp;ROW($BW73)&amp;":"&amp;XLOOKUP(DT$3,'TTM Dates'!$B:$B,'TTM Dates'!$C:$C)&amp;ROW($BW73))))</f>
        <v>0</v>
      </c>
      <c r="DU73" s="136">
        <f t="array" ref="DU73">IF(DU$3&gt;'GAAP Summary'!$B$2,0,SUM(INDIRECT(XLOOKUP(DU$3,'TTM Dates'!$B:$B,'TTM Dates'!$E:$E)&amp;ROW($BW73)&amp;":"&amp;XLOOKUP(DU$3,'TTM Dates'!$B:$B,'TTM Dates'!$C:$C)&amp;ROW($BW73))))</f>
        <v>0</v>
      </c>
      <c r="DV73" s="136">
        <f t="array" ref="DV73">IF(DV$3&gt;'GAAP Summary'!$B$2,0,SUM(INDIRECT(XLOOKUP(DV$3,'TTM Dates'!$B:$B,'TTM Dates'!$E:$E)&amp;ROW($BW73)&amp;":"&amp;XLOOKUP(DV$3,'TTM Dates'!$B:$B,'TTM Dates'!$C:$C)&amp;ROW($BW73))))</f>
        <v>0</v>
      </c>
      <c r="DW73" s="136">
        <f t="array" ref="DW73">IF(DW$3&gt;'GAAP Summary'!$B$2,0,SUM(INDIRECT(XLOOKUP(DW$3,'TTM Dates'!$B:$B,'TTM Dates'!$E:$E)&amp;ROW($BW73)&amp;":"&amp;XLOOKUP(DW$3,'TTM Dates'!$B:$B,'TTM Dates'!$C:$C)&amp;ROW($BW73))))</f>
        <v>0</v>
      </c>
      <c r="DX73" s="136">
        <f t="array" ref="DX73">IF(DX$3&gt;'GAAP Summary'!$B$2,0,SUM(INDIRECT(XLOOKUP(DX$3,'TTM Dates'!$B:$B,'TTM Dates'!$E:$E)&amp;ROW($BW73)&amp;":"&amp;XLOOKUP(DX$3,'TTM Dates'!$B:$B,'TTM Dates'!$C:$C)&amp;ROW($BW73))))</f>
        <v>0</v>
      </c>
      <c r="DY73" s="136">
        <f t="array" ref="DY73">IF(DY$3&gt;'GAAP Summary'!$B$2,0,SUM(INDIRECT(XLOOKUP(DY$3,'TTM Dates'!$B:$B,'TTM Dates'!$E:$E)&amp;ROW($BW73)&amp;":"&amp;XLOOKUP(DY$3,'TTM Dates'!$B:$B,'TTM Dates'!$C:$C)&amp;ROW($BW73))))</f>
        <v>0</v>
      </c>
      <c r="DZ73" s="136">
        <f t="array" ref="DZ73">IF(DZ$3&gt;'GAAP Summary'!$B$2,0,SUM(INDIRECT(XLOOKUP(DZ$3,'TTM Dates'!$B:$B,'TTM Dates'!$E:$E)&amp;ROW($BW73)&amp;":"&amp;XLOOKUP(DZ$3,'TTM Dates'!$B:$B,'TTM Dates'!$C:$C)&amp;ROW($BW73))))</f>
        <v>0</v>
      </c>
      <c r="EA73" s="136">
        <f t="array" ref="EA73">IF(EA$3&gt;'GAAP Summary'!$B$2,0,SUM(INDIRECT(XLOOKUP(EA$3,'TTM Dates'!$B:$B,'TTM Dates'!$E:$E)&amp;ROW($BW73)&amp;":"&amp;XLOOKUP(EA$3,'TTM Dates'!$B:$B,'TTM Dates'!$C:$C)&amp;ROW($BW73))))</f>
        <v>0</v>
      </c>
      <c r="EB73" s="136">
        <f t="array" ref="EB73">IF(EB$3&gt;'GAAP Summary'!$B$2,0,SUM(INDIRECT(XLOOKUP(EB$3,'TTM Dates'!$B:$B,'TTM Dates'!$E:$E)&amp;ROW($BW73)&amp;":"&amp;XLOOKUP(EB$3,'TTM Dates'!$B:$B,'TTM Dates'!$C:$C)&amp;ROW($BW73))))</f>
        <v>0</v>
      </c>
      <c r="EC73" s="136">
        <f t="array" ref="EC73">IF(EC$3&gt;'GAAP Summary'!$B$2,0,SUM(INDIRECT(XLOOKUP(EC$3,'TTM Dates'!$B:$B,'TTM Dates'!$E:$E)&amp;ROW($BW73)&amp;":"&amp;XLOOKUP(EC$3,'TTM Dates'!$B:$B,'TTM Dates'!$C:$C)&amp;ROW($BW73))))</f>
        <v>0</v>
      </c>
      <c r="ED73" s="136">
        <f t="array" ref="ED73">IF(ED$3&gt;'GAAP Summary'!$B$2,0,SUM(INDIRECT(XLOOKUP(ED$3,'TTM Dates'!$B:$B,'TTM Dates'!$E:$E)&amp;ROW($BW73)&amp;":"&amp;XLOOKUP(ED$3,'TTM Dates'!$B:$B,'TTM Dates'!$C:$C)&amp;ROW($BW73))))</f>
        <v>0</v>
      </c>
      <c r="EE73" s="136">
        <f t="array" ref="EE73">IF(EE$3&gt;'GAAP Summary'!$B$2,0,SUM(INDIRECT(XLOOKUP(EE$3,'TTM Dates'!$B:$B,'TTM Dates'!$E:$E)&amp;ROW($BW73)&amp;":"&amp;XLOOKUP(EE$3,'TTM Dates'!$B:$B,'TTM Dates'!$C:$C)&amp;ROW($BW73))))</f>
        <v>0</v>
      </c>
      <c r="EF73" s="136">
        <f t="array" ref="EF73">IF(EF$3&gt;'GAAP Summary'!$B$2,0,SUM(INDIRECT(XLOOKUP(EF$3,'TTM Dates'!$B:$B,'TTM Dates'!$E:$E)&amp;ROW($BW73)&amp;":"&amp;XLOOKUP(EF$3,'TTM Dates'!$B:$B,'TTM Dates'!$C:$C)&amp;ROW($BW73))))</f>
        <v>0</v>
      </c>
      <c r="EG73" s="136">
        <f t="array" ref="EG73">IF(EG$3&gt;'GAAP Summary'!$B$2,0,SUM(INDIRECT(XLOOKUP(EG$3,'TTM Dates'!$B:$B,'TTM Dates'!$E:$E)&amp;ROW($BW73)&amp;":"&amp;XLOOKUP(EG$3,'TTM Dates'!$B:$B,'TTM Dates'!$C:$C)&amp;ROW($BW73))))</f>
        <v>0</v>
      </c>
      <c r="EH73" s="136">
        <f t="array" ref="EH73">IF(EH$3&gt;'GAAP Summary'!$B$2,0,SUM(INDIRECT(XLOOKUP(EH$3,'TTM Dates'!$B:$B,'TTM Dates'!$E:$E)&amp;ROW($BW73)&amp;":"&amp;XLOOKUP(EH$3,'TTM Dates'!$B:$B,'TTM Dates'!$C:$C)&amp;ROW($BW73))))</f>
        <v>0</v>
      </c>
      <c r="EI73" s="136">
        <f t="array" ref="EI73">IF(EI$3&gt;'GAAP Summary'!$B$2,0,SUM(INDIRECT(XLOOKUP(EI$3,'TTM Dates'!$B:$B,'TTM Dates'!$E:$E)&amp;ROW($BW73)&amp;":"&amp;XLOOKUP(EI$3,'TTM Dates'!$B:$B,'TTM Dates'!$C:$C)&amp;ROW($BW73))))</f>
        <v>0</v>
      </c>
      <c r="EJ73" s="136">
        <f t="array" ref="EJ73">IF(EJ$3&gt;'GAAP Summary'!$B$2,0,SUM(INDIRECT(XLOOKUP(EJ$3,'TTM Dates'!$B:$B,'TTM Dates'!$E:$E)&amp;ROW($BW73)&amp;":"&amp;XLOOKUP(EJ$3,'TTM Dates'!$B:$B,'TTM Dates'!$C:$C)&amp;ROW($BW73))))</f>
        <v>0</v>
      </c>
      <c r="EK73" s="136">
        <f t="array" ref="EK73">IF(EK$3&gt;'GAAP Summary'!$B$2,0,SUM(INDIRECT(XLOOKUP(EK$3,'TTM Dates'!$B:$B,'TTM Dates'!$E:$E)&amp;ROW($BW73)&amp;":"&amp;XLOOKUP(EK$3,'TTM Dates'!$B:$B,'TTM Dates'!$C:$C)&amp;ROW($BW73))))</f>
        <v>0</v>
      </c>
      <c r="EL73" s="136">
        <f t="array" ref="EL73">IF(EL$3&gt;'GAAP Summary'!$B$2,0,SUM(INDIRECT(XLOOKUP(EL$3,'TTM Dates'!$B:$B,'TTM Dates'!$E:$E)&amp;ROW($BW73)&amp;":"&amp;XLOOKUP(EL$3,'TTM Dates'!$B:$B,'TTM Dates'!$C:$C)&amp;ROW($BW73))))</f>
        <v>0</v>
      </c>
      <c r="EM73" s="136">
        <f t="array" ref="EM73">IF(EM$3&gt;'GAAP Summary'!$B$2,0,SUM(INDIRECT(XLOOKUP(EM$3,'TTM Dates'!$B:$B,'TTM Dates'!$E:$E)&amp;ROW($BW73)&amp;":"&amp;XLOOKUP(EM$3,'TTM Dates'!$B:$B,'TTM Dates'!$C:$C)&amp;ROW($BW73))))</f>
        <v>0</v>
      </c>
      <c r="EN73" s="136">
        <f t="array" ref="EN73">IF(EN$3&gt;'GAAP Summary'!$B$2,0,SUM(INDIRECT(XLOOKUP(EN$3,'TTM Dates'!$B:$B,'TTM Dates'!$E:$E)&amp;ROW($BW73)&amp;":"&amp;XLOOKUP(EN$3,'TTM Dates'!$B:$B,'TTM Dates'!$C:$C)&amp;ROW($BW73))))</f>
        <v>0</v>
      </c>
      <c r="EO73" s="136">
        <f t="array" ref="EO73">IF(EO$3&gt;'GAAP Summary'!$B$2,0,SUM(INDIRECT(XLOOKUP(EO$3,'TTM Dates'!$B:$B,'TTM Dates'!$E:$E)&amp;ROW($BW73)&amp;":"&amp;XLOOKUP(EO$3,'TTM Dates'!$B:$B,'TTM Dates'!$C:$C)&amp;ROW($BW73))))</f>
        <v>0</v>
      </c>
      <c r="EP73" s="136">
        <f t="array" ref="EP73">IF(EP$3&gt;'GAAP Summary'!$B$2,0,SUM(INDIRECT(XLOOKUP(EP$3,'TTM Dates'!$B:$B,'TTM Dates'!$E:$E)&amp;ROW($BW73)&amp;":"&amp;XLOOKUP(EP$3,'TTM Dates'!$B:$B,'TTM Dates'!$C:$C)&amp;ROW($BW73))))</f>
        <v>0</v>
      </c>
      <c r="EQ73" s="136">
        <f t="array" ref="EQ73">IF(EQ$3&gt;'GAAP Summary'!$B$2,0,SUM(INDIRECT(XLOOKUP(EQ$3,'TTM Dates'!$B:$B,'TTM Dates'!$E:$E)&amp;ROW($BW73)&amp;":"&amp;XLOOKUP(EQ$3,'TTM Dates'!$B:$B,'TTM Dates'!$C:$C)&amp;ROW($BW73))))</f>
        <v>0</v>
      </c>
      <c r="ER73" s="136">
        <f t="array" ref="ER73">IF(ER$3&gt;'GAAP Summary'!$B$2,0,SUM(INDIRECT(XLOOKUP(ER$3,'TTM Dates'!$B:$B,'TTM Dates'!$E:$E)&amp;ROW($BW73)&amp;":"&amp;XLOOKUP(ER$3,'TTM Dates'!$B:$B,'TTM Dates'!$C:$C)&amp;ROW($BW73))))</f>
        <v>0</v>
      </c>
      <c r="ES73" s="136">
        <f t="array" ref="ES73">IF(ES$3&gt;'GAAP Summary'!$B$2,0,SUM(INDIRECT(XLOOKUP(ES$3,'TTM Dates'!$B:$B,'TTM Dates'!$E:$E)&amp;ROW($BW73)&amp;":"&amp;XLOOKUP(ES$3,'TTM Dates'!$B:$B,'TTM Dates'!$C:$C)&amp;ROW($BW73))))</f>
        <v>0</v>
      </c>
      <c r="ET73" s="136">
        <f t="array" ref="ET73">IF(ET$3&gt;'GAAP Summary'!$B$2,0,SUM(INDIRECT(XLOOKUP(ET$3,'TTM Dates'!$B:$B,'TTM Dates'!$E:$E)&amp;ROW($BW73)&amp;":"&amp;XLOOKUP(ET$3,'TTM Dates'!$B:$B,'TTM Dates'!$C:$C)&amp;ROW($BW73))))</f>
        <v>0</v>
      </c>
      <c r="EU73" s="136">
        <f t="array" ref="EU73">IF(EU$3&gt;'GAAP Summary'!$B$2,0,SUM(INDIRECT(XLOOKUP(EU$3,'TTM Dates'!$B:$B,'TTM Dates'!$E:$E)&amp;ROW($BW73)&amp;":"&amp;XLOOKUP(EU$3,'TTM Dates'!$B:$B,'TTM Dates'!$C:$C)&amp;ROW($BW73))))</f>
        <v>0</v>
      </c>
      <c r="EV73" s="136">
        <f t="array" ref="EV73">IF(EV$3&gt;'GAAP Summary'!$B$2,0,SUM(INDIRECT(XLOOKUP(EV$3,'TTM Dates'!$B:$B,'TTM Dates'!$E:$E)&amp;ROW($BW73)&amp;":"&amp;XLOOKUP(EV$3,'TTM Dates'!$B:$B,'TTM Dates'!$C:$C)&amp;ROW($BW73))))</f>
        <v>0</v>
      </c>
      <c r="EW73" s="136">
        <f t="array" ref="EW73">IF(EW$3&gt;'GAAP Summary'!$B$2,0,SUM(INDIRECT(XLOOKUP(EW$3,'TTM Dates'!$B:$B,'TTM Dates'!$E:$E)&amp;ROW($BW73)&amp;":"&amp;XLOOKUP(EW$3,'TTM Dates'!$B:$B,'TTM Dates'!$C:$C)&amp;ROW($BW73))))</f>
        <v>0</v>
      </c>
      <c r="EX73" s="136">
        <f t="array" ref="EX73">IF(EX$3&gt;'GAAP Summary'!$B$2,0,SUM(INDIRECT(XLOOKUP(EX$3,'TTM Dates'!$B:$B,'TTM Dates'!$E:$E)&amp;ROW($BW73)&amp;":"&amp;XLOOKUP(EX$3,'TTM Dates'!$B:$B,'TTM Dates'!$C:$C)&amp;ROW($BW73))))</f>
        <v>0</v>
      </c>
      <c r="EY73" s="136">
        <f t="array" ref="EY73">IF(EY$3&gt;'GAAP Summary'!$B$2,0,SUM(INDIRECT(XLOOKUP(EY$3,'TTM Dates'!$B:$B,'TTM Dates'!$E:$E)&amp;ROW($BW73)&amp;":"&amp;XLOOKUP(EY$3,'TTM Dates'!$B:$B,'TTM Dates'!$C:$C)&amp;ROW($BW73))))</f>
        <v>0</v>
      </c>
      <c r="EZ73" s="136">
        <f t="array" ref="EZ73">IF(EZ$3&gt;'GAAP Summary'!$B$2,0,SUM(INDIRECT(XLOOKUP(EZ$3,'TTM Dates'!$B:$B,'TTM Dates'!$E:$E)&amp;ROW($BW73)&amp;":"&amp;XLOOKUP(EZ$3,'TTM Dates'!$B:$B,'TTM Dates'!$C:$C)&amp;ROW($BW73))))</f>
        <v>0</v>
      </c>
      <c r="FA73" s="136">
        <f t="array" ref="FA73">IF(FA$3&gt;'GAAP Summary'!$B$2,0,SUM(INDIRECT(XLOOKUP(FA$3,'TTM Dates'!$B:$B,'TTM Dates'!$E:$E)&amp;ROW($BW73)&amp;":"&amp;XLOOKUP(FA$3,'TTM Dates'!$B:$B,'TTM Dates'!$C:$C)&amp;ROW($BW73))))</f>
        <v>0</v>
      </c>
      <c r="FB73" s="136">
        <f t="array" ref="FB73">IF(FB$3&gt;'GAAP Summary'!$B$2,0,SUM(INDIRECT(XLOOKUP(FB$3,'TTM Dates'!$B:$B,'TTM Dates'!$E:$E)&amp;ROW($BW73)&amp;":"&amp;XLOOKUP(FB$3,'TTM Dates'!$B:$B,'TTM Dates'!$C:$C)&amp;ROW($BW73))))</f>
        <v>0</v>
      </c>
      <c r="FC73" s="136">
        <f t="array" ref="FC73">IF(FC$3&gt;'GAAP Summary'!$B$2,0,SUM(INDIRECT(XLOOKUP(FC$3,'TTM Dates'!$B:$B,'TTM Dates'!$E:$E)&amp;ROW($BW73)&amp;":"&amp;XLOOKUP(FC$3,'TTM Dates'!$B:$B,'TTM Dates'!$C:$C)&amp;ROW($BW73))))</f>
        <v>0</v>
      </c>
      <c r="FD73" s="136">
        <f t="array" ref="FD73">IF(FD$3&gt;'GAAP Summary'!$B$2,0,SUM(INDIRECT(XLOOKUP(FD$3,'TTM Dates'!$B:$B,'TTM Dates'!$E:$E)&amp;ROW($BW73)&amp;":"&amp;XLOOKUP(FD$3,'TTM Dates'!$B:$B,'TTM Dates'!$C:$C)&amp;ROW($BW73))))</f>
        <v>0</v>
      </c>
      <c r="FE73" s="136">
        <f t="array" ref="FE73">IF(FE$3&gt;'GAAP Summary'!$B$2,0,SUM(INDIRECT(XLOOKUP(FE$3,'TTM Dates'!$B:$B,'TTM Dates'!$E:$E)&amp;ROW($BW73)&amp;":"&amp;XLOOKUP(FE$3,'TTM Dates'!$B:$B,'TTM Dates'!$C:$C)&amp;ROW($BW73))))</f>
        <v>0</v>
      </c>
      <c r="FF73" s="136">
        <f t="array" ref="FF73">IF(FF$3&gt;'GAAP Summary'!$B$2,0,SUM(INDIRECT(XLOOKUP(FF$3,'TTM Dates'!$B:$B,'TTM Dates'!$E:$E)&amp;ROW($BW73)&amp;":"&amp;XLOOKUP(FF$3,'TTM Dates'!$B:$B,'TTM Dates'!$C:$C)&amp;ROW($BW73))))</f>
        <v>0</v>
      </c>
      <c r="FG73" s="136">
        <f t="array" ref="FG73">IF(FG$3&gt;'GAAP Summary'!$B$2,0,SUM(INDIRECT(XLOOKUP(FG$3,'TTM Dates'!$B:$B,'TTM Dates'!$E:$E)&amp;ROW($BW73)&amp;":"&amp;XLOOKUP(FG$3,'TTM Dates'!$B:$B,'TTM Dates'!$C:$C)&amp;ROW($BW73))))</f>
        <v>0</v>
      </c>
      <c r="FH73" s="136"/>
    </row>
    <row r="74" outlineLevel="1">
      <c r="B74" s="135" t="s">
        <v>508</v>
      </c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7"/>
      <c r="AN74" s="136"/>
      <c r="AO74" s="136"/>
      <c r="AP74" s="136"/>
      <c r="AQ74" s="136"/>
      <c r="AR74" s="136"/>
      <c r="AS74" s="136"/>
      <c r="AT74" s="137"/>
      <c r="AU74" s="137"/>
      <c r="AV74" s="137"/>
      <c r="AW74" s="137"/>
      <c r="AX74" s="337"/>
      <c r="AY74" s="337"/>
      <c r="AZ74" s="337"/>
      <c r="BA74" s="337"/>
      <c r="BB74" s="337"/>
      <c r="BC74" s="337"/>
      <c r="BD74" s="337"/>
      <c r="BE74" s="337"/>
      <c r="BF74" s="337"/>
      <c r="BG74" s="337"/>
      <c r="BH74" s="337"/>
      <c r="BI74" s="337"/>
      <c r="BJ74" s="337"/>
      <c r="BK74" s="337"/>
      <c r="BL74" s="337"/>
      <c r="BM74" s="337"/>
      <c r="BN74" s="337"/>
      <c r="BO74" s="337"/>
      <c r="BP74" s="337"/>
      <c r="BQ74" s="337"/>
      <c r="BR74" s="337"/>
      <c r="BS74" s="337"/>
      <c r="BT74" s="337"/>
      <c r="BU74" s="337"/>
      <c r="BV74" s="337"/>
      <c r="BW74" s="33"/>
      <c r="BX74" s="288" t="str">
        <f t="array" ref="BX74">SUM(INDIRECT(XLOOKUP('GAAP Summary'!$B$2,'TTM Dates'!$B:$B,'TTM Dates'!$E:$E)&amp;ROW($BW74)&amp;":"&amp;XLOOKUP('GAAP Summary'!$B$2,'TTM Dates'!$B:$B,'TTM Dates'!$C:$C)&amp;ROW($BW74)))</f>
        <v>#REF!</v>
      </c>
      <c r="BY74" s="351"/>
      <c r="BZ74" s="136">
        <f t="shared" si="104"/>
        <v>0</v>
      </c>
      <c r="CA74" s="136">
        <f t="shared" si="105"/>
        <v>0</v>
      </c>
      <c r="CB74" s="136">
        <f t="shared" si="106"/>
        <v>0</v>
      </c>
      <c r="CC74" s="136">
        <f t="shared" si="107"/>
        <v>0</v>
      </c>
      <c r="CD74" s="292">
        <f t="shared" si="108"/>
        <v>0</v>
      </c>
      <c r="CE74" s="351"/>
      <c r="CF74" s="136">
        <f t="shared" si="109"/>
        <v>0</v>
      </c>
      <c r="CG74" s="136">
        <f t="shared" si="110"/>
        <v>0</v>
      </c>
      <c r="CH74" s="136">
        <f t="shared" si="111"/>
        <v>0</v>
      </c>
      <c r="CI74" s="136">
        <f t="shared" si="112"/>
        <v>0</v>
      </c>
      <c r="CJ74" s="292">
        <f t="shared" si="113"/>
        <v>0</v>
      </c>
      <c r="CK74" s="136"/>
      <c r="CL74" s="136">
        <f t="shared" si="114"/>
        <v>0</v>
      </c>
      <c r="CM74" s="136">
        <f t="shared" si="115"/>
        <v>0</v>
      </c>
      <c r="CN74" s="136">
        <f t="shared" si="116"/>
        <v>0</v>
      </c>
      <c r="CO74" s="136">
        <f t="shared" si="117"/>
        <v>0</v>
      </c>
      <c r="CP74" s="292">
        <f t="shared" si="118"/>
        <v>0</v>
      </c>
      <c r="CQ74" s="136"/>
      <c r="CR74" s="136"/>
      <c r="CS74" s="136"/>
      <c r="CT74" s="136"/>
      <c r="CU74" s="136"/>
      <c r="CV74" s="292"/>
      <c r="CW74" s="136"/>
      <c r="CX74" s="292"/>
      <c r="CY74" s="136"/>
      <c r="CZ74" s="136">
        <f t="array" ref="CZ74">IF(CZ$3&gt;'GAAP Summary'!$B$2,0,SUM(INDIRECT(XLOOKUP(CZ$3,'TTM Dates'!$B:$B,'TTM Dates'!$E:$E)&amp;ROW($BW74)&amp;":"&amp;XLOOKUP(CZ$3,'TTM Dates'!$B:$B,'TTM Dates'!$C:$C)&amp;ROW($BW74))))</f>
        <v>0</v>
      </c>
      <c r="DA74" s="136">
        <f t="array" ref="DA74">IF(DA$3&gt;'GAAP Summary'!$B$2,0,SUM(INDIRECT(XLOOKUP(DA$3,'TTM Dates'!$B:$B,'TTM Dates'!$E:$E)&amp;ROW($BW74)&amp;":"&amp;XLOOKUP(DA$3,'TTM Dates'!$B:$B,'TTM Dates'!$C:$C)&amp;ROW($BW74))))</f>
        <v>0</v>
      </c>
      <c r="DB74" s="136">
        <f t="array" ref="DB74">IF(DB$3&gt;'GAAP Summary'!$B$2,0,SUM(INDIRECT(XLOOKUP(DB$3,'TTM Dates'!$B:$B,'TTM Dates'!$E:$E)&amp;ROW($BW74)&amp;":"&amp;XLOOKUP(DB$3,'TTM Dates'!$B:$B,'TTM Dates'!$C:$C)&amp;ROW($BW74))))</f>
        <v>0</v>
      </c>
      <c r="DC74" s="136">
        <f t="array" ref="DC74">IF(DC$3&gt;'GAAP Summary'!$B$2,0,SUM(INDIRECT(XLOOKUP(DC$3,'TTM Dates'!$B:$B,'TTM Dates'!$E:$E)&amp;ROW($BW74)&amp;":"&amp;XLOOKUP(DC$3,'TTM Dates'!$B:$B,'TTM Dates'!$C:$C)&amp;ROW($BW74))))</f>
        <v>0</v>
      </c>
      <c r="DD74" s="136">
        <f t="array" ref="DD74">IF(DD$3&gt;'GAAP Summary'!$B$2,0,SUM(INDIRECT(XLOOKUP(DD$3,'TTM Dates'!$B:$B,'TTM Dates'!$E:$E)&amp;ROW($BW74)&amp;":"&amp;XLOOKUP(DD$3,'TTM Dates'!$B:$B,'TTM Dates'!$C:$C)&amp;ROW($BW74))))</f>
        <v>0</v>
      </c>
      <c r="DE74" s="136">
        <f t="array" ref="DE74">IF(DE$3&gt;'GAAP Summary'!$B$2,0,SUM(INDIRECT(XLOOKUP(DE$3,'TTM Dates'!$B:$B,'TTM Dates'!$E:$E)&amp;ROW($BW74)&amp;":"&amp;XLOOKUP(DE$3,'TTM Dates'!$B:$B,'TTM Dates'!$C:$C)&amp;ROW($BW74))))</f>
        <v>0</v>
      </c>
      <c r="DF74" s="136">
        <f t="array" ref="DF74">IF(DF$3&gt;'GAAP Summary'!$B$2,0,SUM(INDIRECT(XLOOKUP(DF$3,'TTM Dates'!$B:$B,'TTM Dates'!$E:$E)&amp;ROW($BW74)&amp;":"&amp;XLOOKUP(DF$3,'TTM Dates'!$B:$B,'TTM Dates'!$C:$C)&amp;ROW($BW74))))</f>
        <v>0</v>
      </c>
      <c r="DG74" s="136">
        <f t="array" ref="DG74">IF(DG$3&gt;'GAAP Summary'!$B$2,0,SUM(INDIRECT(XLOOKUP(DG$3,'TTM Dates'!$B:$B,'TTM Dates'!$E:$E)&amp;ROW($BW74)&amp;":"&amp;XLOOKUP(DG$3,'TTM Dates'!$B:$B,'TTM Dates'!$C:$C)&amp;ROW($BW74))))</f>
        <v>0</v>
      </c>
      <c r="DH74" s="136">
        <f t="array" ref="DH74">IF(DH$3&gt;'GAAP Summary'!$B$2,0,SUM(INDIRECT(XLOOKUP(DH$3,'TTM Dates'!$B:$B,'TTM Dates'!$E:$E)&amp;ROW($BW74)&amp;":"&amp;XLOOKUP(DH$3,'TTM Dates'!$B:$B,'TTM Dates'!$C:$C)&amp;ROW($BW74))))</f>
        <v>0</v>
      </c>
      <c r="DI74" s="136">
        <f t="array" ref="DI74">IF(DI$3&gt;'GAAP Summary'!$B$2,0,SUM(INDIRECT(XLOOKUP(DI$3,'TTM Dates'!$B:$B,'TTM Dates'!$E:$E)&amp;ROW($BW74)&amp;":"&amp;XLOOKUP(DI$3,'TTM Dates'!$B:$B,'TTM Dates'!$C:$C)&amp;ROW($BW74))))</f>
        <v>0</v>
      </c>
      <c r="DJ74" s="136">
        <f t="array" ref="DJ74">IF(DJ$3&gt;'GAAP Summary'!$B$2,0,SUM(INDIRECT(XLOOKUP(DJ$3,'TTM Dates'!$B:$B,'TTM Dates'!$E:$E)&amp;ROW($BW74)&amp;":"&amp;XLOOKUP(DJ$3,'TTM Dates'!$B:$B,'TTM Dates'!$C:$C)&amp;ROW($BW74))))</f>
        <v>0</v>
      </c>
      <c r="DK74" s="136">
        <f t="array" ref="DK74">IF(DK$3&gt;'GAAP Summary'!$B$2,0,SUM(INDIRECT(XLOOKUP(DK$3,'TTM Dates'!$B:$B,'TTM Dates'!$E:$E)&amp;ROW($BW74)&amp;":"&amp;XLOOKUP(DK$3,'TTM Dates'!$B:$B,'TTM Dates'!$C:$C)&amp;ROW($BW74))))</f>
        <v>0</v>
      </c>
      <c r="DL74" s="136">
        <f t="array" ref="DL74">IF(DL$3&gt;'GAAP Summary'!$B$2,0,SUM(INDIRECT(XLOOKUP(DL$3,'TTM Dates'!$B:$B,'TTM Dates'!$E:$E)&amp;ROW($BW74)&amp;":"&amp;XLOOKUP(DL$3,'TTM Dates'!$B:$B,'TTM Dates'!$C:$C)&amp;ROW($BW74))))</f>
        <v>0</v>
      </c>
      <c r="DM74" s="136">
        <f t="array" ref="DM74">IF(DM$3&gt;'GAAP Summary'!$B$2,0,SUM(INDIRECT(XLOOKUP(DM$3,'TTM Dates'!$B:$B,'TTM Dates'!$E:$E)&amp;ROW($BW74)&amp;":"&amp;XLOOKUP(DM$3,'TTM Dates'!$B:$B,'TTM Dates'!$C:$C)&amp;ROW($BW74))))</f>
        <v>0</v>
      </c>
      <c r="DN74" s="136">
        <f t="array" ref="DN74">IF(DN$3&gt;'GAAP Summary'!$B$2,0,SUM(INDIRECT(XLOOKUP(DN$3,'TTM Dates'!$B:$B,'TTM Dates'!$E:$E)&amp;ROW($BW74)&amp;":"&amp;XLOOKUP(DN$3,'TTM Dates'!$B:$B,'TTM Dates'!$C:$C)&amp;ROW($BW74))))</f>
        <v>0</v>
      </c>
      <c r="DO74" s="136">
        <f t="array" ref="DO74">IF(DO$3&gt;'GAAP Summary'!$B$2,0,SUM(INDIRECT(XLOOKUP(DO$3,'TTM Dates'!$B:$B,'TTM Dates'!$E:$E)&amp;ROW($BW74)&amp;":"&amp;XLOOKUP(DO$3,'TTM Dates'!$B:$B,'TTM Dates'!$C:$C)&amp;ROW($BW74))))</f>
        <v>0</v>
      </c>
      <c r="DP74" s="136">
        <f t="array" ref="DP74">IF(DP$3&gt;'GAAP Summary'!$B$2,0,SUM(INDIRECT(XLOOKUP(DP$3,'TTM Dates'!$B:$B,'TTM Dates'!$E:$E)&amp;ROW($BW74)&amp;":"&amp;XLOOKUP(DP$3,'TTM Dates'!$B:$B,'TTM Dates'!$C:$C)&amp;ROW($BW74))))</f>
        <v>0</v>
      </c>
      <c r="DQ74" s="136">
        <f t="array" ref="DQ74">IF(DQ$3&gt;'GAAP Summary'!$B$2,0,SUM(INDIRECT(XLOOKUP(DQ$3,'TTM Dates'!$B:$B,'TTM Dates'!$E:$E)&amp;ROW($BW74)&amp;":"&amp;XLOOKUP(DQ$3,'TTM Dates'!$B:$B,'TTM Dates'!$C:$C)&amp;ROW($BW74))))</f>
        <v>0</v>
      </c>
      <c r="DR74" s="136">
        <f t="array" ref="DR74">IF(DR$3&gt;'GAAP Summary'!$B$2,0,SUM(INDIRECT(XLOOKUP(DR$3,'TTM Dates'!$B:$B,'TTM Dates'!$E:$E)&amp;ROW($BW74)&amp;":"&amp;XLOOKUP(DR$3,'TTM Dates'!$B:$B,'TTM Dates'!$C:$C)&amp;ROW($BW74))))</f>
        <v>0</v>
      </c>
      <c r="DS74" s="136">
        <f t="array" ref="DS74">IF(DS$3&gt;'GAAP Summary'!$B$2,0,SUM(INDIRECT(XLOOKUP(DS$3,'TTM Dates'!$B:$B,'TTM Dates'!$E:$E)&amp;ROW($BW74)&amp;":"&amp;XLOOKUP(DS$3,'TTM Dates'!$B:$B,'TTM Dates'!$C:$C)&amp;ROW($BW74))))</f>
        <v>0</v>
      </c>
      <c r="DT74" s="136">
        <f t="array" ref="DT74">IF(DT$3&gt;'GAAP Summary'!$B$2,0,SUM(INDIRECT(XLOOKUP(DT$3,'TTM Dates'!$B:$B,'TTM Dates'!$E:$E)&amp;ROW($BW74)&amp;":"&amp;XLOOKUP(DT$3,'TTM Dates'!$B:$B,'TTM Dates'!$C:$C)&amp;ROW($BW74))))</f>
        <v>0</v>
      </c>
      <c r="DU74" s="136">
        <f t="array" ref="DU74">IF(DU$3&gt;'GAAP Summary'!$B$2,0,SUM(INDIRECT(XLOOKUP(DU$3,'TTM Dates'!$B:$B,'TTM Dates'!$E:$E)&amp;ROW($BW74)&amp;":"&amp;XLOOKUP(DU$3,'TTM Dates'!$B:$B,'TTM Dates'!$C:$C)&amp;ROW($BW74))))</f>
        <v>0</v>
      </c>
      <c r="DV74" s="136">
        <f t="array" ref="DV74">IF(DV$3&gt;'GAAP Summary'!$B$2,0,SUM(INDIRECT(XLOOKUP(DV$3,'TTM Dates'!$B:$B,'TTM Dates'!$E:$E)&amp;ROW($BW74)&amp;":"&amp;XLOOKUP(DV$3,'TTM Dates'!$B:$B,'TTM Dates'!$C:$C)&amp;ROW($BW74))))</f>
        <v>0</v>
      </c>
      <c r="DW74" s="136">
        <f t="array" ref="DW74">IF(DW$3&gt;'GAAP Summary'!$B$2,0,SUM(INDIRECT(XLOOKUP(DW$3,'TTM Dates'!$B:$B,'TTM Dates'!$E:$E)&amp;ROW($BW74)&amp;":"&amp;XLOOKUP(DW$3,'TTM Dates'!$B:$B,'TTM Dates'!$C:$C)&amp;ROW($BW74))))</f>
        <v>0</v>
      </c>
      <c r="DX74" s="136">
        <f t="array" ref="DX74">IF(DX$3&gt;'GAAP Summary'!$B$2,0,SUM(INDIRECT(XLOOKUP(DX$3,'TTM Dates'!$B:$B,'TTM Dates'!$E:$E)&amp;ROW($BW74)&amp;":"&amp;XLOOKUP(DX$3,'TTM Dates'!$B:$B,'TTM Dates'!$C:$C)&amp;ROW($BW74))))</f>
        <v>0</v>
      </c>
      <c r="DY74" s="136">
        <f t="array" ref="DY74">IF(DY$3&gt;'GAAP Summary'!$B$2,0,SUM(INDIRECT(XLOOKUP(DY$3,'TTM Dates'!$B:$B,'TTM Dates'!$E:$E)&amp;ROW($BW74)&amp;":"&amp;XLOOKUP(DY$3,'TTM Dates'!$B:$B,'TTM Dates'!$C:$C)&amp;ROW($BW74))))</f>
        <v>0</v>
      </c>
      <c r="DZ74" s="136">
        <f t="array" ref="DZ74">IF(DZ$3&gt;'GAAP Summary'!$B$2,0,SUM(INDIRECT(XLOOKUP(DZ$3,'TTM Dates'!$B:$B,'TTM Dates'!$E:$E)&amp;ROW($BW74)&amp;":"&amp;XLOOKUP(DZ$3,'TTM Dates'!$B:$B,'TTM Dates'!$C:$C)&amp;ROW($BW74))))</f>
        <v>0</v>
      </c>
      <c r="EA74" s="136">
        <f t="array" ref="EA74">IF(EA$3&gt;'GAAP Summary'!$B$2,0,SUM(INDIRECT(XLOOKUP(EA$3,'TTM Dates'!$B:$B,'TTM Dates'!$E:$E)&amp;ROW($BW74)&amp;":"&amp;XLOOKUP(EA$3,'TTM Dates'!$B:$B,'TTM Dates'!$C:$C)&amp;ROW($BW74))))</f>
        <v>0</v>
      </c>
      <c r="EB74" s="136">
        <f t="array" ref="EB74">IF(EB$3&gt;'GAAP Summary'!$B$2,0,SUM(INDIRECT(XLOOKUP(EB$3,'TTM Dates'!$B:$B,'TTM Dates'!$E:$E)&amp;ROW($BW74)&amp;":"&amp;XLOOKUP(EB$3,'TTM Dates'!$B:$B,'TTM Dates'!$C:$C)&amp;ROW($BW74))))</f>
        <v>0</v>
      </c>
      <c r="EC74" s="136">
        <f t="array" ref="EC74">IF(EC$3&gt;'GAAP Summary'!$B$2,0,SUM(INDIRECT(XLOOKUP(EC$3,'TTM Dates'!$B:$B,'TTM Dates'!$E:$E)&amp;ROW($BW74)&amp;":"&amp;XLOOKUP(EC$3,'TTM Dates'!$B:$B,'TTM Dates'!$C:$C)&amp;ROW($BW74))))</f>
        <v>0</v>
      </c>
      <c r="ED74" s="136">
        <f t="array" ref="ED74">IF(ED$3&gt;'GAAP Summary'!$B$2,0,SUM(INDIRECT(XLOOKUP(ED$3,'TTM Dates'!$B:$B,'TTM Dates'!$E:$E)&amp;ROW($BW74)&amp;":"&amp;XLOOKUP(ED$3,'TTM Dates'!$B:$B,'TTM Dates'!$C:$C)&amp;ROW($BW74))))</f>
        <v>0</v>
      </c>
      <c r="EE74" s="136">
        <f t="array" ref="EE74">IF(EE$3&gt;'GAAP Summary'!$B$2,0,SUM(INDIRECT(XLOOKUP(EE$3,'TTM Dates'!$B:$B,'TTM Dates'!$E:$E)&amp;ROW($BW74)&amp;":"&amp;XLOOKUP(EE$3,'TTM Dates'!$B:$B,'TTM Dates'!$C:$C)&amp;ROW($BW74))))</f>
        <v>0</v>
      </c>
      <c r="EF74" s="136">
        <f t="array" ref="EF74">IF(EF$3&gt;'GAAP Summary'!$B$2,0,SUM(INDIRECT(XLOOKUP(EF$3,'TTM Dates'!$B:$B,'TTM Dates'!$E:$E)&amp;ROW($BW74)&amp;":"&amp;XLOOKUP(EF$3,'TTM Dates'!$B:$B,'TTM Dates'!$C:$C)&amp;ROW($BW74))))</f>
        <v>0</v>
      </c>
      <c r="EG74" s="136">
        <f t="array" ref="EG74">IF(EG$3&gt;'GAAP Summary'!$B$2,0,SUM(INDIRECT(XLOOKUP(EG$3,'TTM Dates'!$B:$B,'TTM Dates'!$E:$E)&amp;ROW($BW74)&amp;":"&amp;XLOOKUP(EG$3,'TTM Dates'!$B:$B,'TTM Dates'!$C:$C)&amp;ROW($BW74))))</f>
        <v>0</v>
      </c>
      <c r="EH74" s="136">
        <f t="array" ref="EH74">IF(EH$3&gt;'GAAP Summary'!$B$2,0,SUM(INDIRECT(XLOOKUP(EH$3,'TTM Dates'!$B:$B,'TTM Dates'!$E:$E)&amp;ROW($BW74)&amp;":"&amp;XLOOKUP(EH$3,'TTM Dates'!$B:$B,'TTM Dates'!$C:$C)&amp;ROW($BW74))))</f>
        <v>0</v>
      </c>
      <c r="EI74" s="136">
        <f t="array" ref="EI74">IF(EI$3&gt;'GAAP Summary'!$B$2,0,SUM(INDIRECT(XLOOKUP(EI$3,'TTM Dates'!$B:$B,'TTM Dates'!$E:$E)&amp;ROW($BW74)&amp;":"&amp;XLOOKUP(EI$3,'TTM Dates'!$B:$B,'TTM Dates'!$C:$C)&amp;ROW($BW74))))</f>
        <v>0</v>
      </c>
      <c r="EJ74" s="136">
        <f t="array" ref="EJ74">IF(EJ$3&gt;'GAAP Summary'!$B$2,0,SUM(INDIRECT(XLOOKUP(EJ$3,'TTM Dates'!$B:$B,'TTM Dates'!$E:$E)&amp;ROW($BW74)&amp;":"&amp;XLOOKUP(EJ$3,'TTM Dates'!$B:$B,'TTM Dates'!$C:$C)&amp;ROW($BW74))))</f>
        <v>0</v>
      </c>
      <c r="EK74" s="136">
        <f t="array" ref="EK74">IF(EK$3&gt;'GAAP Summary'!$B$2,0,SUM(INDIRECT(XLOOKUP(EK$3,'TTM Dates'!$B:$B,'TTM Dates'!$E:$E)&amp;ROW($BW74)&amp;":"&amp;XLOOKUP(EK$3,'TTM Dates'!$B:$B,'TTM Dates'!$C:$C)&amp;ROW($BW74))))</f>
        <v>0</v>
      </c>
      <c r="EL74" s="136">
        <f t="array" ref="EL74">IF(EL$3&gt;'GAAP Summary'!$B$2,0,SUM(INDIRECT(XLOOKUP(EL$3,'TTM Dates'!$B:$B,'TTM Dates'!$E:$E)&amp;ROW($BW74)&amp;":"&amp;XLOOKUP(EL$3,'TTM Dates'!$B:$B,'TTM Dates'!$C:$C)&amp;ROW($BW74))))</f>
        <v>0</v>
      </c>
      <c r="EM74" s="136">
        <f t="array" ref="EM74">IF(EM$3&gt;'GAAP Summary'!$B$2,0,SUM(INDIRECT(XLOOKUP(EM$3,'TTM Dates'!$B:$B,'TTM Dates'!$E:$E)&amp;ROW($BW74)&amp;":"&amp;XLOOKUP(EM$3,'TTM Dates'!$B:$B,'TTM Dates'!$C:$C)&amp;ROW($BW74))))</f>
        <v>0</v>
      </c>
      <c r="EN74" s="136">
        <f t="array" ref="EN74">IF(EN$3&gt;'GAAP Summary'!$B$2,0,SUM(INDIRECT(XLOOKUP(EN$3,'TTM Dates'!$B:$B,'TTM Dates'!$E:$E)&amp;ROW($BW74)&amp;":"&amp;XLOOKUP(EN$3,'TTM Dates'!$B:$B,'TTM Dates'!$C:$C)&amp;ROW($BW74))))</f>
        <v>0</v>
      </c>
      <c r="EO74" s="136">
        <f t="array" ref="EO74">IF(EO$3&gt;'GAAP Summary'!$B$2,0,SUM(INDIRECT(XLOOKUP(EO$3,'TTM Dates'!$B:$B,'TTM Dates'!$E:$E)&amp;ROW($BW74)&amp;":"&amp;XLOOKUP(EO$3,'TTM Dates'!$B:$B,'TTM Dates'!$C:$C)&amp;ROW($BW74))))</f>
        <v>0</v>
      </c>
      <c r="EP74" s="136">
        <f t="array" ref="EP74">IF(EP$3&gt;'GAAP Summary'!$B$2,0,SUM(INDIRECT(XLOOKUP(EP$3,'TTM Dates'!$B:$B,'TTM Dates'!$E:$E)&amp;ROW($BW74)&amp;":"&amp;XLOOKUP(EP$3,'TTM Dates'!$B:$B,'TTM Dates'!$C:$C)&amp;ROW($BW74))))</f>
        <v>0</v>
      </c>
      <c r="EQ74" s="136">
        <f t="array" ref="EQ74">IF(EQ$3&gt;'GAAP Summary'!$B$2,0,SUM(INDIRECT(XLOOKUP(EQ$3,'TTM Dates'!$B:$B,'TTM Dates'!$E:$E)&amp;ROW($BW74)&amp;":"&amp;XLOOKUP(EQ$3,'TTM Dates'!$B:$B,'TTM Dates'!$C:$C)&amp;ROW($BW74))))</f>
        <v>0</v>
      </c>
      <c r="ER74" s="136">
        <f t="array" ref="ER74">IF(ER$3&gt;'GAAP Summary'!$B$2,0,SUM(INDIRECT(XLOOKUP(ER$3,'TTM Dates'!$B:$B,'TTM Dates'!$E:$E)&amp;ROW($BW74)&amp;":"&amp;XLOOKUP(ER$3,'TTM Dates'!$B:$B,'TTM Dates'!$C:$C)&amp;ROW($BW74))))</f>
        <v>0</v>
      </c>
      <c r="ES74" s="136">
        <f t="array" ref="ES74">IF(ES$3&gt;'GAAP Summary'!$B$2,0,SUM(INDIRECT(XLOOKUP(ES$3,'TTM Dates'!$B:$B,'TTM Dates'!$E:$E)&amp;ROW($BW74)&amp;":"&amp;XLOOKUP(ES$3,'TTM Dates'!$B:$B,'TTM Dates'!$C:$C)&amp;ROW($BW74))))</f>
        <v>0</v>
      </c>
      <c r="ET74" s="136">
        <f t="array" ref="ET74">IF(ET$3&gt;'GAAP Summary'!$B$2,0,SUM(INDIRECT(XLOOKUP(ET$3,'TTM Dates'!$B:$B,'TTM Dates'!$E:$E)&amp;ROW($BW74)&amp;":"&amp;XLOOKUP(ET$3,'TTM Dates'!$B:$B,'TTM Dates'!$C:$C)&amp;ROW($BW74))))</f>
        <v>0</v>
      </c>
      <c r="EU74" s="136">
        <f t="array" ref="EU74">IF(EU$3&gt;'GAAP Summary'!$B$2,0,SUM(INDIRECT(XLOOKUP(EU$3,'TTM Dates'!$B:$B,'TTM Dates'!$E:$E)&amp;ROW($BW74)&amp;":"&amp;XLOOKUP(EU$3,'TTM Dates'!$B:$B,'TTM Dates'!$C:$C)&amp;ROW($BW74))))</f>
        <v>0</v>
      </c>
      <c r="EV74" s="136">
        <f t="array" ref="EV74">IF(EV$3&gt;'GAAP Summary'!$B$2,0,SUM(INDIRECT(XLOOKUP(EV$3,'TTM Dates'!$B:$B,'TTM Dates'!$E:$E)&amp;ROW($BW74)&amp;":"&amp;XLOOKUP(EV$3,'TTM Dates'!$B:$B,'TTM Dates'!$C:$C)&amp;ROW($BW74))))</f>
        <v>0</v>
      </c>
      <c r="EW74" s="136">
        <f t="array" ref="EW74">IF(EW$3&gt;'GAAP Summary'!$B$2,0,SUM(INDIRECT(XLOOKUP(EW$3,'TTM Dates'!$B:$B,'TTM Dates'!$E:$E)&amp;ROW($BW74)&amp;":"&amp;XLOOKUP(EW$3,'TTM Dates'!$B:$B,'TTM Dates'!$C:$C)&amp;ROW($BW74))))</f>
        <v>0</v>
      </c>
      <c r="EX74" s="136">
        <f t="array" ref="EX74">IF(EX$3&gt;'GAAP Summary'!$B$2,0,SUM(INDIRECT(XLOOKUP(EX$3,'TTM Dates'!$B:$B,'TTM Dates'!$E:$E)&amp;ROW($BW74)&amp;":"&amp;XLOOKUP(EX$3,'TTM Dates'!$B:$B,'TTM Dates'!$C:$C)&amp;ROW($BW74))))</f>
        <v>0</v>
      </c>
      <c r="EY74" s="136">
        <f t="array" ref="EY74">IF(EY$3&gt;'GAAP Summary'!$B$2,0,SUM(INDIRECT(XLOOKUP(EY$3,'TTM Dates'!$B:$B,'TTM Dates'!$E:$E)&amp;ROW($BW74)&amp;":"&amp;XLOOKUP(EY$3,'TTM Dates'!$B:$B,'TTM Dates'!$C:$C)&amp;ROW($BW74))))</f>
        <v>0</v>
      </c>
      <c r="EZ74" s="136">
        <f t="array" ref="EZ74">IF(EZ$3&gt;'GAAP Summary'!$B$2,0,SUM(INDIRECT(XLOOKUP(EZ$3,'TTM Dates'!$B:$B,'TTM Dates'!$E:$E)&amp;ROW($BW74)&amp;":"&amp;XLOOKUP(EZ$3,'TTM Dates'!$B:$B,'TTM Dates'!$C:$C)&amp;ROW($BW74))))</f>
        <v>0</v>
      </c>
      <c r="FA74" s="136">
        <f t="array" ref="FA74">IF(FA$3&gt;'GAAP Summary'!$B$2,0,SUM(INDIRECT(XLOOKUP(FA$3,'TTM Dates'!$B:$B,'TTM Dates'!$E:$E)&amp;ROW($BW74)&amp;":"&amp;XLOOKUP(FA$3,'TTM Dates'!$B:$B,'TTM Dates'!$C:$C)&amp;ROW($BW74))))</f>
        <v>0</v>
      </c>
      <c r="FB74" s="136">
        <f t="array" ref="FB74">IF(FB$3&gt;'GAAP Summary'!$B$2,0,SUM(INDIRECT(XLOOKUP(FB$3,'TTM Dates'!$B:$B,'TTM Dates'!$E:$E)&amp;ROW($BW74)&amp;":"&amp;XLOOKUP(FB$3,'TTM Dates'!$B:$B,'TTM Dates'!$C:$C)&amp;ROW($BW74))))</f>
        <v>0</v>
      </c>
      <c r="FC74" s="136">
        <f t="array" ref="FC74">IF(FC$3&gt;'GAAP Summary'!$B$2,0,SUM(INDIRECT(XLOOKUP(FC$3,'TTM Dates'!$B:$B,'TTM Dates'!$E:$E)&amp;ROW($BW74)&amp;":"&amp;XLOOKUP(FC$3,'TTM Dates'!$B:$B,'TTM Dates'!$C:$C)&amp;ROW($BW74))))</f>
        <v>0</v>
      </c>
      <c r="FD74" s="136">
        <f t="array" ref="FD74">IF(FD$3&gt;'GAAP Summary'!$B$2,0,SUM(INDIRECT(XLOOKUP(FD$3,'TTM Dates'!$B:$B,'TTM Dates'!$E:$E)&amp;ROW($BW74)&amp;":"&amp;XLOOKUP(FD$3,'TTM Dates'!$B:$B,'TTM Dates'!$C:$C)&amp;ROW($BW74))))</f>
        <v>0</v>
      </c>
      <c r="FE74" s="136">
        <f t="array" ref="FE74">IF(FE$3&gt;'GAAP Summary'!$B$2,0,SUM(INDIRECT(XLOOKUP(FE$3,'TTM Dates'!$B:$B,'TTM Dates'!$E:$E)&amp;ROW($BW74)&amp;":"&amp;XLOOKUP(FE$3,'TTM Dates'!$B:$B,'TTM Dates'!$C:$C)&amp;ROW($BW74))))</f>
        <v>0</v>
      </c>
      <c r="FF74" s="136">
        <f t="array" ref="FF74">IF(FF$3&gt;'GAAP Summary'!$B$2,0,SUM(INDIRECT(XLOOKUP(FF$3,'TTM Dates'!$B:$B,'TTM Dates'!$E:$E)&amp;ROW($BW74)&amp;":"&amp;XLOOKUP(FF$3,'TTM Dates'!$B:$B,'TTM Dates'!$C:$C)&amp;ROW($BW74))))</f>
        <v>0</v>
      </c>
      <c r="FG74" s="136">
        <f t="array" ref="FG74">IF(FG$3&gt;'GAAP Summary'!$B$2,0,SUM(INDIRECT(XLOOKUP(FG$3,'TTM Dates'!$B:$B,'TTM Dates'!$E:$E)&amp;ROW($BW74)&amp;":"&amp;XLOOKUP(FG$3,'TTM Dates'!$B:$B,'TTM Dates'!$C:$C)&amp;ROW($BW74))))</f>
        <v>0</v>
      </c>
      <c r="FH74" s="136"/>
    </row>
    <row r="75" outlineLevel="1">
      <c r="B75" s="135" t="s">
        <v>510</v>
      </c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337"/>
      <c r="AY75" s="337"/>
      <c r="AZ75" s="337"/>
      <c r="BA75" s="337"/>
      <c r="BB75" s="337"/>
      <c r="BC75" s="337"/>
      <c r="BD75" s="337"/>
      <c r="BE75" s="337"/>
      <c r="BF75" s="337"/>
      <c r="BG75" s="337"/>
      <c r="BH75" s="337"/>
      <c r="BI75" s="337"/>
      <c r="BJ75" s="337"/>
      <c r="BK75" s="337"/>
      <c r="BL75" s="337"/>
      <c r="BM75" s="337"/>
      <c r="BN75" s="337"/>
      <c r="BO75" s="337"/>
      <c r="BP75" s="337"/>
      <c r="BQ75" s="337"/>
      <c r="BR75" s="337"/>
      <c r="BS75" s="337"/>
      <c r="BT75" s="337"/>
      <c r="BU75" s="337"/>
      <c r="BV75" s="337"/>
      <c r="BW75" s="33"/>
      <c r="BX75" s="288" t="str">
        <f t="array" ref="BX75">SUM(INDIRECT(XLOOKUP('GAAP Summary'!$B$2,'TTM Dates'!$B:$B,'TTM Dates'!$E:$E)&amp;ROW($BW75)&amp;":"&amp;XLOOKUP('GAAP Summary'!$B$2,'TTM Dates'!$B:$B,'TTM Dates'!$C:$C)&amp;ROW($BW75)))</f>
        <v>#REF!</v>
      </c>
      <c r="BY75" s="351"/>
      <c r="BZ75" s="136">
        <f t="shared" si="104"/>
        <v>0</v>
      </c>
      <c r="CA75" s="136">
        <f t="shared" si="105"/>
        <v>0</v>
      </c>
      <c r="CB75" s="136">
        <f t="shared" si="106"/>
        <v>0</v>
      </c>
      <c r="CC75" s="136">
        <f t="shared" si="107"/>
        <v>0</v>
      </c>
      <c r="CD75" s="292">
        <f t="shared" si="108"/>
        <v>0</v>
      </c>
      <c r="CE75" s="351"/>
      <c r="CF75" s="136">
        <f t="shared" si="109"/>
        <v>0</v>
      </c>
      <c r="CG75" s="136">
        <f t="shared" si="110"/>
        <v>0</v>
      </c>
      <c r="CH75" s="136">
        <f t="shared" si="111"/>
        <v>0</v>
      </c>
      <c r="CI75" s="136">
        <f t="shared" si="112"/>
        <v>0</v>
      </c>
      <c r="CJ75" s="292">
        <f t="shared" si="113"/>
        <v>0</v>
      </c>
      <c r="CK75" s="136"/>
      <c r="CL75" s="136">
        <f t="shared" si="114"/>
        <v>0</v>
      </c>
      <c r="CM75" s="136">
        <f t="shared" si="115"/>
        <v>0</v>
      </c>
      <c r="CN75" s="136">
        <f t="shared" si="116"/>
        <v>0</v>
      </c>
      <c r="CO75" s="136">
        <f t="shared" si="117"/>
        <v>0</v>
      </c>
      <c r="CP75" s="292">
        <f t="shared" si="118"/>
        <v>0</v>
      </c>
      <c r="CQ75" s="136"/>
      <c r="CR75" s="136"/>
      <c r="CS75" s="136"/>
      <c r="CT75" s="136"/>
      <c r="CU75" s="136"/>
      <c r="CV75" s="292"/>
      <c r="CW75" s="136"/>
      <c r="CX75" s="292"/>
      <c r="CY75" s="136"/>
      <c r="CZ75" s="136">
        <f t="array" ref="CZ75">IF(CZ$3&gt;'GAAP Summary'!$B$2,0,SUM(INDIRECT(XLOOKUP(CZ$3,'TTM Dates'!$B:$B,'TTM Dates'!$E:$E)&amp;ROW($BW75)&amp;":"&amp;XLOOKUP(CZ$3,'TTM Dates'!$B:$B,'TTM Dates'!$C:$C)&amp;ROW($BW75))))</f>
        <v>0</v>
      </c>
      <c r="DA75" s="136">
        <f t="array" ref="DA75">IF(DA$3&gt;'GAAP Summary'!$B$2,0,SUM(INDIRECT(XLOOKUP(DA$3,'TTM Dates'!$B:$B,'TTM Dates'!$E:$E)&amp;ROW($BW75)&amp;":"&amp;XLOOKUP(DA$3,'TTM Dates'!$B:$B,'TTM Dates'!$C:$C)&amp;ROW($BW75))))</f>
        <v>0</v>
      </c>
      <c r="DB75" s="136">
        <f t="array" ref="DB75">IF(DB$3&gt;'GAAP Summary'!$B$2,0,SUM(INDIRECT(XLOOKUP(DB$3,'TTM Dates'!$B:$B,'TTM Dates'!$E:$E)&amp;ROW($BW75)&amp;":"&amp;XLOOKUP(DB$3,'TTM Dates'!$B:$B,'TTM Dates'!$C:$C)&amp;ROW($BW75))))</f>
        <v>0</v>
      </c>
      <c r="DC75" s="136">
        <f t="array" ref="DC75">IF(DC$3&gt;'GAAP Summary'!$B$2,0,SUM(INDIRECT(XLOOKUP(DC$3,'TTM Dates'!$B:$B,'TTM Dates'!$E:$E)&amp;ROW($BW75)&amp;":"&amp;XLOOKUP(DC$3,'TTM Dates'!$B:$B,'TTM Dates'!$C:$C)&amp;ROW($BW75))))</f>
        <v>0</v>
      </c>
      <c r="DD75" s="136">
        <f t="array" ref="DD75">IF(DD$3&gt;'GAAP Summary'!$B$2,0,SUM(INDIRECT(XLOOKUP(DD$3,'TTM Dates'!$B:$B,'TTM Dates'!$E:$E)&amp;ROW($BW75)&amp;":"&amp;XLOOKUP(DD$3,'TTM Dates'!$B:$B,'TTM Dates'!$C:$C)&amp;ROW($BW75))))</f>
        <v>0</v>
      </c>
      <c r="DE75" s="136">
        <f t="array" ref="DE75">IF(DE$3&gt;'GAAP Summary'!$B$2,0,SUM(INDIRECT(XLOOKUP(DE$3,'TTM Dates'!$B:$B,'TTM Dates'!$E:$E)&amp;ROW($BW75)&amp;":"&amp;XLOOKUP(DE$3,'TTM Dates'!$B:$B,'TTM Dates'!$C:$C)&amp;ROW($BW75))))</f>
        <v>0</v>
      </c>
      <c r="DF75" s="136">
        <f t="array" ref="DF75">IF(DF$3&gt;'GAAP Summary'!$B$2,0,SUM(INDIRECT(XLOOKUP(DF$3,'TTM Dates'!$B:$B,'TTM Dates'!$E:$E)&amp;ROW($BW75)&amp;":"&amp;XLOOKUP(DF$3,'TTM Dates'!$B:$B,'TTM Dates'!$C:$C)&amp;ROW($BW75))))</f>
        <v>0</v>
      </c>
      <c r="DG75" s="136">
        <f t="array" ref="DG75">IF(DG$3&gt;'GAAP Summary'!$B$2,0,SUM(INDIRECT(XLOOKUP(DG$3,'TTM Dates'!$B:$B,'TTM Dates'!$E:$E)&amp;ROW($BW75)&amp;":"&amp;XLOOKUP(DG$3,'TTM Dates'!$B:$B,'TTM Dates'!$C:$C)&amp;ROW($BW75))))</f>
        <v>0</v>
      </c>
      <c r="DH75" s="136">
        <f t="array" ref="DH75">IF(DH$3&gt;'GAAP Summary'!$B$2,0,SUM(INDIRECT(XLOOKUP(DH$3,'TTM Dates'!$B:$B,'TTM Dates'!$E:$E)&amp;ROW($BW75)&amp;":"&amp;XLOOKUP(DH$3,'TTM Dates'!$B:$B,'TTM Dates'!$C:$C)&amp;ROW($BW75))))</f>
        <v>0</v>
      </c>
      <c r="DI75" s="136">
        <f t="array" ref="DI75">IF(DI$3&gt;'GAAP Summary'!$B$2,0,SUM(INDIRECT(XLOOKUP(DI$3,'TTM Dates'!$B:$B,'TTM Dates'!$E:$E)&amp;ROW($BW75)&amp;":"&amp;XLOOKUP(DI$3,'TTM Dates'!$B:$B,'TTM Dates'!$C:$C)&amp;ROW($BW75))))</f>
        <v>0</v>
      </c>
      <c r="DJ75" s="136">
        <f t="array" ref="DJ75">IF(DJ$3&gt;'GAAP Summary'!$B$2,0,SUM(INDIRECT(XLOOKUP(DJ$3,'TTM Dates'!$B:$B,'TTM Dates'!$E:$E)&amp;ROW($BW75)&amp;":"&amp;XLOOKUP(DJ$3,'TTM Dates'!$B:$B,'TTM Dates'!$C:$C)&amp;ROW($BW75))))</f>
        <v>0</v>
      </c>
      <c r="DK75" s="136">
        <f t="array" ref="DK75">IF(DK$3&gt;'GAAP Summary'!$B$2,0,SUM(INDIRECT(XLOOKUP(DK$3,'TTM Dates'!$B:$B,'TTM Dates'!$E:$E)&amp;ROW($BW75)&amp;":"&amp;XLOOKUP(DK$3,'TTM Dates'!$B:$B,'TTM Dates'!$C:$C)&amp;ROW($BW75))))</f>
        <v>0</v>
      </c>
      <c r="DL75" s="136">
        <f t="array" ref="DL75">IF(DL$3&gt;'GAAP Summary'!$B$2,0,SUM(INDIRECT(XLOOKUP(DL$3,'TTM Dates'!$B:$B,'TTM Dates'!$E:$E)&amp;ROW($BW75)&amp;":"&amp;XLOOKUP(DL$3,'TTM Dates'!$B:$B,'TTM Dates'!$C:$C)&amp;ROW($BW75))))</f>
        <v>0</v>
      </c>
      <c r="DM75" s="136">
        <f t="array" ref="DM75">IF(DM$3&gt;'GAAP Summary'!$B$2,0,SUM(INDIRECT(XLOOKUP(DM$3,'TTM Dates'!$B:$B,'TTM Dates'!$E:$E)&amp;ROW($BW75)&amp;":"&amp;XLOOKUP(DM$3,'TTM Dates'!$B:$B,'TTM Dates'!$C:$C)&amp;ROW($BW75))))</f>
        <v>0</v>
      </c>
      <c r="DN75" s="136">
        <f t="array" ref="DN75">IF(DN$3&gt;'GAAP Summary'!$B$2,0,SUM(INDIRECT(XLOOKUP(DN$3,'TTM Dates'!$B:$B,'TTM Dates'!$E:$E)&amp;ROW($BW75)&amp;":"&amp;XLOOKUP(DN$3,'TTM Dates'!$B:$B,'TTM Dates'!$C:$C)&amp;ROW($BW75))))</f>
        <v>0</v>
      </c>
      <c r="DO75" s="136">
        <f t="array" ref="DO75">IF(DO$3&gt;'GAAP Summary'!$B$2,0,SUM(INDIRECT(XLOOKUP(DO$3,'TTM Dates'!$B:$B,'TTM Dates'!$E:$E)&amp;ROW($BW75)&amp;":"&amp;XLOOKUP(DO$3,'TTM Dates'!$B:$B,'TTM Dates'!$C:$C)&amp;ROW($BW75))))</f>
        <v>0</v>
      </c>
      <c r="DP75" s="136">
        <f t="array" ref="DP75">IF(DP$3&gt;'GAAP Summary'!$B$2,0,SUM(INDIRECT(XLOOKUP(DP$3,'TTM Dates'!$B:$B,'TTM Dates'!$E:$E)&amp;ROW($BW75)&amp;":"&amp;XLOOKUP(DP$3,'TTM Dates'!$B:$B,'TTM Dates'!$C:$C)&amp;ROW($BW75))))</f>
        <v>0</v>
      </c>
      <c r="DQ75" s="136">
        <f t="array" ref="DQ75">IF(DQ$3&gt;'GAAP Summary'!$B$2,0,SUM(INDIRECT(XLOOKUP(DQ$3,'TTM Dates'!$B:$B,'TTM Dates'!$E:$E)&amp;ROW($BW75)&amp;":"&amp;XLOOKUP(DQ$3,'TTM Dates'!$B:$B,'TTM Dates'!$C:$C)&amp;ROW($BW75))))</f>
        <v>0</v>
      </c>
      <c r="DR75" s="136">
        <f t="array" ref="DR75">IF(DR$3&gt;'GAAP Summary'!$B$2,0,SUM(INDIRECT(XLOOKUP(DR$3,'TTM Dates'!$B:$B,'TTM Dates'!$E:$E)&amp;ROW($BW75)&amp;":"&amp;XLOOKUP(DR$3,'TTM Dates'!$B:$B,'TTM Dates'!$C:$C)&amp;ROW($BW75))))</f>
        <v>0</v>
      </c>
      <c r="DS75" s="136">
        <f t="array" ref="DS75">IF(DS$3&gt;'GAAP Summary'!$B$2,0,SUM(INDIRECT(XLOOKUP(DS$3,'TTM Dates'!$B:$B,'TTM Dates'!$E:$E)&amp;ROW($BW75)&amp;":"&amp;XLOOKUP(DS$3,'TTM Dates'!$B:$B,'TTM Dates'!$C:$C)&amp;ROW($BW75))))</f>
        <v>0</v>
      </c>
      <c r="DT75" s="136">
        <f t="array" ref="DT75">IF(DT$3&gt;'GAAP Summary'!$B$2,0,SUM(INDIRECT(XLOOKUP(DT$3,'TTM Dates'!$B:$B,'TTM Dates'!$E:$E)&amp;ROW($BW75)&amp;":"&amp;XLOOKUP(DT$3,'TTM Dates'!$B:$B,'TTM Dates'!$C:$C)&amp;ROW($BW75))))</f>
        <v>0</v>
      </c>
      <c r="DU75" s="136">
        <f t="array" ref="DU75">IF(DU$3&gt;'GAAP Summary'!$B$2,0,SUM(INDIRECT(XLOOKUP(DU$3,'TTM Dates'!$B:$B,'TTM Dates'!$E:$E)&amp;ROW($BW75)&amp;":"&amp;XLOOKUP(DU$3,'TTM Dates'!$B:$B,'TTM Dates'!$C:$C)&amp;ROW($BW75))))</f>
        <v>0</v>
      </c>
      <c r="DV75" s="136">
        <f t="array" ref="DV75">IF(DV$3&gt;'GAAP Summary'!$B$2,0,SUM(INDIRECT(XLOOKUP(DV$3,'TTM Dates'!$B:$B,'TTM Dates'!$E:$E)&amp;ROW($BW75)&amp;":"&amp;XLOOKUP(DV$3,'TTM Dates'!$B:$B,'TTM Dates'!$C:$C)&amp;ROW($BW75))))</f>
        <v>0</v>
      </c>
      <c r="DW75" s="136">
        <f t="array" ref="DW75">IF(DW$3&gt;'GAAP Summary'!$B$2,0,SUM(INDIRECT(XLOOKUP(DW$3,'TTM Dates'!$B:$B,'TTM Dates'!$E:$E)&amp;ROW($BW75)&amp;":"&amp;XLOOKUP(DW$3,'TTM Dates'!$B:$B,'TTM Dates'!$C:$C)&amp;ROW($BW75))))</f>
        <v>0</v>
      </c>
      <c r="DX75" s="136">
        <f t="array" ref="DX75">IF(DX$3&gt;'GAAP Summary'!$B$2,0,SUM(INDIRECT(XLOOKUP(DX$3,'TTM Dates'!$B:$B,'TTM Dates'!$E:$E)&amp;ROW($BW75)&amp;":"&amp;XLOOKUP(DX$3,'TTM Dates'!$B:$B,'TTM Dates'!$C:$C)&amp;ROW($BW75))))</f>
        <v>0</v>
      </c>
      <c r="DY75" s="136">
        <f t="array" ref="DY75">IF(DY$3&gt;'GAAP Summary'!$B$2,0,SUM(INDIRECT(XLOOKUP(DY$3,'TTM Dates'!$B:$B,'TTM Dates'!$E:$E)&amp;ROW($BW75)&amp;":"&amp;XLOOKUP(DY$3,'TTM Dates'!$B:$B,'TTM Dates'!$C:$C)&amp;ROW($BW75))))</f>
        <v>0</v>
      </c>
      <c r="DZ75" s="136">
        <f t="array" ref="DZ75">IF(DZ$3&gt;'GAAP Summary'!$B$2,0,SUM(INDIRECT(XLOOKUP(DZ$3,'TTM Dates'!$B:$B,'TTM Dates'!$E:$E)&amp;ROW($BW75)&amp;":"&amp;XLOOKUP(DZ$3,'TTM Dates'!$B:$B,'TTM Dates'!$C:$C)&amp;ROW($BW75))))</f>
        <v>0</v>
      </c>
      <c r="EA75" s="136">
        <f t="array" ref="EA75">IF(EA$3&gt;'GAAP Summary'!$B$2,0,SUM(INDIRECT(XLOOKUP(EA$3,'TTM Dates'!$B:$B,'TTM Dates'!$E:$E)&amp;ROW($BW75)&amp;":"&amp;XLOOKUP(EA$3,'TTM Dates'!$B:$B,'TTM Dates'!$C:$C)&amp;ROW($BW75))))</f>
        <v>0</v>
      </c>
      <c r="EB75" s="136">
        <f t="array" ref="EB75">IF(EB$3&gt;'GAAP Summary'!$B$2,0,SUM(INDIRECT(XLOOKUP(EB$3,'TTM Dates'!$B:$B,'TTM Dates'!$E:$E)&amp;ROW($BW75)&amp;":"&amp;XLOOKUP(EB$3,'TTM Dates'!$B:$B,'TTM Dates'!$C:$C)&amp;ROW($BW75))))</f>
        <v>0</v>
      </c>
      <c r="EC75" s="136">
        <f t="array" ref="EC75">IF(EC$3&gt;'GAAP Summary'!$B$2,0,SUM(INDIRECT(XLOOKUP(EC$3,'TTM Dates'!$B:$B,'TTM Dates'!$E:$E)&amp;ROW($BW75)&amp;":"&amp;XLOOKUP(EC$3,'TTM Dates'!$B:$B,'TTM Dates'!$C:$C)&amp;ROW($BW75))))</f>
        <v>0</v>
      </c>
      <c r="ED75" s="136">
        <f t="array" ref="ED75">IF(ED$3&gt;'GAAP Summary'!$B$2,0,SUM(INDIRECT(XLOOKUP(ED$3,'TTM Dates'!$B:$B,'TTM Dates'!$E:$E)&amp;ROW($BW75)&amp;":"&amp;XLOOKUP(ED$3,'TTM Dates'!$B:$B,'TTM Dates'!$C:$C)&amp;ROW($BW75))))</f>
        <v>0</v>
      </c>
      <c r="EE75" s="136">
        <f t="array" ref="EE75">IF(EE$3&gt;'GAAP Summary'!$B$2,0,SUM(INDIRECT(XLOOKUP(EE$3,'TTM Dates'!$B:$B,'TTM Dates'!$E:$E)&amp;ROW($BW75)&amp;":"&amp;XLOOKUP(EE$3,'TTM Dates'!$B:$B,'TTM Dates'!$C:$C)&amp;ROW($BW75))))</f>
        <v>0</v>
      </c>
      <c r="EF75" s="136">
        <f t="array" ref="EF75">IF(EF$3&gt;'GAAP Summary'!$B$2,0,SUM(INDIRECT(XLOOKUP(EF$3,'TTM Dates'!$B:$B,'TTM Dates'!$E:$E)&amp;ROW($BW75)&amp;":"&amp;XLOOKUP(EF$3,'TTM Dates'!$B:$B,'TTM Dates'!$C:$C)&amp;ROW($BW75))))</f>
        <v>0</v>
      </c>
      <c r="EG75" s="136">
        <f t="array" ref="EG75">IF(EG$3&gt;'GAAP Summary'!$B$2,0,SUM(INDIRECT(XLOOKUP(EG$3,'TTM Dates'!$B:$B,'TTM Dates'!$E:$E)&amp;ROW($BW75)&amp;":"&amp;XLOOKUP(EG$3,'TTM Dates'!$B:$B,'TTM Dates'!$C:$C)&amp;ROW($BW75))))</f>
        <v>0</v>
      </c>
      <c r="EH75" s="136">
        <f t="array" ref="EH75">IF(EH$3&gt;'GAAP Summary'!$B$2,0,SUM(INDIRECT(XLOOKUP(EH$3,'TTM Dates'!$B:$B,'TTM Dates'!$E:$E)&amp;ROW($BW75)&amp;":"&amp;XLOOKUP(EH$3,'TTM Dates'!$B:$B,'TTM Dates'!$C:$C)&amp;ROW($BW75))))</f>
        <v>0</v>
      </c>
      <c r="EI75" s="136">
        <f t="array" ref="EI75">IF(EI$3&gt;'GAAP Summary'!$B$2,0,SUM(INDIRECT(XLOOKUP(EI$3,'TTM Dates'!$B:$B,'TTM Dates'!$E:$E)&amp;ROW($BW75)&amp;":"&amp;XLOOKUP(EI$3,'TTM Dates'!$B:$B,'TTM Dates'!$C:$C)&amp;ROW($BW75))))</f>
        <v>0</v>
      </c>
      <c r="EJ75" s="136">
        <f t="array" ref="EJ75">IF(EJ$3&gt;'GAAP Summary'!$B$2,0,SUM(INDIRECT(XLOOKUP(EJ$3,'TTM Dates'!$B:$B,'TTM Dates'!$E:$E)&amp;ROW($BW75)&amp;":"&amp;XLOOKUP(EJ$3,'TTM Dates'!$B:$B,'TTM Dates'!$C:$C)&amp;ROW($BW75))))</f>
        <v>0</v>
      </c>
      <c r="EK75" s="136">
        <f t="array" ref="EK75">IF(EK$3&gt;'GAAP Summary'!$B$2,0,SUM(INDIRECT(XLOOKUP(EK$3,'TTM Dates'!$B:$B,'TTM Dates'!$E:$E)&amp;ROW($BW75)&amp;":"&amp;XLOOKUP(EK$3,'TTM Dates'!$B:$B,'TTM Dates'!$C:$C)&amp;ROW($BW75))))</f>
        <v>0</v>
      </c>
      <c r="EL75" s="136">
        <f t="array" ref="EL75">IF(EL$3&gt;'GAAP Summary'!$B$2,0,SUM(INDIRECT(XLOOKUP(EL$3,'TTM Dates'!$B:$B,'TTM Dates'!$E:$E)&amp;ROW($BW75)&amp;":"&amp;XLOOKUP(EL$3,'TTM Dates'!$B:$B,'TTM Dates'!$C:$C)&amp;ROW($BW75))))</f>
        <v>0</v>
      </c>
      <c r="EM75" s="136">
        <f t="array" ref="EM75">IF(EM$3&gt;'GAAP Summary'!$B$2,0,SUM(INDIRECT(XLOOKUP(EM$3,'TTM Dates'!$B:$B,'TTM Dates'!$E:$E)&amp;ROW($BW75)&amp;":"&amp;XLOOKUP(EM$3,'TTM Dates'!$B:$B,'TTM Dates'!$C:$C)&amp;ROW($BW75))))</f>
        <v>0</v>
      </c>
      <c r="EN75" s="136">
        <f t="array" ref="EN75">IF(EN$3&gt;'GAAP Summary'!$B$2,0,SUM(INDIRECT(XLOOKUP(EN$3,'TTM Dates'!$B:$B,'TTM Dates'!$E:$E)&amp;ROW($BW75)&amp;":"&amp;XLOOKUP(EN$3,'TTM Dates'!$B:$B,'TTM Dates'!$C:$C)&amp;ROW($BW75))))</f>
        <v>0</v>
      </c>
      <c r="EO75" s="136">
        <f t="array" ref="EO75">IF(EO$3&gt;'GAAP Summary'!$B$2,0,SUM(INDIRECT(XLOOKUP(EO$3,'TTM Dates'!$B:$B,'TTM Dates'!$E:$E)&amp;ROW($BW75)&amp;":"&amp;XLOOKUP(EO$3,'TTM Dates'!$B:$B,'TTM Dates'!$C:$C)&amp;ROW($BW75))))</f>
        <v>0</v>
      </c>
      <c r="EP75" s="136">
        <f t="array" ref="EP75">IF(EP$3&gt;'GAAP Summary'!$B$2,0,SUM(INDIRECT(XLOOKUP(EP$3,'TTM Dates'!$B:$B,'TTM Dates'!$E:$E)&amp;ROW($BW75)&amp;":"&amp;XLOOKUP(EP$3,'TTM Dates'!$B:$B,'TTM Dates'!$C:$C)&amp;ROW($BW75))))</f>
        <v>0</v>
      </c>
      <c r="EQ75" s="136">
        <f t="array" ref="EQ75">IF(EQ$3&gt;'GAAP Summary'!$B$2,0,SUM(INDIRECT(XLOOKUP(EQ$3,'TTM Dates'!$B:$B,'TTM Dates'!$E:$E)&amp;ROW($BW75)&amp;":"&amp;XLOOKUP(EQ$3,'TTM Dates'!$B:$B,'TTM Dates'!$C:$C)&amp;ROW($BW75))))</f>
        <v>0</v>
      </c>
      <c r="ER75" s="136">
        <f t="array" ref="ER75">IF(ER$3&gt;'GAAP Summary'!$B$2,0,SUM(INDIRECT(XLOOKUP(ER$3,'TTM Dates'!$B:$B,'TTM Dates'!$E:$E)&amp;ROW($BW75)&amp;":"&amp;XLOOKUP(ER$3,'TTM Dates'!$B:$B,'TTM Dates'!$C:$C)&amp;ROW($BW75))))</f>
        <v>0</v>
      </c>
      <c r="ES75" s="136">
        <f t="array" ref="ES75">IF(ES$3&gt;'GAAP Summary'!$B$2,0,SUM(INDIRECT(XLOOKUP(ES$3,'TTM Dates'!$B:$B,'TTM Dates'!$E:$E)&amp;ROW($BW75)&amp;":"&amp;XLOOKUP(ES$3,'TTM Dates'!$B:$B,'TTM Dates'!$C:$C)&amp;ROW($BW75))))</f>
        <v>0</v>
      </c>
      <c r="ET75" s="136">
        <f t="array" ref="ET75">IF(ET$3&gt;'GAAP Summary'!$B$2,0,SUM(INDIRECT(XLOOKUP(ET$3,'TTM Dates'!$B:$B,'TTM Dates'!$E:$E)&amp;ROW($BW75)&amp;":"&amp;XLOOKUP(ET$3,'TTM Dates'!$B:$B,'TTM Dates'!$C:$C)&amp;ROW($BW75))))</f>
        <v>0</v>
      </c>
      <c r="EU75" s="136">
        <f t="array" ref="EU75">IF(EU$3&gt;'GAAP Summary'!$B$2,0,SUM(INDIRECT(XLOOKUP(EU$3,'TTM Dates'!$B:$B,'TTM Dates'!$E:$E)&amp;ROW($BW75)&amp;":"&amp;XLOOKUP(EU$3,'TTM Dates'!$B:$B,'TTM Dates'!$C:$C)&amp;ROW($BW75))))</f>
        <v>0</v>
      </c>
      <c r="EV75" s="136">
        <f t="array" ref="EV75">IF(EV$3&gt;'GAAP Summary'!$B$2,0,SUM(INDIRECT(XLOOKUP(EV$3,'TTM Dates'!$B:$B,'TTM Dates'!$E:$E)&amp;ROW($BW75)&amp;":"&amp;XLOOKUP(EV$3,'TTM Dates'!$B:$B,'TTM Dates'!$C:$C)&amp;ROW($BW75))))</f>
        <v>0</v>
      </c>
      <c r="EW75" s="136">
        <f t="array" ref="EW75">IF(EW$3&gt;'GAAP Summary'!$B$2,0,SUM(INDIRECT(XLOOKUP(EW$3,'TTM Dates'!$B:$B,'TTM Dates'!$E:$E)&amp;ROW($BW75)&amp;":"&amp;XLOOKUP(EW$3,'TTM Dates'!$B:$B,'TTM Dates'!$C:$C)&amp;ROW($BW75))))</f>
        <v>0</v>
      </c>
      <c r="EX75" s="136">
        <f t="array" ref="EX75">IF(EX$3&gt;'GAAP Summary'!$B$2,0,SUM(INDIRECT(XLOOKUP(EX$3,'TTM Dates'!$B:$B,'TTM Dates'!$E:$E)&amp;ROW($BW75)&amp;":"&amp;XLOOKUP(EX$3,'TTM Dates'!$B:$B,'TTM Dates'!$C:$C)&amp;ROW($BW75))))</f>
        <v>0</v>
      </c>
      <c r="EY75" s="136">
        <f t="array" ref="EY75">IF(EY$3&gt;'GAAP Summary'!$B$2,0,SUM(INDIRECT(XLOOKUP(EY$3,'TTM Dates'!$B:$B,'TTM Dates'!$E:$E)&amp;ROW($BW75)&amp;":"&amp;XLOOKUP(EY$3,'TTM Dates'!$B:$B,'TTM Dates'!$C:$C)&amp;ROW($BW75))))</f>
        <v>0</v>
      </c>
      <c r="EZ75" s="136">
        <f t="array" ref="EZ75">IF(EZ$3&gt;'GAAP Summary'!$B$2,0,SUM(INDIRECT(XLOOKUP(EZ$3,'TTM Dates'!$B:$B,'TTM Dates'!$E:$E)&amp;ROW($BW75)&amp;":"&amp;XLOOKUP(EZ$3,'TTM Dates'!$B:$B,'TTM Dates'!$C:$C)&amp;ROW($BW75))))</f>
        <v>0</v>
      </c>
      <c r="FA75" s="136">
        <f t="array" ref="FA75">IF(FA$3&gt;'GAAP Summary'!$B$2,0,SUM(INDIRECT(XLOOKUP(FA$3,'TTM Dates'!$B:$B,'TTM Dates'!$E:$E)&amp;ROW($BW75)&amp;":"&amp;XLOOKUP(FA$3,'TTM Dates'!$B:$B,'TTM Dates'!$C:$C)&amp;ROW($BW75))))</f>
        <v>0</v>
      </c>
      <c r="FB75" s="136">
        <f t="array" ref="FB75">IF(FB$3&gt;'GAAP Summary'!$B$2,0,SUM(INDIRECT(XLOOKUP(FB$3,'TTM Dates'!$B:$B,'TTM Dates'!$E:$E)&amp;ROW($BW75)&amp;":"&amp;XLOOKUP(FB$3,'TTM Dates'!$B:$B,'TTM Dates'!$C:$C)&amp;ROW($BW75))))</f>
        <v>0</v>
      </c>
      <c r="FC75" s="136">
        <f t="array" ref="FC75">IF(FC$3&gt;'GAAP Summary'!$B$2,0,SUM(INDIRECT(XLOOKUP(FC$3,'TTM Dates'!$B:$B,'TTM Dates'!$E:$E)&amp;ROW($BW75)&amp;":"&amp;XLOOKUP(FC$3,'TTM Dates'!$B:$B,'TTM Dates'!$C:$C)&amp;ROW($BW75))))</f>
        <v>0</v>
      </c>
      <c r="FD75" s="136">
        <f t="array" ref="FD75">IF(FD$3&gt;'GAAP Summary'!$B$2,0,SUM(INDIRECT(XLOOKUP(FD$3,'TTM Dates'!$B:$B,'TTM Dates'!$E:$E)&amp;ROW($BW75)&amp;":"&amp;XLOOKUP(FD$3,'TTM Dates'!$B:$B,'TTM Dates'!$C:$C)&amp;ROW($BW75))))</f>
        <v>0</v>
      </c>
      <c r="FE75" s="136">
        <f t="array" ref="FE75">IF(FE$3&gt;'GAAP Summary'!$B$2,0,SUM(INDIRECT(XLOOKUP(FE$3,'TTM Dates'!$B:$B,'TTM Dates'!$E:$E)&amp;ROW($BW75)&amp;":"&amp;XLOOKUP(FE$3,'TTM Dates'!$B:$B,'TTM Dates'!$C:$C)&amp;ROW($BW75))))</f>
        <v>0</v>
      </c>
      <c r="FF75" s="136">
        <f t="array" ref="FF75">IF(FF$3&gt;'GAAP Summary'!$B$2,0,SUM(INDIRECT(XLOOKUP(FF$3,'TTM Dates'!$B:$B,'TTM Dates'!$E:$E)&amp;ROW($BW75)&amp;":"&amp;XLOOKUP(FF$3,'TTM Dates'!$B:$B,'TTM Dates'!$C:$C)&amp;ROW($BW75))))</f>
        <v>0</v>
      </c>
      <c r="FG75" s="136">
        <f t="array" ref="FG75">IF(FG$3&gt;'GAAP Summary'!$B$2,0,SUM(INDIRECT(XLOOKUP(FG$3,'TTM Dates'!$B:$B,'TTM Dates'!$E:$E)&amp;ROW($BW75)&amp;":"&amp;XLOOKUP(FG$3,'TTM Dates'!$B:$B,'TTM Dates'!$C:$C)&amp;ROW($BW75))))</f>
        <v>0</v>
      </c>
      <c r="FH75" s="136"/>
    </row>
    <row r="76">
      <c r="B76" s="280" t="s">
        <v>297</v>
      </c>
      <c r="C76" s="108">
        <f t="shared" ref="C76:Z76" si="123">SUM(C77:C79)</f>
        <v>0</v>
      </c>
      <c r="D76" s="108">
        <f t="shared" si="123"/>
        <v>0</v>
      </c>
      <c r="E76" s="108">
        <f t="shared" si="123"/>
        <v>0</v>
      </c>
      <c r="F76" s="108">
        <f t="shared" si="123"/>
        <v>0</v>
      </c>
      <c r="G76" s="108">
        <f t="shared" si="123"/>
        <v>0</v>
      </c>
      <c r="H76" s="108">
        <f t="shared" si="123"/>
        <v>0</v>
      </c>
      <c r="I76" s="108">
        <f t="shared" si="123"/>
        <v>0</v>
      </c>
      <c r="J76" s="108">
        <f t="shared" si="123"/>
        <v>0</v>
      </c>
      <c r="K76" s="108">
        <f t="shared" si="123"/>
        <v>0</v>
      </c>
      <c r="L76" s="108">
        <f t="shared" si="123"/>
        <v>0</v>
      </c>
      <c r="M76" s="108">
        <f t="shared" si="123"/>
        <v>0</v>
      </c>
      <c r="N76" s="108">
        <f t="shared" si="123"/>
        <v>0</v>
      </c>
      <c r="O76" s="108">
        <f t="shared" si="123"/>
        <v>0</v>
      </c>
      <c r="P76" s="108">
        <f t="shared" si="123"/>
        <v>0</v>
      </c>
      <c r="Q76" s="108">
        <f t="shared" si="123"/>
        <v>0</v>
      </c>
      <c r="R76" s="108">
        <f t="shared" si="123"/>
        <v>0</v>
      </c>
      <c r="S76" s="108">
        <f t="shared" si="123"/>
        <v>0</v>
      </c>
      <c r="T76" s="108">
        <f t="shared" si="123"/>
        <v>0</v>
      </c>
      <c r="U76" s="108">
        <f t="shared" si="123"/>
        <v>0</v>
      </c>
      <c r="V76" s="108">
        <f t="shared" si="123"/>
        <v>0</v>
      </c>
      <c r="W76" s="108">
        <f t="shared" si="123"/>
        <v>0</v>
      </c>
      <c r="X76" s="108">
        <f t="shared" si="123"/>
        <v>0</v>
      </c>
      <c r="Y76" s="108">
        <f t="shared" si="123"/>
        <v>0</v>
      </c>
      <c r="Z76" s="108">
        <f t="shared" si="123"/>
        <v>0</v>
      </c>
      <c r="AA76" s="352">
        <v>316042.0</v>
      </c>
      <c r="AB76" s="352">
        <v>329104.0</v>
      </c>
      <c r="AC76" s="352">
        <v>343840.0</v>
      </c>
      <c r="AD76" s="352">
        <v>326413.0</v>
      </c>
      <c r="AE76" s="352">
        <v>326413.0</v>
      </c>
      <c r="AF76" s="352">
        <v>347275.0</v>
      </c>
      <c r="AG76" s="352">
        <v>332800.0</v>
      </c>
      <c r="AH76" s="352">
        <v>348966.0</v>
      </c>
      <c r="AI76" s="352">
        <v>366089.0</v>
      </c>
      <c r="AJ76" s="352">
        <v>363389.0</v>
      </c>
      <c r="AK76" s="352">
        <v>379387.0</v>
      </c>
      <c r="AL76" s="352">
        <v>379387.0</v>
      </c>
      <c r="AM76" s="352">
        <v>504622.0</v>
      </c>
      <c r="AN76" s="352">
        <v>448787.0</v>
      </c>
      <c r="AO76" s="352">
        <v>566310.0</v>
      </c>
      <c r="AP76" s="352">
        <v>558635.0</v>
      </c>
      <c r="AQ76" s="352">
        <v>609628.0</v>
      </c>
      <c r="AR76" s="352">
        <v>642142.0</v>
      </c>
      <c r="AS76" s="352">
        <v>780132.0</v>
      </c>
      <c r="AT76" s="352">
        <v>639478.0</v>
      </c>
      <c r="AU76" s="352">
        <v>699620.0</v>
      </c>
      <c r="AV76" s="352">
        <v>756693.0</v>
      </c>
      <c r="AW76" s="352">
        <v>759401.0</v>
      </c>
      <c r="AX76" s="352">
        <v>618302.0</v>
      </c>
      <c r="AY76" s="352">
        <v>849306.0</v>
      </c>
      <c r="AZ76" s="352">
        <v>673323.0</v>
      </c>
      <c r="BA76" s="352">
        <v>769356.0</v>
      </c>
      <c r="BB76" s="352">
        <v>774307.0</v>
      </c>
      <c r="BC76" s="352">
        <v>724301.0</v>
      </c>
      <c r="BD76" s="352">
        <v>752863.0</v>
      </c>
      <c r="BE76" s="352">
        <v>875098.0</v>
      </c>
      <c r="BF76" s="352">
        <v>677594.0</v>
      </c>
      <c r="BG76" s="352">
        <v>780849.0</v>
      </c>
      <c r="BH76" s="352">
        <v>809566.0</v>
      </c>
      <c r="BI76" s="352">
        <v>726097.0</v>
      </c>
      <c r="BJ76" s="352">
        <v>868026.0</v>
      </c>
      <c r="BK76" s="352">
        <v>892047.0</v>
      </c>
      <c r="BL76" s="352">
        <v>622086.0</v>
      </c>
      <c r="BM76" s="352">
        <v>698078.0</v>
      </c>
      <c r="BN76" s="352">
        <v>1043790.0</v>
      </c>
      <c r="BO76" s="352">
        <v>782003.0</v>
      </c>
      <c r="BP76" s="352">
        <v>771751.0</v>
      </c>
      <c r="BQ76" s="352">
        <v>881455.0</v>
      </c>
      <c r="BR76" s="352">
        <v>743331.0</v>
      </c>
      <c r="BS76" s="352"/>
      <c r="BT76" s="352"/>
      <c r="BU76" s="352"/>
      <c r="BV76" s="352"/>
      <c r="BW76" s="33"/>
      <c r="BX76" s="282" t="str">
        <f t="array" ref="BX76">SUM(INDIRECT(XLOOKUP('GAAP Summary'!$B$2,'TTM Dates'!$B:$B,'TTM Dates'!$E:$E)&amp;ROW($BW76)&amp;":"&amp;XLOOKUP('GAAP Summary'!$B$2,'TTM Dates'!$B:$B,'TTM Dates'!$C:$C)&amp;ROW($BW76)))</f>
        <v>#REF!</v>
      </c>
      <c r="BY76" s="49"/>
      <c r="BZ76" s="108">
        <f t="shared" si="104"/>
        <v>2212211</v>
      </c>
      <c r="CA76" s="108">
        <f t="shared" si="105"/>
        <v>2597544</v>
      </c>
      <c r="CB76" s="108">
        <f t="shared" si="106"/>
        <v>1624786</v>
      </c>
      <c r="CC76" s="108">
        <f t="shared" si="107"/>
        <v>0</v>
      </c>
      <c r="CD76" s="282">
        <f t="shared" si="108"/>
        <v>6434541</v>
      </c>
      <c r="CE76" s="49"/>
      <c r="CF76" s="108">
        <f t="shared" si="109"/>
        <v>2291985</v>
      </c>
      <c r="CG76" s="108">
        <f t="shared" si="110"/>
        <v>2251471</v>
      </c>
      <c r="CH76" s="108">
        <f t="shared" si="111"/>
        <v>2333541</v>
      </c>
      <c r="CI76" s="108">
        <f t="shared" si="112"/>
        <v>2403689</v>
      </c>
      <c r="CJ76" s="282">
        <f t="shared" si="113"/>
        <v>9280686</v>
      </c>
      <c r="CK76" s="283"/>
      <c r="CL76" s="108">
        <f t="shared" si="114"/>
        <v>1519719</v>
      </c>
      <c r="CM76" s="108">
        <f t="shared" si="115"/>
        <v>1810405</v>
      </c>
      <c r="CN76" s="108">
        <f t="shared" si="116"/>
        <v>2119230</v>
      </c>
      <c r="CO76" s="108">
        <f t="shared" si="117"/>
        <v>2134396</v>
      </c>
      <c r="CP76" s="282">
        <f t="shared" si="118"/>
        <v>7583750</v>
      </c>
      <c r="CQ76" s="283"/>
      <c r="CR76" s="108">
        <f>sum(AA76:AC76)</f>
        <v>988986</v>
      </c>
      <c r="CS76" s="108">
        <f>sum(AD76:AF76)</f>
        <v>1000101</v>
      </c>
      <c r="CT76" s="108">
        <f>sum(AG76:AI76)</f>
        <v>1047855</v>
      </c>
      <c r="CU76" s="108">
        <f>sum(AJ76:AL76)</f>
        <v>1122163</v>
      </c>
      <c r="CV76" s="282">
        <f>sum(AA76:AL76)</f>
        <v>4159105</v>
      </c>
      <c r="CW76" s="283"/>
      <c r="CX76" s="282">
        <f>SUM(O76:Z76)</f>
        <v>0</v>
      </c>
      <c r="CY76" s="136"/>
      <c r="CZ76" s="286">
        <f t="array" ref="CZ76">IF(CZ$3&gt;'GAAP Summary'!$B$2,0,SUM(INDIRECT(XLOOKUP(CZ$3,'TTM Dates'!$B:$B,'TTM Dates'!$E:$E)&amp;ROW($BW76)&amp;":"&amp;XLOOKUP(CZ$3,'TTM Dates'!$B:$B,'TTM Dates'!$C:$C)&amp;ROW($BW76))))</f>
        <v>0</v>
      </c>
      <c r="DA76" s="286">
        <f t="array" ref="DA76">IF(DA$3&gt;'GAAP Summary'!$B$2,0,SUM(INDIRECT(XLOOKUP(DA$3,'TTM Dates'!$B:$B,'TTM Dates'!$E:$E)&amp;ROW($BW76)&amp;":"&amp;XLOOKUP(DA$3,'TTM Dates'!$B:$B,'TTM Dates'!$C:$C)&amp;ROW($BW76))))</f>
        <v>0</v>
      </c>
      <c r="DB76" s="286">
        <f t="array" ref="DB76">IF(DB$3&gt;'GAAP Summary'!$B$2,0,SUM(INDIRECT(XLOOKUP(DB$3,'TTM Dates'!$B:$B,'TTM Dates'!$E:$E)&amp;ROW($BW76)&amp;":"&amp;XLOOKUP(DB$3,'TTM Dates'!$B:$B,'TTM Dates'!$C:$C)&amp;ROW($BW76))))</f>
        <v>0</v>
      </c>
      <c r="DC76" s="286">
        <f t="array" ref="DC76">IF(DC$3&gt;'GAAP Summary'!$B$2,0,SUM(INDIRECT(XLOOKUP(DC$3,'TTM Dates'!$B:$B,'TTM Dates'!$E:$E)&amp;ROW($BW76)&amp;":"&amp;XLOOKUP(DC$3,'TTM Dates'!$B:$B,'TTM Dates'!$C:$C)&amp;ROW($BW76))))</f>
        <v>0</v>
      </c>
      <c r="DD76" s="286">
        <f t="array" ref="DD76">IF(DD$3&gt;'GAAP Summary'!$B$2,0,SUM(INDIRECT(XLOOKUP(DD$3,'TTM Dates'!$B:$B,'TTM Dates'!$E:$E)&amp;ROW($BW76)&amp;":"&amp;XLOOKUP(DD$3,'TTM Dates'!$B:$B,'TTM Dates'!$C:$C)&amp;ROW($BW76))))</f>
        <v>0</v>
      </c>
      <c r="DE76" s="286">
        <f t="array" ref="DE76">IF(DE$3&gt;'GAAP Summary'!$B$2,0,SUM(INDIRECT(XLOOKUP(DE$3,'TTM Dates'!$B:$B,'TTM Dates'!$E:$E)&amp;ROW($BW76)&amp;":"&amp;XLOOKUP(DE$3,'TTM Dates'!$B:$B,'TTM Dates'!$C:$C)&amp;ROW($BW76))))</f>
        <v>0</v>
      </c>
      <c r="DF76" s="286">
        <f t="array" ref="DF76">IF(DF$3&gt;'GAAP Summary'!$B$2,0,SUM(INDIRECT(XLOOKUP(DF$3,'TTM Dates'!$B:$B,'TTM Dates'!$E:$E)&amp;ROW($BW76)&amp;":"&amp;XLOOKUP(DF$3,'TTM Dates'!$B:$B,'TTM Dates'!$C:$C)&amp;ROW($BW76))))</f>
        <v>0</v>
      </c>
      <c r="DG76" s="286">
        <f t="array" ref="DG76">IF(DG$3&gt;'GAAP Summary'!$B$2,0,SUM(INDIRECT(XLOOKUP(DG$3,'TTM Dates'!$B:$B,'TTM Dates'!$E:$E)&amp;ROW($BW76)&amp;":"&amp;XLOOKUP(DG$3,'TTM Dates'!$B:$B,'TTM Dates'!$C:$C)&amp;ROW($BW76))))</f>
        <v>0</v>
      </c>
      <c r="DH76" s="286">
        <f t="array" ref="DH76">IF(DH$3&gt;'GAAP Summary'!$B$2,0,SUM(INDIRECT(XLOOKUP(DH$3,'TTM Dates'!$B:$B,'TTM Dates'!$E:$E)&amp;ROW($BW76)&amp;":"&amp;XLOOKUP(DH$3,'TTM Dates'!$B:$B,'TTM Dates'!$C:$C)&amp;ROW($BW76))))</f>
        <v>0</v>
      </c>
      <c r="DI76" s="286">
        <f t="array" ref="DI76">IF(DI$3&gt;'GAAP Summary'!$B$2,0,SUM(INDIRECT(XLOOKUP(DI$3,'TTM Dates'!$B:$B,'TTM Dates'!$E:$E)&amp;ROW($BW76)&amp;":"&amp;XLOOKUP(DI$3,'TTM Dates'!$B:$B,'TTM Dates'!$C:$C)&amp;ROW($BW76))))</f>
        <v>0</v>
      </c>
      <c r="DJ76" s="286">
        <f t="array" ref="DJ76">IF(DJ$3&gt;'GAAP Summary'!$B$2,0,SUM(INDIRECT(XLOOKUP(DJ$3,'TTM Dates'!$B:$B,'TTM Dates'!$E:$E)&amp;ROW($BW76)&amp;":"&amp;XLOOKUP(DJ$3,'TTM Dates'!$B:$B,'TTM Dates'!$C:$C)&amp;ROW($BW76))))</f>
        <v>0</v>
      </c>
      <c r="DK76" s="286">
        <f t="array" ref="DK76">IF(DK$3&gt;'GAAP Summary'!$B$2,0,SUM(INDIRECT(XLOOKUP(DK$3,'TTM Dates'!$B:$B,'TTM Dates'!$E:$E)&amp;ROW($BW76)&amp;":"&amp;XLOOKUP(DK$3,'TTM Dates'!$B:$B,'TTM Dates'!$C:$C)&amp;ROW($BW76))))</f>
        <v>0</v>
      </c>
      <c r="DL76" s="286">
        <f t="array" ref="DL76">IF(DL$3&gt;'GAAP Summary'!$B$2,0,SUM(INDIRECT(XLOOKUP(DL$3,'TTM Dates'!$B:$B,'TTM Dates'!$E:$E)&amp;ROW($BW76)&amp;":"&amp;XLOOKUP(DL$3,'TTM Dates'!$B:$B,'TTM Dates'!$C:$C)&amp;ROW($BW76))))</f>
        <v>316042</v>
      </c>
      <c r="DM76" s="286">
        <f t="array" ref="DM76">IF(DM$3&gt;'GAAP Summary'!$B$2,0,SUM(INDIRECT(XLOOKUP(DM$3,'TTM Dates'!$B:$B,'TTM Dates'!$E:$E)&amp;ROW($BW76)&amp;":"&amp;XLOOKUP(DM$3,'TTM Dates'!$B:$B,'TTM Dates'!$C:$C)&amp;ROW($BW76))))</f>
        <v>645146</v>
      </c>
      <c r="DN76" s="286">
        <f t="array" ref="DN76">IF(DN$3&gt;'GAAP Summary'!$B$2,0,SUM(INDIRECT(XLOOKUP(DN$3,'TTM Dates'!$B:$B,'TTM Dates'!$E:$E)&amp;ROW($BW76)&amp;":"&amp;XLOOKUP(DN$3,'TTM Dates'!$B:$B,'TTM Dates'!$C:$C)&amp;ROW($BW76))))</f>
        <v>988986</v>
      </c>
      <c r="DO76" s="286">
        <f t="array" ref="DO76">IF(DO$3&gt;'GAAP Summary'!$B$2,0,SUM(INDIRECT(XLOOKUP(DO$3,'TTM Dates'!$B:$B,'TTM Dates'!$E:$E)&amp;ROW($BW76)&amp;":"&amp;XLOOKUP(DO$3,'TTM Dates'!$B:$B,'TTM Dates'!$C:$C)&amp;ROW($BW76))))</f>
        <v>1315399</v>
      </c>
      <c r="DP76" s="286">
        <f t="array" ref="DP76">IF(DP$3&gt;'GAAP Summary'!$B$2,0,SUM(INDIRECT(XLOOKUP(DP$3,'TTM Dates'!$B:$B,'TTM Dates'!$E:$E)&amp;ROW($BW76)&amp;":"&amp;XLOOKUP(DP$3,'TTM Dates'!$B:$B,'TTM Dates'!$C:$C)&amp;ROW($BW76))))</f>
        <v>1641812</v>
      </c>
      <c r="DQ76" s="286">
        <f t="array" ref="DQ76">IF(DQ$3&gt;'GAAP Summary'!$B$2,0,SUM(INDIRECT(XLOOKUP(DQ$3,'TTM Dates'!$B:$B,'TTM Dates'!$E:$E)&amp;ROW($BW76)&amp;":"&amp;XLOOKUP(DQ$3,'TTM Dates'!$B:$B,'TTM Dates'!$C:$C)&amp;ROW($BW76))))</f>
        <v>1989087</v>
      </c>
      <c r="DR76" s="286">
        <f t="array" ref="DR76">IF(DR$3&gt;'GAAP Summary'!$B$2,0,SUM(INDIRECT(XLOOKUP(DR$3,'TTM Dates'!$B:$B,'TTM Dates'!$E:$E)&amp;ROW($BW76)&amp;":"&amp;XLOOKUP(DR$3,'TTM Dates'!$B:$B,'TTM Dates'!$C:$C)&amp;ROW($BW76))))</f>
        <v>2321887</v>
      </c>
      <c r="DS76" s="286">
        <f t="array" ref="DS76">IF(DS$3&gt;'GAAP Summary'!$B$2,0,SUM(INDIRECT(XLOOKUP(DS$3,'TTM Dates'!$B:$B,'TTM Dates'!$E:$E)&amp;ROW($BW76)&amp;":"&amp;XLOOKUP(DS$3,'TTM Dates'!$B:$B,'TTM Dates'!$C:$C)&amp;ROW($BW76))))</f>
        <v>2670853</v>
      </c>
      <c r="DT76" s="286">
        <f t="array" ref="DT76">IF(DT$3&gt;'GAAP Summary'!$B$2,0,SUM(INDIRECT(XLOOKUP(DT$3,'TTM Dates'!$B:$B,'TTM Dates'!$E:$E)&amp;ROW($BW76)&amp;":"&amp;XLOOKUP(DT$3,'TTM Dates'!$B:$B,'TTM Dates'!$C:$C)&amp;ROW($BW76))))</f>
        <v>3036942</v>
      </c>
      <c r="DU76" s="286">
        <f t="array" ref="DU76">IF(DU$3&gt;'GAAP Summary'!$B$2,0,SUM(INDIRECT(XLOOKUP(DU$3,'TTM Dates'!$B:$B,'TTM Dates'!$E:$E)&amp;ROW($BW76)&amp;":"&amp;XLOOKUP(DU$3,'TTM Dates'!$B:$B,'TTM Dates'!$C:$C)&amp;ROW($BW76))))</f>
        <v>3400331</v>
      </c>
      <c r="DV76" s="286">
        <f t="array" ref="DV76">IF(DV$3&gt;'GAAP Summary'!$B$2,0,SUM(INDIRECT(XLOOKUP(DV$3,'TTM Dates'!$B:$B,'TTM Dates'!$E:$E)&amp;ROW($BW76)&amp;":"&amp;XLOOKUP(DV$3,'TTM Dates'!$B:$B,'TTM Dates'!$C:$C)&amp;ROW($BW76))))</f>
        <v>3779718</v>
      </c>
      <c r="DW76" s="286">
        <f t="array" ref="DW76">IF(DW$3&gt;'GAAP Summary'!$B$2,0,SUM(INDIRECT(XLOOKUP(DW$3,'TTM Dates'!$B:$B,'TTM Dates'!$E:$E)&amp;ROW($BW76)&amp;":"&amp;XLOOKUP(DW$3,'TTM Dates'!$B:$B,'TTM Dates'!$C:$C)&amp;ROW($BW76))))</f>
        <v>4159105</v>
      </c>
      <c r="DX76" s="286">
        <f t="array" ref="DX76">IF(DX$3&gt;'GAAP Summary'!$B$2,0,SUM(INDIRECT(XLOOKUP(DX$3,'TTM Dates'!$B:$B,'TTM Dates'!$E:$E)&amp;ROW($BW76)&amp;":"&amp;XLOOKUP(DX$3,'TTM Dates'!$B:$B,'TTM Dates'!$C:$C)&amp;ROW($BW76))))</f>
        <v>4347685</v>
      </c>
      <c r="DY76" s="286">
        <f t="array" ref="DY76">IF(DY$3&gt;'GAAP Summary'!$B$2,0,SUM(INDIRECT(XLOOKUP(DY$3,'TTM Dates'!$B:$B,'TTM Dates'!$E:$E)&amp;ROW($BW76)&amp;":"&amp;XLOOKUP(DY$3,'TTM Dates'!$B:$B,'TTM Dates'!$C:$C)&amp;ROW($BW76))))</f>
        <v>4467368</v>
      </c>
      <c r="DZ76" s="286">
        <f t="array" ref="DZ76">IF(DZ$3&gt;'GAAP Summary'!$B$2,0,SUM(INDIRECT(XLOOKUP(DZ$3,'TTM Dates'!$B:$B,'TTM Dates'!$E:$E)&amp;ROW($BW76)&amp;":"&amp;XLOOKUP(DZ$3,'TTM Dates'!$B:$B,'TTM Dates'!$C:$C)&amp;ROW($BW76))))</f>
        <v>4689838</v>
      </c>
      <c r="EA76" s="286">
        <f t="array" ref="EA76">IF(EA$3&gt;'GAAP Summary'!$B$2,0,SUM(INDIRECT(XLOOKUP(EA$3,'TTM Dates'!$B:$B,'TTM Dates'!$E:$E)&amp;ROW($BW76)&amp;":"&amp;XLOOKUP(EA$3,'TTM Dates'!$B:$B,'TTM Dates'!$C:$C)&amp;ROW($BW76))))</f>
        <v>4922060</v>
      </c>
      <c r="EB76" s="286">
        <f t="array" ref="EB76">IF(EB$3&gt;'GAAP Summary'!$B$2,0,SUM(INDIRECT(XLOOKUP(EB$3,'TTM Dates'!$B:$B,'TTM Dates'!$E:$E)&amp;ROW($BW76)&amp;":"&amp;XLOOKUP(EB$3,'TTM Dates'!$B:$B,'TTM Dates'!$C:$C)&amp;ROW($BW76))))</f>
        <v>5205275</v>
      </c>
      <c r="EC76" s="286">
        <f t="array" ref="EC76">IF(EC$3&gt;'GAAP Summary'!$B$2,0,SUM(INDIRECT(XLOOKUP(EC$3,'TTM Dates'!$B:$B,'TTM Dates'!$E:$E)&amp;ROW($BW76)&amp;":"&amp;XLOOKUP(EC$3,'TTM Dates'!$B:$B,'TTM Dates'!$C:$C)&amp;ROW($BW76))))</f>
        <v>5500142</v>
      </c>
      <c r="ED76" s="286">
        <f t="array" ref="ED76">IF(ED$3&gt;'GAAP Summary'!$B$2,0,SUM(INDIRECT(XLOOKUP(ED$3,'TTM Dates'!$B:$B,'TTM Dates'!$E:$E)&amp;ROW($BW76)&amp;":"&amp;XLOOKUP(ED$3,'TTM Dates'!$B:$B,'TTM Dates'!$C:$C)&amp;ROW($BW76))))</f>
        <v>5947474</v>
      </c>
      <c r="EE76" s="286">
        <f t="array" ref="EE76">IF(EE$3&gt;'GAAP Summary'!$B$2,0,SUM(INDIRECT(XLOOKUP(EE$3,'TTM Dates'!$B:$B,'TTM Dates'!$E:$E)&amp;ROW($BW76)&amp;":"&amp;XLOOKUP(EE$3,'TTM Dates'!$B:$B,'TTM Dates'!$C:$C)&amp;ROW($BW76))))</f>
        <v>6237986</v>
      </c>
      <c r="EF76" s="286">
        <f t="array" ref="EF76">IF(EF$3&gt;'GAAP Summary'!$B$2,0,SUM(INDIRECT(XLOOKUP(EF$3,'TTM Dates'!$B:$B,'TTM Dates'!$E:$E)&amp;ROW($BW76)&amp;":"&amp;XLOOKUP(EF$3,'TTM Dates'!$B:$B,'TTM Dates'!$C:$C)&amp;ROW($BW76))))</f>
        <v>6571517</v>
      </c>
      <c r="EG76" s="286">
        <f t="array" ref="EG76">IF(EG$3&gt;'GAAP Summary'!$B$2,0,SUM(INDIRECT(XLOOKUP(EG$3,'TTM Dates'!$B:$B,'TTM Dates'!$E:$E)&amp;ROW($BW76)&amp;":"&amp;XLOOKUP(EG$3,'TTM Dates'!$B:$B,'TTM Dates'!$C:$C)&amp;ROW($BW76))))</f>
        <v>6964821</v>
      </c>
      <c r="EH76" s="286">
        <f t="array" ref="EH76">IF(EH$3&gt;'GAAP Summary'!$B$2,0,SUM(INDIRECT(XLOOKUP(EH$3,'TTM Dates'!$B:$B,'TTM Dates'!$E:$E)&amp;ROW($BW76)&amp;":"&amp;XLOOKUP(EH$3,'TTM Dates'!$B:$B,'TTM Dates'!$C:$C)&amp;ROW($BW76))))</f>
        <v>7344835</v>
      </c>
      <c r="EI76" s="286">
        <f t="array" ref="EI76">IF(EI$3&gt;'GAAP Summary'!$B$2,0,SUM(INDIRECT(XLOOKUP(EI$3,'TTM Dates'!$B:$B,'TTM Dates'!$E:$E)&amp;ROW($BW76)&amp;":"&amp;XLOOKUP(EI$3,'TTM Dates'!$B:$B,'TTM Dates'!$C:$C)&amp;ROW($BW76))))</f>
        <v>7583750</v>
      </c>
      <c r="EJ76" s="286">
        <f t="array" ref="EJ76">IF(EJ$3&gt;'GAAP Summary'!$B$2,0,SUM(INDIRECT(XLOOKUP(EJ$3,'TTM Dates'!$B:$B,'TTM Dates'!$E:$E)&amp;ROW($BW76)&amp;":"&amp;XLOOKUP(EJ$3,'TTM Dates'!$B:$B,'TTM Dates'!$C:$C)&amp;ROW($BW76))))</f>
        <v>7928434</v>
      </c>
      <c r="EK76" s="286">
        <f t="array" ref="EK76">IF(EK$3&gt;'GAAP Summary'!$B$2,0,SUM(INDIRECT(XLOOKUP(EK$3,'TTM Dates'!$B:$B,'TTM Dates'!$E:$E)&amp;ROW($BW76)&amp;":"&amp;XLOOKUP(EK$3,'TTM Dates'!$B:$B,'TTM Dates'!$C:$C)&amp;ROW($BW76))))</f>
        <v>8152970</v>
      </c>
      <c r="EL76" s="286">
        <f t="array" ref="EL76">IF(EL$3&gt;'GAAP Summary'!$B$2,0,SUM(INDIRECT(XLOOKUP(EL$3,'TTM Dates'!$B:$B,'TTM Dates'!$E:$E)&amp;ROW($BW76)&amp;":"&amp;XLOOKUP(EL$3,'TTM Dates'!$B:$B,'TTM Dates'!$C:$C)&amp;ROW($BW76))))</f>
        <v>8356016</v>
      </c>
      <c r="EM76" s="286">
        <f t="array" ref="EM76">IF(EM$3&gt;'GAAP Summary'!$B$2,0,SUM(INDIRECT(XLOOKUP(EM$3,'TTM Dates'!$B:$B,'TTM Dates'!$E:$E)&amp;ROW($BW76)&amp;":"&amp;XLOOKUP(EM$3,'TTM Dates'!$B:$B,'TTM Dates'!$C:$C)&amp;ROW($BW76))))</f>
        <v>8571688</v>
      </c>
      <c r="EN76" s="286">
        <f t="array" ref="EN76">IF(EN$3&gt;'GAAP Summary'!$B$2,0,SUM(INDIRECT(XLOOKUP(EN$3,'TTM Dates'!$B:$B,'TTM Dates'!$E:$E)&amp;ROW($BW76)&amp;":"&amp;XLOOKUP(EN$3,'TTM Dates'!$B:$B,'TTM Dates'!$C:$C)&amp;ROW($BW76))))</f>
        <v>8686361</v>
      </c>
      <c r="EO76" s="286">
        <f t="array" ref="EO76">IF(EO$3&gt;'GAAP Summary'!$B$2,0,SUM(INDIRECT(XLOOKUP(EO$3,'TTM Dates'!$B:$B,'TTM Dates'!$E:$E)&amp;ROW($BW76)&amp;":"&amp;XLOOKUP(EO$3,'TTM Dates'!$B:$B,'TTM Dates'!$C:$C)&amp;ROW($BW76))))</f>
        <v>8797082</v>
      </c>
      <c r="EP76" s="286">
        <f t="array" ref="EP76">IF(EP$3&gt;'GAAP Summary'!$B$2,0,SUM(INDIRECT(XLOOKUP(EP$3,'TTM Dates'!$B:$B,'TTM Dates'!$E:$E)&amp;ROW($BW76)&amp;":"&amp;XLOOKUP(EP$3,'TTM Dates'!$B:$B,'TTM Dates'!$C:$C)&amp;ROW($BW76))))</f>
        <v>8892048</v>
      </c>
      <c r="EQ76" s="286">
        <f t="array" ref="EQ76">IF(EQ$3&gt;'GAAP Summary'!$B$2,0,SUM(INDIRECT(XLOOKUP(EQ$3,'TTM Dates'!$B:$B,'TTM Dates'!$E:$E)&amp;ROW($BW76)&amp;":"&amp;XLOOKUP(EQ$3,'TTM Dates'!$B:$B,'TTM Dates'!$C:$C)&amp;ROW($BW76))))</f>
        <v>8930164</v>
      </c>
      <c r="ER76" s="286">
        <f t="array" ref="ER76">IF(ER$3&gt;'GAAP Summary'!$B$2,0,SUM(INDIRECT(XLOOKUP(ER$3,'TTM Dates'!$B:$B,'TTM Dates'!$E:$E)&amp;ROW($BW76)&amp;":"&amp;XLOOKUP(ER$3,'TTM Dates'!$B:$B,'TTM Dates'!$C:$C)&amp;ROW($BW76))))</f>
        <v>9011393</v>
      </c>
      <c r="ES76" s="286">
        <f t="array" ref="ES76">IF(ES$3&gt;'GAAP Summary'!$B$2,0,SUM(INDIRECT(XLOOKUP(ES$3,'TTM Dates'!$B:$B,'TTM Dates'!$E:$E)&amp;ROW($BW76)&amp;":"&amp;XLOOKUP(ES$3,'TTM Dates'!$B:$B,'TTM Dates'!$C:$C)&amp;ROW($BW76))))</f>
        <v>9064266</v>
      </c>
      <c r="ET76" s="286">
        <f t="array" ref="ET76">IF(ET$3&gt;'GAAP Summary'!$B$2,0,SUM(INDIRECT(XLOOKUP(ET$3,'TTM Dates'!$B:$B,'TTM Dates'!$E:$E)&amp;ROW($BW76)&amp;":"&amp;XLOOKUP(ET$3,'TTM Dates'!$B:$B,'TTM Dates'!$C:$C)&amp;ROW($BW76))))</f>
        <v>9030962</v>
      </c>
      <c r="EU76" s="286">
        <f t="array" ref="EU76">IF(EU$3&gt;'GAAP Summary'!$B$2,0,SUM(INDIRECT(XLOOKUP(EU$3,'TTM Dates'!$B:$B,'TTM Dates'!$E:$E)&amp;ROW($BW76)&amp;":"&amp;XLOOKUP(EU$3,'TTM Dates'!$B:$B,'TTM Dates'!$C:$C)&amp;ROW($BW76))))</f>
        <v>9280686</v>
      </c>
      <c r="EV76" s="286">
        <f t="array" ref="EV76">IF(EV$3&gt;'GAAP Summary'!$B$2,0,SUM(INDIRECT(XLOOKUP(EV$3,'TTM Dates'!$B:$B,'TTM Dates'!$E:$E)&amp;ROW($BW76)&amp;":"&amp;XLOOKUP(EV$3,'TTM Dates'!$B:$B,'TTM Dates'!$C:$C)&amp;ROW($BW76))))</f>
        <v>9323427</v>
      </c>
      <c r="EW76" s="286">
        <f t="array" ref="EW76">IF(EW$3&gt;'GAAP Summary'!$B$2,0,SUM(INDIRECT(XLOOKUP(EW$3,'TTM Dates'!$B:$B,'TTM Dates'!$E:$E)&amp;ROW($BW76)&amp;":"&amp;XLOOKUP(EW$3,'TTM Dates'!$B:$B,'TTM Dates'!$C:$C)&amp;ROW($BW76))))</f>
        <v>9272190</v>
      </c>
      <c r="EX76" s="286">
        <f t="array" ref="EX76">IF(EX$3&gt;'GAAP Summary'!$B$2,0,SUM(INDIRECT(XLOOKUP(EX$3,'TTM Dates'!$B:$B,'TTM Dates'!$E:$E)&amp;ROW($BW76)&amp;":"&amp;XLOOKUP(EX$3,'TTM Dates'!$B:$B,'TTM Dates'!$C:$C)&amp;ROW($BW76))))</f>
        <v>9200912</v>
      </c>
      <c r="EY76" s="286">
        <f t="array" ref="EY76">IF(EY$3&gt;'GAAP Summary'!$B$2,0,SUM(INDIRECT(XLOOKUP(EY$3,'TTM Dates'!$B:$B,'TTM Dates'!$E:$E)&amp;ROW($BW76)&amp;":"&amp;XLOOKUP(EY$3,'TTM Dates'!$B:$B,'TTM Dates'!$C:$C)&amp;ROW($BW76))))</f>
        <v>9470395</v>
      </c>
      <c r="EZ76" s="286">
        <f t="array" ref="EZ76">IF(EZ$3&gt;'GAAP Summary'!$B$2,0,SUM(INDIRECT(XLOOKUP(EZ$3,'TTM Dates'!$B:$B,'TTM Dates'!$E:$E)&amp;ROW($BW76)&amp;":"&amp;XLOOKUP(EZ$3,'TTM Dates'!$B:$B,'TTM Dates'!$C:$C)&amp;ROW($BW76))))</f>
        <v>9528097</v>
      </c>
      <c r="FA76" s="286">
        <f t="array" ref="FA76">IF(FA$3&gt;'GAAP Summary'!$B$2,0,SUM(INDIRECT(XLOOKUP(FA$3,'TTM Dates'!$B:$B,'TTM Dates'!$E:$E)&amp;ROW($BW76)&amp;":"&amp;XLOOKUP(FA$3,'TTM Dates'!$B:$B,'TTM Dates'!$C:$C)&amp;ROW($BW76))))</f>
        <v>9546985</v>
      </c>
      <c r="FB76" s="286">
        <f t="array" ref="FB76">IF(FB$3&gt;'GAAP Summary'!$B$2,0,SUM(INDIRECT(XLOOKUP(FB$3,'TTM Dates'!$B:$B,'TTM Dates'!$E:$E)&amp;ROW($BW76)&amp;":"&amp;XLOOKUP(FB$3,'TTM Dates'!$B:$B,'TTM Dates'!$C:$C)&amp;ROW($BW76))))</f>
        <v>9553342</v>
      </c>
      <c r="FC76" s="286">
        <f t="array" ref="FC76">IF(FC$3&gt;'GAAP Summary'!$B$2,0,SUM(INDIRECT(XLOOKUP(FC$3,'TTM Dates'!$B:$B,'TTM Dates'!$E:$E)&amp;ROW($BW76)&amp;":"&amp;XLOOKUP(FC$3,'TTM Dates'!$B:$B,'TTM Dates'!$C:$C)&amp;ROW($BW76))))</f>
        <v>9619079</v>
      </c>
      <c r="FD76" s="286">
        <f t="array" ref="FD76">IF(FD$3&gt;'GAAP Summary'!$B$2,0,SUM(INDIRECT(XLOOKUP(FD$3,'TTM Dates'!$B:$B,'TTM Dates'!$E:$E)&amp;ROW($BW76)&amp;":"&amp;XLOOKUP(FD$3,'TTM Dates'!$B:$B,'TTM Dates'!$C:$C)&amp;ROW($BW76))))</f>
        <v>8838230</v>
      </c>
      <c r="FE76" s="286">
        <f t="array" ref="FE76">IF(FE$3&gt;'GAAP Summary'!$B$2,0,SUM(INDIRECT(XLOOKUP(FE$3,'TTM Dates'!$B:$B,'TTM Dates'!$E:$E)&amp;ROW($BW76)&amp;":"&amp;XLOOKUP(FE$3,'TTM Dates'!$B:$B,'TTM Dates'!$C:$C)&amp;ROW($BW76))))</f>
        <v>8028664</v>
      </c>
      <c r="FF76" s="286">
        <f t="array" ref="FF76">IF(FF$3&gt;'GAAP Summary'!$B$2,0,SUM(INDIRECT(XLOOKUP(FF$3,'TTM Dates'!$B:$B,'TTM Dates'!$E:$E)&amp;ROW($BW76)&amp;":"&amp;XLOOKUP(FF$3,'TTM Dates'!$B:$B,'TTM Dates'!$C:$C)&amp;ROW($BW76))))</f>
        <v>7302567</v>
      </c>
      <c r="FG76" s="286">
        <f t="array" ref="FG76">IF(FG$3&gt;'GAAP Summary'!$B$2,0,SUM(INDIRECT(XLOOKUP(FG$3,'TTM Dates'!$B:$B,'TTM Dates'!$E:$E)&amp;ROW($BW76)&amp;":"&amp;XLOOKUP(FG$3,'TTM Dates'!$B:$B,'TTM Dates'!$C:$C)&amp;ROW($BW76))))</f>
        <v>6434541</v>
      </c>
      <c r="FH76" s="286"/>
    </row>
    <row r="77" outlineLevel="1">
      <c r="B77" s="135" t="s">
        <v>506</v>
      </c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337"/>
      <c r="AY77" s="337"/>
      <c r="AZ77" s="337"/>
      <c r="BA77" s="337"/>
      <c r="BB77" s="337"/>
      <c r="BC77" s="337"/>
      <c r="BD77" s="337"/>
      <c r="BE77" s="337"/>
      <c r="BF77" s="337"/>
      <c r="BG77" s="337"/>
      <c r="BH77" s="337"/>
      <c r="BI77" s="337"/>
      <c r="BJ77" s="337"/>
      <c r="BK77" s="337"/>
      <c r="BL77" s="337"/>
      <c r="BM77" s="337"/>
      <c r="BN77" s="337"/>
      <c r="BO77" s="337"/>
      <c r="BP77" s="337"/>
      <c r="BQ77" s="337"/>
      <c r="BR77" s="337"/>
      <c r="BS77" s="337"/>
      <c r="BT77" s="337"/>
      <c r="BU77" s="337"/>
      <c r="BV77" s="337"/>
      <c r="BW77" s="33"/>
      <c r="BX77" s="288" t="str">
        <f t="array" ref="BX77">SUM(INDIRECT(XLOOKUP('GAAP Summary'!$B$2,'TTM Dates'!$B:$B,'TTM Dates'!$E:$E)&amp;ROW($BW77)&amp;":"&amp;XLOOKUP('GAAP Summary'!$B$2,'TTM Dates'!$B:$B,'TTM Dates'!$C:$C)&amp;ROW($BW77)))</f>
        <v>#REF!</v>
      </c>
      <c r="BY77" s="49"/>
      <c r="BZ77" s="136">
        <f t="shared" si="104"/>
        <v>0</v>
      </c>
      <c r="CA77" s="136">
        <f t="shared" si="105"/>
        <v>0</v>
      </c>
      <c r="CB77" s="136">
        <f t="shared" si="106"/>
        <v>0</v>
      </c>
      <c r="CC77" s="136">
        <f t="shared" si="107"/>
        <v>0</v>
      </c>
      <c r="CD77" s="292">
        <f t="shared" si="108"/>
        <v>0</v>
      </c>
      <c r="CE77" s="49"/>
      <c r="CF77" s="136">
        <f t="shared" si="109"/>
        <v>0</v>
      </c>
      <c r="CG77" s="136">
        <f t="shared" si="110"/>
        <v>0</v>
      </c>
      <c r="CH77" s="136">
        <f t="shared" si="111"/>
        <v>0</v>
      </c>
      <c r="CI77" s="136">
        <f t="shared" si="112"/>
        <v>0</v>
      </c>
      <c r="CJ77" s="292">
        <f t="shared" si="113"/>
        <v>0</v>
      </c>
      <c r="CK77" s="136"/>
      <c r="CL77" s="136">
        <f t="shared" si="114"/>
        <v>0</v>
      </c>
      <c r="CM77" s="136">
        <f t="shared" si="115"/>
        <v>0</v>
      </c>
      <c r="CN77" s="136">
        <f t="shared" si="116"/>
        <v>0</v>
      </c>
      <c r="CO77" s="136">
        <f t="shared" si="117"/>
        <v>0</v>
      </c>
      <c r="CP77" s="292">
        <f t="shared" si="118"/>
        <v>0</v>
      </c>
      <c r="CQ77" s="136"/>
      <c r="CR77" s="136"/>
      <c r="CS77" s="136"/>
      <c r="CT77" s="136"/>
      <c r="CU77" s="136"/>
      <c r="CV77" s="292"/>
      <c r="CW77" s="136"/>
      <c r="CX77" s="292"/>
      <c r="CY77" s="136"/>
      <c r="CZ77" s="136">
        <f t="array" ref="CZ77">IF(CZ$3&gt;'GAAP Summary'!$B$2,0,SUM(INDIRECT(XLOOKUP(CZ$3,'TTM Dates'!$B:$B,'TTM Dates'!$E:$E)&amp;ROW($BW77)&amp;":"&amp;XLOOKUP(CZ$3,'TTM Dates'!$B:$B,'TTM Dates'!$C:$C)&amp;ROW($BW77))))</f>
        <v>0</v>
      </c>
      <c r="DA77" s="136">
        <f t="array" ref="DA77">IF(DA$3&gt;'GAAP Summary'!$B$2,0,SUM(INDIRECT(XLOOKUP(DA$3,'TTM Dates'!$B:$B,'TTM Dates'!$E:$E)&amp;ROW($BW77)&amp;":"&amp;XLOOKUP(DA$3,'TTM Dates'!$B:$B,'TTM Dates'!$C:$C)&amp;ROW($BW77))))</f>
        <v>0</v>
      </c>
      <c r="DB77" s="136">
        <f t="array" ref="DB77">IF(DB$3&gt;'GAAP Summary'!$B$2,0,SUM(INDIRECT(XLOOKUP(DB$3,'TTM Dates'!$B:$B,'TTM Dates'!$E:$E)&amp;ROW($BW77)&amp;":"&amp;XLOOKUP(DB$3,'TTM Dates'!$B:$B,'TTM Dates'!$C:$C)&amp;ROW($BW77))))</f>
        <v>0</v>
      </c>
      <c r="DC77" s="136">
        <f t="array" ref="DC77">IF(DC$3&gt;'GAAP Summary'!$B$2,0,SUM(INDIRECT(XLOOKUP(DC$3,'TTM Dates'!$B:$B,'TTM Dates'!$E:$E)&amp;ROW($BW77)&amp;":"&amp;XLOOKUP(DC$3,'TTM Dates'!$B:$B,'TTM Dates'!$C:$C)&amp;ROW($BW77))))</f>
        <v>0</v>
      </c>
      <c r="DD77" s="136">
        <f t="array" ref="DD77">IF(DD$3&gt;'GAAP Summary'!$B$2,0,SUM(INDIRECT(XLOOKUP(DD$3,'TTM Dates'!$B:$B,'TTM Dates'!$E:$E)&amp;ROW($BW77)&amp;":"&amp;XLOOKUP(DD$3,'TTM Dates'!$B:$B,'TTM Dates'!$C:$C)&amp;ROW($BW77))))</f>
        <v>0</v>
      </c>
      <c r="DE77" s="136">
        <f t="array" ref="DE77">IF(DE$3&gt;'GAAP Summary'!$B$2,0,SUM(INDIRECT(XLOOKUP(DE$3,'TTM Dates'!$B:$B,'TTM Dates'!$E:$E)&amp;ROW($BW77)&amp;":"&amp;XLOOKUP(DE$3,'TTM Dates'!$B:$B,'TTM Dates'!$C:$C)&amp;ROW($BW77))))</f>
        <v>0</v>
      </c>
      <c r="DF77" s="136">
        <f t="array" ref="DF77">IF(DF$3&gt;'GAAP Summary'!$B$2,0,SUM(INDIRECT(XLOOKUP(DF$3,'TTM Dates'!$B:$B,'TTM Dates'!$E:$E)&amp;ROW($BW77)&amp;":"&amp;XLOOKUP(DF$3,'TTM Dates'!$B:$B,'TTM Dates'!$C:$C)&amp;ROW($BW77))))</f>
        <v>0</v>
      </c>
      <c r="DG77" s="136">
        <f t="array" ref="DG77">IF(DG$3&gt;'GAAP Summary'!$B$2,0,SUM(INDIRECT(XLOOKUP(DG$3,'TTM Dates'!$B:$B,'TTM Dates'!$E:$E)&amp;ROW($BW77)&amp;":"&amp;XLOOKUP(DG$3,'TTM Dates'!$B:$B,'TTM Dates'!$C:$C)&amp;ROW($BW77))))</f>
        <v>0</v>
      </c>
      <c r="DH77" s="136">
        <f t="array" ref="DH77">IF(DH$3&gt;'GAAP Summary'!$B$2,0,SUM(INDIRECT(XLOOKUP(DH$3,'TTM Dates'!$B:$B,'TTM Dates'!$E:$E)&amp;ROW($BW77)&amp;":"&amp;XLOOKUP(DH$3,'TTM Dates'!$B:$B,'TTM Dates'!$C:$C)&amp;ROW($BW77))))</f>
        <v>0</v>
      </c>
      <c r="DI77" s="136">
        <f t="array" ref="DI77">IF(DI$3&gt;'GAAP Summary'!$B$2,0,SUM(INDIRECT(XLOOKUP(DI$3,'TTM Dates'!$B:$B,'TTM Dates'!$E:$E)&amp;ROW($BW77)&amp;":"&amp;XLOOKUP(DI$3,'TTM Dates'!$B:$B,'TTM Dates'!$C:$C)&amp;ROW($BW77))))</f>
        <v>0</v>
      </c>
      <c r="DJ77" s="136">
        <f t="array" ref="DJ77">IF(DJ$3&gt;'GAAP Summary'!$B$2,0,SUM(INDIRECT(XLOOKUP(DJ$3,'TTM Dates'!$B:$B,'TTM Dates'!$E:$E)&amp;ROW($BW77)&amp;":"&amp;XLOOKUP(DJ$3,'TTM Dates'!$B:$B,'TTM Dates'!$C:$C)&amp;ROW($BW77))))</f>
        <v>0</v>
      </c>
      <c r="DK77" s="136">
        <f t="array" ref="DK77">IF(DK$3&gt;'GAAP Summary'!$B$2,0,SUM(INDIRECT(XLOOKUP(DK$3,'TTM Dates'!$B:$B,'TTM Dates'!$E:$E)&amp;ROW($BW77)&amp;":"&amp;XLOOKUP(DK$3,'TTM Dates'!$B:$B,'TTM Dates'!$C:$C)&amp;ROW($BW77))))</f>
        <v>0</v>
      </c>
      <c r="DL77" s="136">
        <f t="array" ref="DL77">IF(DL$3&gt;'GAAP Summary'!$B$2,0,SUM(INDIRECT(XLOOKUP(DL$3,'TTM Dates'!$B:$B,'TTM Dates'!$E:$E)&amp;ROW($BW77)&amp;":"&amp;XLOOKUP(DL$3,'TTM Dates'!$B:$B,'TTM Dates'!$C:$C)&amp;ROW($BW77))))</f>
        <v>0</v>
      </c>
      <c r="DM77" s="136">
        <f t="array" ref="DM77">IF(DM$3&gt;'GAAP Summary'!$B$2,0,SUM(INDIRECT(XLOOKUP(DM$3,'TTM Dates'!$B:$B,'TTM Dates'!$E:$E)&amp;ROW($BW77)&amp;":"&amp;XLOOKUP(DM$3,'TTM Dates'!$B:$B,'TTM Dates'!$C:$C)&amp;ROW($BW77))))</f>
        <v>0</v>
      </c>
      <c r="DN77" s="136">
        <f t="array" ref="DN77">IF(DN$3&gt;'GAAP Summary'!$B$2,0,SUM(INDIRECT(XLOOKUP(DN$3,'TTM Dates'!$B:$B,'TTM Dates'!$E:$E)&amp;ROW($BW77)&amp;":"&amp;XLOOKUP(DN$3,'TTM Dates'!$B:$B,'TTM Dates'!$C:$C)&amp;ROW($BW77))))</f>
        <v>0</v>
      </c>
      <c r="DO77" s="136">
        <f t="array" ref="DO77">IF(DO$3&gt;'GAAP Summary'!$B$2,0,SUM(INDIRECT(XLOOKUP(DO$3,'TTM Dates'!$B:$B,'TTM Dates'!$E:$E)&amp;ROW($BW77)&amp;":"&amp;XLOOKUP(DO$3,'TTM Dates'!$B:$B,'TTM Dates'!$C:$C)&amp;ROW($BW77))))</f>
        <v>0</v>
      </c>
      <c r="DP77" s="136">
        <f t="array" ref="DP77">IF(DP$3&gt;'GAAP Summary'!$B$2,0,SUM(INDIRECT(XLOOKUP(DP$3,'TTM Dates'!$B:$B,'TTM Dates'!$E:$E)&amp;ROW($BW77)&amp;":"&amp;XLOOKUP(DP$3,'TTM Dates'!$B:$B,'TTM Dates'!$C:$C)&amp;ROW($BW77))))</f>
        <v>0</v>
      </c>
      <c r="DQ77" s="136">
        <f t="array" ref="DQ77">IF(DQ$3&gt;'GAAP Summary'!$B$2,0,SUM(INDIRECT(XLOOKUP(DQ$3,'TTM Dates'!$B:$B,'TTM Dates'!$E:$E)&amp;ROW($BW77)&amp;":"&amp;XLOOKUP(DQ$3,'TTM Dates'!$B:$B,'TTM Dates'!$C:$C)&amp;ROW($BW77))))</f>
        <v>0</v>
      </c>
      <c r="DR77" s="136">
        <f t="array" ref="DR77">IF(DR$3&gt;'GAAP Summary'!$B$2,0,SUM(INDIRECT(XLOOKUP(DR$3,'TTM Dates'!$B:$B,'TTM Dates'!$E:$E)&amp;ROW($BW77)&amp;":"&amp;XLOOKUP(DR$3,'TTM Dates'!$B:$B,'TTM Dates'!$C:$C)&amp;ROW($BW77))))</f>
        <v>0</v>
      </c>
      <c r="DS77" s="136">
        <f t="array" ref="DS77">IF(DS$3&gt;'GAAP Summary'!$B$2,0,SUM(INDIRECT(XLOOKUP(DS$3,'TTM Dates'!$B:$B,'TTM Dates'!$E:$E)&amp;ROW($BW77)&amp;":"&amp;XLOOKUP(DS$3,'TTM Dates'!$B:$B,'TTM Dates'!$C:$C)&amp;ROW($BW77))))</f>
        <v>0</v>
      </c>
      <c r="DT77" s="136">
        <f t="array" ref="DT77">IF(DT$3&gt;'GAAP Summary'!$B$2,0,SUM(INDIRECT(XLOOKUP(DT$3,'TTM Dates'!$B:$B,'TTM Dates'!$E:$E)&amp;ROW($BW77)&amp;":"&amp;XLOOKUP(DT$3,'TTM Dates'!$B:$B,'TTM Dates'!$C:$C)&amp;ROW($BW77))))</f>
        <v>0</v>
      </c>
      <c r="DU77" s="136">
        <f t="array" ref="DU77">IF(DU$3&gt;'GAAP Summary'!$B$2,0,SUM(INDIRECT(XLOOKUP(DU$3,'TTM Dates'!$B:$B,'TTM Dates'!$E:$E)&amp;ROW($BW77)&amp;":"&amp;XLOOKUP(DU$3,'TTM Dates'!$B:$B,'TTM Dates'!$C:$C)&amp;ROW($BW77))))</f>
        <v>0</v>
      </c>
      <c r="DV77" s="136">
        <f t="array" ref="DV77">IF(DV$3&gt;'GAAP Summary'!$B$2,0,SUM(INDIRECT(XLOOKUP(DV$3,'TTM Dates'!$B:$B,'TTM Dates'!$E:$E)&amp;ROW($BW77)&amp;":"&amp;XLOOKUP(DV$3,'TTM Dates'!$B:$B,'TTM Dates'!$C:$C)&amp;ROW($BW77))))</f>
        <v>0</v>
      </c>
      <c r="DW77" s="136">
        <f t="array" ref="DW77">IF(DW$3&gt;'GAAP Summary'!$B$2,0,SUM(INDIRECT(XLOOKUP(DW$3,'TTM Dates'!$B:$B,'TTM Dates'!$E:$E)&amp;ROW($BW77)&amp;":"&amp;XLOOKUP(DW$3,'TTM Dates'!$B:$B,'TTM Dates'!$C:$C)&amp;ROW($BW77))))</f>
        <v>0</v>
      </c>
      <c r="DX77" s="136">
        <f t="array" ref="DX77">IF(DX$3&gt;'GAAP Summary'!$B$2,0,SUM(INDIRECT(XLOOKUP(DX$3,'TTM Dates'!$B:$B,'TTM Dates'!$E:$E)&amp;ROW($BW77)&amp;":"&amp;XLOOKUP(DX$3,'TTM Dates'!$B:$B,'TTM Dates'!$C:$C)&amp;ROW($BW77))))</f>
        <v>0</v>
      </c>
      <c r="DY77" s="136">
        <f t="array" ref="DY77">IF(DY$3&gt;'GAAP Summary'!$B$2,0,SUM(INDIRECT(XLOOKUP(DY$3,'TTM Dates'!$B:$B,'TTM Dates'!$E:$E)&amp;ROW($BW77)&amp;":"&amp;XLOOKUP(DY$3,'TTM Dates'!$B:$B,'TTM Dates'!$C:$C)&amp;ROW($BW77))))</f>
        <v>0</v>
      </c>
      <c r="DZ77" s="136">
        <f t="array" ref="DZ77">IF(DZ$3&gt;'GAAP Summary'!$B$2,0,SUM(INDIRECT(XLOOKUP(DZ$3,'TTM Dates'!$B:$B,'TTM Dates'!$E:$E)&amp;ROW($BW77)&amp;":"&amp;XLOOKUP(DZ$3,'TTM Dates'!$B:$B,'TTM Dates'!$C:$C)&amp;ROW($BW77))))</f>
        <v>0</v>
      </c>
      <c r="EA77" s="136">
        <f t="array" ref="EA77">IF(EA$3&gt;'GAAP Summary'!$B$2,0,SUM(INDIRECT(XLOOKUP(EA$3,'TTM Dates'!$B:$B,'TTM Dates'!$E:$E)&amp;ROW($BW77)&amp;":"&amp;XLOOKUP(EA$3,'TTM Dates'!$B:$B,'TTM Dates'!$C:$C)&amp;ROW($BW77))))</f>
        <v>0</v>
      </c>
      <c r="EB77" s="136">
        <f t="array" ref="EB77">IF(EB$3&gt;'GAAP Summary'!$B$2,0,SUM(INDIRECT(XLOOKUP(EB$3,'TTM Dates'!$B:$B,'TTM Dates'!$E:$E)&amp;ROW($BW77)&amp;":"&amp;XLOOKUP(EB$3,'TTM Dates'!$B:$B,'TTM Dates'!$C:$C)&amp;ROW($BW77))))</f>
        <v>0</v>
      </c>
      <c r="EC77" s="136">
        <f t="array" ref="EC77">IF(EC$3&gt;'GAAP Summary'!$B$2,0,SUM(INDIRECT(XLOOKUP(EC$3,'TTM Dates'!$B:$B,'TTM Dates'!$E:$E)&amp;ROW($BW77)&amp;":"&amp;XLOOKUP(EC$3,'TTM Dates'!$B:$B,'TTM Dates'!$C:$C)&amp;ROW($BW77))))</f>
        <v>0</v>
      </c>
      <c r="ED77" s="136">
        <f t="array" ref="ED77">IF(ED$3&gt;'GAAP Summary'!$B$2,0,SUM(INDIRECT(XLOOKUP(ED$3,'TTM Dates'!$B:$B,'TTM Dates'!$E:$E)&amp;ROW($BW77)&amp;":"&amp;XLOOKUP(ED$3,'TTM Dates'!$B:$B,'TTM Dates'!$C:$C)&amp;ROW($BW77))))</f>
        <v>0</v>
      </c>
      <c r="EE77" s="136">
        <f t="array" ref="EE77">IF(EE$3&gt;'GAAP Summary'!$B$2,0,SUM(INDIRECT(XLOOKUP(EE$3,'TTM Dates'!$B:$B,'TTM Dates'!$E:$E)&amp;ROW($BW77)&amp;":"&amp;XLOOKUP(EE$3,'TTM Dates'!$B:$B,'TTM Dates'!$C:$C)&amp;ROW($BW77))))</f>
        <v>0</v>
      </c>
      <c r="EF77" s="136">
        <f t="array" ref="EF77">IF(EF$3&gt;'GAAP Summary'!$B$2,0,SUM(INDIRECT(XLOOKUP(EF$3,'TTM Dates'!$B:$B,'TTM Dates'!$E:$E)&amp;ROW($BW77)&amp;":"&amp;XLOOKUP(EF$3,'TTM Dates'!$B:$B,'TTM Dates'!$C:$C)&amp;ROW($BW77))))</f>
        <v>0</v>
      </c>
      <c r="EG77" s="136">
        <f t="array" ref="EG77">IF(EG$3&gt;'GAAP Summary'!$B$2,0,SUM(INDIRECT(XLOOKUP(EG$3,'TTM Dates'!$B:$B,'TTM Dates'!$E:$E)&amp;ROW($BW77)&amp;":"&amp;XLOOKUP(EG$3,'TTM Dates'!$B:$B,'TTM Dates'!$C:$C)&amp;ROW($BW77))))</f>
        <v>0</v>
      </c>
      <c r="EH77" s="136">
        <f t="array" ref="EH77">IF(EH$3&gt;'GAAP Summary'!$B$2,0,SUM(INDIRECT(XLOOKUP(EH$3,'TTM Dates'!$B:$B,'TTM Dates'!$E:$E)&amp;ROW($BW77)&amp;":"&amp;XLOOKUP(EH$3,'TTM Dates'!$B:$B,'TTM Dates'!$C:$C)&amp;ROW($BW77))))</f>
        <v>0</v>
      </c>
      <c r="EI77" s="136">
        <f t="array" ref="EI77">IF(EI$3&gt;'GAAP Summary'!$B$2,0,SUM(INDIRECT(XLOOKUP(EI$3,'TTM Dates'!$B:$B,'TTM Dates'!$E:$E)&amp;ROW($BW77)&amp;":"&amp;XLOOKUP(EI$3,'TTM Dates'!$B:$B,'TTM Dates'!$C:$C)&amp;ROW($BW77))))</f>
        <v>0</v>
      </c>
      <c r="EJ77" s="136">
        <f t="array" ref="EJ77">IF(EJ$3&gt;'GAAP Summary'!$B$2,0,SUM(INDIRECT(XLOOKUP(EJ$3,'TTM Dates'!$B:$B,'TTM Dates'!$E:$E)&amp;ROW($BW77)&amp;":"&amp;XLOOKUP(EJ$3,'TTM Dates'!$B:$B,'TTM Dates'!$C:$C)&amp;ROW($BW77))))</f>
        <v>0</v>
      </c>
      <c r="EK77" s="136">
        <f t="array" ref="EK77">IF(EK$3&gt;'GAAP Summary'!$B$2,0,SUM(INDIRECT(XLOOKUP(EK$3,'TTM Dates'!$B:$B,'TTM Dates'!$E:$E)&amp;ROW($BW77)&amp;":"&amp;XLOOKUP(EK$3,'TTM Dates'!$B:$B,'TTM Dates'!$C:$C)&amp;ROW($BW77))))</f>
        <v>0</v>
      </c>
      <c r="EL77" s="136">
        <f t="array" ref="EL77">IF(EL$3&gt;'GAAP Summary'!$B$2,0,SUM(INDIRECT(XLOOKUP(EL$3,'TTM Dates'!$B:$B,'TTM Dates'!$E:$E)&amp;ROW($BW77)&amp;":"&amp;XLOOKUP(EL$3,'TTM Dates'!$B:$B,'TTM Dates'!$C:$C)&amp;ROW($BW77))))</f>
        <v>0</v>
      </c>
      <c r="EM77" s="136">
        <f t="array" ref="EM77">IF(EM$3&gt;'GAAP Summary'!$B$2,0,SUM(INDIRECT(XLOOKUP(EM$3,'TTM Dates'!$B:$B,'TTM Dates'!$E:$E)&amp;ROW($BW77)&amp;":"&amp;XLOOKUP(EM$3,'TTM Dates'!$B:$B,'TTM Dates'!$C:$C)&amp;ROW($BW77))))</f>
        <v>0</v>
      </c>
      <c r="EN77" s="136">
        <f t="array" ref="EN77">IF(EN$3&gt;'GAAP Summary'!$B$2,0,SUM(INDIRECT(XLOOKUP(EN$3,'TTM Dates'!$B:$B,'TTM Dates'!$E:$E)&amp;ROW($BW77)&amp;":"&amp;XLOOKUP(EN$3,'TTM Dates'!$B:$B,'TTM Dates'!$C:$C)&amp;ROW($BW77))))</f>
        <v>0</v>
      </c>
      <c r="EO77" s="136">
        <f t="array" ref="EO77">IF(EO$3&gt;'GAAP Summary'!$B$2,0,SUM(INDIRECT(XLOOKUP(EO$3,'TTM Dates'!$B:$B,'TTM Dates'!$E:$E)&amp;ROW($BW77)&amp;":"&amp;XLOOKUP(EO$3,'TTM Dates'!$B:$B,'TTM Dates'!$C:$C)&amp;ROW($BW77))))</f>
        <v>0</v>
      </c>
      <c r="EP77" s="136">
        <f t="array" ref="EP77">IF(EP$3&gt;'GAAP Summary'!$B$2,0,SUM(INDIRECT(XLOOKUP(EP$3,'TTM Dates'!$B:$B,'TTM Dates'!$E:$E)&amp;ROW($BW77)&amp;":"&amp;XLOOKUP(EP$3,'TTM Dates'!$B:$B,'TTM Dates'!$C:$C)&amp;ROW($BW77))))</f>
        <v>0</v>
      </c>
      <c r="EQ77" s="136">
        <f t="array" ref="EQ77">IF(EQ$3&gt;'GAAP Summary'!$B$2,0,SUM(INDIRECT(XLOOKUP(EQ$3,'TTM Dates'!$B:$B,'TTM Dates'!$E:$E)&amp;ROW($BW77)&amp;":"&amp;XLOOKUP(EQ$3,'TTM Dates'!$B:$B,'TTM Dates'!$C:$C)&amp;ROW($BW77))))</f>
        <v>0</v>
      </c>
      <c r="ER77" s="136">
        <f t="array" ref="ER77">IF(ER$3&gt;'GAAP Summary'!$B$2,0,SUM(INDIRECT(XLOOKUP(ER$3,'TTM Dates'!$B:$B,'TTM Dates'!$E:$E)&amp;ROW($BW77)&amp;":"&amp;XLOOKUP(ER$3,'TTM Dates'!$B:$B,'TTM Dates'!$C:$C)&amp;ROW($BW77))))</f>
        <v>0</v>
      </c>
      <c r="ES77" s="136">
        <f t="array" ref="ES77">IF(ES$3&gt;'GAAP Summary'!$B$2,0,SUM(INDIRECT(XLOOKUP(ES$3,'TTM Dates'!$B:$B,'TTM Dates'!$E:$E)&amp;ROW($BW77)&amp;":"&amp;XLOOKUP(ES$3,'TTM Dates'!$B:$B,'TTM Dates'!$C:$C)&amp;ROW($BW77))))</f>
        <v>0</v>
      </c>
      <c r="ET77" s="136">
        <f t="array" ref="ET77">IF(ET$3&gt;'GAAP Summary'!$B$2,0,SUM(INDIRECT(XLOOKUP(ET$3,'TTM Dates'!$B:$B,'TTM Dates'!$E:$E)&amp;ROW($BW77)&amp;":"&amp;XLOOKUP(ET$3,'TTM Dates'!$B:$B,'TTM Dates'!$C:$C)&amp;ROW($BW77))))</f>
        <v>0</v>
      </c>
      <c r="EU77" s="136">
        <f t="array" ref="EU77">IF(EU$3&gt;'GAAP Summary'!$B$2,0,SUM(INDIRECT(XLOOKUP(EU$3,'TTM Dates'!$B:$B,'TTM Dates'!$E:$E)&amp;ROW($BW77)&amp;":"&amp;XLOOKUP(EU$3,'TTM Dates'!$B:$B,'TTM Dates'!$C:$C)&amp;ROW($BW77))))</f>
        <v>0</v>
      </c>
      <c r="EV77" s="136">
        <f t="array" ref="EV77">IF(EV$3&gt;'GAAP Summary'!$B$2,0,SUM(INDIRECT(XLOOKUP(EV$3,'TTM Dates'!$B:$B,'TTM Dates'!$E:$E)&amp;ROW($BW77)&amp;":"&amp;XLOOKUP(EV$3,'TTM Dates'!$B:$B,'TTM Dates'!$C:$C)&amp;ROW($BW77))))</f>
        <v>0</v>
      </c>
      <c r="EW77" s="136">
        <f t="array" ref="EW77">IF(EW$3&gt;'GAAP Summary'!$B$2,0,SUM(INDIRECT(XLOOKUP(EW$3,'TTM Dates'!$B:$B,'TTM Dates'!$E:$E)&amp;ROW($BW77)&amp;":"&amp;XLOOKUP(EW$3,'TTM Dates'!$B:$B,'TTM Dates'!$C:$C)&amp;ROW($BW77))))</f>
        <v>0</v>
      </c>
      <c r="EX77" s="136">
        <f t="array" ref="EX77">IF(EX$3&gt;'GAAP Summary'!$B$2,0,SUM(INDIRECT(XLOOKUP(EX$3,'TTM Dates'!$B:$B,'TTM Dates'!$E:$E)&amp;ROW($BW77)&amp;":"&amp;XLOOKUP(EX$3,'TTM Dates'!$B:$B,'TTM Dates'!$C:$C)&amp;ROW($BW77))))</f>
        <v>0</v>
      </c>
      <c r="EY77" s="136">
        <f t="array" ref="EY77">IF(EY$3&gt;'GAAP Summary'!$B$2,0,SUM(INDIRECT(XLOOKUP(EY$3,'TTM Dates'!$B:$B,'TTM Dates'!$E:$E)&amp;ROW($BW77)&amp;":"&amp;XLOOKUP(EY$3,'TTM Dates'!$B:$B,'TTM Dates'!$C:$C)&amp;ROW($BW77))))</f>
        <v>0</v>
      </c>
      <c r="EZ77" s="136">
        <f t="array" ref="EZ77">IF(EZ$3&gt;'GAAP Summary'!$B$2,0,SUM(INDIRECT(XLOOKUP(EZ$3,'TTM Dates'!$B:$B,'TTM Dates'!$E:$E)&amp;ROW($BW77)&amp;":"&amp;XLOOKUP(EZ$3,'TTM Dates'!$B:$B,'TTM Dates'!$C:$C)&amp;ROW($BW77))))</f>
        <v>0</v>
      </c>
      <c r="FA77" s="136">
        <f t="array" ref="FA77">IF(FA$3&gt;'GAAP Summary'!$B$2,0,SUM(INDIRECT(XLOOKUP(FA$3,'TTM Dates'!$B:$B,'TTM Dates'!$E:$E)&amp;ROW($BW77)&amp;":"&amp;XLOOKUP(FA$3,'TTM Dates'!$B:$B,'TTM Dates'!$C:$C)&amp;ROW($BW77))))</f>
        <v>0</v>
      </c>
      <c r="FB77" s="136">
        <f t="array" ref="FB77">IF(FB$3&gt;'GAAP Summary'!$B$2,0,SUM(INDIRECT(XLOOKUP(FB$3,'TTM Dates'!$B:$B,'TTM Dates'!$E:$E)&amp;ROW($BW77)&amp;":"&amp;XLOOKUP(FB$3,'TTM Dates'!$B:$B,'TTM Dates'!$C:$C)&amp;ROW($BW77))))</f>
        <v>0</v>
      </c>
      <c r="FC77" s="136">
        <f t="array" ref="FC77">IF(FC$3&gt;'GAAP Summary'!$B$2,0,SUM(INDIRECT(XLOOKUP(FC$3,'TTM Dates'!$B:$B,'TTM Dates'!$E:$E)&amp;ROW($BW77)&amp;":"&amp;XLOOKUP(FC$3,'TTM Dates'!$B:$B,'TTM Dates'!$C:$C)&amp;ROW($BW77))))</f>
        <v>0</v>
      </c>
      <c r="FD77" s="136">
        <f t="array" ref="FD77">IF(FD$3&gt;'GAAP Summary'!$B$2,0,SUM(INDIRECT(XLOOKUP(FD$3,'TTM Dates'!$B:$B,'TTM Dates'!$E:$E)&amp;ROW($BW77)&amp;":"&amp;XLOOKUP(FD$3,'TTM Dates'!$B:$B,'TTM Dates'!$C:$C)&amp;ROW($BW77))))</f>
        <v>0</v>
      </c>
      <c r="FE77" s="136">
        <f t="array" ref="FE77">IF(FE$3&gt;'GAAP Summary'!$B$2,0,SUM(INDIRECT(XLOOKUP(FE$3,'TTM Dates'!$B:$B,'TTM Dates'!$E:$E)&amp;ROW($BW77)&amp;":"&amp;XLOOKUP(FE$3,'TTM Dates'!$B:$B,'TTM Dates'!$C:$C)&amp;ROW($BW77))))</f>
        <v>0</v>
      </c>
      <c r="FF77" s="136">
        <f t="array" ref="FF77">IF(FF$3&gt;'GAAP Summary'!$B$2,0,SUM(INDIRECT(XLOOKUP(FF$3,'TTM Dates'!$B:$B,'TTM Dates'!$E:$E)&amp;ROW($BW77)&amp;":"&amp;XLOOKUP(FF$3,'TTM Dates'!$B:$B,'TTM Dates'!$C:$C)&amp;ROW($BW77))))</f>
        <v>0</v>
      </c>
      <c r="FG77" s="136">
        <f t="array" ref="FG77">IF(FG$3&gt;'GAAP Summary'!$B$2,0,SUM(INDIRECT(XLOOKUP(FG$3,'TTM Dates'!$B:$B,'TTM Dates'!$E:$E)&amp;ROW($BW77)&amp;":"&amp;XLOOKUP(FG$3,'TTM Dates'!$B:$B,'TTM Dates'!$C:$C)&amp;ROW($BW77))))</f>
        <v>0</v>
      </c>
      <c r="FH77" s="136"/>
    </row>
    <row r="78" outlineLevel="1">
      <c r="B78" s="135" t="s">
        <v>508</v>
      </c>
      <c r="C78" s="136"/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337"/>
      <c r="AY78" s="337"/>
      <c r="AZ78" s="337"/>
      <c r="BA78" s="337"/>
      <c r="BB78" s="337"/>
      <c r="BC78" s="337"/>
      <c r="BD78" s="337"/>
      <c r="BE78" s="337"/>
      <c r="BF78" s="337"/>
      <c r="BG78" s="337"/>
      <c r="BH78" s="337"/>
      <c r="BI78" s="337"/>
      <c r="BJ78" s="337"/>
      <c r="BK78" s="337"/>
      <c r="BL78" s="337"/>
      <c r="BM78" s="337"/>
      <c r="BN78" s="337"/>
      <c r="BO78" s="337"/>
      <c r="BP78" s="337"/>
      <c r="BQ78" s="337"/>
      <c r="BR78" s="337"/>
      <c r="BS78" s="337"/>
      <c r="BT78" s="337"/>
      <c r="BU78" s="337"/>
      <c r="BV78" s="337"/>
      <c r="BW78" s="33"/>
      <c r="BX78" s="288" t="str">
        <f t="array" ref="BX78">SUM(INDIRECT(XLOOKUP('GAAP Summary'!$B$2,'TTM Dates'!$B:$B,'TTM Dates'!$E:$E)&amp;ROW($BW78)&amp;":"&amp;XLOOKUP('GAAP Summary'!$B$2,'TTM Dates'!$B:$B,'TTM Dates'!$C:$C)&amp;ROW($BW78)))</f>
        <v>#REF!</v>
      </c>
      <c r="BY78" s="49"/>
      <c r="BZ78" s="136">
        <f t="shared" si="104"/>
        <v>0</v>
      </c>
      <c r="CA78" s="136">
        <f t="shared" si="105"/>
        <v>0</v>
      </c>
      <c r="CB78" s="136">
        <f t="shared" si="106"/>
        <v>0</v>
      </c>
      <c r="CC78" s="136">
        <f t="shared" si="107"/>
        <v>0</v>
      </c>
      <c r="CD78" s="292">
        <f t="shared" si="108"/>
        <v>0</v>
      </c>
      <c r="CE78" s="49"/>
      <c r="CF78" s="136">
        <f t="shared" si="109"/>
        <v>0</v>
      </c>
      <c r="CG78" s="136">
        <f t="shared" si="110"/>
        <v>0</v>
      </c>
      <c r="CH78" s="136">
        <f t="shared" si="111"/>
        <v>0</v>
      </c>
      <c r="CI78" s="136">
        <f t="shared" si="112"/>
        <v>0</v>
      </c>
      <c r="CJ78" s="292">
        <f t="shared" si="113"/>
        <v>0</v>
      </c>
      <c r="CK78" s="136"/>
      <c r="CL78" s="136">
        <f t="shared" si="114"/>
        <v>0</v>
      </c>
      <c r="CM78" s="136">
        <f t="shared" si="115"/>
        <v>0</v>
      </c>
      <c r="CN78" s="136">
        <f t="shared" si="116"/>
        <v>0</v>
      </c>
      <c r="CO78" s="136">
        <f t="shared" si="117"/>
        <v>0</v>
      </c>
      <c r="CP78" s="292">
        <f t="shared" si="118"/>
        <v>0</v>
      </c>
      <c r="CQ78" s="136"/>
      <c r="CR78" s="136"/>
      <c r="CS78" s="136"/>
      <c r="CT78" s="136"/>
      <c r="CU78" s="136"/>
      <c r="CV78" s="292"/>
      <c r="CW78" s="136"/>
      <c r="CX78" s="292"/>
      <c r="CY78" s="136"/>
      <c r="CZ78" s="136">
        <f t="array" ref="CZ78">IF(CZ$3&gt;'GAAP Summary'!$B$2,0,SUM(INDIRECT(XLOOKUP(CZ$3,'TTM Dates'!$B:$B,'TTM Dates'!$E:$E)&amp;ROW($BW78)&amp;":"&amp;XLOOKUP(CZ$3,'TTM Dates'!$B:$B,'TTM Dates'!$C:$C)&amp;ROW($BW78))))</f>
        <v>0</v>
      </c>
      <c r="DA78" s="136">
        <f t="array" ref="DA78">IF(DA$3&gt;'GAAP Summary'!$B$2,0,SUM(INDIRECT(XLOOKUP(DA$3,'TTM Dates'!$B:$B,'TTM Dates'!$E:$E)&amp;ROW($BW78)&amp;":"&amp;XLOOKUP(DA$3,'TTM Dates'!$B:$B,'TTM Dates'!$C:$C)&amp;ROW($BW78))))</f>
        <v>0</v>
      </c>
      <c r="DB78" s="136">
        <f t="array" ref="DB78">IF(DB$3&gt;'GAAP Summary'!$B$2,0,SUM(INDIRECT(XLOOKUP(DB$3,'TTM Dates'!$B:$B,'TTM Dates'!$E:$E)&amp;ROW($BW78)&amp;":"&amp;XLOOKUP(DB$3,'TTM Dates'!$B:$B,'TTM Dates'!$C:$C)&amp;ROW($BW78))))</f>
        <v>0</v>
      </c>
      <c r="DC78" s="136">
        <f t="array" ref="DC78">IF(DC$3&gt;'GAAP Summary'!$B$2,0,SUM(INDIRECT(XLOOKUP(DC$3,'TTM Dates'!$B:$B,'TTM Dates'!$E:$E)&amp;ROW($BW78)&amp;":"&amp;XLOOKUP(DC$3,'TTM Dates'!$B:$B,'TTM Dates'!$C:$C)&amp;ROW($BW78))))</f>
        <v>0</v>
      </c>
      <c r="DD78" s="136">
        <f t="array" ref="DD78">IF(DD$3&gt;'GAAP Summary'!$B$2,0,SUM(INDIRECT(XLOOKUP(DD$3,'TTM Dates'!$B:$B,'TTM Dates'!$E:$E)&amp;ROW($BW78)&amp;":"&amp;XLOOKUP(DD$3,'TTM Dates'!$B:$B,'TTM Dates'!$C:$C)&amp;ROW($BW78))))</f>
        <v>0</v>
      </c>
      <c r="DE78" s="136">
        <f t="array" ref="DE78">IF(DE$3&gt;'GAAP Summary'!$B$2,0,SUM(INDIRECT(XLOOKUP(DE$3,'TTM Dates'!$B:$B,'TTM Dates'!$E:$E)&amp;ROW($BW78)&amp;":"&amp;XLOOKUP(DE$3,'TTM Dates'!$B:$B,'TTM Dates'!$C:$C)&amp;ROW($BW78))))</f>
        <v>0</v>
      </c>
      <c r="DF78" s="136">
        <f t="array" ref="DF78">IF(DF$3&gt;'GAAP Summary'!$B$2,0,SUM(INDIRECT(XLOOKUP(DF$3,'TTM Dates'!$B:$B,'TTM Dates'!$E:$E)&amp;ROW($BW78)&amp;":"&amp;XLOOKUP(DF$3,'TTM Dates'!$B:$B,'TTM Dates'!$C:$C)&amp;ROW($BW78))))</f>
        <v>0</v>
      </c>
      <c r="DG78" s="136">
        <f t="array" ref="DG78">IF(DG$3&gt;'GAAP Summary'!$B$2,0,SUM(INDIRECT(XLOOKUP(DG$3,'TTM Dates'!$B:$B,'TTM Dates'!$E:$E)&amp;ROW($BW78)&amp;":"&amp;XLOOKUP(DG$3,'TTM Dates'!$B:$B,'TTM Dates'!$C:$C)&amp;ROW($BW78))))</f>
        <v>0</v>
      </c>
      <c r="DH78" s="136">
        <f t="array" ref="DH78">IF(DH$3&gt;'GAAP Summary'!$B$2,0,SUM(INDIRECT(XLOOKUP(DH$3,'TTM Dates'!$B:$B,'TTM Dates'!$E:$E)&amp;ROW($BW78)&amp;":"&amp;XLOOKUP(DH$3,'TTM Dates'!$B:$B,'TTM Dates'!$C:$C)&amp;ROW($BW78))))</f>
        <v>0</v>
      </c>
      <c r="DI78" s="136">
        <f t="array" ref="DI78">IF(DI$3&gt;'GAAP Summary'!$B$2,0,SUM(INDIRECT(XLOOKUP(DI$3,'TTM Dates'!$B:$B,'TTM Dates'!$E:$E)&amp;ROW($BW78)&amp;":"&amp;XLOOKUP(DI$3,'TTM Dates'!$B:$B,'TTM Dates'!$C:$C)&amp;ROW($BW78))))</f>
        <v>0</v>
      </c>
      <c r="DJ78" s="136">
        <f t="array" ref="DJ78">IF(DJ$3&gt;'GAAP Summary'!$B$2,0,SUM(INDIRECT(XLOOKUP(DJ$3,'TTM Dates'!$B:$B,'TTM Dates'!$E:$E)&amp;ROW($BW78)&amp;":"&amp;XLOOKUP(DJ$3,'TTM Dates'!$B:$B,'TTM Dates'!$C:$C)&amp;ROW($BW78))))</f>
        <v>0</v>
      </c>
      <c r="DK78" s="136">
        <f t="array" ref="DK78">IF(DK$3&gt;'GAAP Summary'!$B$2,0,SUM(INDIRECT(XLOOKUP(DK$3,'TTM Dates'!$B:$B,'TTM Dates'!$E:$E)&amp;ROW($BW78)&amp;":"&amp;XLOOKUP(DK$3,'TTM Dates'!$B:$B,'TTM Dates'!$C:$C)&amp;ROW($BW78))))</f>
        <v>0</v>
      </c>
      <c r="DL78" s="136">
        <f t="array" ref="DL78">IF(DL$3&gt;'GAAP Summary'!$B$2,0,SUM(INDIRECT(XLOOKUP(DL$3,'TTM Dates'!$B:$B,'TTM Dates'!$E:$E)&amp;ROW($BW78)&amp;":"&amp;XLOOKUP(DL$3,'TTM Dates'!$B:$B,'TTM Dates'!$C:$C)&amp;ROW($BW78))))</f>
        <v>0</v>
      </c>
      <c r="DM78" s="136">
        <f t="array" ref="DM78">IF(DM$3&gt;'GAAP Summary'!$B$2,0,SUM(INDIRECT(XLOOKUP(DM$3,'TTM Dates'!$B:$B,'TTM Dates'!$E:$E)&amp;ROW($BW78)&amp;":"&amp;XLOOKUP(DM$3,'TTM Dates'!$B:$B,'TTM Dates'!$C:$C)&amp;ROW($BW78))))</f>
        <v>0</v>
      </c>
      <c r="DN78" s="136">
        <f t="array" ref="DN78">IF(DN$3&gt;'GAAP Summary'!$B$2,0,SUM(INDIRECT(XLOOKUP(DN$3,'TTM Dates'!$B:$B,'TTM Dates'!$E:$E)&amp;ROW($BW78)&amp;":"&amp;XLOOKUP(DN$3,'TTM Dates'!$B:$B,'TTM Dates'!$C:$C)&amp;ROW($BW78))))</f>
        <v>0</v>
      </c>
      <c r="DO78" s="136">
        <f t="array" ref="DO78">IF(DO$3&gt;'GAAP Summary'!$B$2,0,SUM(INDIRECT(XLOOKUP(DO$3,'TTM Dates'!$B:$B,'TTM Dates'!$E:$E)&amp;ROW($BW78)&amp;":"&amp;XLOOKUP(DO$3,'TTM Dates'!$B:$B,'TTM Dates'!$C:$C)&amp;ROW($BW78))))</f>
        <v>0</v>
      </c>
      <c r="DP78" s="136">
        <f t="array" ref="DP78">IF(DP$3&gt;'GAAP Summary'!$B$2,0,SUM(INDIRECT(XLOOKUP(DP$3,'TTM Dates'!$B:$B,'TTM Dates'!$E:$E)&amp;ROW($BW78)&amp;":"&amp;XLOOKUP(DP$3,'TTM Dates'!$B:$B,'TTM Dates'!$C:$C)&amp;ROW($BW78))))</f>
        <v>0</v>
      </c>
      <c r="DQ78" s="136">
        <f t="array" ref="DQ78">IF(DQ$3&gt;'GAAP Summary'!$B$2,0,SUM(INDIRECT(XLOOKUP(DQ$3,'TTM Dates'!$B:$B,'TTM Dates'!$E:$E)&amp;ROW($BW78)&amp;":"&amp;XLOOKUP(DQ$3,'TTM Dates'!$B:$B,'TTM Dates'!$C:$C)&amp;ROW($BW78))))</f>
        <v>0</v>
      </c>
      <c r="DR78" s="136">
        <f t="array" ref="DR78">IF(DR$3&gt;'GAAP Summary'!$B$2,0,SUM(INDIRECT(XLOOKUP(DR$3,'TTM Dates'!$B:$B,'TTM Dates'!$E:$E)&amp;ROW($BW78)&amp;":"&amp;XLOOKUP(DR$3,'TTM Dates'!$B:$B,'TTM Dates'!$C:$C)&amp;ROW($BW78))))</f>
        <v>0</v>
      </c>
      <c r="DS78" s="136">
        <f t="array" ref="DS78">IF(DS$3&gt;'GAAP Summary'!$B$2,0,SUM(INDIRECT(XLOOKUP(DS$3,'TTM Dates'!$B:$B,'TTM Dates'!$E:$E)&amp;ROW($BW78)&amp;":"&amp;XLOOKUP(DS$3,'TTM Dates'!$B:$B,'TTM Dates'!$C:$C)&amp;ROW($BW78))))</f>
        <v>0</v>
      </c>
      <c r="DT78" s="136">
        <f t="array" ref="DT78">IF(DT$3&gt;'GAAP Summary'!$B$2,0,SUM(INDIRECT(XLOOKUP(DT$3,'TTM Dates'!$B:$B,'TTM Dates'!$E:$E)&amp;ROW($BW78)&amp;":"&amp;XLOOKUP(DT$3,'TTM Dates'!$B:$B,'TTM Dates'!$C:$C)&amp;ROW($BW78))))</f>
        <v>0</v>
      </c>
      <c r="DU78" s="136">
        <f t="array" ref="DU78">IF(DU$3&gt;'GAAP Summary'!$B$2,0,SUM(INDIRECT(XLOOKUP(DU$3,'TTM Dates'!$B:$B,'TTM Dates'!$E:$E)&amp;ROW($BW78)&amp;":"&amp;XLOOKUP(DU$3,'TTM Dates'!$B:$B,'TTM Dates'!$C:$C)&amp;ROW($BW78))))</f>
        <v>0</v>
      </c>
      <c r="DV78" s="136">
        <f t="array" ref="DV78">IF(DV$3&gt;'GAAP Summary'!$B$2,0,SUM(INDIRECT(XLOOKUP(DV$3,'TTM Dates'!$B:$B,'TTM Dates'!$E:$E)&amp;ROW($BW78)&amp;":"&amp;XLOOKUP(DV$3,'TTM Dates'!$B:$B,'TTM Dates'!$C:$C)&amp;ROW($BW78))))</f>
        <v>0</v>
      </c>
      <c r="DW78" s="136">
        <f t="array" ref="DW78">IF(DW$3&gt;'GAAP Summary'!$B$2,0,SUM(INDIRECT(XLOOKUP(DW$3,'TTM Dates'!$B:$B,'TTM Dates'!$E:$E)&amp;ROW($BW78)&amp;":"&amp;XLOOKUP(DW$3,'TTM Dates'!$B:$B,'TTM Dates'!$C:$C)&amp;ROW($BW78))))</f>
        <v>0</v>
      </c>
      <c r="DX78" s="136">
        <f t="array" ref="DX78">IF(DX$3&gt;'GAAP Summary'!$B$2,0,SUM(INDIRECT(XLOOKUP(DX$3,'TTM Dates'!$B:$B,'TTM Dates'!$E:$E)&amp;ROW($BW78)&amp;":"&amp;XLOOKUP(DX$3,'TTM Dates'!$B:$B,'TTM Dates'!$C:$C)&amp;ROW($BW78))))</f>
        <v>0</v>
      </c>
      <c r="DY78" s="136">
        <f t="array" ref="DY78">IF(DY$3&gt;'GAAP Summary'!$B$2,0,SUM(INDIRECT(XLOOKUP(DY$3,'TTM Dates'!$B:$B,'TTM Dates'!$E:$E)&amp;ROW($BW78)&amp;":"&amp;XLOOKUP(DY$3,'TTM Dates'!$B:$B,'TTM Dates'!$C:$C)&amp;ROW($BW78))))</f>
        <v>0</v>
      </c>
      <c r="DZ78" s="136">
        <f t="array" ref="DZ78">IF(DZ$3&gt;'GAAP Summary'!$B$2,0,SUM(INDIRECT(XLOOKUP(DZ$3,'TTM Dates'!$B:$B,'TTM Dates'!$E:$E)&amp;ROW($BW78)&amp;":"&amp;XLOOKUP(DZ$3,'TTM Dates'!$B:$B,'TTM Dates'!$C:$C)&amp;ROW($BW78))))</f>
        <v>0</v>
      </c>
      <c r="EA78" s="136">
        <f t="array" ref="EA78">IF(EA$3&gt;'GAAP Summary'!$B$2,0,SUM(INDIRECT(XLOOKUP(EA$3,'TTM Dates'!$B:$B,'TTM Dates'!$E:$E)&amp;ROW($BW78)&amp;":"&amp;XLOOKUP(EA$3,'TTM Dates'!$B:$B,'TTM Dates'!$C:$C)&amp;ROW($BW78))))</f>
        <v>0</v>
      </c>
      <c r="EB78" s="136">
        <f t="array" ref="EB78">IF(EB$3&gt;'GAAP Summary'!$B$2,0,SUM(INDIRECT(XLOOKUP(EB$3,'TTM Dates'!$B:$B,'TTM Dates'!$E:$E)&amp;ROW($BW78)&amp;":"&amp;XLOOKUP(EB$3,'TTM Dates'!$B:$B,'TTM Dates'!$C:$C)&amp;ROW($BW78))))</f>
        <v>0</v>
      </c>
      <c r="EC78" s="136">
        <f t="array" ref="EC78">IF(EC$3&gt;'GAAP Summary'!$B$2,0,SUM(INDIRECT(XLOOKUP(EC$3,'TTM Dates'!$B:$B,'TTM Dates'!$E:$E)&amp;ROW($BW78)&amp;":"&amp;XLOOKUP(EC$3,'TTM Dates'!$B:$B,'TTM Dates'!$C:$C)&amp;ROW($BW78))))</f>
        <v>0</v>
      </c>
      <c r="ED78" s="136">
        <f t="array" ref="ED78">IF(ED$3&gt;'GAAP Summary'!$B$2,0,SUM(INDIRECT(XLOOKUP(ED$3,'TTM Dates'!$B:$B,'TTM Dates'!$E:$E)&amp;ROW($BW78)&amp;":"&amp;XLOOKUP(ED$3,'TTM Dates'!$B:$B,'TTM Dates'!$C:$C)&amp;ROW($BW78))))</f>
        <v>0</v>
      </c>
      <c r="EE78" s="136">
        <f t="array" ref="EE78">IF(EE$3&gt;'GAAP Summary'!$B$2,0,SUM(INDIRECT(XLOOKUP(EE$3,'TTM Dates'!$B:$B,'TTM Dates'!$E:$E)&amp;ROW($BW78)&amp;":"&amp;XLOOKUP(EE$3,'TTM Dates'!$B:$B,'TTM Dates'!$C:$C)&amp;ROW($BW78))))</f>
        <v>0</v>
      </c>
      <c r="EF78" s="136">
        <f t="array" ref="EF78">IF(EF$3&gt;'GAAP Summary'!$B$2,0,SUM(INDIRECT(XLOOKUP(EF$3,'TTM Dates'!$B:$B,'TTM Dates'!$E:$E)&amp;ROW($BW78)&amp;":"&amp;XLOOKUP(EF$3,'TTM Dates'!$B:$B,'TTM Dates'!$C:$C)&amp;ROW($BW78))))</f>
        <v>0</v>
      </c>
      <c r="EG78" s="136">
        <f t="array" ref="EG78">IF(EG$3&gt;'GAAP Summary'!$B$2,0,SUM(INDIRECT(XLOOKUP(EG$3,'TTM Dates'!$B:$B,'TTM Dates'!$E:$E)&amp;ROW($BW78)&amp;":"&amp;XLOOKUP(EG$3,'TTM Dates'!$B:$B,'TTM Dates'!$C:$C)&amp;ROW($BW78))))</f>
        <v>0</v>
      </c>
      <c r="EH78" s="136">
        <f t="array" ref="EH78">IF(EH$3&gt;'GAAP Summary'!$B$2,0,SUM(INDIRECT(XLOOKUP(EH$3,'TTM Dates'!$B:$B,'TTM Dates'!$E:$E)&amp;ROW($BW78)&amp;":"&amp;XLOOKUP(EH$3,'TTM Dates'!$B:$B,'TTM Dates'!$C:$C)&amp;ROW($BW78))))</f>
        <v>0</v>
      </c>
      <c r="EI78" s="136">
        <f t="array" ref="EI78">IF(EI$3&gt;'GAAP Summary'!$B$2,0,SUM(INDIRECT(XLOOKUP(EI$3,'TTM Dates'!$B:$B,'TTM Dates'!$E:$E)&amp;ROW($BW78)&amp;":"&amp;XLOOKUP(EI$3,'TTM Dates'!$B:$B,'TTM Dates'!$C:$C)&amp;ROW($BW78))))</f>
        <v>0</v>
      </c>
      <c r="EJ78" s="136">
        <f t="array" ref="EJ78">IF(EJ$3&gt;'GAAP Summary'!$B$2,0,SUM(INDIRECT(XLOOKUP(EJ$3,'TTM Dates'!$B:$B,'TTM Dates'!$E:$E)&amp;ROW($BW78)&amp;":"&amp;XLOOKUP(EJ$3,'TTM Dates'!$B:$B,'TTM Dates'!$C:$C)&amp;ROW($BW78))))</f>
        <v>0</v>
      </c>
      <c r="EK78" s="136">
        <f t="array" ref="EK78">IF(EK$3&gt;'GAAP Summary'!$B$2,0,SUM(INDIRECT(XLOOKUP(EK$3,'TTM Dates'!$B:$B,'TTM Dates'!$E:$E)&amp;ROW($BW78)&amp;":"&amp;XLOOKUP(EK$3,'TTM Dates'!$B:$B,'TTM Dates'!$C:$C)&amp;ROW($BW78))))</f>
        <v>0</v>
      </c>
      <c r="EL78" s="136">
        <f t="array" ref="EL78">IF(EL$3&gt;'GAAP Summary'!$B$2,0,SUM(INDIRECT(XLOOKUP(EL$3,'TTM Dates'!$B:$B,'TTM Dates'!$E:$E)&amp;ROW($BW78)&amp;":"&amp;XLOOKUP(EL$3,'TTM Dates'!$B:$B,'TTM Dates'!$C:$C)&amp;ROW($BW78))))</f>
        <v>0</v>
      </c>
      <c r="EM78" s="136">
        <f t="array" ref="EM78">IF(EM$3&gt;'GAAP Summary'!$B$2,0,SUM(INDIRECT(XLOOKUP(EM$3,'TTM Dates'!$B:$B,'TTM Dates'!$E:$E)&amp;ROW($BW78)&amp;":"&amp;XLOOKUP(EM$3,'TTM Dates'!$B:$B,'TTM Dates'!$C:$C)&amp;ROW($BW78))))</f>
        <v>0</v>
      </c>
      <c r="EN78" s="136">
        <f t="array" ref="EN78">IF(EN$3&gt;'GAAP Summary'!$B$2,0,SUM(INDIRECT(XLOOKUP(EN$3,'TTM Dates'!$B:$B,'TTM Dates'!$E:$E)&amp;ROW($BW78)&amp;":"&amp;XLOOKUP(EN$3,'TTM Dates'!$B:$B,'TTM Dates'!$C:$C)&amp;ROW($BW78))))</f>
        <v>0</v>
      </c>
      <c r="EO78" s="136">
        <f t="array" ref="EO78">IF(EO$3&gt;'GAAP Summary'!$B$2,0,SUM(INDIRECT(XLOOKUP(EO$3,'TTM Dates'!$B:$B,'TTM Dates'!$E:$E)&amp;ROW($BW78)&amp;":"&amp;XLOOKUP(EO$3,'TTM Dates'!$B:$B,'TTM Dates'!$C:$C)&amp;ROW($BW78))))</f>
        <v>0</v>
      </c>
      <c r="EP78" s="136">
        <f t="array" ref="EP78">IF(EP$3&gt;'GAAP Summary'!$B$2,0,SUM(INDIRECT(XLOOKUP(EP$3,'TTM Dates'!$B:$B,'TTM Dates'!$E:$E)&amp;ROW($BW78)&amp;":"&amp;XLOOKUP(EP$3,'TTM Dates'!$B:$B,'TTM Dates'!$C:$C)&amp;ROW($BW78))))</f>
        <v>0</v>
      </c>
      <c r="EQ78" s="136">
        <f t="array" ref="EQ78">IF(EQ$3&gt;'GAAP Summary'!$B$2,0,SUM(INDIRECT(XLOOKUP(EQ$3,'TTM Dates'!$B:$B,'TTM Dates'!$E:$E)&amp;ROW($BW78)&amp;":"&amp;XLOOKUP(EQ$3,'TTM Dates'!$B:$B,'TTM Dates'!$C:$C)&amp;ROW($BW78))))</f>
        <v>0</v>
      </c>
      <c r="ER78" s="136">
        <f t="array" ref="ER78">IF(ER$3&gt;'GAAP Summary'!$B$2,0,SUM(INDIRECT(XLOOKUP(ER$3,'TTM Dates'!$B:$B,'TTM Dates'!$E:$E)&amp;ROW($BW78)&amp;":"&amp;XLOOKUP(ER$3,'TTM Dates'!$B:$B,'TTM Dates'!$C:$C)&amp;ROW($BW78))))</f>
        <v>0</v>
      </c>
      <c r="ES78" s="136">
        <f t="array" ref="ES78">IF(ES$3&gt;'GAAP Summary'!$B$2,0,SUM(INDIRECT(XLOOKUP(ES$3,'TTM Dates'!$B:$B,'TTM Dates'!$E:$E)&amp;ROW($BW78)&amp;":"&amp;XLOOKUP(ES$3,'TTM Dates'!$B:$B,'TTM Dates'!$C:$C)&amp;ROW($BW78))))</f>
        <v>0</v>
      </c>
      <c r="ET78" s="136">
        <f t="array" ref="ET78">IF(ET$3&gt;'GAAP Summary'!$B$2,0,SUM(INDIRECT(XLOOKUP(ET$3,'TTM Dates'!$B:$B,'TTM Dates'!$E:$E)&amp;ROW($BW78)&amp;":"&amp;XLOOKUP(ET$3,'TTM Dates'!$B:$B,'TTM Dates'!$C:$C)&amp;ROW($BW78))))</f>
        <v>0</v>
      </c>
      <c r="EU78" s="136">
        <f t="array" ref="EU78">IF(EU$3&gt;'GAAP Summary'!$B$2,0,SUM(INDIRECT(XLOOKUP(EU$3,'TTM Dates'!$B:$B,'TTM Dates'!$E:$E)&amp;ROW($BW78)&amp;":"&amp;XLOOKUP(EU$3,'TTM Dates'!$B:$B,'TTM Dates'!$C:$C)&amp;ROW($BW78))))</f>
        <v>0</v>
      </c>
      <c r="EV78" s="136">
        <f t="array" ref="EV78">IF(EV$3&gt;'GAAP Summary'!$B$2,0,SUM(INDIRECT(XLOOKUP(EV$3,'TTM Dates'!$B:$B,'TTM Dates'!$E:$E)&amp;ROW($BW78)&amp;":"&amp;XLOOKUP(EV$3,'TTM Dates'!$B:$B,'TTM Dates'!$C:$C)&amp;ROW($BW78))))</f>
        <v>0</v>
      </c>
      <c r="EW78" s="136">
        <f t="array" ref="EW78">IF(EW$3&gt;'GAAP Summary'!$B$2,0,SUM(INDIRECT(XLOOKUP(EW$3,'TTM Dates'!$B:$B,'TTM Dates'!$E:$E)&amp;ROW($BW78)&amp;":"&amp;XLOOKUP(EW$3,'TTM Dates'!$B:$B,'TTM Dates'!$C:$C)&amp;ROW($BW78))))</f>
        <v>0</v>
      </c>
      <c r="EX78" s="136">
        <f t="array" ref="EX78">IF(EX$3&gt;'GAAP Summary'!$B$2,0,SUM(INDIRECT(XLOOKUP(EX$3,'TTM Dates'!$B:$B,'TTM Dates'!$E:$E)&amp;ROW($BW78)&amp;":"&amp;XLOOKUP(EX$3,'TTM Dates'!$B:$B,'TTM Dates'!$C:$C)&amp;ROW($BW78))))</f>
        <v>0</v>
      </c>
      <c r="EY78" s="136">
        <f t="array" ref="EY78">IF(EY$3&gt;'GAAP Summary'!$B$2,0,SUM(INDIRECT(XLOOKUP(EY$3,'TTM Dates'!$B:$B,'TTM Dates'!$E:$E)&amp;ROW($BW78)&amp;":"&amp;XLOOKUP(EY$3,'TTM Dates'!$B:$B,'TTM Dates'!$C:$C)&amp;ROW($BW78))))</f>
        <v>0</v>
      </c>
      <c r="EZ78" s="136">
        <f t="array" ref="EZ78">IF(EZ$3&gt;'GAAP Summary'!$B$2,0,SUM(INDIRECT(XLOOKUP(EZ$3,'TTM Dates'!$B:$B,'TTM Dates'!$E:$E)&amp;ROW($BW78)&amp;":"&amp;XLOOKUP(EZ$3,'TTM Dates'!$B:$B,'TTM Dates'!$C:$C)&amp;ROW($BW78))))</f>
        <v>0</v>
      </c>
      <c r="FA78" s="136">
        <f t="array" ref="FA78">IF(FA$3&gt;'GAAP Summary'!$B$2,0,SUM(INDIRECT(XLOOKUP(FA$3,'TTM Dates'!$B:$B,'TTM Dates'!$E:$E)&amp;ROW($BW78)&amp;":"&amp;XLOOKUP(FA$3,'TTM Dates'!$B:$B,'TTM Dates'!$C:$C)&amp;ROW($BW78))))</f>
        <v>0</v>
      </c>
      <c r="FB78" s="136">
        <f t="array" ref="FB78">IF(FB$3&gt;'GAAP Summary'!$B$2,0,SUM(INDIRECT(XLOOKUP(FB$3,'TTM Dates'!$B:$B,'TTM Dates'!$E:$E)&amp;ROW($BW78)&amp;":"&amp;XLOOKUP(FB$3,'TTM Dates'!$B:$B,'TTM Dates'!$C:$C)&amp;ROW($BW78))))</f>
        <v>0</v>
      </c>
      <c r="FC78" s="136">
        <f t="array" ref="FC78">IF(FC$3&gt;'GAAP Summary'!$B$2,0,SUM(INDIRECT(XLOOKUP(FC$3,'TTM Dates'!$B:$B,'TTM Dates'!$E:$E)&amp;ROW($BW78)&amp;":"&amp;XLOOKUP(FC$3,'TTM Dates'!$B:$B,'TTM Dates'!$C:$C)&amp;ROW($BW78))))</f>
        <v>0</v>
      </c>
      <c r="FD78" s="136">
        <f t="array" ref="FD78">IF(FD$3&gt;'GAAP Summary'!$B$2,0,SUM(INDIRECT(XLOOKUP(FD$3,'TTM Dates'!$B:$B,'TTM Dates'!$E:$E)&amp;ROW($BW78)&amp;":"&amp;XLOOKUP(FD$3,'TTM Dates'!$B:$B,'TTM Dates'!$C:$C)&amp;ROW($BW78))))</f>
        <v>0</v>
      </c>
      <c r="FE78" s="136">
        <f t="array" ref="FE78">IF(FE$3&gt;'GAAP Summary'!$B$2,0,SUM(INDIRECT(XLOOKUP(FE$3,'TTM Dates'!$B:$B,'TTM Dates'!$E:$E)&amp;ROW($BW78)&amp;":"&amp;XLOOKUP(FE$3,'TTM Dates'!$B:$B,'TTM Dates'!$C:$C)&amp;ROW($BW78))))</f>
        <v>0</v>
      </c>
      <c r="FF78" s="136">
        <f t="array" ref="FF78">IF(FF$3&gt;'GAAP Summary'!$B$2,0,SUM(INDIRECT(XLOOKUP(FF$3,'TTM Dates'!$B:$B,'TTM Dates'!$E:$E)&amp;ROW($BW78)&amp;":"&amp;XLOOKUP(FF$3,'TTM Dates'!$B:$B,'TTM Dates'!$C:$C)&amp;ROW($BW78))))</f>
        <v>0</v>
      </c>
      <c r="FG78" s="136">
        <f t="array" ref="FG78">IF(FG$3&gt;'GAAP Summary'!$B$2,0,SUM(INDIRECT(XLOOKUP(FG$3,'TTM Dates'!$B:$B,'TTM Dates'!$E:$E)&amp;ROW($BW78)&amp;":"&amp;XLOOKUP(FG$3,'TTM Dates'!$B:$B,'TTM Dates'!$C:$C)&amp;ROW($BW78))))</f>
        <v>0</v>
      </c>
      <c r="FH78" s="136"/>
    </row>
    <row r="79" outlineLevel="1">
      <c r="B79" s="135" t="s">
        <v>510</v>
      </c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337"/>
      <c r="AY79" s="337"/>
      <c r="AZ79" s="337"/>
      <c r="BA79" s="337"/>
      <c r="BB79" s="337"/>
      <c r="BC79" s="337"/>
      <c r="BD79" s="337"/>
      <c r="BE79" s="337"/>
      <c r="BF79" s="337"/>
      <c r="BG79" s="337"/>
      <c r="BH79" s="337"/>
      <c r="BI79" s="337"/>
      <c r="BJ79" s="337"/>
      <c r="BK79" s="337"/>
      <c r="BL79" s="337"/>
      <c r="BM79" s="337"/>
      <c r="BN79" s="337"/>
      <c r="BO79" s="337"/>
      <c r="BP79" s="337"/>
      <c r="BQ79" s="337"/>
      <c r="BR79" s="337"/>
      <c r="BS79" s="337"/>
      <c r="BT79" s="337"/>
      <c r="BU79" s="337"/>
      <c r="BV79" s="337"/>
      <c r="BW79" s="33"/>
      <c r="BX79" s="288" t="str">
        <f t="array" ref="BX79">SUM(INDIRECT(XLOOKUP('GAAP Summary'!$B$2,'TTM Dates'!$B:$B,'TTM Dates'!$E:$E)&amp;ROW($BW79)&amp;":"&amp;XLOOKUP('GAAP Summary'!$B$2,'TTM Dates'!$B:$B,'TTM Dates'!$C:$C)&amp;ROW($BW79)))</f>
        <v>#REF!</v>
      </c>
      <c r="BY79" s="49"/>
      <c r="BZ79" s="136">
        <f t="shared" si="104"/>
        <v>0</v>
      </c>
      <c r="CA79" s="136">
        <f t="shared" si="105"/>
        <v>0</v>
      </c>
      <c r="CB79" s="136">
        <f t="shared" si="106"/>
        <v>0</v>
      </c>
      <c r="CC79" s="136">
        <f t="shared" si="107"/>
        <v>0</v>
      </c>
      <c r="CD79" s="292">
        <f t="shared" si="108"/>
        <v>0</v>
      </c>
      <c r="CE79" s="49"/>
      <c r="CF79" s="136">
        <f t="shared" si="109"/>
        <v>0</v>
      </c>
      <c r="CG79" s="136">
        <f t="shared" si="110"/>
        <v>0</v>
      </c>
      <c r="CH79" s="136">
        <f t="shared" si="111"/>
        <v>0</v>
      </c>
      <c r="CI79" s="136">
        <f t="shared" si="112"/>
        <v>0</v>
      </c>
      <c r="CJ79" s="292">
        <f t="shared" si="113"/>
        <v>0</v>
      </c>
      <c r="CK79" s="136"/>
      <c r="CL79" s="136">
        <f t="shared" si="114"/>
        <v>0</v>
      </c>
      <c r="CM79" s="136">
        <f t="shared" si="115"/>
        <v>0</v>
      </c>
      <c r="CN79" s="136">
        <f t="shared" si="116"/>
        <v>0</v>
      </c>
      <c r="CO79" s="136">
        <f t="shared" si="117"/>
        <v>0</v>
      </c>
      <c r="CP79" s="292">
        <f t="shared" si="118"/>
        <v>0</v>
      </c>
      <c r="CQ79" s="136"/>
      <c r="CR79" s="136"/>
      <c r="CS79" s="136"/>
      <c r="CT79" s="136"/>
      <c r="CU79" s="136"/>
      <c r="CV79" s="292"/>
      <c r="CW79" s="136"/>
      <c r="CX79" s="292"/>
      <c r="CY79" s="136"/>
      <c r="CZ79" s="136">
        <f t="array" ref="CZ79">IF(CZ$3&gt;'GAAP Summary'!$B$2,0,SUM(INDIRECT(XLOOKUP(CZ$3,'TTM Dates'!$B:$B,'TTM Dates'!$E:$E)&amp;ROW($BW79)&amp;":"&amp;XLOOKUP(CZ$3,'TTM Dates'!$B:$B,'TTM Dates'!$C:$C)&amp;ROW($BW79))))</f>
        <v>0</v>
      </c>
      <c r="DA79" s="136">
        <f t="array" ref="DA79">IF(DA$3&gt;'GAAP Summary'!$B$2,0,SUM(INDIRECT(XLOOKUP(DA$3,'TTM Dates'!$B:$B,'TTM Dates'!$E:$E)&amp;ROW($BW79)&amp;":"&amp;XLOOKUP(DA$3,'TTM Dates'!$B:$B,'TTM Dates'!$C:$C)&amp;ROW($BW79))))</f>
        <v>0</v>
      </c>
      <c r="DB79" s="136">
        <f t="array" ref="DB79">IF(DB$3&gt;'GAAP Summary'!$B$2,0,SUM(INDIRECT(XLOOKUP(DB$3,'TTM Dates'!$B:$B,'TTM Dates'!$E:$E)&amp;ROW($BW79)&amp;":"&amp;XLOOKUP(DB$3,'TTM Dates'!$B:$B,'TTM Dates'!$C:$C)&amp;ROW($BW79))))</f>
        <v>0</v>
      </c>
      <c r="DC79" s="136">
        <f t="array" ref="DC79">IF(DC$3&gt;'GAAP Summary'!$B$2,0,SUM(INDIRECT(XLOOKUP(DC$3,'TTM Dates'!$B:$B,'TTM Dates'!$E:$E)&amp;ROW($BW79)&amp;":"&amp;XLOOKUP(DC$3,'TTM Dates'!$B:$B,'TTM Dates'!$C:$C)&amp;ROW($BW79))))</f>
        <v>0</v>
      </c>
      <c r="DD79" s="136">
        <f t="array" ref="DD79">IF(DD$3&gt;'GAAP Summary'!$B$2,0,SUM(INDIRECT(XLOOKUP(DD$3,'TTM Dates'!$B:$B,'TTM Dates'!$E:$E)&amp;ROW($BW79)&amp;":"&amp;XLOOKUP(DD$3,'TTM Dates'!$B:$B,'TTM Dates'!$C:$C)&amp;ROW($BW79))))</f>
        <v>0</v>
      </c>
      <c r="DE79" s="136">
        <f t="array" ref="DE79">IF(DE$3&gt;'GAAP Summary'!$B$2,0,SUM(INDIRECT(XLOOKUP(DE$3,'TTM Dates'!$B:$B,'TTM Dates'!$E:$E)&amp;ROW($BW79)&amp;":"&amp;XLOOKUP(DE$3,'TTM Dates'!$B:$B,'TTM Dates'!$C:$C)&amp;ROW($BW79))))</f>
        <v>0</v>
      </c>
      <c r="DF79" s="136">
        <f t="array" ref="DF79">IF(DF$3&gt;'GAAP Summary'!$B$2,0,SUM(INDIRECT(XLOOKUP(DF$3,'TTM Dates'!$B:$B,'TTM Dates'!$E:$E)&amp;ROW($BW79)&amp;":"&amp;XLOOKUP(DF$3,'TTM Dates'!$B:$B,'TTM Dates'!$C:$C)&amp;ROW($BW79))))</f>
        <v>0</v>
      </c>
      <c r="DG79" s="136">
        <f t="array" ref="DG79">IF(DG$3&gt;'GAAP Summary'!$B$2,0,SUM(INDIRECT(XLOOKUP(DG$3,'TTM Dates'!$B:$B,'TTM Dates'!$E:$E)&amp;ROW($BW79)&amp;":"&amp;XLOOKUP(DG$3,'TTM Dates'!$B:$B,'TTM Dates'!$C:$C)&amp;ROW($BW79))))</f>
        <v>0</v>
      </c>
      <c r="DH79" s="136">
        <f t="array" ref="DH79">IF(DH$3&gt;'GAAP Summary'!$B$2,0,SUM(INDIRECT(XLOOKUP(DH$3,'TTM Dates'!$B:$B,'TTM Dates'!$E:$E)&amp;ROW($BW79)&amp;":"&amp;XLOOKUP(DH$3,'TTM Dates'!$B:$B,'TTM Dates'!$C:$C)&amp;ROW($BW79))))</f>
        <v>0</v>
      </c>
      <c r="DI79" s="136">
        <f t="array" ref="DI79">IF(DI$3&gt;'GAAP Summary'!$B$2,0,SUM(INDIRECT(XLOOKUP(DI$3,'TTM Dates'!$B:$B,'TTM Dates'!$E:$E)&amp;ROW($BW79)&amp;":"&amp;XLOOKUP(DI$3,'TTM Dates'!$B:$B,'TTM Dates'!$C:$C)&amp;ROW($BW79))))</f>
        <v>0</v>
      </c>
      <c r="DJ79" s="136">
        <f t="array" ref="DJ79">IF(DJ$3&gt;'GAAP Summary'!$B$2,0,SUM(INDIRECT(XLOOKUP(DJ$3,'TTM Dates'!$B:$B,'TTM Dates'!$E:$E)&amp;ROW($BW79)&amp;":"&amp;XLOOKUP(DJ$3,'TTM Dates'!$B:$B,'TTM Dates'!$C:$C)&amp;ROW($BW79))))</f>
        <v>0</v>
      </c>
      <c r="DK79" s="136">
        <f t="array" ref="DK79">IF(DK$3&gt;'GAAP Summary'!$B$2,0,SUM(INDIRECT(XLOOKUP(DK$3,'TTM Dates'!$B:$B,'TTM Dates'!$E:$E)&amp;ROW($BW79)&amp;":"&amp;XLOOKUP(DK$3,'TTM Dates'!$B:$B,'TTM Dates'!$C:$C)&amp;ROW($BW79))))</f>
        <v>0</v>
      </c>
      <c r="DL79" s="136">
        <f t="array" ref="DL79">IF(DL$3&gt;'GAAP Summary'!$B$2,0,SUM(INDIRECT(XLOOKUP(DL$3,'TTM Dates'!$B:$B,'TTM Dates'!$E:$E)&amp;ROW($BW79)&amp;":"&amp;XLOOKUP(DL$3,'TTM Dates'!$B:$B,'TTM Dates'!$C:$C)&amp;ROW($BW79))))</f>
        <v>0</v>
      </c>
      <c r="DM79" s="136">
        <f t="array" ref="DM79">IF(DM$3&gt;'GAAP Summary'!$B$2,0,SUM(INDIRECT(XLOOKUP(DM$3,'TTM Dates'!$B:$B,'TTM Dates'!$E:$E)&amp;ROW($BW79)&amp;":"&amp;XLOOKUP(DM$3,'TTM Dates'!$B:$B,'TTM Dates'!$C:$C)&amp;ROW($BW79))))</f>
        <v>0</v>
      </c>
      <c r="DN79" s="136">
        <f t="array" ref="DN79">IF(DN$3&gt;'GAAP Summary'!$B$2,0,SUM(INDIRECT(XLOOKUP(DN$3,'TTM Dates'!$B:$B,'TTM Dates'!$E:$E)&amp;ROW($BW79)&amp;":"&amp;XLOOKUP(DN$3,'TTM Dates'!$B:$B,'TTM Dates'!$C:$C)&amp;ROW($BW79))))</f>
        <v>0</v>
      </c>
      <c r="DO79" s="136">
        <f t="array" ref="DO79">IF(DO$3&gt;'GAAP Summary'!$B$2,0,SUM(INDIRECT(XLOOKUP(DO$3,'TTM Dates'!$B:$B,'TTM Dates'!$E:$E)&amp;ROW($BW79)&amp;":"&amp;XLOOKUP(DO$3,'TTM Dates'!$B:$B,'TTM Dates'!$C:$C)&amp;ROW($BW79))))</f>
        <v>0</v>
      </c>
      <c r="DP79" s="136">
        <f t="array" ref="DP79">IF(DP$3&gt;'GAAP Summary'!$B$2,0,SUM(INDIRECT(XLOOKUP(DP$3,'TTM Dates'!$B:$B,'TTM Dates'!$E:$E)&amp;ROW($BW79)&amp;":"&amp;XLOOKUP(DP$3,'TTM Dates'!$B:$B,'TTM Dates'!$C:$C)&amp;ROW($BW79))))</f>
        <v>0</v>
      </c>
      <c r="DQ79" s="136">
        <f t="array" ref="DQ79">IF(DQ$3&gt;'GAAP Summary'!$B$2,0,SUM(INDIRECT(XLOOKUP(DQ$3,'TTM Dates'!$B:$B,'TTM Dates'!$E:$E)&amp;ROW($BW79)&amp;":"&amp;XLOOKUP(DQ$3,'TTM Dates'!$B:$B,'TTM Dates'!$C:$C)&amp;ROW($BW79))))</f>
        <v>0</v>
      </c>
      <c r="DR79" s="136">
        <f t="array" ref="DR79">IF(DR$3&gt;'GAAP Summary'!$B$2,0,SUM(INDIRECT(XLOOKUP(DR$3,'TTM Dates'!$B:$B,'TTM Dates'!$E:$E)&amp;ROW($BW79)&amp;":"&amp;XLOOKUP(DR$3,'TTM Dates'!$B:$B,'TTM Dates'!$C:$C)&amp;ROW($BW79))))</f>
        <v>0</v>
      </c>
      <c r="DS79" s="136">
        <f t="array" ref="DS79">IF(DS$3&gt;'GAAP Summary'!$B$2,0,SUM(INDIRECT(XLOOKUP(DS$3,'TTM Dates'!$B:$B,'TTM Dates'!$E:$E)&amp;ROW($BW79)&amp;":"&amp;XLOOKUP(DS$3,'TTM Dates'!$B:$B,'TTM Dates'!$C:$C)&amp;ROW($BW79))))</f>
        <v>0</v>
      </c>
      <c r="DT79" s="136">
        <f t="array" ref="DT79">IF(DT$3&gt;'GAAP Summary'!$B$2,0,SUM(INDIRECT(XLOOKUP(DT$3,'TTM Dates'!$B:$B,'TTM Dates'!$E:$E)&amp;ROW($BW79)&amp;":"&amp;XLOOKUP(DT$3,'TTM Dates'!$B:$B,'TTM Dates'!$C:$C)&amp;ROW($BW79))))</f>
        <v>0</v>
      </c>
      <c r="DU79" s="136">
        <f t="array" ref="DU79">IF(DU$3&gt;'GAAP Summary'!$B$2,0,SUM(INDIRECT(XLOOKUP(DU$3,'TTM Dates'!$B:$B,'TTM Dates'!$E:$E)&amp;ROW($BW79)&amp;":"&amp;XLOOKUP(DU$3,'TTM Dates'!$B:$B,'TTM Dates'!$C:$C)&amp;ROW($BW79))))</f>
        <v>0</v>
      </c>
      <c r="DV79" s="136">
        <f t="array" ref="DV79">IF(DV$3&gt;'GAAP Summary'!$B$2,0,SUM(INDIRECT(XLOOKUP(DV$3,'TTM Dates'!$B:$B,'TTM Dates'!$E:$E)&amp;ROW($BW79)&amp;":"&amp;XLOOKUP(DV$3,'TTM Dates'!$B:$B,'TTM Dates'!$C:$C)&amp;ROW($BW79))))</f>
        <v>0</v>
      </c>
      <c r="DW79" s="136">
        <f t="array" ref="DW79">IF(DW$3&gt;'GAAP Summary'!$B$2,0,SUM(INDIRECT(XLOOKUP(DW$3,'TTM Dates'!$B:$B,'TTM Dates'!$E:$E)&amp;ROW($BW79)&amp;":"&amp;XLOOKUP(DW$3,'TTM Dates'!$B:$B,'TTM Dates'!$C:$C)&amp;ROW($BW79))))</f>
        <v>0</v>
      </c>
      <c r="DX79" s="136">
        <f t="array" ref="DX79">IF(DX$3&gt;'GAAP Summary'!$B$2,0,SUM(INDIRECT(XLOOKUP(DX$3,'TTM Dates'!$B:$B,'TTM Dates'!$E:$E)&amp;ROW($BW79)&amp;":"&amp;XLOOKUP(DX$3,'TTM Dates'!$B:$B,'TTM Dates'!$C:$C)&amp;ROW($BW79))))</f>
        <v>0</v>
      </c>
      <c r="DY79" s="136">
        <f t="array" ref="DY79">IF(DY$3&gt;'GAAP Summary'!$B$2,0,SUM(INDIRECT(XLOOKUP(DY$3,'TTM Dates'!$B:$B,'TTM Dates'!$E:$E)&amp;ROW($BW79)&amp;":"&amp;XLOOKUP(DY$3,'TTM Dates'!$B:$B,'TTM Dates'!$C:$C)&amp;ROW($BW79))))</f>
        <v>0</v>
      </c>
      <c r="DZ79" s="136">
        <f t="array" ref="DZ79">IF(DZ$3&gt;'GAAP Summary'!$B$2,0,SUM(INDIRECT(XLOOKUP(DZ$3,'TTM Dates'!$B:$B,'TTM Dates'!$E:$E)&amp;ROW($BW79)&amp;":"&amp;XLOOKUP(DZ$3,'TTM Dates'!$B:$B,'TTM Dates'!$C:$C)&amp;ROW($BW79))))</f>
        <v>0</v>
      </c>
      <c r="EA79" s="136">
        <f t="array" ref="EA79">IF(EA$3&gt;'GAAP Summary'!$B$2,0,SUM(INDIRECT(XLOOKUP(EA$3,'TTM Dates'!$B:$B,'TTM Dates'!$E:$E)&amp;ROW($BW79)&amp;":"&amp;XLOOKUP(EA$3,'TTM Dates'!$B:$B,'TTM Dates'!$C:$C)&amp;ROW($BW79))))</f>
        <v>0</v>
      </c>
      <c r="EB79" s="136">
        <f t="array" ref="EB79">IF(EB$3&gt;'GAAP Summary'!$B$2,0,SUM(INDIRECT(XLOOKUP(EB$3,'TTM Dates'!$B:$B,'TTM Dates'!$E:$E)&amp;ROW($BW79)&amp;":"&amp;XLOOKUP(EB$3,'TTM Dates'!$B:$B,'TTM Dates'!$C:$C)&amp;ROW($BW79))))</f>
        <v>0</v>
      </c>
      <c r="EC79" s="136">
        <f t="array" ref="EC79">IF(EC$3&gt;'GAAP Summary'!$B$2,0,SUM(INDIRECT(XLOOKUP(EC$3,'TTM Dates'!$B:$B,'TTM Dates'!$E:$E)&amp;ROW($BW79)&amp;":"&amp;XLOOKUP(EC$3,'TTM Dates'!$B:$B,'TTM Dates'!$C:$C)&amp;ROW($BW79))))</f>
        <v>0</v>
      </c>
      <c r="ED79" s="136">
        <f t="array" ref="ED79">IF(ED$3&gt;'GAAP Summary'!$B$2,0,SUM(INDIRECT(XLOOKUP(ED$3,'TTM Dates'!$B:$B,'TTM Dates'!$E:$E)&amp;ROW($BW79)&amp;":"&amp;XLOOKUP(ED$3,'TTM Dates'!$B:$B,'TTM Dates'!$C:$C)&amp;ROW($BW79))))</f>
        <v>0</v>
      </c>
      <c r="EE79" s="136">
        <f t="array" ref="EE79">IF(EE$3&gt;'GAAP Summary'!$B$2,0,SUM(INDIRECT(XLOOKUP(EE$3,'TTM Dates'!$B:$B,'TTM Dates'!$E:$E)&amp;ROW($BW79)&amp;":"&amp;XLOOKUP(EE$3,'TTM Dates'!$B:$B,'TTM Dates'!$C:$C)&amp;ROW($BW79))))</f>
        <v>0</v>
      </c>
      <c r="EF79" s="136">
        <f t="array" ref="EF79">IF(EF$3&gt;'GAAP Summary'!$B$2,0,SUM(INDIRECT(XLOOKUP(EF$3,'TTM Dates'!$B:$B,'TTM Dates'!$E:$E)&amp;ROW($BW79)&amp;":"&amp;XLOOKUP(EF$3,'TTM Dates'!$B:$B,'TTM Dates'!$C:$C)&amp;ROW($BW79))))</f>
        <v>0</v>
      </c>
      <c r="EG79" s="136">
        <f t="array" ref="EG79">IF(EG$3&gt;'GAAP Summary'!$B$2,0,SUM(INDIRECT(XLOOKUP(EG$3,'TTM Dates'!$B:$B,'TTM Dates'!$E:$E)&amp;ROW($BW79)&amp;":"&amp;XLOOKUP(EG$3,'TTM Dates'!$B:$B,'TTM Dates'!$C:$C)&amp;ROW($BW79))))</f>
        <v>0</v>
      </c>
      <c r="EH79" s="136">
        <f t="array" ref="EH79">IF(EH$3&gt;'GAAP Summary'!$B$2,0,SUM(INDIRECT(XLOOKUP(EH$3,'TTM Dates'!$B:$B,'TTM Dates'!$E:$E)&amp;ROW($BW79)&amp;":"&amp;XLOOKUP(EH$3,'TTM Dates'!$B:$B,'TTM Dates'!$C:$C)&amp;ROW($BW79))))</f>
        <v>0</v>
      </c>
      <c r="EI79" s="136">
        <f t="array" ref="EI79">IF(EI$3&gt;'GAAP Summary'!$B$2,0,SUM(INDIRECT(XLOOKUP(EI$3,'TTM Dates'!$B:$B,'TTM Dates'!$E:$E)&amp;ROW($BW79)&amp;":"&amp;XLOOKUP(EI$3,'TTM Dates'!$B:$B,'TTM Dates'!$C:$C)&amp;ROW($BW79))))</f>
        <v>0</v>
      </c>
      <c r="EJ79" s="136">
        <f t="array" ref="EJ79">IF(EJ$3&gt;'GAAP Summary'!$B$2,0,SUM(INDIRECT(XLOOKUP(EJ$3,'TTM Dates'!$B:$B,'TTM Dates'!$E:$E)&amp;ROW($BW79)&amp;":"&amp;XLOOKUP(EJ$3,'TTM Dates'!$B:$B,'TTM Dates'!$C:$C)&amp;ROW($BW79))))</f>
        <v>0</v>
      </c>
      <c r="EK79" s="136">
        <f t="array" ref="EK79">IF(EK$3&gt;'GAAP Summary'!$B$2,0,SUM(INDIRECT(XLOOKUP(EK$3,'TTM Dates'!$B:$B,'TTM Dates'!$E:$E)&amp;ROW($BW79)&amp;":"&amp;XLOOKUP(EK$3,'TTM Dates'!$B:$B,'TTM Dates'!$C:$C)&amp;ROW($BW79))))</f>
        <v>0</v>
      </c>
      <c r="EL79" s="136">
        <f t="array" ref="EL79">IF(EL$3&gt;'GAAP Summary'!$B$2,0,SUM(INDIRECT(XLOOKUP(EL$3,'TTM Dates'!$B:$B,'TTM Dates'!$E:$E)&amp;ROW($BW79)&amp;":"&amp;XLOOKUP(EL$3,'TTM Dates'!$B:$B,'TTM Dates'!$C:$C)&amp;ROW($BW79))))</f>
        <v>0</v>
      </c>
      <c r="EM79" s="136">
        <f t="array" ref="EM79">IF(EM$3&gt;'GAAP Summary'!$B$2,0,SUM(INDIRECT(XLOOKUP(EM$3,'TTM Dates'!$B:$B,'TTM Dates'!$E:$E)&amp;ROW($BW79)&amp;":"&amp;XLOOKUP(EM$3,'TTM Dates'!$B:$B,'TTM Dates'!$C:$C)&amp;ROW($BW79))))</f>
        <v>0</v>
      </c>
      <c r="EN79" s="136">
        <f t="array" ref="EN79">IF(EN$3&gt;'GAAP Summary'!$B$2,0,SUM(INDIRECT(XLOOKUP(EN$3,'TTM Dates'!$B:$B,'TTM Dates'!$E:$E)&amp;ROW($BW79)&amp;":"&amp;XLOOKUP(EN$3,'TTM Dates'!$B:$B,'TTM Dates'!$C:$C)&amp;ROW($BW79))))</f>
        <v>0</v>
      </c>
      <c r="EO79" s="136">
        <f t="array" ref="EO79">IF(EO$3&gt;'GAAP Summary'!$B$2,0,SUM(INDIRECT(XLOOKUP(EO$3,'TTM Dates'!$B:$B,'TTM Dates'!$E:$E)&amp;ROW($BW79)&amp;":"&amp;XLOOKUP(EO$3,'TTM Dates'!$B:$B,'TTM Dates'!$C:$C)&amp;ROW($BW79))))</f>
        <v>0</v>
      </c>
      <c r="EP79" s="136">
        <f t="array" ref="EP79">IF(EP$3&gt;'GAAP Summary'!$B$2,0,SUM(INDIRECT(XLOOKUP(EP$3,'TTM Dates'!$B:$B,'TTM Dates'!$E:$E)&amp;ROW($BW79)&amp;":"&amp;XLOOKUP(EP$3,'TTM Dates'!$B:$B,'TTM Dates'!$C:$C)&amp;ROW($BW79))))</f>
        <v>0</v>
      </c>
      <c r="EQ79" s="136">
        <f t="array" ref="EQ79">IF(EQ$3&gt;'GAAP Summary'!$B$2,0,SUM(INDIRECT(XLOOKUP(EQ$3,'TTM Dates'!$B:$B,'TTM Dates'!$E:$E)&amp;ROW($BW79)&amp;":"&amp;XLOOKUP(EQ$3,'TTM Dates'!$B:$B,'TTM Dates'!$C:$C)&amp;ROW($BW79))))</f>
        <v>0</v>
      </c>
      <c r="ER79" s="136">
        <f t="array" ref="ER79">IF(ER$3&gt;'GAAP Summary'!$B$2,0,SUM(INDIRECT(XLOOKUP(ER$3,'TTM Dates'!$B:$B,'TTM Dates'!$E:$E)&amp;ROW($BW79)&amp;":"&amp;XLOOKUP(ER$3,'TTM Dates'!$B:$B,'TTM Dates'!$C:$C)&amp;ROW($BW79))))</f>
        <v>0</v>
      </c>
      <c r="ES79" s="136">
        <f t="array" ref="ES79">IF(ES$3&gt;'GAAP Summary'!$B$2,0,SUM(INDIRECT(XLOOKUP(ES$3,'TTM Dates'!$B:$B,'TTM Dates'!$E:$E)&amp;ROW($BW79)&amp;":"&amp;XLOOKUP(ES$3,'TTM Dates'!$B:$B,'TTM Dates'!$C:$C)&amp;ROW($BW79))))</f>
        <v>0</v>
      </c>
      <c r="ET79" s="136">
        <f t="array" ref="ET79">IF(ET$3&gt;'GAAP Summary'!$B$2,0,SUM(INDIRECT(XLOOKUP(ET$3,'TTM Dates'!$B:$B,'TTM Dates'!$E:$E)&amp;ROW($BW79)&amp;":"&amp;XLOOKUP(ET$3,'TTM Dates'!$B:$B,'TTM Dates'!$C:$C)&amp;ROW($BW79))))</f>
        <v>0</v>
      </c>
      <c r="EU79" s="136">
        <f t="array" ref="EU79">IF(EU$3&gt;'GAAP Summary'!$B$2,0,SUM(INDIRECT(XLOOKUP(EU$3,'TTM Dates'!$B:$B,'TTM Dates'!$E:$E)&amp;ROW($BW79)&amp;":"&amp;XLOOKUP(EU$3,'TTM Dates'!$B:$B,'TTM Dates'!$C:$C)&amp;ROW($BW79))))</f>
        <v>0</v>
      </c>
      <c r="EV79" s="136">
        <f t="array" ref="EV79">IF(EV$3&gt;'GAAP Summary'!$B$2,0,SUM(INDIRECT(XLOOKUP(EV$3,'TTM Dates'!$B:$B,'TTM Dates'!$E:$E)&amp;ROW($BW79)&amp;":"&amp;XLOOKUP(EV$3,'TTM Dates'!$B:$B,'TTM Dates'!$C:$C)&amp;ROW($BW79))))</f>
        <v>0</v>
      </c>
      <c r="EW79" s="136">
        <f t="array" ref="EW79">IF(EW$3&gt;'GAAP Summary'!$B$2,0,SUM(INDIRECT(XLOOKUP(EW$3,'TTM Dates'!$B:$B,'TTM Dates'!$E:$E)&amp;ROW($BW79)&amp;":"&amp;XLOOKUP(EW$3,'TTM Dates'!$B:$B,'TTM Dates'!$C:$C)&amp;ROW($BW79))))</f>
        <v>0</v>
      </c>
      <c r="EX79" s="136">
        <f t="array" ref="EX79">IF(EX$3&gt;'GAAP Summary'!$B$2,0,SUM(INDIRECT(XLOOKUP(EX$3,'TTM Dates'!$B:$B,'TTM Dates'!$E:$E)&amp;ROW($BW79)&amp;":"&amp;XLOOKUP(EX$3,'TTM Dates'!$B:$B,'TTM Dates'!$C:$C)&amp;ROW($BW79))))</f>
        <v>0</v>
      </c>
      <c r="EY79" s="136">
        <f t="array" ref="EY79">IF(EY$3&gt;'GAAP Summary'!$B$2,0,SUM(INDIRECT(XLOOKUP(EY$3,'TTM Dates'!$B:$B,'TTM Dates'!$E:$E)&amp;ROW($BW79)&amp;":"&amp;XLOOKUP(EY$3,'TTM Dates'!$B:$B,'TTM Dates'!$C:$C)&amp;ROW($BW79))))</f>
        <v>0</v>
      </c>
      <c r="EZ79" s="136">
        <f t="array" ref="EZ79">IF(EZ$3&gt;'GAAP Summary'!$B$2,0,SUM(INDIRECT(XLOOKUP(EZ$3,'TTM Dates'!$B:$B,'TTM Dates'!$E:$E)&amp;ROW($BW79)&amp;":"&amp;XLOOKUP(EZ$3,'TTM Dates'!$B:$B,'TTM Dates'!$C:$C)&amp;ROW($BW79))))</f>
        <v>0</v>
      </c>
      <c r="FA79" s="136">
        <f t="array" ref="FA79">IF(FA$3&gt;'GAAP Summary'!$B$2,0,SUM(INDIRECT(XLOOKUP(FA$3,'TTM Dates'!$B:$B,'TTM Dates'!$E:$E)&amp;ROW($BW79)&amp;":"&amp;XLOOKUP(FA$3,'TTM Dates'!$B:$B,'TTM Dates'!$C:$C)&amp;ROW($BW79))))</f>
        <v>0</v>
      </c>
      <c r="FB79" s="136">
        <f t="array" ref="FB79">IF(FB$3&gt;'GAAP Summary'!$B$2,0,SUM(INDIRECT(XLOOKUP(FB$3,'TTM Dates'!$B:$B,'TTM Dates'!$E:$E)&amp;ROW($BW79)&amp;":"&amp;XLOOKUP(FB$3,'TTM Dates'!$B:$B,'TTM Dates'!$C:$C)&amp;ROW($BW79))))</f>
        <v>0</v>
      </c>
      <c r="FC79" s="136">
        <f t="array" ref="FC79">IF(FC$3&gt;'GAAP Summary'!$B$2,0,SUM(INDIRECT(XLOOKUP(FC$3,'TTM Dates'!$B:$B,'TTM Dates'!$E:$E)&amp;ROW($BW79)&amp;":"&amp;XLOOKUP(FC$3,'TTM Dates'!$B:$B,'TTM Dates'!$C:$C)&amp;ROW($BW79))))</f>
        <v>0</v>
      </c>
      <c r="FD79" s="136">
        <f t="array" ref="FD79">IF(FD$3&gt;'GAAP Summary'!$B$2,0,SUM(INDIRECT(XLOOKUP(FD$3,'TTM Dates'!$B:$B,'TTM Dates'!$E:$E)&amp;ROW($BW79)&amp;":"&amp;XLOOKUP(FD$3,'TTM Dates'!$B:$B,'TTM Dates'!$C:$C)&amp;ROW($BW79))))</f>
        <v>0</v>
      </c>
      <c r="FE79" s="136">
        <f t="array" ref="FE79">IF(FE$3&gt;'GAAP Summary'!$B$2,0,SUM(INDIRECT(XLOOKUP(FE$3,'TTM Dates'!$B:$B,'TTM Dates'!$E:$E)&amp;ROW($BW79)&amp;":"&amp;XLOOKUP(FE$3,'TTM Dates'!$B:$B,'TTM Dates'!$C:$C)&amp;ROW($BW79))))</f>
        <v>0</v>
      </c>
      <c r="FF79" s="136">
        <f t="array" ref="FF79">IF(FF$3&gt;'GAAP Summary'!$B$2,0,SUM(INDIRECT(XLOOKUP(FF$3,'TTM Dates'!$B:$B,'TTM Dates'!$E:$E)&amp;ROW($BW79)&amp;":"&amp;XLOOKUP(FF$3,'TTM Dates'!$B:$B,'TTM Dates'!$C:$C)&amp;ROW($BW79))))</f>
        <v>0</v>
      </c>
      <c r="FG79" s="136">
        <f t="array" ref="FG79">IF(FG$3&gt;'GAAP Summary'!$B$2,0,SUM(INDIRECT(XLOOKUP(FG$3,'TTM Dates'!$B:$B,'TTM Dates'!$E:$E)&amp;ROW($BW79)&amp;":"&amp;XLOOKUP(FG$3,'TTM Dates'!$B:$B,'TTM Dates'!$C:$C)&amp;ROW($BW79))))</f>
        <v>0</v>
      </c>
      <c r="FH79" s="136"/>
    </row>
    <row r="80">
      <c r="B80" s="280" t="s">
        <v>303</v>
      </c>
      <c r="C80" s="108">
        <f t="shared" ref="C80:Z80" si="124">SUM(C81:C83)</f>
        <v>0</v>
      </c>
      <c r="D80" s="108">
        <f t="shared" si="124"/>
        <v>0</v>
      </c>
      <c r="E80" s="108">
        <f t="shared" si="124"/>
        <v>0</v>
      </c>
      <c r="F80" s="108">
        <f t="shared" si="124"/>
        <v>0</v>
      </c>
      <c r="G80" s="108">
        <f t="shared" si="124"/>
        <v>0</v>
      </c>
      <c r="H80" s="108">
        <f t="shared" si="124"/>
        <v>0</v>
      </c>
      <c r="I80" s="108">
        <f t="shared" si="124"/>
        <v>0</v>
      </c>
      <c r="J80" s="108">
        <f t="shared" si="124"/>
        <v>0</v>
      </c>
      <c r="K80" s="108">
        <f t="shared" si="124"/>
        <v>0</v>
      </c>
      <c r="L80" s="108">
        <f t="shared" si="124"/>
        <v>0</v>
      </c>
      <c r="M80" s="108">
        <f t="shared" si="124"/>
        <v>0</v>
      </c>
      <c r="N80" s="108">
        <f t="shared" si="124"/>
        <v>0</v>
      </c>
      <c r="O80" s="108">
        <f t="shared" si="124"/>
        <v>0</v>
      </c>
      <c r="P80" s="108">
        <f t="shared" si="124"/>
        <v>0</v>
      </c>
      <c r="Q80" s="108">
        <f t="shared" si="124"/>
        <v>0</v>
      </c>
      <c r="R80" s="108">
        <f t="shared" si="124"/>
        <v>0</v>
      </c>
      <c r="S80" s="108">
        <f t="shared" si="124"/>
        <v>0</v>
      </c>
      <c r="T80" s="108">
        <f t="shared" si="124"/>
        <v>0</v>
      </c>
      <c r="U80" s="108">
        <f t="shared" si="124"/>
        <v>0</v>
      </c>
      <c r="V80" s="108">
        <f t="shared" si="124"/>
        <v>0</v>
      </c>
      <c r="W80" s="108">
        <f t="shared" si="124"/>
        <v>0</v>
      </c>
      <c r="X80" s="108">
        <f t="shared" si="124"/>
        <v>0</v>
      </c>
      <c r="Y80" s="108">
        <f t="shared" si="124"/>
        <v>0</v>
      </c>
      <c r="Z80" s="108">
        <f t="shared" si="124"/>
        <v>0</v>
      </c>
      <c r="AA80" s="352">
        <v>53025.0</v>
      </c>
      <c r="AB80" s="352">
        <v>80594.0</v>
      </c>
      <c r="AC80" s="352">
        <v>154234.0</v>
      </c>
      <c r="AD80" s="352">
        <v>124519.0</v>
      </c>
      <c r="AE80" s="352">
        <v>153292.0</v>
      </c>
      <c r="AF80" s="352">
        <v>144490.0</v>
      </c>
      <c r="AG80" s="352">
        <v>154575.0</v>
      </c>
      <c r="AH80" s="352">
        <v>130723.0</v>
      </c>
      <c r="AI80" s="352">
        <v>165991.0</v>
      </c>
      <c r="AJ80" s="352">
        <v>329009.0</v>
      </c>
      <c r="AK80" s="352">
        <v>143449.0</v>
      </c>
      <c r="AL80" s="352">
        <v>257673.0</v>
      </c>
      <c r="AM80" s="352">
        <v>100999.0</v>
      </c>
      <c r="AN80" s="352">
        <v>227173.0</v>
      </c>
      <c r="AO80" s="352">
        <v>171564.0</v>
      </c>
      <c r="AP80" s="352">
        <v>340024.0</v>
      </c>
      <c r="AQ80" s="352">
        <v>224794.0</v>
      </c>
      <c r="AR80" s="352">
        <v>183769.0</v>
      </c>
      <c r="AS80" s="352">
        <v>291754.0</v>
      </c>
      <c r="AT80" s="352">
        <v>197738.0</v>
      </c>
      <c r="AU80" s="352">
        <v>159572.0</v>
      </c>
      <c r="AV80" s="352">
        <v>146742.0</v>
      </c>
      <c r="AW80" s="352">
        <v>153401.0</v>
      </c>
      <c r="AX80" s="352">
        <v>174402.0</v>
      </c>
      <c r="AY80" s="352">
        <v>305854.0</v>
      </c>
      <c r="AZ80" s="352">
        <v>200756.0</v>
      </c>
      <c r="BA80" s="352">
        <v>242168.0</v>
      </c>
      <c r="BB80" s="352">
        <v>216435.0</v>
      </c>
      <c r="BC80" s="352">
        <v>395861.0</v>
      </c>
      <c r="BD80" s="352">
        <v>441992.0</v>
      </c>
      <c r="BE80" s="352">
        <v>137928.0</v>
      </c>
      <c r="BF80" s="352">
        <v>266030.0</v>
      </c>
      <c r="BG80" s="352">
        <v>145792.0</v>
      </c>
      <c r="BH80" s="352">
        <v>221157.0</v>
      </c>
      <c r="BI80" s="352">
        <v>223426.0</v>
      </c>
      <c r="BJ80" s="352">
        <v>172204.0</v>
      </c>
      <c r="BK80" s="352">
        <v>262855.0</v>
      </c>
      <c r="BL80" s="352">
        <v>220821.0</v>
      </c>
      <c r="BM80" s="352">
        <v>205587.0</v>
      </c>
      <c r="BN80" s="352">
        <v>190853.0</v>
      </c>
      <c r="BO80" s="352">
        <v>498299.0</v>
      </c>
      <c r="BP80" s="352">
        <v>430849.0</v>
      </c>
      <c r="BQ80" s="352">
        <v>270834.0</v>
      </c>
      <c r="BR80" s="352">
        <v>507684.0</v>
      </c>
      <c r="BS80" s="352"/>
      <c r="BT80" s="352"/>
      <c r="BU80" s="352"/>
      <c r="BV80" s="352"/>
      <c r="BW80" s="33"/>
      <c r="BX80" s="282" t="str">
        <f t="array" ref="BX80">SUM(INDIRECT(XLOOKUP('GAAP Summary'!$B$2,'TTM Dates'!$B:$B,'TTM Dates'!$E:$E)&amp;ROW($BW80)&amp;":"&amp;XLOOKUP('GAAP Summary'!$B$2,'TTM Dates'!$B:$B,'TTM Dates'!$C:$C)&amp;ROW($BW80)))</f>
        <v>#REF!</v>
      </c>
      <c r="BY80" s="351"/>
      <c r="BZ80" s="108">
        <f t="shared" si="104"/>
        <v>689263</v>
      </c>
      <c r="CA80" s="108">
        <f t="shared" si="105"/>
        <v>1120001</v>
      </c>
      <c r="CB80" s="108">
        <f t="shared" si="106"/>
        <v>778518</v>
      </c>
      <c r="CC80" s="108">
        <f t="shared" si="107"/>
        <v>0</v>
      </c>
      <c r="CD80" s="282">
        <f t="shared" si="108"/>
        <v>2587782</v>
      </c>
      <c r="CE80" s="351"/>
      <c r="CF80" s="108">
        <f t="shared" si="109"/>
        <v>748778</v>
      </c>
      <c r="CG80" s="108">
        <f t="shared" si="110"/>
        <v>1054288</v>
      </c>
      <c r="CH80" s="108">
        <f t="shared" si="111"/>
        <v>549750</v>
      </c>
      <c r="CI80" s="108">
        <f t="shared" si="112"/>
        <v>616787</v>
      </c>
      <c r="CJ80" s="282">
        <f t="shared" si="113"/>
        <v>2969603</v>
      </c>
      <c r="CK80" s="447"/>
      <c r="CL80" s="108">
        <f t="shared" si="114"/>
        <v>499736</v>
      </c>
      <c r="CM80" s="108">
        <f t="shared" si="115"/>
        <v>748587</v>
      </c>
      <c r="CN80" s="108">
        <f t="shared" si="116"/>
        <v>649064</v>
      </c>
      <c r="CO80" s="108">
        <f t="shared" si="117"/>
        <v>474545</v>
      </c>
      <c r="CP80" s="282">
        <f t="shared" si="118"/>
        <v>2371932</v>
      </c>
      <c r="CQ80" s="283"/>
      <c r="CR80" s="108">
        <f>sum(AA80:AC80)</f>
        <v>287853</v>
      </c>
      <c r="CS80" s="108">
        <f>sum(AD80:AF80)</f>
        <v>422301</v>
      </c>
      <c r="CT80" s="108">
        <f>sum(AG80:AI80)</f>
        <v>451289</v>
      </c>
      <c r="CU80" s="108">
        <f>sum(AJ80:AL80)</f>
        <v>730131</v>
      </c>
      <c r="CV80" s="282">
        <f>sum(AA80:AL80)</f>
        <v>1891574</v>
      </c>
      <c r="CW80" s="283"/>
      <c r="CX80" s="282">
        <f>SUM(O80:Z80)</f>
        <v>0</v>
      </c>
      <c r="CY80" s="136"/>
      <c r="CZ80" s="286">
        <f t="array" ref="CZ80">IF(CZ$3&gt;'GAAP Summary'!$B$2,0,SUM(INDIRECT(XLOOKUP(CZ$3,'TTM Dates'!$B:$B,'TTM Dates'!$E:$E)&amp;ROW($BW80)&amp;":"&amp;XLOOKUP(CZ$3,'TTM Dates'!$B:$B,'TTM Dates'!$C:$C)&amp;ROW($BW80))))</f>
        <v>0</v>
      </c>
      <c r="DA80" s="286">
        <f t="array" ref="DA80">IF(DA$3&gt;'GAAP Summary'!$B$2,0,SUM(INDIRECT(XLOOKUP(DA$3,'TTM Dates'!$B:$B,'TTM Dates'!$E:$E)&amp;ROW($BW80)&amp;":"&amp;XLOOKUP(DA$3,'TTM Dates'!$B:$B,'TTM Dates'!$C:$C)&amp;ROW($BW80))))</f>
        <v>0</v>
      </c>
      <c r="DB80" s="286">
        <f t="array" ref="DB80">IF(DB$3&gt;'GAAP Summary'!$B$2,0,SUM(INDIRECT(XLOOKUP(DB$3,'TTM Dates'!$B:$B,'TTM Dates'!$E:$E)&amp;ROW($BW80)&amp;":"&amp;XLOOKUP(DB$3,'TTM Dates'!$B:$B,'TTM Dates'!$C:$C)&amp;ROW($BW80))))</f>
        <v>0</v>
      </c>
      <c r="DC80" s="286">
        <f t="array" ref="DC80">IF(DC$3&gt;'GAAP Summary'!$B$2,0,SUM(INDIRECT(XLOOKUP(DC$3,'TTM Dates'!$B:$B,'TTM Dates'!$E:$E)&amp;ROW($BW80)&amp;":"&amp;XLOOKUP(DC$3,'TTM Dates'!$B:$B,'TTM Dates'!$C:$C)&amp;ROW($BW80))))</f>
        <v>0</v>
      </c>
      <c r="DD80" s="286">
        <f t="array" ref="DD80">IF(DD$3&gt;'GAAP Summary'!$B$2,0,SUM(INDIRECT(XLOOKUP(DD$3,'TTM Dates'!$B:$B,'TTM Dates'!$E:$E)&amp;ROW($BW80)&amp;":"&amp;XLOOKUP(DD$3,'TTM Dates'!$B:$B,'TTM Dates'!$C:$C)&amp;ROW($BW80))))</f>
        <v>0</v>
      </c>
      <c r="DE80" s="286">
        <f t="array" ref="DE80">IF(DE$3&gt;'GAAP Summary'!$B$2,0,SUM(INDIRECT(XLOOKUP(DE$3,'TTM Dates'!$B:$B,'TTM Dates'!$E:$E)&amp;ROW($BW80)&amp;":"&amp;XLOOKUP(DE$3,'TTM Dates'!$B:$B,'TTM Dates'!$C:$C)&amp;ROW($BW80))))</f>
        <v>0</v>
      </c>
      <c r="DF80" s="286">
        <f t="array" ref="DF80">IF(DF$3&gt;'GAAP Summary'!$B$2,0,SUM(INDIRECT(XLOOKUP(DF$3,'TTM Dates'!$B:$B,'TTM Dates'!$E:$E)&amp;ROW($BW80)&amp;":"&amp;XLOOKUP(DF$3,'TTM Dates'!$B:$B,'TTM Dates'!$C:$C)&amp;ROW($BW80))))</f>
        <v>0</v>
      </c>
      <c r="DG80" s="286">
        <f t="array" ref="DG80">IF(DG$3&gt;'GAAP Summary'!$B$2,0,SUM(INDIRECT(XLOOKUP(DG$3,'TTM Dates'!$B:$B,'TTM Dates'!$E:$E)&amp;ROW($BW80)&amp;":"&amp;XLOOKUP(DG$3,'TTM Dates'!$B:$B,'TTM Dates'!$C:$C)&amp;ROW($BW80))))</f>
        <v>0</v>
      </c>
      <c r="DH80" s="286">
        <f t="array" ref="DH80">IF(DH$3&gt;'GAAP Summary'!$B$2,0,SUM(INDIRECT(XLOOKUP(DH$3,'TTM Dates'!$B:$B,'TTM Dates'!$E:$E)&amp;ROW($BW80)&amp;":"&amp;XLOOKUP(DH$3,'TTM Dates'!$B:$B,'TTM Dates'!$C:$C)&amp;ROW($BW80))))</f>
        <v>0</v>
      </c>
      <c r="DI80" s="286">
        <f t="array" ref="DI80">IF(DI$3&gt;'GAAP Summary'!$B$2,0,SUM(INDIRECT(XLOOKUP(DI$3,'TTM Dates'!$B:$B,'TTM Dates'!$E:$E)&amp;ROW($BW80)&amp;":"&amp;XLOOKUP(DI$3,'TTM Dates'!$B:$B,'TTM Dates'!$C:$C)&amp;ROW($BW80))))</f>
        <v>0</v>
      </c>
      <c r="DJ80" s="286">
        <f t="array" ref="DJ80">IF(DJ$3&gt;'GAAP Summary'!$B$2,0,SUM(INDIRECT(XLOOKUP(DJ$3,'TTM Dates'!$B:$B,'TTM Dates'!$E:$E)&amp;ROW($BW80)&amp;":"&amp;XLOOKUP(DJ$3,'TTM Dates'!$B:$B,'TTM Dates'!$C:$C)&amp;ROW($BW80))))</f>
        <v>0</v>
      </c>
      <c r="DK80" s="286">
        <f t="array" ref="DK80">IF(DK$3&gt;'GAAP Summary'!$B$2,0,SUM(INDIRECT(XLOOKUP(DK$3,'TTM Dates'!$B:$B,'TTM Dates'!$E:$E)&amp;ROW($BW80)&amp;":"&amp;XLOOKUP(DK$3,'TTM Dates'!$B:$B,'TTM Dates'!$C:$C)&amp;ROW($BW80))))</f>
        <v>0</v>
      </c>
      <c r="DL80" s="286">
        <f t="array" ref="DL80">IF(DL$3&gt;'GAAP Summary'!$B$2,0,SUM(INDIRECT(XLOOKUP(DL$3,'TTM Dates'!$B:$B,'TTM Dates'!$E:$E)&amp;ROW($BW80)&amp;":"&amp;XLOOKUP(DL$3,'TTM Dates'!$B:$B,'TTM Dates'!$C:$C)&amp;ROW($BW80))))</f>
        <v>53025</v>
      </c>
      <c r="DM80" s="286">
        <f t="array" ref="DM80">IF(DM$3&gt;'GAAP Summary'!$B$2,0,SUM(INDIRECT(XLOOKUP(DM$3,'TTM Dates'!$B:$B,'TTM Dates'!$E:$E)&amp;ROW($BW80)&amp;":"&amp;XLOOKUP(DM$3,'TTM Dates'!$B:$B,'TTM Dates'!$C:$C)&amp;ROW($BW80))))</f>
        <v>133619</v>
      </c>
      <c r="DN80" s="286">
        <f t="array" ref="DN80">IF(DN$3&gt;'GAAP Summary'!$B$2,0,SUM(INDIRECT(XLOOKUP(DN$3,'TTM Dates'!$B:$B,'TTM Dates'!$E:$E)&amp;ROW($BW80)&amp;":"&amp;XLOOKUP(DN$3,'TTM Dates'!$B:$B,'TTM Dates'!$C:$C)&amp;ROW($BW80))))</f>
        <v>287853</v>
      </c>
      <c r="DO80" s="286">
        <f t="array" ref="DO80">IF(DO$3&gt;'GAAP Summary'!$B$2,0,SUM(INDIRECT(XLOOKUP(DO$3,'TTM Dates'!$B:$B,'TTM Dates'!$E:$E)&amp;ROW($BW80)&amp;":"&amp;XLOOKUP(DO$3,'TTM Dates'!$B:$B,'TTM Dates'!$C:$C)&amp;ROW($BW80))))</f>
        <v>412372</v>
      </c>
      <c r="DP80" s="286">
        <f t="array" ref="DP80">IF(DP$3&gt;'GAAP Summary'!$B$2,0,SUM(INDIRECT(XLOOKUP(DP$3,'TTM Dates'!$B:$B,'TTM Dates'!$E:$E)&amp;ROW($BW80)&amp;":"&amp;XLOOKUP(DP$3,'TTM Dates'!$B:$B,'TTM Dates'!$C:$C)&amp;ROW($BW80))))</f>
        <v>565664</v>
      </c>
      <c r="DQ80" s="286">
        <f t="array" ref="DQ80">IF(DQ$3&gt;'GAAP Summary'!$B$2,0,SUM(INDIRECT(XLOOKUP(DQ$3,'TTM Dates'!$B:$B,'TTM Dates'!$E:$E)&amp;ROW($BW80)&amp;":"&amp;XLOOKUP(DQ$3,'TTM Dates'!$B:$B,'TTM Dates'!$C:$C)&amp;ROW($BW80))))</f>
        <v>710154</v>
      </c>
      <c r="DR80" s="286">
        <f t="array" ref="DR80">IF(DR$3&gt;'GAAP Summary'!$B$2,0,SUM(INDIRECT(XLOOKUP(DR$3,'TTM Dates'!$B:$B,'TTM Dates'!$E:$E)&amp;ROW($BW80)&amp;":"&amp;XLOOKUP(DR$3,'TTM Dates'!$B:$B,'TTM Dates'!$C:$C)&amp;ROW($BW80))))</f>
        <v>864729</v>
      </c>
      <c r="DS80" s="286">
        <f t="array" ref="DS80">IF(DS$3&gt;'GAAP Summary'!$B$2,0,SUM(INDIRECT(XLOOKUP(DS$3,'TTM Dates'!$B:$B,'TTM Dates'!$E:$E)&amp;ROW($BW80)&amp;":"&amp;XLOOKUP(DS$3,'TTM Dates'!$B:$B,'TTM Dates'!$C:$C)&amp;ROW($BW80))))</f>
        <v>995452</v>
      </c>
      <c r="DT80" s="286">
        <f t="array" ref="DT80">IF(DT$3&gt;'GAAP Summary'!$B$2,0,SUM(INDIRECT(XLOOKUP(DT$3,'TTM Dates'!$B:$B,'TTM Dates'!$E:$E)&amp;ROW($BW80)&amp;":"&amp;XLOOKUP(DT$3,'TTM Dates'!$B:$B,'TTM Dates'!$C:$C)&amp;ROW($BW80))))</f>
        <v>1161443</v>
      </c>
      <c r="DU80" s="286">
        <f t="array" ref="DU80">IF(DU$3&gt;'GAAP Summary'!$B$2,0,SUM(INDIRECT(XLOOKUP(DU$3,'TTM Dates'!$B:$B,'TTM Dates'!$E:$E)&amp;ROW($BW80)&amp;":"&amp;XLOOKUP(DU$3,'TTM Dates'!$B:$B,'TTM Dates'!$C:$C)&amp;ROW($BW80))))</f>
        <v>1490452</v>
      </c>
      <c r="DV80" s="286">
        <f t="array" ref="DV80">IF(DV$3&gt;'GAAP Summary'!$B$2,0,SUM(INDIRECT(XLOOKUP(DV$3,'TTM Dates'!$B:$B,'TTM Dates'!$E:$E)&amp;ROW($BW80)&amp;":"&amp;XLOOKUP(DV$3,'TTM Dates'!$B:$B,'TTM Dates'!$C:$C)&amp;ROW($BW80))))</f>
        <v>1633901</v>
      </c>
      <c r="DW80" s="286">
        <f t="array" ref="DW80">IF(DW$3&gt;'GAAP Summary'!$B$2,0,SUM(INDIRECT(XLOOKUP(DW$3,'TTM Dates'!$B:$B,'TTM Dates'!$E:$E)&amp;ROW($BW80)&amp;":"&amp;XLOOKUP(DW$3,'TTM Dates'!$B:$B,'TTM Dates'!$C:$C)&amp;ROW($BW80))))</f>
        <v>1891574</v>
      </c>
      <c r="DX80" s="286">
        <f t="array" ref="DX80">IF(DX$3&gt;'GAAP Summary'!$B$2,0,SUM(INDIRECT(XLOOKUP(DX$3,'TTM Dates'!$B:$B,'TTM Dates'!$E:$E)&amp;ROW($BW80)&amp;":"&amp;XLOOKUP(DX$3,'TTM Dates'!$B:$B,'TTM Dates'!$C:$C)&amp;ROW($BW80))))</f>
        <v>1939548</v>
      </c>
      <c r="DY80" s="286">
        <f t="array" ref="DY80">IF(DY$3&gt;'GAAP Summary'!$B$2,0,SUM(INDIRECT(XLOOKUP(DY$3,'TTM Dates'!$B:$B,'TTM Dates'!$E:$E)&amp;ROW($BW80)&amp;":"&amp;XLOOKUP(DY$3,'TTM Dates'!$B:$B,'TTM Dates'!$C:$C)&amp;ROW($BW80))))</f>
        <v>2086127</v>
      </c>
      <c r="DZ80" s="286">
        <f t="array" ref="DZ80">IF(DZ$3&gt;'GAAP Summary'!$B$2,0,SUM(INDIRECT(XLOOKUP(DZ$3,'TTM Dates'!$B:$B,'TTM Dates'!$E:$E)&amp;ROW($BW80)&amp;":"&amp;XLOOKUP(DZ$3,'TTM Dates'!$B:$B,'TTM Dates'!$C:$C)&amp;ROW($BW80))))</f>
        <v>2103457</v>
      </c>
      <c r="EA80" s="286">
        <f t="array" ref="EA80">IF(EA$3&gt;'GAAP Summary'!$B$2,0,SUM(INDIRECT(XLOOKUP(EA$3,'TTM Dates'!$B:$B,'TTM Dates'!$E:$E)&amp;ROW($BW80)&amp;":"&amp;XLOOKUP(EA$3,'TTM Dates'!$B:$B,'TTM Dates'!$C:$C)&amp;ROW($BW80))))</f>
        <v>2318962</v>
      </c>
      <c r="EB80" s="286">
        <f t="array" ref="EB80">IF(EB$3&gt;'GAAP Summary'!$B$2,0,SUM(INDIRECT(XLOOKUP(EB$3,'TTM Dates'!$B:$B,'TTM Dates'!$E:$E)&amp;ROW($BW80)&amp;":"&amp;XLOOKUP(EB$3,'TTM Dates'!$B:$B,'TTM Dates'!$C:$C)&amp;ROW($BW80))))</f>
        <v>2390464</v>
      </c>
      <c r="EC80" s="286">
        <f t="array" ref="EC80">IF(EC$3&gt;'GAAP Summary'!$B$2,0,SUM(INDIRECT(XLOOKUP(EC$3,'TTM Dates'!$B:$B,'TTM Dates'!$E:$E)&amp;ROW($BW80)&amp;":"&amp;XLOOKUP(EC$3,'TTM Dates'!$B:$B,'TTM Dates'!$C:$C)&amp;ROW($BW80))))</f>
        <v>2429743</v>
      </c>
      <c r="ED80" s="286">
        <f t="array" ref="ED80">IF(ED$3&gt;'GAAP Summary'!$B$2,0,SUM(INDIRECT(XLOOKUP(ED$3,'TTM Dates'!$B:$B,'TTM Dates'!$E:$E)&amp;ROW($BW80)&amp;":"&amp;XLOOKUP(ED$3,'TTM Dates'!$B:$B,'TTM Dates'!$C:$C)&amp;ROW($BW80))))</f>
        <v>2566922</v>
      </c>
      <c r="EE80" s="286">
        <f t="array" ref="EE80">IF(EE$3&gt;'GAAP Summary'!$B$2,0,SUM(INDIRECT(XLOOKUP(EE$3,'TTM Dates'!$B:$B,'TTM Dates'!$E:$E)&amp;ROW($BW80)&amp;":"&amp;XLOOKUP(EE$3,'TTM Dates'!$B:$B,'TTM Dates'!$C:$C)&amp;ROW($BW80))))</f>
        <v>2633937</v>
      </c>
      <c r="EF80" s="286">
        <f t="array" ref="EF80">IF(EF$3&gt;'GAAP Summary'!$B$2,0,SUM(INDIRECT(XLOOKUP(EF$3,'TTM Dates'!$B:$B,'TTM Dates'!$E:$E)&amp;ROW($BW80)&amp;":"&amp;XLOOKUP(EF$3,'TTM Dates'!$B:$B,'TTM Dates'!$C:$C)&amp;ROW($BW80))))</f>
        <v>2627518</v>
      </c>
      <c r="EG80" s="286">
        <f t="array" ref="EG80">IF(EG$3&gt;'GAAP Summary'!$B$2,0,SUM(INDIRECT(XLOOKUP(EG$3,'TTM Dates'!$B:$B,'TTM Dates'!$E:$E)&amp;ROW($BW80)&amp;":"&amp;XLOOKUP(EG$3,'TTM Dates'!$B:$B,'TTM Dates'!$C:$C)&amp;ROW($BW80))))</f>
        <v>2445251</v>
      </c>
      <c r="EH80" s="286">
        <f t="array" ref="EH80">IF(EH$3&gt;'GAAP Summary'!$B$2,0,SUM(INDIRECT(XLOOKUP(EH$3,'TTM Dates'!$B:$B,'TTM Dates'!$E:$E)&amp;ROW($BW80)&amp;":"&amp;XLOOKUP(EH$3,'TTM Dates'!$B:$B,'TTM Dates'!$C:$C)&amp;ROW($BW80))))</f>
        <v>2455203</v>
      </c>
      <c r="EI80" s="286">
        <f t="array" ref="EI80">IF(EI$3&gt;'GAAP Summary'!$B$2,0,SUM(INDIRECT(XLOOKUP(EI$3,'TTM Dates'!$B:$B,'TTM Dates'!$E:$E)&amp;ROW($BW80)&amp;":"&amp;XLOOKUP(EI$3,'TTM Dates'!$B:$B,'TTM Dates'!$C:$C)&amp;ROW($BW80))))</f>
        <v>2371932</v>
      </c>
      <c r="EJ80" s="286">
        <f t="array" ref="EJ80">IF(EJ$3&gt;'GAAP Summary'!$B$2,0,SUM(INDIRECT(XLOOKUP(EJ$3,'TTM Dates'!$B:$B,'TTM Dates'!$E:$E)&amp;ROW($BW80)&amp;":"&amp;XLOOKUP(EJ$3,'TTM Dates'!$B:$B,'TTM Dates'!$C:$C)&amp;ROW($BW80))))</f>
        <v>2576787</v>
      </c>
      <c r="EK80" s="286">
        <f t="array" ref="EK80">IF(EK$3&gt;'GAAP Summary'!$B$2,0,SUM(INDIRECT(XLOOKUP(EK$3,'TTM Dates'!$B:$B,'TTM Dates'!$E:$E)&amp;ROW($BW80)&amp;":"&amp;XLOOKUP(EK$3,'TTM Dates'!$B:$B,'TTM Dates'!$C:$C)&amp;ROW($BW80))))</f>
        <v>2550370</v>
      </c>
      <c r="EL80" s="286">
        <f t="array" ref="EL80">IF(EL$3&gt;'GAAP Summary'!$B$2,0,SUM(INDIRECT(XLOOKUP(EL$3,'TTM Dates'!$B:$B,'TTM Dates'!$E:$E)&amp;ROW($BW80)&amp;":"&amp;XLOOKUP(EL$3,'TTM Dates'!$B:$B,'TTM Dates'!$C:$C)&amp;ROW($BW80))))</f>
        <v>2620974</v>
      </c>
      <c r="EM80" s="286">
        <f t="array" ref="EM80">IF(EM$3&gt;'GAAP Summary'!$B$2,0,SUM(INDIRECT(XLOOKUP(EM$3,'TTM Dates'!$B:$B,'TTM Dates'!$E:$E)&amp;ROW($BW80)&amp;":"&amp;XLOOKUP(EM$3,'TTM Dates'!$B:$B,'TTM Dates'!$C:$C)&amp;ROW($BW80))))</f>
        <v>2497385</v>
      </c>
      <c r="EN80" s="286">
        <f t="array" ref="EN80">IF(EN$3&gt;'GAAP Summary'!$B$2,0,SUM(INDIRECT(XLOOKUP(EN$3,'TTM Dates'!$B:$B,'TTM Dates'!$E:$E)&amp;ROW($BW80)&amp;":"&amp;XLOOKUP(EN$3,'TTM Dates'!$B:$B,'TTM Dates'!$C:$C)&amp;ROW($BW80))))</f>
        <v>2668452</v>
      </c>
      <c r="EO80" s="286">
        <f t="array" ref="EO80">IF(EO$3&gt;'GAAP Summary'!$B$2,0,SUM(INDIRECT(XLOOKUP(EO$3,'TTM Dates'!$B:$B,'TTM Dates'!$E:$E)&amp;ROW($BW80)&amp;":"&amp;XLOOKUP(EO$3,'TTM Dates'!$B:$B,'TTM Dates'!$C:$C)&amp;ROW($BW80))))</f>
        <v>2926675</v>
      </c>
      <c r="EP80" s="286">
        <f t="array" ref="EP80">IF(EP$3&gt;'GAAP Summary'!$B$2,0,SUM(INDIRECT(XLOOKUP(EP$3,'TTM Dates'!$B:$B,'TTM Dates'!$E:$E)&amp;ROW($BW80)&amp;":"&amp;XLOOKUP(EP$3,'TTM Dates'!$B:$B,'TTM Dates'!$C:$C)&amp;ROW($BW80))))</f>
        <v>2772849</v>
      </c>
      <c r="EQ80" s="286">
        <f t="array" ref="EQ80">IF(EQ$3&gt;'GAAP Summary'!$B$2,0,SUM(INDIRECT(XLOOKUP(EQ$3,'TTM Dates'!$B:$B,'TTM Dates'!$E:$E)&amp;ROW($BW80)&amp;":"&amp;XLOOKUP(EQ$3,'TTM Dates'!$B:$B,'TTM Dates'!$C:$C)&amp;ROW($BW80))))</f>
        <v>2841141</v>
      </c>
      <c r="ER80" s="286">
        <f t="array" ref="ER80">IF(ER$3&gt;'GAAP Summary'!$B$2,0,SUM(INDIRECT(XLOOKUP(ER$3,'TTM Dates'!$B:$B,'TTM Dates'!$E:$E)&amp;ROW($BW80)&amp;":"&amp;XLOOKUP(ER$3,'TTM Dates'!$B:$B,'TTM Dates'!$C:$C)&amp;ROW($BW80))))</f>
        <v>2827361</v>
      </c>
      <c r="ES80" s="286">
        <f t="array" ref="ES80">IF(ES$3&gt;'GAAP Summary'!$B$2,0,SUM(INDIRECT(XLOOKUP(ES$3,'TTM Dates'!$B:$B,'TTM Dates'!$E:$E)&amp;ROW($BW80)&amp;":"&amp;XLOOKUP(ES$3,'TTM Dates'!$B:$B,'TTM Dates'!$C:$C)&amp;ROW($BW80))))</f>
        <v>2901776</v>
      </c>
      <c r="ET80" s="286">
        <f t="array" ref="ET80">IF(ET$3&gt;'GAAP Summary'!$B$2,0,SUM(INDIRECT(XLOOKUP(ET$3,'TTM Dates'!$B:$B,'TTM Dates'!$E:$E)&amp;ROW($BW80)&amp;":"&amp;XLOOKUP(ET$3,'TTM Dates'!$B:$B,'TTM Dates'!$C:$C)&amp;ROW($BW80))))</f>
        <v>2971801</v>
      </c>
      <c r="EU80" s="286">
        <f t="array" ref="EU80">IF(EU$3&gt;'GAAP Summary'!$B$2,0,SUM(INDIRECT(XLOOKUP(EU$3,'TTM Dates'!$B:$B,'TTM Dates'!$E:$E)&amp;ROW($BW80)&amp;":"&amp;XLOOKUP(EU$3,'TTM Dates'!$B:$B,'TTM Dates'!$C:$C)&amp;ROW($BW80))))</f>
        <v>2969603</v>
      </c>
      <c r="EV80" s="286">
        <f t="array" ref="EV80">IF(EV$3&gt;'GAAP Summary'!$B$2,0,SUM(INDIRECT(XLOOKUP(EV$3,'TTM Dates'!$B:$B,'TTM Dates'!$E:$E)&amp;ROW($BW80)&amp;":"&amp;XLOOKUP(EV$3,'TTM Dates'!$B:$B,'TTM Dates'!$C:$C)&amp;ROW($BW80))))</f>
        <v>2926604</v>
      </c>
      <c r="EW80" s="286">
        <f t="array" ref="EW80">IF(EW$3&gt;'GAAP Summary'!$B$2,0,SUM(INDIRECT(XLOOKUP(EW$3,'TTM Dates'!$B:$B,'TTM Dates'!$E:$E)&amp;ROW($BW80)&amp;":"&amp;XLOOKUP(EW$3,'TTM Dates'!$B:$B,'TTM Dates'!$C:$C)&amp;ROW($BW80))))</f>
        <v>2946669</v>
      </c>
      <c r="EX80" s="286">
        <f t="array" ref="EX80">IF(EX$3&gt;'GAAP Summary'!$B$2,0,SUM(INDIRECT(XLOOKUP(EX$3,'TTM Dates'!$B:$B,'TTM Dates'!$E:$E)&amp;ROW($BW80)&amp;":"&amp;XLOOKUP(EX$3,'TTM Dates'!$B:$B,'TTM Dates'!$C:$C)&amp;ROW($BW80))))</f>
        <v>2910088</v>
      </c>
      <c r="EY80" s="286">
        <f t="array" ref="EY80">IF(EY$3&gt;'GAAP Summary'!$B$2,0,SUM(INDIRECT(XLOOKUP(EY$3,'TTM Dates'!$B:$B,'TTM Dates'!$E:$E)&amp;ROW($BW80)&amp;":"&amp;XLOOKUP(EY$3,'TTM Dates'!$B:$B,'TTM Dates'!$C:$C)&amp;ROW($BW80))))</f>
        <v>2884506</v>
      </c>
      <c r="EZ80" s="286">
        <f t="array" ref="EZ80">IF(EZ$3&gt;'GAAP Summary'!$B$2,0,SUM(INDIRECT(XLOOKUP(EZ$3,'TTM Dates'!$B:$B,'TTM Dates'!$E:$E)&amp;ROW($BW80)&amp;":"&amp;XLOOKUP(EZ$3,'TTM Dates'!$B:$B,'TTM Dates'!$C:$C)&amp;ROW($BW80))))</f>
        <v>2986944</v>
      </c>
      <c r="FA80" s="286">
        <f t="array" ref="FA80">IF(FA$3&gt;'GAAP Summary'!$B$2,0,SUM(INDIRECT(XLOOKUP(FA$3,'TTM Dates'!$B:$B,'TTM Dates'!$E:$E)&amp;ROW($BW80)&amp;":"&amp;XLOOKUP(FA$3,'TTM Dates'!$B:$B,'TTM Dates'!$C:$C)&amp;ROW($BW80))))</f>
        <v>2975801</v>
      </c>
      <c r="FB80" s="286">
        <f t="array" ref="FB80">IF(FB$3&gt;'GAAP Summary'!$B$2,0,SUM(INDIRECT(XLOOKUP(FB$3,'TTM Dates'!$B:$B,'TTM Dates'!$E:$E)&amp;ROW($BW80)&amp;":"&amp;XLOOKUP(FB$3,'TTM Dates'!$B:$B,'TTM Dates'!$C:$C)&amp;ROW($BW80))))</f>
        <v>3108707</v>
      </c>
      <c r="FC80" s="286">
        <f t="array" ref="FC80">IF(FC$3&gt;'GAAP Summary'!$B$2,0,SUM(INDIRECT(XLOOKUP(FC$3,'TTM Dates'!$B:$B,'TTM Dates'!$E:$E)&amp;ROW($BW80)&amp;":"&amp;XLOOKUP(FC$3,'TTM Dates'!$B:$B,'TTM Dates'!$C:$C)&amp;ROW($BW80))))</f>
        <v>3350361</v>
      </c>
      <c r="FD80" s="286">
        <f t="array" ref="FD80">IF(FD$3&gt;'GAAP Summary'!$B$2,0,SUM(INDIRECT(XLOOKUP(FD$3,'TTM Dates'!$B:$B,'TTM Dates'!$E:$E)&amp;ROW($BW80)&amp;":"&amp;XLOOKUP(FD$3,'TTM Dates'!$B:$B,'TTM Dates'!$C:$C)&amp;ROW($BW80))))</f>
        <v>3204569</v>
      </c>
      <c r="FE80" s="286">
        <f t="array" ref="FE80">IF(FE$3&gt;'GAAP Summary'!$B$2,0,SUM(INDIRECT(XLOOKUP(FE$3,'TTM Dates'!$B:$B,'TTM Dates'!$E:$E)&amp;ROW($BW80)&amp;":"&amp;XLOOKUP(FE$3,'TTM Dates'!$B:$B,'TTM Dates'!$C:$C)&amp;ROW($BW80))))</f>
        <v>2983412</v>
      </c>
      <c r="FF80" s="286">
        <f t="array" ref="FF80">IF(FF$3&gt;'GAAP Summary'!$B$2,0,SUM(INDIRECT(XLOOKUP(FF$3,'TTM Dates'!$B:$B,'TTM Dates'!$E:$E)&amp;ROW($BW80)&amp;":"&amp;XLOOKUP(FF$3,'TTM Dates'!$B:$B,'TTM Dates'!$C:$C)&amp;ROW($BW80))))</f>
        <v>2759986</v>
      </c>
      <c r="FG80" s="286">
        <f t="array" ref="FG80">IF(FG$3&gt;'GAAP Summary'!$B$2,0,SUM(INDIRECT(XLOOKUP(FG$3,'TTM Dates'!$B:$B,'TTM Dates'!$E:$E)&amp;ROW($BW80)&amp;":"&amp;XLOOKUP(FG$3,'TTM Dates'!$B:$B,'TTM Dates'!$C:$C)&amp;ROW($BW80))))</f>
        <v>2587782</v>
      </c>
      <c r="FH80" s="286"/>
    </row>
    <row r="81" outlineLevel="1">
      <c r="B81" s="135" t="s">
        <v>506</v>
      </c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202"/>
      <c r="AN81" s="366"/>
      <c r="AO81" s="366"/>
      <c r="AP81" s="366"/>
      <c r="AQ81" s="366"/>
      <c r="AR81" s="366"/>
      <c r="AS81" s="366"/>
      <c r="AT81" s="202"/>
      <c r="AU81" s="202"/>
      <c r="AV81" s="202"/>
      <c r="AW81" s="202"/>
      <c r="AX81" s="337"/>
      <c r="AY81" s="337"/>
      <c r="AZ81" s="337"/>
      <c r="BA81" s="337"/>
      <c r="BB81" s="337"/>
      <c r="BC81" s="337"/>
      <c r="BD81" s="337"/>
      <c r="BE81" s="337"/>
      <c r="BF81" s="337"/>
      <c r="BG81" s="337"/>
      <c r="BH81" s="337"/>
      <c r="BI81" s="337"/>
      <c r="BJ81" s="337"/>
      <c r="BK81" s="337"/>
      <c r="BL81" s="337"/>
      <c r="BM81" s="337"/>
      <c r="BN81" s="337"/>
      <c r="BO81" s="337"/>
      <c r="BP81" s="337"/>
      <c r="BQ81" s="337"/>
      <c r="BR81" s="337"/>
      <c r="BS81" s="337"/>
      <c r="BT81" s="337"/>
      <c r="BU81" s="337"/>
      <c r="BV81" s="337"/>
      <c r="BW81" s="33"/>
      <c r="BX81" s="288" t="str">
        <f t="array" ref="BX81">SUM(INDIRECT(XLOOKUP('GAAP Summary'!$B$2,'TTM Dates'!$B:$B,'TTM Dates'!$E:$E)&amp;ROW($BW81)&amp;":"&amp;XLOOKUP('GAAP Summary'!$B$2,'TTM Dates'!$B:$B,'TTM Dates'!$C:$C)&amp;ROW($BW81)))</f>
        <v>#REF!</v>
      </c>
      <c r="BY81" s="351"/>
      <c r="BZ81" s="366">
        <f t="shared" si="104"/>
        <v>0</v>
      </c>
      <c r="CA81" s="366">
        <f t="shared" si="105"/>
        <v>0</v>
      </c>
      <c r="CB81" s="366">
        <f t="shared" si="106"/>
        <v>0</v>
      </c>
      <c r="CC81" s="366">
        <f t="shared" si="107"/>
        <v>0</v>
      </c>
      <c r="CD81" s="367">
        <f t="shared" si="108"/>
        <v>0</v>
      </c>
      <c r="CE81" s="351"/>
      <c r="CF81" s="366">
        <f t="shared" si="109"/>
        <v>0</v>
      </c>
      <c r="CG81" s="366">
        <f t="shared" si="110"/>
        <v>0</v>
      </c>
      <c r="CH81" s="366">
        <f t="shared" si="111"/>
        <v>0</v>
      </c>
      <c r="CI81" s="366">
        <f t="shared" si="112"/>
        <v>0</v>
      </c>
      <c r="CJ81" s="367">
        <f t="shared" si="113"/>
        <v>0</v>
      </c>
      <c r="CK81" s="366"/>
      <c r="CL81" s="366">
        <f t="shared" si="114"/>
        <v>0</v>
      </c>
      <c r="CM81" s="366">
        <f t="shared" si="115"/>
        <v>0</v>
      </c>
      <c r="CN81" s="366">
        <f t="shared" si="116"/>
        <v>0</v>
      </c>
      <c r="CO81" s="366">
        <f t="shared" si="117"/>
        <v>0</v>
      </c>
      <c r="CP81" s="367">
        <f t="shared" si="118"/>
        <v>0</v>
      </c>
      <c r="CQ81" s="366"/>
      <c r="CR81" s="366"/>
      <c r="CS81" s="366"/>
      <c r="CT81" s="366"/>
      <c r="CU81" s="366"/>
      <c r="CV81" s="367"/>
      <c r="CW81" s="366"/>
      <c r="CX81" s="367"/>
      <c r="CY81" s="44"/>
      <c r="CZ81" s="44">
        <f t="array" ref="CZ81">IF(CZ$3&gt;'GAAP Summary'!$B$2,0,SUM(INDIRECT(XLOOKUP(CZ$3,'TTM Dates'!$B:$B,'TTM Dates'!$E:$E)&amp;ROW($BW81)&amp;":"&amp;XLOOKUP(CZ$3,'TTM Dates'!$B:$B,'TTM Dates'!$C:$C)&amp;ROW($BW81))))</f>
        <v>0</v>
      </c>
      <c r="DA81" s="44">
        <f t="array" ref="DA81">IF(DA$3&gt;'GAAP Summary'!$B$2,0,SUM(INDIRECT(XLOOKUP(DA$3,'TTM Dates'!$B:$B,'TTM Dates'!$E:$E)&amp;ROW($BW81)&amp;":"&amp;XLOOKUP(DA$3,'TTM Dates'!$B:$B,'TTM Dates'!$C:$C)&amp;ROW($BW81))))</f>
        <v>0</v>
      </c>
      <c r="DB81" s="44">
        <f t="array" ref="DB81">IF(DB$3&gt;'GAAP Summary'!$B$2,0,SUM(INDIRECT(XLOOKUP(DB$3,'TTM Dates'!$B:$B,'TTM Dates'!$E:$E)&amp;ROW($BW81)&amp;":"&amp;XLOOKUP(DB$3,'TTM Dates'!$B:$B,'TTM Dates'!$C:$C)&amp;ROW($BW81))))</f>
        <v>0</v>
      </c>
      <c r="DC81" s="44">
        <f t="array" ref="DC81">IF(DC$3&gt;'GAAP Summary'!$B$2,0,SUM(INDIRECT(XLOOKUP(DC$3,'TTM Dates'!$B:$B,'TTM Dates'!$E:$E)&amp;ROW($BW81)&amp;":"&amp;XLOOKUP(DC$3,'TTM Dates'!$B:$B,'TTM Dates'!$C:$C)&amp;ROW($BW81))))</f>
        <v>0</v>
      </c>
      <c r="DD81" s="44">
        <f t="array" ref="DD81">IF(DD$3&gt;'GAAP Summary'!$B$2,0,SUM(INDIRECT(XLOOKUP(DD$3,'TTM Dates'!$B:$B,'TTM Dates'!$E:$E)&amp;ROW($BW81)&amp;":"&amp;XLOOKUP(DD$3,'TTM Dates'!$B:$B,'TTM Dates'!$C:$C)&amp;ROW($BW81))))</f>
        <v>0</v>
      </c>
      <c r="DE81" s="44">
        <f t="array" ref="DE81">IF(DE$3&gt;'GAAP Summary'!$B$2,0,SUM(INDIRECT(XLOOKUP(DE$3,'TTM Dates'!$B:$B,'TTM Dates'!$E:$E)&amp;ROW($BW81)&amp;":"&amp;XLOOKUP(DE$3,'TTM Dates'!$B:$B,'TTM Dates'!$C:$C)&amp;ROW($BW81))))</f>
        <v>0</v>
      </c>
      <c r="DF81" s="44">
        <f t="array" ref="DF81">IF(DF$3&gt;'GAAP Summary'!$B$2,0,SUM(INDIRECT(XLOOKUP(DF$3,'TTM Dates'!$B:$B,'TTM Dates'!$E:$E)&amp;ROW($BW81)&amp;":"&amp;XLOOKUP(DF$3,'TTM Dates'!$B:$B,'TTM Dates'!$C:$C)&amp;ROW($BW81))))</f>
        <v>0</v>
      </c>
      <c r="DG81" s="44">
        <f t="array" ref="DG81">IF(DG$3&gt;'GAAP Summary'!$B$2,0,SUM(INDIRECT(XLOOKUP(DG$3,'TTM Dates'!$B:$B,'TTM Dates'!$E:$E)&amp;ROW($BW81)&amp;":"&amp;XLOOKUP(DG$3,'TTM Dates'!$B:$B,'TTM Dates'!$C:$C)&amp;ROW($BW81))))</f>
        <v>0</v>
      </c>
      <c r="DH81" s="44">
        <f t="array" ref="DH81">IF(DH$3&gt;'GAAP Summary'!$B$2,0,SUM(INDIRECT(XLOOKUP(DH$3,'TTM Dates'!$B:$B,'TTM Dates'!$E:$E)&amp;ROW($BW81)&amp;":"&amp;XLOOKUP(DH$3,'TTM Dates'!$B:$B,'TTM Dates'!$C:$C)&amp;ROW($BW81))))</f>
        <v>0</v>
      </c>
      <c r="DI81" s="44">
        <f t="array" ref="DI81">IF(DI$3&gt;'GAAP Summary'!$B$2,0,SUM(INDIRECT(XLOOKUP(DI$3,'TTM Dates'!$B:$B,'TTM Dates'!$E:$E)&amp;ROW($BW81)&amp;":"&amp;XLOOKUP(DI$3,'TTM Dates'!$B:$B,'TTM Dates'!$C:$C)&amp;ROW($BW81))))</f>
        <v>0</v>
      </c>
      <c r="DJ81" s="44">
        <f t="array" ref="DJ81">IF(DJ$3&gt;'GAAP Summary'!$B$2,0,SUM(INDIRECT(XLOOKUP(DJ$3,'TTM Dates'!$B:$B,'TTM Dates'!$E:$E)&amp;ROW($BW81)&amp;":"&amp;XLOOKUP(DJ$3,'TTM Dates'!$B:$B,'TTM Dates'!$C:$C)&amp;ROW($BW81))))</f>
        <v>0</v>
      </c>
      <c r="DK81" s="44">
        <f t="array" ref="DK81">IF(DK$3&gt;'GAAP Summary'!$B$2,0,SUM(INDIRECT(XLOOKUP(DK$3,'TTM Dates'!$B:$B,'TTM Dates'!$E:$E)&amp;ROW($BW81)&amp;":"&amp;XLOOKUP(DK$3,'TTM Dates'!$B:$B,'TTM Dates'!$C:$C)&amp;ROW($BW81))))</f>
        <v>0</v>
      </c>
      <c r="DL81" s="44">
        <f t="array" ref="DL81">IF(DL$3&gt;'GAAP Summary'!$B$2,0,SUM(INDIRECT(XLOOKUP(DL$3,'TTM Dates'!$B:$B,'TTM Dates'!$E:$E)&amp;ROW($BW81)&amp;":"&amp;XLOOKUP(DL$3,'TTM Dates'!$B:$B,'TTM Dates'!$C:$C)&amp;ROW($BW81))))</f>
        <v>0</v>
      </c>
      <c r="DM81" s="44">
        <f t="array" ref="DM81">IF(DM$3&gt;'GAAP Summary'!$B$2,0,SUM(INDIRECT(XLOOKUP(DM$3,'TTM Dates'!$B:$B,'TTM Dates'!$E:$E)&amp;ROW($BW81)&amp;":"&amp;XLOOKUP(DM$3,'TTM Dates'!$B:$B,'TTM Dates'!$C:$C)&amp;ROW($BW81))))</f>
        <v>0</v>
      </c>
      <c r="DN81" s="44">
        <f t="array" ref="DN81">IF(DN$3&gt;'GAAP Summary'!$B$2,0,SUM(INDIRECT(XLOOKUP(DN$3,'TTM Dates'!$B:$B,'TTM Dates'!$E:$E)&amp;ROW($BW81)&amp;":"&amp;XLOOKUP(DN$3,'TTM Dates'!$B:$B,'TTM Dates'!$C:$C)&amp;ROW($BW81))))</f>
        <v>0</v>
      </c>
      <c r="DO81" s="44">
        <f t="array" ref="DO81">IF(DO$3&gt;'GAAP Summary'!$B$2,0,SUM(INDIRECT(XLOOKUP(DO$3,'TTM Dates'!$B:$B,'TTM Dates'!$E:$E)&amp;ROW($BW81)&amp;":"&amp;XLOOKUP(DO$3,'TTM Dates'!$B:$B,'TTM Dates'!$C:$C)&amp;ROW($BW81))))</f>
        <v>0</v>
      </c>
      <c r="DP81" s="44">
        <f t="array" ref="DP81">IF(DP$3&gt;'GAAP Summary'!$B$2,0,SUM(INDIRECT(XLOOKUP(DP$3,'TTM Dates'!$B:$B,'TTM Dates'!$E:$E)&amp;ROW($BW81)&amp;":"&amp;XLOOKUP(DP$3,'TTM Dates'!$B:$B,'TTM Dates'!$C:$C)&amp;ROW($BW81))))</f>
        <v>0</v>
      </c>
      <c r="DQ81" s="44">
        <f t="array" ref="DQ81">IF(DQ$3&gt;'GAAP Summary'!$B$2,0,SUM(INDIRECT(XLOOKUP(DQ$3,'TTM Dates'!$B:$B,'TTM Dates'!$E:$E)&amp;ROW($BW81)&amp;":"&amp;XLOOKUP(DQ$3,'TTM Dates'!$B:$B,'TTM Dates'!$C:$C)&amp;ROW($BW81))))</f>
        <v>0</v>
      </c>
      <c r="DR81" s="44">
        <f t="array" ref="DR81">IF(DR$3&gt;'GAAP Summary'!$B$2,0,SUM(INDIRECT(XLOOKUP(DR$3,'TTM Dates'!$B:$B,'TTM Dates'!$E:$E)&amp;ROW($BW81)&amp;":"&amp;XLOOKUP(DR$3,'TTM Dates'!$B:$B,'TTM Dates'!$C:$C)&amp;ROW($BW81))))</f>
        <v>0</v>
      </c>
      <c r="DS81" s="44">
        <f t="array" ref="DS81">IF(DS$3&gt;'GAAP Summary'!$B$2,0,SUM(INDIRECT(XLOOKUP(DS$3,'TTM Dates'!$B:$B,'TTM Dates'!$E:$E)&amp;ROW($BW81)&amp;":"&amp;XLOOKUP(DS$3,'TTM Dates'!$B:$B,'TTM Dates'!$C:$C)&amp;ROW($BW81))))</f>
        <v>0</v>
      </c>
      <c r="DT81" s="44">
        <f t="array" ref="DT81">IF(DT$3&gt;'GAAP Summary'!$B$2,0,SUM(INDIRECT(XLOOKUP(DT$3,'TTM Dates'!$B:$B,'TTM Dates'!$E:$E)&amp;ROW($BW81)&amp;":"&amp;XLOOKUP(DT$3,'TTM Dates'!$B:$B,'TTM Dates'!$C:$C)&amp;ROW($BW81))))</f>
        <v>0</v>
      </c>
      <c r="DU81" s="44">
        <f t="array" ref="DU81">IF(DU$3&gt;'GAAP Summary'!$B$2,0,SUM(INDIRECT(XLOOKUP(DU$3,'TTM Dates'!$B:$B,'TTM Dates'!$E:$E)&amp;ROW($BW81)&amp;":"&amp;XLOOKUP(DU$3,'TTM Dates'!$B:$B,'TTM Dates'!$C:$C)&amp;ROW($BW81))))</f>
        <v>0</v>
      </c>
      <c r="DV81" s="44">
        <f t="array" ref="DV81">IF(DV$3&gt;'GAAP Summary'!$B$2,0,SUM(INDIRECT(XLOOKUP(DV$3,'TTM Dates'!$B:$B,'TTM Dates'!$E:$E)&amp;ROW($BW81)&amp;":"&amp;XLOOKUP(DV$3,'TTM Dates'!$B:$B,'TTM Dates'!$C:$C)&amp;ROW($BW81))))</f>
        <v>0</v>
      </c>
      <c r="DW81" s="44">
        <f t="array" ref="DW81">IF(DW$3&gt;'GAAP Summary'!$B$2,0,SUM(INDIRECT(XLOOKUP(DW$3,'TTM Dates'!$B:$B,'TTM Dates'!$E:$E)&amp;ROW($BW81)&amp;":"&amp;XLOOKUP(DW$3,'TTM Dates'!$B:$B,'TTM Dates'!$C:$C)&amp;ROW($BW81))))</f>
        <v>0</v>
      </c>
      <c r="DX81" s="44">
        <f t="array" ref="DX81">IF(DX$3&gt;'GAAP Summary'!$B$2,0,SUM(INDIRECT(XLOOKUP(DX$3,'TTM Dates'!$B:$B,'TTM Dates'!$E:$E)&amp;ROW($BW81)&amp;":"&amp;XLOOKUP(DX$3,'TTM Dates'!$B:$B,'TTM Dates'!$C:$C)&amp;ROW($BW81))))</f>
        <v>0</v>
      </c>
      <c r="DY81" s="44">
        <f t="array" ref="DY81">IF(DY$3&gt;'GAAP Summary'!$B$2,0,SUM(INDIRECT(XLOOKUP(DY$3,'TTM Dates'!$B:$B,'TTM Dates'!$E:$E)&amp;ROW($BW81)&amp;":"&amp;XLOOKUP(DY$3,'TTM Dates'!$B:$B,'TTM Dates'!$C:$C)&amp;ROW($BW81))))</f>
        <v>0</v>
      </c>
      <c r="DZ81" s="44">
        <f t="array" ref="DZ81">IF(DZ$3&gt;'GAAP Summary'!$B$2,0,SUM(INDIRECT(XLOOKUP(DZ$3,'TTM Dates'!$B:$B,'TTM Dates'!$E:$E)&amp;ROW($BW81)&amp;":"&amp;XLOOKUP(DZ$3,'TTM Dates'!$B:$B,'TTM Dates'!$C:$C)&amp;ROW($BW81))))</f>
        <v>0</v>
      </c>
      <c r="EA81" s="44">
        <f t="array" ref="EA81">IF(EA$3&gt;'GAAP Summary'!$B$2,0,SUM(INDIRECT(XLOOKUP(EA$3,'TTM Dates'!$B:$B,'TTM Dates'!$E:$E)&amp;ROW($BW81)&amp;":"&amp;XLOOKUP(EA$3,'TTM Dates'!$B:$B,'TTM Dates'!$C:$C)&amp;ROW($BW81))))</f>
        <v>0</v>
      </c>
      <c r="EB81" s="44">
        <f t="array" ref="EB81">IF(EB$3&gt;'GAAP Summary'!$B$2,0,SUM(INDIRECT(XLOOKUP(EB$3,'TTM Dates'!$B:$B,'TTM Dates'!$E:$E)&amp;ROW($BW81)&amp;":"&amp;XLOOKUP(EB$3,'TTM Dates'!$B:$B,'TTM Dates'!$C:$C)&amp;ROW($BW81))))</f>
        <v>0</v>
      </c>
      <c r="EC81" s="44">
        <f t="array" ref="EC81">IF(EC$3&gt;'GAAP Summary'!$B$2,0,SUM(INDIRECT(XLOOKUP(EC$3,'TTM Dates'!$B:$B,'TTM Dates'!$E:$E)&amp;ROW($BW81)&amp;":"&amp;XLOOKUP(EC$3,'TTM Dates'!$B:$B,'TTM Dates'!$C:$C)&amp;ROW($BW81))))</f>
        <v>0</v>
      </c>
      <c r="ED81" s="44">
        <f t="array" ref="ED81">IF(ED$3&gt;'GAAP Summary'!$B$2,0,SUM(INDIRECT(XLOOKUP(ED$3,'TTM Dates'!$B:$B,'TTM Dates'!$E:$E)&amp;ROW($BW81)&amp;":"&amp;XLOOKUP(ED$3,'TTM Dates'!$B:$B,'TTM Dates'!$C:$C)&amp;ROW($BW81))))</f>
        <v>0</v>
      </c>
      <c r="EE81" s="44">
        <f t="array" ref="EE81">IF(EE$3&gt;'GAAP Summary'!$B$2,0,SUM(INDIRECT(XLOOKUP(EE$3,'TTM Dates'!$B:$B,'TTM Dates'!$E:$E)&amp;ROW($BW81)&amp;":"&amp;XLOOKUP(EE$3,'TTM Dates'!$B:$B,'TTM Dates'!$C:$C)&amp;ROW($BW81))))</f>
        <v>0</v>
      </c>
      <c r="EF81" s="44">
        <f t="array" ref="EF81">IF(EF$3&gt;'GAAP Summary'!$B$2,0,SUM(INDIRECT(XLOOKUP(EF$3,'TTM Dates'!$B:$B,'TTM Dates'!$E:$E)&amp;ROW($BW81)&amp;":"&amp;XLOOKUP(EF$3,'TTM Dates'!$B:$B,'TTM Dates'!$C:$C)&amp;ROW($BW81))))</f>
        <v>0</v>
      </c>
      <c r="EG81" s="44">
        <f t="array" ref="EG81">IF(EG$3&gt;'GAAP Summary'!$B$2,0,SUM(INDIRECT(XLOOKUP(EG$3,'TTM Dates'!$B:$B,'TTM Dates'!$E:$E)&amp;ROW($BW81)&amp;":"&amp;XLOOKUP(EG$3,'TTM Dates'!$B:$B,'TTM Dates'!$C:$C)&amp;ROW($BW81))))</f>
        <v>0</v>
      </c>
      <c r="EH81" s="44">
        <f t="array" ref="EH81">IF(EH$3&gt;'GAAP Summary'!$B$2,0,SUM(INDIRECT(XLOOKUP(EH$3,'TTM Dates'!$B:$B,'TTM Dates'!$E:$E)&amp;ROW($BW81)&amp;":"&amp;XLOOKUP(EH$3,'TTM Dates'!$B:$B,'TTM Dates'!$C:$C)&amp;ROW($BW81))))</f>
        <v>0</v>
      </c>
      <c r="EI81" s="44">
        <f t="array" ref="EI81">IF(EI$3&gt;'GAAP Summary'!$B$2,0,SUM(INDIRECT(XLOOKUP(EI$3,'TTM Dates'!$B:$B,'TTM Dates'!$E:$E)&amp;ROW($BW81)&amp;":"&amp;XLOOKUP(EI$3,'TTM Dates'!$B:$B,'TTM Dates'!$C:$C)&amp;ROW($BW81))))</f>
        <v>0</v>
      </c>
      <c r="EJ81" s="44">
        <f t="array" ref="EJ81">IF(EJ$3&gt;'GAAP Summary'!$B$2,0,SUM(INDIRECT(XLOOKUP(EJ$3,'TTM Dates'!$B:$B,'TTM Dates'!$E:$E)&amp;ROW($BW81)&amp;":"&amp;XLOOKUP(EJ$3,'TTM Dates'!$B:$B,'TTM Dates'!$C:$C)&amp;ROW($BW81))))</f>
        <v>0</v>
      </c>
      <c r="EK81" s="44">
        <f t="array" ref="EK81">IF(EK$3&gt;'GAAP Summary'!$B$2,0,SUM(INDIRECT(XLOOKUP(EK$3,'TTM Dates'!$B:$B,'TTM Dates'!$E:$E)&amp;ROW($BW81)&amp;":"&amp;XLOOKUP(EK$3,'TTM Dates'!$B:$B,'TTM Dates'!$C:$C)&amp;ROW($BW81))))</f>
        <v>0</v>
      </c>
      <c r="EL81" s="44">
        <f t="array" ref="EL81">IF(EL$3&gt;'GAAP Summary'!$B$2,0,SUM(INDIRECT(XLOOKUP(EL$3,'TTM Dates'!$B:$B,'TTM Dates'!$E:$E)&amp;ROW($BW81)&amp;":"&amp;XLOOKUP(EL$3,'TTM Dates'!$B:$B,'TTM Dates'!$C:$C)&amp;ROW($BW81))))</f>
        <v>0</v>
      </c>
      <c r="EM81" s="44">
        <f t="array" ref="EM81">IF(EM$3&gt;'GAAP Summary'!$B$2,0,SUM(INDIRECT(XLOOKUP(EM$3,'TTM Dates'!$B:$B,'TTM Dates'!$E:$E)&amp;ROW($BW81)&amp;":"&amp;XLOOKUP(EM$3,'TTM Dates'!$B:$B,'TTM Dates'!$C:$C)&amp;ROW($BW81))))</f>
        <v>0</v>
      </c>
      <c r="EN81" s="44">
        <f t="array" ref="EN81">IF(EN$3&gt;'GAAP Summary'!$B$2,0,SUM(INDIRECT(XLOOKUP(EN$3,'TTM Dates'!$B:$B,'TTM Dates'!$E:$E)&amp;ROW($BW81)&amp;":"&amp;XLOOKUP(EN$3,'TTM Dates'!$B:$B,'TTM Dates'!$C:$C)&amp;ROW($BW81))))</f>
        <v>0</v>
      </c>
      <c r="EO81" s="44">
        <f t="array" ref="EO81">IF(EO$3&gt;'GAAP Summary'!$B$2,0,SUM(INDIRECT(XLOOKUP(EO$3,'TTM Dates'!$B:$B,'TTM Dates'!$E:$E)&amp;ROW($BW81)&amp;":"&amp;XLOOKUP(EO$3,'TTM Dates'!$B:$B,'TTM Dates'!$C:$C)&amp;ROW($BW81))))</f>
        <v>0</v>
      </c>
      <c r="EP81" s="44">
        <f t="array" ref="EP81">IF(EP$3&gt;'GAAP Summary'!$B$2,0,SUM(INDIRECT(XLOOKUP(EP$3,'TTM Dates'!$B:$B,'TTM Dates'!$E:$E)&amp;ROW($BW81)&amp;":"&amp;XLOOKUP(EP$3,'TTM Dates'!$B:$B,'TTM Dates'!$C:$C)&amp;ROW($BW81))))</f>
        <v>0</v>
      </c>
      <c r="EQ81" s="44">
        <f t="array" ref="EQ81">IF(EQ$3&gt;'GAAP Summary'!$B$2,0,SUM(INDIRECT(XLOOKUP(EQ$3,'TTM Dates'!$B:$B,'TTM Dates'!$E:$E)&amp;ROW($BW81)&amp;":"&amp;XLOOKUP(EQ$3,'TTM Dates'!$B:$B,'TTM Dates'!$C:$C)&amp;ROW($BW81))))</f>
        <v>0</v>
      </c>
      <c r="ER81" s="44">
        <f t="array" ref="ER81">IF(ER$3&gt;'GAAP Summary'!$B$2,0,SUM(INDIRECT(XLOOKUP(ER$3,'TTM Dates'!$B:$B,'TTM Dates'!$E:$E)&amp;ROW($BW81)&amp;":"&amp;XLOOKUP(ER$3,'TTM Dates'!$B:$B,'TTM Dates'!$C:$C)&amp;ROW($BW81))))</f>
        <v>0</v>
      </c>
      <c r="ES81" s="44">
        <f t="array" ref="ES81">IF(ES$3&gt;'GAAP Summary'!$B$2,0,SUM(INDIRECT(XLOOKUP(ES$3,'TTM Dates'!$B:$B,'TTM Dates'!$E:$E)&amp;ROW($BW81)&amp;":"&amp;XLOOKUP(ES$3,'TTM Dates'!$B:$B,'TTM Dates'!$C:$C)&amp;ROW($BW81))))</f>
        <v>0</v>
      </c>
      <c r="ET81" s="44">
        <f t="array" ref="ET81">IF(ET$3&gt;'GAAP Summary'!$B$2,0,SUM(INDIRECT(XLOOKUP(ET$3,'TTM Dates'!$B:$B,'TTM Dates'!$E:$E)&amp;ROW($BW81)&amp;":"&amp;XLOOKUP(ET$3,'TTM Dates'!$B:$B,'TTM Dates'!$C:$C)&amp;ROW($BW81))))</f>
        <v>0</v>
      </c>
      <c r="EU81" s="44">
        <f t="array" ref="EU81">IF(EU$3&gt;'GAAP Summary'!$B$2,0,SUM(INDIRECT(XLOOKUP(EU$3,'TTM Dates'!$B:$B,'TTM Dates'!$E:$E)&amp;ROW($BW81)&amp;":"&amp;XLOOKUP(EU$3,'TTM Dates'!$B:$B,'TTM Dates'!$C:$C)&amp;ROW($BW81))))</f>
        <v>0</v>
      </c>
      <c r="EV81" s="44">
        <f t="array" ref="EV81">IF(EV$3&gt;'GAAP Summary'!$B$2,0,SUM(INDIRECT(XLOOKUP(EV$3,'TTM Dates'!$B:$B,'TTM Dates'!$E:$E)&amp;ROW($BW81)&amp;":"&amp;XLOOKUP(EV$3,'TTM Dates'!$B:$B,'TTM Dates'!$C:$C)&amp;ROW($BW81))))</f>
        <v>0</v>
      </c>
      <c r="EW81" s="44">
        <f t="array" ref="EW81">IF(EW$3&gt;'GAAP Summary'!$B$2,0,SUM(INDIRECT(XLOOKUP(EW$3,'TTM Dates'!$B:$B,'TTM Dates'!$E:$E)&amp;ROW($BW81)&amp;":"&amp;XLOOKUP(EW$3,'TTM Dates'!$B:$B,'TTM Dates'!$C:$C)&amp;ROW($BW81))))</f>
        <v>0</v>
      </c>
      <c r="EX81" s="44">
        <f t="array" ref="EX81">IF(EX$3&gt;'GAAP Summary'!$B$2,0,SUM(INDIRECT(XLOOKUP(EX$3,'TTM Dates'!$B:$B,'TTM Dates'!$E:$E)&amp;ROW($BW81)&amp;":"&amp;XLOOKUP(EX$3,'TTM Dates'!$B:$B,'TTM Dates'!$C:$C)&amp;ROW($BW81))))</f>
        <v>0</v>
      </c>
      <c r="EY81" s="44">
        <f t="array" ref="EY81">IF(EY$3&gt;'GAAP Summary'!$B$2,0,SUM(INDIRECT(XLOOKUP(EY$3,'TTM Dates'!$B:$B,'TTM Dates'!$E:$E)&amp;ROW($BW81)&amp;":"&amp;XLOOKUP(EY$3,'TTM Dates'!$B:$B,'TTM Dates'!$C:$C)&amp;ROW($BW81))))</f>
        <v>0</v>
      </c>
      <c r="EZ81" s="44">
        <f t="array" ref="EZ81">IF(EZ$3&gt;'GAAP Summary'!$B$2,0,SUM(INDIRECT(XLOOKUP(EZ$3,'TTM Dates'!$B:$B,'TTM Dates'!$E:$E)&amp;ROW($BW81)&amp;":"&amp;XLOOKUP(EZ$3,'TTM Dates'!$B:$B,'TTM Dates'!$C:$C)&amp;ROW($BW81))))</f>
        <v>0</v>
      </c>
      <c r="FA81" s="44">
        <f t="array" ref="FA81">IF(FA$3&gt;'GAAP Summary'!$B$2,0,SUM(INDIRECT(XLOOKUP(FA$3,'TTM Dates'!$B:$B,'TTM Dates'!$E:$E)&amp;ROW($BW81)&amp;":"&amp;XLOOKUP(FA$3,'TTM Dates'!$B:$B,'TTM Dates'!$C:$C)&amp;ROW($BW81))))</f>
        <v>0</v>
      </c>
      <c r="FB81" s="44">
        <f t="array" ref="FB81">IF(FB$3&gt;'GAAP Summary'!$B$2,0,SUM(INDIRECT(XLOOKUP(FB$3,'TTM Dates'!$B:$B,'TTM Dates'!$E:$E)&amp;ROW($BW81)&amp;":"&amp;XLOOKUP(FB$3,'TTM Dates'!$B:$B,'TTM Dates'!$C:$C)&amp;ROW($BW81))))</f>
        <v>0</v>
      </c>
      <c r="FC81" s="44">
        <f t="array" ref="FC81">IF(FC$3&gt;'GAAP Summary'!$B$2,0,SUM(INDIRECT(XLOOKUP(FC$3,'TTM Dates'!$B:$B,'TTM Dates'!$E:$E)&amp;ROW($BW81)&amp;":"&amp;XLOOKUP(FC$3,'TTM Dates'!$B:$B,'TTM Dates'!$C:$C)&amp;ROW($BW81))))</f>
        <v>0</v>
      </c>
      <c r="FD81" s="44">
        <f t="array" ref="FD81">IF(FD$3&gt;'GAAP Summary'!$B$2,0,SUM(INDIRECT(XLOOKUP(FD$3,'TTM Dates'!$B:$B,'TTM Dates'!$E:$E)&amp;ROW($BW81)&amp;":"&amp;XLOOKUP(FD$3,'TTM Dates'!$B:$B,'TTM Dates'!$C:$C)&amp;ROW($BW81))))</f>
        <v>0</v>
      </c>
      <c r="FE81" s="44">
        <f t="array" ref="FE81">IF(FE$3&gt;'GAAP Summary'!$B$2,0,SUM(INDIRECT(XLOOKUP(FE$3,'TTM Dates'!$B:$B,'TTM Dates'!$E:$E)&amp;ROW($BW81)&amp;":"&amp;XLOOKUP(FE$3,'TTM Dates'!$B:$B,'TTM Dates'!$C:$C)&amp;ROW($BW81))))</f>
        <v>0</v>
      </c>
      <c r="FF81" s="44">
        <f t="array" ref="FF81">IF(FF$3&gt;'GAAP Summary'!$B$2,0,SUM(INDIRECT(XLOOKUP(FF$3,'TTM Dates'!$B:$B,'TTM Dates'!$E:$E)&amp;ROW($BW81)&amp;":"&amp;XLOOKUP(FF$3,'TTM Dates'!$B:$B,'TTM Dates'!$C:$C)&amp;ROW($BW81))))</f>
        <v>0</v>
      </c>
      <c r="FG81" s="44">
        <f t="array" ref="FG81">IF(FG$3&gt;'GAAP Summary'!$B$2,0,SUM(INDIRECT(XLOOKUP(FG$3,'TTM Dates'!$B:$B,'TTM Dates'!$E:$E)&amp;ROW($BW81)&amp;":"&amp;XLOOKUP(FG$3,'TTM Dates'!$B:$B,'TTM Dates'!$C:$C)&amp;ROW($BW81))))</f>
        <v>0</v>
      </c>
      <c r="FH81" s="44"/>
    </row>
    <row r="82" outlineLevel="1">
      <c r="B82" s="135" t="s">
        <v>508</v>
      </c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202"/>
      <c r="AN82" s="366"/>
      <c r="AO82" s="366"/>
      <c r="AP82" s="366"/>
      <c r="AQ82" s="366"/>
      <c r="AR82" s="366"/>
      <c r="AS82" s="366"/>
      <c r="AT82" s="202"/>
      <c r="AU82" s="202"/>
      <c r="AV82" s="202"/>
      <c r="AW82" s="202"/>
      <c r="AX82" s="337"/>
      <c r="AY82" s="337"/>
      <c r="AZ82" s="337"/>
      <c r="BA82" s="337"/>
      <c r="BB82" s="337"/>
      <c r="BC82" s="337"/>
      <c r="BD82" s="337"/>
      <c r="BE82" s="337"/>
      <c r="BF82" s="337"/>
      <c r="BG82" s="337"/>
      <c r="BH82" s="337"/>
      <c r="BI82" s="337"/>
      <c r="BJ82" s="337"/>
      <c r="BK82" s="337"/>
      <c r="BL82" s="337"/>
      <c r="BM82" s="337"/>
      <c r="BN82" s="337"/>
      <c r="BO82" s="337"/>
      <c r="BP82" s="337"/>
      <c r="BQ82" s="337"/>
      <c r="BR82" s="337"/>
      <c r="BS82" s="337"/>
      <c r="BT82" s="337"/>
      <c r="BU82" s="337"/>
      <c r="BV82" s="337"/>
      <c r="BW82" s="33"/>
      <c r="BX82" s="288" t="str">
        <f t="array" ref="BX82">SUM(INDIRECT(XLOOKUP('GAAP Summary'!$B$2,'TTM Dates'!$B:$B,'TTM Dates'!$E:$E)&amp;ROW($BW82)&amp;":"&amp;XLOOKUP('GAAP Summary'!$B$2,'TTM Dates'!$B:$B,'TTM Dates'!$C:$C)&amp;ROW($BW82)))</f>
        <v>#REF!</v>
      </c>
      <c r="BY82" s="351"/>
      <c r="BZ82" s="366">
        <f t="shared" si="104"/>
        <v>0</v>
      </c>
      <c r="CA82" s="366">
        <f t="shared" si="105"/>
        <v>0</v>
      </c>
      <c r="CB82" s="366">
        <f t="shared" si="106"/>
        <v>0</v>
      </c>
      <c r="CC82" s="366">
        <f t="shared" si="107"/>
        <v>0</v>
      </c>
      <c r="CD82" s="367">
        <f t="shared" si="108"/>
        <v>0</v>
      </c>
      <c r="CE82" s="351"/>
      <c r="CF82" s="366">
        <f t="shared" si="109"/>
        <v>0</v>
      </c>
      <c r="CG82" s="366">
        <f t="shared" si="110"/>
        <v>0</v>
      </c>
      <c r="CH82" s="366">
        <f t="shared" si="111"/>
        <v>0</v>
      </c>
      <c r="CI82" s="366">
        <f t="shared" si="112"/>
        <v>0</v>
      </c>
      <c r="CJ82" s="367">
        <f t="shared" si="113"/>
        <v>0</v>
      </c>
      <c r="CK82" s="366"/>
      <c r="CL82" s="366">
        <f t="shared" si="114"/>
        <v>0</v>
      </c>
      <c r="CM82" s="366">
        <f t="shared" si="115"/>
        <v>0</v>
      </c>
      <c r="CN82" s="366">
        <f t="shared" si="116"/>
        <v>0</v>
      </c>
      <c r="CO82" s="366">
        <f t="shared" si="117"/>
        <v>0</v>
      </c>
      <c r="CP82" s="367">
        <f t="shared" si="118"/>
        <v>0</v>
      </c>
      <c r="CQ82" s="366"/>
      <c r="CR82" s="366"/>
      <c r="CS82" s="366"/>
      <c r="CT82" s="366"/>
      <c r="CU82" s="366"/>
      <c r="CV82" s="367"/>
      <c r="CW82" s="366"/>
      <c r="CX82" s="367"/>
      <c r="CY82" s="44"/>
      <c r="CZ82" s="44">
        <f t="array" ref="CZ82">IF(CZ$3&gt;'GAAP Summary'!$B$2,0,SUM(INDIRECT(XLOOKUP(CZ$3,'TTM Dates'!$B:$B,'TTM Dates'!$E:$E)&amp;ROW($BW82)&amp;":"&amp;XLOOKUP(CZ$3,'TTM Dates'!$B:$B,'TTM Dates'!$C:$C)&amp;ROW($BW82))))</f>
        <v>0</v>
      </c>
      <c r="DA82" s="44">
        <f t="array" ref="DA82">IF(DA$3&gt;'GAAP Summary'!$B$2,0,SUM(INDIRECT(XLOOKUP(DA$3,'TTM Dates'!$B:$B,'TTM Dates'!$E:$E)&amp;ROW($BW82)&amp;":"&amp;XLOOKUP(DA$3,'TTM Dates'!$B:$B,'TTM Dates'!$C:$C)&amp;ROW($BW82))))</f>
        <v>0</v>
      </c>
      <c r="DB82" s="44">
        <f t="array" ref="DB82">IF(DB$3&gt;'GAAP Summary'!$B$2,0,SUM(INDIRECT(XLOOKUP(DB$3,'TTM Dates'!$B:$B,'TTM Dates'!$E:$E)&amp;ROW($BW82)&amp;":"&amp;XLOOKUP(DB$3,'TTM Dates'!$B:$B,'TTM Dates'!$C:$C)&amp;ROW($BW82))))</f>
        <v>0</v>
      </c>
      <c r="DC82" s="44">
        <f t="array" ref="DC82">IF(DC$3&gt;'GAAP Summary'!$B$2,0,SUM(INDIRECT(XLOOKUP(DC$3,'TTM Dates'!$B:$B,'TTM Dates'!$E:$E)&amp;ROW($BW82)&amp;":"&amp;XLOOKUP(DC$3,'TTM Dates'!$B:$B,'TTM Dates'!$C:$C)&amp;ROW($BW82))))</f>
        <v>0</v>
      </c>
      <c r="DD82" s="44">
        <f t="array" ref="DD82">IF(DD$3&gt;'GAAP Summary'!$B$2,0,SUM(INDIRECT(XLOOKUP(DD$3,'TTM Dates'!$B:$B,'TTM Dates'!$E:$E)&amp;ROW($BW82)&amp;":"&amp;XLOOKUP(DD$3,'TTM Dates'!$B:$B,'TTM Dates'!$C:$C)&amp;ROW($BW82))))</f>
        <v>0</v>
      </c>
      <c r="DE82" s="44">
        <f t="array" ref="DE82">IF(DE$3&gt;'GAAP Summary'!$B$2,0,SUM(INDIRECT(XLOOKUP(DE$3,'TTM Dates'!$B:$B,'TTM Dates'!$E:$E)&amp;ROW($BW82)&amp;":"&amp;XLOOKUP(DE$3,'TTM Dates'!$B:$B,'TTM Dates'!$C:$C)&amp;ROW($BW82))))</f>
        <v>0</v>
      </c>
      <c r="DF82" s="44">
        <f t="array" ref="DF82">IF(DF$3&gt;'GAAP Summary'!$B$2,0,SUM(INDIRECT(XLOOKUP(DF$3,'TTM Dates'!$B:$B,'TTM Dates'!$E:$E)&amp;ROW($BW82)&amp;":"&amp;XLOOKUP(DF$3,'TTM Dates'!$B:$B,'TTM Dates'!$C:$C)&amp;ROW($BW82))))</f>
        <v>0</v>
      </c>
      <c r="DG82" s="44">
        <f t="array" ref="DG82">IF(DG$3&gt;'GAAP Summary'!$B$2,0,SUM(INDIRECT(XLOOKUP(DG$3,'TTM Dates'!$B:$B,'TTM Dates'!$E:$E)&amp;ROW($BW82)&amp;":"&amp;XLOOKUP(DG$3,'TTM Dates'!$B:$B,'TTM Dates'!$C:$C)&amp;ROW($BW82))))</f>
        <v>0</v>
      </c>
      <c r="DH82" s="44">
        <f t="array" ref="DH82">IF(DH$3&gt;'GAAP Summary'!$B$2,0,SUM(INDIRECT(XLOOKUP(DH$3,'TTM Dates'!$B:$B,'TTM Dates'!$E:$E)&amp;ROW($BW82)&amp;":"&amp;XLOOKUP(DH$3,'TTM Dates'!$B:$B,'TTM Dates'!$C:$C)&amp;ROW($BW82))))</f>
        <v>0</v>
      </c>
      <c r="DI82" s="44">
        <f t="array" ref="DI82">IF(DI$3&gt;'GAAP Summary'!$B$2,0,SUM(INDIRECT(XLOOKUP(DI$3,'TTM Dates'!$B:$B,'TTM Dates'!$E:$E)&amp;ROW($BW82)&amp;":"&amp;XLOOKUP(DI$3,'TTM Dates'!$B:$B,'TTM Dates'!$C:$C)&amp;ROW($BW82))))</f>
        <v>0</v>
      </c>
      <c r="DJ82" s="44">
        <f t="array" ref="DJ82">IF(DJ$3&gt;'GAAP Summary'!$B$2,0,SUM(INDIRECT(XLOOKUP(DJ$3,'TTM Dates'!$B:$B,'TTM Dates'!$E:$E)&amp;ROW($BW82)&amp;":"&amp;XLOOKUP(DJ$3,'TTM Dates'!$B:$B,'TTM Dates'!$C:$C)&amp;ROW($BW82))))</f>
        <v>0</v>
      </c>
      <c r="DK82" s="44">
        <f t="array" ref="DK82">IF(DK$3&gt;'GAAP Summary'!$B$2,0,SUM(INDIRECT(XLOOKUP(DK$3,'TTM Dates'!$B:$B,'TTM Dates'!$E:$E)&amp;ROW($BW82)&amp;":"&amp;XLOOKUP(DK$3,'TTM Dates'!$B:$B,'TTM Dates'!$C:$C)&amp;ROW($BW82))))</f>
        <v>0</v>
      </c>
      <c r="DL82" s="44">
        <f t="array" ref="DL82">IF(DL$3&gt;'GAAP Summary'!$B$2,0,SUM(INDIRECT(XLOOKUP(DL$3,'TTM Dates'!$B:$B,'TTM Dates'!$E:$E)&amp;ROW($BW82)&amp;":"&amp;XLOOKUP(DL$3,'TTM Dates'!$B:$B,'TTM Dates'!$C:$C)&amp;ROW($BW82))))</f>
        <v>0</v>
      </c>
      <c r="DM82" s="44">
        <f t="array" ref="DM82">IF(DM$3&gt;'GAAP Summary'!$B$2,0,SUM(INDIRECT(XLOOKUP(DM$3,'TTM Dates'!$B:$B,'TTM Dates'!$E:$E)&amp;ROW($BW82)&amp;":"&amp;XLOOKUP(DM$3,'TTM Dates'!$B:$B,'TTM Dates'!$C:$C)&amp;ROW($BW82))))</f>
        <v>0</v>
      </c>
      <c r="DN82" s="44">
        <f t="array" ref="DN82">IF(DN$3&gt;'GAAP Summary'!$B$2,0,SUM(INDIRECT(XLOOKUP(DN$3,'TTM Dates'!$B:$B,'TTM Dates'!$E:$E)&amp;ROW($BW82)&amp;":"&amp;XLOOKUP(DN$3,'TTM Dates'!$B:$B,'TTM Dates'!$C:$C)&amp;ROW($BW82))))</f>
        <v>0</v>
      </c>
      <c r="DO82" s="44">
        <f t="array" ref="DO82">IF(DO$3&gt;'GAAP Summary'!$B$2,0,SUM(INDIRECT(XLOOKUP(DO$3,'TTM Dates'!$B:$B,'TTM Dates'!$E:$E)&amp;ROW($BW82)&amp;":"&amp;XLOOKUP(DO$3,'TTM Dates'!$B:$B,'TTM Dates'!$C:$C)&amp;ROW($BW82))))</f>
        <v>0</v>
      </c>
      <c r="DP82" s="44">
        <f t="array" ref="DP82">IF(DP$3&gt;'GAAP Summary'!$B$2,0,SUM(INDIRECT(XLOOKUP(DP$3,'TTM Dates'!$B:$B,'TTM Dates'!$E:$E)&amp;ROW($BW82)&amp;":"&amp;XLOOKUP(DP$3,'TTM Dates'!$B:$B,'TTM Dates'!$C:$C)&amp;ROW($BW82))))</f>
        <v>0</v>
      </c>
      <c r="DQ82" s="44">
        <f t="array" ref="DQ82">IF(DQ$3&gt;'GAAP Summary'!$B$2,0,SUM(INDIRECT(XLOOKUP(DQ$3,'TTM Dates'!$B:$B,'TTM Dates'!$E:$E)&amp;ROW($BW82)&amp;":"&amp;XLOOKUP(DQ$3,'TTM Dates'!$B:$B,'TTM Dates'!$C:$C)&amp;ROW($BW82))))</f>
        <v>0</v>
      </c>
      <c r="DR82" s="44">
        <f t="array" ref="DR82">IF(DR$3&gt;'GAAP Summary'!$B$2,0,SUM(INDIRECT(XLOOKUP(DR$3,'TTM Dates'!$B:$B,'TTM Dates'!$E:$E)&amp;ROW($BW82)&amp;":"&amp;XLOOKUP(DR$3,'TTM Dates'!$B:$B,'TTM Dates'!$C:$C)&amp;ROW($BW82))))</f>
        <v>0</v>
      </c>
      <c r="DS82" s="44">
        <f t="array" ref="DS82">IF(DS$3&gt;'GAAP Summary'!$B$2,0,SUM(INDIRECT(XLOOKUP(DS$3,'TTM Dates'!$B:$B,'TTM Dates'!$E:$E)&amp;ROW($BW82)&amp;":"&amp;XLOOKUP(DS$3,'TTM Dates'!$B:$B,'TTM Dates'!$C:$C)&amp;ROW($BW82))))</f>
        <v>0</v>
      </c>
      <c r="DT82" s="44">
        <f t="array" ref="DT82">IF(DT$3&gt;'GAAP Summary'!$B$2,0,SUM(INDIRECT(XLOOKUP(DT$3,'TTM Dates'!$B:$B,'TTM Dates'!$E:$E)&amp;ROW($BW82)&amp;":"&amp;XLOOKUP(DT$3,'TTM Dates'!$B:$B,'TTM Dates'!$C:$C)&amp;ROW($BW82))))</f>
        <v>0</v>
      </c>
      <c r="DU82" s="44">
        <f t="array" ref="DU82">IF(DU$3&gt;'GAAP Summary'!$B$2,0,SUM(INDIRECT(XLOOKUP(DU$3,'TTM Dates'!$B:$B,'TTM Dates'!$E:$E)&amp;ROW($BW82)&amp;":"&amp;XLOOKUP(DU$3,'TTM Dates'!$B:$B,'TTM Dates'!$C:$C)&amp;ROW($BW82))))</f>
        <v>0</v>
      </c>
      <c r="DV82" s="44">
        <f t="array" ref="DV82">IF(DV$3&gt;'GAAP Summary'!$B$2,0,SUM(INDIRECT(XLOOKUP(DV$3,'TTM Dates'!$B:$B,'TTM Dates'!$E:$E)&amp;ROW($BW82)&amp;":"&amp;XLOOKUP(DV$3,'TTM Dates'!$B:$B,'TTM Dates'!$C:$C)&amp;ROW($BW82))))</f>
        <v>0</v>
      </c>
      <c r="DW82" s="44">
        <f t="array" ref="DW82">IF(DW$3&gt;'GAAP Summary'!$B$2,0,SUM(INDIRECT(XLOOKUP(DW$3,'TTM Dates'!$B:$B,'TTM Dates'!$E:$E)&amp;ROW($BW82)&amp;":"&amp;XLOOKUP(DW$3,'TTM Dates'!$B:$B,'TTM Dates'!$C:$C)&amp;ROW($BW82))))</f>
        <v>0</v>
      </c>
      <c r="DX82" s="44">
        <f t="array" ref="DX82">IF(DX$3&gt;'GAAP Summary'!$B$2,0,SUM(INDIRECT(XLOOKUP(DX$3,'TTM Dates'!$B:$B,'TTM Dates'!$E:$E)&amp;ROW($BW82)&amp;":"&amp;XLOOKUP(DX$3,'TTM Dates'!$B:$B,'TTM Dates'!$C:$C)&amp;ROW($BW82))))</f>
        <v>0</v>
      </c>
      <c r="DY82" s="44">
        <f t="array" ref="DY82">IF(DY$3&gt;'GAAP Summary'!$B$2,0,SUM(INDIRECT(XLOOKUP(DY$3,'TTM Dates'!$B:$B,'TTM Dates'!$E:$E)&amp;ROW($BW82)&amp;":"&amp;XLOOKUP(DY$3,'TTM Dates'!$B:$B,'TTM Dates'!$C:$C)&amp;ROW($BW82))))</f>
        <v>0</v>
      </c>
      <c r="DZ82" s="44">
        <f t="array" ref="DZ82">IF(DZ$3&gt;'GAAP Summary'!$B$2,0,SUM(INDIRECT(XLOOKUP(DZ$3,'TTM Dates'!$B:$B,'TTM Dates'!$E:$E)&amp;ROW($BW82)&amp;":"&amp;XLOOKUP(DZ$3,'TTM Dates'!$B:$B,'TTM Dates'!$C:$C)&amp;ROW($BW82))))</f>
        <v>0</v>
      </c>
      <c r="EA82" s="44">
        <f t="array" ref="EA82">IF(EA$3&gt;'GAAP Summary'!$B$2,0,SUM(INDIRECT(XLOOKUP(EA$3,'TTM Dates'!$B:$B,'TTM Dates'!$E:$E)&amp;ROW($BW82)&amp;":"&amp;XLOOKUP(EA$3,'TTM Dates'!$B:$B,'TTM Dates'!$C:$C)&amp;ROW($BW82))))</f>
        <v>0</v>
      </c>
      <c r="EB82" s="44">
        <f t="array" ref="EB82">IF(EB$3&gt;'GAAP Summary'!$B$2,0,SUM(INDIRECT(XLOOKUP(EB$3,'TTM Dates'!$B:$B,'TTM Dates'!$E:$E)&amp;ROW($BW82)&amp;":"&amp;XLOOKUP(EB$3,'TTM Dates'!$B:$B,'TTM Dates'!$C:$C)&amp;ROW($BW82))))</f>
        <v>0</v>
      </c>
      <c r="EC82" s="44">
        <f t="array" ref="EC82">IF(EC$3&gt;'GAAP Summary'!$B$2,0,SUM(INDIRECT(XLOOKUP(EC$3,'TTM Dates'!$B:$B,'TTM Dates'!$E:$E)&amp;ROW($BW82)&amp;":"&amp;XLOOKUP(EC$3,'TTM Dates'!$B:$B,'TTM Dates'!$C:$C)&amp;ROW($BW82))))</f>
        <v>0</v>
      </c>
      <c r="ED82" s="44">
        <f t="array" ref="ED82">IF(ED$3&gt;'GAAP Summary'!$B$2,0,SUM(INDIRECT(XLOOKUP(ED$3,'TTM Dates'!$B:$B,'TTM Dates'!$E:$E)&amp;ROW($BW82)&amp;":"&amp;XLOOKUP(ED$3,'TTM Dates'!$B:$B,'TTM Dates'!$C:$C)&amp;ROW($BW82))))</f>
        <v>0</v>
      </c>
      <c r="EE82" s="44">
        <f t="array" ref="EE82">IF(EE$3&gt;'GAAP Summary'!$B$2,0,SUM(INDIRECT(XLOOKUP(EE$3,'TTM Dates'!$B:$B,'TTM Dates'!$E:$E)&amp;ROW($BW82)&amp;":"&amp;XLOOKUP(EE$3,'TTM Dates'!$B:$B,'TTM Dates'!$C:$C)&amp;ROW($BW82))))</f>
        <v>0</v>
      </c>
      <c r="EF82" s="44">
        <f t="array" ref="EF82">IF(EF$3&gt;'GAAP Summary'!$B$2,0,SUM(INDIRECT(XLOOKUP(EF$3,'TTM Dates'!$B:$B,'TTM Dates'!$E:$E)&amp;ROW($BW82)&amp;":"&amp;XLOOKUP(EF$3,'TTM Dates'!$B:$B,'TTM Dates'!$C:$C)&amp;ROW($BW82))))</f>
        <v>0</v>
      </c>
      <c r="EG82" s="44">
        <f t="array" ref="EG82">IF(EG$3&gt;'GAAP Summary'!$B$2,0,SUM(INDIRECT(XLOOKUP(EG$3,'TTM Dates'!$B:$B,'TTM Dates'!$E:$E)&amp;ROW($BW82)&amp;":"&amp;XLOOKUP(EG$3,'TTM Dates'!$B:$B,'TTM Dates'!$C:$C)&amp;ROW($BW82))))</f>
        <v>0</v>
      </c>
      <c r="EH82" s="44">
        <f t="array" ref="EH82">IF(EH$3&gt;'GAAP Summary'!$B$2,0,SUM(INDIRECT(XLOOKUP(EH$3,'TTM Dates'!$B:$B,'TTM Dates'!$E:$E)&amp;ROW($BW82)&amp;":"&amp;XLOOKUP(EH$3,'TTM Dates'!$B:$B,'TTM Dates'!$C:$C)&amp;ROW($BW82))))</f>
        <v>0</v>
      </c>
      <c r="EI82" s="44">
        <f t="array" ref="EI82">IF(EI$3&gt;'GAAP Summary'!$B$2,0,SUM(INDIRECT(XLOOKUP(EI$3,'TTM Dates'!$B:$B,'TTM Dates'!$E:$E)&amp;ROW($BW82)&amp;":"&amp;XLOOKUP(EI$3,'TTM Dates'!$B:$B,'TTM Dates'!$C:$C)&amp;ROW($BW82))))</f>
        <v>0</v>
      </c>
      <c r="EJ82" s="44">
        <f t="array" ref="EJ82">IF(EJ$3&gt;'GAAP Summary'!$B$2,0,SUM(INDIRECT(XLOOKUP(EJ$3,'TTM Dates'!$B:$B,'TTM Dates'!$E:$E)&amp;ROW($BW82)&amp;":"&amp;XLOOKUP(EJ$3,'TTM Dates'!$B:$B,'TTM Dates'!$C:$C)&amp;ROW($BW82))))</f>
        <v>0</v>
      </c>
      <c r="EK82" s="44">
        <f t="array" ref="EK82">IF(EK$3&gt;'GAAP Summary'!$B$2,0,SUM(INDIRECT(XLOOKUP(EK$3,'TTM Dates'!$B:$B,'TTM Dates'!$E:$E)&amp;ROW($BW82)&amp;":"&amp;XLOOKUP(EK$3,'TTM Dates'!$B:$B,'TTM Dates'!$C:$C)&amp;ROW($BW82))))</f>
        <v>0</v>
      </c>
      <c r="EL82" s="44">
        <f t="array" ref="EL82">IF(EL$3&gt;'GAAP Summary'!$B$2,0,SUM(INDIRECT(XLOOKUP(EL$3,'TTM Dates'!$B:$B,'TTM Dates'!$E:$E)&amp;ROW($BW82)&amp;":"&amp;XLOOKUP(EL$3,'TTM Dates'!$B:$B,'TTM Dates'!$C:$C)&amp;ROW($BW82))))</f>
        <v>0</v>
      </c>
      <c r="EM82" s="44">
        <f t="array" ref="EM82">IF(EM$3&gt;'GAAP Summary'!$B$2,0,SUM(INDIRECT(XLOOKUP(EM$3,'TTM Dates'!$B:$B,'TTM Dates'!$E:$E)&amp;ROW($BW82)&amp;":"&amp;XLOOKUP(EM$3,'TTM Dates'!$B:$B,'TTM Dates'!$C:$C)&amp;ROW($BW82))))</f>
        <v>0</v>
      </c>
      <c r="EN82" s="44">
        <f t="array" ref="EN82">IF(EN$3&gt;'GAAP Summary'!$B$2,0,SUM(INDIRECT(XLOOKUP(EN$3,'TTM Dates'!$B:$B,'TTM Dates'!$E:$E)&amp;ROW($BW82)&amp;":"&amp;XLOOKUP(EN$3,'TTM Dates'!$B:$B,'TTM Dates'!$C:$C)&amp;ROW($BW82))))</f>
        <v>0</v>
      </c>
      <c r="EO82" s="44">
        <f t="array" ref="EO82">IF(EO$3&gt;'GAAP Summary'!$B$2,0,SUM(INDIRECT(XLOOKUP(EO$3,'TTM Dates'!$B:$B,'TTM Dates'!$E:$E)&amp;ROW($BW82)&amp;":"&amp;XLOOKUP(EO$3,'TTM Dates'!$B:$B,'TTM Dates'!$C:$C)&amp;ROW($BW82))))</f>
        <v>0</v>
      </c>
      <c r="EP82" s="44">
        <f t="array" ref="EP82">IF(EP$3&gt;'GAAP Summary'!$B$2,0,SUM(INDIRECT(XLOOKUP(EP$3,'TTM Dates'!$B:$B,'TTM Dates'!$E:$E)&amp;ROW($BW82)&amp;":"&amp;XLOOKUP(EP$3,'TTM Dates'!$B:$B,'TTM Dates'!$C:$C)&amp;ROW($BW82))))</f>
        <v>0</v>
      </c>
      <c r="EQ82" s="44">
        <f t="array" ref="EQ82">IF(EQ$3&gt;'GAAP Summary'!$B$2,0,SUM(INDIRECT(XLOOKUP(EQ$3,'TTM Dates'!$B:$B,'TTM Dates'!$E:$E)&amp;ROW($BW82)&amp;":"&amp;XLOOKUP(EQ$3,'TTM Dates'!$B:$B,'TTM Dates'!$C:$C)&amp;ROW($BW82))))</f>
        <v>0</v>
      </c>
      <c r="ER82" s="44">
        <f t="array" ref="ER82">IF(ER$3&gt;'GAAP Summary'!$B$2,0,SUM(INDIRECT(XLOOKUP(ER$3,'TTM Dates'!$B:$B,'TTM Dates'!$E:$E)&amp;ROW($BW82)&amp;":"&amp;XLOOKUP(ER$3,'TTM Dates'!$B:$B,'TTM Dates'!$C:$C)&amp;ROW($BW82))))</f>
        <v>0</v>
      </c>
      <c r="ES82" s="44">
        <f t="array" ref="ES82">IF(ES$3&gt;'GAAP Summary'!$B$2,0,SUM(INDIRECT(XLOOKUP(ES$3,'TTM Dates'!$B:$B,'TTM Dates'!$E:$E)&amp;ROW($BW82)&amp;":"&amp;XLOOKUP(ES$3,'TTM Dates'!$B:$B,'TTM Dates'!$C:$C)&amp;ROW($BW82))))</f>
        <v>0</v>
      </c>
      <c r="ET82" s="44">
        <f t="array" ref="ET82">IF(ET$3&gt;'GAAP Summary'!$B$2,0,SUM(INDIRECT(XLOOKUP(ET$3,'TTM Dates'!$B:$B,'TTM Dates'!$E:$E)&amp;ROW($BW82)&amp;":"&amp;XLOOKUP(ET$3,'TTM Dates'!$B:$B,'TTM Dates'!$C:$C)&amp;ROW($BW82))))</f>
        <v>0</v>
      </c>
      <c r="EU82" s="44">
        <f t="array" ref="EU82">IF(EU$3&gt;'GAAP Summary'!$B$2,0,SUM(INDIRECT(XLOOKUP(EU$3,'TTM Dates'!$B:$B,'TTM Dates'!$E:$E)&amp;ROW($BW82)&amp;":"&amp;XLOOKUP(EU$3,'TTM Dates'!$B:$B,'TTM Dates'!$C:$C)&amp;ROW($BW82))))</f>
        <v>0</v>
      </c>
      <c r="EV82" s="44">
        <f t="array" ref="EV82">IF(EV$3&gt;'GAAP Summary'!$B$2,0,SUM(INDIRECT(XLOOKUP(EV$3,'TTM Dates'!$B:$B,'TTM Dates'!$E:$E)&amp;ROW($BW82)&amp;":"&amp;XLOOKUP(EV$3,'TTM Dates'!$B:$B,'TTM Dates'!$C:$C)&amp;ROW($BW82))))</f>
        <v>0</v>
      </c>
      <c r="EW82" s="44">
        <f t="array" ref="EW82">IF(EW$3&gt;'GAAP Summary'!$B$2,0,SUM(INDIRECT(XLOOKUP(EW$3,'TTM Dates'!$B:$B,'TTM Dates'!$E:$E)&amp;ROW($BW82)&amp;":"&amp;XLOOKUP(EW$3,'TTM Dates'!$B:$B,'TTM Dates'!$C:$C)&amp;ROW($BW82))))</f>
        <v>0</v>
      </c>
      <c r="EX82" s="44">
        <f t="array" ref="EX82">IF(EX$3&gt;'GAAP Summary'!$B$2,0,SUM(INDIRECT(XLOOKUP(EX$3,'TTM Dates'!$B:$B,'TTM Dates'!$E:$E)&amp;ROW($BW82)&amp;":"&amp;XLOOKUP(EX$3,'TTM Dates'!$B:$B,'TTM Dates'!$C:$C)&amp;ROW($BW82))))</f>
        <v>0</v>
      </c>
      <c r="EY82" s="44">
        <f t="array" ref="EY82">IF(EY$3&gt;'GAAP Summary'!$B$2,0,SUM(INDIRECT(XLOOKUP(EY$3,'TTM Dates'!$B:$B,'TTM Dates'!$E:$E)&amp;ROW($BW82)&amp;":"&amp;XLOOKUP(EY$3,'TTM Dates'!$B:$B,'TTM Dates'!$C:$C)&amp;ROW($BW82))))</f>
        <v>0</v>
      </c>
      <c r="EZ82" s="44">
        <f t="array" ref="EZ82">IF(EZ$3&gt;'GAAP Summary'!$B$2,0,SUM(INDIRECT(XLOOKUP(EZ$3,'TTM Dates'!$B:$B,'TTM Dates'!$E:$E)&amp;ROW($BW82)&amp;":"&amp;XLOOKUP(EZ$3,'TTM Dates'!$B:$B,'TTM Dates'!$C:$C)&amp;ROW($BW82))))</f>
        <v>0</v>
      </c>
      <c r="FA82" s="44">
        <f t="array" ref="FA82">IF(FA$3&gt;'GAAP Summary'!$B$2,0,SUM(INDIRECT(XLOOKUP(FA$3,'TTM Dates'!$B:$B,'TTM Dates'!$E:$E)&amp;ROW($BW82)&amp;":"&amp;XLOOKUP(FA$3,'TTM Dates'!$B:$B,'TTM Dates'!$C:$C)&amp;ROW($BW82))))</f>
        <v>0</v>
      </c>
      <c r="FB82" s="44">
        <f t="array" ref="FB82">IF(FB$3&gt;'GAAP Summary'!$B$2,0,SUM(INDIRECT(XLOOKUP(FB$3,'TTM Dates'!$B:$B,'TTM Dates'!$E:$E)&amp;ROW($BW82)&amp;":"&amp;XLOOKUP(FB$3,'TTM Dates'!$B:$B,'TTM Dates'!$C:$C)&amp;ROW($BW82))))</f>
        <v>0</v>
      </c>
      <c r="FC82" s="44">
        <f t="array" ref="FC82">IF(FC$3&gt;'GAAP Summary'!$B$2,0,SUM(INDIRECT(XLOOKUP(FC$3,'TTM Dates'!$B:$B,'TTM Dates'!$E:$E)&amp;ROW($BW82)&amp;":"&amp;XLOOKUP(FC$3,'TTM Dates'!$B:$B,'TTM Dates'!$C:$C)&amp;ROW($BW82))))</f>
        <v>0</v>
      </c>
      <c r="FD82" s="44">
        <f t="array" ref="FD82">IF(FD$3&gt;'GAAP Summary'!$B$2,0,SUM(INDIRECT(XLOOKUP(FD$3,'TTM Dates'!$B:$B,'TTM Dates'!$E:$E)&amp;ROW($BW82)&amp;":"&amp;XLOOKUP(FD$3,'TTM Dates'!$B:$B,'TTM Dates'!$C:$C)&amp;ROW($BW82))))</f>
        <v>0</v>
      </c>
      <c r="FE82" s="44">
        <f t="array" ref="FE82">IF(FE$3&gt;'GAAP Summary'!$B$2,0,SUM(INDIRECT(XLOOKUP(FE$3,'TTM Dates'!$B:$B,'TTM Dates'!$E:$E)&amp;ROW($BW82)&amp;":"&amp;XLOOKUP(FE$3,'TTM Dates'!$B:$B,'TTM Dates'!$C:$C)&amp;ROW($BW82))))</f>
        <v>0</v>
      </c>
      <c r="FF82" s="44">
        <f t="array" ref="FF82">IF(FF$3&gt;'GAAP Summary'!$B$2,0,SUM(INDIRECT(XLOOKUP(FF$3,'TTM Dates'!$B:$B,'TTM Dates'!$E:$E)&amp;ROW($BW82)&amp;":"&amp;XLOOKUP(FF$3,'TTM Dates'!$B:$B,'TTM Dates'!$C:$C)&amp;ROW($BW82))))</f>
        <v>0</v>
      </c>
      <c r="FG82" s="44">
        <f t="array" ref="FG82">IF(FG$3&gt;'GAAP Summary'!$B$2,0,SUM(INDIRECT(XLOOKUP(FG$3,'TTM Dates'!$B:$B,'TTM Dates'!$E:$E)&amp;ROW($BW82)&amp;":"&amp;XLOOKUP(FG$3,'TTM Dates'!$B:$B,'TTM Dates'!$C:$C)&amp;ROW($BW82))))</f>
        <v>0</v>
      </c>
      <c r="FH82" s="44"/>
    </row>
    <row r="83" outlineLevel="1">
      <c r="B83" s="135" t="s">
        <v>510</v>
      </c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202"/>
      <c r="AN83" s="202"/>
      <c r="AO83" s="202"/>
      <c r="AP83" s="202"/>
      <c r="AQ83" s="202"/>
      <c r="AR83" s="202"/>
      <c r="AS83" s="202"/>
      <c r="AT83" s="202"/>
      <c r="AU83" s="202"/>
      <c r="AV83" s="202"/>
      <c r="AW83" s="202"/>
      <c r="AX83" s="337"/>
      <c r="AY83" s="337"/>
      <c r="AZ83" s="337"/>
      <c r="BA83" s="337"/>
      <c r="BB83" s="337"/>
      <c r="BC83" s="337"/>
      <c r="BD83" s="337"/>
      <c r="BE83" s="337"/>
      <c r="BF83" s="337"/>
      <c r="BG83" s="337"/>
      <c r="BH83" s="337"/>
      <c r="BI83" s="337"/>
      <c r="BJ83" s="337"/>
      <c r="BK83" s="337"/>
      <c r="BL83" s="337"/>
      <c r="BM83" s="337"/>
      <c r="BN83" s="337"/>
      <c r="BO83" s="337"/>
      <c r="BP83" s="337"/>
      <c r="BQ83" s="337"/>
      <c r="BR83" s="337"/>
      <c r="BS83" s="337"/>
      <c r="BT83" s="337"/>
      <c r="BU83" s="337"/>
      <c r="BV83" s="337"/>
      <c r="BW83" s="33"/>
      <c r="BX83" s="288" t="str">
        <f t="array" ref="BX83">SUM(INDIRECT(XLOOKUP('GAAP Summary'!$B$2,'TTM Dates'!$B:$B,'TTM Dates'!$E:$E)&amp;ROW($BW83)&amp;":"&amp;XLOOKUP('GAAP Summary'!$B$2,'TTM Dates'!$B:$B,'TTM Dates'!$C:$C)&amp;ROW($BW83)))</f>
        <v>#REF!</v>
      </c>
      <c r="BY83" s="351"/>
      <c r="BZ83" s="366">
        <f t="shared" si="104"/>
        <v>0</v>
      </c>
      <c r="CA83" s="366">
        <f t="shared" si="105"/>
        <v>0</v>
      </c>
      <c r="CB83" s="366">
        <f t="shared" si="106"/>
        <v>0</v>
      </c>
      <c r="CC83" s="366">
        <f t="shared" si="107"/>
        <v>0</v>
      </c>
      <c r="CD83" s="367">
        <f t="shared" si="108"/>
        <v>0</v>
      </c>
      <c r="CE83" s="351"/>
      <c r="CF83" s="366">
        <f t="shared" si="109"/>
        <v>0</v>
      </c>
      <c r="CG83" s="366">
        <f t="shared" si="110"/>
        <v>0</v>
      </c>
      <c r="CH83" s="366">
        <f t="shared" si="111"/>
        <v>0</v>
      </c>
      <c r="CI83" s="366">
        <f t="shared" si="112"/>
        <v>0</v>
      </c>
      <c r="CJ83" s="367">
        <f t="shared" si="113"/>
        <v>0</v>
      </c>
      <c r="CK83" s="366"/>
      <c r="CL83" s="366">
        <f t="shared" si="114"/>
        <v>0</v>
      </c>
      <c r="CM83" s="366">
        <f t="shared" si="115"/>
        <v>0</v>
      </c>
      <c r="CN83" s="366">
        <f t="shared" si="116"/>
        <v>0</v>
      </c>
      <c r="CO83" s="366">
        <f t="shared" si="117"/>
        <v>0</v>
      </c>
      <c r="CP83" s="367">
        <f t="shared" si="118"/>
        <v>0</v>
      </c>
      <c r="CQ83" s="366"/>
      <c r="CR83" s="366"/>
      <c r="CS83" s="366"/>
      <c r="CT83" s="366"/>
      <c r="CU83" s="366"/>
      <c r="CV83" s="367"/>
      <c r="CW83" s="366"/>
      <c r="CX83" s="367"/>
      <c r="CY83" s="44"/>
      <c r="CZ83" s="44">
        <f t="array" ref="CZ83">IF(CZ$3&gt;'GAAP Summary'!$B$2,0,SUM(INDIRECT(XLOOKUP(CZ$3,'TTM Dates'!$B:$B,'TTM Dates'!$E:$E)&amp;ROW($BW83)&amp;":"&amp;XLOOKUP(CZ$3,'TTM Dates'!$B:$B,'TTM Dates'!$C:$C)&amp;ROW($BW83))))</f>
        <v>0</v>
      </c>
      <c r="DA83" s="44">
        <f t="array" ref="DA83">IF(DA$3&gt;'GAAP Summary'!$B$2,0,SUM(INDIRECT(XLOOKUP(DA$3,'TTM Dates'!$B:$B,'TTM Dates'!$E:$E)&amp;ROW($BW83)&amp;":"&amp;XLOOKUP(DA$3,'TTM Dates'!$B:$B,'TTM Dates'!$C:$C)&amp;ROW($BW83))))</f>
        <v>0</v>
      </c>
      <c r="DB83" s="44">
        <f t="array" ref="DB83">IF(DB$3&gt;'GAAP Summary'!$B$2,0,SUM(INDIRECT(XLOOKUP(DB$3,'TTM Dates'!$B:$B,'TTM Dates'!$E:$E)&amp;ROW($BW83)&amp;":"&amp;XLOOKUP(DB$3,'TTM Dates'!$B:$B,'TTM Dates'!$C:$C)&amp;ROW($BW83))))</f>
        <v>0</v>
      </c>
      <c r="DC83" s="44">
        <f t="array" ref="DC83">IF(DC$3&gt;'GAAP Summary'!$B$2,0,SUM(INDIRECT(XLOOKUP(DC$3,'TTM Dates'!$B:$B,'TTM Dates'!$E:$E)&amp;ROW($BW83)&amp;":"&amp;XLOOKUP(DC$3,'TTM Dates'!$B:$B,'TTM Dates'!$C:$C)&amp;ROW($BW83))))</f>
        <v>0</v>
      </c>
      <c r="DD83" s="44">
        <f t="array" ref="DD83">IF(DD$3&gt;'GAAP Summary'!$B$2,0,SUM(INDIRECT(XLOOKUP(DD$3,'TTM Dates'!$B:$B,'TTM Dates'!$E:$E)&amp;ROW($BW83)&amp;":"&amp;XLOOKUP(DD$3,'TTM Dates'!$B:$B,'TTM Dates'!$C:$C)&amp;ROW($BW83))))</f>
        <v>0</v>
      </c>
      <c r="DE83" s="44">
        <f t="array" ref="DE83">IF(DE$3&gt;'GAAP Summary'!$B$2,0,SUM(INDIRECT(XLOOKUP(DE$3,'TTM Dates'!$B:$B,'TTM Dates'!$E:$E)&amp;ROW($BW83)&amp;":"&amp;XLOOKUP(DE$3,'TTM Dates'!$B:$B,'TTM Dates'!$C:$C)&amp;ROW($BW83))))</f>
        <v>0</v>
      </c>
      <c r="DF83" s="44">
        <f t="array" ref="DF83">IF(DF$3&gt;'GAAP Summary'!$B$2,0,SUM(INDIRECT(XLOOKUP(DF$3,'TTM Dates'!$B:$B,'TTM Dates'!$E:$E)&amp;ROW($BW83)&amp;":"&amp;XLOOKUP(DF$3,'TTM Dates'!$B:$B,'TTM Dates'!$C:$C)&amp;ROW($BW83))))</f>
        <v>0</v>
      </c>
      <c r="DG83" s="44">
        <f t="array" ref="DG83">IF(DG$3&gt;'GAAP Summary'!$B$2,0,SUM(INDIRECT(XLOOKUP(DG$3,'TTM Dates'!$B:$B,'TTM Dates'!$E:$E)&amp;ROW($BW83)&amp;":"&amp;XLOOKUP(DG$3,'TTM Dates'!$B:$B,'TTM Dates'!$C:$C)&amp;ROW($BW83))))</f>
        <v>0</v>
      </c>
      <c r="DH83" s="44">
        <f t="array" ref="DH83">IF(DH$3&gt;'GAAP Summary'!$B$2,0,SUM(INDIRECT(XLOOKUP(DH$3,'TTM Dates'!$B:$B,'TTM Dates'!$E:$E)&amp;ROW($BW83)&amp;":"&amp;XLOOKUP(DH$3,'TTM Dates'!$B:$B,'TTM Dates'!$C:$C)&amp;ROW($BW83))))</f>
        <v>0</v>
      </c>
      <c r="DI83" s="44">
        <f t="array" ref="DI83">IF(DI$3&gt;'GAAP Summary'!$B$2,0,SUM(INDIRECT(XLOOKUP(DI$3,'TTM Dates'!$B:$B,'TTM Dates'!$E:$E)&amp;ROW($BW83)&amp;":"&amp;XLOOKUP(DI$3,'TTM Dates'!$B:$B,'TTM Dates'!$C:$C)&amp;ROW($BW83))))</f>
        <v>0</v>
      </c>
      <c r="DJ83" s="44">
        <f t="array" ref="DJ83">IF(DJ$3&gt;'GAAP Summary'!$B$2,0,SUM(INDIRECT(XLOOKUP(DJ$3,'TTM Dates'!$B:$B,'TTM Dates'!$E:$E)&amp;ROW($BW83)&amp;":"&amp;XLOOKUP(DJ$3,'TTM Dates'!$B:$B,'TTM Dates'!$C:$C)&amp;ROW($BW83))))</f>
        <v>0</v>
      </c>
      <c r="DK83" s="44">
        <f t="array" ref="DK83">IF(DK$3&gt;'GAAP Summary'!$B$2,0,SUM(INDIRECT(XLOOKUP(DK$3,'TTM Dates'!$B:$B,'TTM Dates'!$E:$E)&amp;ROW($BW83)&amp;":"&amp;XLOOKUP(DK$3,'TTM Dates'!$B:$B,'TTM Dates'!$C:$C)&amp;ROW($BW83))))</f>
        <v>0</v>
      </c>
      <c r="DL83" s="44">
        <f t="array" ref="DL83">IF(DL$3&gt;'GAAP Summary'!$B$2,0,SUM(INDIRECT(XLOOKUP(DL$3,'TTM Dates'!$B:$B,'TTM Dates'!$E:$E)&amp;ROW($BW83)&amp;":"&amp;XLOOKUP(DL$3,'TTM Dates'!$B:$B,'TTM Dates'!$C:$C)&amp;ROW($BW83))))</f>
        <v>0</v>
      </c>
      <c r="DM83" s="44">
        <f t="array" ref="DM83">IF(DM$3&gt;'GAAP Summary'!$B$2,0,SUM(INDIRECT(XLOOKUP(DM$3,'TTM Dates'!$B:$B,'TTM Dates'!$E:$E)&amp;ROW($BW83)&amp;":"&amp;XLOOKUP(DM$3,'TTM Dates'!$B:$B,'TTM Dates'!$C:$C)&amp;ROW($BW83))))</f>
        <v>0</v>
      </c>
      <c r="DN83" s="44">
        <f t="array" ref="DN83">IF(DN$3&gt;'GAAP Summary'!$B$2,0,SUM(INDIRECT(XLOOKUP(DN$3,'TTM Dates'!$B:$B,'TTM Dates'!$E:$E)&amp;ROW($BW83)&amp;":"&amp;XLOOKUP(DN$3,'TTM Dates'!$B:$B,'TTM Dates'!$C:$C)&amp;ROW($BW83))))</f>
        <v>0</v>
      </c>
      <c r="DO83" s="44">
        <f t="array" ref="DO83">IF(DO$3&gt;'GAAP Summary'!$B$2,0,SUM(INDIRECT(XLOOKUP(DO$3,'TTM Dates'!$B:$B,'TTM Dates'!$E:$E)&amp;ROW($BW83)&amp;":"&amp;XLOOKUP(DO$3,'TTM Dates'!$B:$B,'TTM Dates'!$C:$C)&amp;ROW($BW83))))</f>
        <v>0</v>
      </c>
      <c r="DP83" s="44">
        <f t="array" ref="DP83">IF(DP$3&gt;'GAAP Summary'!$B$2,0,SUM(INDIRECT(XLOOKUP(DP$3,'TTM Dates'!$B:$B,'TTM Dates'!$E:$E)&amp;ROW($BW83)&amp;":"&amp;XLOOKUP(DP$3,'TTM Dates'!$B:$B,'TTM Dates'!$C:$C)&amp;ROW($BW83))))</f>
        <v>0</v>
      </c>
      <c r="DQ83" s="44">
        <f t="array" ref="DQ83">IF(DQ$3&gt;'GAAP Summary'!$B$2,0,SUM(INDIRECT(XLOOKUP(DQ$3,'TTM Dates'!$B:$B,'TTM Dates'!$E:$E)&amp;ROW($BW83)&amp;":"&amp;XLOOKUP(DQ$3,'TTM Dates'!$B:$B,'TTM Dates'!$C:$C)&amp;ROW($BW83))))</f>
        <v>0</v>
      </c>
      <c r="DR83" s="44">
        <f t="array" ref="DR83">IF(DR$3&gt;'GAAP Summary'!$B$2,0,SUM(INDIRECT(XLOOKUP(DR$3,'TTM Dates'!$B:$B,'TTM Dates'!$E:$E)&amp;ROW($BW83)&amp;":"&amp;XLOOKUP(DR$3,'TTM Dates'!$B:$B,'TTM Dates'!$C:$C)&amp;ROW($BW83))))</f>
        <v>0</v>
      </c>
      <c r="DS83" s="44">
        <f t="array" ref="DS83">IF(DS$3&gt;'GAAP Summary'!$B$2,0,SUM(INDIRECT(XLOOKUP(DS$3,'TTM Dates'!$B:$B,'TTM Dates'!$E:$E)&amp;ROW($BW83)&amp;":"&amp;XLOOKUP(DS$3,'TTM Dates'!$B:$B,'TTM Dates'!$C:$C)&amp;ROW($BW83))))</f>
        <v>0</v>
      </c>
      <c r="DT83" s="44">
        <f t="array" ref="DT83">IF(DT$3&gt;'GAAP Summary'!$B$2,0,SUM(INDIRECT(XLOOKUP(DT$3,'TTM Dates'!$B:$B,'TTM Dates'!$E:$E)&amp;ROW($BW83)&amp;":"&amp;XLOOKUP(DT$3,'TTM Dates'!$B:$B,'TTM Dates'!$C:$C)&amp;ROW($BW83))))</f>
        <v>0</v>
      </c>
      <c r="DU83" s="44">
        <f t="array" ref="DU83">IF(DU$3&gt;'GAAP Summary'!$B$2,0,SUM(INDIRECT(XLOOKUP(DU$3,'TTM Dates'!$B:$B,'TTM Dates'!$E:$E)&amp;ROW($BW83)&amp;":"&amp;XLOOKUP(DU$3,'TTM Dates'!$B:$B,'TTM Dates'!$C:$C)&amp;ROW($BW83))))</f>
        <v>0</v>
      </c>
      <c r="DV83" s="44">
        <f t="array" ref="DV83">IF(DV$3&gt;'GAAP Summary'!$B$2,0,SUM(INDIRECT(XLOOKUP(DV$3,'TTM Dates'!$B:$B,'TTM Dates'!$E:$E)&amp;ROW($BW83)&amp;":"&amp;XLOOKUP(DV$3,'TTM Dates'!$B:$B,'TTM Dates'!$C:$C)&amp;ROW($BW83))))</f>
        <v>0</v>
      </c>
      <c r="DW83" s="44">
        <f t="array" ref="DW83">IF(DW$3&gt;'GAAP Summary'!$B$2,0,SUM(INDIRECT(XLOOKUP(DW$3,'TTM Dates'!$B:$B,'TTM Dates'!$E:$E)&amp;ROW($BW83)&amp;":"&amp;XLOOKUP(DW$3,'TTM Dates'!$B:$B,'TTM Dates'!$C:$C)&amp;ROW($BW83))))</f>
        <v>0</v>
      </c>
      <c r="DX83" s="44">
        <f t="array" ref="DX83">IF(DX$3&gt;'GAAP Summary'!$B$2,0,SUM(INDIRECT(XLOOKUP(DX$3,'TTM Dates'!$B:$B,'TTM Dates'!$E:$E)&amp;ROW($BW83)&amp;":"&amp;XLOOKUP(DX$3,'TTM Dates'!$B:$B,'TTM Dates'!$C:$C)&amp;ROW($BW83))))</f>
        <v>0</v>
      </c>
      <c r="DY83" s="44">
        <f t="array" ref="DY83">IF(DY$3&gt;'GAAP Summary'!$B$2,0,SUM(INDIRECT(XLOOKUP(DY$3,'TTM Dates'!$B:$B,'TTM Dates'!$E:$E)&amp;ROW($BW83)&amp;":"&amp;XLOOKUP(DY$3,'TTM Dates'!$B:$B,'TTM Dates'!$C:$C)&amp;ROW($BW83))))</f>
        <v>0</v>
      </c>
      <c r="DZ83" s="44">
        <f t="array" ref="DZ83">IF(DZ$3&gt;'GAAP Summary'!$B$2,0,SUM(INDIRECT(XLOOKUP(DZ$3,'TTM Dates'!$B:$B,'TTM Dates'!$E:$E)&amp;ROW($BW83)&amp;":"&amp;XLOOKUP(DZ$3,'TTM Dates'!$B:$B,'TTM Dates'!$C:$C)&amp;ROW($BW83))))</f>
        <v>0</v>
      </c>
      <c r="EA83" s="44">
        <f t="array" ref="EA83">IF(EA$3&gt;'GAAP Summary'!$B$2,0,SUM(INDIRECT(XLOOKUP(EA$3,'TTM Dates'!$B:$B,'TTM Dates'!$E:$E)&amp;ROW($BW83)&amp;":"&amp;XLOOKUP(EA$3,'TTM Dates'!$B:$B,'TTM Dates'!$C:$C)&amp;ROW($BW83))))</f>
        <v>0</v>
      </c>
      <c r="EB83" s="44">
        <f t="array" ref="EB83">IF(EB$3&gt;'GAAP Summary'!$B$2,0,SUM(INDIRECT(XLOOKUP(EB$3,'TTM Dates'!$B:$B,'TTM Dates'!$E:$E)&amp;ROW($BW83)&amp;":"&amp;XLOOKUP(EB$3,'TTM Dates'!$B:$B,'TTM Dates'!$C:$C)&amp;ROW($BW83))))</f>
        <v>0</v>
      </c>
      <c r="EC83" s="44">
        <f t="array" ref="EC83">IF(EC$3&gt;'GAAP Summary'!$B$2,0,SUM(INDIRECT(XLOOKUP(EC$3,'TTM Dates'!$B:$B,'TTM Dates'!$E:$E)&amp;ROW($BW83)&amp;":"&amp;XLOOKUP(EC$3,'TTM Dates'!$B:$B,'TTM Dates'!$C:$C)&amp;ROW($BW83))))</f>
        <v>0</v>
      </c>
      <c r="ED83" s="44">
        <f t="array" ref="ED83">IF(ED$3&gt;'GAAP Summary'!$B$2,0,SUM(INDIRECT(XLOOKUP(ED$3,'TTM Dates'!$B:$B,'TTM Dates'!$E:$E)&amp;ROW($BW83)&amp;":"&amp;XLOOKUP(ED$3,'TTM Dates'!$B:$B,'TTM Dates'!$C:$C)&amp;ROW($BW83))))</f>
        <v>0</v>
      </c>
      <c r="EE83" s="44">
        <f t="array" ref="EE83">IF(EE$3&gt;'GAAP Summary'!$B$2,0,SUM(INDIRECT(XLOOKUP(EE$3,'TTM Dates'!$B:$B,'TTM Dates'!$E:$E)&amp;ROW($BW83)&amp;":"&amp;XLOOKUP(EE$3,'TTM Dates'!$B:$B,'TTM Dates'!$C:$C)&amp;ROW($BW83))))</f>
        <v>0</v>
      </c>
      <c r="EF83" s="44">
        <f t="array" ref="EF83">IF(EF$3&gt;'GAAP Summary'!$B$2,0,SUM(INDIRECT(XLOOKUP(EF$3,'TTM Dates'!$B:$B,'TTM Dates'!$E:$E)&amp;ROW($BW83)&amp;":"&amp;XLOOKUP(EF$3,'TTM Dates'!$B:$B,'TTM Dates'!$C:$C)&amp;ROW($BW83))))</f>
        <v>0</v>
      </c>
      <c r="EG83" s="44">
        <f t="array" ref="EG83">IF(EG$3&gt;'GAAP Summary'!$B$2,0,SUM(INDIRECT(XLOOKUP(EG$3,'TTM Dates'!$B:$B,'TTM Dates'!$E:$E)&amp;ROW($BW83)&amp;":"&amp;XLOOKUP(EG$3,'TTM Dates'!$B:$B,'TTM Dates'!$C:$C)&amp;ROW($BW83))))</f>
        <v>0</v>
      </c>
      <c r="EH83" s="44">
        <f t="array" ref="EH83">IF(EH$3&gt;'GAAP Summary'!$B$2,0,SUM(INDIRECT(XLOOKUP(EH$3,'TTM Dates'!$B:$B,'TTM Dates'!$E:$E)&amp;ROW($BW83)&amp;":"&amp;XLOOKUP(EH$3,'TTM Dates'!$B:$B,'TTM Dates'!$C:$C)&amp;ROW($BW83))))</f>
        <v>0</v>
      </c>
      <c r="EI83" s="44">
        <f t="array" ref="EI83">IF(EI$3&gt;'GAAP Summary'!$B$2,0,SUM(INDIRECT(XLOOKUP(EI$3,'TTM Dates'!$B:$B,'TTM Dates'!$E:$E)&amp;ROW($BW83)&amp;":"&amp;XLOOKUP(EI$3,'TTM Dates'!$B:$B,'TTM Dates'!$C:$C)&amp;ROW($BW83))))</f>
        <v>0</v>
      </c>
      <c r="EJ83" s="44">
        <f t="array" ref="EJ83">IF(EJ$3&gt;'GAAP Summary'!$B$2,0,SUM(INDIRECT(XLOOKUP(EJ$3,'TTM Dates'!$B:$B,'TTM Dates'!$E:$E)&amp;ROW($BW83)&amp;":"&amp;XLOOKUP(EJ$3,'TTM Dates'!$B:$B,'TTM Dates'!$C:$C)&amp;ROW($BW83))))</f>
        <v>0</v>
      </c>
      <c r="EK83" s="44">
        <f t="array" ref="EK83">IF(EK$3&gt;'GAAP Summary'!$B$2,0,SUM(INDIRECT(XLOOKUP(EK$3,'TTM Dates'!$B:$B,'TTM Dates'!$E:$E)&amp;ROW($BW83)&amp;":"&amp;XLOOKUP(EK$3,'TTM Dates'!$B:$B,'TTM Dates'!$C:$C)&amp;ROW($BW83))))</f>
        <v>0</v>
      </c>
      <c r="EL83" s="44">
        <f t="array" ref="EL83">IF(EL$3&gt;'GAAP Summary'!$B$2,0,SUM(INDIRECT(XLOOKUP(EL$3,'TTM Dates'!$B:$B,'TTM Dates'!$E:$E)&amp;ROW($BW83)&amp;":"&amp;XLOOKUP(EL$3,'TTM Dates'!$B:$B,'TTM Dates'!$C:$C)&amp;ROW($BW83))))</f>
        <v>0</v>
      </c>
      <c r="EM83" s="44">
        <f t="array" ref="EM83">IF(EM$3&gt;'GAAP Summary'!$B$2,0,SUM(INDIRECT(XLOOKUP(EM$3,'TTM Dates'!$B:$B,'TTM Dates'!$E:$E)&amp;ROW($BW83)&amp;":"&amp;XLOOKUP(EM$3,'TTM Dates'!$B:$B,'TTM Dates'!$C:$C)&amp;ROW($BW83))))</f>
        <v>0</v>
      </c>
      <c r="EN83" s="44">
        <f t="array" ref="EN83">IF(EN$3&gt;'GAAP Summary'!$B$2,0,SUM(INDIRECT(XLOOKUP(EN$3,'TTM Dates'!$B:$B,'TTM Dates'!$E:$E)&amp;ROW($BW83)&amp;":"&amp;XLOOKUP(EN$3,'TTM Dates'!$B:$B,'TTM Dates'!$C:$C)&amp;ROW($BW83))))</f>
        <v>0</v>
      </c>
      <c r="EO83" s="44">
        <f t="array" ref="EO83">IF(EO$3&gt;'GAAP Summary'!$B$2,0,SUM(INDIRECT(XLOOKUP(EO$3,'TTM Dates'!$B:$B,'TTM Dates'!$E:$E)&amp;ROW($BW83)&amp;":"&amp;XLOOKUP(EO$3,'TTM Dates'!$B:$B,'TTM Dates'!$C:$C)&amp;ROW($BW83))))</f>
        <v>0</v>
      </c>
      <c r="EP83" s="44">
        <f t="array" ref="EP83">IF(EP$3&gt;'GAAP Summary'!$B$2,0,SUM(INDIRECT(XLOOKUP(EP$3,'TTM Dates'!$B:$B,'TTM Dates'!$E:$E)&amp;ROW($BW83)&amp;":"&amp;XLOOKUP(EP$3,'TTM Dates'!$B:$B,'TTM Dates'!$C:$C)&amp;ROW($BW83))))</f>
        <v>0</v>
      </c>
      <c r="EQ83" s="44">
        <f t="array" ref="EQ83">IF(EQ$3&gt;'GAAP Summary'!$B$2,0,SUM(INDIRECT(XLOOKUP(EQ$3,'TTM Dates'!$B:$B,'TTM Dates'!$E:$E)&amp;ROW($BW83)&amp;":"&amp;XLOOKUP(EQ$3,'TTM Dates'!$B:$B,'TTM Dates'!$C:$C)&amp;ROW($BW83))))</f>
        <v>0</v>
      </c>
      <c r="ER83" s="44">
        <f t="array" ref="ER83">IF(ER$3&gt;'GAAP Summary'!$B$2,0,SUM(INDIRECT(XLOOKUP(ER$3,'TTM Dates'!$B:$B,'TTM Dates'!$E:$E)&amp;ROW($BW83)&amp;":"&amp;XLOOKUP(ER$3,'TTM Dates'!$B:$B,'TTM Dates'!$C:$C)&amp;ROW($BW83))))</f>
        <v>0</v>
      </c>
      <c r="ES83" s="44">
        <f t="array" ref="ES83">IF(ES$3&gt;'GAAP Summary'!$B$2,0,SUM(INDIRECT(XLOOKUP(ES$3,'TTM Dates'!$B:$B,'TTM Dates'!$E:$E)&amp;ROW($BW83)&amp;":"&amp;XLOOKUP(ES$3,'TTM Dates'!$B:$B,'TTM Dates'!$C:$C)&amp;ROW($BW83))))</f>
        <v>0</v>
      </c>
      <c r="ET83" s="44">
        <f t="array" ref="ET83">IF(ET$3&gt;'GAAP Summary'!$B$2,0,SUM(INDIRECT(XLOOKUP(ET$3,'TTM Dates'!$B:$B,'TTM Dates'!$E:$E)&amp;ROW($BW83)&amp;":"&amp;XLOOKUP(ET$3,'TTM Dates'!$B:$B,'TTM Dates'!$C:$C)&amp;ROW($BW83))))</f>
        <v>0</v>
      </c>
      <c r="EU83" s="44">
        <f t="array" ref="EU83">IF(EU$3&gt;'GAAP Summary'!$B$2,0,SUM(INDIRECT(XLOOKUP(EU$3,'TTM Dates'!$B:$B,'TTM Dates'!$E:$E)&amp;ROW($BW83)&amp;":"&amp;XLOOKUP(EU$3,'TTM Dates'!$B:$B,'TTM Dates'!$C:$C)&amp;ROW($BW83))))</f>
        <v>0</v>
      </c>
      <c r="EV83" s="44">
        <f t="array" ref="EV83">IF(EV$3&gt;'GAAP Summary'!$B$2,0,SUM(INDIRECT(XLOOKUP(EV$3,'TTM Dates'!$B:$B,'TTM Dates'!$E:$E)&amp;ROW($BW83)&amp;":"&amp;XLOOKUP(EV$3,'TTM Dates'!$B:$B,'TTM Dates'!$C:$C)&amp;ROW($BW83))))</f>
        <v>0</v>
      </c>
      <c r="EW83" s="44">
        <f t="array" ref="EW83">IF(EW$3&gt;'GAAP Summary'!$B$2,0,SUM(INDIRECT(XLOOKUP(EW$3,'TTM Dates'!$B:$B,'TTM Dates'!$E:$E)&amp;ROW($BW83)&amp;":"&amp;XLOOKUP(EW$3,'TTM Dates'!$B:$B,'TTM Dates'!$C:$C)&amp;ROW($BW83))))</f>
        <v>0</v>
      </c>
      <c r="EX83" s="44">
        <f t="array" ref="EX83">IF(EX$3&gt;'GAAP Summary'!$B$2,0,SUM(INDIRECT(XLOOKUP(EX$3,'TTM Dates'!$B:$B,'TTM Dates'!$E:$E)&amp;ROW($BW83)&amp;":"&amp;XLOOKUP(EX$3,'TTM Dates'!$B:$B,'TTM Dates'!$C:$C)&amp;ROW($BW83))))</f>
        <v>0</v>
      </c>
      <c r="EY83" s="44">
        <f t="array" ref="EY83">IF(EY$3&gt;'GAAP Summary'!$B$2,0,SUM(INDIRECT(XLOOKUP(EY$3,'TTM Dates'!$B:$B,'TTM Dates'!$E:$E)&amp;ROW($BW83)&amp;":"&amp;XLOOKUP(EY$3,'TTM Dates'!$B:$B,'TTM Dates'!$C:$C)&amp;ROW($BW83))))</f>
        <v>0</v>
      </c>
      <c r="EZ83" s="44">
        <f t="array" ref="EZ83">IF(EZ$3&gt;'GAAP Summary'!$B$2,0,SUM(INDIRECT(XLOOKUP(EZ$3,'TTM Dates'!$B:$B,'TTM Dates'!$E:$E)&amp;ROW($BW83)&amp;":"&amp;XLOOKUP(EZ$3,'TTM Dates'!$B:$B,'TTM Dates'!$C:$C)&amp;ROW($BW83))))</f>
        <v>0</v>
      </c>
      <c r="FA83" s="44">
        <f t="array" ref="FA83">IF(FA$3&gt;'GAAP Summary'!$B$2,0,SUM(INDIRECT(XLOOKUP(FA$3,'TTM Dates'!$B:$B,'TTM Dates'!$E:$E)&amp;ROW($BW83)&amp;":"&amp;XLOOKUP(FA$3,'TTM Dates'!$B:$B,'TTM Dates'!$C:$C)&amp;ROW($BW83))))</f>
        <v>0</v>
      </c>
      <c r="FB83" s="44">
        <f t="array" ref="FB83">IF(FB$3&gt;'GAAP Summary'!$B$2,0,SUM(INDIRECT(XLOOKUP(FB$3,'TTM Dates'!$B:$B,'TTM Dates'!$E:$E)&amp;ROW($BW83)&amp;":"&amp;XLOOKUP(FB$3,'TTM Dates'!$B:$B,'TTM Dates'!$C:$C)&amp;ROW($BW83))))</f>
        <v>0</v>
      </c>
      <c r="FC83" s="44">
        <f t="array" ref="FC83">IF(FC$3&gt;'GAAP Summary'!$B$2,0,SUM(INDIRECT(XLOOKUP(FC$3,'TTM Dates'!$B:$B,'TTM Dates'!$E:$E)&amp;ROW($BW83)&amp;":"&amp;XLOOKUP(FC$3,'TTM Dates'!$B:$B,'TTM Dates'!$C:$C)&amp;ROW($BW83))))</f>
        <v>0</v>
      </c>
      <c r="FD83" s="44">
        <f t="array" ref="FD83">IF(FD$3&gt;'GAAP Summary'!$B$2,0,SUM(INDIRECT(XLOOKUP(FD$3,'TTM Dates'!$B:$B,'TTM Dates'!$E:$E)&amp;ROW($BW83)&amp;":"&amp;XLOOKUP(FD$3,'TTM Dates'!$B:$B,'TTM Dates'!$C:$C)&amp;ROW($BW83))))</f>
        <v>0</v>
      </c>
      <c r="FE83" s="44">
        <f t="array" ref="FE83">IF(FE$3&gt;'GAAP Summary'!$B$2,0,SUM(INDIRECT(XLOOKUP(FE$3,'TTM Dates'!$B:$B,'TTM Dates'!$E:$E)&amp;ROW($BW83)&amp;":"&amp;XLOOKUP(FE$3,'TTM Dates'!$B:$B,'TTM Dates'!$C:$C)&amp;ROW($BW83))))</f>
        <v>0</v>
      </c>
      <c r="FF83" s="44">
        <f t="array" ref="FF83">IF(FF$3&gt;'GAAP Summary'!$B$2,0,SUM(INDIRECT(XLOOKUP(FF$3,'TTM Dates'!$B:$B,'TTM Dates'!$E:$E)&amp;ROW($BW83)&amp;":"&amp;XLOOKUP(FF$3,'TTM Dates'!$B:$B,'TTM Dates'!$C:$C)&amp;ROW($BW83))))</f>
        <v>0</v>
      </c>
      <c r="FG83" s="44">
        <f t="array" ref="FG83">IF(FG$3&gt;'GAAP Summary'!$B$2,0,SUM(INDIRECT(XLOOKUP(FG$3,'TTM Dates'!$B:$B,'TTM Dates'!$E:$E)&amp;ROW($BW83)&amp;":"&amp;XLOOKUP(FG$3,'TTM Dates'!$B:$B,'TTM Dates'!$C:$C)&amp;ROW($BW83))))</f>
        <v>0</v>
      </c>
      <c r="FH83" s="44"/>
    </row>
    <row r="84">
      <c r="BW84" s="33"/>
      <c r="BX84" s="34"/>
      <c r="BY84" s="49"/>
      <c r="CD84" s="34"/>
      <c r="CE84" s="49"/>
      <c r="CJ84" s="34"/>
      <c r="CP84" s="34"/>
      <c r="CV84" s="34"/>
      <c r="CX84" s="34"/>
      <c r="CY84" s="44"/>
      <c r="EI84" s="3"/>
    </row>
    <row r="85">
      <c r="B85" s="371" t="s">
        <v>489</v>
      </c>
      <c r="C85" s="373">
        <f t="shared" ref="C85:BV85" si="125">C18-C33-C71</f>
        <v>0</v>
      </c>
      <c r="D85" s="373">
        <f t="shared" si="125"/>
        <v>0</v>
      </c>
      <c r="E85" s="373">
        <f t="shared" si="125"/>
        <v>0</v>
      </c>
      <c r="F85" s="373">
        <f t="shared" si="125"/>
        <v>0</v>
      </c>
      <c r="G85" s="373">
        <f t="shared" si="125"/>
        <v>0</v>
      </c>
      <c r="H85" s="373">
        <f t="shared" si="125"/>
        <v>0</v>
      </c>
      <c r="I85" s="373">
        <f t="shared" si="125"/>
        <v>0</v>
      </c>
      <c r="J85" s="373">
        <f t="shared" si="125"/>
        <v>0</v>
      </c>
      <c r="K85" s="373">
        <f t="shared" si="125"/>
        <v>0</v>
      </c>
      <c r="L85" s="373">
        <f t="shared" si="125"/>
        <v>0</v>
      </c>
      <c r="M85" s="373">
        <f t="shared" si="125"/>
        <v>0</v>
      </c>
      <c r="N85" s="373">
        <f t="shared" si="125"/>
        <v>0</v>
      </c>
      <c r="O85" s="373">
        <f t="shared" si="125"/>
        <v>0</v>
      </c>
      <c r="P85" s="373">
        <f t="shared" si="125"/>
        <v>0</v>
      </c>
      <c r="Q85" s="373">
        <f t="shared" si="125"/>
        <v>0</v>
      </c>
      <c r="R85" s="373">
        <f t="shared" si="125"/>
        <v>0</v>
      </c>
      <c r="S85" s="373">
        <f t="shared" si="125"/>
        <v>0</v>
      </c>
      <c r="T85" s="373">
        <f t="shared" si="125"/>
        <v>0</v>
      </c>
      <c r="U85" s="373">
        <f t="shared" si="125"/>
        <v>0</v>
      </c>
      <c r="V85" s="373">
        <f t="shared" si="125"/>
        <v>0</v>
      </c>
      <c r="W85" s="373">
        <f t="shared" si="125"/>
        <v>0</v>
      </c>
      <c r="X85" s="373">
        <f t="shared" si="125"/>
        <v>0</v>
      </c>
      <c r="Y85" s="373">
        <f t="shared" si="125"/>
        <v>0</v>
      </c>
      <c r="Z85" s="373">
        <f t="shared" si="125"/>
        <v>0</v>
      </c>
      <c r="AA85" s="373">
        <f t="shared" si="125"/>
        <v>431828</v>
      </c>
      <c r="AB85" s="373">
        <f t="shared" si="125"/>
        <v>163044</v>
      </c>
      <c r="AC85" s="373">
        <f t="shared" si="125"/>
        <v>420372</v>
      </c>
      <c r="AD85" s="373">
        <f t="shared" si="125"/>
        <v>228711</v>
      </c>
      <c r="AE85" s="373">
        <f t="shared" si="125"/>
        <v>304618</v>
      </c>
      <c r="AF85" s="373">
        <f t="shared" si="125"/>
        <v>553120</v>
      </c>
      <c r="AG85" s="373">
        <f t="shared" si="125"/>
        <v>275289</v>
      </c>
      <c r="AH85" s="373">
        <f t="shared" si="125"/>
        <v>920005</v>
      </c>
      <c r="AI85" s="373">
        <f t="shared" si="125"/>
        <v>484152</v>
      </c>
      <c r="AJ85" s="373">
        <f t="shared" si="125"/>
        <v>575891</v>
      </c>
      <c r="AK85" s="373">
        <f t="shared" si="125"/>
        <v>495771</v>
      </c>
      <c r="AL85" s="373">
        <f t="shared" si="125"/>
        <v>-65898</v>
      </c>
      <c r="AM85" s="373">
        <f t="shared" si="125"/>
        <v>570047</v>
      </c>
      <c r="AN85" s="373">
        <f t="shared" si="125"/>
        <v>490180</v>
      </c>
      <c r="AO85" s="373">
        <f t="shared" si="125"/>
        <v>700265</v>
      </c>
      <c r="AP85" s="373">
        <f t="shared" si="125"/>
        <v>179512</v>
      </c>
      <c r="AQ85" s="373">
        <f t="shared" si="125"/>
        <v>301566</v>
      </c>
      <c r="AR85" s="372">
        <f t="shared" si="125"/>
        <v>250667</v>
      </c>
      <c r="AS85" s="372">
        <f t="shared" si="125"/>
        <v>-314813</v>
      </c>
      <c r="AT85" s="372">
        <f t="shared" si="125"/>
        <v>299124</v>
      </c>
      <c r="AU85" s="372">
        <f t="shared" si="125"/>
        <v>-126507</v>
      </c>
      <c r="AV85" s="372">
        <f t="shared" si="125"/>
        <v>73522</v>
      </c>
      <c r="AW85" s="372">
        <f t="shared" si="125"/>
        <v>-111531</v>
      </c>
      <c r="AX85" s="372">
        <f t="shared" si="125"/>
        <v>-209906</v>
      </c>
      <c r="AY85" s="372">
        <f t="shared" si="125"/>
        <v>-432083.87</v>
      </c>
      <c r="AZ85" s="372">
        <f t="shared" si="125"/>
        <v>132584.1</v>
      </c>
      <c r="BA85" s="372">
        <f t="shared" si="125"/>
        <v>-125933.66</v>
      </c>
      <c r="BB85" s="372">
        <f t="shared" si="125"/>
        <v>134996.25</v>
      </c>
      <c r="BC85" s="372">
        <f t="shared" si="125"/>
        <v>-77870.81</v>
      </c>
      <c r="BD85" s="372">
        <f t="shared" si="125"/>
        <v>-198757.63</v>
      </c>
      <c r="BE85" s="372">
        <f t="shared" si="125"/>
        <v>84660.2</v>
      </c>
      <c r="BF85" s="372">
        <f t="shared" si="125"/>
        <v>316897.08</v>
      </c>
      <c r="BG85" s="372">
        <f t="shared" si="125"/>
        <v>151726.5</v>
      </c>
      <c r="BH85" s="372">
        <f t="shared" si="125"/>
        <v>720646.11</v>
      </c>
      <c r="BI85" s="372">
        <f t="shared" si="125"/>
        <v>425682.83</v>
      </c>
      <c r="BJ85" s="372">
        <f t="shared" si="125"/>
        <v>186546.35</v>
      </c>
      <c r="BK85" s="372">
        <f t="shared" si="125"/>
        <v>108370.63</v>
      </c>
      <c r="BL85" s="372">
        <f t="shared" si="125"/>
        <v>365483.25</v>
      </c>
      <c r="BM85" s="372">
        <f t="shared" si="125"/>
        <v>298638.93</v>
      </c>
      <c r="BN85" s="372">
        <f t="shared" si="125"/>
        <v>232672.12</v>
      </c>
      <c r="BO85" s="372">
        <f t="shared" si="125"/>
        <v>-2601.9</v>
      </c>
      <c r="BP85" s="372">
        <f t="shared" si="125"/>
        <v>144062.05</v>
      </c>
      <c r="BQ85" s="372">
        <f t="shared" si="125"/>
        <v>486048.86</v>
      </c>
      <c r="BR85" s="372">
        <f t="shared" si="125"/>
        <v>70532.93</v>
      </c>
      <c r="BS85" s="372">
        <f t="shared" si="125"/>
        <v>0</v>
      </c>
      <c r="BT85" s="372">
        <f t="shared" si="125"/>
        <v>0</v>
      </c>
      <c r="BU85" s="372">
        <f t="shared" si="125"/>
        <v>0</v>
      </c>
      <c r="BV85" s="372">
        <f t="shared" si="125"/>
        <v>0</v>
      </c>
      <c r="BW85" s="129"/>
      <c r="BX85" s="374" t="str">
        <f t="array" ref="BX85">SUM(INDIRECT(XLOOKUP('GAAP Summary'!$B$2,'TTM Dates'!$B:$B,'TTM Dates'!$E:$E)&amp;ROW($BW85)&amp;":"&amp;XLOOKUP('GAAP Summary'!$B$2,'TTM Dates'!$B:$B,'TTM Dates'!$C:$C)&amp;ROW($BW85)))</f>
        <v>#REF!</v>
      </c>
      <c r="BY85" s="49"/>
      <c r="BZ85" s="372">
        <f>sum(BK85:BM85)</f>
        <v>772492.81</v>
      </c>
      <c r="CA85" s="372">
        <f>sum(BN85:BP85)</f>
        <v>374132.27</v>
      </c>
      <c r="CB85" s="372">
        <f>sum(BQ85:BS85)</f>
        <v>556581.79</v>
      </c>
      <c r="CC85" s="372">
        <f>sum(BT85:BV85)</f>
        <v>0</v>
      </c>
      <c r="CD85" s="374">
        <f>sum(BK85:BV85)</f>
        <v>1703206.87</v>
      </c>
      <c r="CE85" s="49"/>
      <c r="CF85" s="372">
        <f>sum(AY85:BA85)</f>
        <v>-425433.43</v>
      </c>
      <c r="CG85" s="372">
        <f>sum(BB85:BD85)</f>
        <v>-141632.19</v>
      </c>
      <c r="CH85" s="372">
        <f>sum(BE85:BG85)</f>
        <v>553283.78</v>
      </c>
      <c r="CI85" s="372">
        <f>sum(BH85:BJ85)</f>
        <v>1332875.29</v>
      </c>
      <c r="CJ85" s="374">
        <f>sum(AY85:BJ85)</f>
        <v>1319093.45</v>
      </c>
      <c r="CK85" s="52" t="str">
        <f>sum(CH85:CI85)/CI11</f>
        <v>#DIV/0!</v>
      </c>
      <c r="CL85" s="372">
        <f>sum(AM85:AO85)</f>
        <v>1760492</v>
      </c>
      <c r="CM85" s="372">
        <f>sum(AP85:AR85)</f>
        <v>731745</v>
      </c>
      <c r="CN85" s="372">
        <f>sum(AS85:AU85)</f>
        <v>-142196</v>
      </c>
      <c r="CO85" s="372">
        <f>sum(AV85:AX85)</f>
        <v>-247915</v>
      </c>
      <c r="CP85" s="374">
        <f>sum(AM85:AX85)</f>
        <v>2102126</v>
      </c>
      <c r="CQ85" s="375"/>
      <c r="CR85" s="372">
        <f>sum(AA85:AC85)</f>
        <v>1015244</v>
      </c>
      <c r="CS85" s="372">
        <f>sum(AD85:AF85)</f>
        <v>1086449</v>
      </c>
      <c r="CT85" s="372">
        <f>sum(AG85:AI85)</f>
        <v>1679446</v>
      </c>
      <c r="CU85" s="372">
        <f>sum(AJ85:AL85)</f>
        <v>1005764</v>
      </c>
      <c r="CV85" s="374">
        <f>sum(CR85:CU85)</f>
        <v>4786903</v>
      </c>
      <c r="CW85" s="375"/>
      <c r="CX85" s="374">
        <f>CX18-CX71</f>
        <v>0</v>
      </c>
      <c r="CY85" s="375"/>
      <c r="CZ85" s="372">
        <f t="array" ref="CZ85">IF(CZ$3&gt;'GAAP Summary'!$B$2,0,SUM(INDIRECT(XLOOKUP(CZ$3,'TTM Dates'!$B:$B,'TTM Dates'!$E:$E)&amp;ROW($BW85)&amp;":"&amp;XLOOKUP(CZ$3,'TTM Dates'!$B:$B,'TTM Dates'!$C:$C)&amp;ROW($BW85))))</f>
        <v>0</v>
      </c>
      <c r="DA85" s="372">
        <f t="array" ref="DA85">IF(DA$3&gt;'GAAP Summary'!$B$2,0,SUM(INDIRECT(XLOOKUP(DA$3,'TTM Dates'!$B:$B,'TTM Dates'!$E:$E)&amp;ROW($BW85)&amp;":"&amp;XLOOKUP(DA$3,'TTM Dates'!$B:$B,'TTM Dates'!$C:$C)&amp;ROW($BW85))))</f>
        <v>0</v>
      </c>
      <c r="DB85" s="372">
        <f t="array" ref="DB85">IF(DB$3&gt;'GAAP Summary'!$B$2,0,SUM(INDIRECT(XLOOKUP(DB$3,'TTM Dates'!$B:$B,'TTM Dates'!$E:$E)&amp;ROW($BW85)&amp;":"&amp;XLOOKUP(DB$3,'TTM Dates'!$B:$B,'TTM Dates'!$C:$C)&amp;ROW($BW85))))</f>
        <v>0</v>
      </c>
      <c r="DC85" s="372">
        <f t="array" ref="DC85">IF(DC$3&gt;'GAAP Summary'!$B$2,0,SUM(INDIRECT(XLOOKUP(DC$3,'TTM Dates'!$B:$B,'TTM Dates'!$E:$E)&amp;ROW($BW85)&amp;":"&amp;XLOOKUP(DC$3,'TTM Dates'!$B:$B,'TTM Dates'!$C:$C)&amp;ROW($BW85))))</f>
        <v>0</v>
      </c>
      <c r="DD85" s="372">
        <f t="array" ref="DD85">IF(DD$3&gt;'GAAP Summary'!$B$2,0,SUM(INDIRECT(XLOOKUP(DD$3,'TTM Dates'!$B:$B,'TTM Dates'!$E:$E)&amp;ROW($BW85)&amp;":"&amp;XLOOKUP(DD$3,'TTM Dates'!$B:$B,'TTM Dates'!$C:$C)&amp;ROW($BW85))))</f>
        <v>0</v>
      </c>
      <c r="DE85" s="372">
        <f t="array" ref="DE85">IF(DE$3&gt;'GAAP Summary'!$B$2,0,SUM(INDIRECT(XLOOKUP(DE$3,'TTM Dates'!$B:$B,'TTM Dates'!$E:$E)&amp;ROW($BW85)&amp;":"&amp;XLOOKUP(DE$3,'TTM Dates'!$B:$B,'TTM Dates'!$C:$C)&amp;ROW($BW85))))</f>
        <v>0</v>
      </c>
      <c r="DF85" s="372">
        <f t="array" ref="DF85">IF(DF$3&gt;'GAAP Summary'!$B$2,0,SUM(INDIRECT(XLOOKUP(DF$3,'TTM Dates'!$B:$B,'TTM Dates'!$E:$E)&amp;ROW($BW85)&amp;":"&amp;XLOOKUP(DF$3,'TTM Dates'!$B:$B,'TTM Dates'!$C:$C)&amp;ROW($BW85))))</f>
        <v>0</v>
      </c>
      <c r="DG85" s="372">
        <f t="array" ref="DG85">IF(DG$3&gt;'GAAP Summary'!$B$2,0,SUM(INDIRECT(XLOOKUP(DG$3,'TTM Dates'!$B:$B,'TTM Dates'!$E:$E)&amp;ROW($BW85)&amp;":"&amp;XLOOKUP(DG$3,'TTM Dates'!$B:$B,'TTM Dates'!$C:$C)&amp;ROW($BW85))))</f>
        <v>0</v>
      </c>
      <c r="DH85" s="372">
        <f t="array" ref="DH85">IF(DH$3&gt;'GAAP Summary'!$B$2,0,SUM(INDIRECT(XLOOKUP(DH$3,'TTM Dates'!$B:$B,'TTM Dates'!$E:$E)&amp;ROW($BW85)&amp;":"&amp;XLOOKUP(DH$3,'TTM Dates'!$B:$B,'TTM Dates'!$C:$C)&amp;ROW($BW85))))</f>
        <v>0</v>
      </c>
      <c r="DI85" s="372">
        <f t="array" ref="DI85">IF(DI$3&gt;'GAAP Summary'!$B$2,0,SUM(INDIRECT(XLOOKUP(DI$3,'TTM Dates'!$B:$B,'TTM Dates'!$E:$E)&amp;ROW($BW85)&amp;":"&amp;XLOOKUP(DI$3,'TTM Dates'!$B:$B,'TTM Dates'!$C:$C)&amp;ROW($BW85))))</f>
        <v>0</v>
      </c>
      <c r="DJ85" s="372">
        <f t="array" ref="DJ85">IF(DJ$3&gt;'GAAP Summary'!$B$2,0,SUM(INDIRECT(XLOOKUP(DJ$3,'TTM Dates'!$B:$B,'TTM Dates'!$E:$E)&amp;ROW($BW85)&amp;":"&amp;XLOOKUP(DJ$3,'TTM Dates'!$B:$B,'TTM Dates'!$C:$C)&amp;ROW($BW85))))</f>
        <v>0</v>
      </c>
      <c r="DK85" s="372">
        <f t="array" ref="DK85">IF(DK$3&gt;'GAAP Summary'!$B$2,0,SUM(INDIRECT(XLOOKUP(DK$3,'TTM Dates'!$B:$B,'TTM Dates'!$E:$E)&amp;ROW($BW85)&amp;":"&amp;XLOOKUP(DK$3,'TTM Dates'!$B:$B,'TTM Dates'!$C:$C)&amp;ROW($BW85))))</f>
        <v>0</v>
      </c>
      <c r="DL85" s="372">
        <f t="array" ref="DL85">IF(DL$3&gt;'GAAP Summary'!$B$2,0,SUM(INDIRECT(XLOOKUP(DL$3,'TTM Dates'!$B:$B,'TTM Dates'!$E:$E)&amp;ROW($BW85)&amp;":"&amp;XLOOKUP(DL$3,'TTM Dates'!$B:$B,'TTM Dates'!$C:$C)&amp;ROW($BW85))))</f>
        <v>431828</v>
      </c>
      <c r="DM85" s="372">
        <f t="array" ref="DM85">IF(DM$3&gt;'GAAP Summary'!$B$2,0,SUM(INDIRECT(XLOOKUP(DM$3,'TTM Dates'!$B:$B,'TTM Dates'!$E:$E)&amp;ROW($BW85)&amp;":"&amp;XLOOKUP(DM$3,'TTM Dates'!$B:$B,'TTM Dates'!$C:$C)&amp;ROW($BW85))))</f>
        <v>594872</v>
      </c>
      <c r="DN85" s="372">
        <f t="array" ref="DN85">IF(DN$3&gt;'GAAP Summary'!$B$2,0,SUM(INDIRECT(XLOOKUP(DN$3,'TTM Dates'!$B:$B,'TTM Dates'!$E:$E)&amp;ROW($BW85)&amp;":"&amp;XLOOKUP(DN$3,'TTM Dates'!$B:$B,'TTM Dates'!$C:$C)&amp;ROW($BW85))))</f>
        <v>1015244</v>
      </c>
      <c r="DO85" s="372">
        <f t="array" ref="DO85">IF(DO$3&gt;'GAAP Summary'!$B$2,0,SUM(INDIRECT(XLOOKUP(DO$3,'TTM Dates'!$B:$B,'TTM Dates'!$E:$E)&amp;ROW($BW85)&amp;":"&amp;XLOOKUP(DO$3,'TTM Dates'!$B:$B,'TTM Dates'!$C:$C)&amp;ROW($BW85))))</f>
        <v>1243955</v>
      </c>
      <c r="DP85" s="372">
        <f t="array" ref="DP85">IF(DP$3&gt;'GAAP Summary'!$B$2,0,SUM(INDIRECT(XLOOKUP(DP$3,'TTM Dates'!$B:$B,'TTM Dates'!$E:$E)&amp;ROW($BW85)&amp;":"&amp;XLOOKUP(DP$3,'TTM Dates'!$B:$B,'TTM Dates'!$C:$C)&amp;ROW($BW85))))</f>
        <v>1548573</v>
      </c>
      <c r="DQ85" s="372">
        <f t="array" ref="DQ85">IF(DQ$3&gt;'GAAP Summary'!$B$2,0,SUM(INDIRECT(XLOOKUP(DQ$3,'TTM Dates'!$B:$B,'TTM Dates'!$E:$E)&amp;ROW($BW85)&amp;":"&amp;XLOOKUP(DQ$3,'TTM Dates'!$B:$B,'TTM Dates'!$C:$C)&amp;ROW($BW85))))</f>
        <v>2101693</v>
      </c>
      <c r="DR85" s="372">
        <f t="array" ref="DR85">IF(DR$3&gt;'GAAP Summary'!$B$2,0,SUM(INDIRECT(XLOOKUP(DR$3,'TTM Dates'!$B:$B,'TTM Dates'!$E:$E)&amp;ROW($BW85)&amp;":"&amp;XLOOKUP(DR$3,'TTM Dates'!$B:$B,'TTM Dates'!$C:$C)&amp;ROW($BW85))))</f>
        <v>2376982</v>
      </c>
      <c r="DS85" s="372">
        <f t="array" ref="DS85">IF(DS$3&gt;'GAAP Summary'!$B$2,0,SUM(INDIRECT(XLOOKUP(DS$3,'TTM Dates'!$B:$B,'TTM Dates'!$E:$E)&amp;ROW($BW85)&amp;":"&amp;XLOOKUP(DS$3,'TTM Dates'!$B:$B,'TTM Dates'!$C:$C)&amp;ROW($BW85))))</f>
        <v>3296987</v>
      </c>
      <c r="DT85" s="372">
        <f t="array" ref="DT85">IF(DT$3&gt;'GAAP Summary'!$B$2,0,SUM(INDIRECT(XLOOKUP(DT$3,'TTM Dates'!$B:$B,'TTM Dates'!$E:$E)&amp;ROW($BW85)&amp;":"&amp;XLOOKUP(DT$3,'TTM Dates'!$B:$B,'TTM Dates'!$C:$C)&amp;ROW($BW85))))</f>
        <v>3781139</v>
      </c>
      <c r="DU85" s="372">
        <f t="array" ref="DU85">IF(DU$3&gt;'GAAP Summary'!$B$2,0,SUM(INDIRECT(XLOOKUP(DU$3,'TTM Dates'!$B:$B,'TTM Dates'!$E:$E)&amp;ROW($BW85)&amp;":"&amp;XLOOKUP(DU$3,'TTM Dates'!$B:$B,'TTM Dates'!$C:$C)&amp;ROW($BW85))))</f>
        <v>4357030</v>
      </c>
      <c r="DV85" s="372">
        <f t="array" ref="DV85">IF(DV$3&gt;'GAAP Summary'!$B$2,0,SUM(INDIRECT(XLOOKUP(DV$3,'TTM Dates'!$B:$B,'TTM Dates'!$E:$E)&amp;ROW($BW85)&amp;":"&amp;XLOOKUP(DV$3,'TTM Dates'!$B:$B,'TTM Dates'!$C:$C)&amp;ROW($BW85))))</f>
        <v>4852801</v>
      </c>
      <c r="DW85" s="372">
        <f t="array" ref="DW85">IF(DW$3&gt;'GAAP Summary'!$B$2,0,SUM(INDIRECT(XLOOKUP(DW$3,'TTM Dates'!$B:$B,'TTM Dates'!$E:$E)&amp;ROW($BW85)&amp;":"&amp;XLOOKUP(DW$3,'TTM Dates'!$B:$B,'TTM Dates'!$C:$C)&amp;ROW($BW85))))</f>
        <v>4786903</v>
      </c>
      <c r="DX85" s="372">
        <f t="array" ref="DX85">IF(DX$3&gt;'GAAP Summary'!$B$2,0,SUM(INDIRECT(XLOOKUP(DX$3,'TTM Dates'!$B:$B,'TTM Dates'!$E:$E)&amp;ROW($BW85)&amp;":"&amp;XLOOKUP(DX$3,'TTM Dates'!$B:$B,'TTM Dates'!$C:$C)&amp;ROW($BW85))))</f>
        <v>4925122</v>
      </c>
      <c r="DY85" s="372">
        <f t="array" ref="DY85">IF(DY$3&gt;'GAAP Summary'!$B$2,0,SUM(INDIRECT(XLOOKUP(DY$3,'TTM Dates'!$B:$B,'TTM Dates'!$E:$E)&amp;ROW($BW85)&amp;":"&amp;XLOOKUP(DY$3,'TTM Dates'!$B:$B,'TTM Dates'!$C:$C)&amp;ROW($BW85))))</f>
        <v>5252258</v>
      </c>
      <c r="DZ85" s="372">
        <f t="array" ref="DZ85">IF(DZ$3&gt;'GAAP Summary'!$B$2,0,SUM(INDIRECT(XLOOKUP(DZ$3,'TTM Dates'!$B:$B,'TTM Dates'!$E:$E)&amp;ROW($BW85)&amp;":"&amp;XLOOKUP(DZ$3,'TTM Dates'!$B:$B,'TTM Dates'!$C:$C)&amp;ROW($BW85))))</f>
        <v>5532151</v>
      </c>
      <c r="EA85" s="372">
        <f t="array" ref="EA85">IF(EA$3&gt;'GAAP Summary'!$B$2,0,SUM(INDIRECT(XLOOKUP(EA$3,'TTM Dates'!$B:$B,'TTM Dates'!$E:$E)&amp;ROW($BW85)&amp;":"&amp;XLOOKUP(EA$3,'TTM Dates'!$B:$B,'TTM Dates'!$C:$C)&amp;ROW($BW85))))</f>
        <v>5482952</v>
      </c>
      <c r="EB85" s="372">
        <f t="array" ref="EB85">IF(EB$3&gt;'GAAP Summary'!$B$2,0,SUM(INDIRECT(XLOOKUP(EB$3,'TTM Dates'!$B:$B,'TTM Dates'!$E:$E)&amp;ROW($BW85)&amp;":"&amp;XLOOKUP(EB$3,'TTM Dates'!$B:$B,'TTM Dates'!$C:$C)&amp;ROW($BW85))))</f>
        <v>5479900</v>
      </c>
      <c r="EC85" s="372">
        <f t="array" ref="EC85">IF(EC$3&gt;'GAAP Summary'!$B$2,0,SUM(INDIRECT(XLOOKUP(EC$3,'TTM Dates'!$B:$B,'TTM Dates'!$E:$E)&amp;ROW($BW85)&amp;":"&amp;XLOOKUP(EC$3,'TTM Dates'!$B:$B,'TTM Dates'!$C:$C)&amp;ROW($BW85))))</f>
        <v>5177447</v>
      </c>
      <c r="ED85" s="372">
        <f t="array" ref="ED85">IF(ED$3&gt;'GAAP Summary'!$B$2,0,SUM(INDIRECT(XLOOKUP(ED$3,'TTM Dates'!$B:$B,'TTM Dates'!$E:$E)&amp;ROW($BW85)&amp;":"&amp;XLOOKUP(ED$3,'TTM Dates'!$B:$B,'TTM Dates'!$C:$C)&amp;ROW($BW85))))</f>
        <v>4587345</v>
      </c>
      <c r="EE85" s="372">
        <f t="array" ref="EE85">IF(EE$3&gt;'GAAP Summary'!$B$2,0,SUM(INDIRECT(XLOOKUP(EE$3,'TTM Dates'!$B:$B,'TTM Dates'!$E:$E)&amp;ROW($BW85)&amp;":"&amp;XLOOKUP(EE$3,'TTM Dates'!$B:$B,'TTM Dates'!$C:$C)&amp;ROW($BW85))))</f>
        <v>3966464</v>
      </c>
      <c r="EF85" s="372">
        <f t="array" ref="EF85">IF(EF$3&gt;'GAAP Summary'!$B$2,0,SUM(INDIRECT(XLOOKUP(EF$3,'TTM Dates'!$B:$B,'TTM Dates'!$E:$E)&amp;ROW($BW85)&amp;":"&amp;XLOOKUP(EF$3,'TTM Dates'!$B:$B,'TTM Dates'!$C:$C)&amp;ROW($BW85))))</f>
        <v>3355805</v>
      </c>
      <c r="EG85" s="372">
        <f t="array" ref="EG85">IF(EG$3&gt;'GAAP Summary'!$B$2,0,SUM(INDIRECT(XLOOKUP(EG$3,'TTM Dates'!$B:$B,'TTM Dates'!$E:$E)&amp;ROW($BW85)&amp;":"&amp;XLOOKUP(EG$3,'TTM Dates'!$B:$B,'TTM Dates'!$C:$C)&amp;ROW($BW85))))</f>
        <v>2853436</v>
      </c>
      <c r="EH85" s="372">
        <f t="array" ref="EH85">IF(EH$3&gt;'GAAP Summary'!$B$2,0,SUM(INDIRECT(XLOOKUP(EH$3,'TTM Dates'!$B:$B,'TTM Dates'!$E:$E)&amp;ROW($BW85)&amp;":"&amp;XLOOKUP(EH$3,'TTM Dates'!$B:$B,'TTM Dates'!$C:$C)&amp;ROW($BW85))))</f>
        <v>2246134</v>
      </c>
      <c r="EI85" s="448">
        <f t="array" ref="EI85">IF(EI$3&gt;'GAAP Summary'!$B$2,0,SUM(INDIRECT(XLOOKUP(EI$3,'TTM Dates'!$B:$B,'TTM Dates'!$E:$E)&amp;ROW($BW85)&amp;":"&amp;XLOOKUP(EI$3,'TTM Dates'!$B:$B,'TTM Dates'!$C:$C)&amp;ROW($BW85))))</f>
        <v>2102126</v>
      </c>
      <c r="EJ85" s="372">
        <f t="array" ref="EJ85">IF(EJ$3&gt;'GAAP Summary'!$B$2,0,SUM(INDIRECT(XLOOKUP(EJ$3,'TTM Dates'!$B:$B,'TTM Dates'!$E:$E)&amp;ROW($BW85)&amp;":"&amp;XLOOKUP(EJ$3,'TTM Dates'!$B:$B,'TTM Dates'!$C:$C)&amp;ROW($BW85))))</f>
        <v>1099995.13</v>
      </c>
      <c r="EK85" s="372">
        <f t="array" ref="EK85">IF(EK$3&gt;'GAAP Summary'!$B$2,0,SUM(INDIRECT(XLOOKUP(EK$3,'TTM Dates'!$B:$B,'TTM Dates'!$E:$E)&amp;ROW($BW85)&amp;":"&amp;XLOOKUP(EK$3,'TTM Dates'!$B:$B,'TTM Dates'!$C:$C)&amp;ROW($BW85))))</f>
        <v>742399.23</v>
      </c>
      <c r="EL85" s="372">
        <f t="array" ref="EL85">IF(EL$3&gt;'GAAP Summary'!$B$2,0,SUM(INDIRECT(XLOOKUP(EL$3,'TTM Dates'!$B:$B,'TTM Dates'!$E:$E)&amp;ROW($BW85)&amp;":"&amp;XLOOKUP(EL$3,'TTM Dates'!$B:$B,'TTM Dates'!$C:$C)&amp;ROW($BW85))))</f>
        <v>-83799.43</v>
      </c>
      <c r="EM85" s="372">
        <f t="array" ref="EM85">IF(EM$3&gt;'GAAP Summary'!$B$2,0,SUM(INDIRECT(XLOOKUP(EM$3,'TTM Dates'!$B:$B,'TTM Dates'!$E:$E)&amp;ROW($BW85)&amp;":"&amp;XLOOKUP(EM$3,'TTM Dates'!$B:$B,'TTM Dates'!$C:$C)&amp;ROW($BW85))))</f>
        <v>-128315.18</v>
      </c>
      <c r="EN85" s="372">
        <f t="array" ref="EN85">IF(EN$3&gt;'GAAP Summary'!$B$2,0,SUM(INDIRECT(XLOOKUP(EN$3,'TTM Dates'!$B:$B,'TTM Dates'!$E:$E)&amp;ROW($BW85)&amp;":"&amp;XLOOKUP(EN$3,'TTM Dates'!$B:$B,'TTM Dates'!$C:$C)&amp;ROW($BW85))))</f>
        <v>-507751.99</v>
      </c>
      <c r="EO85" s="372">
        <f t="array" ref="EO85">IF(EO$3&gt;'GAAP Summary'!$B$2,0,SUM(INDIRECT(XLOOKUP(EO$3,'TTM Dates'!$B:$B,'TTM Dates'!$E:$E)&amp;ROW($BW85)&amp;":"&amp;XLOOKUP(EO$3,'TTM Dates'!$B:$B,'TTM Dates'!$C:$C)&amp;ROW($BW85))))</f>
        <v>-957176.62</v>
      </c>
      <c r="EP85" s="372">
        <f t="array" ref="EP85">IF(EP$3&gt;'GAAP Summary'!$B$2,0,SUM(INDIRECT(XLOOKUP(EP$3,'TTM Dates'!$B:$B,'TTM Dates'!$E:$E)&amp;ROW($BW85)&amp;":"&amp;XLOOKUP(EP$3,'TTM Dates'!$B:$B,'TTM Dates'!$C:$C)&amp;ROW($BW85))))</f>
        <v>-557703.42</v>
      </c>
      <c r="EQ85" s="372">
        <f t="array" ref="EQ85">IF(EQ$3&gt;'GAAP Summary'!$B$2,0,SUM(INDIRECT(XLOOKUP(EQ$3,'TTM Dates'!$B:$B,'TTM Dates'!$E:$E)&amp;ROW($BW85)&amp;":"&amp;XLOOKUP(EQ$3,'TTM Dates'!$B:$B,'TTM Dates'!$C:$C)&amp;ROW($BW85))))</f>
        <v>-539930.34</v>
      </c>
      <c r="ER85" s="372">
        <f t="array" ref="ER85">IF(ER$3&gt;'GAAP Summary'!$B$2,0,SUM(INDIRECT(XLOOKUP(ER$3,'TTM Dates'!$B:$B,'TTM Dates'!$E:$E)&amp;ROW($BW85)&amp;":"&amp;XLOOKUP(ER$3,'TTM Dates'!$B:$B,'TTM Dates'!$C:$C)&amp;ROW($BW85))))</f>
        <v>-261696.84</v>
      </c>
      <c r="ES85" s="372">
        <f t="array" ref="ES85">IF(ES$3&gt;'GAAP Summary'!$B$2,0,SUM(INDIRECT(XLOOKUP(ES$3,'TTM Dates'!$B:$B,'TTM Dates'!$E:$E)&amp;ROW($BW85)&amp;":"&amp;XLOOKUP(ES$3,'TTM Dates'!$B:$B,'TTM Dates'!$C:$C)&amp;ROW($BW85))))</f>
        <v>385427.27</v>
      </c>
      <c r="ET85" s="372">
        <f t="array" ref="ET85">IF(ET$3&gt;'GAAP Summary'!$B$2,0,SUM(INDIRECT(XLOOKUP(ET$3,'TTM Dates'!$B:$B,'TTM Dates'!$E:$E)&amp;ROW($BW85)&amp;":"&amp;XLOOKUP(ET$3,'TTM Dates'!$B:$B,'TTM Dates'!$C:$C)&amp;ROW($BW85))))</f>
        <v>922641.1</v>
      </c>
      <c r="EU85" s="372">
        <f t="array" ref="EU85">IF(EU$3&gt;'GAAP Summary'!$B$2,0,SUM(INDIRECT(XLOOKUP(EU$3,'TTM Dates'!$B:$B,'TTM Dates'!$E:$E)&amp;ROW($BW85)&amp;":"&amp;XLOOKUP(EU$3,'TTM Dates'!$B:$B,'TTM Dates'!$C:$C)&amp;ROW($BW85))))</f>
        <v>1319093.45</v>
      </c>
      <c r="EV85" s="372">
        <f t="array" ref="EV85">IF(EV$3&gt;'GAAP Summary'!$B$2,0,SUM(INDIRECT(XLOOKUP(EV$3,'TTM Dates'!$B:$B,'TTM Dates'!$E:$E)&amp;ROW($BW85)&amp;":"&amp;XLOOKUP(EV$3,'TTM Dates'!$B:$B,'TTM Dates'!$C:$C)&amp;ROW($BW85))))</f>
        <v>1859547.95</v>
      </c>
      <c r="EW85" s="372">
        <f t="array" ref="EW85">IF(EW$3&gt;'GAAP Summary'!$B$2,0,SUM(INDIRECT(XLOOKUP(EW$3,'TTM Dates'!$B:$B,'TTM Dates'!$E:$E)&amp;ROW($BW85)&amp;":"&amp;XLOOKUP(EW$3,'TTM Dates'!$B:$B,'TTM Dates'!$C:$C)&amp;ROW($BW85))))</f>
        <v>2092447.1</v>
      </c>
      <c r="EX85" s="372">
        <f t="array" ref="EX85">IF(EX$3&gt;'GAAP Summary'!$B$2,0,SUM(INDIRECT(XLOOKUP(EX$3,'TTM Dates'!$B:$B,'TTM Dates'!$E:$E)&amp;ROW($BW85)&amp;":"&amp;XLOOKUP(EX$3,'TTM Dates'!$B:$B,'TTM Dates'!$C:$C)&amp;ROW($BW85))))</f>
        <v>2517019.69</v>
      </c>
      <c r="EY85" s="372">
        <f t="array" ref="EY85">IF(EY$3&gt;'GAAP Summary'!$B$2,0,SUM(INDIRECT(XLOOKUP(EY$3,'TTM Dates'!$B:$B,'TTM Dates'!$E:$E)&amp;ROW($BW85)&amp;":"&amp;XLOOKUP(EY$3,'TTM Dates'!$B:$B,'TTM Dates'!$C:$C)&amp;ROW($BW85))))</f>
        <v>2614695.56</v>
      </c>
      <c r="EZ85" s="372">
        <f t="array" ref="EZ85">IF(EZ$3&gt;'GAAP Summary'!$B$2,0,SUM(INDIRECT(XLOOKUP(EZ$3,'TTM Dates'!$B:$B,'TTM Dates'!$E:$E)&amp;ROW($BW85)&amp;":"&amp;XLOOKUP(EZ$3,'TTM Dates'!$B:$B,'TTM Dates'!$C:$C)&amp;ROW($BW85))))</f>
        <v>2689964.47</v>
      </c>
      <c r="FA85" s="372">
        <f t="array" ref="FA85">IF(FA$3&gt;'GAAP Summary'!$B$2,0,SUM(INDIRECT(XLOOKUP(FA$3,'TTM Dates'!$B:$B,'TTM Dates'!$E:$E)&amp;ROW($BW85)&amp;":"&amp;XLOOKUP(FA$3,'TTM Dates'!$B:$B,'TTM Dates'!$C:$C)&amp;ROW($BW85))))</f>
        <v>3032784.15</v>
      </c>
      <c r="FB85" s="372">
        <f t="array" ref="FB85">IF(FB$3&gt;'GAAP Summary'!$B$2,0,SUM(INDIRECT(XLOOKUP(FB$3,'TTM Dates'!$B:$B,'TTM Dates'!$E:$E)&amp;ROW($BW85)&amp;":"&amp;XLOOKUP(FB$3,'TTM Dates'!$B:$B,'TTM Dates'!$C:$C)&amp;ROW($BW85))))</f>
        <v>3434172.81</v>
      </c>
      <c r="FC85" s="372">
        <f t="array" ref="FC85">IF(FC$3&gt;'GAAP Summary'!$B$2,0,SUM(INDIRECT(XLOOKUP(FC$3,'TTM Dates'!$B:$B,'TTM Dates'!$E:$E)&amp;ROW($BW85)&amp;":"&amp;XLOOKUP(FC$3,'TTM Dates'!$B:$B,'TTM Dates'!$C:$C)&amp;ROW($BW85))))</f>
        <v>3187808.66</v>
      </c>
      <c r="FD85" s="372">
        <f t="array" ref="FD85">IF(FD$3&gt;'GAAP Summary'!$B$2,0,SUM(INDIRECT(XLOOKUP(FD$3,'TTM Dates'!$B:$B,'TTM Dates'!$E:$E)&amp;ROW($BW85)&amp;":"&amp;XLOOKUP(FD$3,'TTM Dates'!$B:$B,'TTM Dates'!$C:$C)&amp;ROW($BW85))))</f>
        <v>3036082.16</v>
      </c>
      <c r="FE85" s="372">
        <f t="array" ref="FE85">IF(FE$3&gt;'GAAP Summary'!$B$2,0,SUM(INDIRECT(XLOOKUP(FE$3,'TTM Dates'!$B:$B,'TTM Dates'!$E:$E)&amp;ROW($BW85)&amp;":"&amp;XLOOKUP(FE$3,'TTM Dates'!$B:$B,'TTM Dates'!$C:$C)&amp;ROW($BW85))))</f>
        <v>2315436.05</v>
      </c>
      <c r="FF85" s="372">
        <f t="array" ref="FF85">IF(FF$3&gt;'GAAP Summary'!$B$2,0,SUM(INDIRECT(XLOOKUP(FF$3,'TTM Dates'!$B:$B,'TTM Dates'!$E:$E)&amp;ROW($BW85)&amp;":"&amp;XLOOKUP(FF$3,'TTM Dates'!$B:$B,'TTM Dates'!$C:$C)&amp;ROW($BW85))))</f>
        <v>1889753.22</v>
      </c>
      <c r="FG85" s="372">
        <f t="array" ref="FG85">IF(FG$3&gt;'GAAP Summary'!$B$2,0,SUM(INDIRECT(XLOOKUP(FG$3,'TTM Dates'!$B:$B,'TTM Dates'!$E:$E)&amp;ROW($BW85)&amp;":"&amp;XLOOKUP(FG$3,'TTM Dates'!$B:$B,'TTM Dates'!$C:$C)&amp;ROW($BW85))))</f>
        <v>1703206.87</v>
      </c>
      <c r="FH85" s="372"/>
    </row>
    <row r="86">
      <c r="B86" s="1" t="s">
        <v>488</v>
      </c>
      <c r="C86" s="376" t="str">
        <f t="shared" ref="C86:BV86" si="126">C85/C18</f>
        <v>#DIV/0!</v>
      </c>
      <c r="D86" s="376" t="str">
        <f t="shared" si="126"/>
        <v>#DIV/0!</v>
      </c>
      <c r="E86" s="376" t="str">
        <f t="shared" si="126"/>
        <v>#DIV/0!</v>
      </c>
      <c r="F86" s="376" t="str">
        <f t="shared" si="126"/>
        <v>#DIV/0!</v>
      </c>
      <c r="G86" s="376" t="str">
        <f t="shared" si="126"/>
        <v>#DIV/0!</v>
      </c>
      <c r="H86" s="376" t="str">
        <f t="shared" si="126"/>
        <v>#DIV/0!</v>
      </c>
      <c r="I86" s="376" t="str">
        <f t="shared" si="126"/>
        <v>#DIV/0!</v>
      </c>
      <c r="J86" s="376" t="str">
        <f t="shared" si="126"/>
        <v>#DIV/0!</v>
      </c>
      <c r="K86" s="376" t="str">
        <f t="shared" si="126"/>
        <v>#DIV/0!</v>
      </c>
      <c r="L86" s="376" t="str">
        <f t="shared" si="126"/>
        <v>#DIV/0!</v>
      </c>
      <c r="M86" s="376" t="str">
        <f t="shared" si="126"/>
        <v>#DIV/0!</v>
      </c>
      <c r="N86" s="376" t="str">
        <f t="shared" si="126"/>
        <v>#DIV/0!</v>
      </c>
      <c r="O86" s="376" t="str">
        <f t="shared" si="126"/>
        <v>#DIV/0!</v>
      </c>
      <c r="P86" s="376" t="str">
        <f t="shared" si="126"/>
        <v>#DIV/0!</v>
      </c>
      <c r="Q86" s="376" t="str">
        <f t="shared" si="126"/>
        <v>#DIV/0!</v>
      </c>
      <c r="R86" s="376" t="str">
        <f t="shared" si="126"/>
        <v>#DIV/0!</v>
      </c>
      <c r="S86" s="376" t="str">
        <f t="shared" si="126"/>
        <v>#DIV/0!</v>
      </c>
      <c r="T86" s="376" t="str">
        <f t="shared" si="126"/>
        <v>#DIV/0!</v>
      </c>
      <c r="U86" s="376" t="str">
        <f t="shared" si="126"/>
        <v>#DIV/0!</v>
      </c>
      <c r="V86" s="376" t="str">
        <f t="shared" si="126"/>
        <v>#DIV/0!</v>
      </c>
      <c r="W86" s="376" t="str">
        <f t="shared" si="126"/>
        <v>#DIV/0!</v>
      </c>
      <c r="X86" s="376" t="str">
        <f t="shared" si="126"/>
        <v>#DIV/0!</v>
      </c>
      <c r="Y86" s="376" t="str">
        <f t="shared" si="126"/>
        <v>#DIV/0!</v>
      </c>
      <c r="Z86" s="376" t="str">
        <f t="shared" si="126"/>
        <v>#DIV/0!</v>
      </c>
      <c r="AA86" s="376">
        <f t="shared" si="126"/>
        <v>0.3675691871</v>
      </c>
      <c r="AB86" s="376">
        <f t="shared" si="126"/>
        <v>0.1540124046</v>
      </c>
      <c r="AC86" s="376">
        <f t="shared" si="126"/>
        <v>0.3040280615</v>
      </c>
      <c r="AD86" s="376">
        <f t="shared" si="126"/>
        <v>0.1910219811</v>
      </c>
      <c r="AE86" s="376">
        <f t="shared" si="126"/>
        <v>0.238513505</v>
      </c>
      <c r="AF86" s="376">
        <f t="shared" si="126"/>
        <v>0.3592094172</v>
      </c>
      <c r="AG86" s="376">
        <f t="shared" si="126"/>
        <v>0.207533785</v>
      </c>
      <c r="AH86" s="376">
        <f t="shared" si="126"/>
        <v>0.4758452932</v>
      </c>
      <c r="AI86" s="376">
        <f t="shared" si="126"/>
        <v>0.2976224725</v>
      </c>
      <c r="AJ86" s="376">
        <f t="shared" si="126"/>
        <v>0.3090916995</v>
      </c>
      <c r="AK86" s="376">
        <f t="shared" si="126"/>
        <v>0.2777000742</v>
      </c>
      <c r="AL86" s="376">
        <f t="shared" si="126"/>
        <v>-0.0532674812</v>
      </c>
      <c r="AM86" s="376">
        <f t="shared" si="126"/>
        <v>0.267351311</v>
      </c>
      <c r="AN86" s="376">
        <f t="shared" si="126"/>
        <v>0.2521709606</v>
      </c>
      <c r="AO86" s="376">
        <f t="shared" si="126"/>
        <v>0.3144007029</v>
      </c>
      <c r="AP86" s="376">
        <f t="shared" si="126"/>
        <v>0.09732147988</v>
      </c>
      <c r="AQ86" s="376">
        <f t="shared" si="126"/>
        <v>0.1586525638</v>
      </c>
      <c r="AR86" s="376">
        <f t="shared" si="126"/>
        <v>0.1361413536</v>
      </c>
      <c r="AS86" s="376">
        <f t="shared" si="126"/>
        <v>-0.1926396105</v>
      </c>
      <c r="AT86" s="376">
        <f t="shared" si="126"/>
        <v>0.1506585684</v>
      </c>
      <c r="AU86" s="376">
        <f t="shared" si="126"/>
        <v>-0.08011127569</v>
      </c>
      <c r="AV86" s="376">
        <f t="shared" si="126"/>
        <v>0.03935237347</v>
      </c>
      <c r="AW86" s="376">
        <f t="shared" si="126"/>
        <v>-0.06729485902</v>
      </c>
      <c r="AX86" s="376">
        <f t="shared" si="126"/>
        <v>-0.1336894036</v>
      </c>
      <c r="AY86" s="376">
        <f t="shared" si="126"/>
        <v>-0.2568347521</v>
      </c>
      <c r="AZ86" s="376">
        <f t="shared" si="126"/>
        <v>0.07094122314</v>
      </c>
      <c r="BA86" s="376">
        <f t="shared" si="126"/>
        <v>-0.06585498189</v>
      </c>
      <c r="BB86" s="376">
        <f t="shared" si="126"/>
        <v>0.06737272247</v>
      </c>
      <c r="BC86" s="376">
        <f t="shared" si="126"/>
        <v>-0.04064129851</v>
      </c>
      <c r="BD86" s="376">
        <f t="shared" si="126"/>
        <v>-0.1085504184</v>
      </c>
      <c r="BE86" s="376">
        <f t="shared" si="126"/>
        <v>0.04068399778</v>
      </c>
      <c r="BF86" s="376">
        <f t="shared" si="126"/>
        <v>0.1462237667</v>
      </c>
      <c r="BG86" s="376">
        <f t="shared" si="126"/>
        <v>0.07010141621</v>
      </c>
      <c r="BH86" s="376">
        <f t="shared" si="126"/>
        <v>0.2545423129</v>
      </c>
      <c r="BI86" s="376">
        <f t="shared" si="126"/>
        <v>0.1724632176</v>
      </c>
      <c r="BJ86" s="376">
        <f t="shared" si="126"/>
        <v>0.07680965239</v>
      </c>
      <c r="BK86" s="376">
        <f t="shared" si="126"/>
        <v>0.04203514144</v>
      </c>
      <c r="BL86" s="376">
        <f t="shared" si="126"/>
        <v>0.1511844427</v>
      </c>
      <c r="BM86" s="376">
        <f t="shared" si="126"/>
        <v>0.1229954297</v>
      </c>
      <c r="BN86" s="376">
        <f t="shared" si="126"/>
        <v>0.08633476563</v>
      </c>
      <c r="BO86" s="376">
        <f t="shared" si="126"/>
        <v>-0.0009975339989</v>
      </c>
      <c r="BP86" s="376">
        <f t="shared" si="126"/>
        <v>0.05447900298</v>
      </c>
      <c r="BQ86" s="376">
        <f t="shared" si="126"/>
        <v>0.1586448157</v>
      </c>
      <c r="BR86" s="376">
        <f t="shared" si="126"/>
        <v>0.02450241086</v>
      </c>
      <c r="BS86" s="376" t="str">
        <f t="shared" si="126"/>
        <v>#DIV/0!</v>
      </c>
      <c r="BT86" s="376" t="str">
        <f t="shared" si="126"/>
        <v>#DIV/0!</v>
      </c>
      <c r="BU86" s="376" t="str">
        <f t="shared" si="126"/>
        <v>#DIV/0!</v>
      </c>
      <c r="BV86" s="376" t="str">
        <f t="shared" si="126"/>
        <v>#DIV/0!</v>
      </c>
      <c r="BX86" s="377" t="str">
        <f>BX85/BX18</f>
        <v>#REF!</v>
      </c>
      <c r="BY86" s="378"/>
      <c r="BZ86" s="376">
        <f t="shared" ref="BZ86:CC86" si="127">IFERROR(BZ85/BZ18,0)</f>
        <v>0.1040589021</v>
      </c>
      <c r="CA86" s="376">
        <f t="shared" si="127"/>
        <v>0.04707433843</v>
      </c>
      <c r="CB86" s="376">
        <f t="shared" si="127"/>
        <v>0.0936633159</v>
      </c>
      <c r="CC86" s="376">
        <f t="shared" si="127"/>
        <v>0</v>
      </c>
      <c r="CD86" s="377">
        <f>CD85/CD18</f>
        <v>0.07991148405</v>
      </c>
      <c r="CE86" s="378"/>
      <c r="CF86" s="376">
        <f t="shared" ref="CF86:CI86" si="128">IFERROR(CF85/CF18,0)</f>
        <v>-0.077867464</v>
      </c>
      <c r="CG86" s="376">
        <f t="shared" si="128"/>
        <v>-0.02462829898</v>
      </c>
      <c r="CH86" s="376">
        <f t="shared" si="128"/>
        <v>0.08628189065</v>
      </c>
      <c r="CI86" s="376">
        <f t="shared" si="128"/>
        <v>0.1724716982</v>
      </c>
      <c r="CJ86" s="377">
        <f>CJ85/CJ18</f>
        <v>0.05202509915</v>
      </c>
      <c r="CK86" s="378"/>
      <c r="CL86" s="376">
        <f t="shared" ref="CL86:CO86" si="129">IFERROR(CL85/CL18,0)</f>
        <v>0.2792949709</v>
      </c>
      <c r="CM86" s="376">
        <f t="shared" si="129"/>
        <v>0.1309834143</v>
      </c>
      <c r="CN86" s="376">
        <f t="shared" si="129"/>
        <v>-0.0273517439</v>
      </c>
      <c r="CO86" s="376">
        <f t="shared" si="129"/>
        <v>-0.04865133663</v>
      </c>
      <c r="CP86" s="377">
        <f>CP85/CP18</f>
        <v>0.09475681818</v>
      </c>
      <c r="CQ86" s="378"/>
      <c r="CR86" s="376">
        <f t="shared" ref="CR86:CU86" si="130">IFERROR(CR85/CR18,0)</f>
        <v>0.2807536659</v>
      </c>
      <c r="CS86" s="376">
        <f t="shared" si="130"/>
        <v>0.2706460436</v>
      </c>
      <c r="CT86" s="376">
        <f t="shared" si="130"/>
        <v>0.3436824047</v>
      </c>
      <c r="CU86" s="376">
        <f t="shared" si="130"/>
        <v>0.2058645454</v>
      </c>
      <c r="CV86" s="377">
        <f>CV85/CV18</f>
        <v>0.275068234</v>
      </c>
      <c r="CW86" s="378"/>
      <c r="CX86" s="377" t="str">
        <f>CX85/CX18</f>
        <v>#DIV/0!</v>
      </c>
      <c r="CZ86" s="376"/>
      <c r="DA86" s="376"/>
      <c r="DB86" s="376"/>
      <c r="DC86" s="376"/>
      <c r="DD86" s="376"/>
      <c r="DE86" s="376"/>
      <c r="DF86" s="376"/>
      <c r="DG86" s="376"/>
      <c r="DH86" s="376"/>
      <c r="DI86" s="376"/>
      <c r="DJ86" s="376"/>
      <c r="DK86" s="376"/>
      <c r="DL86" s="376"/>
      <c r="DM86" s="376"/>
      <c r="DN86" s="376"/>
      <c r="DO86" s="376"/>
      <c r="DP86" s="376"/>
      <c r="DQ86" s="376"/>
      <c r="DR86" s="376"/>
      <c r="DS86" s="376"/>
      <c r="DT86" s="376"/>
      <c r="DU86" s="376"/>
      <c r="DV86" s="376"/>
      <c r="DW86" s="376"/>
      <c r="DX86" s="376"/>
      <c r="DY86" s="376"/>
      <c r="DZ86" s="376"/>
      <c r="EA86" s="376"/>
      <c r="EB86" s="376"/>
      <c r="EC86" s="376"/>
      <c r="ED86" s="376"/>
      <c r="EE86" s="376"/>
      <c r="EF86" s="376"/>
      <c r="EG86" s="376"/>
      <c r="EH86" s="376"/>
      <c r="EI86" s="449"/>
      <c r="EJ86" s="376"/>
      <c r="EK86" s="376"/>
      <c r="EL86" s="376"/>
      <c r="EM86" s="376"/>
      <c r="EN86" s="379">
        <v>-150000.0</v>
      </c>
      <c r="EO86" s="379">
        <f t="shared" ref="EO86:EU86" si="131">400000</f>
        <v>400000</v>
      </c>
      <c r="EP86" s="379">
        <f t="shared" si="131"/>
        <v>400000</v>
      </c>
      <c r="EQ86" s="379">
        <f t="shared" si="131"/>
        <v>400000</v>
      </c>
      <c r="ER86" s="379">
        <f t="shared" si="131"/>
        <v>400000</v>
      </c>
      <c r="ES86" s="379">
        <f t="shared" si="131"/>
        <v>400000</v>
      </c>
      <c r="ET86" s="379">
        <f t="shared" si="131"/>
        <v>400000</v>
      </c>
      <c r="EU86" s="379">
        <f t="shared" si="131"/>
        <v>400000</v>
      </c>
      <c r="EV86" s="376"/>
      <c r="EW86" s="376"/>
      <c r="EX86" s="376"/>
      <c r="EY86" s="376"/>
      <c r="EZ86" s="379">
        <v>-150000.0</v>
      </c>
      <c r="FA86" s="379">
        <f t="shared" ref="FA86:FG86" si="132">400000</f>
        <v>400000</v>
      </c>
      <c r="FB86" s="379">
        <f t="shared" si="132"/>
        <v>400000</v>
      </c>
      <c r="FC86" s="379">
        <f t="shared" si="132"/>
        <v>400000</v>
      </c>
      <c r="FD86" s="379">
        <f t="shared" si="132"/>
        <v>400000</v>
      </c>
      <c r="FE86" s="379">
        <f t="shared" si="132"/>
        <v>400000</v>
      </c>
      <c r="FF86" s="379">
        <f t="shared" si="132"/>
        <v>400000</v>
      </c>
      <c r="FG86" s="379">
        <f t="shared" si="132"/>
        <v>400000</v>
      </c>
      <c r="FH86" s="379"/>
    </row>
    <row r="87" ht="14.25" customHeight="1">
      <c r="B87" s="1" t="s">
        <v>268</v>
      </c>
      <c r="C87" s="378"/>
      <c r="D87" s="378"/>
      <c r="E87" s="378"/>
      <c r="F87" s="378"/>
      <c r="G87" s="378"/>
      <c r="H87" s="378"/>
      <c r="I87" s="378"/>
      <c r="J87" s="378"/>
      <c r="K87" s="378"/>
      <c r="L87" s="378"/>
      <c r="M87" s="378"/>
      <c r="N87" s="378"/>
      <c r="O87" s="378"/>
      <c r="P87" s="378"/>
      <c r="Q87" s="378"/>
      <c r="R87" s="378"/>
      <c r="S87" s="378"/>
      <c r="T87" s="378"/>
      <c r="U87" s="378"/>
      <c r="V87" s="378"/>
      <c r="W87" s="378"/>
      <c r="X87" s="378"/>
      <c r="Y87" s="378"/>
      <c r="Z87" s="378"/>
      <c r="AA87" s="380"/>
      <c r="AB87" s="380"/>
      <c r="AC87" s="380"/>
      <c r="AD87" s="380"/>
      <c r="AE87" s="380"/>
      <c r="AF87" s="380"/>
      <c r="AG87" s="380"/>
      <c r="AH87" s="380"/>
      <c r="AI87" s="380"/>
      <c r="AJ87" s="380"/>
      <c r="AK87" s="380"/>
      <c r="AL87" s="380"/>
      <c r="AM87" s="380"/>
      <c r="AN87" s="380"/>
      <c r="AO87" s="380"/>
      <c r="AP87" s="380"/>
      <c r="AQ87" s="380"/>
      <c r="AR87" s="380"/>
      <c r="AS87" s="380"/>
      <c r="AT87" s="380"/>
      <c r="AU87" s="380"/>
      <c r="AV87" s="380"/>
      <c r="AW87" s="380"/>
      <c r="AX87" s="380"/>
      <c r="AY87" s="380"/>
      <c r="AZ87" s="380"/>
      <c r="BA87" s="380"/>
      <c r="BB87" s="380"/>
      <c r="BC87" s="380"/>
      <c r="BD87" s="380"/>
      <c r="BE87" s="380"/>
      <c r="BF87" s="380"/>
      <c r="BG87" s="378"/>
      <c r="BH87" s="378"/>
      <c r="BI87" s="378"/>
      <c r="BJ87" s="378"/>
      <c r="BK87" s="380"/>
      <c r="BL87" s="380"/>
      <c r="BM87" s="380"/>
      <c r="BN87" s="380"/>
      <c r="BO87" s="380"/>
      <c r="BP87" s="380"/>
      <c r="BQ87" s="380"/>
      <c r="BR87" s="380"/>
      <c r="BS87" s="378"/>
      <c r="BT87" s="378"/>
      <c r="BU87" s="378"/>
      <c r="BV87" s="378"/>
      <c r="BX87" s="381"/>
      <c r="BY87" s="378"/>
      <c r="BZ87" s="389" t="str">
        <f t="shared" ref="BZ87:CC87" si="133">IF(BZ85=0,"", TEXT(BZ85,"0,000")&amp;" "&amp;"("&amp;TEXT((BZ85-CF85)/CF85,"0%")&amp;" YoY)")</f>
        <v>772,493 (-282% YoY)</v>
      </c>
      <c r="CA87" s="389" t="str">
        <f t="shared" si="133"/>
        <v>374,132 (-364% YoY)</v>
      </c>
      <c r="CB87" s="389" t="str">
        <f t="shared" si="133"/>
        <v>556,582 (1% YoY)</v>
      </c>
      <c r="CC87" s="389" t="str">
        <f t="shared" si="133"/>
        <v/>
      </c>
      <c r="CD87" s="381"/>
      <c r="CE87" s="378"/>
      <c r="CF87" s="389" t="str">
        <f t="shared" ref="CF87:CI87" si="134">IF(CF85=0,"", TEXT(CF85,"0,000")&amp;" "&amp;"("&amp;TEXT((CF85-CL85)/CL85,"0%")&amp;" YoY)")</f>
        <v>-425,433 (-124% YoY)</v>
      </c>
      <c r="CG87" s="389" t="str">
        <f t="shared" si="134"/>
        <v>-141,632 (-119% YoY)</v>
      </c>
      <c r="CH87" s="389" t="str">
        <f t="shared" si="134"/>
        <v>553,284 (-489% YoY)</v>
      </c>
      <c r="CI87" s="389" t="str">
        <f t="shared" si="134"/>
        <v>1,332,875 (-638% YoY)</v>
      </c>
      <c r="CJ87" s="381"/>
      <c r="CK87" s="378"/>
      <c r="CL87" s="389" t="str">
        <f t="shared" ref="CL87:CO87" si="135">IF(CL85=0,"", TEXT(CL85,"0,000")&amp;" "&amp;"("&amp;TEXT((CL85-CR85)/CR85,"0%")&amp;" YoY)")</f>
        <v>1,760,492 (73% YoY)</v>
      </c>
      <c r="CM87" s="389" t="str">
        <f t="shared" si="135"/>
        <v>731,745 (-33% YoY)</v>
      </c>
      <c r="CN87" s="389" t="str">
        <f t="shared" si="135"/>
        <v>-142,196 (-108% YoY)</v>
      </c>
      <c r="CO87" s="389" t="str">
        <f t="shared" si="135"/>
        <v>-247,915 (-125% YoY)</v>
      </c>
      <c r="CP87" s="381"/>
      <c r="CQ87" s="378"/>
      <c r="CR87" s="378"/>
      <c r="CS87" s="378"/>
      <c r="CT87" s="378"/>
      <c r="CU87" s="378"/>
      <c r="CV87" s="381"/>
      <c r="CW87" s="378"/>
      <c r="CX87" s="381"/>
      <c r="CZ87" s="378"/>
      <c r="DA87" s="378"/>
      <c r="DB87" s="378"/>
      <c r="DC87" s="378"/>
      <c r="DD87" s="378"/>
      <c r="DE87" s="378"/>
      <c r="DF87" s="378"/>
      <c r="DG87" s="378"/>
      <c r="DH87" s="378"/>
      <c r="DI87" s="378"/>
      <c r="DJ87" s="378"/>
      <c r="DK87" s="378"/>
      <c r="DL87" s="378"/>
      <c r="DM87" s="378"/>
      <c r="DN87" s="378"/>
      <c r="DO87" s="378"/>
      <c r="DP87" s="378"/>
      <c r="DQ87" s="378"/>
      <c r="DR87" s="378"/>
      <c r="DS87" s="378"/>
      <c r="DT87" s="378"/>
      <c r="DU87" s="378"/>
      <c r="DV87" s="378"/>
      <c r="DW87" s="378"/>
      <c r="DX87" s="378"/>
      <c r="DY87" s="378"/>
      <c r="DZ87" s="378"/>
      <c r="EA87" s="378"/>
      <c r="EB87" s="378"/>
      <c r="EC87" s="378"/>
      <c r="ED87" s="378"/>
      <c r="EE87" s="378"/>
      <c r="EF87" s="378"/>
      <c r="EG87" s="378"/>
      <c r="EH87" s="378"/>
      <c r="EI87" s="3"/>
      <c r="EJ87" s="378"/>
      <c r="EK87" s="378"/>
      <c r="EL87" s="378"/>
      <c r="EM87" s="378"/>
      <c r="EN87" s="379"/>
      <c r="EO87" s="379"/>
      <c r="EP87" s="379"/>
      <c r="EQ87" s="379"/>
      <c r="ER87" s="379"/>
      <c r="ES87" s="379"/>
      <c r="ET87" s="379"/>
      <c r="EU87" s="379"/>
      <c r="EV87" s="378"/>
      <c r="EW87" s="378"/>
      <c r="EX87" s="378"/>
      <c r="EY87" s="378"/>
      <c r="EZ87" s="379"/>
      <c r="FA87" s="379"/>
      <c r="FB87" s="379"/>
      <c r="FC87" s="379"/>
      <c r="FD87" s="379"/>
      <c r="FE87" s="379"/>
      <c r="FF87" s="379"/>
      <c r="FG87" s="379"/>
      <c r="FH87" s="379"/>
    </row>
    <row r="88" ht="14.25" customHeight="1">
      <c r="C88" s="378"/>
      <c r="D88" s="378"/>
      <c r="E88" s="378"/>
      <c r="F88" s="378"/>
      <c r="G88" s="378"/>
      <c r="H88" s="378"/>
      <c r="I88" s="378"/>
      <c r="J88" s="378"/>
      <c r="K88" s="378"/>
      <c r="L88" s="378"/>
      <c r="M88" s="378"/>
      <c r="N88" s="378"/>
      <c r="O88" s="378"/>
      <c r="P88" s="378"/>
      <c r="Q88" s="378"/>
      <c r="R88" s="378"/>
      <c r="S88" s="378"/>
      <c r="T88" s="378"/>
      <c r="U88" s="378"/>
      <c r="V88" s="378"/>
      <c r="W88" s="378"/>
      <c r="X88" s="378"/>
      <c r="Y88" s="378"/>
      <c r="Z88" s="378"/>
      <c r="AA88" s="380"/>
      <c r="AB88" s="380"/>
      <c r="AC88" s="380"/>
      <c r="AD88" s="380"/>
      <c r="AE88" s="380"/>
      <c r="AF88" s="380"/>
      <c r="AG88" s="380"/>
      <c r="AH88" s="380"/>
      <c r="AI88" s="380"/>
      <c r="AJ88" s="380"/>
      <c r="AK88" s="380"/>
      <c r="AL88" s="380"/>
      <c r="AM88" s="380"/>
      <c r="AN88" s="380"/>
      <c r="AO88" s="380"/>
      <c r="AP88" s="380"/>
      <c r="AQ88" s="380"/>
      <c r="AR88" s="380"/>
      <c r="AS88" s="380"/>
      <c r="AT88" s="380"/>
      <c r="AU88" s="380"/>
      <c r="AV88" s="380"/>
      <c r="AW88" s="380"/>
      <c r="AX88" s="380"/>
      <c r="AY88" s="380">
        <v>26499.0</v>
      </c>
      <c r="AZ88" s="380">
        <v>35621.0</v>
      </c>
      <c r="BA88" s="380">
        <v>112263.0</v>
      </c>
      <c r="BB88" s="380">
        <v>51121.0</v>
      </c>
      <c r="BC88" s="380">
        <v>126296.0</v>
      </c>
      <c r="BD88" s="380">
        <v>106944.0</v>
      </c>
      <c r="BE88" s="380">
        <v>30389.0</v>
      </c>
      <c r="BF88" s="380">
        <v>-6574.0</v>
      </c>
      <c r="BG88" s="380">
        <v>30672.0</v>
      </c>
      <c r="BH88" s="380">
        <v>72560.0</v>
      </c>
      <c r="BI88" s="380">
        <v>33075.0</v>
      </c>
      <c r="BJ88" s="380">
        <v>32789.0</v>
      </c>
      <c r="BK88" s="380"/>
      <c r="BL88" s="380"/>
      <c r="BM88" s="380"/>
      <c r="BN88" s="380"/>
      <c r="BO88" s="380"/>
      <c r="BP88" s="380"/>
      <c r="BQ88" s="380"/>
      <c r="BR88" s="380"/>
      <c r="BS88" s="380"/>
      <c r="BT88" s="380"/>
      <c r="BU88" s="380"/>
      <c r="BV88" s="380"/>
      <c r="BX88" s="381"/>
      <c r="BY88" s="378"/>
      <c r="BZ88" s="450"/>
      <c r="CA88" s="450"/>
      <c r="CB88" s="450"/>
      <c r="CC88" s="450"/>
      <c r="CD88" s="451"/>
      <c r="CE88" s="378"/>
      <c r="CF88" s="450">
        <f t="shared" ref="CF88:CF89" si="138">sum(AY88:BA88)</f>
        <v>174383</v>
      </c>
      <c r="CG88" s="450">
        <f t="shared" ref="CG88:CG89" si="139">sum(BB88:BD88)</f>
        <v>284361</v>
      </c>
      <c r="CH88" s="450">
        <f t="shared" ref="CH88:CH89" si="140">sum(BE88:BG88)</f>
        <v>54487</v>
      </c>
      <c r="CI88" s="450">
        <f t="shared" ref="CI88:CI89" si="141">sum(BH88:BJ88)</f>
        <v>138424</v>
      </c>
      <c r="CJ88" s="451">
        <f t="shared" ref="CJ88:CJ89" si="142">sum(AY88:BJ88)</f>
        <v>651655</v>
      </c>
      <c r="CK88" s="378"/>
      <c r="CL88" s="378"/>
      <c r="CM88" s="378"/>
      <c r="CN88" s="378"/>
      <c r="CO88" s="382"/>
      <c r="CP88" s="381"/>
      <c r="CQ88" s="378"/>
      <c r="CR88" s="378"/>
      <c r="CS88" s="378"/>
      <c r="CT88" s="378"/>
      <c r="CU88" s="378"/>
      <c r="CV88" s="381"/>
      <c r="CW88" s="378"/>
      <c r="CX88" s="381"/>
      <c r="CZ88" s="378"/>
      <c r="DA88" s="378"/>
      <c r="DB88" s="378"/>
      <c r="DC88" s="378"/>
      <c r="DD88" s="378"/>
      <c r="DE88" s="378"/>
      <c r="DF88" s="378"/>
      <c r="DG88" s="378"/>
      <c r="DH88" s="378"/>
      <c r="DI88" s="378"/>
      <c r="DJ88" s="378"/>
      <c r="DK88" s="378"/>
      <c r="DL88" s="378"/>
      <c r="DM88" s="378"/>
      <c r="DN88" s="378"/>
      <c r="DO88" s="378"/>
      <c r="DP88" s="378"/>
      <c r="DQ88" s="378"/>
      <c r="DR88" s="378"/>
      <c r="DS88" s="378"/>
      <c r="DT88" s="378"/>
      <c r="DU88" s="378"/>
      <c r="DV88" s="378"/>
      <c r="DW88" s="378"/>
      <c r="DX88" s="378"/>
      <c r="DY88" s="378"/>
      <c r="DZ88" s="378"/>
      <c r="EA88" s="378"/>
      <c r="EB88" s="378"/>
      <c r="EC88" s="378"/>
      <c r="ED88" s="378"/>
      <c r="EE88" s="378"/>
      <c r="EF88" s="378"/>
      <c r="EG88" s="378"/>
      <c r="EH88" s="378"/>
      <c r="EI88" s="3"/>
      <c r="EJ88" s="378"/>
      <c r="EK88" s="378"/>
      <c r="EL88" s="378"/>
      <c r="EM88" s="378"/>
      <c r="EN88" s="379">
        <f>EM85+EN86</f>
        <v>-278315.18</v>
      </c>
      <c r="EO88" s="379">
        <f t="shared" ref="EO88:EU88" si="136">EN88+EO86</f>
        <v>121684.82</v>
      </c>
      <c r="EP88" s="379">
        <f t="shared" si="136"/>
        <v>521684.82</v>
      </c>
      <c r="EQ88" s="379">
        <f t="shared" si="136"/>
        <v>921684.82</v>
      </c>
      <c r="ER88" s="379">
        <f t="shared" si="136"/>
        <v>1321684.82</v>
      </c>
      <c r="ES88" s="379">
        <f t="shared" si="136"/>
        <v>1721684.82</v>
      </c>
      <c r="ET88" s="379">
        <f t="shared" si="136"/>
        <v>2121684.82</v>
      </c>
      <c r="EU88" s="379">
        <f t="shared" si="136"/>
        <v>2521684.82</v>
      </c>
      <c r="EV88" s="378"/>
      <c r="EW88" s="378"/>
      <c r="EX88" s="378"/>
      <c r="EY88" s="378"/>
      <c r="EZ88" s="379">
        <f>EY85+EZ86</f>
        <v>2464695.56</v>
      </c>
      <c r="FA88" s="379">
        <f t="shared" ref="FA88:FG88" si="137">EZ88+FA86</f>
        <v>2864695.56</v>
      </c>
      <c r="FB88" s="379">
        <f t="shared" si="137"/>
        <v>3264695.56</v>
      </c>
      <c r="FC88" s="379">
        <f t="shared" si="137"/>
        <v>3664695.56</v>
      </c>
      <c r="FD88" s="379">
        <f t="shared" si="137"/>
        <v>4064695.56</v>
      </c>
      <c r="FE88" s="379">
        <f t="shared" si="137"/>
        <v>4464695.56</v>
      </c>
      <c r="FF88" s="379">
        <f t="shared" si="137"/>
        <v>4864695.56</v>
      </c>
      <c r="FG88" s="379">
        <f t="shared" si="137"/>
        <v>5264695.56</v>
      </c>
      <c r="FH88" s="379"/>
    </row>
    <row r="89">
      <c r="A89" s="35"/>
      <c r="B89" s="36" t="s">
        <v>526</v>
      </c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8">
        <v>286449.0</v>
      </c>
      <c r="AZ89" s="38">
        <v>174891.0</v>
      </c>
      <c r="BA89" s="38">
        <v>133306.0</v>
      </c>
      <c r="BB89" s="38">
        <v>168489.0</v>
      </c>
      <c r="BC89" s="38">
        <v>278236.0</v>
      </c>
      <c r="BD89" s="38">
        <v>335289.0</v>
      </c>
      <c r="BE89" s="38">
        <v>107540.0</v>
      </c>
      <c r="BF89" s="38">
        <v>272604.0</v>
      </c>
      <c r="BG89" s="38">
        <v>115120.0</v>
      </c>
      <c r="BH89" s="38">
        <v>148596.0</v>
      </c>
      <c r="BI89" s="38">
        <v>190351.0</v>
      </c>
      <c r="BJ89" s="38">
        <v>139415.0</v>
      </c>
      <c r="BK89" s="38"/>
      <c r="BL89" s="38"/>
      <c r="BM89" s="38"/>
      <c r="BN89" s="38"/>
      <c r="BO89" s="38"/>
      <c r="BP89" s="38"/>
      <c r="BQ89" s="38"/>
      <c r="BR89" s="38"/>
      <c r="BS89" s="38"/>
      <c r="BT89" s="38"/>
      <c r="BU89" s="38"/>
      <c r="BV89" s="38"/>
      <c r="BW89" s="39"/>
      <c r="BX89" s="40"/>
      <c r="BY89" s="41"/>
      <c r="BZ89" s="452"/>
      <c r="CA89" s="452"/>
      <c r="CB89" s="452"/>
      <c r="CC89" s="452"/>
      <c r="CD89" s="453"/>
      <c r="CE89" s="41"/>
      <c r="CF89" s="452">
        <f t="shared" si="138"/>
        <v>594646</v>
      </c>
      <c r="CG89" s="452">
        <f t="shared" si="139"/>
        <v>782014</v>
      </c>
      <c r="CH89" s="452">
        <f t="shared" si="140"/>
        <v>495264</v>
      </c>
      <c r="CI89" s="452">
        <f t="shared" si="141"/>
        <v>478362</v>
      </c>
      <c r="CJ89" s="453">
        <f t="shared" si="142"/>
        <v>2350286</v>
      </c>
      <c r="CK89" s="37"/>
      <c r="CL89" s="37"/>
      <c r="CM89" s="37"/>
      <c r="CN89" s="37"/>
      <c r="CO89" s="37"/>
      <c r="CP89" s="40"/>
      <c r="CQ89" s="37"/>
      <c r="CR89" s="37"/>
      <c r="CS89" s="37"/>
      <c r="CT89" s="37"/>
      <c r="CU89" s="37"/>
      <c r="CV89" s="40"/>
      <c r="CW89" s="37"/>
      <c r="CX89" s="40"/>
      <c r="CY89" s="44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7"/>
      <c r="DZ89" s="37"/>
      <c r="EA89" s="37"/>
      <c r="EB89" s="37"/>
      <c r="EC89" s="37"/>
      <c r="ED89" s="37"/>
      <c r="EE89" s="37"/>
      <c r="EF89" s="37"/>
      <c r="EG89" s="37"/>
      <c r="EH89" s="38"/>
      <c r="EI89" s="38"/>
      <c r="EJ89" s="38"/>
      <c r="EK89" s="38"/>
      <c r="EL89" s="38"/>
      <c r="EM89" s="38"/>
      <c r="EN89" s="38"/>
      <c r="EO89" s="38"/>
      <c r="EP89" s="38"/>
      <c r="EQ89" s="38"/>
      <c r="ER89" s="38"/>
      <c r="ES89" s="38"/>
      <c r="ET89" s="38"/>
      <c r="EU89" s="38"/>
      <c r="EV89" s="38"/>
      <c r="EW89" s="38"/>
      <c r="EX89" s="38"/>
      <c r="EY89" s="38"/>
      <c r="EZ89" s="38"/>
      <c r="FA89" s="38"/>
      <c r="FB89" s="38"/>
      <c r="FC89" s="38"/>
      <c r="FD89" s="38"/>
      <c r="FE89" s="38"/>
      <c r="FF89" s="38"/>
      <c r="FG89" s="38"/>
      <c r="FH89" s="38"/>
    </row>
    <row r="90" ht="9.0" customHeight="1">
      <c r="B90" s="383"/>
      <c r="C90" s="384"/>
      <c r="D90" s="385"/>
      <c r="E90" s="385"/>
      <c r="F90" s="385"/>
      <c r="G90" s="385"/>
      <c r="H90" s="384"/>
      <c r="I90" s="385"/>
      <c r="J90" s="385"/>
      <c r="K90" s="385"/>
      <c r="L90" s="385"/>
      <c r="M90" s="385"/>
      <c r="N90" s="385"/>
      <c r="O90" s="385"/>
      <c r="P90" s="385"/>
      <c r="Q90" s="385"/>
      <c r="R90" s="385"/>
      <c r="S90" s="385"/>
      <c r="T90" s="385"/>
      <c r="U90" s="385"/>
      <c r="V90" s="385"/>
      <c r="W90" s="385"/>
      <c r="X90" s="385"/>
      <c r="Y90" s="385"/>
      <c r="Z90" s="385"/>
      <c r="AA90" s="385"/>
      <c r="AB90" s="385"/>
      <c r="AC90" s="385"/>
      <c r="AD90" s="385"/>
      <c r="AE90" s="385"/>
      <c r="AF90" s="385"/>
      <c r="AG90" s="385"/>
      <c r="AH90" s="385"/>
      <c r="AI90" s="385"/>
      <c r="AJ90" s="385"/>
      <c r="AK90" s="385"/>
      <c r="AL90" s="385"/>
      <c r="AM90" s="385"/>
      <c r="AN90" s="385"/>
      <c r="AO90" s="385"/>
      <c r="AP90" s="385"/>
      <c r="AQ90" s="385"/>
      <c r="AR90" s="385"/>
      <c r="AS90" s="385"/>
      <c r="AT90" s="385"/>
      <c r="AU90" s="385"/>
      <c r="AV90" s="385"/>
      <c r="AW90" s="385"/>
      <c r="AX90" s="385"/>
      <c r="AY90" s="385"/>
      <c r="AZ90" s="385"/>
      <c r="BA90" s="385"/>
      <c r="BB90" s="385"/>
      <c r="BC90" s="385"/>
      <c r="BD90" s="385"/>
      <c r="BE90" s="385"/>
      <c r="BF90" s="385"/>
      <c r="BG90" s="385"/>
      <c r="BH90" s="385"/>
      <c r="BI90" s="385"/>
      <c r="BJ90" s="385"/>
      <c r="BK90" s="385"/>
      <c r="BL90" s="385"/>
      <c r="BM90" s="385"/>
      <c r="BN90" s="385"/>
      <c r="BO90" s="385"/>
      <c r="BP90" s="385"/>
      <c r="BQ90" s="385"/>
      <c r="BR90" s="385"/>
      <c r="BS90" s="385"/>
      <c r="BT90" s="385"/>
      <c r="BU90" s="385"/>
      <c r="BV90" s="385"/>
      <c r="BX90" s="386"/>
      <c r="BY90" s="284"/>
      <c r="BZ90" s="385"/>
      <c r="CA90" s="385"/>
      <c r="CB90" s="385"/>
      <c r="CC90" s="385"/>
      <c r="CD90" s="386"/>
      <c r="CE90" s="284"/>
      <c r="CF90" s="385"/>
      <c r="CG90" s="385"/>
      <c r="CH90" s="385"/>
      <c r="CI90" s="385"/>
      <c r="CJ90" s="386"/>
      <c r="CK90" s="284"/>
      <c r="CL90" s="385"/>
      <c r="CM90" s="385"/>
      <c r="CN90" s="385"/>
      <c r="CO90" s="385"/>
      <c r="CP90" s="386"/>
      <c r="CQ90" s="284"/>
      <c r="CR90" s="385"/>
      <c r="CS90" s="385"/>
      <c r="CT90" s="385"/>
      <c r="CU90" s="385"/>
      <c r="CV90" s="386"/>
      <c r="CW90" s="284"/>
      <c r="CX90" s="386"/>
      <c r="CY90" s="284"/>
      <c r="CZ90" s="385"/>
      <c r="DA90" s="385"/>
      <c r="DB90" s="385"/>
      <c r="DC90" s="385"/>
      <c r="DD90" s="385"/>
      <c r="DE90" s="385"/>
      <c r="DF90" s="385"/>
      <c r="DG90" s="385"/>
      <c r="DH90" s="385"/>
      <c r="DI90" s="385"/>
      <c r="DJ90" s="385"/>
      <c r="DK90" s="385"/>
      <c r="DL90" s="385"/>
      <c r="DM90" s="385"/>
      <c r="DN90" s="385"/>
      <c r="DO90" s="385"/>
      <c r="DP90" s="385"/>
      <c r="DQ90" s="385"/>
      <c r="DR90" s="385"/>
      <c r="DS90" s="385"/>
      <c r="DT90" s="385"/>
      <c r="DU90" s="385"/>
      <c r="DV90" s="385"/>
      <c r="DW90" s="385"/>
      <c r="DX90" s="385"/>
      <c r="DY90" s="385"/>
      <c r="DZ90" s="385"/>
      <c r="EA90" s="385"/>
      <c r="EB90" s="385"/>
      <c r="EC90" s="385"/>
      <c r="ED90" s="385"/>
      <c r="EE90" s="385"/>
      <c r="EF90" s="385"/>
      <c r="EG90" s="385"/>
      <c r="EH90" s="385"/>
      <c r="EI90" s="286"/>
      <c r="EJ90" s="385"/>
      <c r="EK90" s="385"/>
      <c r="EL90" s="385"/>
      <c r="EM90" s="385"/>
      <c r="EN90" s="385"/>
      <c r="EO90" s="385"/>
      <c r="EP90" s="385"/>
      <c r="EQ90" s="385"/>
      <c r="ER90" s="385"/>
      <c r="ES90" s="385"/>
      <c r="ET90" s="385"/>
      <c r="EU90" s="385"/>
      <c r="EV90" s="385"/>
      <c r="EW90" s="385"/>
      <c r="EX90" s="385"/>
      <c r="EY90" s="385"/>
      <c r="EZ90" s="385"/>
      <c r="FA90" s="385"/>
      <c r="FB90" s="385"/>
      <c r="FC90" s="385"/>
      <c r="FD90" s="385"/>
      <c r="FE90" s="385"/>
      <c r="FF90" s="385"/>
      <c r="FG90" s="385"/>
      <c r="FH90" s="385"/>
    </row>
    <row r="91">
      <c r="B91" s="383" t="s">
        <v>30</v>
      </c>
      <c r="C91" s="384"/>
      <c r="D91" s="385"/>
      <c r="E91" s="385"/>
      <c r="F91" s="385"/>
      <c r="G91" s="385"/>
      <c r="H91" s="384"/>
      <c r="I91" s="385"/>
      <c r="J91" s="385"/>
      <c r="K91" s="385"/>
      <c r="L91" s="385"/>
      <c r="M91" s="385"/>
      <c r="N91" s="385"/>
      <c r="O91" s="385"/>
      <c r="P91" s="385"/>
      <c r="Q91" s="385"/>
      <c r="R91" s="385"/>
      <c r="S91" s="385"/>
      <c r="T91" s="385"/>
      <c r="U91" s="385"/>
      <c r="V91" s="385"/>
      <c r="W91" s="385"/>
      <c r="X91" s="385"/>
      <c r="Y91" s="385"/>
      <c r="Z91" s="385"/>
      <c r="AA91" s="385"/>
      <c r="AB91" s="385"/>
      <c r="AC91" s="385"/>
      <c r="AD91" s="385"/>
      <c r="AE91" s="385"/>
      <c r="AF91" s="385"/>
      <c r="AG91" s="385"/>
      <c r="AH91" s="385"/>
      <c r="AI91" s="385"/>
      <c r="AJ91" s="385"/>
      <c r="AK91" s="385"/>
      <c r="AL91" s="385"/>
      <c r="AM91" s="385"/>
      <c r="AN91" s="385"/>
      <c r="AO91" s="385"/>
      <c r="AP91" s="385"/>
      <c r="AQ91" s="385"/>
      <c r="AR91" s="385"/>
      <c r="AS91" s="385"/>
      <c r="AT91" s="385"/>
      <c r="AU91" s="385"/>
      <c r="AV91" s="385"/>
      <c r="AW91" s="385"/>
      <c r="AX91" s="385"/>
      <c r="AY91" s="385"/>
      <c r="AZ91" s="385"/>
      <c r="BA91" s="385"/>
      <c r="BB91" s="385"/>
      <c r="BC91" s="385"/>
      <c r="BD91" s="385"/>
      <c r="BE91" s="385"/>
      <c r="BF91" s="385"/>
      <c r="BG91" s="385"/>
      <c r="BH91" s="385"/>
      <c r="BI91" s="385"/>
      <c r="BJ91" s="385"/>
      <c r="BK91" s="385"/>
      <c r="BL91" s="385"/>
      <c r="BM91" s="385"/>
      <c r="BN91" s="385"/>
      <c r="BO91" s="385"/>
      <c r="BP91" s="385"/>
      <c r="BQ91" s="385"/>
      <c r="BR91" s="385"/>
      <c r="BS91" s="385"/>
      <c r="BT91" s="385"/>
      <c r="BU91" s="385"/>
      <c r="BV91" s="385"/>
      <c r="BX91" s="386"/>
      <c r="BY91" s="284"/>
      <c r="BZ91" s="385"/>
      <c r="CA91" s="385"/>
      <c r="CB91" s="385"/>
      <c r="CC91" s="385"/>
      <c r="CD91" s="386"/>
      <c r="CE91" s="284"/>
      <c r="CF91" s="385"/>
      <c r="CG91" s="385"/>
      <c r="CH91" s="385"/>
      <c r="CI91" s="385"/>
      <c r="CJ91" s="386"/>
      <c r="CK91" s="284"/>
      <c r="CL91" s="385"/>
      <c r="CM91" s="385"/>
      <c r="CN91" s="385"/>
      <c r="CO91" s="385"/>
      <c r="CP91" s="386"/>
      <c r="CQ91" s="284"/>
      <c r="CR91" s="385"/>
      <c r="CS91" s="385"/>
      <c r="CT91" s="385"/>
      <c r="CU91" s="385"/>
      <c r="CV91" s="386"/>
      <c r="CW91" s="284"/>
      <c r="CX91" s="386"/>
      <c r="CY91" s="284"/>
      <c r="CZ91" s="385"/>
      <c r="DA91" s="385"/>
      <c r="DB91" s="385"/>
      <c r="DC91" s="385"/>
      <c r="DD91" s="385"/>
      <c r="DE91" s="385"/>
      <c r="DF91" s="385"/>
      <c r="DG91" s="385"/>
      <c r="DH91" s="385"/>
      <c r="DI91" s="385"/>
      <c r="DJ91" s="385"/>
      <c r="DK91" s="385"/>
      <c r="DL91" s="385"/>
      <c r="DM91" s="385"/>
      <c r="DN91" s="385"/>
      <c r="DO91" s="385"/>
      <c r="DP91" s="385"/>
      <c r="DQ91" s="385"/>
      <c r="DR91" s="385"/>
      <c r="DS91" s="385"/>
      <c r="DT91" s="385"/>
      <c r="DU91" s="385"/>
      <c r="DV91" s="385"/>
      <c r="DW91" s="385"/>
      <c r="DX91" s="385"/>
      <c r="DY91" s="385"/>
      <c r="DZ91" s="385"/>
      <c r="EA91" s="385"/>
      <c r="EB91" s="385"/>
      <c r="EC91" s="385"/>
      <c r="ED91" s="385"/>
      <c r="EE91" s="385"/>
      <c r="EF91" s="385"/>
      <c r="EG91" s="385"/>
      <c r="EH91" s="385"/>
      <c r="EI91" s="286"/>
      <c r="EJ91" s="385"/>
      <c r="EK91" s="385"/>
      <c r="EL91" s="385"/>
      <c r="EM91" s="385"/>
      <c r="EN91" s="385"/>
      <c r="EO91" s="385"/>
      <c r="EP91" s="385"/>
      <c r="EQ91" s="385"/>
      <c r="ER91" s="385"/>
      <c r="ES91" s="385"/>
      <c r="ET91" s="385"/>
      <c r="EU91" s="385"/>
      <c r="EV91" s="385"/>
      <c r="EW91" s="385"/>
      <c r="EX91" s="385"/>
      <c r="EY91" s="385"/>
      <c r="EZ91" s="385"/>
      <c r="FA91" s="385"/>
      <c r="FB91" s="385"/>
      <c r="FC91" s="385"/>
      <c r="FD91" s="385"/>
      <c r="FE91" s="385"/>
      <c r="FF91" s="385"/>
      <c r="FG91" s="385"/>
      <c r="FH91" s="385"/>
    </row>
    <row r="92">
      <c r="B92" s="387" t="s">
        <v>527</v>
      </c>
      <c r="C92" s="384"/>
      <c r="D92" s="385"/>
      <c r="E92" s="385"/>
      <c r="F92" s="385"/>
      <c r="G92" s="385"/>
      <c r="H92" s="384"/>
      <c r="I92" s="385"/>
      <c r="J92" s="385"/>
      <c r="K92" s="385"/>
      <c r="L92" s="385"/>
      <c r="M92" s="385"/>
      <c r="N92" s="385"/>
      <c r="O92" s="385"/>
      <c r="P92" s="385"/>
      <c r="Q92" s="385"/>
      <c r="R92" s="385"/>
      <c r="S92" s="385"/>
      <c r="T92" s="385"/>
      <c r="U92" s="385"/>
      <c r="V92" s="385"/>
      <c r="W92" s="385"/>
      <c r="X92" s="385"/>
      <c r="Y92" s="385"/>
      <c r="Z92" s="385"/>
      <c r="AA92" s="385">
        <f t="shared" ref="AA92:AX92" si="143">AA13/AA12</f>
        <v>0.6885789256</v>
      </c>
      <c r="AB92" s="385">
        <f t="shared" si="143"/>
        <v>0.3425076453</v>
      </c>
      <c r="AC92" s="385">
        <f t="shared" si="143"/>
        <v>0.0657767435</v>
      </c>
      <c r="AD92" s="385">
        <f t="shared" si="143"/>
        <v>0.624759384</v>
      </c>
      <c r="AE92" s="385">
        <f t="shared" si="143"/>
        <v>0.1450313051</v>
      </c>
      <c r="AF92" s="385">
        <f t="shared" si="143"/>
        <v>0.3839906724</v>
      </c>
      <c r="AG92" s="385">
        <f t="shared" si="143"/>
        <v>0.423692216</v>
      </c>
      <c r="AH92" s="385">
        <f t="shared" si="143"/>
        <v>0.2416977555</v>
      </c>
      <c r="AI92" s="385">
        <f t="shared" si="143"/>
        <v>0.4105431134</v>
      </c>
      <c r="AJ92" s="385">
        <f t="shared" si="143"/>
        <v>0.6244773931</v>
      </c>
      <c r="AK92" s="385">
        <f t="shared" si="143"/>
        <v>0.4312939989</v>
      </c>
      <c r="AL92" s="385">
        <f t="shared" si="143"/>
        <v>0.1909785646</v>
      </c>
      <c r="AM92" s="385">
        <f t="shared" si="143"/>
        <v>1</v>
      </c>
      <c r="AN92" s="385">
        <f t="shared" si="143"/>
        <v>0.4122314799</v>
      </c>
      <c r="AO92" s="385">
        <f t="shared" si="143"/>
        <v>0.4385716099</v>
      </c>
      <c r="AP92" s="385">
        <f t="shared" si="143"/>
        <v>0.5993832129</v>
      </c>
      <c r="AQ92" s="385">
        <f t="shared" si="143"/>
        <v>0.8537902727</v>
      </c>
      <c r="AR92" s="385">
        <f t="shared" si="143"/>
        <v>0.4156928442</v>
      </c>
      <c r="AS92" s="385">
        <f t="shared" si="143"/>
        <v>0.1092616472</v>
      </c>
      <c r="AT92" s="385">
        <f t="shared" si="143"/>
        <v>0.5327998676</v>
      </c>
      <c r="AU92" s="385">
        <f t="shared" si="143"/>
        <v>0.2391294073</v>
      </c>
      <c r="AV92" s="385">
        <f t="shared" si="143"/>
        <v>0.5883173714</v>
      </c>
      <c r="AW92" s="385">
        <f t="shared" si="143"/>
        <v>0.726015901</v>
      </c>
      <c r="AX92" s="385">
        <f t="shared" si="143"/>
        <v>0.484266416</v>
      </c>
      <c r="AY92" s="385">
        <f t="shared" ref="AY92:BM92" si="144">IFERROR((AY13+AY15+AY16)/AY12,0)</f>
        <v>0</v>
      </c>
      <c r="AZ92" s="385">
        <f t="shared" si="144"/>
        <v>0.3857235899</v>
      </c>
      <c r="BA92" s="385">
        <f t="shared" si="144"/>
        <v>0.1344011448</v>
      </c>
      <c r="BB92" s="385">
        <f t="shared" si="144"/>
        <v>0.1524445448</v>
      </c>
      <c r="BC92" s="385">
        <f t="shared" si="144"/>
        <v>0.2771556826</v>
      </c>
      <c r="BD92" s="385">
        <f t="shared" si="144"/>
        <v>0.6282747892</v>
      </c>
      <c r="BE92" s="385">
        <f t="shared" si="144"/>
        <v>0.5096073161</v>
      </c>
      <c r="BF92" s="385">
        <f t="shared" si="144"/>
        <v>0.7243039168</v>
      </c>
      <c r="BG92" s="385">
        <f t="shared" si="144"/>
        <v>0.1242561749</v>
      </c>
      <c r="BH92" s="385">
        <f t="shared" si="144"/>
        <v>0.1764423511</v>
      </c>
      <c r="BI92" s="385">
        <f t="shared" si="144"/>
        <v>0.8448499968</v>
      </c>
      <c r="BJ92" s="385">
        <f t="shared" si="144"/>
        <v>0.4158411518</v>
      </c>
      <c r="BK92" s="385">
        <f t="shared" si="144"/>
        <v>0.1870327278</v>
      </c>
      <c r="BL92" s="385">
        <f t="shared" si="144"/>
        <v>0.299756243</v>
      </c>
      <c r="BM92" s="385">
        <f t="shared" si="144"/>
        <v>0.1772285797</v>
      </c>
      <c r="BN92" s="385">
        <f t="shared" ref="BN92:BV92" si="145">IFERROR(BN13/BN12,0)</f>
        <v>0.2028852474</v>
      </c>
      <c r="BO92" s="385">
        <f t="shared" si="145"/>
        <v>0.1474546972</v>
      </c>
      <c r="BP92" s="385">
        <f t="shared" si="145"/>
        <v>0.2832978003</v>
      </c>
      <c r="BQ92" s="385">
        <f t="shared" si="145"/>
        <v>0.1752541757</v>
      </c>
      <c r="BR92" s="385">
        <f t="shared" si="145"/>
        <v>0.3388098974</v>
      </c>
      <c r="BS92" s="385">
        <f t="shared" si="145"/>
        <v>0</v>
      </c>
      <c r="BT92" s="385">
        <f t="shared" si="145"/>
        <v>0</v>
      </c>
      <c r="BU92" s="385">
        <f t="shared" si="145"/>
        <v>0</v>
      </c>
      <c r="BV92" s="385">
        <f t="shared" si="145"/>
        <v>0</v>
      </c>
      <c r="BX92" s="386" t="str">
        <f>BX13/BX12</f>
        <v>#REF!</v>
      </c>
      <c r="BY92" s="284"/>
      <c r="BZ92" s="385">
        <f t="shared" ref="BZ92:CD92" si="146">IFERROR(BZ13/BZ12,0)</f>
        <v>0.07624435599</v>
      </c>
      <c r="CA92" s="385">
        <f t="shared" si="146"/>
        <v>0.2142804029</v>
      </c>
      <c r="CB92" s="385">
        <f t="shared" si="146"/>
        <v>0.236378739</v>
      </c>
      <c r="CC92" s="385">
        <f t="shared" si="146"/>
        <v>0</v>
      </c>
      <c r="CD92" s="386">
        <f t="shared" si="146"/>
        <v>0.1791950944</v>
      </c>
      <c r="CE92" s="284"/>
      <c r="CF92" s="385">
        <f t="shared" ref="CF92:CJ92" si="147">IFERROR(CF13/CF12,0)</f>
        <v>0.1291130318</v>
      </c>
      <c r="CG92" s="385">
        <f t="shared" si="147"/>
        <v>0.2920159843</v>
      </c>
      <c r="CH92" s="385">
        <f t="shared" si="147"/>
        <v>0.3845873269</v>
      </c>
      <c r="CI92" s="385">
        <f t="shared" si="147"/>
        <v>0.4431302913</v>
      </c>
      <c r="CJ92" s="386">
        <f t="shared" si="147"/>
        <v>0.3295473246</v>
      </c>
      <c r="CK92" s="284"/>
      <c r="CL92" s="385">
        <f t="shared" ref="CL92:CP92" si="148">CL13/CL12</f>
        <v>0.4574934992</v>
      </c>
      <c r="CM92" s="385">
        <f t="shared" si="148"/>
        <v>0.5419345854</v>
      </c>
      <c r="CN92" s="385">
        <f t="shared" si="148"/>
        <v>0.3508544229</v>
      </c>
      <c r="CO92" s="385">
        <f t="shared" si="148"/>
        <v>0.6033963456</v>
      </c>
      <c r="CP92" s="386">
        <f t="shared" si="148"/>
        <v>0.5122184618</v>
      </c>
      <c r="CQ92" s="284"/>
      <c r="CR92" s="385">
        <f t="shared" ref="CR92:CV92" si="149">CR13/CR12</f>
        <v>0.1102712673</v>
      </c>
      <c r="CS92" s="385">
        <f t="shared" si="149"/>
        <v>0.2766238464</v>
      </c>
      <c r="CT92" s="385">
        <f t="shared" si="149"/>
        <v>0.4080931389</v>
      </c>
      <c r="CU92" s="385">
        <f t="shared" si="149"/>
        <v>0.3661701685</v>
      </c>
      <c r="CV92" s="386">
        <f t="shared" si="149"/>
        <v>0.3122609057</v>
      </c>
      <c r="CW92" s="284"/>
      <c r="CX92" s="386" t="str">
        <f>CX13/CX12</f>
        <v>#DIV/0!</v>
      </c>
      <c r="CY92" s="284"/>
      <c r="CZ92" s="385"/>
      <c r="DA92" s="385"/>
      <c r="DB92" s="385"/>
      <c r="DC92" s="385"/>
      <c r="DD92" s="385"/>
      <c r="DE92" s="385"/>
      <c r="DF92" s="385"/>
      <c r="DG92" s="385"/>
      <c r="DH92" s="385"/>
      <c r="DI92" s="385"/>
      <c r="DJ92" s="385"/>
      <c r="DK92" s="385"/>
      <c r="DL92" s="385"/>
      <c r="DM92" s="385"/>
      <c r="DN92" s="385"/>
      <c r="DO92" s="385"/>
      <c r="DP92" s="385"/>
      <c r="DQ92" s="385"/>
      <c r="DR92" s="385"/>
      <c r="DS92" s="385"/>
      <c r="DT92" s="385"/>
      <c r="DU92" s="385"/>
      <c r="DV92" s="385"/>
      <c r="DW92" s="385"/>
      <c r="DX92" s="385"/>
      <c r="DY92" s="385"/>
      <c r="DZ92" s="385"/>
      <c r="EA92" s="385"/>
      <c r="EB92" s="385"/>
      <c r="EC92" s="385"/>
      <c r="ED92" s="385"/>
      <c r="EE92" s="385"/>
      <c r="EF92" s="385"/>
      <c r="EG92" s="385"/>
      <c r="EH92" s="385"/>
      <c r="EI92" s="286"/>
      <c r="EJ92" s="385"/>
      <c r="EK92" s="385"/>
      <c r="EL92" s="385"/>
      <c r="EM92" s="385"/>
      <c r="EN92" s="385"/>
      <c r="EO92" s="385"/>
      <c r="EP92" s="385"/>
      <c r="EQ92" s="385"/>
      <c r="ER92" s="385"/>
      <c r="ES92" s="385"/>
      <c r="ET92" s="385"/>
      <c r="EU92" s="385"/>
      <c r="EV92" s="385"/>
      <c r="EW92" s="385"/>
      <c r="EX92" s="385"/>
      <c r="EY92" s="385"/>
      <c r="EZ92" s="385"/>
      <c r="FA92" s="385"/>
      <c r="FB92" s="385"/>
      <c r="FC92" s="385"/>
      <c r="FD92" s="385"/>
      <c r="FE92" s="385"/>
      <c r="FF92" s="385"/>
      <c r="FG92" s="385"/>
      <c r="FH92" s="385"/>
    </row>
    <row r="93">
      <c r="B93" s="387" t="s">
        <v>528</v>
      </c>
      <c r="C93" s="384"/>
      <c r="D93" s="384"/>
      <c r="E93" s="384"/>
      <c r="F93" s="384"/>
      <c r="G93" s="384"/>
      <c r="H93" s="384"/>
      <c r="I93" s="384"/>
      <c r="J93" s="384"/>
      <c r="K93" s="384"/>
      <c r="L93" s="384"/>
      <c r="M93" s="384"/>
      <c r="N93" s="384"/>
      <c r="O93" s="384"/>
      <c r="P93" s="384"/>
      <c r="Q93" s="384"/>
      <c r="R93" s="384"/>
      <c r="S93" s="384"/>
      <c r="T93" s="384"/>
      <c r="U93" s="384"/>
      <c r="V93" s="384"/>
      <c r="W93" s="384"/>
      <c r="X93" s="384"/>
      <c r="Y93" s="384"/>
      <c r="Z93" s="384"/>
      <c r="AA93" s="384">
        <f t="shared" ref="AA93:AX93" si="150">AA14/AA12</f>
        <v>0.3114210744</v>
      </c>
      <c r="AB93" s="384">
        <f t="shared" si="150"/>
        <v>0.1467889908</v>
      </c>
      <c r="AC93" s="384">
        <f t="shared" si="150"/>
        <v>0.9342232565</v>
      </c>
      <c r="AD93" s="384">
        <f t="shared" si="150"/>
        <v>0.3615255053</v>
      </c>
      <c r="AE93" s="384">
        <f t="shared" si="150"/>
        <v>0.8521553744</v>
      </c>
      <c r="AF93" s="384">
        <f t="shared" si="150"/>
        <v>0.6091211716</v>
      </c>
      <c r="AG93" s="384">
        <f t="shared" si="150"/>
        <v>0.5239938737</v>
      </c>
      <c r="AH93" s="384">
        <f t="shared" si="150"/>
        <v>0.7339000673</v>
      </c>
      <c r="AI93" s="384">
        <f t="shared" si="150"/>
        <v>0.5888738239</v>
      </c>
      <c r="AJ93" s="384">
        <f t="shared" si="150"/>
        <v>0.3701420279</v>
      </c>
      <c r="AK93" s="384">
        <f t="shared" si="150"/>
        <v>0.463172251</v>
      </c>
      <c r="AL93" s="384">
        <f t="shared" si="150"/>
        <v>0.7804319323</v>
      </c>
      <c r="AM93" s="384">
        <f t="shared" si="150"/>
        <v>0</v>
      </c>
      <c r="AN93" s="384">
        <f t="shared" si="150"/>
        <v>0.2902000794</v>
      </c>
      <c r="AO93" s="384">
        <f t="shared" si="150"/>
        <v>0.5510104923</v>
      </c>
      <c r="AP93" s="384">
        <f t="shared" si="150"/>
        <v>0.3982468386</v>
      </c>
      <c r="AQ93" s="384">
        <f t="shared" si="150"/>
        <v>0.1203372241</v>
      </c>
      <c r="AR93" s="384">
        <f t="shared" si="150"/>
        <v>0.5220512619</v>
      </c>
      <c r="AS93" s="384">
        <f t="shared" si="150"/>
        <v>0.7839277101</v>
      </c>
      <c r="AT93" s="384">
        <f t="shared" si="150"/>
        <v>0.4604423923</v>
      </c>
      <c r="AU93" s="384">
        <f t="shared" si="150"/>
        <v>0.7572034637</v>
      </c>
      <c r="AV93" s="384">
        <f t="shared" si="150"/>
        <v>0.3466021317</v>
      </c>
      <c r="AW93" s="384">
        <f t="shared" si="150"/>
        <v>0.2572563114</v>
      </c>
      <c r="AX93" s="384">
        <f t="shared" si="150"/>
        <v>0.379561076</v>
      </c>
      <c r="AY93" s="384">
        <f t="shared" ref="AY93:BV93" si="151">IFERROR(AY14/AY12,0)</f>
        <v>1</v>
      </c>
      <c r="AZ93" s="384">
        <f t="shared" si="151"/>
        <v>0.6142764101</v>
      </c>
      <c r="BA93" s="384">
        <f t="shared" si="151"/>
        <v>0.8655988552</v>
      </c>
      <c r="BB93" s="384">
        <f t="shared" si="151"/>
        <v>0.8475554552</v>
      </c>
      <c r="BC93" s="384">
        <f t="shared" si="151"/>
        <v>0.7228443174</v>
      </c>
      <c r="BD93" s="384">
        <f t="shared" si="151"/>
        <v>0.3717252108</v>
      </c>
      <c r="BE93" s="384">
        <f t="shared" si="151"/>
        <v>0.4903926839</v>
      </c>
      <c r="BF93" s="384">
        <f t="shared" si="151"/>
        <v>0.2756960832</v>
      </c>
      <c r="BG93" s="384">
        <f t="shared" si="151"/>
        <v>0.8757438251</v>
      </c>
      <c r="BH93" s="384">
        <f t="shared" si="151"/>
        <v>0.8235576489</v>
      </c>
      <c r="BI93" s="384">
        <f t="shared" si="151"/>
        <v>0.1551500032</v>
      </c>
      <c r="BJ93" s="384">
        <f t="shared" si="151"/>
        <v>0.5841588482</v>
      </c>
      <c r="BK93" s="384">
        <f t="shared" si="151"/>
        <v>0.8129672722</v>
      </c>
      <c r="BL93" s="384">
        <f t="shared" si="151"/>
        <v>0.700243757</v>
      </c>
      <c r="BM93" s="384">
        <f t="shared" si="151"/>
        <v>0.8227714203</v>
      </c>
      <c r="BN93" s="384">
        <f t="shared" si="151"/>
        <v>0.7414989226</v>
      </c>
      <c r="BO93" s="384">
        <f t="shared" si="151"/>
        <v>0.7913184389</v>
      </c>
      <c r="BP93" s="384">
        <f t="shared" si="151"/>
        <v>0.6316663081</v>
      </c>
      <c r="BQ93" s="384">
        <f t="shared" si="151"/>
        <v>0.8247458243</v>
      </c>
      <c r="BR93" s="384">
        <f t="shared" si="151"/>
        <v>0.6344930986</v>
      </c>
      <c r="BS93" s="384">
        <f t="shared" si="151"/>
        <v>0</v>
      </c>
      <c r="BT93" s="384">
        <f t="shared" si="151"/>
        <v>0</v>
      </c>
      <c r="BU93" s="384">
        <f t="shared" si="151"/>
        <v>0</v>
      </c>
      <c r="BV93" s="384">
        <f t="shared" si="151"/>
        <v>0</v>
      </c>
      <c r="BX93" s="388" t="str">
        <f>BX14/BX12</f>
        <v>#REF!</v>
      </c>
      <c r="BY93" s="389"/>
      <c r="BZ93" s="384">
        <f t="shared" ref="BZ93:CD93" si="152">IFERROR(BZ14/BZ12,0)</f>
        <v>0.7719867919</v>
      </c>
      <c r="CA93" s="384">
        <f t="shared" si="152"/>
        <v>0.7197858295</v>
      </c>
      <c r="CB93" s="384">
        <f t="shared" si="152"/>
        <v>0.753643972</v>
      </c>
      <c r="CC93" s="384">
        <f t="shared" si="152"/>
        <v>0</v>
      </c>
      <c r="CD93" s="388">
        <f t="shared" si="152"/>
        <v>0.7442711124</v>
      </c>
      <c r="CE93" s="389"/>
      <c r="CF93" s="384">
        <f t="shared" ref="CF93:CJ93" si="153">IFERROR(CF14/CF12,0)</f>
        <v>0.8504999215</v>
      </c>
      <c r="CG93" s="384">
        <f t="shared" si="153"/>
        <v>0.6964651266</v>
      </c>
      <c r="CH93" s="384">
        <f t="shared" si="153"/>
        <v>0.5476330189</v>
      </c>
      <c r="CI93" s="384">
        <f t="shared" si="153"/>
        <v>0.5107986464</v>
      </c>
      <c r="CJ93" s="388">
        <f t="shared" si="153"/>
        <v>0.6329945185</v>
      </c>
      <c r="CK93" s="389"/>
      <c r="CL93" s="384">
        <f t="shared" ref="CL93:CP93" si="154">CL14/CL12</f>
        <v>0.4460127994</v>
      </c>
      <c r="CM93" s="384">
        <f t="shared" si="154"/>
        <v>0.4128210212</v>
      </c>
      <c r="CN93" s="384">
        <f t="shared" si="154"/>
        <v>0.6198698149</v>
      </c>
      <c r="CO93" s="384">
        <f t="shared" si="154"/>
        <v>0.3227380791</v>
      </c>
      <c r="CP93" s="388">
        <f t="shared" si="154"/>
        <v>0.4264117875</v>
      </c>
      <c r="CQ93" s="389"/>
      <c r="CR93" s="384">
        <f t="shared" ref="CR93:CV93" si="155">CR14/CR12</f>
        <v>0.855289727</v>
      </c>
      <c r="CS93" s="384">
        <f t="shared" si="155"/>
        <v>0.7180778372</v>
      </c>
      <c r="CT93" s="384">
        <f t="shared" si="155"/>
        <v>0.561553387</v>
      </c>
      <c r="CU93" s="384">
        <f t="shared" si="155"/>
        <v>0.6033358342</v>
      </c>
      <c r="CV93" s="388">
        <f t="shared" si="155"/>
        <v>0.6644062658</v>
      </c>
      <c r="CW93" s="389"/>
      <c r="CX93" s="388" t="str">
        <f>CX14/CX12</f>
        <v>#DIV/0!</v>
      </c>
      <c r="CY93" s="389"/>
      <c r="CZ93" s="384"/>
      <c r="DA93" s="384"/>
      <c r="DB93" s="384"/>
      <c r="DC93" s="384"/>
      <c r="DD93" s="384"/>
      <c r="DE93" s="384"/>
      <c r="DF93" s="384"/>
      <c r="DG93" s="384"/>
      <c r="DH93" s="384"/>
      <c r="DI93" s="384"/>
      <c r="DJ93" s="384"/>
      <c r="DK93" s="384"/>
      <c r="DL93" s="384"/>
      <c r="DM93" s="384"/>
      <c r="DN93" s="384"/>
      <c r="DO93" s="384"/>
      <c r="DP93" s="384"/>
      <c r="DQ93" s="384"/>
      <c r="DR93" s="384"/>
      <c r="DS93" s="384"/>
      <c r="DT93" s="384"/>
      <c r="DU93" s="384"/>
      <c r="DV93" s="384"/>
      <c r="DW93" s="384"/>
      <c r="DX93" s="384"/>
      <c r="DY93" s="384"/>
      <c r="DZ93" s="384"/>
      <c r="EA93" s="384"/>
      <c r="EB93" s="384"/>
      <c r="EC93" s="384"/>
      <c r="ED93" s="384"/>
      <c r="EE93" s="384"/>
      <c r="EF93" s="384"/>
      <c r="EG93" s="384"/>
      <c r="EH93" s="384"/>
      <c r="EI93" s="360"/>
      <c r="EJ93" s="384"/>
      <c r="EK93" s="384"/>
      <c r="EL93" s="385"/>
      <c r="EM93" s="385"/>
      <c r="EN93" s="384"/>
      <c r="EO93" s="384"/>
      <c r="EP93" s="384"/>
      <c r="EQ93" s="384"/>
      <c r="ER93" s="384"/>
      <c r="ES93" s="384"/>
      <c r="ET93" s="384"/>
      <c r="EU93" s="384"/>
      <c r="EV93" s="384"/>
      <c r="EW93" s="384"/>
      <c r="EX93" s="385"/>
      <c r="EY93" s="385"/>
      <c r="EZ93" s="384"/>
      <c r="FA93" s="384"/>
      <c r="FB93" s="384"/>
      <c r="FC93" s="384"/>
      <c r="FD93" s="384"/>
      <c r="FE93" s="384"/>
      <c r="FF93" s="384"/>
      <c r="FG93" s="384"/>
      <c r="FH93" s="384"/>
    </row>
    <row r="94">
      <c r="B94" s="135"/>
      <c r="C94" s="389"/>
      <c r="D94" s="389"/>
      <c r="E94" s="389"/>
      <c r="F94" s="389"/>
      <c r="G94" s="389"/>
      <c r="H94" s="389"/>
      <c r="I94" s="389"/>
      <c r="J94" s="389"/>
      <c r="K94" s="389"/>
      <c r="L94" s="389"/>
      <c r="M94" s="389"/>
      <c r="N94" s="389"/>
      <c r="O94" s="389"/>
      <c r="P94" s="389"/>
      <c r="Q94" s="389"/>
      <c r="R94" s="389"/>
      <c r="S94" s="389"/>
      <c r="T94" s="389"/>
      <c r="U94" s="389"/>
      <c r="V94" s="389"/>
      <c r="W94" s="389"/>
      <c r="X94" s="389"/>
      <c r="Y94" s="389"/>
      <c r="Z94" s="389"/>
      <c r="AA94" s="389"/>
      <c r="AB94" s="389"/>
      <c r="AC94" s="389"/>
      <c r="AD94" s="389"/>
      <c r="AE94" s="389"/>
      <c r="AF94" s="389"/>
      <c r="AG94" s="389"/>
      <c r="AH94" s="389"/>
      <c r="AI94" s="389"/>
      <c r="AJ94" s="389"/>
      <c r="AK94" s="389"/>
      <c r="AL94" s="389"/>
      <c r="AM94" s="389"/>
      <c r="AN94" s="389"/>
      <c r="AO94" s="389"/>
      <c r="AP94" s="389"/>
      <c r="AQ94" s="389"/>
      <c r="AR94" s="389"/>
      <c r="AS94" s="389"/>
      <c r="AT94" s="389"/>
      <c r="AU94" s="389"/>
      <c r="AV94" s="389"/>
      <c r="AW94" s="389"/>
      <c r="AX94" s="389"/>
      <c r="AY94" s="389"/>
      <c r="AZ94" s="389"/>
      <c r="BA94" s="389"/>
      <c r="BB94" s="389"/>
      <c r="BC94" s="389"/>
      <c r="BD94" s="389"/>
      <c r="BE94" s="389"/>
      <c r="BF94" s="389"/>
      <c r="BG94" s="389"/>
      <c r="BH94" s="389"/>
      <c r="BI94" s="389"/>
      <c r="BJ94" s="389"/>
      <c r="BK94" s="389"/>
      <c r="BL94" s="389"/>
      <c r="BM94" s="389"/>
      <c r="BN94" s="389"/>
      <c r="BO94" s="389"/>
      <c r="BP94" s="389"/>
      <c r="BQ94" s="389"/>
      <c r="BR94" s="389"/>
      <c r="BS94" s="389"/>
      <c r="BT94" s="389"/>
      <c r="BU94" s="389"/>
      <c r="BV94" s="389"/>
      <c r="BX94" s="390"/>
      <c r="BY94" s="389"/>
      <c r="BZ94" s="389"/>
      <c r="CA94" s="389"/>
      <c r="CB94" s="389"/>
      <c r="CC94" s="389"/>
      <c r="CD94" s="390"/>
      <c r="CE94" s="389"/>
      <c r="CF94" s="389"/>
      <c r="CG94" s="389"/>
      <c r="CH94" s="389"/>
      <c r="CI94" s="389"/>
      <c r="CJ94" s="390"/>
      <c r="CK94" s="389"/>
      <c r="CL94" s="389"/>
      <c r="CM94" s="389"/>
      <c r="CN94" s="389"/>
      <c r="CO94" s="389"/>
      <c r="CP94" s="390"/>
      <c r="CQ94" s="389"/>
      <c r="CR94" s="389"/>
      <c r="CS94" s="389"/>
      <c r="CT94" s="389"/>
      <c r="CU94" s="389"/>
      <c r="CV94" s="390"/>
      <c r="CW94" s="389"/>
      <c r="CX94" s="390"/>
      <c r="CZ94" s="389"/>
      <c r="DA94" s="389"/>
      <c r="DB94" s="389"/>
      <c r="DC94" s="389"/>
      <c r="DD94" s="389"/>
      <c r="DE94" s="389"/>
      <c r="DF94" s="389"/>
      <c r="DG94" s="389"/>
      <c r="DH94" s="389"/>
      <c r="DI94" s="389"/>
      <c r="DJ94" s="389"/>
      <c r="DK94" s="389"/>
      <c r="DL94" s="389"/>
      <c r="DM94" s="389"/>
      <c r="DN94" s="389"/>
      <c r="DO94" s="389"/>
      <c r="DP94" s="389"/>
      <c r="DQ94" s="389"/>
      <c r="DR94" s="389"/>
      <c r="DS94" s="389"/>
      <c r="DT94" s="389"/>
      <c r="DU94" s="389"/>
      <c r="DV94" s="389"/>
      <c r="DW94" s="389"/>
      <c r="DX94" s="389"/>
      <c r="DY94" s="389"/>
      <c r="DZ94" s="389"/>
      <c r="EA94" s="389"/>
      <c r="EB94" s="389"/>
      <c r="EC94" s="389"/>
      <c r="ED94" s="389"/>
      <c r="EE94" s="389"/>
      <c r="EF94" s="389"/>
      <c r="EG94" s="389"/>
      <c r="EH94" s="389"/>
      <c r="EI94" s="137"/>
      <c r="EJ94" s="389"/>
      <c r="EK94" s="389"/>
      <c r="EL94" s="385"/>
      <c r="EM94" s="385"/>
      <c r="EN94" s="389"/>
      <c r="EO94" s="389"/>
      <c r="EP94" s="389"/>
      <c r="EQ94" s="389"/>
      <c r="ER94" s="389"/>
      <c r="ES94" s="389"/>
      <c r="ET94" s="389"/>
      <c r="EU94" s="389"/>
      <c r="EV94" s="389"/>
      <c r="EW94" s="389"/>
      <c r="EX94" s="385"/>
      <c r="EY94" s="385"/>
      <c r="EZ94" s="389"/>
      <c r="FA94" s="389"/>
      <c r="FB94" s="389"/>
      <c r="FC94" s="389"/>
      <c r="FD94" s="389"/>
      <c r="FE94" s="389"/>
      <c r="FF94" s="389"/>
      <c r="FG94" s="389"/>
      <c r="FH94" s="389"/>
    </row>
    <row r="95">
      <c r="B95" s="383" t="s">
        <v>276</v>
      </c>
      <c r="C95" s="384"/>
      <c r="D95" s="384"/>
      <c r="E95" s="384"/>
      <c r="F95" s="384"/>
      <c r="G95" s="384"/>
      <c r="H95" s="384"/>
      <c r="I95" s="384"/>
      <c r="J95" s="384"/>
      <c r="K95" s="384"/>
      <c r="L95" s="384"/>
      <c r="M95" s="384"/>
      <c r="N95" s="384"/>
      <c r="O95" s="384"/>
      <c r="P95" s="384"/>
      <c r="Q95" s="384"/>
      <c r="R95" s="384"/>
      <c r="S95" s="384"/>
      <c r="T95" s="384"/>
      <c r="U95" s="384"/>
      <c r="V95" s="384"/>
      <c r="W95" s="384"/>
      <c r="X95" s="384"/>
      <c r="Y95" s="384"/>
      <c r="Z95" s="384"/>
      <c r="AA95" s="384"/>
      <c r="AB95" s="384"/>
      <c r="AC95" s="384"/>
      <c r="AD95" s="384"/>
      <c r="AE95" s="384"/>
      <c r="AF95" s="384"/>
      <c r="AG95" s="384"/>
      <c r="AH95" s="384"/>
      <c r="AI95" s="384"/>
      <c r="AJ95" s="384"/>
      <c r="AK95" s="384"/>
      <c r="AL95" s="384"/>
      <c r="AM95" s="384"/>
      <c r="AN95" s="384"/>
      <c r="AO95" s="384"/>
      <c r="AP95" s="384"/>
      <c r="AQ95" s="384"/>
      <c r="AR95" s="384"/>
      <c r="AS95" s="384"/>
      <c r="AT95" s="384"/>
      <c r="AU95" s="384"/>
      <c r="AV95" s="384"/>
      <c r="AW95" s="384"/>
      <c r="AX95" s="384"/>
      <c r="AY95" s="384"/>
      <c r="AZ95" s="384"/>
      <c r="BA95" s="384"/>
      <c r="BB95" s="384"/>
      <c r="BC95" s="384"/>
      <c r="BD95" s="384"/>
      <c r="BE95" s="384"/>
      <c r="BF95" s="384"/>
      <c r="BG95" s="384"/>
      <c r="BH95" s="384"/>
      <c r="BI95" s="384"/>
      <c r="BJ95" s="384"/>
      <c r="BK95" s="384"/>
      <c r="BL95" s="384"/>
      <c r="BM95" s="384"/>
      <c r="BN95" s="384"/>
      <c r="BO95" s="384"/>
      <c r="BP95" s="384"/>
      <c r="BQ95" s="384"/>
      <c r="BR95" s="384"/>
      <c r="BS95" s="384"/>
      <c r="BT95" s="384"/>
      <c r="BU95" s="384"/>
      <c r="BV95" s="384"/>
      <c r="BX95" s="388"/>
      <c r="BY95" s="389"/>
      <c r="BZ95" s="391" t="str">
        <f t="shared" ref="BZ95:CD95" si="156">SUM(BZ96,BZ98)</f>
        <v>#REF!</v>
      </c>
      <c r="CA95" s="391" t="str">
        <f t="shared" si="156"/>
        <v>#REF!</v>
      </c>
      <c r="CB95" s="391" t="str">
        <f t="shared" si="156"/>
        <v>#REF!</v>
      </c>
      <c r="CC95" s="391" t="str">
        <f t="shared" si="156"/>
        <v>#REF!</v>
      </c>
      <c r="CD95" s="392" t="str">
        <f t="shared" si="156"/>
        <v>#REF!</v>
      </c>
      <c r="CE95" s="389"/>
      <c r="CF95" s="391" t="str">
        <f t="shared" ref="CF95:CJ95" si="157">SUM(CF96,CF98)</f>
        <v>#REF!</v>
      </c>
      <c r="CG95" s="391" t="str">
        <f t="shared" si="157"/>
        <v>#REF!</v>
      </c>
      <c r="CH95" s="391" t="str">
        <f t="shared" si="157"/>
        <v>#REF!</v>
      </c>
      <c r="CI95" s="391" t="str">
        <f t="shared" si="157"/>
        <v>#REF!</v>
      </c>
      <c r="CJ95" s="392" t="str">
        <f t="shared" si="157"/>
        <v>#REF!</v>
      </c>
      <c r="CK95" s="389"/>
      <c r="CL95" s="384"/>
      <c r="CM95" s="384"/>
      <c r="CN95" s="384"/>
      <c r="CO95" s="384"/>
      <c r="CP95" s="388"/>
      <c r="CQ95" s="389"/>
      <c r="CR95" s="384"/>
      <c r="CS95" s="384"/>
      <c r="CT95" s="384"/>
      <c r="CU95" s="384"/>
      <c r="CV95" s="388"/>
      <c r="CW95" s="389"/>
      <c r="CX95" s="388"/>
      <c r="CY95" s="284"/>
      <c r="CZ95" s="384"/>
      <c r="DA95" s="384"/>
      <c r="DB95" s="384"/>
      <c r="DC95" s="384"/>
      <c r="DD95" s="384"/>
      <c r="DE95" s="384"/>
      <c r="DF95" s="384"/>
      <c r="DG95" s="384"/>
      <c r="DH95" s="384"/>
      <c r="DI95" s="384"/>
      <c r="DJ95" s="384"/>
      <c r="DK95" s="384"/>
      <c r="DL95" s="384"/>
      <c r="DM95" s="384"/>
      <c r="DN95" s="384"/>
      <c r="DO95" s="384"/>
      <c r="DP95" s="384"/>
      <c r="DQ95" s="384"/>
      <c r="DR95" s="384"/>
      <c r="DS95" s="384"/>
      <c r="DT95" s="384"/>
      <c r="DU95" s="384"/>
      <c r="DV95" s="384"/>
      <c r="DW95" s="384"/>
      <c r="DX95" s="384"/>
      <c r="DY95" s="384"/>
      <c r="DZ95" s="384"/>
      <c r="EA95" s="384"/>
      <c r="EB95" s="384"/>
      <c r="EC95" s="384"/>
      <c r="ED95" s="384"/>
      <c r="EE95" s="384"/>
      <c r="EF95" s="384"/>
      <c r="EG95" s="384"/>
      <c r="EH95" s="384"/>
      <c r="EI95" s="360"/>
      <c r="EJ95" s="384"/>
      <c r="EK95" s="384"/>
      <c r="EL95" s="385"/>
      <c r="EM95" s="385"/>
      <c r="EN95" s="384"/>
      <c r="EO95" s="384"/>
      <c r="EP95" s="384"/>
      <c r="EQ95" s="384"/>
      <c r="ER95" s="384"/>
      <c r="ES95" s="384"/>
      <c r="ET95" s="384"/>
      <c r="EU95" s="384"/>
      <c r="EV95" s="384"/>
      <c r="EW95" s="384"/>
      <c r="EX95" s="385"/>
      <c r="EY95" s="385"/>
      <c r="EZ95" s="384"/>
      <c r="FA95" s="384"/>
      <c r="FB95" s="384"/>
      <c r="FC95" s="384"/>
      <c r="FD95" s="384"/>
      <c r="FE95" s="384"/>
      <c r="FF95" s="384"/>
      <c r="FG95" s="384"/>
      <c r="FH95" s="384"/>
    </row>
    <row r="96">
      <c r="B96" s="393" t="s">
        <v>529</v>
      </c>
      <c r="C96" s="384"/>
      <c r="D96" s="384"/>
      <c r="E96" s="384"/>
      <c r="F96" s="384"/>
      <c r="G96" s="384"/>
      <c r="H96" s="384"/>
      <c r="I96" s="384"/>
      <c r="J96" s="384"/>
      <c r="K96" s="384"/>
      <c r="L96" s="384"/>
      <c r="M96" s="384"/>
      <c r="N96" s="384"/>
      <c r="O96" s="384"/>
      <c r="P96" s="384"/>
      <c r="Q96" s="384"/>
      <c r="R96" s="384"/>
      <c r="S96" s="384"/>
      <c r="T96" s="384"/>
      <c r="U96" s="384"/>
      <c r="V96" s="384"/>
      <c r="W96" s="384"/>
      <c r="X96" s="384"/>
      <c r="Y96" s="384"/>
      <c r="Z96" s="384"/>
      <c r="AA96" s="384"/>
      <c r="AB96" s="384"/>
      <c r="AC96" s="384"/>
      <c r="AD96" s="384"/>
      <c r="AE96" s="384"/>
      <c r="AF96" s="384"/>
      <c r="AG96" s="384"/>
      <c r="AH96" s="384"/>
      <c r="AI96" s="384"/>
      <c r="AJ96" s="384"/>
      <c r="AK96" s="384"/>
      <c r="AL96" s="384"/>
      <c r="AM96" s="394">
        <f t="shared" ref="AM96:BJ96" si="158">AM$19</f>
        <v>0</v>
      </c>
      <c r="AN96" s="394">
        <f t="shared" si="158"/>
        <v>0</v>
      </c>
      <c r="AO96" s="394">
        <f t="shared" si="158"/>
        <v>0</v>
      </c>
      <c r="AP96" s="394">
        <f t="shared" si="158"/>
        <v>0</v>
      </c>
      <c r="AQ96" s="394">
        <f t="shared" si="158"/>
        <v>0</v>
      </c>
      <c r="AR96" s="394">
        <f t="shared" si="158"/>
        <v>0</v>
      </c>
      <c r="AS96" s="394">
        <f t="shared" si="158"/>
        <v>0</v>
      </c>
      <c r="AT96" s="394">
        <f t="shared" si="158"/>
        <v>0</v>
      </c>
      <c r="AU96" s="394">
        <f t="shared" si="158"/>
        <v>0</v>
      </c>
      <c r="AV96" s="394">
        <f t="shared" si="158"/>
        <v>0</v>
      </c>
      <c r="AW96" s="394">
        <f t="shared" si="158"/>
        <v>0</v>
      </c>
      <c r="AX96" s="394">
        <f t="shared" si="158"/>
        <v>0</v>
      </c>
      <c r="AY96" s="394">
        <f t="shared" si="158"/>
        <v>911260.09</v>
      </c>
      <c r="AZ96" s="394">
        <f t="shared" si="158"/>
        <v>1046385.28</v>
      </c>
      <c r="BA96" s="394">
        <f t="shared" si="158"/>
        <v>1105121.68</v>
      </c>
      <c r="BB96" s="394">
        <f t="shared" si="158"/>
        <v>952348.33</v>
      </c>
      <c r="BC96" s="394">
        <f t="shared" si="158"/>
        <v>758335.87</v>
      </c>
      <c r="BD96" s="394">
        <f t="shared" si="158"/>
        <v>701159.96</v>
      </c>
      <c r="BE96" s="394">
        <f t="shared" si="158"/>
        <v>817553.73</v>
      </c>
      <c r="BF96" s="394">
        <f t="shared" si="158"/>
        <v>805291.54</v>
      </c>
      <c r="BG96" s="394">
        <f t="shared" si="158"/>
        <v>862119.54</v>
      </c>
      <c r="BH96" s="394">
        <f t="shared" si="158"/>
        <v>1209692.26</v>
      </c>
      <c r="BI96" s="394">
        <f t="shared" si="158"/>
        <v>1014296.27</v>
      </c>
      <c r="BJ96" s="394">
        <f t="shared" si="158"/>
        <v>933913.62</v>
      </c>
      <c r="BK96" s="394">
        <f t="shared" ref="BK96:BV96" si="159">BK$50</f>
        <v>584537.69</v>
      </c>
      <c r="BL96" s="394">
        <f t="shared" si="159"/>
        <v>498893.73</v>
      </c>
      <c r="BM96" s="394">
        <f t="shared" si="159"/>
        <v>350566.58</v>
      </c>
      <c r="BN96" s="394">
        <f t="shared" si="159"/>
        <v>497963.57</v>
      </c>
      <c r="BO96" s="394">
        <f t="shared" si="159"/>
        <v>382661.85</v>
      </c>
      <c r="BP96" s="394">
        <f t="shared" si="159"/>
        <v>378132.73</v>
      </c>
      <c r="BQ96" s="394">
        <f t="shared" si="159"/>
        <v>353522.55</v>
      </c>
      <c r="BR96" s="394">
        <f t="shared" si="159"/>
        <v>389801.91</v>
      </c>
      <c r="BS96" s="394" t="str">
        <f t="shared" si="159"/>
        <v/>
      </c>
      <c r="BT96" s="394" t="str">
        <f t="shared" si="159"/>
        <v/>
      </c>
      <c r="BU96" s="394" t="str">
        <f t="shared" si="159"/>
        <v/>
      </c>
      <c r="BV96" s="394" t="str">
        <f t="shared" si="159"/>
        <v/>
      </c>
      <c r="BX96" s="392" t="str">
        <f>BX$19-#REF!</f>
        <v>#REF!</v>
      </c>
      <c r="BY96" s="389"/>
      <c r="BZ96" s="391" t="str">
        <f t="shared" ref="BZ96:CD96" si="160">BZ$19-#REF!</f>
        <v>#REF!</v>
      </c>
      <c r="CA96" s="391" t="str">
        <f t="shared" si="160"/>
        <v>#REF!</v>
      </c>
      <c r="CB96" s="391" t="str">
        <f t="shared" si="160"/>
        <v>#REF!</v>
      </c>
      <c r="CC96" s="391" t="str">
        <f t="shared" si="160"/>
        <v>#REF!</v>
      </c>
      <c r="CD96" s="392" t="str">
        <f t="shared" si="160"/>
        <v>#REF!</v>
      </c>
      <c r="CE96" s="389"/>
      <c r="CF96" s="391" t="str">
        <f t="shared" ref="CF96:CJ96" si="161">CF$19-#REF!</f>
        <v>#REF!</v>
      </c>
      <c r="CG96" s="391" t="str">
        <f t="shared" si="161"/>
        <v>#REF!</v>
      </c>
      <c r="CH96" s="391" t="str">
        <f t="shared" si="161"/>
        <v>#REF!</v>
      </c>
      <c r="CI96" s="391" t="str">
        <f t="shared" si="161"/>
        <v>#REF!</v>
      </c>
      <c r="CJ96" s="392" t="str">
        <f t="shared" si="161"/>
        <v>#REF!</v>
      </c>
      <c r="CK96" s="389"/>
      <c r="CL96" s="391">
        <f>sum(AM96:AO96)</f>
        <v>0</v>
      </c>
      <c r="CM96" s="391">
        <f>sum(AP96:AR96)</f>
        <v>0</v>
      </c>
      <c r="CN96" s="391">
        <f>sum(AS96:AU96)</f>
        <v>0</v>
      </c>
      <c r="CO96" s="391">
        <f>sum(AV96:AX96)</f>
        <v>0</v>
      </c>
      <c r="CP96" s="392" t="str">
        <f>CP$19-#REF!</f>
        <v>#REF!</v>
      </c>
      <c r="CQ96" s="389"/>
      <c r="CR96" s="391">
        <f>sum(AA96:AC96)</f>
        <v>0</v>
      </c>
      <c r="CS96" s="391">
        <f>sum(AD96:AF96)</f>
        <v>0</v>
      </c>
      <c r="CT96" s="391">
        <f>sum(AG96:AI96)</f>
        <v>0</v>
      </c>
      <c r="CU96" s="391">
        <f>sum(AJ96:AL96)</f>
        <v>0</v>
      </c>
      <c r="CV96" s="392">
        <f>sum(AA96:AL96)</f>
        <v>0</v>
      </c>
      <c r="CW96" s="395"/>
      <c r="CX96" s="392"/>
      <c r="CY96" s="284"/>
      <c r="CZ96" s="384"/>
      <c r="DA96" s="384"/>
      <c r="DB96" s="384"/>
      <c r="DC96" s="384"/>
      <c r="DD96" s="384"/>
      <c r="DE96" s="384"/>
      <c r="DF96" s="384"/>
      <c r="DG96" s="384"/>
      <c r="DH96" s="384"/>
      <c r="DI96" s="384"/>
      <c r="DJ96" s="384"/>
      <c r="DK96" s="384"/>
      <c r="DL96" s="384"/>
      <c r="DM96" s="384"/>
      <c r="DN96" s="384"/>
      <c r="DO96" s="384"/>
      <c r="DP96" s="384"/>
      <c r="DQ96" s="384"/>
      <c r="DR96" s="384"/>
      <c r="DS96" s="384"/>
      <c r="DT96" s="384"/>
      <c r="DU96" s="384"/>
      <c r="DV96" s="384"/>
      <c r="DW96" s="384"/>
      <c r="DX96" s="394"/>
      <c r="DY96" s="394"/>
      <c r="DZ96" s="394"/>
      <c r="EA96" s="394"/>
      <c r="EB96" s="394"/>
      <c r="EC96" s="394"/>
      <c r="ED96" s="394"/>
      <c r="EE96" s="394"/>
      <c r="EF96" s="394"/>
      <c r="EG96" s="394"/>
      <c r="EH96" s="394"/>
      <c r="EI96" s="360"/>
      <c r="EJ96" s="394"/>
      <c r="EK96" s="394"/>
      <c r="EL96" s="385"/>
      <c r="EM96" s="385"/>
      <c r="EN96" s="394"/>
      <c r="EO96" s="394"/>
      <c r="EP96" s="394"/>
      <c r="EQ96" s="394"/>
      <c r="ER96" s="394"/>
      <c r="ES96" s="394"/>
      <c r="ET96" s="394"/>
      <c r="EU96" s="394"/>
      <c r="EV96" s="394"/>
      <c r="EW96" s="394"/>
      <c r="EX96" s="385"/>
      <c r="EY96" s="385"/>
      <c r="EZ96" s="394"/>
      <c r="FA96" s="394"/>
      <c r="FB96" s="394"/>
      <c r="FC96" s="394"/>
      <c r="FD96" s="394"/>
      <c r="FE96" s="394"/>
      <c r="FF96" s="394"/>
      <c r="FG96" s="394"/>
      <c r="FH96" s="394"/>
    </row>
    <row r="97">
      <c r="B97" s="393" t="s">
        <v>530</v>
      </c>
      <c r="C97" s="384"/>
      <c r="D97" s="384"/>
      <c r="E97" s="384"/>
      <c r="F97" s="384"/>
      <c r="G97" s="384"/>
      <c r="H97" s="384"/>
      <c r="I97" s="384"/>
      <c r="J97" s="384"/>
      <c r="K97" s="384"/>
      <c r="L97" s="384"/>
      <c r="M97" s="384"/>
      <c r="N97" s="384"/>
      <c r="O97" s="384"/>
      <c r="P97" s="384"/>
      <c r="Q97" s="384"/>
      <c r="R97" s="384"/>
      <c r="S97" s="384"/>
      <c r="T97" s="384"/>
      <c r="U97" s="384"/>
      <c r="V97" s="384"/>
      <c r="W97" s="384"/>
      <c r="X97" s="384"/>
      <c r="Y97" s="384"/>
      <c r="Z97" s="384"/>
      <c r="AA97" s="384"/>
      <c r="AB97" s="384"/>
      <c r="AC97" s="384"/>
      <c r="AD97" s="384"/>
      <c r="AE97" s="384"/>
      <c r="AF97" s="384"/>
      <c r="AG97" s="384"/>
      <c r="AH97" s="384"/>
      <c r="AI97" s="384"/>
      <c r="AJ97" s="384"/>
      <c r="AK97" s="384"/>
      <c r="AL97" s="384"/>
      <c r="AM97" s="384">
        <f t="shared" ref="AM97:BV97" si="162">IFERROR(AM$96/AM$19,0)</f>
        <v>0</v>
      </c>
      <c r="AN97" s="384">
        <f t="shared" si="162"/>
        <v>0</v>
      </c>
      <c r="AO97" s="384">
        <f t="shared" si="162"/>
        <v>0</v>
      </c>
      <c r="AP97" s="384">
        <f t="shared" si="162"/>
        <v>0</v>
      </c>
      <c r="AQ97" s="384">
        <f t="shared" si="162"/>
        <v>0</v>
      </c>
      <c r="AR97" s="384">
        <f t="shared" si="162"/>
        <v>0</v>
      </c>
      <c r="AS97" s="384">
        <f t="shared" si="162"/>
        <v>0</v>
      </c>
      <c r="AT97" s="384">
        <f t="shared" si="162"/>
        <v>0</v>
      </c>
      <c r="AU97" s="384">
        <f t="shared" si="162"/>
        <v>0</v>
      </c>
      <c r="AV97" s="384">
        <f t="shared" si="162"/>
        <v>0</v>
      </c>
      <c r="AW97" s="384">
        <f t="shared" si="162"/>
        <v>0</v>
      </c>
      <c r="AX97" s="384">
        <f t="shared" si="162"/>
        <v>0</v>
      </c>
      <c r="AY97" s="384">
        <f t="shared" si="162"/>
        <v>1</v>
      </c>
      <c r="AZ97" s="384">
        <f t="shared" si="162"/>
        <v>1</v>
      </c>
      <c r="BA97" s="384">
        <f t="shared" si="162"/>
        <v>1</v>
      </c>
      <c r="BB97" s="384">
        <f t="shared" si="162"/>
        <v>1</v>
      </c>
      <c r="BC97" s="384">
        <f t="shared" si="162"/>
        <v>1</v>
      </c>
      <c r="BD97" s="384">
        <f t="shared" si="162"/>
        <v>1</v>
      </c>
      <c r="BE97" s="384">
        <f t="shared" si="162"/>
        <v>1</v>
      </c>
      <c r="BF97" s="384">
        <f t="shared" si="162"/>
        <v>1</v>
      </c>
      <c r="BG97" s="384">
        <f t="shared" si="162"/>
        <v>1</v>
      </c>
      <c r="BH97" s="384">
        <f t="shared" si="162"/>
        <v>1</v>
      </c>
      <c r="BI97" s="384">
        <f t="shared" si="162"/>
        <v>1</v>
      </c>
      <c r="BJ97" s="384">
        <f t="shared" si="162"/>
        <v>1</v>
      </c>
      <c r="BK97" s="384">
        <f t="shared" si="162"/>
        <v>0.5627096211</v>
      </c>
      <c r="BL97" s="384">
        <f t="shared" si="162"/>
        <v>0.5703715522</v>
      </c>
      <c r="BM97" s="384">
        <f t="shared" si="162"/>
        <v>0.4737034139</v>
      </c>
      <c r="BN97" s="384">
        <f t="shared" si="162"/>
        <v>0.5594020543</v>
      </c>
      <c r="BO97" s="384">
        <f t="shared" si="162"/>
        <v>0.4663609851</v>
      </c>
      <c r="BP97" s="384">
        <f t="shared" si="162"/>
        <v>0.4819573575</v>
      </c>
      <c r="BQ97" s="384">
        <f t="shared" si="162"/>
        <v>0.4444682806</v>
      </c>
      <c r="BR97" s="384">
        <f t="shared" si="162"/>
        <v>0.4648185921</v>
      </c>
      <c r="BS97" s="384">
        <f t="shared" si="162"/>
        <v>0</v>
      </c>
      <c r="BT97" s="384">
        <f t="shared" si="162"/>
        <v>0</v>
      </c>
      <c r="BU97" s="384">
        <f t="shared" si="162"/>
        <v>0</v>
      </c>
      <c r="BV97" s="384">
        <f t="shared" si="162"/>
        <v>0</v>
      </c>
      <c r="BX97" s="388">
        <f>IFERROR(BX$96/BX$19,0)</f>
        <v>0</v>
      </c>
      <c r="BY97" s="389"/>
      <c r="BZ97" s="384">
        <f t="shared" ref="BZ97:CD97" si="163">IFERROR(BZ$96/BZ$19,0)</f>
        <v>0</v>
      </c>
      <c r="CA97" s="384">
        <f t="shared" si="163"/>
        <v>0</v>
      </c>
      <c r="CB97" s="384">
        <f t="shared" si="163"/>
        <v>0</v>
      </c>
      <c r="CC97" s="384">
        <f t="shared" si="163"/>
        <v>0</v>
      </c>
      <c r="CD97" s="388">
        <f t="shared" si="163"/>
        <v>0</v>
      </c>
      <c r="CE97" s="389"/>
      <c r="CF97" s="384">
        <f t="shared" ref="CF97:CJ97" si="164">IFERROR(CF$96/CF$19,0)</f>
        <v>0</v>
      </c>
      <c r="CG97" s="384">
        <f t="shared" si="164"/>
        <v>0</v>
      </c>
      <c r="CH97" s="384">
        <f t="shared" si="164"/>
        <v>0</v>
      </c>
      <c r="CI97" s="384">
        <f t="shared" si="164"/>
        <v>0</v>
      </c>
      <c r="CJ97" s="388">
        <f t="shared" si="164"/>
        <v>0</v>
      </c>
      <c r="CK97" s="389"/>
      <c r="CL97" s="384">
        <f t="shared" ref="CL97:CP97" si="165">IFERROR(CL$96/CL$19,0)</f>
        <v>0</v>
      </c>
      <c r="CM97" s="384">
        <f t="shared" si="165"/>
        <v>0</v>
      </c>
      <c r="CN97" s="384">
        <f t="shared" si="165"/>
        <v>0</v>
      </c>
      <c r="CO97" s="384">
        <f t="shared" si="165"/>
        <v>0</v>
      </c>
      <c r="CP97" s="388">
        <f t="shared" si="165"/>
        <v>0</v>
      </c>
      <c r="CQ97" s="389"/>
      <c r="CR97" s="384">
        <f t="shared" ref="CR97:CV97" si="166">IFERROR(CR$96/CR$19,0)</f>
        <v>0</v>
      </c>
      <c r="CS97" s="384">
        <f t="shared" si="166"/>
        <v>0</v>
      </c>
      <c r="CT97" s="384">
        <f t="shared" si="166"/>
        <v>0</v>
      </c>
      <c r="CU97" s="384">
        <f t="shared" si="166"/>
        <v>0</v>
      </c>
      <c r="CV97" s="388">
        <f t="shared" si="166"/>
        <v>0</v>
      </c>
      <c r="CW97" s="395"/>
      <c r="CX97" s="392"/>
      <c r="CY97" s="284"/>
      <c r="CZ97" s="384"/>
      <c r="DA97" s="384"/>
      <c r="DB97" s="384"/>
      <c r="DC97" s="384"/>
      <c r="DD97" s="384"/>
      <c r="DE97" s="384"/>
      <c r="DF97" s="384"/>
      <c r="DG97" s="384"/>
      <c r="DH97" s="384"/>
      <c r="DI97" s="384"/>
      <c r="DJ97" s="384"/>
      <c r="DK97" s="384"/>
      <c r="DL97" s="384"/>
      <c r="DM97" s="384"/>
      <c r="DN97" s="384"/>
      <c r="DO97" s="384"/>
      <c r="DP97" s="384"/>
      <c r="DQ97" s="384"/>
      <c r="DR97" s="384"/>
      <c r="DS97" s="384"/>
      <c r="DT97" s="384"/>
      <c r="DU97" s="384"/>
      <c r="DV97" s="384"/>
      <c r="DW97" s="384"/>
      <c r="DX97" s="384"/>
      <c r="DY97" s="384"/>
      <c r="DZ97" s="384"/>
      <c r="EA97" s="384"/>
      <c r="EB97" s="384"/>
      <c r="EC97" s="384"/>
      <c r="ED97" s="384"/>
      <c r="EE97" s="384"/>
      <c r="EF97" s="384"/>
      <c r="EG97" s="384"/>
      <c r="EH97" s="384"/>
      <c r="EI97" s="360"/>
      <c r="EJ97" s="384"/>
      <c r="EK97" s="384"/>
      <c r="EL97" s="384"/>
      <c r="EM97" s="396"/>
      <c r="EN97" s="384"/>
      <c r="EO97" s="384"/>
      <c r="EP97" s="384"/>
      <c r="EQ97" s="384"/>
      <c r="ER97" s="384"/>
      <c r="ES97" s="384"/>
      <c r="ET97" s="384"/>
      <c r="EU97" s="384"/>
      <c r="EV97" s="384"/>
      <c r="EW97" s="384"/>
      <c r="EX97" s="384"/>
      <c r="EY97" s="396"/>
      <c r="EZ97" s="384"/>
      <c r="FA97" s="384"/>
      <c r="FB97" s="384"/>
      <c r="FC97" s="384"/>
      <c r="FD97" s="384"/>
      <c r="FE97" s="384"/>
      <c r="FF97" s="384"/>
      <c r="FG97" s="384"/>
      <c r="FH97" s="384"/>
    </row>
    <row r="98">
      <c r="B98" s="393" t="s">
        <v>531</v>
      </c>
      <c r="C98" s="384"/>
      <c r="D98" s="384"/>
      <c r="E98" s="384"/>
      <c r="F98" s="384"/>
      <c r="G98" s="384"/>
      <c r="H98" s="384"/>
      <c r="I98" s="384"/>
      <c r="J98" s="384"/>
      <c r="K98" s="384"/>
      <c r="L98" s="384"/>
      <c r="M98" s="384"/>
      <c r="N98" s="384"/>
      <c r="O98" s="384"/>
      <c r="P98" s="384"/>
      <c r="Q98" s="384"/>
      <c r="R98" s="384"/>
      <c r="S98" s="384"/>
      <c r="T98" s="384"/>
      <c r="U98" s="384"/>
      <c r="V98" s="384"/>
      <c r="W98" s="384"/>
      <c r="X98" s="384"/>
      <c r="Y98" s="384"/>
      <c r="Z98" s="384"/>
      <c r="AA98" s="384"/>
      <c r="AB98" s="384"/>
      <c r="AC98" s="384"/>
      <c r="AD98" s="384"/>
      <c r="AE98" s="384"/>
      <c r="AF98" s="384"/>
      <c r="AG98" s="384"/>
      <c r="AH98" s="384"/>
      <c r="AI98" s="384"/>
      <c r="AJ98" s="384"/>
      <c r="AK98" s="384"/>
      <c r="AL98" s="384"/>
      <c r="AM98" s="394">
        <f t="shared" ref="AM98:BJ98" si="167">AM$24</f>
        <v>0</v>
      </c>
      <c r="AN98" s="394">
        <f t="shared" si="167"/>
        <v>0</v>
      </c>
      <c r="AO98" s="394">
        <f t="shared" si="167"/>
        <v>0</v>
      </c>
      <c r="AP98" s="394">
        <f t="shared" si="167"/>
        <v>0</v>
      </c>
      <c r="AQ98" s="394">
        <f t="shared" si="167"/>
        <v>0</v>
      </c>
      <c r="AR98" s="394">
        <f t="shared" si="167"/>
        <v>0</v>
      </c>
      <c r="AS98" s="394">
        <f t="shared" si="167"/>
        <v>0</v>
      </c>
      <c r="AT98" s="394">
        <f t="shared" si="167"/>
        <v>0</v>
      </c>
      <c r="AU98" s="394">
        <f t="shared" si="167"/>
        <v>0</v>
      </c>
      <c r="AV98" s="394">
        <f t="shared" si="167"/>
        <v>0</v>
      </c>
      <c r="AW98" s="394">
        <f t="shared" si="167"/>
        <v>0</v>
      </c>
      <c r="AX98" s="394">
        <f t="shared" si="167"/>
        <v>0</v>
      </c>
      <c r="AY98" s="394">
        <f t="shared" si="167"/>
        <v>771081.83</v>
      </c>
      <c r="AZ98" s="394">
        <f t="shared" si="167"/>
        <v>822543.59</v>
      </c>
      <c r="BA98" s="394">
        <f t="shared" si="167"/>
        <v>807165.84</v>
      </c>
      <c r="BB98" s="394">
        <f t="shared" si="167"/>
        <v>1051374.32</v>
      </c>
      <c r="BC98" s="394">
        <f t="shared" si="167"/>
        <v>1157715.36</v>
      </c>
      <c r="BD98" s="394">
        <f t="shared" si="167"/>
        <v>1129856.75</v>
      </c>
      <c r="BE98" s="394">
        <f t="shared" si="167"/>
        <v>1263367.63</v>
      </c>
      <c r="BF98" s="394">
        <f t="shared" si="167"/>
        <v>1361914.84</v>
      </c>
      <c r="BG98" s="394">
        <f t="shared" si="167"/>
        <v>1302266.12</v>
      </c>
      <c r="BH98" s="394">
        <f t="shared" si="167"/>
        <v>1621452.4</v>
      </c>
      <c r="BI98" s="394">
        <f t="shared" si="167"/>
        <v>1453956.59</v>
      </c>
      <c r="BJ98" s="394">
        <f t="shared" si="167"/>
        <v>1494770.07</v>
      </c>
      <c r="BK98" s="394">
        <f t="shared" ref="BK98:BU98" si="168">BK$55</f>
        <v>873631.59</v>
      </c>
      <c r="BL98" s="394">
        <f t="shared" si="168"/>
        <v>870227.73</v>
      </c>
      <c r="BM98" s="394">
        <f t="shared" si="168"/>
        <v>1020434.7</v>
      </c>
      <c r="BN98" s="394">
        <f t="shared" si="168"/>
        <v>1148706.94</v>
      </c>
      <c r="BO98" s="394">
        <f t="shared" si="168"/>
        <v>1065755.87</v>
      </c>
      <c r="BP98" s="394">
        <f t="shared" si="168"/>
        <v>1128140.03</v>
      </c>
      <c r="BQ98" s="394">
        <f t="shared" si="168"/>
        <v>1469625.8</v>
      </c>
      <c r="BR98" s="394">
        <f t="shared" si="168"/>
        <v>1185197.02</v>
      </c>
      <c r="BS98" s="394" t="str">
        <f t="shared" si="168"/>
        <v/>
      </c>
      <c r="BT98" s="394" t="str">
        <f t="shared" si="168"/>
        <v/>
      </c>
      <c r="BU98" s="394" t="str">
        <f t="shared" si="168"/>
        <v/>
      </c>
      <c r="BV98" s="394" t="str">
        <f>BV$24-#REF!</f>
        <v>#REF!</v>
      </c>
      <c r="BX98" s="392" t="str">
        <f>BX$24-#REF!</f>
        <v>#REF!</v>
      </c>
      <c r="BY98" s="389"/>
      <c r="BZ98" s="391" t="str">
        <f t="shared" ref="BZ98:CD98" si="169">BZ$24-#REF!</f>
        <v>#REF!</v>
      </c>
      <c r="CA98" s="391" t="str">
        <f t="shared" si="169"/>
        <v>#REF!</v>
      </c>
      <c r="CB98" s="391" t="str">
        <f t="shared" si="169"/>
        <v>#REF!</v>
      </c>
      <c r="CC98" s="391" t="str">
        <f t="shared" si="169"/>
        <v>#REF!</v>
      </c>
      <c r="CD98" s="392" t="str">
        <f t="shared" si="169"/>
        <v>#REF!</v>
      </c>
      <c r="CE98" s="389"/>
      <c r="CF98" s="391" t="str">
        <f t="shared" ref="CF98:CJ98" si="170">CF$24-#REF!</f>
        <v>#REF!</v>
      </c>
      <c r="CG98" s="391" t="str">
        <f t="shared" si="170"/>
        <v>#REF!</v>
      </c>
      <c r="CH98" s="391" t="str">
        <f t="shared" si="170"/>
        <v>#REF!</v>
      </c>
      <c r="CI98" s="391" t="str">
        <f t="shared" si="170"/>
        <v>#REF!</v>
      </c>
      <c r="CJ98" s="392" t="str">
        <f t="shared" si="170"/>
        <v>#REF!</v>
      </c>
      <c r="CK98" s="389"/>
      <c r="CL98" s="391">
        <f>sum(AM98:AO98)</f>
        <v>0</v>
      </c>
      <c r="CM98" s="391">
        <f>sum(AP98:AR98)</f>
        <v>0</v>
      </c>
      <c r="CN98" s="391">
        <f>sum(AS98:AU98)</f>
        <v>0</v>
      </c>
      <c r="CO98" s="391">
        <f>sum(AV98:AX98)</f>
        <v>0</v>
      </c>
      <c r="CP98" s="392" t="str">
        <f>CP$24-#REF!</f>
        <v>#REF!</v>
      </c>
      <c r="CQ98" s="389"/>
      <c r="CR98" s="391">
        <f>sum(AA98:AC98)</f>
        <v>0</v>
      </c>
      <c r="CS98" s="391">
        <f>sum(AD98:AF98)</f>
        <v>0</v>
      </c>
      <c r="CT98" s="391">
        <f>sum(AG98:AI98)</f>
        <v>0</v>
      </c>
      <c r="CU98" s="391">
        <f>sum(AJ98:AL98)</f>
        <v>0</v>
      </c>
      <c r="CV98" s="392">
        <f>sum(AA98:AL98)</f>
        <v>0</v>
      </c>
      <c r="CW98" s="395"/>
      <c r="CX98" s="392"/>
      <c r="CY98" s="284"/>
      <c r="CZ98" s="384"/>
      <c r="DA98" s="384"/>
      <c r="DB98" s="384"/>
      <c r="DC98" s="384"/>
      <c r="DD98" s="384"/>
      <c r="DE98" s="384"/>
      <c r="DF98" s="384"/>
      <c r="DG98" s="384"/>
      <c r="DH98" s="384"/>
      <c r="DI98" s="384"/>
      <c r="DJ98" s="384"/>
      <c r="DK98" s="384"/>
      <c r="DL98" s="384"/>
      <c r="DM98" s="384"/>
      <c r="DN98" s="384"/>
      <c r="DO98" s="384"/>
      <c r="DP98" s="384"/>
      <c r="DQ98" s="384"/>
      <c r="DR98" s="384"/>
      <c r="DS98" s="384"/>
      <c r="DT98" s="384"/>
      <c r="DU98" s="384"/>
      <c r="DV98" s="384"/>
      <c r="DW98" s="384"/>
      <c r="DX98" s="394"/>
      <c r="DY98" s="394"/>
      <c r="DZ98" s="394"/>
      <c r="EA98" s="394"/>
      <c r="EB98" s="394"/>
      <c r="EC98" s="394"/>
      <c r="ED98" s="394"/>
      <c r="EE98" s="394"/>
      <c r="EF98" s="394"/>
      <c r="EG98" s="394"/>
      <c r="EH98" s="394"/>
      <c r="EI98" s="360"/>
      <c r="EJ98" s="394"/>
      <c r="EK98" s="394"/>
      <c r="EL98" s="394"/>
      <c r="EM98" s="394"/>
      <c r="EN98" s="394"/>
      <c r="EO98" s="394"/>
      <c r="EP98" s="394"/>
      <c r="EQ98" s="394"/>
      <c r="ER98" s="394"/>
      <c r="ES98" s="394"/>
      <c r="ET98" s="394"/>
      <c r="EU98" s="394"/>
      <c r="EV98" s="394"/>
      <c r="EW98" s="394"/>
      <c r="EX98" s="394"/>
      <c r="EY98" s="394"/>
      <c r="EZ98" s="394"/>
      <c r="FA98" s="394"/>
      <c r="FB98" s="394"/>
      <c r="FC98" s="394"/>
      <c r="FD98" s="394"/>
      <c r="FE98" s="394"/>
      <c r="FF98" s="394"/>
      <c r="FG98" s="394"/>
      <c r="FH98" s="394"/>
    </row>
    <row r="99">
      <c r="B99" s="393" t="s">
        <v>533</v>
      </c>
      <c r="C99" s="384"/>
      <c r="D99" s="384"/>
      <c r="E99" s="384"/>
      <c r="F99" s="384"/>
      <c r="G99" s="384"/>
      <c r="H99" s="384"/>
      <c r="I99" s="384"/>
      <c r="J99" s="384"/>
      <c r="K99" s="384"/>
      <c r="L99" s="384"/>
      <c r="M99" s="384"/>
      <c r="N99" s="384"/>
      <c r="O99" s="384"/>
      <c r="P99" s="384"/>
      <c r="Q99" s="384"/>
      <c r="R99" s="384"/>
      <c r="S99" s="384"/>
      <c r="T99" s="384"/>
      <c r="U99" s="384"/>
      <c r="V99" s="384"/>
      <c r="W99" s="384"/>
      <c r="X99" s="384"/>
      <c r="Y99" s="384"/>
      <c r="Z99" s="384"/>
      <c r="AA99" s="384"/>
      <c r="AB99" s="384"/>
      <c r="AC99" s="384"/>
      <c r="AD99" s="384"/>
      <c r="AE99" s="384"/>
      <c r="AF99" s="384"/>
      <c r="AG99" s="384"/>
      <c r="AH99" s="384"/>
      <c r="AI99" s="384"/>
      <c r="AJ99" s="384"/>
      <c r="AK99" s="384"/>
      <c r="AL99" s="384"/>
      <c r="AM99" s="384">
        <f t="shared" ref="AM99:BV99" si="171">IFERROR(AM$98/AM$24,0)</f>
        <v>0</v>
      </c>
      <c r="AN99" s="384">
        <f t="shared" si="171"/>
        <v>0</v>
      </c>
      <c r="AO99" s="384">
        <f t="shared" si="171"/>
        <v>0</v>
      </c>
      <c r="AP99" s="384">
        <f t="shared" si="171"/>
        <v>0</v>
      </c>
      <c r="AQ99" s="384">
        <f t="shared" si="171"/>
        <v>0</v>
      </c>
      <c r="AR99" s="384">
        <f t="shared" si="171"/>
        <v>0</v>
      </c>
      <c r="AS99" s="384">
        <f t="shared" si="171"/>
        <v>0</v>
      </c>
      <c r="AT99" s="384">
        <f t="shared" si="171"/>
        <v>0</v>
      </c>
      <c r="AU99" s="384">
        <f t="shared" si="171"/>
        <v>0</v>
      </c>
      <c r="AV99" s="384">
        <f t="shared" si="171"/>
        <v>0</v>
      </c>
      <c r="AW99" s="384">
        <f t="shared" si="171"/>
        <v>0</v>
      </c>
      <c r="AX99" s="384">
        <f t="shared" si="171"/>
        <v>0</v>
      </c>
      <c r="AY99" s="384">
        <f t="shared" si="171"/>
        <v>1</v>
      </c>
      <c r="AZ99" s="384">
        <f t="shared" si="171"/>
        <v>1</v>
      </c>
      <c r="BA99" s="384">
        <f t="shared" si="171"/>
        <v>1</v>
      </c>
      <c r="BB99" s="384">
        <f t="shared" si="171"/>
        <v>1</v>
      </c>
      <c r="BC99" s="384">
        <f t="shared" si="171"/>
        <v>1</v>
      </c>
      <c r="BD99" s="384">
        <f t="shared" si="171"/>
        <v>1</v>
      </c>
      <c r="BE99" s="384">
        <f t="shared" si="171"/>
        <v>1</v>
      </c>
      <c r="BF99" s="384">
        <f t="shared" si="171"/>
        <v>1</v>
      </c>
      <c r="BG99" s="384">
        <f t="shared" si="171"/>
        <v>1</v>
      </c>
      <c r="BH99" s="384">
        <f t="shared" si="171"/>
        <v>1</v>
      </c>
      <c r="BI99" s="384">
        <f t="shared" si="171"/>
        <v>1</v>
      </c>
      <c r="BJ99" s="384">
        <f t="shared" si="171"/>
        <v>1</v>
      </c>
      <c r="BK99" s="384">
        <f t="shared" si="171"/>
        <v>0.5675493746</v>
      </c>
      <c r="BL99" s="384">
        <f t="shared" si="171"/>
        <v>0.5640632324</v>
      </c>
      <c r="BM99" s="384">
        <f t="shared" si="171"/>
        <v>0.6045250753</v>
      </c>
      <c r="BN99" s="384">
        <f t="shared" si="171"/>
        <v>0.636463386</v>
      </c>
      <c r="BO99" s="384">
        <f t="shared" si="171"/>
        <v>0.5961253436</v>
      </c>
      <c r="BP99" s="384">
        <f t="shared" si="171"/>
        <v>0.6065979937</v>
      </c>
      <c r="BQ99" s="384">
        <f t="shared" si="171"/>
        <v>0.6478768914</v>
      </c>
      <c r="BR99" s="384">
        <f t="shared" si="171"/>
        <v>0.5809786466</v>
      </c>
      <c r="BS99" s="384">
        <f t="shared" si="171"/>
        <v>0</v>
      </c>
      <c r="BT99" s="384">
        <f t="shared" si="171"/>
        <v>0</v>
      </c>
      <c r="BU99" s="384">
        <f t="shared" si="171"/>
        <v>0</v>
      </c>
      <c r="BV99" s="384">
        <f t="shared" si="171"/>
        <v>0</v>
      </c>
      <c r="BX99" s="388">
        <f>IFERROR(BX$98/BX$24,0)</f>
        <v>0</v>
      </c>
      <c r="BY99" s="389"/>
      <c r="BZ99" s="384">
        <f t="shared" ref="BZ99:CD99" si="172">IFERROR(BZ$98/BZ$24,0)</f>
        <v>0</v>
      </c>
      <c r="CA99" s="384">
        <f t="shared" si="172"/>
        <v>0</v>
      </c>
      <c r="CB99" s="384">
        <f t="shared" si="172"/>
        <v>0</v>
      </c>
      <c r="CC99" s="384">
        <f t="shared" si="172"/>
        <v>0</v>
      </c>
      <c r="CD99" s="388">
        <f t="shared" si="172"/>
        <v>0</v>
      </c>
      <c r="CE99" s="389"/>
      <c r="CF99" s="384">
        <f t="shared" ref="CF99:CJ99" si="173">IFERROR(CF$98/CF$24,0)</f>
        <v>0</v>
      </c>
      <c r="CG99" s="384">
        <f t="shared" si="173"/>
        <v>0</v>
      </c>
      <c r="CH99" s="384">
        <f t="shared" si="173"/>
        <v>0</v>
      </c>
      <c r="CI99" s="384">
        <f t="shared" si="173"/>
        <v>0</v>
      </c>
      <c r="CJ99" s="388">
        <f t="shared" si="173"/>
        <v>0</v>
      </c>
      <c r="CK99" s="389"/>
      <c r="CL99" s="384">
        <f t="shared" ref="CL99:CP99" si="174">IFERROR(CL$98/CL$24,0)</f>
        <v>0</v>
      </c>
      <c r="CM99" s="384">
        <f t="shared" si="174"/>
        <v>0</v>
      </c>
      <c r="CN99" s="384">
        <f t="shared" si="174"/>
        <v>0</v>
      </c>
      <c r="CO99" s="384">
        <f t="shared" si="174"/>
        <v>0</v>
      </c>
      <c r="CP99" s="388">
        <f t="shared" si="174"/>
        <v>0</v>
      </c>
      <c r="CQ99" s="389"/>
      <c r="CR99" s="384">
        <f t="shared" ref="CR99:CV99" si="175">IFERROR(CR$98/CR$24,0)</f>
        <v>0</v>
      </c>
      <c r="CS99" s="384">
        <f t="shared" si="175"/>
        <v>0</v>
      </c>
      <c r="CT99" s="384">
        <f t="shared" si="175"/>
        <v>0</v>
      </c>
      <c r="CU99" s="384">
        <f t="shared" si="175"/>
        <v>0</v>
      </c>
      <c r="CV99" s="388">
        <f t="shared" si="175"/>
        <v>0</v>
      </c>
      <c r="CW99" s="389"/>
      <c r="CX99" s="388"/>
      <c r="CY99" s="284"/>
      <c r="CZ99" s="384"/>
      <c r="DA99" s="384"/>
      <c r="DB99" s="384"/>
      <c r="DC99" s="384"/>
      <c r="DD99" s="384"/>
      <c r="DE99" s="384"/>
      <c r="DF99" s="384"/>
      <c r="DG99" s="384"/>
      <c r="DH99" s="384"/>
      <c r="DI99" s="384"/>
      <c r="DJ99" s="384"/>
      <c r="DK99" s="384"/>
      <c r="DL99" s="384"/>
      <c r="DM99" s="384"/>
      <c r="DN99" s="384"/>
      <c r="DO99" s="384"/>
      <c r="DP99" s="384"/>
      <c r="DQ99" s="384"/>
      <c r="DR99" s="384"/>
      <c r="DS99" s="384"/>
      <c r="DT99" s="384"/>
      <c r="DU99" s="384"/>
      <c r="DV99" s="384"/>
      <c r="DW99" s="384"/>
      <c r="DX99" s="384"/>
      <c r="DY99" s="384"/>
      <c r="DZ99" s="384"/>
      <c r="EA99" s="384"/>
      <c r="EB99" s="384"/>
      <c r="EC99" s="384"/>
      <c r="ED99" s="384"/>
      <c r="EE99" s="384"/>
      <c r="EF99" s="384"/>
      <c r="EG99" s="384"/>
      <c r="EH99" s="384"/>
      <c r="EI99" s="360"/>
      <c r="EJ99" s="384"/>
      <c r="EK99" s="384"/>
      <c r="EL99" s="384"/>
      <c r="EM99" s="384"/>
      <c r="EN99" s="384"/>
      <c r="EO99" s="384"/>
      <c r="EP99" s="384"/>
      <c r="EQ99" s="384"/>
      <c r="ER99" s="384"/>
      <c r="ES99" s="384"/>
      <c r="ET99" s="384"/>
      <c r="EU99" s="384"/>
      <c r="EV99" s="384"/>
      <c r="EW99" s="384"/>
      <c r="EX99" s="384"/>
      <c r="EY99" s="384"/>
      <c r="EZ99" s="384"/>
      <c r="FA99" s="384"/>
      <c r="FB99" s="384"/>
      <c r="FC99" s="384"/>
      <c r="FD99" s="384"/>
      <c r="FE99" s="384"/>
      <c r="FF99" s="384"/>
      <c r="FG99" s="384"/>
      <c r="FH99" s="384"/>
    </row>
    <row r="100">
      <c r="B100" s="455" t="s">
        <v>186</v>
      </c>
      <c r="C100" s="389"/>
      <c r="D100" s="389"/>
      <c r="E100" s="389"/>
      <c r="F100" s="389"/>
      <c r="G100" s="389"/>
      <c r="H100" s="389"/>
      <c r="I100" s="389"/>
      <c r="J100" s="389"/>
      <c r="K100" s="389"/>
      <c r="L100" s="389"/>
      <c r="M100" s="389"/>
      <c r="N100" s="389"/>
      <c r="O100" s="389"/>
      <c r="P100" s="389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  <c r="AA100" s="456">
        <f t="shared" ref="AA100:BV100" si="176">AA18-AA33</f>
        <v>889131</v>
      </c>
      <c r="AB100" s="456">
        <f t="shared" si="176"/>
        <v>687372</v>
      </c>
      <c r="AC100" s="456">
        <f t="shared" si="176"/>
        <v>1021125</v>
      </c>
      <c r="AD100" s="456">
        <f t="shared" si="176"/>
        <v>776322</v>
      </c>
      <c r="AE100" s="456">
        <f t="shared" si="176"/>
        <v>885482</v>
      </c>
      <c r="AF100" s="456">
        <f t="shared" si="176"/>
        <v>1151776</v>
      </c>
      <c r="AG100" s="456">
        <f t="shared" si="176"/>
        <v>877748</v>
      </c>
      <c r="AH100" s="456">
        <f t="shared" si="176"/>
        <v>1488242</v>
      </c>
      <c r="AI100" s="456">
        <f t="shared" si="176"/>
        <v>1166802</v>
      </c>
      <c r="AJ100" s="456">
        <f t="shared" si="176"/>
        <v>1427492</v>
      </c>
      <c r="AK100" s="456">
        <f t="shared" si="176"/>
        <v>1254955</v>
      </c>
      <c r="AL100" s="456">
        <f t="shared" si="176"/>
        <v>740735</v>
      </c>
      <c r="AM100" s="456">
        <f t="shared" si="176"/>
        <v>1320832</v>
      </c>
      <c r="AN100" s="456">
        <f t="shared" si="176"/>
        <v>1297970</v>
      </c>
      <c r="AO100" s="456">
        <f t="shared" si="176"/>
        <v>1534221</v>
      </c>
      <c r="AP100" s="456">
        <f t="shared" si="176"/>
        <v>1236996</v>
      </c>
      <c r="AQ100" s="456">
        <f t="shared" si="176"/>
        <v>1236785</v>
      </c>
      <c r="AR100" s="456">
        <f t="shared" si="176"/>
        <v>1226446</v>
      </c>
      <c r="AS100" s="456">
        <f t="shared" si="176"/>
        <v>887377</v>
      </c>
      <c r="AT100" s="456">
        <f t="shared" si="176"/>
        <v>1305243</v>
      </c>
      <c r="AU100" s="456">
        <f t="shared" si="176"/>
        <v>888041</v>
      </c>
      <c r="AV100" s="456">
        <f t="shared" si="176"/>
        <v>1127759</v>
      </c>
      <c r="AW100" s="456">
        <f t="shared" si="176"/>
        <v>933868</v>
      </c>
      <c r="AX100" s="456">
        <f t="shared" si="176"/>
        <v>732272</v>
      </c>
      <c r="AY100" s="456">
        <f t="shared" si="176"/>
        <v>879972.99</v>
      </c>
      <c r="AZ100" s="456">
        <f t="shared" si="176"/>
        <v>1189540.13</v>
      </c>
      <c r="BA100" s="456">
        <f t="shared" si="176"/>
        <v>1079106.19</v>
      </c>
      <c r="BB100" s="456">
        <f t="shared" si="176"/>
        <v>1294756.23</v>
      </c>
      <c r="BC100" s="456">
        <f t="shared" si="176"/>
        <v>1186177.38</v>
      </c>
      <c r="BD100" s="456">
        <f t="shared" si="176"/>
        <v>1126418.93</v>
      </c>
      <c r="BE100" s="456">
        <f t="shared" si="176"/>
        <v>1233379.06</v>
      </c>
      <c r="BF100" s="456">
        <f t="shared" si="176"/>
        <v>1399876.62</v>
      </c>
      <c r="BG100" s="456">
        <f t="shared" si="176"/>
        <v>1329095.99</v>
      </c>
      <c r="BH100" s="456">
        <f t="shared" si="176"/>
        <v>1894915.1</v>
      </c>
      <c r="BI100" s="456">
        <f t="shared" si="176"/>
        <v>1536497.51</v>
      </c>
      <c r="BJ100" s="456">
        <f t="shared" si="176"/>
        <v>1380029.43</v>
      </c>
      <c r="BK100" s="456">
        <f t="shared" si="176"/>
        <v>1458169.66</v>
      </c>
      <c r="BL100" s="456">
        <f t="shared" si="176"/>
        <v>1369121.1</v>
      </c>
      <c r="BM100" s="456">
        <f t="shared" si="176"/>
        <v>1371000.79</v>
      </c>
      <c r="BN100" s="456">
        <f t="shared" si="176"/>
        <v>1646670.37</v>
      </c>
      <c r="BO100" s="456">
        <f t="shared" si="176"/>
        <v>1448417.79</v>
      </c>
      <c r="BP100" s="456">
        <f t="shared" si="176"/>
        <v>1506272.6</v>
      </c>
      <c r="BQ100" s="456">
        <f t="shared" si="176"/>
        <v>1823148.51</v>
      </c>
      <c r="BR100" s="456">
        <f t="shared" si="176"/>
        <v>1574998.93</v>
      </c>
      <c r="BS100" s="456">
        <f t="shared" si="176"/>
        <v>0</v>
      </c>
      <c r="BT100" s="456">
        <f t="shared" si="176"/>
        <v>0</v>
      </c>
      <c r="BU100" s="456">
        <f t="shared" si="176"/>
        <v>0</v>
      </c>
      <c r="BV100" s="456">
        <f t="shared" si="176"/>
        <v>0</v>
      </c>
      <c r="BX100" s="457" t="str">
        <f>BX18-BX33</f>
        <v>#REF!</v>
      </c>
      <c r="BY100" s="389"/>
      <c r="BZ100" s="391">
        <f t="shared" ref="BZ100:CD100" si="177">BZ18-BZ33</f>
        <v>4198291.55</v>
      </c>
      <c r="CA100" s="391">
        <f t="shared" si="177"/>
        <v>4601360.76</v>
      </c>
      <c r="CB100" s="391">
        <f t="shared" si="177"/>
        <v>3398147.44</v>
      </c>
      <c r="CC100" s="391">
        <f t="shared" si="177"/>
        <v>0</v>
      </c>
      <c r="CD100" s="392">
        <f t="shared" si="177"/>
        <v>12197799.75</v>
      </c>
      <c r="CE100" s="389"/>
      <c r="CF100" s="391">
        <f t="shared" ref="CF100:CJ100" si="178">CF18-CF33</f>
        <v>3148619.31</v>
      </c>
      <c r="CG100" s="391">
        <f t="shared" si="178"/>
        <v>3607352.54</v>
      </c>
      <c r="CH100" s="391">
        <f t="shared" si="178"/>
        <v>3962351.67</v>
      </c>
      <c r="CI100" s="391">
        <f t="shared" si="178"/>
        <v>4811442.04</v>
      </c>
      <c r="CJ100" s="392">
        <f t="shared" si="178"/>
        <v>15529765.56</v>
      </c>
      <c r="CK100" s="389"/>
      <c r="CL100" s="391">
        <f t="shared" ref="CL100:CP100" si="179">CL18-CL33</f>
        <v>4153023</v>
      </c>
      <c r="CM100" s="391">
        <f t="shared" si="179"/>
        <v>3700227</v>
      </c>
      <c r="CN100" s="391">
        <f t="shared" si="179"/>
        <v>3080661</v>
      </c>
      <c r="CO100" s="391">
        <f t="shared" si="179"/>
        <v>2793899</v>
      </c>
      <c r="CP100" s="392">
        <f t="shared" si="179"/>
        <v>13727810</v>
      </c>
      <c r="CQ100" s="389"/>
      <c r="CR100" s="391">
        <f>sum(AA100:AC100)</f>
        <v>2597628</v>
      </c>
      <c r="CS100" s="391">
        <f>sum(AD100:AF100)</f>
        <v>2813580</v>
      </c>
      <c r="CT100" s="391">
        <f>sum(AG100:AI100)</f>
        <v>3532792</v>
      </c>
      <c r="CU100" s="391">
        <f>sum(AJ100:AL100)</f>
        <v>3423182</v>
      </c>
      <c r="CV100" s="392">
        <f>sum(AA100:AL100)</f>
        <v>12367182</v>
      </c>
      <c r="CW100" s="389"/>
      <c r="CX100" s="390"/>
      <c r="CY100" s="284"/>
      <c r="CZ100" s="389"/>
      <c r="DA100" s="389"/>
      <c r="DB100" s="389"/>
      <c r="DC100" s="389"/>
      <c r="DD100" s="389"/>
      <c r="DE100" s="389"/>
      <c r="DF100" s="389"/>
      <c r="DG100" s="389"/>
      <c r="DH100" s="389"/>
      <c r="DI100" s="389"/>
      <c r="DJ100" s="389"/>
      <c r="DK100" s="389"/>
      <c r="DL100" s="389"/>
      <c r="DM100" s="389"/>
      <c r="DN100" s="389"/>
      <c r="DO100" s="389"/>
      <c r="DP100" s="389"/>
      <c r="DQ100" s="389"/>
      <c r="DR100" s="389"/>
      <c r="DS100" s="389"/>
      <c r="DT100" s="389"/>
      <c r="DU100" s="389"/>
      <c r="DV100" s="389"/>
      <c r="DW100" s="389"/>
      <c r="DX100" s="389"/>
      <c r="DY100" s="389"/>
      <c r="DZ100" s="389"/>
      <c r="EA100" s="389"/>
      <c r="EB100" s="389"/>
      <c r="EC100" s="389"/>
      <c r="ED100" s="389"/>
      <c r="EE100" s="389"/>
      <c r="EF100" s="389"/>
      <c r="EG100" s="389"/>
      <c r="EH100" s="389"/>
      <c r="EI100" s="137"/>
      <c r="EJ100" s="389"/>
      <c r="EK100" s="389"/>
      <c r="EL100" s="389"/>
      <c r="EM100" s="389"/>
      <c r="EN100" s="389"/>
      <c r="EO100" s="389"/>
      <c r="EP100" s="389"/>
      <c r="EQ100" s="389"/>
      <c r="ER100" s="389"/>
      <c r="ES100" s="389"/>
      <c r="ET100" s="389"/>
      <c r="EU100" s="389"/>
      <c r="EV100" s="389"/>
      <c r="EW100" s="389"/>
      <c r="EX100" s="389"/>
      <c r="EY100" s="389"/>
      <c r="EZ100" s="389"/>
      <c r="FA100" s="389"/>
      <c r="FB100" s="389"/>
      <c r="FC100" s="389"/>
      <c r="FD100" s="389"/>
      <c r="FE100" s="389"/>
      <c r="FF100" s="389"/>
      <c r="FG100" s="389"/>
      <c r="FH100" s="389"/>
    </row>
    <row r="101">
      <c r="B101" s="455" t="s">
        <v>562</v>
      </c>
      <c r="C101" s="389"/>
      <c r="D101" s="389"/>
      <c r="E101" s="389"/>
      <c r="F101" s="389"/>
      <c r="G101" s="389"/>
      <c r="H101" s="389"/>
      <c r="I101" s="389"/>
      <c r="J101" s="389"/>
      <c r="K101" s="389"/>
      <c r="L101" s="389"/>
      <c r="M101" s="389"/>
      <c r="N101" s="389"/>
      <c r="O101" s="389"/>
      <c r="P101" s="389"/>
      <c r="Q101" s="389"/>
      <c r="R101" s="389"/>
      <c r="S101" s="389"/>
      <c r="T101" s="389"/>
      <c r="U101" s="389"/>
      <c r="V101" s="389"/>
      <c r="W101" s="389"/>
      <c r="X101" s="389"/>
      <c r="Y101" s="389"/>
      <c r="Z101" s="389"/>
      <c r="AA101" s="389">
        <f t="shared" ref="AA101:BV101" si="180">IFERROR(AA100/AA18,0)</f>
        <v>0.7568225287</v>
      </c>
      <c r="AB101" s="389">
        <f t="shared" si="180"/>
        <v>0.6492959849</v>
      </c>
      <c r="AC101" s="389">
        <f t="shared" si="180"/>
        <v>0.7385141121</v>
      </c>
      <c r="AD101" s="389">
        <f t="shared" si="180"/>
        <v>0.6483928032</v>
      </c>
      <c r="AE101" s="389">
        <f t="shared" si="180"/>
        <v>0.6933254617</v>
      </c>
      <c r="AF101" s="389">
        <f t="shared" si="180"/>
        <v>0.7479910068</v>
      </c>
      <c r="AG101" s="389">
        <f t="shared" si="180"/>
        <v>0.6617131984</v>
      </c>
      <c r="AH101" s="389">
        <f t="shared" si="180"/>
        <v>0.769749024</v>
      </c>
      <c r="AI101" s="389">
        <f t="shared" si="180"/>
        <v>0.7172675032</v>
      </c>
      <c r="AJ101" s="389">
        <f t="shared" si="180"/>
        <v>0.7661622223</v>
      </c>
      <c r="AK101" s="389">
        <f t="shared" si="180"/>
        <v>0.7029477251</v>
      </c>
      <c r="AL101" s="389">
        <f t="shared" si="180"/>
        <v>0.5987600183</v>
      </c>
      <c r="AM101" s="389">
        <f t="shared" si="180"/>
        <v>0.6194685119</v>
      </c>
      <c r="AN101" s="389">
        <f t="shared" si="180"/>
        <v>0.6677349988</v>
      </c>
      <c r="AO101" s="389">
        <f t="shared" si="180"/>
        <v>0.6888251745</v>
      </c>
      <c r="AP101" s="389">
        <f t="shared" si="180"/>
        <v>0.6706308287</v>
      </c>
      <c r="AQ101" s="389">
        <f t="shared" si="180"/>
        <v>0.6506672208</v>
      </c>
      <c r="AR101" s="389">
        <f t="shared" si="180"/>
        <v>0.6661029119</v>
      </c>
      <c r="AS101" s="389">
        <f t="shared" si="180"/>
        <v>0.5430015904</v>
      </c>
      <c r="AT101" s="389">
        <f t="shared" si="180"/>
        <v>0.6574064327</v>
      </c>
      <c r="AU101" s="389">
        <f t="shared" si="180"/>
        <v>0.562357003</v>
      </c>
      <c r="AV101" s="389">
        <f t="shared" si="180"/>
        <v>0.6036287554</v>
      </c>
      <c r="AW101" s="389">
        <f t="shared" si="180"/>
        <v>0.5634712806</v>
      </c>
      <c r="AX101" s="389">
        <f t="shared" si="180"/>
        <v>0.4663849865</v>
      </c>
      <c r="AY101" s="389">
        <f t="shared" si="180"/>
        <v>0.5230642948</v>
      </c>
      <c r="AZ101" s="389">
        <f t="shared" si="180"/>
        <v>0.6364822916</v>
      </c>
      <c r="BA101" s="389">
        <f t="shared" si="180"/>
        <v>0.564301225</v>
      </c>
      <c r="BB101" s="389">
        <f t="shared" si="180"/>
        <v>0.6461753726</v>
      </c>
      <c r="BC101" s="389">
        <f t="shared" si="180"/>
        <v>0.6190739378</v>
      </c>
      <c r="BD101" s="389">
        <f t="shared" si="180"/>
        <v>0.6151876844</v>
      </c>
      <c r="BE101" s="389">
        <f t="shared" si="180"/>
        <v>0.592708155</v>
      </c>
      <c r="BF101" s="389">
        <f t="shared" si="180"/>
        <v>0.6459359999</v>
      </c>
      <c r="BG101" s="389">
        <f t="shared" si="180"/>
        <v>0.6140754</v>
      </c>
      <c r="BH101" s="389">
        <f t="shared" si="180"/>
        <v>0.669310589</v>
      </c>
      <c r="BI101" s="389">
        <f t="shared" si="180"/>
        <v>0.6225040938</v>
      </c>
      <c r="BJ101" s="389">
        <f t="shared" si="180"/>
        <v>0.5682211462</v>
      </c>
      <c r="BK101" s="389">
        <f t="shared" si="180"/>
        <v>0.5655994424</v>
      </c>
      <c r="BL101" s="389">
        <f t="shared" si="180"/>
        <v>0.5663455453</v>
      </c>
      <c r="BM101" s="389">
        <f t="shared" si="180"/>
        <v>0.5646512035</v>
      </c>
      <c r="BN101" s="370">
        <f t="shared" si="180"/>
        <v>0.6110096064</v>
      </c>
      <c r="BO101" s="389">
        <f t="shared" si="180"/>
        <v>0.555304197</v>
      </c>
      <c r="BP101" s="389">
        <f t="shared" si="180"/>
        <v>0.5696172549</v>
      </c>
      <c r="BQ101" s="389">
        <f t="shared" si="180"/>
        <v>0.5950699264</v>
      </c>
      <c r="BR101" s="389">
        <f t="shared" si="180"/>
        <v>0.5471383492</v>
      </c>
      <c r="BS101" s="389">
        <f t="shared" si="180"/>
        <v>0</v>
      </c>
      <c r="BT101" s="389">
        <f t="shared" si="180"/>
        <v>0</v>
      </c>
      <c r="BU101" s="389">
        <f t="shared" si="180"/>
        <v>0</v>
      </c>
      <c r="BV101" s="389">
        <f t="shared" si="180"/>
        <v>0</v>
      </c>
      <c r="BX101" s="390">
        <f>IFERROR(BX100/BX18,0)</f>
        <v>0</v>
      </c>
      <c r="BY101" s="389"/>
      <c r="BZ101" s="458">
        <f t="shared" ref="BZ101:CD101" si="181">IFERROR(BZ$100/BZ$18,0)</f>
        <v>0.5655322659</v>
      </c>
      <c r="CA101" s="458">
        <f t="shared" si="181"/>
        <v>0.5789557091</v>
      </c>
      <c r="CB101" s="458">
        <f t="shared" si="181"/>
        <v>0.5718508274</v>
      </c>
      <c r="CC101" s="458">
        <f t="shared" si="181"/>
        <v>0</v>
      </c>
      <c r="CD101" s="388">
        <f t="shared" si="181"/>
        <v>0.5722994061</v>
      </c>
      <c r="CE101" s="389"/>
      <c r="CF101" s="458">
        <f t="shared" ref="CF101:CJ101" si="182">IFERROR(CF$100/CF$18,0)</f>
        <v>0.5762946291</v>
      </c>
      <c r="CG101" s="458">
        <f t="shared" si="182"/>
        <v>0.627279412</v>
      </c>
      <c r="CH101" s="458">
        <f t="shared" si="182"/>
        <v>0.6179093006</v>
      </c>
      <c r="CI101" s="458">
        <f t="shared" si="182"/>
        <v>0.6225920651</v>
      </c>
      <c r="CJ101" s="388">
        <f t="shared" si="182"/>
        <v>0.6124945833</v>
      </c>
      <c r="CK101" s="389"/>
      <c r="CL101" s="458">
        <f t="shared" ref="CL101:CP101" si="183">IFERROR(CL$100/CL$18,0)</f>
        <v>0.6588603857</v>
      </c>
      <c r="CM101" s="458">
        <f t="shared" si="183"/>
        <v>0.6623459894</v>
      </c>
      <c r="CN101" s="458">
        <f t="shared" si="183"/>
        <v>0.5925725808</v>
      </c>
      <c r="CO101" s="458">
        <f t="shared" si="183"/>
        <v>0.5482803411</v>
      </c>
      <c r="CP101" s="388">
        <f t="shared" si="183"/>
        <v>0.6188038187</v>
      </c>
      <c r="CQ101" s="389"/>
      <c r="CR101" s="458">
        <f t="shared" ref="CR101:CV101" si="184">IFERROR(CR$100/CR$18,0)</f>
        <v>0.7183431606</v>
      </c>
      <c r="CS101" s="458">
        <f t="shared" si="184"/>
        <v>0.7008928127</v>
      </c>
      <c r="CT101" s="458">
        <f t="shared" si="184"/>
        <v>0.722951765</v>
      </c>
      <c r="CU101" s="458">
        <f t="shared" si="184"/>
        <v>0.7006731262</v>
      </c>
      <c r="CV101" s="388">
        <f t="shared" si="184"/>
        <v>0.7106513152</v>
      </c>
      <c r="CW101" s="389"/>
      <c r="CX101" s="390"/>
      <c r="CY101" s="284"/>
      <c r="CZ101" s="389"/>
      <c r="DA101" s="389"/>
      <c r="DB101" s="389"/>
      <c r="DC101" s="389"/>
      <c r="DD101" s="389"/>
      <c r="DE101" s="389"/>
      <c r="DF101" s="389"/>
      <c r="DG101" s="389"/>
      <c r="DH101" s="389"/>
      <c r="DI101" s="389"/>
      <c r="DJ101" s="389"/>
      <c r="DK101" s="389"/>
      <c r="DL101" s="389"/>
      <c r="DM101" s="389"/>
      <c r="DN101" s="389"/>
      <c r="DO101" s="389"/>
      <c r="DP101" s="389"/>
      <c r="DQ101" s="389"/>
      <c r="DR101" s="389"/>
      <c r="DS101" s="389"/>
      <c r="DT101" s="389"/>
      <c r="DU101" s="389"/>
      <c r="DV101" s="389"/>
      <c r="DW101" s="389"/>
      <c r="DX101" s="389"/>
      <c r="DY101" s="389"/>
      <c r="DZ101" s="389"/>
      <c r="EA101" s="389"/>
      <c r="EB101" s="389"/>
      <c r="EC101" s="389"/>
      <c r="ED101" s="389"/>
      <c r="EE101" s="389"/>
      <c r="EF101" s="389"/>
      <c r="EG101" s="389"/>
      <c r="EH101" s="389"/>
      <c r="EI101" s="137"/>
      <c r="EJ101" s="389"/>
      <c r="EK101" s="389"/>
      <c r="EL101" s="389"/>
      <c r="EM101" s="389"/>
      <c r="EN101" s="389"/>
      <c r="EO101" s="389"/>
      <c r="EP101" s="389"/>
      <c r="EQ101" s="389"/>
      <c r="ER101" s="389"/>
      <c r="ES101" s="389"/>
      <c r="ET101" s="389"/>
      <c r="EU101" s="389"/>
      <c r="EV101" s="389"/>
      <c r="EW101" s="389"/>
      <c r="EX101" s="389"/>
      <c r="EY101" s="389"/>
      <c r="EZ101" s="389"/>
      <c r="FA101" s="389"/>
      <c r="FB101" s="389"/>
      <c r="FC101" s="389"/>
      <c r="FD101" s="389"/>
      <c r="FE101" s="389"/>
      <c r="FF101" s="389"/>
      <c r="FG101" s="389"/>
      <c r="FH101" s="389"/>
    </row>
    <row r="102">
      <c r="B102" s="455" t="s">
        <v>268</v>
      </c>
      <c r="C102" s="389"/>
      <c r="D102" s="389"/>
      <c r="E102" s="389"/>
      <c r="F102" s="389"/>
      <c r="G102" s="389"/>
      <c r="H102" s="389"/>
      <c r="I102" s="389"/>
      <c r="J102" s="389"/>
      <c r="K102" s="389"/>
      <c r="L102" s="389"/>
      <c r="M102" s="389"/>
      <c r="N102" s="389"/>
      <c r="O102" s="389"/>
      <c r="P102" s="389"/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  <c r="AA102" s="389"/>
      <c r="AB102" s="389"/>
      <c r="AC102" s="389"/>
      <c r="AD102" s="389"/>
      <c r="AE102" s="389"/>
      <c r="AF102" s="389"/>
      <c r="AG102" s="389"/>
      <c r="AH102" s="389"/>
      <c r="AI102" s="389"/>
      <c r="AJ102" s="389"/>
      <c r="AK102" s="389"/>
      <c r="AL102" s="389"/>
      <c r="AM102" s="389"/>
      <c r="AN102" s="389"/>
      <c r="AO102" s="389"/>
      <c r="AP102" s="389"/>
      <c r="AQ102" s="389"/>
      <c r="AR102" s="389"/>
      <c r="AS102" s="389"/>
      <c r="AT102" s="389"/>
      <c r="AU102" s="389"/>
      <c r="AV102" s="389"/>
      <c r="AW102" s="389"/>
      <c r="AX102" s="389"/>
      <c r="AY102" s="389"/>
      <c r="AZ102" s="389"/>
      <c r="BA102" s="389"/>
      <c r="BB102" s="389"/>
      <c r="BC102" s="389"/>
      <c r="BD102" s="389"/>
      <c r="BE102" s="389"/>
      <c r="BF102" s="389"/>
      <c r="BG102" s="389"/>
      <c r="BH102" s="389"/>
      <c r="BI102" s="389"/>
      <c r="BJ102" s="389"/>
      <c r="BK102" s="389"/>
      <c r="BL102" s="389"/>
      <c r="BM102" s="389"/>
      <c r="BN102" s="389"/>
      <c r="BO102" s="389"/>
      <c r="BP102" s="389"/>
      <c r="BQ102" s="389"/>
      <c r="BR102" s="389"/>
      <c r="BS102" s="389"/>
      <c r="BT102" s="389"/>
      <c r="BU102" s="389"/>
      <c r="BV102" s="389"/>
      <c r="BX102" s="390"/>
      <c r="BY102" s="389"/>
      <c r="BZ102" s="389" t="str">
        <f t="shared" ref="BZ102:CC102" si="185">IF(BZ100=0,"", TEXT(BZ100,"0,000")&amp;" "&amp;"("&amp;TEXT((BZ100-CF100)/CF100,"0%")&amp;" YoY)")</f>
        <v>4,198,292 (33% YoY)</v>
      </c>
      <c r="CA102" s="389" t="str">
        <f t="shared" si="185"/>
        <v>4,601,361 (28% YoY)</v>
      </c>
      <c r="CB102" s="389" t="str">
        <f t="shared" si="185"/>
        <v>3,398,147 (-14% YoY)</v>
      </c>
      <c r="CC102" s="389" t="str">
        <f t="shared" si="185"/>
        <v/>
      </c>
      <c r="CD102" s="390"/>
      <c r="CE102" s="389"/>
      <c r="CF102" s="389" t="str">
        <f t="shared" ref="CF102:CI102" si="186">IF(CF100=0,"", TEXT(CF100,"0,000")&amp;" "&amp;"("&amp;TEXT((CF100-CL100)/CL100,"0%")&amp;" YoY)")</f>
        <v>3,148,619 (-24% YoY)</v>
      </c>
      <c r="CG102" s="389" t="str">
        <f t="shared" si="186"/>
        <v>3,607,353 (-3% YoY)</v>
      </c>
      <c r="CH102" s="389" t="str">
        <f t="shared" si="186"/>
        <v>3,962,352 (29% YoY)</v>
      </c>
      <c r="CI102" s="389" t="str">
        <f t="shared" si="186"/>
        <v>4,811,442 (72% YoY)</v>
      </c>
      <c r="CJ102" s="390"/>
      <c r="CK102" s="389"/>
      <c r="CL102" s="389" t="str">
        <f t="shared" ref="CL102:CO102" si="187">IF(CL100=0,"", TEXT(CL100,"0,000")&amp;" "&amp;"("&amp;TEXT((CL100-CR100)/CR100,"0%")&amp;" YoY)")</f>
        <v>4,153,023 (60% YoY)</v>
      </c>
      <c r="CM102" s="389" t="str">
        <f t="shared" si="187"/>
        <v>3,700,227 (32% YoY)</v>
      </c>
      <c r="CN102" s="389" t="str">
        <f t="shared" si="187"/>
        <v>3,080,661 (-13% YoY)</v>
      </c>
      <c r="CO102" s="389" t="str">
        <f t="shared" si="187"/>
        <v>2,793,899 (-18% YoY)</v>
      </c>
      <c r="CP102" s="390"/>
      <c r="CQ102" s="389"/>
      <c r="CR102" s="389"/>
      <c r="CS102" s="389"/>
      <c r="CT102" s="389"/>
      <c r="CU102" s="389"/>
      <c r="CV102" s="390"/>
      <c r="CW102" s="389"/>
      <c r="CX102" s="390"/>
      <c r="CY102" s="284"/>
      <c r="CZ102" s="389"/>
      <c r="DA102" s="389"/>
      <c r="DB102" s="389"/>
      <c r="DC102" s="389"/>
      <c r="DD102" s="389"/>
      <c r="DE102" s="389"/>
      <c r="DF102" s="389"/>
      <c r="DG102" s="389"/>
      <c r="DH102" s="389"/>
      <c r="DI102" s="389"/>
      <c r="DJ102" s="389"/>
      <c r="DK102" s="389"/>
      <c r="DL102" s="389"/>
      <c r="DM102" s="389"/>
      <c r="DN102" s="389"/>
      <c r="DO102" s="389"/>
      <c r="DP102" s="389"/>
      <c r="DQ102" s="389"/>
      <c r="DR102" s="389"/>
      <c r="DS102" s="389"/>
      <c r="DT102" s="389"/>
      <c r="DU102" s="389"/>
      <c r="DV102" s="389"/>
      <c r="DW102" s="389"/>
      <c r="DX102" s="389"/>
      <c r="DY102" s="389"/>
      <c r="DZ102" s="389"/>
      <c r="EA102" s="389"/>
      <c r="EB102" s="389"/>
      <c r="EC102" s="389"/>
      <c r="ED102" s="389"/>
      <c r="EE102" s="389"/>
      <c r="EF102" s="389"/>
      <c r="EG102" s="389"/>
      <c r="EH102" s="389"/>
      <c r="EI102" s="137"/>
      <c r="EJ102" s="389"/>
      <c r="EK102" s="389"/>
      <c r="EL102" s="389"/>
      <c r="EM102" s="389"/>
      <c r="EN102" s="389"/>
      <c r="EO102" s="389"/>
      <c r="EP102" s="389"/>
      <c r="EQ102" s="389"/>
      <c r="ER102" s="389"/>
      <c r="ES102" s="389"/>
      <c r="ET102" s="389"/>
      <c r="EU102" s="389"/>
      <c r="EV102" s="389"/>
      <c r="EW102" s="389"/>
      <c r="EX102" s="389"/>
      <c r="EY102" s="389"/>
      <c r="EZ102" s="389"/>
      <c r="FA102" s="389"/>
      <c r="FB102" s="389"/>
      <c r="FC102" s="389"/>
      <c r="FD102" s="389"/>
      <c r="FE102" s="389"/>
      <c r="FF102" s="389"/>
      <c r="FG102" s="389"/>
      <c r="FH102" s="389"/>
    </row>
    <row r="103">
      <c r="B103" s="397"/>
      <c r="C103" s="389"/>
      <c r="D103" s="389"/>
      <c r="E103" s="389"/>
      <c r="F103" s="389"/>
      <c r="G103" s="389"/>
      <c r="H103" s="389"/>
      <c r="I103" s="389"/>
      <c r="J103" s="389"/>
      <c r="K103" s="389"/>
      <c r="L103" s="389"/>
      <c r="M103" s="389"/>
      <c r="N103" s="389"/>
      <c r="O103" s="389"/>
      <c r="P103" s="389"/>
      <c r="Q103" s="389"/>
      <c r="R103" s="389"/>
      <c r="S103" s="389"/>
      <c r="T103" s="389"/>
      <c r="U103" s="389"/>
      <c r="V103" s="389"/>
      <c r="W103" s="389"/>
      <c r="X103" s="389"/>
      <c r="Y103" s="389"/>
      <c r="Z103" s="389"/>
      <c r="AA103" s="287"/>
      <c r="AB103" s="287"/>
      <c r="AC103" s="287"/>
      <c r="AD103" s="287"/>
      <c r="AE103" s="287"/>
      <c r="AF103" s="287"/>
      <c r="AG103" s="287"/>
      <c r="AH103" s="287"/>
      <c r="AI103" s="287"/>
      <c r="AJ103" s="287"/>
      <c r="AK103" s="287"/>
      <c r="AL103" s="287"/>
      <c r="AM103" s="287"/>
      <c r="AN103" s="287"/>
      <c r="AO103" s="287"/>
      <c r="AP103" s="287"/>
      <c r="AQ103" s="287"/>
      <c r="AR103" s="287"/>
      <c r="AS103" s="287"/>
      <c r="AT103" s="287"/>
      <c r="AU103" s="287"/>
      <c r="AV103" s="287"/>
      <c r="AW103" s="287"/>
      <c r="AX103" s="287"/>
      <c r="AY103" s="287"/>
      <c r="AZ103" s="287"/>
      <c r="BA103" s="287"/>
      <c r="BB103" s="287"/>
      <c r="BC103" s="287"/>
      <c r="BD103" s="287"/>
      <c r="BE103" s="287"/>
      <c r="BF103" s="287"/>
      <c r="BG103" s="287"/>
      <c r="BH103" s="287"/>
      <c r="BI103" s="287"/>
      <c r="BJ103" s="287"/>
      <c r="BK103" s="287"/>
      <c r="BL103" s="287"/>
      <c r="BM103" s="287"/>
      <c r="BN103" s="287"/>
      <c r="BO103" s="287"/>
      <c r="BP103" s="287"/>
      <c r="BQ103" s="287"/>
      <c r="BR103" s="287"/>
      <c r="BS103" s="287"/>
      <c r="BT103" s="287"/>
      <c r="BU103" s="287"/>
      <c r="BV103" s="287"/>
      <c r="BW103" s="450"/>
      <c r="BX103" s="392"/>
      <c r="BY103" s="287"/>
      <c r="BZ103" s="391"/>
      <c r="CA103" s="391"/>
      <c r="CB103" s="391"/>
      <c r="CC103" s="391"/>
      <c r="CD103" s="392"/>
      <c r="CE103" s="287"/>
      <c r="CF103" s="391"/>
      <c r="CG103" s="391"/>
      <c r="CH103" s="391"/>
      <c r="CI103" s="391"/>
      <c r="CJ103" s="392"/>
      <c r="CK103" s="287"/>
      <c r="CL103" s="391"/>
      <c r="CM103" s="391"/>
      <c r="CN103" s="391"/>
      <c r="CO103" s="391"/>
      <c r="CP103" s="392"/>
      <c r="CQ103" s="287"/>
      <c r="CR103" s="391"/>
      <c r="CS103" s="391"/>
      <c r="CT103" s="391"/>
      <c r="CU103" s="391"/>
      <c r="CV103" s="392"/>
      <c r="CW103" s="287"/>
      <c r="CX103" s="459"/>
      <c r="CY103" s="460"/>
      <c r="CZ103" s="287"/>
      <c r="DA103" s="287"/>
      <c r="DB103" s="287"/>
      <c r="DC103" s="287"/>
      <c r="DD103" s="287"/>
      <c r="DE103" s="287"/>
      <c r="DF103" s="287"/>
      <c r="DG103" s="287"/>
      <c r="DH103" s="287"/>
      <c r="DI103" s="287"/>
      <c r="DJ103" s="287"/>
      <c r="DK103" s="287"/>
      <c r="DL103" s="287"/>
      <c r="DM103" s="287"/>
      <c r="DN103" s="287"/>
      <c r="DO103" s="287"/>
      <c r="DP103" s="287"/>
      <c r="DQ103" s="287"/>
      <c r="DR103" s="287"/>
      <c r="DS103" s="287"/>
      <c r="DT103" s="287"/>
      <c r="DU103" s="287"/>
      <c r="DV103" s="287"/>
      <c r="DW103" s="287"/>
      <c r="DX103" s="287"/>
      <c r="DY103" s="287"/>
      <c r="DZ103" s="287"/>
      <c r="EA103" s="287"/>
      <c r="EB103" s="287"/>
      <c r="EC103" s="287"/>
      <c r="ED103" s="287"/>
      <c r="EE103" s="287"/>
      <c r="EF103" s="287"/>
      <c r="EG103" s="287"/>
      <c r="EH103" s="287"/>
      <c r="EI103" s="287"/>
      <c r="EJ103" s="287"/>
      <c r="EK103" s="287"/>
      <c r="EL103" s="287"/>
      <c r="EM103" s="287"/>
      <c r="EN103" s="287"/>
      <c r="EO103" s="287"/>
      <c r="EP103" s="287"/>
      <c r="EQ103" s="287"/>
      <c r="ER103" s="287"/>
      <c r="ES103" s="287"/>
      <c r="ET103" s="287"/>
      <c r="EU103" s="287"/>
      <c r="EV103" s="287"/>
      <c r="EW103" s="287"/>
      <c r="EX103" s="287"/>
      <c r="EY103" s="287"/>
      <c r="EZ103" s="287"/>
      <c r="FA103" s="287"/>
      <c r="FB103" s="287"/>
      <c r="FC103" s="287"/>
      <c r="FD103" s="287"/>
      <c r="FE103" s="287"/>
      <c r="FF103" s="287"/>
      <c r="FG103" s="287"/>
      <c r="FH103" s="287"/>
    </row>
    <row r="104">
      <c r="B104" s="397" t="s">
        <v>563</v>
      </c>
      <c r="C104" s="389"/>
      <c r="D104" s="389"/>
      <c r="E104" s="389"/>
      <c r="F104" s="389"/>
      <c r="G104" s="389"/>
      <c r="H104" s="389"/>
      <c r="I104" s="389"/>
      <c r="J104" s="389"/>
      <c r="K104" s="389"/>
      <c r="L104" s="389"/>
      <c r="M104" s="389"/>
      <c r="N104" s="389"/>
      <c r="O104" s="389"/>
      <c r="P104" s="389"/>
      <c r="Q104" s="389"/>
      <c r="R104" s="389"/>
      <c r="S104" s="389"/>
      <c r="T104" s="389"/>
      <c r="U104" s="389"/>
      <c r="V104" s="389"/>
      <c r="W104" s="389"/>
      <c r="X104" s="389"/>
      <c r="Y104" s="389"/>
      <c r="Z104" s="389"/>
      <c r="AA104" s="287">
        <f t="shared" ref="AA104:BV104" si="188">AA71+AA33</f>
        <v>742993</v>
      </c>
      <c r="AB104" s="287">
        <f t="shared" si="188"/>
        <v>895598</v>
      </c>
      <c r="AC104" s="287">
        <f t="shared" si="188"/>
        <v>962303</v>
      </c>
      <c r="AD104" s="287">
        <f t="shared" si="188"/>
        <v>968591</v>
      </c>
      <c r="AE104" s="287">
        <f t="shared" si="188"/>
        <v>972534</v>
      </c>
      <c r="AF104" s="287">
        <f t="shared" si="188"/>
        <v>986706</v>
      </c>
      <c r="AG104" s="287">
        <f t="shared" si="188"/>
        <v>1051189</v>
      </c>
      <c r="AH104" s="287">
        <f t="shared" si="188"/>
        <v>1013407</v>
      </c>
      <c r="AI104" s="287">
        <f t="shared" si="188"/>
        <v>1142580</v>
      </c>
      <c r="AJ104" s="287">
        <f t="shared" si="188"/>
        <v>1287281</v>
      </c>
      <c r="AK104" s="287">
        <f t="shared" si="188"/>
        <v>1289504</v>
      </c>
      <c r="AL104" s="287">
        <f t="shared" si="188"/>
        <v>1303013</v>
      </c>
      <c r="AM104" s="287">
        <f t="shared" si="188"/>
        <v>1562155</v>
      </c>
      <c r="AN104" s="287">
        <f t="shared" si="188"/>
        <v>1453660</v>
      </c>
      <c r="AO104" s="287">
        <f t="shared" si="188"/>
        <v>1527036</v>
      </c>
      <c r="AP104" s="287">
        <f t="shared" si="188"/>
        <v>1665014</v>
      </c>
      <c r="AQ104" s="287">
        <f t="shared" si="188"/>
        <v>1599229</v>
      </c>
      <c r="AR104" s="287">
        <f t="shared" si="188"/>
        <v>1590559</v>
      </c>
      <c r="AS104" s="287">
        <f t="shared" si="188"/>
        <v>1949020</v>
      </c>
      <c r="AT104" s="287">
        <f t="shared" si="188"/>
        <v>1686319</v>
      </c>
      <c r="AU104" s="287">
        <f t="shared" si="188"/>
        <v>1705648</v>
      </c>
      <c r="AV104" s="287">
        <f t="shared" si="188"/>
        <v>1794777</v>
      </c>
      <c r="AW104" s="287">
        <f t="shared" si="188"/>
        <v>1768879</v>
      </c>
      <c r="AX104" s="287">
        <f t="shared" si="188"/>
        <v>1780008</v>
      </c>
      <c r="AY104" s="287">
        <f t="shared" si="188"/>
        <v>2114425.79</v>
      </c>
      <c r="AZ104" s="287">
        <f t="shared" si="188"/>
        <v>1736344.77</v>
      </c>
      <c r="BA104" s="287">
        <f t="shared" si="188"/>
        <v>2038221.18</v>
      </c>
      <c r="BB104" s="287">
        <f t="shared" si="188"/>
        <v>1868726.4</v>
      </c>
      <c r="BC104" s="287">
        <f t="shared" si="188"/>
        <v>1993922.04</v>
      </c>
      <c r="BD104" s="287">
        <f t="shared" si="188"/>
        <v>2029774.34</v>
      </c>
      <c r="BE104" s="287">
        <f t="shared" si="188"/>
        <v>1996261.16</v>
      </c>
      <c r="BF104" s="287">
        <f t="shared" si="188"/>
        <v>1850309.3</v>
      </c>
      <c r="BG104" s="287">
        <f t="shared" si="188"/>
        <v>2012659.16</v>
      </c>
      <c r="BH104" s="287">
        <f t="shared" si="188"/>
        <v>2110498.55</v>
      </c>
      <c r="BI104" s="287">
        <f t="shared" si="188"/>
        <v>2042570.03</v>
      </c>
      <c r="BJ104" s="287">
        <f t="shared" si="188"/>
        <v>2242137.34</v>
      </c>
      <c r="BK104" s="287">
        <f t="shared" si="188"/>
        <v>2469725.37</v>
      </c>
      <c r="BL104" s="287">
        <f t="shared" si="188"/>
        <v>2051982.75</v>
      </c>
      <c r="BM104" s="287">
        <f t="shared" si="188"/>
        <v>2129410.07</v>
      </c>
      <c r="BN104" s="287">
        <f t="shared" si="188"/>
        <v>2462327.03</v>
      </c>
      <c r="BO104" s="287">
        <f t="shared" si="188"/>
        <v>2610934.05</v>
      </c>
      <c r="BP104" s="287">
        <f t="shared" si="188"/>
        <v>2500297.1</v>
      </c>
      <c r="BQ104" s="287">
        <f t="shared" si="188"/>
        <v>2577706.22</v>
      </c>
      <c r="BR104" s="287">
        <f t="shared" si="188"/>
        <v>2808078.91</v>
      </c>
      <c r="BS104" s="287">
        <f t="shared" si="188"/>
        <v>0</v>
      </c>
      <c r="BT104" s="287">
        <f t="shared" si="188"/>
        <v>0</v>
      </c>
      <c r="BU104" s="287">
        <f t="shared" si="188"/>
        <v>0</v>
      </c>
      <c r="BV104" s="287">
        <f t="shared" si="188"/>
        <v>0</v>
      </c>
      <c r="BW104" s="450"/>
      <c r="BX104" s="392" t="str">
        <f>BX71+BX33</f>
        <v>#REF!</v>
      </c>
      <c r="BY104" s="287"/>
      <c r="BZ104" s="391">
        <f t="shared" ref="BZ104:CD104" si="189">BZ71+BZ33</f>
        <v>6651118.19</v>
      </c>
      <c r="CA104" s="391">
        <f t="shared" si="189"/>
        <v>7573558.18</v>
      </c>
      <c r="CB104" s="391">
        <f t="shared" si="189"/>
        <v>5385785.13</v>
      </c>
      <c r="CC104" s="391">
        <f t="shared" si="189"/>
        <v>0</v>
      </c>
      <c r="CD104" s="392">
        <f t="shared" si="189"/>
        <v>19610461.5</v>
      </c>
      <c r="CE104" s="287"/>
      <c r="CF104" s="391">
        <f t="shared" ref="CF104:CJ104" si="190">CF71+CF33</f>
        <v>5888991.74</v>
      </c>
      <c r="CG104" s="391">
        <f t="shared" si="190"/>
        <v>5892422.78</v>
      </c>
      <c r="CH104" s="391">
        <f t="shared" si="190"/>
        <v>5859229.62</v>
      </c>
      <c r="CI104" s="391">
        <f t="shared" si="190"/>
        <v>6395205.92</v>
      </c>
      <c r="CJ104" s="392">
        <f t="shared" si="190"/>
        <v>24035850.06</v>
      </c>
      <c r="CK104" s="287"/>
      <c r="CL104" s="391">
        <f t="shared" ref="CL104:CP104" si="191">CL71+CL33</f>
        <v>4542851</v>
      </c>
      <c r="CM104" s="391">
        <f t="shared" si="191"/>
        <v>4854802</v>
      </c>
      <c r="CN104" s="391">
        <f t="shared" si="191"/>
        <v>5340987</v>
      </c>
      <c r="CO104" s="391">
        <f t="shared" si="191"/>
        <v>5343664</v>
      </c>
      <c r="CP104" s="392">
        <f t="shared" si="191"/>
        <v>20082304</v>
      </c>
      <c r="CQ104" s="287"/>
      <c r="CR104" s="391">
        <f t="shared" ref="CR104:CV104" si="192">CR71+CR33</f>
        <v>2600894</v>
      </c>
      <c r="CS104" s="391">
        <f t="shared" si="192"/>
        <v>2927831</v>
      </c>
      <c r="CT104" s="391">
        <f t="shared" si="192"/>
        <v>3207176</v>
      </c>
      <c r="CU104" s="391">
        <f t="shared" si="192"/>
        <v>3879798</v>
      </c>
      <c r="CV104" s="392">
        <f t="shared" si="192"/>
        <v>12615699</v>
      </c>
      <c r="CW104" s="287"/>
      <c r="CX104" s="459"/>
      <c r="CY104" s="460"/>
      <c r="CZ104" s="287"/>
      <c r="DA104" s="287"/>
      <c r="DB104" s="287"/>
      <c r="DC104" s="287"/>
      <c r="DD104" s="287"/>
      <c r="DE104" s="287"/>
      <c r="DF104" s="287"/>
      <c r="DG104" s="287"/>
      <c r="DH104" s="287"/>
      <c r="DI104" s="287"/>
      <c r="DJ104" s="287"/>
      <c r="DK104" s="287"/>
      <c r="DL104" s="287"/>
      <c r="DM104" s="287"/>
      <c r="DN104" s="287"/>
      <c r="DO104" s="287"/>
      <c r="DP104" s="287"/>
      <c r="DQ104" s="287"/>
      <c r="DR104" s="287"/>
      <c r="DS104" s="287"/>
      <c r="DT104" s="287"/>
      <c r="DU104" s="287"/>
      <c r="DV104" s="287"/>
      <c r="DW104" s="287"/>
      <c r="DX104" s="287"/>
      <c r="DY104" s="287"/>
      <c r="DZ104" s="287"/>
      <c r="EA104" s="287"/>
      <c r="EB104" s="287"/>
      <c r="EC104" s="287"/>
      <c r="ED104" s="287"/>
      <c r="EE104" s="287"/>
      <c r="EF104" s="287"/>
      <c r="EG104" s="287"/>
      <c r="EH104" s="287"/>
      <c r="EI104" s="287"/>
      <c r="EJ104" s="287"/>
      <c r="EK104" s="287"/>
      <c r="EL104" s="287"/>
      <c r="EM104" s="287"/>
      <c r="EN104" s="287"/>
      <c r="EO104" s="287"/>
      <c r="EP104" s="287"/>
      <c r="EQ104" s="287"/>
      <c r="ER104" s="287"/>
      <c r="ES104" s="287"/>
      <c r="ET104" s="287"/>
      <c r="EU104" s="287"/>
      <c r="EV104" s="287"/>
      <c r="EW104" s="287"/>
      <c r="EX104" s="287"/>
      <c r="EY104" s="287"/>
      <c r="EZ104" s="287"/>
      <c r="FA104" s="287"/>
      <c r="FB104" s="287"/>
      <c r="FC104" s="287"/>
      <c r="FD104" s="287"/>
      <c r="FE104" s="287"/>
      <c r="FF104" s="287"/>
      <c r="FG104" s="287"/>
      <c r="FH104" s="287"/>
    </row>
    <row r="105">
      <c r="B105" s="397" t="s">
        <v>564</v>
      </c>
      <c r="C105" s="389"/>
      <c r="D105" s="389"/>
      <c r="E105" s="389"/>
      <c r="F105" s="389"/>
      <c r="G105" s="389"/>
      <c r="H105" s="389"/>
      <c r="I105" s="389"/>
      <c r="J105" s="389"/>
      <c r="K105" s="389"/>
      <c r="L105" s="389"/>
      <c r="M105" s="389"/>
      <c r="N105" s="389"/>
      <c r="O105" s="389"/>
      <c r="P105" s="389"/>
      <c r="Q105" s="389"/>
      <c r="R105" s="389"/>
      <c r="S105" s="389"/>
      <c r="T105" s="389"/>
      <c r="U105" s="389"/>
      <c r="V105" s="389"/>
      <c r="W105" s="389"/>
      <c r="X105" s="389"/>
      <c r="Y105" s="389"/>
      <c r="Z105" s="389"/>
      <c r="AA105" s="389"/>
      <c r="AB105" s="389"/>
      <c r="AC105" s="389"/>
      <c r="AD105" s="389"/>
      <c r="AE105" s="389"/>
      <c r="AF105" s="389"/>
      <c r="AG105" s="389"/>
      <c r="AH105" s="389"/>
      <c r="AI105" s="389"/>
      <c r="AJ105" s="389"/>
      <c r="AK105" s="389"/>
      <c r="AL105" s="389"/>
      <c r="AM105" s="389"/>
      <c r="AN105" s="389"/>
      <c r="AO105" s="389"/>
      <c r="AP105" s="389"/>
      <c r="AQ105" s="389"/>
      <c r="AR105" s="389"/>
      <c r="AS105" s="389"/>
      <c r="AT105" s="389"/>
      <c r="AU105" s="389"/>
      <c r="AV105" s="389"/>
      <c r="AW105" s="389"/>
      <c r="AX105" s="389"/>
      <c r="AY105" s="389"/>
      <c r="AZ105" s="389"/>
      <c r="BA105" s="389"/>
      <c r="BB105" s="389"/>
      <c r="BC105" s="389"/>
      <c r="BD105" s="389"/>
      <c r="BE105" s="389"/>
      <c r="BF105" s="389"/>
      <c r="BG105" s="389"/>
      <c r="BH105" s="389"/>
      <c r="BI105" s="389"/>
      <c r="BJ105" s="389"/>
      <c r="BK105" s="389"/>
      <c r="BL105" s="389"/>
      <c r="BM105" s="389"/>
      <c r="BN105" s="389"/>
      <c r="BO105" s="287"/>
      <c r="BP105" s="389"/>
      <c r="BQ105" s="389"/>
      <c r="BR105" s="389"/>
      <c r="BS105" s="389"/>
      <c r="BT105" s="389"/>
      <c r="BU105" s="389"/>
      <c r="BV105" s="389"/>
      <c r="BX105" s="390"/>
      <c r="BY105" s="389"/>
      <c r="BZ105" s="389">
        <f t="shared" ref="BZ105:CC105" si="193">IFERROR(BZ104/BZ18,0)</f>
        <v>0.8959410979</v>
      </c>
      <c r="CA105" s="389">
        <f t="shared" si="193"/>
        <v>0.9529256616</v>
      </c>
      <c r="CB105" s="389">
        <f t="shared" si="193"/>
        <v>0.9063366841</v>
      </c>
      <c r="CC105" s="389">
        <f t="shared" si="193"/>
        <v>0</v>
      </c>
      <c r="CD105" s="390"/>
      <c r="CE105" s="389"/>
      <c r="CF105" s="389">
        <f t="shared" ref="CF105:CI105" si="194">IFERROR(CF104/CF18,0)</f>
        <v>1.077867464</v>
      </c>
      <c r="CG105" s="389">
        <f t="shared" si="194"/>
        <v>1.024628299</v>
      </c>
      <c r="CH105" s="389">
        <f t="shared" si="194"/>
        <v>0.9137181093</v>
      </c>
      <c r="CI105" s="389">
        <f t="shared" si="194"/>
        <v>0.8275283018</v>
      </c>
      <c r="CJ105" s="390"/>
      <c r="CK105" s="389"/>
      <c r="CL105" s="389">
        <f t="shared" ref="CL105:CO105" si="195">IFERROR(CL104/CL18,0)</f>
        <v>0.7207050291</v>
      </c>
      <c r="CM105" s="389">
        <f t="shared" si="195"/>
        <v>0.8690165857</v>
      </c>
      <c r="CN105" s="389">
        <f t="shared" si="195"/>
        <v>1.027351744</v>
      </c>
      <c r="CO105" s="389">
        <f t="shared" si="195"/>
        <v>1.048651337</v>
      </c>
      <c r="CP105" s="390"/>
      <c r="CQ105" s="389"/>
      <c r="CR105" s="389"/>
      <c r="CS105" s="389"/>
      <c r="CT105" s="389"/>
      <c r="CU105" s="389"/>
      <c r="CV105" s="390"/>
      <c r="CW105" s="389"/>
      <c r="CX105" s="390"/>
      <c r="CY105" s="284"/>
      <c r="CZ105" s="389"/>
      <c r="DA105" s="389"/>
      <c r="DB105" s="389"/>
      <c r="DC105" s="389"/>
      <c r="DD105" s="389"/>
      <c r="DE105" s="389"/>
      <c r="DF105" s="389"/>
      <c r="DG105" s="389"/>
      <c r="DH105" s="389"/>
      <c r="DI105" s="389"/>
      <c r="DJ105" s="389"/>
      <c r="DK105" s="389"/>
      <c r="DL105" s="389"/>
      <c r="DM105" s="389"/>
      <c r="DN105" s="389"/>
      <c r="DO105" s="389"/>
      <c r="DP105" s="389"/>
      <c r="DQ105" s="389"/>
      <c r="DR105" s="389"/>
      <c r="DS105" s="389"/>
      <c r="DT105" s="389"/>
      <c r="DU105" s="389"/>
      <c r="DV105" s="389"/>
      <c r="DW105" s="389"/>
      <c r="DX105" s="389"/>
      <c r="DY105" s="389"/>
      <c r="DZ105" s="389"/>
      <c r="EA105" s="389"/>
      <c r="EB105" s="389"/>
      <c r="EC105" s="389"/>
      <c r="ED105" s="389"/>
      <c r="EE105" s="389"/>
      <c r="EF105" s="389"/>
      <c r="EG105" s="389"/>
      <c r="EH105" s="389"/>
      <c r="EI105" s="137"/>
      <c r="EJ105" s="389"/>
      <c r="EK105" s="389"/>
      <c r="EL105" s="389"/>
      <c r="EM105" s="389"/>
      <c r="EN105" s="389"/>
      <c r="EO105" s="389"/>
      <c r="EP105" s="389"/>
      <c r="EQ105" s="389"/>
      <c r="ER105" s="389"/>
      <c r="ES105" s="389"/>
      <c r="ET105" s="389"/>
      <c r="EU105" s="389"/>
      <c r="EV105" s="389"/>
      <c r="EW105" s="389"/>
      <c r="EX105" s="389"/>
      <c r="EY105" s="389"/>
      <c r="EZ105" s="389"/>
      <c r="FA105" s="389"/>
      <c r="FB105" s="389"/>
      <c r="FC105" s="389"/>
      <c r="FD105" s="389"/>
      <c r="FE105" s="389"/>
      <c r="FF105" s="389"/>
      <c r="FG105" s="389"/>
      <c r="FH105" s="389"/>
    </row>
    <row r="106">
      <c r="B106" s="455" t="s">
        <v>268</v>
      </c>
      <c r="C106" s="389"/>
      <c r="D106" s="389"/>
      <c r="E106" s="389"/>
      <c r="F106" s="389"/>
      <c r="G106" s="389"/>
      <c r="H106" s="389"/>
      <c r="I106" s="389"/>
      <c r="J106" s="389"/>
      <c r="K106" s="389"/>
      <c r="L106" s="389"/>
      <c r="M106" s="389"/>
      <c r="N106" s="389"/>
      <c r="O106" s="389"/>
      <c r="P106" s="389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  <c r="AA106" s="389"/>
      <c r="AB106" s="389"/>
      <c r="AC106" s="389"/>
      <c r="AD106" s="389"/>
      <c r="AE106" s="389"/>
      <c r="AF106" s="389"/>
      <c r="AG106" s="389"/>
      <c r="AH106" s="389"/>
      <c r="AI106" s="389"/>
      <c r="AJ106" s="389"/>
      <c r="AK106" s="389"/>
      <c r="AL106" s="389"/>
      <c r="AM106" s="389"/>
      <c r="AN106" s="389"/>
      <c r="AO106" s="389"/>
      <c r="AP106" s="389"/>
      <c r="AQ106" s="389"/>
      <c r="AR106" s="389"/>
      <c r="AS106" s="389"/>
      <c r="AT106" s="389"/>
      <c r="AU106" s="389"/>
      <c r="AV106" s="389"/>
      <c r="AW106" s="389"/>
      <c r="AX106" s="389"/>
      <c r="AY106" s="389"/>
      <c r="AZ106" s="389"/>
      <c r="BA106" s="389"/>
      <c r="BB106" s="389"/>
      <c r="BC106" s="389"/>
      <c r="BD106" s="389"/>
      <c r="BE106" s="389"/>
      <c r="BF106" s="389"/>
      <c r="BG106" s="389"/>
      <c r="BH106" s="389"/>
      <c r="BI106" s="389"/>
      <c r="BJ106" s="389"/>
      <c r="BK106" s="389"/>
      <c r="BL106" s="389"/>
      <c r="BM106" s="389"/>
      <c r="BN106" s="389"/>
      <c r="BO106" s="389"/>
      <c r="BP106" s="389"/>
      <c r="BQ106" s="389"/>
      <c r="BR106" s="389"/>
      <c r="BS106" s="389"/>
      <c r="BT106" s="389"/>
      <c r="BU106" s="389"/>
      <c r="BV106" s="389"/>
      <c r="BX106" s="390"/>
      <c r="BY106" s="389"/>
      <c r="BZ106" s="389" t="str">
        <f t="shared" ref="BZ106:CC106" si="196">IF(BZ104=0,"", TEXT(BZ104,"0,000")&amp;" "&amp;"("&amp;TEXT((BZ104-CF104)/CF104,"0%")&amp;" YoY)")</f>
        <v>6,651,118 (13% YoY)</v>
      </c>
      <c r="CA106" s="389" t="str">
        <f t="shared" si="196"/>
        <v>7,573,558 (29% YoY)</v>
      </c>
      <c r="CB106" s="389" t="str">
        <f t="shared" si="196"/>
        <v>5,385,785 (-8% YoY)</v>
      </c>
      <c r="CC106" s="389" t="str">
        <f t="shared" si="196"/>
        <v/>
      </c>
      <c r="CD106" s="390"/>
      <c r="CE106" s="389"/>
      <c r="CF106" s="389" t="str">
        <f t="shared" ref="CF106:CI106" si="197">IF(CF104=0,"", TEXT(CF104,"0,000")&amp;" "&amp;"("&amp;TEXT((CF104-CL104)/CL104,"0%")&amp;" YoY)")</f>
        <v>5,888,992 (30% YoY)</v>
      </c>
      <c r="CG106" s="389" t="str">
        <f t="shared" si="197"/>
        <v>5,892,423 (21% YoY)</v>
      </c>
      <c r="CH106" s="389" t="str">
        <f t="shared" si="197"/>
        <v>5,859,230 (10% YoY)</v>
      </c>
      <c r="CI106" s="389" t="str">
        <f t="shared" si="197"/>
        <v>6,395,206 (20% YoY)</v>
      </c>
      <c r="CJ106" s="390"/>
      <c r="CK106" s="389"/>
      <c r="CL106" s="389" t="str">
        <f t="shared" ref="CL106:CO106" si="198">IF(CL104=0,"", TEXT(CL104,"0,000")&amp;" "&amp;"("&amp;TEXT((CL104-CR104)/CR104,"0%")&amp;" YoY)")</f>
        <v>4,542,851 (75% YoY)</v>
      </c>
      <c r="CM106" s="389" t="str">
        <f t="shared" si="198"/>
        <v>4,854,802 (66% YoY)</v>
      </c>
      <c r="CN106" s="389" t="str">
        <f t="shared" si="198"/>
        <v>5,340,987 (67% YoY)</v>
      </c>
      <c r="CO106" s="389" t="str">
        <f t="shared" si="198"/>
        <v>5,343,664 (38% YoY)</v>
      </c>
      <c r="CP106" s="390"/>
      <c r="CQ106" s="389"/>
      <c r="CR106" s="389"/>
      <c r="CS106" s="389"/>
      <c r="CT106" s="389"/>
      <c r="CU106" s="389"/>
      <c r="CV106" s="390"/>
      <c r="CW106" s="389"/>
      <c r="CX106" s="390"/>
      <c r="CY106" s="284"/>
      <c r="CZ106" s="389"/>
      <c r="DA106" s="389"/>
      <c r="DB106" s="389"/>
      <c r="DC106" s="389"/>
      <c r="DD106" s="389"/>
      <c r="DE106" s="389"/>
      <c r="DF106" s="389"/>
      <c r="DG106" s="389"/>
      <c r="DH106" s="389"/>
      <c r="DI106" s="389"/>
      <c r="DJ106" s="389"/>
      <c r="DK106" s="389"/>
      <c r="DL106" s="389"/>
      <c r="DM106" s="389"/>
      <c r="DN106" s="389"/>
      <c r="DO106" s="389"/>
      <c r="DP106" s="389"/>
      <c r="DQ106" s="389"/>
      <c r="DR106" s="389"/>
      <c r="DS106" s="389"/>
      <c r="DT106" s="389"/>
      <c r="DU106" s="389"/>
      <c r="DV106" s="389"/>
      <c r="DW106" s="389"/>
      <c r="DX106" s="389"/>
      <c r="DY106" s="389"/>
      <c r="DZ106" s="389"/>
      <c r="EA106" s="389"/>
      <c r="EB106" s="389"/>
      <c r="EC106" s="389"/>
      <c r="ED106" s="389"/>
      <c r="EE106" s="389"/>
      <c r="EF106" s="389"/>
      <c r="EG106" s="389"/>
      <c r="EH106" s="389"/>
      <c r="EI106" s="137"/>
      <c r="EJ106" s="389"/>
      <c r="EK106" s="389"/>
      <c r="EL106" s="389"/>
      <c r="EM106" s="389"/>
      <c r="EN106" s="389"/>
      <c r="EO106" s="389"/>
      <c r="EP106" s="389"/>
      <c r="EQ106" s="389"/>
      <c r="ER106" s="389"/>
      <c r="ES106" s="389"/>
      <c r="ET106" s="389"/>
      <c r="EU106" s="389"/>
      <c r="EV106" s="389"/>
      <c r="EW106" s="389"/>
      <c r="EX106" s="389"/>
      <c r="EY106" s="389"/>
      <c r="EZ106" s="389"/>
      <c r="FA106" s="389"/>
      <c r="FB106" s="389"/>
      <c r="FC106" s="389"/>
      <c r="FD106" s="389"/>
      <c r="FE106" s="389"/>
      <c r="FF106" s="389"/>
      <c r="FG106" s="389"/>
      <c r="FH106" s="389"/>
    </row>
    <row r="107">
      <c r="B107" s="383"/>
      <c r="C107" s="384"/>
      <c r="D107" s="384"/>
      <c r="E107" s="384"/>
      <c r="F107" s="384"/>
      <c r="G107" s="384"/>
      <c r="H107" s="384"/>
      <c r="I107" s="384"/>
      <c r="J107" s="384"/>
      <c r="K107" s="384"/>
      <c r="L107" s="384"/>
      <c r="M107" s="384"/>
      <c r="N107" s="384"/>
      <c r="O107" s="384"/>
      <c r="P107" s="384"/>
      <c r="Q107" s="384"/>
      <c r="R107" s="384"/>
      <c r="S107" s="384"/>
      <c r="T107" s="384"/>
      <c r="U107" s="384"/>
      <c r="V107" s="384"/>
      <c r="W107" s="384"/>
      <c r="X107" s="384"/>
      <c r="Y107" s="384"/>
      <c r="Z107" s="384"/>
      <c r="AA107" s="384"/>
      <c r="AB107" s="384"/>
      <c r="AC107" s="384"/>
      <c r="AD107" s="384"/>
      <c r="AE107" s="384"/>
      <c r="AF107" s="384"/>
      <c r="AG107" s="384"/>
      <c r="AH107" s="384"/>
      <c r="AI107" s="384"/>
      <c r="AJ107" s="384"/>
      <c r="AK107" s="384"/>
      <c r="AL107" s="384"/>
      <c r="AM107" s="384"/>
      <c r="AN107" s="384"/>
      <c r="AO107" s="384"/>
      <c r="AP107" s="384"/>
      <c r="AQ107" s="384"/>
      <c r="AR107" s="384"/>
      <c r="AS107" s="384"/>
      <c r="AT107" s="384"/>
      <c r="AU107" s="384"/>
      <c r="AV107" s="384"/>
      <c r="AW107" s="384"/>
      <c r="AX107" s="384"/>
      <c r="AY107" s="384"/>
      <c r="AZ107" s="384"/>
      <c r="BA107" s="384"/>
      <c r="BB107" s="384"/>
      <c r="BC107" s="384"/>
      <c r="BD107" s="384"/>
      <c r="BE107" s="384"/>
      <c r="BF107" s="384"/>
      <c r="BG107" s="384"/>
      <c r="BH107" s="384"/>
      <c r="BI107" s="384"/>
      <c r="BJ107" s="384"/>
      <c r="BK107" s="384"/>
      <c r="BL107" s="384"/>
      <c r="BM107" s="384"/>
      <c r="BN107" s="384"/>
      <c r="BO107" s="384"/>
      <c r="BP107" s="384"/>
      <c r="BQ107" s="384"/>
      <c r="BR107" s="384"/>
      <c r="BS107" s="384"/>
      <c r="BT107" s="384"/>
      <c r="BU107" s="384"/>
      <c r="BV107" s="384"/>
      <c r="BX107" s="388"/>
      <c r="BY107" s="389"/>
      <c r="BZ107" s="384"/>
      <c r="CA107" s="384"/>
      <c r="CB107" s="384"/>
      <c r="CC107" s="384"/>
      <c r="CD107" s="388"/>
      <c r="CE107" s="389"/>
      <c r="CF107" s="384"/>
      <c r="CG107" s="384"/>
      <c r="CH107" s="384"/>
      <c r="CI107" s="384"/>
      <c r="CJ107" s="388"/>
      <c r="CK107" s="389"/>
      <c r="CL107" s="384"/>
      <c r="CM107" s="384"/>
      <c r="CN107" s="384"/>
      <c r="CO107" s="384"/>
      <c r="CP107" s="388"/>
      <c r="CQ107" s="389"/>
      <c r="CR107" s="384"/>
      <c r="CS107" s="384"/>
      <c r="CT107" s="384"/>
      <c r="CU107" s="384"/>
      <c r="CV107" s="388"/>
      <c r="CW107" s="389"/>
      <c r="CX107" s="388"/>
      <c r="CY107" s="284"/>
      <c r="CZ107" s="384"/>
      <c r="DA107" s="384"/>
      <c r="DB107" s="384"/>
      <c r="DC107" s="384"/>
      <c r="DD107" s="384"/>
      <c r="DE107" s="384"/>
      <c r="DF107" s="384"/>
      <c r="DG107" s="384"/>
      <c r="DH107" s="384"/>
      <c r="DI107" s="384"/>
      <c r="DJ107" s="384"/>
      <c r="DK107" s="384"/>
      <c r="DL107" s="384"/>
      <c r="DM107" s="384"/>
      <c r="DN107" s="384"/>
      <c r="DO107" s="384"/>
      <c r="DP107" s="384"/>
      <c r="DQ107" s="384"/>
      <c r="DR107" s="384"/>
      <c r="DS107" s="384"/>
      <c r="DT107" s="384"/>
      <c r="DU107" s="384"/>
      <c r="DV107" s="384"/>
      <c r="DW107" s="384"/>
      <c r="DX107" s="384"/>
      <c r="DY107" s="384"/>
      <c r="DZ107" s="384"/>
      <c r="EA107" s="384"/>
      <c r="EB107" s="384"/>
      <c r="EC107" s="384"/>
      <c r="ED107" s="384"/>
      <c r="EE107" s="384"/>
      <c r="EF107" s="384"/>
      <c r="EG107" s="384"/>
      <c r="EH107" s="384"/>
      <c r="EI107" s="360"/>
      <c r="EJ107" s="384"/>
      <c r="EK107" s="384"/>
      <c r="EL107" s="384"/>
      <c r="EM107" s="384"/>
      <c r="EN107" s="384"/>
      <c r="EO107" s="384"/>
      <c r="EP107" s="384"/>
      <c r="EQ107" s="384"/>
      <c r="ER107" s="384"/>
      <c r="ES107" s="384"/>
      <c r="ET107" s="384"/>
      <c r="EU107" s="384"/>
      <c r="EV107" s="384"/>
      <c r="EW107" s="384"/>
      <c r="EX107" s="384"/>
      <c r="EY107" s="384"/>
      <c r="EZ107" s="384"/>
      <c r="FA107" s="384"/>
      <c r="FB107" s="384"/>
      <c r="FC107" s="384"/>
      <c r="FD107" s="384"/>
      <c r="FE107" s="384"/>
      <c r="FF107" s="384"/>
      <c r="FG107" s="384"/>
      <c r="FH107" s="384"/>
    </row>
    <row r="108">
      <c r="B108" s="383" t="s">
        <v>535</v>
      </c>
      <c r="C108" s="384"/>
      <c r="D108" s="384"/>
      <c r="E108" s="384"/>
      <c r="F108" s="384"/>
      <c r="G108" s="384"/>
      <c r="H108" s="384"/>
      <c r="I108" s="384"/>
      <c r="J108" s="384"/>
      <c r="K108" s="384"/>
      <c r="L108" s="384"/>
      <c r="M108" s="384"/>
      <c r="N108" s="384"/>
      <c r="O108" s="384"/>
      <c r="P108" s="384"/>
      <c r="Q108" s="384"/>
      <c r="R108" s="384"/>
      <c r="S108" s="384"/>
      <c r="T108" s="384"/>
      <c r="U108" s="384"/>
      <c r="V108" s="384"/>
      <c r="W108" s="384"/>
      <c r="X108" s="384"/>
      <c r="Y108" s="384"/>
      <c r="Z108" s="384"/>
      <c r="AA108" s="384"/>
      <c r="AB108" s="384"/>
      <c r="AC108" s="384"/>
      <c r="AD108" s="384"/>
      <c r="AE108" s="384"/>
      <c r="AF108" s="384"/>
      <c r="AG108" s="384"/>
      <c r="AH108" s="384"/>
      <c r="AI108" s="384"/>
      <c r="AJ108" s="384"/>
      <c r="AK108" s="384"/>
      <c r="AL108" s="384"/>
      <c r="AM108" s="384"/>
      <c r="AN108" s="384"/>
      <c r="AO108" s="384"/>
      <c r="AP108" s="384"/>
      <c r="AQ108" s="384"/>
      <c r="AR108" s="384"/>
      <c r="AS108" s="384"/>
      <c r="AT108" s="384"/>
      <c r="AU108" s="384"/>
      <c r="AV108" s="384"/>
      <c r="AW108" s="384"/>
      <c r="AX108" s="384"/>
      <c r="AY108" s="384"/>
      <c r="AZ108" s="384"/>
      <c r="BA108" s="384"/>
      <c r="BB108" s="384"/>
      <c r="BC108" s="384"/>
      <c r="BD108" s="384"/>
      <c r="BE108" s="384"/>
      <c r="BF108" s="384"/>
      <c r="BG108" s="384"/>
      <c r="BH108" s="384"/>
      <c r="BI108" s="384"/>
      <c r="BJ108" s="384"/>
      <c r="BK108" s="384"/>
      <c r="BL108" s="384"/>
      <c r="BM108" s="384"/>
      <c r="BN108" s="384"/>
      <c r="BO108" s="384"/>
      <c r="BP108" s="384"/>
      <c r="BQ108" s="384"/>
      <c r="BR108" s="384"/>
      <c r="BS108" s="384"/>
      <c r="BT108" s="384"/>
      <c r="BU108" s="384"/>
      <c r="BV108" s="384"/>
      <c r="BX108" s="388"/>
      <c r="BY108" s="389"/>
      <c r="BZ108" s="384"/>
      <c r="CA108" s="384"/>
      <c r="CB108" s="384"/>
      <c r="CC108" s="384"/>
      <c r="CD108" s="388"/>
      <c r="CE108" s="389"/>
      <c r="CF108" s="384"/>
      <c r="CG108" s="384"/>
      <c r="CH108" s="384"/>
      <c r="CI108" s="384"/>
      <c r="CJ108" s="388"/>
      <c r="CK108" s="389"/>
      <c r="CL108" s="384"/>
      <c r="CM108" s="384"/>
      <c r="CN108" s="384"/>
      <c r="CO108" s="384"/>
      <c r="CP108" s="388"/>
      <c r="CQ108" s="389"/>
      <c r="CR108" s="384"/>
      <c r="CS108" s="384"/>
      <c r="CT108" s="384"/>
      <c r="CU108" s="384"/>
      <c r="CV108" s="388"/>
      <c r="CW108" s="389"/>
      <c r="CX108" s="388"/>
      <c r="CY108" s="284"/>
      <c r="CZ108" s="384"/>
      <c r="DA108" s="384"/>
      <c r="DB108" s="384"/>
      <c r="DC108" s="384"/>
      <c r="DD108" s="384"/>
      <c r="DE108" s="384"/>
      <c r="DF108" s="384"/>
      <c r="DG108" s="384"/>
      <c r="DH108" s="384"/>
      <c r="DI108" s="384"/>
      <c r="DJ108" s="384"/>
      <c r="DK108" s="384"/>
      <c r="DL108" s="384"/>
      <c r="DM108" s="384"/>
      <c r="DN108" s="384"/>
      <c r="DO108" s="384"/>
      <c r="DP108" s="384"/>
      <c r="DQ108" s="384"/>
      <c r="DR108" s="384"/>
      <c r="DS108" s="384"/>
      <c r="DT108" s="384"/>
      <c r="DU108" s="384"/>
      <c r="DV108" s="384"/>
      <c r="DW108" s="384"/>
      <c r="DX108" s="384"/>
      <c r="DY108" s="384"/>
      <c r="DZ108" s="384"/>
      <c r="EA108" s="384"/>
      <c r="EB108" s="384"/>
      <c r="EC108" s="384"/>
      <c r="ED108" s="384"/>
      <c r="EE108" s="384"/>
      <c r="EF108" s="384"/>
      <c r="EG108" s="384"/>
      <c r="EH108" s="384"/>
      <c r="EI108" s="360"/>
      <c r="EJ108" s="384"/>
      <c r="EK108" s="384"/>
      <c r="EL108" s="384"/>
      <c r="EM108" s="384"/>
      <c r="EN108" s="384"/>
      <c r="EO108" s="384"/>
      <c r="EP108" s="384"/>
      <c r="EQ108" s="384"/>
      <c r="ER108" s="384"/>
      <c r="ES108" s="384"/>
      <c r="ET108" s="384"/>
      <c r="EU108" s="384"/>
      <c r="EV108" s="384"/>
      <c r="EW108" s="384"/>
      <c r="EX108" s="384"/>
      <c r="EY108" s="384"/>
      <c r="EZ108" s="384"/>
      <c r="FA108" s="384"/>
      <c r="FB108" s="384"/>
      <c r="FC108" s="384"/>
      <c r="FD108" s="384"/>
      <c r="FE108" s="384"/>
      <c r="FF108" s="384"/>
      <c r="FG108" s="384"/>
      <c r="FH108" s="384"/>
    </row>
    <row r="109">
      <c r="B109" s="387" t="s">
        <v>125</v>
      </c>
      <c r="C109" s="384"/>
      <c r="D109" s="384"/>
      <c r="E109" s="384"/>
      <c r="F109" s="384"/>
      <c r="G109" s="384"/>
      <c r="H109" s="384"/>
      <c r="I109" s="384"/>
      <c r="J109" s="384"/>
      <c r="K109" s="384"/>
      <c r="L109" s="384"/>
      <c r="M109" s="384"/>
      <c r="N109" s="384"/>
      <c r="O109" s="384"/>
      <c r="P109" s="384"/>
      <c r="Q109" s="384"/>
      <c r="R109" s="384"/>
      <c r="S109" s="384"/>
      <c r="T109" s="384"/>
      <c r="U109" s="384"/>
      <c r="V109" s="384"/>
      <c r="W109" s="384"/>
      <c r="X109" s="384"/>
      <c r="Y109" s="384"/>
      <c r="Z109" s="384"/>
      <c r="AA109" s="384">
        <f t="shared" ref="AA109:AX109" si="199">AA33/AA$18</f>
        <v>0.2431774713</v>
      </c>
      <c r="AB109" s="384">
        <f t="shared" si="199"/>
        <v>0.3507040151</v>
      </c>
      <c r="AC109" s="384">
        <f t="shared" si="199"/>
        <v>0.2614858879</v>
      </c>
      <c r="AD109" s="384">
        <f t="shared" si="199"/>
        <v>0.3516071968</v>
      </c>
      <c r="AE109" s="384">
        <f t="shared" si="199"/>
        <v>0.3066745383</v>
      </c>
      <c r="AF109" s="384">
        <f t="shared" si="199"/>
        <v>0.2520089932</v>
      </c>
      <c r="AG109" s="384">
        <f t="shared" si="199"/>
        <v>0.3382868016</v>
      </c>
      <c r="AH109" s="384">
        <f t="shared" si="199"/>
        <v>0.230250976</v>
      </c>
      <c r="AI109" s="384">
        <f t="shared" si="199"/>
        <v>0.2827324968</v>
      </c>
      <c r="AJ109" s="384">
        <f t="shared" si="199"/>
        <v>0.2338377777</v>
      </c>
      <c r="AK109" s="384">
        <f t="shared" si="199"/>
        <v>0.2970522749</v>
      </c>
      <c r="AL109" s="384">
        <f t="shared" si="199"/>
        <v>0.4012399817</v>
      </c>
      <c r="AM109" s="384">
        <f t="shared" si="199"/>
        <v>0.3805314881</v>
      </c>
      <c r="AN109" s="384">
        <f t="shared" si="199"/>
        <v>0.3322650012</v>
      </c>
      <c r="AO109" s="384">
        <f t="shared" si="199"/>
        <v>0.3111748255</v>
      </c>
      <c r="AP109" s="384">
        <f t="shared" si="199"/>
        <v>0.3293691713</v>
      </c>
      <c r="AQ109" s="384">
        <f t="shared" si="199"/>
        <v>0.3493327792</v>
      </c>
      <c r="AR109" s="384">
        <f t="shared" si="199"/>
        <v>0.3338970881</v>
      </c>
      <c r="AS109" s="384">
        <f t="shared" si="199"/>
        <v>0.4569984096</v>
      </c>
      <c r="AT109" s="384">
        <f t="shared" si="199"/>
        <v>0.3425935673</v>
      </c>
      <c r="AU109" s="384">
        <f t="shared" si="199"/>
        <v>0.437642997</v>
      </c>
      <c r="AV109" s="384">
        <f t="shared" si="199"/>
        <v>0.3963712446</v>
      </c>
      <c r="AW109" s="384">
        <f t="shared" si="199"/>
        <v>0.4365287194</v>
      </c>
      <c r="AX109" s="384">
        <f t="shared" si="199"/>
        <v>0.5336150135</v>
      </c>
      <c r="AY109" s="384">
        <f t="shared" ref="AY109:BV109" si="200">IFERROR(AY33/AY$18,0)</f>
        <v>0.4769357052</v>
      </c>
      <c r="AZ109" s="384">
        <f t="shared" si="200"/>
        <v>0.3635177084</v>
      </c>
      <c r="BA109" s="384">
        <f t="shared" si="200"/>
        <v>0.435698775</v>
      </c>
      <c r="BB109" s="384">
        <f t="shared" si="200"/>
        <v>0.3538246274</v>
      </c>
      <c r="BC109" s="384">
        <f t="shared" si="200"/>
        <v>0.3809260622</v>
      </c>
      <c r="BD109" s="384">
        <f t="shared" si="200"/>
        <v>0.3848123156</v>
      </c>
      <c r="BE109" s="384">
        <f t="shared" si="200"/>
        <v>0.407291845</v>
      </c>
      <c r="BF109" s="384">
        <f t="shared" si="200"/>
        <v>0.3540640001</v>
      </c>
      <c r="BG109" s="384">
        <f t="shared" si="200"/>
        <v>0.3859246</v>
      </c>
      <c r="BH109" s="384">
        <f t="shared" si="200"/>
        <v>0.330689411</v>
      </c>
      <c r="BI109" s="384">
        <f t="shared" si="200"/>
        <v>0.3774959062</v>
      </c>
      <c r="BJ109" s="384">
        <f t="shared" si="200"/>
        <v>0.4317788538</v>
      </c>
      <c r="BK109" s="384">
        <f t="shared" si="200"/>
        <v>0.4344005576</v>
      </c>
      <c r="BL109" s="384">
        <f t="shared" si="200"/>
        <v>0.4336544547</v>
      </c>
      <c r="BM109" s="384">
        <f t="shared" si="200"/>
        <v>0.4353487965</v>
      </c>
      <c r="BN109" s="384">
        <f t="shared" si="200"/>
        <v>0.3889903936</v>
      </c>
      <c r="BO109" s="384">
        <f t="shared" si="200"/>
        <v>0.444695803</v>
      </c>
      <c r="BP109" s="384">
        <f t="shared" si="200"/>
        <v>0.4303827451</v>
      </c>
      <c r="BQ109" s="384">
        <f t="shared" si="200"/>
        <v>0.4049300736</v>
      </c>
      <c r="BR109" s="384">
        <f t="shared" si="200"/>
        <v>0.4528616508</v>
      </c>
      <c r="BS109" s="384">
        <f t="shared" si="200"/>
        <v>0</v>
      </c>
      <c r="BT109" s="384">
        <f t="shared" si="200"/>
        <v>0</v>
      </c>
      <c r="BU109" s="384">
        <f t="shared" si="200"/>
        <v>0</v>
      </c>
      <c r="BV109" s="384">
        <f t="shared" si="200"/>
        <v>0</v>
      </c>
      <c r="BX109" s="388" t="str">
        <f>BX33/BX$18</f>
        <v>#REF!</v>
      </c>
      <c r="BY109" s="389"/>
      <c r="BZ109" s="384">
        <f t="shared" ref="BZ109:CD109" si="201">IFERROR(BZ33/BZ$18,0)</f>
        <v>0.4344677341</v>
      </c>
      <c r="CA109" s="384">
        <f t="shared" si="201"/>
        <v>0.4210442909</v>
      </c>
      <c r="CB109" s="384">
        <f t="shared" si="201"/>
        <v>0.4281491726</v>
      </c>
      <c r="CC109" s="384">
        <f t="shared" si="201"/>
        <v>0</v>
      </c>
      <c r="CD109" s="388">
        <f t="shared" si="201"/>
        <v>0.4277005939</v>
      </c>
      <c r="CE109" s="389"/>
      <c r="CF109" s="384">
        <f t="shared" ref="CF109:CJ109" si="202">IFERROR(CF33/CF$18,0)</f>
        <v>0.4237053709</v>
      </c>
      <c r="CG109" s="384">
        <f t="shared" si="202"/>
        <v>0.372720588</v>
      </c>
      <c r="CH109" s="384">
        <f t="shared" si="202"/>
        <v>0.3820906994</v>
      </c>
      <c r="CI109" s="384">
        <f t="shared" si="202"/>
        <v>0.3774079349</v>
      </c>
      <c r="CJ109" s="388">
        <f t="shared" si="202"/>
        <v>0.3875054167</v>
      </c>
      <c r="CK109" s="389"/>
      <c r="CL109" s="384">
        <f t="shared" ref="CL109:CP109" si="203">CL33/CL18</f>
        <v>0.3411396143</v>
      </c>
      <c r="CM109" s="384">
        <f t="shared" si="203"/>
        <v>0.3376540106</v>
      </c>
      <c r="CN109" s="384">
        <f t="shared" si="203"/>
        <v>0.4074274192</v>
      </c>
      <c r="CO109" s="384">
        <f t="shared" si="203"/>
        <v>0.4517196589</v>
      </c>
      <c r="CP109" s="388">
        <f t="shared" si="203"/>
        <v>0.3811961813</v>
      </c>
      <c r="CQ109" s="389"/>
      <c r="CR109" s="384">
        <f t="shared" ref="CR109:CU109" si="204">CR33/CR18</f>
        <v>0.2816568394</v>
      </c>
      <c r="CS109" s="384">
        <f t="shared" si="204"/>
        <v>0.2991071873</v>
      </c>
      <c r="CT109" s="384">
        <f t="shared" si="204"/>
        <v>0.277048235</v>
      </c>
      <c r="CU109" s="384">
        <f t="shared" si="204"/>
        <v>0.2993268738</v>
      </c>
      <c r="CV109" s="388"/>
      <c r="CW109" s="389"/>
      <c r="CX109" s="388"/>
      <c r="CY109" s="389"/>
      <c r="CZ109" s="384"/>
      <c r="DA109" s="384"/>
      <c r="DB109" s="384"/>
      <c r="DC109" s="384"/>
      <c r="DD109" s="384"/>
      <c r="DE109" s="384"/>
      <c r="DF109" s="384"/>
      <c r="DG109" s="384"/>
      <c r="DH109" s="384"/>
      <c r="DI109" s="384"/>
      <c r="DJ109" s="384"/>
      <c r="DK109" s="384"/>
      <c r="DL109" s="384"/>
      <c r="DM109" s="384"/>
      <c r="DN109" s="384"/>
      <c r="DO109" s="384"/>
      <c r="DP109" s="384"/>
      <c r="DQ109" s="384"/>
      <c r="DR109" s="384"/>
      <c r="DS109" s="384"/>
      <c r="DT109" s="384"/>
      <c r="DU109" s="384"/>
      <c r="DV109" s="384"/>
      <c r="DW109" s="384"/>
      <c r="DX109" s="384"/>
      <c r="DY109" s="384"/>
      <c r="DZ109" s="384"/>
      <c r="EA109" s="384"/>
      <c r="EB109" s="384"/>
      <c r="EC109" s="384"/>
      <c r="ED109" s="384"/>
      <c r="EE109" s="384"/>
      <c r="EF109" s="384"/>
      <c r="EG109" s="384"/>
      <c r="EH109" s="384"/>
      <c r="EI109" s="360"/>
      <c r="EJ109" s="384"/>
      <c r="EK109" s="384"/>
      <c r="EL109" s="384"/>
      <c r="EM109" s="384"/>
      <c r="EN109" s="384"/>
      <c r="EO109" s="384"/>
      <c r="EP109" s="384"/>
      <c r="EQ109" s="384"/>
      <c r="ER109" s="384"/>
      <c r="ES109" s="384"/>
      <c r="ET109" s="384"/>
      <c r="EU109" s="384"/>
      <c r="EV109" s="384"/>
      <c r="EW109" s="384"/>
      <c r="EX109" s="384"/>
      <c r="EY109" s="384"/>
      <c r="EZ109" s="384"/>
      <c r="FA109" s="384"/>
      <c r="FB109" s="384"/>
      <c r="FC109" s="384"/>
      <c r="FD109" s="384"/>
      <c r="FE109" s="384"/>
      <c r="FF109" s="384"/>
      <c r="FG109" s="384"/>
      <c r="FH109" s="384"/>
    </row>
    <row r="110">
      <c r="B110" s="387" t="s">
        <v>126</v>
      </c>
      <c r="C110" s="384"/>
      <c r="D110" s="384"/>
      <c r="E110" s="384"/>
      <c r="F110" s="384"/>
      <c r="G110" s="384"/>
      <c r="H110" s="384"/>
      <c r="I110" s="384"/>
      <c r="J110" s="384"/>
      <c r="K110" s="384"/>
      <c r="L110" s="384"/>
      <c r="M110" s="384"/>
      <c r="N110" s="384"/>
      <c r="O110" s="384"/>
      <c r="P110" s="384"/>
      <c r="Q110" s="384"/>
      <c r="R110" s="384"/>
      <c r="S110" s="384"/>
      <c r="T110" s="384"/>
      <c r="U110" s="384"/>
      <c r="V110" s="384"/>
      <c r="W110" s="384"/>
      <c r="X110" s="384"/>
      <c r="Y110" s="384"/>
      <c r="Z110" s="384"/>
      <c r="AA110" s="384">
        <f t="shared" ref="AA110:AX110" si="205">AA72/AA$18</f>
        <v>0.07510590975</v>
      </c>
      <c r="AB110" s="384">
        <f t="shared" si="205"/>
        <v>0.1082802307</v>
      </c>
      <c r="AC110" s="384">
        <f t="shared" si="205"/>
        <v>0.07426112427</v>
      </c>
      <c r="AD110" s="384">
        <f t="shared" si="205"/>
        <v>0.08074738036</v>
      </c>
      <c r="AE110" s="384">
        <f t="shared" si="205"/>
        <v>0.07920670367</v>
      </c>
      <c r="AF110" s="384">
        <f t="shared" si="205"/>
        <v>0.06941758355</v>
      </c>
      <c r="AG110" s="384">
        <f t="shared" si="205"/>
        <v>0.08675907177</v>
      </c>
      <c r="AH110" s="384">
        <f t="shared" si="205"/>
        <v>0.04579882612</v>
      </c>
      <c r="AI110" s="384">
        <f t="shared" si="205"/>
        <v>0.09255980702</v>
      </c>
      <c r="AJ110" s="384">
        <f t="shared" si="205"/>
        <v>0.08544729096</v>
      </c>
      <c r="AK110" s="384">
        <f t="shared" si="205"/>
        <v>0.1323874473</v>
      </c>
      <c r="AL110" s="384">
        <f t="shared" si="205"/>
        <v>0.1370713313</v>
      </c>
      <c r="AM110" s="384">
        <f t="shared" si="205"/>
        <v>0.06808172959</v>
      </c>
      <c r="AN110" s="384">
        <f t="shared" si="205"/>
        <v>0.06781936785</v>
      </c>
      <c r="AO110" s="384">
        <f t="shared" si="205"/>
        <v>0.04313830955</v>
      </c>
      <c r="AP110" s="384">
        <f t="shared" si="205"/>
        <v>0.08610613242</v>
      </c>
      <c r="AQ110" s="384">
        <f t="shared" si="205"/>
        <v>0.05302886424</v>
      </c>
      <c r="AR110" s="384">
        <f t="shared" si="205"/>
        <v>0.08139576565</v>
      </c>
      <c r="AS110" s="384">
        <f t="shared" si="205"/>
        <v>0.07973530893</v>
      </c>
      <c r="AT110" s="384">
        <f t="shared" si="205"/>
        <v>0.085070687</v>
      </c>
      <c r="AU110" s="384">
        <f t="shared" si="205"/>
        <v>0.09838006866</v>
      </c>
      <c r="AV110" s="384">
        <f t="shared" si="205"/>
        <v>0.08071620228</v>
      </c>
      <c r="AW110" s="384">
        <f t="shared" si="205"/>
        <v>0.0800055269</v>
      </c>
      <c r="AX110" s="384">
        <f t="shared" si="205"/>
        <v>0.09520018445</v>
      </c>
      <c r="AY110" s="384">
        <f t="shared" ref="AY110:BV110" si="206">IFERROR(AY72/AY$18,0)</f>
        <v>0.0932610655</v>
      </c>
      <c r="AZ110" s="384">
        <f t="shared" si="206"/>
        <v>0.09785123604</v>
      </c>
      <c r="BA110" s="384">
        <f t="shared" si="206"/>
        <v>0.1011960796</v>
      </c>
      <c r="BB110" s="384">
        <f t="shared" si="206"/>
        <v>0.08435199353</v>
      </c>
      <c r="BC110" s="384">
        <f t="shared" si="206"/>
        <v>0.07509506935</v>
      </c>
      <c r="BD110" s="384">
        <f t="shared" si="206"/>
        <v>0.07117411834</v>
      </c>
      <c r="BE110" s="384">
        <f t="shared" si="206"/>
        <v>0.06520765398</v>
      </c>
      <c r="BF110" s="384">
        <f t="shared" si="206"/>
        <v>0.06430213628</v>
      </c>
      <c r="BG110" s="384">
        <f t="shared" si="206"/>
        <v>0.1158430333</v>
      </c>
      <c r="BH110" s="384">
        <f t="shared" si="206"/>
        <v>0.0507024604</v>
      </c>
      <c r="BI110" s="384">
        <f t="shared" si="206"/>
        <v>0.06534622227</v>
      </c>
      <c r="BJ110" s="384">
        <f t="shared" si="206"/>
        <v>0.0631012596</v>
      </c>
      <c r="BK110" s="384">
        <f t="shared" si="206"/>
        <v>0.07559687459</v>
      </c>
      <c r="BL110" s="384">
        <f t="shared" si="206"/>
        <v>0.06648697438</v>
      </c>
      <c r="BM110" s="384">
        <f t="shared" si="206"/>
        <v>0.06947841662</v>
      </c>
      <c r="BN110" s="384">
        <f t="shared" si="206"/>
        <v>0.0665510414</v>
      </c>
      <c r="BO110" s="384">
        <f t="shared" si="206"/>
        <v>0.06545063672</v>
      </c>
      <c r="BP110" s="384">
        <f t="shared" si="206"/>
        <v>0.06035866951</v>
      </c>
      <c r="BQ110" s="384">
        <f t="shared" si="206"/>
        <v>0.06032172781</v>
      </c>
      <c r="BR110" s="384">
        <f t="shared" si="206"/>
        <v>0.08804625774</v>
      </c>
      <c r="BS110" s="384">
        <f t="shared" si="206"/>
        <v>0</v>
      </c>
      <c r="BT110" s="384">
        <f t="shared" si="206"/>
        <v>0</v>
      </c>
      <c r="BU110" s="384">
        <f t="shared" si="206"/>
        <v>0</v>
      </c>
      <c r="BV110" s="384">
        <f t="shared" si="206"/>
        <v>0</v>
      </c>
      <c r="BX110" s="388" t="str">
        <f>BX72/BX$18</f>
        <v>#REF!</v>
      </c>
      <c r="BY110" s="389"/>
      <c r="BZ110" s="384">
        <f t="shared" ref="BZ110:CD110" si="207">IFERROR(BZ72/BZ$18,0)</f>
        <v>0.07062910489</v>
      </c>
      <c r="CA110" s="384">
        <f t="shared" si="207"/>
        <v>0.06412957364</v>
      </c>
      <c r="CB110" s="384">
        <f t="shared" si="207"/>
        <v>0.07375209338</v>
      </c>
      <c r="CC110" s="384">
        <f t="shared" si="207"/>
        <v>0</v>
      </c>
      <c r="CD110" s="388">
        <f t="shared" si="207"/>
        <v>0.06907618972</v>
      </c>
      <c r="CE110" s="389"/>
      <c r="CF110" s="384">
        <f t="shared" ref="CF110:CJ110" si="208">IFERROR(CF72/CF$18,0)</f>
        <v>0.09760854918</v>
      </c>
      <c r="CG110" s="384">
        <f t="shared" si="208"/>
        <v>0.07707201176</v>
      </c>
      <c r="CH110" s="384">
        <f t="shared" si="208"/>
        <v>0.08199234328</v>
      </c>
      <c r="CI110" s="384">
        <f t="shared" si="208"/>
        <v>0.05927603341</v>
      </c>
      <c r="CJ110" s="388">
        <f t="shared" si="208"/>
        <v>0.07731754556</v>
      </c>
      <c r="CK110" s="389"/>
      <c r="CL110" s="384">
        <f t="shared" ref="CL110:CP110" si="209">CL72/CL$18</f>
        <v>0.05918700601</v>
      </c>
      <c r="CM110" s="384">
        <f t="shared" si="209"/>
        <v>0.07329930277</v>
      </c>
      <c r="CN110" s="384">
        <f t="shared" si="209"/>
        <v>0.08743629048</v>
      </c>
      <c r="CO110" s="384">
        <f t="shared" si="209"/>
        <v>0.08494786537</v>
      </c>
      <c r="CP110" s="388">
        <f t="shared" si="209"/>
        <v>0.07527811172</v>
      </c>
      <c r="CQ110" s="389"/>
      <c r="CR110" s="384">
        <f t="shared" ref="CR110:CV110" si="210">CR72/CR$18</f>
        <v>0.08449483952</v>
      </c>
      <c r="CS110" s="384">
        <f t="shared" si="210"/>
        <v>0.07591124685</v>
      </c>
      <c r="CT110" s="384">
        <f t="shared" si="210"/>
        <v>0.07248401861</v>
      </c>
      <c r="CU110" s="384">
        <f t="shared" si="210"/>
        <v>0.1156722604</v>
      </c>
      <c r="CV110" s="388">
        <f t="shared" si="210"/>
        <v>0.08789490215</v>
      </c>
      <c r="CW110" s="389"/>
      <c r="CX110" s="388" t="str">
        <f>CX72/CX$18</f>
        <v>#DIV/0!</v>
      </c>
      <c r="CY110" s="389"/>
      <c r="CZ110" s="384"/>
      <c r="DA110" s="384"/>
      <c r="DB110" s="384"/>
      <c r="DC110" s="384"/>
      <c r="DD110" s="384"/>
      <c r="DE110" s="384"/>
      <c r="DF110" s="384"/>
      <c r="DG110" s="384"/>
      <c r="DH110" s="384"/>
      <c r="DI110" s="384"/>
      <c r="DJ110" s="384"/>
      <c r="DK110" s="384"/>
      <c r="DL110" s="384"/>
      <c r="DM110" s="384"/>
      <c r="DN110" s="384"/>
      <c r="DO110" s="384"/>
      <c r="DP110" s="384"/>
      <c r="DQ110" s="384"/>
      <c r="DR110" s="384"/>
      <c r="DS110" s="384"/>
      <c r="DT110" s="384"/>
      <c r="DU110" s="384"/>
      <c r="DV110" s="384"/>
      <c r="DW110" s="384"/>
      <c r="DX110" s="384"/>
      <c r="DY110" s="384"/>
      <c r="DZ110" s="384"/>
      <c r="EA110" s="384"/>
      <c r="EB110" s="384"/>
      <c r="EC110" s="384"/>
      <c r="ED110" s="384"/>
      <c r="EE110" s="384"/>
      <c r="EF110" s="384"/>
      <c r="EG110" s="384"/>
      <c r="EH110" s="384"/>
      <c r="EI110" s="360"/>
      <c r="EJ110" s="384"/>
      <c r="EK110" s="384"/>
      <c r="EL110" s="384"/>
      <c r="EM110" s="384"/>
      <c r="EN110" s="384"/>
      <c r="EO110" s="384"/>
      <c r="EP110" s="384"/>
      <c r="EQ110" s="384"/>
      <c r="ER110" s="384"/>
      <c r="ES110" s="384"/>
      <c r="ET110" s="384"/>
      <c r="EU110" s="384"/>
      <c r="EV110" s="384"/>
      <c r="EW110" s="384"/>
      <c r="EX110" s="384"/>
      <c r="EY110" s="384"/>
      <c r="EZ110" s="384"/>
      <c r="FA110" s="384"/>
      <c r="FB110" s="384"/>
      <c r="FC110" s="384"/>
      <c r="FD110" s="384"/>
      <c r="FE110" s="384"/>
      <c r="FF110" s="384"/>
      <c r="FG110" s="384"/>
      <c r="FH110" s="384"/>
    </row>
    <row r="111">
      <c r="B111" s="387" t="s">
        <v>128</v>
      </c>
      <c r="C111" s="384"/>
      <c r="D111" s="384"/>
      <c r="E111" s="384"/>
      <c r="F111" s="384"/>
      <c r="G111" s="384"/>
      <c r="H111" s="384"/>
      <c r="I111" s="384"/>
      <c r="J111" s="384"/>
      <c r="K111" s="384"/>
      <c r="L111" s="384"/>
      <c r="M111" s="384"/>
      <c r="N111" s="384"/>
      <c r="O111" s="384"/>
      <c r="P111" s="384"/>
      <c r="Q111" s="384"/>
      <c r="R111" s="384"/>
      <c r="S111" s="384"/>
      <c r="T111" s="384"/>
      <c r="U111" s="384"/>
      <c r="V111" s="384"/>
      <c r="W111" s="384"/>
      <c r="X111" s="384"/>
      <c r="Y111" s="384"/>
      <c r="Z111" s="384"/>
      <c r="AA111" s="384">
        <f t="shared" ref="AA111:AX111" si="211">AA76/AA$18</f>
        <v>0.2690128964</v>
      </c>
      <c r="AB111" s="384">
        <f t="shared" si="211"/>
        <v>0.310873742</v>
      </c>
      <c r="AC111" s="384">
        <f t="shared" si="211"/>
        <v>0.2486773826</v>
      </c>
      <c r="AD111" s="384">
        <f t="shared" si="211"/>
        <v>0.2726237825</v>
      </c>
      <c r="AE111" s="384">
        <f t="shared" si="211"/>
        <v>0.2555788191</v>
      </c>
      <c r="AF111" s="384">
        <f t="shared" si="211"/>
        <v>0.2255287286</v>
      </c>
      <c r="AG111" s="384">
        <f t="shared" si="211"/>
        <v>0.2508899507</v>
      </c>
      <c r="AH111" s="384">
        <f t="shared" si="211"/>
        <v>0.180492311</v>
      </c>
      <c r="AI111" s="384">
        <f t="shared" si="211"/>
        <v>0.2250456744</v>
      </c>
      <c r="AJ111" s="384">
        <f t="shared" si="211"/>
        <v>0.1950378172</v>
      </c>
      <c r="AK111" s="384">
        <f t="shared" si="211"/>
        <v>0.2125089972</v>
      </c>
      <c r="AL111" s="384">
        <f t="shared" si="211"/>
        <v>0.3066707622</v>
      </c>
      <c r="AM111" s="384">
        <f t="shared" si="211"/>
        <v>0.23666707</v>
      </c>
      <c r="AN111" s="384">
        <f t="shared" si="211"/>
        <v>0.2308765125</v>
      </c>
      <c r="AO111" s="384">
        <f t="shared" si="211"/>
        <v>0.2542584051</v>
      </c>
      <c r="AP111" s="384">
        <f t="shared" si="211"/>
        <v>0.302861006</v>
      </c>
      <c r="AQ111" s="384">
        <f t="shared" si="211"/>
        <v>0.320722645</v>
      </c>
      <c r="AR111" s="384">
        <f t="shared" si="211"/>
        <v>0.3487578385</v>
      </c>
      <c r="AS111" s="384">
        <f t="shared" si="211"/>
        <v>0.477376489</v>
      </c>
      <c r="AT111" s="384">
        <f t="shared" si="211"/>
        <v>0.3220832832</v>
      </c>
      <c r="AU111" s="384">
        <f t="shared" si="211"/>
        <v>0.4430383354</v>
      </c>
      <c r="AV111" s="384">
        <f t="shared" si="211"/>
        <v>0.405017077</v>
      </c>
      <c r="AW111" s="384">
        <f t="shared" si="211"/>
        <v>0.4582025018</v>
      </c>
      <c r="AX111" s="384">
        <f t="shared" si="211"/>
        <v>0.3937973457</v>
      </c>
      <c r="AY111" s="384">
        <f t="shared" ref="AY111:BV111" si="212">IFERROR(AY76/AY$18,0)</f>
        <v>0.504835545</v>
      </c>
      <c r="AZ111" s="384">
        <f t="shared" si="212"/>
        <v>0.3602721381</v>
      </c>
      <c r="BA111" s="384">
        <f t="shared" si="212"/>
        <v>0.4023223453</v>
      </c>
      <c r="BB111" s="384">
        <f t="shared" si="212"/>
        <v>0.3864342203</v>
      </c>
      <c r="BC111" s="384">
        <f t="shared" si="212"/>
        <v>0.3780175544</v>
      </c>
      <c r="BD111" s="384">
        <f t="shared" si="212"/>
        <v>0.4111721078</v>
      </c>
      <c r="BE111" s="384">
        <f t="shared" si="212"/>
        <v>0.420533912</v>
      </c>
      <c r="BF111" s="384">
        <f t="shared" si="212"/>
        <v>0.3126578097</v>
      </c>
      <c r="BG111" s="384">
        <f t="shared" si="212"/>
        <v>0.3607716566</v>
      </c>
      <c r="BH111" s="384">
        <f t="shared" si="212"/>
        <v>0.2859500652</v>
      </c>
      <c r="BI111" s="384">
        <f t="shared" si="212"/>
        <v>0.2941744794</v>
      </c>
      <c r="BJ111" s="384">
        <f t="shared" si="212"/>
        <v>0.3574059494</v>
      </c>
      <c r="BK111" s="384">
        <f t="shared" si="212"/>
        <v>0.3460100012</v>
      </c>
      <c r="BL111" s="384">
        <f t="shared" si="212"/>
        <v>0.2573297825</v>
      </c>
      <c r="BM111" s="384">
        <f t="shared" si="212"/>
        <v>0.2875057299</v>
      </c>
      <c r="BN111" s="384">
        <f t="shared" si="212"/>
        <v>0.3873062446</v>
      </c>
      <c r="BO111" s="384">
        <f t="shared" si="212"/>
        <v>0.2998095929</v>
      </c>
      <c r="BP111" s="384">
        <f t="shared" si="212"/>
        <v>0.2918480268</v>
      </c>
      <c r="BQ111" s="384">
        <f t="shared" si="212"/>
        <v>0.2877041333</v>
      </c>
      <c r="BR111" s="384">
        <f t="shared" si="212"/>
        <v>0.2582255064</v>
      </c>
      <c r="BS111" s="384">
        <f t="shared" si="212"/>
        <v>0</v>
      </c>
      <c r="BT111" s="384">
        <f t="shared" si="212"/>
        <v>0</v>
      </c>
      <c r="BU111" s="384">
        <f t="shared" si="212"/>
        <v>0</v>
      </c>
      <c r="BV111" s="384">
        <f t="shared" si="212"/>
        <v>0</v>
      </c>
      <c r="BX111" s="388" t="str">
        <f>BX76/BX$18</f>
        <v>#REF!</v>
      </c>
      <c r="BY111" s="389"/>
      <c r="BZ111" s="384">
        <f t="shared" ref="BZ111:CD111" si="213">IFERROR(BZ76/BZ$18,0)</f>
        <v>0.2979966219</v>
      </c>
      <c r="CA111" s="384">
        <f t="shared" si="213"/>
        <v>0.3268300415</v>
      </c>
      <c r="CB111" s="384">
        <f t="shared" si="213"/>
        <v>0.273424045</v>
      </c>
      <c r="CC111" s="384">
        <f t="shared" si="213"/>
        <v>0</v>
      </c>
      <c r="CD111" s="388">
        <f t="shared" si="213"/>
        <v>0.3018973969</v>
      </c>
      <c r="CE111" s="389"/>
      <c r="CF111" s="384">
        <f t="shared" ref="CF111:CJ111" si="214">IFERROR(CF76/CF$18,0)</f>
        <v>0.4195040796</v>
      </c>
      <c r="CG111" s="384">
        <f t="shared" si="214"/>
        <v>0.3915063442</v>
      </c>
      <c r="CH111" s="384">
        <f t="shared" si="214"/>
        <v>0.3639042688</v>
      </c>
      <c r="CI111" s="384">
        <f t="shared" si="214"/>
        <v>0.3110330928</v>
      </c>
      <c r="CJ111" s="388">
        <f t="shared" si="214"/>
        <v>0.3660306321</v>
      </c>
      <c r="CK111" s="389"/>
      <c r="CL111" s="384">
        <f t="shared" ref="CL111:CP111" si="215">CL76/CL$18</f>
        <v>0.2410973034</v>
      </c>
      <c r="CM111" s="384">
        <f t="shared" si="215"/>
        <v>0.3240651157</v>
      </c>
      <c r="CN111" s="384">
        <f t="shared" si="215"/>
        <v>0.4076390068</v>
      </c>
      <c r="CO111" s="384">
        <f t="shared" si="215"/>
        <v>0.4188581502</v>
      </c>
      <c r="CP111" s="388">
        <f t="shared" si="215"/>
        <v>0.3418501174</v>
      </c>
      <c r="CQ111" s="389"/>
      <c r="CR111" s="384">
        <f t="shared" ref="CR111:CV111" si="216">CR76/CR$18</f>
        <v>0.273492328</v>
      </c>
      <c r="CS111" s="384">
        <f t="shared" si="216"/>
        <v>0.2491358351</v>
      </c>
      <c r="CT111" s="384">
        <f t="shared" si="216"/>
        <v>0.2144334061</v>
      </c>
      <c r="CU111" s="384">
        <f t="shared" si="216"/>
        <v>0.2296896447</v>
      </c>
      <c r="CV111" s="388">
        <f t="shared" si="216"/>
        <v>0.2389932839</v>
      </c>
      <c r="CW111" s="389"/>
      <c r="CX111" s="388" t="str">
        <f>CX76/CX$18</f>
        <v>#DIV/0!</v>
      </c>
      <c r="CY111" s="389"/>
      <c r="CZ111" s="384"/>
      <c r="DA111" s="384"/>
      <c r="DB111" s="384"/>
      <c r="DC111" s="384"/>
      <c r="DD111" s="384"/>
      <c r="DE111" s="384"/>
      <c r="DF111" s="384"/>
      <c r="DG111" s="384"/>
      <c r="DH111" s="384"/>
      <c r="DI111" s="384"/>
      <c r="DJ111" s="384"/>
      <c r="DK111" s="384"/>
      <c r="DL111" s="384"/>
      <c r="DM111" s="384"/>
      <c r="DN111" s="384"/>
      <c r="DO111" s="384"/>
      <c r="DP111" s="384"/>
      <c r="DQ111" s="384"/>
      <c r="DR111" s="384"/>
      <c r="DS111" s="384"/>
      <c r="DT111" s="384"/>
      <c r="DU111" s="384"/>
      <c r="DV111" s="384"/>
      <c r="DW111" s="384"/>
      <c r="DX111" s="384"/>
      <c r="DY111" s="384"/>
      <c r="DZ111" s="384"/>
      <c r="EA111" s="384"/>
      <c r="EB111" s="384"/>
      <c r="EC111" s="384"/>
      <c r="ED111" s="384"/>
      <c r="EE111" s="384"/>
      <c r="EF111" s="384"/>
      <c r="EG111" s="384"/>
      <c r="EH111" s="384"/>
      <c r="EI111" s="360"/>
      <c r="EJ111" s="384"/>
      <c r="EK111" s="384"/>
      <c r="EL111" s="384"/>
      <c r="EM111" s="384"/>
      <c r="EN111" s="384"/>
      <c r="EO111" s="384"/>
      <c r="EP111" s="384"/>
      <c r="EQ111" s="384"/>
      <c r="ER111" s="384"/>
      <c r="ES111" s="384"/>
      <c r="ET111" s="384"/>
      <c r="EU111" s="384"/>
      <c r="EV111" s="384"/>
      <c r="EW111" s="384"/>
      <c r="EX111" s="384"/>
      <c r="EY111" s="384"/>
      <c r="EZ111" s="384"/>
      <c r="FA111" s="384"/>
      <c r="FB111" s="384"/>
      <c r="FC111" s="384"/>
      <c r="FD111" s="384"/>
      <c r="FE111" s="384"/>
      <c r="FF111" s="384"/>
      <c r="FG111" s="384"/>
      <c r="FH111" s="384"/>
    </row>
    <row r="112">
      <c r="B112" s="387" t="s">
        <v>129</v>
      </c>
      <c r="C112" s="384"/>
      <c r="D112" s="384"/>
      <c r="E112" s="384"/>
      <c r="F112" s="384"/>
      <c r="G112" s="384"/>
      <c r="H112" s="384"/>
      <c r="I112" s="384"/>
      <c r="J112" s="384"/>
      <c r="K112" s="384"/>
      <c r="L112" s="384"/>
      <c r="M112" s="384"/>
      <c r="N112" s="384"/>
      <c r="O112" s="384"/>
      <c r="P112" s="384"/>
      <c r="Q112" s="384"/>
      <c r="R112" s="384"/>
      <c r="S112" s="384"/>
      <c r="T112" s="384"/>
      <c r="U112" s="384"/>
      <c r="V112" s="384"/>
      <c r="W112" s="384"/>
      <c r="X112" s="384"/>
      <c r="Y112" s="384"/>
      <c r="Z112" s="384"/>
      <c r="AA112" s="384">
        <f t="shared" ref="AA112:AX112" si="217">AA80/AA$18</f>
        <v>0.04513453539</v>
      </c>
      <c r="AB112" s="384">
        <f t="shared" si="217"/>
        <v>0.07612960755</v>
      </c>
      <c r="AC112" s="384">
        <f t="shared" si="217"/>
        <v>0.1115475437</v>
      </c>
      <c r="AD112" s="384">
        <f t="shared" si="217"/>
        <v>0.1039996592</v>
      </c>
      <c r="AE112" s="384">
        <f t="shared" si="217"/>
        <v>0.1200264338</v>
      </c>
      <c r="AF112" s="384">
        <f t="shared" si="217"/>
        <v>0.09383527749</v>
      </c>
      <c r="AG112" s="384">
        <f t="shared" si="217"/>
        <v>0.116530391</v>
      </c>
      <c r="AH112" s="384">
        <f t="shared" si="217"/>
        <v>0.06761259369</v>
      </c>
      <c r="AI112" s="384">
        <f t="shared" si="217"/>
        <v>0.1020395492</v>
      </c>
      <c r="AJ112" s="384">
        <f t="shared" si="217"/>
        <v>0.1765854146</v>
      </c>
      <c r="AK112" s="384">
        <f t="shared" si="217"/>
        <v>0.0803512064</v>
      </c>
      <c r="AL112" s="384">
        <f t="shared" si="217"/>
        <v>0.208285406</v>
      </c>
      <c r="AM112" s="384">
        <f t="shared" si="217"/>
        <v>0.04736840131</v>
      </c>
      <c r="AN112" s="384">
        <f t="shared" si="217"/>
        <v>0.1168681579</v>
      </c>
      <c r="AO112" s="384">
        <f t="shared" si="217"/>
        <v>0.07702775691</v>
      </c>
      <c r="AP112" s="384">
        <f t="shared" si="217"/>
        <v>0.1843422104</v>
      </c>
      <c r="AQ112" s="384">
        <f t="shared" si="217"/>
        <v>0.1182631478</v>
      </c>
      <c r="AR112" s="384">
        <f t="shared" si="217"/>
        <v>0.09980795405</v>
      </c>
      <c r="AS112" s="384">
        <f t="shared" si="217"/>
        <v>0.1785294029</v>
      </c>
      <c r="AT112" s="384">
        <f t="shared" si="217"/>
        <v>0.09959389416</v>
      </c>
      <c r="AU112" s="384">
        <f t="shared" si="217"/>
        <v>0.1010498746</v>
      </c>
      <c r="AV112" s="384">
        <f t="shared" si="217"/>
        <v>0.07854310258</v>
      </c>
      <c r="AW112" s="384">
        <f t="shared" si="217"/>
        <v>0.09255811091</v>
      </c>
      <c r="AX112" s="384">
        <f t="shared" si="217"/>
        <v>0.11107686</v>
      </c>
      <c r="AY112" s="384">
        <f t="shared" ref="AY112:BV112" si="218">IFERROR(AY80/AY$18,0)</f>
        <v>0.1818025197</v>
      </c>
      <c r="AZ112" s="384">
        <f t="shared" si="218"/>
        <v>0.1074176782</v>
      </c>
      <c r="BA112" s="384">
        <f t="shared" si="218"/>
        <v>0.1266378604</v>
      </c>
      <c r="BB112" s="384">
        <f t="shared" si="218"/>
        <v>0.1080164463</v>
      </c>
      <c r="BC112" s="384">
        <f t="shared" si="218"/>
        <v>0.2066025134</v>
      </c>
      <c r="BD112" s="384">
        <f t="shared" si="218"/>
        <v>0.2413915709</v>
      </c>
      <c r="BE112" s="384">
        <f t="shared" si="218"/>
        <v>0.06628217801</v>
      </c>
      <c r="BF112" s="384">
        <f t="shared" si="218"/>
        <v>0.1227524995</v>
      </c>
      <c r="BG112" s="384">
        <f t="shared" si="218"/>
        <v>0.06735952963</v>
      </c>
      <c r="BH112" s="384">
        <f t="shared" si="218"/>
        <v>0.07811575407</v>
      </c>
      <c r="BI112" s="384">
        <f t="shared" si="218"/>
        <v>0.09051989916</v>
      </c>
      <c r="BJ112" s="384">
        <f t="shared" si="218"/>
        <v>0.07090425184</v>
      </c>
      <c r="BK112" s="384">
        <f t="shared" si="218"/>
        <v>0.1019570256</v>
      </c>
      <c r="BL112" s="384">
        <f t="shared" si="218"/>
        <v>0.09134399408</v>
      </c>
      <c r="BM112" s="384">
        <f t="shared" si="218"/>
        <v>0.08467168496</v>
      </c>
      <c r="BN112" s="384">
        <f t="shared" si="218"/>
        <v>0.07081746204</v>
      </c>
      <c r="BO112" s="384">
        <f t="shared" si="218"/>
        <v>0.1910412368</v>
      </c>
      <c r="BP112" s="384">
        <f t="shared" si="218"/>
        <v>0.1629313477</v>
      </c>
      <c r="BQ112" s="384">
        <f t="shared" si="218"/>
        <v>0.08839936383</v>
      </c>
      <c r="BR112" s="384">
        <f t="shared" si="218"/>
        <v>0.1763641742</v>
      </c>
      <c r="BS112" s="384">
        <f t="shared" si="218"/>
        <v>0</v>
      </c>
      <c r="BT112" s="384">
        <f t="shared" si="218"/>
        <v>0</v>
      </c>
      <c r="BU112" s="384">
        <f t="shared" si="218"/>
        <v>0</v>
      </c>
      <c r="BV112" s="384">
        <f t="shared" si="218"/>
        <v>0</v>
      </c>
      <c r="BX112" s="388" t="str">
        <f>BX80/BX$18</f>
        <v>#REF!</v>
      </c>
      <c r="BY112" s="389"/>
      <c r="BZ112" s="384">
        <f t="shared" ref="BZ112:CD112" si="219">IFERROR(BZ80/BZ$18,0)</f>
        <v>0.0928474027</v>
      </c>
      <c r="CA112" s="384">
        <f t="shared" si="219"/>
        <v>0.140921568</v>
      </c>
      <c r="CB112" s="384">
        <f t="shared" si="219"/>
        <v>0.1310114321</v>
      </c>
      <c r="CC112" s="384">
        <f t="shared" si="219"/>
        <v>0</v>
      </c>
      <c r="CD112" s="388">
        <f t="shared" si="219"/>
        <v>0.1214142003</v>
      </c>
      <c r="CE112" s="389"/>
      <c r="CF112" s="384">
        <f t="shared" ref="CF112:CJ112" si="220">IFERROR(CF80/CF$18,0)</f>
        <v>0.137049512</v>
      </c>
      <c r="CG112" s="384">
        <f t="shared" si="220"/>
        <v>0.1833292281</v>
      </c>
      <c r="CH112" s="384">
        <f t="shared" si="220"/>
        <v>0.085730815</v>
      </c>
      <c r="CI112" s="384">
        <f t="shared" si="220"/>
        <v>0.0798111437</v>
      </c>
      <c r="CJ112" s="388">
        <f t="shared" si="220"/>
        <v>0.1171212627</v>
      </c>
      <c r="CK112" s="389"/>
      <c r="CL112" s="384">
        <f t="shared" ref="CL112:CP112" si="221">CL80/CL$18</f>
        <v>0.07928110528</v>
      </c>
      <c r="CM112" s="384">
        <f t="shared" si="221"/>
        <v>0.1339981566</v>
      </c>
      <c r="CN112" s="384">
        <f t="shared" si="221"/>
        <v>0.1248490274</v>
      </c>
      <c r="CO112" s="384">
        <f t="shared" si="221"/>
        <v>0.09312566219</v>
      </c>
      <c r="CP112" s="388">
        <f t="shared" si="221"/>
        <v>0.1069187714</v>
      </c>
      <c r="CQ112" s="389"/>
      <c r="CR112" s="384">
        <f t="shared" ref="CR112:CV112" si="222">CR80/CR$18</f>
        <v>0.07960232712</v>
      </c>
      <c r="CS112" s="384">
        <f t="shared" si="222"/>
        <v>0.1051996871</v>
      </c>
      <c r="CT112" s="384">
        <f t="shared" si="222"/>
        <v>0.09235193555</v>
      </c>
      <c r="CU112" s="384">
        <f t="shared" si="222"/>
        <v>0.1494466757</v>
      </c>
      <c r="CV112" s="388">
        <f t="shared" si="222"/>
        <v>0.1086948952</v>
      </c>
      <c r="CW112" s="389"/>
      <c r="CX112" s="388" t="str">
        <f>CX80/CX$18</f>
        <v>#DIV/0!</v>
      </c>
      <c r="CY112" s="389"/>
      <c r="CZ112" s="384"/>
      <c r="DA112" s="384"/>
      <c r="DB112" s="384"/>
      <c r="DC112" s="384"/>
      <c r="DD112" s="384"/>
      <c r="DE112" s="384"/>
      <c r="DF112" s="384"/>
      <c r="DG112" s="384"/>
      <c r="DH112" s="384"/>
      <c r="DI112" s="384"/>
      <c r="DJ112" s="384"/>
      <c r="DK112" s="384"/>
      <c r="DL112" s="384"/>
      <c r="DM112" s="384"/>
      <c r="DN112" s="384"/>
      <c r="DO112" s="384"/>
      <c r="DP112" s="384"/>
      <c r="DQ112" s="384"/>
      <c r="DR112" s="384"/>
      <c r="DS112" s="384"/>
      <c r="DT112" s="384"/>
      <c r="DU112" s="384"/>
      <c r="DV112" s="384"/>
      <c r="DW112" s="384"/>
      <c r="DX112" s="384"/>
      <c r="DY112" s="384"/>
      <c r="DZ112" s="384"/>
      <c r="EA112" s="384"/>
      <c r="EB112" s="384"/>
      <c r="EC112" s="384"/>
      <c r="ED112" s="384"/>
      <c r="EE112" s="384"/>
      <c r="EF112" s="384"/>
      <c r="EG112" s="384"/>
      <c r="EH112" s="384"/>
      <c r="EI112" s="360"/>
      <c r="EJ112" s="384"/>
      <c r="EK112" s="384"/>
      <c r="EL112" s="384"/>
      <c r="EM112" s="384"/>
      <c r="EN112" s="384"/>
      <c r="EO112" s="384"/>
      <c r="EP112" s="384"/>
      <c r="EQ112" s="384"/>
      <c r="ER112" s="384"/>
      <c r="ES112" s="384"/>
      <c r="ET112" s="384"/>
      <c r="EU112" s="384"/>
      <c r="EV112" s="384"/>
      <c r="EW112" s="384"/>
      <c r="EX112" s="384"/>
      <c r="EY112" s="384"/>
      <c r="EZ112" s="384"/>
      <c r="FA112" s="384"/>
      <c r="FB112" s="384"/>
      <c r="FC112" s="384"/>
      <c r="FD112" s="384"/>
      <c r="FE112" s="384"/>
      <c r="FF112" s="384"/>
      <c r="FG112" s="384"/>
      <c r="FH112" s="384"/>
    </row>
    <row r="113">
      <c r="B113" s="387" t="s">
        <v>130</v>
      </c>
      <c r="C113" s="384"/>
      <c r="D113" s="384"/>
      <c r="E113" s="384"/>
      <c r="F113" s="384"/>
      <c r="G113" s="384"/>
      <c r="H113" s="384"/>
      <c r="I113" s="384"/>
      <c r="J113" s="384"/>
      <c r="K113" s="384"/>
      <c r="L113" s="384"/>
      <c r="M113" s="384"/>
      <c r="N113" s="384"/>
      <c r="O113" s="384"/>
      <c r="P113" s="384"/>
      <c r="Q113" s="384"/>
      <c r="R113" s="384"/>
      <c r="S113" s="384"/>
      <c r="T113" s="384"/>
      <c r="U113" s="384"/>
      <c r="V113" s="384"/>
      <c r="W113" s="384"/>
      <c r="X113" s="384"/>
      <c r="Y113" s="384"/>
      <c r="Z113" s="384"/>
      <c r="AA113" s="384">
        <f t="shared" ref="AA113:AX113" si="223">AA85/AA18</f>
        <v>0.3675691871</v>
      </c>
      <c r="AB113" s="384">
        <f t="shared" si="223"/>
        <v>0.1540124046</v>
      </c>
      <c r="AC113" s="384">
        <f t="shared" si="223"/>
        <v>0.3040280615</v>
      </c>
      <c r="AD113" s="384">
        <f t="shared" si="223"/>
        <v>0.1910219811</v>
      </c>
      <c r="AE113" s="384">
        <f t="shared" si="223"/>
        <v>0.238513505</v>
      </c>
      <c r="AF113" s="384">
        <f t="shared" si="223"/>
        <v>0.3592094172</v>
      </c>
      <c r="AG113" s="384">
        <f t="shared" si="223"/>
        <v>0.207533785</v>
      </c>
      <c r="AH113" s="384">
        <f t="shared" si="223"/>
        <v>0.4758452932</v>
      </c>
      <c r="AI113" s="384">
        <f t="shared" si="223"/>
        <v>0.2976224725</v>
      </c>
      <c r="AJ113" s="384">
        <f t="shared" si="223"/>
        <v>0.3090916995</v>
      </c>
      <c r="AK113" s="384">
        <f t="shared" si="223"/>
        <v>0.2777000742</v>
      </c>
      <c r="AL113" s="384">
        <f t="shared" si="223"/>
        <v>-0.0532674812</v>
      </c>
      <c r="AM113" s="384">
        <f t="shared" si="223"/>
        <v>0.267351311</v>
      </c>
      <c r="AN113" s="384">
        <f t="shared" si="223"/>
        <v>0.2521709606</v>
      </c>
      <c r="AO113" s="384">
        <f t="shared" si="223"/>
        <v>0.3144007029</v>
      </c>
      <c r="AP113" s="384">
        <f t="shared" si="223"/>
        <v>0.09732147988</v>
      </c>
      <c r="AQ113" s="384">
        <f t="shared" si="223"/>
        <v>0.1586525638</v>
      </c>
      <c r="AR113" s="384">
        <f t="shared" si="223"/>
        <v>0.1361413536</v>
      </c>
      <c r="AS113" s="384">
        <f t="shared" si="223"/>
        <v>-0.1926396105</v>
      </c>
      <c r="AT113" s="384">
        <f t="shared" si="223"/>
        <v>0.1506585684</v>
      </c>
      <c r="AU113" s="384">
        <f t="shared" si="223"/>
        <v>-0.08011127569</v>
      </c>
      <c r="AV113" s="384">
        <f t="shared" si="223"/>
        <v>0.03935237347</v>
      </c>
      <c r="AW113" s="384">
        <f t="shared" si="223"/>
        <v>-0.06729485902</v>
      </c>
      <c r="AX113" s="384">
        <f t="shared" si="223"/>
        <v>-0.1336894036</v>
      </c>
      <c r="AY113" s="384">
        <f t="shared" ref="AY113:BV113" si="224">IFERROR(AY85/AY18,0)</f>
        <v>-0.2568347521</v>
      </c>
      <c r="AZ113" s="384">
        <f t="shared" si="224"/>
        <v>0.07094122314</v>
      </c>
      <c r="BA113" s="384">
        <f t="shared" si="224"/>
        <v>-0.06585498189</v>
      </c>
      <c r="BB113" s="384">
        <f t="shared" si="224"/>
        <v>0.06737272247</v>
      </c>
      <c r="BC113" s="384">
        <f t="shared" si="224"/>
        <v>-0.04064129851</v>
      </c>
      <c r="BD113" s="384">
        <f t="shared" si="224"/>
        <v>-0.1085504184</v>
      </c>
      <c r="BE113" s="384">
        <f t="shared" si="224"/>
        <v>0.04068399778</v>
      </c>
      <c r="BF113" s="384">
        <f t="shared" si="224"/>
        <v>0.1462237667</v>
      </c>
      <c r="BG113" s="384">
        <f t="shared" si="224"/>
        <v>0.07010141621</v>
      </c>
      <c r="BH113" s="384">
        <f t="shared" si="224"/>
        <v>0.2545423129</v>
      </c>
      <c r="BI113" s="384">
        <f t="shared" si="224"/>
        <v>0.1724632176</v>
      </c>
      <c r="BJ113" s="384">
        <f t="shared" si="224"/>
        <v>0.07680965239</v>
      </c>
      <c r="BK113" s="384">
        <f t="shared" si="224"/>
        <v>0.04203514144</v>
      </c>
      <c r="BL113" s="384">
        <f t="shared" si="224"/>
        <v>0.1511844427</v>
      </c>
      <c r="BM113" s="384">
        <f t="shared" si="224"/>
        <v>0.1229954297</v>
      </c>
      <c r="BN113" s="384">
        <f t="shared" si="224"/>
        <v>0.08633476563</v>
      </c>
      <c r="BO113" s="384">
        <f t="shared" si="224"/>
        <v>-0.0009975339989</v>
      </c>
      <c r="BP113" s="384">
        <f t="shared" si="224"/>
        <v>0.05447900298</v>
      </c>
      <c r="BQ113" s="384">
        <f t="shared" si="224"/>
        <v>0.1586448157</v>
      </c>
      <c r="BR113" s="384">
        <f t="shared" si="224"/>
        <v>0.02450241086</v>
      </c>
      <c r="BS113" s="384">
        <f t="shared" si="224"/>
        <v>0</v>
      </c>
      <c r="BT113" s="384">
        <f t="shared" si="224"/>
        <v>0</v>
      </c>
      <c r="BU113" s="384">
        <f t="shared" si="224"/>
        <v>0</v>
      </c>
      <c r="BV113" s="384">
        <f t="shared" si="224"/>
        <v>0</v>
      </c>
      <c r="BX113" s="388" t="str">
        <f>BX85/BX18</f>
        <v>#REF!</v>
      </c>
      <c r="BY113" s="389"/>
      <c r="BZ113" s="384">
        <f t="shared" ref="BZ113:CD113" si="225">IFERROR(BZ85/BZ18,0)</f>
        <v>0.1040589021</v>
      </c>
      <c r="CA113" s="384">
        <f t="shared" si="225"/>
        <v>0.04707433843</v>
      </c>
      <c r="CB113" s="384">
        <f t="shared" si="225"/>
        <v>0.0936633159</v>
      </c>
      <c r="CC113" s="384">
        <f t="shared" si="225"/>
        <v>0</v>
      </c>
      <c r="CD113" s="388">
        <f t="shared" si="225"/>
        <v>0.07991148405</v>
      </c>
      <c r="CE113" s="389"/>
      <c r="CF113" s="384">
        <f t="shared" ref="CF113:CJ113" si="226">IFERROR(CF85/CF18,0)</f>
        <v>-0.077867464</v>
      </c>
      <c r="CG113" s="384">
        <f t="shared" si="226"/>
        <v>-0.02462829898</v>
      </c>
      <c r="CH113" s="384">
        <f t="shared" si="226"/>
        <v>0.08628189065</v>
      </c>
      <c r="CI113" s="384">
        <f t="shared" si="226"/>
        <v>0.1724716982</v>
      </c>
      <c r="CJ113" s="388">
        <f t="shared" si="226"/>
        <v>0.05202509915</v>
      </c>
      <c r="CK113" s="389"/>
      <c r="CL113" s="384">
        <f t="shared" ref="CL113:CP113" si="227">CL85/CL18</f>
        <v>0.2792949709</v>
      </c>
      <c r="CM113" s="384">
        <f t="shared" si="227"/>
        <v>0.1309834143</v>
      </c>
      <c r="CN113" s="384">
        <f t="shared" si="227"/>
        <v>-0.0273517439</v>
      </c>
      <c r="CO113" s="384">
        <f t="shared" si="227"/>
        <v>-0.04865133663</v>
      </c>
      <c r="CP113" s="388">
        <f t="shared" si="227"/>
        <v>0.09475681818</v>
      </c>
      <c r="CQ113" s="389"/>
      <c r="CR113" s="384">
        <f t="shared" ref="CR113:CV113" si="228">CR85/CR18</f>
        <v>0.2807536659</v>
      </c>
      <c r="CS113" s="384">
        <f t="shared" si="228"/>
        <v>0.2706460436</v>
      </c>
      <c r="CT113" s="384">
        <f t="shared" si="228"/>
        <v>0.3436824047</v>
      </c>
      <c r="CU113" s="384">
        <f t="shared" si="228"/>
        <v>0.2058645454</v>
      </c>
      <c r="CV113" s="388">
        <f t="shared" si="228"/>
        <v>0.275068234</v>
      </c>
      <c r="CW113" s="389"/>
      <c r="CX113" s="388" t="str">
        <f>CX85/CX18</f>
        <v>#DIV/0!</v>
      </c>
      <c r="CY113" s="389"/>
      <c r="CZ113" s="384"/>
      <c r="DA113" s="384"/>
      <c r="DB113" s="384"/>
      <c r="DC113" s="384"/>
      <c r="DD113" s="384"/>
      <c r="DE113" s="384"/>
      <c r="DF113" s="384"/>
      <c r="DG113" s="384"/>
      <c r="DH113" s="384"/>
      <c r="DI113" s="384"/>
      <c r="DJ113" s="384"/>
      <c r="DK113" s="384"/>
      <c r="DL113" s="384"/>
      <c r="DM113" s="384"/>
      <c r="DN113" s="384"/>
      <c r="DO113" s="384"/>
      <c r="DP113" s="384"/>
      <c r="DQ113" s="384"/>
      <c r="DR113" s="384"/>
      <c r="DS113" s="384"/>
      <c r="DT113" s="384"/>
      <c r="DU113" s="384"/>
      <c r="DV113" s="384"/>
      <c r="DW113" s="384"/>
      <c r="DX113" s="384"/>
      <c r="DY113" s="384"/>
      <c r="DZ113" s="384"/>
      <c r="EA113" s="384"/>
      <c r="EB113" s="384"/>
      <c r="EC113" s="384"/>
      <c r="ED113" s="384"/>
      <c r="EE113" s="384"/>
      <c r="EF113" s="384"/>
      <c r="EG113" s="384"/>
      <c r="EH113" s="384"/>
      <c r="EI113" s="360"/>
      <c r="EJ113" s="384"/>
      <c r="EK113" s="384"/>
      <c r="EL113" s="384"/>
      <c r="EM113" s="384"/>
      <c r="EN113" s="384"/>
      <c r="EO113" s="384"/>
      <c r="EP113" s="384"/>
      <c r="EQ113" s="384"/>
      <c r="ER113" s="384"/>
      <c r="ES113" s="384"/>
      <c r="ET113" s="384"/>
      <c r="EU113" s="384"/>
      <c r="EV113" s="384"/>
      <c r="EW113" s="384"/>
      <c r="EX113" s="384"/>
      <c r="EY113" s="384"/>
      <c r="EZ113" s="384"/>
      <c r="FA113" s="384"/>
      <c r="FB113" s="384"/>
      <c r="FC113" s="384"/>
      <c r="FD113" s="384"/>
      <c r="FE113" s="384"/>
      <c r="FF113" s="384"/>
      <c r="FG113" s="384"/>
      <c r="FH113" s="384"/>
    </row>
    <row r="114">
      <c r="BX114" s="34"/>
      <c r="CD114" s="34"/>
      <c r="CJ114" s="34"/>
      <c r="CP114" s="34"/>
      <c r="CV114" s="34"/>
      <c r="CX114" s="34"/>
      <c r="CY114" s="136"/>
      <c r="EI114" s="3"/>
    </row>
    <row r="115">
      <c r="A115" s="2"/>
      <c r="B115" s="398" t="s">
        <v>536</v>
      </c>
      <c r="C115" s="399"/>
      <c r="D115" s="399"/>
      <c r="E115" s="399"/>
      <c r="F115" s="399"/>
      <c r="G115" s="399"/>
      <c r="H115" s="399"/>
      <c r="I115" s="399"/>
      <c r="J115" s="399"/>
      <c r="K115" s="399"/>
      <c r="L115" s="399"/>
      <c r="M115" s="399"/>
      <c r="N115" s="399"/>
      <c r="O115" s="399"/>
      <c r="P115" s="399"/>
      <c r="Q115" s="399"/>
      <c r="R115" s="399"/>
      <c r="S115" s="399"/>
      <c r="T115" s="399"/>
      <c r="U115" s="399"/>
      <c r="V115" s="399"/>
      <c r="W115" s="399"/>
      <c r="X115" s="399"/>
      <c r="Y115" s="399"/>
      <c r="Z115" s="399"/>
      <c r="AA115" s="399"/>
      <c r="AB115" s="399"/>
      <c r="AC115" s="399"/>
      <c r="AD115" s="399"/>
      <c r="AE115" s="399"/>
      <c r="AF115" s="399"/>
      <c r="AG115" s="399"/>
      <c r="AH115" s="399"/>
      <c r="AI115" s="399"/>
      <c r="AJ115" s="399"/>
      <c r="AK115" s="399"/>
      <c r="AL115" s="399"/>
      <c r="AM115" s="399"/>
      <c r="AN115" s="399"/>
      <c r="AO115" s="399"/>
      <c r="AP115" s="399"/>
      <c r="AQ115" s="399"/>
      <c r="AR115" s="399"/>
      <c r="AS115" s="399"/>
      <c r="AT115" s="399"/>
      <c r="AU115" s="399"/>
      <c r="AV115" s="399"/>
      <c r="AW115" s="399"/>
      <c r="AX115" s="399"/>
      <c r="AY115" s="399"/>
      <c r="AZ115" s="399"/>
      <c r="BA115" s="399"/>
      <c r="BB115" s="399"/>
      <c r="BC115" s="399"/>
      <c r="BD115" s="399"/>
      <c r="BE115" s="399"/>
      <c r="BF115" s="399"/>
      <c r="BG115" s="399"/>
      <c r="BH115" s="399"/>
      <c r="BI115" s="399"/>
      <c r="BJ115" s="399"/>
      <c r="BK115" s="399"/>
      <c r="BL115" s="399"/>
      <c r="BM115" s="399"/>
      <c r="BN115" s="399"/>
      <c r="BO115" s="399"/>
      <c r="BP115" s="399"/>
      <c r="BQ115" s="399"/>
      <c r="BR115" s="399"/>
      <c r="BS115" s="399"/>
      <c r="BT115" s="399"/>
      <c r="BU115" s="399"/>
      <c r="BV115" s="399"/>
      <c r="BW115" s="2"/>
      <c r="BX115" s="400"/>
      <c r="BY115" s="401"/>
      <c r="BZ115" s="399"/>
      <c r="CA115" s="399"/>
      <c r="CB115" s="399"/>
      <c r="CC115" s="399"/>
      <c r="CD115" s="400"/>
      <c r="CE115" s="401"/>
      <c r="CF115" s="399"/>
      <c r="CG115" s="399"/>
      <c r="CH115" s="399"/>
      <c r="CI115" s="399"/>
      <c r="CJ115" s="400"/>
      <c r="CK115" s="401"/>
      <c r="CL115" s="399"/>
      <c r="CM115" s="399"/>
      <c r="CN115" s="399"/>
      <c r="CO115" s="399"/>
      <c r="CP115" s="400"/>
      <c r="CQ115" s="401"/>
      <c r="CR115" s="399"/>
      <c r="CS115" s="399"/>
      <c r="CT115" s="399"/>
      <c r="CU115" s="399"/>
      <c r="CV115" s="400"/>
      <c r="CW115" s="401"/>
      <c r="CX115" s="400"/>
      <c r="CY115" s="401"/>
      <c r="CZ115" s="399"/>
      <c r="DA115" s="399"/>
      <c r="DB115" s="399"/>
      <c r="DC115" s="399"/>
      <c r="DD115" s="399"/>
      <c r="DE115" s="399"/>
      <c r="DF115" s="399"/>
      <c r="DG115" s="399"/>
      <c r="DH115" s="399"/>
      <c r="DI115" s="399"/>
      <c r="DJ115" s="399"/>
      <c r="DK115" s="399"/>
      <c r="DL115" s="399"/>
      <c r="DM115" s="399"/>
      <c r="DN115" s="399"/>
      <c r="DO115" s="399"/>
      <c r="DP115" s="399"/>
      <c r="DQ115" s="399"/>
      <c r="DR115" s="399"/>
      <c r="DS115" s="399"/>
      <c r="DT115" s="399"/>
      <c r="DU115" s="399"/>
      <c r="DV115" s="399"/>
      <c r="DW115" s="399"/>
      <c r="DX115" s="399"/>
      <c r="DY115" s="399"/>
      <c r="DZ115" s="399"/>
      <c r="EA115" s="399"/>
      <c r="EB115" s="399"/>
      <c r="EC115" s="399"/>
      <c r="ED115" s="399"/>
      <c r="EE115" s="399"/>
      <c r="EF115" s="399"/>
      <c r="EG115" s="399"/>
      <c r="EH115" s="399"/>
      <c r="EI115" s="462"/>
      <c r="EJ115" s="399"/>
      <c r="EK115" s="399"/>
      <c r="EL115" s="399"/>
      <c r="EM115" s="399"/>
      <c r="EN115" s="399"/>
      <c r="EO115" s="399"/>
      <c r="EP115" s="399"/>
      <c r="EQ115" s="399"/>
      <c r="ER115" s="399"/>
      <c r="ES115" s="399"/>
      <c r="ET115" s="399"/>
      <c r="EU115" s="399"/>
      <c r="EV115" s="399"/>
      <c r="EW115" s="399"/>
      <c r="EX115" s="399"/>
      <c r="EY115" s="399"/>
      <c r="EZ115" s="399"/>
      <c r="FA115" s="399"/>
      <c r="FB115" s="399"/>
      <c r="FC115" s="399"/>
      <c r="FD115" s="399"/>
      <c r="FE115" s="399"/>
      <c r="FF115" s="399"/>
      <c r="FG115" s="399"/>
      <c r="FH115" s="399"/>
    </row>
    <row r="116">
      <c r="A116" s="2"/>
      <c r="B116" s="402" t="s">
        <v>537</v>
      </c>
      <c r="C116" s="399"/>
      <c r="D116" s="399"/>
      <c r="E116" s="399"/>
      <c r="F116" s="399"/>
      <c r="G116" s="399"/>
      <c r="H116" s="399"/>
      <c r="I116" s="399"/>
      <c r="J116" s="399"/>
      <c r="K116" s="399"/>
      <c r="L116" s="399"/>
      <c r="M116" s="399"/>
      <c r="N116" s="399"/>
      <c r="O116" s="399"/>
      <c r="P116" s="399"/>
      <c r="Q116" s="399"/>
      <c r="R116" s="399"/>
      <c r="S116" s="399"/>
      <c r="T116" s="399"/>
      <c r="U116" s="399"/>
      <c r="V116" s="399"/>
      <c r="W116" s="399"/>
      <c r="X116" s="399"/>
      <c r="Y116" s="399"/>
      <c r="Z116" s="399"/>
      <c r="AA116" s="403">
        <v>16.0</v>
      </c>
      <c r="AB116" s="403">
        <v>17.0</v>
      </c>
      <c r="AC116" s="403">
        <v>18.0</v>
      </c>
      <c r="AD116" s="403">
        <v>17.0</v>
      </c>
      <c r="AE116" s="403">
        <v>17.0</v>
      </c>
      <c r="AF116" s="403">
        <v>19.0</v>
      </c>
      <c r="AG116" s="403">
        <v>19.0</v>
      </c>
      <c r="AH116" s="403">
        <v>21.0</v>
      </c>
      <c r="AI116" s="403">
        <v>24.0</v>
      </c>
      <c r="AJ116" s="403">
        <v>24.0</v>
      </c>
      <c r="AK116" s="403">
        <v>25.0</v>
      </c>
      <c r="AL116" s="403">
        <v>26.0</v>
      </c>
      <c r="AM116" s="403">
        <v>27.0</v>
      </c>
      <c r="AN116" s="403">
        <v>26.0</v>
      </c>
      <c r="AO116" s="403">
        <v>26.0</v>
      </c>
      <c r="AP116" s="403">
        <v>30.0</v>
      </c>
      <c r="AQ116" s="403">
        <v>32.0</v>
      </c>
      <c r="AR116" s="403">
        <v>34.0</v>
      </c>
      <c r="AS116" s="403">
        <v>34.0</v>
      </c>
      <c r="AT116" s="403">
        <v>35.0</v>
      </c>
      <c r="AU116" s="403">
        <v>35.0</v>
      </c>
      <c r="AV116" s="403">
        <v>41.0</v>
      </c>
      <c r="AW116" s="403">
        <v>40.0</v>
      </c>
      <c r="AX116" s="403">
        <v>42.0</v>
      </c>
      <c r="AY116" s="403">
        <v>43.0</v>
      </c>
      <c r="AZ116" s="403">
        <v>43.0</v>
      </c>
      <c r="BA116" s="403">
        <v>42.0</v>
      </c>
      <c r="BB116" s="403">
        <v>42.0</v>
      </c>
      <c r="BC116" s="403">
        <v>45.0</v>
      </c>
      <c r="BD116" s="403">
        <v>45.0</v>
      </c>
      <c r="BE116" s="403">
        <v>48.0</v>
      </c>
      <c r="BF116" s="403">
        <v>48.0</v>
      </c>
      <c r="BG116" s="403">
        <v>45.0</v>
      </c>
      <c r="BH116" s="403">
        <v>44.0</v>
      </c>
      <c r="BI116" s="403">
        <v>45.0</v>
      </c>
      <c r="BJ116" s="403">
        <v>45.0</v>
      </c>
      <c r="BK116" s="403">
        <v>43.0</v>
      </c>
      <c r="BL116" s="403">
        <v>42.0</v>
      </c>
      <c r="BM116" s="403">
        <v>43.0</v>
      </c>
      <c r="BN116" s="403">
        <v>43.0</v>
      </c>
      <c r="BO116" s="403">
        <v>42.0</v>
      </c>
      <c r="BP116" s="403">
        <v>43.0</v>
      </c>
      <c r="BQ116" s="403">
        <v>43.0</v>
      </c>
      <c r="BR116" s="403">
        <v>43.0</v>
      </c>
      <c r="BS116" s="403"/>
      <c r="BT116" s="403"/>
      <c r="BU116" s="403"/>
      <c r="BV116" s="403"/>
      <c r="BW116" s="2"/>
      <c r="BX116" s="404">
        <f>average(AO116:AZ116)</f>
        <v>36.25</v>
      </c>
      <c r="BY116" s="401"/>
      <c r="BZ116" s="405">
        <f t="shared" ref="BZ116:BZ117" si="229">sum(BK116:BM116)/3</f>
        <v>42.66666667</v>
      </c>
      <c r="CA116" s="399">
        <f t="shared" ref="CA116:CA117" si="230">sum(BN116:BP116)/3</f>
        <v>42.66666667</v>
      </c>
      <c r="CB116" s="406">
        <f t="shared" ref="CB116:CB117" si="231">sum(BQ116:BS116)/3</f>
        <v>28.66666667</v>
      </c>
      <c r="CC116" s="399">
        <f t="shared" ref="CC116:CC117" si="232">sum(BT116:BV116)/3</f>
        <v>0</v>
      </c>
      <c r="CD116" s="400" t="str">
        <f t="shared" ref="CD116:CD117" si="233">BV116</f>
        <v/>
      </c>
      <c r="CE116" s="401"/>
      <c r="CF116" s="405">
        <f t="shared" ref="CF116:CF117" si="234">sum(AY116:BA116)/3</f>
        <v>42.66666667</v>
      </c>
      <c r="CG116" s="399">
        <f t="shared" ref="CG116:CG117" si="235">sum(BB116:BD116)/3</f>
        <v>44</v>
      </c>
      <c r="CH116" s="406">
        <f t="shared" ref="CH116:CH117" si="236">sum(BE116:BG116)/3</f>
        <v>47</v>
      </c>
      <c r="CI116" s="399">
        <f t="shared" ref="CI116:CI117" si="237">sum(BH116:BJ116)/3</f>
        <v>44.66666667</v>
      </c>
      <c r="CJ116" s="400">
        <f t="shared" ref="CJ116:CJ117" si="238">CI116</f>
        <v>44.66666667</v>
      </c>
      <c r="CK116" s="401"/>
      <c r="CL116" s="406">
        <f t="shared" ref="CL116:CL117" si="239">sum(AM116:AO116)/3</f>
        <v>26.33333333</v>
      </c>
      <c r="CM116" s="399">
        <f t="shared" ref="CM116:CM117" si="240">sum(AP116:AR116)/3</f>
        <v>32</v>
      </c>
      <c r="CN116" s="406">
        <f t="shared" ref="CN116:CN117" si="241">sum(AS116:AU116)/3</f>
        <v>34.66666667</v>
      </c>
      <c r="CO116" s="399">
        <f t="shared" ref="CO116:CO117" si="242">sum(AV116:AX116)/3</f>
        <v>41</v>
      </c>
      <c r="CP116" s="400">
        <f t="shared" ref="CP116:CP117" si="243">CO116</f>
        <v>41</v>
      </c>
      <c r="CQ116" s="401"/>
      <c r="CR116" s="406">
        <f t="shared" ref="CR116:CR117" si="244">sum(AA116:AC116)/3</f>
        <v>17</v>
      </c>
      <c r="CS116" s="406">
        <f t="shared" ref="CS116:CS117" si="245">sum(AD116:AF116)/3</f>
        <v>17.66666667</v>
      </c>
      <c r="CT116" s="406">
        <f t="shared" ref="CT116:CT117" si="246">sum(AG116:AI116)/3</f>
        <v>21.33333333</v>
      </c>
      <c r="CU116" s="406">
        <f t="shared" ref="CU116:CU117" si="247">sum(AJ116:AL116)/3</f>
        <v>25</v>
      </c>
      <c r="CV116" s="404">
        <f t="shared" ref="CV116:CV117" si="248">CU116</f>
        <v>25</v>
      </c>
      <c r="CW116" s="401"/>
      <c r="CX116" s="404" t="str">
        <f t="shared" ref="CX116:CX117" si="249">CW116</f>
        <v/>
      </c>
      <c r="CY116" s="407"/>
      <c r="CZ116" s="399"/>
      <c r="DA116" s="399"/>
      <c r="DB116" s="399"/>
      <c r="DC116" s="399"/>
      <c r="DD116" s="399"/>
      <c r="DE116" s="399"/>
      <c r="DF116" s="399"/>
      <c r="DG116" s="399"/>
      <c r="DH116" s="399"/>
      <c r="DI116" s="399"/>
      <c r="DJ116" s="399"/>
      <c r="DK116" s="399"/>
      <c r="DL116" s="403"/>
      <c r="DM116" s="403"/>
      <c r="DN116" s="403"/>
      <c r="DO116" s="403"/>
      <c r="DP116" s="403"/>
      <c r="DQ116" s="403"/>
      <c r="DR116" s="403"/>
      <c r="DS116" s="403"/>
      <c r="DT116" s="403"/>
      <c r="DU116" s="403"/>
      <c r="DV116" s="403"/>
      <c r="DW116" s="403"/>
      <c r="DX116" s="403"/>
      <c r="DY116" s="403"/>
      <c r="DZ116" s="403"/>
      <c r="EA116" s="403"/>
      <c r="EB116" s="403"/>
      <c r="EC116" s="403"/>
      <c r="ED116" s="403"/>
      <c r="EE116" s="403"/>
      <c r="EF116" s="403"/>
      <c r="EG116" s="403"/>
      <c r="EH116" s="403"/>
      <c r="EI116" s="463"/>
      <c r="EJ116" s="403"/>
      <c r="EK116" s="403"/>
      <c r="EL116" s="403"/>
      <c r="EM116" s="403"/>
      <c r="EN116" s="403"/>
      <c r="EO116" s="403"/>
      <c r="EP116" s="403"/>
      <c r="EQ116" s="403"/>
      <c r="ER116" s="403"/>
      <c r="ES116" s="403"/>
      <c r="ET116" s="403"/>
      <c r="EU116" s="403"/>
      <c r="EV116" s="403"/>
      <c r="EW116" s="403"/>
      <c r="EX116" s="403"/>
      <c r="EY116" s="403"/>
      <c r="EZ116" s="403"/>
      <c r="FA116" s="403"/>
      <c r="FB116" s="403"/>
      <c r="FC116" s="403"/>
      <c r="FD116" s="403"/>
      <c r="FE116" s="403"/>
      <c r="FF116" s="403"/>
      <c r="FG116" s="403"/>
      <c r="FH116" s="403"/>
    </row>
    <row r="117">
      <c r="A117" s="2"/>
      <c r="B117" s="402" t="s">
        <v>538</v>
      </c>
      <c r="C117" s="399">
        <v>3.0</v>
      </c>
      <c r="D117" s="399">
        <v>3.0</v>
      </c>
      <c r="E117" s="399">
        <v>4.0</v>
      </c>
      <c r="F117" s="399">
        <v>4.0</v>
      </c>
      <c r="G117" s="399">
        <v>4.0</v>
      </c>
      <c r="H117" s="399">
        <v>5.0</v>
      </c>
      <c r="I117" s="399">
        <v>5.0</v>
      </c>
      <c r="J117" s="399">
        <v>6.0</v>
      </c>
      <c r="K117" s="399">
        <v>8.0</v>
      </c>
      <c r="L117" s="399">
        <v>8.0</v>
      </c>
      <c r="M117" s="399">
        <v>11.0</v>
      </c>
      <c r="N117" s="399">
        <v>11.0</v>
      </c>
      <c r="O117" s="399">
        <v>10.0</v>
      </c>
      <c r="P117" s="399">
        <v>11.0</v>
      </c>
      <c r="Q117" s="399">
        <v>11.0</v>
      </c>
      <c r="R117" s="399">
        <v>11.0</v>
      </c>
      <c r="S117" s="399">
        <v>11.0</v>
      </c>
      <c r="T117" s="399">
        <v>11.0</v>
      </c>
      <c r="U117" s="399">
        <v>14.0</v>
      </c>
      <c r="V117" s="399">
        <v>17.0</v>
      </c>
      <c r="W117" s="399">
        <v>20.0</v>
      </c>
      <c r="X117" s="399">
        <v>23.0</v>
      </c>
      <c r="Y117" s="399">
        <v>24.0</v>
      </c>
      <c r="Z117" s="399">
        <v>24.0</v>
      </c>
      <c r="AA117" s="399">
        <v>24.0</v>
      </c>
      <c r="AB117" s="399">
        <v>28.0</v>
      </c>
      <c r="AC117" s="399">
        <v>31.0</v>
      </c>
      <c r="AD117" s="399">
        <v>34.0</v>
      </c>
      <c r="AE117" s="399">
        <v>35.0</v>
      </c>
      <c r="AF117" s="399">
        <v>36.0</v>
      </c>
      <c r="AG117" s="399">
        <v>39.0</v>
      </c>
      <c r="AH117" s="399">
        <v>41.0</v>
      </c>
      <c r="AI117" s="399">
        <v>41.0</v>
      </c>
      <c r="AJ117" s="399">
        <v>38.0</v>
      </c>
      <c r="AK117" s="399">
        <v>43.0</v>
      </c>
      <c r="AL117" s="399">
        <v>47.0</v>
      </c>
      <c r="AM117" s="399">
        <v>48.0</v>
      </c>
      <c r="AN117" s="399">
        <v>52.0</v>
      </c>
      <c r="AO117" s="399">
        <v>50.0</v>
      </c>
      <c r="AP117" s="399">
        <v>45.0</v>
      </c>
      <c r="AQ117" s="399">
        <v>46.0</v>
      </c>
      <c r="AR117" s="399">
        <v>47.0</v>
      </c>
      <c r="AS117" s="403">
        <v>49.0</v>
      </c>
      <c r="AT117" s="403">
        <v>52.0</v>
      </c>
      <c r="AU117" s="403">
        <v>51.0</v>
      </c>
      <c r="AV117" s="403">
        <v>51.0</v>
      </c>
      <c r="AW117" s="403">
        <v>50.0</v>
      </c>
      <c r="AX117" s="403">
        <v>48.0</v>
      </c>
      <c r="AY117" s="403">
        <v>47.0</v>
      </c>
      <c r="AZ117" s="403">
        <v>47.0</v>
      </c>
      <c r="BA117" s="403">
        <v>45.0</v>
      </c>
      <c r="BB117" s="403">
        <v>44.0</v>
      </c>
      <c r="BC117" s="403">
        <v>44.0</v>
      </c>
      <c r="BD117" s="403">
        <v>45.0</v>
      </c>
      <c r="BE117" s="403">
        <v>47.0</v>
      </c>
      <c r="BF117" s="403">
        <v>50.0</v>
      </c>
      <c r="BG117" s="403">
        <v>53.0</v>
      </c>
      <c r="BH117" s="403">
        <v>55.0</v>
      </c>
      <c r="BI117" s="403">
        <v>59.0</v>
      </c>
      <c r="BJ117" s="403">
        <v>62.0</v>
      </c>
      <c r="BK117" s="403">
        <v>65.0</v>
      </c>
      <c r="BL117" s="403">
        <v>65.0</v>
      </c>
      <c r="BM117" s="403">
        <v>64.0</v>
      </c>
      <c r="BN117" s="403">
        <v>67.0</v>
      </c>
      <c r="BO117" s="403">
        <v>71.0</v>
      </c>
      <c r="BP117" s="403">
        <v>75.0</v>
      </c>
      <c r="BQ117" s="403">
        <v>78.0</v>
      </c>
      <c r="BR117" s="403">
        <v>79.0</v>
      </c>
      <c r="BS117" s="403"/>
      <c r="BT117" s="403"/>
      <c r="BU117" s="403"/>
      <c r="BV117" s="403"/>
      <c r="BW117" s="2"/>
      <c r="BX117" s="404">
        <f>average(AP117:BA117)</f>
        <v>48.16666667</v>
      </c>
      <c r="BY117" s="401"/>
      <c r="BZ117" s="405">
        <f t="shared" si="229"/>
        <v>64.66666667</v>
      </c>
      <c r="CA117" s="399">
        <f t="shared" si="230"/>
        <v>71</v>
      </c>
      <c r="CB117" s="406">
        <f t="shared" si="231"/>
        <v>52.33333333</v>
      </c>
      <c r="CC117" s="399">
        <f t="shared" si="232"/>
        <v>0</v>
      </c>
      <c r="CD117" s="400" t="str">
        <f t="shared" si="233"/>
        <v/>
      </c>
      <c r="CE117" s="401"/>
      <c r="CF117" s="405">
        <f t="shared" si="234"/>
        <v>46.33333333</v>
      </c>
      <c r="CG117" s="399">
        <f t="shared" si="235"/>
        <v>44.33333333</v>
      </c>
      <c r="CH117" s="406">
        <f t="shared" si="236"/>
        <v>50</v>
      </c>
      <c r="CI117" s="399">
        <f t="shared" si="237"/>
        <v>58.66666667</v>
      </c>
      <c r="CJ117" s="400">
        <f t="shared" si="238"/>
        <v>58.66666667</v>
      </c>
      <c r="CK117" s="401"/>
      <c r="CL117" s="399">
        <f t="shared" si="239"/>
        <v>50</v>
      </c>
      <c r="CM117" s="399">
        <f t="shared" si="240"/>
        <v>46</v>
      </c>
      <c r="CN117" s="406">
        <f t="shared" si="241"/>
        <v>50.66666667</v>
      </c>
      <c r="CO117" s="408">
        <f t="shared" si="242"/>
        <v>49.66666667</v>
      </c>
      <c r="CP117" s="409">
        <f t="shared" si="243"/>
        <v>49.66666667</v>
      </c>
      <c r="CQ117" s="401"/>
      <c r="CR117" s="406">
        <f t="shared" si="244"/>
        <v>27.66666667</v>
      </c>
      <c r="CS117" s="406">
        <f t="shared" si="245"/>
        <v>35</v>
      </c>
      <c r="CT117" s="406">
        <f t="shared" si="246"/>
        <v>40.33333333</v>
      </c>
      <c r="CU117" s="406">
        <f t="shared" si="247"/>
        <v>42.66666667</v>
      </c>
      <c r="CV117" s="404">
        <f t="shared" si="248"/>
        <v>42.66666667</v>
      </c>
      <c r="CW117" s="401"/>
      <c r="CX117" s="404" t="str">
        <f t="shared" si="249"/>
        <v/>
      </c>
      <c r="CY117" s="407"/>
      <c r="CZ117" s="399"/>
      <c r="DA117" s="399"/>
      <c r="DB117" s="399"/>
      <c r="DC117" s="399"/>
      <c r="DD117" s="399"/>
      <c r="DE117" s="399"/>
      <c r="DF117" s="399"/>
      <c r="DG117" s="399"/>
      <c r="DH117" s="399"/>
      <c r="DI117" s="399"/>
      <c r="DJ117" s="399"/>
      <c r="DK117" s="399"/>
      <c r="DL117" s="399"/>
      <c r="DM117" s="399"/>
      <c r="DN117" s="399"/>
      <c r="DO117" s="399"/>
      <c r="DP117" s="399"/>
      <c r="DQ117" s="399"/>
      <c r="DR117" s="399"/>
      <c r="DS117" s="399"/>
      <c r="DT117" s="399"/>
      <c r="DU117" s="399"/>
      <c r="DV117" s="399"/>
      <c r="DW117" s="399"/>
      <c r="DX117" s="399"/>
      <c r="DY117" s="399"/>
      <c r="DZ117" s="399"/>
      <c r="EA117" s="399"/>
      <c r="EB117" s="399"/>
      <c r="EC117" s="399"/>
      <c r="ED117" s="403"/>
      <c r="EE117" s="403"/>
      <c r="EF117" s="403"/>
      <c r="EG117" s="403"/>
      <c r="EH117" s="403"/>
      <c r="EI117" s="463"/>
      <c r="EJ117" s="403"/>
      <c r="EK117" s="403"/>
      <c r="EL117" s="403"/>
      <c r="EM117" s="403"/>
      <c r="EN117" s="403"/>
      <c r="EO117" s="403"/>
      <c r="EP117" s="403"/>
      <c r="EQ117" s="403"/>
      <c r="ER117" s="403"/>
      <c r="ES117" s="403"/>
      <c r="ET117" s="403"/>
      <c r="EU117" s="403"/>
      <c r="EV117" s="403"/>
      <c r="EW117" s="403"/>
      <c r="EX117" s="403"/>
      <c r="EY117" s="403"/>
      <c r="EZ117" s="403"/>
      <c r="FA117" s="403"/>
      <c r="FB117" s="403"/>
      <c r="FC117" s="403"/>
      <c r="FD117" s="403"/>
      <c r="FE117" s="403"/>
      <c r="FF117" s="403"/>
      <c r="FG117" s="403"/>
      <c r="FH117" s="403"/>
    </row>
    <row r="118">
      <c r="B118" s="387" t="s">
        <v>539</v>
      </c>
      <c r="C118" s="359"/>
      <c r="D118" s="359"/>
      <c r="E118" s="359"/>
      <c r="F118" s="359"/>
      <c r="G118" s="359"/>
      <c r="H118" s="359"/>
      <c r="I118" s="359"/>
      <c r="J118" s="359"/>
      <c r="K118" s="359"/>
      <c r="L118" s="359"/>
      <c r="M118" s="359"/>
      <c r="N118" s="359"/>
      <c r="O118" s="359"/>
      <c r="P118" s="359"/>
      <c r="Q118" s="359"/>
      <c r="R118" s="359"/>
      <c r="S118" s="359"/>
      <c r="T118" s="359"/>
      <c r="U118" s="359"/>
      <c r="V118" s="359"/>
      <c r="W118" s="359"/>
      <c r="X118" s="359"/>
      <c r="Y118" s="359"/>
      <c r="Z118" s="359"/>
      <c r="AA118" s="410">
        <f t="shared" ref="AA118:AX118" si="250">AA116/SUM(AA$116:AA$117)</f>
        <v>0.4</v>
      </c>
      <c r="AB118" s="410">
        <f t="shared" si="250"/>
        <v>0.3777777778</v>
      </c>
      <c r="AC118" s="410">
        <f t="shared" si="250"/>
        <v>0.3673469388</v>
      </c>
      <c r="AD118" s="410">
        <f t="shared" si="250"/>
        <v>0.3333333333</v>
      </c>
      <c r="AE118" s="410">
        <f t="shared" si="250"/>
        <v>0.3269230769</v>
      </c>
      <c r="AF118" s="410">
        <f t="shared" si="250"/>
        <v>0.3454545455</v>
      </c>
      <c r="AG118" s="410">
        <f t="shared" si="250"/>
        <v>0.3275862069</v>
      </c>
      <c r="AH118" s="410">
        <f t="shared" si="250"/>
        <v>0.3387096774</v>
      </c>
      <c r="AI118" s="410">
        <f t="shared" si="250"/>
        <v>0.3692307692</v>
      </c>
      <c r="AJ118" s="410">
        <f t="shared" si="250"/>
        <v>0.3870967742</v>
      </c>
      <c r="AK118" s="410">
        <f t="shared" si="250"/>
        <v>0.3676470588</v>
      </c>
      <c r="AL118" s="410">
        <f t="shared" si="250"/>
        <v>0.3561643836</v>
      </c>
      <c r="AM118" s="410">
        <f t="shared" si="250"/>
        <v>0.36</v>
      </c>
      <c r="AN118" s="410">
        <f t="shared" si="250"/>
        <v>0.3333333333</v>
      </c>
      <c r="AO118" s="410">
        <f t="shared" si="250"/>
        <v>0.3421052632</v>
      </c>
      <c r="AP118" s="410">
        <f t="shared" si="250"/>
        <v>0.4</v>
      </c>
      <c r="AQ118" s="410">
        <f t="shared" si="250"/>
        <v>0.4102564103</v>
      </c>
      <c r="AR118" s="410">
        <f t="shared" si="250"/>
        <v>0.4197530864</v>
      </c>
      <c r="AS118" s="410">
        <f t="shared" si="250"/>
        <v>0.4096385542</v>
      </c>
      <c r="AT118" s="410">
        <f t="shared" si="250"/>
        <v>0.4022988506</v>
      </c>
      <c r="AU118" s="410">
        <f t="shared" si="250"/>
        <v>0.4069767442</v>
      </c>
      <c r="AV118" s="410">
        <f t="shared" si="250"/>
        <v>0.4456521739</v>
      </c>
      <c r="AW118" s="410">
        <f t="shared" si="250"/>
        <v>0.4444444444</v>
      </c>
      <c r="AX118" s="410">
        <f t="shared" si="250"/>
        <v>0.4666666667</v>
      </c>
      <c r="AY118" s="410">
        <f t="shared" ref="AY118:BV118" si="251">IFERROR(AY116/SUM(AY$116:AY$117),0)</f>
        <v>0.4777777778</v>
      </c>
      <c r="AZ118" s="410">
        <f t="shared" si="251"/>
        <v>0.4777777778</v>
      </c>
      <c r="BA118" s="410">
        <f t="shared" si="251"/>
        <v>0.4827586207</v>
      </c>
      <c r="BB118" s="410">
        <f t="shared" si="251"/>
        <v>0.488372093</v>
      </c>
      <c r="BC118" s="410">
        <f t="shared" si="251"/>
        <v>0.5056179775</v>
      </c>
      <c r="BD118" s="410">
        <f t="shared" si="251"/>
        <v>0.5</v>
      </c>
      <c r="BE118" s="410">
        <f t="shared" si="251"/>
        <v>0.5052631579</v>
      </c>
      <c r="BF118" s="410">
        <f t="shared" si="251"/>
        <v>0.4897959184</v>
      </c>
      <c r="BG118" s="410">
        <f t="shared" si="251"/>
        <v>0.4591836735</v>
      </c>
      <c r="BH118" s="410">
        <f t="shared" si="251"/>
        <v>0.4444444444</v>
      </c>
      <c r="BI118" s="410">
        <f t="shared" si="251"/>
        <v>0.4326923077</v>
      </c>
      <c r="BJ118" s="410">
        <f t="shared" si="251"/>
        <v>0.4205607477</v>
      </c>
      <c r="BK118" s="410">
        <f t="shared" si="251"/>
        <v>0.3981481481</v>
      </c>
      <c r="BL118" s="410">
        <f t="shared" si="251"/>
        <v>0.3925233645</v>
      </c>
      <c r="BM118" s="410">
        <f t="shared" si="251"/>
        <v>0.4018691589</v>
      </c>
      <c r="BN118" s="410">
        <f t="shared" si="251"/>
        <v>0.3909090909</v>
      </c>
      <c r="BO118" s="410">
        <f t="shared" si="251"/>
        <v>0.3716814159</v>
      </c>
      <c r="BP118" s="410">
        <f t="shared" si="251"/>
        <v>0.3644067797</v>
      </c>
      <c r="BQ118" s="410">
        <f t="shared" si="251"/>
        <v>0.3553719008</v>
      </c>
      <c r="BR118" s="410">
        <f t="shared" si="251"/>
        <v>0.3524590164</v>
      </c>
      <c r="BS118" s="410">
        <f t="shared" si="251"/>
        <v>0</v>
      </c>
      <c r="BT118" s="410">
        <f t="shared" si="251"/>
        <v>0</v>
      </c>
      <c r="BU118" s="410">
        <f t="shared" si="251"/>
        <v>0</v>
      </c>
      <c r="BV118" s="410">
        <f t="shared" si="251"/>
        <v>0</v>
      </c>
      <c r="BX118" s="411">
        <f t="shared" ref="BX118:BX119" si="258">IFERROR(BX116/SUM(BX$116:BX$117),0)</f>
        <v>0.4294175716</v>
      </c>
      <c r="BY118" s="412"/>
      <c r="BZ118" s="410">
        <f t="shared" ref="BZ118:CD118" si="252">IFERROR(BZ116/sum(BZ117,BZ116),0)</f>
        <v>0.397515528</v>
      </c>
      <c r="CA118" s="410">
        <f t="shared" si="252"/>
        <v>0.3753665689</v>
      </c>
      <c r="CB118" s="410">
        <f t="shared" si="252"/>
        <v>0.353909465</v>
      </c>
      <c r="CC118" s="410">
        <f t="shared" si="252"/>
        <v>0</v>
      </c>
      <c r="CD118" s="411">
        <f t="shared" si="252"/>
        <v>0</v>
      </c>
      <c r="CE118" s="412"/>
      <c r="CF118" s="410">
        <f t="shared" ref="CF118:CJ118" si="253">IFERROR(CF116/sum(CF117,CF116),0)</f>
        <v>0.4794007491</v>
      </c>
      <c r="CG118" s="410">
        <f t="shared" si="253"/>
        <v>0.4981132075</v>
      </c>
      <c r="CH118" s="410">
        <f t="shared" si="253"/>
        <v>0.4845360825</v>
      </c>
      <c r="CI118" s="410">
        <f t="shared" si="253"/>
        <v>0.4322580645</v>
      </c>
      <c r="CJ118" s="411">
        <f t="shared" si="253"/>
        <v>0.4322580645</v>
      </c>
      <c r="CK118" s="412"/>
      <c r="CL118" s="410">
        <f t="shared" ref="CL118:CO118" si="254">CL116/sum(CL117,CL116)</f>
        <v>0.3449781659</v>
      </c>
      <c r="CM118" s="410">
        <f t="shared" si="254"/>
        <v>0.4102564103</v>
      </c>
      <c r="CN118" s="410">
        <f t="shared" si="254"/>
        <v>0.40625</v>
      </c>
      <c r="CO118" s="410">
        <f t="shared" si="254"/>
        <v>0.4522058824</v>
      </c>
      <c r="CP118" s="411">
        <f t="shared" ref="CP118:CP119" si="262">average(CL118:CO118)</f>
        <v>0.4034226146</v>
      </c>
      <c r="CQ118" s="413"/>
      <c r="CR118" s="410">
        <f t="shared" ref="CR118:CU118" si="255">CR116/sum(CR117,CR116)</f>
        <v>0.3805970149</v>
      </c>
      <c r="CS118" s="410">
        <f t="shared" si="255"/>
        <v>0.335443038</v>
      </c>
      <c r="CT118" s="410">
        <f t="shared" si="255"/>
        <v>0.3459459459</v>
      </c>
      <c r="CU118" s="410">
        <f t="shared" si="255"/>
        <v>0.3694581281</v>
      </c>
      <c r="CV118" s="411"/>
      <c r="CW118" s="413"/>
      <c r="CX118" s="411"/>
      <c r="CY118" s="412"/>
      <c r="CZ118" s="359"/>
      <c r="DA118" s="359"/>
      <c r="DB118" s="359"/>
      <c r="DC118" s="359"/>
      <c r="DD118" s="359"/>
      <c r="DE118" s="359"/>
      <c r="DF118" s="359"/>
      <c r="DG118" s="359"/>
      <c r="DH118" s="359"/>
      <c r="DI118" s="359"/>
      <c r="DJ118" s="359"/>
      <c r="DK118" s="359"/>
      <c r="DL118" s="410"/>
      <c r="DM118" s="410"/>
      <c r="DN118" s="410"/>
      <c r="DO118" s="410"/>
      <c r="DP118" s="410"/>
      <c r="DQ118" s="410"/>
      <c r="DR118" s="410"/>
      <c r="DS118" s="410"/>
      <c r="DT118" s="410"/>
      <c r="DU118" s="410"/>
      <c r="DV118" s="410"/>
      <c r="DW118" s="410"/>
      <c r="DX118" s="410"/>
      <c r="DY118" s="410"/>
      <c r="DZ118" s="410"/>
      <c r="EA118" s="410"/>
      <c r="EB118" s="410"/>
      <c r="EC118" s="410"/>
      <c r="ED118" s="410"/>
      <c r="EE118" s="410"/>
      <c r="EF118" s="410"/>
      <c r="EG118" s="410"/>
      <c r="EH118" s="410"/>
      <c r="EI118" s="465"/>
      <c r="EJ118" s="410"/>
      <c r="EK118" s="410"/>
      <c r="EL118" s="410"/>
      <c r="EM118" s="410"/>
      <c r="EN118" s="410"/>
      <c r="EO118" s="410"/>
      <c r="EP118" s="410"/>
      <c r="EQ118" s="410"/>
      <c r="ER118" s="410"/>
      <c r="ES118" s="410"/>
      <c r="ET118" s="410"/>
      <c r="EU118" s="410"/>
      <c r="EV118" s="410"/>
      <c r="EW118" s="410"/>
      <c r="EX118" s="410"/>
      <c r="EY118" s="410"/>
      <c r="EZ118" s="410"/>
      <c r="FA118" s="410"/>
      <c r="FB118" s="410"/>
      <c r="FC118" s="410"/>
      <c r="FD118" s="410"/>
      <c r="FE118" s="410"/>
      <c r="FF118" s="410"/>
      <c r="FG118" s="410"/>
      <c r="FH118" s="410"/>
    </row>
    <row r="119">
      <c r="B119" s="387" t="s">
        <v>540</v>
      </c>
      <c r="C119" s="359"/>
      <c r="D119" s="359"/>
      <c r="E119" s="359"/>
      <c r="F119" s="359"/>
      <c r="G119" s="359"/>
      <c r="H119" s="359"/>
      <c r="I119" s="359"/>
      <c r="J119" s="359"/>
      <c r="K119" s="359"/>
      <c r="L119" s="359"/>
      <c r="M119" s="359"/>
      <c r="N119" s="359"/>
      <c r="O119" s="359"/>
      <c r="P119" s="359"/>
      <c r="Q119" s="359"/>
      <c r="R119" s="359"/>
      <c r="S119" s="359"/>
      <c r="T119" s="359"/>
      <c r="U119" s="359"/>
      <c r="V119" s="359"/>
      <c r="W119" s="359"/>
      <c r="X119" s="359"/>
      <c r="Y119" s="359"/>
      <c r="Z119" s="359"/>
      <c r="AA119" s="410">
        <f t="shared" ref="AA119:AX119" si="256">AA117/SUM(AA$116:AA$117)</f>
        <v>0.6</v>
      </c>
      <c r="AB119" s="410">
        <f t="shared" si="256"/>
        <v>0.6222222222</v>
      </c>
      <c r="AC119" s="410">
        <f t="shared" si="256"/>
        <v>0.6326530612</v>
      </c>
      <c r="AD119" s="410">
        <f t="shared" si="256"/>
        <v>0.6666666667</v>
      </c>
      <c r="AE119" s="410">
        <f t="shared" si="256"/>
        <v>0.6730769231</v>
      </c>
      <c r="AF119" s="410">
        <f t="shared" si="256"/>
        <v>0.6545454545</v>
      </c>
      <c r="AG119" s="410">
        <f t="shared" si="256"/>
        <v>0.6724137931</v>
      </c>
      <c r="AH119" s="410">
        <f t="shared" si="256"/>
        <v>0.6612903226</v>
      </c>
      <c r="AI119" s="410">
        <f t="shared" si="256"/>
        <v>0.6307692308</v>
      </c>
      <c r="AJ119" s="410">
        <f t="shared" si="256"/>
        <v>0.6129032258</v>
      </c>
      <c r="AK119" s="410">
        <f t="shared" si="256"/>
        <v>0.6323529412</v>
      </c>
      <c r="AL119" s="410">
        <f t="shared" si="256"/>
        <v>0.6438356164</v>
      </c>
      <c r="AM119" s="410">
        <f t="shared" si="256"/>
        <v>0.64</v>
      </c>
      <c r="AN119" s="410">
        <f t="shared" si="256"/>
        <v>0.6666666667</v>
      </c>
      <c r="AO119" s="410">
        <f t="shared" si="256"/>
        <v>0.6578947368</v>
      </c>
      <c r="AP119" s="410">
        <f t="shared" si="256"/>
        <v>0.6</v>
      </c>
      <c r="AQ119" s="410">
        <f t="shared" si="256"/>
        <v>0.5897435897</v>
      </c>
      <c r="AR119" s="410">
        <f t="shared" si="256"/>
        <v>0.5802469136</v>
      </c>
      <c r="AS119" s="410">
        <f t="shared" si="256"/>
        <v>0.5903614458</v>
      </c>
      <c r="AT119" s="410">
        <f t="shared" si="256"/>
        <v>0.5977011494</v>
      </c>
      <c r="AU119" s="410">
        <f t="shared" si="256"/>
        <v>0.5930232558</v>
      </c>
      <c r="AV119" s="410">
        <f t="shared" si="256"/>
        <v>0.5543478261</v>
      </c>
      <c r="AW119" s="410">
        <f t="shared" si="256"/>
        <v>0.5555555556</v>
      </c>
      <c r="AX119" s="410">
        <f t="shared" si="256"/>
        <v>0.5333333333</v>
      </c>
      <c r="AY119" s="410">
        <f t="shared" ref="AY119:BV119" si="257">IFERROR(AY117/SUM(AY$116:AY$117),0)</f>
        <v>0.5222222222</v>
      </c>
      <c r="AZ119" s="410">
        <f t="shared" si="257"/>
        <v>0.5222222222</v>
      </c>
      <c r="BA119" s="410">
        <f t="shared" si="257"/>
        <v>0.5172413793</v>
      </c>
      <c r="BB119" s="410">
        <f t="shared" si="257"/>
        <v>0.511627907</v>
      </c>
      <c r="BC119" s="410">
        <f t="shared" si="257"/>
        <v>0.4943820225</v>
      </c>
      <c r="BD119" s="410">
        <f t="shared" si="257"/>
        <v>0.5</v>
      </c>
      <c r="BE119" s="410">
        <f t="shared" si="257"/>
        <v>0.4947368421</v>
      </c>
      <c r="BF119" s="410">
        <f t="shared" si="257"/>
        <v>0.5102040816</v>
      </c>
      <c r="BG119" s="410">
        <f t="shared" si="257"/>
        <v>0.5408163265</v>
      </c>
      <c r="BH119" s="410">
        <f t="shared" si="257"/>
        <v>0.5555555556</v>
      </c>
      <c r="BI119" s="410">
        <f t="shared" si="257"/>
        <v>0.5673076923</v>
      </c>
      <c r="BJ119" s="410">
        <f t="shared" si="257"/>
        <v>0.5794392523</v>
      </c>
      <c r="BK119" s="410">
        <f t="shared" si="257"/>
        <v>0.6018518519</v>
      </c>
      <c r="BL119" s="410">
        <f t="shared" si="257"/>
        <v>0.6074766355</v>
      </c>
      <c r="BM119" s="410">
        <f t="shared" si="257"/>
        <v>0.5981308411</v>
      </c>
      <c r="BN119" s="410">
        <f t="shared" si="257"/>
        <v>0.6090909091</v>
      </c>
      <c r="BO119" s="410">
        <f t="shared" si="257"/>
        <v>0.6283185841</v>
      </c>
      <c r="BP119" s="410">
        <f t="shared" si="257"/>
        <v>0.6355932203</v>
      </c>
      <c r="BQ119" s="410">
        <f t="shared" si="257"/>
        <v>0.6446280992</v>
      </c>
      <c r="BR119" s="410">
        <f t="shared" si="257"/>
        <v>0.6475409836</v>
      </c>
      <c r="BS119" s="410">
        <f t="shared" si="257"/>
        <v>0</v>
      </c>
      <c r="BT119" s="410">
        <f t="shared" si="257"/>
        <v>0</v>
      </c>
      <c r="BU119" s="410">
        <f t="shared" si="257"/>
        <v>0</v>
      </c>
      <c r="BV119" s="410">
        <f t="shared" si="257"/>
        <v>0</v>
      </c>
      <c r="BX119" s="411">
        <f t="shared" si="258"/>
        <v>0.5705824284</v>
      </c>
      <c r="BY119" s="412"/>
      <c r="BZ119" s="410">
        <f t="shared" ref="BZ119:CD119" si="259">IFERROR(BZ117/(sum(BZ116,BZ117)),0)</f>
        <v>0.602484472</v>
      </c>
      <c r="CA119" s="410">
        <f t="shared" si="259"/>
        <v>0.6246334311</v>
      </c>
      <c r="CB119" s="410">
        <f t="shared" si="259"/>
        <v>0.646090535</v>
      </c>
      <c r="CC119" s="410">
        <f t="shared" si="259"/>
        <v>0</v>
      </c>
      <c r="CD119" s="411">
        <f t="shared" si="259"/>
        <v>0</v>
      </c>
      <c r="CE119" s="412"/>
      <c r="CF119" s="410">
        <f t="shared" ref="CF119:CJ119" si="260">IFERROR(CF117/(sum(CF116,CF117)),0)</f>
        <v>0.5205992509</v>
      </c>
      <c r="CG119" s="410">
        <f t="shared" si="260"/>
        <v>0.5018867925</v>
      </c>
      <c r="CH119" s="410">
        <f t="shared" si="260"/>
        <v>0.5154639175</v>
      </c>
      <c r="CI119" s="410">
        <f t="shared" si="260"/>
        <v>0.5677419355</v>
      </c>
      <c r="CJ119" s="411">
        <f t="shared" si="260"/>
        <v>0.5677419355</v>
      </c>
      <c r="CK119" s="412"/>
      <c r="CL119" s="410">
        <f t="shared" ref="CL119:CO119" si="261">CL117/(sum(CL116,CL117))</f>
        <v>0.6550218341</v>
      </c>
      <c r="CM119" s="410">
        <f t="shared" si="261"/>
        <v>0.5897435897</v>
      </c>
      <c r="CN119" s="410">
        <f t="shared" si="261"/>
        <v>0.59375</v>
      </c>
      <c r="CO119" s="410">
        <f t="shared" si="261"/>
        <v>0.5477941176</v>
      </c>
      <c r="CP119" s="411">
        <f t="shared" si="262"/>
        <v>0.5965773854</v>
      </c>
      <c r="CQ119" s="413"/>
      <c r="CR119" s="410">
        <f t="shared" ref="CR119:CU119" si="263">CR117/(sum(CR116,CR117))</f>
        <v>0.6194029851</v>
      </c>
      <c r="CS119" s="410">
        <f t="shared" si="263"/>
        <v>0.664556962</v>
      </c>
      <c r="CT119" s="410">
        <f t="shared" si="263"/>
        <v>0.6540540541</v>
      </c>
      <c r="CU119" s="410">
        <f t="shared" si="263"/>
        <v>0.6305418719</v>
      </c>
      <c r="CV119" s="411"/>
      <c r="CW119" s="413"/>
      <c r="CX119" s="411"/>
      <c r="CY119" s="412"/>
      <c r="CZ119" s="359"/>
      <c r="DA119" s="359"/>
      <c r="DB119" s="359"/>
      <c r="DC119" s="359"/>
      <c r="DD119" s="359"/>
      <c r="DE119" s="359"/>
      <c r="DF119" s="359"/>
      <c r="DG119" s="359"/>
      <c r="DH119" s="359"/>
      <c r="DI119" s="359"/>
      <c r="DJ119" s="359"/>
      <c r="DK119" s="359"/>
      <c r="DL119" s="410"/>
      <c r="DM119" s="410"/>
      <c r="DN119" s="410"/>
      <c r="DO119" s="410"/>
      <c r="DP119" s="410"/>
      <c r="DQ119" s="410"/>
      <c r="DR119" s="410"/>
      <c r="DS119" s="410"/>
      <c r="DT119" s="410"/>
      <c r="DU119" s="410"/>
      <c r="DV119" s="410"/>
      <c r="DW119" s="410"/>
      <c r="DX119" s="410"/>
      <c r="DY119" s="410"/>
      <c r="DZ119" s="410"/>
      <c r="EA119" s="410"/>
      <c r="EB119" s="410"/>
      <c r="EC119" s="410"/>
      <c r="ED119" s="410"/>
      <c r="EE119" s="410"/>
      <c r="EF119" s="410"/>
      <c r="EG119" s="410"/>
      <c r="EH119" s="410"/>
      <c r="EI119" s="465"/>
      <c r="EJ119" s="410"/>
      <c r="EK119" s="410"/>
      <c r="EL119" s="410"/>
      <c r="EM119" s="410"/>
      <c r="EN119" s="410"/>
      <c r="EO119" s="410"/>
      <c r="EP119" s="410"/>
      <c r="EQ119" s="410"/>
      <c r="ER119" s="410"/>
      <c r="ES119" s="410"/>
      <c r="ET119" s="410"/>
      <c r="EU119" s="410"/>
      <c r="EV119" s="410"/>
      <c r="EW119" s="410"/>
      <c r="EX119" s="410"/>
      <c r="EY119" s="410"/>
      <c r="EZ119" s="410"/>
      <c r="FA119" s="410"/>
      <c r="FB119" s="410"/>
      <c r="FC119" s="410"/>
      <c r="FD119" s="410"/>
      <c r="FE119" s="410"/>
      <c r="FF119" s="410"/>
      <c r="FG119" s="410"/>
      <c r="FH119" s="410"/>
    </row>
    <row r="120">
      <c r="B120" s="387" t="s">
        <v>541</v>
      </c>
      <c r="C120" s="359"/>
      <c r="D120" s="359"/>
      <c r="E120" s="359"/>
      <c r="F120" s="359"/>
      <c r="G120" s="359"/>
      <c r="H120" s="359"/>
      <c r="I120" s="359"/>
      <c r="J120" s="359"/>
      <c r="K120" s="359"/>
      <c r="L120" s="359"/>
      <c r="M120" s="359"/>
      <c r="N120" s="359"/>
      <c r="O120" s="359"/>
      <c r="P120" s="359"/>
      <c r="Q120" s="359"/>
      <c r="R120" s="359"/>
      <c r="S120" s="359"/>
      <c r="T120" s="359"/>
      <c r="U120" s="359"/>
      <c r="V120" s="359"/>
      <c r="W120" s="359"/>
      <c r="X120" s="359"/>
      <c r="Y120" s="359"/>
      <c r="Z120" s="359"/>
      <c r="AA120" s="414">
        <f t="shared" ref="AA120:BV120" si="264">AA117*1960/12</f>
        <v>3920</v>
      </c>
      <c r="AB120" s="414">
        <f t="shared" si="264"/>
        <v>4573.333333</v>
      </c>
      <c r="AC120" s="414">
        <f t="shared" si="264"/>
        <v>5063.333333</v>
      </c>
      <c r="AD120" s="414">
        <f t="shared" si="264"/>
        <v>5553.333333</v>
      </c>
      <c r="AE120" s="414">
        <f t="shared" si="264"/>
        <v>5716.666667</v>
      </c>
      <c r="AF120" s="414">
        <f t="shared" si="264"/>
        <v>5880</v>
      </c>
      <c r="AG120" s="414">
        <f t="shared" si="264"/>
        <v>6370</v>
      </c>
      <c r="AH120" s="414">
        <f t="shared" si="264"/>
        <v>6696.666667</v>
      </c>
      <c r="AI120" s="414">
        <f t="shared" si="264"/>
        <v>6696.666667</v>
      </c>
      <c r="AJ120" s="414">
        <f t="shared" si="264"/>
        <v>6206.666667</v>
      </c>
      <c r="AK120" s="414">
        <f t="shared" si="264"/>
        <v>7023.333333</v>
      </c>
      <c r="AL120" s="414">
        <f t="shared" si="264"/>
        <v>7676.666667</v>
      </c>
      <c r="AM120" s="414">
        <f t="shared" si="264"/>
        <v>7840</v>
      </c>
      <c r="AN120" s="414">
        <f t="shared" si="264"/>
        <v>8493.333333</v>
      </c>
      <c r="AO120" s="414">
        <f t="shared" si="264"/>
        <v>8166.666667</v>
      </c>
      <c r="AP120" s="414">
        <f t="shared" si="264"/>
        <v>7350</v>
      </c>
      <c r="AQ120" s="414">
        <f t="shared" si="264"/>
        <v>7513.333333</v>
      </c>
      <c r="AR120" s="414">
        <f t="shared" si="264"/>
        <v>7676.666667</v>
      </c>
      <c r="AS120" s="414">
        <f t="shared" si="264"/>
        <v>8003.333333</v>
      </c>
      <c r="AT120" s="414">
        <f t="shared" si="264"/>
        <v>8493.333333</v>
      </c>
      <c r="AU120" s="414">
        <f t="shared" si="264"/>
        <v>8330</v>
      </c>
      <c r="AV120" s="414">
        <f t="shared" si="264"/>
        <v>8330</v>
      </c>
      <c r="AW120" s="414">
        <f t="shared" si="264"/>
        <v>8166.666667</v>
      </c>
      <c r="AX120" s="414">
        <f t="shared" si="264"/>
        <v>7840</v>
      </c>
      <c r="AY120" s="414">
        <f t="shared" si="264"/>
        <v>7676.666667</v>
      </c>
      <c r="AZ120" s="414">
        <f t="shared" si="264"/>
        <v>7676.666667</v>
      </c>
      <c r="BA120" s="414">
        <f t="shared" si="264"/>
        <v>7350</v>
      </c>
      <c r="BB120" s="414">
        <f t="shared" si="264"/>
        <v>7186.666667</v>
      </c>
      <c r="BC120" s="414">
        <f t="shared" si="264"/>
        <v>7186.666667</v>
      </c>
      <c r="BD120" s="414">
        <f t="shared" si="264"/>
        <v>7350</v>
      </c>
      <c r="BE120" s="414">
        <f t="shared" si="264"/>
        <v>7676.666667</v>
      </c>
      <c r="BF120" s="414">
        <f t="shared" si="264"/>
        <v>8166.666667</v>
      </c>
      <c r="BG120" s="414">
        <f t="shared" si="264"/>
        <v>8656.666667</v>
      </c>
      <c r="BH120" s="414">
        <f t="shared" si="264"/>
        <v>8983.333333</v>
      </c>
      <c r="BI120" s="414">
        <f t="shared" si="264"/>
        <v>9636.666667</v>
      </c>
      <c r="BJ120" s="414">
        <f t="shared" si="264"/>
        <v>10126.66667</v>
      </c>
      <c r="BK120" s="414">
        <f t="shared" si="264"/>
        <v>10616.66667</v>
      </c>
      <c r="BL120" s="414">
        <f t="shared" si="264"/>
        <v>10616.66667</v>
      </c>
      <c r="BM120" s="414">
        <f t="shared" si="264"/>
        <v>10453.33333</v>
      </c>
      <c r="BN120" s="414">
        <f t="shared" si="264"/>
        <v>10943.33333</v>
      </c>
      <c r="BO120" s="414">
        <f t="shared" si="264"/>
        <v>11596.66667</v>
      </c>
      <c r="BP120" s="414">
        <f t="shared" si="264"/>
        <v>12250</v>
      </c>
      <c r="BQ120" s="414">
        <f t="shared" si="264"/>
        <v>12740</v>
      </c>
      <c r="BR120" s="414">
        <f t="shared" si="264"/>
        <v>12903.33333</v>
      </c>
      <c r="BS120" s="414">
        <f t="shared" si="264"/>
        <v>0</v>
      </c>
      <c r="BT120" s="414">
        <f t="shared" si="264"/>
        <v>0</v>
      </c>
      <c r="BU120" s="414">
        <f t="shared" si="264"/>
        <v>0</v>
      </c>
      <c r="BV120" s="414">
        <f t="shared" si="264"/>
        <v>0</v>
      </c>
      <c r="BX120" s="415">
        <f>BX117*2080/12</f>
        <v>8348.888889</v>
      </c>
      <c r="BY120" s="412"/>
      <c r="BZ120" s="405">
        <f t="shared" ref="BZ120:BZ121" si="265">sum(BK120:BM120)</f>
        <v>31686.66667</v>
      </c>
      <c r="CA120" s="406">
        <f t="shared" ref="CA120:CA121" si="266">sum(BN120:BP120)</f>
        <v>34790</v>
      </c>
      <c r="CB120" s="406">
        <f t="shared" ref="CB120:CB121" si="267">sum(BQ120:BS120)</f>
        <v>25643.33333</v>
      </c>
      <c r="CC120" s="406">
        <f t="shared" ref="CC120:CC121" si="268">sum(BT120:BV120)</f>
        <v>0</v>
      </c>
      <c r="CD120" s="404">
        <f t="shared" ref="CD120:CD121" si="269">SUM(BK120:BV120)</f>
        <v>92120</v>
      </c>
      <c r="CE120" s="412"/>
      <c r="CF120" s="405">
        <f t="shared" ref="CF120:CF121" si="270">sum(AY120:BA120)</f>
        <v>22703.33333</v>
      </c>
      <c r="CG120" s="406">
        <f t="shared" ref="CG120:CG121" si="271">sum(BB120:BD120)</f>
        <v>21723.33333</v>
      </c>
      <c r="CH120" s="406">
        <f t="shared" ref="CH120:CH121" si="272">sum(BE120:BG120)</f>
        <v>24500</v>
      </c>
      <c r="CI120" s="406">
        <f t="shared" ref="CI120:CI121" si="273">sum(BH120:BJ120)</f>
        <v>28746.66667</v>
      </c>
      <c r="CJ120" s="415">
        <f t="shared" ref="CJ120:CJ121" si="274">sum(AY120:BJ120)</f>
        <v>97673.33333</v>
      </c>
      <c r="CK120" s="412"/>
      <c r="CL120" s="405">
        <f t="shared" ref="CL120:CL121" si="275">sum(AM120:AO120)</f>
        <v>24500</v>
      </c>
      <c r="CM120" s="405">
        <f t="shared" ref="CM120:CM121" si="276">sum(AP120:AR120)</f>
        <v>22540</v>
      </c>
      <c r="CN120" s="405">
        <f t="shared" ref="CN120:CN121" si="277">sum(AS120:AU120)</f>
        <v>24826.66667</v>
      </c>
      <c r="CO120" s="405">
        <f t="shared" ref="CO120:CO121" si="278">sum(AV120:AX120)</f>
        <v>24336.66667</v>
      </c>
      <c r="CP120" s="415">
        <f t="shared" ref="CP120:CP121" si="279">sum(AM120:AX120)</f>
        <v>96203.33333</v>
      </c>
      <c r="CQ120" s="412"/>
      <c r="CR120" s="405">
        <f t="shared" ref="CR120:CR121" si="280">sum(AA120:AC120)</f>
        <v>13556.66667</v>
      </c>
      <c r="CS120" s="405">
        <f t="shared" ref="CS120:CS121" si="281">sum(AD120:AF120)</f>
        <v>17150</v>
      </c>
      <c r="CT120" s="405">
        <f t="shared" ref="CT120:CT121" si="282">sum(AG120:AI120)</f>
        <v>19763.33333</v>
      </c>
      <c r="CU120" s="405">
        <f t="shared" ref="CU120:CU121" si="283">sum(AJ120:AL120)</f>
        <v>20906.66667</v>
      </c>
      <c r="CV120" s="415">
        <f t="shared" ref="CV120:CV121" si="284">sum(AA120:AL120)</f>
        <v>71376.66667</v>
      </c>
      <c r="CW120" s="412"/>
      <c r="CX120" s="415"/>
      <c r="CY120" s="412"/>
      <c r="CZ120" s="359"/>
      <c r="DA120" s="359"/>
      <c r="DB120" s="359"/>
      <c r="DC120" s="359"/>
      <c r="DD120" s="359"/>
      <c r="DE120" s="359"/>
      <c r="DF120" s="359"/>
      <c r="DG120" s="359"/>
      <c r="DH120" s="359"/>
      <c r="DI120" s="359"/>
      <c r="DJ120" s="359"/>
      <c r="DK120" s="359"/>
      <c r="DL120" s="414"/>
      <c r="DM120" s="414"/>
      <c r="DN120" s="414"/>
      <c r="DO120" s="414"/>
      <c r="DP120" s="414"/>
      <c r="DQ120" s="414"/>
      <c r="DR120" s="414"/>
      <c r="DS120" s="414"/>
      <c r="DT120" s="414"/>
      <c r="DU120" s="414"/>
      <c r="DV120" s="414"/>
      <c r="DW120" s="414"/>
      <c r="DX120" s="414"/>
      <c r="DY120" s="414"/>
      <c r="DZ120" s="414"/>
      <c r="EA120" s="414"/>
      <c r="EB120" s="414"/>
      <c r="EC120" s="414"/>
      <c r="ED120" s="414"/>
      <c r="EE120" s="414"/>
      <c r="EF120" s="414"/>
      <c r="EG120" s="414"/>
      <c r="EH120" s="414"/>
      <c r="EI120" s="465"/>
      <c r="EJ120" s="414"/>
      <c r="EK120" s="414"/>
      <c r="EL120" s="414"/>
      <c r="EM120" s="414"/>
      <c r="EN120" s="414"/>
      <c r="EO120" s="414"/>
      <c r="EP120" s="414"/>
      <c r="EQ120" s="414"/>
      <c r="ER120" s="414"/>
      <c r="ES120" s="414"/>
      <c r="ET120" s="414"/>
      <c r="EU120" s="414"/>
      <c r="EV120" s="414"/>
      <c r="EW120" s="414"/>
      <c r="EX120" s="414"/>
      <c r="EY120" s="414"/>
      <c r="EZ120" s="414"/>
      <c r="FA120" s="414"/>
      <c r="FB120" s="414"/>
      <c r="FC120" s="414"/>
      <c r="FD120" s="414"/>
      <c r="FE120" s="414"/>
      <c r="FF120" s="414"/>
      <c r="FG120" s="414"/>
      <c r="FH120" s="414"/>
    </row>
    <row r="121">
      <c r="B121" s="387" t="s">
        <v>542</v>
      </c>
      <c r="C121" s="359"/>
      <c r="D121" s="359"/>
      <c r="E121" s="359"/>
      <c r="F121" s="359"/>
      <c r="G121" s="359"/>
      <c r="H121" s="359"/>
      <c r="I121" s="359"/>
      <c r="J121" s="359"/>
      <c r="K121" s="359"/>
      <c r="L121" s="359"/>
      <c r="M121" s="359"/>
      <c r="N121" s="359"/>
      <c r="O121" s="359"/>
      <c r="P121" s="359"/>
      <c r="Q121" s="359"/>
      <c r="R121" s="359"/>
      <c r="S121" s="359"/>
      <c r="T121" s="359"/>
      <c r="U121" s="359"/>
      <c r="V121" s="359"/>
      <c r="W121" s="359"/>
      <c r="X121" s="359"/>
      <c r="Y121" s="359"/>
      <c r="Z121" s="359"/>
      <c r="AA121" s="416">
        <v>3297.0</v>
      </c>
      <c r="AB121" s="416">
        <v>3002.0</v>
      </c>
      <c r="AC121" s="416">
        <v>3585.0</v>
      </c>
      <c r="AD121" s="405">
        <v>3294.0</v>
      </c>
      <c r="AE121" s="405">
        <v>3442.0</v>
      </c>
      <c r="AF121" s="405">
        <v>3795.0</v>
      </c>
      <c r="AG121" s="405">
        <v>3008.0</v>
      </c>
      <c r="AH121" s="405">
        <v>4691.0</v>
      </c>
      <c r="AI121" s="405">
        <v>3979.0</v>
      </c>
      <c r="AJ121" s="405">
        <v>4807.0</v>
      </c>
      <c r="AK121" s="405">
        <v>4930.0</v>
      </c>
      <c r="AL121" s="405">
        <v>3520.0</v>
      </c>
      <c r="AM121" s="405">
        <v>5663.0</v>
      </c>
      <c r="AN121" s="405">
        <v>5243.0</v>
      </c>
      <c r="AO121" s="405">
        <v>6414.0</v>
      </c>
      <c r="AP121" s="405">
        <v>5502.0</v>
      </c>
      <c r="AQ121" s="405">
        <v>5630.0</v>
      </c>
      <c r="AR121" s="405">
        <v>5226.0</v>
      </c>
      <c r="AS121" s="405">
        <v>4104.0</v>
      </c>
      <c r="AT121" s="405">
        <v>5205.0</v>
      </c>
      <c r="AU121" s="405">
        <v>4636.0</v>
      </c>
      <c r="AV121" s="405">
        <v>5480.0</v>
      </c>
      <c r="AW121" s="405">
        <v>5035.0</v>
      </c>
      <c r="AX121" s="405">
        <v>4568.0</v>
      </c>
      <c r="AY121" s="405">
        <v>4720.0</v>
      </c>
      <c r="AZ121" s="405">
        <v>4826.0</v>
      </c>
      <c r="BA121" s="405">
        <v>4711.0</v>
      </c>
      <c r="BB121" s="405">
        <v>5356.0</v>
      </c>
      <c r="BC121" s="405">
        <v>5351.0</v>
      </c>
      <c r="BD121" s="405">
        <v>4948.0</v>
      </c>
      <c r="BE121" s="405">
        <v>6008.0</v>
      </c>
      <c r="BF121" s="405">
        <v>6220.0</v>
      </c>
      <c r="BG121" s="405">
        <v>6318.0</v>
      </c>
      <c r="BH121" s="405">
        <v>7296.0</v>
      </c>
      <c r="BI121" s="405">
        <v>6516.0</v>
      </c>
      <c r="BJ121" s="405">
        <v>6577.0</v>
      </c>
      <c r="BK121" s="405">
        <v>7232.0</v>
      </c>
      <c r="BL121" s="405">
        <v>7148.0</v>
      </c>
      <c r="BM121" s="405">
        <v>7436.0</v>
      </c>
      <c r="BN121" s="405">
        <v>8092.0</v>
      </c>
      <c r="BO121" s="405">
        <v>8241.5</v>
      </c>
      <c r="BP121" s="405">
        <v>8527.0</v>
      </c>
      <c r="BQ121" s="405">
        <v>9799.0</v>
      </c>
      <c r="BR121" s="405">
        <v>8920.0</v>
      </c>
      <c r="BS121" s="405"/>
      <c r="BT121" s="405"/>
      <c r="BU121" s="405"/>
      <c r="BV121" s="405"/>
      <c r="BX121" s="415">
        <f>SUM(AP121:BA121)</f>
        <v>59643</v>
      </c>
      <c r="BY121" s="412"/>
      <c r="BZ121" s="405">
        <f t="shared" si="265"/>
        <v>21816</v>
      </c>
      <c r="CA121" s="417">
        <f t="shared" si="266"/>
        <v>24860.5</v>
      </c>
      <c r="CB121" s="406">
        <f t="shared" si="267"/>
        <v>18719</v>
      </c>
      <c r="CC121" s="417">
        <f t="shared" si="268"/>
        <v>0</v>
      </c>
      <c r="CD121" s="468">
        <f t="shared" si="269"/>
        <v>65395.5</v>
      </c>
      <c r="CE121" s="412"/>
      <c r="CF121" s="405">
        <f t="shared" si="270"/>
        <v>14257</v>
      </c>
      <c r="CG121" s="417">
        <f t="shared" si="271"/>
        <v>15655</v>
      </c>
      <c r="CH121" s="406">
        <f t="shared" si="272"/>
        <v>18546</v>
      </c>
      <c r="CI121" s="417">
        <f t="shared" si="273"/>
        <v>20389</v>
      </c>
      <c r="CJ121" s="415">
        <f t="shared" si="274"/>
        <v>68847</v>
      </c>
      <c r="CK121" s="412"/>
      <c r="CL121" s="405">
        <f t="shared" si="275"/>
        <v>17320</v>
      </c>
      <c r="CM121" s="405">
        <f t="shared" si="276"/>
        <v>16358</v>
      </c>
      <c r="CN121" s="405">
        <f t="shared" si="277"/>
        <v>13945</v>
      </c>
      <c r="CO121" s="405">
        <f t="shared" si="278"/>
        <v>15083</v>
      </c>
      <c r="CP121" s="415">
        <f t="shared" si="279"/>
        <v>62706</v>
      </c>
      <c r="CQ121" s="412"/>
      <c r="CR121" s="405">
        <f t="shared" si="280"/>
        <v>9884</v>
      </c>
      <c r="CS121" s="405">
        <f t="shared" si="281"/>
        <v>10531</v>
      </c>
      <c r="CT121" s="405">
        <f t="shared" si="282"/>
        <v>11678</v>
      </c>
      <c r="CU121" s="405">
        <f t="shared" si="283"/>
        <v>13257</v>
      </c>
      <c r="CV121" s="415">
        <f t="shared" si="284"/>
        <v>45350</v>
      </c>
      <c r="CW121" s="412"/>
      <c r="CX121" s="415"/>
      <c r="CY121" s="412"/>
      <c r="CZ121" s="359"/>
      <c r="DA121" s="359"/>
      <c r="DB121" s="359"/>
      <c r="DC121" s="359"/>
      <c r="DD121" s="359"/>
      <c r="DE121" s="359"/>
      <c r="DF121" s="359"/>
      <c r="DG121" s="359"/>
      <c r="DH121" s="359"/>
      <c r="DI121" s="359"/>
      <c r="DJ121" s="359"/>
      <c r="DK121" s="359"/>
      <c r="DL121" s="416"/>
      <c r="DM121" s="416"/>
      <c r="DN121" s="416"/>
      <c r="DO121" s="405"/>
      <c r="DP121" s="405"/>
      <c r="DQ121" s="405"/>
      <c r="DR121" s="405"/>
      <c r="DS121" s="405"/>
      <c r="DT121" s="405"/>
      <c r="DU121" s="405"/>
      <c r="DV121" s="405"/>
      <c r="DW121" s="405"/>
      <c r="DX121" s="405"/>
      <c r="DY121" s="405"/>
      <c r="DZ121" s="405"/>
      <c r="EA121" s="405"/>
      <c r="EB121" s="405"/>
      <c r="EC121" s="405"/>
      <c r="ED121" s="405"/>
      <c r="EE121" s="405"/>
      <c r="EF121" s="405"/>
      <c r="EG121" s="405"/>
      <c r="EH121" s="405"/>
      <c r="EI121" s="465"/>
      <c r="EJ121" s="405"/>
      <c r="EK121" s="405"/>
      <c r="EL121" s="405"/>
      <c r="EM121" s="405"/>
      <c r="EN121" s="405"/>
      <c r="EO121" s="405"/>
      <c r="EP121" s="405"/>
      <c r="EQ121" s="405"/>
      <c r="ER121" s="405"/>
      <c r="ES121" s="405"/>
      <c r="ET121" s="405"/>
      <c r="EU121" s="405"/>
      <c r="EV121" s="405"/>
      <c r="EW121" s="405"/>
      <c r="EX121" s="405"/>
      <c r="EY121" s="405"/>
      <c r="EZ121" s="405"/>
      <c r="FA121" s="405"/>
      <c r="FB121" s="405"/>
      <c r="FC121" s="405"/>
      <c r="FD121" s="405"/>
      <c r="FE121" s="405"/>
      <c r="FF121" s="405"/>
      <c r="FG121" s="405"/>
      <c r="FH121" s="405"/>
    </row>
    <row r="122">
      <c r="B122" s="387" t="s">
        <v>543</v>
      </c>
      <c r="C122" s="359"/>
      <c r="D122" s="359"/>
      <c r="E122" s="359"/>
      <c r="F122" s="359"/>
      <c r="G122" s="359"/>
      <c r="H122" s="359"/>
      <c r="I122" s="359"/>
      <c r="J122" s="359"/>
      <c r="K122" s="359"/>
      <c r="L122" s="359"/>
      <c r="M122" s="359"/>
      <c r="N122" s="359"/>
      <c r="O122" s="359"/>
      <c r="P122" s="359"/>
      <c r="Q122" s="359"/>
      <c r="R122" s="359"/>
      <c r="S122" s="359"/>
      <c r="T122" s="359"/>
      <c r="U122" s="359"/>
      <c r="V122" s="359"/>
      <c r="W122" s="359"/>
      <c r="X122" s="359"/>
      <c r="Y122" s="359"/>
      <c r="Z122" s="359"/>
      <c r="AA122" s="410">
        <f t="shared" ref="AA122:AX122" si="285">AA121/AA120</f>
        <v>0.8410714286</v>
      </c>
      <c r="AB122" s="410">
        <f t="shared" si="285"/>
        <v>0.6564139942</v>
      </c>
      <c r="AC122" s="410">
        <f t="shared" si="285"/>
        <v>0.7080315997</v>
      </c>
      <c r="AD122" s="410">
        <f t="shared" si="285"/>
        <v>0.5931572629</v>
      </c>
      <c r="AE122" s="410">
        <f t="shared" si="285"/>
        <v>0.6020991254</v>
      </c>
      <c r="AF122" s="410">
        <f t="shared" si="285"/>
        <v>0.6454081633</v>
      </c>
      <c r="AG122" s="410">
        <f t="shared" si="285"/>
        <v>0.4722135008</v>
      </c>
      <c r="AH122" s="410">
        <f t="shared" si="285"/>
        <v>0.7004977601</v>
      </c>
      <c r="AI122" s="410">
        <f t="shared" si="285"/>
        <v>0.5941762071</v>
      </c>
      <c r="AJ122" s="410">
        <f t="shared" si="285"/>
        <v>0.7744897959</v>
      </c>
      <c r="AK122" s="410">
        <f t="shared" si="285"/>
        <v>0.7019458946</v>
      </c>
      <c r="AL122" s="410">
        <f t="shared" si="285"/>
        <v>0.4585323491</v>
      </c>
      <c r="AM122" s="410">
        <f t="shared" si="285"/>
        <v>0.7223214286</v>
      </c>
      <c r="AN122" s="410">
        <f t="shared" si="285"/>
        <v>0.6173076923</v>
      </c>
      <c r="AO122" s="410">
        <f t="shared" si="285"/>
        <v>0.7853877551</v>
      </c>
      <c r="AP122" s="410">
        <f t="shared" si="285"/>
        <v>0.7485714286</v>
      </c>
      <c r="AQ122" s="410">
        <f t="shared" si="285"/>
        <v>0.7493345164</v>
      </c>
      <c r="AR122" s="410">
        <f t="shared" si="285"/>
        <v>0.6807642206</v>
      </c>
      <c r="AS122" s="410">
        <f t="shared" si="285"/>
        <v>0.512786339</v>
      </c>
      <c r="AT122" s="410">
        <f t="shared" si="285"/>
        <v>0.612833595</v>
      </c>
      <c r="AU122" s="410">
        <f t="shared" si="285"/>
        <v>0.556542617</v>
      </c>
      <c r="AV122" s="410">
        <f t="shared" si="285"/>
        <v>0.6578631453</v>
      </c>
      <c r="AW122" s="410">
        <f t="shared" si="285"/>
        <v>0.6165306122</v>
      </c>
      <c r="AX122" s="410">
        <f t="shared" si="285"/>
        <v>0.5826530612</v>
      </c>
      <c r="AY122" s="410">
        <f t="shared" ref="AY122:BV122" si="286">IFERROR(AY121/AY120,0)</f>
        <v>0.6148501954</v>
      </c>
      <c r="AZ122" s="410">
        <f t="shared" si="286"/>
        <v>0.6286582718</v>
      </c>
      <c r="BA122" s="410">
        <f t="shared" si="286"/>
        <v>0.640952381</v>
      </c>
      <c r="BB122" s="410">
        <f t="shared" si="286"/>
        <v>0.7452690167</v>
      </c>
      <c r="BC122" s="410">
        <f t="shared" si="286"/>
        <v>0.7445732839</v>
      </c>
      <c r="BD122" s="410">
        <f t="shared" si="286"/>
        <v>0.6731972789</v>
      </c>
      <c r="BE122" s="410">
        <f t="shared" si="286"/>
        <v>0.7826313504</v>
      </c>
      <c r="BF122" s="410">
        <f t="shared" si="286"/>
        <v>0.7616326531</v>
      </c>
      <c r="BG122" s="410">
        <f t="shared" si="286"/>
        <v>0.7298421255</v>
      </c>
      <c r="BH122" s="410">
        <f t="shared" si="286"/>
        <v>0.8121706865</v>
      </c>
      <c r="BI122" s="410">
        <f t="shared" si="286"/>
        <v>0.6761674161</v>
      </c>
      <c r="BJ122" s="410">
        <f t="shared" si="286"/>
        <v>0.6494733377</v>
      </c>
      <c r="BK122" s="410">
        <f t="shared" si="286"/>
        <v>0.6811930926</v>
      </c>
      <c r="BL122" s="410">
        <f t="shared" si="286"/>
        <v>0.6732810047</v>
      </c>
      <c r="BM122" s="410">
        <f t="shared" si="286"/>
        <v>0.7113520408</v>
      </c>
      <c r="BN122" s="410">
        <f t="shared" si="286"/>
        <v>0.739445629</v>
      </c>
      <c r="BO122" s="410">
        <f t="shared" si="286"/>
        <v>0.7106783558</v>
      </c>
      <c r="BP122" s="410">
        <f t="shared" si="286"/>
        <v>0.6960816327</v>
      </c>
      <c r="BQ122" s="410">
        <f t="shared" si="286"/>
        <v>0.7691522763</v>
      </c>
      <c r="BR122" s="410">
        <f t="shared" si="286"/>
        <v>0.6912942392</v>
      </c>
      <c r="BS122" s="410">
        <f t="shared" si="286"/>
        <v>0</v>
      </c>
      <c r="BT122" s="410">
        <f t="shared" si="286"/>
        <v>0</v>
      </c>
      <c r="BU122" s="410">
        <f t="shared" si="286"/>
        <v>0</v>
      </c>
      <c r="BV122" s="410">
        <f t="shared" si="286"/>
        <v>0</v>
      </c>
      <c r="BX122" s="415">
        <f>IFERROR(BX121/BX120,0)</f>
        <v>7.14382486</v>
      </c>
      <c r="BY122" s="412"/>
      <c r="BZ122" s="418">
        <f t="shared" ref="BZ122:CD122" si="287">IFERROR(BZ121/BZ120,0)</f>
        <v>0.6884914791</v>
      </c>
      <c r="CA122" s="418">
        <f t="shared" si="287"/>
        <v>0.7145875252</v>
      </c>
      <c r="CB122" s="418">
        <f t="shared" si="287"/>
        <v>0.7299753022</v>
      </c>
      <c r="CC122" s="418">
        <f t="shared" si="287"/>
        <v>0</v>
      </c>
      <c r="CD122" s="419">
        <f t="shared" si="287"/>
        <v>0.7098947026</v>
      </c>
      <c r="CE122" s="412"/>
      <c r="CF122" s="418">
        <f t="shared" ref="CF122:CJ122" si="288">IFERROR(CF121/CF120,0)</f>
        <v>0.6279694612</v>
      </c>
      <c r="CG122" s="418">
        <f t="shared" si="288"/>
        <v>0.720653675</v>
      </c>
      <c r="CH122" s="418">
        <f t="shared" si="288"/>
        <v>0.7569795918</v>
      </c>
      <c r="CI122" s="418">
        <f t="shared" si="288"/>
        <v>0.7092648423</v>
      </c>
      <c r="CJ122" s="419">
        <f t="shared" si="288"/>
        <v>0.7048699747</v>
      </c>
      <c r="CK122" s="412"/>
      <c r="CL122" s="418">
        <f t="shared" ref="CL122:CP122" si="289">IFERROR(CL121/CL120,0)</f>
        <v>0.7069387755</v>
      </c>
      <c r="CM122" s="418">
        <f t="shared" si="289"/>
        <v>0.7257320319</v>
      </c>
      <c r="CN122" s="418">
        <f t="shared" si="289"/>
        <v>0.5616944146</v>
      </c>
      <c r="CO122" s="418">
        <f t="shared" si="289"/>
        <v>0.6197644158</v>
      </c>
      <c r="CP122" s="419">
        <f t="shared" si="289"/>
        <v>0.6518069367</v>
      </c>
      <c r="CQ122" s="412"/>
      <c r="CR122" s="418">
        <f t="shared" ref="CR122:CV122" si="290">IFERROR(CR121/CR120,0)</f>
        <v>0.7290877797</v>
      </c>
      <c r="CS122" s="418">
        <f t="shared" si="290"/>
        <v>0.6140524781</v>
      </c>
      <c r="CT122" s="418">
        <f t="shared" si="290"/>
        <v>0.5908922247</v>
      </c>
      <c r="CU122" s="418">
        <f t="shared" si="290"/>
        <v>0.6341039541</v>
      </c>
      <c r="CV122" s="419">
        <f t="shared" si="290"/>
        <v>0.6353616962</v>
      </c>
      <c r="CW122" s="412"/>
      <c r="CX122" s="415"/>
      <c r="CY122" s="412"/>
      <c r="CZ122" s="359"/>
      <c r="DA122" s="359"/>
      <c r="DB122" s="359"/>
      <c r="DC122" s="359"/>
      <c r="DD122" s="359"/>
      <c r="DE122" s="359"/>
      <c r="DF122" s="359"/>
      <c r="DG122" s="359"/>
      <c r="DH122" s="359"/>
      <c r="DI122" s="359"/>
      <c r="DJ122" s="359"/>
      <c r="DK122" s="359"/>
      <c r="DL122" s="410"/>
      <c r="DM122" s="410"/>
      <c r="DN122" s="410"/>
      <c r="DO122" s="410"/>
      <c r="DP122" s="410"/>
      <c r="DQ122" s="410"/>
      <c r="DR122" s="410"/>
      <c r="DS122" s="410"/>
      <c r="DT122" s="410"/>
      <c r="DU122" s="410"/>
      <c r="DV122" s="410"/>
      <c r="DW122" s="410"/>
      <c r="DX122" s="410"/>
      <c r="DY122" s="410"/>
      <c r="DZ122" s="410"/>
      <c r="EA122" s="410"/>
      <c r="EB122" s="410"/>
      <c r="EC122" s="410"/>
      <c r="ED122" s="410"/>
      <c r="EE122" s="410"/>
      <c r="EF122" s="410"/>
      <c r="EG122" s="410"/>
      <c r="EH122" s="410"/>
      <c r="EI122" s="465"/>
      <c r="EJ122" s="410"/>
      <c r="EK122" s="410"/>
      <c r="EL122" s="410"/>
      <c r="EM122" s="410"/>
      <c r="EN122" s="410"/>
      <c r="EO122" s="410"/>
      <c r="EP122" s="410"/>
      <c r="EQ122" s="410"/>
      <c r="ER122" s="410"/>
      <c r="ES122" s="410"/>
      <c r="ET122" s="410"/>
      <c r="EU122" s="410"/>
      <c r="EV122" s="410"/>
      <c r="EW122" s="410"/>
      <c r="EX122" s="410"/>
      <c r="EY122" s="410"/>
      <c r="EZ122" s="410"/>
      <c r="FA122" s="410"/>
      <c r="FB122" s="410"/>
      <c r="FC122" s="410"/>
      <c r="FD122" s="410"/>
      <c r="FE122" s="410"/>
      <c r="FF122" s="410"/>
      <c r="FG122" s="410"/>
      <c r="FH122" s="410"/>
    </row>
    <row r="123">
      <c r="B123" s="387" t="s">
        <v>544</v>
      </c>
      <c r="C123" s="359"/>
      <c r="D123" s="359"/>
      <c r="E123" s="359"/>
      <c r="F123" s="359"/>
      <c r="G123" s="359"/>
      <c r="H123" s="359"/>
      <c r="I123" s="359"/>
      <c r="J123" s="359"/>
      <c r="K123" s="359"/>
      <c r="L123" s="359"/>
      <c r="M123" s="359"/>
      <c r="N123" s="359"/>
      <c r="O123" s="359"/>
      <c r="P123" s="359"/>
      <c r="Q123" s="359"/>
      <c r="R123" s="359"/>
      <c r="S123" s="359"/>
      <c r="T123" s="359"/>
      <c r="U123" s="359"/>
      <c r="V123" s="359"/>
      <c r="W123" s="359"/>
      <c r="X123" s="359"/>
      <c r="Y123" s="359"/>
      <c r="Z123" s="359"/>
      <c r="AA123" s="416">
        <v>4413.0</v>
      </c>
      <c r="AB123" s="416">
        <v>4010.0</v>
      </c>
      <c r="AC123" s="416">
        <v>5921.0</v>
      </c>
      <c r="AD123" s="405">
        <v>4461.0</v>
      </c>
      <c r="AE123" s="405">
        <v>4931.0</v>
      </c>
      <c r="AF123" s="405">
        <v>5779.0</v>
      </c>
      <c r="AG123" s="405">
        <v>4895.0</v>
      </c>
      <c r="AH123" s="405">
        <v>7727.0</v>
      </c>
      <c r="AI123" s="405">
        <v>6007.0</v>
      </c>
      <c r="AJ123" s="405">
        <v>6521.0</v>
      </c>
      <c r="AK123" s="405">
        <v>6832.0</v>
      </c>
      <c r="AL123" s="405">
        <v>4738.0</v>
      </c>
      <c r="AM123" s="405">
        <v>7295.0</v>
      </c>
      <c r="AN123" s="405">
        <v>6481.0</v>
      </c>
      <c r="AO123" s="405">
        <v>8001.0</v>
      </c>
      <c r="AP123" s="405">
        <v>6575.0</v>
      </c>
      <c r="AQ123" s="405">
        <v>6922.0</v>
      </c>
      <c r="AR123" s="405">
        <v>6541.0</v>
      </c>
      <c r="AS123" s="405">
        <v>5072.0</v>
      </c>
      <c r="AT123" s="405">
        <v>6260.0</v>
      </c>
      <c r="AU123" s="405">
        <v>5070.0</v>
      </c>
      <c r="AV123" s="405">
        <v>6014.0</v>
      </c>
      <c r="AW123" s="405">
        <v>5662.0</v>
      </c>
      <c r="AX123" s="405">
        <v>5130.0</v>
      </c>
      <c r="AY123" s="405">
        <v>5150.0</v>
      </c>
      <c r="AZ123" s="405">
        <v>5202.0</v>
      </c>
      <c r="BA123" s="405">
        <v>5225.0</v>
      </c>
      <c r="BB123" s="405">
        <v>5532.0</v>
      </c>
      <c r="BC123" s="405">
        <v>5741.0</v>
      </c>
      <c r="BD123" s="405">
        <v>5650.0</v>
      </c>
      <c r="BE123" s="405">
        <v>6338.0</v>
      </c>
      <c r="BF123" s="405">
        <v>6595.0</v>
      </c>
      <c r="BG123" s="405">
        <v>6599.0</v>
      </c>
      <c r="BH123" s="405">
        <v>7978.0</v>
      </c>
      <c r="BI123" s="405">
        <v>7101.0</v>
      </c>
      <c r="BJ123" s="405">
        <v>7314.0</v>
      </c>
      <c r="BK123" s="405">
        <v>7737.0</v>
      </c>
      <c r="BL123" s="405">
        <v>7667.0</v>
      </c>
      <c r="BM123" s="405">
        <v>7723.0</v>
      </c>
      <c r="BN123" s="405">
        <v>8451.0</v>
      </c>
      <c r="BO123" s="405">
        <v>8615.0</v>
      </c>
      <c r="BP123" s="405">
        <v>8844.0</v>
      </c>
      <c r="BQ123" s="405">
        <v>10268.0</v>
      </c>
      <c r="BR123" s="405">
        <v>9208.0</v>
      </c>
      <c r="BS123" s="405"/>
      <c r="BT123" s="405"/>
      <c r="BU123" s="405"/>
      <c r="BV123" s="405"/>
      <c r="BX123" s="415">
        <f>SUM(AP123:BA123)</f>
        <v>68823</v>
      </c>
      <c r="BY123" s="412"/>
      <c r="BZ123" s="405">
        <f>sum(BK123:BM123)</f>
        <v>23127</v>
      </c>
      <c r="CA123" s="417">
        <f>sum(BN123:BP123)</f>
        <v>25910</v>
      </c>
      <c r="CB123" s="406">
        <f>sum(BQ123:BS123)</f>
        <v>19476</v>
      </c>
      <c r="CC123" s="417">
        <f>sum(BT123:BV123)</f>
        <v>0</v>
      </c>
      <c r="CD123" s="468">
        <f>SUM(BK123:BV123)</f>
        <v>68513</v>
      </c>
      <c r="CE123" s="412"/>
      <c r="CF123" s="405">
        <f>sum(AY123:BA123)</f>
        <v>15577</v>
      </c>
      <c r="CG123" s="417">
        <f>sum(BB123:BD123)</f>
        <v>16923</v>
      </c>
      <c r="CH123" s="406">
        <f>sum(BE123:BG123)</f>
        <v>19532</v>
      </c>
      <c r="CI123" s="417">
        <f>sum(BH123:BJ123)</f>
        <v>22393</v>
      </c>
      <c r="CJ123" s="415">
        <f>sum(AY123:BJ123)</f>
        <v>74425</v>
      </c>
      <c r="CK123" s="412"/>
      <c r="CL123" s="405">
        <f>sum(AM123:AO123)</f>
        <v>21777</v>
      </c>
      <c r="CM123" s="405">
        <f>sum(AP123:AR123)</f>
        <v>20038</v>
      </c>
      <c r="CN123" s="405">
        <f>sum(AS123:AU123)</f>
        <v>16402</v>
      </c>
      <c r="CO123" s="405">
        <f>sum(AV123:AX123)</f>
        <v>16806</v>
      </c>
      <c r="CP123" s="415">
        <f>sum(AM123:AX123)</f>
        <v>75023</v>
      </c>
      <c r="CQ123" s="412"/>
      <c r="CR123" s="405">
        <f>sum(AA123:AC123)</f>
        <v>14344</v>
      </c>
      <c r="CS123" s="405">
        <f>sum(AD123:AF123)</f>
        <v>15171</v>
      </c>
      <c r="CT123" s="405">
        <f>sum(AG123:AI123)</f>
        <v>18629</v>
      </c>
      <c r="CU123" s="405">
        <f>sum(AJ123:AL123)</f>
        <v>18091</v>
      </c>
      <c r="CV123" s="415">
        <f>sum(AA123:AL123)</f>
        <v>66235</v>
      </c>
      <c r="CW123" s="412"/>
      <c r="CX123" s="415"/>
      <c r="CY123" s="412"/>
      <c r="CZ123" s="359"/>
      <c r="DA123" s="359"/>
      <c r="DB123" s="359"/>
      <c r="DC123" s="359"/>
      <c r="DD123" s="359"/>
      <c r="DE123" s="359"/>
      <c r="DF123" s="359"/>
      <c r="DG123" s="359"/>
      <c r="DH123" s="359"/>
      <c r="DI123" s="359"/>
      <c r="DJ123" s="359"/>
      <c r="DK123" s="359"/>
      <c r="DL123" s="416"/>
      <c r="DM123" s="416"/>
      <c r="DN123" s="416"/>
      <c r="DO123" s="405"/>
      <c r="DP123" s="405"/>
      <c r="DQ123" s="405"/>
      <c r="DR123" s="405"/>
      <c r="DS123" s="405"/>
      <c r="DT123" s="405"/>
      <c r="DU123" s="405"/>
      <c r="DV123" s="405"/>
      <c r="DW123" s="405"/>
      <c r="DX123" s="405"/>
      <c r="DY123" s="405"/>
      <c r="DZ123" s="405"/>
      <c r="EA123" s="405"/>
      <c r="EB123" s="405"/>
      <c r="EC123" s="405"/>
      <c r="ED123" s="405"/>
      <c r="EE123" s="405"/>
      <c r="EF123" s="405"/>
      <c r="EG123" s="405"/>
      <c r="EH123" s="405"/>
      <c r="EI123" s="465"/>
      <c r="EJ123" s="405"/>
      <c r="EK123" s="405"/>
      <c r="EL123" s="405"/>
      <c r="EM123" s="405"/>
      <c r="EN123" s="405"/>
      <c r="EO123" s="405"/>
      <c r="EP123" s="405"/>
      <c r="EQ123" s="405"/>
      <c r="ER123" s="405"/>
      <c r="ES123" s="405"/>
      <c r="ET123" s="405"/>
      <c r="EU123" s="405"/>
      <c r="EV123" s="405"/>
      <c r="EW123" s="405"/>
      <c r="EX123" s="405"/>
      <c r="EY123" s="405"/>
      <c r="EZ123" s="405"/>
      <c r="FA123" s="405"/>
      <c r="FB123" s="405"/>
      <c r="FC123" s="405"/>
      <c r="FD123" s="405"/>
      <c r="FE123" s="405"/>
      <c r="FF123" s="405"/>
      <c r="FG123" s="405"/>
      <c r="FH123" s="405"/>
    </row>
    <row r="124">
      <c r="B124" s="387" t="s">
        <v>545</v>
      </c>
      <c r="C124" s="359"/>
      <c r="D124" s="359"/>
      <c r="E124" s="359"/>
      <c r="F124" s="359"/>
      <c r="G124" s="359"/>
      <c r="H124" s="359"/>
      <c r="I124" s="359"/>
      <c r="J124" s="359"/>
      <c r="K124" s="359"/>
      <c r="L124" s="359"/>
      <c r="M124" s="359"/>
      <c r="N124" s="359"/>
      <c r="O124" s="359"/>
      <c r="P124" s="359"/>
      <c r="Q124" s="359"/>
      <c r="R124" s="359"/>
      <c r="S124" s="359"/>
      <c r="T124" s="359"/>
      <c r="U124" s="359"/>
      <c r="V124" s="359"/>
      <c r="W124" s="359"/>
      <c r="X124" s="359"/>
      <c r="Y124" s="359"/>
      <c r="Z124" s="359"/>
      <c r="AA124" s="405">
        <f t="shared" ref="AA124:AX124" si="291">AA123/AA117</f>
        <v>183.875</v>
      </c>
      <c r="AB124" s="405">
        <f t="shared" si="291"/>
        <v>143.2142857</v>
      </c>
      <c r="AC124" s="405">
        <f t="shared" si="291"/>
        <v>191</v>
      </c>
      <c r="AD124" s="405">
        <f t="shared" si="291"/>
        <v>131.2058824</v>
      </c>
      <c r="AE124" s="405">
        <f t="shared" si="291"/>
        <v>140.8857143</v>
      </c>
      <c r="AF124" s="405">
        <f t="shared" si="291"/>
        <v>160.5277778</v>
      </c>
      <c r="AG124" s="405">
        <f t="shared" si="291"/>
        <v>125.5128205</v>
      </c>
      <c r="AH124" s="405">
        <f t="shared" si="291"/>
        <v>188.4634146</v>
      </c>
      <c r="AI124" s="405">
        <f t="shared" si="291"/>
        <v>146.5121951</v>
      </c>
      <c r="AJ124" s="405">
        <f t="shared" si="291"/>
        <v>171.6052632</v>
      </c>
      <c r="AK124" s="405">
        <f t="shared" si="291"/>
        <v>158.8837209</v>
      </c>
      <c r="AL124" s="405">
        <f t="shared" si="291"/>
        <v>100.8085106</v>
      </c>
      <c r="AM124" s="405">
        <f t="shared" si="291"/>
        <v>151.9791667</v>
      </c>
      <c r="AN124" s="405">
        <f t="shared" si="291"/>
        <v>124.6346154</v>
      </c>
      <c r="AO124" s="405">
        <f t="shared" si="291"/>
        <v>160.02</v>
      </c>
      <c r="AP124" s="405">
        <f t="shared" si="291"/>
        <v>146.1111111</v>
      </c>
      <c r="AQ124" s="405">
        <f t="shared" si="291"/>
        <v>150.4782609</v>
      </c>
      <c r="AR124" s="405">
        <f t="shared" si="291"/>
        <v>139.1702128</v>
      </c>
      <c r="AS124" s="405">
        <f t="shared" si="291"/>
        <v>103.5102041</v>
      </c>
      <c r="AT124" s="405">
        <f t="shared" si="291"/>
        <v>120.3846154</v>
      </c>
      <c r="AU124" s="405">
        <f t="shared" si="291"/>
        <v>99.41176471</v>
      </c>
      <c r="AV124" s="405">
        <f t="shared" si="291"/>
        <v>117.9215686</v>
      </c>
      <c r="AW124" s="405">
        <f t="shared" si="291"/>
        <v>113.24</v>
      </c>
      <c r="AX124" s="405">
        <f t="shared" si="291"/>
        <v>106.875</v>
      </c>
      <c r="AY124" s="405">
        <f t="shared" ref="AY124:BV124" si="292">IFERROR(AY123/AY117,0)</f>
        <v>109.5744681</v>
      </c>
      <c r="AZ124" s="405">
        <f t="shared" si="292"/>
        <v>110.6808511</v>
      </c>
      <c r="BA124" s="405">
        <f t="shared" si="292"/>
        <v>116.1111111</v>
      </c>
      <c r="BB124" s="405">
        <f t="shared" si="292"/>
        <v>125.7272727</v>
      </c>
      <c r="BC124" s="405">
        <f t="shared" si="292"/>
        <v>130.4772727</v>
      </c>
      <c r="BD124" s="405">
        <f t="shared" si="292"/>
        <v>125.5555556</v>
      </c>
      <c r="BE124" s="405">
        <f t="shared" si="292"/>
        <v>134.8510638</v>
      </c>
      <c r="BF124" s="405">
        <f t="shared" si="292"/>
        <v>131.9</v>
      </c>
      <c r="BG124" s="405">
        <f t="shared" si="292"/>
        <v>124.509434</v>
      </c>
      <c r="BH124" s="405">
        <f t="shared" si="292"/>
        <v>145.0545455</v>
      </c>
      <c r="BI124" s="405">
        <f t="shared" si="292"/>
        <v>120.3559322</v>
      </c>
      <c r="BJ124" s="405">
        <f t="shared" si="292"/>
        <v>117.9677419</v>
      </c>
      <c r="BK124" s="405">
        <f t="shared" si="292"/>
        <v>119.0307692</v>
      </c>
      <c r="BL124" s="405">
        <f t="shared" si="292"/>
        <v>117.9538462</v>
      </c>
      <c r="BM124" s="405">
        <f t="shared" si="292"/>
        <v>120.671875</v>
      </c>
      <c r="BN124" s="405">
        <f t="shared" si="292"/>
        <v>126.1343284</v>
      </c>
      <c r="BO124" s="405">
        <f t="shared" si="292"/>
        <v>121.3380282</v>
      </c>
      <c r="BP124" s="405">
        <f t="shared" si="292"/>
        <v>117.92</v>
      </c>
      <c r="BQ124" s="405">
        <f t="shared" si="292"/>
        <v>131.6410256</v>
      </c>
      <c r="BR124" s="405">
        <f t="shared" si="292"/>
        <v>116.556962</v>
      </c>
      <c r="BS124" s="405">
        <f t="shared" si="292"/>
        <v>0</v>
      </c>
      <c r="BT124" s="405">
        <f t="shared" si="292"/>
        <v>0</v>
      </c>
      <c r="BU124" s="405">
        <f t="shared" si="292"/>
        <v>0</v>
      </c>
      <c r="BV124" s="405">
        <f t="shared" si="292"/>
        <v>0</v>
      </c>
      <c r="BX124" s="415">
        <f>BX123/BX117</f>
        <v>1428.851211</v>
      </c>
      <c r="BY124" s="412"/>
      <c r="BZ124" s="405">
        <f t="shared" ref="BZ124:CD124" si="293">IFERROR(BZ123/(BZ117*3),0)</f>
        <v>119.2113402</v>
      </c>
      <c r="CA124" s="405">
        <f t="shared" si="293"/>
        <v>121.6431925</v>
      </c>
      <c r="CB124" s="405">
        <f t="shared" si="293"/>
        <v>124.0509554</v>
      </c>
      <c r="CC124" s="405">
        <f t="shared" si="293"/>
        <v>0</v>
      </c>
      <c r="CD124" s="415">
        <f t="shared" si="293"/>
        <v>0</v>
      </c>
      <c r="CE124" s="412"/>
      <c r="CF124" s="405">
        <f t="shared" ref="CF124:CJ124" si="294">IFERROR(CF123/(CF117*3),0)</f>
        <v>112.0647482</v>
      </c>
      <c r="CG124" s="405">
        <f t="shared" si="294"/>
        <v>127.2406015</v>
      </c>
      <c r="CH124" s="405">
        <f t="shared" si="294"/>
        <v>130.2133333</v>
      </c>
      <c r="CI124" s="405">
        <f t="shared" si="294"/>
        <v>127.2329545</v>
      </c>
      <c r="CJ124" s="415">
        <f t="shared" si="294"/>
        <v>422.8693182</v>
      </c>
      <c r="CK124" s="412"/>
      <c r="CL124" s="405">
        <f t="shared" ref="CL124:CO124" si="295">CL123/(CL117*3)</f>
        <v>145.18</v>
      </c>
      <c r="CM124" s="405">
        <f t="shared" si="295"/>
        <v>145.2028986</v>
      </c>
      <c r="CN124" s="405">
        <f t="shared" si="295"/>
        <v>107.9078947</v>
      </c>
      <c r="CO124" s="405">
        <f t="shared" si="295"/>
        <v>112.7919463</v>
      </c>
      <c r="CP124" s="415">
        <f>CP123/CP117</f>
        <v>1510.530201</v>
      </c>
      <c r="CQ124" s="412"/>
      <c r="CR124" s="405">
        <f t="shared" ref="CR124:CU124" si="296">CR123/(CR117*3)</f>
        <v>172.8192771</v>
      </c>
      <c r="CS124" s="405">
        <f t="shared" si="296"/>
        <v>144.4857143</v>
      </c>
      <c r="CT124" s="405">
        <f t="shared" si="296"/>
        <v>153.9586777</v>
      </c>
      <c r="CU124" s="405">
        <f t="shared" si="296"/>
        <v>141.3359375</v>
      </c>
      <c r="CV124" s="415">
        <f>CV123/CV117</f>
        <v>1552.382813</v>
      </c>
      <c r="CW124" s="412"/>
      <c r="CX124" s="415"/>
      <c r="CY124" s="412"/>
      <c r="CZ124" s="359"/>
      <c r="DA124" s="359"/>
      <c r="DB124" s="359"/>
      <c r="DC124" s="359"/>
      <c r="DD124" s="359"/>
      <c r="DE124" s="359"/>
      <c r="DF124" s="359"/>
      <c r="DG124" s="359"/>
      <c r="DH124" s="359"/>
      <c r="DI124" s="359"/>
      <c r="DJ124" s="359"/>
      <c r="DK124" s="359"/>
      <c r="DL124" s="405"/>
      <c r="DM124" s="405"/>
      <c r="DN124" s="405"/>
      <c r="DO124" s="405"/>
      <c r="DP124" s="405"/>
      <c r="DQ124" s="405"/>
      <c r="DR124" s="405"/>
      <c r="DS124" s="405"/>
      <c r="DT124" s="405"/>
      <c r="DU124" s="405"/>
      <c r="DV124" s="405"/>
      <c r="DW124" s="405"/>
      <c r="DX124" s="405"/>
      <c r="DY124" s="405"/>
      <c r="DZ124" s="405"/>
      <c r="EA124" s="405"/>
      <c r="EB124" s="405"/>
      <c r="EC124" s="405"/>
      <c r="ED124" s="405"/>
      <c r="EE124" s="405"/>
      <c r="EF124" s="405"/>
      <c r="EG124" s="405"/>
      <c r="EH124" s="405"/>
      <c r="EI124" s="465"/>
      <c r="EJ124" s="405"/>
      <c r="EK124" s="405"/>
      <c r="EL124" s="405"/>
      <c r="EM124" s="405"/>
      <c r="EN124" s="405"/>
      <c r="EO124" s="405"/>
      <c r="EP124" s="405"/>
      <c r="EQ124" s="405"/>
      <c r="ER124" s="405"/>
      <c r="ES124" s="405"/>
      <c r="ET124" s="405"/>
      <c r="EU124" s="405"/>
      <c r="EV124" s="405"/>
      <c r="EW124" s="405"/>
      <c r="EX124" s="405"/>
      <c r="EY124" s="405"/>
      <c r="EZ124" s="405"/>
      <c r="FA124" s="405"/>
      <c r="FB124" s="405"/>
      <c r="FC124" s="405"/>
      <c r="FD124" s="405"/>
      <c r="FE124" s="405"/>
      <c r="FF124" s="405"/>
      <c r="FG124" s="405"/>
      <c r="FH124" s="405"/>
    </row>
    <row r="125">
      <c r="B125" s="387" t="s">
        <v>546</v>
      </c>
      <c r="C125" s="359"/>
      <c r="D125" s="359"/>
      <c r="E125" s="359"/>
      <c r="F125" s="359"/>
      <c r="G125" s="359"/>
      <c r="H125" s="359"/>
      <c r="I125" s="359"/>
      <c r="J125" s="359"/>
      <c r="K125" s="359"/>
      <c r="L125" s="359"/>
      <c r="M125" s="359"/>
      <c r="N125" s="359"/>
      <c r="O125" s="359"/>
      <c r="P125" s="359"/>
      <c r="Q125" s="359"/>
      <c r="R125" s="359"/>
      <c r="S125" s="359"/>
      <c r="T125" s="359"/>
      <c r="U125" s="359"/>
      <c r="V125" s="359"/>
      <c r="W125" s="359"/>
      <c r="X125" s="359"/>
      <c r="Y125" s="359"/>
      <c r="Z125" s="359"/>
      <c r="AA125" s="420">
        <f t="shared" ref="AA125:AX125" si="297">(AA123-AA121)/AA121</f>
        <v>0.3384895359</v>
      </c>
      <c r="AB125" s="420">
        <f t="shared" si="297"/>
        <v>0.3357761492</v>
      </c>
      <c r="AC125" s="420">
        <f t="shared" si="297"/>
        <v>0.6516039052</v>
      </c>
      <c r="AD125" s="420">
        <f t="shared" si="297"/>
        <v>0.35428051</v>
      </c>
      <c r="AE125" s="420">
        <f t="shared" si="297"/>
        <v>0.4325973271</v>
      </c>
      <c r="AF125" s="420">
        <f t="shared" si="297"/>
        <v>0.5227931489</v>
      </c>
      <c r="AG125" s="420">
        <f t="shared" si="297"/>
        <v>0.6273271277</v>
      </c>
      <c r="AH125" s="420">
        <f t="shared" si="297"/>
        <v>0.6471967598</v>
      </c>
      <c r="AI125" s="420">
        <f t="shared" si="297"/>
        <v>0.5096757979</v>
      </c>
      <c r="AJ125" s="420">
        <f t="shared" si="297"/>
        <v>0.3565633451</v>
      </c>
      <c r="AK125" s="420">
        <f t="shared" si="297"/>
        <v>0.385801217</v>
      </c>
      <c r="AL125" s="420">
        <f t="shared" si="297"/>
        <v>0.3460227273</v>
      </c>
      <c r="AM125" s="420">
        <f t="shared" si="297"/>
        <v>0.2881864736</v>
      </c>
      <c r="AN125" s="420">
        <f t="shared" si="297"/>
        <v>0.2361243563</v>
      </c>
      <c r="AO125" s="420">
        <f t="shared" si="297"/>
        <v>0.2474275023</v>
      </c>
      <c r="AP125" s="420">
        <f t="shared" si="297"/>
        <v>0.1950199927</v>
      </c>
      <c r="AQ125" s="420">
        <f t="shared" si="297"/>
        <v>0.2294849023</v>
      </c>
      <c r="AR125" s="420">
        <f t="shared" si="297"/>
        <v>0.251626483</v>
      </c>
      <c r="AS125" s="420">
        <f t="shared" si="297"/>
        <v>0.2358674464</v>
      </c>
      <c r="AT125" s="420">
        <f t="shared" si="297"/>
        <v>0.2026897214</v>
      </c>
      <c r="AU125" s="420">
        <f t="shared" si="297"/>
        <v>0.0936151855</v>
      </c>
      <c r="AV125" s="420">
        <f t="shared" si="297"/>
        <v>0.09744525547</v>
      </c>
      <c r="AW125" s="420">
        <f t="shared" si="297"/>
        <v>0.1245283019</v>
      </c>
      <c r="AX125" s="420">
        <f t="shared" si="297"/>
        <v>0.1230297723</v>
      </c>
      <c r="AY125" s="420">
        <f t="shared" ref="AY125:BV125" si="298">IFERROR((AY123-AY121)/AY121,0)</f>
        <v>0.09110169492</v>
      </c>
      <c r="AZ125" s="420">
        <f t="shared" si="298"/>
        <v>0.07791131372</v>
      </c>
      <c r="BA125" s="420">
        <f t="shared" si="298"/>
        <v>0.1091063468</v>
      </c>
      <c r="BB125" s="420">
        <f t="shared" si="298"/>
        <v>0.03286034354</v>
      </c>
      <c r="BC125" s="420">
        <f t="shared" si="298"/>
        <v>0.07288357316</v>
      </c>
      <c r="BD125" s="420">
        <f t="shared" si="298"/>
        <v>0.1418755053</v>
      </c>
      <c r="BE125" s="420">
        <f t="shared" si="298"/>
        <v>0.05492676431</v>
      </c>
      <c r="BF125" s="420">
        <f t="shared" si="298"/>
        <v>0.06028938907</v>
      </c>
      <c r="BG125" s="420">
        <f t="shared" si="298"/>
        <v>0.04447610003</v>
      </c>
      <c r="BH125" s="420">
        <f t="shared" si="298"/>
        <v>0.09347587719</v>
      </c>
      <c r="BI125" s="420">
        <f t="shared" si="298"/>
        <v>0.08977900552</v>
      </c>
      <c r="BJ125" s="420">
        <f t="shared" si="298"/>
        <v>0.1120571689</v>
      </c>
      <c r="BK125" s="420">
        <f t="shared" si="298"/>
        <v>0.06982853982</v>
      </c>
      <c r="BL125" s="420">
        <f t="shared" si="298"/>
        <v>0.07260772244</v>
      </c>
      <c r="BM125" s="420">
        <f t="shared" si="298"/>
        <v>0.03859601937</v>
      </c>
      <c r="BN125" s="420">
        <f t="shared" si="298"/>
        <v>0.04436480475</v>
      </c>
      <c r="BO125" s="420">
        <f t="shared" si="298"/>
        <v>0.04531942001</v>
      </c>
      <c r="BP125" s="420">
        <f t="shared" si="298"/>
        <v>0.03717602908</v>
      </c>
      <c r="BQ125" s="420">
        <f t="shared" si="298"/>
        <v>0.04786202674</v>
      </c>
      <c r="BR125" s="420">
        <f t="shared" si="298"/>
        <v>0.03228699552</v>
      </c>
      <c r="BS125" s="420">
        <f t="shared" si="298"/>
        <v>0</v>
      </c>
      <c r="BT125" s="420">
        <f t="shared" si="298"/>
        <v>0</v>
      </c>
      <c r="BU125" s="420">
        <f t="shared" si="298"/>
        <v>0</v>
      </c>
      <c r="BV125" s="420">
        <f t="shared" si="298"/>
        <v>0</v>
      </c>
      <c r="BX125" s="421">
        <f>(BX123-BX121)/BX121</f>
        <v>0.153915799</v>
      </c>
      <c r="BY125" s="422"/>
      <c r="BZ125" s="420">
        <f t="shared" ref="BZ125:CD125" si="299">IFERROR((BZ123-BZ121)/BZ121,0)</f>
        <v>0.06009350935</v>
      </c>
      <c r="CA125" s="420">
        <f t="shared" si="299"/>
        <v>0.04221556284</v>
      </c>
      <c r="CB125" s="420">
        <f t="shared" si="299"/>
        <v>0.04044019445</v>
      </c>
      <c r="CC125" s="420">
        <f t="shared" si="299"/>
        <v>0</v>
      </c>
      <c r="CD125" s="421">
        <f t="shared" si="299"/>
        <v>0.04767147587</v>
      </c>
      <c r="CE125" s="422"/>
      <c r="CF125" s="420">
        <f t="shared" ref="CF125:CJ125" si="300">IFERROR((CF123-CF121)/CF121,0)</f>
        <v>0.09258609806</v>
      </c>
      <c r="CG125" s="420">
        <f t="shared" si="300"/>
        <v>0.08099648675</v>
      </c>
      <c r="CH125" s="420">
        <f t="shared" si="300"/>
        <v>0.05316510299</v>
      </c>
      <c r="CI125" s="420">
        <f t="shared" si="300"/>
        <v>0.09828829271</v>
      </c>
      <c r="CJ125" s="421">
        <f t="shared" si="300"/>
        <v>0.08102023327</v>
      </c>
      <c r="CK125" s="422"/>
      <c r="CL125" s="420">
        <f t="shared" ref="CL125:CP125" si="301">(CL123-CL121)/CL121</f>
        <v>0.2573325635</v>
      </c>
      <c r="CM125" s="420">
        <f t="shared" si="301"/>
        <v>0.2249663773</v>
      </c>
      <c r="CN125" s="420">
        <f t="shared" si="301"/>
        <v>0.1761921836</v>
      </c>
      <c r="CO125" s="420">
        <f t="shared" si="301"/>
        <v>0.1142345687</v>
      </c>
      <c r="CP125" s="421">
        <f t="shared" si="301"/>
        <v>0.1964245846</v>
      </c>
      <c r="CQ125" s="422"/>
      <c r="CR125" s="420">
        <f t="shared" ref="CR125:CV125" si="302">(CR123-CR121)/CR121</f>
        <v>0.4512343181</v>
      </c>
      <c r="CS125" s="420">
        <f t="shared" si="302"/>
        <v>0.4406039313</v>
      </c>
      <c r="CT125" s="420">
        <f t="shared" si="302"/>
        <v>0.5952217846</v>
      </c>
      <c r="CU125" s="420">
        <f t="shared" si="302"/>
        <v>0.36463755</v>
      </c>
      <c r="CV125" s="421">
        <f t="shared" si="302"/>
        <v>0.4605292172</v>
      </c>
      <c r="CW125" s="422"/>
      <c r="CX125" s="421"/>
      <c r="CY125" s="422"/>
      <c r="CZ125" s="359"/>
      <c r="DA125" s="359"/>
      <c r="DB125" s="359"/>
      <c r="DC125" s="359"/>
      <c r="DD125" s="359"/>
      <c r="DE125" s="359"/>
      <c r="DF125" s="359"/>
      <c r="DG125" s="359"/>
      <c r="DH125" s="359"/>
      <c r="DI125" s="359"/>
      <c r="DJ125" s="359"/>
      <c r="DK125" s="359"/>
      <c r="DL125" s="420"/>
      <c r="DM125" s="420"/>
      <c r="DN125" s="420"/>
      <c r="DO125" s="420"/>
      <c r="DP125" s="420"/>
      <c r="DQ125" s="420"/>
      <c r="DR125" s="420"/>
      <c r="DS125" s="420"/>
      <c r="DT125" s="420"/>
      <c r="DU125" s="420"/>
      <c r="DV125" s="420"/>
      <c r="DW125" s="420"/>
      <c r="DX125" s="420"/>
      <c r="DY125" s="420"/>
      <c r="DZ125" s="420"/>
      <c r="EA125" s="420"/>
      <c r="EB125" s="420"/>
      <c r="EC125" s="420"/>
      <c r="ED125" s="420"/>
      <c r="EE125" s="420"/>
      <c r="EF125" s="420"/>
      <c r="EG125" s="420"/>
      <c r="EH125" s="420"/>
      <c r="EI125" s="465"/>
      <c r="EJ125" s="420"/>
      <c r="EK125" s="420"/>
      <c r="EL125" s="420"/>
      <c r="EM125" s="420"/>
      <c r="EN125" s="420"/>
      <c r="EO125" s="420"/>
      <c r="EP125" s="420"/>
      <c r="EQ125" s="420"/>
      <c r="ER125" s="420"/>
      <c r="ES125" s="420"/>
      <c r="ET125" s="420"/>
      <c r="EU125" s="420"/>
      <c r="EV125" s="420"/>
      <c r="EW125" s="420"/>
      <c r="EX125" s="420"/>
      <c r="EY125" s="420"/>
      <c r="EZ125" s="420"/>
      <c r="FA125" s="420"/>
      <c r="FB125" s="420"/>
      <c r="FC125" s="420"/>
      <c r="FD125" s="420"/>
      <c r="FE125" s="420"/>
      <c r="FF125" s="420"/>
      <c r="FG125" s="420"/>
      <c r="FH125" s="420"/>
    </row>
    <row r="126">
      <c r="BX126" s="34"/>
      <c r="CD126" s="34"/>
      <c r="CJ126" s="34"/>
      <c r="CP126" s="34"/>
      <c r="CV126" s="34"/>
      <c r="CX126" s="34"/>
      <c r="CY126" s="136"/>
      <c r="EI126" s="3"/>
    </row>
    <row r="127">
      <c r="B127" s="398" t="s">
        <v>547</v>
      </c>
      <c r="C127" s="359"/>
      <c r="D127" s="359"/>
      <c r="E127" s="359"/>
      <c r="F127" s="359"/>
      <c r="G127" s="359"/>
      <c r="H127" s="359"/>
      <c r="I127" s="359"/>
      <c r="J127" s="359"/>
      <c r="K127" s="359"/>
      <c r="L127" s="359"/>
      <c r="M127" s="359"/>
      <c r="N127" s="359"/>
      <c r="O127" s="359"/>
      <c r="P127" s="359"/>
      <c r="Q127" s="359"/>
      <c r="R127" s="359"/>
      <c r="S127" s="359"/>
      <c r="T127" s="359"/>
      <c r="U127" s="359"/>
      <c r="V127" s="359"/>
      <c r="W127" s="359"/>
      <c r="X127" s="359"/>
      <c r="Y127" s="359"/>
      <c r="Z127" s="359"/>
      <c r="AA127" s="418"/>
      <c r="AB127" s="418"/>
      <c r="AC127" s="418"/>
      <c r="AD127" s="418"/>
      <c r="AE127" s="418"/>
      <c r="AF127" s="418"/>
      <c r="AG127" s="418"/>
      <c r="AH127" s="418"/>
      <c r="AI127" s="418"/>
      <c r="AJ127" s="418"/>
      <c r="AK127" s="418"/>
      <c r="AL127" s="418"/>
      <c r="AM127" s="418"/>
      <c r="AN127" s="418"/>
      <c r="AO127" s="418"/>
      <c r="AP127" s="418"/>
      <c r="AQ127" s="418"/>
      <c r="AR127" s="418"/>
      <c r="AS127" s="418"/>
      <c r="AT127" s="418"/>
      <c r="AU127" s="418"/>
      <c r="AV127" s="418"/>
      <c r="AW127" s="418"/>
      <c r="AX127" s="418"/>
      <c r="AY127" s="418"/>
      <c r="AZ127" s="418"/>
      <c r="BA127" s="418"/>
      <c r="BB127" s="418"/>
      <c r="BC127" s="418"/>
      <c r="BD127" s="418"/>
      <c r="BE127" s="418"/>
      <c r="BF127" s="418"/>
      <c r="BG127" s="418"/>
      <c r="BH127" s="418"/>
      <c r="BI127" s="418"/>
      <c r="BJ127" s="418"/>
      <c r="BK127" s="418"/>
      <c r="BL127" s="418"/>
      <c r="BM127" s="418"/>
      <c r="BN127" s="418"/>
      <c r="BO127" s="418"/>
      <c r="BP127" s="418"/>
      <c r="BQ127" s="418"/>
      <c r="BR127" s="418"/>
      <c r="BS127" s="418"/>
      <c r="BT127" s="418"/>
      <c r="BU127" s="418"/>
      <c r="BV127" s="418"/>
      <c r="BX127" s="419"/>
      <c r="BY127" s="423"/>
      <c r="BZ127" s="418"/>
      <c r="CA127" s="418"/>
      <c r="CB127" s="418"/>
      <c r="CC127" s="418"/>
      <c r="CD127" s="419"/>
      <c r="CE127" s="423"/>
      <c r="CF127" s="418"/>
      <c r="CG127" s="418"/>
      <c r="CH127" s="418"/>
      <c r="CI127" s="418"/>
      <c r="CJ127" s="419"/>
      <c r="CK127" s="423"/>
      <c r="CL127" s="418"/>
      <c r="CM127" s="418"/>
      <c r="CN127" s="418"/>
      <c r="CO127" s="418"/>
      <c r="CP127" s="419"/>
      <c r="CQ127" s="423"/>
      <c r="CR127" s="418"/>
      <c r="CS127" s="418"/>
      <c r="CT127" s="418"/>
      <c r="CU127" s="418"/>
      <c r="CV127" s="419"/>
      <c r="CW127" s="423"/>
      <c r="CX127" s="419"/>
      <c r="CY127" s="423"/>
      <c r="CZ127" s="359"/>
      <c r="DA127" s="359"/>
      <c r="DB127" s="359"/>
      <c r="DC127" s="359"/>
      <c r="DD127" s="359"/>
      <c r="DE127" s="359"/>
      <c r="DF127" s="359"/>
      <c r="DG127" s="359"/>
      <c r="DH127" s="359"/>
      <c r="DI127" s="359"/>
      <c r="DJ127" s="359"/>
      <c r="DK127" s="359"/>
      <c r="DL127" s="418"/>
      <c r="DM127" s="418"/>
      <c r="DN127" s="418"/>
      <c r="DO127" s="418"/>
      <c r="DP127" s="418"/>
      <c r="DQ127" s="418"/>
      <c r="DR127" s="418"/>
      <c r="DS127" s="418"/>
      <c r="DT127" s="418"/>
      <c r="DU127" s="418"/>
      <c r="DV127" s="418"/>
      <c r="DW127" s="418"/>
      <c r="DX127" s="418"/>
      <c r="DY127" s="418"/>
      <c r="DZ127" s="418"/>
      <c r="EA127" s="418"/>
      <c r="EB127" s="418"/>
      <c r="EC127" s="418"/>
      <c r="ED127" s="418"/>
      <c r="EE127" s="418"/>
      <c r="EF127" s="418"/>
      <c r="EG127" s="418"/>
      <c r="EH127" s="418"/>
      <c r="EI127" s="465"/>
      <c r="EJ127" s="418"/>
      <c r="EK127" s="418"/>
      <c r="EL127" s="418"/>
      <c r="EM127" s="418"/>
      <c r="EN127" s="418"/>
      <c r="EO127" s="418"/>
      <c r="EP127" s="418"/>
      <c r="EQ127" s="418"/>
      <c r="ER127" s="418"/>
      <c r="ES127" s="418"/>
      <c r="ET127" s="418"/>
      <c r="EU127" s="418"/>
      <c r="EV127" s="418"/>
      <c r="EW127" s="418"/>
      <c r="EX127" s="418"/>
      <c r="EY127" s="418"/>
      <c r="EZ127" s="418"/>
      <c r="FA127" s="418"/>
      <c r="FB127" s="418"/>
      <c r="FC127" s="418"/>
      <c r="FD127" s="418"/>
      <c r="FE127" s="418"/>
      <c r="FF127" s="418"/>
      <c r="FG127" s="418"/>
      <c r="FH127" s="418"/>
    </row>
    <row r="128">
      <c r="B128" s="387" t="s">
        <v>548</v>
      </c>
      <c r="C128" s="359"/>
      <c r="D128" s="359"/>
      <c r="E128" s="359"/>
      <c r="F128" s="359"/>
      <c r="G128" s="359"/>
      <c r="H128" s="359"/>
      <c r="I128" s="359"/>
      <c r="J128" s="359"/>
      <c r="K128" s="359"/>
      <c r="L128" s="359"/>
      <c r="M128" s="359"/>
      <c r="N128" s="359"/>
      <c r="O128" s="359"/>
      <c r="P128" s="359"/>
      <c r="Q128" s="359"/>
      <c r="R128" s="359"/>
      <c r="S128" s="359"/>
      <c r="T128" s="359"/>
      <c r="U128" s="359"/>
      <c r="V128" s="359"/>
      <c r="W128" s="359"/>
      <c r="X128" s="359"/>
      <c r="Y128" s="359"/>
      <c r="Z128" s="359"/>
      <c r="AA128" s="424">
        <f t="shared" ref="AA128:AL128" si="303">AA71/AA123</f>
        <v>103.6263313</v>
      </c>
      <c r="AB128" s="424">
        <f t="shared" si="303"/>
        <v>130.7551122</v>
      </c>
      <c r="AC128" s="424">
        <f t="shared" si="303"/>
        <v>101.4614085</v>
      </c>
      <c r="AD128" s="424">
        <f t="shared" si="303"/>
        <v>122.7552118</v>
      </c>
      <c r="AE128" s="424">
        <f t="shared" si="303"/>
        <v>117.7984182</v>
      </c>
      <c r="AF128" s="424">
        <f t="shared" si="303"/>
        <v>103.5916248</v>
      </c>
      <c r="AG128" s="424">
        <f t="shared" si="303"/>
        <v>123.0764045</v>
      </c>
      <c r="AH128" s="424">
        <f t="shared" si="303"/>
        <v>73.53914844</v>
      </c>
      <c r="AI128" s="424">
        <f t="shared" si="303"/>
        <v>113.6424172</v>
      </c>
      <c r="AJ128" s="424">
        <f t="shared" si="303"/>
        <v>130.5936206</v>
      </c>
      <c r="AK128" s="424">
        <f t="shared" si="303"/>
        <v>111.1217799</v>
      </c>
      <c r="AL128" s="424">
        <f t="shared" si="303"/>
        <v>170.2475728</v>
      </c>
      <c r="AM128" s="424">
        <f t="shared" ref="AM128:AX128" si="304">(AM71+AM33)/AM123</f>
        <v>214.1405072</v>
      </c>
      <c r="AN128" s="424">
        <f t="shared" si="304"/>
        <v>224.2956334</v>
      </c>
      <c r="AO128" s="424">
        <f t="shared" si="304"/>
        <v>190.855643</v>
      </c>
      <c r="AP128" s="424">
        <f t="shared" si="304"/>
        <v>253.2340684</v>
      </c>
      <c r="AQ128" s="424">
        <f t="shared" si="304"/>
        <v>231.0356833</v>
      </c>
      <c r="AR128" s="424">
        <f t="shared" si="304"/>
        <v>243.1675585</v>
      </c>
      <c r="AS128" s="424">
        <f t="shared" si="304"/>
        <v>384.2705047</v>
      </c>
      <c r="AT128" s="424">
        <f t="shared" si="304"/>
        <v>269.3800319</v>
      </c>
      <c r="AU128" s="424">
        <f t="shared" si="304"/>
        <v>336.4197239</v>
      </c>
      <c r="AV128" s="424">
        <f t="shared" si="304"/>
        <v>298.433156</v>
      </c>
      <c r="AW128" s="424">
        <f t="shared" si="304"/>
        <v>312.4123984</v>
      </c>
      <c r="AX128" s="424">
        <f t="shared" si="304"/>
        <v>346.980117</v>
      </c>
      <c r="AY128" s="424">
        <f t="shared" ref="AY128:BV128" si="305">IFERROR((AY71+AY33)/AY123,0)</f>
        <v>410.5681146</v>
      </c>
      <c r="AZ128" s="424">
        <f t="shared" si="305"/>
        <v>333.7840773</v>
      </c>
      <c r="BA128" s="424">
        <f t="shared" si="305"/>
        <v>390.090178</v>
      </c>
      <c r="BB128" s="424">
        <f t="shared" si="305"/>
        <v>337.8030369</v>
      </c>
      <c r="BC128" s="424">
        <f t="shared" si="305"/>
        <v>347.3126703</v>
      </c>
      <c r="BD128" s="424">
        <f t="shared" si="305"/>
        <v>359.2520956</v>
      </c>
      <c r="BE128" s="424">
        <f t="shared" si="305"/>
        <v>314.9670495</v>
      </c>
      <c r="BF128" s="424">
        <f t="shared" si="305"/>
        <v>280.5624412</v>
      </c>
      <c r="BG128" s="424">
        <f t="shared" si="305"/>
        <v>304.9945689</v>
      </c>
      <c r="BH128" s="424">
        <f t="shared" si="305"/>
        <v>264.5398032</v>
      </c>
      <c r="BI128" s="424">
        <f t="shared" si="305"/>
        <v>287.6454063</v>
      </c>
      <c r="BJ128" s="424">
        <f t="shared" si="305"/>
        <v>306.5541892</v>
      </c>
      <c r="BK128" s="424">
        <f t="shared" si="305"/>
        <v>319.2096898</v>
      </c>
      <c r="BL128" s="424">
        <f t="shared" si="305"/>
        <v>267.6382875</v>
      </c>
      <c r="BM128" s="424">
        <f t="shared" si="305"/>
        <v>275.7231736</v>
      </c>
      <c r="BN128" s="424">
        <f t="shared" si="305"/>
        <v>291.3651674</v>
      </c>
      <c r="BO128" s="424">
        <f t="shared" si="305"/>
        <v>303.0683749</v>
      </c>
      <c r="BP128" s="424">
        <f t="shared" si="305"/>
        <v>282.7111149</v>
      </c>
      <c r="BQ128" s="424">
        <f t="shared" si="305"/>
        <v>251.0426782</v>
      </c>
      <c r="BR128" s="424">
        <f t="shared" si="305"/>
        <v>304.9607852</v>
      </c>
      <c r="BS128" s="424">
        <f t="shared" si="305"/>
        <v>0</v>
      </c>
      <c r="BT128" s="424">
        <f t="shared" si="305"/>
        <v>0</v>
      </c>
      <c r="BU128" s="424">
        <f t="shared" si="305"/>
        <v>0</v>
      </c>
      <c r="BV128" s="424">
        <f t="shared" si="305"/>
        <v>0</v>
      </c>
      <c r="BX128" s="425" t="str">
        <f>(BX71+BX33)/BX123</f>
        <v>#REF!</v>
      </c>
      <c r="BY128" s="426"/>
      <c r="BZ128" s="424">
        <f t="shared" ref="BZ128:CD128" si="306">IFERROR(BZ71/BZ123,0)</f>
        <v>148.129837</v>
      </c>
      <c r="CA128" s="424">
        <f t="shared" si="306"/>
        <v>163.1504628</v>
      </c>
      <c r="CB128" s="424">
        <f t="shared" si="306"/>
        <v>145.9008857</v>
      </c>
      <c r="CC128" s="424">
        <f t="shared" si="306"/>
        <v>0</v>
      </c>
      <c r="CD128" s="425">
        <f t="shared" si="306"/>
        <v>153.1766655</v>
      </c>
      <c r="CE128" s="426"/>
      <c r="CF128" s="424">
        <f t="shared" ref="CF128:CJ128" si="307">IFERROR(CF71/CF123,0)</f>
        <v>229.444228</v>
      </c>
      <c r="CG128" s="424">
        <f t="shared" si="307"/>
        <v>221.5319228</v>
      </c>
      <c r="CH128" s="424">
        <f t="shared" si="307"/>
        <v>174.5375737</v>
      </c>
      <c r="CI128" s="424">
        <f t="shared" si="307"/>
        <v>155.3417028</v>
      </c>
      <c r="CJ128" s="425">
        <f t="shared" si="307"/>
        <v>190.9394976</v>
      </c>
      <c r="CK128" s="426"/>
      <c r="CL128" s="424">
        <f t="shared" ref="CL128:CO128" si="308">CL71/CL123</f>
        <v>109.8650411</v>
      </c>
      <c r="CM128" s="424">
        <f t="shared" si="308"/>
        <v>148.142629</v>
      </c>
      <c r="CN128" s="424">
        <f t="shared" si="308"/>
        <v>196.4917083</v>
      </c>
      <c r="CO128" s="424">
        <f t="shared" si="308"/>
        <v>180.9957158</v>
      </c>
      <c r="CP128" s="425">
        <f>sum(CP71,CP33)/CP123</f>
        <v>267.6819642</v>
      </c>
      <c r="CQ128" s="426"/>
      <c r="CR128" s="424">
        <f t="shared" ref="CR128:CV128" si="309">CR71/CR123</f>
        <v>110.3167875</v>
      </c>
      <c r="CS128" s="424">
        <f t="shared" si="309"/>
        <v>113.8442423</v>
      </c>
      <c r="CT128" s="424">
        <f t="shared" si="309"/>
        <v>99.4871437</v>
      </c>
      <c r="CU128" s="424">
        <f t="shared" si="309"/>
        <v>133.6254491</v>
      </c>
      <c r="CV128" s="425">
        <f t="shared" si="309"/>
        <v>114.4452178</v>
      </c>
      <c r="CW128" s="426"/>
      <c r="CX128" s="425"/>
      <c r="CY128" s="426"/>
      <c r="CZ128" s="359"/>
      <c r="DA128" s="359"/>
      <c r="DB128" s="359"/>
      <c r="DC128" s="359"/>
      <c r="DD128" s="359"/>
      <c r="DE128" s="359"/>
      <c r="DF128" s="359"/>
      <c r="DG128" s="359"/>
      <c r="DH128" s="359"/>
      <c r="DI128" s="359"/>
      <c r="DJ128" s="359"/>
      <c r="DK128" s="359"/>
      <c r="DL128" s="424"/>
      <c r="DM128" s="424"/>
      <c r="DN128" s="424"/>
      <c r="DO128" s="424"/>
      <c r="DP128" s="424"/>
      <c r="DQ128" s="424"/>
      <c r="DR128" s="424"/>
      <c r="DS128" s="424"/>
      <c r="DT128" s="424"/>
      <c r="DU128" s="424"/>
      <c r="DV128" s="424"/>
      <c r="DW128" s="424"/>
      <c r="DX128" s="424"/>
      <c r="DY128" s="424"/>
      <c r="DZ128" s="424"/>
      <c r="EA128" s="424"/>
      <c r="EB128" s="424"/>
      <c r="EC128" s="424"/>
      <c r="ED128" s="424"/>
      <c r="EE128" s="424"/>
      <c r="EF128" s="424"/>
      <c r="EG128" s="424"/>
      <c r="EH128" s="424"/>
      <c r="EI128" s="465"/>
      <c r="EJ128" s="424"/>
      <c r="EK128" s="424"/>
      <c r="EL128" s="424"/>
      <c r="EM128" s="424"/>
      <c r="EN128" s="424"/>
      <c r="EO128" s="424"/>
      <c r="EP128" s="424"/>
      <c r="EQ128" s="424"/>
      <c r="ER128" s="424"/>
      <c r="ES128" s="424"/>
      <c r="ET128" s="424"/>
      <c r="EU128" s="424"/>
      <c r="EV128" s="424"/>
      <c r="EW128" s="424"/>
      <c r="EX128" s="424"/>
      <c r="EY128" s="424"/>
      <c r="EZ128" s="424"/>
      <c r="FA128" s="424"/>
      <c r="FB128" s="424"/>
      <c r="FC128" s="424"/>
      <c r="FD128" s="424"/>
      <c r="FE128" s="424"/>
      <c r="FF128" s="424"/>
      <c r="FG128" s="424"/>
      <c r="FH128" s="424"/>
    </row>
    <row r="129">
      <c r="B129" s="387" t="s">
        <v>549</v>
      </c>
      <c r="C129" s="359"/>
      <c r="D129" s="359"/>
      <c r="E129" s="359"/>
      <c r="F129" s="359"/>
      <c r="G129" s="359"/>
      <c r="H129" s="359"/>
      <c r="I129" s="359"/>
      <c r="J129" s="359"/>
      <c r="K129" s="359"/>
      <c r="L129" s="359"/>
      <c r="M129" s="359"/>
      <c r="N129" s="359"/>
      <c r="O129" s="359"/>
      <c r="P129" s="359"/>
      <c r="Q129" s="359"/>
      <c r="R129" s="359"/>
      <c r="S129" s="359"/>
      <c r="T129" s="359"/>
      <c r="U129" s="359"/>
      <c r="V129" s="359"/>
      <c r="W129" s="359"/>
      <c r="X129" s="359"/>
      <c r="Y129" s="359"/>
      <c r="Z129" s="359"/>
      <c r="AA129" s="427">
        <f t="shared" ref="AA129:AX129" si="310">AA18/AA123</f>
        <v>266.2182189</v>
      </c>
      <c r="AB129" s="427">
        <f t="shared" si="310"/>
        <v>264.0004988</v>
      </c>
      <c r="AC129" s="427">
        <f t="shared" si="310"/>
        <v>233.5205202</v>
      </c>
      <c r="AD129" s="427">
        <f t="shared" si="310"/>
        <v>268.3931854</v>
      </c>
      <c r="AE129" s="427">
        <f t="shared" si="310"/>
        <v>259.0046644</v>
      </c>
      <c r="AF129" s="427">
        <f t="shared" si="310"/>
        <v>266.4519813</v>
      </c>
      <c r="AG129" s="427">
        <f t="shared" si="310"/>
        <v>270.9863126</v>
      </c>
      <c r="AH129" s="427">
        <f t="shared" si="310"/>
        <v>250.2150899</v>
      </c>
      <c r="AI129" s="427">
        <f t="shared" si="310"/>
        <v>270.8060596</v>
      </c>
      <c r="AJ129" s="427">
        <f t="shared" si="310"/>
        <v>285.7187548</v>
      </c>
      <c r="AK129" s="427">
        <f t="shared" si="310"/>
        <v>261.3107436</v>
      </c>
      <c r="AL129" s="427">
        <f t="shared" si="310"/>
        <v>261.1048966</v>
      </c>
      <c r="AM129" s="427">
        <f t="shared" si="310"/>
        <v>292.2826594</v>
      </c>
      <c r="AN129" s="427">
        <f t="shared" si="310"/>
        <v>299.9290233</v>
      </c>
      <c r="AO129" s="427">
        <f t="shared" si="310"/>
        <v>278.3778278</v>
      </c>
      <c r="AP129" s="427">
        <f t="shared" si="310"/>
        <v>280.5362738</v>
      </c>
      <c r="AQ129" s="427">
        <f t="shared" si="310"/>
        <v>274.6019936</v>
      </c>
      <c r="AR129" s="427">
        <f t="shared" si="310"/>
        <v>281.4899862</v>
      </c>
      <c r="AS129" s="427">
        <f t="shared" si="310"/>
        <v>322.2016956</v>
      </c>
      <c r="AT129" s="427">
        <f t="shared" si="310"/>
        <v>317.1634185</v>
      </c>
      <c r="AU129" s="427">
        <f t="shared" si="310"/>
        <v>311.4676529</v>
      </c>
      <c r="AV129" s="427">
        <f t="shared" si="310"/>
        <v>310.6582973</v>
      </c>
      <c r="AW129" s="427">
        <f t="shared" si="310"/>
        <v>292.7142353</v>
      </c>
      <c r="AX129" s="427">
        <f t="shared" si="310"/>
        <v>306.062768</v>
      </c>
      <c r="AY129" s="427">
        <f t="shared" ref="AY129:BV129" si="311">IFERROR(AY18/AY123,0)</f>
        <v>326.668334</v>
      </c>
      <c r="AZ129" s="427">
        <f t="shared" si="311"/>
        <v>359.2712168</v>
      </c>
      <c r="BA129" s="427">
        <f t="shared" si="311"/>
        <v>365.9880421</v>
      </c>
      <c r="BB129" s="427">
        <f t="shared" si="311"/>
        <v>362.2058297</v>
      </c>
      <c r="BC129" s="427">
        <f t="shared" si="311"/>
        <v>333.7486901</v>
      </c>
      <c r="BD129" s="427">
        <f t="shared" si="311"/>
        <v>324.073754</v>
      </c>
      <c r="BE129" s="427">
        <f t="shared" si="311"/>
        <v>328.3246071</v>
      </c>
      <c r="BF129" s="427">
        <f t="shared" si="311"/>
        <v>328.6135527</v>
      </c>
      <c r="BG129" s="427">
        <f t="shared" si="311"/>
        <v>327.9869162</v>
      </c>
      <c r="BH129" s="427">
        <f t="shared" si="311"/>
        <v>354.8689722</v>
      </c>
      <c r="BI129" s="427">
        <f t="shared" si="311"/>
        <v>347.5922912</v>
      </c>
      <c r="BJ129" s="427">
        <f t="shared" si="311"/>
        <v>332.0595693</v>
      </c>
      <c r="BK129" s="427">
        <f t="shared" si="311"/>
        <v>333.2164922</v>
      </c>
      <c r="BL129" s="427">
        <f t="shared" si="311"/>
        <v>315.3079431</v>
      </c>
      <c r="BM129" s="427">
        <f t="shared" si="311"/>
        <v>314.3919461</v>
      </c>
      <c r="BN129" s="427">
        <f t="shared" si="311"/>
        <v>318.8970714</v>
      </c>
      <c r="BO129" s="427">
        <f t="shared" si="311"/>
        <v>302.7663552</v>
      </c>
      <c r="BP129" s="427">
        <f t="shared" si="311"/>
        <v>299.0003562</v>
      </c>
      <c r="BQ129" s="427">
        <f t="shared" si="311"/>
        <v>298.3789521</v>
      </c>
      <c r="BR129" s="427">
        <f t="shared" si="311"/>
        <v>312.6207472</v>
      </c>
      <c r="BS129" s="427">
        <f t="shared" si="311"/>
        <v>0</v>
      </c>
      <c r="BT129" s="427">
        <f t="shared" si="311"/>
        <v>0</v>
      </c>
      <c r="BU129" s="427">
        <f t="shared" si="311"/>
        <v>0</v>
      </c>
      <c r="BV129" s="427">
        <f t="shared" si="311"/>
        <v>0</v>
      </c>
      <c r="BX129" s="428" t="str">
        <f>BX18/BX123</f>
        <v>#REF!</v>
      </c>
      <c r="BY129" s="429"/>
      <c r="BZ129" s="427">
        <f t="shared" ref="BZ129:CD129" si="312">IFERROR(BZ18/BZ123,0)</f>
        <v>320.9932546</v>
      </c>
      <c r="CA129" s="427">
        <f t="shared" si="312"/>
        <v>306.7422019</v>
      </c>
      <c r="CB129" s="427">
        <f t="shared" si="312"/>
        <v>305.1122879</v>
      </c>
      <c r="CC129" s="427">
        <f t="shared" si="312"/>
        <v>0</v>
      </c>
      <c r="CD129" s="428">
        <f t="shared" si="312"/>
        <v>311.0894045</v>
      </c>
      <c r="CE129" s="429"/>
      <c r="CF129" s="427">
        <f t="shared" ref="CF129:CJ129" si="313">IFERROR(CF18/CF123,0)</f>
        <v>350.7452212</v>
      </c>
      <c r="CG129" s="427">
        <f t="shared" si="313"/>
        <v>339.8209886</v>
      </c>
      <c r="CH129" s="427">
        <f t="shared" si="313"/>
        <v>328.308079</v>
      </c>
      <c r="CI129" s="427">
        <f t="shared" si="313"/>
        <v>345.1114728</v>
      </c>
      <c r="CJ129" s="428">
        <f t="shared" si="313"/>
        <v>340.6777764</v>
      </c>
      <c r="CK129" s="429"/>
      <c r="CL129" s="427">
        <f t="shared" ref="CL129:CP129" si="314">CL18/CL123</f>
        <v>289.4495569</v>
      </c>
      <c r="CM129" s="427">
        <f t="shared" si="314"/>
        <v>278.7976345</v>
      </c>
      <c r="CN129" s="427">
        <f t="shared" si="314"/>
        <v>316.9607975</v>
      </c>
      <c r="CO129" s="427">
        <f t="shared" si="314"/>
        <v>303.2101035</v>
      </c>
      <c r="CP129" s="428">
        <f t="shared" si="314"/>
        <v>295.7017181</v>
      </c>
      <c r="CQ129" s="429"/>
      <c r="CR129" s="427">
        <f t="shared" ref="CR129:CV129" si="315">CR18/CR123</f>
        <v>252.1010876</v>
      </c>
      <c r="CS129" s="427">
        <f t="shared" si="315"/>
        <v>264.6022016</v>
      </c>
      <c r="CT129" s="427">
        <f t="shared" si="315"/>
        <v>262.3126308</v>
      </c>
      <c r="CU129" s="427">
        <f t="shared" si="315"/>
        <v>270.0548339</v>
      </c>
      <c r="CV129" s="428">
        <f t="shared" si="315"/>
        <v>262.7402733</v>
      </c>
      <c r="CW129" s="429"/>
      <c r="CX129" s="428"/>
      <c r="CY129" s="429"/>
      <c r="CZ129" s="359"/>
      <c r="DA129" s="359"/>
      <c r="DB129" s="359"/>
      <c r="DC129" s="359"/>
      <c r="DD129" s="359"/>
      <c r="DE129" s="359"/>
      <c r="DF129" s="359"/>
      <c r="DG129" s="359"/>
      <c r="DH129" s="359"/>
      <c r="DI129" s="359"/>
      <c r="DJ129" s="359"/>
      <c r="DK129" s="359"/>
      <c r="DL129" s="427"/>
      <c r="DM129" s="427"/>
      <c r="DN129" s="427"/>
      <c r="DO129" s="427"/>
      <c r="DP129" s="427"/>
      <c r="DQ129" s="427"/>
      <c r="DR129" s="427"/>
      <c r="DS129" s="427"/>
      <c r="DT129" s="427"/>
      <c r="DU129" s="427"/>
      <c r="DV129" s="427"/>
      <c r="DW129" s="427"/>
      <c r="DX129" s="427"/>
      <c r="DY129" s="427"/>
      <c r="DZ129" s="427"/>
      <c r="EA129" s="427"/>
      <c r="EB129" s="427"/>
      <c r="EC129" s="427"/>
      <c r="ED129" s="427"/>
      <c r="EE129" s="427"/>
      <c r="EF129" s="427"/>
      <c r="EG129" s="427"/>
      <c r="EH129" s="427"/>
      <c r="EI129" s="481"/>
      <c r="EJ129" s="427"/>
      <c r="EK129" s="427"/>
      <c r="EL129" s="427"/>
      <c r="EM129" s="427"/>
      <c r="EN129" s="427"/>
      <c r="EO129" s="427"/>
      <c r="EP129" s="427"/>
      <c r="EQ129" s="427"/>
      <c r="ER129" s="427"/>
      <c r="ES129" s="427"/>
      <c r="ET129" s="427"/>
      <c r="EU129" s="427"/>
      <c r="EV129" s="427"/>
      <c r="EW129" s="427"/>
      <c r="EX129" s="427"/>
      <c r="EY129" s="427"/>
      <c r="EZ129" s="427"/>
      <c r="FA129" s="427"/>
      <c r="FB129" s="427"/>
      <c r="FC129" s="427"/>
      <c r="FD129" s="427"/>
      <c r="FE129" s="427"/>
      <c r="FF129" s="427"/>
      <c r="FG129" s="427"/>
      <c r="FH129" s="427"/>
    </row>
    <row r="130">
      <c r="B130" s="387" t="s">
        <v>550</v>
      </c>
      <c r="C130" s="359"/>
      <c r="D130" s="359"/>
      <c r="E130" s="359"/>
      <c r="F130" s="359"/>
      <c r="G130" s="359"/>
      <c r="H130" s="359"/>
      <c r="I130" s="359"/>
      <c r="J130" s="359"/>
      <c r="K130" s="359"/>
      <c r="L130" s="359"/>
      <c r="M130" s="359"/>
      <c r="N130" s="359"/>
      <c r="O130" s="359"/>
      <c r="P130" s="359"/>
      <c r="Q130" s="359"/>
      <c r="R130" s="359"/>
      <c r="S130" s="359"/>
      <c r="T130" s="359"/>
      <c r="U130" s="359"/>
      <c r="V130" s="359"/>
      <c r="W130" s="359"/>
      <c r="X130" s="359"/>
      <c r="Y130" s="359"/>
      <c r="Z130" s="359"/>
      <c r="AA130" s="427">
        <f t="shared" ref="AA130:AX130" si="316">AA18/AA121</f>
        <v>356.3303003</v>
      </c>
      <c r="AB130" s="427">
        <f t="shared" si="316"/>
        <v>352.6455696</v>
      </c>
      <c r="AC130" s="427">
        <f t="shared" si="316"/>
        <v>385.6834031</v>
      </c>
      <c r="AD130" s="427">
        <f t="shared" si="316"/>
        <v>363.47966</v>
      </c>
      <c r="AE130" s="427">
        <f t="shared" si="316"/>
        <v>371.0493899</v>
      </c>
      <c r="AF130" s="427">
        <f t="shared" si="316"/>
        <v>405.7512516</v>
      </c>
      <c r="AG130" s="427">
        <f t="shared" si="316"/>
        <v>440.9833777</v>
      </c>
      <c r="AH130" s="427">
        <f t="shared" si="316"/>
        <v>412.1534854</v>
      </c>
      <c r="AI130" s="427">
        <f t="shared" si="316"/>
        <v>408.8293541</v>
      </c>
      <c r="AJ130" s="427">
        <f t="shared" si="316"/>
        <v>387.5955898</v>
      </c>
      <c r="AK130" s="427">
        <f t="shared" si="316"/>
        <v>362.1247465</v>
      </c>
      <c r="AL130" s="427">
        <f t="shared" si="316"/>
        <v>351.453125</v>
      </c>
      <c r="AM130" s="427">
        <f t="shared" si="316"/>
        <v>376.5145683</v>
      </c>
      <c r="AN130" s="427">
        <f t="shared" si="316"/>
        <v>370.7495709</v>
      </c>
      <c r="AO130" s="427">
        <f t="shared" si="316"/>
        <v>347.2561584</v>
      </c>
      <c r="AP130" s="427">
        <f t="shared" si="316"/>
        <v>335.2464558</v>
      </c>
      <c r="AQ130" s="427">
        <f t="shared" si="316"/>
        <v>337.6190053</v>
      </c>
      <c r="AR130" s="427">
        <f t="shared" si="316"/>
        <v>352.3203215</v>
      </c>
      <c r="AS130" s="427">
        <f t="shared" si="316"/>
        <v>398.1985867</v>
      </c>
      <c r="AT130" s="427">
        <f t="shared" si="316"/>
        <v>381.4491835</v>
      </c>
      <c r="AU130" s="427">
        <f t="shared" si="316"/>
        <v>340.625755</v>
      </c>
      <c r="AV130" s="427">
        <f t="shared" si="316"/>
        <v>340.9304745</v>
      </c>
      <c r="AW130" s="427">
        <f t="shared" si="316"/>
        <v>329.1654419</v>
      </c>
      <c r="AX130" s="427">
        <f t="shared" si="316"/>
        <v>343.7176007</v>
      </c>
      <c r="AY130" s="427">
        <f t="shared" ref="AY130:BV130" si="317">IFERROR(AY18/AY121,0)</f>
        <v>356.4283729</v>
      </c>
      <c r="AZ130" s="427">
        <f t="shared" si="317"/>
        <v>387.2625093</v>
      </c>
      <c r="BA130" s="427">
        <f t="shared" si="317"/>
        <v>405.9196604</v>
      </c>
      <c r="BB130" s="427">
        <f t="shared" si="317"/>
        <v>374.1080377</v>
      </c>
      <c r="BC130" s="427">
        <f t="shared" si="317"/>
        <v>358.0734872</v>
      </c>
      <c r="BD130" s="427">
        <f t="shared" si="317"/>
        <v>370.0518816</v>
      </c>
      <c r="BE130" s="427">
        <f t="shared" si="317"/>
        <v>346.3584154</v>
      </c>
      <c r="BF130" s="427">
        <f t="shared" si="317"/>
        <v>348.425463</v>
      </c>
      <c r="BG130" s="427">
        <f t="shared" si="317"/>
        <v>342.5744951</v>
      </c>
      <c r="BH130" s="427">
        <f t="shared" si="317"/>
        <v>388.0406606</v>
      </c>
      <c r="BI130" s="427">
        <f t="shared" si="317"/>
        <v>378.7987815</v>
      </c>
      <c r="BJ130" s="427">
        <f t="shared" si="317"/>
        <v>369.2692246</v>
      </c>
      <c r="BK130" s="427">
        <f t="shared" si="317"/>
        <v>356.4845133</v>
      </c>
      <c r="BL130" s="427">
        <f t="shared" si="317"/>
        <v>338.2017348</v>
      </c>
      <c r="BM130" s="427">
        <f t="shared" si="317"/>
        <v>326.5262238</v>
      </c>
      <c r="BN130" s="427">
        <f t="shared" si="317"/>
        <v>333.0448777</v>
      </c>
      <c r="BO130" s="427">
        <f t="shared" si="317"/>
        <v>316.4875508</v>
      </c>
      <c r="BP130" s="427">
        <f t="shared" si="317"/>
        <v>310.1160021</v>
      </c>
      <c r="BQ130" s="427">
        <f t="shared" si="317"/>
        <v>312.6599735</v>
      </c>
      <c r="BR130" s="427">
        <f t="shared" si="317"/>
        <v>322.7143318</v>
      </c>
      <c r="BS130" s="427">
        <f t="shared" si="317"/>
        <v>0</v>
      </c>
      <c r="BT130" s="427">
        <f t="shared" si="317"/>
        <v>0</v>
      </c>
      <c r="BU130" s="427">
        <f t="shared" si="317"/>
        <v>0</v>
      </c>
      <c r="BV130" s="427">
        <f t="shared" si="317"/>
        <v>0</v>
      </c>
      <c r="BX130" s="430" t="str">
        <f>BX18/BX121</f>
        <v>#REF!</v>
      </c>
      <c r="BY130" s="429"/>
      <c r="BZ130" s="427">
        <f t="shared" ref="BZ130:CD130" si="318">IFERROR(BZ18/BZ121,0)</f>
        <v>340.2828658</v>
      </c>
      <c r="CA130" s="427">
        <f t="shared" si="318"/>
        <v>319.6914966</v>
      </c>
      <c r="CB130" s="427">
        <f t="shared" si="318"/>
        <v>317.4510882</v>
      </c>
      <c r="CC130" s="427">
        <f t="shared" si="318"/>
        <v>0</v>
      </c>
      <c r="CD130" s="430">
        <f t="shared" si="318"/>
        <v>325.9194955</v>
      </c>
      <c r="CE130" s="429"/>
      <c r="CF130" s="427">
        <f t="shared" ref="CF130:CJ130" si="319">IFERROR(CF18/CF121,0)</f>
        <v>383.2193526</v>
      </c>
      <c r="CG130" s="427">
        <f t="shared" si="319"/>
        <v>367.3452948</v>
      </c>
      <c r="CH130" s="427">
        <f t="shared" si="319"/>
        <v>345.7626119</v>
      </c>
      <c r="CI130" s="427">
        <f t="shared" si="319"/>
        <v>379.0318902</v>
      </c>
      <c r="CJ130" s="430">
        <f t="shared" si="319"/>
        <v>368.2795693</v>
      </c>
      <c r="CK130" s="429"/>
      <c r="CL130" s="427">
        <f t="shared" ref="CL130:CP130" si="320">CL18/CL121</f>
        <v>363.9343533</v>
      </c>
      <c r="CM130" s="427">
        <f t="shared" si="320"/>
        <v>341.5177283</v>
      </c>
      <c r="CN130" s="427">
        <f t="shared" si="320"/>
        <v>372.8068125</v>
      </c>
      <c r="CO130" s="427">
        <f t="shared" si="320"/>
        <v>337.8471789</v>
      </c>
      <c r="CP130" s="430">
        <f t="shared" si="320"/>
        <v>353.7848053</v>
      </c>
      <c r="CQ130" s="429"/>
      <c r="CR130" s="427">
        <f t="shared" ref="CR130:CV130" si="321">CR18/CR121</f>
        <v>365.8577499</v>
      </c>
      <c r="CS130" s="427">
        <f t="shared" si="321"/>
        <v>381.1869718</v>
      </c>
      <c r="CT130" s="427">
        <f t="shared" si="321"/>
        <v>418.4468231</v>
      </c>
      <c r="CU130" s="427">
        <f t="shared" si="321"/>
        <v>368.5269669</v>
      </c>
      <c r="CV130" s="430">
        <f t="shared" si="321"/>
        <v>383.7398456</v>
      </c>
      <c r="CW130" s="429"/>
      <c r="CX130" s="430"/>
      <c r="CY130" s="429"/>
      <c r="CZ130" s="359"/>
      <c r="DA130" s="359"/>
      <c r="DB130" s="359"/>
      <c r="DC130" s="359"/>
      <c r="DD130" s="359"/>
      <c r="DE130" s="359"/>
      <c r="DF130" s="359"/>
      <c r="DG130" s="359"/>
      <c r="DH130" s="359"/>
      <c r="DI130" s="359"/>
      <c r="DJ130" s="359"/>
      <c r="DK130" s="359"/>
      <c r="DL130" s="427"/>
      <c r="DM130" s="427"/>
      <c r="DN130" s="427"/>
      <c r="DO130" s="427"/>
      <c r="DP130" s="427"/>
      <c r="DQ130" s="427"/>
      <c r="DR130" s="427"/>
      <c r="DS130" s="427"/>
      <c r="DT130" s="427"/>
      <c r="DU130" s="427"/>
      <c r="DV130" s="427"/>
      <c r="DW130" s="427"/>
      <c r="DX130" s="427"/>
      <c r="DY130" s="427"/>
      <c r="DZ130" s="427"/>
      <c r="EA130" s="427"/>
      <c r="EB130" s="427"/>
      <c r="EC130" s="427"/>
      <c r="ED130" s="427"/>
      <c r="EE130" s="427"/>
      <c r="EF130" s="427"/>
      <c r="EG130" s="427"/>
      <c r="EH130" s="427"/>
      <c r="EI130" s="481"/>
      <c r="EJ130" s="427"/>
      <c r="EK130" s="427"/>
      <c r="EL130" s="427"/>
      <c r="EM130" s="427"/>
      <c r="EN130" s="427"/>
      <c r="EO130" s="427"/>
      <c r="EP130" s="427"/>
      <c r="EQ130" s="427"/>
      <c r="ER130" s="427"/>
      <c r="ES130" s="427"/>
      <c r="ET130" s="427"/>
      <c r="EU130" s="427"/>
      <c r="EV130" s="427"/>
      <c r="EW130" s="427"/>
      <c r="EX130" s="427"/>
      <c r="EY130" s="427"/>
      <c r="EZ130" s="427"/>
      <c r="FA130" s="427"/>
      <c r="FB130" s="427"/>
      <c r="FC130" s="427"/>
      <c r="FD130" s="427"/>
      <c r="FE130" s="427"/>
      <c r="FF130" s="427"/>
      <c r="FG130" s="427"/>
      <c r="FH130" s="427"/>
    </row>
    <row r="131">
      <c r="AC131" s="83">
        <f>average(AA130:AC130)</f>
        <v>364.8864243</v>
      </c>
      <c r="AF131" s="83">
        <f>average(AD130:AF130)</f>
        <v>380.0934338</v>
      </c>
      <c r="AI131" s="83">
        <f>average(AG130:AI130)</f>
        <v>420.6554057</v>
      </c>
      <c r="AL131" s="83">
        <f>average(AJ130:AL130)</f>
        <v>367.0578204</v>
      </c>
      <c r="AO131" s="83">
        <f>average(AM130:AO130)</f>
        <v>364.8400992</v>
      </c>
      <c r="AR131" s="83">
        <f>average(AP130:AR130)</f>
        <v>341.7285942</v>
      </c>
      <c r="AU131" s="83">
        <f>average(AS130:AU130)</f>
        <v>373.4245084</v>
      </c>
      <c r="AX131" s="83">
        <f>average(AV130:AX130)</f>
        <v>337.937839</v>
      </c>
      <c r="BA131" s="83">
        <f>average(AY130:BA130)</f>
        <v>383.2035142</v>
      </c>
      <c r="BD131" s="83">
        <f>average(BB130:BD130)</f>
        <v>367.4111355</v>
      </c>
      <c r="BP131" s="83">
        <f t="shared" ref="BP131:BR131" si="322">average(BN130:BP130)</f>
        <v>319.8828102</v>
      </c>
      <c r="BQ131" s="83">
        <f t="shared" si="322"/>
        <v>313.0878421</v>
      </c>
      <c r="BR131" s="83">
        <f t="shared" si="322"/>
        <v>315.1634358</v>
      </c>
      <c r="CR131" s="2"/>
      <c r="CS131" s="2"/>
      <c r="CT131" s="2"/>
      <c r="CU131" s="2"/>
      <c r="DN131" s="83"/>
      <c r="DQ131" s="83"/>
      <c r="DT131" s="83"/>
      <c r="DW131" s="83"/>
      <c r="DZ131" s="83"/>
      <c r="EC131" s="83"/>
      <c r="EF131" s="83"/>
      <c r="EI131" s="3"/>
      <c r="EL131" s="83"/>
      <c r="EX131" s="83"/>
    </row>
    <row r="132">
      <c r="B132" s="1" t="s">
        <v>569</v>
      </c>
      <c r="O132" s="482">
        <v>239060.0</v>
      </c>
      <c r="P132" s="482">
        <v>162500.0</v>
      </c>
      <c r="Q132" s="482">
        <v>739670.0</v>
      </c>
      <c r="R132" s="482">
        <v>429788.0</v>
      </c>
      <c r="S132" s="482">
        <v>401156.02</v>
      </c>
      <c r="T132" s="482">
        <v>268822.01</v>
      </c>
      <c r="U132" s="482">
        <v>498175.11</v>
      </c>
      <c r="V132" s="482">
        <v>507759.0</v>
      </c>
      <c r="W132" s="482">
        <v>919047.6</v>
      </c>
      <c r="X132" s="482">
        <v>1104547.06</v>
      </c>
      <c r="Y132" s="482">
        <v>1577381.8</v>
      </c>
      <c r="Z132" s="482">
        <v>1607239.27</v>
      </c>
      <c r="AA132" s="482">
        <v>1029018.71</v>
      </c>
      <c r="AB132" s="482">
        <v>1060081.83</v>
      </c>
      <c r="AC132" s="482">
        <v>934609.65</v>
      </c>
      <c r="AD132" s="482">
        <v>908676.28</v>
      </c>
      <c r="AE132" s="482">
        <v>1924801.8</v>
      </c>
      <c r="AF132" s="482">
        <v>1931951.6</v>
      </c>
      <c r="AG132" s="482">
        <v>1791253.83</v>
      </c>
      <c r="AH132" s="482">
        <v>1600081.19</v>
      </c>
      <c r="AI132" s="482">
        <v>1758609.68</v>
      </c>
      <c r="AJ132" s="482">
        <v>1943150.37</v>
      </c>
      <c r="AK132" s="482">
        <v>1697094.21</v>
      </c>
      <c r="AL132" s="482">
        <v>2512144.31</v>
      </c>
      <c r="AM132" s="482">
        <v>1919658.95</v>
      </c>
      <c r="AN132" s="482">
        <v>1546928.97</v>
      </c>
      <c r="AO132" s="482">
        <v>1560519.4</v>
      </c>
      <c r="AP132" s="482">
        <v>1363140.88</v>
      </c>
      <c r="AQ132" s="482">
        <v>1024531.65</v>
      </c>
      <c r="AR132" s="482">
        <v>1916916.05</v>
      </c>
      <c r="AS132" s="482">
        <v>1036998.3</v>
      </c>
      <c r="AT132" s="482">
        <v>2207412.9</v>
      </c>
      <c r="AU132" s="482">
        <v>1669426.68</v>
      </c>
      <c r="AV132" s="482">
        <v>1376849.48</v>
      </c>
      <c r="AW132" s="482">
        <v>2690736.88</v>
      </c>
      <c r="AX132" s="482">
        <v>2684375.35</v>
      </c>
      <c r="AY132" s="482">
        <v>899226.78</v>
      </c>
      <c r="AZ132" s="482">
        <v>839652.01</v>
      </c>
      <c r="BA132" s="482">
        <v>2958703.53</v>
      </c>
      <c r="BB132" s="482">
        <v>1211173.26</v>
      </c>
      <c r="BC132" s="482">
        <v>1838532.74</v>
      </c>
      <c r="BD132" s="482">
        <v>2270659.46</v>
      </c>
      <c r="BE132" s="482">
        <v>1769841.5</v>
      </c>
      <c r="BF132" s="483">
        <v>2255355.65</v>
      </c>
      <c r="BG132" s="482">
        <v>1116707.63</v>
      </c>
      <c r="BH132" s="482">
        <v>3002671.19</v>
      </c>
      <c r="BI132" s="482">
        <v>3384613.95</v>
      </c>
      <c r="BJ132" s="482">
        <v>1663259.23</v>
      </c>
      <c r="BK132" s="482">
        <v>1841441.72</v>
      </c>
      <c r="BL132" s="483">
        <v>2708684.8</v>
      </c>
      <c r="BM132" s="484">
        <v>2437928.0</v>
      </c>
      <c r="BN132" s="482">
        <v>2281210.9</v>
      </c>
      <c r="BO132" s="482">
        <v>1958217.2</v>
      </c>
      <c r="BP132" s="482">
        <v>2790487.55</v>
      </c>
      <c r="BQ132" s="482">
        <v>3328269.78</v>
      </c>
      <c r="BR132" s="482">
        <v>2291501.44</v>
      </c>
      <c r="BX132" s="288" t="str">
        <f t="array" ref="BX132">SUM(INDIRECT(XLOOKUP('GAAP Summary'!$B$2,'TTM Dates'!$B:$B,'TTM Dates'!$E:$E)&amp;ROW($BW132)&amp;":"&amp;XLOOKUP('GAAP Summary'!$B$2,'TTM Dates'!$B:$B,'TTM Dates'!$C:$C)&amp;ROW($BW132)))</f>
        <v>#REF!</v>
      </c>
      <c r="BZ132" s="136">
        <f>sum(BK132:BM132)</f>
        <v>6988054.52</v>
      </c>
      <c r="CA132" s="136">
        <f>sum(BN132:BP132)</f>
        <v>7029915.65</v>
      </c>
      <c r="CB132" s="136">
        <f>sum(BQ132:BS132)</f>
        <v>5619771.22</v>
      </c>
      <c r="CC132" s="136">
        <f>sum(BT132:BV132)</f>
        <v>0</v>
      </c>
      <c r="CD132" s="292">
        <f>sum(BK132:BV132)</f>
        <v>19637741.39</v>
      </c>
      <c r="CE132" s="49"/>
      <c r="CF132" s="136">
        <f>sum(AY132:BA132)</f>
        <v>4697582.32</v>
      </c>
      <c r="CG132" s="136">
        <f>sum(BB132:BD132)</f>
        <v>5320365.46</v>
      </c>
      <c r="CH132" s="136">
        <f>sum(BE132:BG132)</f>
        <v>5141904.78</v>
      </c>
      <c r="CI132" s="136">
        <f>sum(BH132:BJ132)</f>
        <v>8050544.37</v>
      </c>
      <c r="CJ132" s="292">
        <f>sum(AY132:BJ132)</f>
        <v>23210396.93</v>
      </c>
      <c r="CK132" s="136"/>
      <c r="CL132" s="136">
        <f>sum(AM132:AO132)</f>
        <v>5027107.32</v>
      </c>
      <c r="CM132" s="136">
        <f>sum(AP132:AR132)</f>
        <v>4304588.58</v>
      </c>
      <c r="CN132" s="136">
        <f>sum(AS132:AU132)</f>
        <v>4913837.88</v>
      </c>
      <c r="CO132" s="136">
        <f>sum(AV132:AX132)</f>
        <v>6751961.71</v>
      </c>
      <c r="CP132" s="292">
        <f>sum(AM132:AX132)</f>
        <v>20997495.49</v>
      </c>
      <c r="CQ132" s="136"/>
      <c r="CR132" s="136"/>
      <c r="CS132" s="136"/>
      <c r="CT132" s="136"/>
      <c r="CU132" s="136"/>
      <c r="CV132" s="292"/>
      <c r="CW132" s="136"/>
      <c r="CX132" s="292"/>
      <c r="CY132" s="136"/>
      <c r="CZ132" s="136">
        <f t="array" ref="CZ132">IF(CZ$3&gt;'GAAP Summary'!$B$2,0,SUM(INDIRECT(XLOOKUP(CZ$3,'TTM Dates'!$B:$B,'TTM Dates'!$E:$E)&amp;ROW($BW132)&amp;":"&amp;XLOOKUP(CZ$3,'TTM Dates'!$B:$B,'TTM Dates'!$C:$C)&amp;ROW($BW132))))</f>
        <v>239060</v>
      </c>
      <c r="DA132" s="136">
        <f t="array" ref="DA132">IF(DA$3&gt;'GAAP Summary'!$B$2,0,SUM(INDIRECT(XLOOKUP(DA$3,'TTM Dates'!$B:$B,'TTM Dates'!$E:$E)&amp;ROW($BW132)&amp;":"&amp;XLOOKUP(DA$3,'TTM Dates'!$B:$B,'TTM Dates'!$C:$C)&amp;ROW($BW132))))</f>
        <v>401560</v>
      </c>
      <c r="DB132" s="136">
        <f t="array" ref="DB132">IF(DB$3&gt;'GAAP Summary'!$B$2,0,SUM(INDIRECT(XLOOKUP(DB$3,'TTM Dates'!$B:$B,'TTM Dates'!$E:$E)&amp;ROW($BW132)&amp;":"&amp;XLOOKUP(DB$3,'TTM Dates'!$B:$B,'TTM Dates'!$C:$C)&amp;ROW($BW132))))</f>
        <v>1141230</v>
      </c>
      <c r="DC132" s="136">
        <f t="array" ref="DC132">IF(DC$3&gt;'GAAP Summary'!$B$2,0,SUM(INDIRECT(XLOOKUP(DC$3,'TTM Dates'!$B:$B,'TTM Dates'!$E:$E)&amp;ROW($BW132)&amp;":"&amp;XLOOKUP(DC$3,'TTM Dates'!$B:$B,'TTM Dates'!$C:$C)&amp;ROW($BW132))))</f>
        <v>1571018</v>
      </c>
      <c r="DD132" s="136">
        <f t="array" ref="DD132">IF(DD$3&gt;'GAAP Summary'!$B$2,0,SUM(INDIRECT(XLOOKUP(DD$3,'TTM Dates'!$B:$B,'TTM Dates'!$E:$E)&amp;ROW($BW132)&amp;":"&amp;XLOOKUP(DD$3,'TTM Dates'!$B:$B,'TTM Dates'!$C:$C)&amp;ROW($BW132))))</f>
        <v>1972174.02</v>
      </c>
      <c r="DE132" s="136">
        <f t="array" ref="DE132">IF(DE$3&gt;'GAAP Summary'!$B$2,0,SUM(INDIRECT(XLOOKUP(DE$3,'TTM Dates'!$B:$B,'TTM Dates'!$E:$E)&amp;ROW($BW132)&amp;":"&amp;XLOOKUP(DE$3,'TTM Dates'!$B:$B,'TTM Dates'!$C:$C)&amp;ROW($BW132))))</f>
        <v>2240996.03</v>
      </c>
      <c r="DF132" s="136">
        <f t="array" ref="DF132">IF(DF$3&gt;'GAAP Summary'!$B$2,0,SUM(INDIRECT(XLOOKUP(DF$3,'TTM Dates'!$B:$B,'TTM Dates'!$E:$E)&amp;ROW($BW132)&amp;":"&amp;XLOOKUP(DF$3,'TTM Dates'!$B:$B,'TTM Dates'!$C:$C)&amp;ROW($BW132))))</f>
        <v>2739171.14</v>
      </c>
      <c r="DG132" s="136">
        <f t="array" ref="DG132">IF(DG$3&gt;'GAAP Summary'!$B$2,0,SUM(INDIRECT(XLOOKUP(DG$3,'TTM Dates'!$B:$B,'TTM Dates'!$E:$E)&amp;ROW($BW132)&amp;":"&amp;XLOOKUP(DG$3,'TTM Dates'!$B:$B,'TTM Dates'!$C:$C)&amp;ROW($BW132))))</f>
        <v>3246930.14</v>
      </c>
      <c r="DH132" s="136">
        <f t="array" ref="DH132">IF(DH$3&gt;'GAAP Summary'!$B$2,0,SUM(INDIRECT(XLOOKUP(DH$3,'TTM Dates'!$B:$B,'TTM Dates'!$E:$E)&amp;ROW($BW132)&amp;":"&amp;XLOOKUP(DH$3,'TTM Dates'!$B:$B,'TTM Dates'!$C:$C)&amp;ROW($BW132))))</f>
        <v>4165977.74</v>
      </c>
      <c r="DI132" s="136">
        <f t="array" ref="DI132">IF(DI$3&gt;'GAAP Summary'!$B$2,0,SUM(INDIRECT(XLOOKUP(DI$3,'TTM Dates'!$B:$B,'TTM Dates'!$E:$E)&amp;ROW($BW132)&amp;":"&amp;XLOOKUP(DI$3,'TTM Dates'!$B:$B,'TTM Dates'!$C:$C)&amp;ROW($BW132))))</f>
        <v>5270524.8</v>
      </c>
      <c r="DJ132" s="136">
        <f t="array" ref="DJ132">IF(DJ$3&gt;'GAAP Summary'!$B$2,0,SUM(INDIRECT(XLOOKUP(DJ$3,'TTM Dates'!$B:$B,'TTM Dates'!$E:$E)&amp;ROW($BW132)&amp;":"&amp;XLOOKUP(DJ$3,'TTM Dates'!$B:$B,'TTM Dates'!$C:$C)&amp;ROW($BW132))))</f>
        <v>6847906.6</v>
      </c>
      <c r="DK132" s="136">
        <f t="array" ref="DK132">IF(DK$3&gt;'GAAP Summary'!$B$2,0,SUM(INDIRECT(XLOOKUP(DK$3,'TTM Dates'!$B:$B,'TTM Dates'!$E:$E)&amp;ROW($BW132)&amp;":"&amp;XLOOKUP(DK$3,'TTM Dates'!$B:$B,'TTM Dates'!$C:$C)&amp;ROW($BW132))))</f>
        <v>8455145.87</v>
      </c>
      <c r="DL132" s="136">
        <f t="array" ref="DL132">IF(DL$3&gt;'GAAP Summary'!$B$2,0,SUM(INDIRECT(XLOOKUP(DL$3,'TTM Dates'!$B:$B,'TTM Dates'!$E:$E)&amp;ROW($BW132)&amp;":"&amp;XLOOKUP(DL$3,'TTM Dates'!$B:$B,'TTM Dates'!$C:$C)&amp;ROW($BW132))))</f>
        <v>9245104.58</v>
      </c>
      <c r="DM132" s="136">
        <f t="array" ref="DM132">IF(DM$3&gt;'GAAP Summary'!$B$2,0,SUM(INDIRECT(XLOOKUP(DM$3,'TTM Dates'!$B:$B,'TTM Dates'!$E:$E)&amp;ROW($BW132)&amp;":"&amp;XLOOKUP(DM$3,'TTM Dates'!$B:$B,'TTM Dates'!$C:$C)&amp;ROW($BW132))))</f>
        <v>10142686.41</v>
      </c>
      <c r="DN132" s="136">
        <f t="array" ref="DN132">IF(DN$3&gt;'GAAP Summary'!$B$2,0,SUM(INDIRECT(XLOOKUP(DN$3,'TTM Dates'!$B:$B,'TTM Dates'!$E:$E)&amp;ROW($BW132)&amp;":"&amp;XLOOKUP(DN$3,'TTM Dates'!$B:$B,'TTM Dates'!$C:$C)&amp;ROW($BW132))))</f>
        <v>10337626.06</v>
      </c>
      <c r="DO132" s="136">
        <f t="array" ref="DO132">IF(DO$3&gt;'GAAP Summary'!$B$2,0,SUM(INDIRECT(XLOOKUP(DO$3,'TTM Dates'!$B:$B,'TTM Dates'!$E:$E)&amp;ROW($BW132)&amp;":"&amp;XLOOKUP(DO$3,'TTM Dates'!$B:$B,'TTM Dates'!$C:$C)&amp;ROW($BW132))))</f>
        <v>10816514.34</v>
      </c>
      <c r="DP132" s="136">
        <f t="array" ref="DP132">IF(DP$3&gt;'GAAP Summary'!$B$2,0,SUM(INDIRECT(XLOOKUP(DP$3,'TTM Dates'!$B:$B,'TTM Dates'!$E:$E)&amp;ROW($BW132)&amp;":"&amp;XLOOKUP(DP$3,'TTM Dates'!$B:$B,'TTM Dates'!$C:$C)&amp;ROW($BW132))))</f>
        <v>12340160.12</v>
      </c>
      <c r="DQ132" s="136">
        <f t="array" ref="DQ132">IF(DQ$3&gt;'GAAP Summary'!$B$2,0,SUM(INDIRECT(XLOOKUP(DQ$3,'TTM Dates'!$B:$B,'TTM Dates'!$E:$E)&amp;ROW($BW132)&amp;":"&amp;XLOOKUP(DQ$3,'TTM Dates'!$B:$B,'TTM Dates'!$C:$C)&amp;ROW($BW132))))</f>
        <v>14003289.71</v>
      </c>
      <c r="DR132" s="136">
        <f t="array" ref="DR132">IF(DR$3&gt;'GAAP Summary'!$B$2,0,SUM(INDIRECT(XLOOKUP(DR$3,'TTM Dates'!$B:$B,'TTM Dates'!$E:$E)&amp;ROW($BW132)&amp;":"&amp;XLOOKUP(DR$3,'TTM Dates'!$B:$B,'TTM Dates'!$C:$C)&amp;ROW($BW132))))</f>
        <v>15296368.43</v>
      </c>
      <c r="DS132" s="136">
        <f t="array" ref="DS132">IF(DS$3&gt;'GAAP Summary'!$B$2,0,SUM(INDIRECT(XLOOKUP(DS$3,'TTM Dates'!$B:$B,'TTM Dates'!$E:$E)&amp;ROW($BW132)&amp;":"&amp;XLOOKUP(DS$3,'TTM Dates'!$B:$B,'TTM Dates'!$C:$C)&amp;ROW($BW132))))</f>
        <v>16388690.62</v>
      </c>
      <c r="DT132" s="136">
        <f t="array" ref="DT132">IF(DT$3&gt;'GAAP Summary'!$B$2,0,SUM(INDIRECT(XLOOKUP(DT$3,'TTM Dates'!$B:$B,'TTM Dates'!$E:$E)&amp;ROW($BW132)&amp;":"&amp;XLOOKUP(DT$3,'TTM Dates'!$B:$B,'TTM Dates'!$C:$C)&amp;ROW($BW132))))</f>
        <v>17228252.7</v>
      </c>
      <c r="DU132" s="136">
        <f t="array" ref="DU132">IF(DU$3&gt;'GAAP Summary'!$B$2,0,SUM(INDIRECT(XLOOKUP(DU$3,'TTM Dates'!$B:$B,'TTM Dates'!$E:$E)&amp;ROW($BW132)&amp;":"&amp;XLOOKUP(DU$3,'TTM Dates'!$B:$B,'TTM Dates'!$C:$C)&amp;ROW($BW132))))</f>
        <v>18066856.01</v>
      </c>
      <c r="DV132" s="136">
        <f t="array" ref="DV132">IF(DV$3&gt;'GAAP Summary'!$B$2,0,SUM(INDIRECT(XLOOKUP(DV$3,'TTM Dates'!$B:$B,'TTM Dates'!$E:$E)&amp;ROW($BW132)&amp;":"&amp;XLOOKUP(DV$3,'TTM Dates'!$B:$B,'TTM Dates'!$C:$C)&amp;ROW($BW132))))</f>
        <v>18186568.42</v>
      </c>
      <c r="DW132" s="136">
        <f t="array" ref="DW132">IF(DW$3&gt;'GAAP Summary'!$B$2,0,SUM(INDIRECT(XLOOKUP(DW$3,'TTM Dates'!$B:$B,'TTM Dates'!$E:$E)&amp;ROW($BW132)&amp;":"&amp;XLOOKUP(DW$3,'TTM Dates'!$B:$B,'TTM Dates'!$C:$C)&amp;ROW($BW132))))</f>
        <v>19091473.46</v>
      </c>
      <c r="DX132" s="136">
        <f t="array" ref="DX132">IF(DX$3&gt;'GAAP Summary'!$B$2,0,SUM(INDIRECT(XLOOKUP(DX$3,'TTM Dates'!$B:$B,'TTM Dates'!$E:$E)&amp;ROW($BW132)&amp;":"&amp;XLOOKUP(DX$3,'TTM Dates'!$B:$B,'TTM Dates'!$C:$C)&amp;ROW($BW132))))</f>
        <v>19982113.7</v>
      </c>
      <c r="DY132" s="136">
        <f t="array" ref="DY132">IF(DY$3&gt;'GAAP Summary'!$B$2,0,SUM(INDIRECT(XLOOKUP(DY$3,'TTM Dates'!$B:$B,'TTM Dates'!$E:$E)&amp;ROW($BW132)&amp;":"&amp;XLOOKUP(DY$3,'TTM Dates'!$B:$B,'TTM Dates'!$C:$C)&amp;ROW($BW132))))</f>
        <v>20468960.84</v>
      </c>
      <c r="DZ132" s="136">
        <f t="array" ref="DZ132">IF(DZ$3&gt;'GAAP Summary'!$B$2,0,SUM(INDIRECT(XLOOKUP(DZ$3,'TTM Dates'!$B:$B,'TTM Dates'!$E:$E)&amp;ROW($BW132)&amp;":"&amp;XLOOKUP(DZ$3,'TTM Dates'!$B:$B,'TTM Dates'!$C:$C)&amp;ROW($BW132))))</f>
        <v>21094870.59</v>
      </c>
      <c r="EA132" s="136">
        <f t="array" ref="EA132">IF(EA$3&gt;'GAAP Summary'!$B$2,0,SUM(INDIRECT(XLOOKUP(EA$3,'TTM Dates'!$B:$B,'TTM Dates'!$E:$E)&amp;ROW($BW132)&amp;":"&amp;XLOOKUP(EA$3,'TTM Dates'!$B:$B,'TTM Dates'!$C:$C)&amp;ROW($BW132))))</f>
        <v>21549335.19</v>
      </c>
      <c r="EB132" s="136">
        <f t="array" ref="EB132">IF(EB$3&gt;'GAAP Summary'!$B$2,0,SUM(INDIRECT(XLOOKUP(EB$3,'TTM Dates'!$B:$B,'TTM Dates'!$E:$E)&amp;ROW($BW132)&amp;":"&amp;XLOOKUP(EB$3,'TTM Dates'!$B:$B,'TTM Dates'!$C:$C)&amp;ROW($BW132))))</f>
        <v>20649065.04</v>
      </c>
      <c r="EC132" s="136">
        <f t="array" ref="EC132">IF(EC$3&gt;'GAAP Summary'!$B$2,0,SUM(INDIRECT(XLOOKUP(EC$3,'TTM Dates'!$B:$B,'TTM Dates'!$E:$E)&amp;ROW($BW132)&amp;":"&amp;XLOOKUP(EC$3,'TTM Dates'!$B:$B,'TTM Dates'!$C:$C)&amp;ROW($BW132))))</f>
        <v>20634029.49</v>
      </c>
      <c r="ED132" s="136">
        <f t="array" ref="ED132">IF(ED$3&gt;'GAAP Summary'!$B$2,0,SUM(INDIRECT(XLOOKUP(ED$3,'TTM Dates'!$B:$B,'TTM Dates'!$E:$E)&amp;ROW($BW132)&amp;":"&amp;XLOOKUP(ED$3,'TTM Dates'!$B:$B,'TTM Dates'!$C:$C)&amp;ROW($BW132))))</f>
        <v>19879773.96</v>
      </c>
      <c r="EE132" s="136">
        <f t="array" ref="EE132">IF(EE$3&gt;'GAAP Summary'!$B$2,0,SUM(INDIRECT(XLOOKUP(EE$3,'TTM Dates'!$B:$B,'TTM Dates'!$E:$E)&amp;ROW($BW132)&amp;":"&amp;XLOOKUP(EE$3,'TTM Dates'!$B:$B,'TTM Dates'!$C:$C)&amp;ROW($BW132))))</f>
        <v>20487105.67</v>
      </c>
      <c r="EF132" s="136">
        <f t="array" ref="EF132">IF(EF$3&gt;'GAAP Summary'!$B$2,0,SUM(INDIRECT(XLOOKUP(EF$3,'TTM Dates'!$B:$B,'TTM Dates'!$E:$E)&amp;ROW($BW132)&amp;":"&amp;XLOOKUP(EF$3,'TTM Dates'!$B:$B,'TTM Dates'!$C:$C)&amp;ROW($BW132))))</f>
        <v>20397922.67</v>
      </c>
      <c r="EG132" s="136">
        <f t="array" ref="EG132">IF(EG$3&gt;'GAAP Summary'!$B$2,0,SUM(INDIRECT(XLOOKUP(EG$3,'TTM Dates'!$B:$B,'TTM Dates'!$E:$E)&amp;ROW($BW132)&amp;":"&amp;XLOOKUP(EG$3,'TTM Dates'!$B:$B,'TTM Dates'!$C:$C)&amp;ROW($BW132))))</f>
        <v>19831621.78</v>
      </c>
      <c r="EH132" s="136">
        <f t="array" ref="EH132">IF(EH$3&gt;'GAAP Summary'!$B$2,0,SUM(INDIRECT(XLOOKUP(EH$3,'TTM Dates'!$B:$B,'TTM Dates'!$E:$E)&amp;ROW($BW132)&amp;":"&amp;XLOOKUP(EH$3,'TTM Dates'!$B:$B,'TTM Dates'!$C:$C)&amp;ROW($BW132))))</f>
        <v>20825264.45</v>
      </c>
      <c r="EI132" s="136">
        <f t="array" ref="EI132">IF(EI$3&gt;'GAAP Summary'!$B$2,0,SUM(INDIRECT(XLOOKUP(EI$3,'TTM Dates'!$B:$B,'TTM Dates'!$E:$E)&amp;ROW($BW132)&amp;":"&amp;XLOOKUP(EI$3,'TTM Dates'!$B:$B,'TTM Dates'!$C:$C)&amp;ROW($BW132))))</f>
        <v>20997495.49</v>
      </c>
      <c r="EJ132" s="136">
        <f t="array" ref="EJ132">IF(EJ$3&gt;'GAAP Summary'!$B$2,0,SUM(INDIRECT(XLOOKUP(EJ$3,'TTM Dates'!$B:$B,'TTM Dates'!$E:$E)&amp;ROW($BW132)&amp;":"&amp;XLOOKUP(EJ$3,'TTM Dates'!$B:$B,'TTM Dates'!$C:$C)&amp;ROW($BW132))))</f>
        <v>19977063.32</v>
      </c>
      <c r="EK132" s="136">
        <f t="array" ref="EK132">IF(EK$3&gt;'GAAP Summary'!$B$2,0,SUM(INDIRECT(XLOOKUP(EK$3,'TTM Dates'!$B:$B,'TTM Dates'!$E:$E)&amp;ROW($BW132)&amp;":"&amp;XLOOKUP(EK$3,'TTM Dates'!$B:$B,'TTM Dates'!$C:$C)&amp;ROW($BW132))))</f>
        <v>19269786.36</v>
      </c>
      <c r="EL132" s="136">
        <f t="array" ref="EL132">IF(EL$3&gt;'GAAP Summary'!$B$2,0,SUM(INDIRECT(XLOOKUP(EL$3,'TTM Dates'!$B:$B,'TTM Dates'!$E:$E)&amp;ROW($BW132)&amp;":"&amp;XLOOKUP(EL$3,'TTM Dates'!$B:$B,'TTM Dates'!$C:$C)&amp;ROW($BW132))))</f>
        <v>20667970.49</v>
      </c>
      <c r="EM132" s="136">
        <f t="array" ref="EM132">IF(EM$3&gt;'GAAP Summary'!$B$2,0,SUM(INDIRECT(XLOOKUP(EM$3,'TTM Dates'!$B:$B,'TTM Dates'!$E:$E)&amp;ROW($BW132)&amp;":"&amp;XLOOKUP(EM$3,'TTM Dates'!$B:$B,'TTM Dates'!$C:$C)&amp;ROW($BW132))))</f>
        <v>20516002.87</v>
      </c>
      <c r="EN132" s="136">
        <f t="array" ref="EN132">IF(EN$3&gt;'GAAP Summary'!$B$2,0,SUM(INDIRECT(XLOOKUP(EN$3,'TTM Dates'!$B:$B,'TTM Dates'!$E:$E)&amp;ROW($BW132)&amp;":"&amp;XLOOKUP(EN$3,'TTM Dates'!$B:$B,'TTM Dates'!$C:$C)&amp;ROW($BW132))))</f>
        <v>21330003.96</v>
      </c>
      <c r="EO132" s="136">
        <f t="array" ref="EO132">IF(EO$3&gt;'GAAP Summary'!$B$2,0,SUM(INDIRECT(XLOOKUP(EO$3,'TTM Dates'!$B:$B,'TTM Dates'!$E:$E)&amp;ROW($BW132)&amp;":"&amp;XLOOKUP(EO$3,'TTM Dates'!$B:$B,'TTM Dates'!$C:$C)&amp;ROW($BW132))))</f>
        <v>21683747.37</v>
      </c>
      <c r="EP132" s="136">
        <f t="array" ref="EP132">IF(EP$3&gt;'GAAP Summary'!$B$2,0,SUM(INDIRECT(XLOOKUP(EP$3,'TTM Dates'!$B:$B,'TTM Dates'!$E:$E)&amp;ROW($BW132)&amp;":"&amp;XLOOKUP(EP$3,'TTM Dates'!$B:$B,'TTM Dates'!$C:$C)&amp;ROW($BW132))))</f>
        <v>22416590.57</v>
      </c>
      <c r="EQ132" s="136">
        <f t="array" ref="EQ132">IF(EQ$3&gt;'GAAP Summary'!$B$2,0,SUM(INDIRECT(XLOOKUP(EQ$3,'TTM Dates'!$B:$B,'TTM Dates'!$E:$E)&amp;ROW($BW132)&amp;":"&amp;XLOOKUP(EQ$3,'TTM Dates'!$B:$B,'TTM Dates'!$C:$C)&amp;ROW($BW132))))</f>
        <v>22464533.32</v>
      </c>
      <c r="ER132" s="136">
        <f t="array" ref="ER132">IF(ER$3&gt;'GAAP Summary'!$B$2,0,SUM(INDIRECT(XLOOKUP(ER$3,'TTM Dates'!$B:$B,'TTM Dates'!$E:$E)&amp;ROW($BW132)&amp;":"&amp;XLOOKUP(ER$3,'TTM Dates'!$B:$B,'TTM Dates'!$C:$C)&amp;ROW($BW132))))</f>
        <v>21911814.27</v>
      </c>
      <c r="ES132" s="136">
        <f t="array" ref="ES132">IF(ES$3&gt;'GAAP Summary'!$B$2,0,SUM(INDIRECT(XLOOKUP(ES$3,'TTM Dates'!$B:$B,'TTM Dates'!$E:$E)&amp;ROW($BW132)&amp;":"&amp;XLOOKUP(ES$3,'TTM Dates'!$B:$B,'TTM Dates'!$C:$C)&amp;ROW($BW132))))</f>
        <v>23537635.98</v>
      </c>
      <c r="ET132" s="136">
        <f t="array" ref="ET132">IF(ET$3&gt;'GAAP Summary'!$B$2,0,SUM(INDIRECT(XLOOKUP(ET$3,'TTM Dates'!$B:$B,'TTM Dates'!$E:$E)&amp;ROW($BW132)&amp;":"&amp;XLOOKUP(ET$3,'TTM Dates'!$B:$B,'TTM Dates'!$C:$C)&amp;ROW($BW132))))</f>
        <v>24231513.05</v>
      </c>
      <c r="EU132" s="136">
        <f t="array" ref="EU132">IF(EU$3&gt;'GAAP Summary'!$B$2,0,SUM(INDIRECT(XLOOKUP(EU$3,'TTM Dates'!$B:$B,'TTM Dates'!$E:$E)&amp;ROW($BW132)&amp;":"&amp;XLOOKUP(EU$3,'TTM Dates'!$B:$B,'TTM Dates'!$C:$C)&amp;ROW($BW132))))</f>
        <v>23210396.93</v>
      </c>
      <c r="EV132" s="136">
        <f t="array" ref="EV132">IF(EV$3&gt;'GAAP Summary'!$B$2,0,SUM(INDIRECT(XLOOKUP(EV$3,'TTM Dates'!$B:$B,'TTM Dates'!$E:$E)&amp;ROW($BW132)&amp;":"&amp;XLOOKUP(EV$3,'TTM Dates'!$B:$B,'TTM Dates'!$C:$C)&amp;ROW($BW132))))</f>
        <v>24152611.87</v>
      </c>
      <c r="EW132" s="136">
        <f t="array" ref="EW132">IF(EW$3&gt;'GAAP Summary'!$B$2,0,SUM(INDIRECT(XLOOKUP(EW$3,'TTM Dates'!$B:$B,'TTM Dates'!$E:$E)&amp;ROW($BW132)&amp;":"&amp;XLOOKUP(EW$3,'TTM Dates'!$B:$B,'TTM Dates'!$C:$C)&amp;ROW($BW132))))</f>
        <v>26021644.66</v>
      </c>
      <c r="EX132" s="136">
        <f t="array" ref="EX132">IF(EX$3&gt;'GAAP Summary'!$B$2,0,SUM(INDIRECT(XLOOKUP(EX$3,'TTM Dates'!$B:$B,'TTM Dates'!$E:$E)&amp;ROW($BW132)&amp;":"&amp;XLOOKUP(EX$3,'TTM Dates'!$B:$B,'TTM Dates'!$C:$C)&amp;ROW($BW132))))</f>
        <v>25500869.13</v>
      </c>
      <c r="EY132" s="136">
        <f t="array" ref="EY132">IF(EY$3&gt;'GAAP Summary'!$B$2,0,SUM(INDIRECT(XLOOKUP(EY$3,'TTM Dates'!$B:$B,'TTM Dates'!$E:$E)&amp;ROW($BW132)&amp;":"&amp;XLOOKUP(EY$3,'TTM Dates'!$B:$B,'TTM Dates'!$C:$C)&amp;ROW($BW132))))</f>
        <v>26570906.77</v>
      </c>
      <c r="EZ132" s="136">
        <f t="array" ref="EZ132">IF(EZ$3&gt;'GAAP Summary'!$B$2,0,SUM(INDIRECT(XLOOKUP(EZ$3,'TTM Dates'!$B:$B,'TTM Dates'!$E:$E)&amp;ROW($BW132)&amp;":"&amp;XLOOKUP(EZ$3,'TTM Dates'!$B:$B,'TTM Dates'!$C:$C)&amp;ROW($BW132))))</f>
        <v>26690591.23</v>
      </c>
      <c r="FA132" s="136">
        <f t="array" ref="FA132">IF(FA$3&gt;'GAAP Summary'!$B$2,0,SUM(INDIRECT(XLOOKUP(FA$3,'TTM Dates'!$B:$B,'TTM Dates'!$E:$E)&amp;ROW($BW132)&amp;":"&amp;XLOOKUP(FA$3,'TTM Dates'!$B:$B,'TTM Dates'!$C:$C)&amp;ROW($BW132))))</f>
        <v>27210419.32</v>
      </c>
      <c r="FB132" s="136">
        <f t="array" ref="FB132">IF(FB$3&gt;'GAAP Summary'!$B$2,0,SUM(INDIRECT(XLOOKUP(FB$3,'TTM Dates'!$B:$B,'TTM Dates'!$E:$E)&amp;ROW($BW132)&amp;":"&amp;XLOOKUP(FB$3,'TTM Dates'!$B:$B,'TTM Dates'!$C:$C)&amp;ROW($BW132))))</f>
        <v>28768847.6</v>
      </c>
      <c r="FC132" s="136">
        <f t="array" ref="FC132">IF(FC$3&gt;'GAAP Summary'!$B$2,0,SUM(INDIRECT(XLOOKUP(FC$3,'TTM Dates'!$B:$B,'TTM Dates'!$E:$E)&amp;ROW($BW132)&amp;":"&amp;XLOOKUP(FC$3,'TTM Dates'!$B:$B,'TTM Dates'!$C:$C)&amp;ROW($BW132))))</f>
        <v>28804993.39</v>
      </c>
      <c r="FD132" s="136">
        <f t="array" ref="FD132">IF(FD$3&gt;'GAAP Summary'!$B$2,0,SUM(INDIRECT(XLOOKUP(FD$3,'TTM Dates'!$B:$B,'TTM Dates'!$E:$E)&amp;ROW($BW132)&amp;":"&amp;XLOOKUP(FD$3,'TTM Dates'!$B:$B,'TTM Dates'!$C:$C)&amp;ROW($BW132))))</f>
        <v>27688285.76</v>
      </c>
      <c r="FE132" s="136">
        <f t="array" ref="FE132">IF(FE$3&gt;'GAAP Summary'!$B$2,0,SUM(INDIRECT(XLOOKUP(FE$3,'TTM Dates'!$B:$B,'TTM Dates'!$E:$E)&amp;ROW($BW132)&amp;":"&amp;XLOOKUP(FE$3,'TTM Dates'!$B:$B,'TTM Dates'!$C:$C)&amp;ROW($BW132))))</f>
        <v>24685614.57</v>
      </c>
      <c r="FF132" s="136">
        <f t="array" ref="FF132">IF(FF$3&gt;'GAAP Summary'!$B$2,0,SUM(INDIRECT(XLOOKUP(FF$3,'TTM Dates'!$B:$B,'TTM Dates'!$E:$E)&amp;ROW($BW132)&amp;":"&amp;XLOOKUP(FF$3,'TTM Dates'!$B:$B,'TTM Dates'!$C:$C)&amp;ROW($BW132))))</f>
        <v>21301000.62</v>
      </c>
      <c r="FG132" s="136">
        <f t="array" ref="FG132">IF(FG$3&gt;'GAAP Summary'!$B$2,0,SUM(INDIRECT(XLOOKUP(FG$3,'TTM Dates'!$B:$B,'TTM Dates'!$E:$E)&amp;ROW($BW132)&amp;":"&amp;XLOOKUP(FG$3,'TTM Dates'!$B:$B,'TTM Dates'!$C:$C)&amp;ROW($BW132))))</f>
        <v>19637741.39</v>
      </c>
      <c r="FH132" s="136"/>
    </row>
    <row r="133">
      <c r="B133" s="433"/>
      <c r="AM133" s="104"/>
      <c r="AN133" s="104"/>
      <c r="AO133" s="104"/>
      <c r="AP133" s="104"/>
      <c r="AQ133" s="104"/>
      <c r="AR133" s="104"/>
      <c r="AS133" s="104"/>
      <c r="AT133" s="104"/>
      <c r="AU133" s="104"/>
      <c r="AY133" s="488"/>
      <c r="AZ133" s="488"/>
      <c r="BA133" s="488"/>
      <c r="BB133" s="488"/>
      <c r="BC133" s="488"/>
      <c r="BD133" s="488"/>
      <c r="BE133" s="488"/>
      <c r="BF133" s="488"/>
      <c r="BG133" s="488"/>
      <c r="BH133" s="488"/>
      <c r="BI133" s="488"/>
      <c r="BJ133" s="488"/>
      <c r="BK133" s="488"/>
      <c r="BL133" s="488"/>
      <c r="BM133" s="488"/>
      <c r="BN133" s="488"/>
      <c r="BZ133" s="434"/>
      <c r="CA133" s="434"/>
      <c r="CB133" s="434"/>
      <c r="CC133" s="434"/>
      <c r="CD133" s="434"/>
      <c r="CF133" s="434"/>
      <c r="CG133" s="434"/>
      <c r="CH133" s="434"/>
      <c r="CI133" s="434"/>
      <c r="CJ133" s="434"/>
      <c r="CL133" s="434"/>
      <c r="CM133" s="434"/>
      <c r="CN133" s="434"/>
      <c r="CO133" s="434"/>
      <c r="CP133" s="434"/>
      <c r="CR133" s="435"/>
      <c r="CS133" s="435"/>
      <c r="CT133" s="435"/>
      <c r="CU133" s="435"/>
      <c r="CV133" s="434"/>
      <c r="DX133" s="104"/>
      <c r="DY133" s="104"/>
      <c r="DZ133" s="104"/>
      <c r="EA133" s="104"/>
      <c r="EB133" s="104"/>
      <c r="EC133" s="104"/>
      <c r="ED133" s="104"/>
      <c r="EE133" s="104"/>
      <c r="EF133" s="104"/>
      <c r="EI133" s="3"/>
    </row>
    <row r="134">
      <c r="B134" s="433" t="s">
        <v>551</v>
      </c>
      <c r="AM134" s="104"/>
      <c r="AN134" s="104"/>
      <c r="AO134" s="104"/>
      <c r="AP134" s="104"/>
      <c r="AQ134" s="104"/>
      <c r="AR134" s="104"/>
      <c r="AS134" s="104"/>
      <c r="AT134" s="104"/>
      <c r="AU134" s="104"/>
      <c r="AY134" s="488">
        <f t="shared" ref="AY134:BR134" si="323">AY12/AY80</f>
        <v>0.1863634283</v>
      </c>
      <c r="AZ134" s="488">
        <f t="shared" si="323"/>
        <v>1.912022555</v>
      </c>
      <c r="BA134" s="488">
        <f t="shared" si="323"/>
        <v>22.46776205</v>
      </c>
      <c r="BB134" s="488">
        <f t="shared" si="323"/>
        <v>7.450976044</v>
      </c>
      <c r="BC134" s="488">
        <f t="shared" si="323"/>
        <v>9.770485095</v>
      </c>
      <c r="BD134" s="488">
        <f t="shared" si="323"/>
        <v>2.408405582</v>
      </c>
      <c r="BE134" s="488">
        <f t="shared" si="323"/>
        <v>10.1953193</v>
      </c>
      <c r="BF134" s="488">
        <f t="shared" si="323"/>
        <v>9.352167049</v>
      </c>
      <c r="BG134" s="488">
        <f t="shared" si="323"/>
        <v>15.82617702</v>
      </c>
      <c r="BH134" s="488">
        <f t="shared" si="323"/>
        <v>11.83846498</v>
      </c>
      <c r="BI134" s="488">
        <f t="shared" si="323"/>
        <v>13.83816015</v>
      </c>
      <c r="BJ134" s="488">
        <f t="shared" si="323"/>
        <v>22.22314755</v>
      </c>
      <c r="BK134" s="488">
        <f t="shared" si="323"/>
        <v>4.3032322</v>
      </c>
      <c r="BL134" s="488">
        <f t="shared" si="323"/>
        <v>15.34555137</v>
      </c>
      <c r="BM134" s="488">
        <f t="shared" si="323"/>
        <v>18.84514999</v>
      </c>
      <c r="BN134" s="488">
        <f t="shared" si="323"/>
        <v>29.647797</v>
      </c>
      <c r="BO134" s="488">
        <f t="shared" si="323"/>
        <v>5.899843267</v>
      </c>
      <c r="BP134" s="488">
        <f t="shared" si="323"/>
        <v>8.775131194</v>
      </c>
      <c r="BQ134" s="488">
        <f t="shared" si="323"/>
        <v>17.38248521</v>
      </c>
      <c r="BR134" s="488">
        <f t="shared" si="323"/>
        <v>5.533568125</v>
      </c>
      <c r="BZ134" s="434">
        <f t="shared" ref="BZ134:CD134" si="324">IFERROR(BZ12/BZ80,0)</f>
        <v>12.17831793</v>
      </c>
      <c r="CA134" s="434">
        <f t="shared" si="324"/>
        <v>11.05268076</v>
      </c>
      <c r="CB134" s="434">
        <f t="shared" si="324"/>
        <v>9.655617468</v>
      </c>
      <c r="CC134" s="434">
        <f t="shared" si="324"/>
        <v>0</v>
      </c>
      <c r="CD134" s="434">
        <f t="shared" si="324"/>
        <v>10.93219964</v>
      </c>
      <c r="CF134" s="434">
        <f t="shared" ref="CF134:CJ134" si="325">IFERROR(CF12/CF80,0)</f>
        <v>7.855229454</v>
      </c>
      <c r="CG134" s="434">
        <f t="shared" si="325"/>
        <v>6.207888167</v>
      </c>
      <c r="CH134" s="434">
        <f t="shared" si="325"/>
        <v>11.28059482</v>
      </c>
      <c r="CI134" s="434">
        <f t="shared" si="325"/>
        <v>15.46219209</v>
      </c>
      <c r="CJ134" s="434">
        <f t="shared" si="325"/>
        <v>9.48447017</v>
      </c>
      <c r="CL134" s="434">
        <f t="shared" ref="CL134:CP134" si="326">CL12/CL80</f>
        <v>5.620743753</v>
      </c>
      <c r="CM134" s="434">
        <f t="shared" si="326"/>
        <v>5.050369309</v>
      </c>
      <c r="CN134" s="434">
        <f t="shared" si="326"/>
        <v>6.695034696</v>
      </c>
      <c r="CO134" s="434">
        <f t="shared" si="326"/>
        <v>17.16230351</v>
      </c>
      <c r="CP134" s="434">
        <f t="shared" si="326"/>
        <v>8.043788831</v>
      </c>
      <c r="CR134" s="435">
        <f t="shared" ref="CR134:CT134" si="327">CR12/CR80</f>
        <v>12.12907283</v>
      </c>
      <c r="CS134" s="435">
        <f t="shared" si="327"/>
        <v>17.77800195</v>
      </c>
      <c r="CT134" s="435">
        <f t="shared" si="327"/>
        <v>12.65221266</v>
      </c>
      <c r="CU134" s="435">
        <f>CU12/(CU80-600000)</f>
        <v>60.66662179</v>
      </c>
      <c r="CV134" s="434">
        <f>CV12/CV80</f>
        <v>13.00687711</v>
      </c>
      <c r="DX134" s="104"/>
      <c r="DY134" s="104"/>
      <c r="DZ134" s="104"/>
      <c r="EA134" s="104"/>
      <c r="EB134" s="104"/>
      <c r="EC134" s="104"/>
      <c r="ED134" s="104"/>
      <c r="EE134" s="104"/>
      <c r="EF134" s="104"/>
      <c r="EI134" s="3"/>
    </row>
    <row r="135">
      <c r="AM135" s="106"/>
      <c r="AN135" s="106"/>
      <c r="AO135" s="106"/>
      <c r="AP135" s="106"/>
      <c r="AQ135" s="106"/>
      <c r="AR135" s="106"/>
      <c r="AS135" s="106"/>
      <c r="AT135" s="106"/>
      <c r="AU135" s="106"/>
      <c r="CR135" s="2"/>
      <c r="CS135" s="2"/>
      <c r="CT135" s="2"/>
      <c r="CU135" s="2"/>
      <c r="DX135" s="106"/>
      <c r="DY135" s="106"/>
      <c r="DZ135" s="106"/>
      <c r="EA135" s="106"/>
      <c r="EB135" s="106"/>
      <c r="EC135" s="106"/>
      <c r="ED135" s="106"/>
      <c r="EE135" s="106"/>
      <c r="EF135" s="106"/>
      <c r="EI135" s="3"/>
    </row>
    <row r="136">
      <c r="A136" s="35"/>
      <c r="B136" s="36" t="s">
        <v>165</v>
      </c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  <c r="BM136" s="38"/>
      <c r="BN136" s="38"/>
      <c r="BO136" s="38"/>
      <c r="BP136" s="38"/>
      <c r="BQ136" s="38"/>
      <c r="BR136" s="38"/>
      <c r="BS136" s="38"/>
      <c r="BT136" s="38"/>
      <c r="BU136" s="38"/>
      <c r="BV136" s="38"/>
      <c r="BW136" s="39"/>
      <c r="BX136" s="40"/>
      <c r="BY136" s="41"/>
      <c r="BZ136" s="38" t="s">
        <v>165</v>
      </c>
      <c r="CA136" s="38" t="s">
        <v>165</v>
      </c>
      <c r="CB136" s="38" t="s">
        <v>165</v>
      </c>
      <c r="CC136" s="38" t="s">
        <v>165</v>
      </c>
      <c r="CD136" s="40"/>
      <c r="CE136" s="41"/>
      <c r="CF136" s="38" t="s">
        <v>165</v>
      </c>
      <c r="CG136" s="38" t="s">
        <v>165</v>
      </c>
      <c r="CH136" s="38" t="s">
        <v>165</v>
      </c>
      <c r="CI136" s="38" t="s">
        <v>165</v>
      </c>
      <c r="CJ136" s="40"/>
      <c r="CK136" s="37"/>
      <c r="CL136" s="37"/>
      <c r="CM136" s="37"/>
      <c r="CN136" s="37"/>
      <c r="CO136" s="37"/>
      <c r="CP136" s="40"/>
      <c r="CQ136" s="37"/>
      <c r="CR136" s="37"/>
      <c r="CS136" s="37"/>
      <c r="CT136" s="37"/>
      <c r="CU136" s="37"/>
      <c r="CV136" s="40"/>
      <c r="CW136" s="37"/>
      <c r="CX136" s="40"/>
      <c r="CY136" s="44"/>
      <c r="CZ136" s="37"/>
      <c r="DA136" s="37"/>
      <c r="DB136" s="37"/>
      <c r="DC136" s="37"/>
      <c r="DD136" s="37"/>
      <c r="DE136" s="37"/>
      <c r="DF136" s="37"/>
      <c r="DG136" s="37"/>
      <c r="DH136" s="37"/>
      <c r="DI136" s="37"/>
      <c r="DJ136" s="37"/>
      <c r="DK136" s="37"/>
      <c r="DL136" s="37"/>
      <c r="DM136" s="37"/>
      <c r="DN136" s="37"/>
      <c r="DO136" s="37"/>
      <c r="DP136" s="37"/>
      <c r="DQ136" s="37"/>
      <c r="DR136" s="37"/>
      <c r="DS136" s="37"/>
      <c r="DT136" s="37"/>
      <c r="DU136" s="37"/>
      <c r="DV136" s="37"/>
      <c r="DW136" s="37"/>
      <c r="DX136" s="37"/>
      <c r="DY136" s="37"/>
      <c r="DZ136" s="37"/>
      <c r="EA136" s="37"/>
      <c r="EB136" s="37"/>
      <c r="EC136" s="37"/>
      <c r="ED136" s="37"/>
      <c r="EE136" s="37"/>
      <c r="EF136" s="37"/>
      <c r="EG136" s="37"/>
      <c r="EH136" s="38"/>
      <c r="EI136" s="38"/>
      <c r="EJ136" s="38"/>
      <c r="EK136" s="38"/>
      <c r="EL136" s="38"/>
      <c r="EM136" s="38"/>
      <c r="EN136" s="38"/>
      <c r="EO136" s="38"/>
      <c r="EP136" s="38"/>
      <c r="EQ136" s="38"/>
      <c r="ER136" s="38"/>
      <c r="ES136" s="38"/>
      <c r="ET136" s="38"/>
      <c r="EU136" s="38"/>
      <c r="EV136" s="38"/>
      <c r="EW136" s="38"/>
      <c r="EX136" s="38"/>
      <c r="EY136" s="38"/>
      <c r="EZ136" s="38"/>
      <c r="FA136" s="38"/>
      <c r="FB136" s="38"/>
      <c r="FC136" s="38"/>
      <c r="FD136" s="38"/>
      <c r="FE136" s="38"/>
      <c r="FF136" s="38"/>
      <c r="FG136" s="38"/>
      <c r="FH136" s="38"/>
    </row>
    <row r="137" ht="9.0" customHeight="1">
      <c r="C137" s="378"/>
      <c r="D137" s="378"/>
      <c r="E137" s="378"/>
      <c r="F137" s="378"/>
      <c r="G137" s="378"/>
      <c r="H137" s="378"/>
      <c r="I137" s="378"/>
      <c r="J137" s="378"/>
      <c r="K137" s="378"/>
      <c r="L137" s="378"/>
      <c r="M137" s="378"/>
      <c r="N137" s="378"/>
      <c r="O137" s="378"/>
      <c r="P137" s="378"/>
      <c r="Q137" s="378"/>
      <c r="R137" s="378"/>
      <c r="S137" s="378"/>
      <c r="T137" s="378"/>
      <c r="U137" s="378"/>
      <c r="V137" s="378"/>
      <c r="W137" s="378"/>
      <c r="X137" s="378"/>
      <c r="Y137" s="378"/>
      <c r="Z137" s="378"/>
      <c r="AA137" s="378"/>
      <c r="AB137" s="378"/>
      <c r="AC137" s="378"/>
      <c r="AD137" s="378"/>
      <c r="AE137" s="378"/>
      <c r="AF137" s="378"/>
      <c r="AG137" s="378"/>
      <c r="AH137" s="378"/>
      <c r="AI137" s="378"/>
      <c r="AJ137" s="378"/>
      <c r="AK137" s="378"/>
      <c r="AL137" s="378"/>
      <c r="AM137" s="378"/>
      <c r="AN137" s="378"/>
      <c r="AO137" s="378"/>
      <c r="AP137" s="378"/>
      <c r="AQ137" s="378"/>
      <c r="AR137" s="378"/>
      <c r="AS137" s="378"/>
      <c r="AT137" s="378"/>
      <c r="AU137" s="378"/>
      <c r="AV137" s="378"/>
      <c r="AW137" s="378"/>
      <c r="AX137" s="378"/>
      <c r="AY137" s="378"/>
      <c r="AZ137" s="378"/>
      <c r="BA137" s="378"/>
      <c r="BB137" s="378"/>
      <c r="BC137" s="378"/>
      <c r="BD137" s="378"/>
      <c r="BE137" s="378"/>
      <c r="BF137" s="378"/>
      <c r="BG137" s="378"/>
      <c r="BH137" s="378"/>
      <c r="BI137" s="378"/>
      <c r="BJ137" s="378"/>
      <c r="BK137" s="378"/>
      <c r="BL137" s="378"/>
      <c r="BM137" s="378"/>
      <c r="BN137" s="378"/>
      <c r="BO137" s="378"/>
      <c r="BP137" s="378"/>
      <c r="BQ137" s="378"/>
      <c r="BR137" s="378"/>
      <c r="BS137" s="378"/>
      <c r="BT137" s="378"/>
      <c r="BU137" s="378"/>
      <c r="BV137" s="378"/>
      <c r="BX137" s="381"/>
      <c r="BY137" s="378"/>
      <c r="BZ137" s="378"/>
      <c r="CA137" s="378"/>
      <c r="CB137" s="378"/>
      <c r="CC137" s="378"/>
      <c r="CD137" s="381"/>
      <c r="CE137" s="378"/>
      <c r="CF137" s="378"/>
      <c r="CG137" s="378"/>
      <c r="CH137" s="378"/>
      <c r="CI137" s="378"/>
      <c r="CJ137" s="381"/>
      <c r="CK137" s="378"/>
      <c r="CL137" s="378"/>
      <c r="CM137" s="378"/>
      <c r="CN137" s="378"/>
      <c r="CO137" s="378"/>
      <c r="CP137" s="381"/>
      <c r="CQ137" s="378"/>
      <c r="CR137" s="378"/>
      <c r="CS137" s="378"/>
      <c r="CT137" s="378"/>
      <c r="CU137" s="378"/>
      <c r="CV137" s="381"/>
      <c r="CW137" s="378"/>
      <c r="CX137" s="381"/>
      <c r="CZ137" s="378"/>
      <c r="DA137" s="378"/>
      <c r="DB137" s="378"/>
      <c r="DC137" s="378"/>
      <c r="DD137" s="378"/>
      <c r="DE137" s="378"/>
      <c r="DF137" s="378"/>
      <c r="DG137" s="378"/>
      <c r="DH137" s="378"/>
      <c r="DI137" s="378"/>
      <c r="DJ137" s="378"/>
      <c r="DK137" s="378"/>
      <c r="DL137" s="378"/>
      <c r="DM137" s="378"/>
      <c r="DN137" s="378"/>
      <c r="DO137" s="378"/>
      <c r="DP137" s="378"/>
      <c r="DQ137" s="378"/>
      <c r="DR137" s="378"/>
      <c r="DS137" s="378"/>
      <c r="DT137" s="378"/>
      <c r="DU137" s="378"/>
      <c r="DV137" s="378"/>
      <c r="DW137" s="378"/>
      <c r="DX137" s="378"/>
      <c r="DY137" s="378"/>
      <c r="DZ137" s="378"/>
      <c r="EA137" s="378"/>
      <c r="EB137" s="378"/>
      <c r="EC137" s="378"/>
      <c r="ED137" s="378"/>
      <c r="EE137" s="378"/>
      <c r="EF137" s="378"/>
      <c r="EG137" s="378"/>
      <c r="EH137" s="378"/>
      <c r="EI137" s="3"/>
      <c r="EJ137" s="378"/>
      <c r="EK137" s="378"/>
      <c r="EL137" s="378"/>
      <c r="EM137" s="378"/>
      <c r="EN137" s="378"/>
      <c r="EO137" s="378"/>
      <c r="EP137" s="378"/>
      <c r="EQ137" s="378"/>
      <c r="ER137" s="378"/>
      <c r="ES137" s="378"/>
      <c r="ET137" s="378"/>
      <c r="EU137" s="378"/>
      <c r="EV137" s="378"/>
      <c r="EW137" s="378"/>
      <c r="EX137" s="378"/>
      <c r="EY137" s="378"/>
      <c r="EZ137" s="378"/>
      <c r="FA137" s="378"/>
      <c r="FB137" s="378"/>
      <c r="FC137" s="378"/>
      <c r="FD137" s="378"/>
      <c r="FE137" s="378"/>
      <c r="FF137" s="378"/>
      <c r="FG137" s="378"/>
      <c r="FH137" s="378"/>
    </row>
    <row r="138">
      <c r="B138" s="63" t="s">
        <v>30</v>
      </c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270"/>
      <c r="AX138" s="270"/>
      <c r="AY138" s="270">
        <v>57000.0</v>
      </c>
      <c r="AZ138" s="270">
        <v>331050.0</v>
      </c>
      <c r="BA138" s="270">
        <v>7000000.0</v>
      </c>
      <c r="BB138" s="270">
        <v>2000000.0</v>
      </c>
      <c r="BC138" s="270">
        <v>2000000.0</v>
      </c>
      <c r="BD138" s="270">
        <v>2000000.0</v>
      </c>
      <c r="BE138" s="270">
        <v>3238034.0</v>
      </c>
      <c r="BF138" s="270">
        <v>3238034.0</v>
      </c>
      <c r="BG138" s="270">
        <v>3238034.0</v>
      </c>
      <c r="BH138" s="270">
        <v>4317378.0</v>
      </c>
      <c r="BI138" s="270">
        <v>4317378.0</v>
      </c>
      <c r="BJ138" s="270">
        <v>4317378.0</v>
      </c>
      <c r="BK138" s="270">
        <v>1500000.0</v>
      </c>
      <c r="BL138" s="270">
        <v>2000000.0</v>
      </c>
      <c r="BM138" s="270">
        <v>2000000.0</v>
      </c>
      <c r="BN138" s="270">
        <v>2000000.0</v>
      </c>
      <c r="BO138" s="270">
        <v>3550000.0</v>
      </c>
      <c r="BP138" s="270">
        <v>3550000.0</v>
      </c>
      <c r="BQ138" s="270">
        <v>2000000.0</v>
      </c>
      <c r="BR138" s="270">
        <v>3550000.0</v>
      </c>
      <c r="BS138" s="270">
        <v>3550000.0</v>
      </c>
      <c r="BT138" s="270">
        <v>3000000.0</v>
      </c>
      <c r="BU138" s="270">
        <v>4900000.0</v>
      </c>
      <c r="BV138" s="270">
        <v>4900000.0</v>
      </c>
      <c r="BW138" s="50"/>
      <c r="BX138" s="77"/>
      <c r="BY138" s="52"/>
      <c r="BZ138" s="64">
        <f>sum(BK138:BM138)</f>
        <v>5500000</v>
      </c>
      <c r="CA138" s="64">
        <f>sum(BN138:BP138)</f>
        <v>9100000</v>
      </c>
      <c r="CB138" s="64">
        <f>sum(BQ138:BS138)</f>
        <v>9100000</v>
      </c>
      <c r="CC138" s="64">
        <f>sum(BT138:BV138)</f>
        <v>12800000</v>
      </c>
      <c r="CD138" s="77">
        <f>sum(BK138:BV138)</f>
        <v>36500000</v>
      </c>
      <c r="CE138" s="52"/>
      <c r="CF138" s="64">
        <f>sum(AY138:BA138)</f>
        <v>7388050</v>
      </c>
      <c r="CG138" s="64">
        <f>sum(BB138:BD138)</f>
        <v>6000000</v>
      </c>
      <c r="CH138" s="64">
        <f>sum(BE138:BG138)</f>
        <v>9714102</v>
      </c>
      <c r="CI138" s="64">
        <f>sum(BH138:BJ138)</f>
        <v>12952134</v>
      </c>
      <c r="CJ138" s="77">
        <f>sum(AY138:BJ138)</f>
        <v>36054286</v>
      </c>
      <c r="CK138" s="44"/>
      <c r="CL138" s="64">
        <f>sum(AM138:AO138)</f>
        <v>0</v>
      </c>
      <c r="CM138" s="64">
        <f>sum(AP138:AR138)</f>
        <v>0</v>
      </c>
      <c r="CN138" s="64">
        <f>sum(AS138:AU138)</f>
        <v>0</v>
      </c>
      <c r="CO138" s="64">
        <f>sum(AV138:AX138)</f>
        <v>0</v>
      </c>
      <c r="CP138" s="77">
        <f>sum(CP139:CP140)</f>
        <v>0</v>
      </c>
      <c r="CQ138" s="44"/>
      <c r="CR138" s="64">
        <f>sum(AA138:AC138)</f>
        <v>0</v>
      </c>
      <c r="CS138" s="64">
        <f>sum(AD138:AF138)</f>
        <v>0</v>
      </c>
      <c r="CT138" s="64">
        <f>sum(AG138:AI138)</f>
        <v>0</v>
      </c>
      <c r="CU138" s="64">
        <f>sum(AJ138:AL138)</f>
        <v>0</v>
      </c>
      <c r="CV138" s="77">
        <f>sum(AA138:AL138)</f>
        <v>0</v>
      </c>
      <c r="CW138" s="44"/>
      <c r="CX138" s="77">
        <f>sum(O138:Z138)</f>
        <v>0</v>
      </c>
      <c r="CY138" s="44"/>
      <c r="CZ138" s="64"/>
      <c r="DA138" s="64"/>
      <c r="DB138" s="64"/>
      <c r="DC138" s="64"/>
      <c r="DD138" s="64"/>
      <c r="DE138" s="64"/>
      <c r="DF138" s="64"/>
      <c r="DG138" s="64"/>
      <c r="DH138" s="64"/>
      <c r="DI138" s="64"/>
      <c r="DJ138" s="64"/>
      <c r="DK138" s="64"/>
      <c r="DL138" s="64"/>
      <c r="DM138" s="64"/>
      <c r="DN138" s="64"/>
      <c r="DO138" s="64"/>
      <c r="DP138" s="64"/>
      <c r="DQ138" s="64"/>
      <c r="DR138" s="64"/>
      <c r="DS138" s="64"/>
      <c r="DT138" s="64"/>
      <c r="DU138" s="64"/>
      <c r="DV138" s="64"/>
      <c r="DW138" s="64"/>
      <c r="DX138" s="64"/>
      <c r="DY138" s="64"/>
      <c r="DZ138" s="64"/>
      <c r="EA138" s="64"/>
      <c r="EB138" s="64"/>
      <c r="EC138" s="64"/>
      <c r="ED138" s="64"/>
      <c r="EE138" s="64"/>
      <c r="EF138" s="64"/>
      <c r="EG138" s="64"/>
      <c r="EH138" s="270"/>
      <c r="EI138" s="270"/>
      <c r="EJ138" s="270"/>
      <c r="EK138" s="270"/>
      <c r="EL138" s="270"/>
      <c r="EM138" s="270"/>
      <c r="EN138" s="270"/>
      <c r="EO138" s="270"/>
      <c r="EP138" s="270"/>
      <c r="EQ138" s="270"/>
      <c r="ER138" s="270"/>
      <c r="ES138" s="270"/>
      <c r="ET138" s="270"/>
      <c r="EU138" s="270"/>
      <c r="EV138" s="270"/>
      <c r="EW138" s="270"/>
      <c r="EX138" s="270"/>
      <c r="EY138" s="270"/>
      <c r="EZ138" s="270"/>
      <c r="FA138" s="270"/>
      <c r="FB138" s="270"/>
      <c r="FC138" s="270"/>
      <c r="FD138" s="270"/>
      <c r="FE138" s="270"/>
      <c r="FF138" s="270"/>
      <c r="FG138" s="270"/>
      <c r="FH138" s="270"/>
    </row>
    <row r="139">
      <c r="CR139" s="2"/>
      <c r="CS139" s="2"/>
      <c r="CT139" s="2"/>
      <c r="CU139" s="2"/>
      <c r="EI139" s="3"/>
    </row>
    <row r="140">
      <c r="B140" s="63" t="s">
        <v>101</v>
      </c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270"/>
      <c r="AN140" s="270"/>
      <c r="AO140" s="270"/>
      <c r="AP140" s="270"/>
      <c r="AQ140" s="270"/>
      <c r="AR140" s="270"/>
      <c r="AS140" s="270"/>
      <c r="AT140" s="270"/>
      <c r="AU140" s="270"/>
      <c r="AV140" s="270"/>
      <c r="AW140" s="270"/>
      <c r="AX140" s="270"/>
      <c r="AY140" s="270">
        <f t="shared" ref="AY140:BV140" si="328">SUM(AY141:AY143)</f>
        <v>970389</v>
      </c>
      <c r="AZ140" s="270">
        <f t="shared" si="328"/>
        <v>2662389</v>
      </c>
      <c r="BA140" s="270">
        <f t="shared" si="328"/>
        <v>1902389</v>
      </c>
      <c r="BB140" s="270">
        <f t="shared" si="328"/>
        <v>2238822</v>
      </c>
      <c r="BC140" s="270">
        <f t="shared" si="328"/>
        <v>2238822</v>
      </c>
      <c r="BD140" s="270">
        <f t="shared" si="328"/>
        <v>2311690</v>
      </c>
      <c r="BE140" s="270">
        <f t="shared" si="328"/>
        <v>2559297</v>
      </c>
      <c r="BF140" s="270">
        <f t="shared" si="328"/>
        <v>2559297</v>
      </c>
      <c r="BG140" s="270">
        <f t="shared" si="328"/>
        <v>2559297</v>
      </c>
      <c r="BH140" s="270">
        <f t="shared" si="328"/>
        <v>2909467</v>
      </c>
      <c r="BI140" s="270">
        <f t="shared" si="328"/>
        <v>2909467</v>
      </c>
      <c r="BJ140" s="270">
        <f t="shared" si="328"/>
        <v>2909467</v>
      </c>
      <c r="BK140" s="270">
        <f t="shared" si="328"/>
        <v>2620683.94</v>
      </c>
      <c r="BL140" s="270">
        <f t="shared" si="328"/>
        <v>2524754.26</v>
      </c>
      <c r="BM140" s="270">
        <f t="shared" si="328"/>
        <v>2452080.8</v>
      </c>
      <c r="BN140" s="270">
        <f t="shared" si="328"/>
        <v>2601033</v>
      </c>
      <c r="BO140" s="270">
        <f t="shared" si="328"/>
        <v>2680633</v>
      </c>
      <c r="BP140" s="270">
        <f t="shared" si="328"/>
        <v>2684833</v>
      </c>
      <c r="BQ140" s="270">
        <f t="shared" si="328"/>
        <v>3169897</v>
      </c>
      <c r="BR140" s="270">
        <f t="shared" si="328"/>
        <v>3086985</v>
      </c>
      <c r="BS140" s="270">
        <f t="shared" si="328"/>
        <v>3304513</v>
      </c>
      <c r="BT140" s="270">
        <f t="shared" si="328"/>
        <v>3653673</v>
      </c>
      <c r="BU140" s="270">
        <f t="shared" si="328"/>
        <v>2977833</v>
      </c>
      <c r="BV140" s="270">
        <f t="shared" si="328"/>
        <v>3494633</v>
      </c>
      <c r="BW140" s="50"/>
      <c r="BX140" s="121"/>
      <c r="BY140" s="49"/>
      <c r="BZ140" s="270">
        <f t="shared" ref="BZ140:BZ142" si="329">sum(BK140:BM140)</f>
        <v>7597519</v>
      </c>
      <c r="CA140" s="270">
        <f t="shared" ref="CA140:CA142" si="330">sum(BN140:BP140)</f>
        <v>7966499</v>
      </c>
      <c r="CB140" s="270">
        <f t="shared" ref="CB140:CB142" si="331">sum(BQ140:BS140)</f>
        <v>9561395</v>
      </c>
      <c r="CC140" s="270">
        <f t="shared" ref="CC140:CC142" si="332">sum(BT140:BV140)</f>
        <v>10126139</v>
      </c>
      <c r="CD140" s="121">
        <f t="shared" ref="CD140:CD142" si="333">sum(BK140:BV140)</f>
        <v>35251552</v>
      </c>
      <c r="CE140" s="49"/>
      <c r="CF140" s="270">
        <f t="shared" ref="CF140:CF142" si="334">sum(AY140:BA140)</f>
        <v>5535167</v>
      </c>
      <c r="CG140" s="270">
        <f t="shared" ref="CG140:CG142" si="335">sum(BB140:BD140)</f>
        <v>6789334</v>
      </c>
      <c r="CH140" s="270">
        <f t="shared" ref="CH140:CH142" si="336">sum(BE140:BG140)</f>
        <v>7677891</v>
      </c>
      <c r="CI140" s="270">
        <f t="shared" ref="CI140:CI142" si="337">sum(BH140:BJ140)</f>
        <v>8728401</v>
      </c>
      <c r="CJ140" s="121">
        <f t="shared" ref="CJ140:CJ142" si="338">sum(AY140:BJ140)</f>
        <v>28730793</v>
      </c>
      <c r="CK140" s="49"/>
      <c r="CL140" s="270">
        <f t="shared" ref="CL140:CL142" si="339">sum(AM140:AO140)</f>
        <v>0</v>
      </c>
      <c r="CM140" s="270">
        <f t="shared" ref="CM140:CM142" si="340">sum(AP140:AR140)</f>
        <v>0</v>
      </c>
      <c r="CN140" s="270">
        <f t="shared" ref="CN140:CN142" si="341">sum(AS140:AU140)</f>
        <v>0</v>
      </c>
      <c r="CO140" s="270">
        <f t="shared" ref="CO140:CO142" si="342">sum(AV140:AX140)</f>
        <v>0</v>
      </c>
      <c r="CP140" s="121">
        <f t="shared" ref="CP140:CP142" si="343">sum(AM140:AX140)</f>
        <v>0</v>
      </c>
      <c r="CQ140" s="57"/>
      <c r="CR140" s="270">
        <f>sum(AA140:AC140)</f>
        <v>0</v>
      </c>
      <c r="CS140" s="270">
        <f>sum(AD140:AF140)</f>
        <v>0</v>
      </c>
      <c r="CT140" s="270">
        <f>sum(AG140:AI140)</f>
        <v>0</v>
      </c>
      <c r="CU140" s="270">
        <f>sum(AJ140:AL140)</f>
        <v>0</v>
      </c>
      <c r="CV140" s="121">
        <f>sum(AA140:AL140)</f>
        <v>0</v>
      </c>
      <c r="CW140" s="57"/>
      <c r="CX140" s="121">
        <f>SUM(O140:Z140)</f>
        <v>0</v>
      </c>
      <c r="CY140" s="44"/>
      <c r="CZ140" s="64"/>
      <c r="DA140" s="64"/>
      <c r="DB140" s="64"/>
      <c r="DC140" s="64"/>
      <c r="DD140" s="64"/>
      <c r="DE140" s="64"/>
      <c r="DF140" s="64"/>
      <c r="DG140" s="64"/>
      <c r="DH140" s="64"/>
      <c r="DI140" s="64"/>
      <c r="DJ140" s="64"/>
      <c r="DK140" s="64"/>
      <c r="DL140" s="64"/>
      <c r="DM140" s="64"/>
      <c r="DN140" s="64"/>
      <c r="DO140" s="64"/>
      <c r="DP140" s="64"/>
      <c r="DQ140" s="64"/>
      <c r="DR140" s="64"/>
      <c r="DS140" s="64"/>
      <c r="DT140" s="64"/>
      <c r="DU140" s="64"/>
      <c r="DV140" s="64"/>
      <c r="DW140" s="64"/>
      <c r="DX140" s="270"/>
      <c r="DY140" s="270"/>
      <c r="DZ140" s="270"/>
      <c r="EA140" s="270"/>
      <c r="EB140" s="270"/>
      <c r="EC140" s="270"/>
      <c r="ED140" s="270"/>
      <c r="EE140" s="270"/>
      <c r="EF140" s="270"/>
      <c r="EG140" s="270"/>
      <c r="EH140" s="270"/>
      <c r="EI140" s="270"/>
      <c r="EJ140" s="270"/>
      <c r="EK140" s="270"/>
      <c r="EL140" s="270"/>
      <c r="EM140" s="270"/>
      <c r="EN140" s="270"/>
      <c r="EO140" s="270"/>
      <c r="EP140" s="270"/>
      <c r="EQ140" s="270"/>
      <c r="ER140" s="270"/>
      <c r="ES140" s="270"/>
      <c r="ET140" s="270"/>
      <c r="EU140" s="270"/>
      <c r="EV140" s="270"/>
      <c r="EW140" s="270"/>
      <c r="EX140" s="270"/>
      <c r="EY140" s="270"/>
      <c r="EZ140" s="270"/>
      <c r="FA140" s="270"/>
      <c r="FB140" s="270"/>
      <c r="FC140" s="270"/>
      <c r="FD140" s="270"/>
      <c r="FE140" s="270"/>
      <c r="FF140" s="270"/>
      <c r="FG140" s="270"/>
      <c r="FH140" s="270"/>
    </row>
    <row r="141">
      <c r="B141" s="439" t="s">
        <v>305</v>
      </c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141"/>
      <c r="AN141" s="141"/>
      <c r="AO141" s="141"/>
      <c r="AP141" s="141"/>
      <c r="AQ141" s="141"/>
      <c r="AR141" s="141"/>
      <c r="AS141" s="141"/>
      <c r="AT141" s="141"/>
      <c r="AU141" s="141"/>
      <c r="AV141" s="141"/>
      <c r="AW141" s="141"/>
      <c r="AX141" s="141"/>
      <c r="AY141" s="137">
        <v>895389.0</v>
      </c>
      <c r="AZ141" s="137">
        <v>2572389.0</v>
      </c>
      <c r="BA141" s="137">
        <v>1812389.0</v>
      </c>
      <c r="BB141" s="137">
        <v>2148822.0</v>
      </c>
      <c r="BC141" s="137">
        <v>2148822.0</v>
      </c>
      <c r="BD141" s="137">
        <v>2221690.0</v>
      </c>
      <c r="BE141" s="137">
        <v>2469297.0</v>
      </c>
      <c r="BF141" s="137">
        <v>2469297.0</v>
      </c>
      <c r="BG141" s="137">
        <v>2469297.0</v>
      </c>
      <c r="BH141" s="137">
        <v>2794467.0</v>
      </c>
      <c r="BI141" s="137">
        <v>2794467.0</v>
      </c>
      <c r="BJ141" s="137">
        <v>2794467.0</v>
      </c>
      <c r="BK141" s="137">
        <v>2451453.11</v>
      </c>
      <c r="BL141" s="137">
        <v>2401566.99</v>
      </c>
      <c r="BM141" s="137">
        <v>2319167.31</v>
      </c>
      <c r="BN141" s="137">
        <v>2455200.0</v>
      </c>
      <c r="BO141" s="137">
        <v>2494800.0</v>
      </c>
      <c r="BP141" s="137">
        <v>2484000.0</v>
      </c>
      <c r="BQ141" s="137">
        <v>2924064.0</v>
      </c>
      <c r="BR141" s="137">
        <v>2791152.0</v>
      </c>
      <c r="BS141" s="137">
        <v>2983680.0</v>
      </c>
      <c r="BT141" s="137">
        <v>3267840.0</v>
      </c>
      <c r="BU141" s="137">
        <v>2592000.0</v>
      </c>
      <c r="BV141" s="137">
        <v>3088800.0</v>
      </c>
      <c r="BW141" s="137"/>
      <c r="BX141" s="440"/>
      <c r="BY141" s="54"/>
      <c r="BZ141" s="141">
        <f t="shared" si="329"/>
        <v>7172187.41</v>
      </c>
      <c r="CA141" s="141">
        <f t="shared" si="330"/>
        <v>7434000</v>
      </c>
      <c r="CB141" s="141">
        <f t="shared" si="331"/>
        <v>8698896</v>
      </c>
      <c r="CC141" s="440">
        <f t="shared" si="332"/>
        <v>8948640</v>
      </c>
      <c r="CD141" s="440">
        <f t="shared" si="333"/>
        <v>32253723.41</v>
      </c>
      <c r="CE141" s="54"/>
      <c r="CF141" s="141">
        <f t="shared" si="334"/>
        <v>5280167</v>
      </c>
      <c r="CG141" s="141">
        <f t="shared" si="335"/>
        <v>6519334</v>
      </c>
      <c r="CH141" s="141">
        <f t="shared" si="336"/>
        <v>7407891</v>
      </c>
      <c r="CI141" s="440">
        <f t="shared" si="337"/>
        <v>8383401</v>
      </c>
      <c r="CJ141" s="440">
        <f t="shared" si="338"/>
        <v>27590793</v>
      </c>
      <c r="CK141" s="54"/>
      <c r="CL141" s="141">
        <f t="shared" si="339"/>
        <v>0</v>
      </c>
      <c r="CM141" s="141">
        <f t="shared" si="340"/>
        <v>0</v>
      </c>
      <c r="CN141" s="141">
        <f t="shared" si="341"/>
        <v>0</v>
      </c>
      <c r="CO141" s="440">
        <f t="shared" si="342"/>
        <v>0</v>
      </c>
      <c r="CP141" s="440">
        <f t="shared" si="343"/>
        <v>0</v>
      </c>
      <c r="CQ141" s="58"/>
      <c r="CR141" s="54"/>
      <c r="CS141" s="54"/>
      <c r="CT141" s="54"/>
      <c r="CU141" s="441"/>
      <c r="CV141" s="441"/>
      <c r="CW141" s="442"/>
      <c r="CX141" s="441"/>
      <c r="CY141" s="58"/>
      <c r="CZ141" s="54"/>
      <c r="DA141" s="54"/>
      <c r="DB141" s="54"/>
      <c r="DC141" s="54"/>
      <c r="DD141" s="54"/>
      <c r="DE141" s="54"/>
      <c r="DF141" s="54"/>
      <c r="DG141" s="54"/>
      <c r="DH141" s="54"/>
      <c r="DI141" s="54"/>
      <c r="DJ141" s="54"/>
      <c r="DK141" s="54"/>
      <c r="DL141" s="54"/>
      <c r="DM141" s="54"/>
      <c r="DN141" s="54"/>
      <c r="DO141" s="54"/>
      <c r="DP141" s="54"/>
      <c r="DQ141" s="54"/>
      <c r="DR141" s="54"/>
      <c r="DS141" s="54"/>
      <c r="DT141" s="54"/>
      <c r="DU141" s="54"/>
      <c r="DV141" s="54"/>
      <c r="DW141" s="54"/>
      <c r="DX141" s="141"/>
      <c r="DY141" s="141"/>
      <c r="DZ141" s="141"/>
      <c r="EA141" s="141"/>
      <c r="EB141" s="141"/>
      <c r="EC141" s="141"/>
      <c r="ED141" s="141"/>
      <c r="EE141" s="141"/>
      <c r="EF141" s="141"/>
      <c r="EG141" s="141"/>
      <c r="EH141" s="141"/>
      <c r="EI141" s="141"/>
      <c r="EJ141" s="137"/>
      <c r="EK141" s="137"/>
      <c r="EL141" s="137"/>
      <c r="EM141" s="137"/>
      <c r="EN141" s="137"/>
      <c r="EO141" s="137"/>
      <c r="EP141" s="137"/>
      <c r="EQ141" s="137"/>
      <c r="ER141" s="137"/>
      <c r="ES141" s="137"/>
      <c r="ET141" s="137"/>
      <c r="EU141" s="137"/>
      <c r="EV141" s="137"/>
      <c r="EW141" s="137"/>
      <c r="EX141" s="137"/>
      <c r="EY141" s="137"/>
      <c r="EZ141" s="137"/>
      <c r="FA141" s="137"/>
      <c r="FB141" s="137"/>
      <c r="FC141" s="137"/>
      <c r="FD141" s="137"/>
      <c r="FE141" s="137"/>
      <c r="FF141" s="137"/>
      <c r="FG141" s="137"/>
      <c r="FH141" s="137"/>
    </row>
    <row r="142">
      <c r="B142" s="443" t="s">
        <v>322</v>
      </c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141"/>
      <c r="AN142" s="141"/>
      <c r="AO142" s="141"/>
      <c r="AP142" s="141"/>
      <c r="AQ142" s="141"/>
      <c r="AR142" s="141"/>
      <c r="AS142" s="141"/>
      <c r="AT142" s="141"/>
      <c r="AU142" s="141"/>
      <c r="AV142" s="141"/>
      <c r="AW142" s="141"/>
      <c r="AX142" s="141"/>
      <c r="AY142" s="137">
        <v>75000.0</v>
      </c>
      <c r="AZ142" s="137">
        <v>90000.0</v>
      </c>
      <c r="BA142" s="137">
        <v>90000.0</v>
      </c>
      <c r="BB142" s="137">
        <v>90000.0</v>
      </c>
      <c r="BC142" s="137">
        <v>90000.0</v>
      </c>
      <c r="BD142" s="137">
        <v>90000.0</v>
      </c>
      <c r="BE142" s="137">
        <v>90000.0</v>
      </c>
      <c r="BF142" s="137">
        <v>90000.0</v>
      </c>
      <c r="BG142" s="137">
        <v>90000.0</v>
      </c>
      <c r="BH142" s="137">
        <v>115000.0</v>
      </c>
      <c r="BI142" s="137">
        <v>115000.0</v>
      </c>
      <c r="BJ142" s="137">
        <v>115000.0</v>
      </c>
      <c r="BK142" s="137">
        <v>133642.79</v>
      </c>
      <c r="BL142" s="137">
        <v>89897.12</v>
      </c>
      <c r="BM142" s="137">
        <v>99623.34</v>
      </c>
      <c r="BN142" s="137">
        <v>95833.0</v>
      </c>
      <c r="BO142" s="137">
        <v>110833.0</v>
      </c>
      <c r="BP142" s="137">
        <v>115833.0</v>
      </c>
      <c r="BQ142" s="137">
        <v>115833.0</v>
      </c>
      <c r="BR142" s="137">
        <v>130833.0</v>
      </c>
      <c r="BS142" s="137">
        <v>135833.0</v>
      </c>
      <c r="BT142" s="137">
        <v>135833.0</v>
      </c>
      <c r="BU142" s="137">
        <v>135833.0</v>
      </c>
      <c r="BV142" s="137">
        <v>135833.0</v>
      </c>
      <c r="BW142" s="137"/>
      <c r="BX142" s="440"/>
      <c r="BY142" s="54"/>
      <c r="BZ142" s="141">
        <f t="shared" si="329"/>
        <v>323163.25</v>
      </c>
      <c r="CA142" s="141">
        <f t="shared" si="330"/>
        <v>322499</v>
      </c>
      <c r="CB142" s="141">
        <f t="shared" si="331"/>
        <v>382499</v>
      </c>
      <c r="CC142" s="440">
        <f t="shared" si="332"/>
        <v>407499</v>
      </c>
      <c r="CD142" s="440">
        <f t="shared" si="333"/>
        <v>1435660.25</v>
      </c>
      <c r="CE142" s="54"/>
      <c r="CF142" s="141">
        <f t="shared" si="334"/>
        <v>255000</v>
      </c>
      <c r="CG142" s="141">
        <f t="shared" si="335"/>
        <v>270000</v>
      </c>
      <c r="CH142" s="141">
        <f t="shared" si="336"/>
        <v>270000</v>
      </c>
      <c r="CI142" s="440">
        <f t="shared" si="337"/>
        <v>345000</v>
      </c>
      <c r="CJ142" s="440">
        <f t="shared" si="338"/>
        <v>1140000</v>
      </c>
      <c r="CK142" s="54"/>
      <c r="CL142" s="141">
        <f t="shared" si="339"/>
        <v>0</v>
      </c>
      <c r="CM142" s="141">
        <f t="shared" si="340"/>
        <v>0</v>
      </c>
      <c r="CN142" s="141">
        <f t="shared" si="341"/>
        <v>0</v>
      </c>
      <c r="CO142" s="440">
        <f t="shared" si="342"/>
        <v>0</v>
      </c>
      <c r="CP142" s="440">
        <f t="shared" si="343"/>
        <v>0</v>
      </c>
      <c r="CQ142" s="58"/>
      <c r="CR142" s="54"/>
      <c r="CS142" s="54"/>
      <c r="CT142" s="54"/>
      <c r="CU142" s="441"/>
      <c r="CV142" s="441"/>
      <c r="CW142" s="442"/>
      <c r="CX142" s="441"/>
      <c r="CY142" s="58"/>
      <c r="CZ142" s="54"/>
      <c r="DA142" s="54"/>
      <c r="DB142" s="54"/>
      <c r="DC142" s="54"/>
      <c r="DD142" s="54"/>
      <c r="DE142" s="54"/>
      <c r="DF142" s="54"/>
      <c r="DG142" s="54"/>
      <c r="DH142" s="54"/>
      <c r="DI142" s="54"/>
      <c r="DJ142" s="54"/>
      <c r="DK142" s="54"/>
      <c r="DL142" s="54"/>
      <c r="DM142" s="54"/>
      <c r="DN142" s="54"/>
      <c r="DO142" s="54"/>
      <c r="DP142" s="54"/>
      <c r="DQ142" s="54"/>
      <c r="DR142" s="54"/>
      <c r="DS142" s="54"/>
      <c r="DT142" s="54"/>
      <c r="DU142" s="54"/>
      <c r="DV142" s="54"/>
      <c r="DW142" s="54"/>
      <c r="DX142" s="141"/>
      <c r="DY142" s="141"/>
      <c r="DZ142" s="141"/>
      <c r="EA142" s="141"/>
      <c r="EB142" s="141"/>
      <c r="EC142" s="141"/>
      <c r="ED142" s="141"/>
      <c r="EE142" s="141"/>
      <c r="EF142" s="141"/>
      <c r="EG142" s="141"/>
      <c r="EH142" s="141"/>
      <c r="EI142" s="141"/>
      <c r="EJ142" s="137"/>
      <c r="EK142" s="137"/>
      <c r="EL142" s="137"/>
      <c r="EM142" s="137"/>
      <c r="EN142" s="137"/>
      <c r="EO142" s="137"/>
      <c r="EP142" s="137"/>
      <c r="EQ142" s="137"/>
      <c r="ER142" s="137"/>
      <c r="ES142" s="137"/>
      <c r="ET142" s="137"/>
      <c r="EU142" s="137"/>
      <c r="EV142" s="137"/>
      <c r="EW142" s="137"/>
      <c r="EX142" s="137"/>
      <c r="EY142" s="137"/>
      <c r="EZ142" s="137"/>
      <c r="FA142" s="137"/>
      <c r="FB142" s="137"/>
      <c r="FC142" s="137"/>
      <c r="FD142" s="137"/>
      <c r="FE142" s="137"/>
      <c r="FF142" s="137"/>
      <c r="FG142" s="137"/>
      <c r="FH142" s="137"/>
    </row>
    <row r="143">
      <c r="B143" s="439" t="s">
        <v>467</v>
      </c>
      <c r="BK143" s="137">
        <v>35588.04</v>
      </c>
      <c r="BL143" s="137">
        <v>33290.15</v>
      </c>
      <c r="BM143" s="137">
        <v>33290.15</v>
      </c>
      <c r="BN143" s="137">
        <v>50000.0</v>
      </c>
      <c r="BO143" s="137">
        <v>75000.0</v>
      </c>
      <c r="BP143" s="137">
        <v>85000.0</v>
      </c>
      <c r="BQ143" s="137">
        <v>130000.0</v>
      </c>
      <c r="BR143" s="137">
        <v>165000.0</v>
      </c>
      <c r="BS143" s="137">
        <v>185000.0</v>
      </c>
      <c r="BT143" s="137">
        <v>250000.0</v>
      </c>
      <c r="BU143" s="137">
        <v>250000.0</v>
      </c>
      <c r="BV143" s="137">
        <v>270000.0</v>
      </c>
      <c r="CR143" s="2"/>
      <c r="CS143" s="2"/>
      <c r="CT143" s="2"/>
      <c r="CU143" s="2"/>
      <c r="EI143" s="3"/>
    </row>
    <row r="144">
      <c r="CR144" s="2"/>
      <c r="CS144" s="2"/>
      <c r="CT144" s="2"/>
      <c r="CU144" s="2"/>
      <c r="EI144" s="3"/>
    </row>
    <row r="145">
      <c r="B145" s="63" t="s">
        <v>505</v>
      </c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270"/>
      <c r="AN145" s="270"/>
      <c r="AO145" s="270"/>
      <c r="AP145" s="270"/>
      <c r="AQ145" s="270"/>
      <c r="AR145" s="270"/>
      <c r="AS145" s="270"/>
      <c r="AT145" s="270"/>
      <c r="AU145" s="270"/>
      <c r="AV145" s="270"/>
      <c r="AW145" s="270"/>
      <c r="AX145" s="270"/>
      <c r="AY145" s="270">
        <v>708950.0</v>
      </c>
      <c r="AZ145" s="270">
        <v>675325.0</v>
      </c>
      <c r="BA145" s="270">
        <v>993988.0</v>
      </c>
      <c r="BB145" s="270">
        <v>1012025.0</v>
      </c>
      <c r="BC145" s="270">
        <v>687350.0</v>
      </c>
      <c r="BD145" s="270">
        <v>687350.0</v>
      </c>
      <c r="BE145" s="270">
        <v>699375.0</v>
      </c>
      <c r="BF145" s="270">
        <v>1030063.0</v>
      </c>
      <c r="BG145" s="270">
        <v>711400.0</v>
      </c>
      <c r="BH145" s="270">
        <v>796500.0</v>
      </c>
      <c r="BI145" s="270">
        <v>796500.0</v>
      </c>
      <c r="BJ145" s="270">
        <v>827765.0</v>
      </c>
      <c r="BK145" s="270">
        <v>1100262.62</v>
      </c>
      <c r="BL145" s="270">
        <v>1015958.36</v>
      </c>
      <c r="BM145" s="270">
        <v>1004016.49</v>
      </c>
      <c r="BN145" s="270">
        <v>1010560.87</v>
      </c>
      <c r="BO145" s="270">
        <v>1039448.1</v>
      </c>
      <c r="BP145" s="270">
        <v>1022807.29</v>
      </c>
      <c r="BQ145" s="270">
        <v>1146340.29</v>
      </c>
      <c r="BR145" s="270">
        <v>1046744.23</v>
      </c>
      <c r="BS145" s="270">
        <v>1146199.43</v>
      </c>
      <c r="BT145" s="270">
        <v>1198248.99</v>
      </c>
      <c r="BU145" s="270">
        <v>1053474.72</v>
      </c>
      <c r="BV145" s="270">
        <v>1211357.32</v>
      </c>
      <c r="BW145" s="33"/>
      <c r="BX145" s="121"/>
      <c r="BY145" s="49"/>
      <c r="BZ145" s="270">
        <f>sum(BK145:BM145)</f>
        <v>3120237.47</v>
      </c>
      <c r="CA145" s="270">
        <f>sum(BN145:BP145)</f>
        <v>3072816.26</v>
      </c>
      <c r="CB145" s="270">
        <f>sum(BQ145:BS145)</f>
        <v>3339283.95</v>
      </c>
      <c r="CC145" s="270">
        <f>sum(BT145:BV145)</f>
        <v>3463081.03</v>
      </c>
      <c r="CD145" s="121">
        <f>sum(BK145:BV145)</f>
        <v>12995418.71</v>
      </c>
      <c r="CE145" s="49"/>
      <c r="CF145" s="270">
        <f>sum(AY145:BA145)</f>
        <v>2378263</v>
      </c>
      <c r="CG145" s="270">
        <f>sum(BB145:BD145)</f>
        <v>2386725</v>
      </c>
      <c r="CH145" s="270">
        <f>sum(BE145:BG145)</f>
        <v>2440838</v>
      </c>
      <c r="CI145" s="270">
        <f>sum(BH145:BJ145)</f>
        <v>2420765</v>
      </c>
      <c r="CJ145" s="121">
        <f>sum(AY145:BJ145)</f>
        <v>9626591</v>
      </c>
      <c r="CK145" s="49"/>
      <c r="CL145" s="270">
        <f>sum(AM145:AO145)</f>
        <v>0</v>
      </c>
      <c r="CM145" s="270">
        <f>sum(AP145:AR145)</f>
        <v>0</v>
      </c>
      <c r="CN145" s="270">
        <f>sum(AS145:AU145)</f>
        <v>0</v>
      </c>
      <c r="CO145" s="270">
        <f>sum(AV145:AX145)</f>
        <v>0</v>
      </c>
      <c r="CP145" s="121">
        <f>sum(AM145:AX145)</f>
        <v>0</v>
      </c>
      <c r="CQ145" s="49"/>
      <c r="CR145" s="270"/>
      <c r="CS145" s="270"/>
      <c r="CT145" s="270"/>
      <c r="CU145" s="270"/>
      <c r="CV145" s="121"/>
      <c r="CW145" s="49"/>
      <c r="CX145" s="121"/>
      <c r="CY145" s="136"/>
      <c r="CZ145" s="64"/>
      <c r="DA145" s="64"/>
      <c r="DB145" s="64"/>
      <c r="DC145" s="64"/>
      <c r="DD145" s="64"/>
      <c r="DE145" s="64"/>
      <c r="DF145" s="64"/>
      <c r="DG145" s="64"/>
      <c r="DH145" s="64"/>
      <c r="DI145" s="64"/>
      <c r="DJ145" s="64"/>
      <c r="DK145" s="64"/>
      <c r="DL145" s="64"/>
      <c r="DM145" s="64"/>
      <c r="DN145" s="64"/>
      <c r="DO145" s="64"/>
      <c r="DP145" s="64"/>
      <c r="DQ145" s="64"/>
      <c r="DR145" s="64"/>
      <c r="DS145" s="64"/>
      <c r="DT145" s="64"/>
      <c r="DU145" s="64"/>
      <c r="DV145" s="64"/>
      <c r="DW145" s="64"/>
      <c r="DX145" s="270"/>
      <c r="DY145" s="270"/>
      <c r="DZ145" s="270"/>
      <c r="EA145" s="270"/>
      <c r="EB145" s="270"/>
      <c r="EC145" s="270"/>
      <c r="ED145" s="270"/>
      <c r="EE145" s="270"/>
      <c r="EF145" s="270"/>
      <c r="EG145" s="270"/>
      <c r="EH145" s="270"/>
      <c r="EI145" s="270"/>
      <c r="EJ145" s="270"/>
      <c r="EK145" s="270"/>
      <c r="EL145" s="270"/>
      <c r="EM145" s="270"/>
      <c r="EN145" s="270"/>
      <c r="EO145" s="270"/>
      <c r="EP145" s="270"/>
      <c r="EQ145" s="270"/>
      <c r="ER145" s="270"/>
      <c r="ES145" s="270"/>
      <c r="ET145" s="270"/>
      <c r="EU145" s="270"/>
      <c r="EV145" s="270"/>
      <c r="EW145" s="270"/>
      <c r="EX145" s="270"/>
      <c r="EY145" s="270"/>
      <c r="EZ145" s="270"/>
      <c r="FA145" s="270"/>
      <c r="FB145" s="270"/>
      <c r="FC145" s="270"/>
      <c r="FD145" s="270"/>
      <c r="FE145" s="270"/>
      <c r="FF145" s="270"/>
      <c r="FG145" s="270"/>
      <c r="FH145" s="270"/>
    </row>
    <row r="146">
      <c r="CR146" s="2"/>
      <c r="CS146" s="2"/>
      <c r="CT146" s="2"/>
      <c r="CU146" s="2"/>
      <c r="EI146" s="3"/>
    </row>
    <row r="147">
      <c r="B147" s="63" t="s">
        <v>276</v>
      </c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270"/>
      <c r="AN147" s="270"/>
      <c r="AO147" s="270"/>
      <c r="AP147" s="270"/>
      <c r="AQ147" s="270"/>
      <c r="AR147" s="270"/>
      <c r="AS147" s="270"/>
      <c r="AT147" s="270"/>
      <c r="AU147" s="270"/>
      <c r="AV147" s="270"/>
      <c r="AW147" s="270"/>
      <c r="AX147" s="270"/>
      <c r="AY147" s="270">
        <f t="shared" ref="AY147:BV147" si="344">AY140-AY145</f>
        <v>261439</v>
      </c>
      <c r="AZ147" s="270">
        <f t="shared" si="344"/>
        <v>1987064</v>
      </c>
      <c r="BA147" s="270">
        <f t="shared" si="344"/>
        <v>908401</v>
      </c>
      <c r="BB147" s="270">
        <f t="shared" si="344"/>
        <v>1226797</v>
      </c>
      <c r="BC147" s="270">
        <f t="shared" si="344"/>
        <v>1551472</v>
      </c>
      <c r="BD147" s="270">
        <f t="shared" si="344"/>
        <v>1624340</v>
      </c>
      <c r="BE147" s="270">
        <f t="shared" si="344"/>
        <v>1859922</v>
      </c>
      <c r="BF147" s="270">
        <f t="shared" si="344"/>
        <v>1529234</v>
      </c>
      <c r="BG147" s="270">
        <f t="shared" si="344"/>
        <v>1847897</v>
      </c>
      <c r="BH147" s="270">
        <f t="shared" si="344"/>
        <v>2112967</v>
      </c>
      <c r="BI147" s="270">
        <f t="shared" si="344"/>
        <v>2112967</v>
      </c>
      <c r="BJ147" s="270">
        <f t="shared" si="344"/>
        <v>2081702</v>
      </c>
      <c r="BK147" s="270">
        <f t="shared" si="344"/>
        <v>1520421.32</v>
      </c>
      <c r="BL147" s="270">
        <f t="shared" si="344"/>
        <v>1508795.9</v>
      </c>
      <c r="BM147" s="270">
        <f t="shared" si="344"/>
        <v>1448064.31</v>
      </c>
      <c r="BN147" s="270">
        <f t="shared" si="344"/>
        <v>1590472.13</v>
      </c>
      <c r="BO147" s="270">
        <f t="shared" si="344"/>
        <v>1641184.9</v>
      </c>
      <c r="BP147" s="270">
        <f t="shared" si="344"/>
        <v>1662025.71</v>
      </c>
      <c r="BQ147" s="270">
        <f t="shared" si="344"/>
        <v>2023556.71</v>
      </c>
      <c r="BR147" s="270">
        <f t="shared" si="344"/>
        <v>2040240.77</v>
      </c>
      <c r="BS147" s="270">
        <f t="shared" si="344"/>
        <v>2158313.57</v>
      </c>
      <c r="BT147" s="270">
        <f t="shared" si="344"/>
        <v>2455424.01</v>
      </c>
      <c r="BU147" s="270">
        <f t="shared" si="344"/>
        <v>1924358.28</v>
      </c>
      <c r="BV147" s="270">
        <f t="shared" si="344"/>
        <v>2283275.68</v>
      </c>
      <c r="BW147" s="33"/>
      <c r="BX147" s="270"/>
      <c r="BZ147" s="270">
        <f>sum(BK147:BM147)</f>
        <v>4477281.53</v>
      </c>
      <c r="CA147" s="270">
        <f>sum(BN147:BP147)</f>
        <v>4893682.74</v>
      </c>
      <c r="CB147" s="270">
        <f>sum(BQ147:BS147)</f>
        <v>6222111.05</v>
      </c>
      <c r="CC147" s="270">
        <f>sum(BT147:BV147)</f>
        <v>6663057.97</v>
      </c>
      <c r="CD147" s="121">
        <f>sum(BK147:BV147)</f>
        <v>22256133.29</v>
      </c>
      <c r="CF147" s="270">
        <f>sum(AY147:BA147)</f>
        <v>3156904</v>
      </c>
      <c r="CG147" s="270">
        <f>sum(BB147:BD147)</f>
        <v>4402609</v>
      </c>
      <c r="CH147" s="270">
        <f>sum(BE147:BG147)</f>
        <v>5237053</v>
      </c>
      <c r="CI147" s="270">
        <f>sum(BH147:BJ147)</f>
        <v>6307636</v>
      </c>
      <c r="CJ147" s="121">
        <f>sum(AY147:BJ147)</f>
        <v>19104202</v>
      </c>
      <c r="CK147" s="49"/>
      <c r="CL147" s="270">
        <f>sum(AM147:AO147)</f>
        <v>0</v>
      </c>
      <c r="CM147" s="270">
        <f>sum(AP147:AR147)</f>
        <v>0</v>
      </c>
      <c r="CN147" s="270">
        <f>sum(AS147:AU147)</f>
        <v>0</v>
      </c>
      <c r="CO147" s="270">
        <f>sum(AV147:AX147)</f>
        <v>0</v>
      </c>
      <c r="CP147" s="121">
        <f>sum(AM147:AX147)</f>
        <v>0</v>
      </c>
      <c r="CQ147" s="49"/>
      <c r="CR147" s="270"/>
      <c r="CS147" s="270"/>
      <c r="CT147" s="270"/>
      <c r="CU147" s="270"/>
      <c r="CV147" s="270"/>
      <c r="CW147" s="49"/>
      <c r="CX147" s="270"/>
      <c r="CY147" s="136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  <c r="DR147" s="64"/>
      <c r="DS147" s="64"/>
      <c r="DT147" s="64"/>
      <c r="DU147" s="64"/>
      <c r="DV147" s="64"/>
      <c r="DW147" s="64"/>
      <c r="DX147" s="270"/>
      <c r="DY147" s="270"/>
      <c r="DZ147" s="270"/>
      <c r="EA147" s="270"/>
      <c r="EB147" s="270"/>
      <c r="EC147" s="270"/>
      <c r="ED147" s="270"/>
      <c r="EE147" s="270"/>
      <c r="EF147" s="270"/>
      <c r="EG147" s="270"/>
      <c r="EH147" s="270"/>
      <c r="EI147" s="270"/>
      <c r="EJ147" s="270"/>
      <c r="EK147" s="270"/>
      <c r="EL147" s="270"/>
      <c r="EM147" s="270"/>
      <c r="EN147" s="270"/>
      <c r="EO147" s="270"/>
      <c r="EP147" s="270"/>
      <c r="EQ147" s="270"/>
      <c r="ER147" s="270"/>
      <c r="ES147" s="270"/>
      <c r="ET147" s="270"/>
      <c r="EU147" s="270"/>
      <c r="EV147" s="270"/>
      <c r="EW147" s="270"/>
      <c r="EX147" s="270"/>
      <c r="EY147" s="270"/>
      <c r="EZ147" s="270"/>
      <c r="FA147" s="270"/>
      <c r="FB147" s="270"/>
      <c r="FC147" s="270"/>
      <c r="FD147" s="270"/>
      <c r="FE147" s="270"/>
      <c r="FF147" s="270"/>
      <c r="FG147" s="270"/>
      <c r="FH147" s="270"/>
    </row>
    <row r="148">
      <c r="CR148" s="2"/>
      <c r="CS148" s="2"/>
      <c r="CT148" s="2"/>
      <c r="CU148" s="2"/>
      <c r="EI148" s="3"/>
    </row>
    <row r="149">
      <c r="B149" s="63" t="s">
        <v>198</v>
      </c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270"/>
      <c r="AN149" s="270"/>
      <c r="AO149" s="270"/>
      <c r="AP149" s="270"/>
      <c r="AQ149" s="270"/>
      <c r="AR149" s="270"/>
      <c r="AS149" s="270"/>
      <c r="AT149" s="270"/>
      <c r="AU149" s="270"/>
      <c r="AV149" s="270"/>
      <c r="AW149" s="270"/>
      <c r="AX149" s="270"/>
      <c r="AY149" s="270">
        <f t="shared" ref="AY149:BV149" si="345">SUM(AY150:AY152)</f>
        <v>1374000</v>
      </c>
      <c r="AZ149" s="270">
        <f t="shared" si="345"/>
        <v>1087319</v>
      </c>
      <c r="BA149" s="270">
        <f t="shared" si="345"/>
        <v>1329207</v>
      </c>
      <c r="BB149" s="270">
        <f t="shared" si="345"/>
        <v>1392401</v>
      </c>
      <c r="BC149" s="270">
        <f t="shared" si="345"/>
        <v>1255694</v>
      </c>
      <c r="BD149" s="270">
        <f t="shared" si="345"/>
        <v>1217694</v>
      </c>
      <c r="BE149" s="270">
        <f t="shared" si="345"/>
        <v>1319516</v>
      </c>
      <c r="BF149" s="270">
        <f t="shared" si="345"/>
        <v>1611585</v>
      </c>
      <c r="BG149" s="270">
        <f t="shared" si="345"/>
        <v>1339347</v>
      </c>
      <c r="BH149" s="270">
        <f t="shared" si="345"/>
        <v>1391727</v>
      </c>
      <c r="BI149" s="270">
        <f t="shared" si="345"/>
        <v>1391727</v>
      </c>
      <c r="BJ149" s="270">
        <f t="shared" si="345"/>
        <v>1430207</v>
      </c>
      <c r="BK149" s="270">
        <f t="shared" si="345"/>
        <v>1357598.03</v>
      </c>
      <c r="BL149" s="270">
        <f t="shared" si="345"/>
        <v>1005381.73</v>
      </c>
      <c r="BM149" s="270">
        <f t="shared" si="345"/>
        <v>1112113.46</v>
      </c>
      <c r="BN149" s="270">
        <f t="shared" si="345"/>
        <v>1274011</v>
      </c>
      <c r="BO149" s="270">
        <f t="shared" si="345"/>
        <v>1561147</v>
      </c>
      <c r="BP149" s="270">
        <f t="shared" si="345"/>
        <v>1513525</v>
      </c>
      <c r="BQ149" s="270">
        <f t="shared" si="345"/>
        <v>1238452</v>
      </c>
      <c r="BR149" s="270">
        <f t="shared" si="345"/>
        <v>1534521</v>
      </c>
      <c r="BS149" s="270">
        <f t="shared" si="345"/>
        <v>1306831</v>
      </c>
      <c r="BT149" s="270">
        <f t="shared" si="345"/>
        <v>1364580</v>
      </c>
      <c r="BU149" s="270">
        <f t="shared" si="345"/>
        <v>1255643</v>
      </c>
      <c r="BV149" s="270">
        <f t="shared" si="345"/>
        <v>1324381</v>
      </c>
      <c r="BW149" s="33"/>
      <c r="BX149" s="121"/>
      <c r="BY149" s="49"/>
      <c r="BZ149" s="270">
        <f t="shared" ref="BZ149:BZ155" si="346">sum(BK149:BM149)</f>
        <v>3475093.22</v>
      </c>
      <c r="CA149" s="270">
        <f t="shared" ref="CA149:CA155" si="347">sum(BN149:BP149)</f>
        <v>4348683</v>
      </c>
      <c r="CB149" s="270">
        <f t="shared" ref="CB149:CB155" si="348">sum(BQ149:BS149)</f>
        <v>4079804</v>
      </c>
      <c r="CC149" s="270">
        <f t="shared" ref="CC149:CC155" si="349">sum(BT149:BV149)</f>
        <v>3944604</v>
      </c>
      <c r="CD149" s="121">
        <f t="shared" ref="CD149:CD155" si="350">sum(BK149:BV149)</f>
        <v>15848184.22</v>
      </c>
      <c r="CE149" s="49"/>
      <c r="CF149" s="270">
        <f t="shared" ref="CF149:CF152" si="351">sum(AY149:BA149)</f>
        <v>3790526</v>
      </c>
      <c r="CG149" s="270">
        <f t="shared" ref="CG149:CG152" si="352">sum(BB149:BD149)</f>
        <v>3865789</v>
      </c>
      <c r="CH149" s="270">
        <f t="shared" ref="CH149:CH152" si="353">sum(BE149:BG149)</f>
        <v>4270448</v>
      </c>
      <c r="CI149" s="270">
        <f t="shared" ref="CI149:CI152" si="354">sum(BH149:BJ149)</f>
        <v>4213661</v>
      </c>
      <c r="CJ149" s="121">
        <f t="shared" ref="CJ149:CJ152" si="355">sum(AY149:BJ149)</f>
        <v>16140424</v>
      </c>
      <c r="CK149" s="49"/>
      <c r="CL149" s="270">
        <f t="shared" ref="CL149:CL152" si="356">sum(AM149:AO149)</f>
        <v>0</v>
      </c>
      <c r="CM149" s="270">
        <f t="shared" ref="CM149:CM152" si="357">sum(AP149:AR149)</f>
        <v>0</v>
      </c>
      <c r="CN149" s="270">
        <f t="shared" ref="CN149:CN152" si="358">sum(AS149:AU149)</f>
        <v>0</v>
      </c>
      <c r="CO149" s="270">
        <f t="shared" ref="CO149:CO152" si="359">sum(AV149:AX149)</f>
        <v>0</v>
      </c>
      <c r="CP149" s="121">
        <f t="shared" ref="CP149:CP152" si="360">sum(AM149:AX149)</f>
        <v>0</v>
      </c>
      <c r="CQ149" s="49"/>
      <c r="CR149" s="270">
        <f>sum(AA149:AC149)</f>
        <v>0</v>
      </c>
      <c r="CS149" s="270">
        <f>sum(AD149:AF149)</f>
        <v>0</v>
      </c>
      <c r="CT149" s="270">
        <f>sum(AG149:AI149)</f>
        <v>0</v>
      </c>
      <c r="CU149" s="270">
        <f>sum(AJ149:AL149)</f>
        <v>0</v>
      </c>
      <c r="CV149" s="121">
        <f>sum(CV150:CV159)</f>
        <v>71376.66667</v>
      </c>
      <c r="CW149" s="49"/>
      <c r="CX149" s="121">
        <f>sum(CX150:CX159)</f>
        <v>0</v>
      </c>
      <c r="CY149" s="136"/>
      <c r="CZ149" s="64"/>
      <c r="DA149" s="64"/>
      <c r="DB149" s="64"/>
      <c r="DC149" s="64"/>
      <c r="DD149" s="64"/>
      <c r="DE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  <c r="DR149" s="64"/>
      <c r="DS149" s="64"/>
      <c r="DT149" s="64"/>
      <c r="DU149" s="64"/>
      <c r="DV149" s="64"/>
      <c r="DW149" s="64"/>
      <c r="DX149" s="270"/>
      <c r="DY149" s="270"/>
      <c r="DZ149" s="270"/>
      <c r="EA149" s="270"/>
      <c r="EB149" s="270"/>
      <c r="EC149" s="270"/>
      <c r="ED149" s="270"/>
      <c r="EE149" s="270"/>
      <c r="EF149" s="270"/>
      <c r="EG149" s="270"/>
      <c r="EH149" s="270"/>
      <c r="EI149" s="270"/>
      <c r="EJ149" s="270"/>
      <c r="EK149" s="270"/>
      <c r="EL149" s="270"/>
      <c r="EM149" s="270"/>
      <c r="EN149" s="270"/>
      <c r="EO149" s="270"/>
      <c r="EP149" s="270"/>
      <c r="EQ149" s="270"/>
      <c r="ER149" s="270"/>
      <c r="ES149" s="270"/>
      <c r="ET149" s="270"/>
      <c r="EU149" s="270"/>
      <c r="EV149" s="270"/>
      <c r="EW149" s="270"/>
      <c r="EX149" s="270"/>
      <c r="EY149" s="270"/>
      <c r="EZ149" s="270"/>
      <c r="FA149" s="270"/>
      <c r="FB149" s="270"/>
      <c r="FC149" s="270"/>
      <c r="FD149" s="270"/>
      <c r="FE149" s="270"/>
      <c r="FF149" s="270"/>
      <c r="FG149" s="270"/>
      <c r="FH149" s="270"/>
    </row>
    <row r="150">
      <c r="B150" s="439" t="s">
        <v>570</v>
      </c>
      <c r="C150" s="136"/>
      <c r="D150" s="136"/>
      <c r="E150" s="136"/>
      <c r="F150" s="136"/>
      <c r="G150" s="136"/>
      <c r="H150" s="136"/>
      <c r="I150" s="136"/>
      <c r="J150" s="136"/>
      <c r="K150" s="136"/>
      <c r="L150" s="136"/>
      <c r="M150" s="136"/>
      <c r="N150" s="136"/>
      <c r="O150" s="136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  <c r="AA150" s="136"/>
      <c r="AB150" s="136"/>
      <c r="AC150" s="136"/>
      <c r="AD150" s="136"/>
      <c r="AE150" s="136"/>
      <c r="AF150" s="136"/>
      <c r="AG150" s="136"/>
      <c r="AH150" s="136"/>
      <c r="AI150" s="136"/>
      <c r="AJ150" s="136"/>
      <c r="AK150" s="136"/>
      <c r="AL150" s="136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>
        <v>663000.0</v>
      </c>
      <c r="AZ150" s="137">
        <v>686319.0</v>
      </c>
      <c r="BA150" s="137">
        <v>928207.0</v>
      </c>
      <c r="BB150" s="137">
        <v>871401.0</v>
      </c>
      <c r="BC150" s="137">
        <v>734694.0</v>
      </c>
      <c r="BD150" s="137">
        <v>696694.0</v>
      </c>
      <c r="BE150" s="137">
        <v>713516.0</v>
      </c>
      <c r="BF150" s="137">
        <v>1005585.0</v>
      </c>
      <c r="BG150" s="137">
        <v>733347.0</v>
      </c>
      <c r="BH150" s="137">
        <v>745727.0</v>
      </c>
      <c r="BI150" s="137">
        <v>745727.0</v>
      </c>
      <c r="BJ150" s="137">
        <v>784207.0</v>
      </c>
      <c r="BK150" s="137">
        <v>921588.0</v>
      </c>
      <c r="BL150" s="137">
        <v>639378.0</v>
      </c>
      <c r="BM150" s="137">
        <v>763808.0</v>
      </c>
      <c r="BN150" s="137">
        <v>827045.0</v>
      </c>
      <c r="BO150" s="137">
        <v>841644.0</v>
      </c>
      <c r="BP150" s="137">
        <v>815265.0</v>
      </c>
      <c r="BQ150" s="137">
        <v>856936.0</v>
      </c>
      <c r="BR150" s="137">
        <v>802090.0</v>
      </c>
      <c r="BS150" s="137">
        <v>866564.0</v>
      </c>
      <c r="BT150" s="137">
        <v>876833.0</v>
      </c>
      <c r="BU150" s="137">
        <v>809052.0</v>
      </c>
      <c r="BV150" s="137">
        <v>915634.0</v>
      </c>
      <c r="BW150" s="137"/>
      <c r="BX150" s="292"/>
      <c r="BY150" s="136"/>
      <c r="BZ150" s="141">
        <f t="shared" si="346"/>
        <v>2324774</v>
      </c>
      <c r="CA150" s="141">
        <f t="shared" si="347"/>
        <v>2483954</v>
      </c>
      <c r="CB150" s="141">
        <f t="shared" si="348"/>
        <v>2525590</v>
      </c>
      <c r="CC150" s="440">
        <f t="shared" si="349"/>
        <v>2601519</v>
      </c>
      <c r="CD150" s="440">
        <f t="shared" si="350"/>
        <v>9935837</v>
      </c>
      <c r="CE150" s="136"/>
      <c r="CF150" s="141">
        <f t="shared" si="351"/>
        <v>2277526</v>
      </c>
      <c r="CG150" s="141">
        <f t="shared" si="352"/>
        <v>2302789</v>
      </c>
      <c r="CH150" s="141">
        <f t="shared" si="353"/>
        <v>2452448</v>
      </c>
      <c r="CI150" s="440">
        <f t="shared" si="354"/>
        <v>2275661</v>
      </c>
      <c r="CJ150" s="440">
        <f t="shared" si="355"/>
        <v>9308424</v>
      </c>
      <c r="CK150" s="54"/>
      <c r="CL150" s="141">
        <f t="shared" si="356"/>
        <v>0</v>
      </c>
      <c r="CM150" s="141">
        <f t="shared" si="357"/>
        <v>0</v>
      </c>
      <c r="CN150" s="141">
        <f t="shared" si="358"/>
        <v>0</v>
      </c>
      <c r="CO150" s="440">
        <f t="shared" si="359"/>
        <v>0</v>
      </c>
      <c r="CP150" s="440">
        <f t="shared" si="360"/>
        <v>0</v>
      </c>
      <c r="CQ150" s="284"/>
      <c r="CR150" s="136"/>
      <c r="CS150" s="136"/>
      <c r="CT150" s="136"/>
      <c r="CU150" s="136"/>
      <c r="CV150" s="292"/>
      <c r="CW150" s="284"/>
      <c r="CX150" s="292"/>
      <c r="CY150" s="284"/>
      <c r="CZ150" s="136"/>
      <c r="DA150" s="136"/>
      <c r="DB150" s="136"/>
      <c r="DC150" s="136"/>
      <c r="DD150" s="136"/>
      <c r="DE150" s="136"/>
      <c r="DF150" s="136"/>
      <c r="DG150" s="136"/>
      <c r="DH150" s="136"/>
      <c r="DI150" s="136"/>
      <c r="DJ150" s="136"/>
      <c r="DK150" s="136"/>
      <c r="DL150" s="136"/>
      <c r="DM150" s="136"/>
      <c r="DN150" s="136"/>
      <c r="DO150" s="136"/>
      <c r="DP150" s="136"/>
      <c r="DQ150" s="136"/>
      <c r="DR150" s="136"/>
      <c r="DS150" s="136"/>
      <c r="DT150" s="136"/>
      <c r="DU150" s="136"/>
      <c r="DV150" s="136"/>
      <c r="DW150" s="136"/>
      <c r="DX150" s="137"/>
      <c r="DY150" s="137"/>
      <c r="DZ150" s="137"/>
      <c r="EA150" s="137"/>
      <c r="EB150" s="137"/>
      <c r="EC150" s="137"/>
      <c r="ED150" s="137"/>
      <c r="EE150" s="137"/>
      <c r="EF150" s="137"/>
      <c r="EG150" s="137"/>
      <c r="EH150" s="137"/>
      <c r="EI150" s="137"/>
      <c r="EJ150" s="137"/>
      <c r="EK150" s="137"/>
      <c r="EL150" s="137"/>
      <c r="EM150" s="137"/>
      <c r="EN150" s="137"/>
      <c r="EO150" s="137"/>
      <c r="EP150" s="137"/>
      <c r="EQ150" s="137"/>
      <c r="ER150" s="137"/>
      <c r="ES150" s="137"/>
      <c r="ET150" s="137"/>
      <c r="EU150" s="137"/>
      <c r="EV150" s="137"/>
      <c r="EW150" s="137"/>
      <c r="EX150" s="137"/>
      <c r="EY150" s="137"/>
      <c r="EZ150" s="137"/>
      <c r="FA150" s="137"/>
      <c r="FB150" s="137"/>
      <c r="FC150" s="137"/>
      <c r="FD150" s="137"/>
      <c r="FE150" s="137"/>
      <c r="FF150" s="137"/>
      <c r="FG150" s="137"/>
      <c r="FH150" s="137"/>
    </row>
    <row r="151">
      <c r="B151" s="135" t="s">
        <v>571</v>
      </c>
      <c r="AY151" s="137">
        <v>281000.0</v>
      </c>
      <c r="AZ151" s="137">
        <v>156000.0</v>
      </c>
      <c r="BA151" s="137">
        <v>156000.0</v>
      </c>
      <c r="BB151" s="137">
        <v>211000.0</v>
      </c>
      <c r="BC151" s="137">
        <v>211000.0</v>
      </c>
      <c r="BD151" s="137">
        <v>211000.0</v>
      </c>
      <c r="BE151" s="137">
        <v>256000.0</v>
      </c>
      <c r="BF151" s="137">
        <v>256000.0</v>
      </c>
      <c r="BG151" s="137">
        <v>256000.0</v>
      </c>
      <c r="BH151" s="137">
        <v>256000.0</v>
      </c>
      <c r="BI151" s="137">
        <v>256000.0</v>
      </c>
      <c r="BJ151" s="137">
        <v>256000.0</v>
      </c>
      <c r="BK151" s="137">
        <f>195685+5331.03</f>
        <v>201016.03</v>
      </c>
      <c r="BL151" s="137">
        <f>161625+2681.73</f>
        <v>164306.73</v>
      </c>
      <c r="BM151" s="137">
        <f>169396-285.54</f>
        <v>169110.46</v>
      </c>
      <c r="BN151" s="137">
        <v>175920.0</v>
      </c>
      <c r="BO151" s="137">
        <v>176297.0</v>
      </c>
      <c r="BP151" s="137">
        <v>176070.0</v>
      </c>
      <c r="BQ151" s="137">
        <v>176470.0</v>
      </c>
      <c r="BR151" s="137">
        <v>178385.0</v>
      </c>
      <c r="BS151" s="137">
        <v>178721.0</v>
      </c>
      <c r="BT151" s="137">
        <v>177701.0</v>
      </c>
      <c r="BU151" s="137">
        <v>177701.0</v>
      </c>
      <c r="BV151" s="137">
        <v>177701.0</v>
      </c>
      <c r="BW151" s="137"/>
      <c r="BZ151" s="141">
        <f t="shared" si="346"/>
        <v>534433.22</v>
      </c>
      <c r="CA151" s="141">
        <f t="shared" si="347"/>
        <v>528287</v>
      </c>
      <c r="CB151" s="141">
        <f t="shared" si="348"/>
        <v>533576</v>
      </c>
      <c r="CC151" s="440">
        <f t="shared" si="349"/>
        <v>533103</v>
      </c>
      <c r="CD151" s="440">
        <f t="shared" si="350"/>
        <v>2129399.22</v>
      </c>
      <c r="CF151" s="141">
        <f t="shared" si="351"/>
        <v>593000</v>
      </c>
      <c r="CG151" s="141">
        <f t="shared" si="352"/>
        <v>633000</v>
      </c>
      <c r="CH151" s="141">
        <f t="shared" si="353"/>
        <v>768000</v>
      </c>
      <c r="CI151" s="440">
        <f t="shared" si="354"/>
        <v>768000</v>
      </c>
      <c r="CJ151" s="440">
        <f t="shared" si="355"/>
        <v>2762000</v>
      </c>
      <c r="CK151" s="54"/>
      <c r="CL151" s="141">
        <f t="shared" si="356"/>
        <v>0</v>
      </c>
      <c r="CM151" s="141">
        <f t="shared" si="357"/>
        <v>0</v>
      </c>
      <c r="CN151" s="141">
        <f t="shared" si="358"/>
        <v>0</v>
      </c>
      <c r="CO151" s="440">
        <f t="shared" si="359"/>
        <v>0</v>
      </c>
      <c r="CP151" s="440">
        <f t="shared" si="360"/>
        <v>0</v>
      </c>
      <c r="CR151" s="2"/>
      <c r="CS151" s="2"/>
      <c r="CT151" s="2"/>
      <c r="CU151" s="2"/>
      <c r="EI151" s="3"/>
      <c r="EJ151" s="137"/>
      <c r="EK151" s="137"/>
      <c r="EL151" s="137"/>
      <c r="EM151" s="137"/>
      <c r="EN151" s="137"/>
      <c r="EO151" s="137"/>
      <c r="EP151" s="137"/>
      <c r="EQ151" s="137"/>
      <c r="ER151" s="137"/>
      <c r="ES151" s="137"/>
      <c r="ET151" s="137"/>
      <c r="EU151" s="137"/>
      <c r="EV151" s="137"/>
      <c r="EW151" s="137"/>
      <c r="EX151" s="137"/>
      <c r="EY151" s="137"/>
      <c r="EZ151" s="137"/>
      <c r="FA151" s="137"/>
      <c r="FB151" s="137"/>
      <c r="FC151" s="137"/>
      <c r="FD151" s="137"/>
      <c r="FE151" s="137"/>
      <c r="FF151" s="137"/>
      <c r="FG151" s="137"/>
      <c r="FH151" s="137"/>
    </row>
    <row r="152">
      <c r="B152" s="439" t="s">
        <v>572</v>
      </c>
      <c r="AY152" s="137">
        <v>430000.0</v>
      </c>
      <c r="AZ152" s="137">
        <v>245000.0</v>
      </c>
      <c r="BA152" s="137">
        <v>245000.0</v>
      </c>
      <c r="BB152" s="137">
        <v>310000.0</v>
      </c>
      <c r="BC152" s="137">
        <v>310000.0</v>
      </c>
      <c r="BD152" s="137">
        <v>310000.0</v>
      </c>
      <c r="BE152" s="137">
        <v>350000.0</v>
      </c>
      <c r="BF152" s="137">
        <v>350000.0</v>
      </c>
      <c r="BG152" s="137">
        <v>350000.0</v>
      </c>
      <c r="BH152" s="137">
        <v>390000.0</v>
      </c>
      <c r="BI152" s="137">
        <v>390000.0</v>
      </c>
      <c r="BJ152" s="137">
        <v>390000.0</v>
      </c>
      <c r="BK152" s="137">
        <f t="shared" ref="BK152:BV152" si="361">SUM(BK153:BK154)</f>
        <v>234994</v>
      </c>
      <c r="BL152" s="137">
        <f t="shared" si="361"/>
        <v>201697</v>
      </c>
      <c r="BM152" s="137">
        <f t="shared" si="361"/>
        <v>179195</v>
      </c>
      <c r="BN152" s="137">
        <f t="shared" si="361"/>
        <v>271046</v>
      </c>
      <c r="BO152" s="137">
        <f t="shared" si="361"/>
        <v>543206</v>
      </c>
      <c r="BP152" s="137">
        <f t="shared" si="361"/>
        <v>522190</v>
      </c>
      <c r="BQ152" s="137">
        <f t="shared" si="361"/>
        <v>205046</v>
      </c>
      <c r="BR152" s="137">
        <f t="shared" si="361"/>
        <v>554046</v>
      </c>
      <c r="BS152" s="137">
        <f t="shared" si="361"/>
        <v>261546</v>
      </c>
      <c r="BT152" s="137">
        <f t="shared" si="361"/>
        <v>310046</v>
      </c>
      <c r="BU152" s="137">
        <f t="shared" si="361"/>
        <v>268890</v>
      </c>
      <c r="BV152" s="137">
        <f t="shared" si="361"/>
        <v>231046</v>
      </c>
      <c r="BW152" s="137"/>
      <c r="BZ152" s="141">
        <f t="shared" si="346"/>
        <v>615886</v>
      </c>
      <c r="CA152" s="141">
        <f t="shared" si="347"/>
        <v>1336442</v>
      </c>
      <c r="CB152" s="141">
        <f t="shared" si="348"/>
        <v>1020638</v>
      </c>
      <c r="CC152" s="440">
        <f t="shared" si="349"/>
        <v>809982</v>
      </c>
      <c r="CD152" s="440">
        <f t="shared" si="350"/>
        <v>3782948</v>
      </c>
      <c r="CF152" s="141">
        <f t="shared" si="351"/>
        <v>920000</v>
      </c>
      <c r="CG152" s="141">
        <f t="shared" si="352"/>
        <v>930000</v>
      </c>
      <c r="CH152" s="141">
        <f t="shared" si="353"/>
        <v>1050000</v>
      </c>
      <c r="CI152" s="440">
        <f t="shared" si="354"/>
        <v>1170000</v>
      </c>
      <c r="CJ152" s="440">
        <f t="shared" si="355"/>
        <v>4070000</v>
      </c>
      <c r="CK152" s="54"/>
      <c r="CL152" s="141">
        <f t="shared" si="356"/>
        <v>0</v>
      </c>
      <c r="CM152" s="141">
        <f t="shared" si="357"/>
        <v>0</v>
      </c>
      <c r="CN152" s="141">
        <f t="shared" si="358"/>
        <v>0</v>
      </c>
      <c r="CO152" s="440">
        <f t="shared" si="359"/>
        <v>0</v>
      </c>
      <c r="CP152" s="440">
        <f t="shared" si="360"/>
        <v>0</v>
      </c>
      <c r="CR152" s="2"/>
      <c r="CS152" s="2"/>
      <c r="CT152" s="2"/>
      <c r="CU152" s="2"/>
      <c r="EI152" s="3"/>
      <c r="EJ152" s="137"/>
      <c r="EK152" s="137"/>
      <c r="EL152" s="137"/>
      <c r="EM152" s="137"/>
      <c r="EN152" s="137"/>
      <c r="EO152" s="137"/>
      <c r="EP152" s="137"/>
      <c r="EQ152" s="137"/>
      <c r="ER152" s="137"/>
      <c r="ES152" s="137"/>
      <c r="ET152" s="137"/>
      <c r="EU152" s="137"/>
      <c r="EV152" s="137"/>
      <c r="EW152" s="137"/>
      <c r="EX152" s="137"/>
      <c r="EY152" s="137"/>
      <c r="EZ152" s="137"/>
      <c r="FA152" s="137"/>
      <c r="FB152" s="137"/>
      <c r="FC152" s="137"/>
      <c r="FD152" s="137"/>
      <c r="FE152" s="137"/>
      <c r="FF152" s="137"/>
      <c r="FG152" s="137"/>
      <c r="FH152" s="137"/>
    </row>
    <row r="153">
      <c r="B153" s="495" t="s">
        <v>573</v>
      </c>
      <c r="AY153" s="137"/>
      <c r="AZ153" s="137"/>
      <c r="BA153" s="137"/>
      <c r="BB153" s="137"/>
      <c r="BC153" s="137"/>
      <c r="BD153" s="137"/>
      <c r="BE153" s="137"/>
      <c r="BF153" s="137"/>
      <c r="BG153" s="137"/>
      <c r="BH153" s="137"/>
      <c r="BI153" s="137"/>
      <c r="BJ153" s="137"/>
      <c r="BK153" s="137">
        <v>31300.0</v>
      </c>
      <c r="BL153" s="137">
        <v>57654.0</v>
      </c>
      <c r="BM153" s="137">
        <v>82973.0</v>
      </c>
      <c r="BN153" s="137">
        <v>111046.0</v>
      </c>
      <c r="BO153" s="137">
        <v>317988.0</v>
      </c>
      <c r="BP153" s="137">
        <v>295161.0</v>
      </c>
      <c r="BQ153" s="137">
        <v>35046.0</v>
      </c>
      <c r="BR153" s="137">
        <v>34046.0</v>
      </c>
      <c r="BS153" s="137">
        <v>91546.0</v>
      </c>
      <c r="BT153" s="137">
        <v>140046.0</v>
      </c>
      <c r="BU153" s="137">
        <v>98890.0</v>
      </c>
      <c r="BV153" s="137">
        <v>61046.0</v>
      </c>
      <c r="BW153" s="137"/>
      <c r="BZ153" s="141">
        <f t="shared" si="346"/>
        <v>171927</v>
      </c>
      <c r="CA153" s="141">
        <f t="shared" si="347"/>
        <v>724195</v>
      </c>
      <c r="CB153" s="141">
        <f t="shared" si="348"/>
        <v>160638</v>
      </c>
      <c r="CC153" s="440">
        <f t="shared" si="349"/>
        <v>299982</v>
      </c>
      <c r="CD153" s="440">
        <f t="shared" si="350"/>
        <v>1356742</v>
      </c>
      <c r="CR153" s="2"/>
      <c r="CS153" s="2"/>
      <c r="CT153" s="2"/>
      <c r="CU153" s="2"/>
      <c r="EI153" s="3"/>
      <c r="EJ153" s="137"/>
      <c r="EK153" s="137"/>
      <c r="EL153" s="137"/>
      <c r="EM153" s="137"/>
      <c r="EN153" s="137"/>
      <c r="EO153" s="137"/>
      <c r="EP153" s="137"/>
      <c r="EQ153" s="137"/>
      <c r="ER153" s="137"/>
      <c r="ES153" s="137"/>
      <c r="ET153" s="137"/>
      <c r="EU153" s="137"/>
      <c r="EV153" s="137"/>
      <c r="EW153" s="137"/>
      <c r="EX153" s="137"/>
      <c r="EY153" s="137"/>
      <c r="EZ153" s="137"/>
      <c r="FA153" s="137"/>
      <c r="FB153" s="137"/>
      <c r="FC153" s="137"/>
      <c r="FD153" s="137"/>
      <c r="FE153" s="137"/>
      <c r="FF153" s="137"/>
      <c r="FG153" s="137"/>
      <c r="FH153" s="137"/>
    </row>
    <row r="154">
      <c r="B154" s="495" t="s">
        <v>574</v>
      </c>
      <c r="AY154" s="137"/>
      <c r="AZ154" s="137"/>
      <c r="BA154" s="137"/>
      <c r="BB154" s="137"/>
      <c r="BC154" s="137"/>
      <c r="BD154" s="137"/>
      <c r="BE154" s="137"/>
      <c r="BF154" s="137"/>
      <c r="BG154" s="137"/>
      <c r="BH154" s="137"/>
      <c r="BI154" s="137"/>
      <c r="BJ154" s="137"/>
      <c r="BK154" s="137">
        <v>203694.0</v>
      </c>
      <c r="BL154" s="137">
        <v>144043.0</v>
      </c>
      <c r="BM154" s="137">
        <v>96222.0</v>
      </c>
      <c r="BN154" s="137">
        <v>160000.0</v>
      </c>
      <c r="BO154" s="137">
        <v>225218.0</v>
      </c>
      <c r="BP154" s="137">
        <v>227029.0</v>
      </c>
      <c r="BQ154" s="137">
        <v>170000.0</v>
      </c>
      <c r="BR154" s="137">
        <v>520000.0</v>
      </c>
      <c r="BS154" s="137">
        <v>170000.0</v>
      </c>
      <c r="BT154" s="137">
        <v>170000.0</v>
      </c>
      <c r="BU154" s="137">
        <v>170000.0</v>
      </c>
      <c r="BV154" s="137">
        <v>170000.0</v>
      </c>
      <c r="BW154" s="137"/>
      <c r="BZ154" s="141">
        <f t="shared" si="346"/>
        <v>443959</v>
      </c>
      <c r="CA154" s="141">
        <f t="shared" si="347"/>
        <v>612247</v>
      </c>
      <c r="CB154" s="141">
        <f t="shared" si="348"/>
        <v>860000</v>
      </c>
      <c r="CC154" s="440">
        <f t="shared" si="349"/>
        <v>510000</v>
      </c>
      <c r="CD154" s="440">
        <f t="shared" si="350"/>
        <v>2426206</v>
      </c>
      <c r="CR154" s="2"/>
      <c r="CS154" s="2"/>
      <c r="CT154" s="2"/>
      <c r="CU154" s="2"/>
      <c r="EI154" s="3"/>
      <c r="EJ154" s="137"/>
      <c r="EK154" s="137"/>
      <c r="EL154" s="137"/>
      <c r="EM154" s="137"/>
      <c r="EN154" s="137"/>
      <c r="EO154" s="137"/>
      <c r="EP154" s="137"/>
      <c r="EQ154" s="137"/>
      <c r="ER154" s="137"/>
      <c r="ES154" s="137"/>
      <c r="ET154" s="137"/>
      <c r="EU154" s="137"/>
      <c r="EV154" s="137"/>
      <c r="EW154" s="137"/>
      <c r="EX154" s="137"/>
      <c r="EY154" s="137"/>
      <c r="EZ154" s="137"/>
      <c r="FA154" s="137"/>
      <c r="FB154" s="137"/>
      <c r="FC154" s="137"/>
      <c r="FD154" s="137"/>
      <c r="FE154" s="137"/>
      <c r="FF154" s="137"/>
      <c r="FG154" s="137"/>
      <c r="FH154" s="137"/>
    </row>
    <row r="155">
      <c r="B155" s="371" t="s">
        <v>489</v>
      </c>
      <c r="C155" s="372"/>
      <c r="D155" s="372"/>
      <c r="E155" s="372"/>
      <c r="F155" s="372"/>
      <c r="G155" s="372"/>
      <c r="H155" s="372"/>
      <c r="I155" s="372"/>
      <c r="J155" s="372"/>
      <c r="K155" s="372"/>
      <c r="L155" s="372"/>
      <c r="M155" s="372"/>
      <c r="N155" s="372"/>
      <c r="O155" s="372"/>
      <c r="P155" s="372"/>
      <c r="Q155" s="372"/>
      <c r="R155" s="372"/>
      <c r="S155" s="372"/>
      <c r="T155" s="372"/>
      <c r="U155" s="372"/>
      <c r="V155" s="372"/>
      <c r="W155" s="372"/>
      <c r="X155" s="372"/>
      <c r="Y155" s="372"/>
      <c r="Z155" s="372"/>
      <c r="AA155" s="372"/>
      <c r="AB155" s="372"/>
      <c r="AC155" s="372"/>
      <c r="AD155" s="372"/>
      <c r="AE155" s="372"/>
      <c r="AF155" s="372"/>
      <c r="AG155" s="372"/>
      <c r="AH155" s="372"/>
      <c r="AI155" s="372"/>
      <c r="AJ155" s="372"/>
      <c r="AK155" s="372"/>
      <c r="AL155" s="372"/>
      <c r="AM155" s="373"/>
      <c r="AN155" s="373"/>
      <c r="AO155" s="373"/>
      <c r="AP155" s="373"/>
      <c r="AQ155" s="373"/>
      <c r="AR155" s="372"/>
      <c r="AS155" s="372"/>
      <c r="AT155" s="372"/>
      <c r="AU155" s="372"/>
      <c r="AV155" s="372"/>
      <c r="AW155" s="372"/>
      <c r="AX155" s="372"/>
      <c r="AY155" s="372">
        <f t="shared" ref="AY155:BV155" si="362">AY140-AY145-AY149</f>
        <v>-1112561</v>
      </c>
      <c r="AZ155" s="372">
        <f t="shared" si="362"/>
        <v>899745</v>
      </c>
      <c r="BA155" s="372">
        <f t="shared" si="362"/>
        <v>-420806</v>
      </c>
      <c r="BB155" s="372">
        <f t="shared" si="362"/>
        <v>-165604</v>
      </c>
      <c r="BC155" s="372">
        <f t="shared" si="362"/>
        <v>295778</v>
      </c>
      <c r="BD155" s="372">
        <f t="shared" si="362"/>
        <v>406646</v>
      </c>
      <c r="BE155" s="372">
        <f t="shared" si="362"/>
        <v>540406</v>
      </c>
      <c r="BF155" s="372">
        <f t="shared" si="362"/>
        <v>-82351</v>
      </c>
      <c r="BG155" s="372">
        <f t="shared" si="362"/>
        <v>508550</v>
      </c>
      <c r="BH155" s="372">
        <f t="shared" si="362"/>
        <v>721240</v>
      </c>
      <c r="BI155" s="372">
        <f t="shared" si="362"/>
        <v>721240</v>
      </c>
      <c r="BJ155" s="372">
        <f t="shared" si="362"/>
        <v>651495</v>
      </c>
      <c r="BK155" s="372">
        <f t="shared" si="362"/>
        <v>162823.29</v>
      </c>
      <c r="BL155" s="372">
        <f t="shared" si="362"/>
        <v>503414.17</v>
      </c>
      <c r="BM155" s="372">
        <f t="shared" si="362"/>
        <v>335950.85</v>
      </c>
      <c r="BN155" s="372">
        <f t="shared" si="362"/>
        <v>316461.13</v>
      </c>
      <c r="BO155" s="372">
        <f t="shared" si="362"/>
        <v>80037.9</v>
      </c>
      <c r="BP155" s="372">
        <f t="shared" si="362"/>
        <v>148500.71</v>
      </c>
      <c r="BQ155" s="372">
        <f t="shared" si="362"/>
        <v>785104.71</v>
      </c>
      <c r="BR155" s="372">
        <f t="shared" si="362"/>
        <v>505719.77</v>
      </c>
      <c r="BS155" s="372">
        <f t="shared" si="362"/>
        <v>851482.57</v>
      </c>
      <c r="BT155" s="372">
        <f t="shared" si="362"/>
        <v>1090844.01</v>
      </c>
      <c r="BU155" s="372">
        <f t="shared" si="362"/>
        <v>668715.28</v>
      </c>
      <c r="BV155" s="372">
        <f t="shared" si="362"/>
        <v>958894.68</v>
      </c>
      <c r="BW155" s="129"/>
      <c r="BX155" s="374"/>
      <c r="BY155" s="372"/>
      <c r="BZ155" s="372">
        <f t="shared" si="346"/>
        <v>1002188.31</v>
      </c>
      <c r="CA155" s="372">
        <f t="shared" si="347"/>
        <v>544999.74</v>
      </c>
      <c r="CB155" s="372">
        <f t="shared" si="348"/>
        <v>2142307.05</v>
      </c>
      <c r="CC155" s="372">
        <f t="shared" si="349"/>
        <v>2718453.97</v>
      </c>
      <c r="CD155" s="374">
        <f t="shared" si="350"/>
        <v>6407949.07</v>
      </c>
      <c r="CE155" s="372"/>
      <c r="CF155" s="372">
        <f>sum(AY155:BA155)</f>
        <v>-633622</v>
      </c>
      <c r="CG155" s="372">
        <f>sum(BB155:BD155)</f>
        <v>536820</v>
      </c>
      <c r="CH155" s="372">
        <f>sum(BE155:BG155)</f>
        <v>966605</v>
      </c>
      <c r="CI155" s="372">
        <f>sum(BH155:BJ155)</f>
        <v>2093975</v>
      </c>
      <c r="CJ155" s="374">
        <f>sum(AY155:BJ155)</f>
        <v>2963778</v>
      </c>
      <c r="CK155" s="375"/>
      <c r="CL155" s="372">
        <f>sum(AM155:AO155)</f>
        <v>0</v>
      </c>
      <c r="CM155" s="372">
        <f>sum(AP155:AR155)</f>
        <v>0</v>
      </c>
      <c r="CN155" s="372">
        <f>sum(AS155:AU155)</f>
        <v>0</v>
      </c>
      <c r="CO155" s="372">
        <f>sum(AV155:AX155)</f>
        <v>0</v>
      </c>
      <c r="CP155" s="374">
        <f>sum(AM155:AX155)</f>
        <v>0</v>
      </c>
      <c r="CQ155" s="375"/>
      <c r="CR155" s="372">
        <f>sum(AA155:AC155)</f>
        <v>0</v>
      </c>
      <c r="CS155" s="372">
        <f>sum(AD155:AF155)</f>
        <v>0</v>
      </c>
      <c r="CT155" s="372">
        <f>sum(AG155:AI155)</f>
        <v>0</v>
      </c>
      <c r="CU155" s="372">
        <f>sum(AJ155:AL155)</f>
        <v>0</v>
      </c>
      <c r="CV155" s="374">
        <f>CV120-CV137</f>
        <v>71376.66667</v>
      </c>
      <c r="CW155" s="375"/>
      <c r="CX155" s="374">
        <f>CX120-CX137</f>
        <v>0</v>
      </c>
      <c r="CY155" s="375"/>
      <c r="CZ155" s="372"/>
      <c r="DA155" s="372"/>
      <c r="DB155" s="372"/>
      <c r="DC155" s="372"/>
      <c r="DD155" s="372"/>
      <c r="DE155" s="372"/>
      <c r="DF155" s="372"/>
      <c r="DG155" s="372"/>
      <c r="DH155" s="372"/>
      <c r="DI155" s="372"/>
      <c r="DJ155" s="372"/>
      <c r="DK155" s="372"/>
      <c r="DL155" s="372"/>
      <c r="DM155" s="372"/>
      <c r="DN155" s="372"/>
      <c r="DO155" s="372"/>
      <c r="DP155" s="372"/>
      <c r="DQ155" s="372"/>
      <c r="DR155" s="372"/>
      <c r="DS155" s="372"/>
      <c r="DT155" s="372"/>
      <c r="DU155" s="372"/>
      <c r="DV155" s="372"/>
      <c r="DW155" s="372"/>
      <c r="DX155" s="373"/>
      <c r="DY155" s="373"/>
      <c r="DZ155" s="373"/>
      <c r="EA155" s="373"/>
      <c r="EB155" s="373"/>
      <c r="EC155" s="372"/>
      <c r="ED155" s="372"/>
      <c r="EE155" s="372"/>
      <c r="EF155" s="372"/>
      <c r="EG155" s="372"/>
      <c r="EH155" s="372"/>
      <c r="EI155" s="448"/>
      <c r="EJ155" s="372"/>
      <c r="EK155" s="372"/>
      <c r="EL155" s="372"/>
      <c r="EM155" s="372"/>
      <c r="EN155" s="372"/>
      <c r="EO155" s="372"/>
      <c r="EP155" s="372"/>
      <c r="EQ155" s="372"/>
      <c r="ER155" s="372"/>
      <c r="ES155" s="372"/>
      <c r="ET155" s="372"/>
      <c r="EU155" s="372"/>
      <c r="EV155" s="372"/>
      <c r="EW155" s="372"/>
      <c r="EX155" s="372"/>
      <c r="EY155" s="372"/>
      <c r="EZ155" s="372"/>
      <c r="FA155" s="372"/>
      <c r="FB155" s="372"/>
      <c r="FC155" s="372"/>
      <c r="FD155" s="372"/>
      <c r="FE155" s="372"/>
      <c r="FF155" s="372"/>
      <c r="FG155" s="372"/>
      <c r="FH155" s="372"/>
    </row>
    <row r="156">
      <c r="CR156" s="2"/>
      <c r="CS156" s="2"/>
      <c r="CT156" s="2"/>
      <c r="CU156" s="2"/>
      <c r="EI156" s="3"/>
    </row>
    <row r="157">
      <c r="AX157" s="84" t="s">
        <v>30</v>
      </c>
      <c r="AY157" s="3">
        <v>57000.0</v>
      </c>
      <c r="AZ157" s="3">
        <v>402890.0</v>
      </c>
      <c r="BA157" s="3">
        <v>5460271.0</v>
      </c>
      <c r="BB157" s="3">
        <v>1745422.0</v>
      </c>
      <c r="BC157" s="3">
        <v>3865864.0</v>
      </c>
      <c r="BD157" s="102">
        <f t="shared" ref="BD157:BF157" si="363">BD12</f>
        <v>1064496</v>
      </c>
      <c r="BE157" s="102">
        <f t="shared" si="363"/>
        <v>1406220</v>
      </c>
      <c r="BF157" s="102">
        <f t="shared" si="363"/>
        <v>2487957</v>
      </c>
      <c r="BG157" s="1">
        <v>3000000.0</v>
      </c>
      <c r="BH157" s="1">
        <v>3000000.0</v>
      </c>
      <c r="BI157" s="1">
        <v>3000000.0</v>
      </c>
      <c r="BJ157" s="1">
        <v>3000000.0</v>
      </c>
      <c r="BK157" s="102">
        <f t="shared" ref="BK157:BV157" si="364">BK12</f>
        <v>1131126.1</v>
      </c>
      <c r="BL157" s="102">
        <f t="shared" si="364"/>
        <v>3388620</v>
      </c>
      <c r="BM157" s="102">
        <f t="shared" si="364"/>
        <v>3874317.85</v>
      </c>
      <c r="BN157" s="102">
        <f t="shared" si="364"/>
        <v>5658371</v>
      </c>
      <c r="BO157" s="102">
        <f t="shared" si="364"/>
        <v>2939886</v>
      </c>
      <c r="BP157" s="102">
        <f t="shared" si="364"/>
        <v>3780756.5</v>
      </c>
      <c r="BQ157" s="102">
        <f t="shared" si="364"/>
        <v>4707768</v>
      </c>
      <c r="BR157" s="102">
        <f t="shared" si="364"/>
        <v>2809304</v>
      </c>
      <c r="BS157" s="102">
        <f t="shared" si="364"/>
        <v>0</v>
      </c>
      <c r="BT157" s="102">
        <f t="shared" si="364"/>
        <v>0</v>
      </c>
      <c r="BU157" s="102">
        <f t="shared" si="364"/>
        <v>0</v>
      </c>
      <c r="BV157" s="102">
        <f t="shared" si="364"/>
        <v>0</v>
      </c>
      <c r="CR157" s="2"/>
      <c r="CS157" s="2"/>
      <c r="CT157" s="2"/>
      <c r="CU157" s="2"/>
      <c r="EI157" s="3"/>
    </row>
    <row r="158">
      <c r="AX158" s="84" t="s">
        <v>101</v>
      </c>
      <c r="AY158" s="3">
        <f t="shared" ref="AY158:BH158" si="365">AY18</f>
        <v>1682341.92</v>
      </c>
      <c r="AZ158" s="3">
        <f t="shared" si="365"/>
        <v>1868928.87</v>
      </c>
      <c r="BA158" s="3">
        <f t="shared" si="365"/>
        <v>1912287.52</v>
      </c>
      <c r="BB158" s="3">
        <f t="shared" si="365"/>
        <v>2003722.65</v>
      </c>
      <c r="BC158" s="3">
        <f t="shared" si="365"/>
        <v>1916051.23</v>
      </c>
      <c r="BD158" s="3">
        <f t="shared" si="365"/>
        <v>1831016.71</v>
      </c>
      <c r="BE158" s="3">
        <f t="shared" si="365"/>
        <v>2080921.36</v>
      </c>
      <c r="BF158" s="3">
        <f t="shared" si="365"/>
        <v>2167206.38</v>
      </c>
      <c r="BG158" s="3">
        <f t="shared" si="365"/>
        <v>2164385.66</v>
      </c>
      <c r="BH158" s="3">
        <f t="shared" si="365"/>
        <v>2831144.66</v>
      </c>
      <c r="BK158" s="3">
        <f t="shared" ref="BK158:BV158" si="366">BK18</f>
        <v>2578096</v>
      </c>
      <c r="BL158" s="3">
        <f t="shared" si="366"/>
        <v>2417466</v>
      </c>
      <c r="BM158" s="3">
        <f t="shared" si="366"/>
        <v>2428049</v>
      </c>
      <c r="BN158" s="3">
        <f t="shared" si="366"/>
        <v>2694999.15</v>
      </c>
      <c r="BO158" s="3">
        <f t="shared" si="366"/>
        <v>2608332.15</v>
      </c>
      <c r="BP158" s="3">
        <f t="shared" si="366"/>
        <v>2644359.15</v>
      </c>
      <c r="BQ158" s="3">
        <f t="shared" si="366"/>
        <v>3063755.08</v>
      </c>
      <c r="BR158" s="3">
        <f t="shared" si="366"/>
        <v>2878611.84</v>
      </c>
      <c r="BS158" s="3">
        <f t="shared" si="366"/>
        <v>0</v>
      </c>
      <c r="BT158" s="3">
        <f t="shared" si="366"/>
        <v>0</v>
      </c>
      <c r="BU158" s="3">
        <f t="shared" si="366"/>
        <v>0</v>
      </c>
      <c r="BV158" s="3">
        <f t="shared" si="366"/>
        <v>0</v>
      </c>
      <c r="BZ158" s="498" t="s">
        <v>165</v>
      </c>
      <c r="CA158" s="499"/>
      <c r="CB158" s="499"/>
      <c r="CC158" s="499"/>
      <c r="CF158" s="498" t="s">
        <v>29</v>
      </c>
      <c r="CG158" s="499"/>
      <c r="CH158" s="499"/>
      <c r="CI158" s="499"/>
      <c r="CR158" s="2"/>
      <c r="CS158" s="2"/>
      <c r="CT158" s="2"/>
      <c r="CU158" s="2"/>
      <c r="EI158" s="3"/>
    </row>
    <row r="159"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 t="s">
        <v>505</v>
      </c>
      <c r="AY159" s="3">
        <f t="shared" ref="AY159:BH159" si="367">AY33</f>
        <v>802368.93</v>
      </c>
      <c r="AZ159" s="3">
        <f t="shared" si="367"/>
        <v>679388.74</v>
      </c>
      <c r="BA159" s="3">
        <f t="shared" si="367"/>
        <v>833181.33</v>
      </c>
      <c r="BB159" s="3">
        <f t="shared" si="367"/>
        <v>708966.42</v>
      </c>
      <c r="BC159" s="3">
        <f t="shared" si="367"/>
        <v>729873.85</v>
      </c>
      <c r="BD159" s="3">
        <f t="shared" si="367"/>
        <v>704597.78</v>
      </c>
      <c r="BE159" s="3">
        <f t="shared" si="367"/>
        <v>847542.3</v>
      </c>
      <c r="BF159" s="3">
        <f t="shared" si="367"/>
        <v>767329.76</v>
      </c>
      <c r="BG159" s="3">
        <f t="shared" si="367"/>
        <v>835289.67</v>
      </c>
      <c r="BH159" s="3">
        <f t="shared" si="367"/>
        <v>936229.56</v>
      </c>
      <c r="BK159" s="3">
        <f t="shared" ref="BK159:BV159" si="368">BK33</f>
        <v>1119926.34</v>
      </c>
      <c r="BL159" s="3">
        <f t="shared" si="368"/>
        <v>1048344.9</v>
      </c>
      <c r="BM159" s="3">
        <f t="shared" si="368"/>
        <v>1057048.21</v>
      </c>
      <c r="BN159" s="3">
        <f t="shared" si="368"/>
        <v>1048328.78</v>
      </c>
      <c r="BO159" s="3">
        <f t="shared" si="368"/>
        <v>1159914.36</v>
      </c>
      <c r="BP159" s="3">
        <f t="shared" si="368"/>
        <v>1138086.55</v>
      </c>
      <c r="BQ159" s="3">
        <f t="shared" si="368"/>
        <v>1240606.57</v>
      </c>
      <c r="BR159" s="3">
        <f t="shared" si="368"/>
        <v>1303612.91</v>
      </c>
      <c r="BS159" s="3" t="str">
        <f t="shared" si="368"/>
        <v/>
      </c>
      <c r="BT159" s="3" t="str">
        <f t="shared" si="368"/>
        <v/>
      </c>
      <c r="BU159" s="3" t="str">
        <f t="shared" si="368"/>
        <v/>
      </c>
      <c r="BV159" s="3" t="str">
        <f t="shared" si="368"/>
        <v/>
      </c>
      <c r="BY159" s="122" t="s">
        <v>505</v>
      </c>
      <c r="BZ159" s="84" t="str">
        <f t="shared" ref="BZ159:CC159" si="369">TEXT(BZ145,"0,000")&amp;"/"&amp;TEXT(BZ145/ SUM(BZ$145,BZ$149),"0%")</f>
        <v>3,120,237/47%</v>
      </c>
      <c r="CA159" s="84" t="str">
        <f t="shared" si="369"/>
        <v>3,072,816/41%</v>
      </c>
      <c r="CB159" s="84" t="str">
        <f t="shared" si="369"/>
        <v>3,339,284/45%</v>
      </c>
      <c r="CC159" s="84" t="str">
        <f t="shared" si="369"/>
        <v>3,463,081/47%</v>
      </c>
      <c r="CE159" s="122" t="s">
        <v>505</v>
      </c>
      <c r="CF159" s="84" t="str">
        <f t="shared" ref="CF159:CI159" si="370">TEXT(CF33,"0,000")&amp;"/"&amp;TEXT(CF33/ SUM(CF$33,CF$71),"0%")</f>
        <v>2,314,939/39%</v>
      </c>
      <c r="CG159" s="84" t="str">
        <f t="shared" si="370"/>
        <v>2,143,438/36%</v>
      </c>
      <c r="CH159" s="84" t="str">
        <f t="shared" si="370"/>
        <v>2,450,162/42%</v>
      </c>
      <c r="CI159" s="84" t="str">
        <f t="shared" si="370"/>
        <v>2,916,639/46%</v>
      </c>
      <c r="CR159" s="2"/>
      <c r="CS159" s="2"/>
      <c r="CT159" s="2"/>
      <c r="CU159" s="2"/>
      <c r="DY159" s="129"/>
      <c r="DZ159" s="129"/>
      <c r="EA159" s="129"/>
      <c r="EB159" s="129"/>
      <c r="EC159" s="129"/>
      <c r="ED159" s="129"/>
      <c r="EE159" s="129"/>
      <c r="EF159" s="129"/>
      <c r="EG159" s="129"/>
      <c r="EH159" s="129"/>
      <c r="EI159" s="3"/>
      <c r="EJ159" s="129"/>
      <c r="EK159" s="129"/>
      <c r="EL159" s="129"/>
      <c r="EV159" s="129"/>
      <c r="EW159" s="129"/>
      <c r="EX159" s="129"/>
    </row>
    <row r="160">
      <c r="AX160" s="84" t="s">
        <v>198</v>
      </c>
      <c r="AY160" s="3">
        <f t="shared" ref="AY160:BH160" si="371">AY71</f>
        <v>1312056.86</v>
      </c>
      <c r="AZ160" s="3">
        <f t="shared" si="371"/>
        <v>1056956.03</v>
      </c>
      <c r="BA160" s="3">
        <f t="shared" si="371"/>
        <v>1205039.85</v>
      </c>
      <c r="BB160" s="3">
        <f t="shared" si="371"/>
        <v>1159759.98</v>
      </c>
      <c r="BC160" s="3">
        <f t="shared" si="371"/>
        <v>1264048.19</v>
      </c>
      <c r="BD160" s="3">
        <f t="shared" si="371"/>
        <v>1325176.56</v>
      </c>
      <c r="BE160" s="3">
        <f t="shared" si="371"/>
        <v>1148718.86</v>
      </c>
      <c r="BF160" s="3">
        <f t="shared" si="371"/>
        <v>1082979.54</v>
      </c>
      <c r="BG160" s="3">
        <f t="shared" si="371"/>
        <v>1177369.49</v>
      </c>
      <c r="BH160" s="3">
        <f t="shared" si="371"/>
        <v>1174268.99</v>
      </c>
      <c r="BK160" s="3">
        <f t="shared" ref="BK160:BV160" si="372">BK71</f>
        <v>1349799.03</v>
      </c>
      <c r="BL160" s="3">
        <f t="shared" si="372"/>
        <v>1003637.85</v>
      </c>
      <c r="BM160" s="3">
        <f t="shared" si="372"/>
        <v>1072361.86</v>
      </c>
      <c r="BN160" s="3">
        <f t="shared" si="372"/>
        <v>1413998.25</v>
      </c>
      <c r="BO160" s="3">
        <f t="shared" si="372"/>
        <v>1451019.69</v>
      </c>
      <c r="BP160" s="3">
        <f t="shared" si="372"/>
        <v>1362210.55</v>
      </c>
      <c r="BQ160" s="3">
        <f t="shared" si="372"/>
        <v>1337099.65</v>
      </c>
      <c r="BR160" s="3">
        <f t="shared" si="372"/>
        <v>1504466</v>
      </c>
      <c r="BS160" s="3">
        <f t="shared" si="372"/>
        <v>0</v>
      </c>
      <c r="BT160" s="3">
        <f t="shared" si="372"/>
        <v>0</v>
      </c>
      <c r="BU160" s="3">
        <f t="shared" si="372"/>
        <v>0</v>
      </c>
      <c r="BV160" s="3">
        <f t="shared" si="372"/>
        <v>0</v>
      </c>
      <c r="BY160" s="122" t="s">
        <v>575</v>
      </c>
      <c r="BZ160" s="84" t="str">
        <f t="shared" ref="BZ160:CC160" si="373">TEXT(BZ150,"0,000")&amp;"/"&amp;TEXT(BZ150/ SUM(BZ$145,BZ$149),"0%")</f>
        <v>2,324,774/35%</v>
      </c>
      <c r="CA160" s="84" t="str">
        <f t="shared" si="373"/>
        <v>2,483,954/33%</v>
      </c>
      <c r="CB160" s="84" t="str">
        <f t="shared" si="373"/>
        <v>2,525,590/34%</v>
      </c>
      <c r="CC160" s="84" t="str">
        <f t="shared" si="373"/>
        <v>2,601,519/35%</v>
      </c>
      <c r="CE160" s="122" t="s">
        <v>575</v>
      </c>
      <c r="CF160" s="84" t="str">
        <f t="shared" ref="CF160:CI160" si="374">TEXT(CF76,"0,000")&amp;"/"&amp;TEXT(CF76/ SUM(CF$33,CF$71),"0%")</f>
        <v>2,291,985/39%</v>
      </c>
      <c r="CG160" s="84" t="str">
        <f t="shared" si="374"/>
        <v>2,251,471/38%</v>
      </c>
      <c r="CH160" s="84" t="str">
        <f t="shared" si="374"/>
        <v>2,333,541/40%</v>
      </c>
      <c r="CI160" s="84" t="str">
        <f t="shared" si="374"/>
        <v>2,403,689/38%</v>
      </c>
      <c r="CR160" s="2"/>
      <c r="CS160" s="2"/>
      <c r="CT160" s="2"/>
      <c r="CU160" s="2"/>
      <c r="EI160" s="3"/>
    </row>
    <row r="161">
      <c r="AX161" s="1" t="s">
        <v>489</v>
      </c>
      <c r="AY161" s="129">
        <f t="shared" ref="AY161:BH161" si="375">AY85</f>
        <v>-432083.87</v>
      </c>
      <c r="AZ161" s="129">
        <f t="shared" si="375"/>
        <v>132584.1</v>
      </c>
      <c r="BA161" s="129">
        <f t="shared" si="375"/>
        <v>-125933.66</v>
      </c>
      <c r="BB161" s="129">
        <f t="shared" si="375"/>
        <v>134996.25</v>
      </c>
      <c r="BC161" s="129">
        <f t="shared" si="375"/>
        <v>-77870.81</v>
      </c>
      <c r="BD161" s="129">
        <f t="shared" si="375"/>
        <v>-198757.63</v>
      </c>
      <c r="BE161" s="129">
        <f t="shared" si="375"/>
        <v>84660.2</v>
      </c>
      <c r="BF161" s="129">
        <f t="shared" si="375"/>
        <v>316897.08</v>
      </c>
      <c r="BG161" s="129">
        <f t="shared" si="375"/>
        <v>151726.5</v>
      </c>
      <c r="BH161" s="129">
        <f t="shared" si="375"/>
        <v>720646.11</v>
      </c>
      <c r="BK161" s="129">
        <f t="shared" ref="BK161:BV161" si="376">BK85</f>
        <v>108370.63</v>
      </c>
      <c r="BL161" s="129">
        <f t="shared" si="376"/>
        <v>365483.25</v>
      </c>
      <c r="BM161" s="129">
        <f t="shared" si="376"/>
        <v>298638.93</v>
      </c>
      <c r="BN161" s="129">
        <f t="shared" si="376"/>
        <v>232672.12</v>
      </c>
      <c r="BO161" s="129">
        <f t="shared" si="376"/>
        <v>-2601.9</v>
      </c>
      <c r="BP161" s="129">
        <f t="shared" si="376"/>
        <v>144062.05</v>
      </c>
      <c r="BQ161" s="129">
        <f t="shared" si="376"/>
        <v>486048.86</v>
      </c>
      <c r="BR161" s="129">
        <f t="shared" si="376"/>
        <v>70532.93</v>
      </c>
      <c r="BS161" s="129">
        <f t="shared" si="376"/>
        <v>0</v>
      </c>
      <c r="BT161" s="129">
        <f t="shared" si="376"/>
        <v>0</v>
      </c>
      <c r="BU161" s="129">
        <f t="shared" si="376"/>
        <v>0</v>
      </c>
      <c r="BV161" s="129">
        <f t="shared" si="376"/>
        <v>0</v>
      </c>
      <c r="BY161" s="122" t="s">
        <v>576</v>
      </c>
      <c r="BZ161" s="84" t="str">
        <f t="shared" ref="BZ161:CC161" si="377">TEXT(BZ151,"0,000")&amp;"/"&amp;TEXT(BZ151/ SUM(BZ$145,BZ$149),"0%")</f>
        <v>534,433/8%</v>
      </c>
      <c r="CA161" s="84" t="str">
        <f t="shared" si="377"/>
        <v>528,287/7%</v>
      </c>
      <c r="CB161" s="84" t="str">
        <f t="shared" si="377"/>
        <v>533,576/7%</v>
      </c>
      <c r="CC161" s="84" t="str">
        <f t="shared" si="377"/>
        <v>533,103/7%</v>
      </c>
      <c r="CE161" s="122" t="s">
        <v>576</v>
      </c>
      <c r="CF161" s="84" t="str">
        <f t="shared" ref="CF161:CI161" si="378">TEXT(CF72,"0,000")&amp;"/"&amp;TEXT(CF72/ SUM(CF$33,CF$71),"0%")</f>
        <v>533,290/9%</v>
      </c>
      <c r="CG161" s="84" t="str">
        <f t="shared" si="378"/>
        <v>443,225/8%</v>
      </c>
      <c r="CH161" s="84" t="str">
        <f t="shared" si="378"/>
        <v>525,777/9%</v>
      </c>
      <c r="CI161" s="84" t="str">
        <f t="shared" si="378"/>
        <v>458,090/7%</v>
      </c>
      <c r="CR161" s="2"/>
      <c r="CS161" s="2"/>
      <c r="CT161" s="2"/>
      <c r="CU161" s="2"/>
      <c r="EI161" s="3"/>
    </row>
    <row r="162">
      <c r="BY162" s="122" t="s">
        <v>456</v>
      </c>
      <c r="BZ162" s="84" t="str">
        <f t="shared" ref="BZ162:CC162" si="379">TEXT(BZ154,"0,000")&amp;"/"&amp;TEXT(BZ154/ SUM(BZ$145,BZ$149),"0%")</f>
        <v>443,959/7%</v>
      </c>
      <c r="CA162" s="84" t="str">
        <f t="shared" si="379"/>
        <v>612,247/8%</v>
      </c>
      <c r="CB162" s="84" t="str">
        <f t="shared" si="379"/>
        <v>860,000/12%</v>
      </c>
      <c r="CC162" s="84" t="str">
        <f t="shared" si="379"/>
        <v>510,000/7%</v>
      </c>
      <c r="CE162" s="122" t="s">
        <v>456</v>
      </c>
      <c r="CF162" s="84" t="str">
        <f t="shared" ref="CF162:CI162" si="380">TEXT(CF89,"0,000")&amp;"/"&amp;TEXT(CF89/ SUM(CF$33,CF$71),"0%")</f>
        <v>594,646/10%</v>
      </c>
      <c r="CG162" s="84" t="str">
        <f t="shared" si="380"/>
        <v>782,014/13%</v>
      </c>
      <c r="CH162" s="84" t="str">
        <f t="shared" si="380"/>
        <v>495,264/8%</v>
      </c>
      <c r="CI162" s="84" t="str">
        <f t="shared" si="380"/>
        <v>478,362/7%</v>
      </c>
      <c r="CR162" s="2"/>
      <c r="CS162" s="2"/>
      <c r="CT162" s="2"/>
      <c r="CU162" s="2"/>
      <c r="EI162" s="3"/>
    </row>
    <row r="163">
      <c r="AM163" s="1">
        <v>9.24</v>
      </c>
      <c r="AN163" s="1">
        <v>7.69</v>
      </c>
      <c r="AO163" s="1">
        <v>7.49</v>
      </c>
      <c r="AP163" s="1">
        <v>7.3</v>
      </c>
      <c r="AQ163" s="1">
        <v>6.76</v>
      </c>
      <c r="AR163" s="1">
        <v>8.12</v>
      </c>
      <c r="AS163" s="1">
        <v>9.33</v>
      </c>
      <c r="AT163" s="1">
        <v>8.52</v>
      </c>
      <c r="AU163" s="1">
        <v>8.43</v>
      </c>
      <c r="AV163" s="1">
        <v>7.64</v>
      </c>
      <c r="AW163" s="1">
        <v>6.57</v>
      </c>
      <c r="AX163" s="1">
        <v>8.24</v>
      </c>
      <c r="AY163" s="1">
        <v>5.75</v>
      </c>
      <c r="AZ163" s="1">
        <v>5.31</v>
      </c>
      <c r="BA163" s="1">
        <v>6.35</v>
      </c>
      <c r="BB163" s="1">
        <v>5.47</v>
      </c>
      <c r="BC163" s="1">
        <v>6.68</v>
      </c>
      <c r="BD163" s="1">
        <v>6.75</v>
      </c>
      <c r="BE163" s="1">
        <v>6.18</v>
      </c>
      <c r="BF163" s="1">
        <v>5.53</v>
      </c>
      <c r="BG163" s="1">
        <v>6.84</v>
      </c>
      <c r="BY163" s="122" t="s">
        <v>577</v>
      </c>
      <c r="BZ163" s="84" t="str">
        <f t="shared" ref="BZ163:CC163" si="381">TEXT(BZ153,"0,000")&amp;"/"&amp;TEXT(BZ153/ SUM(BZ$145,BZ$149),"0%")</f>
        <v>171,927/3%</v>
      </c>
      <c r="CA163" s="84" t="str">
        <f t="shared" si="381"/>
        <v>724,195/10%</v>
      </c>
      <c r="CB163" s="84" t="str">
        <f t="shared" si="381"/>
        <v>160,638/2%</v>
      </c>
      <c r="CC163" s="84" t="str">
        <f t="shared" si="381"/>
        <v>299,982/4%</v>
      </c>
      <c r="CE163" s="122" t="s">
        <v>577</v>
      </c>
      <c r="CF163" s="84" t="str">
        <f t="shared" ref="CF163:CI163" si="382">TEXT(CF88,"0,000")&amp;"/"&amp;TEXT(CF88/ SUM(CF$33,CF$71),"0%")</f>
        <v>174,383/3%</v>
      </c>
      <c r="CG163" s="84" t="str">
        <f t="shared" si="382"/>
        <v>284,361/5%</v>
      </c>
      <c r="CH163" s="84" t="str">
        <f t="shared" si="382"/>
        <v>54,487/1%</v>
      </c>
      <c r="CI163" s="84" t="str">
        <f t="shared" si="382"/>
        <v>138,424/2%</v>
      </c>
      <c r="CR163" s="2"/>
      <c r="CS163" s="2"/>
      <c r="CT163" s="2"/>
      <c r="CU163" s="2"/>
      <c r="EI163" s="3"/>
    </row>
    <row r="164">
      <c r="B164" s="1" t="s">
        <v>555</v>
      </c>
      <c r="AM164" s="83">
        <f t="shared" ref="AM164:BC164" si="383">AM163*1000000</f>
        <v>9240000</v>
      </c>
      <c r="AN164" s="83">
        <f t="shared" si="383"/>
        <v>7690000</v>
      </c>
      <c r="AO164" s="83">
        <f t="shared" si="383"/>
        <v>7490000</v>
      </c>
      <c r="AP164" s="83">
        <f t="shared" si="383"/>
        <v>7300000</v>
      </c>
      <c r="AQ164" s="83">
        <f t="shared" si="383"/>
        <v>6760000</v>
      </c>
      <c r="AR164" s="83">
        <f t="shared" si="383"/>
        <v>8120000</v>
      </c>
      <c r="AS164" s="83">
        <f t="shared" si="383"/>
        <v>9330000</v>
      </c>
      <c r="AT164" s="83">
        <f t="shared" si="383"/>
        <v>8520000</v>
      </c>
      <c r="AU164" s="83">
        <f t="shared" si="383"/>
        <v>8430000</v>
      </c>
      <c r="AV164" s="83">
        <f t="shared" si="383"/>
        <v>7640000</v>
      </c>
      <c r="AW164" s="83">
        <f t="shared" si="383"/>
        <v>6570000</v>
      </c>
      <c r="AX164" s="83">
        <f t="shared" si="383"/>
        <v>8240000</v>
      </c>
      <c r="AY164" s="83">
        <f t="shared" si="383"/>
        <v>5750000</v>
      </c>
      <c r="AZ164" s="83">
        <f t="shared" si="383"/>
        <v>5310000</v>
      </c>
      <c r="BA164" s="83">
        <f t="shared" si="383"/>
        <v>6350000</v>
      </c>
      <c r="BB164" s="83">
        <f t="shared" si="383"/>
        <v>5470000</v>
      </c>
      <c r="BC164" s="83">
        <f t="shared" si="383"/>
        <v>6680000</v>
      </c>
      <c r="BD164" s="83">
        <v>6750000.0</v>
      </c>
      <c r="BE164" s="83">
        <v>6180000.0</v>
      </c>
      <c r="BF164" s="87">
        <v>5530000.0</v>
      </c>
      <c r="BG164" s="1">
        <v>6840000.0</v>
      </c>
      <c r="BK164" s="83">
        <f t="shared" ref="BK164:BV164" si="384">BK163*1000000</f>
        <v>0</v>
      </c>
      <c r="BL164" s="83">
        <f t="shared" si="384"/>
        <v>0</v>
      </c>
      <c r="BM164" s="83">
        <f t="shared" si="384"/>
        <v>0</v>
      </c>
      <c r="BN164" s="83">
        <f t="shared" si="384"/>
        <v>0</v>
      </c>
      <c r="BO164" s="83">
        <f t="shared" si="384"/>
        <v>0</v>
      </c>
      <c r="BP164" s="83">
        <f t="shared" si="384"/>
        <v>0</v>
      </c>
      <c r="BQ164" s="83">
        <f t="shared" si="384"/>
        <v>0</v>
      </c>
      <c r="BR164" s="83">
        <f t="shared" si="384"/>
        <v>0</v>
      </c>
      <c r="BS164" s="83">
        <f t="shared" si="384"/>
        <v>0</v>
      </c>
      <c r="BT164" s="83">
        <f t="shared" si="384"/>
        <v>0</v>
      </c>
      <c r="BU164" s="83">
        <f t="shared" si="384"/>
        <v>0</v>
      </c>
      <c r="BV164" s="83">
        <f t="shared" si="384"/>
        <v>0</v>
      </c>
      <c r="CR164" s="2"/>
      <c r="CS164" s="2"/>
      <c r="CT164" s="2"/>
      <c r="CU164" s="2"/>
      <c r="EI164" s="3"/>
    </row>
    <row r="165">
      <c r="B165" s="1" t="s">
        <v>556</v>
      </c>
      <c r="AM165" s="106">
        <f t="shared" ref="AM165:BC165" si="385">AM18/AM164</f>
        <v>0.2307577922</v>
      </c>
      <c r="AN165" s="106">
        <f t="shared" si="385"/>
        <v>0.2527750325</v>
      </c>
      <c r="AO165" s="106">
        <f t="shared" si="385"/>
        <v>0.2973699599</v>
      </c>
      <c r="AP165" s="106">
        <f t="shared" si="385"/>
        <v>0.2526747945</v>
      </c>
      <c r="AQ165" s="106">
        <f t="shared" si="385"/>
        <v>0.2811826923</v>
      </c>
      <c r="AR165" s="106">
        <f t="shared" si="385"/>
        <v>0.2267519704</v>
      </c>
      <c r="AS165" s="106">
        <f t="shared" si="385"/>
        <v>0.1751561629</v>
      </c>
      <c r="AT165" s="106">
        <f t="shared" si="385"/>
        <v>0.233033216</v>
      </c>
      <c r="AU165" s="106">
        <f t="shared" si="385"/>
        <v>0.187323962</v>
      </c>
      <c r="AV165" s="106">
        <f t="shared" si="385"/>
        <v>0.2445417539</v>
      </c>
      <c r="AW165" s="106">
        <f t="shared" si="385"/>
        <v>0.2522599696</v>
      </c>
      <c r="AX165" s="106">
        <f t="shared" si="385"/>
        <v>0.1905463592</v>
      </c>
      <c r="AY165" s="106">
        <f t="shared" si="385"/>
        <v>0.2925812035</v>
      </c>
      <c r="AZ165" s="106">
        <f t="shared" si="385"/>
        <v>0.3519640056</v>
      </c>
      <c r="BA165" s="106">
        <f t="shared" si="385"/>
        <v>0.3011476409</v>
      </c>
      <c r="BB165" s="106">
        <f t="shared" si="385"/>
        <v>0.3663112706</v>
      </c>
      <c r="BC165" s="106">
        <f t="shared" si="385"/>
        <v>0.2868340165</v>
      </c>
      <c r="BD165" s="106">
        <f t="shared" ref="BD165:BG165" si="386">BD158/BD164</f>
        <v>0.2712617348</v>
      </c>
      <c r="BE165" s="106">
        <f t="shared" si="386"/>
        <v>0.3367186667</v>
      </c>
      <c r="BF165" s="106">
        <f t="shared" si="386"/>
        <v>0.3918998879</v>
      </c>
      <c r="BG165" s="106">
        <f t="shared" si="386"/>
        <v>0.316430652</v>
      </c>
      <c r="BK165" s="106" t="str">
        <f t="shared" ref="BK165:BV165" si="387">BK18/BK164</f>
        <v>#DIV/0!</v>
      </c>
      <c r="BL165" s="106" t="str">
        <f t="shared" si="387"/>
        <v>#DIV/0!</v>
      </c>
      <c r="BM165" s="106" t="str">
        <f t="shared" si="387"/>
        <v>#DIV/0!</v>
      </c>
      <c r="BN165" s="106" t="str">
        <f t="shared" si="387"/>
        <v>#DIV/0!</v>
      </c>
      <c r="BO165" s="106" t="str">
        <f t="shared" si="387"/>
        <v>#DIV/0!</v>
      </c>
      <c r="BP165" s="106" t="str">
        <f t="shared" si="387"/>
        <v>#DIV/0!</v>
      </c>
      <c r="BQ165" s="106" t="str">
        <f t="shared" si="387"/>
        <v>#DIV/0!</v>
      </c>
      <c r="BR165" s="106" t="str">
        <f t="shared" si="387"/>
        <v>#DIV/0!</v>
      </c>
      <c r="BS165" s="106" t="str">
        <f t="shared" si="387"/>
        <v>#DIV/0!</v>
      </c>
      <c r="BT165" s="106" t="str">
        <f t="shared" si="387"/>
        <v>#DIV/0!</v>
      </c>
      <c r="BU165" s="106" t="str">
        <f t="shared" si="387"/>
        <v>#DIV/0!</v>
      </c>
      <c r="BV165" s="106" t="str">
        <f t="shared" si="387"/>
        <v>#DIV/0!</v>
      </c>
      <c r="CR165" s="2"/>
      <c r="CS165" s="2"/>
      <c r="CT165" s="2"/>
      <c r="CU165" s="2"/>
      <c r="EI165" s="3"/>
    </row>
    <row r="166">
      <c r="AX166" s="1"/>
      <c r="CR166" s="2"/>
      <c r="CS166" s="2"/>
      <c r="CT166" s="2"/>
      <c r="CU166" s="2"/>
      <c r="EI166" s="3"/>
    </row>
    <row r="167">
      <c r="AO167" s="84">
        <f>sum(AM163:AO163)</f>
        <v>24.42</v>
      </c>
      <c r="AR167" s="84">
        <f>sum(AP163:AR163)</f>
        <v>22.18</v>
      </c>
      <c r="AU167" s="84">
        <f>sum(AS163:AU163)</f>
        <v>26.28</v>
      </c>
      <c r="AX167" s="84">
        <f>sum(AV163:AX163)</f>
        <v>22.45</v>
      </c>
      <c r="BA167" s="84">
        <f>sum(AY163:BA163)</f>
        <v>17.41</v>
      </c>
      <c r="BD167" s="84">
        <f>sum(BB163:BD163)</f>
        <v>18.9</v>
      </c>
      <c r="BG167" s="84">
        <f>sum(BE163:BG163)</f>
        <v>18.55</v>
      </c>
      <c r="BM167" s="84">
        <f>sum(BK163:BM163)</f>
        <v>0</v>
      </c>
      <c r="BP167" s="84">
        <f>sum(BN163:BP163)</f>
        <v>0</v>
      </c>
      <c r="BS167" s="84">
        <f>sum(BQ163:BS163)</f>
        <v>0</v>
      </c>
      <c r="BV167" s="84">
        <f>sum(BT163:BV163)</f>
        <v>0</v>
      </c>
      <c r="CR167" s="2"/>
      <c r="CS167" s="2"/>
      <c r="CT167" s="2"/>
      <c r="CU167" s="2"/>
      <c r="EI167" s="3"/>
    </row>
    <row r="168">
      <c r="AO168" s="83">
        <f>average(AM164:AO164)</f>
        <v>8140000</v>
      </c>
      <c r="AR168" s="83">
        <f>average(AP164:AR164)</f>
        <v>7393333.333</v>
      </c>
      <c r="AU168" s="83">
        <f>average(AS164:AU164)</f>
        <v>8760000</v>
      </c>
      <c r="AX168" s="83">
        <f>average(AV164:AX164)</f>
        <v>7483333.333</v>
      </c>
      <c r="BA168" s="83">
        <f>average(AY164:BA164)</f>
        <v>5803333.333</v>
      </c>
      <c r="BD168" s="83">
        <f>average(BB164:BD164)</f>
        <v>6300000</v>
      </c>
      <c r="BG168" s="83">
        <f>average(BE164:BG164)</f>
        <v>6183333.333</v>
      </c>
      <c r="BM168" s="83">
        <f>average(BK164:BM164)</f>
        <v>0</v>
      </c>
      <c r="BN168" s="83"/>
      <c r="BP168" s="83">
        <f>average(BN164:BP164)</f>
        <v>0</v>
      </c>
      <c r="BS168" s="83">
        <f>average(BQ164:BS164)</f>
        <v>0</v>
      </c>
      <c r="BV168" s="83">
        <f>average(BT164:BV164)</f>
        <v>0</v>
      </c>
      <c r="CR168" s="2"/>
      <c r="CS168" s="2"/>
      <c r="CT168" s="2"/>
      <c r="CU168" s="2"/>
      <c r="EI168" s="3"/>
    </row>
    <row r="169">
      <c r="AO169" s="106">
        <f>sum(AM18:AO18)/AO168</f>
        <v>0.7743664619</v>
      </c>
      <c r="AR169" s="106">
        <f>sum(AP18:AR18)/AR168</f>
        <v>0.7556195221</v>
      </c>
      <c r="AU169" s="106">
        <f>sum(AS18:AU18)/AU168</f>
        <v>0.5934692922</v>
      </c>
      <c r="AX169" s="106">
        <f>sum(AV18:AX18)/AX168</f>
        <v>0.6809464143</v>
      </c>
      <c r="BA169" s="106">
        <f>sum(AY18:BA18)/BA168</f>
        <v>0.9414517478</v>
      </c>
      <c r="BD169" s="106">
        <f>sum(BB18:BD18)/BD168</f>
        <v>0.9128239032</v>
      </c>
      <c r="BG169" s="106">
        <f>sum(BE18:BG18)/BG168</f>
        <v>1.037064162</v>
      </c>
      <c r="BM169" s="106" t="str">
        <f>sum(BK18:BM18)/BM168</f>
        <v>#DIV/0!</v>
      </c>
      <c r="BN169" s="106"/>
      <c r="BP169" s="106" t="str">
        <f>sum(BN18:BP18)/BP168</f>
        <v>#DIV/0!</v>
      </c>
      <c r="BS169" s="106" t="str">
        <f>sum(BQ18:BS18)/BS168</f>
        <v>#DIV/0!</v>
      </c>
      <c r="BV169" s="106" t="str">
        <f>sum(BT18:BV18)/BV168</f>
        <v>#DIV/0!</v>
      </c>
      <c r="CR169" s="2"/>
      <c r="CS169" s="2"/>
      <c r="CT169" s="2"/>
      <c r="CU169" s="2"/>
      <c r="EI169" s="3"/>
    </row>
    <row r="170">
      <c r="AX170" s="1"/>
      <c r="CR170" s="2"/>
      <c r="CS170" s="2"/>
      <c r="CT170" s="2"/>
      <c r="CU170" s="2"/>
      <c r="EI170" s="3"/>
    </row>
    <row r="171">
      <c r="AX171" s="1"/>
      <c r="CR171" s="2"/>
      <c r="CS171" s="2"/>
      <c r="CT171" s="2"/>
      <c r="CU171" s="2"/>
      <c r="EI171" s="3"/>
    </row>
    <row r="172">
      <c r="AX172" s="1"/>
      <c r="CR172" s="2"/>
      <c r="CS172" s="2"/>
      <c r="CT172" s="2"/>
      <c r="CU172" s="2"/>
      <c r="EI172" s="3"/>
    </row>
    <row r="173">
      <c r="AX173" s="1"/>
      <c r="CR173" s="2"/>
      <c r="CS173" s="2"/>
      <c r="CT173" s="2"/>
      <c r="CU173" s="2"/>
      <c r="EI173" s="3"/>
    </row>
    <row r="174">
      <c r="AX174" s="1" t="s">
        <v>557</v>
      </c>
      <c r="AY174" s="3">
        <f t="shared" ref="AY174:BG174" si="388">AY157-AY138</f>
        <v>0</v>
      </c>
      <c r="AZ174" s="3">
        <f t="shared" si="388"/>
        <v>71840</v>
      </c>
      <c r="BA174" s="3">
        <f t="shared" si="388"/>
        <v>-1539729</v>
      </c>
      <c r="BB174" s="3">
        <f t="shared" si="388"/>
        <v>-254578</v>
      </c>
      <c r="BC174" s="3">
        <f t="shared" si="388"/>
        <v>1865864</v>
      </c>
      <c r="BD174" s="3">
        <f t="shared" si="388"/>
        <v>-935504</v>
      </c>
      <c r="BE174" s="3">
        <f t="shared" si="388"/>
        <v>-1831814</v>
      </c>
      <c r="BF174" s="3">
        <f t="shared" si="388"/>
        <v>-750077</v>
      </c>
      <c r="BG174" s="3">
        <f t="shared" si="388"/>
        <v>-238034</v>
      </c>
      <c r="BK174" s="3">
        <f t="shared" ref="BK174:BV174" si="389">BK157-BK138</f>
        <v>-368873.9</v>
      </c>
      <c r="BL174" s="3">
        <f t="shared" si="389"/>
        <v>1388620</v>
      </c>
      <c r="BM174" s="3">
        <f t="shared" si="389"/>
        <v>1874317.85</v>
      </c>
      <c r="BN174" s="3">
        <f t="shared" si="389"/>
        <v>3658371</v>
      </c>
      <c r="BO174" s="3">
        <f t="shared" si="389"/>
        <v>-610114</v>
      </c>
      <c r="BP174" s="3">
        <f t="shared" si="389"/>
        <v>230756.5</v>
      </c>
      <c r="BQ174" s="3">
        <f t="shared" si="389"/>
        <v>2707768</v>
      </c>
      <c r="BR174" s="3">
        <f t="shared" si="389"/>
        <v>-740696</v>
      </c>
      <c r="BS174" s="3">
        <f t="shared" si="389"/>
        <v>-3550000</v>
      </c>
      <c r="BT174" s="3">
        <f t="shared" si="389"/>
        <v>-3000000</v>
      </c>
      <c r="BU174" s="3">
        <f t="shared" si="389"/>
        <v>-4900000</v>
      </c>
      <c r="BV174" s="3">
        <f t="shared" si="389"/>
        <v>-4900000</v>
      </c>
      <c r="CR174" s="2"/>
      <c r="CS174" s="2"/>
      <c r="CT174" s="2"/>
      <c r="CU174" s="2"/>
      <c r="EI174" s="3"/>
    </row>
    <row r="175">
      <c r="AX175" s="1" t="s">
        <v>558</v>
      </c>
      <c r="AY175" s="3">
        <f t="shared" ref="AY175:BG175" si="390">AY158-AY140</f>
        <v>711952.92</v>
      </c>
      <c r="AZ175" s="445">
        <f t="shared" si="390"/>
        <v>-793460.13</v>
      </c>
      <c r="BA175" s="445">
        <f t="shared" si="390"/>
        <v>9898.52</v>
      </c>
      <c r="BB175" s="445">
        <f t="shared" si="390"/>
        <v>-235099.35</v>
      </c>
      <c r="BC175" s="445">
        <f t="shared" si="390"/>
        <v>-322770.77</v>
      </c>
      <c r="BD175" s="445">
        <f t="shared" si="390"/>
        <v>-480673.29</v>
      </c>
      <c r="BE175" s="445">
        <f t="shared" si="390"/>
        <v>-478375.64</v>
      </c>
      <c r="BF175" s="445">
        <f t="shared" si="390"/>
        <v>-392090.62</v>
      </c>
      <c r="BG175" s="445">
        <f t="shared" si="390"/>
        <v>-394911.34</v>
      </c>
      <c r="BK175" s="3">
        <f t="shared" ref="BK175:BV175" si="391">BK158-BK140</f>
        <v>-42587.94</v>
      </c>
      <c r="BL175" s="445">
        <f t="shared" si="391"/>
        <v>-107288.26</v>
      </c>
      <c r="BM175" s="445">
        <f t="shared" si="391"/>
        <v>-24031.8</v>
      </c>
      <c r="BN175" s="445">
        <f t="shared" si="391"/>
        <v>93966.15</v>
      </c>
      <c r="BO175" s="445">
        <f t="shared" si="391"/>
        <v>-72300.85</v>
      </c>
      <c r="BP175" s="445">
        <f t="shared" si="391"/>
        <v>-40473.85</v>
      </c>
      <c r="BQ175" s="445">
        <f t="shared" si="391"/>
        <v>-106141.92</v>
      </c>
      <c r="BR175" s="445">
        <f t="shared" si="391"/>
        <v>-208373.16</v>
      </c>
      <c r="BS175" s="445">
        <f t="shared" si="391"/>
        <v>-3304513</v>
      </c>
      <c r="BT175" s="445">
        <f t="shared" si="391"/>
        <v>-3653673</v>
      </c>
      <c r="BU175" s="445">
        <f t="shared" si="391"/>
        <v>-2977833</v>
      </c>
      <c r="BV175" s="445">
        <f t="shared" si="391"/>
        <v>-3494633</v>
      </c>
      <c r="CR175" s="2"/>
      <c r="CS175" s="2"/>
      <c r="CT175" s="2"/>
      <c r="CU175" s="2"/>
      <c r="EI175" s="3"/>
    </row>
    <row r="176">
      <c r="AX176" s="1" t="s">
        <v>559</v>
      </c>
      <c r="AY176" s="3">
        <f t="shared" ref="AY176:BG176" si="392">AY159-AY145</f>
        <v>93418.93</v>
      </c>
      <c r="AZ176" s="3">
        <f t="shared" si="392"/>
        <v>4063.74</v>
      </c>
      <c r="BA176" s="3">
        <f t="shared" si="392"/>
        <v>-160806.67</v>
      </c>
      <c r="BB176" s="3">
        <f t="shared" si="392"/>
        <v>-303058.58</v>
      </c>
      <c r="BC176" s="3">
        <f t="shared" si="392"/>
        <v>42523.85</v>
      </c>
      <c r="BD176" s="3">
        <f t="shared" si="392"/>
        <v>17247.78</v>
      </c>
      <c r="BE176" s="3">
        <f t="shared" si="392"/>
        <v>148167.3</v>
      </c>
      <c r="BF176" s="3">
        <f t="shared" si="392"/>
        <v>-262733.24</v>
      </c>
      <c r="BG176" s="3">
        <f t="shared" si="392"/>
        <v>123889.67</v>
      </c>
      <c r="BK176" s="3">
        <f t="shared" ref="BK176:BV176" si="393">BK159-BK145</f>
        <v>19663.72</v>
      </c>
      <c r="BL176" s="3">
        <f t="shared" si="393"/>
        <v>32386.54</v>
      </c>
      <c r="BM176" s="3">
        <f t="shared" si="393"/>
        <v>53031.72</v>
      </c>
      <c r="BN176" s="3">
        <f t="shared" si="393"/>
        <v>37767.91</v>
      </c>
      <c r="BO176" s="3">
        <f t="shared" si="393"/>
        <v>120466.26</v>
      </c>
      <c r="BP176" s="3">
        <f t="shared" si="393"/>
        <v>115279.26</v>
      </c>
      <c r="BQ176" s="3">
        <f t="shared" si="393"/>
        <v>94266.28</v>
      </c>
      <c r="BR176" s="3">
        <f t="shared" si="393"/>
        <v>256868.68</v>
      </c>
      <c r="BS176" s="3">
        <f t="shared" si="393"/>
        <v>-1146199.43</v>
      </c>
      <c r="BT176" s="3">
        <f t="shared" si="393"/>
        <v>-1198248.99</v>
      </c>
      <c r="BU176" s="3">
        <f t="shared" si="393"/>
        <v>-1053474.72</v>
      </c>
      <c r="BV176" s="3">
        <f t="shared" si="393"/>
        <v>-1211357.32</v>
      </c>
      <c r="CR176" s="2"/>
      <c r="CS176" s="2"/>
      <c r="CT176" s="2"/>
      <c r="CU176" s="2"/>
      <c r="EI176" s="3"/>
    </row>
    <row r="177">
      <c r="AX177" s="1" t="s">
        <v>560</v>
      </c>
      <c r="AY177" s="3">
        <f t="shared" ref="AY177:BG177" si="394">AY160-AY149</f>
        <v>-61943.14</v>
      </c>
      <c r="AZ177" s="3">
        <f t="shared" si="394"/>
        <v>-30362.97</v>
      </c>
      <c r="BA177" s="3">
        <f t="shared" si="394"/>
        <v>-124167.15</v>
      </c>
      <c r="BB177" s="3">
        <f t="shared" si="394"/>
        <v>-232641.02</v>
      </c>
      <c r="BC177" s="445">
        <f t="shared" si="394"/>
        <v>8354.19</v>
      </c>
      <c r="BD177" s="445">
        <f t="shared" si="394"/>
        <v>107482.56</v>
      </c>
      <c r="BE177" s="445">
        <f t="shared" si="394"/>
        <v>-170797.14</v>
      </c>
      <c r="BF177" s="445">
        <f t="shared" si="394"/>
        <v>-528605.46</v>
      </c>
      <c r="BG177" s="445">
        <f t="shared" si="394"/>
        <v>-161977.51</v>
      </c>
      <c r="BK177" s="3">
        <f t="shared" ref="BK177:BV177" si="395">BK160-BK149</f>
        <v>-7799</v>
      </c>
      <c r="BL177" s="3">
        <f t="shared" si="395"/>
        <v>-1743.88</v>
      </c>
      <c r="BM177" s="3">
        <f t="shared" si="395"/>
        <v>-39751.6</v>
      </c>
      <c r="BN177" s="3">
        <f t="shared" si="395"/>
        <v>139987.25</v>
      </c>
      <c r="BO177" s="445">
        <f t="shared" si="395"/>
        <v>-110127.31</v>
      </c>
      <c r="BP177" s="445">
        <f t="shared" si="395"/>
        <v>-151314.45</v>
      </c>
      <c r="BQ177" s="445">
        <f t="shared" si="395"/>
        <v>98647.65</v>
      </c>
      <c r="BR177" s="445">
        <f t="shared" si="395"/>
        <v>-30055</v>
      </c>
      <c r="BS177" s="445">
        <f t="shared" si="395"/>
        <v>-1306831</v>
      </c>
      <c r="BT177" s="445">
        <f t="shared" si="395"/>
        <v>-1364580</v>
      </c>
      <c r="BU177" s="445">
        <f t="shared" si="395"/>
        <v>-1255643</v>
      </c>
      <c r="BV177" s="445">
        <f t="shared" si="395"/>
        <v>-1324381</v>
      </c>
      <c r="CR177" s="2"/>
      <c r="CS177" s="2"/>
      <c r="CT177" s="2"/>
      <c r="CU177" s="2"/>
      <c r="EI177" s="3"/>
    </row>
    <row r="178">
      <c r="AX178" s="1" t="s">
        <v>561</v>
      </c>
      <c r="AY178" s="129">
        <f t="shared" ref="AY178:BG178" si="396">AY161-AY155</f>
        <v>680477.13</v>
      </c>
      <c r="AZ178" s="129">
        <f t="shared" si="396"/>
        <v>-767160.9</v>
      </c>
      <c r="BA178" s="129">
        <f t="shared" si="396"/>
        <v>294872.34</v>
      </c>
      <c r="BB178" s="129">
        <f t="shared" si="396"/>
        <v>300600.25</v>
      </c>
      <c r="BC178" s="129">
        <f t="shared" si="396"/>
        <v>-373648.81</v>
      </c>
      <c r="BD178" s="129">
        <f t="shared" si="396"/>
        <v>-605403.63</v>
      </c>
      <c r="BE178" s="129">
        <f t="shared" si="396"/>
        <v>-455745.8</v>
      </c>
      <c r="BF178" s="129">
        <f t="shared" si="396"/>
        <v>399248.08</v>
      </c>
      <c r="BG178" s="129">
        <f t="shared" si="396"/>
        <v>-356823.5</v>
      </c>
      <c r="BK178" s="129">
        <f t="shared" ref="BK178:BV178" si="397">BK161-BK155</f>
        <v>-54452.66</v>
      </c>
      <c r="BL178" s="129">
        <f t="shared" si="397"/>
        <v>-137930.92</v>
      </c>
      <c r="BM178" s="129">
        <f t="shared" si="397"/>
        <v>-37311.92</v>
      </c>
      <c r="BN178" s="129">
        <f t="shared" si="397"/>
        <v>-83789.01</v>
      </c>
      <c r="BO178" s="129">
        <f t="shared" si="397"/>
        <v>-82639.8</v>
      </c>
      <c r="BP178" s="129">
        <f t="shared" si="397"/>
        <v>-4438.66</v>
      </c>
      <c r="BQ178" s="129">
        <f t="shared" si="397"/>
        <v>-299055.85</v>
      </c>
      <c r="BR178" s="129">
        <f t="shared" si="397"/>
        <v>-435186.84</v>
      </c>
      <c r="BS178" s="129">
        <f t="shared" si="397"/>
        <v>-851482.57</v>
      </c>
      <c r="BT178" s="129">
        <f t="shared" si="397"/>
        <v>-1090844.01</v>
      </c>
      <c r="BU178" s="129">
        <f t="shared" si="397"/>
        <v>-668715.28</v>
      </c>
      <c r="BV178" s="129">
        <f t="shared" si="397"/>
        <v>-958894.68</v>
      </c>
      <c r="CR178" s="2"/>
      <c r="CS178" s="2"/>
      <c r="CT178" s="2"/>
      <c r="CU178" s="2"/>
      <c r="EI178" s="3"/>
    </row>
    <row r="179">
      <c r="CR179" s="2"/>
      <c r="CS179" s="2"/>
      <c r="CT179" s="2"/>
      <c r="CU179" s="2"/>
      <c r="EI179" s="3"/>
    </row>
    <row r="180">
      <c r="CR180" s="2"/>
      <c r="CS180" s="2"/>
      <c r="CT180" s="2"/>
      <c r="CU180" s="2"/>
      <c r="EI180" s="3"/>
    </row>
    <row r="181">
      <c r="CR181" s="2"/>
      <c r="CS181" s="2"/>
      <c r="CT181" s="2"/>
      <c r="CU181" s="2"/>
      <c r="EI181" s="3"/>
    </row>
    <row r="182">
      <c r="CR182" s="2"/>
      <c r="CS182" s="2"/>
      <c r="CT182" s="2"/>
      <c r="CU182" s="2"/>
      <c r="EI182" s="3"/>
    </row>
    <row r="183">
      <c r="CR183" s="2"/>
      <c r="CS183" s="2"/>
      <c r="CT183" s="2"/>
      <c r="CU183" s="2"/>
      <c r="EI183" s="3"/>
    </row>
    <row r="184">
      <c r="CR184" s="2"/>
      <c r="CS184" s="2"/>
      <c r="CT184" s="2"/>
      <c r="CU184" s="2"/>
      <c r="EI184" s="3"/>
    </row>
    <row r="185">
      <c r="CR185" s="2"/>
      <c r="CS185" s="2"/>
      <c r="CT185" s="2"/>
      <c r="CU185" s="2"/>
      <c r="EI185" s="3"/>
    </row>
    <row r="187">
      <c r="CR187" s="2"/>
      <c r="CS187" s="2"/>
      <c r="CT187" s="2"/>
      <c r="CU187" s="2"/>
      <c r="EI187" s="3"/>
    </row>
    <row r="188">
      <c r="CR188" s="2"/>
      <c r="CS188" s="2"/>
      <c r="CT188" s="2"/>
      <c r="CU188" s="2"/>
      <c r="EI188" s="3"/>
    </row>
    <row r="189">
      <c r="CR189" s="2"/>
      <c r="CS189" s="2"/>
      <c r="CT189" s="2"/>
      <c r="CU189" s="2"/>
      <c r="EI189" s="3"/>
    </row>
    <row r="190">
      <c r="CR190" s="2"/>
      <c r="CS190" s="2"/>
      <c r="CT190" s="2"/>
      <c r="CU190" s="2"/>
      <c r="EI190" s="3"/>
    </row>
    <row r="191">
      <c r="CR191" s="2"/>
      <c r="CS191" s="2"/>
      <c r="CT191" s="2"/>
      <c r="CU191" s="2"/>
      <c r="EI191" s="3"/>
    </row>
    <row r="192">
      <c r="CR192" s="2"/>
      <c r="CS192" s="2"/>
      <c r="CT192" s="2"/>
      <c r="CU192" s="2"/>
      <c r="EI192" s="3"/>
    </row>
    <row r="193">
      <c r="CR193" s="2"/>
      <c r="CS193" s="2"/>
      <c r="CT193" s="2"/>
      <c r="CU193" s="2"/>
      <c r="EI193" s="3"/>
    </row>
    <row r="194">
      <c r="CR194" s="2"/>
      <c r="CS194" s="2"/>
      <c r="CT194" s="2"/>
      <c r="CU194" s="2"/>
      <c r="EI194" s="3"/>
    </row>
    <row r="195">
      <c r="CR195" s="2"/>
      <c r="CS195" s="2"/>
      <c r="CT195" s="2"/>
      <c r="CU195" s="2"/>
      <c r="EI195" s="3"/>
    </row>
    <row r="196">
      <c r="CR196" s="2"/>
      <c r="CS196" s="2"/>
      <c r="CT196" s="2"/>
      <c r="CU196" s="2"/>
      <c r="EI196" s="3"/>
    </row>
    <row r="197">
      <c r="CR197" s="2"/>
      <c r="CS197" s="2"/>
      <c r="CT197" s="2"/>
      <c r="CU197" s="2"/>
      <c r="EI197" s="3"/>
    </row>
    <row r="198">
      <c r="CR198" s="2"/>
      <c r="CS198" s="2"/>
      <c r="CT198" s="2"/>
      <c r="CU198" s="2"/>
      <c r="EI198" s="3"/>
    </row>
    <row r="199">
      <c r="CR199" s="2"/>
      <c r="CS199" s="2"/>
      <c r="CT199" s="2"/>
      <c r="CU199" s="2"/>
      <c r="EI199" s="3"/>
    </row>
    <row r="200">
      <c r="CR200" s="2"/>
      <c r="CS200" s="2"/>
      <c r="CT200" s="2"/>
      <c r="CU200" s="2"/>
      <c r="EI200" s="3"/>
    </row>
    <row r="201">
      <c r="CR201" s="2"/>
      <c r="CS201" s="2"/>
      <c r="CT201" s="2"/>
      <c r="CU201" s="2"/>
      <c r="EI201" s="3"/>
    </row>
    <row r="202">
      <c r="CR202" s="2"/>
      <c r="CS202" s="2"/>
      <c r="CT202" s="2"/>
      <c r="CU202" s="2"/>
      <c r="EI202" s="3"/>
    </row>
    <row r="203">
      <c r="CR203" s="2"/>
      <c r="CS203" s="2"/>
      <c r="CT203" s="2"/>
      <c r="CU203" s="2"/>
      <c r="EI203" s="3"/>
    </row>
    <row r="204">
      <c r="CR204" s="2"/>
      <c r="CS204" s="2"/>
      <c r="CT204" s="2"/>
      <c r="CU204" s="2"/>
      <c r="EI204" s="3"/>
    </row>
    <row r="205">
      <c r="CR205" s="2"/>
      <c r="CS205" s="2"/>
      <c r="CT205" s="2"/>
      <c r="CU205" s="2"/>
      <c r="EI205" s="3"/>
    </row>
    <row r="206">
      <c r="CR206" s="2"/>
      <c r="CS206" s="2"/>
      <c r="CT206" s="2"/>
      <c r="CU206" s="2"/>
      <c r="EI206" s="3"/>
    </row>
    <row r="207">
      <c r="CR207" s="2"/>
      <c r="CS207" s="2"/>
      <c r="CT207" s="2"/>
      <c r="CU207" s="2"/>
      <c r="EI207" s="3"/>
    </row>
    <row r="208">
      <c r="CR208" s="2"/>
      <c r="CS208" s="2"/>
      <c r="CT208" s="2"/>
      <c r="CU208" s="2"/>
      <c r="EI208" s="3"/>
    </row>
    <row r="209">
      <c r="CR209" s="2"/>
      <c r="CS209" s="2"/>
      <c r="CT209" s="2"/>
      <c r="CU209" s="2"/>
      <c r="EI209" s="3"/>
    </row>
    <row r="210">
      <c r="CR210" s="2"/>
      <c r="CS210" s="2"/>
      <c r="CT210" s="2"/>
      <c r="CU210" s="2"/>
      <c r="EI210" s="3"/>
    </row>
    <row r="211">
      <c r="CR211" s="2"/>
      <c r="CS211" s="2"/>
      <c r="CT211" s="2"/>
      <c r="CU211" s="2"/>
      <c r="EI211" s="3"/>
    </row>
    <row r="212">
      <c r="CR212" s="2"/>
      <c r="CS212" s="2"/>
      <c r="CT212" s="2"/>
      <c r="CU212" s="2"/>
      <c r="EI212" s="3"/>
    </row>
    <row r="213">
      <c r="CR213" s="2"/>
      <c r="CS213" s="2"/>
      <c r="CT213" s="2"/>
      <c r="CU213" s="2"/>
      <c r="EI213" s="3"/>
    </row>
    <row r="214">
      <c r="CR214" s="2"/>
      <c r="CS214" s="2"/>
      <c r="CT214" s="2"/>
      <c r="CU214" s="2"/>
      <c r="EI214" s="3"/>
    </row>
    <row r="215">
      <c r="CR215" s="2"/>
      <c r="CS215" s="2"/>
      <c r="CT215" s="2"/>
      <c r="CU215" s="2"/>
      <c r="EI215" s="3"/>
    </row>
    <row r="216">
      <c r="CR216" s="2"/>
      <c r="CS216" s="2"/>
      <c r="CT216" s="2"/>
      <c r="CU216" s="2"/>
      <c r="EI216" s="3"/>
    </row>
    <row r="217">
      <c r="CR217" s="2"/>
      <c r="CS217" s="2"/>
      <c r="CT217" s="2"/>
      <c r="CU217" s="2"/>
      <c r="EI217" s="3"/>
    </row>
    <row r="218">
      <c r="CR218" s="2"/>
      <c r="CS218" s="2"/>
      <c r="CT218" s="2"/>
      <c r="CU218" s="2"/>
      <c r="EI218" s="3"/>
    </row>
    <row r="219">
      <c r="CR219" s="2"/>
      <c r="CS219" s="2"/>
      <c r="CT219" s="2"/>
      <c r="CU219" s="2"/>
      <c r="EI219" s="3"/>
    </row>
    <row r="220">
      <c r="CR220" s="2"/>
      <c r="CS220" s="2"/>
      <c r="CT220" s="2"/>
      <c r="CU220" s="2"/>
      <c r="EI220" s="3"/>
    </row>
    <row r="221">
      <c r="CR221" s="2"/>
      <c r="CS221" s="2"/>
      <c r="CT221" s="2"/>
      <c r="CU221" s="2"/>
      <c r="EI221" s="3"/>
    </row>
    <row r="222">
      <c r="CR222" s="2"/>
      <c r="CS222" s="2"/>
      <c r="CT222" s="2"/>
      <c r="CU222" s="2"/>
      <c r="EI222" s="3"/>
    </row>
    <row r="223">
      <c r="CR223" s="2"/>
      <c r="CS223" s="2"/>
      <c r="CT223" s="2"/>
      <c r="CU223" s="2"/>
      <c r="EI223" s="3"/>
    </row>
    <row r="224">
      <c r="CR224" s="2"/>
      <c r="CS224" s="2"/>
      <c r="CT224" s="2"/>
      <c r="CU224" s="2"/>
      <c r="EI224" s="3"/>
    </row>
    <row r="225">
      <c r="CR225" s="2"/>
      <c r="CS225" s="2"/>
      <c r="CT225" s="2"/>
      <c r="CU225" s="2"/>
      <c r="EI225" s="3"/>
    </row>
    <row r="226">
      <c r="CR226" s="2"/>
      <c r="CS226" s="2"/>
      <c r="CT226" s="2"/>
      <c r="CU226" s="2"/>
      <c r="EI226" s="3"/>
    </row>
    <row r="227">
      <c r="CR227" s="2"/>
      <c r="CS227" s="2"/>
      <c r="CT227" s="2"/>
      <c r="CU227" s="2"/>
      <c r="EI227" s="3"/>
    </row>
    <row r="228">
      <c r="CR228" s="2"/>
      <c r="CS228" s="2"/>
      <c r="CT228" s="2"/>
      <c r="CU228" s="2"/>
      <c r="EI228" s="3"/>
    </row>
    <row r="229">
      <c r="CR229" s="2"/>
      <c r="CS229" s="2"/>
      <c r="CT229" s="2"/>
      <c r="CU229" s="2"/>
      <c r="EI229" s="3"/>
    </row>
    <row r="230">
      <c r="CR230" s="2"/>
      <c r="CS230" s="2"/>
      <c r="CT230" s="2"/>
      <c r="CU230" s="2"/>
      <c r="EI230" s="3"/>
    </row>
    <row r="231">
      <c r="CR231" s="2"/>
      <c r="CS231" s="2"/>
      <c r="CT231" s="2"/>
      <c r="CU231" s="2"/>
      <c r="EI231" s="3"/>
    </row>
    <row r="232">
      <c r="CR232" s="2"/>
      <c r="CS232" s="2"/>
      <c r="CT232" s="2"/>
      <c r="CU232" s="2"/>
      <c r="EI232" s="3"/>
    </row>
    <row r="233">
      <c r="CR233" s="2"/>
      <c r="CS233" s="2"/>
      <c r="CT233" s="2"/>
      <c r="CU233" s="2"/>
      <c r="EI233" s="3"/>
    </row>
    <row r="234">
      <c r="CR234" s="2"/>
      <c r="CS234" s="2"/>
      <c r="CT234" s="2"/>
      <c r="CU234" s="2"/>
      <c r="EI234" s="3"/>
    </row>
    <row r="235">
      <c r="CR235" s="2"/>
      <c r="CS235" s="2"/>
      <c r="CT235" s="2"/>
      <c r="CU235" s="2"/>
      <c r="EI235" s="3"/>
    </row>
    <row r="236">
      <c r="CR236" s="2"/>
      <c r="CS236" s="2"/>
      <c r="CT236" s="2"/>
      <c r="CU236" s="2"/>
      <c r="EI236" s="3"/>
    </row>
    <row r="237">
      <c r="CR237" s="2"/>
      <c r="CS237" s="2"/>
      <c r="CT237" s="2"/>
      <c r="CU237" s="2"/>
      <c r="EI237" s="3"/>
    </row>
    <row r="238">
      <c r="CR238" s="2"/>
      <c r="CS238" s="2"/>
      <c r="CT238" s="2"/>
      <c r="CU238" s="2"/>
      <c r="EI238" s="3"/>
    </row>
    <row r="239">
      <c r="CR239" s="2"/>
      <c r="CS239" s="2"/>
      <c r="CT239" s="2"/>
      <c r="CU239" s="2"/>
      <c r="EI239" s="3"/>
    </row>
    <row r="240">
      <c r="CR240" s="2"/>
      <c r="CS240" s="2"/>
      <c r="CT240" s="2"/>
      <c r="CU240" s="2"/>
      <c r="EI240" s="3"/>
    </row>
    <row r="241">
      <c r="CR241" s="2"/>
      <c r="CS241" s="2"/>
      <c r="CT241" s="2"/>
      <c r="CU241" s="2"/>
      <c r="EI241" s="3"/>
    </row>
    <row r="242">
      <c r="CR242" s="2"/>
      <c r="CS242" s="2"/>
      <c r="CT242" s="2"/>
      <c r="CU242" s="2"/>
      <c r="EI242" s="3"/>
    </row>
    <row r="243">
      <c r="CR243" s="2"/>
      <c r="CS243" s="2"/>
      <c r="CT243" s="2"/>
      <c r="CU243" s="2"/>
      <c r="EI243" s="3"/>
    </row>
    <row r="244">
      <c r="CR244" s="2"/>
      <c r="CS244" s="2"/>
      <c r="CT244" s="2"/>
      <c r="CU244" s="2"/>
      <c r="EI244" s="3"/>
    </row>
    <row r="245">
      <c r="CR245" s="2"/>
      <c r="CS245" s="2"/>
      <c r="CT245" s="2"/>
      <c r="CU245" s="2"/>
      <c r="EI245" s="3"/>
    </row>
    <row r="246">
      <c r="CR246" s="2"/>
      <c r="CS246" s="2"/>
      <c r="CT246" s="2"/>
      <c r="CU246" s="2"/>
      <c r="EI246" s="3"/>
    </row>
    <row r="247">
      <c r="CR247" s="2"/>
      <c r="CS247" s="2"/>
      <c r="CT247" s="2"/>
      <c r="CU247" s="2"/>
      <c r="EI247" s="3"/>
    </row>
    <row r="248">
      <c r="CR248" s="2"/>
      <c r="CS248" s="2"/>
      <c r="CT248" s="2"/>
      <c r="CU248" s="2"/>
      <c r="EI248" s="3"/>
    </row>
    <row r="249">
      <c r="CR249" s="2"/>
      <c r="CS249" s="2"/>
      <c r="CT249" s="2"/>
      <c r="CU249" s="2"/>
      <c r="EI249" s="3"/>
    </row>
    <row r="250">
      <c r="CR250" s="2"/>
      <c r="CS250" s="2"/>
      <c r="CT250" s="2"/>
      <c r="CU250" s="2"/>
      <c r="EI250" s="3"/>
    </row>
    <row r="251">
      <c r="CR251" s="2"/>
      <c r="CS251" s="2"/>
      <c r="CT251" s="2"/>
      <c r="CU251" s="2"/>
      <c r="EI251" s="3"/>
    </row>
    <row r="252">
      <c r="CR252" s="2"/>
      <c r="CS252" s="2"/>
      <c r="CT252" s="2"/>
      <c r="CU252" s="2"/>
      <c r="EI252" s="3"/>
    </row>
    <row r="253">
      <c r="CR253" s="2"/>
      <c r="CS253" s="2"/>
      <c r="CT253" s="2"/>
      <c r="CU253" s="2"/>
      <c r="EI253" s="3"/>
    </row>
    <row r="254">
      <c r="CR254" s="2"/>
      <c r="CS254" s="2"/>
      <c r="CT254" s="2"/>
      <c r="CU254" s="2"/>
      <c r="EI254" s="3"/>
    </row>
    <row r="255">
      <c r="CR255" s="2"/>
      <c r="CS255" s="2"/>
      <c r="CT255" s="2"/>
      <c r="CU255" s="2"/>
      <c r="EI255" s="3"/>
    </row>
    <row r="256">
      <c r="CR256" s="2"/>
      <c r="CS256" s="2"/>
      <c r="CT256" s="2"/>
      <c r="CU256" s="2"/>
      <c r="EI256" s="3"/>
    </row>
    <row r="257">
      <c r="CR257" s="2"/>
      <c r="CS257" s="2"/>
      <c r="CT257" s="2"/>
      <c r="CU257" s="2"/>
      <c r="EI257" s="3"/>
    </row>
    <row r="258">
      <c r="CR258" s="2"/>
      <c r="CS258" s="2"/>
      <c r="CT258" s="2"/>
      <c r="CU258" s="2"/>
      <c r="EI258" s="3"/>
    </row>
    <row r="259">
      <c r="CR259" s="2"/>
      <c r="CS259" s="2"/>
      <c r="CT259" s="2"/>
      <c r="CU259" s="2"/>
      <c r="EI259" s="3"/>
    </row>
    <row r="260">
      <c r="CR260" s="2"/>
      <c r="CS260" s="2"/>
      <c r="CT260" s="2"/>
      <c r="CU260" s="2"/>
      <c r="EI260" s="3"/>
    </row>
    <row r="261">
      <c r="CR261" s="2"/>
      <c r="CS261" s="2"/>
      <c r="CT261" s="2"/>
      <c r="CU261" s="2"/>
      <c r="EI261" s="3"/>
    </row>
    <row r="262">
      <c r="CR262" s="2"/>
      <c r="CS262" s="2"/>
      <c r="CT262" s="2"/>
      <c r="CU262" s="2"/>
      <c r="EI262" s="3"/>
    </row>
    <row r="263">
      <c r="CR263" s="2"/>
      <c r="CS263" s="2"/>
      <c r="CT263" s="2"/>
      <c r="CU263" s="2"/>
      <c r="EI263" s="3"/>
    </row>
    <row r="264">
      <c r="CR264" s="2"/>
      <c r="CS264" s="2"/>
      <c r="CT264" s="2"/>
      <c r="CU264" s="2"/>
      <c r="EI264" s="3"/>
    </row>
    <row r="265">
      <c r="CR265" s="2"/>
      <c r="CS265" s="2"/>
      <c r="CT265" s="2"/>
      <c r="CU265" s="2"/>
      <c r="EI265" s="3"/>
    </row>
    <row r="266">
      <c r="CR266" s="2"/>
      <c r="CS266" s="2"/>
      <c r="CT266" s="2"/>
      <c r="CU266" s="2"/>
      <c r="EI266" s="3"/>
    </row>
    <row r="267">
      <c r="CR267" s="2"/>
      <c r="CS267" s="2"/>
      <c r="CT267" s="2"/>
      <c r="CU267" s="2"/>
      <c r="EI267" s="3"/>
    </row>
    <row r="268">
      <c r="CR268" s="2"/>
      <c r="CS268" s="2"/>
      <c r="CT268" s="2"/>
      <c r="CU268" s="2"/>
      <c r="EI268" s="3"/>
    </row>
    <row r="269">
      <c r="CR269" s="2"/>
      <c r="CS269" s="2"/>
      <c r="CT269" s="2"/>
      <c r="CU269" s="2"/>
      <c r="EI269" s="3"/>
    </row>
    <row r="270">
      <c r="CR270" s="2"/>
      <c r="CS270" s="2"/>
      <c r="CT270" s="2"/>
      <c r="CU270" s="2"/>
      <c r="EI270" s="3"/>
    </row>
    <row r="271">
      <c r="CR271" s="2"/>
      <c r="CS271" s="2"/>
      <c r="CT271" s="2"/>
      <c r="CU271" s="2"/>
      <c r="EI271" s="3"/>
    </row>
    <row r="272">
      <c r="CR272" s="2"/>
      <c r="CS272" s="2"/>
      <c r="CT272" s="2"/>
      <c r="CU272" s="2"/>
      <c r="EI272" s="3"/>
    </row>
    <row r="273">
      <c r="CR273" s="2"/>
      <c r="CS273" s="2"/>
      <c r="CT273" s="2"/>
      <c r="CU273" s="2"/>
      <c r="EI273" s="3"/>
    </row>
    <row r="274">
      <c r="CR274" s="2"/>
      <c r="CS274" s="2"/>
      <c r="CT274" s="2"/>
      <c r="CU274" s="2"/>
      <c r="EI274" s="3"/>
    </row>
    <row r="275">
      <c r="CR275" s="2"/>
      <c r="CS275" s="2"/>
      <c r="CT275" s="2"/>
      <c r="CU275" s="2"/>
      <c r="EI275" s="3"/>
    </row>
    <row r="276">
      <c r="CR276" s="2"/>
      <c r="CS276" s="2"/>
      <c r="CT276" s="2"/>
      <c r="CU276" s="2"/>
      <c r="EI276" s="3"/>
    </row>
    <row r="277">
      <c r="CR277" s="2"/>
      <c r="CS277" s="2"/>
      <c r="CT277" s="2"/>
      <c r="CU277" s="2"/>
      <c r="EI277" s="3"/>
    </row>
    <row r="278">
      <c r="CR278" s="2"/>
      <c r="CS278" s="2"/>
      <c r="CT278" s="2"/>
      <c r="CU278" s="2"/>
      <c r="EI278" s="3"/>
    </row>
    <row r="279">
      <c r="CR279" s="2"/>
      <c r="CS279" s="2"/>
      <c r="CT279" s="2"/>
      <c r="CU279" s="2"/>
      <c r="EI279" s="3"/>
    </row>
    <row r="280">
      <c r="CR280" s="2"/>
      <c r="CS280" s="2"/>
      <c r="CT280" s="2"/>
      <c r="CU280" s="2"/>
      <c r="EI280" s="3"/>
    </row>
    <row r="281">
      <c r="CR281" s="2"/>
      <c r="CS281" s="2"/>
      <c r="CT281" s="2"/>
      <c r="CU281" s="2"/>
      <c r="EI281" s="3"/>
    </row>
    <row r="282">
      <c r="CR282" s="2"/>
      <c r="CS282" s="2"/>
      <c r="CT282" s="2"/>
      <c r="CU282" s="2"/>
      <c r="EI282" s="3"/>
    </row>
    <row r="283">
      <c r="CR283" s="2"/>
      <c r="CS283" s="2"/>
      <c r="CT283" s="2"/>
      <c r="CU283" s="2"/>
      <c r="EI283" s="3"/>
    </row>
    <row r="284">
      <c r="CR284" s="2"/>
      <c r="CS284" s="2"/>
      <c r="CT284" s="2"/>
      <c r="CU284" s="2"/>
      <c r="EI284" s="3"/>
    </row>
    <row r="285">
      <c r="CR285" s="2"/>
      <c r="CS285" s="2"/>
      <c r="CT285" s="2"/>
      <c r="CU285" s="2"/>
      <c r="EI285" s="3"/>
    </row>
    <row r="286">
      <c r="CR286" s="2"/>
      <c r="CS286" s="2"/>
      <c r="CT286" s="2"/>
      <c r="CU286" s="2"/>
      <c r="EI286" s="3"/>
    </row>
    <row r="287">
      <c r="CR287" s="2"/>
      <c r="CS287" s="2"/>
      <c r="CT287" s="2"/>
      <c r="CU287" s="2"/>
      <c r="EI287" s="3"/>
    </row>
    <row r="288">
      <c r="CR288" s="2"/>
      <c r="CS288" s="2"/>
      <c r="CT288" s="2"/>
      <c r="CU288" s="2"/>
      <c r="EI288" s="3"/>
    </row>
    <row r="289">
      <c r="CR289" s="2"/>
      <c r="CS289" s="2"/>
      <c r="CT289" s="2"/>
      <c r="CU289" s="2"/>
      <c r="EI289" s="3"/>
    </row>
    <row r="290">
      <c r="CR290" s="2"/>
      <c r="CS290" s="2"/>
      <c r="CT290" s="2"/>
      <c r="CU290" s="2"/>
      <c r="EI290" s="3"/>
    </row>
    <row r="291">
      <c r="CR291" s="2"/>
      <c r="CS291" s="2"/>
      <c r="CT291" s="2"/>
      <c r="CU291" s="2"/>
      <c r="EI291" s="3"/>
    </row>
    <row r="292">
      <c r="CR292" s="2"/>
      <c r="CS292" s="2"/>
      <c r="CT292" s="2"/>
      <c r="CU292" s="2"/>
      <c r="EI292" s="3"/>
    </row>
    <row r="293">
      <c r="CR293" s="2"/>
      <c r="CS293" s="2"/>
      <c r="CT293" s="2"/>
      <c r="CU293" s="2"/>
      <c r="EI293" s="3"/>
    </row>
    <row r="294">
      <c r="CR294" s="2"/>
      <c r="CS294" s="2"/>
      <c r="CT294" s="2"/>
      <c r="CU294" s="2"/>
      <c r="EI294" s="3"/>
    </row>
    <row r="295">
      <c r="CR295" s="2"/>
      <c r="CS295" s="2"/>
      <c r="CT295" s="2"/>
      <c r="CU295" s="2"/>
      <c r="EI295" s="3"/>
    </row>
    <row r="296">
      <c r="CR296" s="2"/>
      <c r="CS296" s="2"/>
      <c r="CT296" s="2"/>
      <c r="CU296" s="2"/>
      <c r="EI296" s="3"/>
    </row>
    <row r="297">
      <c r="CR297" s="2"/>
      <c r="CS297" s="2"/>
      <c r="CT297" s="2"/>
      <c r="CU297" s="2"/>
      <c r="EI297" s="3"/>
    </row>
    <row r="298">
      <c r="CR298" s="2"/>
      <c r="CS298" s="2"/>
      <c r="CT298" s="2"/>
      <c r="CU298" s="2"/>
      <c r="EI298" s="3"/>
    </row>
    <row r="299">
      <c r="CR299" s="2"/>
      <c r="CS299" s="2"/>
      <c r="CT299" s="2"/>
      <c r="CU299" s="2"/>
      <c r="EI299" s="3"/>
    </row>
    <row r="300">
      <c r="CR300" s="2"/>
      <c r="CS300" s="2"/>
      <c r="CT300" s="2"/>
      <c r="CU300" s="2"/>
      <c r="EI300" s="3"/>
    </row>
    <row r="301">
      <c r="CR301" s="2"/>
      <c r="CS301" s="2"/>
      <c r="CT301" s="2"/>
      <c r="CU301" s="2"/>
      <c r="EI301" s="3"/>
    </row>
    <row r="302">
      <c r="CR302" s="2"/>
      <c r="CS302" s="2"/>
      <c r="CT302" s="2"/>
      <c r="CU302" s="2"/>
      <c r="EI302" s="3"/>
    </row>
    <row r="303">
      <c r="CR303" s="2"/>
      <c r="CS303" s="2"/>
      <c r="CT303" s="2"/>
      <c r="CU303" s="2"/>
      <c r="EI303" s="3"/>
    </row>
    <row r="304">
      <c r="CR304" s="2"/>
      <c r="CS304" s="2"/>
      <c r="CT304" s="2"/>
      <c r="CU304" s="2"/>
      <c r="EI304" s="3"/>
    </row>
    <row r="305">
      <c r="CR305" s="2"/>
      <c r="CS305" s="2"/>
      <c r="CT305" s="2"/>
      <c r="CU305" s="2"/>
      <c r="EI305" s="3"/>
    </row>
    <row r="306">
      <c r="CR306" s="2"/>
      <c r="CS306" s="2"/>
      <c r="CT306" s="2"/>
      <c r="CU306" s="2"/>
      <c r="EI306" s="3"/>
    </row>
    <row r="307">
      <c r="CR307" s="2"/>
      <c r="CS307" s="2"/>
      <c r="CT307" s="2"/>
      <c r="CU307" s="2"/>
      <c r="EI307" s="3"/>
    </row>
    <row r="308">
      <c r="CR308" s="2"/>
      <c r="CS308" s="2"/>
      <c r="CT308" s="2"/>
      <c r="CU308" s="2"/>
      <c r="EI308" s="3"/>
    </row>
    <row r="309">
      <c r="CR309" s="2"/>
      <c r="CS309" s="2"/>
      <c r="CT309" s="2"/>
      <c r="CU309" s="2"/>
      <c r="EI309" s="3"/>
    </row>
    <row r="310">
      <c r="CR310" s="2"/>
      <c r="CS310" s="2"/>
      <c r="CT310" s="2"/>
      <c r="CU310" s="2"/>
      <c r="EI310" s="3"/>
    </row>
    <row r="311">
      <c r="CR311" s="2"/>
      <c r="CS311" s="2"/>
      <c r="CT311" s="2"/>
      <c r="CU311" s="2"/>
      <c r="EI311" s="3"/>
    </row>
    <row r="312">
      <c r="CR312" s="2"/>
      <c r="CS312" s="2"/>
      <c r="CT312" s="2"/>
      <c r="CU312" s="2"/>
      <c r="EI312" s="3"/>
    </row>
    <row r="313">
      <c r="CR313" s="2"/>
      <c r="CS313" s="2"/>
      <c r="CT313" s="2"/>
      <c r="CU313" s="2"/>
      <c r="EI313" s="3"/>
    </row>
    <row r="314">
      <c r="CR314" s="2"/>
      <c r="CS314" s="2"/>
      <c r="CT314" s="2"/>
      <c r="CU314" s="2"/>
      <c r="EI314" s="3"/>
    </row>
    <row r="315">
      <c r="CR315" s="2"/>
      <c r="CS315" s="2"/>
      <c r="CT315" s="2"/>
      <c r="CU315" s="2"/>
      <c r="EI315" s="3"/>
    </row>
    <row r="316">
      <c r="CR316" s="2"/>
      <c r="CS316" s="2"/>
      <c r="CT316" s="2"/>
      <c r="CU316" s="2"/>
      <c r="EI316" s="3"/>
    </row>
    <row r="317">
      <c r="CR317" s="2"/>
      <c r="CS317" s="2"/>
      <c r="CT317" s="2"/>
      <c r="CU317" s="2"/>
      <c r="EI317" s="3"/>
    </row>
    <row r="318">
      <c r="CR318" s="2"/>
      <c r="CS318" s="2"/>
      <c r="CT318" s="2"/>
      <c r="CU318" s="2"/>
      <c r="EI318" s="3"/>
    </row>
    <row r="319">
      <c r="CR319" s="2"/>
      <c r="CS319" s="2"/>
      <c r="CT319" s="2"/>
      <c r="CU319" s="2"/>
      <c r="EI319" s="3"/>
    </row>
    <row r="320">
      <c r="CR320" s="2"/>
      <c r="CS320" s="2"/>
      <c r="CT320" s="2"/>
      <c r="CU320" s="2"/>
      <c r="EI320" s="3"/>
    </row>
    <row r="321">
      <c r="CR321" s="2"/>
      <c r="CS321" s="2"/>
      <c r="CT321" s="2"/>
      <c r="CU321" s="2"/>
      <c r="EI321" s="3"/>
    </row>
    <row r="322">
      <c r="CR322" s="2"/>
      <c r="CS322" s="2"/>
      <c r="CT322" s="2"/>
      <c r="CU322" s="2"/>
      <c r="EI322" s="3"/>
    </row>
    <row r="323">
      <c r="CR323" s="2"/>
      <c r="CS323" s="2"/>
      <c r="CT323" s="2"/>
      <c r="CU323" s="2"/>
      <c r="EI323" s="3"/>
    </row>
    <row r="324">
      <c r="CR324" s="2"/>
      <c r="CS324" s="2"/>
      <c r="CT324" s="2"/>
      <c r="CU324" s="2"/>
      <c r="EI324" s="3"/>
    </row>
    <row r="325">
      <c r="CR325" s="2"/>
      <c r="CS325" s="2"/>
      <c r="CT325" s="2"/>
      <c r="CU325" s="2"/>
      <c r="EI325" s="3"/>
    </row>
    <row r="326">
      <c r="CR326" s="2"/>
      <c r="CS326" s="2"/>
      <c r="CT326" s="2"/>
      <c r="CU326" s="2"/>
      <c r="EI326" s="3"/>
    </row>
    <row r="327">
      <c r="CR327" s="2"/>
      <c r="CS327" s="2"/>
      <c r="CT327" s="2"/>
      <c r="CU327" s="2"/>
      <c r="EI327" s="3"/>
    </row>
    <row r="328">
      <c r="CR328" s="2"/>
      <c r="CS328" s="2"/>
      <c r="CT328" s="2"/>
      <c r="CU328" s="2"/>
      <c r="EI328" s="3"/>
    </row>
    <row r="329">
      <c r="CR329" s="2"/>
      <c r="CS329" s="2"/>
      <c r="CT329" s="2"/>
      <c r="CU329" s="2"/>
      <c r="EI329" s="3"/>
    </row>
    <row r="330">
      <c r="CR330" s="2"/>
      <c r="CS330" s="2"/>
      <c r="CT330" s="2"/>
      <c r="CU330" s="2"/>
      <c r="EI330" s="3"/>
    </row>
    <row r="331">
      <c r="CR331" s="2"/>
      <c r="CS331" s="2"/>
      <c r="CT331" s="2"/>
      <c r="CU331" s="2"/>
      <c r="EI331" s="3"/>
    </row>
    <row r="332">
      <c r="CR332" s="2"/>
      <c r="CS332" s="2"/>
      <c r="CT332" s="2"/>
      <c r="CU332" s="2"/>
      <c r="EI332" s="3"/>
    </row>
    <row r="333">
      <c r="CR333" s="2"/>
      <c r="CS333" s="2"/>
      <c r="CT333" s="2"/>
      <c r="CU333" s="2"/>
      <c r="EI333" s="3"/>
    </row>
    <row r="334">
      <c r="CR334" s="2"/>
      <c r="CS334" s="2"/>
      <c r="CT334" s="2"/>
      <c r="CU334" s="2"/>
      <c r="EI334" s="3"/>
    </row>
    <row r="335">
      <c r="CR335" s="2"/>
      <c r="CS335" s="2"/>
      <c r="CT335" s="2"/>
      <c r="CU335" s="2"/>
      <c r="EI335" s="3"/>
    </row>
    <row r="336">
      <c r="CR336" s="2"/>
      <c r="CS336" s="2"/>
      <c r="CT336" s="2"/>
      <c r="CU336" s="2"/>
      <c r="EI336" s="3"/>
    </row>
    <row r="337">
      <c r="CR337" s="2"/>
      <c r="CS337" s="2"/>
      <c r="CT337" s="2"/>
      <c r="CU337" s="2"/>
      <c r="EI337" s="3"/>
    </row>
    <row r="338">
      <c r="CR338" s="2"/>
      <c r="CS338" s="2"/>
      <c r="CT338" s="2"/>
      <c r="CU338" s="2"/>
      <c r="EI338" s="3"/>
    </row>
    <row r="339">
      <c r="CR339" s="2"/>
      <c r="CS339" s="2"/>
      <c r="CT339" s="2"/>
      <c r="CU339" s="2"/>
      <c r="EI339" s="3"/>
    </row>
    <row r="340">
      <c r="CR340" s="2"/>
      <c r="CS340" s="2"/>
      <c r="CT340" s="2"/>
      <c r="CU340" s="2"/>
      <c r="EI340" s="3"/>
    </row>
    <row r="341">
      <c r="CR341" s="2"/>
      <c r="CS341" s="2"/>
      <c r="CT341" s="2"/>
      <c r="CU341" s="2"/>
      <c r="EI341" s="3"/>
    </row>
    <row r="342">
      <c r="CR342" s="2"/>
      <c r="CS342" s="2"/>
      <c r="CT342" s="2"/>
      <c r="CU342" s="2"/>
      <c r="EI342" s="3"/>
    </row>
    <row r="343">
      <c r="CR343" s="2"/>
      <c r="CS343" s="2"/>
      <c r="CT343" s="2"/>
      <c r="CU343" s="2"/>
      <c r="EI343" s="3"/>
    </row>
    <row r="344">
      <c r="CR344" s="2"/>
      <c r="CS344" s="2"/>
      <c r="CT344" s="2"/>
      <c r="CU344" s="2"/>
      <c r="EI344" s="3"/>
    </row>
    <row r="345">
      <c r="CR345" s="2"/>
      <c r="CS345" s="2"/>
      <c r="CT345" s="2"/>
      <c r="CU345" s="2"/>
      <c r="EI345" s="3"/>
    </row>
    <row r="346">
      <c r="CR346" s="2"/>
      <c r="CS346" s="2"/>
      <c r="CT346" s="2"/>
      <c r="CU346" s="2"/>
      <c r="EI346" s="3"/>
    </row>
    <row r="347">
      <c r="CR347" s="2"/>
      <c r="CS347" s="2"/>
      <c r="CT347" s="2"/>
      <c r="CU347" s="2"/>
      <c r="EI347" s="3"/>
    </row>
    <row r="348">
      <c r="CR348" s="2"/>
      <c r="CS348" s="2"/>
      <c r="CT348" s="2"/>
      <c r="CU348" s="2"/>
      <c r="EI348" s="3"/>
    </row>
    <row r="349">
      <c r="CR349" s="2"/>
      <c r="CS349" s="2"/>
      <c r="CT349" s="2"/>
      <c r="CU349" s="2"/>
      <c r="EI349" s="3"/>
    </row>
    <row r="350">
      <c r="CR350" s="2"/>
      <c r="CS350" s="2"/>
      <c r="CT350" s="2"/>
      <c r="CU350" s="2"/>
      <c r="EI350" s="3"/>
    </row>
    <row r="351">
      <c r="CR351" s="2"/>
      <c r="CS351" s="2"/>
      <c r="CT351" s="2"/>
      <c r="CU351" s="2"/>
      <c r="EI351" s="3"/>
    </row>
    <row r="352">
      <c r="CR352" s="2"/>
      <c r="CS352" s="2"/>
      <c r="CT352" s="2"/>
      <c r="CU352" s="2"/>
      <c r="EI352" s="3"/>
    </row>
    <row r="353">
      <c r="CR353" s="2"/>
      <c r="CS353" s="2"/>
      <c r="CT353" s="2"/>
      <c r="CU353" s="2"/>
      <c r="EI353" s="3"/>
    </row>
    <row r="354">
      <c r="CR354" s="2"/>
      <c r="CS354" s="2"/>
      <c r="CT354" s="2"/>
      <c r="CU354" s="2"/>
      <c r="EI354" s="3"/>
    </row>
    <row r="355">
      <c r="CR355" s="2"/>
      <c r="CS355" s="2"/>
      <c r="CT355" s="2"/>
      <c r="CU355" s="2"/>
      <c r="EI355" s="3"/>
    </row>
    <row r="356">
      <c r="CR356" s="2"/>
      <c r="CS356" s="2"/>
      <c r="CT356" s="2"/>
      <c r="CU356" s="2"/>
      <c r="EI356" s="3"/>
    </row>
    <row r="357">
      <c r="CR357" s="2"/>
      <c r="CS357" s="2"/>
      <c r="CT357" s="2"/>
      <c r="CU357" s="2"/>
      <c r="EI357" s="3"/>
    </row>
    <row r="358">
      <c r="CR358" s="2"/>
      <c r="CS358" s="2"/>
      <c r="CT358" s="2"/>
      <c r="CU358" s="2"/>
      <c r="EI358" s="3"/>
    </row>
    <row r="359">
      <c r="CR359" s="2"/>
      <c r="CS359" s="2"/>
      <c r="CT359" s="2"/>
      <c r="CU359" s="2"/>
      <c r="EI359" s="3"/>
    </row>
    <row r="360">
      <c r="CR360" s="2"/>
      <c r="CS360" s="2"/>
      <c r="CT360" s="2"/>
      <c r="CU360" s="2"/>
      <c r="EI360" s="3"/>
    </row>
    <row r="361">
      <c r="CR361" s="2"/>
      <c r="CS361" s="2"/>
      <c r="CT361" s="2"/>
      <c r="CU361" s="2"/>
      <c r="EI361" s="3"/>
    </row>
    <row r="362">
      <c r="CR362" s="2"/>
      <c r="CS362" s="2"/>
      <c r="CT362" s="2"/>
      <c r="CU362" s="2"/>
      <c r="EI362" s="3"/>
    </row>
    <row r="363">
      <c r="CR363" s="2"/>
      <c r="CS363" s="2"/>
      <c r="CT363" s="2"/>
      <c r="CU363" s="2"/>
      <c r="EI363" s="3"/>
    </row>
    <row r="364">
      <c r="CR364" s="2"/>
      <c r="CS364" s="2"/>
      <c r="CT364" s="2"/>
      <c r="CU364" s="2"/>
      <c r="EI364" s="3"/>
    </row>
    <row r="365">
      <c r="CR365" s="2"/>
      <c r="CS365" s="2"/>
      <c r="CT365" s="2"/>
      <c r="CU365" s="2"/>
      <c r="EI365" s="3"/>
    </row>
    <row r="366">
      <c r="CR366" s="2"/>
      <c r="CS366" s="2"/>
      <c r="CT366" s="2"/>
      <c r="CU366" s="2"/>
      <c r="EI366" s="3"/>
    </row>
    <row r="367">
      <c r="CR367" s="2"/>
      <c r="CS367" s="2"/>
      <c r="CT367" s="2"/>
      <c r="CU367" s="2"/>
      <c r="EI367" s="3"/>
    </row>
    <row r="368">
      <c r="CR368" s="2"/>
      <c r="CS368" s="2"/>
      <c r="CT368" s="2"/>
      <c r="CU368" s="2"/>
      <c r="EI368" s="3"/>
    </row>
    <row r="369">
      <c r="CR369" s="2"/>
      <c r="CS369" s="2"/>
      <c r="CT369" s="2"/>
      <c r="CU369" s="2"/>
      <c r="EI369" s="3"/>
    </row>
    <row r="370">
      <c r="CR370" s="2"/>
      <c r="CS370" s="2"/>
      <c r="CT370" s="2"/>
      <c r="CU370" s="2"/>
      <c r="EI370" s="3"/>
    </row>
    <row r="371">
      <c r="CR371" s="2"/>
      <c r="CS371" s="2"/>
      <c r="CT371" s="2"/>
      <c r="CU371" s="2"/>
      <c r="EI371" s="3"/>
    </row>
    <row r="372">
      <c r="CR372" s="2"/>
      <c r="CS372" s="2"/>
      <c r="CT372" s="2"/>
      <c r="CU372" s="2"/>
      <c r="EI372" s="3"/>
    </row>
    <row r="373">
      <c r="CR373" s="2"/>
      <c r="CS373" s="2"/>
      <c r="CT373" s="2"/>
      <c r="CU373" s="2"/>
      <c r="EI373" s="3"/>
    </row>
    <row r="374">
      <c r="CR374" s="2"/>
      <c r="CS374" s="2"/>
      <c r="CT374" s="2"/>
      <c r="CU374" s="2"/>
      <c r="EI374" s="3"/>
    </row>
    <row r="375">
      <c r="CR375" s="2"/>
      <c r="CS375" s="2"/>
      <c r="CT375" s="2"/>
      <c r="CU375" s="2"/>
      <c r="EI375" s="3"/>
    </row>
    <row r="376">
      <c r="CR376" s="2"/>
      <c r="CS376" s="2"/>
      <c r="CT376" s="2"/>
      <c r="CU376" s="2"/>
      <c r="EI376" s="3"/>
    </row>
    <row r="377">
      <c r="CR377" s="2"/>
      <c r="CS377" s="2"/>
      <c r="CT377" s="2"/>
      <c r="CU377" s="2"/>
      <c r="EI377" s="3"/>
    </row>
    <row r="378">
      <c r="CR378" s="2"/>
      <c r="CS378" s="2"/>
      <c r="CT378" s="2"/>
      <c r="CU378" s="2"/>
      <c r="EI378" s="3"/>
    </row>
    <row r="379">
      <c r="CR379" s="2"/>
      <c r="CS379" s="2"/>
      <c r="CT379" s="2"/>
      <c r="CU379" s="2"/>
      <c r="EI379" s="3"/>
    </row>
    <row r="380">
      <c r="CR380" s="2"/>
      <c r="CS380" s="2"/>
      <c r="CT380" s="2"/>
      <c r="CU380" s="2"/>
      <c r="EI380" s="3"/>
    </row>
    <row r="381">
      <c r="CR381" s="2"/>
      <c r="CS381" s="2"/>
      <c r="CT381" s="2"/>
      <c r="CU381" s="2"/>
      <c r="EI381" s="3"/>
    </row>
    <row r="382">
      <c r="CR382" s="2"/>
      <c r="CS382" s="2"/>
      <c r="CT382" s="2"/>
      <c r="CU382" s="2"/>
      <c r="EI382" s="3"/>
    </row>
    <row r="383">
      <c r="CR383" s="2"/>
      <c r="CS383" s="2"/>
      <c r="CT383" s="2"/>
      <c r="CU383" s="2"/>
      <c r="EI383" s="3"/>
    </row>
    <row r="384">
      <c r="CR384" s="2"/>
      <c r="CS384" s="2"/>
      <c r="CT384" s="2"/>
      <c r="CU384" s="2"/>
      <c r="EI384" s="3"/>
    </row>
    <row r="385">
      <c r="CR385" s="2"/>
      <c r="CS385" s="2"/>
      <c r="CT385" s="2"/>
      <c r="CU385" s="2"/>
      <c r="EI385" s="3"/>
    </row>
    <row r="386">
      <c r="CR386" s="2"/>
      <c r="CS386" s="2"/>
      <c r="CT386" s="2"/>
      <c r="CU386" s="2"/>
      <c r="EI386" s="3"/>
    </row>
    <row r="387">
      <c r="CR387" s="2"/>
      <c r="CS387" s="2"/>
      <c r="CT387" s="2"/>
      <c r="CU387" s="2"/>
      <c r="EI387" s="3"/>
    </row>
    <row r="388">
      <c r="CR388" s="2"/>
      <c r="CS388" s="2"/>
      <c r="CT388" s="2"/>
      <c r="CU388" s="2"/>
      <c r="EI388" s="3"/>
    </row>
    <row r="389">
      <c r="CR389" s="2"/>
      <c r="CS389" s="2"/>
      <c r="CT389" s="2"/>
      <c r="CU389" s="2"/>
      <c r="EI389" s="3"/>
    </row>
    <row r="390">
      <c r="CR390" s="2"/>
      <c r="CS390" s="2"/>
      <c r="CT390" s="2"/>
      <c r="CU390" s="2"/>
      <c r="EI390" s="3"/>
    </row>
    <row r="391">
      <c r="CR391" s="2"/>
      <c r="CS391" s="2"/>
      <c r="CT391" s="2"/>
      <c r="CU391" s="2"/>
      <c r="EI391" s="3"/>
    </row>
    <row r="392">
      <c r="CR392" s="2"/>
      <c r="CS392" s="2"/>
      <c r="CT392" s="2"/>
      <c r="CU392" s="2"/>
      <c r="EI392" s="3"/>
    </row>
    <row r="393">
      <c r="CR393" s="2"/>
      <c r="CS393" s="2"/>
      <c r="CT393" s="2"/>
      <c r="CU393" s="2"/>
      <c r="EI393" s="3"/>
    </row>
    <row r="394">
      <c r="CR394" s="2"/>
      <c r="CS394" s="2"/>
      <c r="CT394" s="2"/>
      <c r="CU394" s="2"/>
      <c r="EI394" s="3"/>
    </row>
    <row r="395">
      <c r="CR395" s="2"/>
      <c r="CS395" s="2"/>
      <c r="CT395" s="2"/>
      <c r="CU395" s="2"/>
      <c r="EI395" s="3"/>
    </row>
    <row r="396">
      <c r="CR396" s="2"/>
      <c r="CS396" s="2"/>
      <c r="CT396" s="2"/>
      <c r="CU396" s="2"/>
      <c r="EI396" s="3"/>
    </row>
    <row r="397">
      <c r="CR397" s="2"/>
      <c r="CS397" s="2"/>
      <c r="CT397" s="2"/>
      <c r="CU397" s="2"/>
      <c r="EI397" s="3"/>
    </row>
    <row r="398">
      <c r="CR398" s="2"/>
      <c r="CS398" s="2"/>
      <c r="CT398" s="2"/>
      <c r="CU398" s="2"/>
      <c r="EI398" s="3"/>
    </row>
    <row r="399">
      <c r="CR399" s="2"/>
      <c r="CS399" s="2"/>
      <c r="CT399" s="2"/>
      <c r="CU399" s="2"/>
      <c r="EI399" s="3"/>
    </row>
    <row r="400">
      <c r="CR400" s="2"/>
      <c r="CS400" s="2"/>
      <c r="CT400" s="2"/>
      <c r="CU400" s="2"/>
      <c r="EI400" s="3"/>
    </row>
    <row r="401">
      <c r="CR401" s="2"/>
      <c r="CS401" s="2"/>
      <c r="CT401" s="2"/>
      <c r="CU401" s="2"/>
      <c r="EI401" s="3"/>
    </row>
    <row r="402">
      <c r="CR402" s="2"/>
      <c r="CS402" s="2"/>
      <c r="CT402" s="2"/>
      <c r="CU402" s="2"/>
      <c r="EI402" s="3"/>
    </row>
    <row r="403">
      <c r="CR403" s="2"/>
      <c r="CS403" s="2"/>
      <c r="CT403" s="2"/>
      <c r="CU403" s="2"/>
      <c r="EI403" s="3"/>
    </row>
    <row r="404">
      <c r="CR404" s="2"/>
      <c r="CS404" s="2"/>
      <c r="CT404" s="2"/>
      <c r="CU404" s="2"/>
      <c r="EI404" s="3"/>
    </row>
    <row r="405">
      <c r="CR405" s="2"/>
      <c r="CS405" s="2"/>
      <c r="CT405" s="2"/>
      <c r="CU405" s="2"/>
      <c r="EI405" s="3"/>
    </row>
    <row r="406">
      <c r="CR406" s="2"/>
      <c r="CS406" s="2"/>
      <c r="CT406" s="2"/>
      <c r="CU406" s="2"/>
      <c r="EI406" s="3"/>
    </row>
    <row r="407">
      <c r="CR407" s="2"/>
      <c r="CS407" s="2"/>
      <c r="CT407" s="2"/>
      <c r="CU407" s="2"/>
      <c r="EI407" s="3"/>
    </row>
    <row r="408">
      <c r="CR408" s="2"/>
      <c r="CS408" s="2"/>
      <c r="CT408" s="2"/>
      <c r="CU408" s="2"/>
      <c r="EI408" s="3"/>
    </row>
    <row r="409">
      <c r="CR409" s="2"/>
      <c r="CS409" s="2"/>
      <c r="CT409" s="2"/>
      <c r="CU409" s="2"/>
      <c r="EI409" s="3"/>
    </row>
    <row r="410">
      <c r="CR410" s="2"/>
      <c r="CS410" s="2"/>
      <c r="CT410" s="2"/>
      <c r="CU410" s="2"/>
      <c r="EI410" s="3"/>
    </row>
    <row r="411">
      <c r="CR411" s="2"/>
      <c r="CS411" s="2"/>
      <c r="CT411" s="2"/>
      <c r="CU411" s="2"/>
      <c r="EI411" s="3"/>
    </row>
    <row r="412">
      <c r="CR412" s="2"/>
      <c r="CS412" s="2"/>
      <c r="CT412" s="2"/>
      <c r="CU412" s="2"/>
      <c r="EI412" s="3"/>
    </row>
    <row r="413">
      <c r="CR413" s="2"/>
      <c r="CS413" s="2"/>
      <c r="CT413" s="2"/>
      <c r="CU413" s="2"/>
      <c r="EI413" s="3"/>
    </row>
    <row r="414">
      <c r="CR414" s="2"/>
      <c r="CS414" s="2"/>
      <c r="CT414" s="2"/>
      <c r="CU414" s="2"/>
      <c r="EI414" s="3"/>
    </row>
    <row r="415">
      <c r="CR415" s="2"/>
      <c r="CS415" s="2"/>
      <c r="CT415" s="2"/>
      <c r="CU415" s="2"/>
      <c r="EI415" s="3"/>
    </row>
    <row r="416">
      <c r="CR416" s="2"/>
      <c r="CS416" s="2"/>
      <c r="CT416" s="2"/>
      <c r="CU416" s="2"/>
      <c r="EI416" s="3"/>
    </row>
    <row r="417">
      <c r="CR417" s="2"/>
      <c r="CS417" s="2"/>
      <c r="CT417" s="2"/>
      <c r="CU417" s="2"/>
      <c r="EI417" s="3"/>
    </row>
    <row r="418">
      <c r="CR418" s="2"/>
      <c r="CS418" s="2"/>
      <c r="CT418" s="2"/>
      <c r="CU418" s="2"/>
      <c r="EI418" s="3"/>
    </row>
    <row r="419">
      <c r="CR419" s="2"/>
      <c r="CS419" s="2"/>
      <c r="CT419" s="2"/>
      <c r="CU419" s="2"/>
      <c r="EI419" s="3"/>
    </row>
    <row r="420">
      <c r="CR420" s="2"/>
      <c r="CS420" s="2"/>
      <c r="CT420" s="2"/>
      <c r="CU420" s="2"/>
      <c r="EI420" s="3"/>
    </row>
    <row r="421">
      <c r="CR421" s="2"/>
      <c r="CS421" s="2"/>
      <c r="CT421" s="2"/>
      <c r="CU421" s="2"/>
      <c r="EI421" s="3"/>
    </row>
    <row r="422">
      <c r="CR422" s="2"/>
      <c r="CS422" s="2"/>
      <c r="CT422" s="2"/>
      <c r="CU422" s="2"/>
      <c r="EI422" s="3"/>
    </row>
    <row r="423">
      <c r="CR423" s="2"/>
      <c r="CS423" s="2"/>
      <c r="CT423" s="2"/>
      <c r="CU423" s="2"/>
      <c r="EI423" s="3"/>
    </row>
    <row r="424">
      <c r="CR424" s="2"/>
      <c r="CS424" s="2"/>
      <c r="CT424" s="2"/>
      <c r="CU424" s="2"/>
      <c r="EI424" s="3"/>
    </row>
    <row r="425">
      <c r="CR425" s="2"/>
      <c r="CS425" s="2"/>
      <c r="CT425" s="2"/>
      <c r="CU425" s="2"/>
      <c r="EI425" s="3"/>
    </row>
    <row r="426">
      <c r="CR426" s="2"/>
      <c r="CS426" s="2"/>
      <c r="CT426" s="2"/>
      <c r="CU426" s="2"/>
      <c r="EI426" s="3"/>
    </row>
    <row r="427">
      <c r="CR427" s="2"/>
      <c r="CS427" s="2"/>
      <c r="CT427" s="2"/>
      <c r="CU427" s="2"/>
      <c r="EI427" s="3"/>
    </row>
    <row r="428">
      <c r="CR428" s="2"/>
      <c r="CS428" s="2"/>
      <c r="CT428" s="2"/>
      <c r="CU428" s="2"/>
      <c r="EI428" s="3"/>
    </row>
    <row r="429">
      <c r="CR429" s="2"/>
      <c r="CS429" s="2"/>
      <c r="CT429" s="2"/>
      <c r="CU429" s="2"/>
      <c r="EI429" s="3"/>
    </row>
    <row r="430">
      <c r="CR430" s="2"/>
      <c r="CS430" s="2"/>
      <c r="CT430" s="2"/>
      <c r="CU430" s="2"/>
      <c r="EI430" s="3"/>
    </row>
    <row r="431">
      <c r="CR431" s="2"/>
      <c r="CS431" s="2"/>
      <c r="CT431" s="2"/>
      <c r="CU431" s="2"/>
      <c r="EI431" s="3"/>
    </row>
    <row r="432">
      <c r="CR432" s="2"/>
      <c r="CS432" s="2"/>
      <c r="CT432" s="2"/>
      <c r="CU432" s="2"/>
      <c r="EI432" s="3"/>
    </row>
    <row r="433">
      <c r="CR433" s="2"/>
      <c r="CS433" s="2"/>
      <c r="CT433" s="2"/>
      <c r="CU433" s="2"/>
      <c r="EI433" s="3"/>
    </row>
    <row r="434">
      <c r="CR434" s="2"/>
      <c r="CS434" s="2"/>
      <c r="CT434" s="2"/>
      <c r="CU434" s="2"/>
      <c r="EI434" s="3"/>
    </row>
    <row r="435">
      <c r="CR435" s="2"/>
      <c r="CS435" s="2"/>
      <c r="CT435" s="2"/>
      <c r="CU435" s="2"/>
      <c r="EI435" s="3"/>
    </row>
    <row r="436">
      <c r="CR436" s="2"/>
      <c r="CS436" s="2"/>
      <c r="CT436" s="2"/>
      <c r="CU436" s="2"/>
      <c r="EI436" s="3"/>
    </row>
    <row r="437">
      <c r="CR437" s="2"/>
      <c r="CS437" s="2"/>
      <c r="CT437" s="2"/>
      <c r="CU437" s="2"/>
      <c r="EI437" s="3"/>
    </row>
    <row r="438">
      <c r="CR438" s="2"/>
      <c r="CS438" s="2"/>
      <c r="CT438" s="2"/>
      <c r="CU438" s="2"/>
      <c r="EI438" s="3"/>
    </row>
    <row r="439">
      <c r="CR439" s="2"/>
      <c r="CS439" s="2"/>
      <c r="CT439" s="2"/>
      <c r="CU439" s="2"/>
      <c r="EI439" s="3"/>
    </row>
    <row r="440">
      <c r="CR440" s="2"/>
      <c r="CS440" s="2"/>
      <c r="CT440" s="2"/>
      <c r="CU440" s="2"/>
      <c r="EI440" s="3"/>
    </row>
    <row r="441">
      <c r="CR441" s="2"/>
      <c r="CS441" s="2"/>
      <c r="CT441" s="2"/>
      <c r="CU441" s="2"/>
      <c r="EI441" s="3"/>
    </row>
    <row r="442">
      <c r="CR442" s="2"/>
      <c r="CS442" s="2"/>
      <c r="CT442" s="2"/>
      <c r="CU442" s="2"/>
      <c r="EI442" s="3"/>
    </row>
    <row r="443">
      <c r="CR443" s="2"/>
      <c r="CS443" s="2"/>
      <c r="CT443" s="2"/>
      <c r="CU443" s="2"/>
      <c r="EI443" s="3"/>
    </row>
    <row r="444">
      <c r="CR444" s="2"/>
      <c r="CS444" s="2"/>
      <c r="CT444" s="2"/>
      <c r="CU444" s="2"/>
      <c r="EI444" s="3"/>
    </row>
    <row r="445">
      <c r="CR445" s="2"/>
      <c r="CS445" s="2"/>
      <c r="CT445" s="2"/>
      <c r="CU445" s="2"/>
      <c r="EI445" s="3"/>
    </row>
    <row r="446">
      <c r="CR446" s="2"/>
      <c r="CS446" s="2"/>
      <c r="CT446" s="2"/>
      <c r="CU446" s="2"/>
      <c r="EI446" s="3"/>
    </row>
    <row r="447">
      <c r="CR447" s="2"/>
      <c r="CS447" s="2"/>
      <c r="CT447" s="2"/>
      <c r="CU447" s="2"/>
      <c r="EI447" s="3"/>
    </row>
    <row r="448">
      <c r="CR448" s="2"/>
      <c r="CS448" s="2"/>
      <c r="CT448" s="2"/>
      <c r="CU448" s="2"/>
      <c r="EI448" s="3"/>
    </row>
    <row r="449">
      <c r="CR449" s="2"/>
      <c r="CS449" s="2"/>
      <c r="CT449" s="2"/>
      <c r="CU449" s="2"/>
      <c r="EI449" s="3"/>
    </row>
    <row r="450">
      <c r="CR450" s="2"/>
      <c r="CS450" s="2"/>
      <c r="CT450" s="2"/>
      <c r="CU450" s="2"/>
      <c r="EI450" s="3"/>
    </row>
    <row r="451">
      <c r="CR451" s="2"/>
      <c r="CS451" s="2"/>
      <c r="CT451" s="2"/>
      <c r="CU451" s="2"/>
      <c r="EI451" s="3"/>
    </row>
    <row r="452">
      <c r="CR452" s="2"/>
      <c r="CS452" s="2"/>
      <c r="CT452" s="2"/>
      <c r="CU452" s="2"/>
      <c r="EI452" s="3"/>
    </row>
    <row r="453">
      <c r="CR453" s="2"/>
      <c r="CS453" s="2"/>
      <c r="CT453" s="2"/>
      <c r="CU453" s="2"/>
      <c r="EI453" s="3"/>
    </row>
    <row r="454">
      <c r="CR454" s="2"/>
      <c r="CS454" s="2"/>
      <c r="CT454" s="2"/>
      <c r="CU454" s="2"/>
      <c r="EI454" s="3"/>
    </row>
    <row r="455">
      <c r="CR455" s="2"/>
      <c r="CS455" s="2"/>
      <c r="CT455" s="2"/>
      <c r="CU455" s="2"/>
      <c r="EI455" s="3"/>
    </row>
    <row r="456">
      <c r="CR456" s="2"/>
      <c r="CS456" s="2"/>
      <c r="CT456" s="2"/>
      <c r="CU456" s="2"/>
      <c r="EI456" s="3"/>
    </row>
    <row r="457">
      <c r="CR457" s="2"/>
      <c r="CS457" s="2"/>
      <c r="CT457" s="2"/>
      <c r="CU457" s="2"/>
      <c r="EI457" s="3"/>
    </row>
    <row r="458">
      <c r="CR458" s="2"/>
      <c r="CS458" s="2"/>
      <c r="CT458" s="2"/>
      <c r="CU458" s="2"/>
      <c r="EI458" s="3"/>
    </row>
    <row r="459">
      <c r="CR459" s="2"/>
      <c r="CS459" s="2"/>
      <c r="CT459" s="2"/>
      <c r="CU459" s="2"/>
      <c r="EI459" s="3"/>
    </row>
    <row r="460">
      <c r="CR460" s="2"/>
      <c r="CS460" s="2"/>
      <c r="CT460" s="2"/>
      <c r="CU460" s="2"/>
      <c r="EI460" s="3"/>
    </row>
    <row r="461">
      <c r="CR461" s="2"/>
      <c r="CS461" s="2"/>
      <c r="CT461" s="2"/>
      <c r="CU461" s="2"/>
      <c r="EI461" s="3"/>
    </row>
    <row r="462">
      <c r="CR462" s="2"/>
      <c r="CS462" s="2"/>
      <c r="CT462" s="2"/>
      <c r="CU462" s="2"/>
      <c r="EI462" s="3"/>
    </row>
    <row r="463">
      <c r="CR463" s="2"/>
      <c r="CS463" s="2"/>
      <c r="CT463" s="2"/>
      <c r="CU463" s="2"/>
      <c r="EI463" s="3"/>
    </row>
    <row r="464">
      <c r="CR464" s="2"/>
      <c r="CS464" s="2"/>
      <c r="CT464" s="2"/>
      <c r="CU464" s="2"/>
      <c r="EI464" s="3"/>
    </row>
    <row r="465">
      <c r="CR465" s="2"/>
      <c r="CS465" s="2"/>
      <c r="CT465" s="2"/>
      <c r="CU465" s="2"/>
      <c r="EI465" s="3"/>
    </row>
    <row r="466">
      <c r="CR466" s="2"/>
      <c r="CS466" s="2"/>
      <c r="CT466" s="2"/>
      <c r="CU466" s="2"/>
      <c r="EI466" s="3"/>
    </row>
    <row r="467">
      <c r="CR467" s="2"/>
      <c r="CS467" s="2"/>
      <c r="CT467" s="2"/>
      <c r="CU467" s="2"/>
      <c r="EI467" s="3"/>
    </row>
    <row r="468">
      <c r="CR468" s="2"/>
      <c r="CS468" s="2"/>
      <c r="CT468" s="2"/>
      <c r="CU468" s="2"/>
      <c r="EI468" s="3"/>
    </row>
    <row r="469">
      <c r="CR469" s="2"/>
      <c r="CS469" s="2"/>
      <c r="CT469" s="2"/>
      <c r="CU469" s="2"/>
      <c r="EI469" s="3"/>
    </row>
    <row r="470">
      <c r="CR470" s="2"/>
      <c r="CS470" s="2"/>
      <c r="CT470" s="2"/>
      <c r="CU470" s="2"/>
      <c r="EI470" s="3"/>
    </row>
    <row r="471">
      <c r="CR471" s="2"/>
      <c r="CS471" s="2"/>
      <c r="CT471" s="2"/>
      <c r="CU471" s="2"/>
      <c r="EI471" s="3"/>
    </row>
    <row r="472">
      <c r="CR472" s="2"/>
      <c r="CS472" s="2"/>
      <c r="CT472" s="2"/>
      <c r="CU472" s="2"/>
      <c r="EI472" s="3"/>
    </row>
    <row r="473">
      <c r="CR473" s="2"/>
      <c r="CS473" s="2"/>
      <c r="CT473" s="2"/>
      <c r="CU473" s="2"/>
      <c r="EI473" s="3"/>
    </row>
    <row r="474">
      <c r="CR474" s="2"/>
      <c r="CS474" s="2"/>
      <c r="CT474" s="2"/>
      <c r="CU474" s="2"/>
      <c r="EI474" s="3"/>
    </row>
    <row r="475">
      <c r="CR475" s="2"/>
      <c r="CS475" s="2"/>
      <c r="CT475" s="2"/>
      <c r="CU475" s="2"/>
      <c r="EI475" s="3"/>
    </row>
    <row r="476">
      <c r="CR476" s="2"/>
      <c r="CS476" s="2"/>
      <c r="CT476" s="2"/>
      <c r="CU476" s="2"/>
      <c r="EI476" s="3"/>
    </row>
    <row r="477">
      <c r="CR477" s="2"/>
      <c r="CS477" s="2"/>
      <c r="CT477" s="2"/>
      <c r="CU477" s="2"/>
      <c r="EI477" s="3"/>
    </row>
    <row r="478">
      <c r="CR478" s="2"/>
      <c r="CS478" s="2"/>
      <c r="CT478" s="2"/>
      <c r="CU478" s="2"/>
      <c r="EI478" s="3"/>
    </row>
    <row r="479">
      <c r="CR479" s="2"/>
      <c r="CS479" s="2"/>
      <c r="CT479" s="2"/>
      <c r="CU479" s="2"/>
      <c r="EI479" s="3"/>
    </row>
    <row r="480">
      <c r="CR480" s="2"/>
      <c r="CS480" s="2"/>
      <c r="CT480" s="2"/>
      <c r="CU480" s="2"/>
      <c r="EI480" s="3"/>
    </row>
    <row r="481">
      <c r="CR481" s="2"/>
      <c r="CS481" s="2"/>
      <c r="CT481" s="2"/>
      <c r="CU481" s="2"/>
      <c r="EI481" s="3"/>
    </row>
    <row r="482">
      <c r="CR482" s="2"/>
      <c r="CS482" s="2"/>
      <c r="CT482" s="2"/>
      <c r="CU482" s="2"/>
      <c r="EI482" s="3"/>
    </row>
    <row r="483">
      <c r="CR483" s="2"/>
      <c r="CS483" s="2"/>
      <c r="CT483" s="2"/>
      <c r="CU483" s="2"/>
      <c r="EI483" s="3"/>
    </row>
    <row r="484">
      <c r="CR484" s="2"/>
      <c r="CS484" s="2"/>
      <c r="CT484" s="2"/>
      <c r="CU484" s="2"/>
      <c r="EI484" s="3"/>
    </row>
    <row r="485">
      <c r="CR485" s="2"/>
      <c r="CS485" s="2"/>
      <c r="CT485" s="2"/>
      <c r="CU485" s="2"/>
      <c r="EI485" s="3"/>
    </row>
    <row r="486">
      <c r="CR486" s="2"/>
      <c r="CS486" s="2"/>
      <c r="CT486" s="2"/>
      <c r="CU486" s="2"/>
      <c r="EI486" s="3"/>
    </row>
    <row r="487">
      <c r="CR487" s="2"/>
      <c r="CS487" s="2"/>
      <c r="CT487" s="2"/>
      <c r="CU487" s="2"/>
      <c r="EI487" s="3"/>
    </row>
    <row r="488">
      <c r="CR488" s="2"/>
      <c r="CS488" s="2"/>
      <c r="CT488" s="2"/>
      <c r="CU488" s="2"/>
      <c r="EI488" s="3"/>
    </row>
    <row r="489">
      <c r="CR489" s="2"/>
      <c r="CS489" s="2"/>
      <c r="CT489" s="2"/>
      <c r="CU489" s="2"/>
      <c r="EI489" s="3"/>
    </row>
    <row r="490">
      <c r="CR490" s="2"/>
      <c r="CS490" s="2"/>
      <c r="CT490" s="2"/>
      <c r="CU490" s="2"/>
      <c r="EI490" s="3"/>
    </row>
    <row r="491">
      <c r="CR491" s="2"/>
      <c r="CS491" s="2"/>
      <c r="CT491" s="2"/>
      <c r="CU491" s="2"/>
      <c r="EI491" s="3"/>
    </row>
    <row r="492">
      <c r="CR492" s="2"/>
      <c r="CS492" s="2"/>
      <c r="CT492" s="2"/>
      <c r="CU492" s="2"/>
      <c r="EI492" s="3"/>
    </row>
    <row r="493">
      <c r="CR493" s="2"/>
      <c r="CS493" s="2"/>
      <c r="CT493" s="2"/>
      <c r="CU493" s="2"/>
      <c r="EI493" s="3"/>
    </row>
    <row r="494">
      <c r="CR494" s="2"/>
      <c r="CS494" s="2"/>
      <c r="CT494" s="2"/>
      <c r="CU494" s="2"/>
      <c r="EI494" s="3"/>
    </row>
    <row r="495">
      <c r="CR495" s="2"/>
      <c r="CS495" s="2"/>
      <c r="CT495" s="2"/>
      <c r="CU495" s="2"/>
      <c r="EI495" s="3"/>
    </row>
    <row r="496">
      <c r="CR496" s="2"/>
      <c r="CS496" s="2"/>
      <c r="CT496" s="2"/>
      <c r="CU496" s="2"/>
      <c r="EI496" s="3"/>
    </row>
    <row r="497">
      <c r="CR497" s="2"/>
      <c r="CS497" s="2"/>
      <c r="CT497" s="2"/>
      <c r="CU497" s="2"/>
      <c r="EI497" s="3"/>
    </row>
    <row r="498">
      <c r="CR498" s="2"/>
      <c r="CS498" s="2"/>
      <c r="CT498" s="2"/>
      <c r="CU498" s="2"/>
      <c r="EI498" s="3"/>
    </row>
    <row r="499">
      <c r="CR499" s="2"/>
      <c r="CS499" s="2"/>
      <c r="CT499" s="2"/>
      <c r="CU499" s="2"/>
      <c r="EI499" s="3"/>
    </row>
    <row r="500">
      <c r="CR500" s="2"/>
      <c r="CS500" s="2"/>
      <c r="CT500" s="2"/>
      <c r="CU500" s="2"/>
      <c r="EI500" s="3"/>
    </row>
    <row r="501">
      <c r="CR501" s="2"/>
      <c r="CS501" s="2"/>
      <c r="CT501" s="2"/>
      <c r="CU501" s="2"/>
      <c r="EI501" s="3"/>
    </row>
    <row r="502">
      <c r="CR502" s="2"/>
      <c r="CS502" s="2"/>
      <c r="CT502" s="2"/>
      <c r="CU502" s="2"/>
      <c r="EI502" s="3"/>
    </row>
    <row r="503">
      <c r="CR503" s="2"/>
      <c r="CS503" s="2"/>
      <c r="CT503" s="2"/>
      <c r="CU503" s="2"/>
      <c r="EI503" s="3"/>
    </row>
    <row r="504">
      <c r="CR504" s="2"/>
      <c r="CS504" s="2"/>
      <c r="CT504" s="2"/>
      <c r="CU504" s="2"/>
      <c r="EI504" s="3"/>
    </row>
    <row r="505">
      <c r="CR505" s="2"/>
      <c r="CS505" s="2"/>
      <c r="CT505" s="2"/>
      <c r="CU505" s="2"/>
      <c r="EI505" s="3"/>
    </row>
    <row r="506">
      <c r="CR506" s="2"/>
      <c r="CS506" s="2"/>
      <c r="CT506" s="2"/>
      <c r="CU506" s="2"/>
      <c r="EI506" s="3"/>
    </row>
    <row r="507">
      <c r="CR507" s="2"/>
      <c r="CS507" s="2"/>
      <c r="CT507" s="2"/>
      <c r="CU507" s="2"/>
      <c r="EI507" s="3"/>
    </row>
    <row r="508">
      <c r="CR508" s="2"/>
      <c r="CS508" s="2"/>
      <c r="CT508" s="2"/>
      <c r="CU508" s="2"/>
      <c r="EI508" s="3"/>
    </row>
    <row r="509">
      <c r="CR509" s="2"/>
      <c r="CS509" s="2"/>
      <c r="CT509" s="2"/>
      <c r="CU509" s="2"/>
      <c r="EI509" s="3"/>
    </row>
    <row r="510">
      <c r="CR510" s="2"/>
      <c r="CS510" s="2"/>
      <c r="CT510" s="2"/>
      <c r="CU510" s="2"/>
      <c r="EI510" s="3"/>
    </row>
    <row r="511">
      <c r="CR511" s="2"/>
      <c r="CS511" s="2"/>
      <c r="CT511" s="2"/>
      <c r="CU511" s="2"/>
      <c r="EI511" s="3"/>
    </row>
    <row r="512">
      <c r="CR512" s="2"/>
      <c r="CS512" s="2"/>
      <c r="CT512" s="2"/>
      <c r="CU512" s="2"/>
      <c r="EI512" s="3"/>
    </row>
    <row r="513">
      <c r="CR513" s="2"/>
      <c r="CS513" s="2"/>
      <c r="CT513" s="2"/>
      <c r="CU513" s="2"/>
      <c r="EI513" s="3"/>
    </row>
    <row r="514">
      <c r="CR514" s="2"/>
      <c r="CS514" s="2"/>
      <c r="CT514" s="2"/>
      <c r="CU514" s="2"/>
      <c r="EI514" s="3"/>
    </row>
    <row r="515">
      <c r="CR515" s="2"/>
      <c r="CS515" s="2"/>
      <c r="CT515" s="2"/>
      <c r="CU515" s="2"/>
      <c r="EI515" s="3"/>
    </row>
    <row r="516">
      <c r="CR516" s="2"/>
      <c r="CS516" s="2"/>
      <c r="CT516" s="2"/>
      <c r="CU516" s="2"/>
      <c r="EI516" s="3"/>
    </row>
    <row r="517">
      <c r="CR517" s="2"/>
      <c r="CS517" s="2"/>
      <c r="CT517" s="2"/>
      <c r="CU517" s="2"/>
      <c r="EI517" s="3"/>
    </row>
    <row r="518">
      <c r="CR518" s="2"/>
      <c r="CS518" s="2"/>
      <c r="CT518" s="2"/>
      <c r="CU518" s="2"/>
      <c r="EI518" s="3"/>
    </row>
    <row r="519">
      <c r="CR519" s="2"/>
      <c r="CS519" s="2"/>
      <c r="CT519" s="2"/>
      <c r="CU519" s="2"/>
      <c r="EI519" s="3"/>
    </row>
    <row r="520">
      <c r="CR520" s="2"/>
      <c r="CS520" s="2"/>
      <c r="CT520" s="2"/>
      <c r="CU520" s="2"/>
      <c r="EI520" s="3"/>
    </row>
    <row r="521">
      <c r="CR521" s="2"/>
      <c r="CS521" s="2"/>
      <c r="CT521" s="2"/>
      <c r="CU521" s="2"/>
      <c r="EI521" s="3"/>
    </row>
    <row r="522">
      <c r="CR522" s="2"/>
      <c r="CS522" s="2"/>
      <c r="CT522" s="2"/>
      <c r="CU522" s="2"/>
      <c r="EI522" s="3"/>
    </row>
    <row r="523">
      <c r="CR523" s="2"/>
      <c r="CS523" s="2"/>
      <c r="CT523" s="2"/>
      <c r="CU523" s="2"/>
      <c r="EI523" s="3"/>
    </row>
    <row r="524">
      <c r="CR524" s="2"/>
      <c r="CS524" s="2"/>
      <c r="CT524" s="2"/>
      <c r="CU524" s="2"/>
      <c r="EI524" s="3"/>
    </row>
    <row r="525">
      <c r="CR525" s="2"/>
      <c r="CS525" s="2"/>
      <c r="CT525" s="2"/>
      <c r="CU525" s="2"/>
      <c r="EI525" s="3"/>
    </row>
    <row r="526">
      <c r="CR526" s="2"/>
      <c r="CS526" s="2"/>
      <c r="CT526" s="2"/>
      <c r="CU526" s="2"/>
      <c r="EI526" s="3"/>
    </row>
    <row r="527">
      <c r="CR527" s="2"/>
      <c r="CS527" s="2"/>
      <c r="CT527" s="2"/>
      <c r="CU527" s="2"/>
      <c r="EI527" s="3"/>
    </row>
    <row r="528">
      <c r="CR528" s="2"/>
      <c r="CS528" s="2"/>
      <c r="CT528" s="2"/>
      <c r="CU528" s="2"/>
      <c r="EI528" s="3"/>
    </row>
    <row r="529">
      <c r="CR529" s="2"/>
      <c r="CS529" s="2"/>
      <c r="CT529" s="2"/>
      <c r="CU529" s="2"/>
      <c r="EI529" s="3"/>
    </row>
    <row r="530">
      <c r="CR530" s="2"/>
      <c r="CS530" s="2"/>
      <c r="CT530" s="2"/>
      <c r="CU530" s="2"/>
      <c r="EI530" s="3"/>
    </row>
    <row r="531">
      <c r="CR531" s="2"/>
      <c r="CS531" s="2"/>
      <c r="CT531" s="2"/>
      <c r="CU531" s="2"/>
      <c r="EI531" s="3"/>
    </row>
    <row r="532">
      <c r="CR532" s="2"/>
      <c r="CS532" s="2"/>
      <c r="CT532" s="2"/>
      <c r="CU532" s="2"/>
      <c r="EI532" s="3"/>
    </row>
    <row r="533">
      <c r="CR533" s="2"/>
      <c r="CS533" s="2"/>
      <c r="CT533" s="2"/>
      <c r="CU533" s="2"/>
      <c r="EI533" s="3"/>
    </row>
    <row r="534">
      <c r="CR534" s="2"/>
      <c r="CS534" s="2"/>
      <c r="CT534" s="2"/>
      <c r="CU534" s="2"/>
      <c r="EI534" s="3"/>
    </row>
    <row r="535">
      <c r="CR535" s="2"/>
      <c r="CS535" s="2"/>
      <c r="CT535" s="2"/>
      <c r="CU535" s="2"/>
      <c r="EI535" s="3"/>
    </row>
    <row r="536">
      <c r="CR536" s="2"/>
      <c r="CS536" s="2"/>
      <c r="CT536" s="2"/>
      <c r="CU536" s="2"/>
      <c r="EI536" s="3"/>
    </row>
    <row r="537">
      <c r="CR537" s="2"/>
      <c r="CS537" s="2"/>
      <c r="CT537" s="2"/>
      <c r="CU537" s="2"/>
      <c r="EI537" s="3"/>
    </row>
    <row r="538">
      <c r="CR538" s="2"/>
      <c r="CS538" s="2"/>
      <c r="CT538" s="2"/>
      <c r="CU538" s="2"/>
      <c r="EI538" s="3"/>
    </row>
    <row r="539">
      <c r="CR539" s="2"/>
      <c r="CS539" s="2"/>
      <c r="CT539" s="2"/>
      <c r="CU539" s="2"/>
      <c r="EI539" s="3"/>
    </row>
    <row r="540">
      <c r="CR540" s="2"/>
      <c r="CS540" s="2"/>
      <c r="CT540" s="2"/>
      <c r="CU540" s="2"/>
      <c r="EI540" s="3"/>
    </row>
    <row r="541">
      <c r="CR541" s="2"/>
      <c r="CS541" s="2"/>
      <c r="CT541" s="2"/>
      <c r="CU541" s="2"/>
      <c r="EI541" s="3"/>
    </row>
    <row r="542">
      <c r="CR542" s="2"/>
      <c r="CS542" s="2"/>
      <c r="CT542" s="2"/>
      <c r="CU542" s="2"/>
      <c r="EI542" s="3"/>
    </row>
    <row r="543">
      <c r="CR543" s="2"/>
      <c r="CS543" s="2"/>
      <c r="CT543" s="2"/>
      <c r="CU543" s="2"/>
      <c r="EI543" s="3"/>
    </row>
    <row r="544">
      <c r="CR544" s="2"/>
      <c r="CS544" s="2"/>
      <c r="CT544" s="2"/>
      <c r="CU544" s="2"/>
      <c r="EI544" s="3"/>
    </row>
    <row r="545">
      <c r="CR545" s="2"/>
      <c r="CS545" s="2"/>
      <c r="CT545" s="2"/>
      <c r="CU545" s="2"/>
      <c r="EI545" s="3"/>
    </row>
    <row r="546">
      <c r="CR546" s="2"/>
      <c r="CS546" s="2"/>
      <c r="CT546" s="2"/>
      <c r="CU546" s="2"/>
      <c r="EI546" s="3"/>
    </row>
    <row r="547">
      <c r="CR547" s="2"/>
      <c r="CS547" s="2"/>
      <c r="CT547" s="2"/>
      <c r="CU547" s="2"/>
      <c r="EI547" s="3"/>
    </row>
    <row r="548">
      <c r="CR548" s="2"/>
      <c r="CS548" s="2"/>
      <c r="CT548" s="2"/>
      <c r="CU548" s="2"/>
      <c r="EI548" s="3"/>
    </row>
    <row r="549">
      <c r="CR549" s="2"/>
      <c r="CS549" s="2"/>
      <c r="CT549" s="2"/>
      <c r="CU549" s="2"/>
      <c r="EI549" s="3"/>
    </row>
    <row r="550">
      <c r="CR550" s="2"/>
      <c r="CS550" s="2"/>
      <c r="CT550" s="2"/>
      <c r="CU550" s="2"/>
      <c r="EI550" s="3"/>
    </row>
    <row r="551">
      <c r="CR551" s="2"/>
      <c r="CS551" s="2"/>
      <c r="CT551" s="2"/>
      <c r="CU551" s="2"/>
      <c r="EI551" s="3"/>
    </row>
    <row r="552">
      <c r="CR552" s="2"/>
      <c r="CS552" s="2"/>
      <c r="CT552" s="2"/>
      <c r="CU552" s="2"/>
      <c r="EI552" s="3"/>
    </row>
    <row r="553">
      <c r="CR553" s="2"/>
      <c r="CS553" s="2"/>
      <c r="CT553" s="2"/>
      <c r="CU553" s="2"/>
      <c r="EI553" s="3"/>
    </row>
    <row r="554">
      <c r="CR554" s="2"/>
      <c r="CS554" s="2"/>
      <c r="CT554" s="2"/>
      <c r="CU554" s="2"/>
      <c r="EI554" s="3"/>
    </row>
    <row r="555">
      <c r="CR555" s="2"/>
      <c r="CS555" s="2"/>
      <c r="CT555" s="2"/>
      <c r="CU555" s="2"/>
      <c r="EI555" s="3"/>
    </row>
    <row r="556">
      <c r="CR556" s="2"/>
      <c r="CS556" s="2"/>
      <c r="CT556" s="2"/>
      <c r="CU556" s="2"/>
      <c r="EI556" s="3"/>
    </row>
    <row r="557">
      <c r="CR557" s="2"/>
      <c r="CS557" s="2"/>
      <c r="CT557" s="2"/>
      <c r="CU557" s="2"/>
      <c r="EI557" s="3"/>
    </row>
    <row r="558">
      <c r="CR558" s="2"/>
      <c r="CS558" s="2"/>
      <c r="CT558" s="2"/>
      <c r="CU558" s="2"/>
      <c r="EI558" s="3"/>
    </row>
    <row r="559">
      <c r="CR559" s="2"/>
      <c r="CS559" s="2"/>
      <c r="CT559" s="2"/>
      <c r="CU559" s="2"/>
      <c r="EI559" s="3"/>
    </row>
    <row r="560">
      <c r="CR560" s="2"/>
      <c r="CS560" s="2"/>
      <c r="CT560" s="2"/>
      <c r="CU560" s="2"/>
      <c r="EI560" s="3"/>
    </row>
    <row r="561">
      <c r="CR561" s="2"/>
      <c r="CS561" s="2"/>
      <c r="CT561" s="2"/>
      <c r="CU561" s="2"/>
      <c r="EI561" s="3"/>
    </row>
    <row r="562">
      <c r="CR562" s="2"/>
      <c r="CS562" s="2"/>
      <c r="CT562" s="2"/>
      <c r="CU562" s="2"/>
      <c r="EI562" s="3"/>
    </row>
    <row r="563">
      <c r="CR563" s="2"/>
      <c r="CS563" s="2"/>
      <c r="CT563" s="2"/>
      <c r="CU563" s="2"/>
      <c r="EI563" s="3"/>
    </row>
    <row r="564">
      <c r="CR564" s="2"/>
      <c r="CS564" s="2"/>
      <c r="CT564" s="2"/>
      <c r="CU564" s="2"/>
      <c r="EI564" s="3"/>
    </row>
    <row r="565">
      <c r="CR565" s="2"/>
      <c r="CS565" s="2"/>
      <c r="CT565" s="2"/>
      <c r="CU565" s="2"/>
      <c r="EI565" s="3"/>
    </row>
    <row r="566">
      <c r="CR566" s="2"/>
      <c r="CS566" s="2"/>
      <c r="CT566" s="2"/>
      <c r="CU566" s="2"/>
      <c r="EI566" s="3"/>
    </row>
    <row r="567">
      <c r="CR567" s="2"/>
      <c r="CS567" s="2"/>
      <c r="CT567" s="2"/>
      <c r="CU567" s="2"/>
      <c r="EI567" s="3"/>
    </row>
    <row r="568">
      <c r="CR568" s="2"/>
      <c r="CS568" s="2"/>
      <c r="CT568" s="2"/>
      <c r="CU568" s="2"/>
      <c r="EI568" s="3"/>
    </row>
    <row r="569">
      <c r="CR569" s="2"/>
      <c r="CS569" s="2"/>
      <c r="CT569" s="2"/>
      <c r="CU569" s="2"/>
      <c r="EI569" s="3"/>
    </row>
    <row r="570">
      <c r="CR570" s="2"/>
      <c r="CS570" s="2"/>
      <c r="CT570" s="2"/>
      <c r="CU570" s="2"/>
      <c r="EI570" s="3"/>
    </row>
    <row r="571">
      <c r="CR571" s="2"/>
      <c r="CS571" s="2"/>
      <c r="CT571" s="2"/>
      <c r="CU571" s="2"/>
      <c r="EI571" s="3"/>
    </row>
    <row r="572">
      <c r="CR572" s="2"/>
      <c r="CS572" s="2"/>
      <c r="CT572" s="2"/>
      <c r="CU572" s="2"/>
      <c r="EI572" s="3"/>
    </row>
    <row r="573">
      <c r="CR573" s="2"/>
      <c r="CS573" s="2"/>
      <c r="CT573" s="2"/>
      <c r="CU573" s="2"/>
      <c r="EI573" s="3"/>
    </row>
    <row r="574">
      <c r="CR574" s="2"/>
      <c r="CS574" s="2"/>
      <c r="CT574" s="2"/>
      <c r="CU574" s="2"/>
      <c r="EI574" s="3"/>
    </row>
    <row r="575">
      <c r="CR575" s="2"/>
      <c r="CS575" s="2"/>
      <c r="CT575" s="2"/>
      <c r="CU575" s="2"/>
      <c r="EI575" s="3"/>
    </row>
    <row r="576">
      <c r="CR576" s="2"/>
      <c r="CS576" s="2"/>
      <c r="CT576" s="2"/>
      <c r="CU576" s="2"/>
      <c r="EI576" s="3"/>
    </row>
    <row r="577">
      <c r="CR577" s="2"/>
      <c r="CS577" s="2"/>
      <c r="CT577" s="2"/>
      <c r="CU577" s="2"/>
      <c r="EI577" s="3"/>
    </row>
    <row r="578">
      <c r="CR578" s="2"/>
      <c r="CS578" s="2"/>
      <c r="CT578" s="2"/>
      <c r="CU578" s="2"/>
      <c r="EI578" s="3"/>
    </row>
    <row r="579">
      <c r="CR579" s="2"/>
      <c r="CS579" s="2"/>
      <c r="CT579" s="2"/>
      <c r="CU579" s="2"/>
      <c r="EI579" s="3"/>
    </row>
    <row r="580">
      <c r="CR580" s="2"/>
      <c r="CS580" s="2"/>
      <c r="CT580" s="2"/>
      <c r="CU580" s="2"/>
      <c r="EI580" s="3"/>
    </row>
    <row r="581">
      <c r="CR581" s="2"/>
      <c r="CS581" s="2"/>
      <c r="CT581" s="2"/>
      <c r="CU581" s="2"/>
      <c r="EI581" s="3"/>
    </row>
    <row r="582">
      <c r="CR582" s="2"/>
      <c r="CS582" s="2"/>
      <c r="CT582" s="2"/>
      <c r="CU582" s="2"/>
      <c r="EI582" s="3"/>
    </row>
    <row r="583">
      <c r="CR583" s="2"/>
      <c r="CS583" s="2"/>
      <c r="CT583" s="2"/>
      <c r="CU583" s="2"/>
      <c r="EI583" s="3"/>
    </row>
    <row r="584">
      <c r="CR584" s="2"/>
      <c r="CS584" s="2"/>
      <c r="CT584" s="2"/>
      <c r="CU584" s="2"/>
      <c r="EI584" s="3"/>
    </row>
    <row r="585">
      <c r="CR585" s="2"/>
      <c r="CS585" s="2"/>
      <c r="CT585" s="2"/>
      <c r="CU585" s="2"/>
      <c r="EI585" s="3"/>
    </row>
    <row r="586">
      <c r="CR586" s="2"/>
      <c r="CS586" s="2"/>
      <c r="CT586" s="2"/>
      <c r="CU586" s="2"/>
      <c r="EI586" s="3"/>
    </row>
    <row r="587">
      <c r="CR587" s="2"/>
      <c r="CS587" s="2"/>
      <c r="CT587" s="2"/>
      <c r="CU587" s="2"/>
      <c r="EI587" s="3"/>
    </row>
    <row r="588">
      <c r="CR588" s="2"/>
      <c r="CS588" s="2"/>
      <c r="CT588" s="2"/>
      <c r="CU588" s="2"/>
      <c r="EI588" s="3"/>
    </row>
    <row r="589">
      <c r="CR589" s="2"/>
      <c r="CS589" s="2"/>
      <c r="CT589" s="2"/>
      <c r="CU589" s="2"/>
      <c r="EI589" s="3"/>
    </row>
    <row r="590">
      <c r="CR590" s="2"/>
      <c r="CS590" s="2"/>
      <c r="CT590" s="2"/>
      <c r="CU590" s="2"/>
      <c r="EI590" s="3"/>
    </row>
    <row r="591">
      <c r="CR591" s="2"/>
      <c r="CS591" s="2"/>
      <c r="CT591" s="2"/>
      <c r="CU591" s="2"/>
      <c r="EI591" s="3"/>
    </row>
    <row r="592">
      <c r="CR592" s="2"/>
      <c r="CS592" s="2"/>
      <c r="CT592" s="2"/>
      <c r="CU592" s="2"/>
      <c r="EI592" s="3"/>
    </row>
    <row r="593">
      <c r="CR593" s="2"/>
      <c r="CS593" s="2"/>
      <c r="CT593" s="2"/>
      <c r="CU593" s="2"/>
      <c r="EI593" s="3"/>
    </row>
    <row r="594">
      <c r="CR594" s="2"/>
      <c r="CS594" s="2"/>
      <c r="CT594" s="2"/>
      <c r="CU594" s="2"/>
      <c r="EI594" s="3"/>
    </row>
    <row r="595">
      <c r="CR595" s="2"/>
      <c r="CS595" s="2"/>
      <c r="CT595" s="2"/>
      <c r="CU595" s="2"/>
      <c r="EI595" s="3"/>
    </row>
    <row r="596">
      <c r="CR596" s="2"/>
      <c r="CS596" s="2"/>
      <c r="CT596" s="2"/>
      <c r="CU596" s="2"/>
      <c r="EI596" s="3"/>
    </row>
    <row r="597">
      <c r="CR597" s="2"/>
      <c r="CS597" s="2"/>
      <c r="CT597" s="2"/>
      <c r="CU597" s="2"/>
      <c r="EI597" s="3"/>
    </row>
    <row r="598">
      <c r="CR598" s="2"/>
      <c r="CS598" s="2"/>
      <c r="CT598" s="2"/>
      <c r="CU598" s="2"/>
      <c r="EI598" s="3"/>
    </row>
    <row r="599">
      <c r="CR599" s="2"/>
      <c r="CS599" s="2"/>
      <c r="CT599" s="2"/>
      <c r="CU599" s="2"/>
      <c r="EI599" s="3"/>
    </row>
    <row r="600">
      <c r="CR600" s="2"/>
      <c r="CS600" s="2"/>
      <c r="CT600" s="2"/>
      <c r="CU600" s="2"/>
      <c r="EI600" s="3"/>
    </row>
    <row r="601">
      <c r="CR601" s="2"/>
      <c r="CS601" s="2"/>
      <c r="CT601" s="2"/>
      <c r="CU601" s="2"/>
      <c r="EI601" s="3"/>
    </row>
    <row r="602">
      <c r="CR602" s="2"/>
      <c r="CS602" s="2"/>
      <c r="CT602" s="2"/>
      <c r="CU602" s="2"/>
      <c r="EI602" s="3"/>
    </row>
    <row r="603">
      <c r="CR603" s="2"/>
      <c r="CS603" s="2"/>
      <c r="CT603" s="2"/>
      <c r="CU603" s="2"/>
      <c r="EI603" s="3"/>
    </row>
    <row r="604">
      <c r="CR604" s="2"/>
      <c r="CS604" s="2"/>
      <c r="CT604" s="2"/>
      <c r="CU604" s="2"/>
      <c r="EI604" s="3"/>
    </row>
    <row r="605">
      <c r="CR605" s="2"/>
      <c r="CS605" s="2"/>
      <c r="CT605" s="2"/>
      <c r="CU605" s="2"/>
      <c r="EI605" s="3"/>
    </row>
    <row r="606">
      <c r="CR606" s="2"/>
      <c r="CS606" s="2"/>
      <c r="CT606" s="2"/>
      <c r="CU606" s="2"/>
      <c r="EI606" s="3"/>
    </row>
    <row r="607">
      <c r="CR607" s="2"/>
      <c r="CS607" s="2"/>
      <c r="CT607" s="2"/>
      <c r="CU607" s="2"/>
      <c r="EI607" s="3"/>
    </row>
    <row r="608">
      <c r="CR608" s="2"/>
      <c r="CS608" s="2"/>
      <c r="CT608" s="2"/>
      <c r="CU608" s="2"/>
      <c r="EI608" s="3"/>
    </row>
    <row r="609">
      <c r="CR609" s="2"/>
      <c r="CS609" s="2"/>
      <c r="CT609" s="2"/>
      <c r="CU609" s="2"/>
      <c r="EI609" s="3"/>
    </row>
    <row r="610">
      <c r="CR610" s="2"/>
      <c r="CS610" s="2"/>
      <c r="CT610" s="2"/>
      <c r="CU610" s="2"/>
      <c r="EI610" s="3"/>
    </row>
    <row r="611">
      <c r="CR611" s="2"/>
      <c r="CS611" s="2"/>
      <c r="CT611" s="2"/>
      <c r="CU611" s="2"/>
      <c r="EI611" s="3"/>
    </row>
    <row r="612">
      <c r="CR612" s="2"/>
      <c r="CS612" s="2"/>
      <c r="CT612" s="2"/>
      <c r="CU612" s="2"/>
      <c r="EI612" s="3"/>
    </row>
    <row r="613">
      <c r="CR613" s="2"/>
      <c r="CS613" s="2"/>
      <c r="CT613" s="2"/>
      <c r="CU613" s="2"/>
      <c r="EI613" s="3"/>
    </row>
    <row r="614">
      <c r="CR614" s="2"/>
      <c r="CS614" s="2"/>
      <c r="CT614" s="2"/>
      <c r="CU614" s="2"/>
      <c r="EI614" s="3"/>
    </row>
    <row r="615">
      <c r="CR615" s="2"/>
      <c r="CS615" s="2"/>
      <c r="CT615" s="2"/>
      <c r="CU615" s="2"/>
      <c r="EI615" s="3"/>
    </row>
    <row r="616">
      <c r="CR616" s="2"/>
      <c r="CS616" s="2"/>
      <c r="CT616" s="2"/>
      <c r="CU616" s="2"/>
      <c r="EI616" s="3"/>
    </row>
    <row r="617">
      <c r="CR617" s="2"/>
      <c r="CS617" s="2"/>
      <c r="CT617" s="2"/>
      <c r="CU617" s="2"/>
      <c r="EI617" s="3"/>
    </row>
    <row r="618">
      <c r="CR618" s="2"/>
      <c r="CS618" s="2"/>
      <c r="CT618" s="2"/>
      <c r="CU618" s="2"/>
      <c r="EI618" s="3"/>
    </row>
    <row r="619">
      <c r="CR619" s="2"/>
      <c r="CS619" s="2"/>
      <c r="CT619" s="2"/>
      <c r="CU619" s="2"/>
      <c r="EI619" s="3"/>
    </row>
    <row r="620">
      <c r="CR620" s="2"/>
      <c r="CS620" s="2"/>
      <c r="CT620" s="2"/>
      <c r="CU620" s="2"/>
      <c r="EI620" s="3"/>
    </row>
    <row r="621">
      <c r="CR621" s="2"/>
      <c r="CS621" s="2"/>
      <c r="CT621" s="2"/>
      <c r="CU621" s="2"/>
      <c r="EI621" s="3"/>
    </row>
    <row r="622">
      <c r="CR622" s="2"/>
      <c r="CS622" s="2"/>
      <c r="CT622" s="2"/>
      <c r="CU622" s="2"/>
      <c r="EI622" s="3"/>
    </row>
    <row r="623">
      <c r="CR623" s="2"/>
      <c r="CS623" s="2"/>
      <c r="CT623" s="2"/>
      <c r="CU623" s="2"/>
      <c r="EI623" s="3"/>
    </row>
    <row r="624">
      <c r="CR624" s="2"/>
      <c r="CS624" s="2"/>
      <c r="CT624" s="2"/>
      <c r="CU624" s="2"/>
      <c r="EI624" s="3"/>
    </row>
    <row r="625">
      <c r="CR625" s="2"/>
      <c r="CS625" s="2"/>
      <c r="CT625" s="2"/>
      <c r="CU625" s="2"/>
      <c r="EI625" s="3"/>
    </row>
    <row r="626">
      <c r="CR626" s="2"/>
      <c r="CS626" s="2"/>
      <c r="CT626" s="2"/>
      <c r="CU626" s="2"/>
      <c r="EI626" s="3"/>
    </row>
    <row r="627">
      <c r="CR627" s="2"/>
      <c r="CS627" s="2"/>
      <c r="CT627" s="2"/>
      <c r="CU627" s="2"/>
      <c r="EI627" s="3"/>
    </row>
    <row r="628">
      <c r="CR628" s="2"/>
      <c r="CS628" s="2"/>
      <c r="CT628" s="2"/>
      <c r="CU628" s="2"/>
      <c r="EI628" s="3"/>
    </row>
    <row r="629">
      <c r="CR629" s="2"/>
      <c r="CS629" s="2"/>
      <c r="CT629" s="2"/>
      <c r="CU629" s="2"/>
      <c r="EI629" s="3"/>
    </row>
    <row r="630">
      <c r="CR630" s="2"/>
      <c r="CS630" s="2"/>
      <c r="CT630" s="2"/>
      <c r="CU630" s="2"/>
      <c r="EI630" s="3"/>
    </row>
    <row r="631">
      <c r="CR631" s="2"/>
      <c r="CS631" s="2"/>
      <c r="CT631" s="2"/>
      <c r="CU631" s="2"/>
      <c r="EI631" s="3"/>
    </row>
    <row r="632">
      <c r="CR632" s="2"/>
      <c r="CS632" s="2"/>
      <c r="CT632" s="2"/>
      <c r="CU632" s="2"/>
      <c r="EI632" s="3"/>
    </row>
    <row r="633">
      <c r="CR633" s="2"/>
      <c r="CS633" s="2"/>
      <c r="CT633" s="2"/>
      <c r="CU633" s="2"/>
      <c r="EI633" s="3"/>
    </row>
    <row r="634">
      <c r="CR634" s="2"/>
      <c r="CS634" s="2"/>
      <c r="CT634" s="2"/>
      <c r="CU634" s="2"/>
      <c r="EI634" s="3"/>
    </row>
    <row r="635">
      <c r="CR635" s="2"/>
      <c r="CS635" s="2"/>
      <c r="CT635" s="2"/>
      <c r="CU635" s="2"/>
      <c r="EI635" s="3"/>
    </row>
    <row r="636">
      <c r="CR636" s="2"/>
      <c r="CS636" s="2"/>
      <c r="CT636" s="2"/>
      <c r="CU636" s="2"/>
      <c r="EI636" s="3"/>
    </row>
    <row r="637">
      <c r="CR637" s="2"/>
      <c r="CS637" s="2"/>
      <c r="CT637" s="2"/>
      <c r="CU637" s="2"/>
      <c r="EI637" s="3"/>
    </row>
    <row r="638">
      <c r="CR638" s="2"/>
      <c r="CS638" s="2"/>
      <c r="CT638" s="2"/>
      <c r="CU638" s="2"/>
      <c r="EI638" s="3"/>
    </row>
    <row r="639">
      <c r="CR639" s="2"/>
      <c r="CS639" s="2"/>
      <c r="CT639" s="2"/>
      <c r="CU639" s="2"/>
      <c r="EI639" s="3"/>
    </row>
    <row r="640">
      <c r="CR640" s="2"/>
      <c r="CS640" s="2"/>
      <c r="CT640" s="2"/>
      <c r="CU640" s="2"/>
      <c r="EI640" s="3"/>
    </row>
    <row r="641">
      <c r="CR641" s="2"/>
      <c r="CS641" s="2"/>
      <c r="CT641" s="2"/>
      <c r="CU641" s="2"/>
      <c r="EI641" s="3"/>
    </row>
    <row r="642">
      <c r="CR642" s="2"/>
      <c r="CS642" s="2"/>
      <c r="CT642" s="2"/>
      <c r="CU642" s="2"/>
      <c r="EI642" s="3"/>
    </row>
    <row r="643">
      <c r="CR643" s="2"/>
      <c r="CS643" s="2"/>
      <c r="CT643" s="2"/>
      <c r="CU643" s="2"/>
      <c r="EI643" s="3"/>
    </row>
    <row r="644">
      <c r="CR644" s="2"/>
      <c r="CS644" s="2"/>
      <c r="CT644" s="2"/>
      <c r="CU644" s="2"/>
      <c r="EI644" s="3"/>
    </row>
    <row r="645">
      <c r="CR645" s="2"/>
      <c r="CS645" s="2"/>
      <c r="CT645" s="2"/>
      <c r="CU645" s="2"/>
      <c r="EI645" s="3"/>
    </row>
    <row r="646">
      <c r="CR646" s="2"/>
      <c r="CS646" s="2"/>
      <c r="CT646" s="2"/>
      <c r="CU646" s="2"/>
      <c r="EI646" s="3"/>
    </row>
    <row r="647">
      <c r="CR647" s="2"/>
      <c r="CS647" s="2"/>
      <c r="CT647" s="2"/>
      <c r="CU647" s="2"/>
      <c r="EI647" s="3"/>
    </row>
    <row r="648">
      <c r="CR648" s="2"/>
      <c r="CS648" s="2"/>
      <c r="CT648" s="2"/>
      <c r="CU648" s="2"/>
      <c r="EI648" s="3"/>
    </row>
    <row r="649">
      <c r="CR649" s="2"/>
      <c r="CS649" s="2"/>
      <c r="CT649" s="2"/>
      <c r="CU649" s="2"/>
      <c r="EI649" s="3"/>
    </row>
    <row r="650">
      <c r="CR650" s="2"/>
      <c r="CS650" s="2"/>
      <c r="CT650" s="2"/>
      <c r="CU650" s="2"/>
      <c r="EI650" s="3"/>
    </row>
    <row r="651">
      <c r="CR651" s="2"/>
      <c r="CS651" s="2"/>
      <c r="CT651" s="2"/>
      <c r="CU651" s="2"/>
      <c r="EI651" s="3"/>
    </row>
    <row r="652">
      <c r="CR652" s="2"/>
      <c r="CS652" s="2"/>
      <c r="CT652" s="2"/>
      <c r="CU652" s="2"/>
      <c r="EI652" s="3"/>
    </row>
    <row r="653">
      <c r="CR653" s="2"/>
      <c r="CS653" s="2"/>
      <c r="CT653" s="2"/>
      <c r="CU653" s="2"/>
      <c r="EI653" s="3"/>
    </row>
    <row r="654">
      <c r="CR654" s="2"/>
      <c r="CS654" s="2"/>
      <c r="CT654" s="2"/>
      <c r="CU654" s="2"/>
      <c r="EI654" s="3"/>
    </row>
    <row r="655">
      <c r="CR655" s="2"/>
      <c r="CS655" s="2"/>
      <c r="CT655" s="2"/>
      <c r="CU655" s="2"/>
      <c r="EI655" s="3"/>
    </row>
    <row r="656">
      <c r="CR656" s="2"/>
      <c r="CS656" s="2"/>
      <c r="CT656" s="2"/>
      <c r="CU656" s="2"/>
      <c r="EI656" s="3"/>
    </row>
    <row r="657">
      <c r="CR657" s="2"/>
      <c r="CS657" s="2"/>
      <c r="CT657" s="2"/>
      <c r="CU657" s="2"/>
      <c r="EI657" s="3"/>
    </row>
    <row r="658">
      <c r="CR658" s="2"/>
      <c r="CS658" s="2"/>
      <c r="CT658" s="2"/>
      <c r="CU658" s="2"/>
      <c r="EI658" s="3"/>
    </row>
    <row r="659">
      <c r="CR659" s="2"/>
      <c r="CS659" s="2"/>
      <c r="CT659" s="2"/>
      <c r="CU659" s="2"/>
      <c r="EI659" s="3"/>
    </row>
    <row r="660">
      <c r="CR660" s="2"/>
      <c r="CS660" s="2"/>
      <c r="CT660" s="2"/>
      <c r="CU660" s="2"/>
      <c r="EI660" s="3"/>
    </row>
    <row r="661">
      <c r="CR661" s="2"/>
      <c r="CS661" s="2"/>
      <c r="CT661" s="2"/>
      <c r="CU661" s="2"/>
      <c r="EI661" s="3"/>
    </row>
    <row r="662">
      <c r="CR662" s="2"/>
      <c r="CS662" s="2"/>
      <c r="CT662" s="2"/>
      <c r="CU662" s="2"/>
      <c r="EI662" s="3"/>
    </row>
    <row r="663">
      <c r="CR663" s="2"/>
      <c r="CS663" s="2"/>
      <c r="CT663" s="2"/>
      <c r="CU663" s="2"/>
      <c r="EI663" s="3"/>
    </row>
    <row r="664">
      <c r="CR664" s="2"/>
      <c r="CS664" s="2"/>
      <c r="CT664" s="2"/>
      <c r="CU664" s="2"/>
      <c r="EI664" s="3"/>
    </row>
    <row r="665">
      <c r="CR665" s="2"/>
      <c r="CS665" s="2"/>
      <c r="CT665" s="2"/>
      <c r="CU665" s="2"/>
      <c r="EI665" s="3"/>
    </row>
    <row r="666">
      <c r="CR666" s="2"/>
      <c r="CS666" s="2"/>
      <c r="CT666" s="2"/>
      <c r="CU666" s="2"/>
      <c r="EI666" s="3"/>
    </row>
    <row r="667">
      <c r="CR667" s="2"/>
      <c r="CS667" s="2"/>
      <c r="CT667" s="2"/>
      <c r="CU667" s="2"/>
      <c r="EI667" s="3"/>
    </row>
    <row r="668">
      <c r="CR668" s="2"/>
      <c r="CS668" s="2"/>
      <c r="CT668" s="2"/>
      <c r="CU668" s="2"/>
      <c r="EI668" s="3"/>
    </row>
    <row r="669">
      <c r="CR669" s="2"/>
      <c r="CS669" s="2"/>
      <c r="CT669" s="2"/>
      <c r="CU669" s="2"/>
      <c r="EI669" s="3"/>
    </row>
    <row r="670">
      <c r="CR670" s="2"/>
      <c r="CS670" s="2"/>
      <c r="CT670" s="2"/>
      <c r="CU670" s="2"/>
      <c r="EI670" s="3"/>
    </row>
    <row r="671">
      <c r="CR671" s="2"/>
      <c r="CS671" s="2"/>
      <c r="CT671" s="2"/>
      <c r="CU671" s="2"/>
      <c r="EI671" s="3"/>
    </row>
    <row r="672">
      <c r="CR672" s="2"/>
      <c r="CS672" s="2"/>
      <c r="CT672" s="2"/>
      <c r="CU672" s="2"/>
      <c r="EI672" s="3"/>
    </row>
    <row r="673">
      <c r="CR673" s="2"/>
      <c r="CS673" s="2"/>
      <c r="CT673" s="2"/>
      <c r="CU673" s="2"/>
      <c r="EI673" s="3"/>
    </row>
    <row r="674">
      <c r="CR674" s="2"/>
      <c r="CS674" s="2"/>
      <c r="CT674" s="2"/>
      <c r="CU674" s="2"/>
      <c r="EI674" s="3"/>
    </row>
    <row r="675">
      <c r="CR675" s="2"/>
      <c r="CS675" s="2"/>
      <c r="CT675" s="2"/>
      <c r="CU675" s="2"/>
      <c r="EI675" s="3"/>
    </row>
    <row r="676">
      <c r="CR676" s="2"/>
      <c r="CS676" s="2"/>
      <c r="CT676" s="2"/>
      <c r="CU676" s="2"/>
      <c r="EI676" s="3"/>
    </row>
    <row r="677">
      <c r="CR677" s="2"/>
      <c r="CS677" s="2"/>
      <c r="CT677" s="2"/>
      <c r="CU677" s="2"/>
      <c r="EI677" s="3"/>
    </row>
    <row r="678">
      <c r="CR678" s="2"/>
      <c r="CS678" s="2"/>
      <c r="CT678" s="2"/>
      <c r="CU678" s="2"/>
      <c r="EI678" s="3"/>
    </row>
    <row r="679">
      <c r="CR679" s="2"/>
      <c r="CS679" s="2"/>
      <c r="CT679" s="2"/>
      <c r="CU679" s="2"/>
      <c r="EI679" s="3"/>
    </row>
    <row r="680">
      <c r="CR680" s="2"/>
      <c r="CS680" s="2"/>
      <c r="CT680" s="2"/>
      <c r="CU680" s="2"/>
      <c r="EI680" s="3"/>
    </row>
    <row r="681">
      <c r="CR681" s="2"/>
      <c r="CS681" s="2"/>
      <c r="CT681" s="2"/>
      <c r="CU681" s="2"/>
      <c r="EI681" s="3"/>
    </row>
    <row r="682">
      <c r="CR682" s="2"/>
      <c r="CS682" s="2"/>
      <c r="CT682" s="2"/>
      <c r="CU682" s="2"/>
      <c r="EI682" s="3"/>
    </row>
    <row r="683">
      <c r="CR683" s="2"/>
      <c r="CS683" s="2"/>
      <c r="CT683" s="2"/>
      <c r="CU683" s="2"/>
      <c r="EI683" s="3"/>
    </row>
    <row r="684">
      <c r="CR684" s="2"/>
      <c r="CS684" s="2"/>
      <c r="CT684" s="2"/>
      <c r="CU684" s="2"/>
      <c r="EI684" s="3"/>
    </row>
    <row r="685">
      <c r="CR685" s="2"/>
      <c r="CS685" s="2"/>
      <c r="CT685" s="2"/>
      <c r="CU685" s="2"/>
      <c r="EI685" s="3"/>
    </row>
    <row r="686">
      <c r="CR686" s="2"/>
      <c r="CS686" s="2"/>
      <c r="CT686" s="2"/>
      <c r="CU686" s="2"/>
      <c r="EI686" s="3"/>
    </row>
    <row r="687">
      <c r="CR687" s="2"/>
      <c r="CS687" s="2"/>
      <c r="CT687" s="2"/>
      <c r="CU687" s="2"/>
      <c r="EI687" s="3"/>
    </row>
    <row r="688">
      <c r="CR688" s="2"/>
      <c r="CS688" s="2"/>
      <c r="CT688" s="2"/>
      <c r="CU688" s="2"/>
      <c r="EI688" s="3"/>
    </row>
    <row r="689">
      <c r="CR689" s="2"/>
      <c r="CS689" s="2"/>
      <c r="CT689" s="2"/>
      <c r="CU689" s="2"/>
      <c r="EI689" s="3"/>
    </row>
    <row r="690">
      <c r="CR690" s="2"/>
      <c r="CS690" s="2"/>
      <c r="CT690" s="2"/>
      <c r="CU690" s="2"/>
      <c r="EI690" s="3"/>
    </row>
    <row r="691">
      <c r="CR691" s="2"/>
      <c r="CS691" s="2"/>
      <c r="CT691" s="2"/>
      <c r="CU691" s="2"/>
      <c r="EI691" s="3"/>
    </row>
    <row r="692">
      <c r="CR692" s="2"/>
      <c r="CS692" s="2"/>
      <c r="CT692" s="2"/>
      <c r="CU692" s="2"/>
      <c r="EI692" s="3"/>
    </row>
    <row r="693">
      <c r="CR693" s="2"/>
      <c r="CS693" s="2"/>
      <c r="CT693" s="2"/>
      <c r="CU693" s="2"/>
      <c r="EI693" s="3"/>
    </row>
    <row r="694">
      <c r="CR694" s="2"/>
      <c r="CS694" s="2"/>
      <c r="CT694" s="2"/>
      <c r="CU694" s="2"/>
      <c r="EI694" s="3"/>
    </row>
    <row r="695">
      <c r="CR695" s="2"/>
      <c r="CS695" s="2"/>
      <c r="CT695" s="2"/>
      <c r="CU695" s="2"/>
      <c r="EI695" s="3"/>
    </row>
    <row r="696">
      <c r="CR696" s="2"/>
      <c r="CS696" s="2"/>
      <c r="CT696" s="2"/>
      <c r="CU696" s="2"/>
      <c r="EI696" s="3"/>
    </row>
    <row r="697">
      <c r="CR697" s="2"/>
      <c r="CS697" s="2"/>
      <c r="CT697" s="2"/>
      <c r="CU697" s="2"/>
      <c r="EI697" s="3"/>
    </row>
    <row r="698">
      <c r="CR698" s="2"/>
      <c r="CS698" s="2"/>
      <c r="CT698" s="2"/>
      <c r="CU698" s="2"/>
      <c r="EI698" s="3"/>
    </row>
    <row r="699">
      <c r="CR699" s="2"/>
      <c r="CS699" s="2"/>
      <c r="CT699" s="2"/>
      <c r="CU699" s="2"/>
      <c r="EI699" s="3"/>
    </row>
    <row r="700">
      <c r="CR700" s="2"/>
      <c r="CS700" s="2"/>
      <c r="CT700" s="2"/>
      <c r="CU700" s="2"/>
      <c r="EI700" s="3"/>
    </row>
    <row r="701">
      <c r="CR701" s="2"/>
      <c r="CS701" s="2"/>
      <c r="CT701" s="2"/>
      <c r="CU701" s="2"/>
      <c r="EI701" s="3"/>
    </row>
    <row r="702">
      <c r="CR702" s="2"/>
      <c r="CS702" s="2"/>
      <c r="CT702" s="2"/>
      <c r="CU702" s="2"/>
      <c r="EI702" s="3"/>
    </row>
    <row r="703">
      <c r="CR703" s="2"/>
      <c r="CS703" s="2"/>
      <c r="CT703" s="2"/>
      <c r="CU703" s="2"/>
      <c r="EI703" s="3"/>
    </row>
    <row r="704">
      <c r="CR704" s="2"/>
      <c r="CS704" s="2"/>
      <c r="CT704" s="2"/>
      <c r="CU704" s="2"/>
      <c r="EI704" s="3"/>
    </row>
    <row r="705">
      <c r="CR705" s="2"/>
      <c r="CS705" s="2"/>
      <c r="CT705" s="2"/>
      <c r="CU705" s="2"/>
      <c r="EI705" s="3"/>
    </row>
    <row r="706">
      <c r="CR706" s="2"/>
      <c r="CS706" s="2"/>
      <c r="CT706" s="2"/>
      <c r="CU706" s="2"/>
      <c r="EI706" s="3"/>
    </row>
    <row r="707">
      <c r="CR707" s="2"/>
      <c r="CS707" s="2"/>
      <c r="CT707" s="2"/>
      <c r="CU707" s="2"/>
      <c r="EI707" s="3"/>
    </row>
    <row r="708">
      <c r="CR708" s="2"/>
      <c r="CS708" s="2"/>
      <c r="CT708" s="2"/>
      <c r="CU708" s="2"/>
      <c r="EI708" s="3"/>
    </row>
    <row r="709">
      <c r="CR709" s="2"/>
      <c r="CS709" s="2"/>
      <c r="CT709" s="2"/>
      <c r="CU709" s="2"/>
      <c r="EI709" s="3"/>
    </row>
    <row r="710">
      <c r="CR710" s="2"/>
      <c r="CS710" s="2"/>
      <c r="CT710" s="2"/>
      <c r="CU710" s="2"/>
      <c r="EI710" s="3"/>
    </row>
    <row r="711">
      <c r="CR711" s="2"/>
      <c r="CS711" s="2"/>
      <c r="CT711" s="2"/>
      <c r="CU711" s="2"/>
      <c r="EI711" s="3"/>
    </row>
    <row r="712">
      <c r="CR712" s="2"/>
      <c r="CS712" s="2"/>
      <c r="CT712" s="2"/>
      <c r="CU712" s="2"/>
      <c r="EI712" s="3"/>
    </row>
    <row r="713">
      <c r="CR713" s="2"/>
      <c r="CS713" s="2"/>
      <c r="CT713" s="2"/>
      <c r="CU713" s="2"/>
      <c r="EI713" s="3"/>
    </row>
    <row r="714">
      <c r="CR714" s="2"/>
      <c r="CS714" s="2"/>
      <c r="CT714" s="2"/>
      <c r="CU714" s="2"/>
      <c r="EI714" s="3"/>
    </row>
    <row r="715">
      <c r="CR715" s="2"/>
      <c r="CS715" s="2"/>
      <c r="CT715" s="2"/>
      <c r="CU715" s="2"/>
      <c r="EI715" s="3"/>
    </row>
    <row r="716">
      <c r="CR716" s="2"/>
      <c r="CS716" s="2"/>
      <c r="CT716" s="2"/>
      <c r="CU716" s="2"/>
      <c r="EI716" s="3"/>
    </row>
    <row r="717">
      <c r="CR717" s="2"/>
      <c r="CS717" s="2"/>
      <c r="CT717" s="2"/>
      <c r="CU717" s="2"/>
      <c r="EI717" s="3"/>
    </row>
    <row r="718">
      <c r="CR718" s="2"/>
      <c r="CS718" s="2"/>
      <c r="CT718" s="2"/>
      <c r="CU718" s="2"/>
      <c r="EI718" s="3"/>
    </row>
    <row r="719">
      <c r="CR719" s="2"/>
      <c r="CS719" s="2"/>
      <c r="CT719" s="2"/>
      <c r="CU719" s="2"/>
      <c r="EI719" s="3"/>
    </row>
    <row r="720">
      <c r="CR720" s="2"/>
      <c r="CS720" s="2"/>
      <c r="CT720" s="2"/>
      <c r="CU720" s="2"/>
      <c r="EI720" s="3"/>
    </row>
    <row r="721">
      <c r="CR721" s="2"/>
      <c r="CS721" s="2"/>
      <c r="CT721" s="2"/>
      <c r="CU721" s="2"/>
      <c r="EI721" s="3"/>
    </row>
    <row r="722">
      <c r="CR722" s="2"/>
      <c r="CS722" s="2"/>
      <c r="CT722" s="2"/>
      <c r="CU722" s="2"/>
      <c r="EI722" s="3"/>
    </row>
    <row r="723">
      <c r="CR723" s="2"/>
      <c r="CS723" s="2"/>
      <c r="CT723" s="2"/>
      <c r="CU723" s="2"/>
      <c r="EI723" s="3"/>
    </row>
    <row r="724">
      <c r="CR724" s="2"/>
      <c r="CS724" s="2"/>
      <c r="CT724" s="2"/>
      <c r="CU724" s="2"/>
      <c r="EI724" s="3"/>
    </row>
    <row r="725">
      <c r="CR725" s="2"/>
      <c r="CS725" s="2"/>
      <c r="CT725" s="2"/>
      <c r="CU725" s="2"/>
      <c r="EI725" s="3"/>
    </row>
    <row r="726">
      <c r="CR726" s="2"/>
      <c r="CS726" s="2"/>
      <c r="CT726" s="2"/>
      <c r="CU726" s="2"/>
      <c r="EI726" s="3"/>
    </row>
    <row r="727">
      <c r="CR727" s="2"/>
      <c r="CS727" s="2"/>
      <c r="CT727" s="2"/>
      <c r="CU727" s="2"/>
      <c r="EI727" s="3"/>
    </row>
    <row r="728">
      <c r="CR728" s="2"/>
      <c r="CS728" s="2"/>
      <c r="CT728" s="2"/>
      <c r="CU728" s="2"/>
      <c r="EI728" s="3"/>
    </row>
    <row r="729">
      <c r="CR729" s="2"/>
      <c r="CS729" s="2"/>
      <c r="CT729" s="2"/>
      <c r="CU729" s="2"/>
      <c r="EI729" s="3"/>
    </row>
    <row r="730">
      <c r="CR730" s="2"/>
      <c r="CS730" s="2"/>
      <c r="CT730" s="2"/>
      <c r="CU730" s="2"/>
      <c r="EI730" s="3"/>
    </row>
    <row r="731">
      <c r="CR731" s="2"/>
      <c r="CS731" s="2"/>
      <c r="CT731" s="2"/>
      <c r="CU731" s="2"/>
      <c r="EI731" s="3"/>
    </row>
    <row r="732">
      <c r="CR732" s="2"/>
      <c r="CS732" s="2"/>
      <c r="CT732" s="2"/>
      <c r="CU732" s="2"/>
      <c r="EI732" s="3"/>
    </row>
    <row r="733">
      <c r="CR733" s="2"/>
      <c r="CS733" s="2"/>
      <c r="CT733" s="2"/>
      <c r="CU733" s="2"/>
      <c r="EI733" s="3"/>
    </row>
    <row r="734">
      <c r="CR734" s="2"/>
      <c r="CS734" s="2"/>
      <c r="CT734" s="2"/>
      <c r="CU734" s="2"/>
      <c r="EI734" s="3"/>
    </row>
    <row r="735">
      <c r="CR735" s="2"/>
      <c r="CS735" s="2"/>
      <c r="CT735" s="2"/>
      <c r="CU735" s="2"/>
      <c r="EI735" s="3"/>
    </row>
    <row r="736">
      <c r="CR736" s="2"/>
      <c r="CS736" s="2"/>
      <c r="CT736" s="2"/>
      <c r="CU736" s="2"/>
      <c r="EI736" s="3"/>
    </row>
    <row r="737">
      <c r="CR737" s="2"/>
      <c r="CS737" s="2"/>
      <c r="CT737" s="2"/>
      <c r="CU737" s="2"/>
      <c r="EI737" s="3"/>
    </row>
    <row r="738">
      <c r="CR738" s="2"/>
      <c r="CS738" s="2"/>
      <c r="CT738" s="2"/>
      <c r="CU738" s="2"/>
      <c r="EI738" s="3"/>
    </row>
    <row r="739">
      <c r="CR739" s="2"/>
      <c r="CS739" s="2"/>
      <c r="CT739" s="2"/>
      <c r="CU739" s="2"/>
      <c r="EI739" s="3"/>
    </row>
    <row r="740">
      <c r="CR740" s="2"/>
      <c r="CS740" s="2"/>
      <c r="CT740" s="2"/>
      <c r="CU740" s="2"/>
      <c r="EI740" s="3"/>
    </row>
    <row r="741">
      <c r="CR741" s="2"/>
      <c r="CS741" s="2"/>
      <c r="CT741" s="2"/>
      <c r="CU741" s="2"/>
      <c r="EI741" s="3"/>
    </row>
    <row r="742">
      <c r="CR742" s="2"/>
      <c r="CS742" s="2"/>
      <c r="CT742" s="2"/>
      <c r="CU742" s="2"/>
      <c r="EI742" s="3"/>
    </row>
    <row r="743">
      <c r="CR743" s="2"/>
      <c r="CS743" s="2"/>
      <c r="CT743" s="2"/>
      <c r="CU743" s="2"/>
      <c r="EI743" s="3"/>
    </row>
    <row r="744">
      <c r="CR744" s="2"/>
      <c r="CS744" s="2"/>
      <c r="CT744" s="2"/>
      <c r="CU744" s="2"/>
      <c r="EI744" s="3"/>
    </row>
    <row r="745">
      <c r="CR745" s="2"/>
      <c r="CS745" s="2"/>
      <c r="CT745" s="2"/>
      <c r="CU745" s="2"/>
      <c r="EI745" s="3"/>
    </row>
    <row r="746">
      <c r="CR746" s="2"/>
      <c r="CS746" s="2"/>
      <c r="CT746" s="2"/>
      <c r="CU746" s="2"/>
      <c r="EI746" s="3"/>
    </row>
    <row r="747">
      <c r="CR747" s="2"/>
      <c r="CS747" s="2"/>
      <c r="CT747" s="2"/>
      <c r="CU747" s="2"/>
      <c r="EI747" s="3"/>
    </row>
    <row r="748">
      <c r="CR748" s="2"/>
      <c r="CS748" s="2"/>
      <c r="CT748" s="2"/>
      <c r="CU748" s="2"/>
      <c r="EI748" s="3"/>
    </row>
    <row r="749">
      <c r="CR749" s="2"/>
      <c r="CS749" s="2"/>
      <c r="CT749" s="2"/>
      <c r="CU749" s="2"/>
      <c r="EI749" s="3"/>
    </row>
    <row r="750">
      <c r="CR750" s="2"/>
      <c r="CS750" s="2"/>
      <c r="CT750" s="2"/>
      <c r="CU750" s="2"/>
      <c r="EI750" s="3"/>
    </row>
    <row r="751">
      <c r="CR751" s="2"/>
      <c r="CS751" s="2"/>
      <c r="CT751" s="2"/>
      <c r="CU751" s="2"/>
      <c r="EI751" s="3"/>
    </row>
    <row r="752">
      <c r="CR752" s="2"/>
      <c r="CS752" s="2"/>
      <c r="CT752" s="2"/>
      <c r="CU752" s="2"/>
      <c r="EI752" s="3"/>
    </row>
    <row r="753">
      <c r="CR753" s="2"/>
      <c r="CS753" s="2"/>
      <c r="CT753" s="2"/>
      <c r="CU753" s="2"/>
      <c r="EI753" s="3"/>
    </row>
    <row r="754">
      <c r="CR754" s="2"/>
      <c r="CS754" s="2"/>
      <c r="CT754" s="2"/>
      <c r="CU754" s="2"/>
      <c r="EI754" s="3"/>
    </row>
    <row r="755">
      <c r="CR755" s="2"/>
      <c r="CS755" s="2"/>
      <c r="CT755" s="2"/>
      <c r="CU755" s="2"/>
      <c r="EI755" s="3"/>
    </row>
    <row r="756">
      <c r="CR756" s="2"/>
      <c r="CS756" s="2"/>
      <c r="CT756" s="2"/>
      <c r="CU756" s="2"/>
      <c r="EI756" s="3"/>
    </row>
    <row r="757">
      <c r="CR757" s="2"/>
      <c r="CS757" s="2"/>
      <c r="CT757" s="2"/>
      <c r="CU757" s="2"/>
      <c r="EI757" s="3"/>
    </row>
    <row r="758">
      <c r="CR758" s="2"/>
      <c r="CS758" s="2"/>
      <c r="CT758" s="2"/>
      <c r="CU758" s="2"/>
      <c r="EI758" s="3"/>
    </row>
    <row r="759">
      <c r="CR759" s="2"/>
      <c r="CS759" s="2"/>
      <c r="CT759" s="2"/>
      <c r="CU759" s="2"/>
      <c r="EI759" s="3"/>
    </row>
    <row r="760">
      <c r="CR760" s="2"/>
      <c r="CS760" s="2"/>
      <c r="CT760" s="2"/>
      <c r="CU760" s="2"/>
      <c r="EI760" s="3"/>
    </row>
    <row r="761">
      <c r="CR761" s="2"/>
      <c r="CS761" s="2"/>
      <c r="CT761" s="2"/>
      <c r="CU761" s="2"/>
      <c r="EI761" s="3"/>
    </row>
    <row r="762">
      <c r="CR762" s="2"/>
      <c r="CS762" s="2"/>
      <c r="CT762" s="2"/>
      <c r="CU762" s="2"/>
      <c r="EI762" s="3"/>
    </row>
    <row r="763">
      <c r="CR763" s="2"/>
      <c r="CS763" s="2"/>
      <c r="CT763" s="2"/>
      <c r="CU763" s="2"/>
      <c r="EI763" s="3"/>
    </row>
  </sheetData>
  <mergeCells count="1">
    <mergeCell ref="CZ2:FG2"/>
  </mergeCells>
  <conditionalFormatting sqref="BZ87:CC87 CF87:CI87 CL87:CO87 C90:BV93 BX90:EK93 EL90:EM96 EN90:EW93 EX90:EY96 EZ90:FH93 BX95:BX102 BY95:CE95 CK95:CP95 BY100:CE108 CK100:CK108 CF102:CJ102 CL102:CP102 BX105:BX108 CF105:CJ108 CL105:CP108">
    <cfRule type="cellIs" dxfId="0" priority="1" operator="greaterThan">
      <formula>0.5</formula>
    </cfRule>
  </conditionalFormatting>
  <conditionalFormatting sqref="C113:BV113 BX113:FH113">
    <cfRule type="cellIs" dxfId="0" priority="2" operator="greaterThan">
      <formula>0.2</formula>
    </cfRule>
  </conditionalFormatting>
  <conditionalFormatting sqref="C111:BV111 BX111:FH111">
    <cfRule type="cellIs" dxfId="1" priority="3" operator="greaterThan">
      <formula>0.6</formula>
    </cfRule>
  </conditionalFormatting>
  <conditionalFormatting sqref="C112:BV112 BX112:FH112">
    <cfRule type="cellIs" dxfId="1" priority="4" operator="greaterThan">
      <formula>0.35</formula>
    </cfRule>
  </conditionalFormatting>
  <conditionalFormatting sqref="AA124:BV127 BX124:CX127 DL124:FH127 CY125:DK125 CY127:DK127">
    <cfRule type="cellIs" dxfId="0" priority="5" operator="greaterThan">
      <formula>150</formula>
    </cfRule>
  </conditionalFormatting>
  <conditionalFormatting sqref="AA129:BV130 BX129:FH130">
    <cfRule type="expression" dxfId="0" priority="6">
      <formula>if</formula>
    </cfRule>
  </conditionalFormatting>
  <conditionalFormatting sqref="AY178:BG178 BK178:BV178">
    <cfRule type="cellIs" dxfId="0" priority="7" operator="greaterThan">
      <formula>0</formula>
    </cfRule>
  </conditionalFormatting>
  <conditionalFormatting sqref="AY178:BG178 BK178:BV178">
    <cfRule type="cellIs" dxfId="2" priority="8" operator="lessThan">
      <formula>0</formula>
    </cfRule>
  </conditionalFormatting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sheetData>
    <row r="4">
      <c r="B4" s="200">
        <v>44927.0</v>
      </c>
      <c r="C4" s="200">
        <v>44958.0</v>
      </c>
      <c r="D4" s="200">
        <v>44986.0</v>
      </c>
      <c r="E4" s="200">
        <v>45017.0</v>
      </c>
      <c r="F4" s="200">
        <v>45047.0</v>
      </c>
      <c r="G4" s="200">
        <v>45078.0</v>
      </c>
      <c r="H4" s="200">
        <v>45108.0</v>
      </c>
      <c r="I4" s="200">
        <v>45139.0</v>
      </c>
      <c r="J4" s="200">
        <v>45170.0</v>
      </c>
      <c r="K4" s="200">
        <v>45200.0</v>
      </c>
      <c r="L4" s="200">
        <v>45231.0</v>
      </c>
      <c r="M4" s="200">
        <v>45261.0</v>
      </c>
      <c r="N4" s="200">
        <v>45292.0</v>
      </c>
      <c r="O4" s="200">
        <v>45323.0</v>
      </c>
      <c r="P4" s="200">
        <v>45352.0</v>
      </c>
      <c r="Q4" s="200">
        <v>45383.0</v>
      </c>
      <c r="R4" s="201">
        <v>45413.0</v>
      </c>
      <c r="S4" s="200">
        <v>45444.0</v>
      </c>
      <c r="T4" s="200">
        <v>45474.0</v>
      </c>
      <c r="U4" s="200">
        <v>45505.0</v>
      </c>
      <c r="V4" s="200">
        <v>45536.0</v>
      </c>
      <c r="W4" s="200">
        <v>45566.0</v>
      </c>
      <c r="X4" s="200">
        <v>45597.0</v>
      </c>
      <c r="Y4" s="200">
        <v>45627.0</v>
      </c>
    </row>
    <row r="5">
      <c r="A5" s="1" t="s">
        <v>67</v>
      </c>
      <c r="B5" s="129">
        <v>4925122.0</v>
      </c>
      <c r="C5" s="129">
        <v>5252258.0</v>
      </c>
      <c r="D5" s="129">
        <v>5532151.0</v>
      </c>
      <c r="E5" s="129">
        <v>5482952.0</v>
      </c>
      <c r="F5" s="129">
        <v>5479900.0</v>
      </c>
      <c r="G5" s="129">
        <v>5177447.0</v>
      </c>
      <c r="H5" s="129">
        <v>4587345.0</v>
      </c>
      <c r="I5" s="129">
        <v>3966464.0</v>
      </c>
      <c r="J5" s="129">
        <v>3355805.0</v>
      </c>
      <c r="K5" s="129">
        <v>2853436.0</v>
      </c>
      <c r="L5" s="129">
        <v>2246134.0</v>
      </c>
      <c r="M5" s="3">
        <v>2102126.0</v>
      </c>
      <c r="N5" s="129">
        <v>1070316.0</v>
      </c>
      <c r="O5" s="129">
        <v>734166.0</v>
      </c>
      <c r="P5" s="129">
        <v>-69269.0</v>
      </c>
      <c r="Q5" s="129">
        <v>-98532.0</v>
      </c>
      <c r="R5" s="129">
        <v>-509330.0</v>
      </c>
      <c r="S5" s="129">
        <v>-991751.0</v>
      </c>
      <c r="T5" s="129">
        <v>-447928.0</v>
      </c>
      <c r="U5" s="129">
        <v>-777585.0</v>
      </c>
      <c r="V5" s="129">
        <v>-586629.25</v>
      </c>
      <c r="W5" s="129">
        <v>-136287.54000000004</v>
      </c>
      <c r="X5" s="129">
        <v>265958.45999999996</v>
      </c>
      <c r="Y5" s="129">
        <v>341257.45999999996</v>
      </c>
    </row>
    <row r="8">
      <c r="B8" s="195" t="s">
        <v>12</v>
      </c>
      <c r="C8" s="195" t="s">
        <v>13</v>
      </c>
      <c r="D8" s="195" t="s">
        <v>14</v>
      </c>
      <c r="E8" s="196" t="s">
        <v>15</v>
      </c>
      <c r="F8" s="195" t="s">
        <v>7</v>
      </c>
      <c r="G8" s="195" t="s">
        <v>8</v>
      </c>
      <c r="H8" s="195" t="s">
        <v>9</v>
      </c>
      <c r="I8" s="196" t="s">
        <v>10</v>
      </c>
    </row>
    <row r="9">
      <c r="A9" s="1" t="s">
        <v>67</v>
      </c>
      <c r="B9" s="129">
        <f>D5</f>
        <v>5532151</v>
      </c>
      <c r="C9" s="129">
        <f>G5</f>
        <v>5177447</v>
      </c>
      <c r="D9" s="129">
        <f>J5</f>
        <v>3355805</v>
      </c>
      <c r="E9" s="3">
        <f>M5</f>
        <v>2102126</v>
      </c>
      <c r="F9" s="129">
        <f>P5</f>
        <v>-69269</v>
      </c>
      <c r="G9" s="129">
        <f>S5</f>
        <v>-991751</v>
      </c>
      <c r="H9" s="129">
        <f>V5</f>
        <v>-586629.25</v>
      </c>
      <c r="I9" s="129">
        <f>Y5</f>
        <v>341257.46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sheetData>
    <row r="1">
      <c r="A1" s="204" t="s">
        <v>160</v>
      </c>
      <c r="B1" s="204" t="s">
        <v>161</v>
      </c>
      <c r="C1" s="204"/>
      <c r="D1" s="205"/>
      <c r="E1" s="205"/>
      <c r="F1" s="205"/>
      <c r="G1" s="205"/>
      <c r="H1" s="205"/>
      <c r="I1" s="205"/>
      <c r="J1" s="205"/>
      <c r="K1" s="205"/>
      <c r="L1" s="205"/>
      <c r="M1" s="206" t="s">
        <v>162</v>
      </c>
      <c r="N1" s="206" t="s">
        <v>162</v>
      </c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05"/>
      <c r="AU1" s="205"/>
      <c r="AV1" s="205"/>
      <c r="AW1" s="205"/>
      <c r="AX1" s="205"/>
      <c r="AY1" s="205"/>
      <c r="AZ1" s="205"/>
      <c r="BA1" s="205"/>
      <c r="BB1" s="205"/>
      <c r="BC1" s="205"/>
      <c r="BD1" s="205"/>
      <c r="BE1" s="205"/>
      <c r="BF1" s="205"/>
      <c r="BG1" s="205"/>
      <c r="BH1" s="205"/>
      <c r="BI1" s="205"/>
      <c r="BJ1" s="205"/>
      <c r="BK1" s="205"/>
      <c r="BL1" s="205"/>
      <c r="BM1" s="206" t="s">
        <v>162</v>
      </c>
    </row>
    <row r="2">
      <c r="A2" s="205"/>
      <c r="B2" s="205"/>
      <c r="C2" s="207" t="s">
        <v>160</v>
      </c>
      <c r="D2" s="208"/>
      <c r="E2" s="208"/>
      <c r="F2" s="208"/>
      <c r="G2" s="208"/>
      <c r="H2" s="208"/>
      <c r="I2" s="209" t="s">
        <v>163</v>
      </c>
      <c r="J2" s="209" t="s">
        <v>163</v>
      </c>
      <c r="K2" s="209" t="s">
        <v>163</v>
      </c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05"/>
      <c r="AU2" s="205"/>
      <c r="AV2" s="205"/>
      <c r="AW2" s="205"/>
      <c r="AX2" s="205"/>
      <c r="AY2" s="205"/>
      <c r="AZ2" s="205"/>
      <c r="BA2" s="205"/>
      <c r="BB2" s="210"/>
      <c r="BC2" s="210"/>
      <c r="BD2" s="210"/>
      <c r="BE2" s="210"/>
      <c r="BF2" s="210"/>
      <c r="BG2" s="210"/>
      <c r="BH2" s="210"/>
      <c r="BI2" s="210"/>
      <c r="BJ2" s="210"/>
      <c r="BK2" s="210"/>
      <c r="BL2" s="205"/>
      <c r="BM2" s="205"/>
    </row>
    <row r="3">
      <c r="A3" s="205"/>
      <c r="B3" s="205"/>
      <c r="C3" s="211" t="s">
        <v>161</v>
      </c>
      <c r="D3" s="212"/>
      <c r="E3" s="208"/>
      <c r="F3" s="208"/>
      <c r="G3" s="208"/>
      <c r="H3" s="208"/>
      <c r="I3" s="208"/>
      <c r="J3" s="208"/>
      <c r="K3" s="208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10"/>
      <c r="BC3" s="210"/>
      <c r="BD3" s="210"/>
      <c r="BE3" s="210"/>
      <c r="BF3" s="210"/>
      <c r="BG3" s="210"/>
      <c r="BH3" s="210"/>
      <c r="BI3" s="210"/>
      <c r="BJ3" s="210"/>
      <c r="BK3" s="210"/>
      <c r="BL3" s="205"/>
      <c r="BM3" s="205"/>
    </row>
    <row r="4">
      <c r="A4" s="213"/>
      <c r="B4" s="213"/>
      <c r="C4" s="214"/>
      <c r="D4" s="213"/>
      <c r="E4" s="213"/>
      <c r="F4" s="213"/>
      <c r="G4" s="213"/>
      <c r="H4" s="213"/>
      <c r="I4" s="213"/>
      <c r="J4" s="213"/>
      <c r="K4" s="213"/>
      <c r="L4" s="214"/>
      <c r="M4" s="213"/>
      <c r="N4" s="213"/>
      <c r="O4" s="213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5"/>
      <c r="AP4" s="215"/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5"/>
      <c r="BL4" s="213"/>
      <c r="BM4" s="213"/>
    </row>
    <row r="5">
      <c r="A5" s="216"/>
      <c r="B5" s="216"/>
      <c r="C5" s="217"/>
      <c r="D5" s="218" t="s">
        <v>164</v>
      </c>
      <c r="E5" s="218" t="s">
        <v>164</v>
      </c>
      <c r="F5" s="218" t="s">
        <v>164</v>
      </c>
      <c r="G5" s="218" t="s">
        <v>165</v>
      </c>
      <c r="H5" s="218" t="s">
        <v>165</v>
      </c>
      <c r="I5" s="218" t="s">
        <v>165</v>
      </c>
      <c r="J5" s="218" t="s">
        <v>165</v>
      </c>
      <c r="K5" s="218" t="s">
        <v>165</v>
      </c>
      <c r="L5" s="219"/>
      <c r="M5" s="216"/>
      <c r="N5" s="216"/>
      <c r="O5" s="216"/>
      <c r="P5" s="218" t="s">
        <v>164</v>
      </c>
      <c r="Q5" s="218" t="s">
        <v>164</v>
      </c>
      <c r="R5" s="218" t="s">
        <v>164</v>
      </c>
      <c r="S5" s="218" t="s">
        <v>164</v>
      </c>
      <c r="T5" s="218" t="s">
        <v>164</v>
      </c>
      <c r="U5" s="218" t="s">
        <v>164</v>
      </c>
      <c r="V5" s="218" t="s">
        <v>164</v>
      </c>
      <c r="W5" s="218" t="s">
        <v>164</v>
      </c>
      <c r="X5" s="218" t="s">
        <v>164</v>
      </c>
      <c r="Y5" s="218" t="s">
        <v>164</v>
      </c>
      <c r="Z5" s="218" t="s">
        <v>164</v>
      </c>
      <c r="AA5" s="218" t="s">
        <v>164</v>
      </c>
      <c r="AB5" s="218" t="s">
        <v>164</v>
      </c>
      <c r="AC5" s="218" t="s">
        <v>164</v>
      </c>
      <c r="AD5" s="218" t="s">
        <v>164</v>
      </c>
      <c r="AE5" s="218" t="s">
        <v>164</v>
      </c>
      <c r="AF5" s="218" t="s">
        <v>164</v>
      </c>
      <c r="AG5" s="218" t="s">
        <v>164</v>
      </c>
      <c r="AH5" s="218" t="s">
        <v>164</v>
      </c>
      <c r="AI5" s="218" t="s">
        <v>164</v>
      </c>
      <c r="AJ5" s="218" t="s">
        <v>164</v>
      </c>
      <c r="AK5" s="218" t="s">
        <v>164</v>
      </c>
      <c r="AL5" s="218" t="s">
        <v>164</v>
      </c>
      <c r="AM5" s="218" t="s">
        <v>164</v>
      </c>
      <c r="AN5" s="218" t="s">
        <v>164</v>
      </c>
      <c r="AO5" s="218" t="s">
        <v>164</v>
      </c>
      <c r="AP5" s="218" t="s">
        <v>164</v>
      </c>
      <c r="AQ5" s="218" t="s">
        <v>164</v>
      </c>
      <c r="AR5" s="218" t="s">
        <v>164</v>
      </c>
      <c r="AS5" s="220" t="s">
        <v>164</v>
      </c>
      <c r="AT5" s="220" t="s">
        <v>164</v>
      </c>
      <c r="AU5" s="220" t="s">
        <v>164</v>
      </c>
      <c r="AV5" s="220" t="s">
        <v>164</v>
      </c>
      <c r="AW5" s="220" t="s">
        <v>164</v>
      </c>
      <c r="AX5" s="220" t="s">
        <v>164</v>
      </c>
      <c r="AY5" s="220" t="s">
        <v>164</v>
      </c>
      <c r="AZ5" s="220" t="s">
        <v>164</v>
      </c>
      <c r="BA5" s="220" t="s">
        <v>164</v>
      </c>
      <c r="BB5" s="220" t="s">
        <v>164</v>
      </c>
      <c r="BC5" s="220" t="s">
        <v>165</v>
      </c>
      <c r="BD5" s="220" t="s">
        <v>165</v>
      </c>
      <c r="BE5" s="220" t="s">
        <v>165</v>
      </c>
      <c r="BF5" s="220" t="s">
        <v>165</v>
      </c>
      <c r="BG5" s="220" t="s">
        <v>165</v>
      </c>
      <c r="BH5" s="220" t="s">
        <v>165</v>
      </c>
      <c r="BI5" s="220" t="s">
        <v>165</v>
      </c>
      <c r="BJ5" s="220" t="s">
        <v>165</v>
      </c>
      <c r="BK5" s="220" t="s">
        <v>165</v>
      </c>
      <c r="BL5" s="216"/>
      <c r="BM5" s="216"/>
    </row>
    <row r="6">
      <c r="A6" s="205"/>
      <c r="B6" s="205"/>
      <c r="C6" s="221" t="s">
        <v>166</v>
      </c>
      <c r="D6" s="222" t="s">
        <v>167</v>
      </c>
      <c r="E6" s="223" t="s">
        <v>168</v>
      </c>
      <c r="F6" s="223" t="s">
        <v>169</v>
      </c>
      <c r="G6" s="224" t="s">
        <v>170</v>
      </c>
      <c r="H6" s="224" t="s">
        <v>171</v>
      </c>
      <c r="I6" s="224" t="s">
        <v>172</v>
      </c>
      <c r="J6" s="224" t="s">
        <v>173</v>
      </c>
      <c r="K6" s="224" t="s">
        <v>174</v>
      </c>
      <c r="L6" s="225"/>
      <c r="M6" s="205"/>
      <c r="N6" s="205"/>
      <c r="O6" s="205"/>
      <c r="P6" s="226">
        <v>46044.0</v>
      </c>
      <c r="Q6" s="226">
        <v>46075.0</v>
      </c>
      <c r="R6" s="226">
        <v>46103.0</v>
      </c>
      <c r="S6" s="226">
        <v>46134.0</v>
      </c>
      <c r="T6" s="227">
        <v>46164.0</v>
      </c>
      <c r="U6" s="226">
        <v>46195.0</v>
      </c>
      <c r="V6" s="226">
        <v>46225.0</v>
      </c>
      <c r="W6" s="226">
        <v>46256.0</v>
      </c>
      <c r="X6" s="226">
        <v>46287.0</v>
      </c>
      <c r="Y6" s="226">
        <v>46317.0</v>
      </c>
      <c r="Z6" s="226">
        <v>46348.0</v>
      </c>
      <c r="AA6" s="226">
        <v>46378.0</v>
      </c>
      <c r="AB6" s="226">
        <v>46045.0</v>
      </c>
      <c r="AC6" s="226">
        <v>46076.0</v>
      </c>
      <c r="AD6" s="226">
        <v>46104.0</v>
      </c>
      <c r="AE6" s="226">
        <v>46135.0</v>
      </c>
      <c r="AF6" s="227">
        <v>46165.0</v>
      </c>
      <c r="AG6" s="226">
        <v>46196.0</v>
      </c>
      <c r="AH6" s="226">
        <v>46226.0</v>
      </c>
      <c r="AI6" s="226">
        <v>46257.0</v>
      </c>
      <c r="AJ6" s="226">
        <v>46288.0</v>
      </c>
      <c r="AK6" s="226">
        <v>46318.0</v>
      </c>
      <c r="AL6" s="226">
        <v>46349.0</v>
      </c>
      <c r="AM6" s="226">
        <v>46379.0</v>
      </c>
      <c r="AN6" s="226">
        <v>46046.0</v>
      </c>
      <c r="AO6" s="226">
        <v>46077.0</v>
      </c>
      <c r="AP6" s="226">
        <v>46105.0</v>
      </c>
      <c r="AQ6" s="226">
        <v>46136.0</v>
      </c>
      <c r="AR6" s="227">
        <v>46166.0</v>
      </c>
      <c r="AS6" s="226">
        <v>46197.0</v>
      </c>
      <c r="AT6" s="226">
        <v>46227.0</v>
      </c>
      <c r="AU6" s="226">
        <v>46258.0</v>
      </c>
      <c r="AV6" s="226">
        <v>46289.0</v>
      </c>
      <c r="AW6" s="226">
        <v>46319.0</v>
      </c>
      <c r="AX6" s="226">
        <v>46350.0</v>
      </c>
      <c r="AY6" s="226">
        <v>46380.0</v>
      </c>
      <c r="AZ6" s="226">
        <v>46047.0</v>
      </c>
      <c r="BA6" s="226">
        <v>46078.0</v>
      </c>
      <c r="BB6" s="226">
        <v>46106.0</v>
      </c>
      <c r="BC6" s="228">
        <v>46137.0</v>
      </c>
      <c r="BD6" s="229">
        <v>46167.0</v>
      </c>
      <c r="BE6" s="228">
        <v>46198.0</v>
      </c>
      <c r="BF6" s="228">
        <v>46228.0</v>
      </c>
      <c r="BG6" s="228">
        <v>46259.0</v>
      </c>
      <c r="BH6" s="228">
        <v>46290.0</v>
      </c>
      <c r="BI6" s="228">
        <v>46320.0</v>
      </c>
      <c r="BJ6" s="228">
        <v>46351.0</v>
      </c>
      <c r="BK6" s="228">
        <v>46381.0</v>
      </c>
      <c r="BL6" s="205"/>
      <c r="BM6" s="205"/>
    </row>
    <row r="7">
      <c r="A7" s="230"/>
      <c r="B7" s="230"/>
      <c r="C7" s="221" t="s">
        <v>175</v>
      </c>
      <c r="D7" s="232">
        <v>1.6938162E7</v>
      </c>
      <c r="E7" s="232">
        <v>2.124679E7</v>
      </c>
      <c r="F7" s="232">
        <v>2.4215645E7</v>
      </c>
      <c r="G7" s="232">
        <v>3.3825892E7</v>
      </c>
      <c r="H7" s="233">
        <v>4.4132965E7</v>
      </c>
      <c r="I7" s="233">
        <v>5.6124835E7</v>
      </c>
      <c r="J7" s="233">
        <v>6.8976182E7</v>
      </c>
      <c r="K7" s="233">
        <v>8.2094367E7</v>
      </c>
      <c r="L7" s="235"/>
      <c r="M7" s="235"/>
      <c r="N7" s="235"/>
      <c r="O7" s="235"/>
      <c r="P7" s="233">
        <v>1148372.0</v>
      </c>
      <c r="Q7" s="233">
        <v>1035532.0</v>
      </c>
      <c r="R7" s="233">
        <v>1362901.0</v>
      </c>
      <c r="S7" s="233">
        <v>1155183.0</v>
      </c>
      <c r="T7" s="233">
        <v>1249008.0</v>
      </c>
      <c r="U7" s="233">
        <v>1495397.0</v>
      </c>
      <c r="V7" s="233">
        <v>1292950.0</v>
      </c>
      <c r="W7" s="233">
        <v>1890246.0</v>
      </c>
      <c r="X7" s="233">
        <v>1579513.0</v>
      </c>
      <c r="Y7" s="233">
        <v>1828300.0</v>
      </c>
      <c r="Z7" s="233">
        <v>1723608.0</v>
      </c>
      <c r="AA7" s="233">
        <v>1177152.0</v>
      </c>
      <c r="AB7" s="233">
        <v>2067900.0</v>
      </c>
      <c r="AC7" s="233">
        <v>1835867.0</v>
      </c>
      <c r="AD7" s="233">
        <v>2157520.0</v>
      </c>
      <c r="AE7" s="233">
        <v>1766581.0</v>
      </c>
      <c r="AF7" s="233">
        <v>1842244.0</v>
      </c>
      <c r="AG7" s="233">
        <v>1737128.0</v>
      </c>
      <c r="AH7" s="233">
        <v>1529543.0</v>
      </c>
      <c r="AI7" s="233">
        <v>1912663.0</v>
      </c>
      <c r="AJ7" s="233">
        <v>1511065.0</v>
      </c>
      <c r="AK7" s="233">
        <v>1803499.0</v>
      </c>
      <c r="AL7" s="233">
        <v>1589590.0</v>
      </c>
      <c r="AM7" s="233">
        <v>1493188.0</v>
      </c>
      <c r="AN7" s="233">
        <v>1600569.0</v>
      </c>
      <c r="AO7" s="233">
        <v>1788168.0</v>
      </c>
      <c r="AP7" s="233">
        <v>1830893.0</v>
      </c>
      <c r="AQ7" s="233">
        <v>1930774.0</v>
      </c>
      <c r="AR7" s="233">
        <v>1834593.0</v>
      </c>
      <c r="AS7" s="233">
        <v>1751824.0</v>
      </c>
      <c r="AT7" s="233">
        <v>1991494.0</v>
      </c>
      <c r="AU7" s="233">
        <v>2058391.0</v>
      </c>
      <c r="AV7" s="233">
        <v>2051153.0</v>
      </c>
      <c r="AW7" s="233">
        <v>2696556.0</v>
      </c>
      <c r="AX7" s="233">
        <v>2356352.0</v>
      </c>
      <c r="AY7" s="233">
        <v>2324880.0</v>
      </c>
      <c r="AZ7" s="233">
        <v>2487041.0</v>
      </c>
      <c r="BA7" s="233">
        <v>2434857.0</v>
      </c>
      <c r="BB7" s="233">
        <v>2352457.0</v>
      </c>
      <c r="BC7" s="233">
        <v>2505200.0</v>
      </c>
      <c r="BD7" s="233">
        <v>2569800.0</v>
      </c>
      <c r="BE7" s="233">
        <v>2569000.0</v>
      </c>
      <c r="BF7" s="233">
        <v>3054064.0</v>
      </c>
      <c r="BG7" s="233">
        <v>2956152.0</v>
      </c>
      <c r="BH7" s="233">
        <v>3168680.0</v>
      </c>
      <c r="BI7" s="233">
        <v>3517840.0</v>
      </c>
      <c r="BJ7" s="233">
        <v>2847000.0</v>
      </c>
      <c r="BK7" s="233">
        <v>3363800.0</v>
      </c>
      <c r="BL7" s="235"/>
      <c r="BM7" s="235"/>
    </row>
    <row r="8">
      <c r="A8" s="230"/>
      <c r="B8" s="230"/>
      <c r="C8" s="221" t="s">
        <v>179</v>
      </c>
      <c r="D8" s="232">
        <v>507006.0</v>
      </c>
      <c r="E8" s="232">
        <v>1005706.0</v>
      </c>
      <c r="F8" s="232">
        <v>985823.0</v>
      </c>
      <c r="G8" s="232">
        <v>1435660.0</v>
      </c>
      <c r="H8" s="233">
        <v>2272495.0</v>
      </c>
      <c r="I8" s="233">
        <v>3619117.0</v>
      </c>
      <c r="J8" s="233">
        <v>5428675.0</v>
      </c>
      <c r="K8" s="233">
        <v>7638113.0</v>
      </c>
      <c r="L8" s="235"/>
      <c r="M8" s="235"/>
      <c r="N8" s="235"/>
      <c r="O8" s="235"/>
      <c r="P8" s="233">
        <v>31151.0</v>
      </c>
      <c r="Q8" s="233">
        <v>29959.0</v>
      </c>
      <c r="R8" s="233">
        <v>30610.0</v>
      </c>
      <c r="S8" s="233">
        <v>50298.0</v>
      </c>
      <c r="T8" s="233">
        <v>33324.0</v>
      </c>
      <c r="U8" s="233">
        <v>48697.0</v>
      </c>
      <c r="V8" s="233">
        <v>39067.0</v>
      </c>
      <c r="W8" s="233">
        <v>45011.0</v>
      </c>
      <c r="X8" s="233">
        <v>47033.0</v>
      </c>
      <c r="Y8" s="233">
        <v>34977.0</v>
      </c>
      <c r="Z8" s="233">
        <v>61158.0</v>
      </c>
      <c r="AA8" s="233">
        <v>55721.0</v>
      </c>
      <c r="AB8" s="233">
        <v>62059.0</v>
      </c>
      <c r="AC8" s="233">
        <v>106792.0</v>
      </c>
      <c r="AD8" s="233">
        <v>69301.0</v>
      </c>
      <c r="AE8" s="233">
        <v>79646.0</v>
      </c>
      <c r="AF8" s="233">
        <v>60949.0</v>
      </c>
      <c r="AG8" s="233">
        <v>71350.0</v>
      </c>
      <c r="AH8" s="233">
        <v>149256.0</v>
      </c>
      <c r="AI8" s="233">
        <v>90370.0</v>
      </c>
      <c r="AJ8" s="233">
        <v>95275.0</v>
      </c>
      <c r="AK8" s="233">
        <v>71165.0</v>
      </c>
      <c r="AL8" s="233">
        <v>74807.0</v>
      </c>
      <c r="AM8" s="233">
        <v>74735.0</v>
      </c>
      <c r="AN8" s="233">
        <v>80743.0</v>
      </c>
      <c r="AO8" s="233">
        <v>79623.0</v>
      </c>
      <c r="AP8" s="233">
        <v>81376.0</v>
      </c>
      <c r="AQ8" s="233">
        <v>72606.0</v>
      </c>
      <c r="AR8" s="233">
        <v>79646.0</v>
      </c>
      <c r="AS8" s="233">
        <v>72514.0</v>
      </c>
      <c r="AT8" s="233">
        <v>80016.0</v>
      </c>
      <c r="AU8" s="233">
        <v>80140.0</v>
      </c>
      <c r="AV8" s="233">
        <v>81044.0</v>
      </c>
      <c r="AW8" s="233">
        <v>92967.0</v>
      </c>
      <c r="AX8" s="233">
        <v>92516.0</v>
      </c>
      <c r="AY8" s="233">
        <v>92631.0</v>
      </c>
      <c r="AZ8" s="233">
        <v>133643.0</v>
      </c>
      <c r="BA8" s="233">
        <v>89897.0</v>
      </c>
      <c r="BB8" s="233">
        <v>99623.0</v>
      </c>
      <c r="BC8" s="233">
        <v>95833.0</v>
      </c>
      <c r="BD8" s="233">
        <v>110833.0</v>
      </c>
      <c r="BE8" s="233">
        <v>115833.0</v>
      </c>
      <c r="BF8" s="233">
        <v>115833.0</v>
      </c>
      <c r="BG8" s="233">
        <v>130833.0</v>
      </c>
      <c r="BH8" s="233">
        <v>135833.0</v>
      </c>
      <c r="BI8" s="233">
        <v>135833.0</v>
      </c>
      <c r="BJ8" s="233">
        <v>135833.0</v>
      </c>
      <c r="BK8" s="233">
        <v>135833.0</v>
      </c>
      <c r="BL8" s="235"/>
      <c r="BM8" s="235"/>
    </row>
    <row r="9">
      <c r="A9" s="208"/>
      <c r="B9" s="208"/>
      <c r="C9" s="237" t="s">
        <v>69</v>
      </c>
      <c r="D9" s="238">
        <v>1.7445168E7</v>
      </c>
      <c r="E9" s="239">
        <v>2.2252496E7</v>
      </c>
      <c r="F9" s="239">
        <v>2.5201468E7</v>
      </c>
      <c r="G9" s="239">
        <v>3.5261552E7</v>
      </c>
      <c r="H9" s="239">
        <v>4.640546E7</v>
      </c>
      <c r="I9" s="239">
        <v>5.9743952E7</v>
      </c>
      <c r="J9" s="239">
        <v>7.4404857E7</v>
      </c>
      <c r="K9" s="239">
        <v>8.973248E7</v>
      </c>
      <c r="L9" s="235"/>
      <c r="M9" s="235"/>
      <c r="N9" s="235"/>
      <c r="O9" s="235"/>
      <c r="P9" s="239">
        <v>1179523.0</v>
      </c>
      <c r="Q9" s="239">
        <v>1065491.0</v>
      </c>
      <c r="R9" s="239">
        <v>1393511.0</v>
      </c>
      <c r="S9" s="239">
        <v>1205481.0</v>
      </c>
      <c r="T9" s="239">
        <v>1282332.0</v>
      </c>
      <c r="U9" s="239">
        <v>1544093.0</v>
      </c>
      <c r="V9" s="239">
        <v>1332017.0</v>
      </c>
      <c r="W9" s="239">
        <v>1935257.0</v>
      </c>
      <c r="X9" s="239">
        <v>1626546.0</v>
      </c>
      <c r="Y9" s="239">
        <v>1863277.0</v>
      </c>
      <c r="Z9" s="239">
        <v>1784765.0</v>
      </c>
      <c r="AA9" s="239">
        <v>1232873.0</v>
      </c>
      <c r="AB9" s="239">
        <v>2129960.0</v>
      </c>
      <c r="AC9" s="239">
        <v>1942659.0</v>
      </c>
      <c r="AD9" s="239">
        <v>2226821.0</v>
      </c>
      <c r="AE9" s="239">
        <v>1846227.0</v>
      </c>
      <c r="AF9" s="239">
        <v>1903194.0</v>
      </c>
      <c r="AG9" s="239">
        <v>1808478.0</v>
      </c>
      <c r="AH9" s="239">
        <v>1678800.0</v>
      </c>
      <c r="AI9" s="239">
        <v>2003033.0</v>
      </c>
      <c r="AJ9" s="239">
        <v>1606341.0</v>
      </c>
      <c r="AK9" s="239">
        <v>1874663.0</v>
      </c>
      <c r="AL9" s="239">
        <v>1664397.0</v>
      </c>
      <c r="AM9" s="239">
        <v>1567923.0</v>
      </c>
      <c r="AN9" s="239">
        <v>1681313.0</v>
      </c>
      <c r="AO9" s="239">
        <v>1867792.0</v>
      </c>
      <c r="AP9" s="239">
        <v>1912269.0</v>
      </c>
      <c r="AQ9" s="239">
        <v>2003380.0</v>
      </c>
      <c r="AR9" s="239">
        <v>1914239.0</v>
      </c>
      <c r="AS9" s="239">
        <v>1824338.0</v>
      </c>
      <c r="AT9" s="239">
        <v>2071509.0</v>
      </c>
      <c r="AU9" s="239">
        <v>2138531.0</v>
      </c>
      <c r="AV9" s="239">
        <v>2132197.0</v>
      </c>
      <c r="AW9" s="239">
        <v>2789522.0</v>
      </c>
      <c r="AX9" s="239">
        <v>2448868.0</v>
      </c>
      <c r="AY9" s="239">
        <v>2417510.0</v>
      </c>
      <c r="AZ9" s="239">
        <v>2620684.0</v>
      </c>
      <c r="BA9" s="239">
        <v>2524754.0</v>
      </c>
      <c r="BB9" s="239">
        <v>2452081.0</v>
      </c>
      <c r="BC9" s="239">
        <v>2601033.0</v>
      </c>
      <c r="BD9" s="239">
        <v>2680633.0</v>
      </c>
      <c r="BE9" s="239">
        <v>2684833.0</v>
      </c>
      <c r="BF9" s="239">
        <v>3169897.0</v>
      </c>
      <c r="BG9" s="239">
        <v>3086985.0</v>
      </c>
      <c r="BH9" s="239">
        <v>3304513.0</v>
      </c>
      <c r="BI9" s="239">
        <v>3653673.0</v>
      </c>
      <c r="BJ9" s="239">
        <v>2982833.0</v>
      </c>
      <c r="BK9" s="239">
        <v>3499633.0</v>
      </c>
      <c r="BL9" s="208"/>
      <c r="BM9" s="208"/>
    </row>
    <row r="10">
      <c r="A10" s="240"/>
      <c r="B10" s="240"/>
      <c r="C10" s="241" t="s">
        <v>180</v>
      </c>
      <c r="D10" s="242"/>
      <c r="E10" s="243">
        <v>0.28</v>
      </c>
      <c r="F10" s="243">
        <v>0.13</v>
      </c>
      <c r="G10" s="243">
        <v>0.4</v>
      </c>
      <c r="H10" s="243">
        <v>0.32</v>
      </c>
      <c r="I10" s="243">
        <v>0.29</v>
      </c>
      <c r="J10" s="243">
        <v>0.25</v>
      </c>
      <c r="K10" s="243">
        <v>0.21</v>
      </c>
      <c r="L10" s="244"/>
      <c r="M10" s="216"/>
      <c r="N10" s="216"/>
      <c r="O10" s="216"/>
      <c r="P10" s="242"/>
      <c r="Q10" s="242"/>
      <c r="R10" s="242"/>
      <c r="S10" s="242"/>
      <c r="T10" s="242"/>
      <c r="U10" s="242"/>
      <c r="V10" s="242"/>
      <c r="W10" s="242"/>
      <c r="X10" s="242"/>
      <c r="Y10" s="242"/>
      <c r="Z10" s="242"/>
      <c r="AA10" s="242"/>
      <c r="AB10" s="243">
        <v>0.81</v>
      </c>
      <c r="AC10" s="243">
        <v>0.82</v>
      </c>
      <c r="AD10" s="243">
        <v>0.6</v>
      </c>
      <c r="AE10" s="243">
        <v>0.53</v>
      </c>
      <c r="AF10" s="243">
        <v>0.48</v>
      </c>
      <c r="AG10" s="243">
        <v>0.17</v>
      </c>
      <c r="AH10" s="243">
        <v>0.26</v>
      </c>
      <c r="AI10" s="243">
        <v>0.04</v>
      </c>
      <c r="AJ10" s="243">
        <v>-0.01</v>
      </c>
      <c r="AK10" s="243">
        <v>0.01</v>
      </c>
      <c r="AL10" s="243">
        <v>-0.07</v>
      </c>
      <c r="AM10" s="243">
        <v>0.27</v>
      </c>
      <c r="AN10" s="243">
        <v>-0.21</v>
      </c>
      <c r="AO10" s="243">
        <v>-0.04</v>
      </c>
      <c r="AP10" s="243">
        <v>-0.14</v>
      </c>
      <c r="AQ10" s="243">
        <v>0.09</v>
      </c>
      <c r="AR10" s="243">
        <v>0.01</v>
      </c>
      <c r="AS10" s="243">
        <v>0.01</v>
      </c>
      <c r="AT10" s="243">
        <v>0.23</v>
      </c>
      <c r="AU10" s="243">
        <v>0.07</v>
      </c>
      <c r="AV10" s="243">
        <v>0.33</v>
      </c>
      <c r="AW10" s="243">
        <v>0.49</v>
      </c>
      <c r="AX10" s="243">
        <v>0.47</v>
      </c>
      <c r="AY10" s="243">
        <v>0.54</v>
      </c>
      <c r="AZ10" s="243">
        <v>0.56</v>
      </c>
      <c r="BA10" s="243">
        <v>0.35</v>
      </c>
      <c r="BB10" s="243">
        <v>0.28</v>
      </c>
      <c r="BC10" s="243">
        <v>0.3</v>
      </c>
      <c r="BD10" s="243">
        <v>0.4</v>
      </c>
      <c r="BE10" s="243">
        <v>0.47</v>
      </c>
      <c r="BF10" s="243">
        <v>0.53</v>
      </c>
      <c r="BG10" s="243">
        <v>0.44</v>
      </c>
      <c r="BH10" s="243">
        <v>0.55</v>
      </c>
      <c r="BI10" s="243">
        <v>0.31</v>
      </c>
      <c r="BJ10" s="243">
        <v>0.22</v>
      </c>
      <c r="BK10" s="243">
        <v>0.45</v>
      </c>
      <c r="BL10" s="240"/>
      <c r="BM10" s="240"/>
    </row>
    <row r="11">
      <c r="A11" s="208"/>
      <c r="B11" s="208"/>
      <c r="C11" s="245"/>
      <c r="D11" s="225"/>
      <c r="E11" s="244"/>
      <c r="F11" s="244"/>
      <c r="G11" s="244"/>
      <c r="H11" s="244"/>
      <c r="I11" s="244"/>
      <c r="J11" s="244"/>
      <c r="K11" s="244"/>
      <c r="L11" s="244"/>
      <c r="M11" s="205"/>
      <c r="N11" s="205"/>
      <c r="O11" s="205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  <c r="AJ11" s="244"/>
      <c r="AK11" s="244"/>
      <c r="AL11" s="244"/>
      <c r="AM11" s="244"/>
      <c r="AN11" s="244"/>
      <c r="AO11" s="244"/>
      <c r="AP11" s="244"/>
      <c r="AQ11" s="244"/>
      <c r="AR11" s="244"/>
      <c r="AS11" s="244"/>
      <c r="AT11" s="244"/>
      <c r="AU11" s="244"/>
      <c r="AV11" s="244"/>
      <c r="AW11" s="244"/>
      <c r="AX11" s="244"/>
      <c r="AY11" s="244"/>
      <c r="AZ11" s="244"/>
      <c r="BA11" s="244"/>
      <c r="BB11" s="244"/>
      <c r="BC11" s="244"/>
      <c r="BD11" s="244"/>
      <c r="BE11" s="244"/>
      <c r="BF11" s="244"/>
      <c r="BG11" s="244"/>
      <c r="BH11" s="244"/>
      <c r="BI11" s="244"/>
      <c r="BJ11" s="244"/>
      <c r="BK11" s="244"/>
      <c r="BL11" s="208"/>
      <c r="BM11" s="208"/>
    </row>
    <row r="12">
      <c r="A12" s="208"/>
      <c r="B12" s="208"/>
      <c r="C12" s="221" t="s">
        <v>181</v>
      </c>
      <c r="D12" s="232">
        <v>4543526.0</v>
      </c>
      <c r="E12" s="232">
        <v>8664173.0</v>
      </c>
      <c r="F12" s="232">
        <v>9578298.0</v>
      </c>
      <c r="G12" s="232">
        <v>1.2871899E7</v>
      </c>
      <c r="H12" s="233">
        <v>1.593792E7</v>
      </c>
      <c r="I12" s="233">
        <v>2.019759E7</v>
      </c>
      <c r="J12" s="233">
        <v>2.3995706E7</v>
      </c>
      <c r="K12" s="233">
        <v>2.8003532E7</v>
      </c>
      <c r="L12" s="244"/>
      <c r="M12" s="205"/>
      <c r="N12" s="205"/>
      <c r="O12" s="205"/>
      <c r="P12" s="233">
        <v>276687.0</v>
      </c>
      <c r="Q12" s="233">
        <v>297773.0</v>
      </c>
      <c r="R12" s="233">
        <v>326767.0</v>
      </c>
      <c r="S12" s="233">
        <v>350070.0</v>
      </c>
      <c r="T12" s="233">
        <v>346118.0</v>
      </c>
      <c r="U12" s="233">
        <v>362548.0</v>
      </c>
      <c r="V12" s="233">
        <v>402210.0</v>
      </c>
      <c r="W12" s="233">
        <v>428464.0</v>
      </c>
      <c r="X12" s="233">
        <v>436831.0</v>
      </c>
      <c r="Y12" s="233">
        <v>397788.0</v>
      </c>
      <c r="Z12" s="233">
        <v>444200.0</v>
      </c>
      <c r="AA12" s="233">
        <v>474071.0</v>
      </c>
      <c r="AB12" s="233">
        <v>787846.0</v>
      </c>
      <c r="AC12" s="233">
        <v>586404.0</v>
      </c>
      <c r="AD12" s="233">
        <v>673233.0</v>
      </c>
      <c r="AE12" s="233">
        <v>801088.0</v>
      </c>
      <c r="AF12" s="233">
        <v>688167.0</v>
      </c>
      <c r="AG12" s="233">
        <v>639784.0</v>
      </c>
      <c r="AH12" s="233">
        <v>771827.0</v>
      </c>
      <c r="AI12" s="233">
        <v>705201.0</v>
      </c>
      <c r="AJ12" s="233">
        <v>716101.0</v>
      </c>
      <c r="AK12" s="233">
        <v>740540.0</v>
      </c>
      <c r="AL12" s="233">
        <v>723476.0</v>
      </c>
      <c r="AM12" s="233">
        <v>830507.0</v>
      </c>
      <c r="AN12" s="233">
        <v>802369.0</v>
      </c>
      <c r="AO12" s="233">
        <v>679389.0</v>
      </c>
      <c r="AP12" s="233">
        <v>833181.0</v>
      </c>
      <c r="AQ12" s="233">
        <v>678966.0</v>
      </c>
      <c r="AR12" s="233">
        <v>699874.0</v>
      </c>
      <c r="AS12" s="233">
        <v>674598.0</v>
      </c>
      <c r="AT12" s="233">
        <v>817542.0</v>
      </c>
      <c r="AU12" s="233">
        <v>727330.0</v>
      </c>
      <c r="AV12" s="233">
        <v>820290.0</v>
      </c>
      <c r="AW12" s="233">
        <v>911230.0</v>
      </c>
      <c r="AX12" s="233">
        <v>913595.0</v>
      </c>
      <c r="AY12" s="233">
        <v>1019934.0</v>
      </c>
      <c r="AZ12" s="233">
        <v>1072423.0</v>
      </c>
      <c r="BA12" s="233">
        <v>967878.0</v>
      </c>
      <c r="BB12" s="233">
        <v>974416.0</v>
      </c>
      <c r="BC12" s="233">
        <v>992561.0</v>
      </c>
      <c r="BD12" s="233">
        <v>1039448.0</v>
      </c>
      <c r="BE12" s="233">
        <v>1022807.0</v>
      </c>
      <c r="BF12" s="233">
        <v>1146340.0</v>
      </c>
      <c r="BG12" s="233">
        <v>1046744.0</v>
      </c>
      <c r="BH12" s="233">
        <v>1146199.0</v>
      </c>
      <c r="BI12" s="233">
        <v>1198249.0</v>
      </c>
      <c r="BJ12" s="233">
        <v>1053475.0</v>
      </c>
      <c r="BK12" s="233">
        <v>1211357.0</v>
      </c>
      <c r="BL12" s="208"/>
      <c r="BM12" s="208"/>
    </row>
    <row r="13">
      <c r="A13" s="208"/>
      <c r="B13" s="208"/>
      <c r="C13" s="221" t="s">
        <v>182</v>
      </c>
      <c r="D13" s="246" t="s">
        <v>183</v>
      </c>
      <c r="E13" s="246" t="s">
        <v>183</v>
      </c>
      <c r="F13" s="246" t="s">
        <v>183</v>
      </c>
      <c r="G13" s="232">
        <v>334974.0</v>
      </c>
      <c r="H13" s="233">
        <v>334974.0</v>
      </c>
      <c r="I13" s="233">
        <v>354270.0</v>
      </c>
      <c r="J13" s="233">
        <v>407411.0</v>
      </c>
      <c r="K13" s="233">
        <v>468522.0</v>
      </c>
      <c r="L13" s="244"/>
      <c r="M13" s="205"/>
      <c r="N13" s="205"/>
      <c r="O13" s="205"/>
      <c r="P13" s="247" t="s">
        <v>183</v>
      </c>
      <c r="Q13" s="247" t="s">
        <v>183</v>
      </c>
      <c r="R13" s="247" t="s">
        <v>183</v>
      </c>
      <c r="S13" s="247" t="s">
        <v>183</v>
      </c>
      <c r="T13" s="247" t="s">
        <v>183</v>
      </c>
      <c r="U13" s="247" t="s">
        <v>183</v>
      </c>
      <c r="V13" s="247" t="s">
        <v>183</v>
      </c>
      <c r="W13" s="247" t="s">
        <v>183</v>
      </c>
      <c r="X13" s="247" t="s">
        <v>183</v>
      </c>
      <c r="Y13" s="247" t="s">
        <v>183</v>
      </c>
      <c r="Z13" s="247" t="s">
        <v>183</v>
      </c>
      <c r="AA13" s="247" t="s">
        <v>183</v>
      </c>
      <c r="AB13" s="247" t="s">
        <v>183</v>
      </c>
      <c r="AC13" s="247" t="s">
        <v>183</v>
      </c>
      <c r="AD13" s="247" t="s">
        <v>183</v>
      </c>
      <c r="AE13" s="247" t="s">
        <v>183</v>
      </c>
      <c r="AF13" s="247" t="s">
        <v>183</v>
      </c>
      <c r="AG13" s="247" t="s">
        <v>183</v>
      </c>
      <c r="AH13" s="247" t="s">
        <v>183</v>
      </c>
      <c r="AI13" s="247" t="s">
        <v>183</v>
      </c>
      <c r="AJ13" s="247" t="s">
        <v>183</v>
      </c>
      <c r="AK13" s="247" t="s">
        <v>183</v>
      </c>
      <c r="AL13" s="247" t="s">
        <v>183</v>
      </c>
      <c r="AM13" s="247" t="s">
        <v>183</v>
      </c>
      <c r="AN13" s="247" t="s">
        <v>183</v>
      </c>
      <c r="AO13" s="247" t="s">
        <v>183</v>
      </c>
      <c r="AP13" s="247" t="s">
        <v>183</v>
      </c>
      <c r="AQ13" s="247" t="s">
        <v>183</v>
      </c>
      <c r="AR13" s="247" t="s">
        <v>183</v>
      </c>
      <c r="AS13" s="247" t="s">
        <v>183</v>
      </c>
      <c r="AT13" s="247" t="s">
        <v>183</v>
      </c>
      <c r="AU13" s="247" t="s">
        <v>183</v>
      </c>
      <c r="AV13" s="247" t="s">
        <v>183</v>
      </c>
      <c r="AW13" s="247" t="s">
        <v>183</v>
      </c>
      <c r="AX13" s="247" t="s">
        <v>183</v>
      </c>
      <c r="AY13" s="247" t="s">
        <v>183</v>
      </c>
      <c r="AZ13" s="233">
        <v>19664.0</v>
      </c>
      <c r="BA13" s="233">
        <v>32387.0</v>
      </c>
      <c r="BB13" s="233">
        <v>13032.0</v>
      </c>
      <c r="BC13" s="233">
        <v>7013.0</v>
      </c>
      <c r="BD13" s="233">
        <v>35723.0</v>
      </c>
      <c r="BE13" s="233">
        <v>14203.0</v>
      </c>
      <c r="BF13" s="233">
        <v>17193.0</v>
      </c>
      <c r="BG13" s="233">
        <v>103360.0</v>
      </c>
      <c r="BH13" s="233">
        <v>23100.0</v>
      </c>
      <c r="BI13" s="233">
        <v>23100.0</v>
      </c>
      <c r="BJ13" s="233">
        <v>23100.0</v>
      </c>
      <c r="BK13" s="233">
        <v>23100.0</v>
      </c>
      <c r="BL13" s="208"/>
      <c r="BM13" s="208"/>
    </row>
    <row r="14">
      <c r="A14" s="208"/>
      <c r="B14" s="208"/>
      <c r="C14" s="221" t="s">
        <v>184</v>
      </c>
      <c r="D14" s="232">
        <v>491884.0</v>
      </c>
      <c r="E14" s="232">
        <v>113993.0</v>
      </c>
      <c r="F14" s="232">
        <v>246880.0</v>
      </c>
      <c r="G14" s="232">
        <v>123520.0</v>
      </c>
      <c r="H14" s="233">
        <v>80340.0</v>
      </c>
      <c r="I14" s="233">
        <v>82750.0</v>
      </c>
      <c r="J14" s="233">
        <v>85233.0</v>
      </c>
      <c r="K14" s="233">
        <v>87790.0</v>
      </c>
      <c r="L14" s="244"/>
      <c r="M14" s="205"/>
      <c r="N14" s="205"/>
      <c r="O14" s="205"/>
      <c r="P14" s="233">
        <v>9000.0</v>
      </c>
      <c r="Q14" s="233">
        <v>73500.0</v>
      </c>
      <c r="R14" s="233">
        <v>34782.0</v>
      </c>
      <c r="S14" s="233">
        <v>70908.0</v>
      </c>
      <c r="T14" s="233">
        <v>45550.0</v>
      </c>
      <c r="U14" s="233">
        <v>25500.0</v>
      </c>
      <c r="V14" s="233">
        <v>46516.0</v>
      </c>
      <c r="W14" s="233">
        <v>16704.0</v>
      </c>
      <c r="X14" s="233">
        <v>23102.0</v>
      </c>
      <c r="Y14" s="233">
        <v>37892.0</v>
      </c>
      <c r="Z14" s="233">
        <v>86124.0</v>
      </c>
      <c r="AA14" s="233">
        <v>22306.0</v>
      </c>
      <c r="AB14" s="233">
        <v>23525.0</v>
      </c>
      <c r="AC14" s="233">
        <v>59466.0</v>
      </c>
      <c r="AD14" s="233">
        <v>19850.0</v>
      </c>
      <c r="AE14" s="233">
        <v>10306.0</v>
      </c>
      <c r="AF14" s="247">
        <v>846.0</v>
      </c>
      <c r="AG14" s="247" t="s">
        <v>183</v>
      </c>
      <c r="AH14" s="247" t="s">
        <v>183</v>
      </c>
      <c r="AI14" s="247" t="s">
        <v>183</v>
      </c>
      <c r="AJ14" s="247" t="s">
        <v>183</v>
      </c>
      <c r="AK14" s="247" t="s">
        <v>183</v>
      </c>
      <c r="AL14" s="247" t="s">
        <v>183</v>
      </c>
      <c r="AM14" s="247" t="s">
        <v>183</v>
      </c>
      <c r="AN14" s="247" t="s">
        <v>183</v>
      </c>
      <c r="AO14" s="247" t="s">
        <v>183</v>
      </c>
      <c r="AP14" s="247" t="s">
        <v>183</v>
      </c>
      <c r="AQ14" s="233">
        <v>30000.0</v>
      </c>
      <c r="AR14" s="233">
        <v>30000.0</v>
      </c>
      <c r="AS14" s="233">
        <v>30000.0</v>
      </c>
      <c r="AT14" s="233">
        <v>30000.0</v>
      </c>
      <c r="AU14" s="233">
        <v>40000.0</v>
      </c>
      <c r="AV14" s="233">
        <v>15000.0</v>
      </c>
      <c r="AW14" s="233">
        <v>25000.0</v>
      </c>
      <c r="AX14" s="233">
        <v>18160.0</v>
      </c>
      <c r="AY14" s="233">
        <v>28720.0</v>
      </c>
      <c r="AZ14" s="233">
        <v>27840.0</v>
      </c>
      <c r="BA14" s="233">
        <v>48080.0</v>
      </c>
      <c r="BB14" s="233">
        <v>29600.0</v>
      </c>
      <c r="BC14" s="233">
        <v>18000.0</v>
      </c>
      <c r="BD14" s="247" t="s">
        <v>183</v>
      </c>
      <c r="BE14" s="247" t="s">
        <v>183</v>
      </c>
      <c r="BF14" s="247" t="s">
        <v>183</v>
      </c>
      <c r="BG14" s="247" t="s">
        <v>183</v>
      </c>
      <c r="BH14" s="247" t="s">
        <v>183</v>
      </c>
      <c r="BI14" s="247" t="s">
        <v>183</v>
      </c>
      <c r="BJ14" s="247" t="s">
        <v>183</v>
      </c>
      <c r="BK14" s="247" t="s">
        <v>183</v>
      </c>
      <c r="BL14" s="208"/>
      <c r="BM14" s="208"/>
    </row>
    <row r="15">
      <c r="A15" s="208"/>
      <c r="B15" s="208"/>
      <c r="C15" s="248" t="s">
        <v>185</v>
      </c>
      <c r="D15" s="249">
        <v>5035410.0</v>
      </c>
      <c r="E15" s="249">
        <v>8778166.0</v>
      </c>
      <c r="F15" s="249">
        <v>9825178.0</v>
      </c>
      <c r="G15" s="249">
        <v>1.3330393E7</v>
      </c>
      <c r="H15" s="249">
        <v>1.6353233E7</v>
      </c>
      <c r="I15" s="249">
        <v>2.063461E7</v>
      </c>
      <c r="J15" s="249">
        <v>2.4488349E7</v>
      </c>
      <c r="K15" s="249">
        <v>2.8559844E7</v>
      </c>
      <c r="L15" s="225"/>
      <c r="M15" s="205"/>
      <c r="N15" s="205"/>
      <c r="O15" s="205"/>
      <c r="P15" s="249">
        <v>285687.0</v>
      </c>
      <c r="Q15" s="249">
        <v>371273.0</v>
      </c>
      <c r="R15" s="249">
        <v>361549.0</v>
      </c>
      <c r="S15" s="249">
        <v>420978.0</v>
      </c>
      <c r="T15" s="249">
        <v>391668.0</v>
      </c>
      <c r="U15" s="249">
        <v>388048.0</v>
      </c>
      <c r="V15" s="249">
        <v>448726.0</v>
      </c>
      <c r="W15" s="249">
        <v>445168.0</v>
      </c>
      <c r="X15" s="249">
        <v>459933.0</v>
      </c>
      <c r="Y15" s="249">
        <v>435680.0</v>
      </c>
      <c r="Z15" s="249">
        <v>530324.0</v>
      </c>
      <c r="AA15" s="249">
        <v>496377.0</v>
      </c>
      <c r="AB15" s="249">
        <v>811371.0</v>
      </c>
      <c r="AC15" s="249">
        <v>645870.0</v>
      </c>
      <c r="AD15" s="249">
        <v>693083.0</v>
      </c>
      <c r="AE15" s="249">
        <v>811394.0</v>
      </c>
      <c r="AF15" s="249">
        <v>689013.0</v>
      </c>
      <c r="AG15" s="249">
        <v>639784.0</v>
      </c>
      <c r="AH15" s="249">
        <v>771827.0</v>
      </c>
      <c r="AI15" s="249">
        <v>705201.0</v>
      </c>
      <c r="AJ15" s="249">
        <v>716101.0</v>
      </c>
      <c r="AK15" s="249">
        <v>740540.0</v>
      </c>
      <c r="AL15" s="249">
        <v>723476.0</v>
      </c>
      <c r="AM15" s="249">
        <v>830507.0</v>
      </c>
      <c r="AN15" s="249">
        <v>802369.0</v>
      </c>
      <c r="AO15" s="249">
        <v>679389.0</v>
      </c>
      <c r="AP15" s="249">
        <v>833181.0</v>
      </c>
      <c r="AQ15" s="249">
        <v>708966.0</v>
      </c>
      <c r="AR15" s="249">
        <v>729874.0</v>
      </c>
      <c r="AS15" s="249">
        <v>704598.0</v>
      </c>
      <c r="AT15" s="249">
        <v>847542.0</v>
      </c>
      <c r="AU15" s="249">
        <v>767330.0</v>
      </c>
      <c r="AV15" s="249">
        <v>835290.0</v>
      </c>
      <c r="AW15" s="249">
        <v>936230.0</v>
      </c>
      <c r="AX15" s="249">
        <v>931755.0</v>
      </c>
      <c r="AY15" s="249">
        <v>1048654.0</v>
      </c>
      <c r="AZ15" s="249">
        <v>1119926.0</v>
      </c>
      <c r="BA15" s="249">
        <v>1048345.0</v>
      </c>
      <c r="BB15" s="249">
        <v>1017048.0</v>
      </c>
      <c r="BC15" s="249">
        <v>1017574.0</v>
      </c>
      <c r="BD15" s="249">
        <v>1075172.0</v>
      </c>
      <c r="BE15" s="249">
        <v>1037011.0</v>
      </c>
      <c r="BF15" s="249">
        <v>1163533.0</v>
      </c>
      <c r="BG15" s="249">
        <v>1150104.0</v>
      </c>
      <c r="BH15" s="249">
        <v>1169299.0</v>
      </c>
      <c r="BI15" s="249">
        <v>1221349.0</v>
      </c>
      <c r="BJ15" s="249">
        <v>1076575.0</v>
      </c>
      <c r="BK15" s="249">
        <v>1234457.0</v>
      </c>
      <c r="BL15" s="208"/>
      <c r="BM15" s="208"/>
    </row>
    <row r="16">
      <c r="A16" s="208"/>
      <c r="B16" s="208"/>
      <c r="C16" s="237" t="s">
        <v>186</v>
      </c>
      <c r="D16" s="250">
        <v>1.2409758E7</v>
      </c>
      <c r="E16" s="250">
        <v>1.3474329E7</v>
      </c>
      <c r="F16" s="250">
        <v>1.537629E7</v>
      </c>
      <c r="G16" s="250">
        <v>2.1931159E7</v>
      </c>
      <c r="H16" s="250">
        <v>3.0052226E7</v>
      </c>
      <c r="I16" s="250">
        <v>3.9109342E7</v>
      </c>
      <c r="J16" s="250">
        <v>4.9916508E7</v>
      </c>
      <c r="K16" s="250">
        <v>6.1172636E7</v>
      </c>
      <c r="L16" s="251"/>
      <c r="M16" s="235"/>
      <c r="N16" s="235"/>
      <c r="O16" s="235"/>
      <c r="P16" s="250">
        <v>893837.0</v>
      </c>
      <c r="Q16" s="250">
        <v>694219.0</v>
      </c>
      <c r="R16" s="250">
        <v>1031963.0</v>
      </c>
      <c r="S16" s="250">
        <v>784503.0</v>
      </c>
      <c r="T16" s="250">
        <v>890664.0</v>
      </c>
      <c r="U16" s="250">
        <v>1156045.0</v>
      </c>
      <c r="V16" s="250">
        <v>883292.0</v>
      </c>
      <c r="W16" s="250">
        <v>1490089.0</v>
      </c>
      <c r="X16" s="250">
        <v>1166613.0</v>
      </c>
      <c r="Y16" s="250">
        <v>1427598.0</v>
      </c>
      <c r="Z16" s="250">
        <v>1254441.0</v>
      </c>
      <c r="AA16" s="250">
        <v>736495.0</v>
      </c>
      <c r="AB16" s="250">
        <v>1318589.0</v>
      </c>
      <c r="AC16" s="250">
        <v>1296789.0</v>
      </c>
      <c r="AD16" s="250">
        <v>1533738.0</v>
      </c>
      <c r="AE16" s="250">
        <v>1034833.0</v>
      </c>
      <c r="AF16" s="250">
        <v>1214181.0</v>
      </c>
      <c r="AG16" s="250">
        <v>1168693.0</v>
      </c>
      <c r="AH16" s="250">
        <v>906973.0</v>
      </c>
      <c r="AI16" s="250">
        <v>1297832.0</v>
      </c>
      <c r="AJ16" s="250">
        <v>890240.0</v>
      </c>
      <c r="AK16" s="250">
        <v>1134124.0</v>
      </c>
      <c r="AL16" s="250">
        <v>940921.0</v>
      </c>
      <c r="AM16" s="250">
        <v>737417.0</v>
      </c>
      <c r="AN16" s="250">
        <v>878944.0</v>
      </c>
      <c r="AO16" s="250">
        <v>1188403.0</v>
      </c>
      <c r="AP16" s="250">
        <v>1079088.0</v>
      </c>
      <c r="AQ16" s="250">
        <v>1294414.0</v>
      </c>
      <c r="AR16" s="250">
        <v>1184365.0</v>
      </c>
      <c r="AS16" s="250">
        <v>1119740.0</v>
      </c>
      <c r="AT16" s="250">
        <v>1223967.0</v>
      </c>
      <c r="AU16" s="250">
        <v>1371201.0</v>
      </c>
      <c r="AV16" s="250">
        <v>1296907.0</v>
      </c>
      <c r="AW16" s="250">
        <v>1853293.0</v>
      </c>
      <c r="AX16" s="250">
        <v>1517113.0</v>
      </c>
      <c r="AY16" s="250">
        <v>1368856.0</v>
      </c>
      <c r="AZ16" s="250">
        <v>1500758.0</v>
      </c>
      <c r="BA16" s="250">
        <v>1476409.0</v>
      </c>
      <c r="BB16" s="250">
        <v>1435033.0</v>
      </c>
      <c r="BC16" s="250">
        <v>1583459.0</v>
      </c>
      <c r="BD16" s="250">
        <v>1605461.0</v>
      </c>
      <c r="BE16" s="250">
        <v>1647822.0</v>
      </c>
      <c r="BF16" s="250">
        <v>2006364.0</v>
      </c>
      <c r="BG16" s="250">
        <v>1936881.0</v>
      </c>
      <c r="BH16" s="250">
        <v>2135214.0</v>
      </c>
      <c r="BI16" s="250">
        <v>2432324.0</v>
      </c>
      <c r="BJ16" s="250">
        <v>1906258.0</v>
      </c>
      <c r="BK16" s="250">
        <v>2265176.0</v>
      </c>
      <c r="BL16" s="208"/>
      <c r="BM16" s="208"/>
    </row>
    <row r="17">
      <c r="A17" s="208"/>
      <c r="B17" s="208"/>
      <c r="C17" s="241" t="s">
        <v>187</v>
      </c>
      <c r="D17" s="243">
        <v>0.71</v>
      </c>
      <c r="E17" s="243">
        <v>0.61</v>
      </c>
      <c r="F17" s="243">
        <v>0.61</v>
      </c>
      <c r="G17" s="252">
        <v>0.622</v>
      </c>
      <c r="H17" s="252">
        <v>0.648</v>
      </c>
      <c r="I17" s="252">
        <v>0.655</v>
      </c>
      <c r="J17" s="252">
        <v>0.671</v>
      </c>
      <c r="K17" s="252">
        <v>0.682</v>
      </c>
      <c r="L17" s="244"/>
      <c r="M17" s="216"/>
      <c r="N17" s="216"/>
      <c r="O17" s="216"/>
      <c r="P17" s="243">
        <v>0.76</v>
      </c>
      <c r="Q17" s="243">
        <v>0.65</v>
      </c>
      <c r="R17" s="243">
        <v>0.74</v>
      </c>
      <c r="S17" s="243">
        <v>0.65</v>
      </c>
      <c r="T17" s="243">
        <v>0.69</v>
      </c>
      <c r="U17" s="243">
        <v>0.75</v>
      </c>
      <c r="V17" s="243">
        <v>0.66</v>
      </c>
      <c r="W17" s="243">
        <v>0.77</v>
      </c>
      <c r="X17" s="243">
        <v>0.72</v>
      </c>
      <c r="Y17" s="243">
        <v>0.77</v>
      </c>
      <c r="Z17" s="243">
        <v>0.7</v>
      </c>
      <c r="AA17" s="243">
        <v>0.6</v>
      </c>
      <c r="AB17" s="243">
        <v>0.62</v>
      </c>
      <c r="AC17" s="243">
        <v>0.67</v>
      </c>
      <c r="AD17" s="243">
        <v>0.69</v>
      </c>
      <c r="AE17" s="243">
        <v>0.56</v>
      </c>
      <c r="AF17" s="243">
        <v>0.64</v>
      </c>
      <c r="AG17" s="243">
        <v>0.65</v>
      </c>
      <c r="AH17" s="243">
        <v>0.54</v>
      </c>
      <c r="AI17" s="243">
        <v>0.65</v>
      </c>
      <c r="AJ17" s="243">
        <v>0.55</v>
      </c>
      <c r="AK17" s="243">
        <v>0.6</v>
      </c>
      <c r="AL17" s="243">
        <v>0.57</v>
      </c>
      <c r="AM17" s="243">
        <v>0.47</v>
      </c>
      <c r="AN17" s="243">
        <v>0.52</v>
      </c>
      <c r="AO17" s="243">
        <v>0.64</v>
      </c>
      <c r="AP17" s="243">
        <v>0.56</v>
      </c>
      <c r="AQ17" s="243">
        <v>0.65</v>
      </c>
      <c r="AR17" s="243">
        <v>0.62</v>
      </c>
      <c r="AS17" s="243">
        <v>0.61</v>
      </c>
      <c r="AT17" s="243">
        <v>0.59</v>
      </c>
      <c r="AU17" s="243">
        <v>0.64</v>
      </c>
      <c r="AV17" s="243">
        <v>0.61</v>
      </c>
      <c r="AW17" s="243">
        <v>0.66</v>
      </c>
      <c r="AX17" s="243">
        <v>0.62</v>
      </c>
      <c r="AY17" s="243">
        <v>0.57</v>
      </c>
      <c r="AZ17" s="243">
        <v>0.57</v>
      </c>
      <c r="BA17" s="243">
        <v>0.58</v>
      </c>
      <c r="BB17" s="243">
        <v>0.59</v>
      </c>
      <c r="BC17" s="243">
        <v>0.61</v>
      </c>
      <c r="BD17" s="243">
        <v>0.6</v>
      </c>
      <c r="BE17" s="243">
        <v>0.61</v>
      </c>
      <c r="BF17" s="243">
        <v>0.63</v>
      </c>
      <c r="BG17" s="243">
        <v>0.63</v>
      </c>
      <c r="BH17" s="243">
        <v>0.65</v>
      </c>
      <c r="BI17" s="243">
        <v>0.67</v>
      </c>
      <c r="BJ17" s="243">
        <v>0.64</v>
      </c>
      <c r="BK17" s="243">
        <v>0.65</v>
      </c>
      <c r="BL17" s="208"/>
      <c r="BM17" s="208"/>
    </row>
    <row r="18">
      <c r="A18" s="208"/>
      <c r="B18" s="208"/>
      <c r="C18" s="241" t="s">
        <v>188</v>
      </c>
      <c r="D18" s="252">
        <v>0.807</v>
      </c>
      <c r="E18" s="252">
        <v>0.748</v>
      </c>
      <c r="F18" s="252">
        <v>0.745</v>
      </c>
      <c r="G18" s="253">
        <v>0.781</v>
      </c>
      <c r="H18" s="253">
        <v>0.785</v>
      </c>
      <c r="I18" s="253">
        <v>0.785</v>
      </c>
      <c r="J18" s="253">
        <v>0.785</v>
      </c>
      <c r="K18" s="253">
        <v>0.785</v>
      </c>
      <c r="L18" s="244"/>
      <c r="M18" s="216"/>
      <c r="N18" s="216"/>
      <c r="O18" s="216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  <c r="AE18" s="254"/>
      <c r="AF18" s="254"/>
      <c r="AG18" s="254"/>
      <c r="AH18" s="254"/>
      <c r="AI18" s="254"/>
      <c r="AJ18" s="254"/>
      <c r="AK18" s="254"/>
      <c r="AL18" s="254"/>
      <c r="AM18" s="254"/>
      <c r="AN18" s="254"/>
      <c r="AO18" s="254"/>
      <c r="AP18" s="254"/>
      <c r="AQ18" s="254"/>
      <c r="AR18" s="254"/>
      <c r="AS18" s="254"/>
      <c r="AT18" s="254"/>
      <c r="AU18" s="254"/>
      <c r="AV18" s="254"/>
      <c r="AW18" s="254"/>
      <c r="AX18" s="254"/>
      <c r="AY18" s="254"/>
      <c r="AZ18" s="255">
        <v>0.8</v>
      </c>
      <c r="BA18" s="255">
        <v>0.8</v>
      </c>
      <c r="BB18" s="255">
        <v>0.78</v>
      </c>
      <c r="BC18" s="255">
        <v>0.75</v>
      </c>
      <c r="BD18" s="255">
        <v>0.75</v>
      </c>
      <c r="BE18" s="255">
        <v>0.75</v>
      </c>
      <c r="BF18" s="255">
        <v>0.78</v>
      </c>
      <c r="BG18" s="255">
        <v>0.78</v>
      </c>
      <c r="BH18" s="255">
        <v>0.8</v>
      </c>
      <c r="BI18" s="255">
        <v>0.8</v>
      </c>
      <c r="BJ18" s="255">
        <v>0.8</v>
      </c>
      <c r="BK18" s="255">
        <v>0.78</v>
      </c>
      <c r="BL18" s="208"/>
      <c r="BM18" s="208"/>
    </row>
    <row r="19">
      <c r="A19" s="208"/>
      <c r="B19" s="208"/>
      <c r="C19" s="245"/>
      <c r="D19" s="244"/>
      <c r="E19" s="244"/>
      <c r="F19" s="244"/>
      <c r="G19" s="244"/>
      <c r="H19" s="244"/>
      <c r="I19" s="244"/>
      <c r="J19" s="244"/>
      <c r="K19" s="244"/>
      <c r="L19" s="244"/>
      <c r="M19" s="205"/>
      <c r="N19" s="205"/>
      <c r="O19" s="205"/>
      <c r="P19" s="256"/>
      <c r="Q19" s="256"/>
      <c r="R19" s="256"/>
      <c r="S19" s="256"/>
      <c r="T19" s="256"/>
      <c r="U19" s="256"/>
      <c r="V19" s="256"/>
      <c r="W19" s="256"/>
      <c r="X19" s="256"/>
      <c r="Y19" s="256"/>
      <c r="Z19" s="256"/>
      <c r="AA19" s="256"/>
      <c r="AB19" s="256"/>
      <c r="AC19" s="256"/>
      <c r="AD19" s="256"/>
      <c r="AE19" s="256"/>
      <c r="AF19" s="256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256"/>
      <c r="AR19" s="256"/>
      <c r="AS19" s="256"/>
      <c r="AT19" s="256"/>
      <c r="AU19" s="256"/>
      <c r="AV19" s="256"/>
      <c r="AW19" s="256"/>
      <c r="AX19" s="256"/>
      <c r="AY19" s="256"/>
      <c r="AZ19" s="256"/>
      <c r="BA19" s="256"/>
      <c r="BB19" s="256"/>
      <c r="BC19" s="256"/>
      <c r="BD19" s="256"/>
      <c r="BE19" s="256"/>
      <c r="BF19" s="256"/>
      <c r="BG19" s="256"/>
      <c r="BH19" s="256"/>
      <c r="BI19" s="256"/>
      <c r="BJ19" s="256"/>
      <c r="BK19" s="256"/>
      <c r="BL19" s="208"/>
      <c r="BM19" s="208"/>
    </row>
    <row r="20">
      <c r="A20" s="208"/>
      <c r="B20" s="208"/>
      <c r="C20" s="221" t="s">
        <v>189</v>
      </c>
      <c r="D20" s="232">
        <v>4159104.0</v>
      </c>
      <c r="E20" s="232">
        <v>7472167.0</v>
      </c>
      <c r="F20" s="232">
        <v>8293083.0</v>
      </c>
      <c r="G20" s="232">
        <v>9070900.0</v>
      </c>
      <c r="H20" s="233">
        <v>1.2984423E7</v>
      </c>
      <c r="I20" s="233">
        <v>1.7829432E7</v>
      </c>
      <c r="J20" s="233">
        <v>2.2951036E7</v>
      </c>
      <c r="K20" s="233">
        <v>2.8320392E7</v>
      </c>
      <c r="L20" s="244"/>
      <c r="M20" s="205"/>
      <c r="N20" s="205"/>
      <c r="O20" s="205"/>
      <c r="P20" s="233">
        <v>316042.0</v>
      </c>
      <c r="Q20" s="233">
        <v>329104.0</v>
      </c>
      <c r="R20" s="233">
        <v>343840.0</v>
      </c>
      <c r="S20" s="233">
        <v>326413.0</v>
      </c>
      <c r="T20" s="233">
        <v>326413.0</v>
      </c>
      <c r="U20" s="233">
        <v>347275.0</v>
      </c>
      <c r="V20" s="233">
        <v>332800.0</v>
      </c>
      <c r="W20" s="233">
        <v>348966.0</v>
      </c>
      <c r="X20" s="233">
        <v>366089.0</v>
      </c>
      <c r="Y20" s="233">
        <v>363389.0</v>
      </c>
      <c r="Z20" s="233">
        <v>379387.0</v>
      </c>
      <c r="AA20" s="233">
        <v>379387.0</v>
      </c>
      <c r="AB20" s="233">
        <v>504622.0</v>
      </c>
      <c r="AC20" s="233">
        <v>448787.0</v>
      </c>
      <c r="AD20" s="233">
        <v>566310.0</v>
      </c>
      <c r="AE20" s="233">
        <v>558635.0</v>
      </c>
      <c r="AF20" s="233">
        <v>609628.0</v>
      </c>
      <c r="AG20" s="233">
        <v>638571.0</v>
      </c>
      <c r="AH20" s="233">
        <v>766157.0</v>
      </c>
      <c r="AI20" s="233">
        <v>620652.0</v>
      </c>
      <c r="AJ20" s="233">
        <v>686898.0</v>
      </c>
      <c r="AK20" s="233">
        <v>741228.0</v>
      </c>
      <c r="AL20" s="233">
        <v>741506.0</v>
      </c>
      <c r="AM20" s="233">
        <v>589173.0</v>
      </c>
      <c r="AN20" s="233">
        <v>829892.0</v>
      </c>
      <c r="AO20" s="233">
        <v>641988.0</v>
      </c>
      <c r="AP20" s="233">
        <v>732479.0</v>
      </c>
      <c r="AQ20" s="233">
        <v>685693.0</v>
      </c>
      <c r="AR20" s="233">
        <v>665572.0</v>
      </c>
      <c r="AS20" s="233">
        <v>694847.0</v>
      </c>
      <c r="AT20" s="233">
        <v>817456.0</v>
      </c>
      <c r="AU20" s="233">
        <v>518911.0</v>
      </c>
      <c r="AV20" s="233">
        <v>661270.0</v>
      </c>
      <c r="AW20" s="233">
        <v>687233.0</v>
      </c>
      <c r="AX20" s="233">
        <v>611764.0</v>
      </c>
      <c r="AY20" s="233">
        <v>745978.0</v>
      </c>
      <c r="AZ20" s="233">
        <v>781834.0</v>
      </c>
      <c r="BA20" s="233">
        <v>528103.0</v>
      </c>
      <c r="BB20" s="233">
        <v>638992.0</v>
      </c>
      <c r="BC20" s="233">
        <v>729984.0</v>
      </c>
      <c r="BD20" s="233">
        <v>746894.0</v>
      </c>
      <c r="BE20" s="233">
        <v>724059.0</v>
      </c>
      <c r="BF20" s="233">
        <v>769337.0</v>
      </c>
      <c r="BG20" s="233">
        <v>766948.0</v>
      </c>
      <c r="BH20" s="233">
        <v>845730.0</v>
      </c>
      <c r="BI20" s="233">
        <v>855052.0</v>
      </c>
      <c r="BJ20" s="233">
        <v>790113.0</v>
      </c>
      <c r="BK20" s="233">
        <v>893853.0</v>
      </c>
      <c r="BL20" s="208"/>
      <c r="BM20" s="208"/>
    </row>
    <row r="21">
      <c r="A21" s="208"/>
      <c r="B21" s="208"/>
      <c r="C21" s="221" t="s">
        <v>190</v>
      </c>
      <c r="D21" s="232">
        <v>1096813.0</v>
      </c>
      <c r="E21" s="232">
        <v>1573537.0</v>
      </c>
      <c r="F21" s="232">
        <v>2139911.0</v>
      </c>
      <c r="G21" s="232">
        <v>1713846.0</v>
      </c>
      <c r="H21" s="233">
        <v>2075026.0</v>
      </c>
      <c r="I21" s="233">
        <v>2176230.0</v>
      </c>
      <c r="J21" s="233">
        <v>2502665.0</v>
      </c>
      <c r="K21" s="233">
        <v>2878064.0</v>
      </c>
      <c r="L21" s="244"/>
      <c r="M21" s="205"/>
      <c r="N21" s="205"/>
      <c r="O21" s="205"/>
      <c r="P21" s="233">
        <v>40191.0</v>
      </c>
      <c r="Q21" s="233">
        <v>59918.0</v>
      </c>
      <c r="R21" s="233">
        <v>101264.0</v>
      </c>
      <c r="S21" s="233">
        <v>96895.0</v>
      </c>
      <c r="T21" s="233">
        <v>96376.0</v>
      </c>
      <c r="U21" s="233">
        <v>93056.0</v>
      </c>
      <c r="V21" s="233">
        <v>119024.0</v>
      </c>
      <c r="W21" s="233">
        <v>65003.0</v>
      </c>
      <c r="X21" s="233">
        <v>91245.0</v>
      </c>
      <c r="Y21" s="233">
        <v>98884.0</v>
      </c>
      <c r="Z21" s="233">
        <v>87325.0</v>
      </c>
      <c r="AA21" s="233">
        <v>147632.0</v>
      </c>
      <c r="AB21" s="233">
        <v>48867.0</v>
      </c>
      <c r="AC21" s="233">
        <v>114450.0</v>
      </c>
      <c r="AD21" s="233">
        <v>94471.0</v>
      </c>
      <c r="AE21" s="233">
        <v>160484.0</v>
      </c>
      <c r="AF21" s="233">
        <v>141272.0</v>
      </c>
      <c r="AG21" s="233">
        <v>148187.0</v>
      </c>
      <c r="AH21" s="233">
        <v>241798.0</v>
      </c>
      <c r="AI21" s="233">
        <v>154738.0</v>
      </c>
      <c r="AJ21" s="233">
        <v>122717.0</v>
      </c>
      <c r="AK21" s="233">
        <v>85225.0</v>
      </c>
      <c r="AL21" s="233">
        <v>113699.0</v>
      </c>
      <c r="AM21" s="233">
        <v>147628.0</v>
      </c>
      <c r="AN21" s="233">
        <v>282449.0</v>
      </c>
      <c r="AO21" s="233">
        <v>168175.0</v>
      </c>
      <c r="AP21" s="233">
        <v>133306.0</v>
      </c>
      <c r="AQ21" s="233">
        <v>166563.0</v>
      </c>
      <c r="AR21" s="233">
        <v>264572.0</v>
      </c>
      <c r="AS21" s="233">
        <v>247723.0</v>
      </c>
      <c r="AT21" s="233">
        <v>107540.0</v>
      </c>
      <c r="AU21" s="233">
        <v>270915.0</v>
      </c>
      <c r="AV21" s="233">
        <v>95515.0</v>
      </c>
      <c r="AW21" s="233">
        <v>139023.0</v>
      </c>
      <c r="AX21" s="233">
        <v>170906.0</v>
      </c>
      <c r="AY21" s="233">
        <v>93226.0</v>
      </c>
      <c r="AZ21" s="233">
        <v>83890.0</v>
      </c>
      <c r="BA21" s="233">
        <v>111657.0</v>
      </c>
      <c r="BB21" s="233">
        <v>83190.0</v>
      </c>
      <c r="BC21" s="233">
        <v>152987.0</v>
      </c>
      <c r="BD21" s="233">
        <v>124277.0</v>
      </c>
      <c r="BE21" s="233">
        <v>145797.0</v>
      </c>
      <c r="BF21" s="233">
        <v>142807.0</v>
      </c>
      <c r="BG21" s="233">
        <v>301640.0</v>
      </c>
      <c r="BH21" s="233">
        <v>141900.0</v>
      </c>
      <c r="BI21" s="233">
        <v>141900.0</v>
      </c>
      <c r="BJ21" s="233">
        <v>141900.0</v>
      </c>
      <c r="BK21" s="233">
        <v>141900.0</v>
      </c>
      <c r="BL21" s="208"/>
      <c r="BM21" s="208"/>
    </row>
    <row r="22">
      <c r="A22" s="208"/>
      <c r="B22" s="208"/>
      <c r="C22" s="221" t="s">
        <v>191</v>
      </c>
      <c r="D22" s="232">
        <v>404881.0</v>
      </c>
      <c r="E22" s="232">
        <v>605421.0</v>
      </c>
      <c r="F22" s="232">
        <v>621824.0</v>
      </c>
      <c r="G22" s="232">
        <v>642604.0</v>
      </c>
      <c r="H22" s="233">
        <v>662724.0</v>
      </c>
      <c r="I22" s="233">
        <v>728997.0</v>
      </c>
      <c r="J22" s="233">
        <v>801896.0</v>
      </c>
      <c r="K22" s="233">
        <v>882086.0</v>
      </c>
      <c r="L22" s="244"/>
      <c r="M22" s="205"/>
      <c r="N22" s="205"/>
      <c r="O22" s="205"/>
      <c r="P22" s="233">
        <v>28282.0</v>
      </c>
      <c r="Q22" s="233">
        <v>28282.0</v>
      </c>
      <c r="R22" s="233">
        <v>28282.0</v>
      </c>
      <c r="S22" s="233">
        <v>28282.0</v>
      </c>
      <c r="T22" s="233">
        <v>28282.0</v>
      </c>
      <c r="U22" s="233">
        <v>28282.0</v>
      </c>
      <c r="V22" s="233">
        <v>28282.0</v>
      </c>
      <c r="W22" s="233">
        <v>28282.0</v>
      </c>
      <c r="X22" s="233">
        <v>28282.0</v>
      </c>
      <c r="Y22" s="233">
        <v>50113.0</v>
      </c>
      <c r="Z22" s="233">
        <v>50113.0</v>
      </c>
      <c r="AA22" s="233">
        <v>50113.0</v>
      </c>
      <c r="AB22" s="233">
        <v>50113.0</v>
      </c>
      <c r="AC22" s="233">
        <v>50113.0</v>
      </c>
      <c r="AD22" s="233">
        <v>50113.0</v>
      </c>
      <c r="AE22" s="233">
        <v>50113.0</v>
      </c>
      <c r="AF22" s="233">
        <v>50113.0</v>
      </c>
      <c r="AG22" s="233">
        <v>50646.0</v>
      </c>
      <c r="AH22" s="233">
        <v>50456.0</v>
      </c>
      <c r="AI22" s="233">
        <v>50459.0</v>
      </c>
      <c r="AJ22" s="233">
        <v>50456.0</v>
      </c>
      <c r="AK22" s="233">
        <v>51718.0</v>
      </c>
      <c r="AL22" s="233">
        <v>50551.0</v>
      </c>
      <c r="AM22" s="233">
        <v>50568.0</v>
      </c>
      <c r="AN22" s="233">
        <v>50571.0</v>
      </c>
      <c r="AO22" s="233">
        <v>57769.0</v>
      </c>
      <c r="AP22" s="233">
        <v>50606.0</v>
      </c>
      <c r="AQ22" s="233">
        <v>50567.0</v>
      </c>
      <c r="AR22" s="233">
        <v>50562.0</v>
      </c>
      <c r="AS22" s="233">
        <v>50572.0</v>
      </c>
      <c r="AT22" s="233">
        <v>51015.0</v>
      </c>
      <c r="AU22" s="233">
        <v>51916.0</v>
      </c>
      <c r="AV22" s="233">
        <v>52048.0</v>
      </c>
      <c r="AW22" s="233">
        <v>51928.0</v>
      </c>
      <c r="AX22" s="233">
        <v>51953.0</v>
      </c>
      <c r="AY22" s="233">
        <v>52317.0</v>
      </c>
      <c r="AZ22" s="233">
        <v>51967.0</v>
      </c>
      <c r="BA22" s="233">
        <v>51902.0</v>
      </c>
      <c r="BB22" s="233">
        <v>63584.0</v>
      </c>
      <c r="BC22" s="233">
        <v>52005.0</v>
      </c>
      <c r="BD22" s="233">
        <v>52005.0</v>
      </c>
      <c r="BE22" s="233">
        <v>52005.0</v>
      </c>
      <c r="BF22" s="233">
        <v>52005.0</v>
      </c>
      <c r="BG22" s="233">
        <v>53426.0</v>
      </c>
      <c r="BH22" s="233">
        <v>53426.0</v>
      </c>
      <c r="BI22" s="233">
        <v>53426.0</v>
      </c>
      <c r="BJ22" s="233">
        <v>53426.0</v>
      </c>
      <c r="BK22" s="233">
        <v>53426.0</v>
      </c>
      <c r="BL22" s="208"/>
      <c r="BM22" s="208"/>
    </row>
    <row r="23">
      <c r="A23" s="208"/>
      <c r="B23" s="208"/>
      <c r="C23" s="221" t="s">
        <v>192</v>
      </c>
      <c r="D23" s="232">
        <v>575809.0</v>
      </c>
      <c r="E23" s="232">
        <v>577407.0</v>
      </c>
      <c r="F23" s="232">
        <v>833091.0</v>
      </c>
      <c r="G23" s="232">
        <v>816393.0</v>
      </c>
      <c r="H23" s="233">
        <v>799688.0</v>
      </c>
      <c r="I23" s="233">
        <v>879657.0</v>
      </c>
      <c r="J23" s="233">
        <v>967622.0</v>
      </c>
      <c r="K23" s="233">
        <v>1064384.0</v>
      </c>
      <c r="L23" s="244"/>
      <c r="M23" s="205"/>
      <c r="N23" s="205"/>
      <c r="O23" s="205"/>
      <c r="P23" s="233">
        <v>28963.0</v>
      </c>
      <c r="Q23" s="233">
        <v>67347.0</v>
      </c>
      <c r="R23" s="233">
        <v>31463.0</v>
      </c>
      <c r="S23" s="233">
        <v>35710.0</v>
      </c>
      <c r="T23" s="233">
        <v>43952.0</v>
      </c>
      <c r="U23" s="233">
        <v>36931.0</v>
      </c>
      <c r="V23" s="233">
        <v>40170.0</v>
      </c>
      <c r="W23" s="233">
        <v>51097.0</v>
      </c>
      <c r="X23" s="233">
        <v>64741.0</v>
      </c>
      <c r="Y23" s="233">
        <v>36226.0</v>
      </c>
      <c r="Z23" s="233">
        <v>86059.0</v>
      </c>
      <c r="AA23" s="233">
        <v>53151.0</v>
      </c>
      <c r="AB23" s="233">
        <v>33341.0</v>
      </c>
      <c r="AC23" s="233">
        <v>35764.0</v>
      </c>
      <c r="AD23" s="233">
        <v>27654.0</v>
      </c>
      <c r="AE23" s="233">
        <v>49762.0</v>
      </c>
      <c r="AF23" s="233">
        <v>30068.0</v>
      </c>
      <c r="AG23" s="233">
        <v>46583.0</v>
      </c>
      <c r="AH23" s="233">
        <v>61245.0</v>
      </c>
      <c r="AI23" s="233">
        <v>62416.0</v>
      </c>
      <c r="AJ23" s="233">
        <v>76394.0</v>
      </c>
      <c r="AK23" s="233">
        <v>49928.0</v>
      </c>
      <c r="AL23" s="233">
        <v>47770.0</v>
      </c>
      <c r="AM23" s="233">
        <v>56483.0</v>
      </c>
      <c r="AN23" s="233">
        <v>57404.0</v>
      </c>
      <c r="AO23" s="233">
        <v>52517.0</v>
      </c>
      <c r="AP23" s="233">
        <v>76529.0</v>
      </c>
      <c r="AQ23" s="233">
        <v>76307.0</v>
      </c>
      <c r="AR23" s="233">
        <v>63558.0</v>
      </c>
      <c r="AS23" s="233">
        <v>60564.0</v>
      </c>
      <c r="AT23" s="233">
        <v>57685.0</v>
      </c>
      <c r="AU23" s="233">
        <v>65438.0</v>
      </c>
      <c r="AV23" s="233">
        <v>129119.0</v>
      </c>
      <c r="AW23" s="233">
        <v>64843.0</v>
      </c>
      <c r="AX23" s="233">
        <v>62951.0</v>
      </c>
      <c r="AY23" s="233">
        <v>66176.0</v>
      </c>
      <c r="AZ23" s="233">
        <v>97894.0</v>
      </c>
      <c r="BA23" s="233">
        <v>74013.0</v>
      </c>
      <c r="BB23" s="233">
        <v>72573.0</v>
      </c>
      <c r="BC23" s="233">
        <v>63598.0</v>
      </c>
      <c r="BD23" s="233">
        <v>63475.0</v>
      </c>
      <c r="BE23" s="233">
        <v>63248.0</v>
      </c>
      <c r="BF23" s="233">
        <v>63648.0</v>
      </c>
      <c r="BG23" s="233">
        <v>63932.0</v>
      </c>
      <c r="BH23" s="233">
        <v>64268.0</v>
      </c>
      <c r="BI23" s="233">
        <v>63248.0</v>
      </c>
      <c r="BJ23" s="233">
        <v>63248.0</v>
      </c>
      <c r="BK23" s="233">
        <v>63248.0</v>
      </c>
      <c r="BL23" s="208"/>
      <c r="BM23" s="208"/>
    </row>
    <row r="24">
      <c r="A24" s="208"/>
      <c r="B24" s="208"/>
      <c r="C24" s="221" t="s">
        <v>194</v>
      </c>
      <c r="D24" s="232">
        <v>777578.0</v>
      </c>
      <c r="E24" s="232">
        <v>773287.0</v>
      </c>
      <c r="F24" s="232">
        <v>589532.0</v>
      </c>
      <c r="G24" s="232">
        <v>1356738.0</v>
      </c>
      <c r="H24" s="233">
        <v>1612745.0</v>
      </c>
      <c r="I24" s="233">
        <v>1854657.0</v>
      </c>
      <c r="J24" s="233">
        <v>2132856.0</v>
      </c>
      <c r="K24" s="233">
        <v>2452784.0</v>
      </c>
      <c r="L24" s="244"/>
      <c r="M24" s="205"/>
      <c r="N24" s="205"/>
      <c r="O24" s="205"/>
      <c r="P24" s="233">
        <v>12834.0</v>
      </c>
      <c r="Q24" s="233">
        <v>20675.0</v>
      </c>
      <c r="R24" s="233">
        <v>52970.0</v>
      </c>
      <c r="S24" s="233">
        <v>27624.0</v>
      </c>
      <c r="T24" s="233">
        <v>56916.0</v>
      </c>
      <c r="U24" s="233">
        <v>51434.0</v>
      </c>
      <c r="V24" s="233">
        <v>35551.0</v>
      </c>
      <c r="W24" s="233">
        <v>65720.0</v>
      </c>
      <c r="X24" s="233">
        <v>74746.0</v>
      </c>
      <c r="Y24" s="233">
        <v>212941.0</v>
      </c>
      <c r="Z24" s="233">
        <v>56124.0</v>
      </c>
      <c r="AA24" s="233">
        <v>110041.0</v>
      </c>
      <c r="AB24" s="233">
        <v>52132.0</v>
      </c>
      <c r="AC24" s="233">
        <v>112723.0</v>
      </c>
      <c r="AD24" s="233">
        <v>77093.0</v>
      </c>
      <c r="AE24" s="233">
        <v>179540.0</v>
      </c>
      <c r="AF24" s="233">
        <v>83523.0</v>
      </c>
      <c r="AG24" s="233">
        <v>35581.0</v>
      </c>
      <c r="AH24" s="233">
        <v>24846.0</v>
      </c>
      <c r="AI24" s="233">
        <v>43000.0</v>
      </c>
      <c r="AJ24" s="233">
        <v>36855.0</v>
      </c>
      <c r="AK24" s="233">
        <v>61518.0</v>
      </c>
      <c r="AL24" s="233">
        <v>39703.0</v>
      </c>
      <c r="AM24" s="233">
        <v>26774.0</v>
      </c>
      <c r="AN24" s="233">
        <v>23404.0</v>
      </c>
      <c r="AO24" s="233">
        <v>32581.0</v>
      </c>
      <c r="AP24" s="233">
        <v>108862.0</v>
      </c>
      <c r="AQ24" s="233">
        <v>47947.0</v>
      </c>
      <c r="AR24" s="233">
        <v>119984.0</v>
      </c>
      <c r="AS24" s="233">
        <v>106944.0</v>
      </c>
      <c r="AT24" s="233">
        <v>30389.0</v>
      </c>
      <c r="AU24" s="233">
        <v>-6574.0</v>
      </c>
      <c r="AV24" s="233">
        <v>12189.0</v>
      </c>
      <c r="AW24" s="233">
        <v>47941.0</v>
      </c>
      <c r="AX24" s="233">
        <v>33075.0</v>
      </c>
      <c r="AY24" s="233">
        <v>32789.0</v>
      </c>
      <c r="AZ24" s="233">
        <v>31300.0</v>
      </c>
      <c r="BA24" s="233">
        <v>57654.0</v>
      </c>
      <c r="BB24" s="233">
        <v>82973.0</v>
      </c>
      <c r="BC24" s="233">
        <v>111046.0</v>
      </c>
      <c r="BD24" s="233">
        <v>317988.0</v>
      </c>
      <c r="BE24" s="233">
        <v>295161.0</v>
      </c>
      <c r="BF24" s="233">
        <v>35046.0</v>
      </c>
      <c r="BG24" s="233">
        <v>34046.0</v>
      </c>
      <c r="BH24" s="233">
        <v>91546.0</v>
      </c>
      <c r="BI24" s="233">
        <v>140046.0</v>
      </c>
      <c r="BJ24" s="233">
        <v>98890.0</v>
      </c>
      <c r="BK24" s="233">
        <v>61046.0</v>
      </c>
      <c r="BL24" s="208"/>
      <c r="BM24" s="208"/>
    </row>
    <row r="25">
      <c r="A25" s="208"/>
      <c r="B25" s="208"/>
      <c r="C25" s="221" t="s">
        <v>195</v>
      </c>
      <c r="D25" s="232">
        <v>619829.0</v>
      </c>
      <c r="E25" s="232">
        <v>346529.0</v>
      </c>
      <c r="F25" s="232">
        <v>306190.0</v>
      </c>
      <c r="G25" s="232">
        <v>326702.0</v>
      </c>
      <c r="H25" s="233">
        <v>414225.0</v>
      </c>
      <c r="I25" s="233">
        <v>455648.0</v>
      </c>
      <c r="J25" s="233">
        <v>501212.0</v>
      </c>
      <c r="K25" s="233">
        <v>551333.0</v>
      </c>
      <c r="L25" s="244"/>
      <c r="M25" s="205"/>
      <c r="N25" s="205"/>
      <c r="O25" s="205"/>
      <c r="P25" s="233">
        <v>30951.0</v>
      </c>
      <c r="Q25" s="233">
        <v>18127.0</v>
      </c>
      <c r="R25" s="233">
        <v>42937.0</v>
      </c>
      <c r="S25" s="233">
        <v>34670.0</v>
      </c>
      <c r="T25" s="233">
        <v>25024.0</v>
      </c>
      <c r="U25" s="233">
        <v>51073.0</v>
      </c>
      <c r="V25" s="233">
        <v>45406.0</v>
      </c>
      <c r="W25" s="233">
        <v>79000.0</v>
      </c>
      <c r="X25" s="233">
        <v>52536.0</v>
      </c>
      <c r="Y25" s="233">
        <v>71202.0</v>
      </c>
      <c r="Z25" s="233">
        <v>106427.0</v>
      </c>
      <c r="AA25" s="233">
        <v>62475.0</v>
      </c>
      <c r="AB25" s="233">
        <v>37965.0</v>
      </c>
      <c r="AC25" s="233">
        <v>73450.0</v>
      </c>
      <c r="AD25" s="233">
        <v>9927.0</v>
      </c>
      <c r="AE25" s="233">
        <v>50772.0</v>
      </c>
      <c r="AF25" s="233">
        <v>14767.0</v>
      </c>
      <c r="AG25" s="233">
        <v>23596.0</v>
      </c>
      <c r="AH25" s="233">
        <v>11399.0</v>
      </c>
      <c r="AI25" s="233">
        <v>23080.0</v>
      </c>
      <c r="AJ25" s="233">
        <v>20831.0</v>
      </c>
      <c r="AK25" s="233">
        <v>39077.0</v>
      </c>
      <c r="AL25" s="233">
        <v>22485.0</v>
      </c>
      <c r="AM25" s="233">
        <v>19181.0</v>
      </c>
      <c r="AN25" s="233">
        <v>29688.0</v>
      </c>
      <c r="AO25" s="233">
        <v>61415.0</v>
      </c>
      <c r="AP25" s="233">
        <v>49909.0</v>
      </c>
      <c r="AQ25" s="233">
        <v>32684.0</v>
      </c>
      <c r="AR25" s="233">
        <v>17059.0</v>
      </c>
      <c r="AS25" s="233">
        <v>7720.0</v>
      </c>
      <c r="AT25" s="233">
        <v>15242.0</v>
      </c>
      <c r="AU25" s="233">
        <v>7415.0</v>
      </c>
      <c r="AV25" s="233">
        <v>38256.0</v>
      </c>
      <c r="AW25" s="233">
        <v>10915.0</v>
      </c>
      <c r="AX25" s="233">
        <v>22373.0</v>
      </c>
      <c r="AY25" s="233">
        <v>13514.0</v>
      </c>
      <c r="AZ25" s="233">
        <v>26311.0</v>
      </c>
      <c r="BA25" s="233">
        <v>18085.0</v>
      </c>
      <c r="BB25" s="233">
        <v>19557.0</v>
      </c>
      <c r="BC25" s="233">
        <v>28750.0</v>
      </c>
      <c r="BD25" s="233">
        <v>29250.0</v>
      </c>
      <c r="BE25" s="233">
        <v>29250.0</v>
      </c>
      <c r="BF25" s="233">
        <v>29250.0</v>
      </c>
      <c r="BG25" s="233">
        <v>29250.0</v>
      </c>
      <c r="BH25" s="233">
        <v>29250.0</v>
      </c>
      <c r="BI25" s="233">
        <v>29250.0</v>
      </c>
      <c r="BJ25" s="233">
        <v>29250.0</v>
      </c>
      <c r="BK25" s="233">
        <v>29250.0</v>
      </c>
      <c r="BL25" s="208"/>
      <c r="BM25" s="208"/>
    </row>
    <row r="26">
      <c r="A26" s="208"/>
      <c r="B26" s="208"/>
      <c r="C26" s="221" t="s">
        <v>196</v>
      </c>
      <c r="D26" s="232">
        <v>37095.0</v>
      </c>
      <c r="E26" s="232">
        <v>54897.0</v>
      </c>
      <c r="F26" s="232">
        <v>80940.0</v>
      </c>
      <c r="G26" s="232">
        <v>74978.0</v>
      </c>
      <c r="H26" s="233">
        <v>79436.0</v>
      </c>
      <c r="I26" s="233">
        <v>87380.0</v>
      </c>
      <c r="J26" s="233">
        <v>96118.0</v>
      </c>
      <c r="K26" s="233">
        <v>105730.0</v>
      </c>
      <c r="L26" s="244"/>
      <c r="M26" s="205"/>
      <c r="N26" s="205"/>
      <c r="O26" s="205"/>
      <c r="P26" s="233">
        <v>3091.0</v>
      </c>
      <c r="Q26" s="233">
        <v>3091.0</v>
      </c>
      <c r="R26" s="233">
        <v>3091.0</v>
      </c>
      <c r="S26" s="233">
        <v>3091.0</v>
      </c>
      <c r="T26" s="233">
        <v>3091.0</v>
      </c>
      <c r="U26" s="233">
        <v>3091.0</v>
      </c>
      <c r="V26" s="233">
        <v>3091.0</v>
      </c>
      <c r="W26" s="233">
        <v>3091.0</v>
      </c>
      <c r="X26" s="233">
        <v>3091.0</v>
      </c>
      <c r="Y26" s="233">
        <v>3091.0</v>
      </c>
      <c r="Z26" s="233">
        <v>3091.0</v>
      </c>
      <c r="AA26" s="233">
        <v>3091.0</v>
      </c>
      <c r="AB26" s="233">
        <v>3091.0</v>
      </c>
      <c r="AC26" s="233">
        <v>3091.0</v>
      </c>
      <c r="AD26" s="233">
        <v>3091.0</v>
      </c>
      <c r="AE26" s="233">
        <v>3091.0</v>
      </c>
      <c r="AF26" s="233">
        <v>3091.0</v>
      </c>
      <c r="AG26" s="233">
        <v>3091.0</v>
      </c>
      <c r="AH26" s="233">
        <v>6058.0</v>
      </c>
      <c r="AI26" s="233">
        <v>6058.0</v>
      </c>
      <c r="AJ26" s="233">
        <v>6058.0</v>
      </c>
      <c r="AK26" s="233">
        <v>6058.0</v>
      </c>
      <c r="AL26" s="233">
        <v>6058.0</v>
      </c>
      <c r="AM26" s="233">
        <v>6058.0</v>
      </c>
      <c r="AN26" s="233">
        <v>6835.0</v>
      </c>
      <c r="AO26" s="233">
        <v>6835.0</v>
      </c>
      <c r="AP26" s="233">
        <v>6835.0</v>
      </c>
      <c r="AQ26" s="233">
        <v>7483.0</v>
      </c>
      <c r="AR26" s="233">
        <v>6359.0</v>
      </c>
      <c r="AS26" s="233">
        <v>6343.0</v>
      </c>
      <c r="AT26" s="233">
        <v>6542.0</v>
      </c>
      <c r="AU26" s="233">
        <v>6320.0</v>
      </c>
      <c r="AV26" s="233">
        <v>7270.0</v>
      </c>
      <c r="AW26" s="233">
        <v>5211.0</v>
      </c>
      <c r="AX26" s="233">
        <v>5992.0</v>
      </c>
      <c r="AY26" s="233">
        <v>8916.0</v>
      </c>
      <c r="AZ26" s="233">
        <v>5992.0</v>
      </c>
      <c r="BA26" s="233">
        <v>5992.0</v>
      </c>
      <c r="BB26" s="233">
        <v>5992.0</v>
      </c>
      <c r="BC26" s="233">
        <v>6217.0</v>
      </c>
      <c r="BD26" s="233">
        <v>6217.0</v>
      </c>
      <c r="BE26" s="233">
        <v>6217.0</v>
      </c>
      <c r="BF26" s="233">
        <v>6217.0</v>
      </c>
      <c r="BG26" s="233">
        <v>6427.0</v>
      </c>
      <c r="BH26" s="233">
        <v>6427.0</v>
      </c>
      <c r="BI26" s="233">
        <v>6427.0</v>
      </c>
      <c r="BJ26" s="233">
        <v>6427.0</v>
      </c>
      <c r="BK26" s="233">
        <v>6427.0</v>
      </c>
      <c r="BL26" s="208"/>
      <c r="BM26" s="208"/>
    </row>
    <row r="27">
      <c r="A27" s="208"/>
      <c r="B27" s="208"/>
      <c r="C27" s="221" t="s">
        <v>197</v>
      </c>
      <c r="D27" s="232">
        <v>95171.0</v>
      </c>
      <c r="E27" s="232">
        <v>197698.0</v>
      </c>
      <c r="F27" s="232">
        <v>124990.0</v>
      </c>
      <c r="G27" s="232">
        <v>260995.0</v>
      </c>
      <c r="H27" s="233">
        <v>319410.0</v>
      </c>
      <c r="I27" s="233">
        <v>351351.0</v>
      </c>
      <c r="J27" s="233">
        <v>386486.0</v>
      </c>
      <c r="K27" s="233">
        <v>425135.0</v>
      </c>
      <c r="L27" s="244"/>
      <c r="M27" s="205"/>
      <c r="N27" s="205"/>
      <c r="O27" s="205"/>
      <c r="P27" s="233">
        <v>5048.0</v>
      </c>
      <c r="Q27" s="233">
        <v>8030.0</v>
      </c>
      <c r="R27" s="233">
        <v>11139.0</v>
      </c>
      <c r="S27" s="233">
        <v>8502.0</v>
      </c>
      <c r="T27" s="233">
        <v>9386.0</v>
      </c>
      <c r="U27" s="233">
        <v>22177.0</v>
      </c>
      <c r="V27" s="233">
        <v>7212.0</v>
      </c>
      <c r="W27" s="233">
        <v>3487.0</v>
      </c>
      <c r="X27" s="233">
        <v>7483.0</v>
      </c>
      <c r="Y27" s="233">
        <v>4389.0</v>
      </c>
      <c r="Z27" s="233">
        <v>2605.0</v>
      </c>
      <c r="AA27" s="233">
        <v>5714.0</v>
      </c>
      <c r="AB27" s="233">
        <v>22557.0</v>
      </c>
      <c r="AC27" s="233">
        <v>1314.0</v>
      </c>
      <c r="AD27" s="233">
        <v>7726.0</v>
      </c>
      <c r="AE27" s="233">
        <v>9130.0</v>
      </c>
      <c r="AF27" s="233">
        <v>7056.0</v>
      </c>
      <c r="AG27" s="233">
        <v>30815.0</v>
      </c>
      <c r="AH27" s="233">
        <v>46879.0</v>
      </c>
      <c r="AI27" s="233">
        <v>18117.0</v>
      </c>
      <c r="AJ27" s="233">
        <v>26196.0</v>
      </c>
      <c r="AK27" s="233">
        <v>2363.0</v>
      </c>
      <c r="AL27" s="233">
        <v>7022.0</v>
      </c>
      <c r="AM27" s="233">
        <v>18524.0</v>
      </c>
      <c r="AN27" s="233">
        <v>12881.0</v>
      </c>
      <c r="AO27" s="233">
        <v>4867.0</v>
      </c>
      <c r="AP27" s="233">
        <v>10175.0</v>
      </c>
      <c r="AQ27" s="233">
        <v>2535.0</v>
      </c>
      <c r="AR27" s="233">
        <v>6882.0</v>
      </c>
      <c r="AS27" s="233">
        <v>5627.0</v>
      </c>
      <c r="AT27" s="233">
        <v>5763.0</v>
      </c>
      <c r="AU27" s="233">
        <v>8798.0</v>
      </c>
      <c r="AV27" s="233">
        <v>24558.0</v>
      </c>
      <c r="AW27" s="233">
        <v>11302.0</v>
      </c>
      <c r="AX27" s="233">
        <v>18643.0</v>
      </c>
      <c r="AY27" s="233">
        <v>12960.0</v>
      </c>
      <c r="AZ27" s="233">
        <v>13521.0</v>
      </c>
      <c r="BA27" s="233">
        <v>11633.0</v>
      </c>
      <c r="BB27" s="233">
        <v>7691.0</v>
      </c>
      <c r="BC27" s="233">
        <v>25350.0</v>
      </c>
      <c r="BD27" s="233">
        <v>25350.0</v>
      </c>
      <c r="BE27" s="233">
        <v>25350.0</v>
      </c>
      <c r="BF27" s="233">
        <v>25350.0</v>
      </c>
      <c r="BG27" s="233">
        <v>25350.0</v>
      </c>
      <c r="BH27" s="233">
        <v>25350.0</v>
      </c>
      <c r="BI27" s="233">
        <v>25350.0</v>
      </c>
      <c r="BJ27" s="233">
        <v>25350.0</v>
      </c>
      <c r="BK27" s="233">
        <v>25350.0</v>
      </c>
      <c r="BL27" s="208"/>
      <c r="BM27" s="208"/>
    </row>
    <row r="28">
      <c r="A28" s="208"/>
      <c r="B28" s="208"/>
      <c r="C28" s="248" t="s">
        <v>198</v>
      </c>
      <c r="D28" s="258">
        <v>7766279.0</v>
      </c>
      <c r="E28" s="258">
        <v>1.1600943E7</v>
      </c>
      <c r="F28" s="258">
        <v>1.2989562E7</v>
      </c>
      <c r="G28" s="258">
        <v>1.4263156E7</v>
      </c>
      <c r="H28" s="258">
        <v>1.8947678E7</v>
      </c>
      <c r="I28" s="258">
        <v>2.4363351E7</v>
      </c>
      <c r="J28" s="258">
        <v>3.0339891E7</v>
      </c>
      <c r="K28" s="258">
        <v>3.6679909E7</v>
      </c>
      <c r="L28" s="225"/>
      <c r="M28" s="205"/>
      <c r="N28" s="205"/>
      <c r="O28" s="205"/>
      <c r="P28" s="258">
        <v>465403.0</v>
      </c>
      <c r="Q28" s="258">
        <v>534574.0</v>
      </c>
      <c r="R28" s="258">
        <v>614987.0</v>
      </c>
      <c r="S28" s="258">
        <v>561187.0</v>
      </c>
      <c r="T28" s="258">
        <v>589441.0</v>
      </c>
      <c r="U28" s="258">
        <v>633320.0</v>
      </c>
      <c r="V28" s="258">
        <v>611537.0</v>
      </c>
      <c r="W28" s="258">
        <v>644646.0</v>
      </c>
      <c r="X28" s="258">
        <v>688213.0</v>
      </c>
      <c r="Y28" s="258">
        <v>840235.0</v>
      </c>
      <c r="Z28" s="258">
        <v>771132.0</v>
      </c>
      <c r="AA28" s="258">
        <v>811605.0</v>
      </c>
      <c r="AB28" s="258">
        <v>752689.0</v>
      </c>
      <c r="AC28" s="258">
        <v>839693.0</v>
      </c>
      <c r="AD28" s="258">
        <v>836385.0</v>
      </c>
      <c r="AE28" s="258">
        <v>1061527.0</v>
      </c>
      <c r="AF28" s="258">
        <v>939518.0</v>
      </c>
      <c r="AG28" s="258">
        <v>977071.0</v>
      </c>
      <c r="AH28" s="258">
        <v>1208840.0</v>
      </c>
      <c r="AI28" s="258">
        <v>978520.0</v>
      </c>
      <c r="AJ28" s="258">
        <v>1026404.0</v>
      </c>
      <c r="AK28" s="258">
        <v>1037114.0</v>
      </c>
      <c r="AL28" s="258">
        <v>1028794.0</v>
      </c>
      <c r="AM28" s="258">
        <v>914388.0</v>
      </c>
      <c r="AN28" s="258">
        <v>1293125.0</v>
      </c>
      <c r="AO28" s="258">
        <v>1026147.0</v>
      </c>
      <c r="AP28" s="258">
        <v>1168700.0</v>
      </c>
      <c r="AQ28" s="258">
        <v>1069778.0</v>
      </c>
      <c r="AR28" s="258">
        <v>1194549.0</v>
      </c>
      <c r="AS28" s="258">
        <v>1180339.0</v>
      </c>
      <c r="AT28" s="258">
        <v>1091631.0</v>
      </c>
      <c r="AU28" s="258">
        <v>923138.0</v>
      </c>
      <c r="AV28" s="258">
        <v>1020225.0</v>
      </c>
      <c r="AW28" s="258">
        <v>1018396.0</v>
      </c>
      <c r="AX28" s="258">
        <v>977656.0</v>
      </c>
      <c r="AY28" s="258">
        <v>1025877.0</v>
      </c>
      <c r="AZ28" s="258">
        <v>1092709.0</v>
      </c>
      <c r="BA28" s="258">
        <v>859038.0</v>
      </c>
      <c r="BB28" s="258">
        <v>974551.0</v>
      </c>
      <c r="BC28" s="258">
        <v>1169937.0</v>
      </c>
      <c r="BD28" s="258">
        <v>1365456.0</v>
      </c>
      <c r="BE28" s="258">
        <v>1341087.0</v>
      </c>
      <c r="BF28" s="258">
        <v>1123660.0</v>
      </c>
      <c r="BG28" s="258">
        <v>1281019.0</v>
      </c>
      <c r="BH28" s="258">
        <v>1257897.0</v>
      </c>
      <c r="BI28" s="258">
        <v>1314699.0</v>
      </c>
      <c r="BJ28" s="258">
        <v>1208604.0</v>
      </c>
      <c r="BK28" s="258">
        <v>1274500.0</v>
      </c>
      <c r="BL28" s="208"/>
      <c r="BM28" s="208"/>
    </row>
    <row r="29">
      <c r="A29" s="208"/>
      <c r="B29" s="208"/>
      <c r="C29" s="245"/>
      <c r="D29" s="259"/>
      <c r="E29" s="259"/>
      <c r="F29" s="259"/>
      <c r="G29" s="259"/>
      <c r="H29" s="259"/>
      <c r="I29" s="259"/>
      <c r="J29" s="259"/>
      <c r="K29" s="259"/>
      <c r="L29" s="225"/>
      <c r="M29" s="205"/>
      <c r="N29" s="205"/>
      <c r="O29" s="205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59"/>
      <c r="AN29" s="259"/>
      <c r="AO29" s="259"/>
      <c r="AP29" s="259"/>
      <c r="AQ29" s="259"/>
      <c r="AR29" s="259"/>
      <c r="AS29" s="259"/>
      <c r="AT29" s="259"/>
      <c r="AU29" s="259"/>
      <c r="AV29" s="259"/>
      <c r="AW29" s="259"/>
      <c r="AX29" s="259"/>
      <c r="AY29" s="259"/>
      <c r="AZ29" s="259"/>
      <c r="BA29" s="259"/>
      <c r="BB29" s="259"/>
      <c r="BC29" s="259"/>
      <c r="BD29" s="259"/>
      <c r="BE29" s="259"/>
      <c r="BF29" s="259"/>
      <c r="BG29" s="259"/>
      <c r="BH29" s="259"/>
      <c r="BI29" s="259"/>
      <c r="BJ29" s="259"/>
      <c r="BK29" s="259"/>
      <c r="BL29" s="208"/>
      <c r="BM29" s="208"/>
    </row>
    <row r="30">
      <c r="A30" s="208"/>
      <c r="B30" s="208"/>
      <c r="C30" s="221" t="s">
        <v>199</v>
      </c>
      <c r="D30" s="232">
        <v>-38613.0</v>
      </c>
      <c r="E30" s="232">
        <v>-2381.0</v>
      </c>
      <c r="F30" s="232">
        <v>-63407.0</v>
      </c>
      <c r="G30" s="232">
        <v>-7727.0</v>
      </c>
      <c r="H30" s="246" t="s">
        <v>183</v>
      </c>
      <c r="I30" s="246" t="s">
        <v>183</v>
      </c>
      <c r="J30" s="246" t="s">
        <v>183</v>
      </c>
      <c r="K30" s="246" t="s">
        <v>183</v>
      </c>
      <c r="L30" s="244"/>
      <c r="M30" s="205"/>
      <c r="N30" s="205"/>
      <c r="O30" s="205"/>
      <c r="P30" s="233">
        <v>-5015.0</v>
      </c>
      <c r="Q30" s="233">
        <v>-2426.0</v>
      </c>
      <c r="R30" s="233">
        <v>-1278.0</v>
      </c>
      <c r="S30" s="247">
        <v>-683.0</v>
      </c>
      <c r="T30" s="247">
        <v>-889.0</v>
      </c>
      <c r="U30" s="233">
        <v>-2828.0</v>
      </c>
      <c r="V30" s="233">
        <v>-1650.0</v>
      </c>
      <c r="W30" s="233">
        <v>-7864.0</v>
      </c>
      <c r="X30" s="247">
        <v>-31.0</v>
      </c>
      <c r="Y30" s="233">
        <v>-15949.0</v>
      </c>
      <c r="Z30" s="247" t="s">
        <v>183</v>
      </c>
      <c r="AA30" s="247" t="s">
        <v>183</v>
      </c>
      <c r="AB30" s="233">
        <v>-1880.0</v>
      </c>
      <c r="AC30" s="247" t="s">
        <v>183</v>
      </c>
      <c r="AD30" s="247" t="s">
        <v>183</v>
      </c>
      <c r="AE30" s="247" t="s">
        <v>183</v>
      </c>
      <c r="AF30" s="247">
        <v>-500.0</v>
      </c>
      <c r="AG30" s="247" t="s">
        <v>183</v>
      </c>
      <c r="AH30" s="247" t="s">
        <v>183</v>
      </c>
      <c r="AI30" s="247" t="s">
        <v>183</v>
      </c>
      <c r="AJ30" s="247" t="s">
        <v>183</v>
      </c>
      <c r="AK30" s="247" t="s">
        <v>183</v>
      </c>
      <c r="AL30" s="247" t="s">
        <v>183</v>
      </c>
      <c r="AM30" s="247" t="s">
        <v>183</v>
      </c>
      <c r="AN30" s="233">
        <v>-1441.0</v>
      </c>
      <c r="AO30" s="247" t="s">
        <v>183</v>
      </c>
      <c r="AP30" s="247" t="s">
        <v>183</v>
      </c>
      <c r="AQ30" s="247" t="s">
        <v>183</v>
      </c>
      <c r="AR30" s="247" t="s">
        <v>183</v>
      </c>
      <c r="AS30" s="247" t="s">
        <v>183</v>
      </c>
      <c r="AT30" s="247" t="s">
        <v>183</v>
      </c>
      <c r="AU30" s="247">
        <v>0.0</v>
      </c>
      <c r="AV30" s="247" t="s">
        <v>183</v>
      </c>
      <c r="AW30" s="247">
        <v>-472.0</v>
      </c>
      <c r="AX30" s="233">
        <v>-23280.0</v>
      </c>
      <c r="AY30" s="233">
        <v>-38214.0</v>
      </c>
      <c r="AZ30" s="233">
        <v>-5331.0</v>
      </c>
      <c r="BA30" s="233">
        <v>-2682.0</v>
      </c>
      <c r="BB30" s="247">
        <v>286.0</v>
      </c>
      <c r="BC30" s="247" t="s">
        <v>183</v>
      </c>
      <c r="BD30" s="247" t="s">
        <v>183</v>
      </c>
      <c r="BE30" s="247" t="s">
        <v>183</v>
      </c>
      <c r="BF30" s="247" t="s">
        <v>183</v>
      </c>
      <c r="BG30" s="247" t="s">
        <v>183</v>
      </c>
      <c r="BH30" s="247" t="s">
        <v>183</v>
      </c>
      <c r="BI30" s="247" t="s">
        <v>183</v>
      </c>
      <c r="BJ30" s="247" t="s">
        <v>183</v>
      </c>
      <c r="BK30" s="247" t="s">
        <v>183</v>
      </c>
      <c r="BL30" s="208"/>
      <c r="BM30" s="208"/>
    </row>
    <row r="31">
      <c r="A31" s="208"/>
      <c r="B31" s="208"/>
      <c r="C31" s="245"/>
      <c r="D31" s="259"/>
      <c r="E31" s="259"/>
      <c r="F31" s="259"/>
      <c r="G31" s="259"/>
      <c r="H31" s="259"/>
      <c r="I31" s="259"/>
      <c r="J31" s="259"/>
      <c r="K31" s="259"/>
      <c r="L31" s="225"/>
      <c r="M31" s="205"/>
      <c r="N31" s="205"/>
      <c r="O31" s="205"/>
      <c r="P31" s="259"/>
      <c r="Q31" s="259"/>
      <c r="R31" s="259"/>
      <c r="S31" s="259"/>
      <c r="T31" s="259"/>
      <c r="U31" s="259"/>
      <c r="V31" s="259"/>
      <c r="W31" s="259"/>
      <c r="X31" s="259"/>
      <c r="Y31" s="259"/>
      <c r="Z31" s="259"/>
      <c r="AA31" s="259"/>
      <c r="AB31" s="259"/>
      <c r="AC31" s="259"/>
      <c r="AD31" s="259"/>
      <c r="AE31" s="259"/>
      <c r="AF31" s="259"/>
      <c r="AG31" s="259"/>
      <c r="AH31" s="259"/>
      <c r="AI31" s="259"/>
      <c r="AJ31" s="259"/>
      <c r="AK31" s="259"/>
      <c r="AL31" s="259"/>
      <c r="AM31" s="259"/>
      <c r="AN31" s="259"/>
      <c r="AO31" s="259"/>
      <c r="AP31" s="259"/>
      <c r="AQ31" s="259"/>
      <c r="AR31" s="259"/>
      <c r="AS31" s="259"/>
      <c r="AT31" s="259"/>
      <c r="AU31" s="259"/>
      <c r="AV31" s="259"/>
      <c r="AW31" s="259"/>
      <c r="AX31" s="259"/>
      <c r="AY31" s="259"/>
      <c r="AZ31" s="259"/>
      <c r="BA31" s="259"/>
      <c r="BB31" s="259"/>
      <c r="BC31" s="259"/>
      <c r="BD31" s="259"/>
      <c r="BE31" s="259"/>
      <c r="BF31" s="259"/>
      <c r="BG31" s="259"/>
      <c r="BH31" s="259"/>
      <c r="BI31" s="259"/>
      <c r="BJ31" s="259"/>
      <c r="BK31" s="259"/>
      <c r="BL31" s="208"/>
      <c r="BM31" s="208"/>
    </row>
    <row r="32">
      <c r="A32" s="208"/>
      <c r="B32" s="208"/>
      <c r="C32" s="237" t="s">
        <v>200</v>
      </c>
      <c r="D32" s="239">
        <v>4604866.0</v>
      </c>
      <c r="E32" s="239">
        <v>1871005.0</v>
      </c>
      <c r="F32" s="239">
        <v>2323321.0</v>
      </c>
      <c r="G32" s="239">
        <v>7660276.0</v>
      </c>
      <c r="H32" s="239">
        <v>1.1104548E7</v>
      </c>
      <c r="I32" s="239">
        <v>1.4745991E7</v>
      </c>
      <c r="J32" s="239">
        <v>1.9576617E7</v>
      </c>
      <c r="K32" s="239">
        <v>2.4492728E7</v>
      </c>
      <c r="L32" s="225"/>
      <c r="M32" s="205"/>
      <c r="N32" s="205"/>
      <c r="O32" s="205"/>
      <c r="P32" s="239">
        <v>423419.0</v>
      </c>
      <c r="Q32" s="239">
        <v>157219.0</v>
      </c>
      <c r="R32" s="239">
        <v>415698.0</v>
      </c>
      <c r="S32" s="239">
        <v>222634.0</v>
      </c>
      <c r="T32" s="239">
        <v>300334.0</v>
      </c>
      <c r="U32" s="239">
        <v>519897.0</v>
      </c>
      <c r="V32" s="239">
        <v>270105.0</v>
      </c>
      <c r="W32" s="239">
        <v>837579.0</v>
      </c>
      <c r="X32" s="239">
        <v>478369.0</v>
      </c>
      <c r="Y32" s="239">
        <v>571413.0</v>
      </c>
      <c r="Z32" s="239">
        <v>483309.0</v>
      </c>
      <c r="AA32" s="239">
        <v>-75109.0</v>
      </c>
      <c r="AB32" s="239">
        <v>564019.0</v>
      </c>
      <c r="AC32" s="239">
        <v>457095.0</v>
      </c>
      <c r="AD32" s="239">
        <v>697353.0</v>
      </c>
      <c r="AE32" s="239">
        <v>-26694.0</v>
      </c>
      <c r="AF32" s="239">
        <v>274163.0</v>
      </c>
      <c r="AG32" s="239">
        <v>191622.0</v>
      </c>
      <c r="AH32" s="239">
        <v>-301867.0</v>
      </c>
      <c r="AI32" s="239">
        <v>319312.0</v>
      </c>
      <c r="AJ32" s="239">
        <v>-136164.0</v>
      </c>
      <c r="AK32" s="239">
        <v>97010.0</v>
      </c>
      <c r="AL32" s="239">
        <v>-87873.0</v>
      </c>
      <c r="AM32" s="239">
        <v>-176972.0</v>
      </c>
      <c r="AN32" s="239">
        <v>-415622.0</v>
      </c>
      <c r="AO32" s="239">
        <v>162256.0</v>
      </c>
      <c r="AP32" s="239">
        <v>-89613.0</v>
      </c>
      <c r="AQ32" s="239">
        <v>224635.0</v>
      </c>
      <c r="AR32" s="239">
        <v>-10184.0</v>
      </c>
      <c r="AS32" s="239">
        <v>-60599.0</v>
      </c>
      <c r="AT32" s="239">
        <v>132336.0</v>
      </c>
      <c r="AU32" s="239">
        <v>448063.0</v>
      </c>
      <c r="AV32" s="239">
        <v>276682.0</v>
      </c>
      <c r="AW32" s="239">
        <v>834425.0</v>
      </c>
      <c r="AX32" s="239">
        <v>516177.0</v>
      </c>
      <c r="AY32" s="239">
        <v>304765.0</v>
      </c>
      <c r="AZ32" s="239">
        <v>402718.0</v>
      </c>
      <c r="BA32" s="239">
        <v>614689.0</v>
      </c>
      <c r="BB32" s="239">
        <v>460767.0</v>
      </c>
      <c r="BC32" s="239">
        <v>413522.0</v>
      </c>
      <c r="BD32" s="239">
        <v>240006.0</v>
      </c>
      <c r="BE32" s="239">
        <v>306735.0</v>
      </c>
      <c r="BF32" s="239">
        <v>882704.0</v>
      </c>
      <c r="BG32" s="239">
        <v>655862.0</v>
      </c>
      <c r="BH32" s="239">
        <v>877317.0</v>
      </c>
      <c r="BI32" s="239">
        <v>1117625.0</v>
      </c>
      <c r="BJ32" s="239">
        <v>697655.0</v>
      </c>
      <c r="BK32" s="239">
        <v>990676.0</v>
      </c>
      <c r="BL32" s="208"/>
      <c r="BM32" s="208"/>
    </row>
    <row r="33">
      <c r="A33" s="260"/>
      <c r="B33" s="260"/>
      <c r="C33" s="241" t="s">
        <v>201</v>
      </c>
      <c r="D33" s="243">
        <v>0.26</v>
      </c>
      <c r="E33" s="243">
        <v>0.08</v>
      </c>
      <c r="F33" s="243">
        <v>0.09</v>
      </c>
      <c r="G33" s="243">
        <v>0.22</v>
      </c>
      <c r="H33" s="243">
        <v>0.24</v>
      </c>
      <c r="I33" s="243">
        <v>0.25</v>
      </c>
      <c r="J33" s="243">
        <v>0.26</v>
      </c>
      <c r="K33" s="243">
        <v>0.27</v>
      </c>
      <c r="L33" s="244"/>
      <c r="M33" s="216"/>
      <c r="N33" s="216"/>
      <c r="O33" s="216"/>
      <c r="P33" s="243">
        <v>0.36</v>
      </c>
      <c r="Q33" s="243">
        <v>0.15</v>
      </c>
      <c r="R33" s="243">
        <v>0.3</v>
      </c>
      <c r="S33" s="243">
        <v>0.18</v>
      </c>
      <c r="T33" s="243">
        <v>0.23</v>
      </c>
      <c r="U33" s="243">
        <v>0.34</v>
      </c>
      <c r="V33" s="243">
        <v>0.2</v>
      </c>
      <c r="W33" s="243">
        <v>0.43</v>
      </c>
      <c r="X33" s="243">
        <v>0.29</v>
      </c>
      <c r="Y33" s="243">
        <v>0.31</v>
      </c>
      <c r="Z33" s="243">
        <v>0.27</v>
      </c>
      <c r="AA33" s="243">
        <v>-0.06</v>
      </c>
      <c r="AB33" s="243">
        <v>0.26</v>
      </c>
      <c r="AC33" s="243">
        <v>0.24</v>
      </c>
      <c r="AD33" s="243">
        <v>0.31</v>
      </c>
      <c r="AE33" s="243">
        <v>-0.01</v>
      </c>
      <c r="AF33" s="243">
        <v>0.14</v>
      </c>
      <c r="AG33" s="243">
        <v>0.11</v>
      </c>
      <c r="AH33" s="243">
        <v>-0.18</v>
      </c>
      <c r="AI33" s="243">
        <v>0.16</v>
      </c>
      <c r="AJ33" s="243">
        <v>-0.08</v>
      </c>
      <c r="AK33" s="243">
        <v>0.05</v>
      </c>
      <c r="AL33" s="243">
        <v>-0.05</v>
      </c>
      <c r="AM33" s="243">
        <v>-0.11</v>
      </c>
      <c r="AN33" s="243">
        <v>-0.25</v>
      </c>
      <c r="AO33" s="243">
        <v>0.09</v>
      </c>
      <c r="AP33" s="243">
        <v>-0.05</v>
      </c>
      <c r="AQ33" s="243">
        <v>0.11</v>
      </c>
      <c r="AR33" s="243">
        <v>-0.01</v>
      </c>
      <c r="AS33" s="243">
        <v>-0.03</v>
      </c>
      <c r="AT33" s="243">
        <v>0.06</v>
      </c>
      <c r="AU33" s="243">
        <v>0.21</v>
      </c>
      <c r="AV33" s="243">
        <v>0.13</v>
      </c>
      <c r="AW33" s="243">
        <v>0.3</v>
      </c>
      <c r="AX33" s="243">
        <v>0.21</v>
      </c>
      <c r="AY33" s="243">
        <v>0.13</v>
      </c>
      <c r="AZ33" s="243">
        <v>0.15</v>
      </c>
      <c r="BA33" s="243">
        <v>0.24</v>
      </c>
      <c r="BB33" s="243">
        <v>0.19</v>
      </c>
      <c r="BC33" s="243">
        <v>0.16</v>
      </c>
      <c r="BD33" s="243">
        <v>0.09</v>
      </c>
      <c r="BE33" s="243">
        <v>0.11</v>
      </c>
      <c r="BF33" s="243">
        <v>0.28</v>
      </c>
      <c r="BG33" s="243">
        <v>0.21</v>
      </c>
      <c r="BH33" s="243">
        <v>0.27</v>
      </c>
      <c r="BI33" s="243">
        <v>0.31</v>
      </c>
      <c r="BJ33" s="243">
        <v>0.23</v>
      </c>
      <c r="BK33" s="243">
        <v>0.28</v>
      </c>
      <c r="BL33" s="260"/>
      <c r="BM33" s="260"/>
    </row>
    <row r="34">
      <c r="A34" s="260"/>
      <c r="B34" s="260"/>
      <c r="C34" s="261"/>
      <c r="D34" s="244"/>
      <c r="E34" s="244"/>
      <c r="F34" s="244"/>
      <c r="G34" s="244"/>
      <c r="H34" s="244"/>
      <c r="I34" s="244"/>
      <c r="J34" s="244"/>
      <c r="K34" s="244"/>
      <c r="L34" s="244"/>
      <c r="M34" s="216"/>
      <c r="N34" s="216"/>
      <c r="O34" s="216"/>
      <c r="P34" s="244"/>
      <c r="Q34" s="244"/>
      <c r="R34" s="244"/>
      <c r="S34" s="244"/>
      <c r="T34" s="244"/>
      <c r="U34" s="244"/>
      <c r="V34" s="244"/>
      <c r="W34" s="244"/>
      <c r="X34" s="244"/>
      <c r="Y34" s="244"/>
      <c r="Z34" s="244"/>
      <c r="AA34" s="244"/>
      <c r="AB34" s="244"/>
      <c r="AC34" s="244"/>
      <c r="AD34" s="244"/>
      <c r="AE34" s="244"/>
      <c r="AF34" s="244"/>
      <c r="AG34" s="244"/>
      <c r="AH34" s="244"/>
      <c r="AI34" s="244"/>
      <c r="AJ34" s="244"/>
      <c r="AK34" s="244"/>
      <c r="AL34" s="244"/>
      <c r="AM34" s="244"/>
      <c r="AN34" s="244"/>
      <c r="AO34" s="244"/>
      <c r="AP34" s="244"/>
      <c r="AQ34" s="244"/>
      <c r="AR34" s="244"/>
      <c r="AS34" s="244"/>
      <c r="AT34" s="244"/>
      <c r="AU34" s="244"/>
      <c r="AV34" s="244"/>
      <c r="AW34" s="244"/>
      <c r="AX34" s="244"/>
      <c r="AY34" s="244"/>
      <c r="AZ34" s="244"/>
      <c r="BA34" s="244"/>
      <c r="BB34" s="244"/>
      <c r="BC34" s="244"/>
      <c r="BD34" s="244"/>
      <c r="BE34" s="244"/>
      <c r="BF34" s="244"/>
      <c r="BG34" s="244"/>
      <c r="BH34" s="244"/>
      <c r="BI34" s="244"/>
      <c r="BJ34" s="244"/>
      <c r="BK34" s="244"/>
      <c r="BL34" s="260"/>
      <c r="BM34" s="260"/>
    </row>
    <row r="35">
      <c r="A35" s="208"/>
      <c r="B35" s="208"/>
      <c r="C35" s="221" t="s">
        <v>202</v>
      </c>
      <c r="D35" s="246" t="s">
        <v>183</v>
      </c>
      <c r="E35" s="246" t="s">
        <v>183</v>
      </c>
      <c r="F35" s="232">
        <v>682104.0</v>
      </c>
      <c r="G35" s="232">
        <v>566694.0</v>
      </c>
      <c r="H35" s="262"/>
      <c r="I35" s="262"/>
      <c r="J35" s="262"/>
      <c r="K35" s="262"/>
      <c r="L35" s="244"/>
      <c r="M35" s="205"/>
      <c r="N35" s="205"/>
      <c r="O35" s="205"/>
      <c r="P35" s="247" t="s">
        <v>183</v>
      </c>
      <c r="Q35" s="247" t="s">
        <v>183</v>
      </c>
      <c r="R35" s="247" t="s">
        <v>183</v>
      </c>
      <c r="S35" s="247" t="s">
        <v>183</v>
      </c>
      <c r="T35" s="247" t="s">
        <v>183</v>
      </c>
      <c r="U35" s="247" t="s">
        <v>183</v>
      </c>
      <c r="V35" s="247" t="s">
        <v>183</v>
      </c>
      <c r="W35" s="247" t="s">
        <v>183</v>
      </c>
      <c r="X35" s="247" t="s">
        <v>183</v>
      </c>
      <c r="Y35" s="247" t="s">
        <v>183</v>
      </c>
      <c r="Z35" s="247" t="s">
        <v>183</v>
      </c>
      <c r="AA35" s="247" t="s">
        <v>183</v>
      </c>
      <c r="AB35" s="247" t="s">
        <v>183</v>
      </c>
      <c r="AC35" s="247" t="s">
        <v>183</v>
      </c>
      <c r="AD35" s="247" t="s">
        <v>183</v>
      </c>
      <c r="AE35" s="247" t="s">
        <v>183</v>
      </c>
      <c r="AF35" s="247" t="s">
        <v>183</v>
      </c>
      <c r="AG35" s="247" t="s">
        <v>183</v>
      </c>
      <c r="AH35" s="247" t="s">
        <v>183</v>
      </c>
      <c r="AI35" s="247" t="s">
        <v>183</v>
      </c>
      <c r="AJ35" s="247" t="s">
        <v>183</v>
      </c>
      <c r="AK35" s="247" t="s">
        <v>183</v>
      </c>
      <c r="AL35" s="247" t="s">
        <v>183</v>
      </c>
      <c r="AM35" s="247" t="s">
        <v>183</v>
      </c>
      <c r="AN35" s="247" t="s">
        <v>183</v>
      </c>
      <c r="AO35" s="247" t="s">
        <v>183</v>
      </c>
      <c r="AP35" s="247" t="s">
        <v>183</v>
      </c>
      <c r="AQ35" s="233">
        <v>41860.0</v>
      </c>
      <c r="AR35" s="233">
        <v>36356.0</v>
      </c>
      <c r="AS35" s="233">
        <v>24108.0</v>
      </c>
      <c r="AT35" s="233">
        <v>24011.0</v>
      </c>
      <c r="AU35" s="233">
        <v>108569.0</v>
      </c>
      <c r="AV35" s="233">
        <v>111757.0</v>
      </c>
      <c r="AW35" s="233">
        <v>119992.0</v>
      </c>
      <c r="AX35" s="233">
        <v>99119.0</v>
      </c>
      <c r="AY35" s="233">
        <v>116332.0</v>
      </c>
      <c r="AZ35" s="233">
        <v>100038.0</v>
      </c>
      <c r="BA35" s="233">
        <v>76706.0</v>
      </c>
      <c r="BB35" s="233">
        <v>87411.0</v>
      </c>
      <c r="BC35" s="233">
        <v>76226.0</v>
      </c>
      <c r="BD35" s="233">
        <v>73916.0</v>
      </c>
      <c r="BE35" s="233">
        <v>71321.0</v>
      </c>
      <c r="BF35" s="233">
        <v>65818.0</v>
      </c>
      <c r="BG35" s="233">
        <v>15258.0</v>
      </c>
      <c r="BH35" s="247" t="s">
        <v>183</v>
      </c>
      <c r="BI35" s="247" t="s">
        <v>183</v>
      </c>
      <c r="BJ35" s="247" t="s">
        <v>183</v>
      </c>
      <c r="BK35" s="247" t="s">
        <v>183</v>
      </c>
      <c r="BL35" s="208"/>
      <c r="BM35" s="208"/>
    </row>
    <row r="36">
      <c r="A36" s="208"/>
      <c r="B36" s="208"/>
      <c r="C36" s="221" t="s">
        <v>203</v>
      </c>
      <c r="D36" s="246" t="s">
        <v>183</v>
      </c>
      <c r="E36" s="232">
        <v>88080.0</v>
      </c>
      <c r="F36" s="232">
        <v>438016.0</v>
      </c>
      <c r="G36" s="232">
        <v>379981.0</v>
      </c>
      <c r="H36" s="262"/>
      <c r="I36" s="262"/>
      <c r="J36" s="262"/>
      <c r="K36" s="262"/>
      <c r="L36" s="244"/>
      <c r="M36" s="205"/>
      <c r="N36" s="205"/>
      <c r="O36" s="205"/>
      <c r="P36" s="247" t="s">
        <v>183</v>
      </c>
      <c r="Q36" s="247" t="s">
        <v>183</v>
      </c>
      <c r="R36" s="247" t="s">
        <v>183</v>
      </c>
      <c r="S36" s="247" t="s">
        <v>183</v>
      </c>
      <c r="T36" s="247" t="s">
        <v>183</v>
      </c>
      <c r="U36" s="247" t="s">
        <v>183</v>
      </c>
      <c r="V36" s="247" t="s">
        <v>183</v>
      </c>
      <c r="W36" s="247" t="s">
        <v>183</v>
      </c>
      <c r="X36" s="247" t="s">
        <v>183</v>
      </c>
      <c r="Y36" s="247" t="s">
        <v>183</v>
      </c>
      <c r="Z36" s="247" t="s">
        <v>183</v>
      </c>
      <c r="AA36" s="247" t="s">
        <v>183</v>
      </c>
      <c r="AB36" s="247" t="s">
        <v>183</v>
      </c>
      <c r="AC36" s="247" t="s">
        <v>183</v>
      </c>
      <c r="AD36" s="247" t="s">
        <v>183</v>
      </c>
      <c r="AE36" s="247" t="s">
        <v>183</v>
      </c>
      <c r="AF36" s="247" t="s">
        <v>183</v>
      </c>
      <c r="AG36" s="233">
        <v>3572.0</v>
      </c>
      <c r="AH36" s="233">
        <v>13975.0</v>
      </c>
      <c r="AI36" s="233">
        <v>18827.0</v>
      </c>
      <c r="AJ36" s="233">
        <v>12722.0</v>
      </c>
      <c r="AK36" s="233">
        <v>13194.0</v>
      </c>
      <c r="AL36" s="233">
        <v>12959.0</v>
      </c>
      <c r="AM36" s="233">
        <v>12830.0</v>
      </c>
      <c r="AN36" s="233">
        <v>19415.0</v>
      </c>
      <c r="AO36" s="233">
        <v>31335.0</v>
      </c>
      <c r="AP36" s="233">
        <v>36877.0</v>
      </c>
      <c r="AQ36" s="233">
        <v>48679.0</v>
      </c>
      <c r="AR36" s="233">
        <v>33677.0</v>
      </c>
      <c r="AS36" s="233">
        <v>35988.0</v>
      </c>
      <c r="AT36" s="233">
        <v>33632.0</v>
      </c>
      <c r="AU36" s="233">
        <v>52166.0</v>
      </c>
      <c r="AV36" s="233">
        <v>37290.0</v>
      </c>
      <c r="AW36" s="233">
        <v>36826.0</v>
      </c>
      <c r="AX36" s="233">
        <v>35095.0</v>
      </c>
      <c r="AY36" s="233">
        <v>37035.0</v>
      </c>
      <c r="AZ36" s="233">
        <v>39715.0</v>
      </c>
      <c r="BA36" s="233">
        <v>34569.0</v>
      </c>
      <c r="BB36" s="233">
        <v>37405.0</v>
      </c>
      <c r="BC36" s="233">
        <v>29962.0</v>
      </c>
      <c r="BD36" s="233">
        <v>29962.0</v>
      </c>
      <c r="BE36" s="233">
        <v>28598.0</v>
      </c>
      <c r="BF36" s="233">
        <v>31324.0</v>
      </c>
      <c r="BG36" s="233">
        <v>28598.0</v>
      </c>
      <c r="BH36" s="233">
        <v>29962.0</v>
      </c>
      <c r="BI36" s="233">
        <v>31324.0</v>
      </c>
      <c r="BJ36" s="233">
        <v>27238.0</v>
      </c>
      <c r="BK36" s="233">
        <v>31324.0</v>
      </c>
      <c r="BL36" s="208"/>
      <c r="BM36" s="208"/>
    </row>
    <row r="37">
      <c r="A37" s="208"/>
      <c r="B37" s="208"/>
      <c r="C37" s="221" t="s">
        <v>204</v>
      </c>
      <c r="D37" s="246" t="s">
        <v>183</v>
      </c>
      <c r="E37" s="232">
        <v>25110.0</v>
      </c>
      <c r="F37" s="232">
        <v>108303.0</v>
      </c>
      <c r="G37" s="232">
        <v>337387.0</v>
      </c>
      <c r="H37" s="262"/>
      <c r="I37" s="262"/>
      <c r="J37" s="262"/>
      <c r="K37" s="262"/>
      <c r="L37" s="244"/>
      <c r="M37" s="205"/>
      <c r="N37" s="205"/>
      <c r="O37" s="205"/>
      <c r="P37" s="247" t="s">
        <v>183</v>
      </c>
      <c r="Q37" s="247" t="s">
        <v>183</v>
      </c>
      <c r="R37" s="247" t="s">
        <v>183</v>
      </c>
      <c r="S37" s="247" t="s">
        <v>183</v>
      </c>
      <c r="T37" s="247" t="s">
        <v>183</v>
      </c>
      <c r="U37" s="247" t="s">
        <v>183</v>
      </c>
      <c r="V37" s="247" t="s">
        <v>183</v>
      </c>
      <c r="W37" s="247" t="s">
        <v>183</v>
      </c>
      <c r="X37" s="247" t="s">
        <v>183</v>
      </c>
      <c r="Y37" s="247" t="s">
        <v>183</v>
      </c>
      <c r="Z37" s="247" t="s">
        <v>183</v>
      </c>
      <c r="AA37" s="247" t="s">
        <v>183</v>
      </c>
      <c r="AB37" s="247" t="s">
        <v>183</v>
      </c>
      <c r="AC37" s="247" t="s">
        <v>183</v>
      </c>
      <c r="AD37" s="247" t="s">
        <v>183</v>
      </c>
      <c r="AE37" s="247" t="s">
        <v>183</v>
      </c>
      <c r="AF37" s="247" t="s">
        <v>183</v>
      </c>
      <c r="AG37" s="247" t="s">
        <v>183</v>
      </c>
      <c r="AH37" s="233">
        <v>25110.0</v>
      </c>
      <c r="AI37" s="247" t="s">
        <v>183</v>
      </c>
      <c r="AJ37" s="247" t="s">
        <v>183</v>
      </c>
      <c r="AK37" s="247" t="s">
        <v>183</v>
      </c>
      <c r="AL37" s="247" t="s">
        <v>183</v>
      </c>
      <c r="AM37" s="247" t="s">
        <v>183</v>
      </c>
      <c r="AN37" s="247" t="s">
        <v>183</v>
      </c>
      <c r="AO37" s="247" t="s">
        <v>183</v>
      </c>
      <c r="AP37" s="247" t="s">
        <v>183</v>
      </c>
      <c r="AQ37" s="247" t="s">
        <v>183</v>
      </c>
      <c r="AR37" s="247" t="s">
        <v>183</v>
      </c>
      <c r="AS37" s="233">
        <v>85246.0</v>
      </c>
      <c r="AT37" s="247" t="s">
        <v>183</v>
      </c>
      <c r="AU37" s="247" t="s">
        <v>183</v>
      </c>
      <c r="AV37" s="233">
        <v>7824.0</v>
      </c>
      <c r="AW37" s="247" t="s">
        <v>183</v>
      </c>
      <c r="AX37" s="247" t="s">
        <v>183</v>
      </c>
      <c r="AY37" s="233">
        <v>15233.0</v>
      </c>
      <c r="AZ37" s="233">
        <v>100140.0</v>
      </c>
      <c r="BA37" s="247" t="s">
        <v>183</v>
      </c>
      <c r="BB37" s="247" t="s">
        <v>183</v>
      </c>
      <c r="BC37" s="247" t="s">
        <v>183</v>
      </c>
      <c r="BD37" s="233">
        <v>65218.0</v>
      </c>
      <c r="BE37" s="233">
        <v>67029.0</v>
      </c>
      <c r="BF37" s="247" t="s">
        <v>183</v>
      </c>
      <c r="BG37" s="233">
        <v>105000.0</v>
      </c>
      <c r="BH37" s="247" t="s">
        <v>183</v>
      </c>
      <c r="BI37" s="247" t="s">
        <v>183</v>
      </c>
      <c r="BJ37" s="247" t="s">
        <v>183</v>
      </c>
      <c r="BK37" s="247" t="s">
        <v>183</v>
      </c>
      <c r="BL37" s="208"/>
      <c r="BM37" s="208"/>
    </row>
    <row r="38">
      <c r="A38" s="208"/>
      <c r="B38" s="208"/>
      <c r="C38" s="237" t="s">
        <v>205</v>
      </c>
      <c r="D38" s="263" t="s">
        <v>206</v>
      </c>
      <c r="E38" s="239">
        <v>113189.0</v>
      </c>
      <c r="F38" s="239">
        <v>1228423.0</v>
      </c>
      <c r="G38" s="239">
        <v>1284062.0</v>
      </c>
      <c r="H38" s="263" t="s">
        <v>206</v>
      </c>
      <c r="I38" s="263" t="s">
        <v>206</v>
      </c>
      <c r="J38" s="263" t="s">
        <v>206</v>
      </c>
      <c r="K38" s="263" t="s">
        <v>206</v>
      </c>
      <c r="L38" s="225"/>
      <c r="M38" s="205"/>
      <c r="N38" s="205"/>
      <c r="O38" s="205"/>
      <c r="P38" s="263" t="s">
        <v>206</v>
      </c>
      <c r="Q38" s="263" t="s">
        <v>206</v>
      </c>
      <c r="R38" s="263" t="s">
        <v>206</v>
      </c>
      <c r="S38" s="263" t="s">
        <v>206</v>
      </c>
      <c r="T38" s="263" t="s">
        <v>206</v>
      </c>
      <c r="U38" s="263" t="s">
        <v>206</v>
      </c>
      <c r="V38" s="263" t="s">
        <v>206</v>
      </c>
      <c r="W38" s="263" t="s">
        <v>206</v>
      </c>
      <c r="X38" s="263" t="s">
        <v>206</v>
      </c>
      <c r="Y38" s="263" t="s">
        <v>206</v>
      </c>
      <c r="Z38" s="263" t="s">
        <v>206</v>
      </c>
      <c r="AA38" s="263" t="s">
        <v>206</v>
      </c>
      <c r="AB38" s="263" t="s">
        <v>206</v>
      </c>
      <c r="AC38" s="263" t="s">
        <v>206</v>
      </c>
      <c r="AD38" s="263" t="s">
        <v>206</v>
      </c>
      <c r="AE38" s="263" t="s">
        <v>206</v>
      </c>
      <c r="AF38" s="263" t="s">
        <v>206</v>
      </c>
      <c r="AG38" s="239">
        <v>3572.0</v>
      </c>
      <c r="AH38" s="239">
        <v>39085.0</v>
      </c>
      <c r="AI38" s="239">
        <v>18827.0</v>
      </c>
      <c r="AJ38" s="239">
        <v>12722.0</v>
      </c>
      <c r="AK38" s="239">
        <v>13194.0</v>
      </c>
      <c r="AL38" s="239">
        <v>12959.0</v>
      </c>
      <c r="AM38" s="239">
        <v>12830.0</v>
      </c>
      <c r="AN38" s="239">
        <v>19415.0</v>
      </c>
      <c r="AO38" s="239">
        <v>31335.0</v>
      </c>
      <c r="AP38" s="239">
        <v>36877.0</v>
      </c>
      <c r="AQ38" s="239">
        <v>90539.0</v>
      </c>
      <c r="AR38" s="239">
        <v>70033.0</v>
      </c>
      <c r="AS38" s="239">
        <v>145342.0</v>
      </c>
      <c r="AT38" s="239">
        <v>57643.0</v>
      </c>
      <c r="AU38" s="239">
        <v>160736.0</v>
      </c>
      <c r="AV38" s="239">
        <v>156871.0</v>
      </c>
      <c r="AW38" s="239">
        <v>156818.0</v>
      </c>
      <c r="AX38" s="239">
        <v>134214.0</v>
      </c>
      <c r="AY38" s="239">
        <v>168600.0</v>
      </c>
      <c r="AZ38" s="239">
        <v>239894.0</v>
      </c>
      <c r="BA38" s="239">
        <v>111275.0</v>
      </c>
      <c r="BB38" s="239">
        <v>124816.0</v>
      </c>
      <c r="BC38" s="239">
        <v>106188.0</v>
      </c>
      <c r="BD38" s="239">
        <v>169095.0</v>
      </c>
      <c r="BE38" s="239">
        <v>166948.0</v>
      </c>
      <c r="BF38" s="239">
        <v>97142.0</v>
      </c>
      <c r="BG38" s="239">
        <v>148856.0</v>
      </c>
      <c r="BH38" s="239">
        <v>29962.0</v>
      </c>
      <c r="BI38" s="239">
        <v>31324.0</v>
      </c>
      <c r="BJ38" s="239">
        <v>27238.0</v>
      </c>
      <c r="BK38" s="239">
        <v>31324.0</v>
      </c>
      <c r="BL38" s="208"/>
      <c r="BM38" s="208"/>
    </row>
    <row r="39">
      <c r="A39" s="208"/>
      <c r="B39" s="208"/>
      <c r="C39" s="240"/>
      <c r="D39" s="208"/>
      <c r="E39" s="208"/>
      <c r="F39" s="208"/>
      <c r="G39" s="208"/>
      <c r="H39" s="208"/>
      <c r="I39" s="208"/>
      <c r="J39" s="208"/>
      <c r="K39" s="208"/>
      <c r="L39" s="208"/>
      <c r="M39" s="208"/>
      <c r="N39" s="208"/>
      <c r="O39" s="208"/>
      <c r="P39" s="208"/>
      <c r="Q39" s="208"/>
      <c r="R39" s="208"/>
      <c r="S39" s="208"/>
      <c r="T39" s="208"/>
      <c r="U39" s="208"/>
      <c r="V39" s="208"/>
      <c r="W39" s="208"/>
      <c r="X39" s="208"/>
      <c r="Y39" s="208"/>
      <c r="Z39" s="208"/>
      <c r="AA39" s="208"/>
      <c r="AB39" s="208"/>
      <c r="AC39" s="208"/>
      <c r="AD39" s="208"/>
      <c r="AE39" s="208"/>
      <c r="AF39" s="208"/>
      <c r="AG39" s="208"/>
      <c r="AH39" s="208"/>
      <c r="AI39" s="208"/>
      <c r="AJ39" s="208"/>
      <c r="AK39" s="208"/>
      <c r="AL39" s="208"/>
      <c r="AM39" s="208"/>
      <c r="AN39" s="208"/>
      <c r="AO39" s="208"/>
      <c r="AP39" s="208"/>
      <c r="AQ39" s="208"/>
      <c r="AR39" s="208"/>
      <c r="AS39" s="208"/>
      <c r="AT39" s="208"/>
      <c r="AU39" s="208"/>
      <c r="AV39" s="208"/>
      <c r="AW39" s="208"/>
      <c r="AX39" s="208"/>
      <c r="AY39" s="208"/>
      <c r="AZ39" s="208"/>
      <c r="BA39" s="208"/>
      <c r="BB39" s="208"/>
      <c r="BC39" s="208"/>
      <c r="BD39" s="208"/>
      <c r="BE39" s="208"/>
      <c r="BF39" s="208"/>
      <c r="BG39" s="208"/>
      <c r="BH39" s="208"/>
      <c r="BI39" s="208"/>
      <c r="BJ39" s="208"/>
      <c r="BK39" s="208"/>
      <c r="BL39" s="208"/>
      <c r="BM39" s="208"/>
    </row>
    <row r="40">
      <c r="A40" s="208"/>
      <c r="B40" s="208"/>
      <c r="C40" s="237" t="s">
        <v>207</v>
      </c>
      <c r="D40" s="239">
        <v>4604866.0</v>
      </c>
      <c r="E40" s="239">
        <v>1757816.0</v>
      </c>
      <c r="F40" s="239">
        <v>1094899.0</v>
      </c>
      <c r="G40" s="239">
        <v>6376214.0</v>
      </c>
      <c r="H40" s="239">
        <v>1.1104548E7</v>
      </c>
      <c r="I40" s="239">
        <v>1.4745991E7</v>
      </c>
      <c r="J40" s="239">
        <v>1.9576617E7</v>
      </c>
      <c r="K40" s="239">
        <v>2.4492728E7</v>
      </c>
      <c r="L40" s="225"/>
      <c r="M40" s="205"/>
      <c r="N40" s="205"/>
      <c r="O40" s="205"/>
      <c r="P40" s="239">
        <v>423419.0</v>
      </c>
      <c r="Q40" s="239">
        <v>157219.0</v>
      </c>
      <c r="R40" s="239">
        <v>415698.0</v>
      </c>
      <c r="S40" s="239">
        <v>222634.0</v>
      </c>
      <c r="T40" s="239">
        <v>300334.0</v>
      </c>
      <c r="U40" s="239">
        <v>519897.0</v>
      </c>
      <c r="V40" s="239">
        <v>270105.0</v>
      </c>
      <c r="W40" s="239">
        <v>837579.0</v>
      </c>
      <c r="X40" s="239">
        <v>478369.0</v>
      </c>
      <c r="Y40" s="239">
        <v>571413.0</v>
      </c>
      <c r="Z40" s="239">
        <v>483309.0</v>
      </c>
      <c r="AA40" s="239">
        <v>-75109.0</v>
      </c>
      <c r="AB40" s="239">
        <v>564019.0</v>
      </c>
      <c r="AC40" s="239">
        <v>457095.0</v>
      </c>
      <c r="AD40" s="239">
        <v>697353.0</v>
      </c>
      <c r="AE40" s="239">
        <v>-26694.0</v>
      </c>
      <c r="AF40" s="239">
        <v>274163.0</v>
      </c>
      <c r="AG40" s="239">
        <v>188051.0</v>
      </c>
      <c r="AH40" s="239">
        <v>-340951.0</v>
      </c>
      <c r="AI40" s="239">
        <v>300486.0</v>
      </c>
      <c r="AJ40" s="239">
        <v>-148886.0</v>
      </c>
      <c r="AK40" s="239">
        <v>83816.0</v>
      </c>
      <c r="AL40" s="239">
        <v>-100832.0</v>
      </c>
      <c r="AM40" s="239">
        <v>-189802.0</v>
      </c>
      <c r="AN40" s="239">
        <v>-435037.0</v>
      </c>
      <c r="AO40" s="239">
        <v>130922.0</v>
      </c>
      <c r="AP40" s="239">
        <v>-126490.0</v>
      </c>
      <c r="AQ40" s="239">
        <v>134096.0</v>
      </c>
      <c r="AR40" s="239">
        <v>-80218.0</v>
      </c>
      <c r="AS40" s="239">
        <v>-205940.0</v>
      </c>
      <c r="AT40" s="239">
        <v>74693.0</v>
      </c>
      <c r="AU40" s="239">
        <v>287327.0</v>
      </c>
      <c r="AV40" s="239">
        <v>119811.0</v>
      </c>
      <c r="AW40" s="239">
        <v>677607.0</v>
      </c>
      <c r="AX40" s="239">
        <v>381962.0</v>
      </c>
      <c r="AY40" s="239">
        <v>136165.0</v>
      </c>
      <c r="AZ40" s="239">
        <v>162824.0</v>
      </c>
      <c r="BA40" s="239">
        <v>503414.0</v>
      </c>
      <c r="BB40" s="239">
        <v>335951.0</v>
      </c>
      <c r="BC40" s="239">
        <v>307334.0</v>
      </c>
      <c r="BD40" s="239">
        <v>70911.0</v>
      </c>
      <c r="BE40" s="239">
        <v>139787.0</v>
      </c>
      <c r="BF40" s="239">
        <v>785562.0</v>
      </c>
      <c r="BG40" s="239">
        <v>507006.0</v>
      </c>
      <c r="BH40" s="239">
        <v>847355.0</v>
      </c>
      <c r="BI40" s="239">
        <v>1086301.0</v>
      </c>
      <c r="BJ40" s="239">
        <v>670417.0</v>
      </c>
      <c r="BK40" s="239">
        <v>959352.0</v>
      </c>
      <c r="BL40" s="208"/>
      <c r="BM40" s="208"/>
    </row>
    <row r="41">
      <c r="A41" s="260"/>
      <c r="B41" s="260"/>
      <c r="C41" s="241" t="s">
        <v>208</v>
      </c>
      <c r="D41" s="243">
        <v>0.26</v>
      </c>
      <c r="E41" s="243">
        <v>0.08</v>
      </c>
      <c r="F41" s="243">
        <v>0.04</v>
      </c>
      <c r="G41" s="243">
        <v>0.18</v>
      </c>
      <c r="H41" s="243">
        <v>0.24</v>
      </c>
      <c r="I41" s="243">
        <v>0.25</v>
      </c>
      <c r="J41" s="243">
        <v>0.26</v>
      </c>
      <c r="K41" s="243">
        <v>0.27</v>
      </c>
      <c r="L41" s="244"/>
      <c r="M41" s="216"/>
      <c r="N41" s="216"/>
      <c r="O41" s="216"/>
      <c r="P41" s="243">
        <v>0.36</v>
      </c>
      <c r="Q41" s="243">
        <v>0.15</v>
      </c>
      <c r="R41" s="243">
        <v>0.3</v>
      </c>
      <c r="S41" s="243">
        <v>0.18</v>
      </c>
      <c r="T41" s="243">
        <v>0.23</v>
      </c>
      <c r="U41" s="243">
        <v>0.34</v>
      </c>
      <c r="V41" s="243">
        <v>0.2</v>
      </c>
      <c r="W41" s="243">
        <v>0.43</v>
      </c>
      <c r="X41" s="243">
        <v>0.29</v>
      </c>
      <c r="Y41" s="243">
        <v>0.31</v>
      </c>
      <c r="Z41" s="243">
        <v>0.27</v>
      </c>
      <c r="AA41" s="243">
        <v>-0.06</v>
      </c>
      <c r="AB41" s="243">
        <v>0.26</v>
      </c>
      <c r="AC41" s="243">
        <v>0.24</v>
      </c>
      <c r="AD41" s="243">
        <v>0.31</v>
      </c>
      <c r="AE41" s="243">
        <v>-0.01</v>
      </c>
      <c r="AF41" s="243">
        <v>0.14</v>
      </c>
      <c r="AG41" s="243">
        <v>0.1</v>
      </c>
      <c r="AH41" s="243">
        <v>-0.2</v>
      </c>
      <c r="AI41" s="243">
        <v>0.15</v>
      </c>
      <c r="AJ41" s="243">
        <v>-0.09</v>
      </c>
      <c r="AK41" s="243">
        <v>0.04</v>
      </c>
      <c r="AL41" s="243">
        <v>-0.06</v>
      </c>
      <c r="AM41" s="243">
        <v>-0.12</v>
      </c>
      <c r="AN41" s="243">
        <v>-0.26</v>
      </c>
      <c r="AO41" s="243">
        <v>0.07</v>
      </c>
      <c r="AP41" s="243">
        <v>-0.07</v>
      </c>
      <c r="AQ41" s="243">
        <v>0.07</v>
      </c>
      <c r="AR41" s="243">
        <v>-0.04</v>
      </c>
      <c r="AS41" s="243">
        <v>-0.11</v>
      </c>
      <c r="AT41" s="243">
        <v>0.04</v>
      </c>
      <c r="AU41" s="243">
        <v>0.13</v>
      </c>
      <c r="AV41" s="243">
        <v>0.06</v>
      </c>
      <c r="AW41" s="243">
        <v>0.24</v>
      </c>
      <c r="AX41" s="243">
        <v>0.16</v>
      </c>
      <c r="AY41" s="243">
        <v>0.06</v>
      </c>
      <c r="AZ41" s="243">
        <v>0.06</v>
      </c>
      <c r="BA41" s="243">
        <v>0.2</v>
      </c>
      <c r="BB41" s="243">
        <v>0.14</v>
      </c>
      <c r="BC41" s="243">
        <v>0.12</v>
      </c>
      <c r="BD41" s="243">
        <v>0.03</v>
      </c>
      <c r="BE41" s="243">
        <v>0.05</v>
      </c>
      <c r="BF41" s="243">
        <v>0.25</v>
      </c>
      <c r="BG41" s="243">
        <v>0.16</v>
      </c>
      <c r="BH41" s="243">
        <v>0.26</v>
      </c>
      <c r="BI41" s="243">
        <v>0.3</v>
      </c>
      <c r="BJ41" s="243">
        <v>0.22</v>
      </c>
      <c r="BK41" s="243">
        <v>0.27</v>
      </c>
      <c r="BL41" s="260"/>
      <c r="BM41" s="260"/>
    </row>
    <row r="42">
      <c r="A42" s="208"/>
      <c r="B42" s="208"/>
      <c r="C42" s="264"/>
      <c r="D42" s="265"/>
      <c r="E42" s="265"/>
      <c r="F42" s="265"/>
      <c r="G42" s="265"/>
      <c r="H42" s="265"/>
      <c r="I42" s="265"/>
      <c r="J42" s="265"/>
      <c r="K42" s="265"/>
      <c r="L42" s="225"/>
      <c r="M42" s="205"/>
      <c r="N42" s="205"/>
      <c r="O42" s="20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  <c r="AA42" s="265"/>
      <c r="AB42" s="265"/>
      <c r="AC42" s="265"/>
      <c r="AD42" s="265"/>
      <c r="AE42" s="265"/>
      <c r="AF42" s="265"/>
      <c r="AG42" s="265"/>
      <c r="AH42" s="265"/>
      <c r="AI42" s="265"/>
      <c r="AJ42" s="265"/>
      <c r="AK42" s="265"/>
      <c r="AL42" s="265"/>
      <c r="AM42" s="265"/>
      <c r="AN42" s="265"/>
      <c r="AO42" s="265"/>
      <c r="AP42" s="265"/>
      <c r="AQ42" s="265"/>
      <c r="AR42" s="265"/>
      <c r="AS42" s="265"/>
      <c r="AT42" s="265"/>
      <c r="AU42" s="265"/>
      <c r="AV42" s="265"/>
      <c r="AW42" s="265"/>
      <c r="AX42" s="265"/>
      <c r="AY42" s="265"/>
      <c r="AZ42" s="265"/>
      <c r="BA42" s="265"/>
      <c r="BB42" s="265"/>
      <c r="BC42" s="265"/>
      <c r="BD42" s="265"/>
      <c r="BE42" s="265"/>
      <c r="BF42" s="265"/>
      <c r="BG42" s="265"/>
      <c r="BH42" s="265"/>
      <c r="BI42" s="265"/>
      <c r="BJ42" s="265"/>
      <c r="BK42" s="265"/>
      <c r="BL42" s="208"/>
      <c r="BM42" s="208"/>
    </row>
    <row r="43">
      <c r="A43" s="208"/>
      <c r="B43" s="208"/>
      <c r="C43" s="221" t="s">
        <v>209</v>
      </c>
      <c r="D43" s="232">
        <v>2493707.0</v>
      </c>
      <c r="E43" s="232">
        <v>1576514.0</v>
      </c>
      <c r="F43" s="232">
        <v>3368354.0</v>
      </c>
      <c r="G43" s="232">
        <v>887269.0</v>
      </c>
      <c r="H43" s="262"/>
      <c r="I43" s="262"/>
      <c r="J43" s="262"/>
      <c r="K43" s="262"/>
      <c r="L43" s="244"/>
      <c r="M43" s="205"/>
      <c r="N43" s="205"/>
      <c r="O43" s="205"/>
      <c r="P43" s="233">
        <v>98326.0</v>
      </c>
      <c r="Q43" s="233">
        <v>25762.0</v>
      </c>
      <c r="R43" s="233">
        <v>40893.0</v>
      </c>
      <c r="S43" s="233">
        <v>399829.0</v>
      </c>
      <c r="T43" s="233">
        <v>77110.0</v>
      </c>
      <c r="U43" s="233">
        <v>47297.0</v>
      </c>
      <c r="V43" s="233">
        <v>81883.0</v>
      </c>
      <c r="W43" s="233">
        <v>442006.0</v>
      </c>
      <c r="X43" s="233">
        <v>208559.0</v>
      </c>
      <c r="Y43" s="233">
        <v>138234.0</v>
      </c>
      <c r="Z43" s="233">
        <v>520039.0</v>
      </c>
      <c r="AA43" s="233">
        <v>413769.0</v>
      </c>
      <c r="AB43" s="233">
        <v>231473.0</v>
      </c>
      <c r="AC43" s="233">
        <v>214359.0</v>
      </c>
      <c r="AD43" s="233">
        <v>163091.0</v>
      </c>
      <c r="AE43" s="233">
        <v>213994.0</v>
      </c>
      <c r="AF43" s="233">
        <v>114823.0</v>
      </c>
      <c r="AG43" s="233">
        <v>126955.0</v>
      </c>
      <c r="AH43" s="233">
        <v>48282.0</v>
      </c>
      <c r="AI43" s="233">
        <v>163059.0</v>
      </c>
      <c r="AJ43" s="233">
        <v>50783.0</v>
      </c>
      <c r="AK43" s="233">
        <v>76341.0</v>
      </c>
      <c r="AL43" s="233">
        <v>67757.0</v>
      </c>
      <c r="AM43" s="233">
        <v>105597.0</v>
      </c>
      <c r="AN43" s="233">
        <v>125365.0</v>
      </c>
      <c r="AO43" s="233">
        <v>60555.0</v>
      </c>
      <c r="AP43" s="233">
        <v>160824.0</v>
      </c>
      <c r="AQ43" s="233">
        <v>337881.0</v>
      </c>
      <c r="AR43" s="233">
        <v>172740.0</v>
      </c>
      <c r="AS43" s="233">
        <v>111309.0</v>
      </c>
      <c r="AT43" s="233">
        <v>446136.0</v>
      </c>
      <c r="AU43" s="233">
        <v>524443.0</v>
      </c>
      <c r="AV43" s="233">
        <v>273234.0</v>
      </c>
      <c r="AW43" s="233">
        <v>295491.0</v>
      </c>
      <c r="AX43" s="233">
        <v>262837.0</v>
      </c>
      <c r="AY43" s="233">
        <v>597539.0</v>
      </c>
      <c r="AZ43" s="233">
        <v>387847.0</v>
      </c>
      <c r="BA43" s="233">
        <v>264567.0</v>
      </c>
      <c r="BB43" s="233">
        <v>234854.0</v>
      </c>
      <c r="BC43" s="247" t="s">
        <v>183</v>
      </c>
      <c r="BD43" s="247" t="s">
        <v>183</v>
      </c>
      <c r="BE43" s="247" t="s">
        <v>183</v>
      </c>
      <c r="BF43" s="247" t="s">
        <v>183</v>
      </c>
      <c r="BG43" s="247" t="s">
        <v>183</v>
      </c>
      <c r="BH43" s="247" t="s">
        <v>183</v>
      </c>
      <c r="BI43" s="247" t="s">
        <v>183</v>
      </c>
      <c r="BJ43" s="247" t="s">
        <v>183</v>
      </c>
      <c r="BK43" s="247" t="s">
        <v>183</v>
      </c>
      <c r="BL43" s="208"/>
      <c r="BM43" s="208"/>
    </row>
    <row r="44">
      <c r="A44" s="208"/>
      <c r="B44" s="208"/>
      <c r="C44" s="221" t="s">
        <v>210</v>
      </c>
      <c r="D44" s="232">
        <v>-72476.0</v>
      </c>
      <c r="E44" s="232">
        <v>-543199.0</v>
      </c>
      <c r="F44" s="232">
        <v>817452.0</v>
      </c>
      <c r="G44" s="232">
        <v>-17286.0</v>
      </c>
      <c r="H44" s="262"/>
      <c r="I44" s="262"/>
      <c r="J44" s="262"/>
      <c r="K44" s="262"/>
      <c r="L44" s="244"/>
      <c r="M44" s="205"/>
      <c r="N44" s="205"/>
      <c r="O44" s="205"/>
      <c r="P44" s="233">
        <v>-215169.0</v>
      </c>
      <c r="Q44" s="233">
        <v>-134327.0</v>
      </c>
      <c r="R44" s="233">
        <v>-11312.0</v>
      </c>
      <c r="S44" s="233">
        <v>-117283.0</v>
      </c>
      <c r="T44" s="233">
        <v>-141248.0</v>
      </c>
      <c r="U44" s="233">
        <v>-91796.0</v>
      </c>
      <c r="V44" s="233">
        <v>50297.0</v>
      </c>
      <c r="W44" s="233">
        <v>163959.0</v>
      </c>
      <c r="X44" s="233">
        <v>63355.0</v>
      </c>
      <c r="Y44" s="233">
        <v>-32889.0</v>
      </c>
      <c r="Z44" s="233">
        <v>28384.0</v>
      </c>
      <c r="AA44" s="233">
        <v>365552.0</v>
      </c>
      <c r="AB44" s="233">
        <v>68400.0</v>
      </c>
      <c r="AC44" s="233">
        <v>-17651.0</v>
      </c>
      <c r="AD44" s="233">
        <v>-104430.0</v>
      </c>
      <c r="AE44" s="233">
        <v>-196318.0</v>
      </c>
      <c r="AF44" s="233">
        <v>85673.0</v>
      </c>
      <c r="AG44" s="233">
        <v>-218888.0</v>
      </c>
      <c r="AH44" s="233">
        <v>-226359.0</v>
      </c>
      <c r="AI44" s="233">
        <v>418069.0</v>
      </c>
      <c r="AJ44" s="233">
        <v>-62349.0</v>
      </c>
      <c r="AK44" s="233">
        <v>-85718.0</v>
      </c>
      <c r="AL44" s="233">
        <v>-131298.0</v>
      </c>
      <c r="AM44" s="233">
        <v>-72331.0</v>
      </c>
      <c r="AN44" s="233">
        <v>-236258.0</v>
      </c>
      <c r="AO44" s="233">
        <v>99353.0</v>
      </c>
      <c r="AP44" s="233">
        <v>-312985.0</v>
      </c>
      <c r="AQ44" s="233">
        <v>348848.0</v>
      </c>
      <c r="AR44" s="233">
        <v>42250.0</v>
      </c>
      <c r="AS44" s="233">
        <v>-37675.0</v>
      </c>
      <c r="AT44" s="233">
        <v>-330701.0</v>
      </c>
      <c r="AU44" s="233">
        <v>975498.0</v>
      </c>
      <c r="AV44" s="233">
        <v>-8354.0</v>
      </c>
      <c r="AW44" s="233">
        <v>-38600.0</v>
      </c>
      <c r="AX44" s="233">
        <v>-37825.0</v>
      </c>
      <c r="AY44" s="233">
        <v>353901.0</v>
      </c>
      <c r="AZ44" s="233">
        <v>-19299.0</v>
      </c>
      <c r="BA44" s="233">
        <v>-19071.0</v>
      </c>
      <c r="BB44" s="233">
        <v>21084.0</v>
      </c>
      <c r="BC44" s="247" t="s">
        <v>183</v>
      </c>
      <c r="BD44" s="247" t="s">
        <v>183</v>
      </c>
      <c r="BE44" s="247" t="s">
        <v>183</v>
      </c>
      <c r="BF44" s="247" t="s">
        <v>183</v>
      </c>
      <c r="BG44" s="247" t="s">
        <v>183</v>
      </c>
      <c r="BH44" s="247" t="s">
        <v>183</v>
      </c>
      <c r="BI44" s="247" t="s">
        <v>183</v>
      </c>
      <c r="BJ44" s="247" t="s">
        <v>183</v>
      </c>
      <c r="BK44" s="247" t="s">
        <v>183</v>
      </c>
      <c r="BL44" s="208"/>
      <c r="BM44" s="208"/>
    </row>
    <row r="45">
      <c r="A45" s="208"/>
      <c r="B45" s="208"/>
      <c r="C45" s="221" t="s">
        <v>211</v>
      </c>
      <c r="D45" s="246">
        <v>120.0</v>
      </c>
      <c r="E45" s="232">
        <v>-59346.0</v>
      </c>
      <c r="F45" s="232">
        <v>424163.0</v>
      </c>
      <c r="G45" s="232">
        <v>169025.0</v>
      </c>
      <c r="H45" s="262"/>
      <c r="I45" s="262"/>
      <c r="J45" s="262"/>
      <c r="K45" s="262"/>
      <c r="L45" s="244"/>
      <c r="M45" s="205"/>
      <c r="N45" s="205"/>
      <c r="O45" s="205"/>
      <c r="P45" s="247">
        <v>109.0</v>
      </c>
      <c r="Q45" s="247" t="s">
        <v>183</v>
      </c>
      <c r="R45" s="247" t="s">
        <v>183</v>
      </c>
      <c r="S45" s="247" t="s">
        <v>183</v>
      </c>
      <c r="T45" s="247">
        <v>11.0</v>
      </c>
      <c r="U45" s="247" t="s">
        <v>183</v>
      </c>
      <c r="V45" s="247" t="s">
        <v>183</v>
      </c>
      <c r="W45" s="247" t="s">
        <v>183</v>
      </c>
      <c r="X45" s="247" t="s">
        <v>183</v>
      </c>
      <c r="Y45" s="247" t="s">
        <v>183</v>
      </c>
      <c r="Z45" s="247" t="s">
        <v>183</v>
      </c>
      <c r="AA45" s="247" t="s">
        <v>183</v>
      </c>
      <c r="AB45" s="247" t="s">
        <v>183</v>
      </c>
      <c r="AC45" s="247" t="s">
        <v>183</v>
      </c>
      <c r="AD45" s="247" t="s">
        <v>183</v>
      </c>
      <c r="AE45" s="247" t="s">
        <v>183</v>
      </c>
      <c r="AF45" s="247">
        <v>-288.0</v>
      </c>
      <c r="AG45" s="247">
        <v>-41.0</v>
      </c>
      <c r="AH45" s="247">
        <v>-40.0</v>
      </c>
      <c r="AI45" s="247">
        <v>-42.0</v>
      </c>
      <c r="AJ45" s="247">
        <v>-44.0</v>
      </c>
      <c r="AK45" s="247">
        <v>-43.0</v>
      </c>
      <c r="AL45" s="233">
        <v>3750.0</v>
      </c>
      <c r="AM45" s="233">
        <v>-62598.0</v>
      </c>
      <c r="AN45" s="233">
        <v>51608.0</v>
      </c>
      <c r="AO45" s="233">
        <v>-24905.0</v>
      </c>
      <c r="AP45" s="233">
        <v>-19915.0</v>
      </c>
      <c r="AQ45" s="233">
        <v>69955.0</v>
      </c>
      <c r="AR45" s="233">
        <v>26121.0</v>
      </c>
      <c r="AS45" s="233">
        <v>83531.0</v>
      </c>
      <c r="AT45" s="233">
        <v>32688.0</v>
      </c>
      <c r="AU45" s="233">
        <v>123270.0</v>
      </c>
      <c r="AV45" s="233">
        <v>53400.0</v>
      </c>
      <c r="AW45" s="233">
        <v>24258.0</v>
      </c>
      <c r="AX45" s="233">
        <v>3557.0</v>
      </c>
      <c r="AY45" s="247">
        <v>596.0</v>
      </c>
      <c r="AZ45" s="233">
        <v>9800.0</v>
      </c>
      <c r="BA45" s="233">
        <v>23676.0</v>
      </c>
      <c r="BB45" s="233">
        <v>135549.0</v>
      </c>
      <c r="BC45" s="247" t="s">
        <v>183</v>
      </c>
      <c r="BD45" s="247" t="s">
        <v>183</v>
      </c>
      <c r="BE45" s="247" t="s">
        <v>183</v>
      </c>
      <c r="BF45" s="247" t="s">
        <v>183</v>
      </c>
      <c r="BG45" s="247" t="s">
        <v>183</v>
      </c>
      <c r="BH45" s="247" t="s">
        <v>183</v>
      </c>
      <c r="BI45" s="247" t="s">
        <v>183</v>
      </c>
      <c r="BJ45" s="247" t="s">
        <v>183</v>
      </c>
      <c r="BK45" s="247" t="s">
        <v>183</v>
      </c>
      <c r="BL45" s="208"/>
      <c r="BM45" s="208"/>
    </row>
    <row r="46">
      <c r="A46" s="208"/>
      <c r="B46" s="208"/>
      <c r="C46" s="221" t="s">
        <v>212</v>
      </c>
      <c r="D46" s="232">
        <v>-2207319.0</v>
      </c>
      <c r="E46" s="232">
        <v>117345.0</v>
      </c>
      <c r="F46" s="232">
        <v>696100.0</v>
      </c>
      <c r="G46" s="232">
        <v>183857.0</v>
      </c>
      <c r="H46" s="262"/>
      <c r="I46" s="262"/>
      <c r="J46" s="262"/>
      <c r="K46" s="262"/>
      <c r="L46" s="244"/>
      <c r="M46" s="205"/>
      <c r="N46" s="205"/>
      <c r="O46" s="205"/>
      <c r="P46" s="233">
        <v>95513.0</v>
      </c>
      <c r="Q46" s="247">
        <v>-542.0</v>
      </c>
      <c r="R46" s="233">
        <v>399240.0</v>
      </c>
      <c r="S46" s="233">
        <v>219845.0</v>
      </c>
      <c r="T46" s="233">
        <v>-642470.0</v>
      </c>
      <c r="U46" s="233">
        <v>-401941.0</v>
      </c>
      <c r="V46" s="233">
        <v>-471880.0</v>
      </c>
      <c r="W46" s="233">
        <v>313156.0</v>
      </c>
      <c r="X46" s="233">
        <v>-269991.0</v>
      </c>
      <c r="Y46" s="233">
        <v>-79873.0</v>
      </c>
      <c r="Z46" s="233">
        <v>26325.0</v>
      </c>
      <c r="AA46" s="233">
        <v>-1394700.0</v>
      </c>
      <c r="AB46" s="233">
        <v>175750.0</v>
      </c>
      <c r="AC46" s="233">
        <v>6462.0</v>
      </c>
      <c r="AD46" s="233">
        <v>599212.0</v>
      </c>
      <c r="AE46" s="233">
        <v>465582.0</v>
      </c>
      <c r="AF46" s="233">
        <v>878662.0</v>
      </c>
      <c r="AG46" s="233">
        <v>-280575.0</v>
      </c>
      <c r="AH46" s="233">
        <v>583934.0</v>
      </c>
      <c r="AI46" s="233">
        <v>-364411.0</v>
      </c>
      <c r="AJ46" s="233">
        <v>-138141.0</v>
      </c>
      <c r="AK46" s="233">
        <v>411858.0</v>
      </c>
      <c r="AL46" s="233">
        <v>-1080746.0</v>
      </c>
      <c r="AM46" s="233">
        <v>-1140242.0</v>
      </c>
      <c r="AN46" s="233">
        <v>711247.0</v>
      </c>
      <c r="AO46" s="233">
        <v>905621.0</v>
      </c>
      <c r="AP46" s="233">
        <v>-1112919.0</v>
      </c>
      <c r="AQ46" s="233">
        <v>720284.0</v>
      </c>
      <c r="AR46" s="233">
        <v>-10606.0</v>
      </c>
      <c r="AS46" s="233">
        <v>-520966.0</v>
      </c>
      <c r="AT46" s="233">
        <v>214986.0</v>
      </c>
      <c r="AU46" s="233">
        <v>-196965.0</v>
      </c>
      <c r="AV46" s="233">
        <v>929060.0</v>
      </c>
      <c r="AW46" s="233">
        <v>-394696.0</v>
      </c>
      <c r="AX46" s="233">
        <v>-1116842.0</v>
      </c>
      <c r="AY46" s="233">
        <v>567896.0</v>
      </c>
      <c r="AZ46" s="233">
        <v>609735.0</v>
      </c>
      <c r="BA46" s="233">
        <v>-307118.0</v>
      </c>
      <c r="BB46" s="233">
        <v>-118760.0</v>
      </c>
      <c r="BC46" s="247" t="s">
        <v>183</v>
      </c>
      <c r="BD46" s="247" t="s">
        <v>183</v>
      </c>
      <c r="BE46" s="247" t="s">
        <v>183</v>
      </c>
      <c r="BF46" s="247" t="s">
        <v>183</v>
      </c>
      <c r="BG46" s="247" t="s">
        <v>183</v>
      </c>
      <c r="BH46" s="247" t="s">
        <v>183</v>
      </c>
      <c r="BI46" s="247" t="s">
        <v>183</v>
      </c>
      <c r="BJ46" s="247" t="s">
        <v>183</v>
      </c>
      <c r="BK46" s="247" t="s">
        <v>183</v>
      </c>
      <c r="BL46" s="208"/>
      <c r="BM46" s="208"/>
    </row>
    <row r="47">
      <c r="A47" s="208"/>
      <c r="B47" s="208"/>
      <c r="C47" s="221" t="s">
        <v>213</v>
      </c>
      <c r="D47" s="246" t="s">
        <v>183</v>
      </c>
      <c r="E47" s="232">
        <v>17261.0</v>
      </c>
      <c r="F47" s="232">
        <v>270755.0</v>
      </c>
      <c r="G47" s="232">
        <v>148980.0</v>
      </c>
      <c r="H47" s="262"/>
      <c r="I47" s="262"/>
      <c r="J47" s="262"/>
      <c r="K47" s="262"/>
      <c r="L47" s="244"/>
      <c r="M47" s="205"/>
      <c r="N47" s="205"/>
      <c r="O47" s="205"/>
      <c r="P47" s="247" t="s">
        <v>183</v>
      </c>
      <c r="Q47" s="247" t="s">
        <v>183</v>
      </c>
      <c r="R47" s="247" t="s">
        <v>183</v>
      </c>
      <c r="S47" s="247" t="s">
        <v>183</v>
      </c>
      <c r="T47" s="247" t="s">
        <v>183</v>
      </c>
      <c r="U47" s="247" t="s">
        <v>183</v>
      </c>
      <c r="V47" s="247" t="s">
        <v>183</v>
      </c>
      <c r="W47" s="247" t="s">
        <v>183</v>
      </c>
      <c r="X47" s="247" t="s">
        <v>183</v>
      </c>
      <c r="Y47" s="247" t="s">
        <v>183</v>
      </c>
      <c r="Z47" s="247" t="s">
        <v>183</v>
      </c>
      <c r="AA47" s="247" t="s">
        <v>183</v>
      </c>
      <c r="AB47" s="247" t="s">
        <v>183</v>
      </c>
      <c r="AC47" s="247" t="s">
        <v>183</v>
      </c>
      <c r="AD47" s="247" t="s">
        <v>183</v>
      </c>
      <c r="AE47" s="247" t="s">
        <v>183</v>
      </c>
      <c r="AF47" s="247" t="s">
        <v>183</v>
      </c>
      <c r="AG47" s="247" t="s">
        <v>183</v>
      </c>
      <c r="AH47" s="247" t="s">
        <v>183</v>
      </c>
      <c r="AI47" s="247" t="s">
        <v>183</v>
      </c>
      <c r="AJ47" s="247" t="s">
        <v>183</v>
      </c>
      <c r="AK47" s="233">
        <v>2271.0</v>
      </c>
      <c r="AL47" s="233">
        <v>4935.0</v>
      </c>
      <c r="AM47" s="233">
        <v>10055.0</v>
      </c>
      <c r="AN47" s="233">
        <v>15453.0</v>
      </c>
      <c r="AO47" s="233">
        <v>18163.0</v>
      </c>
      <c r="AP47" s="233">
        <v>28166.0</v>
      </c>
      <c r="AQ47" s="233">
        <v>51952.0</v>
      </c>
      <c r="AR47" s="233">
        <v>36021.0</v>
      </c>
      <c r="AS47" s="233">
        <v>26855.0</v>
      </c>
      <c r="AT47" s="233">
        <v>28862.0</v>
      </c>
      <c r="AU47" s="233">
        <v>40787.0</v>
      </c>
      <c r="AV47" s="233">
        <v>6346.0</v>
      </c>
      <c r="AW47" s="233">
        <v>3039.0</v>
      </c>
      <c r="AX47" s="233">
        <v>5375.0</v>
      </c>
      <c r="AY47" s="233">
        <v>9738.0</v>
      </c>
      <c r="AZ47" s="233">
        <v>8020.0</v>
      </c>
      <c r="BA47" s="233">
        <v>30883.0</v>
      </c>
      <c r="BB47" s="233">
        <v>26681.0</v>
      </c>
      <c r="BC47" s="233">
        <v>11238.0</v>
      </c>
      <c r="BD47" s="233">
        <v>10712.0</v>
      </c>
      <c r="BE47" s="233">
        <v>10227.0</v>
      </c>
      <c r="BF47" s="233">
        <v>8923.0</v>
      </c>
      <c r="BG47" s="233">
        <v>8150.0</v>
      </c>
      <c r="BH47" s="233">
        <v>8537.0</v>
      </c>
      <c r="BI47" s="233">
        <v>8923.0</v>
      </c>
      <c r="BJ47" s="233">
        <v>7763.0</v>
      </c>
      <c r="BK47" s="233">
        <v>8923.0</v>
      </c>
      <c r="BL47" s="208"/>
      <c r="BM47" s="208"/>
    </row>
    <row r="48">
      <c r="A48" s="208"/>
      <c r="B48" s="208"/>
      <c r="C48" s="237" t="s">
        <v>214</v>
      </c>
      <c r="D48" s="239">
        <v>214032.0</v>
      </c>
      <c r="E48" s="239">
        <v>1108576.0</v>
      </c>
      <c r="F48" s="239">
        <v>5576823.0</v>
      </c>
      <c r="G48" s="239">
        <v>1371844.0</v>
      </c>
      <c r="H48" s="263" t="s">
        <v>206</v>
      </c>
      <c r="I48" s="263" t="s">
        <v>206</v>
      </c>
      <c r="J48" s="263" t="s">
        <v>206</v>
      </c>
      <c r="K48" s="263" t="s">
        <v>206</v>
      </c>
      <c r="L48" s="225"/>
      <c r="M48" s="205"/>
      <c r="N48" s="205"/>
      <c r="O48" s="205"/>
      <c r="P48" s="239">
        <v>-21221.0</v>
      </c>
      <c r="Q48" s="239">
        <v>-109107.0</v>
      </c>
      <c r="R48" s="239">
        <v>428820.0</v>
      </c>
      <c r="S48" s="239">
        <v>502391.0</v>
      </c>
      <c r="T48" s="239">
        <v>-706597.0</v>
      </c>
      <c r="U48" s="239">
        <v>-446440.0</v>
      </c>
      <c r="V48" s="239">
        <v>-339701.0</v>
      </c>
      <c r="W48" s="239">
        <v>919121.0</v>
      </c>
      <c r="X48" s="239">
        <v>1923.0</v>
      </c>
      <c r="Y48" s="239">
        <v>25472.0</v>
      </c>
      <c r="Z48" s="239">
        <v>574749.0</v>
      </c>
      <c r="AA48" s="239">
        <v>-615379.0</v>
      </c>
      <c r="AB48" s="239">
        <v>475623.0</v>
      </c>
      <c r="AC48" s="239">
        <v>203171.0</v>
      </c>
      <c r="AD48" s="239">
        <v>657872.0</v>
      </c>
      <c r="AE48" s="239">
        <v>483259.0</v>
      </c>
      <c r="AF48" s="239">
        <v>1078869.0</v>
      </c>
      <c r="AG48" s="239">
        <v>-372549.0</v>
      </c>
      <c r="AH48" s="239">
        <v>405817.0</v>
      </c>
      <c r="AI48" s="239">
        <v>216675.0</v>
      </c>
      <c r="AJ48" s="239">
        <v>-149752.0</v>
      </c>
      <c r="AK48" s="239">
        <v>404711.0</v>
      </c>
      <c r="AL48" s="239">
        <v>-1135602.0</v>
      </c>
      <c r="AM48" s="239">
        <v>-1159519.0</v>
      </c>
      <c r="AN48" s="239">
        <v>667414.0</v>
      </c>
      <c r="AO48" s="239">
        <v>1058785.0</v>
      </c>
      <c r="AP48" s="239">
        <v>-1256829.0</v>
      </c>
      <c r="AQ48" s="239">
        <v>1528919.0</v>
      </c>
      <c r="AR48" s="239">
        <v>266525.0</v>
      </c>
      <c r="AS48" s="239">
        <v>-336946.0</v>
      </c>
      <c r="AT48" s="239">
        <v>391971.0</v>
      </c>
      <c r="AU48" s="239">
        <v>1467035.0</v>
      </c>
      <c r="AV48" s="239">
        <v>1253686.0</v>
      </c>
      <c r="AW48" s="239">
        <v>-110508.0</v>
      </c>
      <c r="AX48" s="239">
        <v>-882899.0</v>
      </c>
      <c r="AY48" s="239">
        <v>1529670.0</v>
      </c>
      <c r="AZ48" s="239">
        <v>996103.0</v>
      </c>
      <c r="BA48" s="239">
        <v>-7063.0</v>
      </c>
      <c r="BB48" s="239">
        <v>299408.0</v>
      </c>
      <c r="BC48" s="239">
        <v>11238.0</v>
      </c>
      <c r="BD48" s="239">
        <v>10712.0</v>
      </c>
      <c r="BE48" s="239">
        <v>10227.0</v>
      </c>
      <c r="BF48" s="239">
        <v>8923.0</v>
      </c>
      <c r="BG48" s="239">
        <v>8150.0</v>
      </c>
      <c r="BH48" s="239">
        <v>8537.0</v>
      </c>
      <c r="BI48" s="239">
        <v>8923.0</v>
      </c>
      <c r="BJ48" s="239">
        <v>7763.0</v>
      </c>
      <c r="BK48" s="239">
        <v>8923.0</v>
      </c>
      <c r="BL48" s="208"/>
      <c r="BM48" s="208"/>
    </row>
    <row r="49">
      <c r="A49" s="208"/>
      <c r="B49" s="208"/>
      <c r="C49" s="264"/>
      <c r="D49" s="251"/>
      <c r="E49" s="251"/>
      <c r="F49" s="251"/>
      <c r="G49" s="251"/>
      <c r="H49" s="251"/>
      <c r="I49" s="251"/>
      <c r="J49" s="251"/>
      <c r="K49" s="251"/>
      <c r="L49" s="225"/>
      <c r="M49" s="205"/>
      <c r="N49" s="205"/>
      <c r="O49" s="205"/>
      <c r="P49" s="251"/>
      <c r="Q49" s="251"/>
      <c r="R49" s="251"/>
      <c r="S49" s="251"/>
      <c r="T49" s="251"/>
      <c r="U49" s="251"/>
      <c r="V49" s="251"/>
      <c r="W49" s="251"/>
      <c r="X49" s="251"/>
      <c r="Y49" s="251"/>
      <c r="Z49" s="251"/>
      <c r="AA49" s="251"/>
      <c r="AB49" s="251"/>
      <c r="AC49" s="251"/>
      <c r="AD49" s="251"/>
      <c r="AE49" s="251"/>
      <c r="AF49" s="251"/>
      <c r="AG49" s="251"/>
      <c r="AH49" s="251"/>
      <c r="AI49" s="251"/>
      <c r="AJ49" s="251"/>
      <c r="AK49" s="251"/>
      <c r="AL49" s="251"/>
      <c r="AM49" s="251"/>
      <c r="AN49" s="251"/>
      <c r="AO49" s="251"/>
      <c r="AP49" s="251"/>
      <c r="AQ49" s="251"/>
      <c r="AR49" s="251"/>
      <c r="AS49" s="251"/>
      <c r="AT49" s="251"/>
      <c r="AU49" s="251"/>
      <c r="AV49" s="251"/>
      <c r="AW49" s="251"/>
      <c r="AX49" s="251"/>
      <c r="AY49" s="251"/>
      <c r="AZ49" s="251"/>
      <c r="BA49" s="251"/>
      <c r="BB49" s="251"/>
      <c r="BC49" s="251"/>
      <c r="BD49" s="251"/>
      <c r="BE49" s="251"/>
      <c r="BF49" s="251"/>
      <c r="BG49" s="251"/>
      <c r="BH49" s="251"/>
      <c r="BI49" s="251"/>
      <c r="BJ49" s="251"/>
      <c r="BK49" s="251"/>
      <c r="BL49" s="208"/>
      <c r="BM49" s="208"/>
    </row>
    <row r="50">
      <c r="A50" s="208"/>
      <c r="B50" s="208"/>
      <c r="C50" s="237" t="s">
        <v>215</v>
      </c>
      <c r="D50" s="239">
        <v>4390834.0</v>
      </c>
      <c r="E50" s="239">
        <v>649240.0</v>
      </c>
      <c r="F50" s="239">
        <v>-4481925.0</v>
      </c>
      <c r="G50" s="239">
        <v>5004369.0</v>
      </c>
      <c r="H50" s="239">
        <v>1.1104548E7</v>
      </c>
      <c r="I50" s="239">
        <v>1.4745991E7</v>
      </c>
      <c r="J50" s="239">
        <v>1.9576617E7</v>
      </c>
      <c r="K50" s="239">
        <v>2.4492728E7</v>
      </c>
      <c r="L50" s="225"/>
      <c r="M50" s="205"/>
      <c r="N50" s="205"/>
      <c r="O50" s="205"/>
      <c r="P50" s="239">
        <v>444640.0</v>
      </c>
      <c r="Q50" s="239">
        <v>266326.0</v>
      </c>
      <c r="R50" s="239">
        <v>-13123.0</v>
      </c>
      <c r="S50" s="239">
        <v>-279757.0</v>
      </c>
      <c r="T50" s="239">
        <v>1006931.0</v>
      </c>
      <c r="U50" s="239">
        <v>966337.0</v>
      </c>
      <c r="V50" s="239">
        <v>609806.0</v>
      </c>
      <c r="W50" s="239">
        <v>-81542.0</v>
      </c>
      <c r="X50" s="239">
        <v>476445.0</v>
      </c>
      <c r="Y50" s="239">
        <v>545941.0</v>
      </c>
      <c r="Z50" s="239">
        <v>-91440.0</v>
      </c>
      <c r="AA50" s="239">
        <v>540270.0</v>
      </c>
      <c r="AB50" s="239">
        <v>88396.0</v>
      </c>
      <c r="AC50" s="239">
        <v>253924.0</v>
      </c>
      <c r="AD50" s="239">
        <v>39480.0</v>
      </c>
      <c r="AE50" s="239">
        <v>-509953.0</v>
      </c>
      <c r="AF50" s="239">
        <v>-804707.0</v>
      </c>
      <c r="AG50" s="239">
        <v>560599.0</v>
      </c>
      <c r="AH50" s="239">
        <v>-746768.0</v>
      </c>
      <c r="AI50" s="239">
        <v>83811.0</v>
      </c>
      <c r="AJ50" s="239">
        <v>865.0</v>
      </c>
      <c r="AK50" s="239">
        <v>-320895.0</v>
      </c>
      <c r="AL50" s="239">
        <v>1034770.0</v>
      </c>
      <c r="AM50" s="239">
        <v>969717.0</v>
      </c>
      <c r="AN50" s="239">
        <v>-1102451.0</v>
      </c>
      <c r="AO50" s="239">
        <v>-927864.0</v>
      </c>
      <c r="AP50" s="239">
        <v>1130339.0</v>
      </c>
      <c r="AQ50" s="239">
        <v>-1394823.0</v>
      </c>
      <c r="AR50" s="239">
        <v>-346742.0</v>
      </c>
      <c r="AS50" s="239">
        <v>131005.0</v>
      </c>
      <c r="AT50" s="239">
        <v>-317277.0</v>
      </c>
      <c r="AU50" s="239">
        <v>-1179707.0</v>
      </c>
      <c r="AV50" s="239">
        <v>-1133876.0</v>
      </c>
      <c r="AW50" s="239">
        <v>788115.0</v>
      </c>
      <c r="AX50" s="239">
        <v>1264861.0</v>
      </c>
      <c r="AY50" s="239">
        <v>-1393505.0</v>
      </c>
      <c r="AZ50" s="239">
        <v>-833279.0</v>
      </c>
      <c r="BA50" s="239">
        <v>510477.0</v>
      </c>
      <c r="BB50" s="239">
        <v>36543.0</v>
      </c>
      <c r="BC50" s="239">
        <v>296097.0</v>
      </c>
      <c r="BD50" s="239">
        <v>60198.0</v>
      </c>
      <c r="BE50" s="239">
        <v>129560.0</v>
      </c>
      <c r="BF50" s="239">
        <v>776639.0</v>
      </c>
      <c r="BG50" s="239">
        <v>498856.0</v>
      </c>
      <c r="BH50" s="239">
        <v>838818.0</v>
      </c>
      <c r="BI50" s="239">
        <v>1077378.0</v>
      </c>
      <c r="BJ50" s="239">
        <v>662654.0</v>
      </c>
      <c r="BK50" s="239">
        <v>950428.0</v>
      </c>
      <c r="BL50" s="208"/>
      <c r="BM50" s="208"/>
    </row>
    <row r="51">
      <c r="A51" s="260"/>
      <c r="B51" s="260"/>
      <c r="C51" s="261"/>
      <c r="D51" s="244"/>
      <c r="E51" s="244"/>
      <c r="F51" s="244"/>
      <c r="G51" s="244"/>
      <c r="H51" s="244"/>
      <c r="I51" s="244"/>
      <c r="J51" s="244"/>
      <c r="K51" s="244"/>
      <c r="L51" s="244"/>
      <c r="M51" s="216"/>
      <c r="N51" s="216"/>
      <c r="O51" s="216"/>
      <c r="P51" s="243">
        <v>0.38</v>
      </c>
      <c r="Q51" s="243">
        <v>0.25</v>
      </c>
      <c r="R51" s="243">
        <v>-0.01</v>
      </c>
      <c r="S51" s="243">
        <v>-0.23</v>
      </c>
      <c r="T51" s="243">
        <v>0.79</v>
      </c>
      <c r="U51" s="243">
        <v>0.63</v>
      </c>
      <c r="V51" s="243">
        <v>0.46</v>
      </c>
      <c r="W51" s="243">
        <v>-0.04</v>
      </c>
      <c r="X51" s="243">
        <v>0.29</v>
      </c>
      <c r="Y51" s="243">
        <v>0.29</v>
      </c>
      <c r="Z51" s="243">
        <v>-0.05</v>
      </c>
      <c r="AA51" s="243">
        <v>0.44</v>
      </c>
      <c r="AB51" s="243">
        <v>0.04</v>
      </c>
      <c r="AC51" s="243">
        <v>0.13</v>
      </c>
      <c r="AD51" s="243">
        <v>0.02</v>
      </c>
      <c r="AE51" s="243">
        <v>-0.28</v>
      </c>
      <c r="AF51" s="243">
        <v>-0.42</v>
      </c>
      <c r="AG51" s="243">
        <v>0.31</v>
      </c>
      <c r="AH51" s="243">
        <v>-0.44</v>
      </c>
      <c r="AI51" s="243">
        <v>0.04</v>
      </c>
      <c r="AJ51" s="243">
        <v>0.0</v>
      </c>
      <c r="AK51" s="243">
        <v>-0.17</v>
      </c>
      <c r="AL51" s="243">
        <v>0.62</v>
      </c>
      <c r="AM51" s="243">
        <v>0.62</v>
      </c>
      <c r="AN51" s="243">
        <v>-0.66</v>
      </c>
      <c r="AO51" s="243">
        <v>-0.5</v>
      </c>
      <c r="AP51" s="243">
        <v>0.59</v>
      </c>
      <c r="AQ51" s="243">
        <v>-0.7</v>
      </c>
      <c r="AR51" s="243">
        <v>-0.18</v>
      </c>
      <c r="AS51" s="243">
        <v>0.07</v>
      </c>
      <c r="AT51" s="243">
        <v>-0.15</v>
      </c>
      <c r="AU51" s="243">
        <v>-0.55</v>
      </c>
      <c r="AV51" s="243">
        <v>-0.53</v>
      </c>
      <c r="AW51" s="243">
        <v>0.28</v>
      </c>
      <c r="AX51" s="243">
        <v>0.52</v>
      </c>
      <c r="AY51" s="243">
        <v>-0.58</v>
      </c>
      <c r="AZ51" s="243">
        <v>-0.32</v>
      </c>
      <c r="BA51" s="243">
        <v>0.2</v>
      </c>
      <c r="BB51" s="243">
        <v>0.01</v>
      </c>
      <c r="BC51" s="243">
        <v>0.11</v>
      </c>
      <c r="BD51" s="243">
        <v>0.02</v>
      </c>
      <c r="BE51" s="243">
        <v>0.05</v>
      </c>
      <c r="BF51" s="243">
        <v>0.25</v>
      </c>
      <c r="BG51" s="243">
        <v>0.16</v>
      </c>
      <c r="BH51" s="243">
        <v>0.25</v>
      </c>
      <c r="BI51" s="243">
        <v>0.29</v>
      </c>
      <c r="BJ51" s="243">
        <v>0.22</v>
      </c>
      <c r="BK51" s="243">
        <v>0.27</v>
      </c>
      <c r="BL51" s="260"/>
      <c r="BM51" s="260"/>
    </row>
    <row r="52">
      <c r="A52" s="208"/>
      <c r="B52" s="208"/>
      <c r="C52" s="266"/>
      <c r="D52" s="251"/>
      <c r="E52" s="251"/>
      <c r="F52" s="251"/>
      <c r="G52" s="251"/>
      <c r="H52" s="251"/>
      <c r="I52" s="251"/>
      <c r="J52" s="251"/>
      <c r="K52" s="251"/>
      <c r="L52" s="225"/>
      <c r="M52" s="205"/>
      <c r="N52" s="205"/>
      <c r="O52" s="205"/>
      <c r="P52" s="251"/>
      <c r="Q52" s="251"/>
      <c r="R52" s="251"/>
      <c r="S52" s="251"/>
      <c r="T52" s="251"/>
      <c r="U52" s="251"/>
      <c r="V52" s="251"/>
      <c r="W52" s="251"/>
      <c r="X52" s="251"/>
      <c r="Y52" s="251"/>
      <c r="Z52" s="251"/>
      <c r="AA52" s="251"/>
      <c r="AB52" s="251"/>
      <c r="AC52" s="251"/>
      <c r="AD52" s="251"/>
      <c r="AE52" s="251"/>
      <c r="AF52" s="251"/>
      <c r="AG52" s="251"/>
      <c r="AH52" s="251"/>
      <c r="AI52" s="251"/>
      <c r="AJ52" s="251"/>
      <c r="AK52" s="251"/>
      <c r="AL52" s="251"/>
      <c r="AM52" s="251"/>
      <c r="AN52" s="251"/>
      <c r="AO52" s="251"/>
      <c r="AP52" s="251"/>
      <c r="AQ52" s="251"/>
      <c r="AR52" s="251"/>
      <c r="AS52" s="251"/>
      <c r="AT52" s="251"/>
      <c r="AU52" s="251"/>
      <c r="AV52" s="251"/>
      <c r="AW52" s="251"/>
      <c r="AX52" s="251"/>
      <c r="AY52" s="251"/>
      <c r="AZ52" s="251"/>
      <c r="BA52" s="251"/>
      <c r="BB52" s="251"/>
      <c r="BC52" s="251"/>
      <c r="BD52" s="251"/>
      <c r="BE52" s="251"/>
      <c r="BF52" s="251"/>
      <c r="BG52" s="251"/>
      <c r="BH52" s="251"/>
      <c r="BI52" s="251"/>
      <c r="BJ52" s="251"/>
      <c r="BK52" s="251"/>
      <c r="BL52" s="208"/>
      <c r="BM52" s="208"/>
    </row>
    <row r="53">
      <c r="A53" s="208"/>
      <c r="B53" s="208"/>
      <c r="C53" s="266"/>
      <c r="D53" s="251"/>
      <c r="E53" s="251"/>
      <c r="F53" s="251"/>
      <c r="G53" s="251"/>
      <c r="H53" s="251"/>
      <c r="I53" s="251"/>
      <c r="J53" s="251"/>
      <c r="K53" s="251"/>
      <c r="L53" s="225"/>
      <c r="M53" s="205"/>
      <c r="N53" s="205"/>
      <c r="O53" s="205"/>
      <c r="P53" s="251"/>
      <c r="Q53" s="251"/>
      <c r="R53" s="251"/>
      <c r="S53" s="251"/>
      <c r="T53" s="251"/>
      <c r="U53" s="251"/>
      <c r="V53" s="251"/>
      <c r="W53" s="251"/>
      <c r="X53" s="251"/>
      <c r="Y53" s="251"/>
      <c r="Z53" s="251"/>
      <c r="AA53" s="251"/>
      <c r="AB53" s="251"/>
      <c r="AC53" s="251"/>
      <c r="AD53" s="251"/>
      <c r="AE53" s="251"/>
      <c r="AF53" s="251"/>
      <c r="AG53" s="251"/>
      <c r="AH53" s="251"/>
      <c r="AI53" s="251"/>
      <c r="AJ53" s="251"/>
      <c r="AK53" s="251"/>
      <c r="AL53" s="251"/>
      <c r="AM53" s="251"/>
      <c r="AN53" s="251"/>
      <c r="AO53" s="251"/>
      <c r="AP53" s="251"/>
      <c r="AQ53" s="251"/>
      <c r="AR53" s="251"/>
      <c r="AS53" s="251"/>
      <c r="AT53" s="251"/>
      <c r="AU53" s="251"/>
      <c r="AV53" s="251"/>
      <c r="AW53" s="251"/>
      <c r="AX53" s="251"/>
      <c r="AY53" s="251"/>
      <c r="AZ53" s="251"/>
      <c r="BA53" s="251"/>
      <c r="BB53" s="251"/>
      <c r="BC53" s="251"/>
      <c r="BD53" s="251"/>
      <c r="BE53" s="251"/>
      <c r="BF53" s="251"/>
      <c r="BG53" s="251"/>
      <c r="BH53" s="251"/>
      <c r="BI53" s="251"/>
      <c r="BJ53" s="251"/>
      <c r="BK53" s="251"/>
      <c r="BL53" s="208"/>
      <c r="BM53" s="20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sheetData>
    <row r="3">
      <c r="C3" s="231"/>
      <c r="D3" s="234">
        <v>45991.0</v>
      </c>
      <c r="E3" s="234">
        <v>46022.0</v>
      </c>
      <c r="F3" s="234">
        <v>46053.0</v>
      </c>
      <c r="G3" s="234">
        <v>46081.0</v>
      </c>
      <c r="H3" s="234">
        <v>46112.0</v>
      </c>
      <c r="I3" s="234">
        <v>46142.0</v>
      </c>
      <c r="J3" s="234"/>
      <c r="K3" s="234"/>
      <c r="L3" s="234"/>
      <c r="M3" s="234"/>
    </row>
    <row r="4">
      <c r="C4" s="236" t="s">
        <v>176</v>
      </c>
      <c r="D4" s="236">
        <v>295.46</v>
      </c>
      <c r="E4" s="236">
        <v>297.98</v>
      </c>
      <c r="F4" s="236">
        <v>306.32</v>
      </c>
      <c r="G4" s="236">
        <v>299.01</v>
      </c>
      <c r="H4" s="236">
        <v>301.39</v>
      </c>
      <c r="I4" s="236">
        <v>317.96</v>
      </c>
      <c r="J4" s="236"/>
      <c r="K4" s="236"/>
      <c r="L4" s="236"/>
      <c r="M4" s="236"/>
    </row>
    <row r="5">
      <c r="C5" s="236" t="s">
        <v>177</v>
      </c>
      <c r="D5" s="236">
        <v>306.12</v>
      </c>
      <c r="E5" s="236">
        <v>307.84</v>
      </c>
      <c r="F5" s="236">
        <v>312.18</v>
      </c>
      <c r="G5" s="236">
        <v>314.2</v>
      </c>
      <c r="H5" s="236">
        <v>316.73</v>
      </c>
      <c r="I5" s="236">
        <v>325.66</v>
      </c>
      <c r="J5" s="236"/>
      <c r="K5" s="236"/>
      <c r="L5" s="236"/>
      <c r="M5" s="236"/>
    </row>
    <row r="6">
      <c r="C6" s="236" t="s">
        <v>178</v>
      </c>
      <c r="D6" s="236">
        <v>266.73</v>
      </c>
      <c r="E6" s="236">
        <v>268.89</v>
      </c>
      <c r="F6" s="236">
        <v>289.31</v>
      </c>
      <c r="G6" s="236">
        <v>261.57</v>
      </c>
      <c r="H6" s="236">
        <v>265.82</v>
      </c>
      <c r="I6" s="236">
        <v>300.08</v>
      </c>
      <c r="J6" s="236"/>
      <c r="K6" s="236"/>
      <c r="L6" s="236"/>
      <c r="M6" s="23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  <pageSetUpPr fitToPage="1"/>
  </sheetPr>
  <sheetViews>
    <sheetView showGridLines="0" workbookViewId="0"/>
  </sheetViews>
  <sheetFormatPr customHeight="1" defaultColWidth="14.43" defaultRowHeight="15.0" outlineLevelRow="1"/>
  <cols>
    <col customWidth="1" min="1" max="1" width="3.14"/>
    <col customWidth="1" min="2" max="2" width="24.57"/>
    <col customWidth="1" min="3" max="3" width="17.14"/>
    <col customWidth="1" min="4" max="4" width="16.29"/>
    <col customWidth="1" min="5" max="5" width="16.43"/>
    <col customWidth="1" min="6" max="6" width="4.57"/>
    <col customWidth="1" min="8" max="8" width="16.86"/>
    <col customWidth="1" min="16" max="16" width="20.57"/>
    <col customWidth="1" min="17" max="17" width="18.71"/>
    <col customWidth="1" min="18" max="18" width="8.29"/>
  </cols>
  <sheetData>
    <row r="1">
      <c r="B1" s="148" t="s">
        <v>217</v>
      </c>
    </row>
    <row r="2">
      <c r="B2" s="268">
        <f>'GAAP Summary'!B2</f>
        <v>46174</v>
      </c>
    </row>
    <row r="4" ht="20.25" hidden="1" customHeight="1">
      <c r="B4" s="150" t="s">
        <v>93</v>
      </c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</row>
    <row r="5" hidden="1"/>
    <row r="6" hidden="1">
      <c r="B6" s="152" t="s">
        <v>94</v>
      </c>
      <c r="C6" s="153" t="s">
        <v>95</v>
      </c>
      <c r="D6" s="154" t="s">
        <v>96</v>
      </c>
      <c r="E6" s="155" t="s">
        <v>97</v>
      </c>
      <c r="G6" s="156" t="s">
        <v>98</v>
      </c>
      <c r="H6" s="157"/>
      <c r="I6" s="157"/>
      <c r="J6" s="156" t="s">
        <v>99</v>
      </c>
      <c r="K6" s="157"/>
      <c r="L6" s="157"/>
      <c r="M6" s="158"/>
      <c r="Q6" s="159" t="s">
        <v>100</v>
      </c>
      <c r="R6" s="160"/>
    </row>
    <row r="7" hidden="1" collapsed="1">
      <c r="B7" s="161" t="s">
        <v>69</v>
      </c>
      <c r="C7" s="162">
        <f>'QBO Analysis'!CC13</f>
        <v>6329164.06</v>
      </c>
      <c r="D7" s="163">
        <f>'QBO Analysis'!BW13</f>
        <v>6916113.89</v>
      </c>
      <c r="E7" s="164">
        <f>6700000/1000/1000</f>
        <v>6.7</v>
      </c>
      <c r="G7" s="165">
        <f>(E7-E8)*1000000/R10/R9/3</f>
        <v>134.4135802</v>
      </c>
      <c r="H7" s="166" t="s">
        <v>102</v>
      </c>
      <c r="I7" s="167"/>
      <c r="J7" s="169"/>
      <c r="K7" s="170"/>
      <c r="L7" s="167"/>
      <c r="M7" s="167"/>
      <c r="Q7" s="171" t="s">
        <v>104</v>
      </c>
      <c r="R7" s="172">
        <v>0.22</v>
      </c>
    </row>
    <row r="8" hidden="1" outlineLevel="1">
      <c r="B8" s="173" t="s">
        <v>111</v>
      </c>
      <c r="C8" s="162"/>
      <c r="D8" s="163"/>
      <c r="E8" s="174">
        <f>E7*R7</f>
        <v>1.474</v>
      </c>
      <c r="G8" s="175"/>
      <c r="H8" s="167"/>
      <c r="I8" s="167"/>
      <c r="J8" s="169"/>
      <c r="K8" s="170"/>
      <c r="L8" s="167"/>
      <c r="M8" s="167"/>
      <c r="Q8" s="171" t="s">
        <v>118</v>
      </c>
      <c r="R8" s="172">
        <v>0.2</v>
      </c>
    </row>
    <row r="9" hidden="1" outlineLevel="1">
      <c r="B9" s="173" t="s">
        <v>119</v>
      </c>
      <c r="C9" s="176"/>
      <c r="D9" s="167"/>
      <c r="E9" s="174">
        <f>E7-E8</f>
        <v>5.226</v>
      </c>
      <c r="G9" s="177"/>
      <c r="H9" s="167"/>
      <c r="I9" s="167"/>
      <c r="J9" s="167"/>
      <c r="K9" s="167"/>
      <c r="L9" s="167"/>
      <c r="M9" s="167"/>
      <c r="Q9" s="171" t="s">
        <v>36</v>
      </c>
      <c r="R9" s="178">
        <v>270.0</v>
      </c>
    </row>
    <row r="10" hidden="1">
      <c r="B10" s="161" t="s">
        <v>30</v>
      </c>
      <c r="C10" s="162">
        <f>'QBO Analysis'!CC7</f>
        <v>7894608.16</v>
      </c>
      <c r="D10" s="163">
        <f>'QBO Analysis'!BW7</f>
        <v>8144285.32</v>
      </c>
      <c r="E10" s="174">
        <f>E8/R8</f>
        <v>7.37</v>
      </c>
      <c r="G10" s="179">
        <f>E10/R11*1000000/3</f>
        <v>223333.3333</v>
      </c>
      <c r="H10" s="166" t="s">
        <v>122</v>
      </c>
      <c r="I10" s="167"/>
      <c r="J10" s="169"/>
      <c r="K10" s="170"/>
      <c r="L10" s="167"/>
      <c r="M10" s="167"/>
      <c r="Q10" s="171" t="s">
        <v>50</v>
      </c>
      <c r="R10" s="171">
        <v>48.0</v>
      </c>
    </row>
    <row r="11" hidden="1">
      <c r="B11" s="167"/>
      <c r="C11" s="181"/>
      <c r="E11" s="181"/>
      <c r="F11" s="170"/>
      <c r="G11" s="167"/>
      <c r="H11" s="167"/>
      <c r="I11" s="169"/>
      <c r="J11" s="170"/>
      <c r="K11" s="167"/>
      <c r="L11" s="182"/>
      <c r="Q11" s="171" t="s">
        <v>123</v>
      </c>
      <c r="R11" s="171">
        <v>11.0</v>
      </c>
    </row>
    <row r="12" hidden="1">
      <c r="G12" s="106"/>
    </row>
    <row r="13" hidden="1"/>
    <row r="14" ht="20.25" customHeight="1">
      <c r="B14" s="183" t="s">
        <v>124</v>
      </c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</row>
    <row r="44">
      <c r="A44" s="2"/>
      <c r="B44" s="186" t="s">
        <v>218</v>
      </c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6">
      <c r="A46" s="2"/>
      <c r="B46" s="188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>
      <c r="A47" s="2"/>
      <c r="B47" s="188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>
      <c r="A48" s="2"/>
      <c r="B48" s="188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>
      <c r="A49" s="2"/>
      <c r="B49" s="188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>
      <c r="A50" s="2"/>
      <c r="B50" s="188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>
      <c r="A51" s="2"/>
      <c r="B51" s="188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>
      <c r="A52" s="2"/>
      <c r="B52" s="188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>
      <c r="A53" s="2"/>
      <c r="B53" s="188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>
      <c r="A54" s="2"/>
      <c r="B54" s="188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>
      <c r="A55" s="2"/>
      <c r="B55" s="188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>
      <c r="A56" s="2"/>
      <c r="B56" s="188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>
      <c r="A57" s="2"/>
      <c r="B57" s="188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>
      <c r="A58" s="2"/>
      <c r="B58" s="188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>
      <c r="A59" s="2"/>
      <c r="B59" s="188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>
      <c r="A60" s="2"/>
      <c r="B60" s="188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>
      <c r="A61" s="2"/>
      <c r="B61" s="188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>
      <c r="A62" s="2"/>
      <c r="B62" s="188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>
      <c r="A63" s="2"/>
      <c r="B63" s="188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>
      <c r="A64" s="2"/>
      <c r="B64" s="188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>
      <c r="A65" s="2"/>
      <c r="B65" s="188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>
      <c r="A66" s="2"/>
      <c r="B66" s="188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>
      <c r="A67" s="2"/>
      <c r="B67" s="188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>
      <c r="A68" s="2"/>
      <c r="B68" s="186" t="s">
        <v>219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92">
      <c r="A92" s="2"/>
      <c r="B92" s="186" t="s">
        <v>149</v>
      </c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141">
      <c r="A141" s="2"/>
      <c r="B141" s="186" t="s">
        <v>150</v>
      </c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63">
      <c r="A163" s="2"/>
      <c r="B163" s="186" t="s">
        <v>220</v>
      </c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87">
      <c r="A187" s="2"/>
      <c r="B187" s="186" t="s">
        <v>221</v>
      </c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209">
      <c r="A209" s="2"/>
      <c r="B209" s="186" t="s">
        <v>153</v>
      </c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31">
      <c r="A231" s="2"/>
      <c r="B231" s="186" t="s">
        <v>222</v>
      </c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72">
      <c r="A272" s="2"/>
      <c r="B272" s="186" t="s">
        <v>155</v>
      </c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4">
      <c r="B274" s="193"/>
    </row>
    <row r="275">
      <c r="G275" s="193"/>
    </row>
    <row r="293">
      <c r="A293" s="2"/>
      <c r="B293" s="186" t="s">
        <v>156</v>
      </c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315">
      <c r="A315" s="2"/>
      <c r="B315" s="186" t="s">
        <v>158</v>
      </c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</sheetData>
  <printOptions horizontalCentered="1"/>
  <pageMargins bottom="1.0" footer="0.0" header="0.0" left="1.0" right="1.0" top="1.0"/>
  <pageSetup fitToHeight="0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 outlineLevelRow="1"/>
  <cols>
    <col customWidth="1" min="1" max="1" width="3.14"/>
    <col customWidth="1" min="2" max="2" width="27.29"/>
    <col customWidth="1" min="3" max="25" width="14.71" outlineLevel="2"/>
    <col customWidth="1" min="26" max="26" width="10.0" outlineLevel="2"/>
    <col customWidth="1" min="27" max="37" width="14.71" outlineLevel="1"/>
    <col customWidth="1" min="38" max="38" width="16.29" outlineLevel="1"/>
    <col customWidth="1" min="39" max="50" width="14.71" outlineLevel="1"/>
    <col customWidth="1" min="51" max="62" width="14.71"/>
    <col customWidth="1" min="63" max="63" width="5.71"/>
    <col customWidth="1" min="64" max="64" width="15.57"/>
    <col customWidth="1" min="65" max="65" width="4.43"/>
    <col min="66" max="69" width="14.43" outlineLevel="1"/>
    <col customWidth="1" min="71" max="71" width="5.57"/>
    <col min="72" max="75" width="14.43" outlineLevel="1"/>
    <col customWidth="1" min="77" max="77" width="5.57"/>
    <col min="78" max="81" width="14.43" outlineLevel="1"/>
    <col customWidth="1" min="83" max="83" width="5.57"/>
    <col customWidth="1" min="86" max="96" width="14.71" outlineLevel="1"/>
    <col customWidth="1" min="97" max="97" width="10.0" outlineLevel="1"/>
    <col customWidth="1" min="98" max="108" width="14.71"/>
    <col customWidth="1" min="109" max="109" width="16.29"/>
    <col customWidth="1" min="110" max="123" width="14.71"/>
    <col customWidth="1" min="124" max="124" width="10.86"/>
    <col customWidth="1" min="125" max="133" width="14.71"/>
  </cols>
  <sheetData>
    <row r="1" ht="7.5" customHeight="1">
      <c r="BZ1" s="2"/>
      <c r="CA1" s="2"/>
      <c r="CB1" s="2"/>
      <c r="CC1" s="2"/>
    </row>
    <row r="2">
      <c r="C2" s="4">
        <v>2020.0</v>
      </c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4">
        <v>2021.0</v>
      </c>
      <c r="P2" s="5"/>
      <c r="Q2" s="5"/>
      <c r="R2" s="5"/>
      <c r="S2" s="5"/>
      <c r="T2" s="5"/>
      <c r="U2" s="5"/>
      <c r="V2" s="5"/>
      <c r="W2" s="5"/>
      <c r="X2" s="5"/>
      <c r="Y2" s="5"/>
      <c r="Z2" s="6"/>
      <c r="AA2" s="4">
        <v>2022.0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6"/>
      <c r="AM2" s="4">
        <v>2023.0</v>
      </c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Z2" s="7"/>
      <c r="CA2" s="7"/>
      <c r="CB2" s="7"/>
      <c r="CC2" s="7"/>
      <c r="CH2" s="8" t="s">
        <v>1</v>
      </c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10"/>
    </row>
    <row r="3">
      <c r="B3" s="12"/>
      <c r="C3" s="13">
        <v>43831.0</v>
      </c>
      <c r="D3" s="13">
        <v>43862.0</v>
      </c>
      <c r="E3" s="13">
        <v>43891.0</v>
      </c>
      <c r="F3" s="13">
        <v>43922.0</v>
      </c>
      <c r="G3" s="13">
        <v>43952.0</v>
      </c>
      <c r="H3" s="13">
        <v>43983.0</v>
      </c>
      <c r="I3" s="13">
        <v>44013.0</v>
      </c>
      <c r="J3" s="13">
        <v>44044.0</v>
      </c>
      <c r="K3" s="13">
        <v>44075.0</v>
      </c>
      <c r="L3" s="13">
        <v>44105.0</v>
      </c>
      <c r="M3" s="13">
        <v>44136.0</v>
      </c>
      <c r="N3" s="13">
        <v>44166.0</v>
      </c>
      <c r="O3" s="13">
        <v>44197.0</v>
      </c>
      <c r="P3" s="13">
        <v>44228.0</v>
      </c>
      <c r="Q3" s="13">
        <v>44256.0</v>
      </c>
      <c r="R3" s="13">
        <v>44287.0</v>
      </c>
      <c r="S3" s="13">
        <v>44317.0</v>
      </c>
      <c r="T3" s="13">
        <v>44348.0</v>
      </c>
      <c r="U3" s="13">
        <v>44378.0</v>
      </c>
      <c r="V3" s="13">
        <v>44409.0</v>
      </c>
      <c r="W3" s="13">
        <v>44440.0</v>
      </c>
      <c r="X3" s="13">
        <v>44470.0</v>
      </c>
      <c r="Y3" s="13">
        <v>44501.0</v>
      </c>
      <c r="Z3" s="13">
        <v>44531.0</v>
      </c>
      <c r="AA3" s="13">
        <v>44562.0</v>
      </c>
      <c r="AB3" s="13">
        <v>44593.0</v>
      </c>
      <c r="AC3" s="13">
        <v>44621.0</v>
      </c>
      <c r="AD3" s="13">
        <v>44652.0</v>
      </c>
      <c r="AE3" s="13">
        <v>44682.0</v>
      </c>
      <c r="AF3" s="13">
        <v>44713.0</v>
      </c>
      <c r="AG3" s="13">
        <v>44743.0</v>
      </c>
      <c r="AH3" s="13">
        <v>44774.0</v>
      </c>
      <c r="AI3" s="13">
        <v>44805.0</v>
      </c>
      <c r="AJ3" s="13">
        <v>44835.0</v>
      </c>
      <c r="AK3" s="13">
        <v>44866.0</v>
      </c>
      <c r="AL3" s="13">
        <v>44896.0</v>
      </c>
      <c r="AM3" s="13">
        <v>44927.0</v>
      </c>
      <c r="AN3" s="13">
        <v>44958.0</v>
      </c>
      <c r="AO3" s="13">
        <v>44986.0</v>
      </c>
      <c r="AP3" s="13">
        <v>45017.0</v>
      </c>
      <c r="AQ3" s="13">
        <v>45047.0</v>
      </c>
      <c r="AR3" s="13">
        <v>45078.0</v>
      </c>
      <c r="AS3" s="13">
        <v>45108.0</v>
      </c>
      <c r="AT3" s="13">
        <v>45139.0</v>
      </c>
      <c r="AU3" s="13">
        <v>45170.0</v>
      </c>
      <c r="AV3" s="13">
        <v>45200.0</v>
      </c>
      <c r="AW3" s="13">
        <v>45231.0</v>
      </c>
      <c r="AX3" s="13">
        <v>45261.0</v>
      </c>
      <c r="AY3" s="13">
        <v>45292.0</v>
      </c>
      <c r="AZ3" s="13">
        <v>45323.0</v>
      </c>
      <c r="BA3" s="13">
        <v>45352.0</v>
      </c>
      <c r="BB3" s="13">
        <v>45383.0</v>
      </c>
      <c r="BC3" s="14">
        <v>45413.0</v>
      </c>
      <c r="BD3" s="13">
        <v>45444.0</v>
      </c>
      <c r="BE3" s="13">
        <v>45474.0</v>
      </c>
      <c r="BF3" s="13">
        <v>45505.0</v>
      </c>
      <c r="BG3" s="13">
        <v>45536.0</v>
      </c>
      <c r="BH3" s="13">
        <v>45566.0</v>
      </c>
      <c r="BI3" s="13">
        <v>45597.0</v>
      </c>
      <c r="BJ3" s="13">
        <v>45627.0</v>
      </c>
      <c r="BK3" s="15"/>
      <c r="BL3" s="16" t="str">
        <f>"TTM as of "&amp;TEXT('QBO Summary'!B2,"MMM 'YY")</f>
        <v>TTM as of Jun '26</v>
      </c>
      <c r="BM3" s="17"/>
      <c r="BN3" s="18" t="s">
        <v>7</v>
      </c>
      <c r="BO3" s="18" t="s">
        <v>8</v>
      </c>
      <c r="BP3" s="18" t="s">
        <v>9</v>
      </c>
      <c r="BQ3" s="20" t="s">
        <v>10</v>
      </c>
      <c r="BR3" s="16" t="s">
        <v>11</v>
      </c>
      <c r="BS3" s="17"/>
      <c r="BT3" s="18" t="s">
        <v>12</v>
      </c>
      <c r="BU3" s="18" t="s">
        <v>13</v>
      </c>
      <c r="BV3" s="18" t="s">
        <v>14</v>
      </c>
      <c r="BW3" s="20" t="s">
        <v>15</v>
      </c>
      <c r="BX3" s="16" t="s">
        <v>16</v>
      </c>
      <c r="BZ3" s="23" t="s">
        <v>18</v>
      </c>
      <c r="CA3" s="24" t="s">
        <v>20</v>
      </c>
      <c r="CB3" s="24" t="s">
        <v>22</v>
      </c>
      <c r="CC3" s="26" t="s">
        <v>23</v>
      </c>
      <c r="CD3" s="28" t="s">
        <v>25</v>
      </c>
      <c r="CE3" s="30"/>
      <c r="CF3" s="28" t="s">
        <v>26</v>
      </c>
      <c r="CG3" s="30"/>
      <c r="CH3" s="13">
        <v>44197.0</v>
      </c>
      <c r="CI3" s="13">
        <v>44228.0</v>
      </c>
      <c r="CJ3" s="13">
        <v>44256.0</v>
      </c>
      <c r="CK3" s="13">
        <v>44287.0</v>
      </c>
      <c r="CL3" s="13">
        <v>44317.0</v>
      </c>
      <c r="CM3" s="13">
        <v>44348.0</v>
      </c>
      <c r="CN3" s="13">
        <v>44378.0</v>
      </c>
      <c r="CO3" s="13">
        <v>44409.0</v>
      </c>
      <c r="CP3" s="13">
        <v>44440.0</v>
      </c>
      <c r="CQ3" s="13">
        <v>44470.0</v>
      </c>
      <c r="CR3" s="13">
        <v>44501.0</v>
      </c>
      <c r="CS3" s="13">
        <v>44531.0</v>
      </c>
      <c r="CT3" s="13">
        <v>44562.0</v>
      </c>
      <c r="CU3" s="13">
        <v>44593.0</v>
      </c>
      <c r="CV3" s="13">
        <v>44621.0</v>
      </c>
      <c r="CW3" s="13">
        <v>44652.0</v>
      </c>
      <c r="CX3" s="13">
        <v>44682.0</v>
      </c>
      <c r="CY3" s="13">
        <v>44713.0</v>
      </c>
      <c r="CZ3" s="13">
        <v>44743.0</v>
      </c>
      <c r="DA3" s="13">
        <v>44774.0</v>
      </c>
      <c r="DB3" s="13">
        <v>44805.0</v>
      </c>
      <c r="DC3" s="13">
        <v>44835.0</v>
      </c>
      <c r="DD3" s="13">
        <v>44866.0</v>
      </c>
      <c r="DE3" s="13">
        <v>44896.0</v>
      </c>
      <c r="DF3" s="13">
        <v>44927.0</v>
      </c>
      <c r="DG3" s="13">
        <v>44958.0</v>
      </c>
      <c r="DH3" s="13">
        <v>44986.0</v>
      </c>
      <c r="DI3" s="13">
        <v>45017.0</v>
      </c>
      <c r="DJ3" s="13">
        <v>45047.0</v>
      </c>
      <c r="DK3" s="13">
        <v>45078.0</v>
      </c>
      <c r="DL3" s="13">
        <v>45108.0</v>
      </c>
      <c r="DM3" s="13">
        <v>45139.0</v>
      </c>
      <c r="DN3" s="13">
        <v>45170.0</v>
      </c>
      <c r="DO3" s="13">
        <v>45200.0</v>
      </c>
      <c r="DP3" s="13">
        <v>45231.0</v>
      </c>
      <c r="DQ3" s="13">
        <v>45261.0</v>
      </c>
      <c r="DR3" s="13">
        <v>45292.0</v>
      </c>
      <c r="DS3" s="13">
        <v>45323.0</v>
      </c>
      <c r="DT3" s="13">
        <v>45352.0</v>
      </c>
      <c r="DU3" s="13">
        <v>45383.0</v>
      </c>
      <c r="DV3" s="14">
        <v>45413.0</v>
      </c>
      <c r="DW3" s="13">
        <v>45444.0</v>
      </c>
      <c r="DX3" s="13">
        <v>45474.0</v>
      </c>
      <c r="DY3" s="13">
        <v>45505.0</v>
      </c>
      <c r="DZ3" s="13">
        <v>45536.0</v>
      </c>
      <c r="EA3" s="13">
        <v>45566.0</v>
      </c>
      <c r="EB3" s="13">
        <v>45597.0</v>
      </c>
      <c r="EC3" s="13">
        <v>45627.0</v>
      </c>
    </row>
    <row r="4" ht="4.5" customHeight="1">
      <c r="B4" s="32"/>
      <c r="BK4" s="33"/>
      <c r="BL4" s="34"/>
      <c r="BR4" s="34"/>
      <c r="BX4" s="34"/>
      <c r="BZ4" s="2"/>
      <c r="CA4" s="2"/>
      <c r="CB4" s="2"/>
      <c r="CC4" s="2"/>
      <c r="CD4" s="34"/>
      <c r="CF4" s="34"/>
    </row>
    <row r="5">
      <c r="A5" s="35"/>
      <c r="B5" s="36" t="s">
        <v>29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9"/>
      <c r="BL5" s="40"/>
      <c r="BM5" s="41"/>
      <c r="BN5" s="37"/>
      <c r="BO5" s="37"/>
      <c r="BP5" s="37"/>
      <c r="BQ5" s="37"/>
      <c r="BR5" s="40"/>
      <c r="BS5" s="37"/>
      <c r="BT5" s="37"/>
      <c r="BU5" s="37"/>
      <c r="BV5" s="37"/>
      <c r="BW5" s="37"/>
      <c r="BX5" s="40"/>
      <c r="BY5" s="37"/>
      <c r="BZ5" s="37"/>
      <c r="CA5" s="37"/>
      <c r="CB5" s="37"/>
      <c r="CC5" s="37"/>
      <c r="CD5" s="40"/>
      <c r="CE5" s="37"/>
      <c r="CF5" s="40"/>
      <c r="CG5" s="44"/>
      <c r="CH5" s="37"/>
      <c r="CI5" s="37"/>
      <c r="CJ5" s="37"/>
      <c r="CK5" s="37"/>
      <c r="CL5" s="37"/>
      <c r="CM5" s="37"/>
      <c r="CN5" s="37"/>
      <c r="CO5" s="37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</row>
    <row r="6" ht="9.0" customHeight="1">
      <c r="B6" s="53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50"/>
      <c r="BL6" s="60"/>
      <c r="BM6" s="49"/>
      <c r="BN6" s="49"/>
      <c r="BO6" s="49"/>
      <c r="BP6" s="49"/>
      <c r="BQ6" s="49"/>
      <c r="BR6" s="60"/>
      <c r="BS6" s="49"/>
      <c r="BT6" s="49"/>
      <c r="BU6" s="49"/>
      <c r="BV6" s="49"/>
      <c r="BW6" s="49"/>
      <c r="BX6" s="60"/>
      <c r="BY6" s="49"/>
      <c r="BZ6" s="49"/>
      <c r="CA6" s="49"/>
      <c r="CB6" s="49"/>
      <c r="CC6" s="57"/>
      <c r="CD6" s="60"/>
      <c r="CE6" s="49"/>
      <c r="CF6" s="60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</row>
    <row r="7">
      <c r="B7" s="63" t="s">
        <v>30</v>
      </c>
      <c r="C7" s="64">
        <f t="shared" ref="C7:BJ7" si="1">sum(C8:C11)</f>
        <v>0</v>
      </c>
      <c r="D7" s="64">
        <f t="shared" si="1"/>
        <v>211880</v>
      </c>
      <c r="E7" s="64">
        <f t="shared" si="1"/>
        <v>427700</v>
      </c>
      <c r="F7" s="64">
        <f t="shared" si="1"/>
        <v>208100</v>
      </c>
      <c r="G7" s="64">
        <f t="shared" si="1"/>
        <v>297000</v>
      </c>
      <c r="H7" s="64">
        <f t="shared" si="1"/>
        <v>0</v>
      </c>
      <c r="I7" s="64">
        <f t="shared" si="1"/>
        <v>562680</v>
      </c>
      <c r="J7" s="64">
        <f t="shared" si="1"/>
        <v>84000</v>
      </c>
      <c r="K7" s="64">
        <f t="shared" si="1"/>
        <v>888720</v>
      </c>
      <c r="L7" s="64">
        <f t="shared" si="1"/>
        <v>168500</v>
      </c>
      <c r="M7" s="64">
        <f t="shared" si="1"/>
        <v>280470</v>
      </c>
      <c r="N7" s="64">
        <f t="shared" si="1"/>
        <v>36400</v>
      </c>
      <c r="O7" s="64">
        <f t="shared" si="1"/>
        <v>477631.76</v>
      </c>
      <c r="P7" s="64">
        <f t="shared" si="1"/>
        <v>240440</v>
      </c>
      <c r="Q7" s="64">
        <f t="shared" si="1"/>
        <v>644736</v>
      </c>
      <c r="R7" s="64">
        <f t="shared" si="1"/>
        <v>707800</v>
      </c>
      <c r="S7" s="64">
        <f t="shared" si="1"/>
        <v>86400</v>
      </c>
      <c r="T7" s="64">
        <f t="shared" si="1"/>
        <v>1200588</v>
      </c>
      <c r="U7" s="64">
        <f t="shared" si="1"/>
        <v>1555547.2</v>
      </c>
      <c r="V7" s="64">
        <f t="shared" si="1"/>
        <v>1058801.18</v>
      </c>
      <c r="W7" s="64">
        <f t="shared" si="1"/>
        <v>1663840</v>
      </c>
      <c r="X7" s="64">
        <f t="shared" si="1"/>
        <v>1378375</v>
      </c>
      <c r="Y7" s="64">
        <f t="shared" si="1"/>
        <v>1822778.2</v>
      </c>
      <c r="Z7" s="64">
        <f t="shared" si="1"/>
        <v>2890662.4</v>
      </c>
      <c r="AA7" s="64">
        <f t="shared" si="1"/>
        <v>144820</v>
      </c>
      <c r="AB7" s="64">
        <f t="shared" si="1"/>
        <v>235440</v>
      </c>
      <c r="AC7" s="64">
        <f t="shared" si="1"/>
        <v>3111130</v>
      </c>
      <c r="AD7" s="64">
        <f t="shared" si="1"/>
        <v>664960</v>
      </c>
      <c r="AE7" s="64">
        <f t="shared" si="1"/>
        <v>4043265</v>
      </c>
      <c r="AF7" s="64">
        <f t="shared" si="1"/>
        <v>2799443</v>
      </c>
      <c r="AG7" s="64">
        <f t="shared" si="1"/>
        <v>3135342</v>
      </c>
      <c r="AH7" s="64">
        <f t="shared" si="1"/>
        <v>327020</v>
      </c>
      <c r="AI7" s="64">
        <f t="shared" si="1"/>
        <v>2247442.4</v>
      </c>
      <c r="AJ7" s="64">
        <f t="shared" si="1"/>
        <v>2640608</v>
      </c>
      <c r="AK7" s="64">
        <f t="shared" si="1"/>
        <v>991898.8</v>
      </c>
      <c r="AL7" s="64">
        <f t="shared" si="1"/>
        <v>4262101.36</v>
      </c>
      <c r="AM7" s="64">
        <f t="shared" si="1"/>
        <v>134400</v>
      </c>
      <c r="AN7" s="64">
        <f t="shared" si="1"/>
        <v>846864</v>
      </c>
      <c r="AO7" s="64">
        <f t="shared" si="1"/>
        <v>1827624</v>
      </c>
      <c r="AP7" s="64">
        <f t="shared" si="1"/>
        <v>552923.41</v>
      </c>
      <c r="AQ7" s="64">
        <f t="shared" si="1"/>
        <v>857590</v>
      </c>
      <c r="AR7" s="64">
        <f t="shared" si="1"/>
        <v>2370127.4</v>
      </c>
      <c r="AS7" s="64">
        <f t="shared" si="1"/>
        <v>1015910</v>
      </c>
      <c r="AT7" s="64">
        <f t="shared" si="1"/>
        <v>2102478</v>
      </c>
      <c r="AU7" s="64">
        <f t="shared" si="1"/>
        <v>1227118</v>
      </c>
      <c r="AV7" s="64">
        <f t="shared" si="1"/>
        <v>1426203</v>
      </c>
      <c r="AW7" s="64">
        <f t="shared" si="1"/>
        <v>3399512.32</v>
      </c>
      <c r="AX7" s="64">
        <f t="shared" si="1"/>
        <v>3318570</v>
      </c>
      <c r="AY7" s="64">
        <f t="shared" si="1"/>
        <v>57000</v>
      </c>
      <c r="AZ7" s="64">
        <f t="shared" si="1"/>
        <v>402890</v>
      </c>
      <c r="BA7" s="64">
        <f t="shared" si="1"/>
        <v>5460271</v>
      </c>
      <c r="BB7" s="64">
        <f t="shared" si="1"/>
        <v>1745422</v>
      </c>
      <c r="BC7" s="64">
        <f t="shared" si="1"/>
        <v>3865864</v>
      </c>
      <c r="BD7" s="64">
        <f t="shared" si="1"/>
        <v>799248</v>
      </c>
      <c r="BE7" s="64">
        <f t="shared" si="1"/>
        <v>1406220</v>
      </c>
      <c r="BF7" s="64">
        <f t="shared" si="1"/>
        <v>2487957</v>
      </c>
      <c r="BG7" s="64">
        <f t="shared" si="1"/>
        <v>0</v>
      </c>
      <c r="BH7" s="64">
        <f t="shared" si="1"/>
        <v>0</v>
      </c>
      <c r="BI7" s="64">
        <f t="shared" si="1"/>
        <v>0</v>
      </c>
      <c r="BJ7" s="64">
        <f t="shared" si="1"/>
        <v>0</v>
      </c>
      <c r="BK7" s="50"/>
      <c r="BL7" s="121">
        <f t="array" ref="BL7">SUM(INDIRECT(XLOOKUP('QBO Summary'!$B$2,'TTM Dates'!$B:$B,'TTM Dates'!$E:$E)&amp;ROW($BK7)&amp;":"&amp;XLOOKUP('QBO Summary'!$B$2,'TTM Dates'!$B:$B,'TTM Dates'!$C:$C)&amp;ROW($BK7)))</f>
        <v>69921481.54</v>
      </c>
      <c r="BM7" s="70"/>
      <c r="BN7" s="64">
        <f t="shared" ref="BN7:BN9" si="2">sum(AY7:BA7)</f>
        <v>5920161</v>
      </c>
      <c r="BO7" s="64">
        <f t="shared" ref="BO7:BO9" si="3">sum(BB7:BD7)</f>
        <v>6410534</v>
      </c>
      <c r="BP7" s="64">
        <f t="shared" ref="BP7:BP9" si="4">sum(BE7:BG7)</f>
        <v>3894177</v>
      </c>
      <c r="BQ7" s="64">
        <f t="shared" ref="BQ7:BQ9" si="5">sum(BH7:BJ7)</f>
        <v>0</v>
      </c>
      <c r="BR7" s="77">
        <f t="shared" ref="BR7:BR9" si="6">sum(AY7:BJ7)</f>
        <v>16224872</v>
      </c>
      <c r="BS7" s="44"/>
      <c r="BT7" s="64">
        <f t="shared" ref="BT7:BT9" si="7">sum(AM7:AO7)</f>
        <v>2808888</v>
      </c>
      <c r="BU7" s="64">
        <f t="shared" ref="BU7:BU9" si="8">sum(AP7:AR7)</f>
        <v>3780640.81</v>
      </c>
      <c r="BV7" s="64">
        <f t="shared" ref="BV7:BV9" si="9">sum(AS7:AU7)</f>
        <v>4345506</v>
      </c>
      <c r="BW7" s="64">
        <f t="shared" ref="BW7:BW9" si="10">sum(AV7:AX7)</f>
        <v>8144285.32</v>
      </c>
      <c r="BX7" s="77">
        <f>sum(BX8:BX9)</f>
        <v>17908427.01</v>
      </c>
      <c r="BY7" s="44"/>
      <c r="BZ7" s="64">
        <f t="shared" ref="BZ7:BZ9" si="11">sum(AA7:AC7)</f>
        <v>3491390</v>
      </c>
      <c r="CA7" s="64">
        <f t="shared" ref="CA7:CA9" si="12">sum(AD7:AF7)</f>
        <v>7507668</v>
      </c>
      <c r="CB7" s="64">
        <f t="shared" ref="CB7:CB9" si="13">sum(AG7:AI7)</f>
        <v>5709804.4</v>
      </c>
      <c r="CC7" s="64">
        <f t="shared" ref="CC7:CC9" si="14">sum(AJ7:AL7)</f>
        <v>7894608.16</v>
      </c>
      <c r="CD7" s="77">
        <f t="shared" ref="CD7:CD9" si="15">sum(AA7:AL7)</f>
        <v>24603470.56</v>
      </c>
      <c r="CE7" s="44"/>
      <c r="CF7" s="77">
        <f>sum(O7:Z7)</f>
        <v>13727599.74</v>
      </c>
      <c r="CG7" s="44"/>
      <c r="CH7" s="64">
        <f t="array" ref="CH7">IF(CH$3&gt;'QBO Summary'!$B$2,0,SUM(INDIRECT(XLOOKUP(CH$3,'TTM Dates'!$B:$B,'TTM Dates'!$E:$E)&amp;ROW($BK7)&amp;":"&amp;XLOOKUP(CH$3,'TTM Dates'!$B:$B,'TTM Dates'!$C:$C)&amp;ROW($BK7))))</f>
        <v>3643081.76</v>
      </c>
      <c r="CI7" s="64">
        <f t="array" ref="CI7">IF(CI$3&gt;'QBO Summary'!$B$2,0,SUM(INDIRECT(XLOOKUP(CI$3,'TTM Dates'!$B:$B,'TTM Dates'!$E:$E)&amp;ROW($BK7)&amp;":"&amp;XLOOKUP(CI$3,'TTM Dates'!$B:$B,'TTM Dates'!$C:$C)&amp;ROW($BK7))))</f>
        <v>3671641.76</v>
      </c>
      <c r="CJ7" s="64">
        <f t="array" ref="CJ7">IF(CJ$3&gt;'QBO Summary'!$B$2,0,SUM(INDIRECT(XLOOKUP(CJ$3,'TTM Dates'!$B:$B,'TTM Dates'!$E:$E)&amp;ROW($BK7)&amp;":"&amp;XLOOKUP(CJ$3,'TTM Dates'!$B:$B,'TTM Dates'!$C:$C)&amp;ROW($BK7))))</f>
        <v>3888677.76</v>
      </c>
      <c r="CK7" s="64">
        <f t="array" ref="CK7">IF(CK$3&gt;'QBO Summary'!$B$2,0,SUM(INDIRECT(XLOOKUP(CK$3,'TTM Dates'!$B:$B,'TTM Dates'!$E:$E)&amp;ROW($BK7)&amp;":"&amp;XLOOKUP(CK$3,'TTM Dates'!$B:$B,'TTM Dates'!$C:$C)&amp;ROW($BK7))))</f>
        <v>4388377.76</v>
      </c>
      <c r="CL7" s="64">
        <f t="array" ref="CL7">IF(CL$3&gt;'QBO Summary'!$B$2,0,SUM(INDIRECT(XLOOKUP(CL$3,'TTM Dates'!$B:$B,'TTM Dates'!$E:$E)&amp;ROW($BK7)&amp;":"&amp;XLOOKUP(CL$3,'TTM Dates'!$B:$B,'TTM Dates'!$C:$C)&amp;ROW($BK7))))</f>
        <v>4177777.76</v>
      </c>
      <c r="CM7" s="64">
        <f t="array" ref="CM7">IF(CM$3&gt;'QBO Summary'!$B$2,0,SUM(INDIRECT(XLOOKUP(CM$3,'TTM Dates'!$B:$B,'TTM Dates'!$E:$E)&amp;ROW($BK7)&amp;":"&amp;XLOOKUP(CM$3,'TTM Dates'!$B:$B,'TTM Dates'!$C:$C)&amp;ROW($BK7))))</f>
        <v>5378365.76</v>
      </c>
      <c r="CN7" s="64">
        <f t="array" ref="CN7">IF(CN$3&gt;'QBO Summary'!$B$2,0,SUM(INDIRECT(XLOOKUP(CN$3,'TTM Dates'!$B:$B,'TTM Dates'!$E:$E)&amp;ROW($BK7)&amp;":"&amp;XLOOKUP(CN$3,'TTM Dates'!$B:$B,'TTM Dates'!$C:$C)&amp;ROW($BK7))))</f>
        <v>6371232.96</v>
      </c>
      <c r="CO7" s="64">
        <f t="array" ref="CO7">IF(CO$3&gt;'QBO Summary'!$B$2,0,SUM(INDIRECT(XLOOKUP(CO$3,'TTM Dates'!$B:$B,'TTM Dates'!$E:$E)&amp;ROW($BK7)&amp;":"&amp;XLOOKUP(CO$3,'TTM Dates'!$B:$B,'TTM Dates'!$C:$C)&amp;ROW($BK7))))</f>
        <v>7346034.14</v>
      </c>
      <c r="CP7" s="64">
        <f t="array" ref="CP7">IF(CP$3&gt;'QBO Summary'!$B$2,0,SUM(INDIRECT(XLOOKUP(CP$3,'TTM Dates'!$B:$B,'TTM Dates'!$E:$E)&amp;ROW($BK7)&amp;":"&amp;XLOOKUP(CP$3,'TTM Dates'!$B:$B,'TTM Dates'!$C:$C)&amp;ROW($BK7))))</f>
        <v>8121154.14</v>
      </c>
      <c r="CQ7" s="64">
        <f t="array" ref="CQ7">IF(CQ$3&gt;'QBO Summary'!$B$2,0,SUM(INDIRECT(XLOOKUP(CQ$3,'TTM Dates'!$B:$B,'TTM Dates'!$E:$E)&amp;ROW($BK7)&amp;":"&amp;XLOOKUP(CQ$3,'TTM Dates'!$B:$B,'TTM Dates'!$C:$C)&amp;ROW($BK7))))</f>
        <v>9331029.14</v>
      </c>
      <c r="CR7" s="64">
        <f t="array" ref="CR7">IF(CR$3&gt;'QBO Summary'!$B$2,0,SUM(INDIRECT(XLOOKUP(CR$3,'TTM Dates'!$B:$B,'TTM Dates'!$E:$E)&amp;ROW($BK7)&amp;":"&amp;XLOOKUP(CR$3,'TTM Dates'!$B:$B,'TTM Dates'!$C:$C)&amp;ROW($BK7))))</f>
        <v>10873337.34</v>
      </c>
      <c r="CS7" s="64">
        <f t="array" ref="CS7">IF(CS$3&gt;'QBO Summary'!$B$2,0,SUM(INDIRECT(XLOOKUP(CS$3,'TTM Dates'!$B:$B,'TTM Dates'!$E:$E)&amp;ROW($BK7)&amp;":"&amp;XLOOKUP(CS$3,'TTM Dates'!$B:$B,'TTM Dates'!$C:$C)&amp;ROW($BK7))))</f>
        <v>13727599.74</v>
      </c>
      <c r="CT7" s="64">
        <f t="array" ref="CT7">IF(CT$3&gt;'QBO Summary'!$B$2,0,SUM(INDIRECT(XLOOKUP(CT$3,'TTM Dates'!$B:$B,'TTM Dates'!$E:$E)&amp;ROW($BK7)&amp;":"&amp;XLOOKUP(CT$3,'TTM Dates'!$B:$B,'TTM Dates'!$C:$C)&amp;ROW($BK7))))</f>
        <v>13394787.98</v>
      </c>
      <c r="CU7" s="64">
        <f t="array" ref="CU7">IF(CU$3&gt;'QBO Summary'!$B$2,0,SUM(INDIRECT(XLOOKUP(CU$3,'TTM Dates'!$B:$B,'TTM Dates'!$E:$E)&amp;ROW($BK7)&amp;":"&amp;XLOOKUP(CU$3,'TTM Dates'!$B:$B,'TTM Dates'!$C:$C)&amp;ROW($BK7))))</f>
        <v>13389787.98</v>
      </c>
      <c r="CV7" s="64">
        <f t="array" ref="CV7">IF(CV$3&gt;'QBO Summary'!$B$2,0,SUM(INDIRECT(XLOOKUP(CV$3,'TTM Dates'!$B:$B,'TTM Dates'!$E:$E)&amp;ROW($BK7)&amp;":"&amp;XLOOKUP(CV$3,'TTM Dates'!$B:$B,'TTM Dates'!$C:$C)&amp;ROW($BK7))))</f>
        <v>15856181.98</v>
      </c>
      <c r="CW7" s="64">
        <f t="array" ref="CW7">IF(CW$3&gt;'QBO Summary'!$B$2,0,SUM(INDIRECT(XLOOKUP(CW$3,'TTM Dates'!$B:$B,'TTM Dates'!$E:$E)&amp;ROW($BK7)&amp;":"&amp;XLOOKUP(CW$3,'TTM Dates'!$B:$B,'TTM Dates'!$C:$C)&amp;ROW($BK7))))</f>
        <v>15813341.98</v>
      </c>
      <c r="CX7" s="64">
        <f t="array" ref="CX7">IF(CX$3&gt;'QBO Summary'!$B$2,0,SUM(INDIRECT(XLOOKUP(CX$3,'TTM Dates'!$B:$B,'TTM Dates'!$E:$E)&amp;ROW($BK7)&amp;":"&amp;XLOOKUP(CX$3,'TTM Dates'!$B:$B,'TTM Dates'!$C:$C)&amp;ROW($BK7))))</f>
        <v>19770206.98</v>
      </c>
      <c r="CY7" s="64">
        <f t="array" ref="CY7">IF(CY$3&gt;'QBO Summary'!$B$2,0,SUM(INDIRECT(XLOOKUP(CY$3,'TTM Dates'!$B:$B,'TTM Dates'!$E:$E)&amp;ROW($BK7)&amp;":"&amp;XLOOKUP(CY$3,'TTM Dates'!$B:$B,'TTM Dates'!$C:$C)&amp;ROW($BK7))))</f>
        <v>21369061.98</v>
      </c>
      <c r="CZ7" s="64">
        <f t="array" ref="CZ7">IF(CZ$3&gt;'QBO Summary'!$B$2,0,SUM(INDIRECT(XLOOKUP(CZ$3,'TTM Dates'!$B:$B,'TTM Dates'!$E:$E)&amp;ROW($BK7)&amp;":"&amp;XLOOKUP(CZ$3,'TTM Dates'!$B:$B,'TTM Dates'!$C:$C)&amp;ROW($BK7))))</f>
        <v>22948856.78</v>
      </c>
      <c r="DA7" s="64">
        <f t="array" ref="DA7">IF(DA$3&gt;'QBO Summary'!$B$2,0,SUM(INDIRECT(XLOOKUP(DA$3,'TTM Dates'!$B:$B,'TTM Dates'!$E:$E)&amp;ROW($BK7)&amp;":"&amp;XLOOKUP(DA$3,'TTM Dates'!$B:$B,'TTM Dates'!$C:$C)&amp;ROW($BK7))))</f>
        <v>22217075.6</v>
      </c>
      <c r="DB7" s="64">
        <f t="array" ref="DB7">IF(DB$3&gt;'QBO Summary'!$B$2,0,SUM(INDIRECT(XLOOKUP(DB$3,'TTM Dates'!$B:$B,'TTM Dates'!$E:$E)&amp;ROW($BK7)&amp;":"&amp;XLOOKUP(DB$3,'TTM Dates'!$B:$B,'TTM Dates'!$C:$C)&amp;ROW($BK7))))</f>
        <v>22800678</v>
      </c>
      <c r="DC7" s="64">
        <f t="array" ref="DC7">IF(DC$3&gt;'QBO Summary'!$B$2,0,SUM(INDIRECT(XLOOKUP(DC$3,'TTM Dates'!$B:$B,'TTM Dates'!$E:$E)&amp;ROW($BK7)&amp;":"&amp;XLOOKUP(DC$3,'TTM Dates'!$B:$B,'TTM Dates'!$C:$C)&amp;ROW($BK7))))</f>
        <v>24062911</v>
      </c>
      <c r="DD7" s="64">
        <f t="array" ref="DD7">IF(DD$3&gt;'QBO Summary'!$B$2,0,SUM(INDIRECT(XLOOKUP(DD$3,'TTM Dates'!$B:$B,'TTM Dates'!$E:$E)&amp;ROW($BK7)&amp;":"&amp;XLOOKUP(DD$3,'TTM Dates'!$B:$B,'TTM Dates'!$C:$C)&amp;ROW($BK7))))</f>
        <v>23232031.6</v>
      </c>
      <c r="DE7" s="64">
        <f t="array" ref="DE7">IF(DE$3&gt;'QBO Summary'!$B$2,0,SUM(INDIRECT(XLOOKUP(DE$3,'TTM Dates'!$B:$B,'TTM Dates'!$E:$E)&amp;ROW($BK7)&amp;":"&amp;XLOOKUP(DE$3,'TTM Dates'!$B:$B,'TTM Dates'!$C:$C)&amp;ROW($BK7))))</f>
        <v>24603470.56</v>
      </c>
      <c r="DF7" s="64">
        <f t="array" ref="DF7">IF(DF$3&gt;'QBO Summary'!$B$2,0,SUM(INDIRECT(XLOOKUP(DF$3,'TTM Dates'!$B:$B,'TTM Dates'!$E:$E)&amp;ROW($BK7)&amp;":"&amp;XLOOKUP(DF$3,'TTM Dates'!$B:$B,'TTM Dates'!$C:$C)&amp;ROW($BK7))))</f>
        <v>24593050.56</v>
      </c>
      <c r="DG7" s="64">
        <f t="array" ref="DG7">IF(DG$3&gt;'QBO Summary'!$B$2,0,SUM(INDIRECT(XLOOKUP(DG$3,'TTM Dates'!$B:$B,'TTM Dates'!$E:$E)&amp;ROW($BK7)&amp;":"&amp;XLOOKUP(DG$3,'TTM Dates'!$B:$B,'TTM Dates'!$C:$C)&amp;ROW($BK7))))</f>
        <v>25204474.56</v>
      </c>
      <c r="DH7" s="64">
        <f t="array" ref="DH7">IF(DH$3&gt;'QBO Summary'!$B$2,0,SUM(INDIRECT(XLOOKUP(DH$3,'TTM Dates'!$B:$B,'TTM Dates'!$E:$E)&amp;ROW($BK7)&amp;":"&amp;XLOOKUP(DH$3,'TTM Dates'!$B:$B,'TTM Dates'!$C:$C)&amp;ROW($BK7))))</f>
        <v>23920968.56</v>
      </c>
      <c r="DI7" s="64">
        <f t="array" ref="DI7">IF(DI$3&gt;'QBO Summary'!$B$2,0,SUM(INDIRECT(XLOOKUP(DI$3,'TTM Dates'!$B:$B,'TTM Dates'!$E:$E)&amp;ROW($BK7)&amp;":"&amp;XLOOKUP(DI$3,'TTM Dates'!$B:$B,'TTM Dates'!$C:$C)&amp;ROW($BK7))))</f>
        <v>23808931.97</v>
      </c>
      <c r="DJ7" s="64">
        <f t="array" ref="DJ7">IF(DJ$3&gt;'QBO Summary'!$B$2,0,SUM(INDIRECT(XLOOKUP(DJ$3,'TTM Dates'!$B:$B,'TTM Dates'!$E:$E)&amp;ROW($BK7)&amp;":"&amp;XLOOKUP(DJ$3,'TTM Dates'!$B:$B,'TTM Dates'!$C:$C)&amp;ROW($BK7))))</f>
        <v>20623256.97</v>
      </c>
      <c r="DK7" s="64">
        <f t="array" ref="DK7">IF(DK$3&gt;'QBO Summary'!$B$2,0,SUM(INDIRECT(XLOOKUP(DK$3,'TTM Dates'!$B:$B,'TTM Dates'!$E:$E)&amp;ROW($BK7)&amp;":"&amp;XLOOKUP(DK$3,'TTM Dates'!$B:$B,'TTM Dates'!$C:$C)&amp;ROW($BK7))))</f>
        <v>20193941.37</v>
      </c>
      <c r="DL7" s="64">
        <f t="array" ref="DL7">IF(DL$3&gt;'QBO Summary'!$B$2,0,SUM(INDIRECT(XLOOKUP(DL$3,'TTM Dates'!$B:$B,'TTM Dates'!$E:$E)&amp;ROW($BK7)&amp;":"&amp;XLOOKUP(DL$3,'TTM Dates'!$B:$B,'TTM Dates'!$C:$C)&amp;ROW($BK7))))</f>
        <v>18074509.37</v>
      </c>
      <c r="DM7" s="64">
        <f t="array" ref="DM7">IF(DM$3&gt;'QBO Summary'!$B$2,0,SUM(INDIRECT(XLOOKUP(DM$3,'TTM Dates'!$B:$B,'TTM Dates'!$E:$E)&amp;ROW($BK7)&amp;":"&amp;XLOOKUP(DM$3,'TTM Dates'!$B:$B,'TTM Dates'!$C:$C)&amp;ROW($BK7))))</f>
        <v>19849967.37</v>
      </c>
      <c r="DN7" s="64">
        <f t="array" ref="DN7">IF(DN$3&gt;'QBO Summary'!$B$2,0,SUM(INDIRECT(XLOOKUP(DN$3,'TTM Dates'!$B:$B,'TTM Dates'!$E:$E)&amp;ROW($BK7)&amp;":"&amp;XLOOKUP(DN$3,'TTM Dates'!$B:$B,'TTM Dates'!$C:$C)&amp;ROW($BK7))))</f>
        <v>18829642.97</v>
      </c>
      <c r="DO7" s="64">
        <f t="array" ref="DO7">IF(DO$3&gt;'QBO Summary'!$B$2,0,SUM(INDIRECT(XLOOKUP(DO$3,'TTM Dates'!$B:$B,'TTM Dates'!$E:$E)&amp;ROW($BK7)&amp;":"&amp;XLOOKUP(DO$3,'TTM Dates'!$B:$B,'TTM Dates'!$C:$C)&amp;ROW($BK7))))</f>
        <v>17615237.97</v>
      </c>
      <c r="DP7" s="64">
        <f t="array" ref="DP7">IF(DP$3&gt;'QBO Summary'!$B$2,0,SUM(INDIRECT(XLOOKUP(DP$3,'TTM Dates'!$B:$B,'TTM Dates'!$E:$E)&amp;ROW($BK7)&amp;":"&amp;XLOOKUP(DP$3,'TTM Dates'!$B:$B,'TTM Dates'!$C:$C)&amp;ROW($BK7))))</f>
        <v>20022851.49</v>
      </c>
      <c r="DQ7" s="64">
        <f t="array" ref="DQ7">IF(DQ$3&gt;'QBO Summary'!$B$2,0,SUM(INDIRECT(XLOOKUP(DQ$3,'TTM Dates'!$B:$B,'TTM Dates'!$E:$E)&amp;ROW($BK7)&amp;":"&amp;XLOOKUP(DQ$3,'TTM Dates'!$B:$B,'TTM Dates'!$C:$C)&amp;ROW($BK7))))</f>
        <v>19079320.13</v>
      </c>
      <c r="DR7" s="64">
        <f t="array" ref="DR7">IF(DR$3&gt;'QBO Summary'!$B$2,0,SUM(INDIRECT(XLOOKUP(DR$3,'TTM Dates'!$B:$B,'TTM Dates'!$E:$E)&amp;ROW($BK7)&amp;":"&amp;XLOOKUP(DR$3,'TTM Dates'!$B:$B,'TTM Dates'!$C:$C)&amp;ROW($BK7))))</f>
        <v>19001920.13</v>
      </c>
      <c r="DS7" s="64">
        <f t="array" ref="DS7">IF(DS$3&gt;'QBO Summary'!$B$2,0,SUM(INDIRECT(XLOOKUP(DS$3,'TTM Dates'!$B:$B,'TTM Dates'!$E:$E)&amp;ROW($BK7)&amp;":"&amp;XLOOKUP(DS$3,'TTM Dates'!$B:$B,'TTM Dates'!$C:$C)&amp;ROW($BK7))))</f>
        <v>18557946.13</v>
      </c>
      <c r="DT7" s="64">
        <f t="array" ref="DT7">IF(DT$3&gt;'QBO Summary'!$B$2,0,SUM(INDIRECT(XLOOKUP(DT$3,'TTM Dates'!$B:$B,'TTM Dates'!$E:$E)&amp;ROW($BK7)&amp;":"&amp;XLOOKUP(DT$3,'TTM Dates'!$B:$B,'TTM Dates'!$C:$C)&amp;ROW($BK7))))</f>
        <v>22190593.13</v>
      </c>
      <c r="DU7" s="64">
        <f t="array" ref="DU7">IF(DU$3&gt;'QBO Summary'!$B$2,0,SUM(INDIRECT(XLOOKUP(DU$3,'TTM Dates'!$B:$B,'TTM Dates'!$E:$E)&amp;ROW($BK7)&amp;":"&amp;XLOOKUP(DU$3,'TTM Dates'!$B:$B,'TTM Dates'!$C:$C)&amp;ROW($BK7))))</f>
        <v>23383091.72</v>
      </c>
      <c r="DV7" s="64">
        <f t="array" ref="DV7">IF(DV$3&gt;'QBO Summary'!$B$2,0,SUM(INDIRECT(XLOOKUP(DV$3,'TTM Dates'!$B:$B,'TTM Dates'!$E:$E)&amp;ROW($BK7)&amp;":"&amp;XLOOKUP(DV$3,'TTM Dates'!$B:$B,'TTM Dates'!$C:$C)&amp;ROW($BK7))))</f>
        <v>26391365.72</v>
      </c>
      <c r="DW7" s="64">
        <f t="array" ref="DW7">IF(DW$3&gt;'QBO Summary'!$B$2,0,SUM(INDIRECT(XLOOKUP(DW$3,'TTM Dates'!$B:$B,'TTM Dates'!$E:$E)&amp;ROW($BK7)&amp;":"&amp;XLOOKUP(DW$3,'TTM Dates'!$B:$B,'TTM Dates'!$C:$C)&amp;ROW($BK7))))</f>
        <v>24820486.32</v>
      </c>
      <c r="DX7" s="64">
        <f t="array" ref="DX7">IF(DX$3&gt;'QBO Summary'!$B$2,0,SUM(INDIRECT(XLOOKUP(DX$3,'TTM Dates'!$B:$B,'TTM Dates'!$E:$E)&amp;ROW($BK7)&amp;":"&amp;XLOOKUP(DX$3,'TTM Dates'!$B:$B,'TTM Dates'!$C:$C)&amp;ROW($BK7))))</f>
        <v>25210796.32</v>
      </c>
      <c r="DY7" s="64">
        <f t="array" ref="DY7">IF(DY$3&gt;'QBO Summary'!$B$2,0,SUM(INDIRECT(XLOOKUP(DY$3,'TTM Dates'!$B:$B,'TTM Dates'!$E:$E)&amp;ROW($BK7)&amp;":"&amp;XLOOKUP(DY$3,'TTM Dates'!$B:$B,'TTM Dates'!$C:$C)&amp;ROW($BK7))))</f>
        <v>25596275.32</v>
      </c>
      <c r="DZ7" s="64">
        <f t="array" ref="DZ7">IF(DZ$3&gt;'QBO Summary'!$B$2,0,SUM(INDIRECT(XLOOKUP(DZ$3,'TTM Dates'!$B:$B,'TTM Dates'!$E:$E)&amp;ROW($BK7)&amp;":"&amp;XLOOKUP(DZ$3,'TTM Dates'!$B:$B,'TTM Dates'!$C:$C)&amp;ROW($BK7))))</f>
        <v>24369157.32</v>
      </c>
      <c r="EA7" s="64">
        <f t="array" ref="EA7">IF(EA$3&gt;'QBO Summary'!$B$2,0,SUM(INDIRECT(XLOOKUP(EA$3,'TTM Dates'!$B:$B,'TTM Dates'!$E:$E)&amp;ROW($BK7)&amp;":"&amp;XLOOKUP(EA$3,'TTM Dates'!$B:$B,'TTM Dates'!$C:$C)&amp;ROW($BK7))))</f>
        <v>22942954.32</v>
      </c>
      <c r="EB7" s="64">
        <f t="array" ref="EB7">IF(EB$3&gt;'QBO Summary'!$B$2,0,SUM(INDIRECT(XLOOKUP(EB$3,'TTM Dates'!$B:$B,'TTM Dates'!$E:$E)&amp;ROW($BK7)&amp;":"&amp;XLOOKUP(EB$3,'TTM Dates'!$B:$B,'TTM Dates'!$C:$C)&amp;ROW($BK7))))</f>
        <v>19543442</v>
      </c>
      <c r="EC7" s="64">
        <f t="array" ref="EC7">IF(EC$3&gt;'QBO Summary'!$B$2,0,SUM(INDIRECT(XLOOKUP(EC$3,'TTM Dates'!$B:$B,'TTM Dates'!$E:$E)&amp;ROW($BK7)&amp;":"&amp;XLOOKUP(EC$3,'TTM Dates'!$B:$B,'TTM Dates'!$C:$C)&amp;ROW($BK7))))</f>
        <v>16224872</v>
      </c>
    </row>
    <row r="8">
      <c r="B8" s="135" t="s">
        <v>89</v>
      </c>
      <c r="C8" s="136">
        <v>0.0</v>
      </c>
      <c r="D8" s="136">
        <v>171880.0</v>
      </c>
      <c r="E8" s="136">
        <v>114000.0</v>
      </c>
      <c r="F8" s="136">
        <v>148100.0</v>
      </c>
      <c r="G8" s="136">
        <v>0.0</v>
      </c>
      <c r="H8" s="136">
        <v>0.0</v>
      </c>
      <c r="I8" s="136">
        <v>0.0</v>
      </c>
      <c r="J8" s="136">
        <v>0.0</v>
      </c>
      <c r="K8" s="136">
        <v>417600.0</v>
      </c>
      <c r="L8" s="136">
        <v>500.0</v>
      </c>
      <c r="M8" s="136">
        <v>0.0</v>
      </c>
      <c r="N8" s="136">
        <v>0.0</v>
      </c>
      <c r="O8" s="136">
        <v>367000.4</v>
      </c>
      <c r="P8" s="136">
        <v>0.0</v>
      </c>
      <c r="Q8" s="137">
        <v>313800.0</v>
      </c>
      <c r="R8" s="137">
        <v>551200.0</v>
      </c>
      <c r="S8" s="136">
        <v>43200.0</v>
      </c>
      <c r="T8" s="137">
        <v>402000.0</v>
      </c>
      <c r="U8" s="137">
        <v>394500.0</v>
      </c>
      <c r="V8" s="136">
        <v>684201.18</v>
      </c>
      <c r="W8" s="137">
        <v>613800.0</v>
      </c>
      <c r="X8" s="136">
        <v>0.0</v>
      </c>
      <c r="Y8" s="137">
        <v>622780.0</v>
      </c>
      <c r="Z8" s="137">
        <v>1698160.0</v>
      </c>
      <c r="AA8" s="136">
        <v>99720.0</v>
      </c>
      <c r="AB8" s="137">
        <v>80640.0</v>
      </c>
      <c r="AC8" s="136">
        <v>204640.0</v>
      </c>
      <c r="AD8" s="136">
        <v>415440.0</v>
      </c>
      <c r="AE8" s="136">
        <v>586400.0</v>
      </c>
      <c r="AF8" s="136">
        <v>1074960.0</v>
      </c>
      <c r="AG8" s="137">
        <v>1328420.0</v>
      </c>
      <c r="AH8" s="137">
        <v>79040.0</v>
      </c>
      <c r="AI8" s="137">
        <v>922672.0</v>
      </c>
      <c r="AJ8" s="137">
        <v>1649000.0</v>
      </c>
      <c r="AK8" s="136">
        <v>427800.0</v>
      </c>
      <c r="AL8" s="137">
        <v>813970.0</v>
      </c>
      <c r="AM8" s="136">
        <v>134400.0</v>
      </c>
      <c r="AN8" s="136">
        <v>349104.0</v>
      </c>
      <c r="AO8" s="137">
        <v>801544.0</v>
      </c>
      <c r="AP8" s="136">
        <v>331413.01</v>
      </c>
      <c r="AQ8" s="136">
        <v>732202.0</v>
      </c>
      <c r="AR8" s="137">
        <v>985245.0</v>
      </c>
      <c r="AS8" s="137">
        <v>111000.0</v>
      </c>
      <c r="AT8" s="137">
        <v>1120200.0</v>
      </c>
      <c r="AU8" s="137">
        <v>293440.0</v>
      </c>
      <c r="AV8" s="137">
        <f>57600+216000+87680+106880+25000+345900</f>
        <v>839060</v>
      </c>
      <c r="AW8" s="137">
        <v>2468100.0</v>
      </c>
      <c r="AX8" s="137">
        <v>1607072.0</v>
      </c>
      <c r="AY8" s="137">
        <v>0.0</v>
      </c>
      <c r="AZ8" s="137">
        <f>60700+34560</f>
        <v>95260</v>
      </c>
      <c r="BA8" s="137">
        <v>664160.0</v>
      </c>
      <c r="BB8" s="137">
        <v>245840.0</v>
      </c>
      <c r="BC8" s="137">
        <v>1070080.0</v>
      </c>
      <c r="BD8" s="137">
        <v>330048.0</v>
      </c>
      <c r="BE8" s="137">
        <v>710760.0</v>
      </c>
      <c r="BF8" s="137">
        <v>1387561.0</v>
      </c>
      <c r="BG8" s="137"/>
      <c r="BH8" s="137"/>
      <c r="BI8" s="137"/>
      <c r="BJ8" s="137"/>
      <c r="BK8" s="50"/>
      <c r="BL8" s="142">
        <f t="array" ref="BL8">SUM(INDIRECT(XLOOKUP('QBO Summary'!$B$2,'TTM Dates'!$B:$B,'TTM Dates'!$E:$E)&amp;ROW($BK8)&amp;":"&amp;XLOOKUP('QBO Summary'!$B$2,'TTM Dates'!$B:$B,'TTM Dates'!$C:$C)&amp;ROW($BK8)))</f>
        <v>28841201.02</v>
      </c>
      <c r="BM8" s="70"/>
      <c r="BN8" s="137">
        <f t="shared" si="2"/>
        <v>759420</v>
      </c>
      <c r="BO8" s="137">
        <f t="shared" si="3"/>
        <v>1645968</v>
      </c>
      <c r="BP8" s="137">
        <f t="shared" si="4"/>
        <v>2098321</v>
      </c>
      <c r="BQ8" s="137">
        <f t="shared" si="5"/>
        <v>0</v>
      </c>
      <c r="BR8" s="142">
        <f t="shared" si="6"/>
        <v>4503709</v>
      </c>
      <c r="BS8" s="137"/>
      <c r="BT8" s="137">
        <f t="shared" si="7"/>
        <v>1285048</v>
      </c>
      <c r="BU8" s="137">
        <f t="shared" si="8"/>
        <v>2048860.01</v>
      </c>
      <c r="BV8" s="137">
        <f t="shared" si="9"/>
        <v>1524640</v>
      </c>
      <c r="BW8" s="137">
        <f t="shared" si="10"/>
        <v>4914232</v>
      </c>
      <c r="BX8" s="142">
        <f t="shared" ref="BX8:BX9" si="16">sum(AM8:AX8)</f>
        <v>9772780.01</v>
      </c>
      <c r="BY8" s="137"/>
      <c r="BZ8" s="137">
        <f t="shared" si="11"/>
        <v>385000</v>
      </c>
      <c r="CA8" s="137">
        <f t="shared" si="12"/>
        <v>2076800</v>
      </c>
      <c r="CB8" s="137">
        <f t="shared" si="13"/>
        <v>2330132</v>
      </c>
      <c r="CC8" s="137">
        <f t="shared" si="14"/>
        <v>2890770</v>
      </c>
      <c r="CD8" s="142">
        <f t="shared" si="15"/>
        <v>7682702</v>
      </c>
      <c r="CE8" s="137"/>
      <c r="CF8" s="142">
        <f t="shared" ref="CF8:CF9" si="17">SUM(O8:Z8)</f>
        <v>5690641.58</v>
      </c>
      <c r="CG8" s="44"/>
      <c r="CH8" s="136">
        <f t="array" ref="CH8">IF(CH$3&gt;'QBO Summary'!$B$2,0,SUM(INDIRECT(XLOOKUP(CH$3,'TTM Dates'!$B:$B,'TTM Dates'!$E:$E)&amp;ROW($BK8)&amp;":"&amp;XLOOKUP(CH$3,'TTM Dates'!$B:$B,'TTM Dates'!$C:$C)&amp;ROW($BK8))))</f>
        <v>1219080.4</v>
      </c>
      <c r="CI8" s="136">
        <f t="array" ref="CI8">IF(CI$3&gt;'QBO Summary'!$B$2,0,SUM(INDIRECT(XLOOKUP(CI$3,'TTM Dates'!$B:$B,'TTM Dates'!$E:$E)&amp;ROW($BK8)&amp;":"&amp;XLOOKUP(CI$3,'TTM Dates'!$B:$B,'TTM Dates'!$C:$C)&amp;ROW($BK8))))</f>
        <v>1047200.4</v>
      </c>
      <c r="CJ8" s="136">
        <f t="array" ref="CJ8">IF(CJ$3&gt;'QBO Summary'!$B$2,0,SUM(INDIRECT(XLOOKUP(CJ$3,'TTM Dates'!$B:$B,'TTM Dates'!$E:$E)&amp;ROW($BK8)&amp;":"&amp;XLOOKUP(CJ$3,'TTM Dates'!$B:$B,'TTM Dates'!$C:$C)&amp;ROW($BK8))))</f>
        <v>1247000.4</v>
      </c>
      <c r="CK8" s="136">
        <f t="array" ref="CK8">IF(CK$3&gt;'QBO Summary'!$B$2,0,SUM(INDIRECT(XLOOKUP(CK$3,'TTM Dates'!$B:$B,'TTM Dates'!$E:$E)&amp;ROW($BK8)&amp;":"&amp;XLOOKUP(CK$3,'TTM Dates'!$B:$B,'TTM Dates'!$C:$C)&amp;ROW($BK8))))</f>
        <v>1650100.4</v>
      </c>
      <c r="CL8" s="136">
        <f t="array" ref="CL8">IF(CL$3&gt;'QBO Summary'!$B$2,0,SUM(INDIRECT(XLOOKUP(CL$3,'TTM Dates'!$B:$B,'TTM Dates'!$E:$E)&amp;ROW($BK8)&amp;":"&amp;XLOOKUP(CL$3,'TTM Dates'!$B:$B,'TTM Dates'!$C:$C)&amp;ROW($BK8))))</f>
        <v>1693300.4</v>
      </c>
      <c r="CM8" s="136">
        <f t="array" ref="CM8">IF(CM$3&gt;'QBO Summary'!$B$2,0,SUM(INDIRECT(XLOOKUP(CM$3,'TTM Dates'!$B:$B,'TTM Dates'!$E:$E)&amp;ROW($BK8)&amp;":"&amp;XLOOKUP(CM$3,'TTM Dates'!$B:$B,'TTM Dates'!$C:$C)&amp;ROW($BK8))))</f>
        <v>2095300.4</v>
      </c>
      <c r="CN8" s="136">
        <f t="array" ref="CN8">IF(CN$3&gt;'QBO Summary'!$B$2,0,SUM(INDIRECT(XLOOKUP(CN$3,'TTM Dates'!$B:$B,'TTM Dates'!$E:$E)&amp;ROW($BK8)&amp;":"&amp;XLOOKUP(CN$3,'TTM Dates'!$B:$B,'TTM Dates'!$C:$C)&amp;ROW($BK8))))</f>
        <v>2489800.4</v>
      </c>
      <c r="CO8" s="136">
        <f t="array" ref="CO8">IF(CO$3&gt;'QBO Summary'!$B$2,0,SUM(INDIRECT(XLOOKUP(CO$3,'TTM Dates'!$B:$B,'TTM Dates'!$E:$E)&amp;ROW($BK8)&amp;":"&amp;XLOOKUP(CO$3,'TTM Dates'!$B:$B,'TTM Dates'!$C:$C)&amp;ROW($BK8))))</f>
        <v>3174001.58</v>
      </c>
      <c r="CP8" s="136">
        <f t="array" ref="CP8">IF(CP$3&gt;'QBO Summary'!$B$2,0,SUM(INDIRECT(XLOOKUP(CP$3,'TTM Dates'!$B:$B,'TTM Dates'!$E:$E)&amp;ROW($BK8)&amp;":"&amp;XLOOKUP(CP$3,'TTM Dates'!$B:$B,'TTM Dates'!$C:$C)&amp;ROW($BK8))))</f>
        <v>3370201.58</v>
      </c>
      <c r="CQ8" s="136">
        <f t="array" ref="CQ8">IF(CQ$3&gt;'QBO Summary'!$B$2,0,SUM(INDIRECT(XLOOKUP(CQ$3,'TTM Dates'!$B:$B,'TTM Dates'!$E:$E)&amp;ROW($BK8)&amp;":"&amp;XLOOKUP(CQ$3,'TTM Dates'!$B:$B,'TTM Dates'!$C:$C)&amp;ROW($BK8))))</f>
        <v>3369701.58</v>
      </c>
      <c r="CR8" s="136">
        <f t="array" ref="CR8">IF(CR$3&gt;'QBO Summary'!$B$2,0,SUM(INDIRECT(XLOOKUP(CR$3,'TTM Dates'!$B:$B,'TTM Dates'!$E:$E)&amp;ROW($BK8)&amp;":"&amp;XLOOKUP(CR$3,'TTM Dates'!$B:$B,'TTM Dates'!$C:$C)&amp;ROW($BK8))))</f>
        <v>3992481.58</v>
      </c>
      <c r="CS8" s="136">
        <f t="array" ref="CS8">IF(CS$3&gt;'QBO Summary'!$B$2,0,SUM(INDIRECT(XLOOKUP(CS$3,'TTM Dates'!$B:$B,'TTM Dates'!$E:$E)&amp;ROW($BK8)&amp;":"&amp;XLOOKUP(CS$3,'TTM Dates'!$B:$B,'TTM Dates'!$C:$C)&amp;ROW($BK8))))</f>
        <v>5690641.58</v>
      </c>
      <c r="CT8" s="136">
        <f t="array" ref="CT8">IF(CT$3&gt;'QBO Summary'!$B$2,0,SUM(INDIRECT(XLOOKUP(CT$3,'TTM Dates'!$B:$B,'TTM Dates'!$E:$E)&amp;ROW($BK8)&amp;":"&amp;XLOOKUP(CT$3,'TTM Dates'!$B:$B,'TTM Dates'!$C:$C)&amp;ROW($BK8))))</f>
        <v>5423361.18</v>
      </c>
      <c r="CU8" s="136">
        <f t="array" ref="CU8">IF(CU$3&gt;'QBO Summary'!$B$2,0,SUM(INDIRECT(XLOOKUP(CU$3,'TTM Dates'!$B:$B,'TTM Dates'!$E:$E)&amp;ROW($BK8)&amp;":"&amp;XLOOKUP(CU$3,'TTM Dates'!$B:$B,'TTM Dates'!$C:$C)&amp;ROW($BK8))))</f>
        <v>5504001.18</v>
      </c>
      <c r="CV8" s="136">
        <f t="array" ref="CV8">IF(CV$3&gt;'QBO Summary'!$B$2,0,SUM(INDIRECT(XLOOKUP(CV$3,'TTM Dates'!$B:$B,'TTM Dates'!$E:$E)&amp;ROW($BK8)&amp;":"&amp;XLOOKUP(CV$3,'TTM Dates'!$B:$B,'TTM Dates'!$C:$C)&amp;ROW($BK8))))</f>
        <v>5394841.18</v>
      </c>
      <c r="CW8" s="136">
        <f t="array" ref="CW8">IF(CW$3&gt;'QBO Summary'!$B$2,0,SUM(INDIRECT(XLOOKUP(CW$3,'TTM Dates'!$B:$B,'TTM Dates'!$E:$E)&amp;ROW($BK8)&amp;":"&amp;XLOOKUP(CW$3,'TTM Dates'!$B:$B,'TTM Dates'!$C:$C)&amp;ROW($BK8))))</f>
        <v>5259081.18</v>
      </c>
      <c r="CX8" s="136">
        <f t="array" ref="CX8">IF(CX$3&gt;'QBO Summary'!$B$2,0,SUM(INDIRECT(XLOOKUP(CX$3,'TTM Dates'!$B:$B,'TTM Dates'!$E:$E)&amp;ROW($BK8)&amp;":"&amp;XLOOKUP(CX$3,'TTM Dates'!$B:$B,'TTM Dates'!$C:$C)&amp;ROW($BK8))))</f>
        <v>5802281.18</v>
      </c>
      <c r="CY8" s="136">
        <f t="array" ref="CY8">IF(CY$3&gt;'QBO Summary'!$B$2,0,SUM(INDIRECT(XLOOKUP(CY$3,'TTM Dates'!$B:$B,'TTM Dates'!$E:$E)&amp;ROW($BK8)&amp;":"&amp;XLOOKUP(CY$3,'TTM Dates'!$B:$B,'TTM Dates'!$C:$C)&amp;ROW($BK8))))</f>
        <v>6475241.18</v>
      </c>
      <c r="CZ8" s="136">
        <f t="array" ref="CZ8">IF(CZ$3&gt;'QBO Summary'!$B$2,0,SUM(INDIRECT(XLOOKUP(CZ$3,'TTM Dates'!$B:$B,'TTM Dates'!$E:$E)&amp;ROW($BK8)&amp;":"&amp;XLOOKUP(CZ$3,'TTM Dates'!$B:$B,'TTM Dates'!$C:$C)&amp;ROW($BK8))))</f>
        <v>7409161.18</v>
      </c>
      <c r="DA8" s="136">
        <f t="array" ref="DA8">IF(DA$3&gt;'QBO Summary'!$B$2,0,SUM(INDIRECT(XLOOKUP(DA$3,'TTM Dates'!$B:$B,'TTM Dates'!$E:$E)&amp;ROW($BK8)&amp;":"&amp;XLOOKUP(DA$3,'TTM Dates'!$B:$B,'TTM Dates'!$C:$C)&amp;ROW($BK8))))</f>
        <v>6804000</v>
      </c>
      <c r="DB8" s="136">
        <f t="array" ref="DB8">IF(DB$3&gt;'QBO Summary'!$B$2,0,SUM(INDIRECT(XLOOKUP(DB$3,'TTM Dates'!$B:$B,'TTM Dates'!$E:$E)&amp;ROW($BK8)&amp;":"&amp;XLOOKUP(DB$3,'TTM Dates'!$B:$B,'TTM Dates'!$C:$C)&amp;ROW($BK8))))</f>
        <v>7112872</v>
      </c>
      <c r="DC8" s="136">
        <f t="array" ref="DC8">IF(DC$3&gt;'QBO Summary'!$B$2,0,SUM(INDIRECT(XLOOKUP(DC$3,'TTM Dates'!$B:$B,'TTM Dates'!$E:$E)&amp;ROW($BK8)&amp;":"&amp;XLOOKUP(DC$3,'TTM Dates'!$B:$B,'TTM Dates'!$C:$C)&amp;ROW($BK8))))</f>
        <v>8761872</v>
      </c>
      <c r="DD8" s="136">
        <f t="array" ref="DD8">IF(DD$3&gt;'QBO Summary'!$B$2,0,SUM(INDIRECT(XLOOKUP(DD$3,'TTM Dates'!$B:$B,'TTM Dates'!$E:$E)&amp;ROW($BK8)&amp;":"&amp;XLOOKUP(DD$3,'TTM Dates'!$B:$B,'TTM Dates'!$C:$C)&amp;ROW($BK8))))</f>
        <v>8566892</v>
      </c>
      <c r="DE8" s="136">
        <f t="array" ref="DE8">IF(DE$3&gt;'QBO Summary'!$B$2,0,SUM(INDIRECT(XLOOKUP(DE$3,'TTM Dates'!$B:$B,'TTM Dates'!$E:$E)&amp;ROW($BK8)&amp;":"&amp;XLOOKUP(DE$3,'TTM Dates'!$B:$B,'TTM Dates'!$C:$C)&amp;ROW($BK8))))</f>
        <v>7682702</v>
      </c>
      <c r="DF8" s="136">
        <f t="array" ref="DF8">IF(DF$3&gt;'QBO Summary'!$B$2,0,SUM(INDIRECT(XLOOKUP(DF$3,'TTM Dates'!$B:$B,'TTM Dates'!$E:$E)&amp;ROW($BK8)&amp;":"&amp;XLOOKUP(DF$3,'TTM Dates'!$B:$B,'TTM Dates'!$C:$C)&amp;ROW($BK8))))</f>
        <v>7717382</v>
      </c>
      <c r="DG8" s="136">
        <f t="array" ref="DG8">IF(DG$3&gt;'QBO Summary'!$B$2,0,SUM(INDIRECT(XLOOKUP(DG$3,'TTM Dates'!$B:$B,'TTM Dates'!$E:$E)&amp;ROW($BK8)&amp;":"&amp;XLOOKUP(DG$3,'TTM Dates'!$B:$B,'TTM Dates'!$C:$C)&amp;ROW($BK8))))</f>
        <v>7985846</v>
      </c>
      <c r="DH8" s="136">
        <f t="array" ref="DH8">IF(DH$3&gt;'QBO Summary'!$B$2,0,SUM(INDIRECT(XLOOKUP(DH$3,'TTM Dates'!$B:$B,'TTM Dates'!$E:$E)&amp;ROW($BK8)&amp;":"&amp;XLOOKUP(DH$3,'TTM Dates'!$B:$B,'TTM Dates'!$C:$C)&amp;ROW($BK8))))</f>
        <v>8582750</v>
      </c>
      <c r="DI8" s="136">
        <f t="array" ref="DI8">IF(DI$3&gt;'QBO Summary'!$B$2,0,SUM(INDIRECT(XLOOKUP(DI$3,'TTM Dates'!$B:$B,'TTM Dates'!$E:$E)&amp;ROW($BK8)&amp;":"&amp;XLOOKUP(DI$3,'TTM Dates'!$B:$B,'TTM Dates'!$C:$C)&amp;ROW($BK8))))</f>
        <v>8498723.01</v>
      </c>
      <c r="DJ8" s="136">
        <f t="array" ref="DJ8">IF(DJ$3&gt;'QBO Summary'!$B$2,0,SUM(INDIRECT(XLOOKUP(DJ$3,'TTM Dates'!$B:$B,'TTM Dates'!$E:$E)&amp;ROW($BK8)&amp;":"&amp;XLOOKUP(DJ$3,'TTM Dates'!$B:$B,'TTM Dates'!$C:$C)&amp;ROW($BK8))))</f>
        <v>8644525.01</v>
      </c>
      <c r="DK8" s="136">
        <f t="array" ref="DK8">IF(DK$3&gt;'QBO Summary'!$B$2,0,SUM(INDIRECT(XLOOKUP(DK$3,'TTM Dates'!$B:$B,'TTM Dates'!$E:$E)&amp;ROW($BK8)&amp;":"&amp;XLOOKUP(DK$3,'TTM Dates'!$B:$B,'TTM Dates'!$C:$C)&amp;ROW($BK8))))</f>
        <v>8554810.01</v>
      </c>
      <c r="DL8" s="136">
        <f t="array" ref="DL8">IF(DL$3&gt;'QBO Summary'!$B$2,0,SUM(INDIRECT(XLOOKUP(DL$3,'TTM Dates'!$B:$B,'TTM Dates'!$E:$E)&amp;ROW($BK8)&amp;":"&amp;XLOOKUP(DL$3,'TTM Dates'!$B:$B,'TTM Dates'!$C:$C)&amp;ROW($BK8))))</f>
        <v>7337390.01</v>
      </c>
      <c r="DM8" s="136">
        <f t="array" ref="DM8">IF(DM$3&gt;'QBO Summary'!$B$2,0,SUM(INDIRECT(XLOOKUP(DM$3,'TTM Dates'!$B:$B,'TTM Dates'!$E:$E)&amp;ROW($BK8)&amp;":"&amp;XLOOKUP(DM$3,'TTM Dates'!$B:$B,'TTM Dates'!$C:$C)&amp;ROW($BK8))))</f>
        <v>8378550.01</v>
      </c>
      <c r="DN8" s="136">
        <f t="array" ref="DN8">IF(DN$3&gt;'QBO Summary'!$B$2,0,SUM(INDIRECT(XLOOKUP(DN$3,'TTM Dates'!$B:$B,'TTM Dates'!$E:$E)&amp;ROW($BK8)&amp;":"&amp;XLOOKUP(DN$3,'TTM Dates'!$B:$B,'TTM Dates'!$C:$C)&amp;ROW($BK8))))</f>
        <v>7749318.01</v>
      </c>
      <c r="DO8" s="136">
        <f t="array" ref="DO8">IF(DO$3&gt;'QBO Summary'!$B$2,0,SUM(INDIRECT(XLOOKUP(DO$3,'TTM Dates'!$B:$B,'TTM Dates'!$E:$E)&amp;ROW($BK8)&amp;":"&amp;XLOOKUP(DO$3,'TTM Dates'!$B:$B,'TTM Dates'!$C:$C)&amp;ROW($BK8))))</f>
        <v>6939378.01</v>
      </c>
      <c r="DP8" s="136">
        <f t="array" ref="DP8">IF(DP$3&gt;'QBO Summary'!$B$2,0,SUM(INDIRECT(XLOOKUP(DP$3,'TTM Dates'!$B:$B,'TTM Dates'!$E:$E)&amp;ROW($BK8)&amp;":"&amp;XLOOKUP(DP$3,'TTM Dates'!$B:$B,'TTM Dates'!$C:$C)&amp;ROW($BK8))))</f>
        <v>8979678.01</v>
      </c>
      <c r="DQ8" s="136">
        <f t="array" ref="DQ8">IF(DQ$3&gt;'QBO Summary'!$B$2,0,SUM(INDIRECT(XLOOKUP(DQ$3,'TTM Dates'!$B:$B,'TTM Dates'!$E:$E)&amp;ROW($BK8)&amp;":"&amp;XLOOKUP(DQ$3,'TTM Dates'!$B:$B,'TTM Dates'!$C:$C)&amp;ROW($BK8))))</f>
        <v>9772780.01</v>
      </c>
      <c r="DR8" s="136">
        <f t="array" ref="DR8">IF(DR$3&gt;'QBO Summary'!$B$2,0,SUM(INDIRECT(XLOOKUP(DR$3,'TTM Dates'!$B:$B,'TTM Dates'!$E:$E)&amp;ROW($BK8)&amp;":"&amp;XLOOKUP(DR$3,'TTM Dates'!$B:$B,'TTM Dates'!$C:$C)&amp;ROW($BK8))))</f>
        <v>9638380.01</v>
      </c>
      <c r="DS8" s="136">
        <f t="array" ref="DS8">IF(DS$3&gt;'QBO Summary'!$B$2,0,SUM(INDIRECT(XLOOKUP(DS$3,'TTM Dates'!$B:$B,'TTM Dates'!$E:$E)&amp;ROW($BK8)&amp;":"&amp;XLOOKUP(DS$3,'TTM Dates'!$B:$B,'TTM Dates'!$C:$C)&amp;ROW($BK8))))</f>
        <v>9384536.01</v>
      </c>
      <c r="DT8" s="136">
        <f t="array" ref="DT8">IF(DT$3&gt;'QBO Summary'!$B$2,0,SUM(INDIRECT(XLOOKUP(DT$3,'TTM Dates'!$B:$B,'TTM Dates'!$E:$E)&amp;ROW($BK8)&amp;":"&amp;XLOOKUP(DT$3,'TTM Dates'!$B:$B,'TTM Dates'!$C:$C)&amp;ROW($BK8))))</f>
        <v>9247152.01</v>
      </c>
      <c r="DU8" s="136">
        <f t="array" ref="DU8">IF(DU$3&gt;'QBO Summary'!$B$2,0,SUM(INDIRECT(XLOOKUP(DU$3,'TTM Dates'!$B:$B,'TTM Dates'!$E:$E)&amp;ROW($BK8)&amp;":"&amp;XLOOKUP(DU$3,'TTM Dates'!$B:$B,'TTM Dates'!$C:$C)&amp;ROW($BK8))))</f>
        <v>9161579</v>
      </c>
      <c r="DV8" s="136">
        <f t="array" ref="DV8">IF(DV$3&gt;'QBO Summary'!$B$2,0,SUM(INDIRECT(XLOOKUP(DV$3,'TTM Dates'!$B:$B,'TTM Dates'!$E:$E)&amp;ROW($BK8)&amp;":"&amp;XLOOKUP(DV$3,'TTM Dates'!$B:$B,'TTM Dates'!$C:$C)&amp;ROW($BK8))))</f>
        <v>9499457</v>
      </c>
      <c r="DW8" s="136">
        <f t="array" ref="DW8">IF(DW$3&gt;'QBO Summary'!$B$2,0,SUM(INDIRECT(XLOOKUP(DW$3,'TTM Dates'!$B:$B,'TTM Dates'!$E:$E)&amp;ROW($BK8)&amp;":"&amp;XLOOKUP(DW$3,'TTM Dates'!$B:$B,'TTM Dates'!$C:$C)&amp;ROW($BK8))))</f>
        <v>8844260</v>
      </c>
      <c r="DX8" s="136">
        <f t="array" ref="DX8">IF(DX$3&gt;'QBO Summary'!$B$2,0,SUM(INDIRECT(XLOOKUP(DX$3,'TTM Dates'!$B:$B,'TTM Dates'!$E:$E)&amp;ROW($BK8)&amp;":"&amp;XLOOKUP(DX$3,'TTM Dates'!$B:$B,'TTM Dates'!$C:$C)&amp;ROW($BK8))))</f>
        <v>9444020</v>
      </c>
      <c r="DY8" s="136">
        <f t="array" ref="DY8">IF(DY$3&gt;'QBO Summary'!$B$2,0,SUM(INDIRECT(XLOOKUP(DY$3,'TTM Dates'!$B:$B,'TTM Dates'!$E:$E)&amp;ROW($BK8)&amp;":"&amp;XLOOKUP(DY$3,'TTM Dates'!$B:$B,'TTM Dates'!$C:$C)&amp;ROW($BK8))))</f>
        <v>9711381</v>
      </c>
      <c r="DZ8" s="136">
        <f t="array" ref="DZ8">IF(DZ$3&gt;'QBO Summary'!$B$2,0,SUM(INDIRECT(XLOOKUP(DZ$3,'TTM Dates'!$B:$B,'TTM Dates'!$E:$E)&amp;ROW($BK8)&amp;":"&amp;XLOOKUP(DZ$3,'TTM Dates'!$B:$B,'TTM Dates'!$C:$C)&amp;ROW($BK8))))</f>
        <v>9417941</v>
      </c>
      <c r="EA8" s="136">
        <f t="array" ref="EA8">IF(EA$3&gt;'QBO Summary'!$B$2,0,SUM(INDIRECT(XLOOKUP(EA$3,'TTM Dates'!$B:$B,'TTM Dates'!$E:$E)&amp;ROW($BK8)&amp;":"&amp;XLOOKUP(EA$3,'TTM Dates'!$B:$B,'TTM Dates'!$C:$C)&amp;ROW($BK8))))</f>
        <v>8578881</v>
      </c>
      <c r="EB8" s="136">
        <f t="array" ref="EB8">IF(EB$3&gt;'QBO Summary'!$B$2,0,SUM(INDIRECT(XLOOKUP(EB$3,'TTM Dates'!$B:$B,'TTM Dates'!$E:$E)&amp;ROW($BK8)&amp;":"&amp;XLOOKUP(EB$3,'TTM Dates'!$B:$B,'TTM Dates'!$C:$C)&amp;ROW($BK8))))</f>
        <v>6110781</v>
      </c>
      <c r="EC8" s="136">
        <f t="array" ref="EC8">IF(EC$3&gt;'QBO Summary'!$B$2,0,SUM(INDIRECT(XLOOKUP(EC$3,'TTM Dates'!$B:$B,'TTM Dates'!$E:$E)&amp;ROW($BK8)&amp;":"&amp;XLOOKUP(EC$3,'TTM Dates'!$B:$B,'TTM Dates'!$C:$C)&amp;ROW($BK8))))</f>
        <v>4503709</v>
      </c>
    </row>
    <row r="9">
      <c r="B9" s="53" t="s">
        <v>274</v>
      </c>
      <c r="C9" s="136">
        <v>0.0</v>
      </c>
      <c r="D9" s="136">
        <v>40000.0</v>
      </c>
      <c r="E9" s="136">
        <v>313700.0</v>
      </c>
      <c r="F9" s="136">
        <v>60000.0</v>
      </c>
      <c r="G9" s="136">
        <v>297000.0</v>
      </c>
      <c r="H9" s="136">
        <v>0.0</v>
      </c>
      <c r="I9" s="136">
        <v>562680.0</v>
      </c>
      <c r="J9" s="136">
        <v>84000.0</v>
      </c>
      <c r="K9" s="136">
        <v>471120.0</v>
      </c>
      <c r="L9" s="136">
        <v>168000.0</v>
      </c>
      <c r="M9" s="136">
        <v>280470.0</v>
      </c>
      <c r="N9" s="136">
        <v>36400.0</v>
      </c>
      <c r="O9" s="136">
        <v>0.0</v>
      </c>
      <c r="P9" s="136">
        <v>219200.0</v>
      </c>
      <c r="Q9" s="136">
        <v>330000.0</v>
      </c>
      <c r="R9" s="136">
        <v>153600.0</v>
      </c>
      <c r="S9" s="136">
        <v>0.0</v>
      </c>
      <c r="T9" s="136">
        <v>775105.0</v>
      </c>
      <c r="U9" s="136">
        <v>1160287.2</v>
      </c>
      <c r="V9" s="136">
        <v>374600.0</v>
      </c>
      <c r="W9" s="136">
        <v>1036540.0</v>
      </c>
      <c r="X9" s="136">
        <v>1378375.0</v>
      </c>
      <c r="Y9" s="136">
        <v>1190460.0</v>
      </c>
      <c r="Z9" s="136">
        <v>1178102.4</v>
      </c>
      <c r="AA9" s="136">
        <v>45100.0</v>
      </c>
      <c r="AB9" s="136">
        <v>34560.0</v>
      </c>
      <c r="AC9" s="136">
        <v>2906490.0</v>
      </c>
      <c r="AD9" s="136">
        <v>240400.0</v>
      </c>
      <c r="AE9" s="136">
        <v>3445490.0</v>
      </c>
      <c r="AF9" s="136">
        <v>1705200.0</v>
      </c>
      <c r="AG9" s="136">
        <v>1642900.0</v>
      </c>
      <c r="AH9" s="136">
        <v>240000.0</v>
      </c>
      <c r="AI9" s="136">
        <v>1323460.0</v>
      </c>
      <c r="AJ9" s="136">
        <v>977400.0</v>
      </c>
      <c r="AK9" s="136">
        <v>459420.0</v>
      </c>
      <c r="AL9" s="136">
        <v>3326280.0</v>
      </c>
      <c r="AM9" s="136">
        <v>0.0</v>
      </c>
      <c r="AN9" s="136">
        <v>245760.0</v>
      </c>
      <c r="AO9" s="137">
        <v>1007040.0</v>
      </c>
      <c r="AP9" s="136">
        <v>220200.0</v>
      </c>
      <c r="AQ9" s="136">
        <v>103200.0</v>
      </c>
      <c r="AR9" s="136">
        <v>1237328.0</v>
      </c>
      <c r="AS9" s="137">
        <v>796400.0</v>
      </c>
      <c r="AT9" s="137">
        <v>968070.0</v>
      </c>
      <c r="AU9" s="137">
        <v>929178.0</v>
      </c>
      <c r="AV9" s="137">
        <f>249600+81000+40500+20025+103200</f>
        <v>494325</v>
      </c>
      <c r="AW9" s="137">
        <v>874546.0</v>
      </c>
      <c r="AX9" s="137">
        <v>1259600.0</v>
      </c>
      <c r="AY9" s="137">
        <v>57000.0</v>
      </c>
      <c r="AZ9" s="137">
        <v>235790.0</v>
      </c>
      <c r="BA9" s="137">
        <v>4709700.0</v>
      </c>
      <c r="BB9" s="137">
        <v>1366812.0</v>
      </c>
      <c r="BC9" s="137">
        <v>2795784.0</v>
      </c>
      <c r="BD9" s="137">
        <v>395700.0</v>
      </c>
      <c r="BE9" s="137">
        <v>689600.0</v>
      </c>
      <c r="BF9" s="137">
        <v>685920.0</v>
      </c>
      <c r="BG9" s="137"/>
      <c r="BH9" s="137"/>
      <c r="BI9" s="137"/>
      <c r="BJ9" s="137"/>
      <c r="BK9" s="50"/>
      <c r="BL9" s="142">
        <f t="array" ref="BL9">SUM(INDIRECT(XLOOKUP('QBO Summary'!$B$2,'TTM Dates'!$B:$B,'TTM Dates'!$E:$E)&amp;ROW($BK9)&amp;":"&amp;XLOOKUP('QBO Summary'!$B$2,'TTM Dates'!$B:$B,'TTM Dates'!$C:$C)&amp;ROW($BK9)))</f>
        <v>38791200</v>
      </c>
      <c r="BM9" s="70"/>
      <c r="BN9" s="137">
        <f t="shared" si="2"/>
        <v>5002490</v>
      </c>
      <c r="BO9" s="137">
        <f t="shared" si="3"/>
        <v>4558296</v>
      </c>
      <c r="BP9" s="137">
        <f t="shared" si="4"/>
        <v>1375520</v>
      </c>
      <c r="BQ9" s="137">
        <f t="shared" si="5"/>
        <v>0</v>
      </c>
      <c r="BR9" s="142">
        <f t="shared" si="6"/>
        <v>10936306</v>
      </c>
      <c r="BS9" s="137"/>
      <c r="BT9" s="137">
        <f t="shared" si="7"/>
        <v>1252800</v>
      </c>
      <c r="BU9" s="137">
        <f t="shared" si="8"/>
        <v>1560728</v>
      </c>
      <c r="BV9" s="137">
        <f t="shared" si="9"/>
        <v>2693648</v>
      </c>
      <c r="BW9" s="137">
        <f t="shared" si="10"/>
        <v>2628471</v>
      </c>
      <c r="BX9" s="142">
        <f t="shared" si="16"/>
        <v>8135647</v>
      </c>
      <c r="BY9" s="137"/>
      <c r="BZ9" s="137">
        <f t="shared" si="11"/>
        <v>2986150</v>
      </c>
      <c r="CA9" s="137">
        <f t="shared" si="12"/>
        <v>5391090</v>
      </c>
      <c r="CB9" s="137">
        <f t="shared" si="13"/>
        <v>3206360</v>
      </c>
      <c r="CC9" s="137">
        <f t="shared" si="14"/>
        <v>4763100</v>
      </c>
      <c r="CD9" s="142">
        <f t="shared" si="15"/>
        <v>16346700</v>
      </c>
      <c r="CE9" s="137"/>
      <c r="CF9" s="142">
        <f t="shared" si="17"/>
        <v>7796269.6</v>
      </c>
      <c r="CG9" s="44"/>
      <c r="CH9" s="136">
        <f t="array" ref="CH9">IF(CH$3&gt;'QBO Summary'!$B$2,0,SUM(INDIRECT(XLOOKUP(CH$3,'TTM Dates'!$B:$B,'TTM Dates'!$E:$E)&amp;ROW($BK9)&amp;":"&amp;XLOOKUP(CH$3,'TTM Dates'!$B:$B,'TTM Dates'!$C:$C)&amp;ROW($BK9))))</f>
        <v>2313370</v>
      </c>
      <c r="CI9" s="136">
        <f t="array" ref="CI9">IF(CI$3&gt;'QBO Summary'!$B$2,0,SUM(INDIRECT(XLOOKUP(CI$3,'TTM Dates'!$B:$B,'TTM Dates'!$E:$E)&amp;ROW($BK9)&amp;":"&amp;XLOOKUP(CI$3,'TTM Dates'!$B:$B,'TTM Dates'!$C:$C)&amp;ROW($BK9))))</f>
        <v>2492570</v>
      </c>
      <c r="CJ9" s="136">
        <f t="array" ref="CJ9">IF(CJ$3&gt;'QBO Summary'!$B$2,0,SUM(INDIRECT(XLOOKUP(CJ$3,'TTM Dates'!$B:$B,'TTM Dates'!$E:$E)&amp;ROW($BK9)&amp;":"&amp;XLOOKUP(CJ$3,'TTM Dates'!$B:$B,'TTM Dates'!$C:$C)&amp;ROW($BK9))))</f>
        <v>2508870</v>
      </c>
      <c r="CK9" s="136">
        <f t="array" ref="CK9">IF(CK$3&gt;'QBO Summary'!$B$2,0,SUM(INDIRECT(XLOOKUP(CK$3,'TTM Dates'!$B:$B,'TTM Dates'!$E:$E)&amp;ROW($BK9)&amp;":"&amp;XLOOKUP(CK$3,'TTM Dates'!$B:$B,'TTM Dates'!$C:$C)&amp;ROW($BK9))))</f>
        <v>2602470</v>
      </c>
      <c r="CL9" s="136">
        <f t="array" ref="CL9">IF(CL$3&gt;'QBO Summary'!$B$2,0,SUM(INDIRECT(XLOOKUP(CL$3,'TTM Dates'!$B:$B,'TTM Dates'!$E:$E)&amp;ROW($BK9)&amp;":"&amp;XLOOKUP(CL$3,'TTM Dates'!$B:$B,'TTM Dates'!$C:$C)&amp;ROW($BK9))))</f>
        <v>2305470</v>
      </c>
      <c r="CM9" s="136">
        <f t="array" ref="CM9">IF(CM$3&gt;'QBO Summary'!$B$2,0,SUM(INDIRECT(XLOOKUP(CM$3,'TTM Dates'!$B:$B,'TTM Dates'!$E:$E)&amp;ROW($BK9)&amp;":"&amp;XLOOKUP(CM$3,'TTM Dates'!$B:$B,'TTM Dates'!$C:$C)&amp;ROW($BK9))))</f>
        <v>3080575</v>
      </c>
      <c r="CN9" s="136">
        <f t="array" ref="CN9">IF(CN$3&gt;'QBO Summary'!$B$2,0,SUM(INDIRECT(XLOOKUP(CN$3,'TTM Dates'!$B:$B,'TTM Dates'!$E:$E)&amp;ROW($BK9)&amp;":"&amp;XLOOKUP(CN$3,'TTM Dates'!$B:$B,'TTM Dates'!$C:$C)&amp;ROW($BK9))))</f>
        <v>3678182.2</v>
      </c>
      <c r="CO9" s="136">
        <f t="array" ref="CO9">IF(CO$3&gt;'QBO Summary'!$B$2,0,SUM(INDIRECT(XLOOKUP(CO$3,'TTM Dates'!$B:$B,'TTM Dates'!$E:$E)&amp;ROW($BK9)&amp;":"&amp;XLOOKUP(CO$3,'TTM Dates'!$B:$B,'TTM Dates'!$C:$C)&amp;ROW($BK9))))</f>
        <v>3968782.2</v>
      </c>
      <c r="CP9" s="136">
        <f t="array" ref="CP9">IF(CP$3&gt;'QBO Summary'!$B$2,0,SUM(INDIRECT(XLOOKUP(CP$3,'TTM Dates'!$B:$B,'TTM Dates'!$E:$E)&amp;ROW($BK9)&amp;":"&amp;XLOOKUP(CP$3,'TTM Dates'!$B:$B,'TTM Dates'!$C:$C)&amp;ROW($BK9))))</f>
        <v>4534202.2</v>
      </c>
      <c r="CQ9" s="136">
        <f t="array" ref="CQ9">IF(CQ$3&gt;'QBO Summary'!$B$2,0,SUM(INDIRECT(XLOOKUP(CQ$3,'TTM Dates'!$B:$B,'TTM Dates'!$E:$E)&amp;ROW($BK9)&amp;":"&amp;XLOOKUP(CQ$3,'TTM Dates'!$B:$B,'TTM Dates'!$C:$C)&amp;ROW($BK9))))</f>
        <v>5744577.2</v>
      </c>
      <c r="CR9" s="136">
        <f t="array" ref="CR9">IF(CR$3&gt;'QBO Summary'!$B$2,0,SUM(INDIRECT(XLOOKUP(CR$3,'TTM Dates'!$B:$B,'TTM Dates'!$E:$E)&amp;ROW($BK9)&amp;":"&amp;XLOOKUP(CR$3,'TTM Dates'!$B:$B,'TTM Dates'!$C:$C)&amp;ROW($BK9))))</f>
        <v>6654567.2</v>
      </c>
      <c r="CS9" s="136">
        <f t="array" ref="CS9">IF(CS$3&gt;'QBO Summary'!$B$2,0,SUM(INDIRECT(XLOOKUP(CS$3,'TTM Dates'!$B:$B,'TTM Dates'!$E:$E)&amp;ROW($BK9)&amp;":"&amp;XLOOKUP(CS$3,'TTM Dates'!$B:$B,'TTM Dates'!$C:$C)&amp;ROW($BK9))))</f>
        <v>7796269.6</v>
      </c>
      <c r="CT9" s="136">
        <f t="array" ref="CT9">IF(CT$3&gt;'QBO Summary'!$B$2,0,SUM(INDIRECT(XLOOKUP(CT$3,'TTM Dates'!$B:$B,'TTM Dates'!$E:$E)&amp;ROW($BK9)&amp;":"&amp;XLOOKUP(CT$3,'TTM Dates'!$B:$B,'TTM Dates'!$C:$C)&amp;ROW($BK9))))</f>
        <v>7841369.6</v>
      </c>
      <c r="CU9" s="136">
        <f t="array" ref="CU9">IF(CU$3&gt;'QBO Summary'!$B$2,0,SUM(INDIRECT(XLOOKUP(CU$3,'TTM Dates'!$B:$B,'TTM Dates'!$E:$E)&amp;ROW($BK9)&amp;":"&amp;XLOOKUP(CU$3,'TTM Dates'!$B:$B,'TTM Dates'!$C:$C)&amp;ROW($BK9))))</f>
        <v>7656729.6</v>
      </c>
      <c r="CV9" s="136">
        <f t="array" ref="CV9">IF(CV$3&gt;'QBO Summary'!$B$2,0,SUM(INDIRECT(XLOOKUP(CV$3,'TTM Dates'!$B:$B,'TTM Dates'!$E:$E)&amp;ROW($BK9)&amp;":"&amp;XLOOKUP(CV$3,'TTM Dates'!$B:$B,'TTM Dates'!$C:$C)&amp;ROW($BK9))))</f>
        <v>10233219.6</v>
      </c>
      <c r="CW9" s="136">
        <f t="array" ref="CW9">IF(CW$3&gt;'QBO Summary'!$B$2,0,SUM(INDIRECT(XLOOKUP(CW$3,'TTM Dates'!$B:$B,'TTM Dates'!$E:$E)&amp;ROW($BK9)&amp;":"&amp;XLOOKUP(CW$3,'TTM Dates'!$B:$B,'TTM Dates'!$C:$C)&amp;ROW($BK9))))</f>
        <v>10320019.6</v>
      </c>
      <c r="CX9" s="136">
        <f t="array" ref="CX9">IF(CX$3&gt;'QBO Summary'!$B$2,0,SUM(INDIRECT(XLOOKUP(CX$3,'TTM Dates'!$B:$B,'TTM Dates'!$E:$E)&amp;ROW($BK9)&amp;":"&amp;XLOOKUP(CX$3,'TTM Dates'!$B:$B,'TTM Dates'!$C:$C)&amp;ROW($BK9))))</f>
        <v>13765509.6</v>
      </c>
      <c r="CY9" s="136">
        <f t="array" ref="CY9">IF(CY$3&gt;'QBO Summary'!$B$2,0,SUM(INDIRECT(XLOOKUP(CY$3,'TTM Dates'!$B:$B,'TTM Dates'!$E:$E)&amp;ROW($BK9)&amp;":"&amp;XLOOKUP(CY$3,'TTM Dates'!$B:$B,'TTM Dates'!$C:$C)&amp;ROW($BK9))))</f>
        <v>14695604.6</v>
      </c>
      <c r="CZ9" s="136">
        <f t="array" ref="CZ9">IF(CZ$3&gt;'QBO Summary'!$B$2,0,SUM(INDIRECT(XLOOKUP(CZ$3,'TTM Dates'!$B:$B,'TTM Dates'!$E:$E)&amp;ROW($BK9)&amp;":"&amp;XLOOKUP(CZ$3,'TTM Dates'!$B:$B,'TTM Dates'!$C:$C)&amp;ROW($BK9))))</f>
        <v>15178217.4</v>
      </c>
      <c r="DA9" s="136">
        <f t="array" ref="DA9">IF(DA$3&gt;'QBO Summary'!$B$2,0,SUM(INDIRECT(XLOOKUP(DA$3,'TTM Dates'!$B:$B,'TTM Dates'!$E:$E)&amp;ROW($BK9)&amp;":"&amp;XLOOKUP(DA$3,'TTM Dates'!$B:$B,'TTM Dates'!$C:$C)&amp;ROW($BK9))))</f>
        <v>15043617.4</v>
      </c>
      <c r="DB9" s="136">
        <f t="array" ref="DB9">IF(DB$3&gt;'QBO Summary'!$B$2,0,SUM(INDIRECT(XLOOKUP(DB$3,'TTM Dates'!$B:$B,'TTM Dates'!$E:$E)&amp;ROW($BK9)&amp;":"&amp;XLOOKUP(DB$3,'TTM Dates'!$B:$B,'TTM Dates'!$C:$C)&amp;ROW($BK9))))</f>
        <v>15330537.4</v>
      </c>
      <c r="DC9" s="136">
        <f t="array" ref="DC9">IF(DC$3&gt;'QBO Summary'!$B$2,0,SUM(INDIRECT(XLOOKUP(DC$3,'TTM Dates'!$B:$B,'TTM Dates'!$E:$E)&amp;ROW($BK9)&amp;":"&amp;XLOOKUP(DC$3,'TTM Dates'!$B:$B,'TTM Dates'!$C:$C)&amp;ROW($BK9))))</f>
        <v>14929562.4</v>
      </c>
      <c r="DD9" s="136">
        <f t="array" ref="DD9">IF(DD$3&gt;'QBO Summary'!$B$2,0,SUM(INDIRECT(XLOOKUP(DD$3,'TTM Dates'!$B:$B,'TTM Dates'!$E:$E)&amp;ROW($BK9)&amp;":"&amp;XLOOKUP(DD$3,'TTM Dates'!$B:$B,'TTM Dates'!$C:$C)&amp;ROW($BK9))))</f>
        <v>14198522.4</v>
      </c>
      <c r="DE9" s="136">
        <f t="array" ref="DE9">IF(DE$3&gt;'QBO Summary'!$B$2,0,SUM(INDIRECT(XLOOKUP(DE$3,'TTM Dates'!$B:$B,'TTM Dates'!$E:$E)&amp;ROW($BK9)&amp;":"&amp;XLOOKUP(DE$3,'TTM Dates'!$B:$B,'TTM Dates'!$C:$C)&amp;ROW($BK9))))</f>
        <v>16346700</v>
      </c>
      <c r="DF9" s="136">
        <f t="array" ref="DF9">IF(DF$3&gt;'QBO Summary'!$B$2,0,SUM(INDIRECT(XLOOKUP(DF$3,'TTM Dates'!$B:$B,'TTM Dates'!$E:$E)&amp;ROW($BK9)&amp;":"&amp;XLOOKUP(DF$3,'TTM Dates'!$B:$B,'TTM Dates'!$C:$C)&amp;ROW($BK9))))</f>
        <v>16301600</v>
      </c>
      <c r="DG9" s="136">
        <f t="array" ref="DG9">IF(DG$3&gt;'QBO Summary'!$B$2,0,SUM(INDIRECT(XLOOKUP(DG$3,'TTM Dates'!$B:$B,'TTM Dates'!$E:$E)&amp;ROW($BK9)&amp;":"&amp;XLOOKUP(DG$3,'TTM Dates'!$B:$B,'TTM Dates'!$C:$C)&amp;ROW($BK9))))</f>
        <v>16512800</v>
      </c>
      <c r="DH9" s="136">
        <f t="array" ref="DH9">IF(DH$3&gt;'QBO Summary'!$B$2,0,SUM(INDIRECT(XLOOKUP(DH$3,'TTM Dates'!$B:$B,'TTM Dates'!$E:$E)&amp;ROW($BK9)&amp;":"&amp;XLOOKUP(DH$3,'TTM Dates'!$B:$B,'TTM Dates'!$C:$C)&amp;ROW($BK9))))</f>
        <v>14613350</v>
      </c>
      <c r="DI9" s="136">
        <f t="array" ref="DI9">IF(DI$3&gt;'QBO Summary'!$B$2,0,SUM(INDIRECT(XLOOKUP(DI$3,'TTM Dates'!$B:$B,'TTM Dates'!$E:$E)&amp;ROW($BK9)&amp;":"&amp;XLOOKUP(DI$3,'TTM Dates'!$B:$B,'TTM Dates'!$C:$C)&amp;ROW($BK9))))</f>
        <v>14593150</v>
      </c>
      <c r="DJ9" s="136">
        <f t="array" ref="DJ9">IF(DJ$3&gt;'QBO Summary'!$B$2,0,SUM(INDIRECT(XLOOKUP(DJ$3,'TTM Dates'!$B:$B,'TTM Dates'!$E:$E)&amp;ROW($BK9)&amp;":"&amp;XLOOKUP(DJ$3,'TTM Dates'!$B:$B,'TTM Dates'!$C:$C)&amp;ROW($BK9))))</f>
        <v>11250860</v>
      </c>
      <c r="DK9" s="136">
        <f t="array" ref="DK9">IF(DK$3&gt;'QBO Summary'!$B$2,0,SUM(INDIRECT(XLOOKUP(DK$3,'TTM Dates'!$B:$B,'TTM Dates'!$E:$E)&amp;ROW($BK9)&amp;":"&amp;XLOOKUP(DK$3,'TTM Dates'!$B:$B,'TTM Dates'!$C:$C)&amp;ROW($BK9))))</f>
        <v>10782988</v>
      </c>
      <c r="DL9" s="136">
        <f t="array" ref="DL9">IF(DL$3&gt;'QBO Summary'!$B$2,0,SUM(INDIRECT(XLOOKUP(DL$3,'TTM Dates'!$B:$B,'TTM Dates'!$E:$E)&amp;ROW($BK9)&amp;":"&amp;XLOOKUP(DL$3,'TTM Dates'!$B:$B,'TTM Dates'!$C:$C)&amp;ROW($BK9))))</f>
        <v>9936488</v>
      </c>
      <c r="DM9" s="136">
        <f t="array" ref="DM9">IF(DM$3&gt;'QBO Summary'!$B$2,0,SUM(INDIRECT(XLOOKUP(DM$3,'TTM Dates'!$B:$B,'TTM Dates'!$E:$E)&amp;ROW($BK9)&amp;":"&amp;XLOOKUP(DM$3,'TTM Dates'!$B:$B,'TTM Dates'!$C:$C)&amp;ROW($BK9))))</f>
        <v>10664558</v>
      </c>
      <c r="DN9" s="136">
        <f t="array" ref="DN9">IF(DN$3&gt;'QBO Summary'!$B$2,0,SUM(INDIRECT(XLOOKUP(DN$3,'TTM Dates'!$B:$B,'TTM Dates'!$E:$E)&amp;ROW($BK9)&amp;":"&amp;XLOOKUP(DN$3,'TTM Dates'!$B:$B,'TTM Dates'!$C:$C)&amp;ROW($BK9))))</f>
        <v>10270276</v>
      </c>
      <c r="DO9" s="136">
        <f t="array" ref="DO9">IF(DO$3&gt;'QBO Summary'!$B$2,0,SUM(INDIRECT(XLOOKUP(DO$3,'TTM Dates'!$B:$B,'TTM Dates'!$E:$E)&amp;ROW($BK9)&amp;":"&amp;XLOOKUP(DO$3,'TTM Dates'!$B:$B,'TTM Dates'!$C:$C)&amp;ROW($BK9))))</f>
        <v>9787201</v>
      </c>
      <c r="DP9" s="136">
        <f t="array" ref="DP9">IF(DP$3&gt;'QBO Summary'!$B$2,0,SUM(INDIRECT(XLOOKUP(DP$3,'TTM Dates'!$B:$B,'TTM Dates'!$E:$E)&amp;ROW($BK9)&amp;":"&amp;XLOOKUP(DP$3,'TTM Dates'!$B:$B,'TTM Dates'!$C:$C)&amp;ROW($BK9))))</f>
        <v>10202327</v>
      </c>
      <c r="DQ9" s="136">
        <f t="array" ref="DQ9">IF(DQ$3&gt;'QBO Summary'!$B$2,0,SUM(INDIRECT(XLOOKUP(DQ$3,'TTM Dates'!$B:$B,'TTM Dates'!$E:$E)&amp;ROW($BK9)&amp;":"&amp;XLOOKUP(DQ$3,'TTM Dates'!$B:$B,'TTM Dates'!$C:$C)&amp;ROW($BK9))))</f>
        <v>8135647</v>
      </c>
      <c r="DR9" s="136">
        <f t="array" ref="DR9">IF(DR$3&gt;'QBO Summary'!$B$2,0,SUM(INDIRECT(XLOOKUP(DR$3,'TTM Dates'!$B:$B,'TTM Dates'!$E:$E)&amp;ROW($BK9)&amp;":"&amp;XLOOKUP(DR$3,'TTM Dates'!$B:$B,'TTM Dates'!$C:$C)&amp;ROW($BK9))))</f>
        <v>8192647</v>
      </c>
      <c r="DS9" s="136">
        <f t="array" ref="DS9">IF(DS$3&gt;'QBO Summary'!$B$2,0,SUM(INDIRECT(XLOOKUP(DS$3,'TTM Dates'!$B:$B,'TTM Dates'!$E:$E)&amp;ROW($BK9)&amp;":"&amp;XLOOKUP(DS$3,'TTM Dates'!$B:$B,'TTM Dates'!$C:$C)&amp;ROW($BK9))))</f>
        <v>8182677</v>
      </c>
      <c r="DT9" s="136">
        <f t="array" ref="DT9">IF(DT$3&gt;'QBO Summary'!$B$2,0,SUM(INDIRECT(XLOOKUP(DT$3,'TTM Dates'!$B:$B,'TTM Dates'!$E:$E)&amp;ROW($BK9)&amp;":"&amp;XLOOKUP(DT$3,'TTM Dates'!$B:$B,'TTM Dates'!$C:$C)&amp;ROW($BK9))))</f>
        <v>11885337</v>
      </c>
      <c r="DU9" s="136">
        <f t="array" ref="DU9">IF(DU$3&gt;'QBO Summary'!$B$2,0,SUM(INDIRECT(XLOOKUP(DU$3,'TTM Dates'!$B:$B,'TTM Dates'!$E:$E)&amp;ROW($BK9)&amp;":"&amp;XLOOKUP(DU$3,'TTM Dates'!$B:$B,'TTM Dates'!$C:$C)&amp;ROW($BK9))))</f>
        <v>13031949</v>
      </c>
      <c r="DV9" s="136">
        <f t="array" ref="DV9">IF(DV$3&gt;'QBO Summary'!$B$2,0,SUM(INDIRECT(XLOOKUP(DV$3,'TTM Dates'!$B:$B,'TTM Dates'!$E:$E)&amp;ROW($BK9)&amp;":"&amp;XLOOKUP(DV$3,'TTM Dates'!$B:$B,'TTM Dates'!$C:$C)&amp;ROW($BK9))))</f>
        <v>15724533</v>
      </c>
      <c r="DW9" s="136">
        <f t="array" ref="DW9">IF(DW$3&gt;'QBO Summary'!$B$2,0,SUM(INDIRECT(XLOOKUP(DW$3,'TTM Dates'!$B:$B,'TTM Dates'!$E:$E)&amp;ROW($BK9)&amp;":"&amp;XLOOKUP(DW$3,'TTM Dates'!$B:$B,'TTM Dates'!$C:$C)&amp;ROW($BK9))))</f>
        <v>14882905</v>
      </c>
      <c r="DX9" s="136">
        <f t="array" ref="DX9">IF(DX$3&gt;'QBO Summary'!$B$2,0,SUM(INDIRECT(XLOOKUP(DX$3,'TTM Dates'!$B:$B,'TTM Dates'!$E:$E)&amp;ROW($BK9)&amp;":"&amp;XLOOKUP(DX$3,'TTM Dates'!$B:$B,'TTM Dates'!$C:$C)&amp;ROW($BK9))))</f>
        <v>14776105</v>
      </c>
      <c r="DY9" s="136">
        <f t="array" ref="DY9">IF(DY$3&gt;'QBO Summary'!$B$2,0,SUM(INDIRECT(XLOOKUP(DY$3,'TTM Dates'!$B:$B,'TTM Dates'!$E:$E)&amp;ROW($BK9)&amp;":"&amp;XLOOKUP(DY$3,'TTM Dates'!$B:$B,'TTM Dates'!$C:$C)&amp;ROW($BK9))))</f>
        <v>14493955</v>
      </c>
      <c r="DZ9" s="136">
        <f t="array" ref="DZ9">IF(DZ$3&gt;'QBO Summary'!$B$2,0,SUM(INDIRECT(XLOOKUP(DZ$3,'TTM Dates'!$B:$B,'TTM Dates'!$E:$E)&amp;ROW($BK9)&amp;":"&amp;XLOOKUP(DZ$3,'TTM Dates'!$B:$B,'TTM Dates'!$C:$C)&amp;ROW($BK9))))</f>
        <v>13564777</v>
      </c>
      <c r="EA9" s="136">
        <f t="array" ref="EA9">IF(EA$3&gt;'QBO Summary'!$B$2,0,SUM(INDIRECT(XLOOKUP(EA$3,'TTM Dates'!$B:$B,'TTM Dates'!$E:$E)&amp;ROW($BK9)&amp;":"&amp;XLOOKUP(EA$3,'TTM Dates'!$B:$B,'TTM Dates'!$C:$C)&amp;ROW($BK9))))</f>
        <v>13070452</v>
      </c>
      <c r="EB9" s="136">
        <f t="array" ref="EB9">IF(EB$3&gt;'QBO Summary'!$B$2,0,SUM(INDIRECT(XLOOKUP(EB$3,'TTM Dates'!$B:$B,'TTM Dates'!$E:$E)&amp;ROW($BK9)&amp;":"&amp;XLOOKUP(EB$3,'TTM Dates'!$B:$B,'TTM Dates'!$C:$C)&amp;ROW($BK9))))</f>
        <v>12195906</v>
      </c>
      <c r="EC9" s="136">
        <f t="array" ref="EC9">IF(EC$3&gt;'QBO Summary'!$B$2,0,SUM(INDIRECT(XLOOKUP(EC$3,'TTM Dates'!$B:$B,'TTM Dates'!$E:$E)&amp;ROW($BK9)&amp;":"&amp;XLOOKUP(EC$3,'TTM Dates'!$B:$B,'TTM Dates'!$C:$C)&amp;ROW($BK9))))</f>
        <v>10936306</v>
      </c>
    </row>
    <row r="10">
      <c r="B10" s="257" t="s">
        <v>193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136">
        <v>110631.36</v>
      </c>
      <c r="P10" s="137">
        <v>21240.0</v>
      </c>
      <c r="Q10" s="137">
        <v>936.0</v>
      </c>
      <c r="R10" s="137">
        <v>3000.0</v>
      </c>
      <c r="S10" s="137">
        <v>43200.0</v>
      </c>
      <c r="T10" s="137">
        <v>23483.0</v>
      </c>
      <c r="U10" s="137">
        <v>760.0</v>
      </c>
      <c r="V10" s="137">
        <v>0.0</v>
      </c>
      <c r="W10" s="137">
        <v>13500.0</v>
      </c>
      <c r="X10" s="137">
        <v>0.0</v>
      </c>
      <c r="Y10" s="137">
        <v>9538.2</v>
      </c>
      <c r="Z10" s="137">
        <v>14400.0</v>
      </c>
      <c r="AA10" s="137">
        <v>0.0</v>
      </c>
      <c r="AB10" s="137">
        <v>120240.0</v>
      </c>
      <c r="AC10" s="137">
        <v>0.0</v>
      </c>
      <c r="AD10" s="137">
        <v>9120.0</v>
      </c>
      <c r="AE10" s="137">
        <v>11375.0</v>
      </c>
      <c r="AF10" s="137">
        <v>19283.0</v>
      </c>
      <c r="AG10" s="137">
        <v>164022.0</v>
      </c>
      <c r="AH10" s="137">
        <v>7980.0</v>
      </c>
      <c r="AI10" s="137">
        <v>1310.4</v>
      </c>
      <c r="AJ10" s="137">
        <v>14208.0</v>
      </c>
      <c r="AK10" s="137">
        <v>104678.8</v>
      </c>
      <c r="AL10" s="137">
        <v>121851.36</v>
      </c>
      <c r="AM10" s="137">
        <v>0.0</v>
      </c>
      <c r="AN10" s="137">
        <v>252000.0</v>
      </c>
      <c r="AO10" s="137">
        <v>19040.0</v>
      </c>
      <c r="AP10" s="137">
        <v>1310.4</v>
      </c>
      <c r="AQ10" s="137">
        <v>22188.0</v>
      </c>
      <c r="AR10" s="137">
        <v>147554.4</v>
      </c>
      <c r="AS10" s="137">
        <v>108510.0</v>
      </c>
      <c r="AT10" s="137">
        <v>14208.0</v>
      </c>
      <c r="AU10" s="137">
        <v>4500.0</v>
      </c>
      <c r="AV10" s="137">
        <v>92818.0</v>
      </c>
      <c r="AW10" s="137">
        <v>56866.32</v>
      </c>
      <c r="AX10" s="137">
        <v>451898.0</v>
      </c>
      <c r="AY10" s="137">
        <v>0.0</v>
      </c>
      <c r="AZ10" s="137">
        <v>71840.0</v>
      </c>
      <c r="BA10" s="137">
        <v>86411.0</v>
      </c>
      <c r="BB10" s="281">
        <v>132770.0</v>
      </c>
      <c r="BC10" s="137"/>
      <c r="BD10" s="137">
        <v>73500.0</v>
      </c>
      <c r="BE10" s="202">
        <v>5860.0</v>
      </c>
      <c r="BF10" s="202">
        <v>47660.0</v>
      </c>
      <c r="BG10" s="49"/>
      <c r="BH10" s="49"/>
      <c r="BI10" s="49"/>
      <c r="BJ10" s="49"/>
      <c r="BK10" s="50"/>
      <c r="BL10" s="142">
        <f t="array" ref="BL10">SUM(INDIRECT(XLOOKUP('QBO Summary'!$B$2,'TTM Dates'!$B:$B,'TTM Dates'!$E:$E)&amp;ROW($BK10)&amp;":"&amp;XLOOKUP('QBO Summary'!$B$2,'TTM Dates'!$B:$B,'TTM Dates'!$C:$C)&amp;ROW($BK10)))</f>
        <v>0</v>
      </c>
      <c r="BM10" s="70"/>
      <c r="BN10" s="49"/>
      <c r="BO10" s="49"/>
      <c r="BP10" s="49"/>
      <c r="BQ10" s="49"/>
      <c r="BR10" s="60"/>
      <c r="BS10" s="49"/>
      <c r="BT10" s="49"/>
      <c r="BU10" s="49"/>
      <c r="BV10" s="49"/>
      <c r="BW10" s="49"/>
      <c r="BX10" s="60"/>
      <c r="BY10" s="49"/>
      <c r="BZ10" s="49"/>
      <c r="CA10" s="49"/>
      <c r="CB10" s="49"/>
      <c r="CC10" s="49"/>
      <c r="CD10" s="60"/>
      <c r="CE10" s="49"/>
      <c r="CF10" s="60"/>
      <c r="CH10" s="136">
        <f t="array" ref="CH10">IF(CH$3&gt;'QBO Summary'!$B$2,0,SUM(INDIRECT(XLOOKUP(CH$3,'TTM Dates'!$B:$B,'TTM Dates'!$E:$E)&amp;ROW($BK10)&amp;":"&amp;XLOOKUP(CH$3,'TTM Dates'!$B:$B,'TTM Dates'!$C:$C)&amp;ROW($BK10))))</f>
        <v>110631.36</v>
      </c>
      <c r="CI10" s="136">
        <f t="array" ref="CI10">IF(CI$3&gt;'QBO Summary'!$B$2,0,SUM(INDIRECT(XLOOKUP(CI$3,'TTM Dates'!$B:$B,'TTM Dates'!$E:$E)&amp;ROW($BK10)&amp;":"&amp;XLOOKUP(CI$3,'TTM Dates'!$B:$B,'TTM Dates'!$C:$C)&amp;ROW($BK10))))</f>
        <v>131871.36</v>
      </c>
      <c r="CJ10" s="136">
        <f t="array" ref="CJ10">IF(CJ$3&gt;'QBO Summary'!$B$2,0,SUM(INDIRECT(XLOOKUP(CJ$3,'TTM Dates'!$B:$B,'TTM Dates'!$E:$E)&amp;ROW($BK10)&amp;":"&amp;XLOOKUP(CJ$3,'TTM Dates'!$B:$B,'TTM Dates'!$C:$C)&amp;ROW($BK10))))</f>
        <v>132807.36</v>
      </c>
      <c r="CK10" s="136">
        <f t="array" ref="CK10">IF(CK$3&gt;'QBO Summary'!$B$2,0,SUM(INDIRECT(XLOOKUP(CK$3,'TTM Dates'!$B:$B,'TTM Dates'!$E:$E)&amp;ROW($BK10)&amp;":"&amp;XLOOKUP(CK$3,'TTM Dates'!$B:$B,'TTM Dates'!$C:$C)&amp;ROW($BK10))))</f>
        <v>135807.36</v>
      </c>
      <c r="CL10" s="136">
        <f t="array" ref="CL10">IF(CL$3&gt;'QBO Summary'!$B$2,0,SUM(INDIRECT(XLOOKUP(CL$3,'TTM Dates'!$B:$B,'TTM Dates'!$E:$E)&amp;ROW($BK10)&amp;":"&amp;XLOOKUP(CL$3,'TTM Dates'!$B:$B,'TTM Dates'!$C:$C)&amp;ROW($BK10))))</f>
        <v>179007.36</v>
      </c>
      <c r="CM10" s="136">
        <f t="array" ref="CM10">IF(CM$3&gt;'QBO Summary'!$B$2,0,SUM(INDIRECT(XLOOKUP(CM$3,'TTM Dates'!$B:$B,'TTM Dates'!$E:$E)&amp;ROW($BK10)&amp;":"&amp;XLOOKUP(CM$3,'TTM Dates'!$B:$B,'TTM Dates'!$C:$C)&amp;ROW($BK10))))</f>
        <v>202490.36</v>
      </c>
      <c r="CN10" s="136">
        <f t="array" ref="CN10">IF(CN$3&gt;'QBO Summary'!$B$2,0,SUM(INDIRECT(XLOOKUP(CN$3,'TTM Dates'!$B:$B,'TTM Dates'!$E:$E)&amp;ROW($BK10)&amp;":"&amp;XLOOKUP(CN$3,'TTM Dates'!$B:$B,'TTM Dates'!$C:$C)&amp;ROW($BK10))))</f>
        <v>203250.36</v>
      </c>
      <c r="CO10" s="136">
        <f t="array" ref="CO10">IF(CO$3&gt;'QBO Summary'!$B$2,0,SUM(INDIRECT(XLOOKUP(CO$3,'TTM Dates'!$B:$B,'TTM Dates'!$E:$E)&amp;ROW($BK10)&amp;":"&amp;XLOOKUP(CO$3,'TTM Dates'!$B:$B,'TTM Dates'!$C:$C)&amp;ROW($BK10))))</f>
        <v>203250.36</v>
      </c>
      <c r="CP10" s="136">
        <f t="array" ref="CP10">IF(CP$3&gt;'QBO Summary'!$B$2,0,SUM(INDIRECT(XLOOKUP(CP$3,'TTM Dates'!$B:$B,'TTM Dates'!$E:$E)&amp;ROW($BK10)&amp;":"&amp;XLOOKUP(CP$3,'TTM Dates'!$B:$B,'TTM Dates'!$C:$C)&amp;ROW($BK10))))</f>
        <v>216750.36</v>
      </c>
      <c r="CQ10" s="136">
        <f t="array" ref="CQ10">IF(CQ$3&gt;'QBO Summary'!$B$2,0,SUM(INDIRECT(XLOOKUP(CQ$3,'TTM Dates'!$B:$B,'TTM Dates'!$E:$E)&amp;ROW($BK10)&amp;":"&amp;XLOOKUP(CQ$3,'TTM Dates'!$B:$B,'TTM Dates'!$C:$C)&amp;ROW($BK10))))</f>
        <v>216750.36</v>
      </c>
      <c r="CR10" s="136">
        <f t="array" ref="CR10">IF(CR$3&gt;'QBO Summary'!$B$2,0,SUM(INDIRECT(XLOOKUP(CR$3,'TTM Dates'!$B:$B,'TTM Dates'!$E:$E)&amp;ROW($BK10)&amp;":"&amp;XLOOKUP(CR$3,'TTM Dates'!$B:$B,'TTM Dates'!$C:$C)&amp;ROW($BK10))))</f>
        <v>226288.56</v>
      </c>
      <c r="CS10" s="136">
        <f t="array" ref="CS10">IF(CS$3&gt;'QBO Summary'!$B$2,0,SUM(INDIRECT(XLOOKUP(CS$3,'TTM Dates'!$B:$B,'TTM Dates'!$E:$E)&amp;ROW($BK10)&amp;":"&amp;XLOOKUP(CS$3,'TTM Dates'!$B:$B,'TTM Dates'!$C:$C)&amp;ROW($BK10))))</f>
        <v>240688.56</v>
      </c>
      <c r="CT10" s="136">
        <f t="array" ref="CT10">IF(CT$3&gt;'QBO Summary'!$B$2,0,SUM(INDIRECT(XLOOKUP(CT$3,'TTM Dates'!$B:$B,'TTM Dates'!$E:$E)&amp;ROW($BK10)&amp;":"&amp;XLOOKUP(CT$3,'TTM Dates'!$B:$B,'TTM Dates'!$C:$C)&amp;ROW($BK10))))</f>
        <v>130057.2</v>
      </c>
      <c r="CU10" s="136">
        <f t="array" ref="CU10">IF(CU$3&gt;'QBO Summary'!$B$2,0,SUM(INDIRECT(XLOOKUP(CU$3,'TTM Dates'!$B:$B,'TTM Dates'!$E:$E)&amp;ROW($BK10)&amp;":"&amp;XLOOKUP(CU$3,'TTM Dates'!$B:$B,'TTM Dates'!$C:$C)&amp;ROW($BK10))))</f>
        <v>229057.2</v>
      </c>
      <c r="CV10" s="136">
        <f t="array" ref="CV10">IF(CV$3&gt;'QBO Summary'!$B$2,0,SUM(INDIRECT(XLOOKUP(CV$3,'TTM Dates'!$B:$B,'TTM Dates'!$E:$E)&amp;ROW($BK10)&amp;":"&amp;XLOOKUP(CV$3,'TTM Dates'!$B:$B,'TTM Dates'!$C:$C)&amp;ROW($BK10))))</f>
        <v>228121.2</v>
      </c>
      <c r="CW10" s="136">
        <f t="array" ref="CW10">IF(CW$3&gt;'QBO Summary'!$B$2,0,SUM(INDIRECT(XLOOKUP(CW$3,'TTM Dates'!$B:$B,'TTM Dates'!$E:$E)&amp;ROW($BK10)&amp;":"&amp;XLOOKUP(CW$3,'TTM Dates'!$B:$B,'TTM Dates'!$C:$C)&amp;ROW($BK10))))</f>
        <v>234241.2</v>
      </c>
      <c r="CX10" s="136">
        <f t="array" ref="CX10">IF(CX$3&gt;'QBO Summary'!$B$2,0,SUM(INDIRECT(XLOOKUP(CX$3,'TTM Dates'!$B:$B,'TTM Dates'!$E:$E)&amp;ROW($BK10)&amp;":"&amp;XLOOKUP(CX$3,'TTM Dates'!$B:$B,'TTM Dates'!$C:$C)&amp;ROW($BK10))))</f>
        <v>202416.2</v>
      </c>
      <c r="CY10" s="136">
        <f t="array" ref="CY10">IF(CY$3&gt;'QBO Summary'!$B$2,0,SUM(INDIRECT(XLOOKUP(CY$3,'TTM Dates'!$B:$B,'TTM Dates'!$E:$E)&amp;ROW($BK10)&amp;":"&amp;XLOOKUP(CY$3,'TTM Dates'!$B:$B,'TTM Dates'!$C:$C)&amp;ROW($BK10))))</f>
        <v>198216.2</v>
      </c>
      <c r="CZ10" s="136">
        <f t="array" ref="CZ10">IF(CZ$3&gt;'QBO Summary'!$B$2,0,SUM(INDIRECT(XLOOKUP(CZ$3,'TTM Dates'!$B:$B,'TTM Dates'!$E:$E)&amp;ROW($BK10)&amp;":"&amp;XLOOKUP(CZ$3,'TTM Dates'!$B:$B,'TTM Dates'!$C:$C)&amp;ROW($BK10))))</f>
        <v>361478.2</v>
      </c>
      <c r="DA10" s="136">
        <f t="array" ref="DA10">IF(DA$3&gt;'QBO Summary'!$B$2,0,SUM(INDIRECT(XLOOKUP(DA$3,'TTM Dates'!$B:$B,'TTM Dates'!$E:$E)&amp;ROW($BK10)&amp;":"&amp;XLOOKUP(DA$3,'TTM Dates'!$B:$B,'TTM Dates'!$C:$C)&amp;ROW($BK10))))</f>
        <v>369458.2</v>
      </c>
      <c r="DB10" s="136">
        <f t="array" ref="DB10">IF(DB$3&gt;'QBO Summary'!$B$2,0,SUM(INDIRECT(XLOOKUP(DB$3,'TTM Dates'!$B:$B,'TTM Dates'!$E:$E)&amp;ROW($BK10)&amp;":"&amp;XLOOKUP(DB$3,'TTM Dates'!$B:$B,'TTM Dates'!$C:$C)&amp;ROW($BK10))))</f>
        <v>357268.6</v>
      </c>
      <c r="DC10" s="136">
        <f t="array" ref="DC10">IF(DC$3&gt;'QBO Summary'!$B$2,0,SUM(INDIRECT(XLOOKUP(DC$3,'TTM Dates'!$B:$B,'TTM Dates'!$E:$E)&amp;ROW($BK10)&amp;":"&amp;XLOOKUP(DC$3,'TTM Dates'!$B:$B,'TTM Dates'!$C:$C)&amp;ROW($BK10))))</f>
        <v>371476.6</v>
      </c>
      <c r="DD10" s="136">
        <f t="array" ref="DD10">IF(DD$3&gt;'QBO Summary'!$B$2,0,SUM(INDIRECT(XLOOKUP(DD$3,'TTM Dates'!$B:$B,'TTM Dates'!$E:$E)&amp;ROW($BK10)&amp;":"&amp;XLOOKUP(DD$3,'TTM Dates'!$B:$B,'TTM Dates'!$C:$C)&amp;ROW($BK10))))</f>
        <v>466617.2</v>
      </c>
      <c r="DE10" s="136">
        <f t="array" ref="DE10">IF(DE$3&gt;'QBO Summary'!$B$2,0,SUM(INDIRECT(XLOOKUP(DE$3,'TTM Dates'!$B:$B,'TTM Dates'!$E:$E)&amp;ROW($BK10)&amp;":"&amp;XLOOKUP(DE$3,'TTM Dates'!$B:$B,'TTM Dates'!$C:$C)&amp;ROW($BK10))))</f>
        <v>574068.56</v>
      </c>
      <c r="DF10" s="136">
        <f t="array" ref="DF10">IF(DF$3&gt;'QBO Summary'!$B$2,0,SUM(INDIRECT(XLOOKUP(DF$3,'TTM Dates'!$B:$B,'TTM Dates'!$E:$E)&amp;ROW($BK10)&amp;":"&amp;XLOOKUP(DF$3,'TTM Dates'!$B:$B,'TTM Dates'!$C:$C)&amp;ROW($BK10))))</f>
        <v>574068.56</v>
      </c>
      <c r="DG10" s="136">
        <f t="array" ref="DG10">IF(DG$3&gt;'QBO Summary'!$B$2,0,SUM(INDIRECT(XLOOKUP(DG$3,'TTM Dates'!$B:$B,'TTM Dates'!$E:$E)&amp;ROW($BK10)&amp;":"&amp;XLOOKUP(DG$3,'TTM Dates'!$B:$B,'TTM Dates'!$C:$C)&amp;ROW($BK10))))</f>
        <v>705828.56</v>
      </c>
      <c r="DH10" s="136">
        <f t="array" ref="DH10">IF(DH$3&gt;'QBO Summary'!$B$2,0,SUM(INDIRECT(XLOOKUP(DH$3,'TTM Dates'!$B:$B,'TTM Dates'!$E:$E)&amp;ROW($BK10)&amp;":"&amp;XLOOKUP(DH$3,'TTM Dates'!$B:$B,'TTM Dates'!$C:$C)&amp;ROW($BK10))))</f>
        <v>724868.56</v>
      </c>
      <c r="DI10" s="136">
        <f t="array" ref="DI10">IF(DI$3&gt;'QBO Summary'!$B$2,0,SUM(INDIRECT(XLOOKUP(DI$3,'TTM Dates'!$B:$B,'TTM Dates'!$E:$E)&amp;ROW($BK10)&amp;":"&amp;XLOOKUP(DI$3,'TTM Dates'!$B:$B,'TTM Dates'!$C:$C)&amp;ROW($BK10))))</f>
        <v>717058.96</v>
      </c>
      <c r="DJ10" s="136">
        <f t="array" ref="DJ10">IF(DJ$3&gt;'QBO Summary'!$B$2,0,SUM(INDIRECT(XLOOKUP(DJ$3,'TTM Dates'!$B:$B,'TTM Dates'!$E:$E)&amp;ROW($BK10)&amp;":"&amp;XLOOKUP(DJ$3,'TTM Dates'!$B:$B,'TTM Dates'!$C:$C)&amp;ROW($BK10))))</f>
        <v>727871.96</v>
      </c>
      <c r="DK10" s="136">
        <f t="array" ref="DK10">IF(DK$3&gt;'QBO Summary'!$B$2,0,SUM(INDIRECT(XLOOKUP(DK$3,'TTM Dates'!$B:$B,'TTM Dates'!$E:$E)&amp;ROW($BK10)&amp;":"&amp;XLOOKUP(DK$3,'TTM Dates'!$B:$B,'TTM Dates'!$C:$C)&amp;ROW($BK10))))</f>
        <v>856143.36</v>
      </c>
      <c r="DL10" s="136">
        <f t="array" ref="DL10">IF(DL$3&gt;'QBO Summary'!$B$2,0,SUM(INDIRECT(XLOOKUP(DL$3,'TTM Dates'!$B:$B,'TTM Dates'!$E:$E)&amp;ROW($BK10)&amp;":"&amp;XLOOKUP(DL$3,'TTM Dates'!$B:$B,'TTM Dates'!$C:$C)&amp;ROW($BK10))))</f>
        <v>800631.36</v>
      </c>
      <c r="DM10" s="136">
        <f t="array" ref="DM10">IF(DM$3&gt;'QBO Summary'!$B$2,0,SUM(INDIRECT(XLOOKUP(DM$3,'TTM Dates'!$B:$B,'TTM Dates'!$E:$E)&amp;ROW($BK10)&amp;":"&amp;XLOOKUP(DM$3,'TTM Dates'!$B:$B,'TTM Dates'!$C:$C)&amp;ROW($BK10))))</f>
        <v>806859.36</v>
      </c>
      <c r="DN10" s="136">
        <f t="array" ref="DN10">IF(DN$3&gt;'QBO Summary'!$B$2,0,SUM(INDIRECT(XLOOKUP(DN$3,'TTM Dates'!$B:$B,'TTM Dates'!$E:$E)&amp;ROW($BK10)&amp;":"&amp;XLOOKUP(DN$3,'TTM Dates'!$B:$B,'TTM Dates'!$C:$C)&amp;ROW($BK10))))</f>
        <v>810048.96</v>
      </c>
      <c r="DO10" s="136">
        <f t="array" ref="DO10">IF(DO$3&gt;'QBO Summary'!$B$2,0,SUM(INDIRECT(XLOOKUP(DO$3,'TTM Dates'!$B:$B,'TTM Dates'!$E:$E)&amp;ROW($BK10)&amp;":"&amp;XLOOKUP(DO$3,'TTM Dates'!$B:$B,'TTM Dates'!$C:$C)&amp;ROW($BK10))))</f>
        <v>888658.96</v>
      </c>
      <c r="DP10" s="136">
        <f t="array" ref="DP10">IF(DP$3&gt;'QBO Summary'!$B$2,0,SUM(INDIRECT(XLOOKUP(DP$3,'TTM Dates'!$B:$B,'TTM Dates'!$E:$E)&amp;ROW($BK10)&amp;":"&amp;XLOOKUP(DP$3,'TTM Dates'!$B:$B,'TTM Dates'!$C:$C)&amp;ROW($BK10))))</f>
        <v>840846.48</v>
      </c>
      <c r="DQ10" s="136">
        <f t="array" ref="DQ10">IF(DQ$3&gt;'QBO Summary'!$B$2,0,SUM(INDIRECT(XLOOKUP(DQ$3,'TTM Dates'!$B:$B,'TTM Dates'!$E:$E)&amp;ROW($BK10)&amp;":"&amp;XLOOKUP(DQ$3,'TTM Dates'!$B:$B,'TTM Dates'!$C:$C)&amp;ROW($BK10))))</f>
        <v>1170893.12</v>
      </c>
      <c r="DR10" s="136">
        <f t="array" ref="DR10">IF(DR$3&gt;'QBO Summary'!$B$2,0,SUM(INDIRECT(XLOOKUP(DR$3,'TTM Dates'!$B:$B,'TTM Dates'!$E:$E)&amp;ROW($BK10)&amp;":"&amp;XLOOKUP(DR$3,'TTM Dates'!$B:$B,'TTM Dates'!$C:$C)&amp;ROW($BK10))))</f>
        <v>1170893.12</v>
      </c>
      <c r="DS10" s="136">
        <f t="array" ref="DS10">IF(DS$3&gt;'QBO Summary'!$B$2,0,SUM(INDIRECT(XLOOKUP(DS$3,'TTM Dates'!$B:$B,'TTM Dates'!$E:$E)&amp;ROW($BK10)&amp;":"&amp;XLOOKUP(DS$3,'TTM Dates'!$B:$B,'TTM Dates'!$C:$C)&amp;ROW($BK10))))</f>
        <v>990733.12</v>
      </c>
      <c r="DT10" s="136">
        <f t="array" ref="DT10">IF(DT$3&gt;'QBO Summary'!$B$2,0,SUM(INDIRECT(XLOOKUP(DT$3,'TTM Dates'!$B:$B,'TTM Dates'!$E:$E)&amp;ROW($BK10)&amp;":"&amp;XLOOKUP(DT$3,'TTM Dates'!$B:$B,'TTM Dates'!$C:$C)&amp;ROW($BK10))))</f>
        <v>1058104.12</v>
      </c>
      <c r="DU10" s="136">
        <f t="array" ref="DU10">IF(DU$3&gt;'QBO Summary'!$B$2,0,SUM(INDIRECT(XLOOKUP(DU$3,'TTM Dates'!$B:$B,'TTM Dates'!$E:$E)&amp;ROW($BK10)&amp;":"&amp;XLOOKUP(DU$3,'TTM Dates'!$B:$B,'TTM Dates'!$C:$C)&amp;ROW($BK10))))</f>
        <v>1189563.72</v>
      </c>
      <c r="DV10" s="136">
        <f t="array" ref="DV10">IF(DV$3&gt;'QBO Summary'!$B$2,0,SUM(INDIRECT(XLOOKUP(DV$3,'TTM Dates'!$B:$B,'TTM Dates'!$E:$E)&amp;ROW($BK10)&amp;":"&amp;XLOOKUP(DV$3,'TTM Dates'!$B:$B,'TTM Dates'!$C:$C)&amp;ROW($BK10))))</f>
        <v>1167375.72</v>
      </c>
      <c r="DW10" s="136">
        <f t="array" ref="DW10">IF(DW$3&gt;'QBO Summary'!$B$2,0,SUM(INDIRECT(XLOOKUP(DW$3,'TTM Dates'!$B:$B,'TTM Dates'!$E:$E)&amp;ROW($BK10)&amp;":"&amp;XLOOKUP(DW$3,'TTM Dates'!$B:$B,'TTM Dates'!$C:$C)&amp;ROW($BK10))))</f>
        <v>1093321.32</v>
      </c>
      <c r="DX10" s="136">
        <f t="array" ref="DX10">IF(DX$3&gt;'QBO Summary'!$B$2,0,SUM(INDIRECT(XLOOKUP(DX$3,'TTM Dates'!$B:$B,'TTM Dates'!$E:$E)&amp;ROW($BK10)&amp;":"&amp;XLOOKUP(DX$3,'TTM Dates'!$B:$B,'TTM Dates'!$C:$C)&amp;ROW($BK10))))</f>
        <v>990671.32</v>
      </c>
      <c r="DY10" s="136">
        <f t="array" ref="DY10">IF(DY$3&gt;'QBO Summary'!$B$2,0,SUM(INDIRECT(XLOOKUP(DY$3,'TTM Dates'!$B:$B,'TTM Dates'!$E:$E)&amp;ROW($BK10)&amp;":"&amp;XLOOKUP(DY$3,'TTM Dates'!$B:$B,'TTM Dates'!$C:$C)&amp;ROW($BK10))))</f>
        <v>1024123.32</v>
      </c>
      <c r="DZ10" s="136">
        <f t="array" ref="DZ10">IF(DZ$3&gt;'QBO Summary'!$B$2,0,SUM(INDIRECT(XLOOKUP(DZ$3,'TTM Dates'!$B:$B,'TTM Dates'!$E:$E)&amp;ROW($BK10)&amp;":"&amp;XLOOKUP(DZ$3,'TTM Dates'!$B:$B,'TTM Dates'!$C:$C)&amp;ROW($BK10))))</f>
        <v>1019623.32</v>
      </c>
      <c r="EA10" s="136">
        <f t="array" ref="EA10">IF(EA$3&gt;'QBO Summary'!$B$2,0,SUM(INDIRECT(XLOOKUP(EA$3,'TTM Dates'!$B:$B,'TTM Dates'!$E:$E)&amp;ROW($BK10)&amp;":"&amp;XLOOKUP(EA$3,'TTM Dates'!$B:$B,'TTM Dates'!$C:$C)&amp;ROW($BK10))))</f>
        <v>926805.32</v>
      </c>
      <c r="EB10" s="136">
        <f t="array" ref="EB10">IF(EB$3&gt;'QBO Summary'!$B$2,0,SUM(INDIRECT(XLOOKUP(EB$3,'TTM Dates'!$B:$B,'TTM Dates'!$E:$E)&amp;ROW($BK10)&amp;":"&amp;XLOOKUP(EB$3,'TTM Dates'!$B:$B,'TTM Dates'!$C:$C)&amp;ROW($BK10))))</f>
        <v>869939</v>
      </c>
      <c r="EC10" s="136">
        <f t="array" ref="EC10">IF(EC$3&gt;'QBO Summary'!$B$2,0,SUM(INDIRECT(XLOOKUP(EC$3,'TTM Dates'!$B:$B,'TTM Dates'!$E:$E)&amp;ROW($BK10)&amp;":"&amp;XLOOKUP(EC$3,'TTM Dates'!$B:$B,'TTM Dates'!$C:$C)&amp;ROW($BK10))))</f>
        <v>418041</v>
      </c>
    </row>
    <row r="11">
      <c r="B11" s="267" t="s">
        <v>216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202">
        <v>366816.0</v>
      </c>
      <c r="BG11" s="49"/>
      <c r="BH11" s="49"/>
      <c r="BI11" s="49"/>
      <c r="BJ11" s="49"/>
      <c r="BK11" s="50"/>
      <c r="BL11" s="60"/>
      <c r="BM11" s="49"/>
      <c r="BN11" s="49"/>
      <c r="BO11" s="49"/>
      <c r="BP11" s="49"/>
      <c r="BQ11" s="49"/>
      <c r="BR11" s="60"/>
      <c r="BS11" s="49"/>
      <c r="BT11" s="49"/>
      <c r="BU11" s="49"/>
      <c r="BV11" s="49"/>
      <c r="BW11" s="49"/>
      <c r="BX11" s="60"/>
      <c r="BY11" s="49"/>
      <c r="BZ11" s="49"/>
      <c r="CA11" s="49"/>
      <c r="CB11" s="49"/>
      <c r="CC11" s="49"/>
      <c r="CD11" s="60"/>
      <c r="CE11" s="49"/>
      <c r="CF11" s="60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</row>
    <row r="12">
      <c r="B12" s="53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50"/>
      <c r="BL12" s="60"/>
      <c r="BM12" s="49"/>
      <c r="BN12" s="49"/>
      <c r="BO12" s="49"/>
      <c r="BP12" s="49"/>
      <c r="BQ12" s="49"/>
      <c r="BR12" s="60"/>
      <c r="BS12" s="49"/>
      <c r="BT12" s="49"/>
      <c r="BU12" s="49">
        <f>BU13*1.25</f>
        <v>5617786.65</v>
      </c>
      <c r="BV12" s="49">
        <f>BV13*1.35</f>
        <v>7029169.146</v>
      </c>
      <c r="BW12" s="49">
        <f>BW13*1.25</f>
        <v>8645142.363</v>
      </c>
      <c r="BX12" s="60"/>
      <c r="BY12" s="49"/>
      <c r="BZ12" s="49"/>
      <c r="CA12" s="49"/>
      <c r="CB12" s="49"/>
      <c r="CC12" s="49"/>
      <c r="CD12" s="60"/>
      <c r="CE12" s="49"/>
      <c r="CF12" s="60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</row>
    <row r="13">
      <c r="B13" s="63" t="s">
        <v>101</v>
      </c>
      <c r="C13" s="64">
        <v>56041.38</v>
      </c>
      <c r="D13" s="64">
        <v>227996.0</v>
      </c>
      <c r="E13" s="64">
        <v>214966.0</v>
      </c>
      <c r="F13" s="64">
        <v>161125.0</v>
      </c>
      <c r="G13" s="64">
        <v>181193.0</v>
      </c>
      <c r="H13" s="64">
        <v>145339.99</v>
      </c>
      <c r="I13" s="64">
        <v>271695.0</v>
      </c>
      <c r="J13" s="64">
        <v>336060.0</v>
      </c>
      <c r="K13" s="64">
        <v>162930.04</v>
      </c>
      <c r="L13" s="64">
        <v>232449.04</v>
      </c>
      <c r="M13" s="64">
        <v>543826.12</v>
      </c>
      <c r="N13" s="64">
        <v>315707.8</v>
      </c>
      <c r="O13" s="64">
        <v>289275.68</v>
      </c>
      <c r="P13" s="64">
        <v>163101.62</v>
      </c>
      <c r="Q13" s="64">
        <v>739670.0</v>
      </c>
      <c r="R13" s="64">
        <v>468185.69</v>
      </c>
      <c r="S13" s="64">
        <v>401156.02</v>
      </c>
      <c r="T13" s="64">
        <v>268821.81</v>
      </c>
      <c r="U13" s="64">
        <v>548943.63</v>
      </c>
      <c r="V13" s="64">
        <v>507759.0</v>
      </c>
      <c r="W13" s="64">
        <v>919047.6</v>
      </c>
      <c r="X13" s="64">
        <v>1129362.64</v>
      </c>
      <c r="Y13" s="64">
        <v>1594835.28</v>
      </c>
      <c r="Z13" s="64">
        <v>1625275.75</v>
      </c>
      <c r="AA13" s="64">
        <v>1084010.42</v>
      </c>
      <c r="AB13" s="64">
        <v>1066033.61</v>
      </c>
      <c r="AC13" s="64">
        <v>994271.59</v>
      </c>
      <c r="AD13" s="64">
        <v>985636.02</v>
      </c>
      <c r="AE13" s="64">
        <v>1924801.8</v>
      </c>
      <c r="AF13" s="64">
        <v>1946034.11</v>
      </c>
      <c r="AG13" s="64">
        <v>1803897.19</v>
      </c>
      <c r="AH13" s="64">
        <v>1622101.34</v>
      </c>
      <c r="AI13" s="64">
        <v>1896536.52</v>
      </c>
      <c r="AJ13" s="270">
        <v>1943150.37</v>
      </c>
      <c r="AK13" s="64">
        <v>1758440.52</v>
      </c>
      <c r="AL13" s="64">
        <v>2627573.17</v>
      </c>
      <c r="AM13" s="270">
        <f t="shared" ref="AM13:BJ13" si="18">AM14+AM20</f>
        <v>1954210.2</v>
      </c>
      <c r="AN13" s="270">
        <f t="shared" si="18"/>
        <v>1936196.69</v>
      </c>
      <c r="AO13" s="270">
        <f t="shared" si="18"/>
        <v>1627608.9</v>
      </c>
      <c r="AP13" s="270">
        <f t="shared" si="18"/>
        <v>1380644.79</v>
      </c>
      <c r="AQ13" s="270">
        <f t="shared" si="18"/>
        <v>1024531.59</v>
      </c>
      <c r="AR13" s="270">
        <f t="shared" si="18"/>
        <v>2089052.94</v>
      </c>
      <c r="AS13" s="270">
        <f t="shared" si="18"/>
        <v>1094866.25</v>
      </c>
      <c r="AT13" s="270">
        <f t="shared" si="18"/>
        <v>2367443.73</v>
      </c>
      <c r="AU13" s="270">
        <f t="shared" si="18"/>
        <v>1744481.98</v>
      </c>
      <c r="AV13" s="270">
        <f t="shared" si="18"/>
        <v>1462805</v>
      </c>
      <c r="AW13" s="270">
        <f t="shared" si="18"/>
        <v>2745143.62</v>
      </c>
      <c r="AX13" s="270">
        <f t="shared" si="18"/>
        <v>2708165.27</v>
      </c>
      <c r="AY13" s="270">
        <f t="shared" si="18"/>
        <v>970065.99</v>
      </c>
      <c r="AZ13" s="270">
        <f t="shared" si="18"/>
        <v>962170.87</v>
      </c>
      <c r="BA13" s="270">
        <f t="shared" si="18"/>
        <v>3025187.86</v>
      </c>
      <c r="BB13" s="270">
        <f t="shared" si="18"/>
        <v>1283096.44</v>
      </c>
      <c r="BC13" s="270">
        <f t="shared" si="18"/>
        <v>1924845.16</v>
      </c>
      <c r="BD13" s="270">
        <f t="shared" si="18"/>
        <v>2345303.58</v>
      </c>
      <c r="BE13" s="270">
        <f t="shared" si="18"/>
        <v>1856523.75</v>
      </c>
      <c r="BF13" s="270">
        <f t="shared" si="18"/>
        <v>2335496.06</v>
      </c>
      <c r="BG13" s="270">
        <f t="shared" si="18"/>
        <v>0</v>
      </c>
      <c r="BH13" s="270">
        <f t="shared" si="18"/>
        <v>0</v>
      </c>
      <c r="BI13" s="270">
        <f t="shared" si="18"/>
        <v>0</v>
      </c>
      <c r="BJ13" s="270">
        <f t="shared" si="18"/>
        <v>0</v>
      </c>
      <c r="BK13" s="50"/>
      <c r="BL13" s="121">
        <f t="array" ref="BL13">SUM(INDIRECT(XLOOKUP('QBO Summary'!$B$2,'TTM Dates'!$B:$B,'TTM Dates'!$E:$E)&amp;ROW($BK13)&amp;":"&amp;XLOOKUP('QBO Summary'!$B$2,'TTM Dates'!$B:$B,'TTM Dates'!$C:$C)&amp;ROW($BK13)))</f>
        <v>72296314.23</v>
      </c>
      <c r="BM13" s="49"/>
      <c r="BN13" s="270">
        <f t="shared" ref="BN13:BN18" si="20">sum(AY13:BA13)</f>
        <v>4957424.72</v>
      </c>
      <c r="BO13" s="270">
        <f t="shared" ref="BO13:BO18" si="21">sum(BB13:BD13)</f>
        <v>5553245.18</v>
      </c>
      <c r="BP13" s="270">
        <f t="shared" ref="BP13:BP18" si="22">sum(BE13:BG13)</f>
        <v>4192019.81</v>
      </c>
      <c r="BQ13" s="270">
        <f t="shared" ref="BQ13:BQ18" si="23">sum(BH13:BJ13)</f>
        <v>0</v>
      </c>
      <c r="BR13" s="121">
        <f t="shared" ref="BR13:BR18" si="24">sum(AY13:BJ13)</f>
        <v>14702689.71</v>
      </c>
      <c r="BS13" s="49"/>
      <c r="BT13" s="270">
        <f t="shared" ref="BT13:BT18" si="25">sum(AM13:AO13)</f>
        <v>5518015.79</v>
      </c>
      <c r="BU13" s="270">
        <f t="shared" ref="BU13:BU18" si="26">sum(AP13:AR13)</f>
        <v>4494229.32</v>
      </c>
      <c r="BV13" s="270">
        <f t="shared" ref="BV13:BV18" si="27">sum(AS13:AU13)</f>
        <v>5206791.96</v>
      </c>
      <c r="BW13" s="270">
        <f t="shared" ref="BW13:BW18" si="28">sum(AV13:AX13)</f>
        <v>6916113.89</v>
      </c>
      <c r="BX13" s="121">
        <f t="shared" ref="BX13:BX18" si="29">sum(AM13:AX13)</f>
        <v>22135150.96</v>
      </c>
      <c r="BY13" s="57"/>
      <c r="BZ13" s="270">
        <f>sum(AA13:AC13)</f>
        <v>3144315.62</v>
      </c>
      <c r="CA13" s="270">
        <f>sum(AD13:AF13)</f>
        <v>4856471.93</v>
      </c>
      <c r="CB13" s="270">
        <f>sum(AG13:AI13)</f>
        <v>5322535.05</v>
      </c>
      <c r="CC13" s="270">
        <f>sum(AJ13:AL13)</f>
        <v>6329164.06</v>
      </c>
      <c r="CD13" s="121">
        <f>sum(AA13:AL13)</f>
        <v>19652486.66</v>
      </c>
      <c r="CE13" s="57"/>
      <c r="CF13" s="121">
        <f>SUM(O13:Z13)</f>
        <v>8655434.72</v>
      </c>
      <c r="CG13" s="44"/>
      <c r="CH13" s="64">
        <f t="array" ref="CH13">IF(CH$3&gt;'QBO Summary'!$B$2,0,SUM(INDIRECT(XLOOKUP(CH$3,'TTM Dates'!$B:$B,'TTM Dates'!$E:$E)&amp;ROW($BK13)&amp;":"&amp;XLOOKUP(CH$3,'TTM Dates'!$B:$B,'TTM Dates'!$C:$C)&amp;ROW($BK13))))</f>
        <v>3082563.67</v>
      </c>
      <c r="CI13" s="64">
        <f t="array" ref="CI13">IF(CI$3&gt;'QBO Summary'!$B$2,0,SUM(INDIRECT(XLOOKUP(CI$3,'TTM Dates'!$B:$B,'TTM Dates'!$E:$E)&amp;ROW($BK13)&amp;":"&amp;XLOOKUP(CI$3,'TTM Dates'!$B:$B,'TTM Dates'!$C:$C)&amp;ROW($BK13))))</f>
        <v>3017669.29</v>
      </c>
      <c r="CJ13" s="64">
        <f t="array" ref="CJ13">IF(CJ$3&gt;'QBO Summary'!$B$2,0,SUM(INDIRECT(XLOOKUP(CJ$3,'TTM Dates'!$B:$B,'TTM Dates'!$E:$E)&amp;ROW($BK13)&amp;":"&amp;XLOOKUP(CJ$3,'TTM Dates'!$B:$B,'TTM Dates'!$C:$C)&amp;ROW($BK13))))</f>
        <v>3542373.29</v>
      </c>
      <c r="CK13" s="64">
        <f t="array" ref="CK13">IF(CK$3&gt;'QBO Summary'!$B$2,0,SUM(INDIRECT(XLOOKUP(CK$3,'TTM Dates'!$B:$B,'TTM Dates'!$E:$E)&amp;ROW($BK13)&amp;":"&amp;XLOOKUP(CK$3,'TTM Dates'!$B:$B,'TTM Dates'!$C:$C)&amp;ROW($BK13))))</f>
        <v>3849433.98</v>
      </c>
      <c r="CL13" s="64">
        <f t="array" ref="CL13">IF(CL$3&gt;'QBO Summary'!$B$2,0,SUM(INDIRECT(XLOOKUP(CL$3,'TTM Dates'!$B:$B,'TTM Dates'!$E:$E)&amp;ROW($BK13)&amp;":"&amp;XLOOKUP(CL$3,'TTM Dates'!$B:$B,'TTM Dates'!$C:$C)&amp;ROW($BK13))))</f>
        <v>4069397</v>
      </c>
      <c r="CM13" s="64">
        <f t="array" ref="CM13">IF(CM$3&gt;'QBO Summary'!$B$2,0,SUM(INDIRECT(XLOOKUP(CM$3,'TTM Dates'!$B:$B,'TTM Dates'!$E:$E)&amp;ROW($BK13)&amp;":"&amp;XLOOKUP(CM$3,'TTM Dates'!$B:$B,'TTM Dates'!$C:$C)&amp;ROW($BK13))))</f>
        <v>4192878.82</v>
      </c>
      <c r="CN13" s="64">
        <f t="array" ref="CN13">IF(CN$3&gt;'QBO Summary'!$B$2,0,SUM(INDIRECT(XLOOKUP(CN$3,'TTM Dates'!$B:$B,'TTM Dates'!$E:$E)&amp;ROW($BK13)&amp;":"&amp;XLOOKUP(CN$3,'TTM Dates'!$B:$B,'TTM Dates'!$C:$C)&amp;ROW($BK13))))</f>
        <v>4470127.45</v>
      </c>
      <c r="CO13" s="64">
        <f t="array" ref="CO13">IF(CO$3&gt;'QBO Summary'!$B$2,0,SUM(INDIRECT(XLOOKUP(CO$3,'TTM Dates'!$B:$B,'TTM Dates'!$E:$E)&amp;ROW($BK13)&amp;":"&amp;XLOOKUP(CO$3,'TTM Dates'!$B:$B,'TTM Dates'!$C:$C)&amp;ROW($BK13))))</f>
        <v>4641826.45</v>
      </c>
      <c r="CP13" s="64">
        <f t="array" ref="CP13">IF(CP$3&gt;'QBO Summary'!$B$2,0,SUM(INDIRECT(XLOOKUP(CP$3,'TTM Dates'!$B:$B,'TTM Dates'!$E:$E)&amp;ROW($BK13)&amp;":"&amp;XLOOKUP(CP$3,'TTM Dates'!$B:$B,'TTM Dates'!$C:$C)&amp;ROW($BK13))))</f>
        <v>5397944.01</v>
      </c>
      <c r="CQ13" s="64">
        <f t="array" ref="CQ13">IF(CQ$3&gt;'QBO Summary'!$B$2,0,SUM(INDIRECT(XLOOKUP(CQ$3,'TTM Dates'!$B:$B,'TTM Dates'!$E:$E)&amp;ROW($BK13)&amp;":"&amp;XLOOKUP(CQ$3,'TTM Dates'!$B:$B,'TTM Dates'!$C:$C)&amp;ROW($BK13))))</f>
        <v>6294857.61</v>
      </c>
      <c r="CR13" s="64">
        <f t="array" ref="CR13">IF(CR$3&gt;'QBO Summary'!$B$2,0,SUM(INDIRECT(XLOOKUP(CR$3,'TTM Dates'!$B:$B,'TTM Dates'!$E:$E)&amp;ROW($BK13)&amp;":"&amp;XLOOKUP(CR$3,'TTM Dates'!$B:$B,'TTM Dates'!$C:$C)&amp;ROW($BK13))))</f>
        <v>7345866.77</v>
      </c>
      <c r="CS13" s="64">
        <f t="array" ref="CS13">IF(CS$3&gt;'QBO Summary'!$B$2,0,SUM(INDIRECT(XLOOKUP(CS$3,'TTM Dates'!$B:$B,'TTM Dates'!$E:$E)&amp;ROW($BK13)&amp;":"&amp;XLOOKUP(CS$3,'TTM Dates'!$B:$B,'TTM Dates'!$C:$C)&amp;ROW($BK13))))</f>
        <v>8655434.72</v>
      </c>
      <c r="CT13" s="64">
        <f t="array" ref="CT13">IF(CT$3&gt;'QBO Summary'!$B$2,0,SUM(INDIRECT(XLOOKUP(CT$3,'TTM Dates'!$B:$B,'TTM Dates'!$E:$E)&amp;ROW($BK13)&amp;":"&amp;XLOOKUP(CT$3,'TTM Dates'!$B:$B,'TTM Dates'!$C:$C)&amp;ROW($BK13))))</f>
        <v>9450169.46</v>
      </c>
      <c r="CU13" s="64">
        <f t="array" ref="CU13">IF(CU$3&gt;'QBO Summary'!$B$2,0,SUM(INDIRECT(XLOOKUP(CU$3,'TTM Dates'!$B:$B,'TTM Dates'!$E:$E)&amp;ROW($BK13)&amp;":"&amp;XLOOKUP(CU$3,'TTM Dates'!$B:$B,'TTM Dates'!$C:$C)&amp;ROW($BK13))))</f>
        <v>10353101.45</v>
      </c>
      <c r="CV13" s="64">
        <f t="array" ref="CV13">IF(CV$3&gt;'QBO Summary'!$B$2,0,SUM(INDIRECT(XLOOKUP(CV$3,'TTM Dates'!$B:$B,'TTM Dates'!$E:$E)&amp;ROW($BK13)&amp;":"&amp;XLOOKUP(CV$3,'TTM Dates'!$B:$B,'TTM Dates'!$C:$C)&amp;ROW($BK13))))</f>
        <v>10607703.04</v>
      </c>
      <c r="CW13" s="64">
        <f t="array" ref="CW13">IF(CW$3&gt;'QBO Summary'!$B$2,0,SUM(INDIRECT(XLOOKUP(CW$3,'TTM Dates'!$B:$B,'TTM Dates'!$E:$E)&amp;ROW($BK13)&amp;":"&amp;XLOOKUP(CW$3,'TTM Dates'!$B:$B,'TTM Dates'!$C:$C)&amp;ROW($BK13))))</f>
        <v>11125153.37</v>
      </c>
      <c r="CX13" s="64">
        <f t="array" ref="CX13">IF(CX$3&gt;'QBO Summary'!$B$2,0,SUM(INDIRECT(XLOOKUP(CX$3,'TTM Dates'!$B:$B,'TTM Dates'!$E:$E)&amp;ROW($BK13)&amp;":"&amp;XLOOKUP(CX$3,'TTM Dates'!$B:$B,'TTM Dates'!$C:$C)&amp;ROW($BK13))))</f>
        <v>12648799.15</v>
      </c>
      <c r="CY13" s="64">
        <f t="array" ref="CY13">IF(CY$3&gt;'QBO Summary'!$B$2,0,SUM(INDIRECT(XLOOKUP(CY$3,'TTM Dates'!$B:$B,'TTM Dates'!$E:$E)&amp;ROW($BK13)&amp;":"&amp;XLOOKUP(CY$3,'TTM Dates'!$B:$B,'TTM Dates'!$C:$C)&amp;ROW($BK13))))</f>
        <v>14326011.45</v>
      </c>
      <c r="CZ13" s="64">
        <f t="array" ref="CZ13">IF(CZ$3&gt;'QBO Summary'!$B$2,0,SUM(INDIRECT(XLOOKUP(CZ$3,'TTM Dates'!$B:$B,'TTM Dates'!$E:$E)&amp;ROW($BK13)&amp;":"&amp;XLOOKUP(CZ$3,'TTM Dates'!$B:$B,'TTM Dates'!$C:$C)&amp;ROW($BK13))))</f>
        <v>15580965.01</v>
      </c>
      <c r="DA13" s="64">
        <f t="array" ref="DA13">IF(DA$3&gt;'QBO Summary'!$B$2,0,SUM(INDIRECT(XLOOKUP(DA$3,'TTM Dates'!$B:$B,'TTM Dates'!$E:$E)&amp;ROW($BK13)&amp;":"&amp;XLOOKUP(DA$3,'TTM Dates'!$B:$B,'TTM Dates'!$C:$C)&amp;ROW($BK13))))</f>
        <v>16695307.35</v>
      </c>
      <c r="DB13" s="64">
        <f t="array" ref="DB13">IF(DB$3&gt;'QBO Summary'!$B$2,0,SUM(INDIRECT(XLOOKUP(DB$3,'TTM Dates'!$B:$B,'TTM Dates'!$E:$E)&amp;ROW($BK13)&amp;":"&amp;XLOOKUP(DB$3,'TTM Dates'!$B:$B,'TTM Dates'!$C:$C)&amp;ROW($BK13))))</f>
        <v>17672796.27</v>
      </c>
      <c r="DC13" s="64">
        <f t="array" ref="DC13">IF(DC$3&gt;'QBO Summary'!$B$2,0,SUM(INDIRECT(XLOOKUP(DC$3,'TTM Dates'!$B:$B,'TTM Dates'!$E:$E)&amp;ROW($BK13)&amp;":"&amp;XLOOKUP(DC$3,'TTM Dates'!$B:$B,'TTM Dates'!$C:$C)&amp;ROW($BK13))))</f>
        <v>18486584</v>
      </c>
      <c r="DD13" s="64">
        <f t="array" ref="DD13">IF(DD$3&gt;'QBO Summary'!$B$2,0,SUM(INDIRECT(XLOOKUP(DD$3,'TTM Dates'!$B:$B,'TTM Dates'!$E:$E)&amp;ROW($BK13)&amp;":"&amp;XLOOKUP(DD$3,'TTM Dates'!$B:$B,'TTM Dates'!$C:$C)&amp;ROW($BK13))))</f>
        <v>18650189.24</v>
      </c>
      <c r="DE13" s="64">
        <f t="array" ref="DE13">IF(DE$3&gt;'QBO Summary'!$B$2,0,SUM(INDIRECT(XLOOKUP(DE$3,'TTM Dates'!$B:$B,'TTM Dates'!$E:$E)&amp;ROW($BK13)&amp;":"&amp;XLOOKUP(DE$3,'TTM Dates'!$B:$B,'TTM Dates'!$C:$C)&amp;ROW($BK13))))</f>
        <v>19652486.66</v>
      </c>
      <c r="DF13" s="64">
        <f t="array" ref="DF13">IF(DF$3&gt;'QBO Summary'!$B$2,0,SUM(INDIRECT(XLOOKUP(DF$3,'TTM Dates'!$B:$B,'TTM Dates'!$E:$E)&amp;ROW($BK13)&amp;":"&amp;XLOOKUP(DF$3,'TTM Dates'!$B:$B,'TTM Dates'!$C:$C)&amp;ROW($BK13))))</f>
        <v>20522686.44</v>
      </c>
      <c r="DG13" s="64">
        <f t="array" ref="DG13">IF(DG$3&gt;'QBO Summary'!$B$2,0,SUM(INDIRECT(XLOOKUP(DG$3,'TTM Dates'!$B:$B,'TTM Dates'!$E:$E)&amp;ROW($BK13)&amp;":"&amp;XLOOKUP(DG$3,'TTM Dates'!$B:$B,'TTM Dates'!$C:$C)&amp;ROW($BK13))))</f>
        <v>21392849.52</v>
      </c>
      <c r="DH13" s="64">
        <f t="array" ref="DH13">IF(DH$3&gt;'QBO Summary'!$B$2,0,SUM(INDIRECT(XLOOKUP(DH$3,'TTM Dates'!$B:$B,'TTM Dates'!$E:$E)&amp;ROW($BK13)&amp;":"&amp;XLOOKUP(DH$3,'TTM Dates'!$B:$B,'TTM Dates'!$C:$C)&amp;ROW($BK13))))</f>
        <v>22026186.83</v>
      </c>
      <c r="DI13" s="64">
        <f t="array" ref="DI13">IF(DI$3&gt;'QBO Summary'!$B$2,0,SUM(INDIRECT(XLOOKUP(DI$3,'TTM Dates'!$B:$B,'TTM Dates'!$E:$E)&amp;ROW($BK13)&amp;":"&amp;XLOOKUP(DI$3,'TTM Dates'!$B:$B,'TTM Dates'!$C:$C)&amp;ROW($BK13))))</f>
        <v>22421195.6</v>
      </c>
      <c r="DJ13" s="64">
        <f t="array" ref="DJ13">IF(DJ$3&gt;'QBO Summary'!$B$2,0,SUM(INDIRECT(XLOOKUP(DJ$3,'TTM Dates'!$B:$B,'TTM Dates'!$E:$E)&amp;ROW($BK13)&amp;":"&amp;XLOOKUP(DJ$3,'TTM Dates'!$B:$B,'TTM Dates'!$C:$C)&amp;ROW($BK13))))</f>
        <v>21520925.39</v>
      </c>
      <c r="DK13" s="64">
        <f t="array" ref="DK13">IF(DK$3&gt;'QBO Summary'!$B$2,0,SUM(INDIRECT(XLOOKUP(DK$3,'TTM Dates'!$B:$B,'TTM Dates'!$E:$E)&amp;ROW($BK13)&amp;":"&amp;XLOOKUP(DK$3,'TTM Dates'!$B:$B,'TTM Dates'!$C:$C)&amp;ROW($BK13))))</f>
        <v>21663944.22</v>
      </c>
      <c r="DL13" s="64">
        <f t="array" ref="DL13">IF(DL$3&gt;'QBO Summary'!$B$2,0,SUM(INDIRECT(XLOOKUP(DL$3,'TTM Dates'!$B:$B,'TTM Dates'!$E:$E)&amp;ROW($BK13)&amp;":"&amp;XLOOKUP(DL$3,'TTM Dates'!$B:$B,'TTM Dates'!$C:$C)&amp;ROW($BK13))))</f>
        <v>20954913.28</v>
      </c>
      <c r="DM13" s="64">
        <f t="array" ref="DM13">IF(DM$3&gt;'QBO Summary'!$B$2,0,SUM(INDIRECT(XLOOKUP(DM$3,'TTM Dates'!$B:$B,'TTM Dates'!$E:$E)&amp;ROW($BK13)&amp;":"&amp;XLOOKUP(DM$3,'TTM Dates'!$B:$B,'TTM Dates'!$C:$C)&amp;ROW($BK13))))</f>
        <v>21700255.67</v>
      </c>
      <c r="DN13" s="64">
        <f t="array" ref="DN13">IF(DN$3&gt;'QBO Summary'!$B$2,0,SUM(INDIRECT(XLOOKUP(DN$3,'TTM Dates'!$B:$B,'TTM Dates'!$E:$E)&amp;ROW($BK13)&amp;":"&amp;XLOOKUP(DN$3,'TTM Dates'!$B:$B,'TTM Dates'!$C:$C)&amp;ROW($BK13))))</f>
        <v>21548201.13</v>
      </c>
      <c r="DO13" s="64">
        <f t="array" ref="DO13">IF(DO$3&gt;'QBO Summary'!$B$2,0,SUM(INDIRECT(XLOOKUP(DO$3,'TTM Dates'!$B:$B,'TTM Dates'!$E:$E)&amp;ROW($BK13)&amp;":"&amp;XLOOKUP(DO$3,'TTM Dates'!$B:$B,'TTM Dates'!$C:$C)&amp;ROW($BK13))))</f>
        <v>21067855.76</v>
      </c>
      <c r="DP13" s="64">
        <f t="array" ref="DP13">IF(DP$3&gt;'QBO Summary'!$B$2,0,SUM(INDIRECT(XLOOKUP(DP$3,'TTM Dates'!$B:$B,'TTM Dates'!$E:$E)&amp;ROW($BK13)&amp;":"&amp;XLOOKUP(DP$3,'TTM Dates'!$B:$B,'TTM Dates'!$C:$C)&amp;ROW($BK13))))</f>
        <v>22054558.86</v>
      </c>
      <c r="DQ13" s="64">
        <f t="array" ref="DQ13">IF(DQ$3&gt;'QBO Summary'!$B$2,0,SUM(INDIRECT(XLOOKUP(DQ$3,'TTM Dates'!$B:$B,'TTM Dates'!$E:$E)&amp;ROW($BK13)&amp;":"&amp;XLOOKUP(DQ$3,'TTM Dates'!$B:$B,'TTM Dates'!$C:$C)&amp;ROW($BK13))))</f>
        <v>22135150.96</v>
      </c>
      <c r="DR13" s="64">
        <f t="array" ref="DR13">IF(DR$3&gt;'QBO Summary'!$B$2,0,SUM(INDIRECT(XLOOKUP(DR$3,'TTM Dates'!$B:$B,'TTM Dates'!$E:$E)&amp;ROW($BK13)&amp;":"&amp;XLOOKUP(DR$3,'TTM Dates'!$B:$B,'TTM Dates'!$C:$C)&amp;ROW($BK13))))</f>
        <v>21151006.75</v>
      </c>
      <c r="DS13" s="64">
        <f t="array" ref="DS13">IF(DS$3&gt;'QBO Summary'!$B$2,0,SUM(INDIRECT(XLOOKUP(DS$3,'TTM Dates'!$B:$B,'TTM Dates'!$E:$E)&amp;ROW($BK13)&amp;":"&amp;XLOOKUP(DS$3,'TTM Dates'!$B:$B,'TTM Dates'!$C:$C)&amp;ROW($BK13))))</f>
        <v>20176980.93</v>
      </c>
      <c r="DT13" s="64">
        <f t="array" ref="DT13">IF(DT$3&gt;'QBO Summary'!$B$2,0,SUM(INDIRECT(XLOOKUP(DT$3,'TTM Dates'!$B:$B,'TTM Dates'!$E:$E)&amp;ROW($BK13)&amp;":"&amp;XLOOKUP(DT$3,'TTM Dates'!$B:$B,'TTM Dates'!$C:$C)&amp;ROW($BK13))))</f>
        <v>21574559.89</v>
      </c>
      <c r="DU13" s="64">
        <f t="array" ref="DU13">IF(DU$3&gt;'QBO Summary'!$B$2,0,SUM(INDIRECT(XLOOKUP(DU$3,'TTM Dates'!$B:$B,'TTM Dates'!$E:$E)&amp;ROW($BK13)&amp;":"&amp;XLOOKUP(DU$3,'TTM Dates'!$B:$B,'TTM Dates'!$C:$C)&amp;ROW($BK13))))</f>
        <v>21477011.54</v>
      </c>
      <c r="DV13" s="64">
        <f t="array" ref="DV13">IF(DV$3&gt;'QBO Summary'!$B$2,0,SUM(INDIRECT(XLOOKUP(DV$3,'TTM Dates'!$B:$B,'TTM Dates'!$E:$E)&amp;ROW($BK13)&amp;":"&amp;XLOOKUP(DV$3,'TTM Dates'!$B:$B,'TTM Dates'!$C:$C)&amp;ROW($BK13))))</f>
        <v>22377325.11</v>
      </c>
      <c r="DW13" s="64">
        <f t="array" ref="DW13">IF(DW$3&gt;'QBO Summary'!$B$2,0,SUM(INDIRECT(XLOOKUP(DW$3,'TTM Dates'!$B:$B,'TTM Dates'!$E:$E)&amp;ROW($BK13)&amp;":"&amp;XLOOKUP(DW$3,'TTM Dates'!$B:$B,'TTM Dates'!$C:$C)&amp;ROW($BK13))))</f>
        <v>22633575.75</v>
      </c>
      <c r="DX13" s="64">
        <f t="array" ref="DX13">IF(DX$3&gt;'QBO Summary'!$B$2,0,SUM(INDIRECT(XLOOKUP(DX$3,'TTM Dates'!$B:$B,'TTM Dates'!$E:$E)&amp;ROW($BK13)&amp;":"&amp;XLOOKUP(DX$3,'TTM Dates'!$B:$B,'TTM Dates'!$C:$C)&amp;ROW($BK13))))</f>
        <v>23395233.25</v>
      </c>
      <c r="DY13" s="64">
        <f t="array" ref="DY13">IF(DY$3&gt;'QBO Summary'!$B$2,0,SUM(INDIRECT(XLOOKUP(DY$3,'TTM Dates'!$B:$B,'TTM Dates'!$E:$E)&amp;ROW($BK13)&amp;":"&amp;XLOOKUP(DY$3,'TTM Dates'!$B:$B,'TTM Dates'!$C:$C)&amp;ROW($BK13))))</f>
        <v>23363285.58</v>
      </c>
      <c r="DZ13" s="64">
        <f t="array" ref="DZ13">IF(DZ$3&gt;'QBO Summary'!$B$2,0,SUM(INDIRECT(XLOOKUP(DZ$3,'TTM Dates'!$B:$B,'TTM Dates'!$E:$E)&amp;ROW($BK13)&amp;":"&amp;XLOOKUP(DZ$3,'TTM Dates'!$B:$B,'TTM Dates'!$C:$C)&amp;ROW($BK13))))</f>
        <v>21618803.6</v>
      </c>
      <c r="EA13" s="64">
        <f t="array" ref="EA13">IF(EA$3&gt;'QBO Summary'!$B$2,0,SUM(INDIRECT(XLOOKUP(EA$3,'TTM Dates'!$B:$B,'TTM Dates'!$E:$E)&amp;ROW($BK13)&amp;":"&amp;XLOOKUP(EA$3,'TTM Dates'!$B:$B,'TTM Dates'!$C:$C)&amp;ROW($BK13))))</f>
        <v>20155998.6</v>
      </c>
      <c r="EB13" s="64">
        <f t="array" ref="EB13">IF(EB$3&gt;'QBO Summary'!$B$2,0,SUM(INDIRECT(XLOOKUP(EB$3,'TTM Dates'!$B:$B,'TTM Dates'!$E:$E)&amp;ROW($BK13)&amp;":"&amp;XLOOKUP(EB$3,'TTM Dates'!$B:$B,'TTM Dates'!$C:$C)&amp;ROW($BK13))))</f>
        <v>17410854.98</v>
      </c>
      <c r="EC13" s="64">
        <f t="array" ref="EC13">IF(EC$3&gt;'QBO Summary'!$B$2,0,SUM(INDIRECT(XLOOKUP(EC$3,'TTM Dates'!$B:$B,'TTM Dates'!$E:$E)&amp;ROW($BK13)&amp;":"&amp;XLOOKUP(EC$3,'TTM Dates'!$B:$B,'TTM Dates'!$C:$C)&amp;ROW($BK13))))</f>
        <v>14702689.71</v>
      </c>
    </row>
    <row r="14">
      <c r="B14" s="280" t="s">
        <v>89</v>
      </c>
      <c r="C14" s="108">
        <f t="shared" ref="C14:BJ14" si="19">SUM(C15:C19)</f>
        <v>0</v>
      </c>
      <c r="D14" s="108">
        <f t="shared" si="19"/>
        <v>133940</v>
      </c>
      <c r="E14" s="108">
        <f t="shared" si="19"/>
        <v>9600</v>
      </c>
      <c r="F14" s="108">
        <f t="shared" si="19"/>
        <v>109300</v>
      </c>
      <c r="G14" s="108">
        <f t="shared" si="19"/>
        <v>500</v>
      </c>
      <c r="H14" s="108">
        <f t="shared" si="19"/>
        <v>24500</v>
      </c>
      <c r="I14" s="108">
        <f t="shared" si="19"/>
        <v>500</v>
      </c>
      <c r="J14" s="108">
        <f t="shared" si="19"/>
        <v>170990</v>
      </c>
      <c r="K14" s="108">
        <f t="shared" si="19"/>
        <v>500</v>
      </c>
      <c r="L14" s="108">
        <f t="shared" si="19"/>
        <v>52364.04</v>
      </c>
      <c r="M14" s="108">
        <f t="shared" si="19"/>
        <v>164342.12</v>
      </c>
      <c r="N14" s="108">
        <f t="shared" si="19"/>
        <v>5980.8</v>
      </c>
      <c r="O14" s="108">
        <f t="shared" si="19"/>
        <v>67715.68</v>
      </c>
      <c r="P14" s="108">
        <f t="shared" si="19"/>
        <v>45101.62</v>
      </c>
      <c r="Q14" s="108">
        <f t="shared" si="19"/>
        <v>127500</v>
      </c>
      <c r="R14" s="108">
        <f t="shared" si="19"/>
        <v>407138.2</v>
      </c>
      <c r="S14" s="108">
        <f t="shared" si="19"/>
        <v>149200</v>
      </c>
      <c r="T14" s="108">
        <f t="shared" si="19"/>
        <v>160199.8</v>
      </c>
      <c r="U14" s="108">
        <f t="shared" si="19"/>
        <v>313044.12</v>
      </c>
      <c r="V14" s="108">
        <f t="shared" si="19"/>
        <v>169500</v>
      </c>
      <c r="W14" s="108">
        <f t="shared" si="19"/>
        <v>268011.6</v>
      </c>
      <c r="X14" s="108">
        <f t="shared" si="19"/>
        <v>317096.79</v>
      </c>
      <c r="Y14" s="108">
        <f t="shared" si="19"/>
        <v>700919.21</v>
      </c>
      <c r="Z14" s="108">
        <f t="shared" si="19"/>
        <v>834716.48</v>
      </c>
      <c r="AA14" s="108">
        <f t="shared" si="19"/>
        <v>387133.48</v>
      </c>
      <c r="AB14" s="108">
        <f t="shared" si="19"/>
        <v>470547.78</v>
      </c>
      <c r="AC14" s="108">
        <f t="shared" si="19"/>
        <v>476221.24</v>
      </c>
      <c r="AD14" s="108">
        <f t="shared" si="19"/>
        <v>629208.14</v>
      </c>
      <c r="AE14" s="108">
        <f t="shared" si="19"/>
        <v>529810</v>
      </c>
      <c r="AF14" s="108">
        <f t="shared" si="19"/>
        <v>636197.51</v>
      </c>
      <c r="AG14" s="108">
        <f t="shared" si="19"/>
        <v>646143.36</v>
      </c>
      <c r="AH14" s="108">
        <f t="shared" si="19"/>
        <v>539542.65</v>
      </c>
      <c r="AI14" s="108">
        <f t="shared" si="19"/>
        <v>834193.94</v>
      </c>
      <c r="AJ14" s="108">
        <f t="shared" si="19"/>
        <v>753338.75</v>
      </c>
      <c r="AK14" s="108">
        <f t="shared" si="19"/>
        <v>616874.81</v>
      </c>
      <c r="AL14" s="108">
        <f t="shared" si="19"/>
        <v>734134.21</v>
      </c>
      <c r="AM14" s="108">
        <f t="shared" si="19"/>
        <v>916821.75</v>
      </c>
      <c r="AN14" s="108">
        <f t="shared" si="19"/>
        <v>984895.72</v>
      </c>
      <c r="AO14" s="108">
        <f t="shared" si="19"/>
        <v>818780.5</v>
      </c>
      <c r="AP14" s="108">
        <f t="shared" si="19"/>
        <v>568128.09</v>
      </c>
      <c r="AQ14" s="108">
        <f t="shared" si="19"/>
        <v>481580.29</v>
      </c>
      <c r="AR14" s="108">
        <f t="shared" si="19"/>
        <v>1320029.24</v>
      </c>
      <c r="AS14" s="108">
        <f t="shared" si="19"/>
        <v>575451.05</v>
      </c>
      <c r="AT14" s="108">
        <f t="shared" si="19"/>
        <v>1211282.33</v>
      </c>
      <c r="AU14" s="108">
        <f t="shared" si="19"/>
        <v>616629.3</v>
      </c>
      <c r="AV14" s="108">
        <f t="shared" si="19"/>
        <v>607748.52</v>
      </c>
      <c r="AW14" s="108">
        <f t="shared" si="19"/>
        <v>2056258.19</v>
      </c>
      <c r="AX14" s="108">
        <f t="shared" si="19"/>
        <v>1531002.94</v>
      </c>
      <c r="AY14" s="108">
        <f t="shared" si="19"/>
        <v>382924.66</v>
      </c>
      <c r="AZ14" s="108">
        <f t="shared" si="19"/>
        <v>367091.52</v>
      </c>
      <c r="BA14" s="108">
        <f t="shared" si="19"/>
        <v>647732.19</v>
      </c>
      <c r="BB14" s="108">
        <f t="shared" si="19"/>
        <v>441342.11</v>
      </c>
      <c r="BC14" s="108">
        <f t="shared" si="19"/>
        <v>516454.83</v>
      </c>
      <c r="BD14" s="108">
        <f t="shared" si="19"/>
        <v>822204.92</v>
      </c>
      <c r="BE14" s="108">
        <f t="shared" si="19"/>
        <v>738775.42</v>
      </c>
      <c r="BF14" s="108">
        <f t="shared" si="19"/>
        <v>1360877.39</v>
      </c>
      <c r="BG14" s="108">
        <f t="shared" si="19"/>
        <v>0</v>
      </c>
      <c r="BH14" s="108">
        <f t="shared" si="19"/>
        <v>0</v>
      </c>
      <c r="BI14" s="108">
        <f t="shared" si="19"/>
        <v>0</v>
      </c>
      <c r="BJ14" s="108">
        <f t="shared" si="19"/>
        <v>0</v>
      </c>
      <c r="BK14" s="33"/>
      <c r="BL14" s="282">
        <f t="array" ref="BL14">SUM(INDIRECT(XLOOKUP('QBO Summary'!$B$2,'TTM Dates'!$B:$B,'TTM Dates'!$E:$E)&amp;ROW($BK14)&amp;":"&amp;XLOOKUP('QBO Summary'!$B$2,'TTM Dates'!$B:$B,'TTM Dates'!$C:$C)&amp;ROW($BK14)))</f>
        <v>28654618.88</v>
      </c>
      <c r="BM14" s="283"/>
      <c r="BN14" s="108">
        <f t="shared" si="20"/>
        <v>1397748.37</v>
      </c>
      <c r="BO14" s="108">
        <f t="shared" si="21"/>
        <v>1780001.86</v>
      </c>
      <c r="BP14" s="108">
        <f t="shared" si="22"/>
        <v>2099652.81</v>
      </c>
      <c r="BQ14" s="108">
        <f t="shared" si="23"/>
        <v>0</v>
      </c>
      <c r="BR14" s="282">
        <f t="shared" si="24"/>
        <v>5277403.04</v>
      </c>
      <c r="BS14" s="283"/>
      <c r="BT14" s="108">
        <f t="shared" si="25"/>
        <v>2720497.97</v>
      </c>
      <c r="BU14" s="108">
        <f t="shared" si="26"/>
        <v>2369737.62</v>
      </c>
      <c r="BV14" s="108">
        <f t="shared" si="27"/>
        <v>2403362.68</v>
      </c>
      <c r="BW14" s="108">
        <f t="shared" si="28"/>
        <v>4195009.65</v>
      </c>
      <c r="BX14" s="282">
        <f t="shared" si="29"/>
        <v>11688607.92</v>
      </c>
      <c r="BY14" s="284"/>
      <c r="BZ14" s="108"/>
      <c r="CA14" s="108"/>
      <c r="CB14" s="108"/>
      <c r="CC14" s="108"/>
      <c r="CD14" s="282">
        <v>7175575.87</v>
      </c>
      <c r="CE14" s="284"/>
      <c r="CF14" s="285">
        <v>3653744.0</v>
      </c>
      <c r="CG14" s="44"/>
      <c r="CH14" s="286">
        <f t="array" ref="CH14">IF(CH$3&gt;'QBO Summary'!$B$2,0,SUM(INDIRECT(XLOOKUP(CH$3,'TTM Dates'!$B:$B,'TTM Dates'!$E:$E)&amp;ROW($BK14)&amp;":"&amp;XLOOKUP(CH$3,'TTM Dates'!$B:$B,'TTM Dates'!$C:$C)&amp;ROW($BK14))))</f>
        <v>740232.64</v>
      </c>
      <c r="CI14" s="286">
        <f t="array" ref="CI14">IF(CI$3&gt;'QBO Summary'!$B$2,0,SUM(INDIRECT(XLOOKUP(CI$3,'TTM Dates'!$B:$B,'TTM Dates'!$E:$E)&amp;ROW($BK14)&amp;":"&amp;XLOOKUP(CI$3,'TTM Dates'!$B:$B,'TTM Dates'!$C:$C)&amp;ROW($BK14))))</f>
        <v>651394.26</v>
      </c>
      <c r="CJ14" s="286">
        <f t="array" ref="CJ14">IF(CJ$3&gt;'QBO Summary'!$B$2,0,SUM(INDIRECT(XLOOKUP(CJ$3,'TTM Dates'!$B:$B,'TTM Dates'!$E:$E)&amp;ROW($BK14)&amp;":"&amp;XLOOKUP(CJ$3,'TTM Dates'!$B:$B,'TTM Dates'!$C:$C)&amp;ROW($BK14))))</f>
        <v>769294.26</v>
      </c>
      <c r="CK14" s="286">
        <f t="array" ref="CK14">IF(CK$3&gt;'QBO Summary'!$B$2,0,SUM(INDIRECT(XLOOKUP(CK$3,'TTM Dates'!$B:$B,'TTM Dates'!$E:$E)&amp;ROW($BK14)&amp;":"&amp;XLOOKUP(CK$3,'TTM Dates'!$B:$B,'TTM Dates'!$C:$C)&amp;ROW($BK14))))</f>
        <v>1067132.46</v>
      </c>
      <c r="CL14" s="286">
        <f t="array" ref="CL14">IF(CL$3&gt;'QBO Summary'!$B$2,0,SUM(INDIRECT(XLOOKUP(CL$3,'TTM Dates'!$B:$B,'TTM Dates'!$E:$E)&amp;ROW($BK14)&amp;":"&amp;XLOOKUP(CL$3,'TTM Dates'!$B:$B,'TTM Dates'!$C:$C)&amp;ROW($BK14))))</f>
        <v>1215832.46</v>
      </c>
      <c r="CM14" s="286">
        <f t="array" ref="CM14">IF(CM$3&gt;'QBO Summary'!$B$2,0,SUM(INDIRECT(XLOOKUP(CM$3,'TTM Dates'!$B:$B,'TTM Dates'!$E:$E)&amp;ROW($BK14)&amp;":"&amp;XLOOKUP(CM$3,'TTM Dates'!$B:$B,'TTM Dates'!$C:$C)&amp;ROW($BK14))))</f>
        <v>1351532.26</v>
      </c>
      <c r="CN14" s="286">
        <f t="array" ref="CN14">IF(CN$3&gt;'QBO Summary'!$B$2,0,SUM(INDIRECT(XLOOKUP(CN$3,'TTM Dates'!$B:$B,'TTM Dates'!$E:$E)&amp;ROW($BK14)&amp;":"&amp;XLOOKUP(CN$3,'TTM Dates'!$B:$B,'TTM Dates'!$C:$C)&amp;ROW($BK14))))</f>
        <v>1664076.38</v>
      </c>
      <c r="CO14" s="286">
        <f t="array" ref="CO14">IF(CO$3&gt;'QBO Summary'!$B$2,0,SUM(INDIRECT(XLOOKUP(CO$3,'TTM Dates'!$B:$B,'TTM Dates'!$E:$E)&amp;ROW($BK14)&amp;":"&amp;XLOOKUP(CO$3,'TTM Dates'!$B:$B,'TTM Dates'!$C:$C)&amp;ROW($BK14))))</f>
        <v>1662586.38</v>
      </c>
      <c r="CP14" s="286">
        <f t="array" ref="CP14">IF(CP$3&gt;'QBO Summary'!$B$2,0,SUM(INDIRECT(XLOOKUP(CP$3,'TTM Dates'!$B:$B,'TTM Dates'!$E:$E)&amp;ROW($BK14)&amp;":"&amp;XLOOKUP(CP$3,'TTM Dates'!$B:$B,'TTM Dates'!$C:$C)&amp;ROW($BK14))))</f>
        <v>1930097.98</v>
      </c>
      <c r="CQ14" s="286">
        <f t="array" ref="CQ14">IF(CQ$3&gt;'QBO Summary'!$B$2,0,SUM(INDIRECT(XLOOKUP(CQ$3,'TTM Dates'!$B:$B,'TTM Dates'!$E:$E)&amp;ROW($BK14)&amp;":"&amp;XLOOKUP(CQ$3,'TTM Dates'!$B:$B,'TTM Dates'!$C:$C)&amp;ROW($BK14))))</f>
        <v>2194830.73</v>
      </c>
      <c r="CR14" s="286">
        <f t="array" ref="CR14">IF(CR$3&gt;'QBO Summary'!$B$2,0,SUM(INDIRECT(XLOOKUP(CR$3,'TTM Dates'!$B:$B,'TTM Dates'!$E:$E)&amp;ROW($BK14)&amp;":"&amp;XLOOKUP(CR$3,'TTM Dates'!$B:$B,'TTM Dates'!$C:$C)&amp;ROW($BK14))))</f>
        <v>2731407.82</v>
      </c>
      <c r="CS14" s="286">
        <f t="array" ref="CS14">IF(CS$3&gt;'QBO Summary'!$B$2,0,SUM(INDIRECT(XLOOKUP(CS$3,'TTM Dates'!$B:$B,'TTM Dates'!$E:$E)&amp;ROW($BK14)&amp;":"&amp;XLOOKUP(CS$3,'TTM Dates'!$B:$B,'TTM Dates'!$C:$C)&amp;ROW($BK14))))</f>
        <v>3560143.5</v>
      </c>
      <c r="CT14" s="286">
        <f t="array" ref="CT14">IF(CT$3&gt;'QBO Summary'!$B$2,0,SUM(INDIRECT(XLOOKUP(CT$3,'TTM Dates'!$B:$B,'TTM Dates'!$E:$E)&amp;ROW($BK14)&amp;":"&amp;XLOOKUP(CT$3,'TTM Dates'!$B:$B,'TTM Dates'!$C:$C)&amp;ROW($BK14))))</f>
        <v>3879561.3</v>
      </c>
      <c r="CU14" s="286">
        <f t="array" ref="CU14">IF(CU$3&gt;'QBO Summary'!$B$2,0,SUM(INDIRECT(XLOOKUP(CU$3,'TTM Dates'!$B:$B,'TTM Dates'!$E:$E)&amp;ROW($BK14)&amp;":"&amp;XLOOKUP(CU$3,'TTM Dates'!$B:$B,'TTM Dates'!$C:$C)&amp;ROW($BK14))))</f>
        <v>4305007.46</v>
      </c>
      <c r="CV14" s="286">
        <f t="array" ref="CV14">IF(CV$3&gt;'QBO Summary'!$B$2,0,SUM(INDIRECT(XLOOKUP(CV$3,'TTM Dates'!$B:$B,'TTM Dates'!$E:$E)&amp;ROW($BK14)&amp;":"&amp;XLOOKUP(CV$3,'TTM Dates'!$B:$B,'TTM Dates'!$C:$C)&amp;ROW($BK14))))</f>
        <v>4653728.7</v>
      </c>
      <c r="CW14" s="286">
        <f t="array" ref="CW14">IF(CW$3&gt;'QBO Summary'!$B$2,0,SUM(INDIRECT(XLOOKUP(CW$3,'TTM Dates'!$B:$B,'TTM Dates'!$E:$E)&amp;ROW($BK14)&amp;":"&amp;XLOOKUP(CW$3,'TTM Dates'!$B:$B,'TTM Dates'!$C:$C)&amp;ROW($BK14))))</f>
        <v>4875798.64</v>
      </c>
      <c r="CX14" s="286">
        <f t="array" ref="CX14">IF(CX$3&gt;'QBO Summary'!$B$2,0,SUM(INDIRECT(XLOOKUP(CX$3,'TTM Dates'!$B:$B,'TTM Dates'!$E:$E)&amp;ROW($BK14)&amp;":"&amp;XLOOKUP(CX$3,'TTM Dates'!$B:$B,'TTM Dates'!$C:$C)&amp;ROW($BK14))))</f>
        <v>5256408.64</v>
      </c>
      <c r="CY14" s="286">
        <f t="array" ref="CY14">IF(CY$3&gt;'QBO Summary'!$B$2,0,SUM(INDIRECT(XLOOKUP(CY$3,'TTM Dates'!$B:$B,'TTM Dates'!$E:$E)&amp;ROW($BK14)&amp;":"&amp;XLOOKUP(CY$3,'TTM Dates'!$B:$B,'TTM Dates'!$C:$C)&amp;ROW($BK14))))</f>
        <v>5732406.35</v>
      </c>
      <c r="CZ14" s="286">
        <f t="array" ref="CZ14">IF(CZ$3&gt;'QBO Summary'!$B$2,0,SUM(INDIRECT(XLOOKUP(CZ$3,'TTM Dates'!$B:$B,'TTM Dates'!$E:$E)&amp;ROW($BK14)&amp;":"&amp;XLOOKUP(CZ$3,'TTM Dates'!$B:$B,'TTM Dates'!$C:$C)&amp;ROW($BK14))))</f>
        <v>6065505.59</v>
      </c>
      <c r="DA14" s="286">
        <f t="array" ref="DA14">IF(DA$3&gt;'QBO Summary'!$B$2,0,SUM(INDIRECT(XLOOKUP(DA$3,'TTM Dates'!$B:$B,'TTM Dates'!$E:$E)&amp;ROW($BK14)&amp;":"&amp;XLOOKUP(DA$3,'TTM Dates'!$B:$B,'TTM Dates'!$C:$C)&amp;ROW($BK14))))</f>
        <v>6435548.24</v>
      </c>
      <c r="DB14" s="286">
        <f t="array" ref="DB14">IF(DB$3&gt;'QBO Summary'!$B$2,0,SUM(INDIRECT(XLOOKUP(DB$3,'TTM Dates'!$B:$B,'TTM Dates'!$E:$E)&amp;ROW($BK14)&amp;":"&amp;XLOOKUP(DB$3,'TTM Dates'!$B:$B,'TTM Dates'!$C:$C)&amp;ROW($BK14))))</f>
        <v>7001730.58</v>
      </c>
      <c r="DC14" s="286">
        <f t="array" ref="DC14">IF(DC$3&gt;'QBO Summary'!$B$2,0,SUM(INDIRECT(XLOOKUP(DC$3,'TTM Dates'!$B:$B,'TTM Dates'!$E:$E)&amp;ROW($BK14)&amp;":"&amp;XLOOKUP(DC$3,'TTM Dates'!$B:$B,'TTM Dates'!$C:$C)&amp;ROW($BK14))))</f>
        <v>7437972.54</v>
      </c>
      <c r="DD14" s="286">
        <f t="array" ref="DD14">IF(DD$3&gt;'QBO Summary'!$B$2,0,SUM(INDIRECT(XLOOKUP(DD$3,'TTM Dates'!$B:$B,'TTM Dates'!$E:$E)&amp;ROW($BK14)&amp;":"&amp;XLOOKUP(DD$3,'TTM Dates'!$B:$B,'TTM Dates'!$C:$C)&amp;ROW($BK14))))</f>
        <v>7353928.14</v>
      </c>
      <c r="DE14" s="286">
        <f t="array" ref="DE14">IF(DE$3&gt;'QBO Summary'!$B$2,0,SUM(INDIRECT(XLOOKUP(DE$3,'TTM Dates'!$B:$B,'TTM Dates'!$E:$E)&amp;ROW($BK14)&amp;":"&amp;XLOOKUP(DE$3,'TTM Dates'!$B:$B,'TTM Dates'!$C:$C)&amp;ROW($BK14))))</f>
        <v>7253345.87</v>
      </c>
      <c r="DF14" s="286">
        <f t="array" ref="DF14">IF(DF$3&gt;'QBO Summary'!$B$2,0,SUM(INDIRECT(XLOOKUP(DF$3,'TTM Dates'!$B:$B,'TTM Dates'!$E:$E)&amp;ROW($BK14)&amp;":"&amp;XLOOKUP(DF$3,'TTM Dates'!$B:$B,'TTM Dates'!$C:$C)&amp;ROW($BK14))))</f>
        <v>7783034.14</v>
      </c>
      <c r="DG14" s="286">
        <f t="array" ref="DG14">IF(DG$3&gt;'QBO Summary'!$B$2,0,SUM(INDIRECT(XLOOKUP(DG$3,'TTM Dates'!$B:$B,'TTM Dates'!$E:$E)&amp;ROW($BK14)&amp;":"&amp;XLOOKUP(DG$3,'TTM Dates'!$B:$B,'TTM Dates'!$C:$C)&amp;ROW($BK14))))</f>
        <v>8297382.08</v>
      </c>
      <c r="DH14" s="286">
        <f t="array" ref="DH14">IF(DH$3&gt;'QBO Summary'!$B$2,0,SUM(INDIRECT(XLOOKUP(DH$3,'TTM Dates'!$B:$B,'TTM Dates'!$E:$E)&amp;ROW($BK14)&amp;":"&amp;XLOOKUP(DH$3,'TTM Dates'!$B:$B,'TTM Dates'!$C:$C)&amp;ROW($BK14))))</f>
        <v>8639941.34</v>
      </c>
      <c r="DI14" s="286">
        <f t="array" ref="DI14">IF(DI$3&gt;'QBO Summary'!$B$2,0,SUM(INDIRECT(XLOOKUP(DI$3,'TTM Dates'!$B:$B,'TTM Dates'!$E:$E)&amp;ROW($BK14)&amp;":"&amp;XLOOKUP(DI$3,'TTM Dates'!$B:$B,'TTM Dates'!$C:$C)&amp;ROW($BK14))))</f>
        <v>8578861.29</v>
      </c>
      <c r="DJ14" s="286">
        <f t="array" ref="DJ14">IF(DJ$3&gt;'QBO Summary'!$B$2,0,SUM(INDIRECT(XLOOKUP(DJ$3,'TTM Dates'!$B:$B,'TTM Dates'!$E:$E)&amp;ROW($BK14)&amp;":"&amp;XLOOKUP(DJ$3,'TTM Dates'!$B:$B,'TTM Dates'!$C:$C)&amp;ROW($BK14))))</f>
        <v>8530631.58</v>
      </c>
      <c r="DK14" s="286">
        <f t="array" ref="DK14">IF(DK$3&gt;'QBO Summary'!$B$2,0,SUM(INDIRECT(XLOOKUP(DK$3,'TTM Dates'!$B:$B,'TTM Dates'!$E:$E)&amp;ROW($BK14)&amp;":"&amp;XLOOKUP(DK$3,'TTM Dates'!$B:$B,'TTM Dates'!$C:$C)&amp;ROW($BK14))))</f>
        <v>9214463.31</v>
      </c>
      <c r="DL14" s="286">
        <f t="array" ref="DL14">IF(DL$3&gt;'QBO Summary'!$B$2,0,SUM(INDIRECT(XLOOKUP(DL$3,'TTM Dates'!$B:$B,'TTM Dates'!$E:$E)&amp;ROW($BK14)&amp;":"&amp;XLOOKUP(DL$3,'TTM Dates'!$B:$B,'TTM Dates'!$C:$C)&amp;ROW($BK14))))</f>
        <v>9143771</v>
      </c>
      <c r="DM14" s="286">
        <f t="array" ref="DM14">IF(DM$3&gt;'QBO Summary'!$B$2,0,SUM(INDIRECT(XLOOKUP(DM$3,'TTM Dates'!$B:$B,'TTM Dates'!$E:$E)&amp;ROW($BK14)&amp;":"&amp;XLOOKUP(DM$3,'TTM Dates'!$B:$B,'TTM Dates'!$C:$C)&amp;ROW($BK14))))</f>
        <v>9815510.68</v>
      </c>
      <c r="DN14" s="286">
        <f t="array" ref="DN14">IF(DN$3&gt;'QBO Summary'!$B$2,0,SUM(INDIRECT(XLOOKUP(DN$3,'TTM Dates'!$B:$B,'TTM Dates'!$E:$E)&amp;ROW($BK14)&amp;":"&amp;XLOOKUP(DN$3,'TTM Dates'!$B:$B,'TTM Dates'!$C:$C)&amp;ROW($BK14))))</f>
        <v>9597946.04</v>
      </c>
      <c r="DO14" s="286">
        <f t="array" ref="DO14">IF(DO$3&gt;'QBO Summary'!$B$2,0,SUM(INDIRECT(XLOOKUP(DO$3,'TTM Dates'!$B:$B,'TTM Dates'!$E:$E)&amp;ROW($BK14)&amp;":"&amp;XLOOKUP(DO$3,'TTM Dates'!$B:$B,'TTM Dates'!$C:$C)&amp;ROW($BK14))))</f>
        <v>9452355.81</v>
      </c>
      <c r="DP14" s="286">
        <f t="array" ref="DP14">IF(DP$3&gt;'QBO Summary'!$B$2,0,SUM(INDIRECT(XLOOKUP(DP$3,'TTM Dates'!$B:$B,'TTM Dates'!$E:$E)&amp;ROW($BK14)&amp;":"&amp;XLOOKUP(DP$3,'TTM Dates'!$B:$B,'TTM Dates'!$C:$C)&amp;ROW($BK14))))</f>
        <v>10891739.19</v>
      </c>
      <c r="DQ14" s="286">
        <f t="array" ref="DQ14">IF(DQ$3&gt;'QBO Summary'!$B$2,0,SUM(INDIRECT(XLOOKUP(DQ$3,'TTM Dates'!$B:$B,'TTM Dates'!$E:$E)&amp;ROW($BK14)&amp;":"&amp;XLOOKUP(DQ$3,'TTM Dates'!$B:$B,'TTM Dates'!$C:$C)&amp;ROW($BK14))))</f>
        <v>11688607.92</v>
      </c>
      <c r="DR14" s="286">
        <f t="array" ref="DR14">IF(DR$3&gt;'QBO Summary'!$B$2,0,SUM(INDIRECT(XLOOKUP(DR$3,'TTM Dates'!$B:$B,'TTM Dates'!$E:$E)&amp;ROW($BK14)&amp;":"&amp;XLOOKUP(DR$3,'TTM Dates'!$B:$B,'TTM Dates'!$C:$C)&amp;ROW($BK14))))</f>
        <v>11154710.83</v>
      </c>
      <c r="DS14" s="286">
        <f t="array" ref="DS14">IF(DS$3&gt;'QBO Summary'!$B$2,0,SUM(INDIRECT(XLOOKUP(DS$3,'TTM Dates'!$B:$B,'TTM Dates'!$E:$E)&amp;ROW($BK14)&amp;":"&amp;XLOOKUP(DS$3,'TTM Dates'!$B:$B,'TTM Dates'!$C:$C)&amp;ROW($BK14))))</f>
        <v>10536906.63</v>
      </c>
      <c r="DT14" s="286">
        <f t="array" ref="DT14">IF(DT$3&gt;'QBO Summary'!$B$2,0,SUM(INDIRECT(XLOOKUP(DT$3,'TTM Dates'!$B:$B,'TTM Dates'!$E:$E)&amp;ROW($BK14)&amp;":"&amp;XLOOKUP(DT$3,'TTM Dates'!$B:$B,'TTM Dates'!$C:$C)&amp;ROW($BK14))))</f>
        <v>10365858.32</v>
      </c>
      <c r="DU14" s="286">
        <f t="array" ref="DU14">IF(DU$3&gt;'QBO Summary'!$B$2,0,SUM(INDIRECT(XLOOKUP(DU$3,'TTM Dates'!$B:$B,'TTM Dates'!$E:$E)&amp;ROW($BK14)&amp;":"&amp;XLOOKUP(DU$3,'TTM Dates'!$B:$B,'TTM Dates'!$C:$C)&amp;ROW($BK14))))</f>
        <v>10239072.34</v>
      </c>
      <c r="DV14" s="286">
        <f t="array" ref="DV14">IF(DV$3&gt;'QBO Summary'!$B$2,0,SUM(INDIRECT(XLOOKUP(DV$3,'TTM Dates'!$B:$B,'TTM Dates'!$E:$E)&amp;ROW($BK14)&amp;":"&amp;XLOOKUP(DV$3,'TTM Dates'!$B:$B,'TTM Dates'!$C:$C)&amp;ROW($BK14))))</f>
        <v>10273946.88</v>
      </c>
      <c r="DW14" s="286">
        <f t="array" ref="DW14">IF(DW$3&gt;'QBO Summary'!$B$2,0,SUM(INDIRECT(XLOOKUP(DW$3,'TTM Dates'!$B:$B,'TTM Dates'!$E:$E)&amp;ROW($BK14)&amp;":"&amp;XLOOKUP(DW$3,'TTM Dates'!$B:$B,'TTM Dates'!$C:$C)&amp;ROW($BK14))))</f>
        <v>9776122.56</v>
      </c>
      <c r="DX14" s="286">
        <f t="array" ref="DX14">IF(DX$3&gt;'QBO Summary'!$B$2,0,SUM(INDIRECT(XLOOKUP(DX$3,'TTM Dates'!$B:$B,'TTM Dates'!$E:$E)&amp;ROW($BK14)&amp;":"&amp;XLOOKUP(DX$3,'TTM Dates'!$B:$B,'TTM Dates'!$C:$C)&amp;ROW($BK14))))</f>
        <v>9939446.93</v>
      </c>
      <c r="DY14" s="286">
        <f t="array" ref="DY14">IF(DY$3&gt;'QBO Summary'!$B$2,0,SUM(INDIRECT(XLOOKUP(DY$3,'TTM Dates'!$B:$B,'TTM Dates'!$E:$E)&amp;ROW($BK14)&amp;":"&amp;XLOOKUP(DY$3,'TTM Dates'!$B:$B,'TTM Dates'!$C:$C)&amp;ROW($BK14))))</f>
        <v>10089041.99</v>
      </c>
      <c r="DZ14" s="286">
        <f t="array" ref="DZ14">IF(DZ$3&gt;'QBO Summary'!$B$2,0,SUM(INDIRECT(XLOOKUP(DZ$3,'TTM Dates'!$B:$B,'TTM Dates'!$E:$E)&amp;ROW($BK14)&amp;":"&amp;XLOOKUP(DZ$3,'TTM Dates'!$B:$B,'TTM Dates'!$C:$C)&amp;ROW($BK14))))</f>
        <v>9472412.69</v>
      </c>
      <c r="EA14" s="286">
        <f t="array" ref="EA14">IF(EA$3&gt;'QBO Summary'!$B$2,0,SUM(INDIRECT(XLOOKUP(EA$3,'TTM Dates'!$B:$B,'TTM Dates'!$E:$E)&amp;ROW($BK14)&amp;":"&amp;XLOOKUP(EA$3,'TTM Dates'!$B:$B,'TTM Dates'!$C:$C)&amp;ROW($BK14))))</f>
        <v>8864664.17</v>
      </c>
      <c r="EB14" s="286">
        <f t="array" ref="EB14">IF(EB$3&gt;'QBO Summary'!$B$2,0,SUM(INDIRECT(XLOOKUP(EB$3,'TTM Dates'!$B:$B,'TTM Dates'!$E:$E)&amp;ROW($BK14)&amp;":"&amp;XLOOKUP(EB$3,'TTM Dates'!$B:$B,'TTM Dates'!$C:$C)&amp;ROW($BK14))))</f>
        <v>6808405.98</v>
      </c>
      <c r="EC14" s="286">
        <f t="array" ref="EC14">IF(EC$3&gt;'QBO Summary'!$B$2,0,SUM(INDIRECT(XLOOKUP(EC$3,'TTM Dates'!$B:$B,'TTM Dates'!$E:$E)&amp;ROW($BK14)&amp;":"&amp;XLOOKUP(EC$3,'TTM Dates'!$B:$B,'TTM Dates'!$C:$C)&amp;ROW($BK14))))</f>
        <v>5277403.04</v>
      </c>
    </row>
    <row r="15" outlineLevel="1">
      <c r="B15" s="135" t="s">
        <v>465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7">
        <v>502740.0</v>
      </c>
      <c r="AN15" s="137">
        <v>87276.0</v>
      </c>
      <c r="AO15" s="137">
        <v>339140.0</v>
      </c>
      <c r="AP15" s="137">
        <v>98213.25</v>
      </c>
      <c r="AQ15" s="137">
        <v>146890.5</v>
      </c>
      <c r="AR15" s="137">
        <v>501735.0</v>
      </c>
      <c r="AS15" s="137">
        <v>69750.0</v>
      </c>
      <c r="AT15" s="137">
        <v>151060.0</v>
      </c>
      <c r="AU15" s="137">
        <v>24850.0</v>
      </c>
      <c r="AV15" s="137">
        <v>256820.0</v>
      </c>
      <c r="AW15" s="137">
        <v>76800.0</v>
      </c>
      <c r="AX15" s="137">
        <v>342190.0</v>
      </c>
      <c r="AY15" s="137">
        <v>35774.0</v>
      </c>
      <c r="AZ15" s="137">
        <v>23815.0</v>
      </c>
      <c r="BA15" s="145">
        <v>9440.0</v>
      </c>
      <c r="BB15" s="137">
        <v>186970.0</v>
      </c>
      <c r="BC15" s="137">
        <v>132450.0</v>
      </c>
      <c r="BD15" s="137">
        <v>14400.0</v>
      </c>
      <c r="BE15" s="137">
        <v>276320.0</v>
      </c>
      <c r="BF15" s="137">
        <v>382811.4</v>
      </c>
      <c r="BG15" s="137"/>
      <c r="BH15" s="137"/>
      <c r="BI15" s="137"/>
      <c r="BJ15" s="137"/>
      <c r="BK15" s="33"/>
      <c r="BL15" s="288">
        <f t="array" ref="BL15">SUM(INDIRECT(XLOOKUP('QBO Summary'!$B$2,'TTM Dates'!$B:$B,'TTM Dates'!$E:$E)&amp;ROW($BK15)&amp;":"&amp;XLOOKUP('QBO Summary'!$B$2,'TTM Dates'!$B:$B,'TTM Dates'!$C:$C)&amp;ROW($BK15)))</f>
        <v>6256909.9</v>
      </c>
      <c r="BM15" s="136"/>
      <c r="BN15" s="137">
        <f t="shared" si="20"/>
        <v>69029</v>
      </c>
      <c r="BO15" s="137">
        <f t="shared" si="21"/>
        <v>333820</v>
      </c>
      <c r="BP15" s="137">
        <f t="shared" si="22"/>
        <v>659131.4</v>
      </c>
      <c r="BQ15" s="137">
        <f t="shared" si="23"/>
        <v>0</v>
      </c>
      <c r="BR15" s="142">
        <f t="shared" si="24"/>
        <v>1061980.4</v>
      </c>
      <c r="BS15" s="136"/>
      <c r="BT15" s="136">
        <f t="shared" si="25"/>
        <v>929156</v>
      </c>
      <c r="BU15" s="136">
        <f t="shared" si="26"/>
        <v>746838.75</v>
      </c>
      <c r="BV15" s="136">
        <f t="shared" si="27"/>
        <v>245660</v>
      </c>
      <c r="BW15" s="136">
        <f t="shared" si="28"/>
        <v>675810</v>
      </c>
      <c r="BX15" s="292">
        <f t="shared" si="29"/>
        <v>2597464.75</v>
      </c>
      <c r="BY15" s="284"/>
      <c r="BZ15" s="136"/>
      <c r="CA15" s="269"/>
      <c r="CB15" s="136"/>
      <c r="CC15" s="136"/>
      <c r="CD15" s="292"/>
      <c r="CE15" s="284"/>
      <c r="CF15" s="292"/>
      <c r="CG15" s="44"/>
      <c r="CH15" s="136">
        <f t="array" ref="CH15">IF(CH$3&gt;'QBO Summary'!$B$2,0,SUM(INDIRECT(XLOOKUP(CH$3,'TTM Dates'!$B:$B,'TTM Dates'!$E:$E)&amp;ROW($BK15)&amp;":"&amp;XLOOKUP(CH$3,'TTM Dates'!$B:$B,'TTM Dates'!$C:$C)&amp;ROW($BK15))))</f>
        <v>0</v>
      </c>
      <c r="CI15" s="136">
        <f t="array" ref="CI15">IF(CI$3&gt;'QBO Summary'!$B$2,0,SUM(INDIRECT(XLOOKUP(CI$3,'TTM Dates'!$B:$B,'TTM Dates'!$E:$E)&amp;ROW($BK15)&amp;":"&amp;XLOOKUP(CI$3,'TTM Dates'!$B:$B,'TTM Dates'!$C:$C)&amp;ROW($BK15))))</f>
        <v>0</v>
      </c>
      <c r="CJ15" s="136">
        <f t="array" ref="CJ15">IF(CJ$3&gt;'QBO Summary'!$B$2,0,SUM(INDIRECT(XLOOKUP(CJ$3,'TTM Dates'!$B:$B,'TTM Dates'!$E:$E)&amp;ROW($BK15)&amp;":"&amp;XLOOKUP(CJ$3,'TTM Dates'!$B:$B,'TTM Dates'!$C:$C)&amp;ROW($BK15))))</f>
        <v>0</v>
      </c>
      <c r="CK15" s="136">
        <f t="array" ref="CK15">IF(CK$3&gt;'QBO Summary'!$B$2,0,SUM(INDIRECT(XLOOKUP(CK$3,'TTM Dates'!$B:$B,'TTM Dates'!$E:$E)&amp;ROW($BK15)&amp;":"&amp;XLOOKUP(CK$3,'TTM Dates'!$B:$B,'TTM Dates'!$C:$C)&amp;ROW($BK15))))</f>
        <v>0</v>
      </c>
      <c r="CL15" s="136">
        <f t="array" ref="CL15">IF(CL$3&gt;'QBO Summary'!$B$2,0,SUM(INDIRECT(XLOOKUP(CL$3,'TTM Dates'!$B:$B,'TTM Dates'!$E:$E)&amp;ROW($BK15)&amp;":"&amp;XLOOKUP(CL$3,'TTM Dates'!$B:$B,'TTM Dates'!$C:$C)&amp;ROW($BK15))))</f>
        <v>0</v>
      </c>
      <c r="CM15" s="136">
        <f t="array" ref="CM15">IF(CM$3&gt;'QBO Summary'!$B$2,0,SUM(INDIRECT(XLOOKUP(CM$3,'TTM Dates'!$B:$B,'TTM Dates'!$E:$E)&amp;ROW($BK15)&amp;":"&amp;XLOOKUP(CM$3,'TTM Dates'!$B:$B,'TTM Dates'!$C:$C)&amp;ROW($BK15))))</f>
        <v>0</v>
      </c>
      <c r="CN15" s="136">
        <f t="array" ref="CN15">IF(CN$3&gt;'QBO Summary'!$B$2,0,SUM(INDIRECT(XLOOKUP(CN$3,'TTM Dates'!$B:$B,'TTM Dates'!$E:$E)&amp;ROW($BK15)&amp;":"&amp;XLOOKUP(CN$3,'TTM Dates'!$B:$B,'TTM Dates'!$C:$C)&amp;ROW($BK15))))</f>
        <v>0</v>
      </c>
      <c r="CO15" s="136">
        <f t="array" ref="CO15">IF(CO$3&gt;'QBO Summary'!$B$2,0,SUM(INDIRECT(XLOOKUP(CO$3,'TTM Dates'!$B:$B,'TTM Dates'!$E:$E)&amp;ROW($BK15)&amp;":"&amp;XLOOKUP(CO$3,'TTM Dates'!$B:$B,'TTM Dates'!$C:$C)&amp;ROW($BK15))))</f>
        <v>0</v>
      </c>
      <c r="CP15" s="136">
        <f t="array" ref="CP15">IF(CP$3&gt;'QBO Summary'!$B$2,0,SUM(INDIRECT(XLOOKUP(CP$3,'TTM Dates'!$B:$B,'TTM Dates'!$E:$E)&amp;ROW($BK15)&amp;":"&amp;XLOOKUP(CP$3,'TTM Dates'!$B:$B,'TTM Dates'!$C:$C)&amp;ROW($BK15))))</f>
        <v>0</v>
      </c>
      <c r="CQ15" s="136">
        <f t="array" ref="CQ15">IF(CQ$3&gt;'QBO Summary'!$B$2,0,SUM(INDIRECT(XLOOKUP(CQ$3,'TTM Dates'!$B:$B,'TTM Dates'!$E:$E)&amp;ROW($BK15)&amp;":"&amp;XLOOKUP(CQ$3,'TTM Dates'!$B:$B,'TTM Dates'!$C:$C)&amp;ROW($BK15))))</f>
        <v>0</v>
      </c>
      <c r="CR15" s="136">
        <f t="array" ref="CR15">IF(CR$3&gt;'QBO Summary'!$B$2,0,SUM(INDIRECT(XLOOKUP(CR$3,'TTM Dates'!$B:$B,'TTM Dates'!$E:$E)&amp;ROW($BK15)&amp;":"&amp;XLOOKUP(CR$3,'TTM Dates'!$B:$B,'TTM Dates'!$C:$C)&amp;ROW($BK15))))</f>
        <v>0</v>
      </c>
      <c r="CS15" s="136">
        <f t="array" ref="CS15">IF(CS$3&gt;'QBO Summary'!$B$2,0,SUM(INDIRECT(XLOOKUP(CS$3,'TTM Dates'!$B:$B,'TTM Dates'!$E:$E)&amp;ROW($BK15)&amp;":"&amp;XLOOKUP(CS$3,'TTM Dates'!$B:$B,'TTM Dates'!$C:$C)&amp;ROW($BK15))))</f>
        <v>0</v>
      </c>
      <c r="CT15" s="136">
        <f t="array" ref="CT15">IF(CT$3&gt;'QBO Summary'!$B$2,0,SUM(INDIRECT(XLOOKUP(CT$3,'TTM Dates'!$B:$B,'TTM Dates'!$E:$E)&amp;ROW($BK15)&amp;":"&amp;XLOOKUP(CT$3,'TTM Dates'!$B:$B,'TTM Dates'!$C:$C)&amp;ROW($BK15))))</f>
        <v>0</v>
      </c>
      <c r="CU15" s="136">
        <f t="array" ref="CU15">IF(CU$3&gt;'QBO Summary'!$B$2,0,SUM(INDIRECT(XLOOKUP(CU$3,'TTM Dates'!$B:$B,'TTM Dates'!$E:$E)&amp;ROW($BK15)&amp;":"&amp;XLOOKUP(CU$3,'TTM Dates'!$B:$B,'TTM Dates'!$C:$C)&amp;ROW($BK15))))</f>
        <v>0</v>
      </c>
      <c r="CV15" s="136">
        <f t="array" ref="CV15">IF(CV$3&gt;'QBO Summary'!$B$2,0,SUM(INDIRECT(XLOOKUP(CV$3,'TTM Dates'!$B:$B,'TTM Dates'!$E:$E)&amp;ROW($BK15)&amp;":"&amp;XLOOKUP(CV$3,'TTM Dates'!$B:$B,'TTM Dates'!$C:$C)&amp;ROW($BK15))))</f>
        <v>0</v>
      </c>
      <c r="CW15" s="136">
        <f t="array" ref="CW15">IF(CW$3&gt;'QBO Summary'!$B$2,0,SUM(INDIRECT(XLOOKUP(CW$3,'TTM Dates'!$B:$B,'TTM Dates'!$E:$E)&amp;ROW($BK15)&amp;":"&amp;XLOOKUP(CW$3,'TTM Dates'!$B:$B,'TTM Dates'!$C:$C)&amp;ROW($BK15))))</f>
        <v>0</v>
      </c>
      <c r="CX15" s="136">
        <f t="array" ref="CX15">IF(CX$3&gt;'QBO Summary'!$B$2,0,SUM(INDIRECT(XLOOKUP(CX$3,'TTM Dates'!$B:$B,'TTM Dates'!$E:$E)&amp;ROW($BK15)&amp;":"&amp;XLOOKUP(CX$3,'TTM Dates'!$B:$B,'TTM Dates'!$C:$C)&amp;ROW($BK15))))</f>
        <v>0</v>
      </c>
      <c r="CY15" s="136">
        <f t="array" ref="CY15">IF(CY$3&gt;'QBO Summary'!$B$2,0,SUM(INDIRECT(XLOOKUP(CY$3,'TTM Dates'!$B:$B,'TTM Dates'!$E:$E)&amp;ROW($BK15)&amp;":"&amp;XLOOKUP(CY$3,'TTM Dates'!$B:$B,'TTM Dates'!$C:$C)&amp;ROW($BK15))))</f>
        <v>0</v>
      </c>
      <c r="CZ15" s="136">
        <f t="array" ref="CZ15">IF(CZ$3&gt;'QBO Summary'!$B$2,0,SUM(INDIRECT(XLOOKUP(CZ$3,'TTM Dates'!$B:$B,'TTM Dates'!$E:$E)&amp;ROW($BK15)&amp;":"&amp;XLOOKUP(CZ$3,'TTM Dates'!$B:$B,'TTM Dates'!$C:$C)&amp;ROW($BK15))))</f>
        <v>0</v>
      </c>
      <c r="DA15" s="136">
        <f t="array" ref="DA15">IF(DA$3&gt;'QBO Summary'!$B$2,0,SUM(INDIRECT(XLOOKUP(DA$3,'TTM Dates'!$B:$B,'TTM Dates'!$E:$E)&amp;ROW($BK15)&amp;":"&amp;XLOOKUP(DA$3,'TTM Dates'!$B:$B,'TTM Dates'!$C:$C)&amp;ROW($BK15))))</f>
        <v>0</v>
      </c>
      <c r="DB15" s="136">
        <f t="array" ref="DB15">IF(DB$3&gt;'QBO Summary'!$B$2,0,SUM(INDIRECT(XLOOKUP(DB$3,'TTM Dates'!$B:$B,'TTM Dates'!$E:$E)&amp;ROW($BK15)&amp;":"&amp;XLOOKUP(DB$3,'TTM Dates'!$B:$B,'TTM Dates'!$C:$C)&amp;ROW($BK15))))</f>
        <v>0</v>
      </c>
      <c r="DC15" s="136">
        <f t="array" ref="DC15">IF(DC$3&gt;'QBO Summary'!$B$2,0,SUM(INDIRECT(XLOOKUP(DC$3,'TTM Dates'!$B:$B,'TTM Dates'!$E:$E)&amp;ROW($BK15)&amp;":"&amp;XLOOKUP(DC$3,'TTM Dates'!$B:$B,'TTM Dates'!$C:$C)&amp;ROW($BK15))))</f>
        <v>0</v>
      </c>
      <c r="DD15" s="136">
        <f t="array" ref="DD15">IF(DD$3&gt;'QBO Summary'!$B$2,0,SUM(INDIRECT(XLOOKUP(DD$3,'TTM Dates'!$B:$B,'TTM Dates'!$E:$E)&amp;ROW($BK15)&amp;":"&amp;XLOOKUP(DD$3,'TTM Dates'!$B:$B,'TTM Dates'!$C:$C)&amp;ROW($BK15))))</f>
        <v>0</v>
      </c>
      <c r="DE15" s="136">
        <f t="array" ref="DE15">IF(DE$3&gt;'QBO Summary'!$B$2,0,SUM(INDIRECT(XLOOKUP(DE$3,'TTM Dates'!$B:$B,'TTM Dates'!$E:$E)&amp;ROW($BK15)&amp;":"&amp;XLOOKUP(DE$3,'TTM Dates'!$B:$B,'TTM Dates'!$C:$C)&amp;ROW($BK15))))</f>
        <v>0</v>
      </c>
      <c r="DF15" s="136">
        <f t="array" ref="DF15">IF(DF$3&gt;'QBO Summary'!$B$2,0,SUM(INDIRECT(XLOOKUP(DF$3,'TTM Dates'!$B:$B,'TTM Dates'!$E:$E)&amp;ROW($BK15)&amp;":"&amp;XLOOKUP(DF$3,'TTM Dates'!$B:$B,'TTM Dates'!$C:$C)&amp;ROW($BK15))))</f>
        <v>502740</v>
      </c>
      <c r="DG15" s="136">
        <f t="array" ref="DG15">IF(DG$3&gt;'QBO Summary'!$B$2,0,SUM(INDIRECT(XLOOKUP(DG$3,'TTM Dates'!$B:$B,'TTM Dates'!$E:$E)&amp;ROW($BK15)&amp;":"&amp;XLOOKUP(DG$3,'TTM Dates'!$B:$B,'TTM Dates'!$C:$C)&amp;ROW($BK15))))</f>
        <v>590016</v>
      </c>
      <c r="DH15" s="136">
        <f t="array" ref="DH15">IF(DH$3&gt;'QBO Summary'!$B$2,0,SUM(INDIRECT(XLOOKUP(DH$3,'TTM Dates'!$B:$B,'TTM Dates'!$E:$E)&amp;ROW($BK15)&amp;":"&amp;XLOOKUP(DH$3,'TTM Dates'!$B:$B,'TTM Dates'!$C:$C)&amp;ROW($BK15))))</f>
        <v>929156</v>
      </c>
      <c r="DI15" s="136">
        <f t="array" ref="DI15">IF(DI$3&gt;'QBO Summary'!$B$2,0,SUM(INDIRECT(XLOOKUP(DI$3,'TTM Dates'!$B:$B,'TTM Dates'!$E:$E)&amp;ROW($BK15)&amp;":"&amp;XLOOKUP(DI$3,'TTM Dates'!$B:$B,'TTM Dates'!$C:$C)&amp;ROW($BK15))))</f>
        <v>1027369.25</v>
      </c>
      <c r="DJ15" s="136">
        <f t="array" ref="DJ15">IF(DJ$3&gt;'QBO Summary'!$B$2,0,SUM(INDIRECT(XLOOKUP(DJ$3,'TTM Dates'!$B:$B,'TTM Dates'!$E:$E)&amp;ROW($BK15)&amp;":"&amp;XLOOKUP(DJ$3,'TTM Dates'!$B:$B,'TTM Dates'!$C:$C)&amp;ROW($BK15))))</f>
        <v>1174259.75</v>
      </c>
      <c r="DK15" s="136">
        <f t="array" ref="DK15">IF(DK$3&gt;'QBO Summary'!$B$2,0,SUM(INDIRECT(XLOOKUP(DK$3,'TTM Dates'!$B:$B,'TTM Dates'!$E:$E)&amp;ROW($BK15)&amp;":"&amp;XLOOKUP(DK$3,'TTM Dates'!$B:$B,'TTM Dates'!$C:$C)&amp;ROW($BK15))))</f>
        <v>1675994.75</v>
      </c>
      <c r="DL15" s="136">
        <f t="array" ref="DL15">IF(DL$3&gt;'QBO Summary'!$B$2,0,SUM(INDIRECT(XLOOKUP(DL$3,'TTM Dates'!$B:$B,'TTM Dates'!$E:$E)&amp;ROW($BK15)&amp;":"&amp;XLOOKUP(DL$3,'TTM Dates'!$B:$B,'TTM Dates'!$C:$C)&amp;ROW($BK15))))</f>
        <v>1745744.75</v>
      </c>
      <c r="DM15" s="136">
        <f t="array" ref="DM15">IF(DM$3&gt;'QBO Summary'!$B$2,0,SUM(INDIRECT(XLOOKUP(DM$3,'TTM Dates'!$B:$B,'TTM Dates'!$E:$E)&amp;ROW($BK15)&amp;":"&amp;XLOOKUP(DM$3,'TTM Dates'!$B:$B,'TTM Dates'!$C:$C)&amp;ROW($BK15))))</f>
        <v>1896804.75</v>
      </c>
      <c r="DN15" s="136">
        <f t="array" ref="DN15">IF(DN$3&gt;'QBO Summary'!$B$2,0,SUM(INDIRECT(XLOOKUP(DN$3,'TTM Dates'!$B:$B,'TTM Dates'!$E:$E)&amp;ROW($BK15)&amp;":"&amp;XLOOKUP(DN$3,'TTM Dates'!$B:$B,'TTM Dates'!$C:$C)&amp;ROW($BK15))))</f>
        <v>1921654.75</v>
      </c>
      <c r="DO15" s="136">
        <f t="array" ref="DO15">IF(DO$3&gt;'QBO Summary'!$B$2,0,SUM(INDIRECT(XLOOKUP(DO$3,'TTM Dates'!$B:$B,'TTM Dates'!$E:$E)&amp;ROW($BK15)&amp;":"&amp;XLOOKUP(DO$3,'TTM Dates'!$B:$B,'TTM Dates'!$C:$C)&amp;ROW($BK15))))</f>
        <v>2178474.75</v>
      </c>
      <c r="DP15" s="136">
        <f t="array" ref="DP15">IF(DP$3&gt;'QBO Summary'!$B$2,0,SUM(INDIRECT(XLOOKUP(DP$3,'TTM Dates'!$B:$B,'TTM Dates'!$E:$E)&amp;ROW($BK15)&amp;":"&amp;XLOOKUP(DP$3,'TTM Dates'!$B:$B,'TTM Dates'!$C:$C)&amp;ROW($BK15))))</f>
        <v>2255274.75</v>
      </c>
      <c r="DQ15" s="136">
        <f t="array" ref="DQ15">IF(DQ$3&gt;'QBO Summary'!$B$2,0,SUM(INDIRECT(XLOOKUP(DQ$3,'TTM Dates'!$B:$B,'TTM Dates'!$E:$E)&amp;ROW($BK15)&amp;":"&amp;XLOOKUP(DQ$3,'TTM Dates'!$B:$B,'TTM Dates'!$C:$C)&amp;ROW($BK15))))</f>
        <v>2597464.75</v>
      </c>
      <c r="DR15" s="136">
        <f t="array" ref="DR15">IF(DR$3&gt;'QBO Summary'!$B$2,0,SUM(INDIRECT(XLOOKUP(DR$3,'TTM Dates'!$B:$B,'TTM Dates'!$E:$E)&amp;ROW($BK15)&amp;":"&amp;XLOOKUP(DR$3,'TTM Dates'!$B:$B,'TTM Dates'!$C:$C)&amp;ROW($BK15))))</f>
        <v>2130498.75</v>
      </c>
      <c r="DS15" s="136">
        <f t="array" ref="DS15">IF(DS$3&gt;'QBO Summary'!$B$2,0,SUM(INDIRECT(XLOOKUP(DS$3,'TTM Dates'!$B:$B,'TTM Dates'!$E:$E)&amp;ROW($BK15)&amp;":"&amp;XLOOKUP(DS$3,'TTM Dates'!$B:$B,'TTM Dates'!$C:$C)&amp;ROW($BK15))))</f>
        <v>2067037.75</v>
      </c>
      <c r="DT15" s="136">
        <f t="array" ref="DT15">IF(DT$3&gt;'QBO Summary'!$B$2,0,SUM(INDIRECT(XLOOKUP(DT$3,'TTM Dates'!$B:$B,'TTM Dates'!$E:$E)&amp;ROW($BK15)&amp;":"&amp;XLOOKUP(DT$3,'TTM Dates'!$B:$B,'TTM Dates'!$C:$C)&amp;ROW($BK15))))</f>
        <v>1737337.75</v>
      </c>
      <c r="DU15" s="136">
        <f t="array" ref="DU15">IF(DU$3&gt;'QBO Summary'!$B$2,0,SUM(INDIRECT(XLOOKUP(DU$3,'TTM Dates'!$B:$B,'TTM Dates'!$E:$E)&amp;ROW($BK15)&amp;":"&amp;XLOOKUP(DU$3,'TTM Dates'!$B:$B,'TTM Dates'!$C:$C)&amp;ROW($BK15))))</f>
        <v>1826094.5</v>
      </c>
      <c r="DV15" s="136">
        <f t="array" ref="DV15">IF(DV$3&gt;'QBO Summary'!$B$2,0,SUM(INDIRECT(XLOOKUP(DV$3,'TTM Dates'!$B:$B,'TTM Dates'!$E:$E)&amp;ROW($BK15)&amp;":"&amp;XLOOKUP(DV$3,'TTM Dates'!$B:$B,'TTM Dates'!$C:$C)&amp;ROW($BK15))))</f>
        <v>1811654</v>
      </c>
      <c r="DW15" s="136">
        <f t="array" ref="DW15">IF(DW$3&gt;'QBO Summary'!$B$2,0,SUM(INDIRECT(XLOOKUP(DW$3,'TTM Dates'!$B:$B,'TTM Dates'!$E:$E)&amp;ROW($BK15)&amp;":"&amp;XLOOKUP(DW$3,'TTM Dates'!$B:$B,'TTM Dates'!$C:$C)&amp;ROW($BK15))))</f>
        <v>1324319</v>
      </c>
      <c r="DX15" s="136">
        <f t="array" ref="DX15">IF(DX$3&gt;'QBO Summary'!$B$2,0,SUM(INDIRECT(XLOOKUP(DX$3,'TTM Dates'!$B:$B,'TTM Dates'!$E:$E)&amp;ROW($BK15)&amp;":"&amp;XLOOKUP(DX$3,'TTM Dates'!$B:$B,'TTM Dates'!$C:$C)&amp;ROW($BK15))))</f>
        <v>1530889</v>
      </c>
      <c r="DY15" s="136">
        <f t="array" ref="DY15">IF(DY$3&gt;'QBO Summary'!$B$2,0,SUM(INDIRECT(XLOOKUP(DY$3,'TTM Dates'!$B:$B,'TTM Dates'!$E:$E)&amp;ROW($BK15)&amp;":"&amp;XLOOKUP(DY$3,'TTM Dates'!$B:$B,'TTM Dates'!$C:$C)&amp;ROW($BK15))))</f>
        <v>1762640.4</v>
      </c>
      <c r="DZ15" s="136">
        <f t="array" ref="DZ15">IF(DZ$3&gt;'QBO Summary'!$B$2,0,SUM(INDIRECT(XLOOKUP(DZ$3,'TTM Dates'!$B:$B,'TTM Dates'!$E:$E)&amp;ROW($BK15)&amp;":"&amp;XLOOKUP(DZ$3,'TTM Dates'!$B:$B,'TTM Dates'!$C:$C)&amp;ROW($BK15))))</f>
        <v>1737790.4</v>
      </c>
      <c r="EA15" s="136">
        <f t="array" ref="EA15">IF(EA$3&gt;'QBO Summary'!$B$2,0,SUM(INDIRECT(XLOOKUP(EA$3,'TTM Dates'!$B:$B,'TTM Dates'!$E:$E)&amp;ROW($BK15)&amp;":"&amp;XLOOKUP(EA$3,'TTM Dates'!$B:$B,'TTM Dates'!$C:$C)&amp;ROW($BK15))))</f>
        <v>1480970.4</v>
      </c>
      <c r="EB15" s="136">
        <f t="array" ref="EB15">IF(EB$3&gt;'QBO Summary'!$B$2,0,SUM(INDIRECT(XLOOKUP(EB$3,'TTM Dates'!$B:$B,'TTM Dates'!$E:$E)&amp;ROW($BK15)&amp;":"&amp;XLOOKUP(EB$3,'TTM Dates'!$B:$B,'TTM Dates'!$C:$C)&amp;ROW($BK15))))</f>
        <v>1404170.4</v>
      </c>
      <c r="EC15" s="136">
        <f t="array" ref="EC15">IF(EC$3&gt;'QBO Summary'!$B$2,0,SUM(INDIRECT(XLOOKUP(EC$3,'TTM Dates'!$B:$B,'TTM Dates'!$E:$E)&amp;ROW($BK15)&amp;":"&amp;XLOOKUP(EC$3,'TTM Dates'!$B:$B,'TTM Dates'!$C:$C)&amp;ROW($BK15))))</f>
        <v>1061980.4</v>
      </c>
    </row>
    <row r="16" outlineLevel="1">
      <c r="B16" s="135" t="s">
        <v>500</v>
      </c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6"/>
      <c r="AG16" s="136"/>
      <c r="AH16" s="136"/>
      <c r="AI16" s="136"/>
      <c r="AJ16" s="136"/>
      <c r="AK16" s="136"/>
      <c r="AL16" s="136"/>
      <c r="AM16" s="137">
        <v>0.0</v>
      </c>
      <c r="AN16" s="137">
        <v>94990.0</v>
      </c>
      <c r="AO16" s="137">
        <v>78175.0</v>
      </c>
      <c r="AP16" s="137">
        <v>287591.8</v>
      </c>
      <c r="AQ16" s="137">
        <v>245496.54</v>
      </c>
      <c r="AR16" s="137">
        <v>358601.04</v>
      </c>
      <c r="AS16" s="137">
        <v>269358.44</v>
      </c>
      <c r="AT16" s="137">
        <v>651171.84</v>
      </c>
      <c r="AU16" s="137">
        <v>377121.0</v>
      </c>
      <c r="AV16" s="137">
        <v>153648.0</v>
      </c>
      <c r="AW16" s="137">
        <v>1661936.0</v>
      </c>
      <c r="AX16" s="137">
        <v>941521.15</v>
      </c>
      <c r="AY16" s="137">
        <v>87105.0</v>
      </c>
      <c r="AZ16" s="137">
        <v>114069.0</v>
      </c>
      <c r="BA16" s="145">
        <v>407520.0</v>
      </c>
      <c r="BB16" s="137">
        <v>19300.0</v>
      </c>
      <c r="BC16" s="137">
        <v>30800.0</v>
      </c>
      <c r="BD16" s="137">
        <v>391216.0</v>
      </c>
      <c r="BE16" s="137">
        <v>152800.0</v>
      </c>
      <c r="BF16" s="137">
        <v>658175.0</v>
      </c>
      <c r="BG16" s="137"/>
      <c r="BH16" s="137"/>
      <c r="BI16" s="137"/>
      <c r="BJ16" s="137"/>
      <c r="BK16" s="33"/>
      <c r="BL16" s="288">
        <f t="array" ref="BL16">SUM(INDIRECT(XLOOKUP('QBO Summary'!$B$2,'TTM Dates'!$B:$B,'TTM Dates'!$E:$E)&amp;ROW($BK16)&amp;":"&amp;XLOOKUP('QBO Summary'!$B$2,'TTM Dates'!$B:$B,'TTM Dates'!$C:$C)&amp;ROW($BK16)))</f>
        <v>12100206.62</v>
      </c>
      <c r="BM16" s="136"/>
      <c r="BN16" s="137">
        <f t="shared" si="20"/>
        <v>608694</v>
      </c>
      <c r="BO16" s="137">
        <f t="shared" si="21"/>
        <v>441316</v>
      </c>
      <c r="BP16" s="137">
        <f t="shared" si="22"/>
        <v>810975</v>
      </c>
      <c r="BQ16" s="137">
        <f t="shared" si="23"/>
        <v>0</v>
      </c>
      <c r="BR16" s="142">
        <f t="shared" si="24"/>
        <v>1860985</v>
      </c>
      <c r="BS16" s="136"/>
      <c r="BT16" s="136">
        <f t="shared" si="25"/>
        <v>173165</v>
      </c>
      <c r="BU16" s="136">
        <f t="shared" si="26"/>
        <v>891689.38</v>
      </c>
      <c r="BV16" s="136">
        <f t="shared" si="27"/>
        <v>1297651.28</v>
      </c>
      <c r="BW16" s="136">
        <f t="shared" si="28"/>
        <v>2757105.15</v>
      </c>
      <c r="BX16" s="292">
        <f t="shared" si="29"/>
        <v>5119610.81</v>
      </c>
      <c r="BY16" s="284"/>
      <c r="BZ16" s="136"/>
      <c r="CA16" s="136"/>
      <c r="CB16" s="136"/>
      <c r="CC16" s="136"/>
      <c r="CD16" s="292"/>
      <c r="CE16" s="284"/>
      <c r="CF16" s="292"/>
      <c r="CG16" s="284"/>
      <c r="CH16" s="136">
        <f t="array" ref="CH16">IF(CH$3&gt;'QBO Summary'!$B$2,0,SUM(INDIRECT(XLOOKUP(CH$3,'TTM Dates'!$B:$B,'TTM Dates'!$E:$E)&amp;ROW($BK16)&amp;":"&amp;XLOOKUP(CH$3,'TTM Dates'!$B:$B,'TTM Dates'!$C:$C)&amp;ROW($BK16))))</f>
        <v>0</v>
      </c>
      <c r="CI16" s="136">
        <f t="array" ref="CI16">IF(CI$3&gt;'QBO Summary'!$B$2,0,SUM(INDIRECT(XLOOKUP(CI$3,'TTM Dates'!$B:$B,'TTM Dates'!$E:$E)&amp;ROW($BK16)&amp;":"&amp;XLOOKUP(CI$3,'TTM Dates'!$B:$B,'TTM Dates'!$C:$C)&amp;ROW($BK16))))</f>
        <v>0</v>
      </c>
      <c r="CJ16" s="136">
        <f t="array" ref="CJ16">IF(CJ$3&gt;'QBO Summary'!$B$2,0,SUM(INDIRECT(XLOOKUP(CJ$3,'TTM Dates'!$B:$B,'TTM Dates'!$E:$E)&amp;ROW($BK16)&amp;":"&amp;XLOOKUP(CJ$3,'TTM Dates'!$B:$B,'TTM Dates'!$C:$C)&amp;ROW($BK16))))</f>
        <v>0</v>
      </c>
      <c r="CK16" s="136">
        <f t="array" ref="CK16">IF(CK$3&gt;'QBO Summary'!$B$2,0,SUM(INDIRECT(XLOOKUP(CK$3,'TTM Dates'!$B:$B,'TTM Dates'!$E:$E)&amp;ROW($BK16)&amp;":"&amp;XLOOKUP(CK$3,'TTM Dates'!$B:$B,'TTM Dates'!$C:$C)&amp;ROW($BK16))))</f>
        <v>0</v>
      </c>
      <c r="CL16" s="136">
        <f t="array" ref="CL16">IF(CL$3&gt;'QBO Summary'!$B$2,0,SUM(INDIRECT(XLOOKUP(CL$3,'TTM Dates'!$B:$B,'TTM Dates'!$E:$E)&amp;ROW($BK16)&amp;":"&amp;XLOOKUP(CL$3,'TTM Dates'!$B:$B,'TTM Dates'!$C:$C)&amp;ROW($BK16))))</f>
        <v>0</v>
      </c>
      <c r="CM16" s="136">
        <f t="array" ref="CM16">IF(CM$3&gt;'QBO Summary'!$B$2,0,SUM(INDIRECT(XLOOKUP(CM$3,'TTM Dates'!$B:$B,'TTM Dates'!$E:$E)&amp;ROW($BK16)&amp;":"&amp;XLOOKUP(CM$3,'TTM Dates'!$B:$B,'TTM Dates'!$C:$C)&amp;ROW($BK16))))</f>
        <v>0</v>
      </c>
      <c r="CN16" s="136">
        <f t="array" ref="CN16">IF(CN$3&gt;'QBO Summary'!$B$2,0,SUM(INDIRECT(XLOOKUP(CN$3,'TTM Dates'!$B:$B,'TTM Dates'!$E:$E)&amp;ROW($BK16)&amp;":"&amp;XLOOKUP(CN$3,'TTM Dates'!$B:$B,'TTM Dates'!$C:$C)&amp;ROW($BK16))))</f>
        <v>0</v>
      </c>
      <c r="CO16" s="136">
        <f t="array" ref="CO16">IF(CO$3&gt;'QBO Summary'!$B$2,0,SUM(INDIRECT(XLOOKUP(CO$3,'TTM Dates'!$B:$B,'TTM Dates'!$E:$E)&amp;ROW($BK16)&amp;":"&amp;XLOOKUP(CO$3,'TTM Dates'!$B:$B,'TTM Dates'!$C:$C)&amp;ROW($BK16))))</f>
        <v>0</v>
      </c>
      <c r="CP16" s="136">
        <f t="array" ref="CP16">IF(CP$3&gt;'QBO Summary'!$B$2,0,SUM(INDIRECT(XLOOKUP(CP$3,'TTM Dates'!$B:$B,'TTM Dates'!$E:$E)&amp;ROW($BK16)&amp;":"&amp;XLOOKUP(CP$3,'TTM Dates'!$B:$B,'TTM Dates'!$C:$C)&amp;ROW($BK16))))</f>
        <v>0</v>
      </c>
      <c r="CQ16" s="136">
        <f t="array" ref="CQ16">IF(CQ$3&gt;'QBO Summary'!$B$2,0,SUM(INDIRECT(XLOOKUP(CQ$3,'TTM Dates'!$B:$B,'TTM Dates'!$E:$E)&amp;ROW($BK16)&amp;":"&amp;XLOOKUP(CQ$3,'TTM Dates'!$B:$B,'TTM Dates'!$C:$C)&amp;ROW($BK16))))</f>
        <v>0</v>
      </c>
      <c r="CR16" s="136">
        <f t="array" ref="CR16">IF(CR$3&gt;'QBO Summary'!$B$2,0,SUM(INDIRECT(XLOOKUP(CR$3,'TTM Dates'!$B:$B,'TTM Dates'!$E:$E)&amp;ROW($BK16)&amp;":"&amp;XLOOKUP(CR$3,'TTM Dates'!$B:$B,'TTM Dates'!$C:$C)&amp;ROW($BK16))))</f>
        <v>0</v>
      </c>
      <c r="CS16" s="136">
        <f t="array" ref="CS16">IF(CS$3&gt;'QBO Summary'!$B$2,0,SUM(INDIRECT(XLOOKUP(CS$3,'TTM Dates'!$B:$B,'TTM Dates'!$E:$E)&amp;ROW($BK16)&amp;":"&amp;XLOOKUP(CS$3,'TTM Dates'!$B:$B,'TTM Dates'!$C:$C)&amp;ROW($BK16))))</f>
        <v>0</v>
      </c>
      <c r="CT16" s="136">
        <f t="array" ref="CT16">IF(CT$3&gt;'QBO Summary'!$B$2,0,SUM(INDIRECT(XLOOKUP(CT$3,'TTM Dates'!$B:$B,'TTM Dates'!$E:$E)&amp;ROW($BK16)&amp;":"&amp;XLOOKUP(CT$3,'TTM Dates'!$B:$B,'TTM Dates'!$C:$C)&amp;ROW($BK16))))</f>
        <v>0</v>
      </c>
      <c r="CU16" s="136">
        <f t="array" ref="CU16">IF(CU$3&gt;'QBO Summary'!$B$2,0,SUM(INDIRECT(XLOOKUP(CU$3,'TTM Dates'!$B:$B,'TTM Dates'!$E:$E)&amp;ROW($BK16)&amp;":"&amp;XLOOKUP(CU$3,'TTM Dates'!$B:$B,'TTM Dates'!$C:$C)&amp;ROW($BK16))))</f>
        <v>0</v>
      </c>
      <c r="CV16" s="136">
        <f t="array" ref="CV16">IF(CV$3&gt;'QBO Summary'!$B$2,0,SUM(INDIRECT(XLOOKUP(CV$3,'TTM Dates'!$B:$B,'TTM Dates'!$E:$E)&amp;ROW($BK16)&amp;":"&amp;XLOOKUP(CV$3,'TTM Dates'!$B:$B,'TTM Dates'!$C:$C)&amp;ROW($BK16))))</f>
        <v>0</v>
      </c>
      <c r="CW16" s="136">
        <f t="array" ref="CW16">IF(CW$3&gt;'QBO Summary'!$B$2,0,SUM(INDIRECT(XLOOKUP(CW$3,'TTM Dates'!$B:$B,'TTM Dates'!$E:$E)&amp;ROW($BK16)&amp;":"&amp;XLOOKUP(CW$3,'TTM Dates'!$B:$B,'TTM Dates'!$C:$C)&amp;ROW($BK16))))</f>
        <v>0</v>
      </c>
      <c r="CX16" s="136">
        <f t="array" ref="CX16">IF(CX$3&gt;'QBO Summary'!$B$2,0,SUM(INDIRECT(XLOOKUP(CX$3,'TTM Dates'!$B:$B,'TTM Dates'!$E:$E)&amp;ROW($BK16)&amp;":"&amp;XLOOKUP(CX$3,'TTM Dates'!$B:$B,'TTM Dates'!$C:$C)&amp;ROW($BK16))))</f>
        <v>0</v>
      </c>
      <c r="CY16" s="136">
        <f t="array" ref="CY16">IF(CY$3&gt;'QBO Summary'!$B$2,0,SUM(INDIRECT(XLOOKUP(CY$3,'TTM Dates'!$B:$B,'TTM Dates'!$E:$E)&amp;ROW($BK16)&amp;":"&amp;XLOOKUP(CY$3,'TTM Dates'!$B:$B,'TTM Dates'!$C:$C)&amp;ROW($BK16))))</f>
        <v>0</v>
      </c>
      <c r="CZ16" s="136">
        <f t="array" ref="CZ16">IF(CZ$3&gt;'QBO Summary'!$B$2,0,SUM(INDIRECT(XLOOKUP(CZ$3,'TTM Dates'!$B:$B,'TTM Dates'!$E:$E)&amp;ROW($BK16)&amp;":"&amp;XLOOKUP(CZ$3,'TTM Dates'!$B:$B,'TTM Dates'!$C:$C)&amp;ROW($BK16))))</f>
        <v>0</v>
      </c>
      <c r="DA16" s="136">
        <f t="array" ref="DA16">IF(DA$3&gt;'QBO Summary'!$B$2,0,SUM(INDIRECT(XLOOKUP(DA$3,'TTM Dates'!$B:$B,'TTM Dates'!$E:$E)&amp;ROW($BK16)&amp;":"&amp;XLOOKUP(DA$3,'TTM Dates'!$B:$B,'TTM Dates'!$C:$C)&amp;ROW($BK16))))</f>
        <v>0</v>
      </c>
      <c r="DB16" s="136">
        <f t="array" ref="DB16">IF(DB$3&gt;'QBO Summary'!$B$2,0,SUM(INDIRECT(XLOOKUP(DB$3,'TTM Dates'!$B:$B,'TTM Dates'!$E:$E)&amp;ROW($BK16)&amp;":"&amp;XLOOKUP(DB$3,'TTM Dates'!$B:$B,'TTM Dates'!$C:$C)&amp;ROW($BK16))))</f>
        <v>0</v>
      </c>
      <c r="DC16" s="136">
        <f t="array" ref="DC16">IF(DC$3&gt;'QBO Summary'!$B$2,0,SUM(INDIRECT(XLOOKUP(DC$3,'TTM Dates'!$B:$B,'TTM Dates'!$E:$E)&amp;ROW($BK16)&amp;":"&amp;XLOOKUP(DC$3,'TTM Dates'!$B:$B,'TTM Dates'!$C:$C)&amp;ROW($BK16))))</f>
        <v>0</v>
      </c>
      <c r="DD16" s="136">
        <f t="array" ref="DD16">IF(DD$3&gt;'QBO Summary'!$B$2,0,SUM(INDIRECT(XLOOKUP(DD$3,'TTM Dates'!$B:$B,'TTM Dates'!$E:$E)&amp;ROW($BK16)&amp;":"&amp;XLOOKUP(DD$3,'TTM Dates'!$B:$B,'TTM Dates'!$C:$C)&amp;ROW($BK16))))</f>
        <v>0</v>
      </c>
      <c r="DE16" s="136">
        <f t="array" ref="DE16">IF(DE$3&gt;'QBO Summary'!$B$2,0,SUM(INDIRECT(XLOOKUP(DE$3,'TTM Dates'!$B:$B,'TTM Dates'!$E:$E)&amp;ROW($BK16)&amp;":"&amp;XLOOKUP(DE$3,'TTM Dates'!$B:$B,'TTM Dates'!$C:$C)&amp;ROW($BK16))))</f>
        <v>0</v>
      </c>
      <c r="DF16" s="136">
        <f t="array" ref="DF16">IF(DF$3&gt;'QBO Summary'!$B$2,0,SUM(INDIRECT(XLOOKUP(DF$3,'TTM Dates'!$B:$B,'TTM Dates'!$E:$E)&amp;ROW($BK16)&amp;":"&amp;XLOOKUP(DF$3,'TTM Dates'!$B:$B,'TTM Dates'!$C:$C)&amp;ROW($BK16))))</f>
        <v>0</v>
      </c>
      <c r="DG16" s="136">
        <f t="array" ref="DG16">IF(DG$3&gt;'QBO Summary'!$B$2,0,SUM(INDIRECT(XLOOKUP(DG$3,'TTM Dates'!$B:$B,'TTM Dates'!$E:$E)&amp;ROW($BK16)&amp;":"&amp;XLOOKUP(DG$3,'TTM Dates'!$B:$B,'TTM Dates'!$C:$C)&amp;ROW($BK16))))</f>
        <v>94990</v>
      </c>
      <c r="DH16" s="136">
        <f t="array" ref="DH16">IF(DH$3&gt;'QBO Summary'!$B$2,0,SUM(INDIRECT(XLOOKUP(DH$3,'TTM Dates'!$B:$B,'TTM Dates'!$E:$E)&amp;ROW($BK16)&amp;":"&amp;XLOOKUP(DH$3,'TTM Dates'!$B:$B,'TTM Dates'!$C:$C)&amp;ROW($BK16))))</f>
        <v>173165</v>
      </c>
      <c r="DI16" s="136">
        <f t="array" ref="DI16">IF(DI$3&gt;'QBO Summary'!$B$2,0,SUM(INDIRECT(XLOOKUP(DI$3,'TTM Dates'!$B:$B,'TTM Dates'!$E:$E)&amp;ROW($BK16)&amp;":"&amp;XLOOKUP(DI$3,'TTM Dates'!$B:$B,'TTM Dates'!$C:$C)&amp;ROW($BK16))))</f>
        <v>460756.8</v>
      </c>
      <c r="DJ16" s="136">
        <f t="array" ref="DJ16">IF(DJ$3&gt;'QBO Summary'!$B$2,0,SUM(INDIRECT(XLOOKUP(DJ$3,'TTM Dates'!$B:$B,'TTM Dates'!$E:$E)&amp;ROW($BK16)&amp;":"&amp;XLOOKUP(DJ$3,'TTM Dates'!$B:$B,'TTM Dates'!$C:$C)&amp;ROW($BK16))))</f>
        <v>706253.34</v>
      </c>
      <c r="DK16" s="136">
        <f t="array" ref="DK16">IF(DK$3&gt;'QBO Summary'!$B$2,0,SUM(INDIRECT(XLOOKUP(DK$3,'TTM Dates'!$B:$B,'TTM Dates'!$E:$E)&amp;ROW($BK16)&amp;":"&amp;XLOOKUP(DK$3,'TTM Dates'!$B:$B,'TTM Dates'!$C:$C)&amp;ROW($BK16))))</f>
        <v>1064854.38</v>
      </c>
      <c r="DL16" s="136">
        <f t="array" ref="DL16">IF(DL$3&gt;'QBO Summary'!$B$2,0,SUM(INDIRECT(XLOOKUP(DL$3,'TTM Dates'!$B:$B,'TTM Dates'!$E:$E)&amp;ROW($BK16)&amp;":"&amp;XLOOKUP(DL$3,'TTM Dates'!$B:$B,'TTM Dates'!$C:$C)&amp;ROW($BK16))))</f>
        <v>1334212.82</v>
      </c>
      <c r="DM16" s="136">
        <f t="array" ref="DM16">IF(DM$3&gt;'QBO Summary'!$B$2,0,SUM(INDIRECT(XLOOKUP(DM$3,'TTM Dates'!$B:$B,'TTM Dates'!$E:$E)&amp;ROW($BK16)&amp;":"&amp;XLOOKUP(DM$3,'TTM Dates'!$B:$B,'TTM Dates'!$C:$C)&amp;ROW($BK16))))</f>
        <v>1985384.66</v>
      </c>
      <c r="DN16" s="136">
        <f t="array" ref="DN16">IF(DN$3&gt;'QBO Summary'!$B$2,0,SUM(INDIRECT(XLOOKUP(DN$3,'TTM Dates'!$B:$B,'TTM Dates'!$E:$E)&amp;ROW($BK16)&amp;":"&amp;XLOOKUP(DN$3,'TTM Dates'!$B:$B,'TTM Dates'!$C:$C)&amp;ROW($BK16))))</f>
        <v>2362505.66</v>
      </c>
      <c r="DO16" s="136">
        <f t="array" ref="DO16">IF(DO$3&gt;'QBO Summary'!$B$2,0,SUM(INDIRECT(XLOOKUP(DO$3,'TTM Dates'!$B:$B,'TTM Dates'!$E:$E)&amp;ROW($BK16)&amp;":"&amp;XLOOKUP(DO$3,'TTM Dates'!$B:$B,'TTM Dates'!$C:$C)&amp;ROW($BK16))))</f>
        <v>2516153.66</v>
      </c>
      <c r="DP16" s="136">
        <f t="array" ref="DP16">IF(DP$3&gt;'QBO Summary'!$B$2,0,SUM(INDIRECT(XLOOKUP(DP$3,'TTM Dates'!$B:$B,'TTM Dates'!$E:$E)&amp;ROW($BK16)&amp;":"&amp;XLOOKUP(DP$3,'TTM Dates'!$B:$B,'TTM Dates'!$C:$C)&amp;ROW($BK16))))</f>
        <v>4178089.66</v>
      </c>
      <c r="DQ16" s="136">
        <f t="array" ref="DQ16">IF(DQ$3&gt;'QBO Summary'!$B$2,0,SUM(INDIRECT(XLOOKUP(DQ$3,'TTM Dates'!$B:$B,'TTM Dates'!$E:$E)&amp;ROW($BK16)&amp;":"&amp;XLOOKUP(DQ$3,'TTM Dates'!$B:$B,'TTM Dates'!$C:$C)&amp;ROW($BK16))))</f>
        <v>5119610.81</v>
      </c>
      <c r="DR16" s="136">
        <f t="array" ref="DR16">IF(DR$3&gt;'QBO Summary'!$B$2,0,SUM(INDIRECT(XLOOKUP(DR$3,'TTM Dates'!$B:$B,'TTM Dates'!$E:$E)&amp;ROW($BK16)&amp;":"&amp;XLOOKUP(DR$3,'TTM Dates'!$B:$B,'TTM Dates'!$C:$C)&amp;ROW($BK16))))</f>
        <v>5206715.81</v>
      </c>
      <c r="DS16" s="136">
        <f t="array" ref="DS16">IF(DS$3&gt;'QBO Summary'!$B$2,0,SUM(INDIRECT(XLOOKUP(DS$3,'TTM Dates'!$B:$B,'TTM Dates'!$E:$E)&amp;ROW($BK16)&amp;":"&amp;XLOOKUP(DS$3,'TTM Dates'!$B:$B,'TTM Dates'!$C:$C)&amp;ROW($BK16))))</f>
        <v>5225794.81</v>
      </c>
      <c r="DT16" s="136">
        <f t="array" ref="DT16">IF(DT$3&gt;'QBO Summary'!$B$2,0,SUM(INDIRECT(XLOOKUP(DT$3,'TTM Dates'!$B:$B,'TTM Dates'!$E:$E)&amp;ROW($BK16)&amp;":"&amp;XLOOKUP(DT$3,'TTM Dates'!$B:$B,'TTM Dates'!$C:$C)&amp;ROW($BK16))))</f>
        <v>5555139.81</v>
      </c>
      <c r="DU16" s="136">
        <f t="array" ref="DU16">IF(DU$3&gt;'QBO Summary'!$B$2,0,SUM(INDIRECT(XLOOKUP(DU$3,'TTM Dates'!$B:$B,'TTM Dates'!$E:$E)&amp;ROW($BK16)&amp;":"&amp;XLOOKUP(DU$3,'TTM Dates'!$B:$B,'TTM Dates'!$C:$C)&amp;ROW($BK16))))</f>
        <v>5286848.01</v>
      </c>
      <c r="DV16" s="136">
        <f t="array" ref="DV16">IF(DV$3&gt;'QBO Summary'!$B$2,0,SUM(INDIRECT(XLOOKUP(DV$3,'TTM Dates'!$B:$B,'TTM Dates'!$E:$E)&amp;ROW($BK16)&amp;":"&amp;XLOOKUP(DV$3,'TTM Dates'!$B:$B,'TTM Dates'!$C:$C)&amp;ROW($BK16))))</f>
        <v>5072151.47</v>
      </c>
      <c r="DW16" s="136">
        <f t="array" ref="DW16">IF(DW$3&gt;'QBO Summary'!$B$2,0,SUM(INDIRECT(XLOOKUP(DW$3,'TTM Dates'!$B:$B,'TTM Dates'!$E:$E)&amp;ROW($BK16)&amp;":"&amp;XLOOKUP(DW$3,'TTM Dates'!$B:$B,'TTM Dates'!$C:$C)&amp;ROW($BK16))))</f>
        <v>5104766.43</v>
      </c>
      <c r="DX16" s="136">
        <f t="array" ref="DX16">IF(DX$3&gt;'QBO Summary'!$B$2,0,SUM(INDIRECT(XLOOKUP(DX$3,'TTM Dates'!$B:$B,'TTM Dates'!$E:$E)&amp;ROW($BK16)&amp;":"&amp;XLOOKUP(DX$3,'TTM Dates'!$B:$B,'TTM Dates'!$C:$C)&amp;ROW($BK16))))</f>
        <v>4988207.99</v>
      </c>
      <c r="DY16" s="136">
        <f t="array" ref="DY16">IF(DY$3&gt;'QBO Summary'!$B$2,0,SUM(INDIRECT(XLOOKUP(DY$3,'TTM Dates'!$B:$B,'TTM Dates'!$E:$E)&amp;ROW($BK16)&amp;":"&amp;XLOOKUP(DY$3,'TTM Dates'!$B:$B,'TTM Dates'!$C:$C)&amp;ROW($BK16))))</f>
        <v>4995211.15</v>
      </c>
      <c r="DZ16" s="136">
        <f t="array" ref="DZ16">IF(DZ$3&gt;'QBO Summary'!$B$2,0,SUM(INDIRECT(XLOOKUP(DZ$3,'TTM Dates'!$B:$B,'TTM Dates'!$E:$E)&amp;ROW($BK16)&amp;":"&amp;XLOOKUP(DZ$3,'TTM Dates'!$B:$B,'TTM Dates'!$C:$C)&amp;ROW($BK16))))</f>
        <v>4618090.15</v>
      </c>
      <c r="EA16" s="136">
        <f t="array" ref="EA16">IF(EA$3&gt;'QBO Summary'!$B$2,0,SUM(INDIRECT(XLOOKUP(EA$3,'TTM Dates'!$B:$B,'TTM Dates'!$E:$E)&amp;ROW($BK16)&amp;":"&amp;XLOOKUP(EA$3,'TTM Dates'!$B:$B,'TTM Dates'!$C:$C)&amp;ROW($BK16))))</f>
        <v>4464442.15</v>
      </c>
      <c r="EB16" s="136">
        <f t="array" ref="EB16">IF(EB$3&gt;'QBO Summary'!$B$2,0,SUM(INDIRECT(XLOOKUP(EB$3,'TTM Dates'!$B:$B,'TTM Dates'!$E:$E)&amp;ROW($BK16)&amp;":"&amp;XLOOKUP(EB$3,'TTM Dates'!$B:$B,'TTM Dates'!$C:$C)&amp;ROW($BK16))))</f>
        <v>2802506.15</v>
      </c>
      <c r="EC16" s="136">
        <f t="array" ref="EC16">IF(EC$3&gt;'QBO Summary'!$B$2,0,SUM(INDIRECT(XLOOKUP(EC$3,'TTM Dates'!$B:$B,'TTM Dates'!$E:$E)&amp;ROW($BK16)&amp;":"&amp;XLOOKUP(EC$3,'TTM Dates'!$B:$B,'TTM Dates'!$C:$C)&amp;ROW($BK16))))</f>
        <v>1860985</v>
      </c>
    </row>
    <row r="17" outlineLevel="1">
      <c r="B17" s="135" t="s">
        <v>503</v>
      </c>
      <c r="C17" s="281" t="s">
        <v>183</v>
      </c>
      <c r="D17" s="281">
        <v>133940.0</v>
      </c>
      <c r="E17" s="281">
        <v>9600.0</v>
      </c>
      <c r="F17" s="281">
        <v>109300.0</v>
      </c>
      <c r="G17" s="281">
        <v>500.0</v>
      </c>
      <c r="H17" s="281">
        <v>24500.0</v>
      </c>
      <c r="I17" s="281">
        <v>500.0</v>
      </c>
      <c r="J17" s="281">
        <v>170990.0</v>
      </c>
      <c r="K17" s="281">
        <v>500.0</v>
      </c>
      <c r="L17" s="281">
        <v>52364.04</v>
      </c>
      <c r="M17" s="281">
        <v>164342.12</v>
      </c>
      <c r="N17" s="281" t="s">
        <v>183</v>
      </c>
      <c r="O17" s="281">
        <v>17500.0</v>
      </c>
      <c r="P17" s="281">
        <v>44500.0</v>
      </c>
      <c r="Q17" s="281">
        <v>127500.0</v>
      </c>
      <c r="R17" s="281">
        <v>368740.51</v>
      </c>
      <c r="S17" s="281">
        <v>149200.0</v>
      </c>
      <c r="T17" s="281">
        <v>160199.8</v>
      </c>
      <c r="U17" s="281">
        <v>262275.6</v>
      </c>
      <c r="V17" s="281">
        <v>169500.0</v>
      </c>
      <c r="W17" s="281">
        <v>268011.6</v>
      </c>
      <c r="X17" s="281">
        <v>292281.22</v>
      </c>
      <c r="Y17" s="281">
        <v>683465.87</v>
      </c>
      <c r="Z17" s="281">
        <v>816680.0</v>
      </c>
      <c r="AA17" s="281">
        <v>332141.77</v>
      </c>
      <c r="AB17" s="281">
        <v>464596.0</v>
      </c>
      <c r="AC17" s="281">
        <v>416559.3</v>
      </c>
      <c r="AD17" s="281">
        <v>552248.4</v>
      </c>
      <c r="AE17" s="281">
        <v>529810.0</v>
      </c>
      <c r="AF17" s="281">
        <v>622115.0</v>
      </c>
      <c r="AG17" s="281">
        <v>633500.0</v>
      </c>
      <c r="AH17" s="281">
        <v>517522.5</v>
      </c>
      <c r="AI17" s="281">
        <v>696267.1</v>
      </c>
      <c r="AJ17" s="281">
        <v>753338.75</v>
      </c>
      <c r="AK17" s="281">
        <v>555528.5</v>
      </c>
      <c r="AL17" s="281">
        <v>618705.35</v>
      </c>
      <c r="AM17" s="137">
        <v>379530.5</v>
      </c>
      <c r="AN17" s="137">
        <v>413362.0</v>
      </c>
      <c r="AO17" s="137">
        <v>334376.25</v>
      </c>
      <c r="AP17" s="137">
        <v>164818.98</v>
      </c>
      <c r="AQ17" s="137">
        <v>89193.25</v>
      </c>
      <c r="AR17" s="137">
        <v>287556.25</v>
      </c>
      <c r="AS17" s="137">
        <v>178475.0</v>
      </c>
      <c r="AT17" s="137">
        <v>249020.0</v>
      </c>
      <c r="AU17" s="137">
        <v>139603.0</v>
      </c>
      <c r="AV17" s="137">
        <v>181325.0</v>
      </c>
      <c r="AW17" s="137">
        <v>263533.45</v>
      </c>
      <c r="AX17" s="137">
        <v>223501.85</v>
      </c>
      <c r="AY17" s="137">
        <v>189206.42</v>
      </c>
      <c r="AZ17" s="137">
        <v>159488.66</v>
      </c>
      <c r="BA17" s="145">
        <v>164287.86</v>
      </c>
      <c r="BB17" s="137">
        <v>163148.93</v>
      </c>
      <c r="BC17" s="137">
        <v>266892.41</v>
      </c>
      <c r="BD17" s="137">
        <v>341944.8</v>
      </c>
      <c r="BE17" s="137">
        <v>228806.5</v>
      </c>
      <c r="BF17" s="137">
        <v>245583.91</v>
      </c>
      <c r="BG17" s="137"/>
      <c r="BH17" s="137"/>
      <c r="BI17" s="137"/>
      <c r="BJ17" s="137"/>
      <c r="BK17" s="33"/>
      <c r="BL17" s="288">
        <f t="array" ref="BL17">SUM(INDIRECT(XLOOKUP('QBO Summary'!$B$2,'TTM Dates'!$B:$B,'TTM Dates'!$E:$E)&amp;ROW($BK17)&amp;":"&amp;XLOOKUP('QBO Summary'!$B$2,'TTM Dates'!$B:$B,'TTM Dates'!$C:$C)&amp;ROW($BK17)))</f>
        <v>7567950.55</v>
      </c>
      <c r="BM17" s="136"/>
      <c r="BN17" s="137">
        <f t="shared" si="20"/>
        <v>512982.94</v>
      </c>
      <c r="BO17" s="137">
        <f t="shared" si="21"/>
        <v>771986.14</v>
      </c>
      <c r="BP17" s="137">
        <f t="shared" si="22"/>
        <v>474390.41</v>
      </c>
      <c r="BQ17" s="137">
        <f t="shared" si="23"/>
        <v>0</v>
      </c>
      <c r="BR17" s="142">
        <f t="shared" si="24"/>
        <v>1759359.49</v>
      </c>
      <c r="BS17" s="136"/>
      <c r="BT17" s="136">
        <f t="shared" si="25"/>
        <v>1127268.75</v>
      </c>
      <c r="BU17" s="136">
        <f t="shared" si="26"/>
        <v>541568.48</v>
      </c>
      <c r="BV17" s="136">
        <f t="shared" si="27"/>
        <v>567098</v>
      </c>
      <c r="BW17" s="136">
        <f t="shared" si="28"/>
        <v>668360.3</v>
      </c>
      <c r="BX17" s="292">
        <f t="shared" si="29"/>
        <v>2904295.53</v>
      </c>
      <c r="BY17" s="284"/>
      <c r="BZ17" s="136"/>
      <c r="CA17" s="136"/>
      <c r="CB17" s="136"/>
      <c r="CC17" s="136"/>
      <c r="CD17" s="292"/>
      <c r="CE17" s="284"/>
      <c r="CF17" s="292"/>
      <c r="CG17" s="284"/>
      <c r="CH17" s="136">
        <f t="array" ref="CH17">IF(CH$3&gt;'QBO Summary'!$B$2,0,SUM(INDIRECT(XLOOKUP(CH$3,'TTM Dates'!$B:$B,'TTM Dates'!$E:$E)&amp;ROW($BK17)&amp;":"&amp;XLOOKUP(CH$3,'TTM Dates'!$B:$B,'TTM Dates'!$C:$C)&amp;ROW($BK17))))</f>
        <v>684036.16</v>
      </c>
      <c r="CI17" s="136">
        <f t="array" ref="CI17">IF(CI$3&gt;'QBO Summary'!$B$2,0,SUM(INDIRECT(XLOOKUP(CI$3,'TTM Dates'!$B:$B,'TTM Dates'!$E:$E)&amp;ROW($BK17)&amp;":"&amp;XLOOKUP(CI$3,'TTM Dates'!$B:$B,'TTM Dates'!$C:$C)&amp;ROW($BK17))))</f>
        <v>594596.16</v>
      </c>
      <c r="CJ17" s="136">
        <f t="array" ref="CJ17">IF(CJ$3&gt;'QBO Summary'!$B$2,0,SUM(INDIRECT(XLOOKUP(CJ$3,'TTM Dates'!$B:$B,'TTM Dates'!$E:$E)&amp;ROW($BK17)&amp;":"&amp;XLOOKUP(CJ$3,'TTM Dates'!$B:$B,'TTM Dates'!$C:$C)&amp;ROW($BK17))))</f>
        <v>712496.16</v>
      </c>
      <c r="CK17" s="136">
        <f t="array" ref="CK17">IF(CK$3&gt;'QBO Summary'!$B$2,0,SUM(INDIRECT(XLOOKUP(CK$3,'TTM Dates'!$B:$B,'TTM Dates'!$E:$E)&amp;ROW($BK17)&amp;":"&amp;XLOOKUP(CK$3,'TTM Dates'!$B:$B,'TTM Dates'!$C:$C)&amp;ROW($BK17))))</f>
        <v>971936.67</v>
      </c>
      <c r="CL17" s="136">
        <f t="array" ref="CL17">IF(CL$3&gt;'QBO Summary'!$B$2,0,SUM(INDIRECT(XLOOKUP(CL$3,'TTM Dates'!$B:$B,'TTM Dates'!$E:$E)&amp;ROW($BK17)&amp;":"&amp;XLOOKUP(CL$3,'TTM Dates'!$B:$B,'TTM Dates'!$C:$C)&amp;ROW($BK17))))</f>
        <v>1120636.67</v>
      </c>
      <c r="CM17" s="136">
        <f t="array" ref="CM17">IF(CM$3&gt;'QBO Summary'!$B$2,0,SUM(INDIRECT(XLOOKUP(CM$3,'TTM Dates'!$B:$B,'TTM Dates'!$E:$E)&amp;ROW($BK17)&amp;":"&amp;XLOOKUP(CM$3,'TTM Dates'!$B:$B,'TTM Dates'!$C:$C)&amp;ROW($BK17))))</f>
        <v>1256336.47</v>
      </c>
      <c r="CN17" s="136">
        <f t="array" ref="CN17">IF(CN$3&gt;'QBO Summary'!$B$2,0,SUM(INDIRECT(XLOOKUP(CN$3,'TTM Dates'!$B:$B,'TTM Dates'!$E:$E)&amp;ROW($BK17)&amp;":"&amp;XLOOKUP(CN$3,'TTM Dates'!$B:$B,'TTM Dates'!$C:$C)&amp;ROW($BK17))))</f>
        <v>1518112.07</v>
      </c>
      <c r="CO17" s="136">
        <f t="array" ref="CO17">IF(CO$3&gt;'QBO Summary'!$B$2,0,SUM(INDIRECT(XLOOKUP(CO$3,'TTM Dates'!$B:$B,'TTM Dates'!$E:$E)&amp;ROW($BK17)&amp;":"&amp;XLOOKUP(CO$3,'TTM Dates'!$B:$B,'TTM Dates'!$C:$C)&amp;ROW($BK17))))</f>
        <v>1516622.07</v>
      </c>
      <c r="CP17" s="136">
        <f t="array" ref="CP17">IF(CP$3&gt;'QBO Summary'!$B$2,0,SUM(INDIRECT(XLOOKUP(CP$3,'TTM Dates'!$B:$B,'TTM Dates'!$E:$E)&amp;ROW($BK17)&amp;":"&amp;XLOOKUP(CP$3,'TTM Dates'!$B:$B,'TTM Dates'!$C:$C)&amp;ROW($BK17))))</f>
        <v>1784133.67</v>
      </c>
      <c r="CQ17" s="136">
        <f t="array" ref="CQ17">IF(CQ$3&gt;'QBO Summary'!$B$2,0,SUM(INDIRECT(XLOOKUP(CQ$3,'TTM Dates'!$B:$B,'TTM Dates'!$E:$E)&amp;ROW($BK17)&amp;":"&amp;XLOOKUP(CQ$3,'TTM Dates'!$B:$B,'TTM Dates'!$C:$C)&amp;ROW($BK17))))</f>
        <v>2024050.85</v>
      </c>
      <c r="CR17" s="136">
        <f t="array" ref="CR17">IF(CR$3&gt;'QBO Summary'!$B$2,0,SUM(INDIRECT(XLOOKUP(CR$3,'TTM Dates'!$B:$B,'TTM Dates'!$E:$E)&amp;ROW($BK17)&amp;":"&amp;XLOOKUP(CR$3,'TTM Dates'!$B:$B,'TTM Dates'!$C:$C)&amp;ROW($BK17))))</f>
        <v>2543174.6</v>
      </c>
      <c r="CS17" s="136">
        <f t="array" ref="CS17">IF(CS$3&gt;'QBO Summary'!$B$2,0,SUM(INDIRECT(XLOOKUP(CS$3,'TTM Dates'!$B:$B,'TTM Dates'!$E:$E)&amp;ROW($BK17)&amp;":"&amp;XLOOKUP(CS$3,'TTM Dates'!$B:$B,'TTM Dates'!$C:$C)&amp;ROW($BK17))))</f>
        <v>3359854.6</v>
      </c>
      <c r="CT17" s="136">
        <f t="array" ref="CT17">IF(CT$3&gt;'QBO Summary'!$B$2,0,SUM(INDIRECT(XLOOKUP(CT$3,'TTM Dates'!$B:$B,'TTM Dates'!$E:$E)&amp;ROW($BK17)&amp;":"&amp;XLOOKUP(CT$3,'TTM Dates'!$B:$B,'TTM Dates'!$C:$C)&amp;ROW($BK17))))</f>
        <v>3674496.37</v>
      </c>
      <c r="CU17" s="136">
        <f t="array" ref="CU17">IF(CU$3&gt;'QBO Summary'!$B$2,0,SUM(INDIRECT(XLOOKUP(CU$3,'TTM Dates'!$B:$B,'TTM Dates'!$E:$E)&amp;ROW($BK17)&amp;":"&amp;XLOOKUP(CU$3,'TTM Dates'!$B:$B,'TTM Dates'!$C:$C)&amp;ROW($BK17))))</f>
        <v>4094592.37</v>
      </c>
      <c r="CV17" s="136">
        <f t="array" ref="CV17">IF(CV$3&gt;'QBO Summary'!$B$2,0,SUM(INDIRECT(XLOOKUP(CV$3,'TTM Dates'!$B:$B,'TTM Dates'!$E:$E)&amp;ROW($BK17)&amp;":"&amp;XLOOKUP(CV$3,'TTM Dates'!$B:$B,'TTM Dates'!$C:$C)&amp;ROW($BK17))))</f>
        <v>4383651.67</v>
      </c>
      <c r="CW17" s="136">
        <f t="array" ref="CW17">IF(CW$3&gt;'QBO Summary'!$B$2,0,SUM(INDIRECT(XLOOKUP(CW$3,'TTM Dates'!$B:$B,'TTM Dates'!$E:$E)&amp;ROW($BK17)&amp;":"&amp;XLOOKUP(CW$3,'TTM Dates'!$B:$B,'TTM Dates'!$C:$C)&amp;ROW($BK17))))</f>
        <v>4567159.56</v>
      </c>
      <c r="CX17" s="136">
        <f t="array" ref="CX17">IF(CX$3&gt;'QBO Summary'!$B$2,0,SUM(INDIRECT(XLOOKUP(CX$3,'TTM Dates'!$B:$B,'TTM Dates'!$E:$E)&amp;ROW($BK17)&amp;":"&amp;XLOOKUP(CX$3,'TTM Dates'!$B:$B,'TTM Dates'!$C:$C)&amp;ROW($BK17))))</f>
        <v>4947769.56</v>
      </c>
      <c r="CY17" s="136">
        <f t="array" ref="CY17">IF(CY$3&gt;'QBO Summary'!$B$2,0,SUM(INDIRECT(XLOOKUP(CY$3,'TTM Dates'!$B:$B,'TTM Dates'!$E:$E)&amp;ROW($BK17)&amp;":"&amp;XLOOKUP(CY$3,'TTM Dates'!$B:$B,'TTM Dates'!$C:$C)&amp;ROW($BK17))))</f>
        <v>5409684.76</v>
      </c>
      <c r="CZ17" s="136">
        <f t="array" ref="CZ17">IF(CZ$3&gt;'QBO Summary'!$B$2,0,SUM(INDIRECT(XLOOKUP(CZ$3,'TTM Dates'!$B:$B,'TTM Dates'!$E:$E)&amp;ROW($BK17)&amp;":"&amp;XLOOKUP(CZ$3,'TTM Dates'!$B:$B,'TTM Dates'!$C:$C)&amp;ROW($BK17))))</f>
        <v>5780909.16</v>
      </c>
      <c r="DA17" s="136">
        <f t="array" ref="DA17">IF(DA$3&gt;'QBO Summary'!$B$2,0,SUM(INDIRECT(XLOOKUP(DA$3,'TTM Dates'!$B:$B,'TTM Dates'!$E:$E)&amp;ROW($BK17)&amp;":"&amp;XLOOKUP(DA$3,'TTM Dates'!$B:$B,'TTM Dates'!$C:$C)&amp;ROW($BK17))))</f>
        <v>6128931.66</v>
      </c>
      <c r="DB17" s="136">
        <f t="array" ref="DB17">IF(DB$3&gt;'QBO Summary'!$B$2,0,SUM(INDIRECT(XLOOKUP(DB$3,'TTM Dates'!$B:$B,'TTM Dates'!$E:$E)&amp;ROW($BK17)&amp;":"&amp;XLOOKUP(DB$3,'TTM Dates'!$B:$B,'TTM Dates'!$C:$C)&amp;ROW($BK17))))</f>
        <v>6557187.16</v>
      </c>
      <c r="DC17" s="136">
        <f t="array" ref="DC17">IF(DC$3&gt;'QBO Summary'!$B$2,0,SUM(INDIRECT(XLOOKUP(DC$3,'TTM Dates'!$B:$B,'TTM Dates'!$E:$E)&amp;ROW($BK17)&amp;":"&amp;XLOOKUP(DC$3,'TTM Dates'!$B:$B,'TTM Dates'!$C:$C)&amp;ROW($BK17))))</f>
        <v>7018244.69</v>
      </c>
      <c r="DD17" s="136">
        <f t="array" ref="DD17">IF(DD$3&gt;'QBO Summary'!$B$2,0,SUM(INDIRECT(XLOOKUP(DD$3,'TTM Dates'!$B:$B,'TTM Dates'!$E:$E)&amp;ROW($BK17)&amp;":"&amp;XLOOKUP(DD$3,'TTM Dates'!$B:$B,'TTM Dates'!$C:$C)&amp;ROW($BK17))))</f>
        <v>6890307.32</v>
      </c>
      <c r="DE17" s="136">
        <f t="array" ref="DE17">IF(DE$3&gt;'QBO Summary'!$B$2,0,SUM(INDIRECT(XLOOKUP(DE$3,'TTM Dates'!$B:$B,'TTM Dates'!$E:$E)&amp;ROW($BK17)&amp;":"&amp;XLOOKUP(DE$3,'TTM Dates'!$B:$B,'TTM Dates'!$C:$C)&amp;ROW($BK17))))</f>
        <v>6692332.67</v>
      </c>
      <c r="DF17" s="136">
        <f t="array" ref="DF17">IF(DF$3&gt;'QBO Summary'!$B$2,0,SUM(INDIRECT(XLOOKUP(DF$3,'TTM Dates'!$B:$B,'TTM Dates'!$E:$E)&amp;ROW($BK17)&amp;":"&amp;XLOOKUP(DF$3,'TTM Dates'!$B:$B,'TTM Dates'!$C:$C)&amp;ROW($BK17))))</f>
        <v>6739721.4</v>
      </c>
      <c r="DG17" s="136">
        <f t="array" ref="DG17">IF(DG$3&gt;'QBO Summary'!$B$2,0,SUM(INDIRECT(XLOOKUP(DG$3,'TTM Dates'!$B:$B,'TTM Dates'!$E:$E)&amp;ROW($BK17)&amp;":"&amp;XLOOKUP(DG$3,'TTM Dates'!$B:$B,'TTM Dates'!$C:$C)&amp;ROW($BK17))))</f>
        <v>6688487.4</v>
      </c>
      <c r="DH17" s="136">
        <f t="array" ref="DH17">IF(DH$3&gt;'QBO Summary'!$B$2,0,SUM(INDIRECT(XLOOKUP(DH$3,'TTM Dates'!$B:$B,'TTM Dates'!$E:$E)&amp;ROW($BK17)&amp;":"&amp;XLOOKUP(DH$3,'TTM Dates'!$B:$B,'TTM Dates'!$C:$C)&amp;ROW($BK17))))</f>
        <v>6606304.35</v>
      </c>
      <c r="DI17" s="136">
        <f t="array" ref="DI17">IF(DI$3&gt;'QBO Summary'!$B$2,0,SUM(INDIRECT(XLOOKUP(DI$3,'TTM Dates'!$B:$B,'TTM Dates'!$E:$E)&amp;ROW($BK17)&amp;":"&amp;XLOOKUP(DI$3,'TTM Dates'!$B:$B,'TTM Dates'!$C:$C)&amp;ROW($BK17))))</f>
        <v>6218874.93</v>
      </c>
      <c r="DJ17" s="136">
        <f t="array" ref="DJ17">IF(DJ$3&gt;'QBO Summary'!$B$2,0,SUM(INDIRECT(XLOOKUP(DJ$3,'TTM Dates'!$B:$B,'TTM Dates'!$E:$E)&amp;ROW($BK17)&amp;":"&amp;XLOOKUP(DJ$3,'TTM Dates'!$B:$B,'TTM Dates'!$C:$C)&amp;ROW($BK17))))</f>
        <v>5778258.18</v>
      </c>
      <c r="DK17" s="136">
        <f t="array" ref="DK17">IF(DK$3&gt;'QBO Summary'!$B$2,0,SUM(INDIRECT(XLOOKUP(DK$3,'TTM Dates'!$B:$B,'TTM Dates'!$E:$E)&amp;ROW($BK17)&amp;":"&amp;XLOOKUP(DK$3,'TTM Dates'!$B:$B,'TTM Dates'!$C:$C)&amp;ROW($BK17))))</f>
        <v>5443699.43</v>
      </c>
      <c r="DL17" s="136">
        <f t="array" ref="DL17">IF(DL$3&gt;'QBO Summary'!$B$2,0,SUM(INDIRECT(XLOOKUP(DL$3,'TTM Dates'!$B:$B,'TTM Dates'!$E:$E)&amp;ROW($BK17)&amp;":"&amp;XLOOKUP(DL$3,'TTM Dates'!$B:$B,'TTM Dates'!$C:$C)&amp;ROW($BK17))))</f>
        <v>4988674.43</v>
      </c>
      <c r="DM17" s="136">
        <f t="array" ref="DM17">IF(DM$3&gt;'QBO Summary'!$B$2,0,SUM(INDIRECT(XLOOKUP(DM$3,'TTM Dates'!$B:$B,'TTM Dates'!$E:$E)&amp;ROW($BK17)&amp;":"&amp;XLOOKUP(DM$3,'TTM Dates'!$B:$B,'TTM Dates'!$C:$C)&amp;ROW($BK17))))</f>
        <v>4720171.93</v>
      </c>
      <c r="DN17" s="136">
        <f t="array" ref="DN17">IF(DN$3&gt;'QBO Summary'!$B$2,0,SUM(INDIRECT(XLOOKUP(DN$3,'TTM Dates'!$B:$B,'TTM Dates'!$E:$E)&amp;ROW($BK17)&amp;":"&amp;XLOOKUP(DN$3,'TTM Dates'!$B:$B,'TTM Dates'!$C:$C)&amp;ROW($BK17))))</f>
        <v>4163507.83</v>
      </c>
      <c r="DO17" s="136">
        <f t="array" ref="DO17">IF(DO$3&gt;'QBO Summary'!$B$2,0,SUM(INDIRECT(XLOOKUP(DO$3,'TTM Dates'!$B:$B,'TTM Dates'!$E:$E)&amp;ROW($BK17)&amp;":"&amp;XLOOKUP(DO$3,'TTM Dates'!$B:$B,'TTM Dates'!$C:$C)&amp;ROW($BK17))))</f>
        <v>3591494.08</v>
      </c>
      <c r="DP17" s="136">
        <f t="array" ref="DP17">IF(DP$3&gt;'QBO Summary'!$B$2,0,SUM(INDIRECT(XLOOKUP(DP$3,'TTM Dates'!$B:$B,'TTM Dates'!$E:$E)&amp;ROW($BK17)&amp;":"&amp;XLOOKUP(DP$3,'TTM Dates'!$B:$B,'TTM Dates'!$C:$C)&amp;ROW($BK17))))</f>
        <v>3299499.03</v>
      </c>
      <c r="DQ17" s="136">
        <f t="array" ref="DQ17">IF(DQ$3&gt;'QBO Summary'!$B$2,0,SUM(INDIRECT(XLOOKUP(DQ$3,'TTM Dates'!$B:$B,'TTM Dates'!$E:$E)&amp;ROW($BK17)&amp;":"&amp;XLOOKUP(DQ$3,'TTM Dates'!$B:$B,'TTM Dates'!$C:$C)&amp;ROW($BK17))))</f>
        <v>2904295.53</v>
      </c>
      <c r="DR17" s="136">
        <f t="array" ref="DR17">IF(DR$3&gt;'QBO Summary'!$B$2,0,SUM(INDIRECT(XLOOKUP(DR$3,'TTM Dates'!$B:$B,'TTM Dates'!$E:$E)&amp;ROW($BK17)&amp;":"&amp;XLOOKUP(DR$3,'TTM Dates'!$B:$B,'TTM Dates'!$C:$C)&amp;ROW($BK17))))</f>
        <v>2713971.45</v>
      </c>
      <c r="DS17" s="136">
        <f t="array" ref="DS17">IF(DS$3&gt;'QBO Summary'!$B$2,0,SUM(INDIRECT(XLOOKUP(DS$3,'TTM Dates'!$B:$B,'TTM Dates'!$E:$E)&amp;ROW($BK17)&amp;":"&amp;XLOOKUP(DS$3,'TTM Dates'!$B:$B,'TTM Dates'!$C:$C)&amp;ROW($BK17))))</f>
        <v>2460098.11</v>
      </c>
      <c r="DT17" s="136">
        <f t="array" ref="DT17">IF(DT$3&gt;'QBO Summary'!$B$2,0,SUM(INDIRECT(XLOOKUP(DT$3,'TTM Dates'!$B:$B,'TTM Dates'!$E:$E)&amp;ROW($BK17)&amp;":"&amp;XLOOKUP(DT$3,'TTM Dates'!$B:$B,'TTM Dates'!$C:$C)&amp;ROW($BK17))))</f>
        <v>2290009.72</v>
      </c>
      <c r="DU17" s="136">
        <f t="array" ref="DU17">IF(DU$3&gt;'QBO Summary'!$B$2,0,SUM(INDIRECT(XLOOKUP(DU$3,'TTM Dates'!$B:$B,'TTM Dates'!$E:$E)&amp;ROW($BK17)&amp;":"&amp;XLOOKUP(DU$3,'TTM Dates'!$B:$B,'TTM Dates'!$C:$C)&amp;ROW($BK17))))</f>
        <v>2288339.67</v>
      </c>
      <c r="DV17" s="136">
        <f t="array" ref="DV17">IF(DV$3&gt;'QBO Summary'!$B$2,0,SUM(INDIRECT(XLOOKUP(DV$3,'TTM Dates'!$B:$B,'TTM Dates'!$E:$E)&amp;ROW($BK17)&amp;":"&amp;XLOOKUP(DV$3,'TTM Dates'!$B:$B,'TTM Dates'!$C:$C)&amp;ROW($BK17))))</f>
        <v>2466038.83</v>
      </c>
      <c r="DW17" s="136">
        <f t="array" ref="DW17">IF(DW$3&gt;'QBO Summary'!$B$2,0,SUM(INDIRECT(XLOOKUP(DW$3,'TTM Dates'!$B:$B,'TTM Dates'!$E:$E)&amp;ROW($BK17)&amp;":"&amp;XLOOKUP(DW$3,'TTM Dates'!$B:$B,'TTM Dates'!$C:$C)&amp;ROW($BK17))))</f>
        <v>2520427.38</v>
      </c>
      <c r="DX17" s="136">
        <f t="array" ref="DX17">IF(DX$3&gt;'QBO Summary'!$B$2,0,SUM(INDIRECT(XLOOKUP(DX$3,'TTM Dates'!$B:$B,'TTM Dates'!$E:$E)&amp;ROW($BK17)&amp;":"&amp;XLOOKUP(DX$3,'TTM Dates'!$B:$B,'TTM Dates'!$C:$C)&amp;ROW($BK17))))</f>
        <v>2570758.88</v>
      </c>
      <c r="DY17" s="136">
        <f t="array" ref="DY17">IF(DY$3&gt;'QBO Summary'!$B$2,0,SUM(INDIRECT(XLOOKUP(DY$3,'TTM Dates'!$B:$B,'TTM Dates'!$E:$E)&amp;ROW($BK17)&amp;":"&amp;XLOOKUP(DY$3,'TTM Dates'!$B:$B,'TTM Dates'!$C:$C)&amp;ROW($BK17))))</f>
        <v>2567322.79</v>
      </c>
      <c r="DZ17" s="136">
        <f t="array" ref="DZ17">IF(DZ$3&gt;'QBO Summary'!$B$2,0,SUM(INDIRECT(XLOOKUP(DZ$3,'TTM Dates'!$B:$B,'TTM Dates'!$E:$E)&amp;ROW($BK17)&amp;":"&amp;XLOOKUP(DZ$3,'TTM Dates'!$B:$B,'TTM Dates'!$C:$C)&amp;ROW($BK17))))</f>
        <v>2427719.79</v>
      </c>
      <c r="EA17" s="136">
        <f t="array" ref="EA17">IF(EA$3&gt;'QBO Summary'!$B$2,0,SUM(INDIRECT(XLOOKUP(EA$3,'TTM Dates'!$B:$B,'TTM Dates'!$E:$E)&amp;ROW($BK17)&amp;":"&amp;XLOOKUP(EA$3,'TTM Dates'!$B:$B,'TTM Dates'!$C:$C)&amp;ROW($BK17))))</f>
        <v>2246394.79</v>
      </c>
      <c r="EB17" s="136">
        <f t="array" ref="EB17">IF(EB$3&gt;'QBO Summary'!$B$2,0,SUM(INDIRECT(XLOOKUP(EB$3,'TTM Dates'!$B:$B,'TTM Dates'!$E:$E)&amp;ROW($BK17)&amp;":"&amp;XLOOKUP(EB$3,'TTM Dates'!$B:$B,'TTM Dates'!$C:$C)&amp;ROW($BK17))))</f>
        <v>1982861.34</v>
      </c>
      <c r="EC17" s="136">
        <f t="array" ref="EC17">IF(EC$3&gt;'QBO Summary'!$B$2,0,SUM(INDIRECT(XLOOKUP(EC$3,'TTM Dates'!$B:$B,'TTM Dates'!$E:$E)&amp;ROW($BK17)&amp;":"&amp;XLOOKUP(EC$3,'TTM Dates'!$B:$B,'TTM Dates'!$C:$C)&amp;ROW($BK17))))</f>
        <v>1759359.49</v>
      </c>
    </row>
    <row r="18" outlineLevel="1">
      <c r="B18" s="135" t="s">
        <v>322</v>
      </c>
      <c r="C18" s="137" t="s">
        <v>183</v>
      </c>
      <c r="D18" s="137" t="s">
        <v>183</v>
      </c>
      <c r="E18" s="137" t="s">
        <v>183</v>
      </c>
      <c r="F18" s="137" t="s">
        <v>183</v>
      </c>
      <c r="G18" s="137" t="s">
        <v>183</v>
      </c>
      <c r="H18" s="137" t="s">
        <v>183</v>
      </c>
      <c r="I18" s="137" t="s">
        <v>183</v>
      </c>
      <c r="J18" s="137" t="s">
        <v>183</v>
      </c>
      <c r="K18" s="137" t="s">
        <v>183</v>
      </c>
      <c r="L18" s="137" t="s">
        <v>183</v>
      </c>
      <c r="M18" s="137" t="s">
        <v>183</v>
      </c>
      <c r="N18" s="137">
        <v>5980.8</v>
      </c>
      <c r="O18" s="137">
        <v>50215.68</v>
      </c>
      <c r="P18" s="137">
        <v>601.62</v>
      </c>
      <c r="Q18" s="137" t="s">
        <v>183</v>
      </c>
      <c r="R18" s="137">
        <v>38397.69</v>
      </c>
      <c r="S18" s="137" t="s">
        <v>183</v>
      </c>
      <c r="T18" s="137" t="s">
        <v>183</v>
      </c>
      <c r="U18" s="137">
        <v>50768.52</v>
      </c>
      <c r="V18" s="137" t="s">
        <v>183</v>
      </c>
      <c r="W18" s="137" t="s">
        <v>183</v>
      </c>
      <c r="X18" s="137">
        <v>24815.57</v>
      </c>
      <c r="Y18" s="137">
        <v>17453.34</v>
      </c>
      <c r="Z18" s="137">
        <v>18036.48</v>
      </c>
      <c r="AA18" s="137">
        <v>54991.71</v>
      </c>
      <c r="AB18" s="137">
        <v>5951.78</v>
      </c>
      <c r="AC18" s="137">
        <v>59661.94</v>
      </c>
      <c r="AD18" s="137">
        <v>76959.74</v>
      </c>
      <c r="AE18" s="137" t="s">
        <v>183</v>
      </c>
      <c r="AF18" s="137">
        <v>14082.51</v>
      </c>
      <c r="AG18" s="137">
        <v>12643.36</v>
      </c>
      <c r="AH18" s="137">
        <v>22020.15</v>
      </c>
      <c r="AI18" s="137">
        <v>137926.84</v>
      </c>
      <c r="AJ18" s="137" t="s">
        <v>183</v>
      </c>
      <c r="AK18" s="137">
        <v>61346.31</v>
      </c>
      <c r="AL18" s="137">
        <v>115428.86</v>
      </c>
      <c r="AM18" s="137">
        <v>34551.25</v>
      </c>
      <c r="AN18" s="137">
        <v>389267.72</v>
      </c>
      <c r="AO18" s="137">
        <v>67089.25</v>
      </c>
      <c r="AP18" s="137">
        <v>17504.06</v>
      </c>
      <c r="AQ18" s="137">
        <v>0.0</v>
      </c>
      <c r="AR18" s="137">
        <v>172136.95</v>
      </c>
      <c r="AS18" s="137">
        <v>57867.61</v>
      </c>
      <c r="AT18" s="137">
        <v>160030.49</v>
      </c>
      <c r="AU18" s="137">
        <v>75055.3</v>
      </c>
      <c r="AV18" s="137">
        <v>15955.52</v>
      </c>
      <c r="AW18" s="137">
        <v>53988.74</v>
      </c>
      <c r="AX18" s="137">
        <v>23789.94</v>
      </c>
      <c r="AY18" s="137">
        <v>70839.24</v>
      </c>
      <c r="AZ18" s="137">
        <v>69718.86</v>
      </c>
      <c r="BA18" s="145">
        <v>66484.33</v>
      </c>
      <c r="BB18" s="137">
        <v>71923.18</v>
      </c>
      <c r="BC18" s="137">
        <v>79645.75</v>
      </c>
      <c r="BD18" s="137">
        <v>67977.45</v>
      </c>
      <c r="BE18" s="137">
        <v>74182.25</v>
      </c>
      <c r="BF18" s="137">
        <v>74307.08</v>
      </c>
      <c r="BG18" s="137"/>
      <c r="BH18" s="137"/>
      <c r="BI18" s="137"/>
      <c r="BJ18" s="137"/>
      <c r="BK18" s="33"/>
      <c r="BL18" s="288">
        <f t="array" ref="BL18">SUM(INDIRECT(XLOOKUP('QBO Summary'!$B$2,'TTM Dates'!$B:$B,'TTM Dates'!$E:$E)&amp;ROW($BK18)&amp;":"&amp;XLOOKUP('QBO Summary'!$B$2,'TTM Dates'!$B:$B,'TTM Dates'!$C:$C)&amp;ROW($BK18)))</f>
        <v>2709551.8</v>
      </c>
      <c r="BM18" s="136"/>
      <c r="BN18" s="137">
        <f t="shared" si="20"/>
        <v>207042.43</v>
      </c>
      <c r="BO18" s="137">
        <f t="shared" si="21"/>
        <v>219546.38</v>
      </c>
      <c r="BP18" s="137">
        <f t="shared" si="22"/>
        <v>148489.33</v>
      </c>
      <c r="BQ18" s="137">
        <f t="shared" si="23"/>
        <v>0</v>
      </c>
      <c r="BR18" s="142">
        <f t="shared" si="24"/>
        <v>575078.14</v>
      </c>
      <c r="BS18" s="136"/>
      <c r="BT18" s="136">
        <f t="shared" si="25"/>
        <v>490908.22</v>
      </c>
      <c r="BU18" s="136">
        <f t="shared" si="26"/>
        <v>189641.01</v>
      </c>
      <c r="BV18" s="136">
        <f t="shared" si="27"/>
        <v>292953.4</v>
      </c>
      <c r="BW18" s="136">
        <f t="shared" si="28"/>
        <v>93734.2</v>
      </c>
      <c r="BX18" s="292">
        <f t="shared" si="29"/>
        <v>1067236.83</v>
      </c>
      <c r="BY18" s="284"/>
      <c r="BZ18" s="136"/>
      <c r="CA18" s="136"/>
      <c r="CB18" s="136"/>
      <c r="CC18" s="136"/>
      <c r="CD18" s="292"/>
      <c r="CE18" s="284"/>
      <c r="CF18" s="292"/>
      <c r="CG18" s="284"/>
      <c r="CH18" s="136">
        <f t="array" ref="CH18">IF(CH$3&gt;'QBO Summary'!$B$2,0,SUM(INDIRECT(XLOOKUP(CH$3,'TTM Dates'!$B:$B,'TTM Dates'!$E:$E)&amp;ROW($BK18)&amp;":"&amp;XLOOKUP(CH$3,'TTM Dates'!$B:$B,'TTM Dates'!$C:$C)&amp;ROW($BK18))))</f>
        <v>56196.48</v>
      </c>
      <c r="CI18" s="136">
        <f t="array" ref="CI18">IF(CI$3&gt;'QBO Summary'!$B$2,0,SUM(INDIRECT(XLOOKUP(CI$3,'TTM Dates'!$B:$B,'TTM Dates'!$E:$E)&amp;ROW($BK18)&amp;":"&amp;XLOOKUP(CI$3,'TTM Dates'!$B:$B,'TTM Dates'!$C:$C)&amp;ROW($BK18))))</f>
        <v>56798.1</v>
      </c>
      <c r="CJ18" s="136">
        <f t="array" ref="CJ18">IF(CJ$3&gt;'QBO Summary'!$B$2,0,SUM(INDIRECT(XLOOKUP(CJ$3,'TTM Dates'!$B:$B,'TTM Dates'!$E:$E)&amp;ROW($BK18)&amp;":"&amp;XLOOKUP(CJ$3,'TTM Dates'!$B:$B,'TTM Dates'!$C:$C)&amp;ROW($BK18))))</f>
        <v>56798.1</v>
      </c>
      <c r="CK18" s="136">
        <f t="array" ref="CK18">IF(CK$3&gt;'QBO Summary'!$B$2,0,SUM(INDIRECT(XLOOKUP(CK$3,'TTM Dates'!$B:$B,'TTM Dates'!$E:$E)&amp;ROW($BK18)&amp;":"&amp;XLOOKUP(CK$3,'TTM Dates'!$B:$B,'TTM Dates'!$C:$C)&amp;ROW($BK18))))</f>
        <v>95195.79</v>
      </c>
      <c r="CL18" s="136">
        <f t="array" ref="CL18">IF(CL$3&gt;'QBO Summary'!$B$2,0,SUM(INDIRECT(XLOOKUP(CL$3,'TTM Dates'!$B:$B,'TTM Dates'!$E:$E)&amp;ROW($BK18)&amp;":"&amp;XLOOKUP(CL$3,'TTM Dates'!$B:$B,'TTM Dates'!$C:$C)&amp;ROW($BK18))))</f>
        <v>95195.79</v>
      </c>
      <c r="CM18" s="136">
        <f t="array" ref="CM18">IF(CM$3&gt;'QBO Summary'!$B$2,0,SUM(INDIRECT(XLOOKUP(CM$3,'TTM Dates'!$B:$B,'TTM Dates'!$E:$E)&amp;ROW($BK18)&amp;":"&amp;XLOOKUP(CM$3,'TTM Dates'!$B:$B,'TTM Dates'!$C:$C)&amp;ROW($BK18))))</f>
        <v>95195.79</v>
      </c>
      <c r="CN18" s="136">
        <f t="array" ref="CN18">IF(CN$3&gt;'QBO Summary'!$B$2,0,SUM(INDIRECT(XLOOKUP(CN$3,'TTM Dates'!$B:$B,'TTM Dates'!$E:$E)&amp;ROW($BK18)&amp;":"&amp;XLOOKUP(CN$3,'TTM Dates'!$B:$B,'TTM Dates'!$C:$C)&amp;ROW($BK18))))</f>
        <v>145964.31</v>
      </c>
      <c r="CO18" s="136">
        <f t="array" ref="CO18">IF(CO$3&gt;'QBO Summary'!$B$2,0,SUM(INDIRECT(XLOOKUP(CO$3,'TTM Dates'!$B:$B,'TTM Dates'!$E:$E)&amp;ROW($BK18)&amp;":"&amp;XLOOKUP(CO$3,'TTM Dates'!$B:$B,'TTM Dates'!$C:$C)&amp;ROW($BK18))))</f>
        <v>145964.31</v>
      </c>
      <c r="CP18" s="136">
        <f t="array" ref="CP18">IF(CP$3&gt;'QBO Summary'!$B$2,0,SUM(INDIRECT(XLOOKUP(CP$3,'TTM Dates'!$B:$B,'TTM Dates'!$E:$E)&amp;ROW($BK18)&amp;":"&amp;XLOOKUP(CP$3,'TTM Dates'!$B:$B,'TTM Dates'!$C:$C)&amp;ROW($BK18))))</f>
        <v>145964.31</v>
      </c>
      <c r="CQ18" s="136">
        <f t="array" ref="CQ18">IF(CQ$3&gt;'QBO Summary'!$B$2,0,SUM(INDIRECT(XLOOKUP(CQ$3,'TTM Dates'!$B:$B,'TTM Dates'!$E:$E)&amp;ROW($BK18)&amp;":"&amp;XLOOKUP(CQ$3,'TTM Dates'!$B:$B,'TTM Dates'!$C:$C)&amp;ROW($BK18))))</f>
        <v>170779.88</v>
      </c>
      <c r="CR18" s="136">
        <f t="array" ref="CR18">IF(CR$3&gt;'QBO Summary'!$B$2,0,SUM(INDIRECT(XLOOKUP(CR$3,'TTM Dates'!$B:$B,'TTM Dates'!$E:$E)&amp;ROW($BK18)&amp;":"&amp;XLOOKUP(CR$3,'TTM Dates'!$B:$B,'TTM Dates'!$C:$C)&amp;ROW($BK18))))</f>
        <v>188233.22</v>
      </c>
      <c r="CS18" s="136">
        <f t="array" ref="CS18">IF(CS$3&gt;'QBO Summary'!$B$2,0,SUM(INDIRECT(XLOOKUP(CS$3,'TTM Dates'!$B:$B,'TTM Dates'!$E:$E)&amp;ROW($BK18)&amp;":"&amp;XLOOKUP(CS$3,'TTM Dates'!$B:$B,'TTM Dates'!$C:$C)&amp;ROW($BK18))))</f>
        <v>200288.9</v>
      </c>
      <c r="CT18" s="136">
        <f t="array" ref="CT18">IF(CT$3&gt;'QBO Summary'!$B$2,0,SUM(INDIRECT(XLOOKUP(CT$3,'TTM Dates'!$B:$B,'TTM Dates'!$E:$E)&amp;ROW($BK18)&amp;":"&amp;XLOOKUP(CT$3,'TTM Dates'!$B:$B,'TTM Dates'!$C:$C)&amp;ROW($BK18))))</f>
        <v>205064.93</v>
      </c>
      <c r="CU18" s="136">
        <f t="array" ref="CU18">IF(CU$3&gt;'QBO Summary'!$B$2,0,SUM(INDIRECT(XLOOKUP(CU$3,'TTM Dates'!$B:$B,'TTM Dates'!$E:$E)&amp;ROW($BK18)&amp;":"&amp;XLOOKUP(CU$3,'TTM Dates'!$B:$B,'TTM Dates'!$C:$C)&amp;ROW($BK18))))</f>
        <v>210415.09</v>
      </c>
      <c r="CV18" s="136">
        <f t="array" ref="CV18">IF(CV$3&gt;'QBO Summary'!$B$2,0,SUM(INDIRECT(XLOOKUP(CV$3,'TTM Dates'!$B:$B,'TTM Dates'!$E:$E)&amp;ROW($BK18)&amp;":"&amp;XLOOKUP(CV$3,'TTM Dates'!$B:$B,'TTM Dates'!$C:$C)&amp;ROW($BK18))))</f>
        <v>270077.03</v>
      </c>
      <c r="CW18" s="136">
        <f t="array" ref="CW18">IF(CW$3&gt;'QBO Summary'!$B$2,0,SUM(INDIRECT(XLOOKUP(CW$3,'TTM Dates'!$B:$B,'TTM Dates'!$E:$E)&amp;ROW($BK18)&amp;":"&amp;XLOOKUP(CW$3,'TTM Dates'!$B:$B,'TTM Dates'!$C:$C)&amp;ROW($BK18))))</f>
        <v>308639.08</v>
      </c>
      <c r="CX18" s="136">
        <f t="array" ref="CX18">IF(CX$3&gt;'QBO Summary'!$B$2,0,SUM(INDIRECT(XLOOKUP(CX$3,'TTM Dates'!$B:$B,'TTM Dates'!$E:$E)&amp;ROW($BK18)&amp;":"&amp;XLOOKUP(CX$3,'TTM Dates'!$B:$B,'TTM Dates'!$C:$C)&amp;ROW($BK18))))</f>
        <v>308639.08</v>
      </c>
      <c r="CY18" s="136">
        <f t="array" ref="CY18">IF(CY$3&gt;'QBO Summary'!$B$2,0,SUM(INDIRECT(XLOOKUP(CY$3,'TTM Dates'!$B:$B,'TTM Dates'!$E:$E)&amp;ROW($BK18)&amp;":"&amp;XLOOKUP(CY$3,'TTM Dates'!$B:$B,'TTM Dates'!$C:$C)&amp;ROW($BK18))))</f>
        <v>322721.59</v>
      </c>
      <c r="CZ18" s="136">
        <f t="array" ref="CZ18">IF(CZ$3&gt;'QBO Summary'!$B$2,0,SUM(INDIRECT(XLOOKUP(CZ$3,'TTM Dates'!$B:$B,'TTM Dates'!$E:$E)&amp;ROW($BK18)&amp;":"&amp;XLOOKUP(CZ$3,'TTM Dates'!$B:$B,'TTM Dates'!$C:$C)&amp;ROW($BK18))))</f>
        <v>284596.43</v>
      </c>
      <c r="DA18" s="136">
        <f t="array" ref="DA18">IF(DA$3&gt;'QBO Summary'!$B$2,0,SUM(INDIRECT(XLOOKUP(DA$3,'TTM Dates'!$B:$B,'TTM Dates'!$E:$E)&amp;ROW($BK18)&amp;":"&amp;XLOOKUP(DA$3,'TTM Dates'!$B:$B,'TTM Dates'!$C:$C)&amp;ROW($BK18))))</f>
        <v>306616.58</v>
      </c>
      <c r="DB18" s="136">
        <f t="array" ref="DB18">IF(DB$3&gt;'QBO Summary'!$B$2,0,SUM(INDIRECT(XLOOKUP(DB$3,'TTM Dates'!$B:$B,'TTM Dates'!$E:$E)&amp;ROW($BK18)&amp;":"&amp;XLOOKUP(DB$3,'TTM Dates'!$B:$B,'TTM Dates'!$C:$C)&amp;ROW($BK18))))</f>
        <v>444543.42</v>
      </c>
      <c r="DC18" s="136">
        <f t="array" ref="DC18">IF(DC$3&gt;'QBO Summary'!$B$2,0,SUM(INDIRECT(XLOOKUP(DC$3,'TTM Dates'!$B:$B,'TTM Dates'!$E:$E)&amp;ROW($BK18)&amp;":"&amp;XLOOKUP(DC$3,'TTM Dates'!$B:$B,'TTM Dates'!$C:$C)&amp;ROW($BK18))))</f>
        <v>419727.85</v>
      </c>
      <c r="DD18" s="136">
        <f t="array" ref="DD18">IF(DD$3&gt;'QBO Summary'!$B$2,0,SUM(INDIRECT(XLOOKUP(DD$3,'TTM Dates'!$B:$B,'TTM Dates'!$E:$E)&amp;ROW($BK18)&amp;":"&amp;XLOOKUP(DD$3,'TTM Dates'!$B:$B,'TTM Dates'!$C:$C)&amp;ROW($BK18))))</f>
        <v>463620.82</v>
      </c>
      <c r="DE18" s="136">
        <f t="array" ref="DE18">IF(DE$3&gt;'QBO Summary'!$B$2,0,SUM(INDIRECT(XLOOKUP(DE$3,'TTM Dates'!$B:$B,'TTM Dates'!$E:$E)&amp;ROW($BK18)&amp;":"&amp;XLOOKUP(DE$3,'TTM Dates'!$B:$B,'TTM Dates'!$C:$C)&amp;ROW($BK18))))</f>
        <v>561013.2</v>
      </c>
      <c r="DF18" s="136">
        <f t="array" ref="DF18">IF(DF$3&gt;'QBO Summary'!$B$2,0,SUM(INDIRECT(XLOOKUP(DF$3,'TTM Dates'!$B:$B,'TTM Dates'!$E:$E)&amp;ROW($BK18)&amp;":"&amp;XLOOKUP(DF$3,'TTM Dates'!$B:$B,'TTM Dates'!$C:$C)&amp;ROW($BK18))))</f>
        <v>540572.74</v>
      </c>
      <c r="DG18" s="136">
        <f t="array" ref="DG18">IF(DG$3&gt;'QBO Summary'!$B$2,0,SUM(INDIRECT(XLOOKUP(DG$3,'TTM Dates'!$B:$B,'TTM Dates'!$E:$E)&amp;ROW($BK18)&amp;":"&amp;XLOOKUP(DG$3,'TTM Dates'!$B:$B,'TTM Dates'!$C:$C)&amp;ROW($BK18))))</f>
        <v>923888.68</v>
      </c>
      <c r="DH18" s="136">
        <f t="array" ref="DH18">IF(DH$3&gt;'QBO Summary'!$B$2,0,SUM(INDIRECT(XLOOKUP(DH$3,'TTM Dates'!$B:$B,'TTM Dates'!$E:$E)&amp;ROW($BK18)&amp;":"&amp;XLOOKUP(DH$3,'TTM Dates'!$B:$B,'TTM Dates'!$C:$C)&amp;ROW($BK18))))</f>
        <v>931315.99</v>
      </c>
      <c r="DI18" s="136">
        <f t="array" ref="DI18">IF(DI$3&gt;'QBO Summary'!$B$2,0,SUM(INDIRECT(XLOOKUP(DI$3,'TTM Dates'!$B:$B,'TTM Dates'!$E:$E)&amp;ROW($BK18)&amp;":"&amp;XLOOKUP(DI$3,'TTM Dates'!$B:$B,'TTM Dates'!$C:$C)&amp;ROW($BK18))))</f>
        <v>871860.31</v>
      </c>
      <c r="DJ18" s="136">
        <f t="array" ref="DJ18">IF(DJ$3&gt;'QBO Summary'!$B$2,0,SUM(INDIRECT(XLOOKUP(DJ$3,'TTM Dates'!$B:$B,'TTM Dates'!$E:$E)&amp;ROW($BK18)&amp;":"&amp;XLOOKUP(DJ$3,'TTM Dates'!$B:$B,'TTM Dates'!$C:$C)&amp;ROW($BK18))))</f>
        <v>871860.31</v>
      </c>
      <c r="DK18" s="136">
        <f t="array" ref="DK18">IF(DK$3&gt;'QBO Summary'!$B$2,0,SUM(INDIRECT(XLOOKUP(DK$3,'TTM Dates'!$B:$B,'TTM Dates'!$E:$E)&amp;ROW($BK18)&amp;":"&amp;XLOOKUP(DK$3,'TTM Dates'!$B:$B,'TTM Dates'!$C:$C)&amp;ROW($BK18))))</f>
        <v>1029914.75</v>
      </c>
      <c r="DL18" s="136">
        <f t="array" ref="DL18">IF(DL$3&gt;'QBO Summary'!$B$2,0,SUM(INDIRECT(XLOOKUP(DL$3,'TTM Dates'!$B:$B,'TTM Dates'!$E:$E)&amp;ROW($BK18)&amp;":"&amp;XLOOKUP(DL$3,'TTM Dates'!$B:$B,'TTM Dates'!$C:$C)&amp;ROW($BK18))))</f>
        <v>1075139</v>
      </c>
      <c r="DM18" s="136">
        <f t="array" ref="DM18">IF(DM$3&gt;'QBO Summary'!$B$2,0,SUM(INDIRECT(XLOOKUP(DM$3,'TTM Dates'!$B:$B,'TTM Dates'!$E:$E)&amp;ROW($BK18)&amp;":"&amp;XLOOKUP(DM$3,'TTM Dates'!$B:$B,'TTM Dates'!$C:$C)&amp;ROW($BK18))))</f>
        <v>1213149.34</v>
      </c>
      <c r="DN18" s="136">
        <f t="array" ref="DN18">IF(DN$3&gt;'QBO Summary'!$B$2,0,SUM(INDIRECT(XLOOKUP(DN$3,'TTM Dates'!$B:$B,'TTM Dates'!$E:$E)&amp;ROW($BK18)&amp;":"&amp;XLOOKUP(DN$3,'TTM Dates'!$B:$B,'TTM Dates'!$C:$C)&amp;ROW($BK18))))</f>
        <v>1150277.8</v>
      </c>
      <c r="DO18" s="136">
        <f t="array" ref="DO18">IF(DO$3&gt;'QBO Summary'!$B$2,0,SUM(INDIRECT(XLOOKUP(DO$3,'TTM Dates'!$B:$B,'TTM Dates'!$E:$E)&amp;ROW($BK18)&amp;":"&amp;XLOOKUP(DO$3,'TTM Dates'!$B:$B,'TTM Dates'!$C:$C)&amp;ROW($BK18))))</f>
        <v>1166233.32</v>
      </c>
      <c r="DP18" s="136">
        <f t="array" ref="DP18">IF(DP$3&gt;'QBO Summary'!$B$2,0,SUM(INDIRECT(XLOOKUP(DP$3,'TTM Dates'!$B:$B,'TTM Dates'!$E:$E)&amp;ROW($BK18)&amp;":"&amp;XLOOKUP(DP$3,'TTM Dates'!$B:$B,'TTM Dates'!$C:$C)&amp;ROW($BK18))))</f>
        <v>1158875.75</v>
      </c>
      <c r="DQ18" s="136">
        <f t="array" ref="DQ18">IF(DQ$3&gt;'QBO Summary'!$B$2,0,SUM(INDIRECT(XLOOKUP(DQ$3,'TTM Dates'!$B:$B,'TTM Dates'!$E:$E)&amp;ROW($BK18)&amp;":"&amp;XLOOKUP(DQ$3,'TTM Dates'!$B:$B,'TTM Dates'!$C:$C)&amp;ROW($BK18))))</f>
        <v>1067236.83</v>
      </c>
      <c r="DR18" s="136">
        <f t="array" ref="DR18">IF(DR$3&gt;'QBO Summary'!$B$2,0,SUM(INDIRECT(XLOOKUP(DR$3,'TTM Dates'!$B:$B,'TTM Dates'!$E:$E)&amp;ROW($BK18)&amp;":"&amp;XLOOKUP(DR$3,'TTM Dates'!$B:$B,'TTM Dates'!$C:$C)&amp;ROW($BK18))))</f>
        <v>1103524.82</v>
      </c>
      <c r="DS18" s="136">
        <f t="array" ref="DS18">IF(DS$3&gt;'QBO Summary'!$B$2,0,SUM(INDIRECT(XLOOKUP(DS$3,'TTM Dates'!$B:$B,'TTM Dates'!$E:$E)&amp;ROW($BK18)&amp;":"&amp;XLOOKUP(DS$3,'TTM Dates'!$B:$B,'TTM Dates'!$C:$C)&amp;ROW($BK18))))</f>
        <v>783975.96</v>
      </c>
      <c r="DT18" s="136">
        <f t="array" ref="DT18">IF(DT$3&gt;'QBO Summary'!$B$2,0,SUM(INDIRECT(XLOOKUP(DT$3,'TTM Dates'!$B:$B,'TTM Dates'!$E:$E)&amp;ROW($BK18)&amp;":"&amp;XLOOKUP(DT$3,'TTM Dates'!$B:$B,'TTM Dates'!$C:$C)&amp;ROW($BK18))))</f>
        <v>783371.04</v>
      </c>
      <c r="DU18" s="136">
        <f t="array" ref="DU18">IF(DU$3&gt;'QBO Summary'!$B$2,0,SUM(INDIRECT(XLOOKUP(DU$3,'TTM Dates'!$B:$B,'TTM Dates'!$E:$E)&amp;ROW($BK18)&amp;":"&amp;XLOOKUP(DU$3,'TTM Dates'!$B:$B,'TTM Dates'!$C:$C)&amp;ROW($BK18))))</f>
        <v>837790.16</v>
      </c>
      <c r="DV18" s="136">
        <f t="array" ref="DV18">IF(DV$3&gt;'QBO Summary'!$B$2,0,SUM(INDIRECT(XLOOKUP(DV$3,'TTM Dates'!$B:$B,'TTM Dates'!$E:$E)&amp;ROW($BK18)&amp;":"&amp;XLOOKUP(DV$3,'TTM Dates'!$B:$B,'TTM Dates'!$C:$C)&amp;ROW($BK18))))</f>
        <v>917435.91</v>
      </c>
      <c r="DW18" s="136">
        <f t="array" ref="DW18">IF(DW$3&gt;'QBO Summary'!$B$2,0,SUM(INDIRECT(XLOOKUP(DW$3,'TTM Dates'!$B:$B,'TTM Dates'!$E:$E)&amp;ROW($BK18)&amp;":"&amp;XLOOKUP(DW$3,'TTM Dates'!$B:$B,'TTM Dates'!$C:$C)&amp;ROW($BK18))))</f>
        <v>813276.41</v>
      </c>
      <c r="DX18" s="136">
        <f t="array" ref="DX18">IF(DX$3&gt;'QBO Summary'!$B$2,0,SUM(INDIRECT(XLOOKUP(DX$3,'TTM Dates'!$B:$B,'TTM Dates'!$E:$E)&amp;ROW($BK18)&amp;":"&amp;XLOOKUP(DX$3,'TTM Dates'!$B:$B,'TTM Dates'!$C:$C)&amp;ROW($BK18))))</f>
        <v>829591.05</v>
      </c>
      <c r="DY18" s="136">
        <f t="array" ref="DY18">IF(DY$3&gt;'QBO Summary'!$B$2,0,SUM(INDIRECT(XLOOKUP(DY$3,'TTM Dates'!$B:$B,'TTM Dates'!$E:$E)&amp;ROW($BK18)&amp;":"&amp;XLOOKUP(DY$3,'TTM Dates'!$B:$B,'TTM Dates'!$C:$C)&amp;ROW($BK18))))</f>
        <v>743867.64</v>
      </c>
      <c r="DZ18" s="136">
        <f t="array" ref="DZ18">IF(DZ$3&gt;'QBO Summary'!$B$2,0,SUM(INDIRECT(XLOOKUP(DZ$3,'TTM Dates'!$B:$B,'TTM Dates'!$E:$E)&amp;ROW($BK18)&amp;":"&amp;XLOOKUP(DZ$3,'TTM Dates'!$B:$B,'TTM Dates'!$C:$C)&amp;ROW($BK18))))</f>
        <v>668812.34</v>
      </c>
      <c r="EA18" s="136">
        <f t="array" ref="EA18">IF(EA$3&gt;'QBO Summary'!$B$2,0,SUM(INDIRECT(XLOOKUP(EA$3,'TTM Dates'!$B:$B,'TTM Dates'!$E:$E)&amp;ROW($BK18)&amp;":"&amp;XLOOKUP(EA$3,'TTM Dates'!$B:$B,'TTM Dates'!$C:$C)&amp;ROW($BK18))))</f>
        <v>652856.82</v>
      </c>
      <c r="EB18" s="136">
        <f t="array" ref="EB18">IF(EB$3&gt;'QBO Summary'!$B$2,0,SUM(INDIRECT(XLOOKUP(EB$3,'TTM Dates'!$B:$B,'TTM Dates'!$E:$E)&amp;ROW($BK18)&amp;":"&amp;XLOOKUP(EB$3,'TTM Dates'!$B:$B,'TTM Dates'!$C:$C)&amp;ROW($BK18))))</f>
        <v>598868.08</v>
      </c>
      <c r="EC18" s="136">
        <f t="array" ref="EC18">IF(EC$3&gt;'QBO Summary'!$B$2,0,SUM(INDIRECT(XLOOKUP(EC$3,'TTM Dates'!$B:$B,'TTM Dates'!$E:$E)&amp;ROW($BK18)&amp;":"&amp;XLOOKUP(EC$3,'TTM Dates'!$B:$B,'TTM Dates'!$C:$C)&amp;ROW($BK18))))</f>
        <v>575078.14</v>
      </c>
    </row>
    <row r="19" outlineLevel="1">
      <c r="B19" s="135" t="s">
        <v>467</v>
      </c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>
        <v>0.0</v>
      </c>
      <c r="AN19" s="137">
        <v>0.0</v>
      </c>
      <c r="AO19" s="137">
        <v>0.0</v>
      </c>
      <c r="AP19" s="137">
        <v>0.0</v>
      </c>
      <c r="AQ19" s="137">
        <v>0.0</v>
      </c>
      <c r="AR19" s="137">
        <v>0.0</v>
      </c>
      <c r="AS19" s="137">
        <v>0.0</v>
      </c>
      <c r="AT19" s="137">
        <v>0.0</v>
      </c>
      <c r="AU19" s="137">
        <v>0.0</v>
      </c>
      <c r="AV19" s="137">
        <v>0.0</v>
      </c>
      <c r="AW19" s="137">
        <v>0.0</v>
      </c>
      <c r="AX19" s="137">
        <v>0.0</v>
      </c>
      <c r="AY19" s="137">
        <v>0.0</v>
      </c>
      <c r="AZ19" s="137">
        <v>0.0</v>
      </c>
      <c r="BA19" s="137">
        <v>0.0</v>
      </c>
      <c r="BB19" s="137">
        <v>0.0</v>
      </c>
      <c r="BC19" s="137">
        <v>6666.67</v>
      </c>
      <c r="BD19" s="137">
        <v>6666.67</v>
      </c>
      <c r="BE19" s="137">
        <v>6666.67</v>
      </c>
      <c r="BF19" s="137"/>
      <c r="BG19" s="137"/>
      <c r="BH19" s="137"/>
      <c r="BI19" s="137"/>
      <c r="BJ19" s="137"/>
      <c r="BK19" s="33"/>
      <c r="BL19" s="288"/>
      <c r="BM19" s="136"/>
      <c r="BN19" s="137"/>
      <c r="BO19" s="137"/>
      <c r="BP19" s="137"/>
      <c r="BQ19" s="137"/>
      <c r="BR19" s="142"/>
      <c r="BS19" s="136"/>
      <c r="BT19" s="136"/>
      <c r="BU19" s="136"/>
      <c r="BV19" s="136"/>
      <c r="BW19" s="136"/>
      <c r="BX19" s="292"/>
      <c r="BY19" s="284"/>
      <c r="BZ19" s="136"/>
      <c r="CA19" s="136"/>
      <c r="CB19" s="136"/>
      <c r="CC19" s="136"/>
      <c r="CD19" s="292"/>
      <c r="CE19" s="284"/>
      <c r="CF19" s="292"/>
      <c r="CG19" s="284"/>
      <c r="CH19" s="136"/>
      <c r="CI19" s="136"/>
      <c r="CJ19" s="136"/>
      <c r="CK19" s="136"/>
      <c r="CL19" s="136"/>
      <c r="CM19" s="136"/>
      <c r="CN19" s="136"/>
      <c r="CO19" s="136"/>
      <c r="CP19" s="136"/>
      <c r="CQ19" s="136"/>
      <c r="CR19" s="136"/>
      <c r="CS19" s="136"/>
      <c r="CT19" s="136"/>
      <c r="CU19" s="136"/>
      <c r="CV19" s="136"/>
      <c r="CW19" s="136"/>
      <c r="CX19" s="136"/>
      <c r="CY19" s="136"/>
      <c r="CZ19" s="136"/>
      <c r="DA19" s="136"/>
      <c r="DB19" s="136"/>
      <c r="DC19" s="136"/>
      <c r="DD19" s="136"/>
      <c r="DE19" s="136"/>
      <c r="DF19" s="136"/>
      <c r="DG19" s="136"/>
      <c r="DH19" s="136"/>
      <c r="DI19" s="136"/>
      <c r="DJ19" s="136"/>
      <c r="DK19" s="136"/>
      <c r="DL19" s="136"/>
      <c r="DM19" s="136"/>
      <c r="DN19" s="136"/>
      <c r="DO19" s="136"/>
      <c r="DP19" s="136"/>
      <c r="DQ19" s="136"/>
      <c r="DR19" s="136"/>
      <c r="DS19" s="136"/>
      <c r="DT19" s="136"/>
      <c r="DU19" s="136"/>
      <c r="DV19" s="136"/>
      <c r="DW19" s="136"/>
      <c r="DX19" s="136"/>
      <c r="DY19" s="136"/>
      <c r="DZ19" s="136"/>
      <c r="EA19" s="136"/>
      <c r="EB19" s="136"/>
      <c r="EC19" s="136"/>
    </row>
    <row r="20">
      <c r="B20" s="280" t="s">
        <v>502</v>
      </c>
      <c r="C20" s="108">
        <f t="shared" ref="C20:BJ20" si="30">SUM(C21:C25)</f>
        <v>56041.38</v>
      </c>
      <c r="D20" s="108">
        <f t="shared" si="30"/>
        <v>94056</v>
      </c>
      <c r="E20" s="108">
        <f t="shared" si="30"/>
        <v>205366</v>
      </c>
      <c r="F20" s="108">
        <f t="shared" si="30"/>
        <v>51825</v>
      </c>
      <c r="G20" s="108">
        <f t="shared" si="30"/>
        <v>180693</v>
      </c>
      <c r="H20" s="108">
        <f t="shared" si="30"/>
        <v>120839.99</v>
      </c>
      <c r="I20" s="108">
        <f t="shared" si="30"/>
        <v>271195</v>
      </c>
      <c r="J20" s="108">
        <f t="shared" si="30"/>
        <v>165070</v>
      </c>
      <c r="K20" s="108">
        <f t="shared" si="30"/>
        <v>162430.04</v>
      </c>
      <c r="L20" s="108">
        <f t="shared" si="30"/>
        <v>180085</v>
      </c>
      <c r="M20" s="108">
        <f t="shared" si="30"/>
        <v>379484</v>
      </c>
      <c r="N20" s="108">
        <f t="shared" si="30"/>
        <v>309727</v>
      </c>
      <c r="O20" s="108">
        <f t="shared" si="30"/>
        <v>221560</v>
      </c>
      <c r="P20" s="108">
        <f t="shared" si="30"/>
        <v>118000</v>
      </c>
      <c r="Q20" s="108">
        <f t="shared" si="30"/>
        <v>612170</v>
      </c>
      <c r="R20" s="108">
        <f t="shared" si="30"/>
        <v>61047.49</v>
      </c>
      <c r="S20" s="108">
        <f t="shared" si="30"/>
        <v>251956.02</v>
      </c>
      <c r="T20" s="108">
        <f t="shared" si="30"/>
        <v>108622.01</v>
      </c>
      <c r="U20" s="108">
        <f t="shared" si="30"/>
        <v>235900</v>
      </c>
      <c r="V20" s="108">
        <f t="shared" si="30"/>
        <v>338259</v>
      </c>
      <c r="W20" s="108">
        <f t="shared" si="30"/>
        <v>651036</v>
      </c>
      <c r="X20" s="108">
        <f t="shared" si="30"/>
        <v>812265.84</v>
      </c>
      <c r="Y20" s="108">
        <f t="shared" si="30"/>
        <v>893916.07</v>
      </c>
      <c r="Z20" s="108">
        <f t="shared" si="30"/>
        <v>790559.03</v>
      </c>
      <c r="AA20" s="108">
        <f t="shared" si="30"/>
        <v>696876.94</v>
      </c>
      <c r="AB20" s="108">
        <f t="shared" si="30"/>
        <v>595485.83</v>
      </c>
      <c r="AC20" s="108">
        <f t="shared" si="30"/>
        <v>518050.35</v>
      </c>
      <c r="AD20" s="108">
        <f t="shared" si="30"/>
        <v>356427.88</v>
      </c>
      <c r="AE20" s="108">
        <f t="shared" si="30"/>
        <v>1394991.8</v>
      </c>
      <c r="AF20" s="108">
        <f t="shared" si="30"/>
        <v>1309836.6</v>
      </c>
      <c r="AG20" s="108">
        <f t="shared" si="30"/>
        <v>1157754.23</v>
      </c>
      <c r="AH20" s="108">
        <f t="shared" si="30"/>
        <v>1082558.61</v>
      </c>
      <c r="AI20" s="108">
        <f t="shared" si="30"/>
        <v>1062342.21</v>
      </c>
      <c r="AJ20" s="108">
        <f t="shared" si="30"/>
        <v>1189811.62</v>
      </c>
      <c r="AK20" s="108">
        <f t="shared" si="30"/>
        <v>1141566.11</v>
      </c>
      <c r="AL20" s="108">
        <f t="shared" si="30"/>
        <v>1893438.96</v>
      </c>
      <c r="AM20" s="108">
        <f t="shared" si="30"/>
        <v>1037388.45</v>
      </c>
      <c r="AN20" s="108">
        <f t="shared" si="30"/>
        <v>951300.97</v>
      </c>
      <c r="AO20" s="108">
        <f t="shared" si="30"/>
        <v>808828.4</v>
      </c>
      <c r="AP20" s="108">
        <f t="shared" si="30"/>
        <v>812516.7</v>
      </c>
      <c r="AQ20" s="108">
        <f t="shared" si="30"/>
        <v>542951.3</v>
      </c>
      <c r="AR20" s="108">
        <f t="shared" si="30"/>
        <v>769023.7</v>
      </c>
      <c r="AS20" s="108">
        <f t="shared" si="30"/>
        <v>519415.2</v>
      </c>
      <c r="AT20" s="108">
        <f t="shared" si="30"/>
        <v>1156161.4</v>
      </c>
      <c r="AU20" s="108">
        <f t="shared" si="30"/>
        <v>1127852.68</v>
      </c>
      <c r="AV20" s="108">
        <f t="shared" si="30"/>
        <v>855056.48</v>
      </c>
      <c r="AW20" s="108">
        <f t="shared" si="30"/>
        <v>688885.43</v>
      </c>
      <c r="AX20" s="108">
        <f t="shared" si="30"/>
        <v>1177162.33</v>
      </c>
      <c r="AY20" s="108">
        <f t="shared" si="30"/>
        <v>587141.33</v>
      </c>
      <c r="AZ20" s="108">
        <f t="shared" si="30"/>
        <v>595079.35</v>
      </c>
      <c r="BA20" s="108">
        <f t="shared" si="30"/>
        <v>2377455.67</v>
      </c>
      <c r="BB20" s="108">
        <f t="shared" si="30"/>
        <v>841754.33</v>
      </c>
      <c r="BC20" s="108">
        <f t="shared" si="30"/>
        <v>1408390.33</v>
      </c>
      <c r="BD20" s="108">
        <f t="shared" si="30"/>
        <v>1523098.66</v>
      </c>
      <c r="BE20" s="108">
        <f t="shared" si="30"/>
        <v>1117748.33</v>
      </c>
      <c r="BF20" s="108">
        <f t="shared" si="30"/>
        <v>974618.67</v>
      </c>
      <c r="BG20" s="108">
        <f t="shared" si="30"/>
        <v>0</v>
      </c>
      <c r="BH20" s="108">
        <f t="shared" si="30"/>
        <v>0</v>
      </c>
      <c r="BI20" s="108">
        <f t="shared" si="30"/>
        <v>0</v>
      </c>
      <c r="BJ20" s="108">
        <f t="shared" si="30"/>
        <v>0</v>
      </c>
      <c r="BK20" s="33"/>
      <c r="BL20" s="282">
        <f t="array" ref="BL20">SUM(INDIRECT(XLOOKUP('QBO Summary'!$B$2,'TTM Dates'!$B:$B,'TTM Dates'!$E:$E)&amp;ROW($BK20)&amp;":"&amp;XLOOKUP('QBO Summary'!$B$2,'TTM Dates'!$B:$B,'TTM Dates'!$C:$C)&amp;ROW($BK20)))</f>
        <v>30318372.75</v>
      </c>
      <c r="BM20" s="283"/>
      <c r="BN20" s="108">
        <f t="shared" ref="BN20:BN24" si="31">sum(AY20:BA20)</f>
        <v>3559676.35</v>
      </c>
      <c r="BO20" s="108">
        <f t="shared" ref="BO20:BO24" si="32">sum(BB20:BD20)</f>
        <v>3773243.32</v>
      </c>
      <c r="BP20" s="108">
        <f t="shared" ref="BP20:BP24" si="33">sum(BE20:BG20)</f>
        <v>2092367</v>
      </c>
      <c r="BQ20" s="108">
        <f t="shared" ref="BQ20:BQ24" si="34">sum(BH20:BJ20)</f>
        <v>0</v>
      </c>
      <c r="BR20" s="282">
        <f t="shared" ref="BR20:BR24" si="35">sum(AY20:BJ20)</f>
        <v>9425286.67</v>
      </c>
      <c r="BS20" s="283"/>
      <c r="BT20" s="108">
        <f t="shared" ref="BT20:BT24" si="36">sum(AM20:AO20)</f>
        <v>2797517.82</v>
      </c>
      <c r="BU20" s="108">
        <f t="shared" ref="BU20:BU24" si="37">sum(AP20:AR20)</f>
        <v>2124491.7</v>
      </c>
      <c r="BV20" s="108">
        <f t="shared" ref="BV20:BV24" si="38">sum(AS20:AU20)</f>
        <v>2803429.28</v>
      </c>
      <c r="BW20" s="108">
        <f t="shared" ref="BW20:BW24" si="39">sum(AV20:AX20)</f>
        <v>2721104.24</v>
      </c>
      <c r="BX20" s="282">
        <f t="shared" ref="BX20:BX24" si="40">sum(AM20:AX20)</f>
        <v>10446543.04</v>
      </c>
      <c r="BY20" s="284"/>
      <c r="BZ20" s="108"/>
      <c r="CA20" s="108"/>
      <c r="CB20" s="108"/>
      <c r="CC20" s="108"/>
      <c r="CD20" s="282">
        <f>sum(AA13:AL13)-CD14</f>
        <v>12476910.79</v>
      </c>
      <c r="CE20" s="284"/>
      <c r="CF20" s="285">
        <v>5001691.0</v>
      </c>
      <c r="CG20" s="44"/>
      <c r="CH20" s="136">
        <f t="array" ref="CH20">IF(CH$3&gt;'QBO Summary'!$B$2,0,SUM(INDIRECT(XLOOKUP(CH$3,'TTM Dates'!$B:$B,'TTM Dates'!$E:$E)&amp;ROW($BK20)&amp;":"&amp;XLOOKUP(CH$3,'TTM Dates'!$B:$B,'TTM Dates'!$C:$C)&amp;ROW($BK20))))</f>
        <v>2342331.03</v>
      </c>
      <c r="CI20" s="286">
        <f t="array" ref="CI20">IF(CI$3&gt;'QBO Summary'!$B$2,0,SUM(INDIRECT(XLOOKUP(CI$3,'TTM Dates'!$B:$B,'TTM Dates'!$E:$E)&amp;ROW($BK20)&amp;":"&amp;XLOOKUP(CI$3,'TTM Dates'!$B:$B,'TTM Dates'!$C:$C)&amp;ROW($BK20))))</f>
        <v>2366275.03</v>
      </c>
      <c r="CJ20" s="286">
        <f t="array" ref="CJ20">IF(CJ$3&gt;'QBO Summary'!$B$2,0,SUM(INDIRECT(XLOOKUP(CJ$3,'TTM Dates'!$B:$B,'TTM Dates'!$E:$E)&amp;ROW($BK20)&amp;":"&amp;XLOOKUP(CJ$3,'TTM Dates'!$B:$B,'TTM Dates'!$C:$C)&amp;ROW($BK20))))</f>
        <v>2773079.03</v>
      </c>
      <c r="CK20" s="286">
        <f t="array" ref="CK20">IF(CK$3&gt;'QBO Summary'!$B$2,0,SUM(INDIRECT(XLOOKUP(CK$3,'TTM Dates'!$B:$B,'TTM Dates'!$E:$E)&amp;ROW($BK20)&amp;":"&amp;XLOOKUP(CK$3,'TTM Dates'!$B:$B,'TTM Dates'!$C:$C)&amp;ROW($BK20))))</f>
        <v>2782301.52</v>
      </c>
      <c r="CL20" s="286">
        <f t="array" ref="CL20">IF(CL$3&gt;'QBO Summary'!$B$2,0,SUM(INDIRECT(XLOOKUP(CL$3,'TTM Dates'!$B:$B,'TTM Dates'!$E:$E)&amp;ROW($BK20)&amp;":"&amp;XLOOKUP(CL$3,'TTM Dates'!$B:$B,'TTM Dates'!$C:$C)&amp;ROW($BK20))))</f>
        <v>2853564.54</v>
      </c>
      <c r="CM20" s="286">
        <f t="array" ref="CM20">IF(CM$3&gt;'QBO Summary'!$B$2,0,SUM(INDIRECT(XLOOKUP(CM$3,'TTM Dates'!$B:$B,'TTM Dates'!$E:$E)&amp;ROW($BK20)&amp;":"&amp;XLOOKUP(CM$3,'TTM Dates'!$B:$B,'TTM Dates'!$C:$C)&amp;ROW($BK20))))</f>
        <v>2841346.56</v>
      </c>
      <c r="CN20" s="286">
        <f t="array" ref="CN20">IF(CN$3&gt;'QBO Summary'!$B$2,0,SUM(INDIRECT(XLOOKUP(CN$3,'TTM Dates'!$B:$B,'TTM Dates'!$E:$E)&amp;ROW($BK20)&amp;":"&amp;XLOOKUP(CN$3,'TTM Dates'!$B:$B,'TTM Dates'!$C:$C)&amp;ROW($BK20))))</f>
        <v>2806051.56</v>
      </c>
      <c r="CO20" s="286">
        <f t="array" ref="CO20">IF(CO$3&gt;'QBO Summary'!$B$2,0,SUM(INDIRECT(XLOOKUP(CO$3,'TTM Dates'!$B:$B,'TTM Dates'!$E:$E)&amp;ROW($BK20)&amp;":"&amp;XLOOKUP(CO$3,'TTM Dates'!$B:$B,'TTM Dates'!$C:$C)&amp;ROW($BK20))))</f>
        <v>2979240.56</v>
      </c>
      <c r="CP20" s="286">
        <f t="array" ref="CP20">IF(CP$3&gt;'QBO Summary'!$B$2,0,SUM(INDIRECT(XLOOKUP(CP$3,'TTM Dates'!$B:$B,'TTM Dates'!$E:$E)&amp;ROW($BK20)&amp;":"&amp;XLOOKUP(CP$3,'TTM Dates'!$B:$B,'TTM Dates'!$C:$C)&amp;ROW($BK20))))</f>
        <v>3467846.52</v>
      </c>
      <c r="CQ20" s="286">
        <f t="array" ref="CQ20">IF(CQ$3&gt;'QBO Summary'!$B$2,0,SUM(INDIRECT(XLOOKUP(CQ$3,'TTM Dates'!$B:$B,'TTM Dates'!$E:$E)&amp;ROW($BK20)&amp;":"&amp;XLOOKUP(CQ$3,'TTM Dates'!$B:$B,'TTM Dates'!$C:$C)&amp;ROW($BK20))))</f>
        <v>4100027.36</v>
      </c>
      <c r="CR20" s="286">
        <f t="array" ref="CR20">IF(CR$3&gt;'QBO Summary'!$B$2,0,SUM(INDIRECT(XLOOKUP(CR$3,'TTM Dates'!$B:$B,'TTM Dates'!$E:$E)&amp;ROW($BK20)&amp;":"&amp;XLOOKUP(CR$3,'TTM Dates'!$B:$B,'TTM Dates'!$C:$C)&amp;ROW($BK20))))</f>
        <v>4614459.43</v>
      </c>
      <c r="CS20" s="286">
        <f t="array" ref="CS20">IF(CS$3&gt;'QBO Summary'!$B$2,0,SUM(INDIRECT(XLOOKUP(CS$3,'TTM Dates'!$B:$B,'TTM Dates'!$E:$E)&amp;ROW($BK20)&amp;":"&amp;XLOOKUP(CS$3,'TTM Dates'!$B:$B,'TTM Dates'!$C:$C)&amp;ROW($BK20))))</f>
        <v>5095291.46</v>
      </c>
      <c r="CT20" s="286">
        <f t="array" ref="CT20">IF(CT$3&gt;'QBO Summary'!$B$2,0,SUM(INDIRECT(XLOOKUP(CT$3,'TTM Dates'!$B:$B,'TTM Dates'!$E:$E)&amp;ROW($BK20)&amp;":"&amp;XLOOKUP(CT$3,'TTM Dates'!$B:$B,'TTM Dates'!$C:$C)&amp;ROW($BK20))))</f>
        <v>5570608.4</v>
      </c>
      <c r="CU20" s="286">
        <f t="array" ref="CU20">IF(CU$3&gt;'QBO Summary'!$B$2,0,SUM(INDIRECT(XLOOKUP(CU$3,'TTM Dates'!$B:$B,'TTM Dates'!$E:$E)&amp;ROW($BK20)&amp;":"&amp;XLOOKUP(CU$3,'TTM Dates'!$B:$B,'TTM Dates'!$C:$C)&amp;ROW($BK20))))</f>
        <v>6048094.23</v>
      </c>
      <c r="CV20" s="286">
        <f t="array" ref="CV20">IF(CV$3&gt;'QBO Summary'!$B$2,0,SUM(INDIRECT(XLOOKUP(CV$3,'TTM Dates'!$B:$B,'TTM Dates'!$E:$E)&amp;ROW($BK20)&amp;":"&amp;XLOOKUP(CV$3,'TTM Dates'!$B:$B,'TTM Dates'!$C:$C)&amp;ROW($BK20))))</f>
        <v>5953974.58</v>
      </c>
      <c r="CW20" s="286">
        <f t="array" ref="CW20">IF(CW$3&gt;'QBO Summary'!$B$2,0,SUM(INDIRECT(XLOOKUP(CW$3,'TTM Dates'!$B:$B,'TTM Dates'!$E:$E)&amp;ROW($BK20)&amp;":"&amp;XLOOKUP(CW$3,'TTM Dates'!$B:$B,'TTM Dates'!$C:$C)&amp;ROW($BK20))))</f>
        <v>6249354.97</v>
      </c>
      <c r="CX20" s="286">
        <f t="array" ref="CX20">IF(CX$3&gt;'QBO Summary'!$B$2,0,SUM(INDIRECT(XLOOKUP(CX$3,'TTM Dates'!$B:$B,'TTM Dates'!$E:$E)&amp;ROW($BK20)&amp;":"&amp;XLOOKUP(CX$3,'TTM Dates'!$B:$B,'TTM Dates'!$C:$C)&amp;ROW($BK20))))</f>
        <v>7392390.75</v>
      </c>
      <c r="CY20" s="286">
        <f t="array" ref="CY20">IF(CY$3&gt;'QBO Summary'!$B$2,0,SUM(INDIRECT(XLOOKUP(CY$3,'TTM Dates'!$B:$B,'TTM Dates'!$E:$E)&amp;ROW($BK20)&amp;":"&amp;XLOOKUP(CY$3,'TTM Dates'!$B:$B,'TTM Dates'!$C:$C)&amp;ROW($BK20))))</f>
        <v>8593605.34</v>
      </c>
      <c r="CZ20" s="286">
        <f t="array" ref="CZ20">IF(CZ$3&gt;'QBO Summary'!$B$2,0,SUM(INDIRECT(XLOOKUP(CZ$3,'TTM Dates'!$B:$B,'TTM Dates'!$E:$E)&amp;ROW($BK20)&amp;":"&amp;XLOOKUP(CZ$3,'TTM Dates'!$B:$B,'TTM Dates'!$C:$C)&amp;ROW($BK20))))</f>
        <v>9515459.57</v>
      </c>
      <c r="DA20" s="286">
        <f t="array" ref="DA20">IF(DA$3&gt;'QBO Summary'!$B$2,0,SUM(INDIRECT(XLOOKUP(DA$3,'TTM Dates'!$B:$B,'TTM Dates'!$E:$E)&amp;ROW($BK20)&amp;":"&amp;XLOOKUP(DA$3,'TTM Dates'!$B:$B,'TTM Dates'!$C:$C)&amp;ROW($BK20))))</f>
        <v>10259759.18</v>
      </c>
      <c r="DB20" s="286">
        <f t="array" ref="DB20">IF(DB$3&gt;'QBO Summary'!$B$2,0,SUM(INDIRECT(XLOOKUP(DB$3,'TTM Dates'!$B:$B,'TTM Dates'!$E:$E)&amp;ROW($BK20)&amp;":"&amp;XLOOKUP(DB$3,'TTM Dates'!$B:$B,'TTM Dates'!$C:$C)&amp;ROW($BK20))))</f>
        <v>10671065.39</v>
      </c>
      <c r="DC20" s="286">
        <f t="array" ref="DC20">IF(DC$3&gt;'QBO Summary'!$B$2,0,SUM(INDIRECT(XLOOKUP(DC$3,'TTM Dates'!$B:$B,'TTM Dates'!$E:$E)&amp;ROW($BK20)&amp;":"&amp;XLOOKUP(DC$3,'TTM Dates'!$B:$B,'TTM Dates'!$C:$C)&amp;ROW($BK20))))</f>
        <v>11048611.17</v>
      </c>
      <c r="DD20" s="286">
        <f t="array" ref="DD20">IF(DD$3&gt;'QBO Summary'!$B$2,0,SUM(INDIRECT(XLOOKUP(DD$3,'TTM Dates'!$B:$B,'TTM Dates'!$E:$E)&amp;ROW($BK20)&amp;":"&amp;XLOOKUP(DD$3,'TTM Dates'!$B:$B,'TTM Dates'!$C:$C)&amp;ROW($BK20))))</f>
        <v>11296261.21</v>
      </c>
      <c r="DE20" s="286">
        <f t="array" ref="DE20">IF(DE$3&gt;'QBO Summary'!$B$2,0,SUM(INDIRECT(XLOOKUP(DE$3,'TTM Dates'!$B:$B,'TTM Dates'!$E:$E)&amp;ROW($BK20)&amp;":"&amp;XLOOKUP(DE$3,'TTM Dates'!$B:$B,'TTM Dates'!$C:$C)&amp;ROW($BK20))))</f>
        <v>12399141.14</v>
      </c>
      <c r="DF20" s="286">
        <f t="array" ref="DF20">IF(DF$3&gt;'QBO Summary'!$B$2,0,SUM(INDIRECT(XLOOKUP(DF$3,'TTM Dates'!$B:$B,'TTM Dates'!$E:$E)&amp;ROW($BK20)&amp;":"&amp;XLOOKUP(DF$3,'TTM Dates'!$B:$B,'TTM Dates'!$C:$C)&amp;ROW($BK20))))</f>
        <v>12739652.65</v>
      </c>
      <c r="DG20" s="286">
        <f t="array" ref="DG20">IF(DG$3&gt;'QBO Summary'!$B$2,0,SUM(INDIRECT(XLOOKUP(DG$3,'TTM Dates'!$B:$B,'TTM Dates'!$E:$E)&amp;ROW($BK20)&amp;":"&amp;XLOOKUP(DG$3,'TTM Dates'!$B:$B,'TTM Dates'!$C:$C)&amp;ROW($BK20))))</f>
        <v>13095467.79</v>
      </c>
      <c r="DH20" s="286">
        <f t="array" ref="DH20">IF(DH$3&gt;'QBO Summary'!$B$2,0,SUM(INDIRECT(XLOOKUP(DH$3,'TTM Dates'!$B:$B,'TTM Dates'!$E:$E)&amp;ROW($BK20)&amp;":"&amp;XLOOKUP(DH$3,'TTM Dates'!$B:$B,'TTM Dates'!$C:$C)&amp;ROW($BK20))))</f>
        <v>13386245.84</v>
      </c>
      <c r="DI20" s="286">
        <f t="array" ref="DI20">IF(DI$3&gt;'QBO Summary'!$B$2,0,SUM(INDIRECT(XLOOKUP(DI$3,'TTM Dates'!$B:$B,'TTM Dates'!$E:$E)&amp;ROW($BK20)&amp;":"&amp;XLOOKUP(DI$3,'TTM Dates'!$B:$B,'TTM Dates'!$C:$C)&amp;ROW($BK20))))</f>
        <v>13842334.66</v>
      </c>
      <c r="DJ20" s="286">
        <f t="array" ref="DJ20">IF(DJ$3&gt;'QBO Summary'!$B$2,0,SUM(INDIRECT(XLOOKUP(DJ$3,'TTM Dates'!$B:$B,'TTM Dates'!$E:$E)&amp;ROW($BK20)&amp;":"&amp;XLOOKUP(DJ$3,'TTM Dates'!$B:$B,'TTM Dates'!$C:$C)&amp;ROW($BK20))))</f>
        <v>12990294.16</v>
      </c>
      <c r="DK20" s="286">
        <f t="array" ref="DK20">IF(DK$3&gt;'QBO Summary'!$B$2,0,SUM(INDIRECT(XLOOKUP(DK$3,'TTM Dates'!$B:$B,'TTM Dates'!$E:$E)&amp;ROW($BK20)&amp;":"&amp;XLOOKUP(DK$3,'TTM Dates'!$B:$B,'TTM Dates'!$C:$C)&amp;ROW($BK20))))</f>
        <v>12449481.26</v>
      </c>
      <c r="DL20" s="286">
        <f t="array" ref="DL20">IF(DL$3&gt;'QBO Summary'!$B$2,0,SUM(INDIRECT(XLOOKUP(DL$3,'TTM Dates'!$B:$B,'TTM Dates'!$E:$E)&amp;ROW($BK20)&amp;":"&amp;XLOOKUP(DL$3,'TTM Dates'!$B:$B,'TTM Dates'!$C:$C)&amp;ROW($BK20))))</f>
        <v>11811142.23</v>
      </c>
      <c r="DM20" s="286">
        <f t="array" ref="DM20">IF(DM$3&gt;'QBO Summary'!$B$2,0,SUM(INDIRECT(XLOOKUP(DM$3,'TTM Dates'!$B:$B,'TTM Dates'!$E:$E)&amp;ROW($BK20)&amp;":"&amp;XLOOKUP(DM$3,'TTM Dates'!$B:$B,'TTM Dates'!$C:$C)&amp;ROW($BK20))))</f>
        <v>11884745.02</v>
      </c>
      <c r="DN20" s="286">
        <f t="array" ref="DN20">IF(DN$3&gt;'QBO Summary'!$B$2,0,SUM(INDIRECT(XLOOKUP(DN$3,'TTM Dates'!$B:$B,'TTM Dates'!$E:$E)&amp;ROW($BK20)&amp;":"&amp;XLOOKUP(DN$3,'TTM Dates'!$B:$B,'TTM Dates'!$C:$C)&amp;ROW($BK20))))</f>
        <v>11950255.49</v>
      </c>
      <c r="DO20" s="286">
        <f t="array" ref="DO20">IF(DO$3&gt;'QBO Summary'!$B$2,0,SUM(INDIRECT(XLOOKUP(DO$3,'TTM Dates'!$B:$B,'TTM Dates'!$E:$E)&amp;ROW($BK20)&amp;":"&amp;XLOOKUP(DO$3,'TTM Dates'!$B:$B,'TTM Dates'!$C:$C)&amp;ROW($BK20))))</f>
        <v>11615500.35</v>
      </c>
      <c r="DP20" s="286">
        <f t="array" ref="DP20">IF(DP$3&gt;'QBO Summary'!$B$2,0,SUM(INDIRECT(XLOOKUP(DP$3,'TTM Dates'!$B:$B,'TTM Dates'!$E:$E)&amp;ROW($BK20)&amp;":"&amp;XLOOKUP(DP$3,'TTM Dates'!$B:$B,'TTM Dates'!$C:$C)&amp;ROW($BK20))))</f>
        <v>11162819.67</v>
      </c>
      <c r="DQ20" s="286">
        <f t="array" ref="DQ20">IF(DQ$3&gt;'QBO Summary'!$B$2,0,SUM(INDIRECT(XLOOKUP(DQ$3,'TTM Dates'!$B:$B,'TTM Dates'!$E:$E)&amp;ROW($BK20)&amp;":"&amp;XLOOKUP(DQ$3,'TTM Dates'!$B:$B,'TTM Dates'!$C:$C)&amp;ROW($BK20))))</f>
        <v>10446543.04</v>
      </c>
      <c r="DR20" s="286">
        <f t="array" ref="DR20">IF(DR$3&gt;'QBO Summary'!$B$2,0,SUM(INDIRECT(XLOOKUP(DR$3,'TTM Dates'!$B:$B,'TTM Dates'!$E:$E)&amp;ROW($BK20)&amp;":"&amp;XLOOKUP(DR$3,'TTM Dates'!$B:$B,'TTM Dates'!$C:$C)&amp;ROW($BK20))))</f>
        <v>9996295.92</v>
      </c>
      <c r="DS20" s="286">
        <f t="array" ref="DS20">IF(DS$3&gt;'QBO Summary'!$B$2,0,SUM(INDIRECT(XLOOKUP(DS$3,'TTM Dates'!$B:$B,'TTM Dates'!$E:$E)&amp;ROW($BK20)&amp;":"&amp;XLOOKUP(DS$3,'TTM Dates'!$B:$B,'TTM Dates'!$C:$C)&amp;ROW($BK20))))</f>
        <v>9640074.3</v>
      </c>
      <c r="DT20" s="286">
        <f t="array" ref="DT20">IF(DT$3&gt;'QBO Summary'!$B$2,0,SUM(INDIRECT(XLOOKUP(DT$3,'TTM Dates'!$B:$B,'TTM Dates'!$E:$E)&amp;ROW($BK20)&amp;":"&amp;XLOOKUP(DT$3,'TTM Dates'!$B:$B,'TTM Dates'!$C:$C)&amp;ROW($BK20))))</f>
        <v>11208701.57</v>
      </c>
      <c r="DU20" s="286">
        <f t="array" ref="DU20">IF(DU$3&gt;'QBO Summary'!$B$2,0,SUM(INDIRECT(XLOOKUP(DU$3,'TTM Dates'!$B:$B,'TTM Dates'!$E:$E)&amp;ROW($BK20)&amp;":"&amp;XLOOKUP(DU$3,'TTM Dates'!$B:$B,'TTM Dates'!$C:$C)&amp;ROW($BK20))))</f>
        <v>11237939.2</v>
      </c>
      <c r="DV20" s="286">
        <f t="array" ref="DV20">IF(DV$3&gt;'QBO Summary'!$B$2,0,SUM(INDIRECT(XLOOKUP(DV$3,'TTM Dates'!$B:$B,'TTM Dates'!$E:$E)&amp;ROW($BK20)&amp;":"&amp;XLOOKUP(DV$3,'TTM Dates'!$B:$B,'TTM Dates'!$C:$C)&amp;ROW($BK20))))</f>
        <v>12103378.23</v>
      </c>
      <c r="DW20" s="286">
        <f t="array" ref="DW20">IF(DW$3&gt;'QBO Summary'!$B$2,0,SUM(INDIRECT(XLOOKUP(DW$3,'TTM Dates'!$B:$B,'TTM Dates'!$E:$E)&amp;ROW($BK20)&amp;":"&amp;XLOOKUP(DW$3,'TTM Dates'!$B:$B,'TTM Dates'!$C:$C)&amp;ROW($BK20))))</f>
        <v>12857453.19</v>
      </c>
      <c r="DX20" s="286">
        <f t="array" ref="DX20">IF(DX$3&gt;'QBO Summary'!$B$2,0,SUM(INDIRECT(XLOOKUP(DX$3,'TTM Dates'!$B:$B,'TTM Dates'!$E:$E)&amp;ROW($BK20)&amp;":"&amp;XLOOKUP(DX$3,'TTM Dates'!$B:$B,'TTM Dates'!$C:$C)&amp;ROW($BK20))))</f>
        <v>13455786.32</v>
      </c>
      <c r="DY20" s="286">
        <f t="array" ref="DY20">IF(DY$3&gt;'QBO Summary'!$B$2,0,SUM(INDIRECT(XLOOKUP(DY$3,'TTM Dates'!$B:$B,'TTM Dates'!$E:$E)&amp;ROW($BK20)&amp;":"&amp;XLOOKUP(DY$3,'TTM Dates'!$B:$B,'TTM Dates'!$C:$C)&amp;ROW($BK20))))</f>
        <v>13274243.59</v>
      </c>
      <c r="DZ20" s="286">
        <f t="array" ref="DZ20">IF(DZ$3&gt;'QBO Summary'!$B$2,0,SUM(INDIRECT(XLOOKUP(DZ$3,'TTM Dates'!$B:$B,'TTM Dates'!$E:$E)&amp;ROW($BK20)&amp;":"&amp;XLOOKUP(DZ$3,'TTM Dates'!$B:$B,'TTM Dates'!$C:$C)&amp;ROW($BK20))))</f>
        <v>12146390.91</v>
      </c>
      <c r="EA20" s="286">
        <f t="array" ref="EA20">IF(EA$3&gt;'QBO Summary'!$B$2,0,SUM(INDIRECT(XLOOKUP(EA$3,'TTM Dates'!$B:$B,'TTM Dates'!$E:$E)&amp;ROW($BK20)&amp;":"&amp;XLOOKUP(EA$3,'TTM Dates'!$B:$B,'TTM Dates'!$C:$C)&amp;ROW($BK20))))</f>
        <v>11291334.43</v>
      </c>
      <c r="EB20" s="286">
        <f t="array" ref="EB20">IF(EB$3&gt;'QBO Summary'!$B$2,0,SUM(INDIRECT(XLOOKUP(EB$3,'TTM Dates'!$B:$B,'TTM Dates'!$E:$E)&amp;ROW($BK20)&amp;":"&amp;XLOOKUP(EB$3,'TTM Dates'!$B:$B,'TTM Dates'!$C:$C)&amp;ROW($BK20))))</f>
        <v>10602449</v>
      </c>
      <c r="EC20" s="286">
        <f t="array" ref="EC20">IF(EC$3&gt;'QBO Summary'!$B$2,0,SUM(INDIRECT(XLOOKUP(EC$3,'TTM Dates'!$B:$B,'TTM Dates'!$E:$E)&amp;ROW($BK20)&amp;":"&amp;XLOOKUP(EC$3,'TTM Dates'!$B:$B,'TTM Dates'!$C:$C)&amp;ROW($BK20))))</f>
        <v>9425286.67</v>
      </c>
    </row>
    <row r="21" outlineLevel="1">
      <c r="B21" s="135" t="s">
        <v>465</v>
      </c>
      <c r="C21" s="136"/>
      <c r="D21" s="136"/>
      <c r="E21" s="136"/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7">
        <v>56832.0</v>
      </c>
      <c r="AN21" s="137">
        <v>0.0</v>
      </c>
      <c r="AO21" s="137">
        <v>52800.0</v>
      </c>
      <c r="AP21" s="137">
        <v>110100.0</v>
      </c>
      <c r="AQ21" s="137">
        <v>0.0</v>
      </c>
      <c r="AR21" s="137">
        <v>309332.0</v>
      </c>
      <c r="AS21" s="137">
        <v>24700.0</v>
      </c>
      <c r="AT21" s="137">
        <v>33750.0</v>
      </c>
      <c r="AU21" s="137">
        <v>331162.5</v>
      </c>
      <c r="AV21" s="137">
        <v>40275.0</v>
      </c>
      <c r="AW21" s="137">
        <v>119516.5</v>
      </c>
      <c r="AX21" s="137">
        <v>283584.0</v>
      </c>
      <c r="AY21" s="137">
        <v>19344.0</v>
      </c>
      <c r="AZ21" s="137">
        <v>0.0</v>
      </c>
      <c r="BA21" s="145">
        <v>813416.0</v>
      </c>
      <c r="BB21" s="137">
        <v>67001.0</v>
      </c>
      <c r="BC21" s="137">
        <v>346095.0</v>
      </c>
      <c r="BD21" s="137">
        <v>40500.0</v>
      </c>
      <c r="BE21" s="137">
        <v>60500.0</v>
      </c>
      <c r="BF21" s="137">
        <v>21175.0</v>
      </c>
      <c r="BG21" s="137"/>
      <c r="BH21" s="137"/>
      <c r="BI21" s="137"/>
      <c r="BJ21" s="137"/>
      <c r="BK21" s="33"/>
      <c r="BL21" s="288">
        <f t="array" ref="BL21">SUM(INDIRECT(XLOOKUP('QBO Summary'!$B$2,'TTM Dates'!$B:$B,'TTM Dates'!$E:$E)&amp;ROW($BK21)&amp;":"&amp;XLOOKUP('QBO Summary'!$B$2,'TTM Dates'!$B:$B,'TTM Dates'!$C:$C)&amp;ROW($BK21)))</f>
        <v>4092135</v>
      </c>
      <c r="BM21" s="136"/>
      <c r="BN21" s="136">
        <f t="shared" si="31"/>
        <v>832760</v>
      </c>
      <c r="BO21" s="136">
        <f t="shared" si="32"/>
        <v>453596</v>
      </c>
      <c r="BP21" s="136">
        <f t="shared" si="33"/>
        <v>81675</v>
      </c>
      <c r="BQ21" s="136">
        <f t="shared" si="34"/>
        <v>0</v>
      </c>
      <c r="BR21" s="292">
        <f t="shared" si="35"/>
        <v>1368031</v>
      </c>
      <c r="BS21" s="136"/>
      <c r="BT21" s="136">
        <f t="shared" si="36"/>
        <v>109632</v>
      </c>
      <c r="BU21" s="136">
        <f t="shared" si="37"/>
        <v>419432</v>
      </c>
      <c r="BV21" s="136">
        <f t="shared" si="38"/>
        <v>389612.5</v>
      </c>
      <c r="BW21" s="136">
        <f t="shared" si="39"/>
        <v>443375.5</v>
      </c>
      <c r="BX21" s="292">
        <f t="shared" si="40"/>
        <v>1362052</v>
      </c>
      <c r="BY21" s="136"/>
      <c r="BZ21" s="136"/>
      <c r="CA21" s="136"/>
      <c r="CB21" s="136"/>
      <c r="CC21" s="136"/>
      <c r="CD21" s="292"/>
      <c r="CE21" s="136"/>
      <c r="CF21" s="292"/>
      <c r="CG21" s="136"/>
      <c r="CH21" s="136">
        <f t="array" ref="CH21">IF(CH$3&gt;'QBO Summary'!$B$2,0,SUM(INDIRECT(XLOOKUP(CH$3,'TTM Dates'!$B:$B,'TTM Dates'!$E:$E)&amp;ROW($BK21)&amp;":"&amp;XLOOKUP(CH$3,'TTM Dates'!$B:$B,'TTM Dates'!$C:$C)&amp;ROW($BK21))))</f>
        <v>0</v>
      </c>
      <c r="CI21" s="136">
        <f t="array" ref="CI21">IF(CI$3&gt;'QBO Summary'!$B$2,0,SUM(INDIRECT(XLOOKUP(CI$3,'TTM Dates'!$B:$B,'TTM Dates'!$E:$E)&amp;ROW($BK21)&amp;":"&amp;XLOOKUP(CI$3,'TTM Dates'!$B:$B,'TTM Dates'!$C:$C)&amp;ROW($BK21))))</f>
        <v>0</v>
      </c>
      <c r="CJ21" s="136">
        <f t="array" ref="CJ21">IF(CJ$3&gt;'QBO Summary'!$B$2,0,SUM(INDIRECT(XLOOKUP(CJ$3,'TTM Dates'!$B:$B,'TTM Dates'!$E:$E)&amp;ROW($BK21)&amp;":"&amp;XLOOKUP(CJ$3,'TTM Dates'!$B:$B,'TTM Dates'!$C:$C)&amp;ROW($BK21))))</f>
        <v>0</v>
      </c>
      <c r="CK21" s="136">
        <f t="array" ref="CK21">IF(CK$3&gt;'QBO Summary'!$B$2,0,SUM(INDIRECT(XLOOKUP(CK$3,'TTM Dates'!$B:$B,'TTM Dates'!$E:$E)&amp;ROW($BK21)&amp;":"&amp;XLOOKUP(CK$3,'TTM Dates'!$B:$B,'TTM Dates'!$C:$C)&amp;ROW($BK21))))</f>
        <v>0</v>
      </c>
      <c r="CL21" s="136">
        <f t="array" ref="CL21">IF(CL$3&gt;'QBO Summary'!$B$2,0,SUM(INDIRECT(XLOOKUP(CL$3,'TTM Dates'!$B:$B,'TTM Dates'!$E:$E)&amp;ROW($BK21)&amp;":"&amp;XLOOKUP(CL$3,'TTM Dates'!$B:$B,'TTM Dates'!$C:$C)&amp;ROW($BK21))))</f>
        <v>0</v>
      </c>
      <c r="CM21" s="136">
        <f t="array" ref="CM21">IF(CM$3&gt;'QBO Summary'!$B$2,0,SUM(INDIRECT(XLOOKUP(CM$3,'TTM Dates'!$B:$B,'TTM Dates'!$E:$E)&amp;ROW($BK21)&amp;":"&amp;XLOOKUP(CM$3,'TTM Dates'!$B:$B,'TTM Dates'!$C:$C)&amp;ROW($BK21))))</f>
        <v>0</v>
      </c>
      <c r="CN21" s="136">
        <f t="array" ref="CN21">IF(CN$3&gt;'QBO Summary'!$B$2,0,SUM(INDIRECT(XLOOKUP(CN$3,'TTM Dates'!$B:$B,'TTM Dates'!$E:$E)&amp;ROW($BK21)&amp;":"&amp;XLOOKUP(CN$3,'TTM Dates'!$B:$B,'TTM Dates'!$C:$C)&amp;ROW($BK21))))</f>
        <v>0</v>
      </c>
      <c r="CO21" s="136">
        <f t="array" ref="CO21">IF(CO$3&gt;'QBO Summary'!$B$2,0,SUM(INDIRECT(XLOOKUP(CO$3,'TTM Dates'!$B:$B,'TTM Dates'!$E:$E)&amp;ROW($BK21)&amp;":"&amp;XLOOKUP(CO$3,'TTM Dates'!$B:$B,'TTM Dates'!$C:$C)&amp;ROW($BK21))))</f>
        <v>0</v>
      </c>
      <c r="CP21" s="136">
        <f t="array" ref="CP21">IF(CP$3&gt;'QBO Summary'!$B$2,0,SUM(INDIRECT(XLOOKUP(CP$3,'TTM Dates'!$B:$B,'TTM Dates'!$E:$E)&amp;ROW($BK21)&amp;":"&amp;XLOOKUP(CP$3,'TTM Dates'!$B:$B,'TTM Dates'!$C:$C)&amp;ROW($BK21))))</f>
        <v>0</v>
      </c>
      <c r="CQ21" s="136">
        <f t="array" ref="CQ21">IF(CQ$3&gt;'QBO Summary'!$B$2,0,SUM(INDIRECT(XLOOKUP(CQ$3,'TTM Dates'!$B:$B,'TTM Dates'!$E:$E)&amp;ROW($BK21)&amp;":"&amp;XLOOKUP(CQ$3,'TTM Dates'!$B:$B,'TTM Dates'!$C:$C)&amp;ROW($BK21))))</f>
        <v>0</v>
      </c>
      <c r="CR21" s="136">
        <f t="array" ref="CR21">IF(CR$3&gt;'QBO Summary'!$B$2,0,SUM(INDIRECT(XLOOKUP(CR$3,'TTM Dates'!$B:$B,'TTM Dates'!$E:$E)&amp;ROW($BK21)&amp;":"&amp;XLOOKUP(CR$3,'TTM Dates'!$B:$B,'TTM Dates'!$C:$C)&amp;ROW($BK21))))</f>
        <v>0</v>
      </c>
      <c r="CS21" s="136">
        <f t="array" ref="CS21">IF(CS$3&gt;'QBO Summary'!$B$2,0,SUM(INDIRECT(XLOOKUP(CS$3,'TTM Dates'!$B:$B,'TTM Dates'!$E:$E)&amp;ROW($BK21)&amp;":"&amp;XLOOKUP(CS$3,'TTM Dates'!$B:$B,'TTM Dates'!$C:$C)&amp;ROW($BK21))))</f>
        <v>0</v>
      </c>
      <c r="CT21" s="136">
        <f t="array" ref="CT21">IF(CT$3&gt;'QBO Summary'!$B$2,0,SUM(INDIRECT(XLOOKUP(CT$3,'TTM Dates'!$B:$B,'TTM Dates'!$E:$E)&amp;ROW($BK21)&amp;":"&amp;XLOOKUP(CT$3,'TTM Dates'!$B:$B,'TTM Dates'!$C:$C)&amp;ROW($BK21))))</f>
        <v>0</v>
      </c>
      <c r="CU21" s="136">
        <f t="array" ref="CU21">IF(CU$3&gt;'QBO Summary'!$B$2,0,SUM(INDIRECT(XLOOKUP(CU$3,'TTM Dates'!$B:$B,'TTM Dates'!$E:$E)&amp;ROW($BK21)&amp;":"&amp;XLOOKUP(CU$3,'TTM Dates'!$B:$B,'TTM Dates'!$C:$C)&amp;ROW($BK21))))</f>
        <v>0</v>
      </c>
      <c r="CV21" s="136">
        <f t="array" ref="CV21">IF(CV$3&gt;'QBO Summary'!$B$2,0,SUM(INDIRECT(XLOOKUP(CV$3,'TTM Dates'!$B:$B,'TTM Dates'!$E:$E)&amp;ROW($BK21)&amp;":"&amp;XLOOKUP(CV$3,'TTM Dates'!$B:$B,'TTM Dates'!$C:$C)&amp;ROW($BK21))))</f>
        <v>0</v>
      </c>
      <c r="CW21" s="136">
        <f t="array" ref="CW21">IF(CW$3&gt;'QBO Summary'!$B$2,0,SUM(INDIRECT(XLOOKUP(CW$3,'TTM Dates'!$B:$B,'TTM Dates'!$E:$E)&amp;ROW($BK21)&amp;":"&amp;XLOOKUP(CW$3,'TTM Dates'!$B:$B,'TTM Dates'!$C:$C)&amp;ROW($BK21))))</f>
        <v>0</v>
      </c>
      <c r="CX21" s="136">
        <f t="array" ref="CX21">IF(CX$3&gt;'QBO Summary'!$B$2,0,SUM(INDIRECT(XLOOKUP(CX$3,'TTM Dates'!$B:$B,'TTM Dates'!$E:$E)&amp;ROW($BK21)&amp;":"&amp;XLOOKUP(CX$3,'TTM Dates'!$B:$B,'TTM Dates'!$C:$C)&amp;ROW($BK21))))</f>
        <v>0</v>
      </c>
      <c r="CY21" s="136">
        <f t="array" ref="CY21">IF(CY$3&gt;'QBO Summary'!$B$2,0,SUM(INDIRECT(XLOOKUP(CY$3,'TTM Dates'!$B:$B,'TTM Dates'!$E:$E)&amp;ROW($BK21)&amp;":"&amp;XLOOKUP(CY$3,'TTM Dates'!$B:$B,'TTM Dates'!$C:$C)&amp;ROW($BK21))))</f>
        <v>0</v>
      </c>
      <c r="CZ21" s="136">
        <f t="array" ref="CZ21">IF(CZ$3&gt;'QBO Summary'!$B$2,0,SUM(INDIRECT(XLOOKUP(CZ$3,'TTM Dates'!$B:$B,'TTM Dates'!$E:$E)&amp;ROW($BK21)&amp;":"&amp;XLOOKUP(CZ$3,'TTM Dates'!$B:$B,'TTM Dates'!$C:$C)&amp;ROW($BK21))))</f>
        <v>0</v>
      </c>
      <c r="DA21" s="136">
        <f t="array" ref="DA21">IF(DA$3&gt;'QBO Summary'!$B$2,0,SUM(INDIRECT(XLOOKUP(DA$3,'TTM Dates'!$B:$B,'TTM Dates'!$E:$E)&amp;ROW($BK21)&amp;":"&amp;XLOOKUP(DA$3,'TTM Dates'!$B:$B,'TTM Dates'!$C:$C)&amp;ROW($BK21))))</f>
        <v>0</v>
      </c>
      <c r="DB21" s="136">
        <f t="array" ref="DB21">IF(DB$3&gt;'QBO Summary'!$B$2,0,SUM(INDIRECT(XLOOKUP(DB$3,'TTM Dates'!$B:$B,'TTM Dates'!$E:$E)&amp;ROW($BK21)&amp;":"&amp;XLOOKUP(DB$3,'TTM Dates'!$B:$B,'TTM Dates'!$C:$C)&amp;ROW($BK21))))</f>
        <v>0</v>
      </c>
      <c r="DC21" s="136">
        <f t="array" ref="DC21">IF(DC$3&gt;'QBO Summary'!$B$2,0,SUM(INDIRECT(XLOOKUP(DC$3,'TTM Dates'!$B:$B,'TTM Dates'!$E:$E)&amp;ROW($BK21)&amp;":"&amp;XLOOKUP(DC$3,'TTM Dates'!$B:$B,'TTM Dates'!$C:$C)&amp;ROW($BK21))))</f>
        <v>0</v>
      </c>
      <c r="DD21" s="136">
        <f t="array" ref="DD21">IF(DD$3&gt;'QBO Summary'!$B$2,0,SUM(INDIRECT(XLOOKUP(DD$3,'TTM Dates'!$B:$B,'TTM Dates'!$E:$E)&amp;ROW($BK21)&amp;":"&amp;XLOOKUP(DD$3,'TTM Dates'!$B:$B,'TTM Dates'!$C:$C)&amp;ROW($BK21))))</f>
        <v>0</v>
      </c>
      <c r="DE21" s="136">
        <f t="array" ref="DE21">IF(DE$3&gt;'QBO Summary'!$B$2,0,SUM(INDIRECT(XLOOKUP(DE$3,'TTM Dates'!$B:$B,'TTM Dates'!$E:$E)&amp;ROW($BK21)&amp;":"&amp;XLOOKUP(DE$3,'TTM Dates'!$B:$B,'TTM Dates'!$C:$C)&amp;ROW($BK21))))</f>
        <v>0</v>
      </c>
      <c r="DF21" s="136">
        <f t="array" ref="DF21">IF(DF$3&gt;'QBO Summary'!$B$2,0,SUM(INDIRECT(XLOOKUP(DF$3,'TTM Dates'!$B:$B,'TTM Dates'!$E:$E)&amp;ROW($BK21)&amp;":"&amp;XLOOKUP(DF$3,'TTM Dates'!$B:$B,'TTM Dates'!$C:$C)&amp;ROW($BK21))))</f>
        <v>56832</v>
      </c>
      <c r="DG21" s="136">
        <f t="array" ref="DG21">IF(DG$3&gt;'QBO Summary'!$B$2,0,SUM(INDIRECT(XLOOKUP(DG$3,'TTM Dates'!$B:$B,'TTM Dates'!$E:$E)&amp;ROW($BK21)&amp;":"&amp;XLOOKUP(DG$3,'TTM Dates'!$B:$B,'TTM Dates'!$C:$C)&amp;ROW($BK21))))</f>
        <v>56832</v>
      </c>
      <c r="DH21" s="136">
        <f t="array" ref="DH21">IF(DH$3&gt;'QBO Summary'!$B$2,0,SUM(INDIRECT(XLOOKUP(DH$3,'TTM Dates'!$B:$B,'TTM Dates'!$E:$E)&amp;ROW($BK21)&amp;":"&amp;XLOOKUP(DH$3,'TTM Dates'!$B:$B,'TTM Dates'!$C:$C)&amp;ROW($BK21))))</f>
        <v>109632</v>
      </c>
      <c r="DI21" s="136">
        <f t="array" ref="DI21">IF(DI$3&gt;'QBO Summary'!$B$2,0,SUM(INDIRECT(XLOOKUP(DI$3,'TTM Dates'!$B:$B,'TTM Dates'!$E:$E)&amp;ROW($BK21)&amp;":"&amp;XLOOKUP(DI$3,'TTM Dates'!$B:$B,'TTM Dates'!$C:$C)&amp;ROW($BK21))))</f>
        <v>219732</v>
      </c>
      <c r="DJ21" s="136">
        <f t="array" ref="DJ21">IF(DJ$3&gt;'QBO Summary'!$B$2,0,SUM(INDIRECT(XLOOKUP(DJ$3,'TTM Dates'!$B:$B,'TTM Dates'!$E:$E)&amp;ROW($BK21)&amp;":"&amp;XLOOKUP(DJ$3,'TTM Dates'!$B:$B,'TTM Dates'!$C:$C)&amp;ROW($BK21))))</f>
        <v>219732</v>
      </c>
      <c r="DK21" s="136">
        <f t="array" ref="DK21">IF(DK$3&gt;'QBO Summary'!$B$2,0,SUM(INDIRECT(XLOOKUP(DK$3,'TTM Dates'!$B:$B,'TTM Dates'!$E:$E)&amp;ROW($BK21)&amp;":"&amp;XLOOKUP(DK$3,'TTM Dates'!$B:$B,'TTM Dates'!$C:$C)&amp;ROW($BK21))))</f>
        <v>529064</v>
      </c>
      <c r="DL21" s="136">
        <f t="array" ref="DL21">IF(DL$3&gt;'QBO Summary'!$B$2,0,SUM(INDIRECT(XLOOKUP(DL$3,'TTM Dates'!$B:$B,'TTM Dates'!$E:$E)&amp;ROW($BK21)&amp;":"&amp;XLOOKUP(DL$3,'TTM Dates'!$B:$B,'TTM Dates'!$C:$C)&amp;ROW($BK21))))</f>
        <v>553764</v>
      </c>
      <c r="DM21" s="136">
        <f t="array" ref="DM21">IF(DM$3&gt;'QBO Summary'!$B$2,0,SUM(INDIRECT(XLOOKUP(DM$3,'TTM Dates'!$B:$B,'TTM Dates'!$E:$E)&amp;ROW($BK21)&amp;":"&amp;XLOOKUP(DM$3,'TTM Dates'!$B:$B,'TTM Dates'!$C:$C)&amp;ROW($BK21))))</f>
        <v>587514</v>
      </c>
      <c r="DN21" s="136">
        <f t="array" ref="DN21">IF(DN$3&gt;'QBO Summary'!$B$2,0,SUM(INDIRECT(XLOOKUP(DN$3,'TTM Dates'!$B:$B,'TTM Dates'!$E:$E)&amp;ROW($BK21)&amp;":"&amp;XLOOKUP(DN$3,'TTM Dates'!$B:$B,'TTM Dates'!$C:$C)&amp;ROW($BK21))))</f>
        <v>918676.5</v>
      </c>
      <c r="DO21" s="136">
        <f t="array" ref="DO21">IF(DO$3&gt;'QBO Summary'!$B$2,0,SUM(INDIRECT(XLOOKUP(DO$3,'TTM Dates'!$B:$B,'TTM Dates'!$E:$E)&amp;ROW($BK21)&amp;":"&amp;XLOOKUP(DO$3,'TTM Dates'!$B:$B,'TTM Dates'!$C:$C)&amp;ROW($BK21))))</f>
        <v>958951.5</v>
      </c>
      <c r="DP21" s="136">
        <f t="array" ref="DP21">IF(DP$3&gt;'QBO Summary'!$B$2,0,SUM(INDIRECT(XLOOKUP(DP$3,'TTM Dates'!$B:$B,'TTM Dates'!$E:$E)&amp;ROW($BK21)&amp;":"&amp;XLOOKUP(DP$3,'TTM Dates'!$B:$B,'TTM Dates'!$C:$C)&amp;ROW($BK21))))</f>
        <v>1078468</v>
      </c>
      <c r="DQ21" s="136">
        <f t="array" ref="DQ21">IF(DQ$3&gt;'QBO Summary'!$B$2,0,SUM(INDIRECT(XLOOKUP(DQ$3,'TTM Dates'!$B:$B,'TTM Dates'!$E:$E)&amp;ROW($BK21)&amp;":"&amp;XLOOKUP(DQ$3,'TTM Dates'!$B:$B,'TTM Dates'!$C:$C)&amp;ROW($BK21))))</f>
        <v>1362052</v>
      </c>
      <c r="DR21" s="136">
        <f t="array" ref="DR21">IF(DR$3&gt;'QBO Summary'!$B$2,0,SUM(INDIRECT(XLOOKUP(DR$3,'TTM Dates'!$B:$B,'TTM Dates'!$E:$E)&amp;ROW($BK21)&amp;":"&amp;XLOOKUP(DR$3,'TTM Dates'!$B:$B,'TTM Dates'!$C:$C)&amp;ROW($BK21))))</f>
        <v>1324564</v>
      </c>
      <c r="DS21" s="136">
        <f t="array" ref="DS21">IF(DS$3&gt;'QBO Summary'!$B$2,0,SUM(INDIRECT(XLOOKUP(DS$3,'TTM Dates'!$B:$B,'TTM Dates'!$E:$E)&amp;ROW($BK21)&amp;":"&amp;XLOOKUP(DS$3,'TTM Dates'!$B:$B,'TTM Dates'!$C:$C)&amp;ROW($BK21))))</f>
        <v>1324564</v>
      </c>
      <c r="DT21" s="136">
        <f t="array" ref="DT21">IF(DT$3&gt;'QBO Summary'!$B$2,0,SUM(INDIRECT(XLOOKUP(DT$3,'TTM Dates'!$B:$B,'TTM Dates'!$E:$E)&amp;ROW($BK21)&amp;":"&amp;XLOOKUP(DT$3,'TTM Dates'!$B:$B,'TTM Dates'!$C:$C)&amp;ROW($BK21))))</f>
        <v>2085180</v>
      </c>
      <c r="DU21" s="136">
        <f t="array" ref="DU21">IF(DU$3&gt;'QBO Summary'!$B$2,0,SUM(INDIRECT(XLOOKUP(DU$3,'TTM Dates'!$B:$B,'TTM Dates'!$E:$E)&amp;ROW($BK21)&amp;":"&amp;XLOOKUP(DU$3,'TTM Dates'!$B:$B,'TTM Dates'!$C:$C)&amp;ROW($BK21))))</f>
        <v>2042081</v>
      </c>
      <c r="DV21" s="136">
        <f t="array" ref="DV21">IF(DV$3&gt;'QBO Summary'!$B$2,0,SUM(INDIRECT(XLOOKUP(DV$3,'TTM Dates'!$B:$B,'TTM Dates'!$E:$E)&amp;ROW($BK21)&amp;":"&amp;XLOOKUP(DV$3,'TTM Dates'!$B:$B,'TTM Dates'!$C:$C)&amp;ROW($BK21))))</f>
        <v>2388176</v>
      </c>
      <c r="DW21" s="136">
        <f t="array" ref="DW21">IF(DW$3&gt;'QBO Summary'!$B$2,0,SUM(INDIRECT(XLOOKUP(DW$3,'TTM Dates'!$B:$B,'TTM Dates'!$E:$E)&amp;ROW($BK21)&amp;":"&amp;XLOOKUP(DW$3,'TTM Dates'!$B:$B,'TTM Dates'!$C:$C)&amp;ROW($BK21))))</f>
        <v>2119344</v>
      </c>
      <c r="DX21" s="136">
        <f t="array" ref="DX21">IF(DX$3&gt;'QBO Summary'!$B$2,0,SUM(INDIRECT(XLOOKUP(DX$3,'TTM Dates'!$B:$B,'TTM Dates'!$E:$E)&amp;ROW($BK21)&amp;":"&amp;XLOOKUP(DX$3,'TTM Dates'!$B:$B,'TTM Dates'!$C:$C)&amp;ROW($BK21))))</f>
        <v>2155144</v>
      </c>
      <c r="DY21" s="136">
        <f t="array" ref="DY21">IF(DY$3&gt;'QBO Summary'!$B$2,0,SUM(INDIRECT(XLOOKUP(DY$3,'TTM Dates'!$B:$B,'TTM Dates'!$E:$E)&amp;ROW($BK21)&amp;":"&amp;XLOOKUP(DY$3,'TTM Dates'!$B:$B,'TTM Dates'!$C:$C)&amp;ROW($BK21))))</f>
        <v>2142569</v>
      </c>
      <c r="DZ21" s="136">
        <f t="array" ref="DZ21">IF(DZ$3&gt;'QBO Summary'!$B$2,0,SUM(INDIRECT(XLOOKUP(DZ$3,'TTM Dates'!$B:$B,'TTM Dates'!$E:$E)&amp;ROW($BK21)&amp;":"&amp;XLOOKUP(DZ$3,'TTM Dates'!$B:$B,'TTM Dates'!$C:$C)&amp;ROW($BK21))))</f>
        <v>1811406.5</v>
      </c>
      <c r="EA21" s="136">
        <f t="array" ref="EA21">IF(EA$3&gt;'QBO Summary'!$B$2,0,SUM(INDIRECT(XLOOKUP(EA$3,'TTM Dates'!$B:$B,'TTM Dates'!$E:$E)&amp;ROW($BK21)&amp;":"&amp;XLOOKUP(EA$3,'TTM Dates'!$B:$B,'TTM Dates'!$C:$C)&amp;ROW($BK21))))</f>
        <v>1771131.5</v>
      </c>
      <c r="EB21" s="136">
        <f t="array" ref="EB21">IF(EB$3&gt;'QBO Summary'!$B$2,0,SUM(INDIRECT(XLOOKUP(EB$3,'TTM Dates'!$B:$B,'TTM Dates'!$E:$E)&amp;ROW($BK21)&amp;":"&amp;XLOOKUP(EB$3,'TTM Dates'!$B:$B,'TTM Dates'!$C:$C)&amp;ROW($BK21))))</f>
        <v>1651615</v>
      </c>
      <c r="EC21" s="136">
        <f t="array" ref="EC21">IF(EC$3&gt;'QBO Summary'!$B$2,0,SUM(INDIRECT(XLOOKUP(EC$3,'TTM Dates'!$B:$B,'TTM Dates'!$E:$E)&amp;ROW($BK21)&amp;":"&amp;XLOOKUP(EC$3,'TTM Dates'!$B:$B,'TTM Dates'!$C:$C)&amp;ROW($BK21))))</f>
        <v>1368031</v>
      </c>
    </row>
    <row r="22" outlineLevel="1">
      <c r="B22" s="135" t="s">
        <v>500</v>
      </c>
      <c r="C22" s="137">
        <v>32448.0</v>
      </c>
      <c r="D22" s="137">
        <v>54600.0</v>
      </c>
      <c r="E22" s="137">
        <v>91440.0</v>
      </c>
      <c r="F22" s="137" t="s">
        <v>183</v>
      </c>
      <c r="G22" s="137">
        <v>148500.0</v>
      </c>
      <c r="H22" s="137">
        <v>37959.99</v>
      </c>
      <c r="I22" s="137" t="s">
        <v>183</v>
      </c>
      <c r="J22" s="137">
        <v>145460.0</v>
      </c>
      <c r="K22" s="137">
        <v>33600.0</v>
      </c>
      <c r="L22" s="137">
        <v>93600.0</v>
      </c>
      <c r="M22" s="137">
        <v>242250.0</v>
      </c>
      <c r="N22" s="137">
        <v>204000.0</v>
      </c>
      <c r="O22" s="137">
        <v>212600.0</v>
      </c>
      <c r="P22" s="137">
        <v>81600.0</v>
      </c>
      <c r="Q22" s="137">
        <v>239100.0</v>
      </c>
      <c r="R22" s="137">
        <v>26487.49</v>
      </c>
      <c r="S22" s="137">
        <v>101316.02</v>
      </c>
      <c r="T22" s="137">
        <v>48622.01</v>
      </c>
      <c r="U22" s="137">
        <v>201000.0</v>
      </c>
      <c r="V22" s="137">
        <v>161550.0</v>
      </c>
      <c r="W22" s="137">
        <v>419460.0</v>
      </c>
      <c r="X22" s="137">
        <v>576739.8</v>
      </c>
      <c r="Y22" s="137">
        <v>110880.0</v>
      </c>
      <c r="Z22" s="137">
        <v>339811.43</v>
      </c>
      <c r="AA22" s="137">
        <v>273857.82</v>
      </c>
      <c r="AB22" s="137" t="s">
        <v>183</v>
      </c>
      <c r="AC22" s="137">
        <v>169491.06</v>
      </c>
      <c r="AD22" s="137">
        <v>6480.0</v>
      </c>
      <c r="AE22" s="137">
        <v>551923.56</v>
      </c>
      <c r="AF22" s="137">
        <v>314466.64</v>
      </c>
      <c r="AG22" s="137">
        <v>363770.6</v>
      </c>
      <c r="AH22" s="137">
        <v>325737.9</v>
      </c>
      <c r="AI22" s="137">
        <v>254375.0</v>
      </c>
      <c r="AJ22" s="137">
        <v>502770.0</v>
      </c>
      <c r="AK22" s="137">
        <v>338070.0</v>
      </c>
      <c r="AL22" s="137">
        <v>813935.0</v>
      </c>
      <c r="AM22" s="137">
        <v>421600.0</v>
      </c>
      <c r="AN22" s="137">
        <v>434370.0</v>
      </c>
      <c r="AO22" s="137">
        <v>174120.0</v>
      </c>
      <c r="AP22" s="137">
        <v>129570.0</v>
      </c>
      <c r="AQ22" s="137">
        <v>150500.0</v>
      </c>
      <c r="AR22" s="137">
        <v>71600.0</v>
      </c>
      <c r="AS22" s="137">
        <v>226107.0</v>
      </c>
      <c r="AT22" s="137">
        <v>765560.0</v>
      </c>
      <c r="AU22" s="137">
        <v>509879.33</v>
      </c>
      <c r="AV22" s="137">
        <v>343441.33</v>
      </c>
      <c r="AW22" s="137">
        <v>200858.33</v>
      </c>
      <c r="AX22" s="337">
        <v>542810.83</v>
      </c>
      <c r="AY22" s="337">
        <v>345901.33</v>
      </c>
      <c r="AZ22" s="337">
        <v>399099.35</v>
      </c>
      <c r="BA22" s="145">
        <v>1358121.17</v>
      </c>
      <c r="BB22" s="337">
        <v>685258.33</v>
      </c>
      <c r="BC22" s="337">
        <v>923792.33</v>
      </c>
      <c r="BD22" s="337">
        <v>1350033.33</v>
      </c>
      <c r="BE22" s="337">
        <v>955930.0</v>
      </c>
      <c r="BF22" s="337">
        <v>881267.34</v>
      </c>
      <c r="BG22" s="337"/>
      <c r="BH22" s="337"/>
      <c r="BI22" s="337"/>
      <c r="BJ22" s="337"/>
      <c r="BK22" s="33"/>
      <c r="BL22" s="288">
        <f t="array" ref="BL22">SUM(INDIRECT(XLOOKUP('QBO Summary'!$B$2,'TTM Dates'!$B:$B,'TTM Dates'!$E:$E)&amp;ROW($BK22)&amp;":"&amp;XLOOKUP('QBO Summary'!$B$2,'TTM Dates'!$B:$B,'TTM Dates'!$C:$C)&amp;ROW($BK22)))</f>
        <v>14840236.82</v>
      </c>
      <c r="BM22" s="136"/>
      <c r="BN22" s="136">
        <f t="shared" si="31"/>
        <v>2103121.85</v>
      </c>
      <c r="BO22" s="136">
        <f t="shared" si="32"/>
        <v>2959083.99</v>
      </c>
      <c r="BP22" s="136">
        <f t="shared" si="33"/>
        <v>1837197.34</v>
      </c>
      <c r="BQ22" s="136">
        <f t="shared" si="34"/>
        <v>0</v>
      </c>
      <c r="BR22" s="292">
        <f t="shared" si="35"/>
        <v>6899403.18</v>
      </c>
      <c r="BS22" s="136"/>
      <c r="BT22" s="136">
        <f t="shared" si="36"/>
        <v>1030090</v>
      </c>
      <c r="BU22" s="136">
        <f t="shared" si="37"/>
        <v>351670</v>
      </c>
      <c r="BV22" s="136">
        <f t="shared" si="38"/>
        <v>1501546.33</v>
      </c>
      <c r="BW22" s="136">
        <f t="shared" si="39"/>
        <v>1087110.49</v>
      </c>
      <c r="BX22" s="292">
        <f t="shared" si="40"/>
        <v>3970416.82</v>
      </c>
      <c r="BY22" s="136"/>
      <c r="BZ22" s="136"/>
      <c r="CA22" s="136"/>
      <c r="CB22" s="136"/>
      <c r="CC22" s="136"/>
      <c r="CD22" s="292"/>
      <c r="CE22" s="136"/>
      <c r="CF22" s="292"/>
      <c r="CG22" s="136"/>
      <c r="CH22" s="136">
        <f t="array" ref="CH22">IF(CH$3&gt;'QBO Summary'!$B$2,0,SUM(INDIRECT(XLOOKUP(CH$3,'TTM Dates'!$B:$B,'TTM Dates'!$E:$E)&amp;ROW($BK22)&amp;":"&amp;XLOOKUP(CH$3,'TTM Dates'!$B:$B,'TTM Dates'!$C:$C)&amp;ROW($BK22))))</f>
        <v>1264009.99</v>
      </c>
      <c r="CI22" s="136">
        <f t="array" ref="CI22">IF(CI$3&gt;'QBO Summary'!$B$2,0,SUM(INDIRECT(XLOOKUP(CI$3,'TTM Dates'!$B:$B,'TTM Dates'!$E:$E)&amp;ROW($BK22)&amp;":"&amp;XLOOKUP(CI$3,'TTM Dates'!$B:$B,'TTM Dates'!$C:$C)&amp;ROW($BK22))))</f>
        <v>1291009.99</v>
      </c>
      <c r="CJ22" s="136">
        <f t="array" ref="CJ22">IF(CJ$3&gt;'QBO Summary'!$B$2,0,SUM(INDIRECT(XLOOKUP(CJ$3,'TTM Dates'!$B:$B,'TTM Dates'!$E:$E)&amp;ROW($BK22)&amp;":"&amp;XLOOKUP(CJ$3,'TTM Dates'!$B:$B,'TTM Dates'!$C:$C)&amp;ROW($BK22))))</f>
        <v>1438669.99</v>
      </c>
      <c r="CK22" s="136">
        <f t="array" ref="CK22">IF(CK$3&gt;'QBO Summary'!$B$2,0,SUM(INDIRECT(XLOOKUP(CK$3,'TTM Dates'!$B:$B,'TTM Dates'!$E:$E)&amp;ROW($BK22)&amp;":"&amp;XLOOKUP(CK$3,'TTM Dates'!$B:$B,'TTM Dates'!$C:$C)&amp;ROW($BK22))))</f>
        <v>1465157.48</v>
      </c>
      <c r="CL22" s="136">
        <f t="array" ref="CL22">IF(CL$3&gt;'QBO Summary'!$B$2,0,SUM(INDIRECT(XLOOKUP(CL$3,'TTM Dates'!$B:$B,'TTM Dates'!$E:$E)&amp;ROW($BK22)&amp;":"&amp;XLOOKUP(CL$3,'TTM Dates'!$B:$B,'TTM Dates'!$C:$C)&amp;ROW($BK22))))</f>
        <v>1417973.5</v>
      </c>
      <c r="CM22" s="136">
        <f t="array" ref="CM22">IF(CM$3&gt;'QBO Summary'!$B$2,0,SUM(INDIRECT(XLOOKUP(CM$3,'TTM Dates'!$B:$B,'TTM Dates'!$E:$E)&amp;ROW($BK22)&amp;":"&amp;XLOOKUP(CM$3,'TTM Dates'!$B:$B,'TTM Dates'!$C:$C)&amp;ROW($BK22))))</f>
        <v>1428635.52</v>
      </c>
      <c r="CN22" s="136">
        <f t="array" ref="CN22">IF(CN$3&gt;'QBO Summary'!$B$2,0,SUM(INDIRECT(XLOOKUP(CN$3,'TTM Dates'!$B:$B,'TTM Dates'!$E:$E)&amp;ROW($BK22)&amp;":"&amp;XLOOKUP(CN$3,'TTM Dates'!$B:$B,'TTM Dates'!$C:$C)&amp;ROW($BK22))))</f>
        <v>1629635.52</v>
      </c>
      <c r="CO22" s="136">
        <f t="array" ref="CO22">IF(CO$3&gt;'QBO Summary'!$B$2,0,SUM(INDIRECT(XLOOKUP(CO$3,'TTM Dates'!$B:$B,'TTM Dates'!$E:$E)&amp;ROW($BK22)&amp;":"&amp;XLOOKUP(CO$3,'TTM Dates'!$B:$B,'TTM Dates'!$C:$C)&amp;ROW($BK22))))</f>
        <v>1645725.52</v>
      </c>
      <c r="CP22" s="136">
        <f t="array" ref="CP22">IF(CP$3&gt;'QBO Summary'!$B$2,0,SUM(INDIRECT(XLOOKUP(CP$3,'TTM Dates'!$B:$B,'TTM Dates'!$E:$E)&amp;ROW($BK22)&amp;":"&amp;XLOOKUP(CP$3,'TTM Dates'!$B:$B,'TTM Dates'!$C:$C)&amp;ROW($BK22))))</f>
        <v>2031585.52</v>
      </c>
      <c r="CQ22" s="136">
        <f t="array" ref="CQ22">IF(CQ$3&gt;'QBO Summary'!$B$2,0,SUM(INDIRECT(XLOOKUP(CQ$3,'TTM Dates'!$B:$B,'TTM Dates'!$E:$E)&amp;ROW($BK22)&amp;":"&amp;XLOOKUP(CQ$3,'TTM Dates'!$B:$B,'TTM Dates'!$C:$C)&amp;ROW($BK22))))</f>
        <v>2514725.32</v>
      </c>
      <c r="CR22" s="136">
        <f t="array" ref="CR22">IF(CR$3&gt;'QBO Summary'!$B$2,0,SUM(INDIRECT(XLOOKUP(CR$3,'TTM Dates'!$B:$B,'TTM Dates'!$E:$E)&amp;ROW($BK22)&amp;":"&amp;XLOOKUP(CR$3,'TTM Dates'!$B:$B,'TTM Dates'!$C:$C)&amp;ROW($BK22))))</f>
        <v>2383355.32</v>
      </c>
      <c r="CS22" s="136">
        <f t="array" ref="CS22">IF(CS$3&gt;'QBO Summary'!$B$2,0,SUM(INDIRECT(XLOOKUP(CS$3,'TTM Dates'!$B:$B,'TTM Dates'!$E:$E)&amp;ROW($BK22)&amp;":"&amp;XLOOKUP(CS$3,'TTM Dates'!$B:$B,'TTM Dates'!$C:$C)&amp;ROW($BK22))))</f>
        <v>2519166.75</v>
      </c>
      <c r="CT22" s="136">
        <f t="array" ref="CT22">IF(CT$3&gt;'QBO Summary'!$B$2,0,SUM(INDIRECT(XLOOKUP(CT$3,'TTM Dates'!$B:$B,'TTM Dates'!$E:$E)&amp;ROW($BK22)&amp;":"&amp;XLOOKUP(CT$3,'TTM Dates'!$B:$B,'TTM Dates'!$C:$C)&amp;ROW($BK22))))</f>
        <v>2580424.57</v>
      </c>
      <c r="CU22" s="136">
        <f t="array" ref="CU22">IF(CU$3&gt;'QBO Summary'!$B$2,0,SUM(INDIRECT(XLOOKUP(CU$3,'TTM Dates'!$B:$B,'TTM Dates'!$E:$E)&amp;ROW($BK22)&amp;":"&amp;XLOOKUP(CU$3,'TTM Dates'!$B:$B,'TTM Dates'!$C:$C)&amp;ROW($BK22))))</f>
        <v>2498824.57</v>
      </c>
      <c r="CV22" s="136">
        <f t="array" ref="CV22">IF(CV$3&gt;'QBO Summary'!$B$2,0,SUM(INDIRECT(XLOOKUP(CV$3,'TTM Dates'!$B:$B,'TTM Dates'!$E:$E)&amp;ROW($BK22)&amp;":"&amp;XLOOKUP(CV$3,'TTM Dates'!$B:$B,'TTM Dates'!$C:$C)&amp;ROW($BK22))))</f>
        <v>2429215.63</v>
      </c>
      <c r="CW22" s="136">
        <f t="array" ref="CW22">IF(CW$3&gt;'QBO Summary'!$B$2,0,SUM(INDIRECT(XLOOKUP(CW$3,'TTM Dates'!$B:$B,'TTM Dates'!$E:$E)&amp;ROW($BK22)&amp;":"&amp;XLOOKUP(CW$3,'TTM Dates'!$B:$B,'TTM Dates'!$C:$C)&amp;ROW($BK22))))</f>
        <v>2409208.14</v>
      </c>
      <c r="CX22" s="136">
        <f t="array" ref="CX22">IF(CX$3&gt;'QBO Summary'!$B$2,0,SUM(INDIRECT(XLOOKUP(CX$3,'TTM Dates'!$B:$B,'TTM Dates'!$E:$E)&amp;ROW($BK22)&amp;":"&amp;XLOOKUP(CX$3,'TTM Dates'!$B:$B,'TTM Dates'!$C:$C)&amp;ROW($BK22))))</f>
        <v>2859815.68</v>
      </c>
      <c r="CY22" s="136">
        <f t="array" ref="CY22">IF(CY$3&gt;'QBO Summary'!$B$2,0,SUM(INDIRECT(XLOOKUP(CY$3,'TTM Dates'!$B:$B,'TTM Dates'!$E:$E)&amp;ROW($BK22)&amp;":"&amp;XLOOKUP(CY$3,'TTM Dates'!$B:$B,'TTM Dates'!$C:$C)&amp;ROW($BK22))))</f>
        <v>3125660.31</v>
      </c>
      <c r="CZ22" s="136">
        <f t="array" ref="CZ22">IF(CZ$3&gt;'QBO Summary'!$B$2,0,SUM(INDIRECT(XLOOKUP(CZ$3,'TTM Dates'!$B:$B,'TTM Dates'!$E:$E)&amp;ROW($BK22)&amp;":"&amp;XLOOKUP(CZ$3,'TTM Dates'!$B:$B,'TTM Dates'!$C:$C)&amp;ROW($BK22))))</f>
        <v>3288430.91</v>
      </c>
      <c r="DA22" s="136">
        <f t="array" ref="DA22">IF(DA$3&gt;'QBO Summary'!$B$2,0,SUM(INDIRECT(XLOOKUP(DA$3,'TTM Dates'!$B:$B,'TTM Dates'!$E:$E)&amp;ROW($BK22)&amp;":"&amp;XLOOKUP(DA$3,'TTM Dates'!$B:$B,'TTM Dates'!$C:$C)&amp;ROW($BK22))))</f>
        <v>3452618.81</v>
      </c>
      <c r="DB22" s="136">
        <f t="array" ref="DB22">IF(DB$3&gt;'QBO Summary'!$B$2,0,SUM(INDIRECT(XLOOKUP(DB$3,'TTM Dates'!$B:$B,'TTM Dates'!$E:$E)&amp;ROW($BK22)&amp;":"&amp;XLOOKUP(DB$3,'TTM Dates'!$B:$B,'TTM Dates'!$C:$C)&amp;ROW($BK22))))</f>
        <v>3287533.81</v>
      </c>
      <c r="DC22" s="136">
        <f t="array" ref="DC22">IF(DC$3&gt;'QBO Summary'!$B$2,0,SUM(INDIRECT(XLOOKUP(DC$3,'TTM Dates'!$B:$B,'TTM Dates'!$E:$E)&amp;ROW($BK22)&amp;":"&amp;XLOOKUP(DC$3,'TTM Dates'!$B:$B,'TTM Dates'!$C:$C)&amp;ROW($BK22))))</f>
        <v>3213564.01</v>
      </c>
      <c r="DD22" s="136">
        <f t="array" ref="DD22">IF(DD$3&gt;'QBO Summary'!$B$2,0,SUM(INDIRECT(XLOOKUP(DD$3,'TTM Dates'!$B:$B,'TTM Dates'!$E:$E)&amp;ROW($BK22)&amp;":"&amp;XLOOKUP(DD$3,'TTM Dates'!$B:$B,'TTM Dates'!$C:$C)&amp;ROW($BK22))))</f>
        <v>3440754.01</v>
      </c>
      <c r="DE22" s="136">
        <f t="array" ref="DE22">IF(DE$3&gt;'QBO Summary'!$B$2,0,SUM(INDIRECT(XLOOKUP(DE$3,'TTM Dates'!$B:$B,'TTM Dates'!$E:$E)&amp;ROW($BK22)&amp;":"&amp;XLOOKUP(DE$3,'TTM Dates'!$B:$B,'TTM Dates'!$C:$C)&amp;ROW($BK22))))</f>
        <v>3914877.58</v>
      </c>
      <c r="DF22" s="136">
        <f t="array" ref="DF22">IF(DF$3&gt;'QBO Summary'!$B$2,0,SUM(INDIRECT(XLOOKUP(DF$3,'TTM Dates'!$B:$B,'TTM Dates'!$E:$E)&amp;ROW($BK22)&amp;":"&amp;XLOOKUP(DF$3,'TTM Dates'!$B:$B,'TTM Dates'!$C:$C)&amp;ROW($BK22))))</f>
        <v>4062619.76</v>
      </c>
      <c r="DG22" s="136">
        <f t="array" ref="DG22">IF(DG$3&gt;'QBO Summary'!$B$2,0,SUM(INDIRECT(XLOOKUP(DG$3,'TTM Dates'!$B:$B,'TTM Dates'!$E:$E)&amp;ROW($BK22)&amp;":"&amp;XLOOKUP(DG$3,'TTM Dates'!$B:$B,'TTM Dates'!$C:$C)&amp;ROW($BK22))))</f>
        <v>4496989.76</v>
      </c>
      <c r="DH22" s="136">
        <f t="array" ref="DH22">IF(DH$3&gt;'QBO Summary'!$B$2,0,SUM(INDIRECT(XLOOKUP(DH$3,'TTM Dates'!$B:$B,'TTM Dates'!$E:$E)&amp;ROW($BK22)&amp;":"&amp;XLOOKUP(DH$3,'TTM Dates'!$B:$B,'TTM Dates'!$C:$C)&amp;ROW($BK22))))</f>
        <v>4501618.7</v>
      </c>
      <c r="DI22" s="136">
        <f t="array" ref="DI22">IF(DI$3&gt;'QBO Summary'!$B$2,0,SUM(INDIRECT(XLOOKUP(DI$3,'TTM Dates'!$B:$B,'TTM Dates'!$E:$E)&amp;ROW($BK22)&amp;":"&amp;XLOOKUP(DI$3,'TTM Dates'!$B:$B,'TTM Dates'!$C:$C)&amp;ROW($BK22))))</f>
        <v>4624708.7</v>
      </c>
      <c r="DJ22" s="136">
        <f t="array" ref="DJ22">IF(DJ$3&gt;'QBO Summary'!$B$2,0,SUM(INDIRECT(XLOOKUP(DJ$3,'TTM Dates'!$B:$B,'TTM Dates'!$E:$E)&amp;ROW($BK22)&amp;":"&amp;XLOOKUP(DJ$3,'TTM Dates'!$B:$B,'TTM Dates'!$C:$C)&amp;ROW($BK22))))</f>
        <v>4223285.14</v>
      </c>
      <c r="DK22" s="136">
        <f t="array" ref="DK22">IF(DK$3&gt;'QBO Summary'!$B$2,0,SUM(INDIRECT(XLOOKUP(DK$3,'TTM Dates'!$B:$B,'TTM Dates'!$E:$E)&amp;ROW($BK22)&amp;":"&amp;XLOOKUP(DK$3,'TTM Dates'!$B:$B,'TTM Dates'!$C:$C)&amp;ROW($BK22))))</f>
        <v>3980418.5</v>
      </c>
      <c r="DL22" s="136">
        <f t="array" ref="DL22">IF(DL$3&gt;'QBO Summary'!$B$2,0,SUM(INDIRECT(XLOOKUP(DL$3,'TTM Dates'!$B:$B,'TTM Dates'!$E:$E)&amp;ROW($BK22)&amp;":"&amp;XLOOKUP(DL$3,'TTM Dates'!$B:$B,'TTM Dates'!$C:$C)&amp;ROW($BK22))))</f>
        <v>3842754.9</v>
      </c>
      <c r="DM22" s="136">
        <f t="array" ref="DM22">IF(DM$3&gt;'QBO Summary'!$B$2,0,SUM(INDIRECT(XLOOKUP(DM$3,'TTM Dates'!$B:$B,'TTM Dates'!$E:$E)&amp;ROW($BK22)&amp;":"&amp;XLOOKUP(DM$3,'TTM Dates'!$B:$B,'TTM Dates'!$C:$C)&amp;ROW($BK22))))</f>
        <v>4282577</v>
      </c>
      <c r="DN22" s="136">
        <f t="array" ref="DN22">IF(DN$3&gt;'QBO Summary'!$B$2,0,SUM(INDIRECT(XLOOKUP(DN$3,'TTM Dates'!$B:$B,'TTM Dates'!$E:$E)&amp;ROW($BK22)&amp;":"&amp;XLOOKUP(DN$3,'TTM Dates'!$B:$B,'TTM Dates'!$C:$C)&amp;ROW($BK22))))</f>
        <v>4538081.33</v>
      </c>
      <c r="DO22" s="136">
        <f t="array" ref="DO22">IF(DO$3&gt;'QBO Summary'!$B$2,0,SUM(INDIRECT(XLOOKUP(DO$3,'TTM Dates'!$B:$B,'TTM Dates'!$E:$E)&amp;ROW($BK22)&amp;":"&amp;XLOOKUP(DO$3,'TTM Dates'!$B:$B,'TTM Dates'!$C:$C)&amp;ROW($BK22))))</f>
        <v>4378752.66</v>
      </c>
      <c r="DP22" s="136">
        <f t="array" ref="DP22">IF(DP$3&gt;'QBO Summary'!$B$2,0,SUM(INDIRECT(XLOOKUP(DP$3,'TTM Dates'!$B:$B,'TTM Dates'!$E:$E)&amp;ROW($BK22)&amp;":"&amp;XLOOKUP(DP$3,'TTM Dates'!$B:$B,'TTM Dates'!$C:$C)&amp;ROW($BK22))))</f>
        <v>4241540.99</v>
      </c>
      <c r="DQ22" s="136">
        <f t="array" ref="DQ22">IF(DQ$3&gt;'QBO Summary'!$B$2,0,SUM(INDIRECT(XLOOKUP(DQ$3,'TTM Dates'!$B:$B,'TTM Dates'!$E:$E)&amp;ROW($BK22)&amp;":"&amp;XLOOKUP(DQ$3,'TTM Dates'!$B:$B,'TTM Dates'!$C:$C)&amp;ROW($BK22))))</f>
        <v>3970416.82</v>
      </c>
      <c r="DR22" s="136">
        <f t="array" ref="DR22">IF(DR$3&gt;'QBO Summary'!$B$2,0,SUM(INDIRECT(XLOOKUP(DR$3,'TTM Dates'!$B:$B,'TTM Dates'!$E:$E)&amp;ROW($BK22)&amp;":"&amp;XLOOKUP(DR$3,'TTM Dates'!$B:$B,'TTM Dates'!$C:$C)&amp;ROW($BK22))))</f>
        <v>3894718.15</v>
      </c>
      <c r="DS22" s="136">
        <f t="array" ref="DS22">IF(DS$3&gt;'QBO Summary'!$B$2,0,SUM(INDIRECT(XLOOKUP(DS$3,'TTM Dates'!$B:$B,'TTM Dates'!$E:$E)&amp;ROW($BK22)&amp;":"&amp;XLOOKUP(DS$3,'TTM Dates'!$B:$B,'TTM Dates'!$C:$C)&amp;ROW($BK22))))</f>
        <v>3859447.5</v>
      </c>
      <c r="DT22" s="136">
        <f t="array" ref="DT22">IF(DT$3&gt;'QBO Summary'!$B$2,0,SUM(INDIRECT(XLOOKUP(DT$3,'TTM Dates'!$B:$B,'TTM Dates'!$E:$E)&amp;ROW($BK22)&amp;":"&amp;XLOOKUP(DT$3,'TTM Dates'!$B:$B,'TTM Dates'!$C:$C)&amp;ROW($BK22))))</f>
        <v>5043448.67</v>
      </c>
      <c r="DU22" s="136">
        <f t="array" ref="DU22">IF(DU$3&gt;'QBO Summary'!$B$2,0,SUM(INDIRECT(XLOOKUP(DU$3,'TTM Dates'!$B:$B,'TTM Dates'!$E:$E)&amp;ROW($BK22)&amp;":"&amp;XLOOKUP(DU$3,'TTM Dates'!$B:$B,'TTM Dates'!$C:$C)&amp;ROW($BK22))))</f>
        <v>5599137</v>
      </c>
      <c r="DV22" s="136">
        <f t="array" ref="DV22">IF(DV$3&gt;'QBO Summary'!$B$2,0,SUM(INDIRECT(XLOOKUP(DV$3,'TTM Dates'!$B:$B,'TTM Dates'!$E:$E)&amp;ROW($BK22)&amp;":"&amp;XLOOKUP(DV$3,'TTM Dates'!$B:$B,'TTM Dates'!$C:$C)&amp;ROW($BK22))))</f>
        <v>6372429.33</v>
      </c>
      <c r="DW22" s="136">
        <f t="array" ref="DW22">IF(DW$3&gt;'QBO Summary'!$B$2,0,SUM(INDIRECT(XLOOKUP(DW$3,'TTM Dates'!$B:$B,'TTM Dates'!$E:$E)&amp;ROW($BK22)&amp;":"&amp;XLOOKUP(DW$3,'TTM Dates'!$B:$B,'TTM Dates'!$C:$C)&amp;ROW($BK22))))</f>
        <v>7650862.66</v>
      </c>
      <c r="DX22" s="136">
        <f t="array" ref="DX22">IF(DX$3&gt;'QBO Summary'!$B$2,0,SUM(INDIRECT(XLOOKUP(DX$3,'TTM Dates'!$B:$B,'TTM Dates'!$E:$E)&amp;ROW($BK22)&amp;":"&amp;XLOOKUP(DX$3,'TTM Dates'!$B:$B,'TTM Dates'!$C:$C)&amp;ROW($BK22))))</f>
        <v>8380685.66</v>
      </c>
      <c r="DY22" s="136">
        <f t="array" ref="DY22">IF(DY$3&gt;'QBO Summary'!$B$2,0,SUM(INDIRECT(XLOOKUP(DY$3,'TTM Dates'!$B:$B,'TTM Dates'!$E:$E)&amp;ROW($BK22)&amp;":"&amp;XLOOKUP(DY$3,'TTM Dates'!$B:$B,'TTM Dates'!$C:$C)&amp;ROW($BK22))))</f>
        <v>8496393</v>
      </c>
      <c r="DZ22" s="136">
        <f t="array" ref="DZ22">IF(DZ$3&gt;'QBO Summary'!$B$2,0,SUM(INDIRECT(XLOOKUP(DZ$3,'TTM Dates'!$B:$B,'TTM Dates'!$E:$E)&amp;ROW($BK22)&amp;":"&amp;XLOOKUP(DZ$3,'TTM Dates'!$B:$B,'TTM Dates'!$C:$C)&amp;ROW($BK22))))</f>
        <v>7986513.67</v>
      </c>
      <c r="EA22" s="136">
        <f t="array" ref="EA22">IF(EA$3&gt;'QBO Summary'!$B$2,0,SUM(INDIRECT(XLOOKUP(EA$3,'TTM Dates'!$B:$B,'TTM Dates'!$E:$E)&amp;ROW($BK22)&amp;":"&amp;XLOOKUP(EA$3,'TTM Dates'!$B:$B,'TTM Dates'!$C:$C)&amp;ROW($BK22))))</f>
        <v>7643072.34</v>
      </c>
      <c r="EB22" s="136">
        <f t="array" ref="EB22">IF(EB$3&gt;'QBO Summary'!$B$2,0,SUM(INDIRECT(XLOOKUP(EB$3,'TTM Dates'!$B:$B,'TTM Dates'!$E:$E)&amp;ROW($BK22)&amp;":"&amp;XLOOKUP(EB$3,'TTM Dates'!$B:$B,'TTM Dates'!$C:$C)&amp;ROW($BK22))))</f>
        <v>7442214.01</v>
      </c>
      <c r="EC22" s="136">
        <f t="array" ref="EC22">IF(EC$3&gt;'QBO Summary'!$B$2,0,SUM(INDIRECT(XLOOKUP(EC$3,'TTM Dates'!$B:$B,'TTM Dates'!$E:$E)&amp;ROW($BK22)&amp;":"&amp;XLOOKUP(EC$3,'TTM Dates'!$B:$B,'TTM Dates'!$C:$C)&amp;ROW($BK22))))</f>
        <v>6899403.18</v>
      </c>
    </row>
    <row r="23" outlineLevel="1">
      <c r="B23" s="135" t="s">
        <v>503</v>
      </c>
      <c r="C23" s="137">
        <v>23593.38</v>
      </c>
      <c r="D23" s="137">
        <v>39456.0</v>
      </c>
      <c r="E23" s="137">
        <v>113926.0</v>
      </c>
      <c r="F23" s="137">
        <v>51825.0</v>
      </c>
      <c r="G23" s="137">
        <v>32193.0</v>
      </c>
      <c r="H23" s="137">
        <v>82880.0</v>
      </c>
      <c r="I23" s="137">
        <v>271195.0</v>
      </c>
      <c r="J23" s="137">
        <v>19610.0</v>
      </c>
      <c r="K23" s="137">
        <v>128830.04</v>
      </c>
      <c r="L23" s="137">
        <v>86485.0</v>
      </c>
      <c r="M23" s="137">
        <v>137234.0</v>
      </c>
      <c r="N23" s="137">
        <v>105727.0</v>
      </c>
      <c r="O23" s="137">
        <v>8960.0</v>
      </c>
      <c r="P23" s="137">
        <v>36400.0</v>
      </c>
      <c r="Q23" s="137">
        <v>373070.0</v>
      </c>
      <c r="R23" s="137">
        <v>34560.0</v>
      </c>
      <c r="S23" s="137">
        <v>150640.0</v>
      </c>
      <c r="T23" s="137">
        <v>60000.0</v>
      </c>
      <c r="U23" s="137">
        <v>34900.0</v>
      </c>
      <c r="V23" s="137">
        <v>176709.0</v>
      </c>
      <c r="W23" s="137">
        <v>231576.0</v>
      </c>
      <c r="X23" s="137">
        <v>235526.04</v>
      </c>
      <c r="Y23" s="137">
        <v>783036.07</v>
      </c>
      <c r="Z23" s="137">
        <v>450747.6</v>
      </c>
      <c r="AA23" s="137">
        <v>423019.12</v>
      </c>
      <c r="AB23" s="137">
        <v>595485.83</v>
      </c>
      <c r="AC23" s="137">
        <v>348559.29</v>
      </c>
      <c r="AD23" s="137">
        <v>349947.88</v>
      </c>
      <c r="AE23" s="137">
        <v>843068.24</v>
      </c>
      <c r="AF23" s="137">
        <v>995369.96</v>
      </c>
      <c r="AG23" s="137">
        <v>793983.63</v>
      </c>
      <c r="AH23" s="137">
        <v>756820.71</v>
      </c>
      <c r="AI23" s="137">
        <v>807967.21</v>
      </c>
      <c r="AJ23" s="137">
        <v>687041.62</v>
      </c>
      <c r="AK23" s="137">
        <v>803496.11</v>
      </c>
      <c r="AL23" s="137">
        <v>1079503.96</v>
      </c>
      <c r="AM23" s="137">
        <v>558956.45</v>
      </c>
      <c r="AN23" s="137">
        <v>516930.97</v>
      </c>
      <c r="AO23" s="137">
        <v>581908.4</v>
      </c>
      <c r="AP23" s="137">
        <v>572846.7</v>
      </c>
      <c r="AQ23" s="137">
        <v>392451.3</v>
      </c>
      <c r="AR23" s="137">
        <v>388091.7</v>
      </c>
      <c r="AS23" s="137">
        <v>268608.2</v>
      </c>
      <c r="AT23" s="137">
        <v>356851.4</v>
      </c>
      <c r="AU23" s="137">
        <v>286810.85</v>
      </c>
      <c r="AV23" s="137">
        <v>401340.15</v>
      </c>
      <c r="AW23" s="137">
        <v>368092.6</v>
      </c>
      <c r="AX23" s="137">
        <v>350767.5</v>
      </c>
      <c r="AY23" s="137">
        <v>221896.0</v>
      </c>
      <c r="AZ23" s="137">
        <v>143180.0</v>
      </c>
      <c r="BA23" s="145">
        <v>205918.5</v>
      </c>
      <c r="BB23" s="137">
        <v>89495.0</v>
      </c>
      <c r="BC23" s="137">
        <v>138503.0</v>
      </c>
      <c r="BD23" s="137">
        <v>132565.33</v>
      </c>
      <c r="BE23" s="137">
        <v>95485.0</v>
      </c>
      <c r="BF23" s="137">
        <v>66343.0</v>
      </c>
      <c r="BG23" s="137"/>
      <c r="BH23" s="137"/>
      <c r="BI23" s="137"/>
      <c r="BJ23" s="137"/>
      <c r="BK23" s="33"/>
      <c r="BL23" s="288">
        <f t="array" ref="BL23">SUM(INDIRECT(XLOOKUP('QBO Summary'!$B$2,'TTM Dates'!$B:$B,'TTM Dates'!$E:$E)&amp;ROW($BK23)&amp;":"&amp;XLOOKUP('QBO Summary'!$B$2,'TTM Dates'!$B:$B,'TTM Dates'!$C:$C)&amp;ROW($BK23)))</f>
        <v>11180698.27</v>
      </c>
      <c r="BM23" s="136"/>
      <c r="BN23" s="136">
        <f t="shared" si="31"/>
        <v>570994.5</v>
      </c>
      <c r="BO23" s="136">
        <f t="shared" si="32"/>
        <v>360563.33</v>
      </c>
      <c r="BP23" s="136">
        <f t="shared" si="33"/>
        <v>161828</v>
      </c>
      <c r="BQ23" s="136">
        <f t="shared" si="34"/>
        <v>0</v>
      </c>
      <c r="BR23" s="292">
        <f t="shared" si="35"/>
        <v>1093385.83</v>
      </c>
      <c r="BS23" s="136"/>
      <c r="BT23" s="136">
        <f t="shared" si="36"/>
        <v>1657795.82</v>
      </c>
      <c r="BU23" s="136">
        <f t="shared" si="37"/>
        <v>1353389.7</v>
      </c>
      <c r="BV23" s="136">
        <f t="shared" si="38"/>
        <v>912270.45</v>
      </c>
      <c r="BW23" s="136">
        <f t="shared" si="39"/>
        <v>1120200.25</v>
      </c>
      <c r="BX23" s="292">
        <f t="shared" si="40"/>
        <v>5043656.22</v>
      </c>
      <c r="BY23" s="136"/>
      <c r="BZ23" s="136"/>
      <c r="CA23" s="136"/>
      <c r="CB23" s="136"/>
      <c r="CC23" s="136"/>
      <c r="CD23" s="292"/>
      <c r="CE23" s="136"/>
      <c r="CF23" s="292"/>
      <c r="CG23" s="136"/>
      <c r="CH23" s="136">
        <f t="array" ref="CH23">IF(CH$3&gt;'QBO Summary'!$B$2,0,SUM(INDIRECT(XLOOKUP(CH$3,'TTM Dates'!$B:$B,'TTM Dates'!$E:$E)&amp;ROW($BK23)&amp;":"&amp;XLOOKUP(CH$3,'TTM Dates'!$B:$B,'TTM Dates'!$C:$C)&amp;ROW($BK23))))</f>
        <v>1078321.04</v>
      </c>
      <c r="CI23" s="136">
        <f t="array" ref="CI23">IF(CI$3&gt;'QBO Summary'!$B$2,0,SUM(INDIRECT(XLOOKUP(CI$3,'TTM Dates'!$B:$B,'TTM Dates'!$E:$E)&amp;ROW($BK23)&amp;":"&amp;XLOOKUP(CI$3,'TTM Dates'!$B:$B,'TTM Dates'!$C:$C)&amp;ROW($BK23))))</f>
        <v>1075265.04</v>
      </c>
      <c r="CJ23" s="136">
        <f t="array" ref="CJ23">IF(CJ$3&gt;'QBO Summary'!$B$2,0,SUM(INDIRECT(XLOOKUP(CJ$3,'TTM Dates'!$B:$B,'TTM Dates'!$E:$E)&amp;ROW($BK23)&amp;":"&amp;XLOOKUP(CJ$3,'TTM Dates'!$B:$B,'TTM Dates'!$C:$C)&amp;ROW($BK23))))</f>
        <v>1334409.04</v>
      </c>
      <c r="CK23" s="136">
        <f t="array" ref="CK23">IF(CK$3&gt;'QBO Summary'!$B$2,0,SUM(INDIRECT(XLOOKUP(CK$3,'TTM Dates'!$B:$B,'TTM Dates'!$E:$E)&amp;ROW($BK23)&amp;":"&amp;XLOOKUP(CK$3,'TTM Dates'!$B:$B,'TTM Dates'!$C:$C)&amp;ROW($BK23))))</f>
        <v>1317144.04</v>
      </c>
      <c r="CL23" s="136">
        <f t="array" ref="CL23">IF(CL$3&gt;'QBO Summary'!$B$2,0,SUM(INDIRECT(XLOOKUP(CL$3,'TTM Dates'!$B:$B,'TTM Dates'!$E:$E)&amp;ROW($BK23)&amp;":"&amp;XLOOKUP(CL$3,'TTM Dates'!$B:$B,'TTM Dates'!$C:$C)&amp;ROW($BK23))))</f>
        <v>1435591.04</v>
      </c>
      <c r="CM23" s="136">
        <f t="array" ref="CM23">IF(CM$3&gt;'QBO Summary'!$B$2,0,SUM(INDIRECT(XLOOKUP(CM$3,'TTM Dates'!$B:$B,'TTM Dates'!$E:$E)&amp;ROW($BK23)&amp;":"&amp;XLOOKUP(CM$3,'TTM Dates'!$B:$B,'TTM Dates'!$C:$C)&amp;ROW($BK23))))</f>
        <v>1412711.04</v>
      </c>
      <c r="CN23" s="136">
        <f t="array" ref="CN23">IF(CN$3&gt;'QBO Summary'!$B$2,0,SUM(INDIRECT(XLOOKUP(CN$3,'TTM Dates'!$B:$B,'TTM Dates'!$E:$E)&amp;ROW($BK23)&amp;":"&amp;XLOOKUP(CN$3,'TTM Dates'!$B:$B,'TTM Dates'!$C:$C)&amp;ROW($BK23))))</f>
        <v>1176416.04</v>
      </c>
      <c r="CO23" s="136">
        <f t="array" ref="CO23">IF(CO$3&gt;'QBO Summary'!$B$2,0,SUM(INDIRECT(XLOOKUP(CO$3,'TTM Dates'!$B:$B,'TTM Dates'!$E:$E)&amp;ROW($BK23)&amp;":"&amp;XLOOKUP(CO$3,'TTM Dates'!$B:$B,'TTM Dates'!$C:$C)&amp;ROW($BK23))))</f>
        <v>1333515.04</v>
      </c>
      <c r="CP23" s="136">
        <f t="array" ref="CP23">IF(CP$3&gt;'QBO Summary'!$B$2,0,SUM(INDIRECT(XLOOKUP(CP$3,'TTM Dates'!$B:$B,'TTM Dates'!$E:$E)&amp;ROW($BK23)&amp;":"&amp;XLOOKUP(CP$3,'TTM Dates'!$B:$B,'TTM Dates'!$C:$C)&amp;ROW($BK23))))</f>
        <v>1436261</v>
      </c>
      <c r="CQ23" s="136">
        <f t="array" ref="CQ23">IF(CQ$3&gt;'QBO Summary'!$B$2,0,SUM(INDIRECT(XLOOKUP(CQ$3,'TTM Dates'!$B:$B,'TTM Dates'!$E:$E)&amp;ROW($BK23)&amp;":"&amp;XLOOKUP(CQ$3,'TTM Dates'!$B:$B,'TTM Dates'!$C:$C)&amp;ROW($BK23))))</f>
        <v>1585302.04</v>
      </c>
      <c r="CR23" s="136">
        <f t="array" ref="CR23">IF(CR$3&gt;'QBO Summary'!$B$2,0,SUM(INDIRECT(XLOOKUP(CR$3,'TTM Dates'!$B:$B,'TTM Dates'!$E:$E)&amp;ROW($BK23)&amp;":"&amp;XLOOKUP(CR$3,'TTM Dates'!$B:$B,'TTM Dates'!$C:$C)&amp;ROW($BK23))))</f>
        <v>2231104.11</v>
      </c>
      <c r="CS23" s="136">
        <f t="array" ref="CS23">IF(CS$3&gt;'QBO Summary'!$B$2,0,SUM(INDIRECT(XLOOKUP(CS$3,'TTM Dates'!$B:$B,'TTM Dates'!$E:$E)&amp;ROW($BK23)&amp;":"&amp;XLOOKUP(CS$3,'TTM Dates'!$B:$B,'TTM Dates'!$C:$C)&amp;ROW($BK23))))</f>
        <v>2576124.71</v>
      </c>
      <c r="CT23" s="136">
        <f t="array" ref="CT23">IF(CT$3&gt;'QBO Summary'!$B$2,0,SUM(INDIRECT(XLOOKUP(CT$3,'TTM Dates'!$B:$B,'TTM Dates'!$E:$E)&amp;ROW($BK23)&amp;":"&amp;XLOOKUP(CT$3,'TTM Dates'!$B:$B,'TTM Dates'!$C:$C)&amp;ROW($BK23))))</f>
        <v>2990183.83</v>
      </c>
      <c r="CU23" s="136">
        <f t="array" ref="CU23">IF(CU$3&gt;'QBO Summary'!$B$2,0,SUM(INDIRECT(XLOOKUP(CU$3,'TTM Dates'!$B:$B,'TTM Dates'!$E:$E)&amp;ROW($BK23)&amp;":"&amp;XLOOKUP(CU$3,'TTM Dates'!$B:$B,'TTM Dates'!$C:$C)&amp;ROW($BK23))))</f>
        <v>3549269.66</v>
      </c>
      <c r="CV23" s="136">
        <f t="array" ref="CV23">IF(CV$3&gt;'QBO Summary'!$B$2,0,SUM(INDIRECT(XLOOKUP(CV$3,'TTM Dates'!$B:$B,'TTM Dates'!$E:$E)&amp;ROW($BK23)&amp;":"&amp;XLOOKUP(CV$3,'TTM Dates'!$B:$B,'TTM Dates'!$C:$C)&amp;ROW($BK23))))</f>
        <v>3524758.95</v>
      </c>
      <c r="CW23" s="136">
        <f t="array" ref="CW23">IF(CW$3&gt;'QBO Summary'!$B$2,0,SUM(INDIRECT(XLOOKUP(CW$3,'TTM Dates'!$B:$B,'TTM Dates'!$E:$E)&amp;ROW($BK23)&amp;":"&amp;XLOOKUP(CW$3,'TTM Dates'!$B:$B,'TTM Dates'!$C:$C)&amp;ROW($BK23))))</f>
        <v>3840146.83</v>
      </c>
      <c r="CX23" s="136">
        <f t="array" ref="CX23">IF(CX$3&gt;'QBO Summary'!$B$2,0,SUM(INDIRECT(XLOOKUP(CX$3,'TTM Dates'!$B:$B,'TTM Dates'!$E:$E)&amp;ROW($BK23)&amp;":"&amp;XLOOKUP(CX$3,'TTM Dates'!$B:$B,'TTM Dates'!$C:$C)&amp;ROW($BK23))))</f>
        <v>4532575.07</v>
      </c>
      <c r="CY23" s="136">
        <f t="array" ref="CY23">IF(CY$3&gt;'QBO Summary'!$B$2,0,SUM(INDIRECT(XLOOKUP(CY$3,'TTM Dates'!$B:$B,'TTM Dates'!$E:$E)&amp;ROW($BK23)&amp;":"&amp;XLOOKUP(CY$3,'TTM Dates'!$B:$B,'TTM Dates'!$C:$C)&amp;ROW($BK23))))</f>
        <v>5467945.03</v>
      </c>
      <c r="CZ23" s="136">
        <f t="array" ref="CZ23">IF(CZ$3&gt;'QBO Summary'!$B$2,0,SUM(INDIRECT(XLOOKUP(CZ$3,'TTM Dates'!$B:$B,'TTM Dates'!$E:$E)&amp;ROW($BK23)&amp;":"&amp;XLOOKUP(CZ$3,'TTM Dates'!$B:$B,'TTM Dates'!$C:$C)&amp;ROW($BK23))))</f>
        <v>6227028.66</v>
      </c>
      <c r="DA23" s="136">
        <f t="array" ref="DA23">IF(DA$3&gt;'QBO Summary'!$B$2,0,SUM(INDIRECT(XLOOKUP(DA$3,'TTM Dates'!$B:$B,'TTM Dates'!$E:$E)&amp;ROW($BK23)&amp;":"&amp;XLOOKUP(DA$3,'TTM Dates'!$B:$B,'TTM Dates'!$C:$C)&amp;ROW($BK23))))</f>
        <v>6807140.37</v>
      </c>
      <c r="DB23" s="136">
        <f t="array" ref="DB23">IF(DB$3&gt;'QBO Summary'!$B$2,0,SUM(INDIRECT(XLOOKUP(DB$3,'TTM Dates'!$B:$B,'TTM Dates'!$E:$E)&amp;ROW($BK23)&amp;":"&amp;XLOOKUP(DB$3,'TTM Dates'!$B:$B,'TTM Dates'!$C:$C)&amp;ROW($BK23))))</f>
        <v>7383531.58</v>
      </c>
      <c r="DC23" s="136">
        <f t="array" ref="DC23">IF(DC$3&gt;'QBO Summary'!$B$2,0,SUM(INDIRECT(XLOOKUP(DC$3,'TTM Dates'!$B:$B,'TTM Dates'!$E:$E)&amp;ROW($BK23)&amp;":"&amp;XLOOKUP(DC$3,'TTM Dates'!$B:$B,'TTM Dates'!$C:$C)&amp;ROW($BK23))))</f>
        <v>7835047.16</v>
      </c>
      <c r="DD23" s="136">
        <f t="array" ref="DD23">IF(DD$3&gt;'QBO Summary'!$B$2,0,SUM(INDIRECT(XLOOKUP(DD$3,'TTM Dates'!$B:$B,'TTM Dates'!$E:$E)&amp;ROW($BK23)&amp;":"&amp;XLOOKUP(DD$3,'TTM Dates'!$B:$B,'TTM Dates'!$C:$C)&amp;ROW($BK23))))</f>
        <v>7855507.2</v>
      </c>
      <c r="DE23" s="136">
        <f t="array" ref="DE23">IF(DE$3&gt;'QBO Summary'!$B$2,0,SUM(INDIRECT(XLOOKUP(DE$3,'TTM Dates'!$B:$B,'TTM Dates'!$E:$E)&amp;ROW($BK23)&amp;":"&amp;XLOOKUP(DE$3,'TTM Dates'!$B:$B,'TTM Dates'!$C:$C)&amp;ROW($BK23))))</f>
        <v>8484263.56</v>
      </c>
      <c r="DF23" s="136">
        <f t="array" ref="DF23">IF(DF$3&gt;'QBO Summary'!$B$2,0,SUM(INDIRECT(XLOOKUP(DF$3,'TTM Dates'!$B:$B,'TTM Dates'!$E:$E)&amp;ROW($BK23)&amp;":"&amp;XLOOKUP(DF$3,'TTM Dates'!$B:$B,'TTM Dates'!$C:$C)&amp;ROW($BK23))))</f>
        <v>8620200.89</v>
      </c>
      <c r="DG23" s="136">
        <f t="array" ref="DG23">IF(DG$3&gt;'QBO Summary'!$B$2,0,SUM(INDIRECT(XLOOKUP(DG$3,'TTM Dates'!$B:$B,'TTM Dates'!$E:$E)&amp;ROW($BK23)&amp;":"&amp;XLOOKUP(DG$3,'TTM Dates'!$B:$B,'TTM Dates'!$C:$C)&amp;ROW($BK23))))</f>
        <v>8541646.03</v>
      </c>
      <c r="DH23" s="136">
        <f t="array" ref="DH23">IF(DH$3&gt;'QBO Summary'!$B$2,0,SUM(INDIRECT(XLOOKUP(DH$3,'TTM Dates'!$B:$B,'TTM Dates'!$E:$E)&amp;ROW($BK23)&amp;":"&amp;XLOOKUP(DH$3,'TTM Dates'!$B:$B,'TTM Dates'!$C:$C)&amp;ROW($BK23))))</f>
        <v>8774995.14</v>
      </c>
      <c r="DI23" s="136">
        <f t="array" ref="DI23">IF(DI$3&gt;'QBO Summary'!$B$2,0,SUM(INDIRECT(XLOOKUP(DI$3,'TTM Dates'!$B:$B,'TTM Dates'!$E:$E)&amp;ROW($BK23)&amp;":"&amp;XLOOKUP(DI$3,'TTM Dates'!$B:$B,'TTM Dates'!$C:$C)&amp;ROW($BK23))))</f>
        <v>8997893.96</v>
      </c>
      <c r="DJ23" s="136">
        <f t="array" ref="DJ23">IF(DJ$3&gt;'QBO Summary'!$B$2,0,SUM(INDIRECT(XLOOKUP(DJ$3,'TTM Dates'!$B:$B,'TTM Dates'!$E:$E)&amp;ROW($BK23)&amp;":"&amp;XLOOKUP(DJ$3,'TTM Dates'!$B:$B,'TTM Dates'!$C:$C)&amp;ROW($BK23))))</f>
        <v>8547277.02</v>
      </c>
      <c r="DK23" s="136">
        <f t="array" ref="DK23">IF(DK$3&gt;'QBO Summary'!$B$2,0,SUM(INDIRECT(XLOOKUP(DK$3,'TTM Dates'!$B:$B,'TTM Dates'!$E:$E)&amp;ROW($BK23)&amp;":"&amp;XLOOKUP(DK$3,'TTM Dates'!$B:$B,'TTM Dates'!$C:$C)&amp;ROW($BK23))))</f>
        <v>7939998.76</v>
      </c>
      <c r="DL23" s="136">
        <f t="array" ref="DL23">IF(DL$3&gt;'QBO Summary'!$B$2,0,SUM(INDIRECT(XLOOKUP(DL$3,'TTM Dates'!$B:$B,'TTM Dates'!$E:$E)&amp;ROW($BK23)&amp;":"&amp;XLOOKUP(DL$3,'TTM Dates'!$B:$B,'TTM Dates'!$C:$C)&amp;ROW($BK23))))</f>
        <v>7414623.33</v>
      </c>
      <c r="DM23" s="136">
        <f t="array" ref="DM23">IF(DM$3&gt;'QBO Summary'!$B$2,0,SUM(INDIRECT(XLOOKUP(DM$3,'TTM Dates'!$B:$B,'TTM Dates'!$E:$E)&amp;ROW($BK23)&amp;":"&amp;XLOOKUP(DM$3,'TTM Dates'!$B:$B,'TTM Dates'!$C:$C)&amp;ROW($BK23))))</f>
        <v>7014654.02</v>
      </c>
      <c r="DN23" s="136">
        <f t="array" ref="DN23">IF(DN$3&gt;'QBO Summary'!$B$2,0,SUM(INDIRECT(XLOOKUP(DN$3,'TTM Dates'!$B:$B,'TTM Dates'!$E:$E)&amp;ROW($BK23)&amp;":"&amp;XLOOKUP(DN$3,'TTM Dates'!$B:$B,'TTM Dates'!$C:$C)&amp;ROW($BK23))))</f>
        <v>6493497.66</v>
      </c>
      <c r="DO23" s="136">
        <f t="array" ref="DO23">IF(DO$3&gt;'QBO Summary'!$B$2,0,SUM(INDIRECT(XLOOKUP(DO$3,'TTM Dates'!$B:$B,'TTM Dates'!$E:$E)&amp;ROW($BK23)&amp;":"&amp;XLOOKUP(DO$3,'TTM Dates'!$B:$B,'TTM Dates'!$C:$C)&amp;ROW($BK23))))</f>
        <v>6207796.19</v>
      </c>
      <c r="DP23" s="136">
        <f t="array" ref="DP23">IF(DP$3&gt;'QBO Summary'!$B$2,0,SUM(INDIRECT(XLOOKUP(DP$3,'TTM Dates'!$B:$B,'TTM Dates'!$E:$E)&amp;ROW($BK23)&amp;":"&amp;XLOOKUP(DP$3,'TTM Dates'!$B:$B,'TTM Dates'!$C:$C)&amp;ROW($BK23))))</f>
        <v>5772392.68</v>
      </c>
      <c r="DQ23" s="136">
        <f t="array" ref="DQ23">IF(DQ$3&gt;'QBO Summary'!$B$2,0,SUM(INDIRECT(XLOOKUP(DQ$3,'TTM Dates'!$B:$B,'TTM Dates'!$E:$E)&amp;ROW($BK23)&amp;":"&amp;XLOOKUP(DQ$3,'TTM Dates'!$B:$B,'TTM Dates'!$C:$C)&amp;ROW($BK23))))</f>
        <v>5043656.22</v>
      </c>
      <c r="DR23" s="136">
        <f t="array" ref="DR23">IF(DR$3&gt;'QBO Summary'!$B$2,0,SUM(INDIRECT(XLOOKUP(DR$3,'TTM Dates'!$B:$B,'TTM Dates'!$E:$E)&amp;ROW($BK23)&amp;":"&amp;XLOOKUP(DR$3,'TTM Dates'!$B:$B,'TTM Dates'!$C:$C)&amp;ROW($BK23))))</f>
        <v>4706595.77</v>
      </c>
      <c r="DS23" s="136">
        <f t="array" ref="DS23">IF(DS$3&gt;'QBO Summary'!$B$2,0,SUM(INDIRECT(XLOOKUP(DS$3,'TTM Dates'!$B:$B,'TTM Dates'!$E:$E)&amp;ROW($BK23)&amp;":"&amp;XLOOKUP(DS$3,'TTM Dates'!$B:$B,'TTM Dates'!$C:$C)&amp;ROW($BK23))))</f>
        <v>4332844.8</v>
      </c>
      <c r="DT23" s="136">
        <f t="array" ref="DT23">IF(DT$3&gt;'QBO Summary'!$B$2,0,SUM(INDIRECT(XLOOKUP(DT$3,'TTM Dates'!$B:$B,'TTM Dates'!$E:$E)&amp;ROW($BK23)&amp;":"&amp;XLOOKUP(DT$3,'TTM Dates'!$B:$B,'TTM Dates'!$C:$C)&amp;ROW($BK23))))</f>
        <v>3956854.9</v>
      </c>
      <c r="DU23" s="136">
        <f t="array" ref="DU23">IF(DU$3&gt;'QBO Summary'!$B$2,0,SUM(INDIRECT(XLOOKUP(DU$3,'TTM Dates'!$B:$B,'TTM Dates'!$E:$E)&amp;ROW($BK23)&amp;":"&amp;XLOOKUP(DU$3,'TTM Dates'!$B:$B,'TTM Dates'!$C:$C)&amp;ROW($BK23))))</f>
        <v>3473503.2</v>
      </c>
      <c r="DV23" s="136">
        <f t="array" ref="DV23">IF(DV$3&gt;'QBO Summary'!$B$2,0,SUM(INDIRECT(XLOOKUP(DV$3,'TTM Dates'!$B:$B,'TTM Dates'!$E:$E)&amp;ROW($BK23)&amp;":"&amp;XLOOKUP(DV$3,'TTM Dates'!$B:$B,'TTM Dates'!$C:$C)&amp;ROW($BK23))))</f>
        <v>3219554.9</v>
      </c>
      <c r="DW23" s="136">
        <f t="array" ref="DW23">IF(DW$3&gt;'QBO Summary'!$B$2,0,SUM(INDIRECT(XLOOKUP(DW$3,'TTM Dates'!$B:$B,'TTM Dates'!$E:$E)&amp;ROW($BK23)&amp;":"&amp;XLOOKUP(DW$3,'TTM Dates'!$B:$B,'TTM Dates'!$C:$C)&amp;ROW($BK23))))</f>
        <v>2964028.53</v>
      </c>
      <c r="DX23" s="136">
        <f t="array" ref="DX23">IF(DX$3&gt;'QBO Summary'!$B$2,0,SUM(INDIRECT(XLOOKUP(DX$3,'TTM Dates'!$B:$B,'TTM Dates'!$E:$E)&amp;ROW($BK23)&amp;":"&amp;XLOOKUP(DX$3,'TTM Dates'!$B:$B,'TTM Dates'!$C:$C)&amp;ROW($BK23))))</f>
        <v>2790905.33</v>
      </c>
      <c r="DY23" s="136">
        <f t="array" ref="DY23">IF(DY$3&gt;'QBO Summary'!$B$2,0,SUM(INDIRECT(XLOOKUP(DY$3,'TTM Dates'!$B:$B,'TTM Dates'!$E:$E)&amp;ROW($BK23)&amp;":"&amp;XLOOKUP(DY$3,'TTM Dates'!$B:$B,'TTM Dates'!$C:$C)&amp;ROW($BK23))))</f>
        <v>2500396.93</v>
      </c>
      <c r="DZ23" s="136">
        <f t="array" ref="DZ23">IF(DZ$3&gt;'QBO Summary'!$B$2,0,SUM(INDIRECT(XLOOKUP(DZ$3,'TTM Dates'!$B:$B,'TTM Dates'!$E:$E)&amp;ROW($BK23)&amp;":"&amp;XLOOKUP(DZ$3,'TTM Dates'!$B:$B,'TTM Dates'!$C:$C)&amp;ROW($BK23))))</f>
        <v>2213586.08</v>
      </c>
      <c r="EA23" s="136">
        <f t="array" ref="EA23">IF(EA$3&gt;'QBO Summary'!$B$2,0,SUM(INDIRECT(XLOOKUP(EA$3,'TTM Dates'!$B:$B,'TTM Dates'!$E:$E)&amp;ROW($BK23)&amp;":"&amp;XLOOKUP(EA$3,'TTM Dates'!$B:$B,'TTM Dates'!$C:$C)&amp;ROW($BK23))))</f>
        <v>1812245.93</v>
      </c>
      <c r="EB23" s="136">
        <f t="array" ref="EB23">IF(EB$3&gt;'QBO Summary'!$B$2,0,SUM(INDIRECT(XLOOKUP(EB$3,'TTM Dates'!$B:$B,'TTM Dates'!$E:$E)&amp;ROW($BK23)&amp;":"&amp;XLOOKUP(EB$3,'TTM Dates'!$B:$B,'TTM Dates'!$C:$C)&amp;ROW($BK23))))</f>
        <v>1444153.33</v>
      </c>
      <c r="EC23" s="136">
        <f t="array" ref="EC23">IF(EC$3&gt;'QBO Summary'!$B$2,0,SUM(INDIRECT(XLOOKUP(EC$3,'TTM Dates'!$B:$B,'TTM Dates'!$E:$E)&amp;ROW($BK23)&amp;":"&amp;XLOOKUP(EC$3,'TTM Dates'!$B:$B,'TTM Dates'!$C:$C)&amp;ROW($BK23))))</f>
        <v>1093385.83</v>
      </c>
    </row>
    <row r="24" outlineLevel="1">
      <c r="B24" s="135" t="s">
        <v>322</v>
      </c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7">
        <v>0.0</v>
      </c>
      <c r="AN24" s="137">
        <v>0.0</v>
      </c>
      <c r="AO24" s="137">
        <v>0.0</v>
      </c>
      <c r="AP24" s="137">
        <v>0.0</v>
      </c>
      <c r="AQ24" s="137">
        <v>0.0</v>
      </c>
      <c r="AR24" s="137">
        <v>0.0</v>
      </c>
      <c r="AS24" s="137">
        <v>0.0</v>
      </c>
      <c r="AT24" s="137"/>
      <c r="AU24" s="136"/>
      <c r="AV24" s="137">
        <v>70000.0</v>
      </c>
      <c r="AW24" s="137">
        <v>418.0</v>
      </c>
      <c r="AX24" s="137">
        <v>0.0</v>
      </c>
      <c r="AY24" s="137"/>
      <c r="AZ24" s="137">
        <v>52800.0</v>
      </c>
      <c r="BA24" s="137">
        <v>0.0</v>
      </c>
      <c r="BB24" s="137"/>
      <c r="BC24" s="137"/>
      <c r="BD24" s="137"/>
      <c r="BE24" s="137">
        <v>5833.33</v>
      </c>
      <c r="BF24" s="137">
        <v>5833.33</v>
      </c>
      <c r="BG24" s="137"/>
      <c r="BH24" s="137"/>
      <c r="BI24" s="137"/>
      <c r="BJ24" s="137"/>
      <c r="BK24" s="33"/>
      <c r="BL24" s="288">
        <f t="array" ref="BL24">SUM(INDIRECT(XLOOKUP('QBO Summary'!$B$2,'TTM Dates'!$B:$B,'TTM Dates'!$E:$E)&amp;ROW($BK24)&amp;":"&amp;XLOOKUP('QBO Summary'!$B$2,'TTM Dates'!$B:$B,'TTM Dates'!$C:$C)&amp;ROW($BK24)))</f>
        <v>205302.66</v>
      </c>
      <c r="BM24" s="136"/>
      <c r="BN24" s="136">
        <f t="shared" si="31"/>
        <v>52800</v>
      </c>
      <c r="BO24" s="136">
        <f t="shared" si="32"/>
        <v>0</v>
      </c>
      <c r="BP24" s="136">
        <f t="shared" si="33"/>
        <v>11666.66</v>
      </c>
      <c r="BQ24" s="136">
        <f t="shared" si="34"/>
        <v>0</v>
      </c>
      <c r="BR24" s="292">
        <f t="shared" si="35"/>
        <v>64466.66</v>
      </c>
      <c r="BS24" s="136"/>
      <c r="BT24" s="136">
        <f t="shared" si="36"/>
        <v>0</v>
      </c>
      <c r="BU24" s="136">
        <f t="shared" si="37"/>
        <v>0</v>
      </c>
      <c r="BV24" s="136">
        <f t="shared" si="38"/>
        <v>0</v>
      </c>
      <c r="BW24" s="136">
        <f t="shared" si="39"/>
        <v>70418</v>
      </c>
      <c r="BX24" s="292">
        <f t="shared" si="40"/>
        <v>70418</v>
      </c>
      <c r="BY24" s="136"/>
      <c r="BZ24" s="136"/>
      <c r="CA24" s="136"/>
      <c r="CB24" s="136"/>
      <c r="CC24" s="136"/>
      <c r="CD24" s="292"/>
      <c r="CE24" s="136"/>
      <c r="CF24" s="292"/>
      <c r="CG24" s="136"/>
      <c r="CH24" s="136">
        <f t="array" ref="CH24">IF(CH$3&gt;'QBO Summary'!$B$2,0,SUM(INDIRECT(XLOOKUP(CH$3,'TTM Dates'!$B:$B,'TTM Dates'!$E:$E)&amp;ROW($BK24)&amp;":"&amp;XLOOKUP(CH$3,'TTM Dates'!$B:$B,'TTM Dates'!$C:$C)&amp;ROW($BK24))))</f>
        <v>0</v>
      </c>
      <c r="CI24" s="136">
        <f t="array" ref="CI24">IF(CI$3&gt;'QBO Summary'!$B$2,0,SUM(INDIRECT(XLOOKUP(CI$3,'TTM Dates'!$B:$B,'TTM Dates'!$E:$E)&amp;ROW($BK24)&amp;":"&amp;XLOOKUP(CI$3,'TTM Dates'!$B:$B,'TTM Dates'!$C:$C)&amp;ROW($BK24))))</f>
        <v>0</v>
      </c>
      <c r="CJ24" s="136">
        <f t="array" ref="CJ24">IF(CJ$3&gt;'QBO Summary'!$B$2,0,SUM(INDIRECT(XLOOKUP(CJ$3,'TTM Dates'!$B:$B,'TTM Dates'!$E:$E)&amp;ROW($BK24)&amp;":"&amp;XLOOKUP(CJ$3,'TTM Dates'!$B:$B,'TTM Dates'!$C:$C)&amp;ROW($BK24))))</f>
        <v>0</v>
      </c>
      <c r="CK24" s="136">
        <f t="array" ref="CK24">IF(CK$3&gt;'QBO Summary'!$B$2,0,SUM(INDIRECT(XLOOKUP(CK$3,'TTM Dates'!$B:$B,'TTM Dates'!$E:$E)&amp;ROW($BK24)&amp;":"&amp;XLOOKUP(CK$3,'TTM Dates'!$B:$B,'TTM Dates'!$C:$C)&amp;ROW($BK24))))</f>
        <v>0</v>
      </c>
      <c r="CL24" s="136">
        <f t="array" ref="CL24">IF(CL$3&gt;'QBO Summary'!$B$2,0,SUM(INDIRECT(XLOOKUP(CL$3,'TTM Dates'!$B:$B,'TTM Dates'!$E:$E)&amp;ROW($BK24)&amp;":"&amp;XLOOKUP(CL$3,'TTM Dates'!$B:$B,'TTM Dates'!$C:$C)&amp;ROW($BK24))))</f>
        <v>0</v>
      </c>
      <c r="CM24" s="136">
        <f t="array" ref="CM24">IF(CM$3&gt;'QBO Summary'!$B$2,0,SUM(INDIRECT(XLOOKUP(CM$3,'TTM Dates'!$B:$B,'TTM Dates'!$E:$E)&amp;ROW($BK24)&amp;":"&amp;XLOOKUP(CM$3,'TTM Dates'!$B:$B,'TTM Dates'!$C:$C)&amp;ROW($BK24))))</f>
        <v>0</v>
      </c>
      <c r="CN24" s="136">
        <f t="array" ref="CN24">IF(CN$3&gt;'QBO Summary'!$B$2,0,SUM(INDIRECT(XLOOKUP(CN$3,'TTM Dates'!$B:$B,'TTM Dates'!$E:$E)&amp;ROW($BK24)&amp;":"&amp;XLOOKUP(CN$3,'TTM Dates'!$B:$B,'TTM Dates'!$C:$C)&amp;ROW($BK24))))</f>
        <v>0</v>
      </c>
      <c r="CO24" s="136">
        <f t="array" ref="CO24">IF(CO$3&gt;'QBO Summary'!$B$2,0,SUM(INDIRECT(XLOOKUP(CO$3,'TTM Dates'!$B:$B,'TTM Dates'!$E:$E)&amp;ROW($BK24)&amp;":"&amp;XLOOKUP(CO$3,'TTM Dates'!$B:$B,'TTM Dates'!$C:$C)&amp;ROW($BK24))))</f>
        <v>0</v>
      </c>
      <c r="CP24" s="136">
        <f t="array" ref="CP24">IF(CP$3&gt;'QBO Summary'!$B$2,0,SUM(INDIRECT(XLOOKUP(CP$3,'TTM Dates'!$B:$B,'TTM Dates'!$E:$E)&amp;ROW($BK24)&amp;":"&amp;XLOOKUP(CP$3,'TTM Dates'!$B:$B,'TTM Dates'!$C:$C)&amp;ROW($BK24))))</f>
        <v>0</v>
      </c>
      <c r="CQ24" s="136">
        <f t="array" ref="CQ24">IF(CQ$3&gt;'QBO Summary'!$B$2,0,SUM(INDIRECT(XLOOKUP(CQ$3,'TTM Dates'!$B:$B,'TTM Dates'!$E:$E)&amp;ROW($BK24)&amp;":"&amp;XLOOKUP(CQ$3,'TTM Dates'!$B:$B,'TTM Dates'!$C:$C)&amp;ROW($BK24))))</f>
        <v>0</v>
      </c>
      <c r="CR24" s="136">
        <f t="array" ref="CR24">IF(CR$3&gt;'QBO Summary'!$B$2,0,SUM(INDIRECT(XLOOKUP(CR$3,'TTM Dates'!$B:$B,'TTM Dates'!$E:$E)&amp;ROW($BK24)&amp;":"&amp;XLOOKUP(CR$3,'TTM Dates'!$B:$B,'TTM Dates'!$C:$C)&amp;ROW($BK24))))</f>
        <v>0</v>
      </c>
      <c r="CS24" s="136">
        <f t="array" ref="CS24">IF(CS$3&gt;'QBO Summary'!$B$2,0,SUM(INDIRECT(XLOOKUP(CS$3,'TTM Dates'!$B:$B,'TTM Dates'!$E:$E)&amp;ROW($BK24)&amp;":"&amp;XLOOKUP(CS$3,'TTM Dates'!$B:$B,'TTM Dates'!$C:$C)&amp;ROW($BK24))))</f>
        <v>0</v>
      </c>
      <c r="CT24" s="136">
        <f t="array" ref="CT24">IF(CT$3&gt;'QBO Summary'!$B$2,0,SUM(INDIRECT(XLOOKUP(CT$3,'TTM Dates'!$B:$B,'TTM Dates'!$E:$E)&amp;ROW($BK24)&amp;":"&amp;XLOOKUP(CT$3,'TTM Dates'!$B:$B,'TTM Dates'!$C:$C)&amp;ROW($BK24))))</f>
        <v>0</v>
      </c>
      <c r="CU24" s="136">
        <f t="array" ref="CU24">IF(CU$3&gt;'QBO Summary'!$B$2,0,SUM(INDIRECT(XLOOKUP(CU$3,'TTM Dates'!$B:$B,'TTM Dates'!$E:$E)&amp;ROW($BK24)&amp;":"&amp;XLOOKUP(CU$3,'TTM Dates'!$B:$B,'TTM Dates'!$C:$C)&amp;ROW($BK24))))</f>
        <v>0</v>
      </c>
      <c r="CV24" s="136">
        <f t="array" ref="CV24">IF(CV$3&gt;'QBO Summary'!$B$2,0,SUM(INDIRECT(XLOOKUP(CV$3,'TTM Dates'!$B:$B,'TTM Dates'!$E:$E)&amp;ROW($BK24)&amp;":"&amp;XLOOKUP(CV$3,'TTM Dates'!$B:$B,'TTM Dates'!$C:$C)&amp;ROW($BK24))))</f>
        <v>0</v>
      </c>
      <c r="CW24" s="136">
        <f t="array" ref="CW24">IF(CW$3&gt;'QBO Summary'!$B$2,0,SUM(INDIRECT(XLOOKUP(CW$3,'TTM Dates'!$B:$B,'TTM Dates'!$E:$E)&amp;ROW($BK24)&amp;":"&amp;XLOOKUP(CW$3,'TTM Dates'!$B:$B,'TTM Dates'!$C:$C)&amp;ROW($BK24))))</f>
        <v>0</v>
      </c>
      <c r="CX24" s="136">
        <f t="array" ref="CX24">IF(CX$3&gt;'QBO Summary'!$B$2,0,SUM(INDIRECT(XLOOKUP(CX$3,'TTM Dates'!$B:$B,'TTM Dates'!$E:$E)&amp;ROW($BK24)&amp;":"&amp;XLOOKUP(CX$3,'TTM Dates'!$B:$B,'TTM Dates'!$C:$C)&amp;ROW($BK24))))</f>
        <v>0</v>
      </c>
      <c r="CY24" s="136">
        <f t="array" ref="CY24">IF(CY$3&gt;'QBO Summary'!$B$2,0,SUM(INDIRECT(XLOOKUP(CY$3,'TTM Dates'!$B:$B,'TTM Dates'!$E:$E)&amp;ROW($BK24)&amp;":"&amp;XLOOKUP(CY$3,'TTM Dates'!$B:$B,'TTM Dates'!$C:$C)&amp;ROW($BK24))))</f>
        <v>0</v>
      </c>
      <c r="CZ24" s="136">
        <f t="array" ref="CZ24">IF(CZ$3&gt;'QBO Summary'!$B$2,0,SUM(INDIRECT(XLOOKUP(CZ$3,'TTM Dates'!$B:$B,'TTM Dates'!$E:$E)&amp;ROW($BK24)&amp;":"&amp;XLOOKUP(CZ$3,'TTM Dates'!$B:$B,'TTM Dates'!$C:$C)&amp;ROW($BK24))))</f>
        <v>0</v>
      </c>
      <c r="DA24" s="136">
        <f t="array" ref="DA24">IF(DA$3&gt;'QBO Summary'!$B$2,0,SUM(INDIRECT(XLOOKUP(DA$3,'TTM Dates'!$B:$B,'TTM Dates'!$E:$E)&amp;ROW($BK24)&amp;":"&amp;XLOOKUP(DA$3,'TTM Dates'!$B:$B,'TTM Dates'!$C:$C)&amp;ROW($BK24))))</f>
        <v>0</v>
      </c>
      <c r="DB24" s="136">
        <f t="array" ref="DB24">IF(DB$3&gt;'QBO Summary'!$B$2,0,SUM(INDIRECT(XLOOKUP(DB$3,'TTM Dates'!$B:$B,'TTM Dates'!$E:$E)&amp;ROW($BK24)&amp;":"&amp;XLOOKUP(DB$3,'TTM Dates'!$B:$B,'TTM Dates'!$C:$C)&amp;ROW($BK24))))</f>
        <v>0</v>
      </c>
      <c r="DC24" s="136">
        <f t="array" ref="DC24">IF(DC$3&gt;'QBO Summary'!$B$2,0,SUM(INDIRECT(XLOOKUP(DC$3,'TTM Dates'!$B:$B,'TTM Dates'!$E:$E)&amp;ROW($BK24)&amp;":"&amp;XLOOKUP(DC$3,'TTM Dates'!$B:$B,'TTM Dates'!$C:$C)&amp;ROW($BK24))))</f>
        <v>0</v>
      </c>
      <c r="DD24" s="136">
        <f t="array" ref="DD24">IF(DD$3&gt;'QBO Summary'!$B$2,0,SUM(INDIRECT(XLOOKUP(DD$3,'TTM Dates'!$B:$B,'TTM Dates'!$E:$E)&amp;ROW($BK24)&amp;":"&amp;XLOOKUP(DD$3,'TTM Dates'!$B:$B,'TTM Dates'!$C:$C)&amp;ROW($BK24))))</f>
        <v>0</v>
      </c>
      <c r="DE24" s="136">
        <f t="array" ref="DE24">IF(DE$3&gt;'QBO Summary'!$B$2,0,SUM(INDIRECT(XLOOKUP(DE$3,'TTM Dates'!$B:$B,'TTM Dates'!$E:$E)&amp;ROW($BK24)&amp;":"&amp;XLOOKUP(DE$3,'TTM Dates'!$B:$B,'TTM Dates'!$C:$C)&amp;ROW($BK24))))</f>
        <v>0</v>
      </c>
      <c r="DF24" s="136">
        <f t="array" ref="DF24">IF(DF$3&gt;'QBO Summary'!$B$2,0,SUM(INDIRECT(XLOOKUP(DF$3,'TTM Dates'!$B:$B,'TTM Dates'!$E:$E)&amp;ROW($BK24)&amp;":"&amp;XLOOKUP(DF$3,'TTM Dates'!$B:$B,'TTM Dates'!$C:$C)&amp;ROW($BK24))))</f>
        <v>0</v>
      </c>
      <c r="DG24" s="136">
        <f t="array" ref="DG24">IF(DG$3&gt;'QBO Summary'!$B$2,0,SUM(INDIRECT(XLOOKUP(DG$3,'TTM Dates'!$B:$B,'TTM Dates'!$E:$E)&amp;ROW($BK24)&amp;":"&amp;XLOOKUP(DG$3,'TTM Dates'!$B:$B,'TTM Dates'!$C:$C)&amp;ROW($BK24))))</f>
        <v>0</v>
      </c>
      <c r="DH24" s="136">
        <f t="array" ref="DH24">IF(DH$3&gt;'QBO Summary'!$B$2,0,SUM(INDIRECT(XLOOKUP(DH$3,'TTM Dates'!$B:$B,'TTM Dates'!$E:$E)&amp;ROW($BK24)&amp;":"&amp;XLOOKUP(DH$3,'TTM Dates'!$B:$B,'TTM Dates'!$C:$C)&amp;ROW($BK24))))</f>
        <v>0</v>
      </c>
      <c r="DI24" s="136">
        <f t="array" ref="DI24">IF(DI$3&gt;'QBO Summary'!$B$2,0,SUM(INDIRECT(XLOOKUP(DI$3,'TTM Dates'!$B:$B,'TTM Dates'!$E:$E)&amp;ROW($BK24)&amp;":"&amp;XLOOKUP(DI$3,'TTM Dates'!$B:$B,'TTM Dates'!$C:$C)&amp;ROW($BK24))))</f>
        <v>0</v>
      </c>
      <c r="DJ24" s="136">
        <f t="array" ref="DJ24">IF(DJ$3&gt;'QBO Summary'!$B$2,0,SUM(INDIRECT(XLOOKUP(DJ$3,'TTM Dates'!$B:$B,'TTM Dates'!$E:$E)&amp;ROW($BK24)&amp;":"&amp;XLOOKUP(DJ$3,'TTM Dates'!$B:$B,'TTM Dates'!$C:$C)&amp;ROW($BK24))))</f>
        <v>0</v>
      </c>
      <c r="DK24" s="136">
        <f t="array" ref="DK24">IF(DK$3&gt;'QBO Summary'!$B$2,0,SUM(INDIRECT(XLOOKUP(DK$3,'TTM Dates'!$B:$B,'TTM Dates'!$E:$E)&amp;ROW($BK24)&amp;":"&amp;XLOOKUP(DK$3,'TTM Dates'!$B:$B,'TTM Dates'!$C:$C)&amp;ROW($BK24))))</f>
        <v>0</v>
      </c>
      <c r="DL24" s="136">
        <f t="array" ref="DL24">IF(DL$3&gt;'QBO Summary'!$B$2,0,SUM(INDIRECT(XLOOKUP(DL$3,'TTM Dates'!$B:$B,'TTM Dates'!$E:$E)&amp;ROW($BK24)&amp;":"&amp;XLOOKUP(DL$3,'TTM Dates'!$B:$B,'TTM Dates'!$C:$C)&amp;ROW($BK24))))</f>
        <v>0</v>
      </c>
      <c r="DM24" s="136">
        <f t="array" ref="DM24">IF(DM$3&gt;'QBO Summary'!$B$2,0,SUM(INDIRECT(XLOOKUP(DM$3,'TTM Dates'!$B:$B,'TTM Dates'!$E:$E)&amp;ROW($BK24)&amp;":"&amp;XLOOKUP(DM$3,'TTM Dates'!$B:$B,'TTM Dates'!$C:$C)&amp;ROW($BK24))))</f>
        <v>0</v>
      </c>
      <c r="DN24" s="136">
        <f t="array" ref="DN24">IF(DN$3&gt;'QBO Summary'!$B$2,0,SUM(INDIRECT(XLOOKUP(DN$3,'TTM Dates'!$B:$B,'TTM Dates'!$E:$E)&amp;ROW($BK24)&amp;":"&amp;XLOOKUP(DN$3,'TTM Dates'!$B:$B,'TTM Dates'!$C:$C)&amp;ROW($BK24))))</f>
        <v>0</v>
      </c>
      <c r="DO24" s="136">
        <f t="array" ref="DO24">IF(DO$3&gt;'QBO Summary'!$B$2,0,SUM(INDIRECT(XLOOKUP(DO$3,'TTM Dates'!$B:$B,'TTM Dates'!$E:$E)&amp;ROW($BK24)&amp;":"&amp;XLOOKUP(DO$3,'TTM Dates'!$B:$B,'TTM Dates'!$C:$C)&amp;ROW($BK24))))</f>
        <v>70000</v>
      </c>
      <c r="DP24" s="136">
        <f t="array" ref="DP24">IF(DP$3&gt;'QBO Summary'!$B$2,0,SUM(INDIRECT(XLOOKUP(DP$3,'TTM Dates'!$B:$B,'TTM Dates'!$E:$E)&amp;ROW($BK24)&amp;":"&amp;XLOOKUP(DP$3,'TTM Dates'!$B:$B,'TTM Dates'!$C:$C)&amp;ROW($BK24))))</f>
        <v>70418</v>
      </c>
      <c r="DQ24" s="136">
        <f t="array" ref="DQ24">IF(DQ$3&gt;'QBO Summary'!$B$2,0,SUM(INDIRECT(XLOOKUP(DQ$3,'TTM Dates'!$B:$B,'TTM Dates'!$E:$E)&amp;ROW($BK24)&amp;":"&amp;XLOOKUP(DQ$3,'TTM Dates'!$B:$B,'TTM Dates'!$C:$C)&amp;ROW($BK24))))</f>
        <v>70418</v>
      </c>
      <c r="DR24" s="136">
        <f t="array" ref="DR24">IF(DR$3&gt;'QBO Summary'!$B$2,0,SUM(INDIRECT(XLOOKUP(DR$3,'TTM Dates'!$B:$B,'TTM Dates'!$E:$E)&amp;ROW($BK24)&amp;":"&amp;XLOOKUP(DR$3,'TTM Dates'!$B:$B,'TTM Dates'!$C:$C)&amp;ROW($BK24))))</f>
        <v>70418</v>
      </c>
      <c r="DS24" s="136">
        <f t="array" ref="DS24">IF(DS$3&gt;'QBO Summary'!$B$2,0,SUM(INDIRECT(XLOOKUP(DS$3,'TTM Dates'!$B:$B,'TTM Dates'!$E:$E)&amp;ROW($BK24)&amp;":"&amp;XLOOKUP(DS$3,'TTM Dates'!$B:$B,'TTM Dates'!$C:$C)&amp;ROW($BK24))))</f>
        <v>123218</v>
      </c>
      <c r="DT24" s="136">
        <f t="array" ref="DT24">IF(DT$3&gt;'QBO Summary'!$B$2,0,SUM(INDIRECT(XLOOKUP(DT$3,'TTM Dates'!$B:$B,'TTM Dates'!$E:$E)&amp;ROW($BK24)&amp;":"&amp;XLOOKUP(DT$3,'TTM Dates'!$B:$B,'TTM Dates'!$C:$C)&amp;ROW($BK24))))</f>
        <v>123218</v>
      </c>
      <c r="DU24" s="136">
        <f t="array" ref="DU24">IF(DU$3&gt;'QBO Summary'!$B$2,0,SUM(INDIRECT(XLOOKUP(DU$3,'TTM Dates'!$B:$B,'TTM Dates'!$E:$E)&amp;ROW($BK24)&amp;":"&amp;XLOOKUP(DU$3,'TTM Dates'!$B:$B,'TTM Dates'!$C:$C)&amp;ROW($BK24))))</f>
        <v>123218</v>
      </c>
      <c r="DV24" s="136">
        <f t="array" ref="DV24">IF(DV$3&gt;'QBO Summary'!$B$2,0,SUM(INDIRECT(XLOOKUP(DV$3,'TTM Dates'!$B:$B,'TTM Dates'!$E:$E)&amp;ROW($BK24)&amp;":"&amp;XLOOKUP(DV$3,'TTM Dates'!$B:$B,'TTM Dates'!$C:$C)&amp;ROW($BK24))))</f>
        <v>123218</v>
      </c>
      <c r="DW24" s="136">
        <f t="array" ref="DW24">IF(DW$3&gt;'QBO Summary'!$B$2,0,SUM(INDIRECT(XLOOKUP(DW$3,'TTM Dates'!$B:$B,'TTM Dates'!$E:$E)&amp;ROW($BK24)&amp;":"&amp;XLOOKUP(DW$3,'TTM Dates'!$B:$B,'TTM Dates'!$C:$C)&amp;ROW($BK24))))</f>
        <v>123218</v>
      </c>
      <c r="DX24" s="136">
        <f t="array" ref="DX24">IF(DX$3&gt;'QBO Summary'!$B$2,0,SUM(INDIRECT(XLOOKUP(DX$3,'TTM Dates'!$B:$B,'TTM Dates'!$E:$E)&amp;ROW($BK24)&amp;":"&amp;XLOOKUP(DX$3,'TTM Dates'!$B:$B,'TTM Dates'!$C:$C)&amp;ROW($BK24))))</f>
        <v>129051.33</v>
      </c>
      <c r="DY24" s="136">
        <f t="array" ref="DY24">IF(DY$3&gt;'QBO Summary'!$B$2,0,SUM(INDIRECT(XLOOKUP(DY$3,'TTM Dates'!$B:$B,'TTM Dates'!$E:$E)&amp;ROW($BK24)&amp;":"&amp;XLOOKUP(DY$3,'TTM Dates'!$B:$B,'TTM Dates'!$C:$C)&amp;ROW($BK24))))</f>
        <v>134884.66</v>
      </c>
      <c r="DZ24" s="136">
        <f t="array" ref="DZ24">IF(DZ$3&gt;'QBO Summary'!$B$2,0,SUM(INDIRECT(XLOOKUP(DZ$3,'TTM Dates'!$B:$B,'TTM Dates'!$E:$E)&amp;ROW($BK24)&amp;":"&amp;XLOOKUP(DZ$3,'TTM Dates'!$B:$B,'TTM Dates'!$C:$C)&amp;ROW($BK24))))</f>
        <v>134884.66</v>
      </c>
      <c r="EA24" s="136">
        <f t="array" ref="EA24">IF(EA$3&gt;'QBO Summary'!$B$2,0,SUM(INDIRECT(XLOOKUP(EA$3,'TTM Dates'!$B:$B,'TTM Dates'!$E:$E)&amp;ROW($BK24)&amp;":"&amp;XLOOKUP(EA$3,'TTM Dates'!$B:$B,'TTM Dates'!$C:$C)&amp;ROW($BK24))))</f>
        <v>64884.66</v>
      </c>
      <c r="EB24" s="136">
        <f t="array" ref="EB24">IF(EB$3&gt;'QBO Summary'!$B$2,0,SUM(INDIRECT(XLOOKUP(EB$3,'TTM Dates'!$B:$B,'TTM Dates'!$E:$E)&amp;ROW($BK24)&amp;":"&amp;XLOOKUP(EB$3,'TTM Dates'!$B:$B,'TTM Dates'!$C:$C)&amp;ROW($BK24))))</f>
        <v>64466.66</v>
      </c>
      <c r="EC24" s="136">
        <f t="array" ref="EC24">IF(EC$3&gt;'QBO Summary'!$B$2,0,SUM(INDIRECT(XLOOKUP(EC$3,'TTM Dates'!$B:$B,'TTM Dates'!$E:$E)&amp;ROW($BK24)&amp;":"&amp;XLOOKUP(EC$3,'TTM Dates'!$B:$B,'TTM Dates'!$C:$C)&amp;ROW($BK24))))</f>
        <v>64466.66</v>
      </c>
    </row>
    <row r="25" outlineLevel="1">
      <c r="B25" s="135" t="s">
        <v>467</v>
      </c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7">
        <v>0.0</v>
      </c>
      <c r="AN25" s="137">
        <v>0.0</v>
      </c>
      <c r="AO25" s="137">
        <v>0.0</v>
      </c>
      <c r="AP25" s="137">
        <v>0.0</v>
      </c>
      <c r="AQ25" s="137">
        <v>0.0</v>
      </c>
      <c r="AR25" s="137">
        <v>0.0</v>
      </c>
      <c r="AS25" s="137">
        <v>0.0</v>
      </c>
      <c r="AT25" s="137">
        <v>0.0</v>
      </c>
      <c r="AU25" s="137">
        <v>0.0</v>
      </c>
      <c r="AV25" s="137">
        <v>0.0</v>
      </c>
      <c r="AW25" s="137">
        <v>0.0</v>
      </c>
      <c r="AX25" s="137">
        <v>0.0</v>
      </c>
      <c r="AY25" s="137">
        <v>0.0</v>
      </c>
      <c r="AZ25" s="137">
        <v>0.0</v>
      </c>
      <c r="BA25" s="137">
        <v>0.0</v>
      </c>
      <c r="BB25" s="137">
        <v>0.0</v>
      </c>
      <c r="BC25" s="137"/>
      <c r="BD25" s="137"/>
      <c r="BE25" s="137"/>
      <c r="BF25" s="137"/>
      <c r="BG25" s="137"/>
      <c r="BH25" s="137"/>
      <c r="BI25" s="137"/>
      <c r="BJ25" s="137"/>
      <c r="BK25" s="33"/>
      <c r="BL25" s="288"/>
      <c r="BM25" s="136"/>
      <c r="BN25" s="136"/>
      <c r="BO25" s="136"/>
      <c r="BP25" s="136"/>
      <c r="BQ25" s="136"/>
      <c r="BR25" s="292"/>
      <c r="BS25" s="136"/>
      <c r="BT25" s="136"/>
      <c r="BU25" s="136"/>
      <c r="BV25" s="136"/>
      <c r="BW25" s="136"/>
      <c r="BX25" s="292"/>
      <c r="BY25" s="136"/>
      <c r="BZ25" s="136"/>
      <c r="CA25" s="136"/>
      <c r="CB25" s="136"/>
      <c r="CC25" s="136"/>
      <c r="CD25" s="292"/>
      <c r="CE25" s="136"/>
      <c r="CF25" s="292"/>
      <c r="CG25" s="136"/>
      <c r="CH25" s="136"/>
      <c r="CI25" s="136"/>
      <c r="CJ25" s="136"/>
      <c r="CK25" s="136"/>
      <c r="CL25" s="136"/>
      <c r="CM25" s="136"/>
      <c r="CN25" s="136"/>
      <c r="CO25" s="136"/>
      <c r="CP25" s="136"/>
      <c r="CQ25" s="136"/>
      <c r="CR25" s="136"/>
      <c r="CS25" s="136"/>
      <c r="CT25" s="136"/>
      <c r="CU25" s="136"/>
      <c r="CV25" s="136"/>
      <c r="CW25" s="136"/>
      <c r="CX25" s="136"/>
      <c r="CY25" s="136"/>
      <c r="CZ25" s="136"/>
      <c r="DA25" s="136"/>
      <c r="DB25" s="136"/>
      <c r="DC25" s="136"/>
      <c r="DD25" s="136"/>
      <c r="DE25" s="136"/>
      <c r="DF25" s="136"/>
      <c r="DG25" s="136"/>
      <c r="DH25" s="136"/>
      <c r="DI25" s="136"/>
      <c r="DJ25" s="136"/>
      <c r="DK25" s="136"/>
      <c r="DL25" s="136"/>
      <c r="DM25" s="136"/>
      <c r="DN25" s="136"/>
      <c r="DO25" s="136"/>
      <c r="DP25" s="136"/>
      <c r="DQ25" s="136"/>
      <c r="DR25" s="136"/>
      <c r="DS25" s="136"/>
      <c r="DT25" s="136"/>
      <c r="DU25" s="136"/>
      <c r="DV25" s="136"/>
      <c r="DW25" s="136"/>
      <c r="DX25" s="136"/>
      <c r="DY25" s="136"/>
      <c r="DZ25" s="136"/>
      <c r="EA25" s="136"/>
      <c r="EB25" s="136"/>
      <c r="EC25" s="136"/>
    </row>
    <row r="26">
      <c r="B26" s="135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  <c r="BI26" s="136"/>
      <c r="BJ26" s="136"/>
      <c r="BK26" s="33"/>
      <c r="BL26" s="292"/>
      <c r="BM26" s="136"/>
      <c r="BN26" s="136"/>
      <c r="BO26" s="136"/>
      <c r="BP26" s="136"/>
      <c r="BQ26" s="136"/>
      <c r="BR26" s="292"/>
      <c r="BS26" s="136"/>
      <c r="BT26" s="136"/>
      <c r="BU26" s="136"/>
      <c r="BV26" s="136"/>
      <c r="BW26" s="136"/>
      <c r="BX26" s="292"/>
      <c r="BY26" s="136"/>
      <c r="BZ26" s="136"/>
      <c r="CA26" s="136"/>
      <c r="CB26" s="136"/>
      <c r="CC26" s="136"/>
      <c r="CD26" s="292"/>
      <c r="CE26" s="136"/>
      <c r="CF26" s="292"/>
      <c r="CG26" s="136"/>
      <c r="CH26" s="136"/>
      <c r="CI26" s="136"/>
      <c r="CJ26" s="136"/>
      <c r="CK26" s="136"/>
      <c r="CL26" s="136"/>
      <c r="CM26" s="136"/>
      <c r="CN26" s="136"/>
      <c r="CO26" s="136"/>
      <c r="CP26" s="136"/>
      <c r="CQ26" s="136"/>
      <c r="CR26" s="136"/>
      <c r="CS26" s="136"/>
      <c r="CT26" s="136"/>
      <c r="CU26" s="136"/>
      <c r="CV26" s="136"/>
      <c r="CW26" s="136"/>
      <c r="CX26" s="136"/>
      <c r="CY26" s="136"/>
      <c r="CZ26" s="136"/>
      <c r="DA26" s="136"/>
      <c r="DB26" s="136"/>
      <c r="DC26" s="136"/>
      <c r="DD26" s="136"/>
      <c r="DE26" s="136"/>
      <c r="DF26" s="136"/>
      <c r="DG26" s="136"/>
      <c r="DH26" s="136"/>
      <c r="DI26" s="136"/>
      <c r="DJ26" s="136"/>
      <c r="DK26" s="136"/>
      <c r="DL26" s="136"/>
      <c r="DM26" s="136"/>
      <c r="DN26" s="136"/>
      <c r="DO26" s="136"/>
      <c r="DP26" s="136"/>
      <c r="DQ26" s="136"/>
      <c r="DR26" s="136"/>
      <c r="DS26" s="136"/>
      <c r="DT26" s="136"/>
      <c r="DU26" s="136"/>
      <c r="DV26" s="136"/>
      <c r="DW26" s="136"/>
      <c r="DX26" s="136"/>
      <c r="DY26" s="136"/>
      <c r="DZ26" s="136"/>
      <c r="EA26" s="136"/>
      <c r="EB26" s="136"/>
      <c r="EC26" s="136"/>
    </row>
    <row r="27">
      <c r="B27" s="63" t="s">
        <v>505</v>
      </c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270">
        <f t="shared" ref="AM27:BJ27" si="41">SUM(AM28:AM29)</f>
        <v>828508.74</v>
      </c>
      <c r="AN27" s="270">
        <f t="shared" si="41"/>
        <v>603717.91</v>
      </c>
      <c r="AO27" s="270">
        <f t="shared" si="41"/>
        <v>625311.64</v>
      </c>
      <c r="AP27" s="270">
        <f t="shared" si="41"/>
        <v>761722.62</v>
      </c>
      <c r="AQ27" s="270">
        <f t="shared" si="41"/>
        <v>636848.46</v>
      </c>
      <c r="AR27" s="270">
        <f t="shared" si="41"/>
        <v>592880.64</v>
      </c>
      <c r="AS27" s="270">
        <f t="shared" si="41"/>
        <v>647258.9</v>
      </c>
      <c r="AT27" s="270">
        <f t="shared" si="41"/>
        <v>941032.69</v>
      </c>
      <c r="AU27" s="270">
        <f t="shared" si="41"/>
        <v>708524.58</v>
      </c>
      <c r="AV27" s="270">
        <f t="shared" si="41"/>
        <v>679060.78</v>
      </c>
      <c r="AW27" s="270">
        <f t="shared" si="41"/>
        <v>680053.75</v>
      </c>
      <c r="AX27" s="270">
        <f t="shared" si="41"/>
        <v>742152.92</v>
      </c>
      <c r="AY27" s="270">
        <f t="shared" si="41"/>
        <v>756742.61</v>
      </c>
      <c r="AZ27" s="270">
        <f t="shared" si="41"/>
        <v>685393.08</v>
      </c>
      <c r="BA27" s="270">
        <f t="shared" si="41"/>
        <v>678405.55</v>
      </c>
      <c r="BB27" s="270">
        <f t="shared" si="41"/>
        <v>993966.16</v>
      </c>
      <c r="BC27" s="270">
        <f t="shared" si="41"/>
        <v>698206.56</v>
      </c>
      <c r="BD27" s="270">
        <f t="shared" si="41"/>
        <v>689582.9</v>
      </c>
      <c r="BE27" s="270">
        <f t="shared" si="41"/>
        <v>709212.33</v>
      </c>
      <c r="BF27" s="270">
        <f t="shared" si="41"/>
        <v>1229293.13</v>
      </c>
      <c r="BG27" s="270">
        <f t="shared" si="41"/>
        <v>0</v>
      </c>
      <c r="BH27" s="270">
        <f t="shared" si="41"/>
        <v>0</v>
      </c>
      <c r="BI27" s="270">
        <f t="shared" si="41"/>
        <v>0</v>
      </c>
      <c r="BJ27" s="270">
        <f t="shared" si="41"/>
        <v>0</v>
      </c>
      <c r="BK27" s="33"/>
      <c r="BL27" s="121">
        <f t="array" ref="BL27">SUM(INDIRECT(XLOOKUP('QBO Summary'!$B$2,'TTM Dates'!$B:$B,'TTM Dates'!$E:$E)&amp;ROW($BK27)&amp;":"&amp;XLOOKUP('QBO Summary'!$B$2,'TTM Dates'!$B:$B,'TTM Dates'!$C:$C)&amp;ROW($BK27)))</f>
        <v>23334949.58</v>
      </c>
      <c r="BM27" s="49"/>
      <c r="BN27" s="270">
        <f t="shared" ref="BN27:BN29" si="42">sum(AY27:BA27)</f>
        <v>2120541.24</v>
      </c>
      <c r="BO27" s="270">
        <f t="shared" ref="BO27:BO29" si="43">sum(BB27:BD27)</f>
        <v>2381755.62</v>
      </c>
      <c r="BP27" s="270">
        <f t="shared" ref="BP27:BP29" si="44">sum(BE27:BG27)</f>
        <v>1938505.46</v>
      </c>
      <c r="BQ27" s="270">
        <f t="shared" ref="BQ27:BQ29" si="45">sum(BH27:BJ27)</f>
        <v>0</v>
      </c>
      <c r="BR27" s="121">
        <f t="shared" ref="BR27:BR29" si="46">sum(AY27:BJ27)</f>
        <v>6440802.32</v>
      </c>
      <c r="BS27" s="49"/>
      <c r="BT27" s="270">
        <f t="shared" ref="BT27:BT29" si="47">sum(AM27:AO27)</f>
        <v>2057538.29</v>
      </c>
      <c r="BU27" s="270">
        <f t="shared" ref="BU27:BU29" si="48">sum(AP27:AR27)</f>
        <v>1991451.72</v>
      </c>
      <c r="BV27" s="270">
        <f t="shared" ref="BV27:BV29" si="49">sum(AS27:AU27)</f>
        <v>2296816.17</v>
      </c>
      <c r="BW27" s="270">
        <f t="shared" ref="BW27:BW29" si="50">sum(AV27:AX27)</f>
        <v>2101267.45</v>
      </c>
      <c r="BX27" s="121">
        <f t="shared" ref="BX27:BX29" si="51">sum(AM27:AX27)</f>
        <v>8447073.63</v>
      </c>
      <c r="BY27" s="49"/>
      <c r="BZ27" s="270"/>
      <c r="CA27" s="270"/>
      <c r="CB27" s="270"/>
      <c r="CC27" s="270"/>
      <c r="CD27" s="121"/>
      <c r="CE27" s="49"/>
      <c r="CF27" s="121"/>
      <c r="CG27" s="136"/>
      <c r="CH27" s="64">
        <f t="array" ref="CH27">IF(CH$3&gt;'QBO Summary'!$B$2,0,SUM(INDIRECT(XLOOKUP(CH$3,'TTM Dates'!$B:$B,'TTM Dates'!$E:$E)&amp;ROW($BK27)&amp;":"&amp;XLOOKUP(CH$3,'TTM Dates'!$B:$B,'TTM Dates'!$C:$C)&amp;ROW($BK27))))</f>
        <v>0</v>
      </c>
      <c r="CI27" s="64">
        <f t="array" ref="CI27">IF(CI$3&gt;'QBO Summary'!$B$2,0,SUM(INDIRECT(XLOOKUP(CI$3,'TTM Dates'!$B:$B,'TTM Dates'!$E:$E)&amp;ROW($BK27)&amp;":"&amp;XLOOKUP(CI$3,'TTM Dates'!$B:$B,'TTM Dates'!$C:$C)&amp;ROW($BK27))))</f>
        <v>0</v>
      </c>
      <c r="CJ27" s="64">
        <f t="array" ref="CJ27">IF(CJ$3&gt;'QBO Summary'!$B$2,0,SUM(INDIRECT(XLOOKUP(CJ$3,'TTM Dates'!$B:$B,'TTM Dates'!$E:$E)&amp;ROW($BK27)&amp;":"&amp;XLOOKUP(CJ$3,'TTM Dates'!$B:$B,'TTM Dates'!$C:$C)&amp;ROW($BK27))))</f>
        <v>0</v>
      </c>
      <c r="CK27" s="64">
        <f t="array" ref="CK27">IF(CK$3&gt;'QBO Summary'!$B$2,0,SUM(INDIRECT(XLOOKUP(CK$3,'TTM Dates'!$B:$B,'TTM Dates'!$E:$E)&amp;ROW($BK27)&amp;":"&amp;XLOOKUP(CK$3,'TTM Dates'!$B:$B,'TTM Dates'!$C:$C)&amp;ROW($BK27))))</f>
        <v>0</v>
      </c>
      <c r="CL27" s="64">
        <f t="array" ref="CL27">IF(CL$3&gt;'QBO Summary'!$B$2,0,SUM(INDIRECT(XLOOKUP(CL$3,'TTM Dates'!$B:$B,'TTM Dates'!$E:$E)&amp;ROW($BK27)&amp;":"&amp;XLOOKUP(CL$3,'TTM Dates'!$B:$B,'TTM Dates'!$C:$C)&amp;ROW($BK27))))</f>
        <v>0</v>
      </c>
      <c r="CM27" s="64">
        <f t="array" ref="CM27">IF(CM$3&gt;'QBO Summary'!$B$2,0,SUM(INDIRECT(XLOOKUP(CM$3,'TTM Dates'!$B:$B,'TTM Dates'!$E:$E)&amp;ROW($BK27)&amp;":"&amp;XLOOKUP(CM$3,'TTM Dates'!$B:$B,'TTM Dates'!$C:$C)&amp;ROW($BK27))))</f>
        <v>0</v>
      </c>
      <c r="CN27" s="64">
        <f t="array" ref="CN27">IF(CN$3&gt;'QBO Summary'!$B$2,0,SUM(INDIRECT(XLOOKUP(CN$3,'TTM Dates'!$B:$B,'TTM Dates'!$E:$E)&amp;ROW($BK27)&amp;":"&amp;XLOOKUP(CN$3,'TTM Dates'!$B:$B,'TTM Dates'!$C:$C)&amp;ROW($BK27))))</f>
        <v>0</v>
      </c>
      <c r="CO27" s="64">
        <f t="array" ref="CO27">IF(CO$3&gt;'QBO Summary'!$B$2,0,SUM(INDIRECT(XLOOKUP(CO$3,'TTM Dates'!$B:$B,'TTM Dates'!$E:$E)&amp;ROW($BK27)&amp;":"&amp;XLOOKUP(CO$3,'TTM Dates'!$B:$B,'TTM Dates'!$C:$C)&amp;ROW($BK27))))</f>
        <v>0</v>
      </c>
      <c r="CP27" s="64">
        <f t="array" ref="CP27">IF(CP$3&gt;'QBO Summary'!$B$2,0,SUM(INDIRECT(XLOOKUP(CP$3,'TTM Dates'!$B:$B,'TTM Dates'!$E:$E)&amp;ROW($BK27)&amp;":"&amp;XLOOKUP(CP$3,'TTM Dates'!$B:$B,'TTM Dates'!$C:$C)&amp;ROW($BK27))))</f>
        <v>0</v>
      </c>
      <c r="CQ27" s="64">
        <f t="array" ref="CQ27">IF(CQ$3&gt;'QBO Summary'!$B$2,0,SUM(INDIRECT(XLOOKUP(CQ$3,'TTM Dates'!$B:$B,'TTM Dates'!$E:$E)&amp;ROW($BK27)&amp;":"&amp;XLOOKUP(CQ$3,'TTM Dates'!$B:$B,'TTM Dates'!$C:$C)&amp;ROW($BK27))))</f>
        <v>0</v>
      </c>
      <c r="CR27" s="64">
        <f t="array" ref="CR27">IF(CR$3&gt;'QBO Summary'!$B$2,0,SUM(INDIRECT(XLOOKUP(CR$3,'TTM Dates'!$B:$B,'TTM Dates'!$E:$E)&amp;ROW($BK27)&amp;":"&amp;XLOOKUP(CR$3,'TTM Dates'!$B:$B,'TTM Dates'!$C:$C)&amp;ROW($BK27))))</f>
        <v>0</v>
      </c>
      <c r="CS27" s="64">
        <f t="array" ref="CS27">IF(CS$3&gt;'QBO Summary'!$B$2,0,SUM(INDIRECT(XLOOKUP(CS$3,'TTM Dates'!$B:$B,'TTM Dates'!$E:$E)&amp;ROW($BK27)&amp;":"&amp;XLOOKUP(CS$3,'TTM Dates'!$B:$B,'TTM Dates'!$C:$C)&amp;ROW($BK27))))</f>
        <v>0</v>
      </c>
      <c r="CT27" s="64">
        <f t="array" ref="CT27">IF(CT$3&gt;'QBO Summary'!$B$2,0,SUM(INDIRECT(XLOOKUP(CT$3,'TTM Dates'!$B:$B,'TTM Dates'!$E:$E)&amp;ROW($BK27)&amp;":"&amp;XLOOKUP(CT$3,'TTM Dates'!$B:$B,'TTM Dates'!$C:$C)&amp;ROW($BK27))))</f>
        <v>0</v>
      </c>
      <c r="CU27" s="64">
        <f t="array" ref="CU27">IF(CU$3&gt;'QBO Summary'!$B$2,0,SUM(INDIRECT(XLOOKUP(CU$3,'TTM Dates'!$B:$B,'TTM Dates'!$E:$E)&amp;ROW($BK27)&amp;":"&amp;XLOOKUP(CU$3,'TTM Dates'!$B:$B,'TTM Dates'!$C:$C)&amp;ROW($BK27))))</f>
        <v>0</v>
      </c>
      <c r="CV27" s="64">
        <f t="array" ref="CV27">IF(CV$3&gt;'QBO Summary'!$B$2,0,SUM(INDIRECT(XLOOKUP(CV$3,'TTM Dates'!$B:$B,'TTM Dates'!$E:$E)&amp;ROW($BK27)&amp;":"&amp;XLOOKUP(CV$3,'TTM Dates'!$B:$B,'TTM Dates'!$C:$C)&amp;ROW($BK27))))</f>
        <v>0</v>
      </c>
      <c r="CW27" s="64">
        <f t="array" ref="CW27">IF(CW$3&gt;'QBO Summary'!$B$2,0,SUM(INDIRECT(XLOOKUP(CW$3,'TTM Dates'!$B:$B,'TTM Dates'!$E:$E)&amp;ROW($BK27)&amp;":"&amp;XLOOKUP(CW$3,'TTM Dates'!$B:$B,'TTM Dates'!$C:$C)&amp;ROW($BK27))))</f>
        <v>0</v>
      </c>
      <c r="CX27" s="64">
        <f t="array" ref="CX27">IF(CX$3&gt;'QBO Summary'!$B$2,0,SUM(INDIRECT(XLOOKUP(CX$3,'TTM Dates'!$B:$B,'TTM Dates'!$E:$E)&amp;ROW($BK27)&amp;":"&amp;XLOOKUP(CX$3,'TTM Dates'!$B:$B,'TTM Dates'!$C:$C)&amp;ROW($BK27))))</f>
        <v>0</v>
      </c>
      <c r="CY27" s="64">
        <f t="array" ref="CY27">IF(CY$3&gt;'QBO Summary'!$B$2,0,SUM(INDIRECT(XLOOKUP(CY$3,'TTM Dates'!$B:$B,'TTM Dates'!$E:$E)&amp;ROW($BK27)&amp;":"&amp;XLOOKUP(CY$3,'TTM Dates'!$B:$B,'TTM Dates'!$C:$C)&amp;ROW($BK27))))</f>
        <v>0</v>
      </c>
      <c r="CZ27" s="64">
        <f t="array" ref="CZ27">IF(CZ$3&gt;'QBO Summary'!$B$2,0,SUM(INDIRECT(XLOOKUP(CZ$3,'TTM Dates'!$B:$B,'TTM Dates'!$E:$E)&amp;ROW($BK27)&amp;":"&amp;XLOOKUP(CZ$3,'TTM Dates'!$B:$B,'TTM Dates'!$C:$C)&amp;ROW($BK27))))</f>
        <v>0</v>
      </c>
      <c r="DA27" s="64">
        <f t="array" ref="DA27">IF(DA$3&gt;'QBO Summary'!$B$2,0,SUM(INDIRECT(XLOOKUP(DA$3,'TTM Dates'!$B:$B,'TTM Dates'!$E:$E)&amp;ROW($BK27)&amp;":"&amp;XLOOKUP(DA$3,'TTM Dates'!$B:$B,'TTM Dates'!$C:$C)&amp;ROW($BK27))))</f>
        <v>0</v>
      </c>
      <c r="DB27" s="64">
        <f t="array" ref="DB27">IF(DB$3&gt;'QBO Summary'!$B$2,0,SUM(INDIRECT(XLOOKUP(DB$3,'TTM Dates'!$B:$B,'TTM Dates'!$E:$E)&amp;ROW($BK27)&amp;":"&amp;XLOOKUP(DB$3,'TTM Dates'!$B:$B,'TTM Dates'!$C:$C)&amp;ROW($BK27))))</f>
        <v>0</v>
      </c>
      <c r="DC27" s="64">
        <f t="array" ref="DC27">IF(DC$3&gt;'QBO Summary'!$B$2,0,SUM(INDIRECT(XLOOKUP(DC$3,'TTM Dates'!$B:$B,'TTM Dates'!$E:$E)&amp;ROW($BK27)&amp;":"&amp;XLOOKUP(DC$3,'TTM Dates'!$B:$B,'TTM Dates'!$C:$C)&amp;ROW($BK27))))</f>
        <v>0</v>
      </c>
      <c r="DD27" s="64">
        <f t="array" ref="DD27">IF(DD$3&gt;'QBO Summary'!$B$2,0,SUM(INDIRECT(XLOOKUP(DD$3,'TTM Dates'!$B:$B,'TTM Dates'!$E:$E)&amp;ROW($BK27)&amp;":"&amp;XLOOKUP(DD$3,'TTM Dates'!$B:$B,'TTM Dates'!$C:$C)&amp;ROW($BK27))))</f>
        <v>0</v>
      </c>
      <c r="DE27" s="64">
        <f t="array" ref="DE27">IF(DE$3&gt;'QBO Summary'!$B$2,0,SUM(INDIRECT(XLOOKUP(DE$3,'TTM Dates'!$B:$B,'TTM Dates'!$E:$E)&amp;ROW($BK27)&amp;":"&amp;XLOOKUP(DE$3,'TTM Dates'!$B:$B,'TTM Dates'!$C:$C)&amp;ROW($BK27))))</f>
        <v>0</v>
      </c>
      <c r="DF27" s="64">
        <f t="array" ref="DF27">IF(DF$3&gt;'QBO Summary'!$B$2,0,SUM(INDIRECT(XLOOKUP(DF$3,'TTM Dates'!$B:$B,'TTM Dates'!$E:$E)&amp;ROW($BK27)&amp;":"&amp;XLOOKUP(DF$3,'TTM Dates'!$B:$B,'TTM Dates'!$C:$C)&amp;ROW($BK27))))</f>
        <v>828508.74</v>
      </c>
      <c r="DG27" s="64">
        <f t="array" ref="DG27">IF(DG$3&gt;'QBO Summary'!$B$2,0,SUM(INDIRECT(XLOOKUP(DG$3,'TTM Dates'!$B:$B,'TTM Dates'!$E:$E)&amp;ROW($BK27)&amp;":"&amp;XLOOKUP(DG$3,'TTM Dates'!$B:$B,'TTM Dates'!$C:$C)&amp;ROW($BK27))))</f>
        <v>1432226.65</v>
      </c>
      <c r="DH27" s="64">
        <f t="array" ref="DH27">IF(DH$3&gt;'QBO Summary'!$B$2,0,SUM(INDIRECT(XLOOKUP(DH$3,'TTM Dates'!$B:$B,'TTM Dates'!$E:$E)&amp;ROW($BK27)&amp;":"&amp;XLOOKUP(DH$3,'TTM Dates'!$B:$B,'TTM Dates'!$C:$C)&amp;ROW($BK27))))</f>
        <v>2057538.29</v>
      </c>
      <c r="DI27" s="64">
        <f t="array" ref="DI27">IF(DI$3&gt;'QBO Summary'!$B$2,0,SUM(INDIRECT(XLOOKUP(DI$3,'TTM Dates'!$B:$B,'TTM Dates'!$E:$E)&amp;ROW($BK27)&amp;":"&amp;XLOOKUP(DI$3,'TTM Dates'!$B:$B,'TTM Dates'!$C:$C)&amp;ROW($BK27))))</f>
        <v>2819260.91</v>
      </c>
      <c r="DJ27" s="64">
        <f t="array" ref="DJ27">IF(DJ$3&gt;'QBO Summary'!$B$2,0,SUM(INDIRECT(XLOOKUP(DJ$3,'TTM Dates'!$B:$B,'TTM Dates'!$E:$E)&amp;ROW($BK27)&amp;":"&amp;XLOOKUP(DJ$3,'TTM Dates'!$B:$B,'TTM Dates'!$C:$C)&amp;ROW($BK27))))</f>
        <v>3456109.37</v>
      </c>
      <c r="DK27" s="64">
        <f t="array" ref="DK27">IF(DK$3&gt;'QBO Summary'!$B$2,0,SUM(INDIRECT(XLOOKUP(DK$3,'TTM Dates'!$B:$B,'TTM Dates'!$E:$E)&amp;ROW($BK27)&amp;":"&amp;XLOOKUP(DK$3,'TTM Dates'!$B:$B,'TTM Dates'!$C:$C)&amp;ROW($BK27))))</f>
        <v>4048990.01</v>
      </c>
      <c r="DL27" s="64">
        <f t="array" ref="DL27">IF(DL$3&gt;'QBO Summary'!$B$2,0,SUM(INDIRECT(XLOOKUP(DL$3,'TTM Dates'!$B:$B,'TTM Dates'!$E:$E)&amp;ROW($BK27)&amp;":"&amp;XLOOKUP(DL$3,'TTM Dates'!$B:$B,'TTM Dates'!$C:$C)&amp;ROW($BK27))))</f>
        <v>4696248.91</v>
      </c>
      <c r="DM27" s="64">
        <f t="array" ref="DM27">IF(DM$3&gt;'QBO Summary'!$B$2,0,SUM(INDIRECT(XLOOKUP(DM$3,'TTM Dates'!$B:$B,'TTM Dates'!$E:$E)&amp;ROW($BK27)&amp;":"&amp;XLOOKUP(DM$3,'TTM Dates'!$B:$B,'TTM Dates'!$C:$C)&amp;ROW($BK27))))</f>
        <v>5637281.6</v>
      </c>
      <c r="DN27" s="64">
        <f t="array" ref="DN27">IF(DN$3&gt;'QBO Summary'!$B$2,0,SUM(INDIRECT(XLOOKUP(DN$3,'TTM Dates'!$B:$B,'TTM Dates'!$E:$E)&amp;ROW($BK27)&amp;":"&amp;XLOOKUP(DN$3,'TTM Dates'!$B:$B,'TTM Dates'!$C:$C)&amp;ROW($BK27))))</f>
        <v>6345806.18</v>
      </c>
      <c r="DO27" s="64">
        <f t="array" ref="DO27">IF(DO$3&gt;'QBO Summary'!$B$2,0,SUM(INDIRECT(XLOOKUP(DO$3,'TTM Dates'!$B:$B,'TTM Dates'!$E:$E)&amp;ROW($BK27)&amp;":"&amp;XLOOKUP(DO$3,'TTM Dates'!$B:$B,'TTM Dates'!$C:$C)&amp;ROW($BK27))))</f>
        <v>7024866.96</v>
      </c>
      <c r="DP27" s="64">
        <f t="array" ref="DP27">IF(DP$3&gt;'QBO Summary'!$B$2,0,SUM(INDIRECT(XLOOKUP(DP$3,'TTM Dates'!$B:$B,'TTM Dates'!$E:$E)&amp;ROW($BK27)&amp;":"&amp;XLOOKUP(DP$3,'TTM Dates'!$B:$B,'TTM Dates'!$C:$C)&amp;ROW($BK27))))</f>
        <v>7704920.71</v>
      </c>
      <c r="DQ27" s="64">
        <f t="array" ref="DQ27">IF(DQ$3&gt;'QBO Summary'!$B$2,0,SUM(INDIRECT(XLOOKUP(DQ$3,'TTM Dates'!$B:$B,'TTM Dates'!$E:$E)&amp;ROW($BK27)&amp;":"&amp;XLOOKUP(DQ$3,'TTM Dates'!$B:$B,'TTM Dates'!$C:$C)&amp;ROW($BK27))))</f>
        <v>8447073.63</v>
      </c>
      <c r="DR27" s="64">
        <f t="array" ref="DR27">IF(DR$3&gt;'QBO Summary'!$B$2,0,SUM(INDIRECT(XLOOKUP(DR$3,'TTM Dates'!$B:$B,'TTM Dates'!$E:$E)&amp;ROW($BK27)&amp;":"&amp;XLOOKUP(DR$3,'TTM Dates'!$B:$B,'TTM Dates'!$C:$C)&amp;ROW($BK27))))</f>
        <v>8375307.5</v>
      </c>
      <c r="DS27" s="64">
        <f t="array" ref="DS27">IF(DS$3&gt;'QBO Summary'!$B$2,0,SUM(INDIRECT(XLOOKUP(DS$3,'TTM Dates'!$B:$B,'TTM Dates'!$E:$E)&amp;ROW($BK27)&amp;":"&amp;XLOOKUP(DS$3,'TTM Dates'!$B:$B,'TTM Dates'!$C:$C)&amp;ROW($BK27))))</f>
        <v>8456982.67</v>
      </c>
      <c r="DT27" s="64">
        <f t="array" ref="DT27">IF(DT$3&gt;'QBO Summary'!$B$2,0,SUM(INDIRECT(XLOOKUP(DT$3,'TTM Dates'!$B:$B,'TTM Dates'!$E:$E)&amp;ROW($BK27)&amp;":"&amp;XLOOKUP(DT$3,'TTM Dates'!$B:$B,'TTM Dates'!$C:$C)&amp;ROW($BK27))))</f>
        <v>8510076.58</v>
      </c>
      <c r="DU27" s="64">
        <f t="array" ref="DU27">IF(DU$3&gt;'QBO Summary'!$B$2,0,SUM(INDIRECT(XLOOKUP(DU$3,'TTM Dates'!$B:$B,'TTM Dates'!$E:$E)&amp;ROW($BK27)&amp;":"&amp;XLOOKUP(DU$3,'TTM Dates'!$B:$B,'TTM Dates'!$C:$C)&amp;ROW($BK27))))</f>
        <v>8742320.12</v>
      </c>
      <c r="DV27" s="64">
        <f t="array" ref="DV27">IF(DV$3&gt;'QBO Summary'!$B$2,0,SUM(INDIRECT(XLOOKUP(DV$3,'TTM Dates'!$B:$B,'TTM Dates'!$E:$E)&amp;ROW($BK27)&amp;":"&amp;XLOOKUP(DV$3,'TTM Dates'!$B:$B,'TTM Dates'!$C:$C)&amp;ROW($BK27))))</f>
        <v>8803678.22</v>
      </c>
      <c r="DW27" s="64">
        <f t="array" ref="DW27">IF(DW$3&gt;'QBO Summary'!$B$2,0,SUM(INDIRECT(XLOOKUP(DW$3,'TTM Dates'!$B:$B,'TTM Dates'!$E:$E)&amp;ROW($BK27)&amp;":"&amp;XLOOKUP(DW$3,'TTM Dates'!$B:$B,'TTM Dates'!$C:$C)&amp;ROW($BK27))))</f>
        <v>8900380.48</v>
      </c>
      <c r="DX27" s="64">
        <f t="array" ref="DX27">IF(DX$3&gt;'QBO Summary'!$B$2,0,SUM(INDIRECT(XLOOKUP(DX$3,'TTM Dates'!$B:$B,'TTM Dates'!$E:$E)&amp;ROW($BK27)&amp;":"&amp;XLOOKUP(DX$3,'TTM Dates'!$B:$B,'TTM Dates'!$C:$C)&amp;ROW($BK27))))</f>
        <v>8962333.91</v>
      </c>
      <c r="DY27" s="64">
        <f t="array" ref="DY27">IF(DY$3&gt;'QBO Summary'!$B$2,0,SUM(INDIRECT(XLOOKUP(DY$3,'TTM Dates'!$B:$B,'TTM Dates'!$E:$E)&amp;ROW($BK27)&amp;":"&amp;XLOOKUP(DY$3,'TTM Dates'!$B:$B,'TTM Dates'!$C:$C)&amp;ROW($BK27))))</f>
        <v>9250594.35</v>
      </c>
      <c r="DZ27" s="64">
        <f t="array" ref="DZ27">IF(DZ$3&gt;'QBO Summary'!$B$2,0,SUM(INDIRECT(XLOOKUP(DZ$3,'TTM Dates'!$B:$B,'TTM Dates'!$E:$E)&amp;ROW($BK27)&amp;":"&amp;XLOOKUP(DZ$3,'TTM Dates'!$B:$B,'TTM Dates'!$C:$C)&amp;ROW($BK27))))</f>
        <v>8542069.77</v>
      </c>
      <c r="EA27" s="64">
        <f t="array" ref="EA27">IF(EA$3&gt;'QBO Summary'!$B$2,0,SUM(INDIRECT(XLOOKUP(EA$3,'TTM Dates'!$B:$B,'TTM Dates'!$E:$E)&amp;ROW($BK27)&amp;":"&amp;XLOOKUP(EA$3,'TTM Dates'!$B:$B,'TTM Dates'!$C:$C)&amp;ROW($BK27))))</f>
        <v>7863008.99</v>
      </c>
      <c r="EB27" s="64">
        <f t="array" ref="EB27">IF(EB$3&gt;'QBO Summary'!$B$2,0,SUM(INDIRECT(XLOOKUP(EB$3,'TTM Dates'!$B:$B,'TTM Dates'!$E:$E)&amp;ROW($BK27)&amp;":"&amp;XLOOKUP(EB$3,'TTM Dates'!$B:$B,'TTM Dates'!$C:$C)&amp;ROW($BK27))))</f>
        <v>7182955.24</v>
      </c>
      <c r="EC27" s="64">
        <f t="array" ref="EC27">IF(EC$3&gt;'QBO Summary'!$B$2,0,SUM(INDIRECT(XLOOKUP(EC$3,'TTM Dates'!$B:$B,'TTM Dates'!$E:$E)&amp;ROW($BK27)&amp;":"&amp;XLOOKUP(EC$3,'TTM Dates'!$B:$B,'TTM Dates'!$C:$C)&amp;ROW($BK27))))</f>
        <v>6440802.32</v>
      </c>
    </row>
    <row r="28" outlineLevel="1">
      <c r="B28" s="135" t="s">
        <v>506</v>
      </c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7">
        <v>306092.07</v>
      </c>
      <c r="AN28" s="137">
        <v>215414.83</v>
      </c>
      <c r="AO28" s="137">
        <v>237738.41</v>
      </c>
      <c r="AP28" s="137">
        <v>232861.57</v>
      </c>
      <c r="AQ28" s="137">
        <v>212231.63</v>
      </c>
      <c r="AR28" s="137">
        <v>241697.47</v>
      </c>
      <c r="AS28" s="137">
        <v>241093.83</v>
      </c>
      <c r="AT28" s="137">
        <v>383792.6</v>
      </c>
      <c r="AU28" s="137">
        <v>276480.29</v>
      </c>
      <c r="AV28" s="137">
        <v>279900.6</v>
      </c>
      <c r="AW28" s="137">
        <v>281435.8</v>
      </c>
      <c r="AX28" s="337">
        <v>334291.71</v>
      </c>
      <c r="AY28" s="337">
        <v>329055.06</v>
      </c>
      <c r="AZ28" s="337">
        <v>305130.08</v>
      </c>
      <c r="BA28" s="337">
        <v>286603.84</v>
      </c>
      <c r="BB28" s="337">
        <v>408304.32</v>
      </c>
      <c r="BC28" s="337">
        <v>261859.17</v>
      </c>
      <c r="BD28" s="337">
        <v>262200.4</v>
      </c>
      <c r="BE28" s="337">
        <v>267364.03</v>
      </c>
      <c r="BF28" s="337">
        <v>453692.08</v>
      </c>
      <c r="BG28" s="337"/>
      <c r="BH28" s="337"/>
      <c r="BI28" s="337"/>
      <c r="BJ28" s="337"/>
      <c r="BK28" s="33"/>
      <c r="BL28" s="292">
        <f t="array" ref="BL28">SUM(INDIRECT(XLOOKUP('QBO Summary'!$B$2,'TTM Dates'!$B:$B,'TTM Dates'!$E:$E)&amp;ROW($BK28)&amp;":"&amp;XLOOKUP('QBO Summary'!$B$2,'TTM Dates'!$B:$B,'TTM Dates'!$C:$C)&amp;ROW($BK28)))</f>
        <v>9060270.6</v>
      </c>
      <c r="BM28" s="49"/>
      <c r="BN28" s="136">
        <f t="shared" si="42"/>
        <v>920788.98</v>
      </c>
      <c r="BO28" s="136">
        <f t="shared" si="43"/>
        <v>932363.89</v>
      </c>
      <c r="BP28" s="136">
        <f t="shared" si="44"/>
        <v>721056.11</v>
      </c>
      <c r="BQ28" s="136">
        <f t="shared" si="45"/>
        <v>0</v>
      </c>
      <c r="BR28" s="292">
        <f t="shared" si="46"/>
        <v>2574208.98</v>
      </c>
      <c r="BS28" s="136"/>
      <c r="BT28" s="136">
        <f t="shared" si="47"/>
        <v>759245.31</v>
      </c>
      <c r="BU28" s="136">
        <f t="shared" si="48"/>
        <v>686790.67</v>
      </c>
      <c r="BV28" s="136">
        <f t="shared" si="49"/>
        <v>901366.72</v>
      </c>
      <c r="BW28" s="136">
        <f t="shared" si="50"/>
        <v>895628.11</v>
      </c>
      <c r="BX28" s="292">
        <f t="shared" si="51"/>
        <v>3243030.81</v>
      </c>
      <c r="BY28" s="136"/>
      <c r="BZ28" s="136"/>
      <c r="CA28" s="136"/>
      <c r="CB28" s="136"/>
      <c r="CC28" s="136"/>
      <c r="CD28" s="292"/>
      <c r="CE28" s="136"/>
      <c r="CF28" s="292"/>
      <c r="CG28" s="136"/>
      <c r="CH28" s="136">
        <f t="array" ref="CH28">IF(CH$3&gt;'QBO Summary'!$B$2,0,SUM(INDIRECT(XLOOKUP(CH$3,'TTM Dates'!$B:$B,'TTM Dates'!$E:$E)&amp;ROW($BK28)&amp;":"&amp;XLOOKUP(CH$3,'TTM Dates'!$B:$B,'TTM Dates'!$C:$C)&amp;ROW($BK28))))</f>
        <v>0</v>
      </c>
      <c r="CI28" s="136">
        <f t="array" ref="CI28">IF(CI$3&gt;'QBO Summary'!$B$2,0,SUM(INDIRECT(XLOOKUP(CI$3,'TTM Dates'!$B:$B,'TTM Dates'!$E:$E)&amp;ROW($BK28)&amp;":"&amp;XLOOKUP(CI$3,'TTM Dates'!$B:$B,'TTM Dates'!$C:$C)&amp;ROW($BK28))))</f>
        <v>0</v>
      </c>
      <c r="CJ28" s="136">
        <f t="array" ref="CJ28">IF(CJ$3&gt;'QBO Summary'!$B$2,0,SUM(INDIRECT(XLOOKUP(CJ$3,'TTM Dates'!$B:$B,'TTM Dates'!$E:$E)&amp;ROW($BK28)&amp;":"&amp;XLOOKUP(CJ$3,'TTM Dates'!$B:$B,'TTM Dates'!$C:$C)&amp;ROW($BK28))))</f>
        <v>0</v>
      </c>
      <c r="CK28" s="136">
        <f t="array" ref="CK28">IF(CK$3&gt;'QBO Summary'!$B$2,0,SUM(INDIRECT(XLOOKUP(CK$3,'TTM Dates'!$B:$B,'TTM Dates'!$E:$E)&amp;ROW($BK28)&amp;":"&amp;XLOOKUP(CK$3,'TTM Dates'!$B:$B,'TTM Dates'!$C:$C)&amp;ROW($BK28))))</f>
        <v>0</v>
      </c>
      <c r="CL28" s="136">
        <f t="array" ref="CL28">IF(CL$3&gt;'QBO Summary'!$B$2,0,SUM(INDIRECT(XLOOKUP(CL$3,'TTM Dates'!$B:$B,'TTM Dates'!$E:$E)&amp;ROW($BK28)&amp;":"&amp;XLOOKUP(CL$3,'TTM Dates'!$B:$B,'TTM Dates'!$C:$C)&amp;ROW($BK28))))</f>
        <v>0</v>
      </c>
      <c r="CM28" s="136">
        <f t="array" ref="CM28">IF(CM$3&gt;'QBO Summary'!$B$2,0,SUM(INDIRECT(XLOOKUP(CM$3,'TTM Dates'!$B:$B,'TTM Dates'!$E:$E)&amp;ROW($BK28)&amp;":"&amp;XLOOKUP(CM$3,'TTM Dates'!$B:$B,'TTM Dates'!$C:$C)&amp;ROW($BK28))))</f>
        <v>0</v>
      </c>
      <c r="CN28" s="136">
        <f t="array" ref="CN28">IF(CN$3&gt;'QBO Summary'!$B$2,0,SUM(INDIRECT(XLOOKUP(CN$3,'TTM Dates'!$B:$B,'TTM Dates'!$E:$E)&amp;ROW($BK28)&amp;":"&amp;XLOOKUP(CN$3,'TTM Dates'!$B:$B,'TTM Dates'!$C:$C)&amp;ROW($BK28))))</f>
        <v>0</v>
      </c>
      <c r="CO28" s="136">
        <f t="array" ref="CO28">IF(CO$3&gt;'QBO Summary'!$B$2,0,SUM(INDIRECT(XLOOKUP(CO$3,'TTM Dates'!$B:$B,'TTM Dates'!$E:$E)&amp;ROW($BK28)&amp;":"&amp;XLOOKUP(CO$3,'TTM Dates'!$B:$B,'TTM Dates'!$C:$C)&amp;ROW($BK28))))</f>
        <v>0</v>
      </c>
      <c r="CP28" s="136">
        <f t="array" ref="CP28">IF(CP$3&gt;'QBO Summary'!$B$2,0,SUM(INDIRECT(XLOOKUP(CP$3,'TTM Dates'!$B:$B,'TTM Dates'!$E:$E)&amp;ROW($BK28)&amp;":"&amp;XLOOKUP(CP$3,'TTM Dates'!$B:$B,'TTM Dates'!$C:$C)&amp;ROW($BK28))))</f>
        <v>0</v>
      </c>
      <c r="CQ28" s="136">
        <f t="array" ref="CQ28">IF(CQ$3&gt;'QBO Summary'!$B$2,0,SUM(INDIRECT(XLOOKUP(CQ$3,'TTM Dates'!$B:$B,'TTM Dates'!$E:$E)&amp;ROW($BK28)&amp;":"&amp;XLOOKUP(CQ$3,'TTM Dates'!$B:$B,'TTM Dates'!$C:$C)&amp;ROW($BK28))))</f>
        <v>0</v>
      </c>
      <c r="CR28" s="136">
        <f t="array" ref="CR28">IF(CR$3&gt;'QBO Summary'!$B$2,0,SUM(INDIRECT(XLOOKUP(CR$3,'TTM Dates'!$B:$B,'TTM Dates'!$E:$E)&amp;ROW($BK28)&amp;":"&amp;XLOOKUP(CR$3,'TTM Dates'!$B:$B,'TTM Dates'!$C:$C)&amp;ROW($BK28))))</f>
        <v>0</v>
      </c>
      <c r="CS28" s="136">
        <f t="array" ref="CS28">IF(CS$3&gt;'QBO Summary'!$B$2,0,SUM(INDIRECT(XLOOKUP(CS$3,'TTM Dates'!$B:$B,'TTM Dates'!$E:$E)&amp;ROW($BK28)&amp;":"&amp;XLOOKUP(CS$3,'TTM Dates'!$B:$B,'TTM Dates'!$C:$C)&amp;ROW($BK28))))</f>
        <v>0</v>
      </c>
      <c r="CT28" s="136">
        <f t="array" ref="CT28">IF(CT$3&gt;'QBO Summary'!$B$2,0,SUM(INDIRECT(XLOOKUP(CT$3,'TTM Dates'!$B:$B,'TTM Dates'!$E:$E)&amp;ROW($BK28)&amp;":"&amp;XLOOKUP(CT$3,'TTM Dates'!$B:$B,'TTM Dates'!$C:$C)&amp;ROW($BK28))))</f>
        <v>0</v>
      </c>
      <c r="CU28" s="136">
        <f t="array" ref="CU28">IF(CU$3&gt;'QBO Summary'!$B$2,0,SUM(INDIRECT(XLOOKUP(CU$3,'TTM Dates'!$B:$B,'TTM Dates'!$E:$E)&amp;ROW($BK28)&amp;":"&amp;XLOOKUP(CU$3,'TTM Dates'!$B:$B,'TTM Dates'!$C:$C)&amp;ROW($BK28))))</f>
        <v>0</v>
      </c>
      <c r="CV28" s="136">
        <f t="array" ref="CV28">IF(CV$3&gt;'QBO Summary'!$B$2,0,SUM(INDIRECT(XLOOKUP(CV$3,'TTM Dates'!$B:$B,'TTM Dates'!$E:$E)&amp;ROW($BK28)&amp;":"&amp;XLOOKUP(CV$3,'TTM Dates'!$B:$B,'TTM Dates'!$C:$C)&amp;ROW($BK28))))</f>
        <v>0</v>
      </c>
      <c r="CW28" s="136">
        <f t="array" ref="CW28">IF(CW$3&gt;'QBO Summary'!$B$2,0,SUM(INDIRECT(XLOOKUP(CW$3,'TTM Dates'!$B:$B,'TTM Dates'!$E:$E)&amp;ROW($BK28)&amp;":"&amp;XLOOKUP(CW$3,'TTM Dates'!$B:$B,'TTM Dates'!$C:$C)&amp;ROW($BK28))))</f>
        <v>0</v>
      </c>
      <c r="CX28" s="136">
        <f t="array" ref="CX28">IF(CX$3&gt;'QBO Summary'!$B$2,0,SUM(INDIRECT(XLOOKUP(CX$3,'TTM Dates'!$B:$B,'TTM Dates'!$E:$E)&amp;ROW($BK28)&amp;":"&amp;XLOOKUP(CX$3,'TTM Dates'!$B:$B,'TTM Dates'!$C:$C)&amp;ROW($BK28))))</f>
        <v>0</v>
      </c>
      <c r="CY28" s="136">
        <f t="array" ref="CY28">IF(CY$3&gt;'QBO Summary'!$B$2,0,SUM(INDIRECT(XLOOKUP(CY$3,'TTM Dates'!$B:$B,'TTM Dates'!$E:$E)&amp;ROW($BK28)&amp;":"&amp;XLOOKUP(CY$3,'TTM Dates'!$B:$B,'TTM Dates'!$C:$C)&amp;ROW($BK28))))</f>
        <v>0</v>
      </c>
      <c r="CZ28" s="136">
        <f t="array" ref="CZ28">IF(CZ$3&gt;'QBO Summary'!$B$2,0,SUM(INDIRECT(XLOOKUP(CZ$3,'TTM Dates'!$B:$B,'TTM Dates'!$E:$E)&amp;ROW($BK28)&amp;":"&amp;XLOOKUP(CZ$3,'TTM Dates'!$B:$B,'TTM Dates'!$C:$C)&amp;ROW($BK28))))</f>
        <v>0</v>
      </c>
      <c r="DA28" s="136">
        <f t="array" ref="DA28">IF(DA$3&gt;'QBO Summary'!$B$2,0,SUM(INDIRECT(XLOOKUP(DA$3,'TTM Dates'!$B:$B,'TTM Dates'!$E:$E)&amp;ROW($BK28)&amp;":"&amp;XLOOKUP(DA$3,'TTM Dates'!$B:$B,'TTM Dates'!$C:$C)&amp;ROW($BK28))))</f>
        <v>0</v>
      </c>
      <c r="DB28" s="136">
        <f t="array" ref="DB28">IF(DB$3&gt;'QBO Summary'!$B$2,0,SUM(INDIRECT(XLOOKUP(DB$3,'TTM Dates'!$B:$B,'TTM Dates'!$E:$E)&amp;ROW($BK28)&amp;":"&amp;XLOOKUP(DB$3,'TTM Dates'!$B:$B,'TTM Dates'!$C:$C)&amp;ROW($BK28))))</f>
        <v>0</v>
      </c>
      <c r="DC28" s="136">
        <f t="array" ref="DC28">IF(DC$3&gt;'QBO Summary'!$B$2,0,SUM(INDIRECT(XLOOKUP(DC$3,'TTM Dates'!$B:$B,'TTM Dates'!$E:$E)&amp;ROW($BK28)&amp;":"&amp;XLOOKUP(DC$3,'TTM Dates'!$B:$B,'TTM Dates'!$C:$C)&amp;ROW($BK28))))</f>
        <v>0</v>
      </c>
      <c r="DD28" s="136">
        <f t="array" ref="DD28">IF(DD$3&gt;'QBO Summary'!$B$2,0,SUM(INDIRECT(XLOOKUP(DD$3,'TTM Dates'!$B:$B,'TTM Dates'!$E:$E)&amp;ROW($BK28)&amp;":"&amp;XLOOKUP(DD$3,'TTM Dates'!$B:$B,'TTM Dates'!$C:$C)&amp;ROW($BK28))))</f>
        <v>0</v>
      </c>
      <c r="DE28" s="136">
        <f t="array" ref="DE28">IF(DE$3&gt;'QBO Summary'!$B$2,0,SUM(INDIRECT(XLOOKUP(DE$3,'TTM Dates'!$B:$B,'TTM Dates'!$E:$E)&amp;ROW($BK28)&amp;":"&amp;XLOOKUP(DE$3,'TTM Dates'!$B:$B,'TTM Dates'!$C:$C)&amp;ROW($BK28))))</f>
        <v>0</v>
      </c>
      <c r="DF28" s="136">
        <f t="array" ref="DF28">IF(DF$3&gt;'QBO Summary'!$B$2,0,SUM(INDIRECT(XLOOKUP(DF$3,'TTM Dates'!$B:$B,'TTM Dates'!$E:$E)&amp;ROW($BK28)&amp;":"&amp;XLOOKUP(DF$3,'TTM Dates'!$B:$B,'TTM Dates'!$C:$C)&amp;ROW($BK28))))</f>
        <v>306092.07</v>
      </c>
      <c r="DG28" s="136">
        <f t="array" ref="DG28">IF(DG$3&gt;'QBO Summary'!$B$2,0,SUM(INDIRECT(XLOOKUP(DG$3,'TTM Dates'!$B:$B,'TTM Dates'!$E:$E)&amp;ROW($BK28)&amp;":"&amp;XLOOKUP(DG$3,'TTM Dates'!$B:$B,'TTM Dates'!$C:$C)&amp;ROW($BK28))))</f>
        <v>521506.9</v>
      </c>
      <c r="DH28" s="136">
        <f t="array" ref="DH28">IF(DH$3&gt;'QBO Summary'!$B$2,0,SUM(INDIRECT(XLOOKUP(DH$3,'TTM Dates'!$B:$B,'TTM Dates'!$E:$E)&amp;ROW($BK28)&amp;":"&amp;XLOOKUP(DH$3,'TTM Dates'!$B:$B,'TTM Dates'!$C:$C)&amp;ROW($BK28))))</f>
        <v>759245.31</v>
      </c>
      <c r="DI28" s="136">
        <f t="array" ref="DI28">IF(DI$3&gt;'QBO Summary'!$B$2,0,SUM(INDIRECT(XLOOKUP(DI$3,'TTM Dates'!$B:$B,'TTM Dates'!$E:$E)&amp;ROW($BK28)&amp;":"&amp;XLOOKUP(DI$3,'TTM Dates'!$B:$B,'TTM Dates'!$C:$C)&amp;ROW($BK28))))</f>
        <v>992106.88</v>
      </c>
      <c r="DJ28" s="136">
        <f t="array" ref="DJ28">IF(DJ$3&gt;'QBO Summary'!$B$2,0,SUM(INDIRECT(XLOOKUP(DJ$3,'TTM Dates'!$B:$B,'TTM Dates'!$E:$E)&amp;ROW($BK28)&amp;":"&amp;XLOOKUP(DJ$3,'TTM Dates'!$B:$B,'TTM Dates'!$C:$C)&amp;ROW($BK28))))</f>
        <v>1204338.51</v>
      </c>
      <c r="DK28" s="136">
        <f t="array" ref="DK28">IF(DK$3&gt;'QBO Summary'!$B$2,0,SUM(INDIRECT(XLOOKUP(DK$3,'TTM Dates'!$B:$B,'TTM Dates'!$E:$E)&amp;ROW($BK28)&amp;":"&amp;XLOOKUP(DK$3,'TTM Dates'!$B:$B,'TTM Dates'!$C:$C)&amp;ROW($BK28))))</f>
        <v>1446035.98</v>
      </c>
      <c r="DL28" s="136">
        <f t="array" ref="DL28">IF(DL$3&gt;'QBO Summary'!$B$2,0,SUM(INDIRECT(XLOOKUP(DL$3,'TTM Dates'!$B:$B,'TTM Dates'!$E:$E)&amp;ROW($BK28)&amp;":"&amp;XLOOKUP(DL$3,'TTM Dates'!$B:$B,'TTM Dates'!$C:$C)&amp;ROW($BK28))))</f>
        <v>1687129.81</v>
      </c>
      <c r="DM28" s="136">
        <f t="array" ref="DM28">IF(DM$3&gt;'QBO Summary'!$B$2,0,SUM(INDIRECT(XLOOKUP(DM$3,'TTM Dates'!$B:$B,'TTM Dates'!$E:$E)&amp;ROW($BK28)&amp;":"&amp;XLOOKUP(DM$3,'TTM Dates'!$B:$B,'TTM Dates'!$C:$C)&amp;ROW($BK28))))</f>
        <v>2070922.41</v>
      </c>
      <c r="DN28" s="136">
        <f t="array" ref="DN28">IF(DN$3&gt;'QBO Summary'!$B$2,0,SUM(INDIRECT(XLOOKUP(DN$3,'TTM Dates'!$B:$B,'TTM Dates'!$E:$E)&amp;ROW($BK28)&amp;":"&amp;XLOOKUP(DN$3,'TTM Dates'!$B:$B,'TTM Dates'!$C:$C)&amp;ROW($BK28))))</f>
        <v>2347402.7</v>
      </c>
      <c r="DO28" s="136">
        <f t="array" ref="DO28">IF(DO$3&gt;'QBO Summary'!$B$2,0,SUM(INDIRECT(XLOOKUP(DO$3,'TTM Dates'!$B:$B,'TTM Dates'!$E:$E)&amp;ROW($BK28)&amp;":"&amp;XLOOKUP(DO$3,'TTM Dates'!$B:$B,'TTM Dates'!$C:$C)&amp;ROW($BK28))))</f>
        <v>2627303.3</v>
      </c>
      <c r="DP28" s="136">
        <f t="array" ref="DP28">IF(DP$3&gt;'QBO Summary'!$B$2,0,SUM(INDIRECT(XLOOKUP(DP$3,'TTM Dates'!$B:$B,'TTM Dates'!$E:$E)&amp;ROW($BK28)&amp;":"&amp;XLOOKUP(DP$3,'TTM Dates'!$B:$B,'TTM Dates'!$C:$C)&amp;ROW($BK28))))</f>
        <v>2908739.1</v>
      </c>
      <c r="DQ28" s="136">
        <f t="array" ref="DQ28">IF(DQ$3&gt;'QBO Summary'!$B$2,0,SUM(INDIRECT(XLOOKUP(DQ$3,'TTM Dates'!$B:$B,'TTM Dates'!$E:$E)&amp;ROW($BK28)&amp;":"&amp;XLOOKUP(DQ$3,'TTM Dates'!$B:$B,'TTM Dates'!$C:$C)&amp;ROW($BK28))))</f>
        <v>3243030.81</v>
      </c>
      <c r="DR28" s="136">
        <f t="array" ref="DR28">IF(DR$3&gt;'QBO Summary'!$B$2,0,SUM(INDIRECT(XLOOKUP(DR$3,'TTM Dates'!$B:$B,'TTM Dates'!$E:$E)&amp;ROW($BK28)&amp;":"&amp;XLOOKUP(DR$3,'TTM Dates'!$B:$B,'TTM Dates'!$C:$C)&amp;ROW($BK28))))</f>
        <v>3265993.8</v>
      </c>
      <c r="DS28" s="136">
        <f t="array" ref="DS28">IF(DS$3&gt;'QBO Summary'!$B$2,0,SUM(INDIRECT(XLOOKUP(DS$3,'TTM Dates'!$B:$B,'TTM Dates'!$E:$E)&amp;ROW($BK28)&amp;":"&amp;XLOOKUP(DS$3,'TTM Dates'!$B:$B,'TTM Dates'!$C:$C)&amp;ROW($BK28))))</f>
        <v>3355709.05</v>
      </c>
      <c r="DT28" s="136">
        <f t="array" ref="DT28">IF(DT$3&gt;'QBO Summary'!$B$2,0,SUM(INDIRECT(XLOOKUP(DT$3,'TTM Dates'!$B:$B,'TTM Dates'!$E:$E)&amp;ROW($BK28)&amp;":"&amp;XLOOKUP(DT$3,'TTM Dates'!$B:$B,'TTM Dates'!$C:$C)&amp;ROW($BK28))))</f>
        <v>3404574.48</v>
      </c>
      <c r="DU28" s="136">
        <f t="array" ref="DU28">IF(DU$3&gt;'QBO Summary'!$B$2,0,SUM(INDIRECT(XLOOKUP(DU$3,'TTM Dates'!$B:$B,'TTM Dates'!$E:$E)&amp;ROW($BK28)&amp;":"&amp;XLOOKUP(DU$3,'TTM Dates'!$B:$B,'TTM Dates'!$C:$C)&amp;ROW($BK28))))</f>
        <v>3580017.23</v>
      </c>
      <c r="DV28" s="136">
        <f t="array" ref="DV28">IF(DV$3&gt;'QBO Summary'!$B$2,0,SUM(INDIRECT(XLOOKUP(DV$3,'TTM Dates'!$B:$B,'TTM Dates'!$E:$E)&amp;ROW($BK28)&amp;":"&amp;XLOOKUP(DV$3,'TTM Dates'!$B:$B,'TTM Dates'!$C:$C)&amp;ROW($BK28))))</f>
        <v>3629644.77</v>
      </c>
      <c r="DW28" s="136">
        <f t="array" ref="DW28">IF(DW$3&gt;'QBO Summary'!$B$2,0,SUM(INDIRECT(XLOOKUP(DW$3,'TTM Dates'!$B:$B,'TTM Dates'!$E:$E)&amp;ROW($BK28)&amp;":"&amp;XLOOKUP(DW$3,'TTM Dates'!$B:$B,'TTM Dates'!$C:$C)&amp;ROW($BK28))))</f>
        <v>3650147.7</v>
      </c>
      <c r="DX28" s="136">
        <f t="array" ref="DX28">IF(DX$3&gt;'QBO Summary'!$B$2,0,SUM(INDIRECT(XLOOKUP(DX$3,'TTM Dates'!$B:$B,'TTM Dates'!$E:$E)&amp;ROW($BK28)&amp;":"&amp;XLOOKUP(DX$3,'TTM Dates'!$B:$B,'TTM Dates'!$C:$C)&amp;ROW($BK28))))</f>
        <v>3676417.9</v>
      </c>
      <c r="DY28" s="136">
        <f t="array" ref="DY28">IF(DY$3&gt;'QBO Summary'!$B$2,0,SUM(INDIRECT(XLOOKUP(DY$3,'TTM Dates'!$B:$B,'TTM Dates'!$E:$E)&amp;ROW($BK28)&amp;":"&amp;XLOOKUP(DY$3,'TTM Dates'!$B:$B,'TTM Dates'!$C:$C)&amp;ROW($BK28))))</f>
        <v>3746317.38</v>
      </c>
      <c r="DZ28" s="136">
        <f t="array" ref="DZ28">IF(DZ$3&gt;'QBO Summary'!$B$2,0,SUM(INDIRECT(XLOOKUP(DZ$3,'TTM Dates'!$B:$B,'TTM Dates'!$E:$E)&amp;ROW($BK28)&amp;":"&amp;XLOOKUP(DZ$3,'TTM Dates'!$B:$B,'TTM Dates'!$C:$C)&amp;ROW($BK28))))</f>
        <v>3469837.09</v>
      </c>
      <c r="EA28" s="136">
        <f t="array" ref="EA28">IF(EA$3&gt;'QBO Summary'!$B$2,0,SUM(INDIRECT(XLOOKUP(EA$3,'TTM Dates'!$B:$B,'TTM Dates'!$E:$E)&amp;ROW($BK28)&amp;":"&amp;XLOOKUP(EA$3,'TTM Dates'!$B:$B,'TTM Dates'!$C:$C)&amp;ROW($BK28))))</f>
        <v>3189936.49</v>
      </c>
      <c r="EB28" s="136">
        <f t="array" ref="EB28">IF(EB$3&gt;'QBO Summary'!$B$2,0,SUM(INDIRECT(XLOOKUP(EB$3,'TTM Dates'!$B:$B,'TTM Dates'!$E:$E)&amp;ROW($BK28)&amp;":"&amp;XLOOKUP(EB$3,'TTM Dates'!$B:$B,'TTM Dates'!$C:$C)&amp;ROW($BK28))))</f>
        <v>2908500.69</v>
      </c>
      <c r="EC28" s="136">
        <f t="array" ref="EC28">IF(EC$3&gt;'QBO Summary'!$B$2,0,SUM(INDIRECT(XLOOKUP(EC$3,'TTM Dates'!$B:$B,'TTM Dates'!$E:$E)&amp;ROW($BK28)&amp;":"&amp;XLOOKUP(EC$3,'TTM Dates'!$B:$B,'TTM Dates'!$C:$C)&amp;ROW($BK28))))</f>
        <v>2574208.98</v>
      </c>
    </row>
    <row r="29" outlineLevel="1">
      <c r="B29" s="135" t="s">
        <v>508</v>
      </c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7">
        <v>522416.67</v>
      </c>
      <c r="AN29" s="137">
        <v>388303.08</v>
      </c>
      <c r="AO29" s="137">
        <v>387573.23</v>
      </c>
      <c r="AP29" s="137">
        <v>528861.05</v>
      </c>
      <c r="AQ29" s="137">
        <v>424616.83</v>
      </c>
      <c r="AR29" s="137">
        <v>351183.17</v>
      </c>
      <c r="AS29" s="137">
        <v>406165.07</v>
      </c>
      <c r="AT29" s="137">
        <v>557240.09</v>
      </c>
      <c r="AU29" s="137">
        <v>432044.29</v>
      </c>
      <c r="AV29" s="137">
        <v>399160.18</v>
      </c>
      <c r="AW29" s="137">
        <v>398617.95</v>
      </c>
      <c r="AX29" s="337">
        <v>407861.21</v>
      </c>
      <c r="AY29" s="337">
        <v>427687.55</v>
      </c>
      <c r="AZ29" s="337">
        <v>380263.0</v>
      </c>
      <c r="BA29" s="337">
        <v>391801.71</v>
      </c>
      <c r="BB29" s="337">
        <v>585661.84</v>
      </c>
      <c r="BC29" s="337">
        <v>436347.39</v>
      </c>
      <c r="BD29" s="337">
        <v>427382.5</v>
      </c>
      <c r="BE29" s="337">
        <v>441848.3</v>
      </c>
      <c r="BF29" s="337">
        <v>775601.05</v>
      </c>
      <c r="BG29" s="337"/>
      <c r="BH29" s="337"/>
      <c r="BI29" s="337"/>
      <c r="BJ29" s="337"/>
      <c r="BK29" s="33"/>
      <c r="BL29" s="292">
        <f t="array" ref="BL29">SUM(INDIRECT(XLOOKUP('QBO Summary'!$B$2,'TTM Dates'!$B:$B,'TTM Dates'!$E:$E)&amp;ROW($BK29)&amp;":"&amp;XLOOKUP('QBO Summary'!$B$2,'TTM Dates'!$B:$B,'TTM Dates'!$C:$C)&amp;ROW($BK29)))</f>
        <v>14274678.98</v>
      </c>
      <c r="BM29" s="49"/>
      <c r="BN29" s="136">
        <f t="shared" si="42"/>
        <v>1199752.26</v>
      </c>
      <c r="BO29" s="136">
        <f t="shared" si="43"/>
        <v>1449391.73</v>
      </c>
      <c r="BP29" s="136">
        <f t="shared" si="44"/>
        <v>1217449.35</v>
      </c>
      <c r="BQ29" s="136">
        <f t="shared" si="45"/>
        <v>0</v>
      </c>
      <c r="BR29" s="292">
        <f t="shared" si="46"/>
        <v>3866593.34</v>
      </c>
      <c r="BS29" s="136"/>
      <c r="BT29" s="136">
        <f t="shared" si="47"/>
        <v>1298292.98</v>
      </c>
      <c r="BU29" s="136">
        <f t="shared" si="48"/>
        <v>1304661.05</v>
      </c>
      <c r="BV29" s="136">
        <f t="shared" si="49"/>
        <v>1395449.45</v>
      </c>
      <c r="BW29" s="136">
        <f t="shared" si="50"/>
        <v>1205639.34</v>
      </c>
      <c r="BX29" s="292">
        <f t="shared" si="51"/>
        <v>5204042.82</v>
      </c>
      <c r="BY29" s="136"/>
      <c r="BZ29" s="136"/>
      <c r="CA29" s="136"/>
      <c r="CB29" s="136"/>
      <c r="CC29" s="136"/>
      <c r="CD29" s="292"/>
      <c r="CE29" s="136"/>
      <c r="CF29" s="292"/>
      <c r="CG29" s="136"/>
      <c r="CH29" s="136">
        <f t="array" ref="CH29">IF(CH$3&gt;'QBO Summary'!$B$2,0,SUM(INDIRECT(XLOOKUP(CH$3,'TTM Dates'!$B:$B,'TTM Dates'!$E:$E)&amp;ROW($BK29)&amp;":"&amp;XLOOKUP(CH$3,'TTM Dates'!$B:$B,'TTM Dates'!$C:$C)&amp;ROW($BK29))))</f>
        <v>0</v>
      </c>
      <c r="CI29" s="136">
        <f t="array" ref="CI29">IF(CI$3&gt;'QBO Summary'!$B$2,0,SUM(INDIRECT(XLOOKUP(CI$3,'TTM Dates'!$B:$B,'TTM Dates'!$E:$E)&amp;ROW($BK29)&amp;":"&amp;XLOOKUP(CI$3,'TTM Dates'!$B:$B,'TTM Dates'!$C:$C)&amp;ROW($BK29))))</f>
        <v>0</v>
      </c>
      <c r="CJ29" s="136">
        <f t="array" ref="CJ29">IF(CJ$3&gt;'QBO Summary'!$B$2,0,SUM(INDIRECT(XLOOKUP(CJ$3,'TTM Dates'!$B:$B,'TTM Dates'!$E:$E)&amp;ROW($BK29)&amp;":"&amp;XLOOKUP(CJ$3,'TTM Dates'!$B:$B,'TTM Dates'!$C:$C)&amp;ROW($BK29))))</f>
        <v>0</v>
      </c>
      <c r="CK29" s="136">
        <f t="array" ref="CK29">IF(CK$3&gt;'QBO Summary'!$B$2,0,SUM(INDIRECT(XLOOKUP(CK$3,'TTM Dates'!$B:$B,'TTM Dates'!$E:$E)&amp;ROW($BK29)&amp;":"&amp;XLOOKUP(CK$3,'TTM Dates'!$B:$B,'TTM Dates'!$C:$C)&amp;ROW($BK29))))</f>
        <v>0</v>
      </c>
      <c r="CL29" s="136">
        <f t="array" ref="CL29">IF(CL$3&gt;'QBO Summary'!$B$2,0,SUM(INDIRECT(XLOOKUP(CL$3,'TTM Dates'!$B:$B,'TTM Dates'!$E:$E)&amp;ROW($BK29)&amp;":"&amp;XLOOKUP(CL$3,'TTM Dates'!$B:$B,'TTM Dates'!$C:$C)&amp;ROW($BK29))))</f>
        <v>0</v>
      </c>
      <c r="CM29" s="136">
        <f t="array" ref="CM29">IF(CM$3&gt;'QBO Summary'!$B$2,0,SUM(INDIRECT(XLOOKUP(CM$3,'TTM Dates'!$B:$B,'TTM Dates'!$E:$E)&amp;ROW($BK29)&amp;":"&amp;XLOOKUP(CM$3,'TTM Dates'!$B:$B,'TTM Dates'!$C:$C)&amp;ROW($BK29))))</f>
        <v>0</v>
      </c>
      <c r="CN29" s="136">
        <f t="array" ref="CN29">IF(CN$3&gt;'QBO Summary'!$B$2,0,SUM(INDIRECT(XLOOKUP(CN$3,'TTM Dates'!$B:$B,'TTM Dates'!$E:$E)&amp;ROW($BK29)&amp;":"&amp;XLOOKUP(CN$3,'TTM Dates'!$B:$B,'TTM Dates'!$C:$C)&amp;ROW($BK29))))</f>
        <v>0</v>
      </c>
      <c r="CO29" s="136">
        <f t="array" ref="CO29">IF(CO$3&gt;'QBO Summary'!$B$2,0,SUM(INDIRECT(XLOOKUP(CO$3,'TTM Dates'!$B:$B,'TTM Dates'!$E:$E)&amp;ROW($BK29)&amp;":"&amp;XLOOKUP(CO$3,'TTM Dates'!$B:$B,'TTM Dates'!$C:$C)&amp;ROW($BK29))))</f>
        <v>0</v>
      </c>
      <c r="CP29" s="136">
        <f t="array" ref="CP29">IF(CP$3&gt;'QBO Summary'!$B$2,0,SUM(INDIRECT(XLOOKUP(CP$3,'TTM Dates'!$B:$B,'TTM Dates'!$E:$E)&amp;ROW($BK29)&amp;":"&amp;XLOOKUP(CP$3,'TTM Dates'!$B:$B,'TTM Dates'!$C:$C)&amp;ROW($BK29))))</f>
        <v>0</v>
      </c>
      <c r="CQ29" s="136">
        <f t="array" ref="CQ29">IF(CQ$3&gt;'QBO Summary'!$B$2,0,SUM(INDIRECT(XLOOKUP(CQ$3,'TTM Dates'!$B:$B,'TTM Dates'!$E:$E)&amp;ROW($BK29)&amp;":"&amp;XLOOKUP(CQ$3,'TTM Dates'!$B:$B,'TTM Dates'!$C:$C)&amp;ROW($BK29))))</f>
        <v>0</v>
      </c>
      <c r="CR29" s="136">
        <f t="array" ref="CR29">IF(CR$3&gt;'QBO Summary'!$B$2,0,SUM(INDIRECT(XLOOKUP(CR$3,'TTM Dates'!$B:$B,'TTM Dates'!$E:$E)&amp;ROW($BK29)&amp;":"&amp;XLOOKUP(CR$3,'TTM Dates'!$B:$B,'TTM Dates'!$C:$C)&amp;ROW($BK29))))</f>
        <v>0</v>
      </c>
      <c r="CS29" s="136">
        <f t="array" ref="CS29">IF(CS$3&gt;'QBO Summary'!$B$2,0,SUM(INDIRECT(XLOOKUP(CS$3,'TTM Dates'!$B:$B,'TTM Dates'!$E:$E)&amp;ROW($BK29)&amp;":"&amp;XLOOKUP(CS$3,'TTM Dates'!$B:$B,'TTM Dates'!$C:$C)&amp;ROW($BK29))))</f>
        <v>0</v>
      </c>
      <c r="CT29" s="136">
        <f t="array" ref="CT29">IF(CT$3&gt;'QBO Summary'!$B$2,0,SUM(INDIRECT(XLOOKUP(CT$3,'TTM Dates'!$B:$B,'TTM Dates'!$E:$E)&amp;ROW($BK29)&amp;":"&amp;XLOOKUP(CT$3,'TTM Dates'!$B:$B,'TTM Dates'!$C:$C)&amp;ROW($BK29))))</f>
        <v>0</v>
      </c>
      <c r="CU29" s="136">
        <f t="array" ref="CU29">IF(CU$3&gt;'QBO Summary'!$B$2,0,SUM(INDIRECT(XLOOKUP(CU$3,'TTM Dates'!$B:$B,'TTM Dates'!$E:$E)&amp;ROW($BK29)&amp;":"&amp;XLOOKUP(CU$3,'TTM Dates'!$B:$B,'TTM Dates'!$C:$C)&amp;ROW($BK29))))</f>
        <v>0</v>
      </c>
      <c r="CV29" s="136">
        <f t="array" ref="CV29">IF(CV$3&gt;'QBO Summary'!$B$2,0,SUM(INDIRECT(XLOOKUP(CV$3,'TTM Dates'!$B:$B,'TTM Dates'!$E:$E)&amp;ROW($BK29)&amp;":"&amp;XLOOKUP(CV$3,'TTM Dates'!$B:$B,'TTM Dates'!$C:$C)&amp;ROW($BK29))))</f>
        <v>0</v>
      </c>
      <c r="CW29" s="136">
        <f t="array" ref="CW29">IF(CW$3&gt;'QBO Summary'!$B$2,0,SUM(INDIRECT(XLOOKUP(CW$3,'TTM Dates'!$B:$B,'TTM Dates'!$E:$E)&amp;ROW($BK29)&amp;":"&amp;XLOOKUP(CW$3,'TTM Dates'!$B:$B,'TTM Dates'!$C:$C)&amp;ROW($BK29))))</f>
        <v>0</v>
      </c>
      <c r="CX29" s="136">
        <f t="array" ref="CX29">IF(CX$3&gt;'QBO Summary'!$B$2,0,SUM(INDIRECT(XLOOKUP(CX$3,'TTM Dates'!$B:$B,'TTM Dates'!$E:$E)&amp;ROW($BK29)&amp;":"&amp;XLOOKUP(CX$3,'TTM Dates'!$B:$B,'TTM Dates'!$C:$C)&amp;ROW($BK29))))</f>
        <v>0</v>
      </c>
      <c r="CY29" s="136">
        <f t="array" ref="CY29">IF(CY$3&gt;'QBO Summary'!$B$2,0,SUM(INDIRECT(XLOOKUP(CY$3,'TTM Dates'!$B:$B,'TTM Dates'!$E:$E)&amp;ROW($BK29)&amp;":"&amp;XLOOKUP(CY$3,'TTM Dates'!$B:$B,'TTM Dates'!$C:$C)&amp;ROW($BK29))))</f>
        <v>0</v>
      </c>
      <c r="CZ29" s="136">
        <f t="array" ref="CZ29">IF(CZ$3&gt;'QBO Summary'!$B$2,0,SUM(INDIRECT(XLOOKUP(CZ$3,'TTM Dates'!$B:$B,'TTM Dates'!$E:$E)&amp;ROW($BK29)&amp;":"&amp;XLOOKUP(CZ$3,'TTM Dates'!$B:$B,'TTM Dates'!$C:$C)&amp;ROW($BK29))))</f>
        <v>0</v>
      </c>
      <c r="DA29" s="136">
        <f t="array" ref="DA29">IF(DA$3&gt;'QBO Summary'!$B$2,0,SUM(INDIRECT(XLOOKUP(DA$3,'TTM Dates'!$B:$B,'TTM Dates'!$E:$E)&amp;ROW($BK29)&amp;":"&amp;XLOOKUP(DA$3,'TTM Dates'!$B:$B,'TTM Dates'!$C:$C)&amp;ROW($BK29))))</f>
        <v>0</v>
      </c>
      <c r="DB29" s="136">
        <f t="array" ref="DB29">IF(DB$3&gt;'QBO Summary'!$B$2,0,SUM(INDIRECT(XLOOKUP(DB$3,'TTM Dates'!$B:$B,'TTM Dates'!$E:$E)&amp;ROW($BK29)&amp;":"&amp;XLOOKUP(DB$3,'TTM Dates'!$B:$B,'TTM Dates'!$C:$C)&amp;ROW($BK29))))</f>
        <v>0</v>
      </c>
      <c r="DC29" s="136">
        <f t="array" ref="DC29">IF(DC$3&gt;'QBO Summary'!$B$2,0,SUM(INDIRECT(XLOOKUP(DC$3,'TTM Dates'!$B:$B,'TTM Dates'!$E:$E)&amp;ROW($BK29)&amp;":"&amp;XLOOKUP(DC$3,'TTM Dates'!$B:$B,'TTM Dates'!$C:$C)&amp;ROW($BK29))))</f>
        <v>0</v>
      </c>
      <c r="DD29" s="136">
        <f t="array" ref="DD29">IF(DD$3&gt;'QBO Summary'!$B$2,0,SUM(INDIRECT(XLOOKUP(DD$3,'TTM Dates'!$B:$B,'TTM Dates'!$E:$E)&amp;ROW($BK29)&amp;":"&amp;XLOOKUP(DD$3,'TTM Dates'!$B:$B,'TTM Dates'!$C:$C)&amp;ROW($BK29))))</f>
        <v>0</v>
      </c>
      <c r="DE29" s="136">
        <f t="array" ref="DE29">IF(DE$3&gt;'QBO Summary'!$B$2,0,SUM(INDIRECT(XLOOKUP(DE$3,'TTM Dates'!$B:$B,'TTM Dates'!$E:$E)&amp;ROW($BK29)&amp;":"&amp;XLOOKUP(DE$3,'TTM Dates'!$B:$B,'TTM Dates'!$C:$C)&amp;ROW($BK29))))</f>
        <v>0</v>
      </c>
      <c r="DF29" s="136">
        <f t="array" ref="DF29">IF(DF$3&gt;'QBO Summary'!$B$2,0,SUM(INDIRECT(XLOOKUP(DF$3,'TTM Dates'!$B:$B,'TTM Dates'!$E:$E)&amp;ROW($BK29)&amp;":"&amp;XLOOKUP(DF$3,'TTM Dates'!$B:$B,'TTM Dates'!$C:$C)&amp;ROW($BK29))))</f>
        <v>522416.67</v>
      </c>
      <c r="DG29" s="136">
        <f t="array" ref="DG29">IF(DG$3&gt;'QBO Summary'!$B$2,0,SUM(INDIRECT(XLOOKUP(DG$3,'TTM Dates'!$B:$B,'TTM Dates'!$E:$E)&amp;ROW($BK29)&amp;":"&amp;XLOOKUP(DG$3,'TTM Dates'!$B:$B,'TTM Dates'!$C:$C)&amp;ROW($BK29))))</f>
        <v>910719.75</v>
      </c>
      <c r="DH29" s="136">
        <f t="array" ref="DH29">IF(DH$3&gt;'QBO Summary'!$B$2,0,SUM(INDIRECT(XLOOKUP(DH$3,'TTM Dates'!$B:$B,'TTM Dates'!$E:$E)&amp;ROW($BK29)&amp;":"&amp;XLOOKUP(DH$3,'TTM Dates'!$B:$B,'TTM Dates'!$C:$C)&amp;ROW($BK29))))</f>
        <v>1298292.98</v>
      </c>
      <c r="DI29" s="136">
        <f t="array" ref="DI29">IF(DI$3&gt;'QBO Summary'!$B$2,0,SUM(INDIRECT(XLOOKUP(DI$3,'TTM Dates'!$B:$B,'TTM Dates'!$E:$E)&amp;ROW($BK29)&amp;":"&amp;XLOOKUP(DI$3,'TTM Dates'!$B:$B,'TTM Dates'!$C:$C)&amp;ROW($BK29))))</f>
        <v>1827154.03</v>
      </c>
      <c r="DJ29" s="136">
        <f t="array" ref="DJ29">IF(DJ$3&gt;'QBO Summary'!$B$2,0,SUM(INDIRECT(XLOOKUP(DJ$3,'TTM Dates'!$B:$B,'TTM Dates'!$E:$E)&amp;ROW($BK29)&amp;":"&amp;XLOOKUP(DJ$3,'TTM Dates'!$B:$B,'TTM Dates'!$C:$C)&amp;ROW($BK29))))</f>
        <v>2251770.86</v>
      </c>
      <c r="DK29" s="136">
        <f t="array" ref="DK29">IF(DK$3&gt;'QBO Summary'!$B$2,0,SUM(INDIRECT(XLOOKUP(DK$3,'TTM Dates'!$B:$B,'TTM Dates'!$E:$E)&amp;ROW($BK29)&amp;":"&amp;XLOOKUP(DK$3,'TTM Dates'!$B:$B,'TTM Dates'!$C:$C)&amp;ROW($BK29))))</f>
        <v>2602954.03</v>
      </c>
      <c r="DL29" s="136">
        <f t="array" ref="DL29">IF(DL$3&gt;'QBO Summary'!$B$2,0,SUM(INDIRECT(XLOOKUP(DL$3,'TTM Dates'!$B:$B,'TTM Dates'!$E:$E)&amp;ROW($BK29)&amp;":"&amp;XLOOKUP(DL$3,'TTM Dates'!$B:$B,'TTM Dates'!$C:$C)&amp;ROW($BK29))))</f>
        <v>3009119.1</v>
      </c>
      <c r="DM29" s="136">
        <f t="array" ref="DM29">IF(DM$3&gt;'QBO Summary'!$B$2,0,SUM(INDIRECT(XLOOKUP(DM$3,'TTM Dates'!$B:$B,'TTM Dates'!$E:$E)&amp;ROW($BK29)&amp;":"&amp;XLOOKUP(DM$3,'TTM Dates'!$B:$B,'TTM Dates'!$C:$C)&amp;ROW($BK29))))</f>
        <v>3566359.19</v>
      </c>
      <c r="DN29" s="136">
        <f t="array" ref="DN29">IF(DN$3&gt;'QBO Summary'!$B$2,0,SUM(INDIRECT(XLOOKUP(DN$3,'TTM Dates'!$B:$B,'TTM Dates'!$E:$E)&amp;ROW($BK29)&amp;":"&amp;XLOOKUP(DN$3,'TTM Dates'!$B:$B,'TTM Dates'!$C:$C)&amp;ROW($BK29))))</f>
        <v>3998403.48</v>
      </c>
      <c r="DO29" s="136">
        <f t="array" ref="DO29">IF(DO$3&gt;'QBO Summary'!$B$2,0,SUM(INDIRECT(XLOOKUP(DO$3,'TTM Dates'!$B:$B,'TTM Dates'!$E:$E)&amp;ROW($BK29)&amp;":"&amp;XLOOKUP(DO$3,'TTM Dates'!$B:$B,'TTM Dates'!$C:$C)&amp;ROW($BK29))))</f>
        <v>4397563.66</v>
      </c>
      <c r="DP29" s="136">
        <f t="array" ref="DP29">IF(DP$3&gt;'QBO Summary'!$B$2,0,SUM(INDIRECT(XLOOKUP(DP$3,'TTM Dates'!$B:$B,'TTM Dates'!$E:$E)&amp;ROW($BK29)&amp;":"&amp;XLOOKUP(DP$3,'TTM Dates'!$B:$B,'TTM Dates'!$C:$C)&amp;ROW($BK29))))</f>
        <v>4796181.61</v>
      </c>
      <c r="DQ29" s="136">
        <f t="array" ref="DQ29">IF(DQ$3&gt;'QBO Summary'!$B$2,0,SUM(INDIRECT(XLOOKUP(DQ$3,'TTM Dates'!$B:$B,'TTM Dates'!$E:$E)&amp;ROW($BK29)&amp;":"&amp;XLOOKUP(DQ$3,'TTM Dates'!$B:$B,'TTM Dates'!$C:$C)&amp;ROW($BK29))))</f>
        <v>5204042.82</v>
      </c>
      <c r="DR29" s="136">
        <f t="array" ref="DR29">IF(DR$3&gt;'QBO Summary'!$B$2,0,SUM(INDIRECT(XLOOKUP(DR$3,'TTM Dates'!$B:$B,'TTM Dates'!$E:$E)&amp;ROW($BK29)&amp;":"&amp;XLOOKUP(DR$3,'TTM Dates'!$B:$B,'TTM Dates'!$C:$C)&amp;ROW($BK29))))</f>
        <v>5109313.7</v>
      </c>
      <c r="DS29" s="136">
        <f t="array" ref="DS29">IF(DS$3&gt;'QBO Summary'!$B$2,0,SUM(INDIRECT(XLOOKUP(DS$3,'TTM Dates'!$B:$B,'TTM Dates'!$E:$E)&amp;ROW($BK29)&amp;":"&amp;XLOOKUP(DS$3,'TTM Dates'!$B:$B,'TTM Dates'!$C:$C)&amp;ROW($BK29))))</f>
        <v>5101273.62</v>
      </c>
      <c r="DT29" s="136">
        <f t="array" ref="DT29">IF(DT$3&gt;'QBO Summary'!$B$2,0,SUM(INDIRECT(XLOOKUP(DT$3,'TTM Dates'!$B:$B,'TTM Dates'!$E:$E)&amp;ROW($BK29)&amp;":"&amp;XLOOKUP(DT$3,'TTM Dates'!$B:$B,'TTM Dates'!$C:$C)&amp;ROW($BK29))))</f>
        <v>5105502.1</v>
      </c>
      <c r="DU29" s="136">
        <f t="array" ref="DU29">IF(DU$3&gt;'QBO Summary'!$B$2,0,SUM(INDIRECT(XLOOKUP(DU$3,'TTM Dates'!$B:$B,'TTM Dates'!$E:$E)&amp;ROW($BK29)&amp;":"&amp;XLOOKUP(DU$3,'TTM Dates'!$B:$B,'TTM Dates'!$C:$C)&amp;ROW($BK29))))</f>
        <v>5162302.89</v>
      </c>
      <c r="DV29" s="136">
        <f t="array" ref="DV29">IF(DV$3&gt;'QBO Summary'!$B$2,0,SUM(INDIRECT(XLOOKUP(DV$3,'TTM Dates'!$B:$B,'TTM Dates'!$E:$E)&amp;ROW($BK29)&amp;":"&amp;XLOOKUP(DV$3,'TTM Dates'!$B:$B,'TTM Dates'!$C:$C)&amp;ROW($BK29))))</f>
        <v>5174033.45</v>
      </c>
      <c r="DW29" s="136">
        <f t="array" ref="DW29">IF(DW$3&gt;'QBO Summary'!$B$2,0,SUM(INDIRECT(XLOOKUP(DW$3,'TTM Dates'!$B:$B,'TTM Dates'!$E:$E)&amp;ROW($BK29)&amp;":"&amp;XLOOKUP(DW$3,'TTM Dates'!$B:$B,'TTM Dates'!$C:$C)&amp;ROW($BK29))))</f>
        <v>5250232.78</v>
      </c>
      <c r="DX29" s="136">
        <f t="array" ref="DX29">IF(DX$3&gt;'QBO Summary'!$B$2,0,SUM(INDIRECT(XLOOKUP(DX$3,'TTM Dates'!$B:$B,'TTM Dates'!$E:$E)&amp;ROW($BK29)&amp;":"&amp;XLOOKUP(DX$3,'TTM Dates'!$B:$B,'TTM Dates'!$C:$C)&amp;ROW($BK29))))</f>
        <v>5285916.01</v>
      </c>
      <c r="DY29" s="136">
        <f t="array" ref="DY29">IF(DY$3&gt;'QBO Summary'!$B$2,0,SUM(INDIRECT(XLOOKUP(DY$3,'TTM Dates'!$B:$B,'TTM Dates'!$E:$E)&amp;ROW($BK29)&amp;":"&amp;XLOOKUP(DY$3,'TTM Dates'!$B:$B,'TTM Dates'!$C:$C)&amp;ROW($BK29))))</f>
        <v>5504276.97</v>
      </c>
      <c r="DZ29" s="136">
        <f t="array" ref="DZ29">IF(DZ$3&gt;'QBO Summary'!$B$2,0,SUM(INDIRECT(XLOOKUP(DZ$3,'TTM Dates'!$B:$B,'TTM Dates'!$E:$E)&amp;ROW($BK29)&amp;":"&amp;XLOOKUP(DZ$3,'TTM Dates'!$B:$B,'TTM Dates'!$C:$C)&amp;ROW($BK29))))</f>
        <v>5072232.68</v>
      </c>
      <c r="EA29" s="136">
        <f t="array" ref="EA29">IF(EA$3&gt;'QBO Summary'!$B$2,0,SUM(INDIRECT(XLOOKUP(EA$3,'TTM Dates'!$B:$B,'TTM Dates'!$E:$E)&amp;ROW($BK29)&amp;":"&amp;XLOOKUP(EA$3,'TTM Dates'!$B:$B,'TTM Dates'!$C:$C)&amp;ROW($BK29))))</f>
        <v>4673072.5</v>
      </c>
      <c r="EB29" s="136">
        <f t="array" ref="EB29">IF(EB$3&gt;'QBO Summary'!$B$2,0,SUM(INDIRECT(XLOOKUP(EB$3,'TTM Dates'!$B:$B,'TTM Dates'!$E:$E)&amp;ROW($BK29)&amp;":"&amp;XLOOKUP(EB$3,'TTM Dates'!$B:$B,'TTM Dates'!$C:$C)&amp;ROW($BK29))))</f>
        <v>4274454.55</v>
      </c>
      <c r="EC29" s="136">
        <f t="array" ref="EC29">IF(EC$3&gt;'QBO Summary'!$B$2,0,SUM(INDIRECT(XLOOKUP(EC$3,'TTM Dates'!$B:$B,'TTM Dates'!$E:$E)&amp;ROW($BK29)&amp;":"&amp;XLOOKUP(EC$3,'TTM Dates'!$B:$B,'TTM Dates'!$C:$C)&amp;ROW($BK29))))</f>
        <v>3866593.34</v>
      </c>
    </row>
    <row r="30">
      <c r="B30" s="135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7"/>
      <c r="AU30" s="136"/>
      <c r="AV30" s="136"/>
      <c r="AW30" s="136"/>
      <c r="AX30" s="136"/>
      <c r="AY30" s="136"/>
      <c r="AZ30" s="136"/>
      <c r="BA30" s="136"/>
      <c r="BB30" s="136"/>
      <c r="BC30" s="136"/>
      <c r="BD30" s="136"/>
      <c r="BE30" s="136"/>
      <c r="BF30" s="136"/>
      <c r="BG30" s="136"/>
      <c r="BH30" s="136"/>
      <c r="BI30" s="136"/>
      <c r="BJ30" s="136"/>
      <c r="BK30" s="33"/>
      <c r="BL30" s="292"/>
      <c r="BM30" s="136"/>
      <c r="BN30" s="136"/>
      <c r="BO30" s="136"/>
      <c r="BP30" s="136"/>
      <c r="BQ30" s="136"/>
      <c r="BR30" s="347">
        <f>IFERROR((BR13-BR27)/BR13,0)</f>
        <v>0.5619303374</v>
      </c>
      <c r="BS30" s="136"/>
      <c r="BT30" s="136"/>
      <c r="BU30" s="136"/>
      <c r="BV30" s="136"/>
      <c r="BW30" s="136"/>
      <c r="BX30" s="347">
        <f>(BX13-BX27)/BX13</f>
        <v>0.6183864458</v>
      </c>
      <c r="BY30" s="136"/>
      <c r="BZ30" s="136"/>
      <c r="CA30" s="136"/>
      <c r="CB30" s="136"/>
      <c r="CC30" s="136"/>
      <c r="CD30" s="292"/>
      <c r="CE30" s="136"/>
      <c r="CF30" s="292"/>
      <c r="CG30" s="136"/>
      <c r="CH30" s="136"/>
      <c r="CI30" s="136"/>
      <c r="CJ30" s="136"/>
      <c r="CK30" s="136"/>
      <c r="CL30" s="136"/>
      <c r="CM30" s="136"/>
      <c r="CN30" s="136"/>
      <c r="CO30" s="136"/>
      <c r="CP30" s="136"/>
      <c r="CQ30" s="136"/>
      <c r="CR30" s="136"/>
      <c r="CS30" s="136"/>
      <c r="CT30" s="136"/>
      <c r="CU30" s="136"/>
      <c r="CV30" s="136"/>
      <c r="CW30" s="136"/>
      <c r="CX30" s="136"/>
      <c r="CY30" s="136"/>
      <c r="CZ30" s="136"/>
      <c r="DA30" s="136"/>
      <c r="DB30" s="136"/>
      <c r="DC30" s="136"/>
      <c r="DD30" s="136"/>
      <c r="DE30" s="136"/>
      <c r="DF30" s="136"/>
      <c r="DG30" s="136"/>
      <c r="DH30" s="136"/>
      <c r="DI30" s="136"/>
      <c r="DJ30" s="136"/>
      <c r="DK30" s="136"/>
      <c r="DL30" s="136"/>
      <c r="DM30" s="136"/>
      <c r="DN30" s="136"/>
      <c r="DO30" s="136"/>
      <c r="DP30" s="136"/>
      <c r="DQ30" s="136"/>
      <c r="DR30" s="136"/>
      <c r="DS30" s="136"/>
      <c r="DT30" s="136"/>
      <c r="DU30" s="136"/>
      <c r="DV30" s="136"/>
      <c r="DW30" s="136"/>
      <c r="DX30" s="136"/>
      <c r="DY30" s="136"/>
      <c r="DZ30" s="136"/>
      <c r="EA30" s="136"/>
      <c r="EB30" s="136"/>
      <c r="EC30" s="136"/>
    </row>
    <row r="31">
      <c r="B31" s="63" t="s">
        <v>198</v>
      </c>
      <c r="C31" s="64">
        <f t="shared" ref="C31:AL31" si="52">SUM(C32:C43)</f>
        <v>107478.41</v>
      </c>
      <c r="D31" s="64">
        <f t="shared" si="52"/>
        <v>85801.58</v>
      </c>
      <c r="E31" s="64">
        <f t="shared" si="52"/>
        <v>152605.26</v>
      </c>
      <c r="F31" s="64">
        <f t="shared" si="52"/>
        <v>162171.05</v>
      </c>
      <c r="G31" s="64">
        <f t="shared" si="52"/>
        <v>126781.06</v>
      </c>
      <c r="H31" s="64">
        <f t="shared" si="52"/>
        <v>130613.98</v>
      </c>
      <c r="I31" s="64">
        <f t="shared" si="52"/>
        <v>265226.11</v>
      </c>
      <c r="J31" s="64">
        <f t="shared" si="52"/>
        <v>205426.91</v>
      </c>
      <c r="K31" s="64">
        <f t="shared" si="52"/>
        <v>266902.95</v>
      </c>
      <c r="L31" s="64">
        <f t="shared" si="52"/>
        <v>251818.13</v>
      </c>
      <c r="M31" s="64">
        <f t="shared" si="52"/>
        <v>200289.17</v>
      </c>
      <c r="N31" s="64">
        <f t="shared" si="52"/>
        <v>457318.98</v>
      </c>
      <c r="O31" s="64">
        <f t="shared" si="52"/>
        <v>338839.37</v>
      </c>
      <c r="P31" s="64">
        <f t="shared" si="52"/>
        <v>248949.12</v>
      </c>
      <c r="Q31" s="64">
        <f t="shared" si="52"/>
        <v>424814.51</v>
      </c>
      <c r="R31" s="64">
        <f t="shared" si="52"/>
        <v>331720.46</v>
      </c>
      <c r="S31" s="64">
        <f t="shared" si="52"/>
        <v>448634.48</v>
      </c>
      <c r="T31" s="64">
        <f t="shared" si="52"/>
        <v>289664.16</v>
      </c>
      <c r="U31" s="64">
        <f t="shared" si="52"/>
        <v>366570.71</v>
      </c>
      <c r="V31" s="64">
        <f t="shared" si="52"/>
        <v>590574.11</v>
      </c>
      <c r="W31" s="64">
        <f t="shared" si="52"/>
        <v>478044.2</v>
      </c>
      <c r="X31" s="64">
        <f t="shared" si="52"/>
        <v>533859.31</v>
      </c>
      <c r="Y31" s="64">
        <f t="shared" si="52"/>
        <v>603402.79</v>
      </c>
      <c r="Z31" s="64">
        <f t="shared" si="52"/>
        <v>1253516.12</v>
      </c>
      <c r="AA31" s="64">
        <f t="shared" si="52"/>
        <v>638085.91</v>
      </c>
      <c r="AB31" s="64">
        <f t="shared" si="52"/>
        <v>799620.7</v>
      </c>
      <c r="AC31" s="64">
        <f t="shared" si="52"/>
        <v>1006116.12</v>
      </c>
      <c r="AD31" s="64">
        <f t="shared" si="52"/>
        <v>1264710.81</v>
      </c>
      <c r="AE31" s="64">
        <f t="shared" si="52"/>
        <v>916970.33</v>
      </c>
      <c r="AF31" s="64">
        <f t="shared" si="52"/>
        <v>976875.93</v>
      </c>
      <c r="AG31" s="64">
        <f t="shared" si="52"/>
        <v>1192441.72</v>
      </c>
      <c r="AH31" s="64">
        <f t="shared" si="52"/>
        <v>1695779.19</v>
      </c>
      <c r="AI31" s="64">
        <f t="shared" si="52"/>
        <v>1420060.3</v>
      </c>
      <c r="AJ31" s="64">
        <f t="shared" si="52"/>
        <v>1384335.75</v>
      </c>
      <c r="AK31" s="64">
        <f t="shared" si="52"/>
        <v>1856357.97</v>
      </c>
      <c r="AL31" s="64">
        <f t="shared" si="52"/>
        <v>2157303.01</v>
      </c>
      <c r="AM31" s="270">
        <f t="shared" ref="AM31:BJ31" si="53">SUM(AM32,AM36,AM40)</f>
        <v>1035424.82</v>
      </c>
      <c r="AN31" s="270">
        <f t="shared" si="53"/>
        <v>1078554.42</v>
      </c>
      <c r="AO31" s="270">
        <f t="shared" si="53"/>
        <v>962816.82</v>
      </c>
      <c r="AP31" s="270">
        <f t="shared" si="53"/>
        <v>1128874.88</v>
      </c>
      <c r="AQ31" s="270">
        <f t="shared" si="53"/>
        <v>1192177.76</v>
      </c>
      <c r="AR31" s="270">
        <f t="shared" si="53"/>
        <v>935614.2</v>
      </c>
      <c r="AS31" s="270">
        <f t="shared" si="53"/>
        <v>1194415.76</v>
      </c>
      <c r="AT31" s="270">
        <f t="shared" si="53"/>
        <v>1342642.2</v>
      </c>
      <c r="AU31" s="270">
        <f t="shared" si="53"/>
        <v>1035135.79</v>
      </c>
      <c r="AV31" s="270">
        <f t="shared" si="53"/>
        <v>1104682.36</v>
      </c>
      <c r="AW31" s="270">
        <f t="shared" si="53"/>
        <v>1030364.18</v>
      </c>
      <c r="AX31" s="270">
        <f t="shared" si="53"/>
        <v>1062589.85</v>
      </c>
      <c r="AY31" s="270">
        <f t="shared" si="53"/>
        <v>1314378.32</v>
      </c>
      <c r="AZ31" s="270">
        <f t="shared" si="53"/>
        <v>1204686.5</v>
      </c>
      <c r="BA31" s="270">
        <f t="shared" si="53"/>
        <v>1216485.02</v>
      </c>
      <c r="BB31" s="270">
        <f t="shared" si="53"/>
        <v>1613998.45</v>
      </c>
      <c r="BC31" s="270">
        <f t="shared" si="53"/>
        <v>1573424.53</v>
      </c>
      <c r="BD31" s="270">
        <f t="shared" si="53"/>
        <v>1524760.6</v>
      </c>
      <c r="BE31" s="270">
        <f t="shared" si="53"/>
        <v>1437723.33</v>
      </c>
      <c r="BF31" s="270">
        <f t="shared" si="53"/>
        <v>2242071.52</v>
      </c>
      <c r="BG31" s="270">
        <f t="shared" si="53"/>
        <v>0</v>
      </c>
      <c r="BH31" s="270">
        <f t="shared" si="53"/>
        <v>0</v>
      </c>
      <c r="BI31" s="270">
        <f t="shared" si="53"/>
        <v>0</v>
      </c>
      <c r="BJ31" s="270">
        <f t="shared" si="53"/>
        <v>0</v>
      </c>
      <c r="BK31" s="33"/>
      <c r="BL31" s="121">
        <f t="array" ref="BL31">SUM(INDIRECT(XLOOKUP('QBO Summary'!$B$2,'TTM Dates'!$B:$B,'TTM Dates'!$E:$E)&amp;ROW($BK31)&amp;":"&amp;XLOOKUP('QBO Summary'!$B$2,'TTM Dates'!$B:$B,'TTM Dates'!$C:$C)&amp;ROW($BK31)))</f>
        <v>48244775.36</v>
      </c>
      <c r="BM31" s="49"/>
      <c r="BN31" s="270">
        <f t="shared" ref="BN31:BN43" si="55">sum(AY31:BA31)</f>
        <v>3735549.84</v>
      </c>
      <c r="BO31" s="270">
        <f t="shared" ref="BO31:BO43" si="56">sum(BB31:BD31)</f>
        <v>4712183.58</v>
      </c>
      <c r="BP31" s="270">
        <f t="shared" ref="BP31:BP43" si="57">sum(BE31:BG31)</f>
        <v>3679794.85</v>
      </c>
      <c r="BQ31" s="270">
        <f t="shared" ref="BQ31:BQ43" si="58">sum(BH31:BJ31)</f>
        <v>0</v>
      </c>
      <c r="BR31" s="121">
        <f t="shared" ref="BR31:BR43" si="59">sum(AY31:BJ31)</f>
        <v>12127528.27</v>
      </c>
      <c r="BS31" s="49"/>
      <c r="BT31" s="270">
        <f t="shared" ref="BT31:BT43" si="60">sum(AM31:AO31)</f>
        <v>3076796.06</v>
      </c>
      <c r="BU31" s="270">
        <f t="shared" ref="BU31:BU43" si="61">sum(AP31:AR31)</f>
        <v>3256666.84</v>
      </c>
      <c r="BV31" s="270">
        <f t="shared" ref="BV31:BV43" si="62">sum(AS31:AU31)</f>
        <v>3572193.75</v>
      </c>
      <c r="BW31" s="270">
        <f t="shared" ref="BW31:BW43" si="63">sum(AV31:AX31)</f>
        <v>3197636.39</v>
      </c>
      <c r="BX31" s="121">
        <f t="shared" ref="BX31:BX43" si="64">sum(AM31:AX31)</f>
        <v>13103293.04</v>
      </c>
      <c r="BY31" s="49"/>
      <c r="BZ31" s="270">
        <f t="shared" ref="BZ31:BZ32" si="65">sum(AA31:AC31)</f>
        <v>2443822.73</v>
      </c>
      <c r="CA31" s="270">
        <f t="shared" ref="CA31:CA32" si="66">sum(AD31:AF31)</f>
        <v>3158557.07</v>
      </c>
      <c r="CB31" s="270">
        <f t="shared" ref="CB31:CB32" si="67">sum(AG31:AI31)</f>
        <v>4308281.21</v>
      </c>
      <c r="CC31" s="270">
        <f t="shared" ref="CC31:CC32" si="68">sum(AJ31:AL31)</f>
        <v>5397996.73</v>
      </c>
      <c r="CD31" s="121">
        <f>sum(CD32:CD40)</f>
        <v>15308657.74</v>
      </c>
      <c r="CE31" s="49"/>
      <c r="CF31" s="121">
        <f>sum(CF32:CF40)</f>
        <v>5908589.34</v>
      </c>
      <c r="CG31" s="136"/>
      <c r="CH31" s="64">
        <f t="array" ref="CH31">IF(CH$3&gt;'QBO Summary'!$B$2,0,SUM(INDIRECT(XLOOKUP(CH$3,'TTM Dates'!$B:$B,'TTM Dates'!$E:$E)&amp;ROW($BK31)&amp;":"&amp;XLOOKUP(CH$3,'TTM Dates'!$B:$B,'TTM Dates'!$C:$C)&amp;ROW($BK31))))</f>
        <v>2643794.55</v>
      </c>
      <c r="CI31" s="64">
        <f t="array" ref="CI31">IF(CI$3&gt;'QBO Summary'!$B$2,0,SUM(INDIRECT(XLOOKUP(CI$3,'TTM Dates'!$B:$B,'TTM Dates'!$E:$E)&amp;ROW($BK31)&amp;":"&amp;XLOOKUP(CI$3,'TTM Dates'!$B:$B,'TTM Dates'!$C:$C)&amp;ROW($BK31))))</f>
        <v>2806942.09</v>
      </c>
      <c r="CJ31" s="64">
        <f t="array" ref="CJ31">IF(CJ$3&gt;'QBO Summary'!$B$2,0,SUM(INDIRECT(XLOOKUP(CJ$3,'TTM Dates'!$B:$B,'TTM Dates'!$E:$E)&amp;ROW($BK31)&amp;":"&amp;XLOOKUP(CJ$3,'TTM Dates'!$B:$B,'TTM Dates'!$C:$C)&amp;ROW($BK31))))</f>
        <v>3079151.34</v>
      </c>
      <c r="CK31" s="64">
        <f t="array" ref="CK31">IF(CK$3&gt;'QBO Summary'!$B$2,0,SUM(INDIRECT(XLOOKUP(CK$3,'TTM Dates'!$B:$B,'TTM Dates'!$E:$E)&amp;ROW($BK31)&amp;":"&amp;XLOOKUP(CK$3,'TTM Dates'!$B:$B,'TTM Dates'!$C:$C)&amp;ROW($BK31))))</f>
        <v>3248700.75</v>
      </c>
      <c r="CL31" s="64">
        <f t="array" ref="CL31">IF(CL$3&gt;'QBO Summary'!$B$2,0,SUM(INDIRECT(XLOOKUP(CL$3,'TTM Dates'!$B:$B,'TTM Dates'!$E:$E)&amp;ROW($BK31)&amp;":"&amp;XLOOKUP(CL$3,'TTM Dates'!$B:$B,'TTM Dates'!$C:$C)&amp;ROW($BK31))))</f>
        <v>3570554.17</v>
      </c>
      <c r="CM31" s="64">
        <f t="array" ref="CM31">IF(CM$3&gt;'QBO Summary'!$B$2,0,SUM(INDIRECT(XLOOKUP(CM$3,'TTM Dates'!$B:$B,'TTM Dates'!$E:$E)&amp;ROW($BK31)&amp;":"&amp;XLOOKUP(CM$3,'TTM Dates'!$B:$B,'TTM Dates'!$C:$C)&amp;ROW($BK31))))</f>
        <v>3729604.35</v>
      </c>
      <c r="CN31" s="64">
        <f t="array" ref="CN31">IF(CN$3&gt;'QBO Summary'!$B$2,0,SUM(INDIRECT(XLOOKUP(CN$3,'TTM Dates'!$B:$B,'TTM Dates'!$E:$E)&amp;ROW($BK31)&amp;":"&amp;XLOOKUP(CN$3,'TTM Dates'!$B:$B,'TTM Dates'!$C:$C)&amp;ROW($BK31))))</f>
        <v>3830948.95</v>
      </c>
      <c r="CO31" s="64">
        <f t="array" ref="CO31">IF(CO$3&gt;'QBO Summary'!$B$2,0,SUM(INDIRECT(XLOOKUP(CO$3,'TTM Dates'!$B:$B,'TTM Dates'!$E:$E)&amp;ROW($BK31)&amp;":"&amp;XLOOKUP(CO$3,'TTM Dates'!$B:$B,'TTM Dates'!$C:$C)&amp;ROW($BK31))))</f>
        <v>4216096.15</v>
      </c>
      <c r="CP31" s="64">
        <f t="array" ref="CP31">IF(CP$3&gt;'QBO Summary'!$B$2,0,SUM(INDIRECT(XLOOKUP(CP$3,'TTM Dates'!$B:$B,'TTM Dates'!$E:$E)&amp;ROW($BK31)&amp;":"&amp;XLOOKUP(CP$3,'TTM Dates'!$B:$B,'TTM Dates'!$C:$C)&amp;ROW($BK31))))</f>
        <v>4427237.4</v>
      </c>
      <c r="CQ31" s="64">
        <f t="array" ref="CQ31">IF(CQ$3&gt;'QBO Summary'!$B$2,0,SUM(INDIRECT(XLOOKUP(CQ$3,'TTM Dates'!$B:$B,'TTM Dates'!$E:$E)&amp;ROW($BK31)&amp;":"&amp;XLOOKUP(CQ$3,'TTM Dates'!$B:$B,'TTM Dates'!$C:$C)&amp;ROW($BK31))))</f>
        <v>4709278.58</v>
      </c>
      <c r="CR31" s="64">
        <f t="array" ref="CR31">IF(CR$3&gt;'QBO Summary'!$B$2,0,SUM(INDIRECT(XLOOKUP(CR$3,'TTM Dates'!$B:$B,'TTM Dates'!$E:$E)&amp;ROW($BK31)&amp;":"&amp;XLOOKUP(CR$3,'TTM Dates'!$B:$B,'TTM Dates'!$C:$C)&amp;ROW($BK31))))</f>
        <v>5112392.2</v>
      </c>
      <c r="CS31" s="64">
        <f t="array" ref="CS31">IF(CS$3&gt;'QBO Summary'!$B$2,0,SUM(INDIRECT(XLOOKUP(CS$3,'TTM Dates'!$B:$B,'TTM Dates'!$E:$E)&amp;ROW($BK31)&amp;":"&amp;XLOOKUP(CS$3,'TTM Dates'!$B:$B,'TTM Dates'!$C:$C)&amp;ROW($BK31))))</f>
        <v>5908589.34</v>
      </c>
      <c r="CT31" s="64">
        <f t="array" ref="CT31">IF(CT$3&gt;'QBO Summary'!$B$2,0,SUM(INDIRECT(XLOOKUP(CT$3,'TTM Dates'!$B:$B,'TTM Dates'!$E:$E)&amp;ROW($BK31)&amp;":"&amp;XLOOKUP(CT$3,'TTM Dates'!$B:$B,'TTM Dates'!$C:$C)&amp;ROW($BK31))))</f>
        <v>6207835.88</v>
      </c>
      <c r="CU31" s="64">
        <f t="array" ref="CU31">IF(CU$3&gt;'QBO Summary'!$B$2,0,SUM(INDIRECT(XLOOKUP(CU$3,'TTM Dates'!$B:$B,'TTM Dates'!$E:$E)&amp;ROW($BK31)&amp;":"&amp;XLOOKUP(CU$3,'TTM Dates'!$B:$B,'TTM Dates'!$C:$C)&amp;ROW($BK31))))</f>
        <v>6758507.46</v>
      </c>
      <c r="CV31" s="64">
        <f t="array" ref="CV31">IF(CV$3&gt;'QBO Summary'!$B$2,0,SUM(INDIRECT(XLOOKUP(CV$3,'TTM Dates'!$B:$B,'TTM Dates'!$E:$E)&amp;ROW($BK31)&amp;":"&amp;XLOOKUP(CV$3,'TTM Dates'!$B:$B,'TTM Dates'!$C:$C)&amp;ROW($BK31))))</f>
        <v>7339809.07</v>
      </c>
      <c r="CW31" s="64">
        <f t="array" ref="CW31">IF(CW$3&gt;'QBO Summary'!$B$2,0,SUM(INDIRECT(XLOOKUP(CW$3,'TTM Dates'!$B:$B,'TTM Dates'!$E:$E)&amp;ROW($BK31)&amp;":"&amp;XLOOKUP(CW$3,'TTM Dates'!$B:$B,'TTM Dates'!$C:$C)&amp;ROW($BK31))))</f>
        <v>8272799.42</v>
      </c>
      <c r="CX31" s="64">
        <f t="array" ref="CX31">IF(CX$3&gt;'QBO Summary'!$B$2,0,SUM(INDIRECT(XLOOKUP(CX$3,'TTM Dates'!$B:$B,'TTM Dates'!$E:$E)&amp;ROW($BK31)&amp;":"&amp;XLOOKUP(CX$3,'TTM Dates'!$B:$B,'TTM Dates'!$C:$C)&amp;ROW($BK31))))</f>
        <v>8741135.27</v>
      </c>
      <c r="CY31" s="64">
        <f t="array" ref="CY31">IF(CY$3&gt;'QBO Summary'!$B$2,0,SUM(INDIRECT(XLOOKUP(CY$3,'TTM Dates'!$B:$B,'TTM Dates'!$E:$E)&amp;ROW($BK31)&amp;":"&amp;XLOOKUP(CY$3,'TTM Dates'!$B:$B,'TTM Dates'!$C:$C)&amp;ROW($BK31))))</f>
        <v>9428347.04</v>
      </c>
      <c r="CZ31" s="64">
        <f t="array" ref="CZ31">IF(CZ$3&gt;'QBO Summary'!$B$2,0,SUM(INDIRECT(XLOOKUP(CZ$3,'TTM Dates'!$B:$B,'TTM Dates'!$E:$E)&amp;ROW($BK31)&amp;":"&amp;XLOOKUP(CZ$3,'TTM Dates'!$B:$B,'TTM Dates'!$C:$C)&amp;ROW($BK31))))</f>
        <v>10254218.05</v>
      </c>
      <c r="DA31" s="64">
        <f t="array" ref="DA31">IF(DA$3&gt;'QBO Summary'!$B$2,0,SUM(INDIRECT(XLOOKUP(DA$3,'TTM Dates'!$B:$B,'TTM Dates'!$E:$E)&amp;ROW($BK31)&amp;":"&amp;XLOOKUP(DA$3,'TTM Dates'!$B:$B,'TTM Dates'!$C:$C)&amp;ROW($BK31))))</f>
        <v>11359423.13</v>
      </c>
      <c r="DB31" s="64">
        <f t="array" ref="DB31">IF(DB$3&gt;'QBO Summary'!$B$2,0,SUM(INDIRECT(XLOOKUP(DB$3,'TTM Dates'!$B:$B,'TTM Dates'!$E:$E)&amp;ROW($BK31)&amp;":"&amp;XLOOKUP(DB$3,'TTM Dates'!$B:$B,'TTM Dates'!$C:$C)&amp;ROW($BK31))))</f>
        <v>12301439.23</v>
      </c>
      <c r="DC31" s="64">
        <f t="array" ref="DC31">IF(DC$3&gt;'QBO Summary'!$B$2,0,SUM(INDIRECT(XLOOKUP(DC$3,'TTM Dates'!$B:$B,'TTM Dates'!$E:$E)&amp;ROW($BK31)&amp;":"&amp;XLOOKUP(DC$3,'TTM Dates'!$B:$B,'TTM Dates'!$C:$C)&amp;ROW($BK31))))</f>
        <v>13151915.67</v>
      </c>
      <c r="DD31" s="64">
        <f t="array" ref="DD31">IF(DD$3&gt;'QBO Summary'!$B$2,0,SUM(INDIRECT(XLOOKUP(DD$3,'TTM Dates'!$B:$B,'TTM Dates'!$E:$E)&amp;ROW($BK31)&amp;":"&amp;XLOOKUP(DD$3,'TTM Dates'!$B:$B,'TTM Dates'!$C:$C)&amp;ROW($BK31))))</f>
        <v>14404870.85</v>
      </c>
      <c r="DE31" s="64">
        <f t="array" ref="DE31">IF(DE$3&gt;'QBO Summary'!$B$2,0,SUM(INDIRECT(XLOOKUP(DE$3,'TTM Dates'!$B:$B,'TTM Dates'!$E:$E)&amp;ROW($BK31)&amp;":"&amp;XLOOKUP(DE$3,'TTM Dates'!$B:$B,'TTM Dates'!$C:$C)&amp;ROW($BK31))))</f>
        <v>15308657.74</v>
      </c>
      <c r="DF31" s="64">
        <f t="array" ref="DF31">IF(DF$3&gt;'QBO Summary'!$B$2,0,SUM(INDIRECT(XLOOKUP(DF$3,'TTM Dates'!$B:$B,'TTM Dates'!$E:$E)&amp;ROW($BK31)&amp;":"&amp;XLOOKUP(DF$3,'TTM Dates'!$B:$B,'TTM Dates'!$C:$C)&amp;ROW($BK31))))</f>
        <v>15705996.65</v>
      </c>
      <c r="DG31" s="64">
        <f t="array" ref="DG31">IF(DG$3&gt;'QBO Summary'!$B$2,0,SUM(INDIRECT(XLOOKUP(DG$3,'TTM Dates'!$B:$B,'TTM Dates'!$E:$E)&amp;ROW($BK31)&amp;":"&amp;XLOOKUP(DG$3,'TTM Dates'!$B:$B,'TTM Dates'!$C:$C)&amp;ROW($BK31))))</f>
        <v>15984930.37</v>
      </c>
      <c r="DH31" s="64">
        <f t="array" ref="DH31">IF(DH$3&gt;'QBO Summary'!$B$2,0,SUM(INDIRECT(XLOOKUP(DH$3,'TTM Dates'!$B:$B,'TTM Dates'!$E:$E)&amp;ROW($BK31)&amp;":"&amp;XLOOKUP(DH$3,'TTM Dates'!$B:$B,'TTM Dates'!$C:$C)&amp;ROW($BK31))))</f>
        <v>15941631.07</v>
      </c>
      <c r="DI31" s="64">
        <f t="array" ref="DI31">IF(DI$3&gt;'QBO Summary'!$B$2,0,SUM(INDIRECT(XLOOKUP(DI$3,'TTM Dates'!$B:$B,'TTM Dates'!$E:$E)&amp;ROW($BK31)&amp;":"&amp;XLOOKUP(DI$3,'TTM Dates'!$B:$B,'TTM Dates'!$C:$C)&amp;ROW($BK31))))</f>
        <v>15805795.14</v>
      </c>
      <c r="DJ31" s="64">
        <f t="array" ref="DJ31">IF(DJ$3&gt;'QBO Summary'!$B$2,0,SUM(INDIRECT(XLOOKUP(DJ$3,'TTM Dates'!$B:$B,'TTM Dates'!$E:$E)&amp;ROW($BK31)&amp;":"&amp;XLOOKUP(DJ$3,'TTM Dates'!$B:$B,'TTM Dates'!$C:$C)&amp;ROW($BK31))))</f>
        <v>16081002.57</v>
      </c>
      <c r="DK31" s="64">
        <f t="array" ref="DK31">IF(DK$3&gt;'QBO Summary'!$B$2,0,SUM(INDIRECT(XLOOKUP(DK$3,'TTM Dates'!$B:$B,'TTM Dates'!$E:$E)&amp;ROW($BK31)&amp;":"&amp;XLOOKUP(DK$3,'TTM Dates'!$B:$B,'TTM Dates'!$C:$C)&amp;ROW($BK31))))</f>
        <v>16039740.84</v>
      </c>
      <c r="DL31" s="64">
        <f t="array" ref="DL31">IF(DL$3&gt;'QBO Summary'!$B$2,0,SUM(INDIRECT(XLOOKUP(DL$3,'TTM Dates'!$B:$B,'TTM Dates'!$E:$E)&amp;ROW($BK31)&amp;":"&amp;XLOOKUP(DL$3,'TTM Dates'!$B:$B,'TTM Dates'!$C:$C)&amp;ROW($BK31))))</f>
        <v>16041714.88</v>
      </c>
      <c r="DM31" s="64">
        <f t="array" ref="DM31">IF(DM$3&gt;'QBO Summary'!$B$2,0,SUM(INDIRECT(XLOOKUP(DM$3,'TTM Dates'!$B:$B,'TTM Dates'!$E:$E)&amp;ROW($BK31)&amp;":"&amp;XLOOKUP(DM$3,'TTM Dates'!$B:$B,'TTM Dates'!$C:$C)&amp;ROW($BK31))))</f>
        <v>15688577.89</v>
      </c>
      <c r="DN31" s="64">
        <f t="array" ref="DN31">IF(DN$3&gt;'QBO Summary'!$B$2,0,SUM(INDIRECT(XLOOKUP(DN$3,'TTM Dates'!$B:$B,'TTM Dates'!$E:$E)&amp;ROW($BK31)&amp;":"&amp;XLOOKUP(DN$3,'TTM Dates'!$B:$B,'TTM Dates'!$C:$C)&amp;ROW($BK31))))</f>
        <v>15303653.38</v>
      </c>
      <c r="DO31" s="64">
        <f t="array" ref="DO31">IF(DO$3&gt;'QBO Summary'!$B$2,0,SUM(INDIRECT(XLOOKUP(DO$3,'TTM Dates'!$B:$B,'TTM Dates'!$E:$E)&amp;ROW($BK31)&amp;":"&amp;XLOOKUP(DO$3,'TTM Dates'!$B:$B,'TTM Dates'!$C:$C)&amp;ROW($BK31))))</f>
        <v>15023999.99</v>
      </c>
      <c r="DP31" s="64">
        <f t="array" ref="DP31">IF(DP$3&gt;'QBO Summary'!$B$2,0,SUM(INDIRECT(XLOOKUP(DP$3,'TTM Dates'!$B:$B,'TTM Dates'!$E:$E)&amp;ROW($BK31)&amp;":"&amp;XLOOKUP(DP$3,'TTM Dates'!$B:$B,'TTM Dates'!$C:$C)&amp;ROW($BK31))))</f>
        <v>14198006.2</v>
      </c>
      <c r="DQ31" s="64">
        <f t="array" ref="DQ31">IF(DQ$3&gt;'QBO Summary'!$B$2,0,SUM(INDIRECT(XLOOKUP(DQ$3,'TTM Dates'!$B:$B,'TTM Dates'!$E:$E)&amp;ROW($BK31)&amp;":"&amp;XLOOKUP(DQ$3,'TTM Dates'!$B:$B,'TTM Dates'!$C:$C)&amp;ROW($BK31))))</f>
        <v>13103293.04</v>
      </c>
      <c r="DR31" s="64">
        <f t="array" ref="DR31">IF(DR$3&gt;'QBO Summary'!$B$2,0,SUM(INDIRECT(XLOOKUP(DR$3,'TTM Dates'!$B:$B,'TTM Dates'!$E:$E)&amp;ROW($BK31)&amp;":"&amp;XLOOKUP(DR$3,'TTM Dates'!$B:$B,'TTM Dates'!$C:$C)&amp;ROW($BK31))))</f>
        <v>13382246.54</v>
      </c>
      <c r="DS31" s="64">
        <f t="array" ref="DS31">IF(DS$3&gt;'QBO Summary'!$B$2,0,SUM(INDIRECT(XLOOKUP(DS$3,'TTM Dates'!$B:$B,'TTM Dates'!$E:$E)&amp;ROW($BK31)&amp;":"&amp;XLOOKUP(DS$3,'TTM Dates'!$B:$B,'TTM Dates'!$C:$C)&amp;ROW($BK31))))</f>
        <v>13508378.62</v>
      </c>
      <c r="DT31" s="64">
        <f t="array" ref="DT31">IF(DT$3&gt;'QBO Summary'!$B$2,0,SUM(INDIRECT(XLOOKUP(DT$3,'TTM Dates'!$B:$B,'TTM Dates'!$E:$E)&amp;ROW($BK31)&amp;":"&amp;XLOOKUP(DT$3,'TTM Dates'!$B:$B,'TTM Dates'!$C:$C)&amp;ROW($BK31))))</f>
        <v>13762046.82</v>
      </c>
      <c r="DU31" s="64">
        <f t="array" ref="DU31">IF(DU$3&gt;'QBO Summary'!$B$2,0,SUM(INDIRECT(XLOOKUP(DU$3,'TTM Dates'!$B:$B,'TTM Dates'!$E:$E)&amp;ROW($BK31)&amp;":"&amp;XLOOKUP(DU$3,'TTM Dates'!$B:$B,'TTM Dates'!$C:$C)&amp;ROW($BK31))))</f>
        <v>14247170.39</v>
      </c>
      <c r="DV31" s="64">
        <f t="array" ref="DV31">IF(DV$3&gt;'QBO Summary'!$B$2,0,SUM(INDIRECT(XLOOKUP(DV$3,'TTM Dates'!$B:$B,'TTM Dates'!$E:$E)&amp;ROW($BK31)&amp;":"&amp;XLOOKUP(DV$3,'TTM Dates'!$B:$B,'TTM Dates'!$C:$C)&amp;ROW($BK31))))</f>
        <v>14628417.16</v>
      </c>
      <c r="DW31" s="64">
        <f t="array" ref="DW31">IF(DW$3&gt;'QBO Summary'!$B$2,0,SUM(INDIRECT(XLOOKUP(DW$3,'TTM Dates'!$B:$B,'TTM Dates'!$E:$E)&amp;ROW($BK31)&amp;":"&amp;XLOOKUP(DW$3,'TTM Dates'!$B:$B,'TTM Dates'!$C:$C)&amp;ROW($BK31))))</f>
        <v>15217563.56</v>
      </c>
      <c r="DX31" s="64">
        <f t="array" ref="DX31">IF(DX$3&gt;'QBO Summary'!$B$2,0,SUM(INDIRECT(XLOOKUP(DX$3,'TTM Dates'!$B:$B,'TTM Dates'!$E:$E)&amp;ROW($BK31)&amp;":"&amp;XLOOKUP(DX$3,'TTM Dates'!$B:$B,'TTM Dates'!$C:$C)&amp;ROW($BK31))))</f>
        <v>15460871.13</v>
      </c>
      <c r="DY31" s="64">
        <f t="array" ref="DY31">IF(DY$3&gt;'QBO Summary'!$B$2,0,SUM(INDIRECT(XLOOKUP(DY$3,'TTM Dates'!$B:$B,'TTM Dates'!$E:$E)&amp;ROW($BK31)&amp;":"&amp;XLOOKUP(DY$3,'TTM Dates'!$B:$B,'TTM Dates'!$C:$C)&amp;ROW($BK31))))</f>
        <v>16360300.45</v>
      </c>
      <c r="DZ31" s="64">
        <f t="array" ref="DZ31">IF(DZ$3&gt;'QBO Summary'!$B$2,0,SUM(INDIRECT(XLOOKUP(DZ$3,'TTM Dates'!$B:$B,'TTM Dates'!$E:$E)&amp;ROW($BK31)&amp;":"&amp;XLOOKUP(DZ$3,'TTM Dates'!$B:$B,'TTM Dates'!$C:$C)&amp;ROW($BK31))))</f>
        <v>15325164.66</v>
      </c>
      <c r="EA31" s="64">
        <f t="array" ref="EA31">IF(EA$3&gt;'QBO Summary'!$B$2,0,SUM(INDIRECT(XLOOKUP(EA$3,'TTM Dates'!$B:$B,'TTM Dates'!$E:$E)&amp;ROW($BK31)&amp;":"&amp;XLOOKUP(EA$3,'TTM Dates'!$B:$B,'TTM Dates'!$C:$C)&amp;ROW($BK31))))</f>
        <v>14220482.3</v>
      </c>
      <c r="EB31" s="64">
        <f t="array" ref="EB31">IF(EB$3&gt;'QBO Summary'!$B$2,0,SUM(INDIRECT(XLOOKUP(EB$3,'TTM Dates'!$B:$B,'TTM Dates'!$E:$E)&amp;ROW($BK31)&amp;":"&amp;XLOOKUP(EB$3,'TTM Dates'!$B:$B,'TTM Dates'!$C:$C)&amp;ROW($BK31))))</f>
        <v>13190118.12</v>
      </c>
      <c r="EC31" s="64">
        <f t="array" ref="EC31">IF(EC$3&gt;'QBO Summary'!$B$2,0,SUM(INDIRECT(XLOOKUP(EC$3,'TTM Dates'!$B:$B,'TTM Dates'!$E:$E)&amp;ROW($BK31)&amp;":"&amp;XLOOKUP(EC$3,'TTM Dates'!$B:$B,'TTM Dates'!$C:$C)&amp;ROW($BK31))))</f>
        <v>12127528.27</v>
      </c>
    </row>
    <row r="32">
      <c r="B32" s="280" t="s">
        <v>294</v>
      </c>
      <c r="C32" s="286">
        <f>'P&amp;L 2020-2022'!B36</f>
        <v>53041.49</v>
      </c>
      <c r="D32" s="286">
        <f>'P&amp;L 2020-2022'!C36</f>
        <v>39771.67</v>
      </c>
      <c r="E32" s="286">
        <f>'P&amp;L 2020-2022'!D36</f>
        <v>67515.15</v>
      </c>
      <c r="F32" s="286">
        <f>'P&amp;L 2020-2022'!E36</f>
        <v>60225.44</v>
      </c>
      <c r="G32" s="286">
        <f>'P&amp;L 2020-2022'!F36</f>
        <v>55167.32</v>
      </c>
      <c r="H32" s="286">
        <f>'P&amp;L 2020-2022'!G36</f>
        <v>55535.37</v>
      </c>
      <c r="I32" s="286">
        <f>'P&amp;L 2020-2022'!H36</f>
        <v>126254.27</v>
      </c>
      <c r="J32" s="286">
        <f>'P&amp;L 2020-2022'!I36</f>
        <v>106480.64</v>
      </c>
      <c r="K32" s="286">
        <f>'P&amp;L 2020-2022'!J36</f>
        <v>81609.1</v>
      </c>
      <c r="L32" s="286">
        <f>'P&amp;L 2020-2022'!K36</f>
        <v>89160.88</v>
      </c>
      <c r="M32" s="286">
        <f>'P&amp;L 2020-2022'!L36</f>
        <v>69343.79</v>
      </c>
      <c r="N32" s="286">
        <f>'P&amp;L 2020-2022'!M36</f>
        <v>137540.24</v>
      </c>
      <c r="O32" s="286">
        <f>'P&amp;L 2020-2022'!N36</f>
        <v>98143.11</v>
      </c>
      <c r="P32" s="286">
        <f>'P&amp;L 2020-2022'!O36</f>
        <v>82002.09</v>
      </c>
      <c r="Q32" s="286">
        <f>'P&amp;L 2020-2022'!P36</f>
        <v>117299.58</v>
      </c>
      <c r="R32" s="286">
        <f>'P&amp;L 2020-2022'!Q36</f>
        <v>52136.87</v>
      </c>
      <c r="S32" s="286">
        <f>'P&amp;L 2020-2022'!R36</f>
        <v>165148.33</v>
      </c>
      <c r="T32" s="286">
        <f>'P&amp;L 2020-2022'!S36</f>
        <v>82378.2</v>
      </c>
      <c r="U32" s="286">
        <f>'P&amp;L 2020-2022'!T36</f>
        <v>94689.99</v>
      </c>
      <c r="V32" s="286">
        <f>'P&amp;L 2020-2022'!U36</f>
        <v>144782.03</v>
      </c>
      <c r="W32" s="286">
        <f>'P&amp;L 2020-2022'!V36</f>
        <v>124684.61</v>
      </c>
      <c r="X32" s="286">
        <f>'P&amp;L 2020-2022'!W36</f>
        <v>116952.98</v>
      </c>
      <c r="Y32" s="286">
        <f>'P&amp;L 2020-2022'!X36</f>
        <v>151946.92</v>
      </c>
      <c r="Z32" s="286">
        <f>'P&amp;L 2020-2022'!Y36</f>
        <v>263999.37</v>
      </c>
      <c r="AA32" s="286">
        <f>'P&amp;L 2020-2022'!Z36</f>
        <v>130746.49</v>
      </c>
      <c r="AB32" s="286">
        <f>'P&amp;L 2020-2022'!AA36</f>
        <v>226240.69</v>
      </c>
      <c r="AC32" s="286">
        <f>'P&amp;L 2020-2022'!AB36</f>
        <v>193508.18</v>
      </c>
      <c r="AD32" s="286">
        <f>'P&amp;L 2020-2022'!AC36</f>
        <v>571586.65</v>
      </c>
      <c r="AE32" s="286">
        <f>'P&amp;L 2020-2022'!AD36</f>
        <v>201123.02</v>
      </c>
      <c r="AF32" s="286">
        <f>'P&amp;L 2020-2022'!AE36</f>
        <v>218090.88</v>
      </c>
      <c r="AG32" s="286">
        <f>'P&amp;L 2020-2022'!AF36</f>
        <v>260366.16</v>
      </c>
      <c r="AH32" s="286">
        <f>'P&amp;L 2020-2022'!AG36</f>
        <v>420603.75</v>
      </c>
      <c r="AI32" s="286">
        <f>'P&amp;L 2020-2022'!AH36</f>
        <v>256125.16</v>
      </c>
      <c r="AJ32" s="286">
        <f>'P&amp;L 2020-2022'!AI36</f>
        <v>256518.72</v>
      </c>
      <c r="AK32" s="286">
        <f>'P&amp;L 2020-2022'!AJ36</f>
        <v>411522.22</v>
      </c>
      <c r="AL32" s="286">
        <f>'P&amp;L 2020-2022'!AK36</f>
        <v>326092.24</v>
      </c>
      <c r="AM32" s="108">
        <f t="shared" ref="AM32:BJ32" si="54">SUM(AM33:AM35)</f>
        <v>232730.19</v>
      </c>
      <c r="AN32" s="108">
        <f t="shared" si="54"/>
        <v>284595.87</v>
      </c>
      <c r="AO32" s="108">
        <f t="shared" si="54"/>
        <v>186283.06</v>
      </c>
      <c r="AP32" s="108">
        <f t="shared" si="54"/>
        <v>333572.5</v>
      </c>
      <c r="AQ32" s="108">
        <f t="shared" si="54"/>
        <v>138902.33</v>
      </c>
      <c r="AR32" s="108">
        <f t="shared" si="54"/>
        <v>224798.53</v>
      </c>
      <c r="AS32" s="108">
        <f t="shared" si="54"/>
        <v>144257.47</v>
      </c>
      <c r="AT32" s="108">
        <f t="shared" si="54"/>
        <v>203561.51</v>
      </c>
      <c r="AU32" s="108">
        <f t="shared" si="54"/>
        <v>196816.79</v>
      </c>
      <c r="AV32" s="108">
        <f t="shared" si="54"/>
        <v>204205.28</v>
      </c>
      <c r="AW32" s="108">
        <f t="shared" si="54"/>
        <v>181839.4</v>
      </c>
      <c r="AX32" s="108">
        <f t="shared" si="54"/>
        <v>204780.31</v>
      </c>
      <c r="AY32" s="108">
        <f t="shared" si="54"/>
        <v>262636.79</v>
      </c>
      <c r="AZ32" s="108">
        <f t="shared" si="54"/>
        <v>204370.58</v>
      </c>
      <c r="BA32" s="108">
        <f t="shared" si="54"/>
        <v>255370.24</v>
      </c>
      <c r="BB32" s="108">
        <f t="shared" si="54"/>
        <v>223885.07</v>
      </c>
      <c r="BC32" s="108">
        <f t="shared" si="54"/>
        <v>253662.48</v>
      </c>
      <c r="BD32" s="108">
        <f t="shared" si="54"/>
        <v>310697.06</v>
      </c>
      <c r="BE32" s="108">
        <f t="shared" si="54"/>
        <v>274469.83</v>
      </c>
      <c r="BF32" s="108">
        <f t="shared" si="54"/>
        <v>274338.55</v>
      </c>
      <c r="BG32" s="108">
        <f t="shared" si="54"/>
        <v>0</v>
      </c>
      <c r="BH32" s="108">
        <f t="shared" si="54"/>
        <v>0</v>
      </c>
      <c r="BI32" s="108">
        <f t="shared" si="54"/>
        <v>0</v>
      </c>
      <c r="BJ32" s="108">
        <f t="shared" si="54"/>
        <v>0</v>
      </c>
      <c r="BK32" s="33"/>
      <c r="BL32" s="282">
        <f t="array" ref="BL32">SUM(INDIRECT(XLOOKUP('QBO Summary'!$B$2,'TTM Dates'!$B:$B,'TTM Dates'!$E:$E)&amp;ROW($BK32)&amp;":"&amp;XLOOKUP('QBO Summary'!$B$2,'TTM Dates'!$B:$B,'TTM Dates'!$C:$C)&amp;ROW($BK32)))</f>
        <v>9610508.06</v>
      </c>
      <c r="BM32" s="49"/>
      <c r="BN32" s="108">
        <f t="shared" si="55"/>
        <v>722377.61</v>
      </c>
      <c r="BO32" s="108">
        <f t="shared" si="56"/>
        <v>788244.61</v>
      </c>
      <c r="BP32" s="108">
        <f t="shared" si="57"/>
        <v>548808.38</v>
      </c>
      <c r="BQ32" s="108">
        <f t="shared" si="58"/>
        <v>0</v>
      </c>
      <c r="BR32" s="282">
        <f t="shared" si="59"/>
        <v>2059430.6</v>
      </c>
      <c r="BS32" s="283"/>
      <c r="BT32" s="108">
        <f t="shared" si="60"/>
        <v>703609.12</v>
      </c>
      <c r="BU32" s="108">
        <f t="shared" si="61"/>
        <v>697273.36</v>
      </c>
      <c r="BV32" s="108">
        <f t="shared" si="62"/>
        <v>544635.77</v>
      </c>
      <c r="BW32" s="108">
        <f t="shared" si="63"/>
        <v>590824.99</v>
      </c>
      <c r="BX32" s="282">
        <f t="shared" si="64"/>
        <v>2536343.24</v>
      </c>
      <c r="BY32" s="283"/>
      <c r="BZ32" s="108">
        <f t="shared" si="65"/>
        <v>550495.36</v>
      </c>
      <c r="CA32" s="108">
        <f t="shared" si="66"/>
        <v>990800.55</v>
      </c>
      <c r="CB32" s="108">
        <f t="shared" si="67"/>
        <v>937095.07</v>
      </c>
      <c r="CC32" s="108">
        <f t="shared" si="68"/>
        <v>994133.18</v>
      </c>
      <c r="CD32" s="282">
        <f>sum(AA32:AL32)</f>
        <v>3472524.16</v>
      </c>
      <c r="CE32" s="283"/>
      <c r="CF32" s="282">
        <f>SUM(O32:Z32)</f>
        <v>1494164.08</v>
      </c>
      <c r="CG32" s="136"/>
      <c r="CH32" s="286">
        <f t="array" ref="CH32">IF(CH$3&gt;'QBO Summary'!$B$2,0,SUM(INDIRECT(XLOOKUP(CH$3,'TTM Dates'!$B:$B,'TTM Dates'!$E:$E)&amp;ROW($BK32)&amp;":"&amp;XLOOKUP(CH$3,'TTM Dates'!$B:$B,'TTM Dates'!$C:$C)&amp;ROW($BK32))))</f>
        <v>986746.98</v>
      </c>
      <c r="CI32" s="286">
        <f t="array" ref="CI32">IF(CI$3&gt;'QBO Summary'!$B$2,0,SUM(INDIRECT(XLOOKUP(CI$3,'TTM Dates'!$B:$B,'TTM Dates'!$E:$E)&amp;ROW($BK32)&amp;":"&amp;XLOOKUP(CI$3,'TTM Dates'!$B:$B,'TTM Dates'!$C:$C)&amp;ROW($BK32))))</f>
        <v>1028977.4</v>
      </c>
      <c r="CJ32" s="286">
        <f t="array" ref="CJ32">IF(CJ$3&gt;'QBO Summary'!$B$2,0,SUM(INDIRECT(XLOOKUP(CJ$3,'TTM Dates'!$B:$B,'TTM Dates'!$E:$E)&amp;ROW($BK32)&amp;":"&amp;XLOOKUP(CJ$3,'TTM Dates'!$B:$B,'TTM Dates'!$C:$C)&amp;ROW($BK32))))</f>
        <v>1078761.83</v>
      </c>
      <c r="CK32" s="286">
        <f t="array" ref="CK32">IF(CK$3&gt;'QBO Summary'!$B$2,0,SUM(INDIRECT(XLOOKUP(CK$3,'TTM Dates'!$B:$B,'TTM Dates'!$E:$E)&amp;ROW($BK32)&amp;":"&amp;XLOOKUP(CK$3,'TTM Dates'!$B:$B,'TTM Dates'!$C:$C)&amp;ROW($BK32))))</f>
        <v>1070673.26</v>
      </c>
      <c r="CL32" s="286">
        <f t="array" ref="CL32">IF(CL$3&gt;'QBO Summary'!$B$2,0,SUM(INDIRECT(XLOOKUP(CL$3,'TTM Dates'!$B:$B,'TTM Dates'!$E:$E)&amp;ROW($BK32)&amp;":"&amp;XLOOKUP(CL$3,'TTM Dates'!$B:$B,'TTM Dates'!$C:$C)&amp;ROW($BK32))))</f>
        <v>1180654.27</v>
      </c>
      <c r="CM32" s="286">
        <f t="array" ref="CM32">IF(CM$3&gt;'QBO Summary'!$B$2,0,SUM(INDIRECT(XLOOKUP(CM$3,'TTM Dates'!$B:$B,'TTM Dates'!$E:$E)&amp;ROW($BK32)&amp;":"&amp;XLOOKUP(CM$3,'TTM Dates'!$B:$B,'TTM Dates'!$C:$C)&amp;ROW($BK32))))</f>
        <v>1207497.1</v>
      </c>
      <c r="CN32" s="286">
        <f t="array" ref="CN32">IF(CN$3&gt;'QBO Summary'!$B$2,0,SUM(INDIRECT(XLOOKUP(CN$3,'TTM Dates'!$B:$B,'TTM Dates'!$E:$E)&amp;ROW($BK32)&amp;":"&amp;XLOOKUP(CN$3,'TTM Dates'!$B:$B,'TTM Dates'!$C:$C)&amp;ROW($BK32))))</f>
        <v>1175932.82</v>
      </c>
      <c r="CO32" s="286">
        <f t="array" ref="CO32">IF(CO$3&gt;'QBO Summary'!$B$2,0,SUM(INDIRECT(XLOOKUP(CO$3,'TTM Dates'!$B:$B,'TTM Dates'!$E:$E)&amp;ROW($BK32)&amp;":"&amp;XLOOKUP(CO$3,'TTM Dates'!$B:$B,'TTM Dates'!$C:$C)&amp;ROW($BK32))))</f>
        <v>1214234.21</v>
      </c>
      <c r="CP32" s="286">
        <f t="array" ref="CP32">IF(CP$3&gt;'QBO Summary'!$B$2,0,SUM(INDIRECT(XLOOKUP(CP$3,'TTM Dates'!$B:$B,'TTM Dates'!$E:$E)&amp;ROW($BK32)&amp;":"&amp;XLOOKUP(CP$3,'TTM Dates'!$B:$B,'TTM Dates'!$C:$C)&amp;ROW($BK32))))</f>
        <v>1257309.72</v>
      </c>
      <c r="CQ32" s="286">
        <f t="array" ref="CQ32">IF(CQ$3&gt;'QBO Summary'!$B$2,0,SUM(INDIRECT(XLOOKUP(CQ$3,'TTM Dates'!$B:$B,'TTM Dates'!$E:$E)&amp;ROW($BK32)&amp;":"&amp;XLOOKUP(CQ$3,'TTM Dates'!$B:$B,'TTM Dates'!$C:$C)&amp;ROW($BK32))))</f>
        <v>1285101.82</v>
      </c>
      <c r="CR32" s="286">
        <f t="array" ref="CR32">IF(CR$3&gt;'QBO Summary'!$B$2,0,SUM(INDIRECT(XLOOKUP(CR$3,'TTM Dates'!$B:$B,'TTM Dates'!$E:$E)&amp;ROW($BK32)&amp;":"&amp;XLOOKUP(CR$3,'TTM Dates'!$B:$B,'TTM Dates'!$C:$C)&amp;ROW($BK32))))</f>
        <v>1367704.95</v>
      </c>
      <c r="CS32" s="286">
        <f t="array" ref="CS32">IF(CS$3&gt;'QBO Summary'!$B$2,0,SUM(INDIRECT(XLOOKUP(CS$3,'TTM Dates'!$B:$B,'TTM Dates'!$E:$E)&amp;ROW($BK32)&amp;":"&amp;XLOOKUP(CS$3,'TTM Dates'!$B:$B,'TTM Dates'!$C:$C)&amp;ROW($BK32))))</f>
        <v>1494164.08</v>
      </c>
      <c r="CT32" s="286">
        <f t="array" ref="CT32">IF(CT$3&gt;'QBO Summary'!$B$2,0,SUM(INDIRECT(XLOOKUP(CT$3,'TTM Dates'!$B:$B,'TTM Dates'!$E:$E)&amp;ROW($BK32)&amp;":"&amp;XLOOKUP(CT$3,'TTM Dates'!$B:$B,'TTM Dates'!$C:$C)&amp;ROW($BK32))))</f>
        <v>1526767.46</v>
      </c>
      <c r="CU32" s="286">
        <f t="array" ref="CU32">IF(CU$3&gt;'QBO Summary'!$B$2,0,SUM(INDIRECT(XLOOKUP(CU$3,'TTM Dates'!$B:$B,'TTM Dates'!$E:$E)&amp;ROW($BK32)&amp;":"&amp;XLOOKUP(CU$3,'TTM Dates'!$B:$B,'TTM Dates'!$C:$C)&amp;ROW($BK32))))</f>
        <v>1671006.06</v>
      </c>
      <c r="CV32" s="286">
        <f t="array" ref="CV32">IF(CV$3&gt;'QBO Summary'!$B$2,0,SUM(INDIRECT(XLOOKUP(CV$3,'TTM Dates'!$B:$B,'TTM Dates'!$E:$E)&amp;ROW($BK32)&amp;":"&amp;XLOOKUP(CV$3,'TTM Dates'!$B:$B,'TTM Dates'!$C:$C)&amp;ROW($BK32))))</f>
        <v>1747214.66</v>
      </c>
      <c r="CW32" s="286">
        <f t="array" ref="CW32">IF(CW$3&gt;'QBO Summary'!$B$2,0,SUM(INDIRECT(XLOOKUP(CW$3,'TTM Dates'!$B:$B,'TTM Dates'!$E:$E)&amp;ROW($BK32)&amp;":"&amp;XLOOKUP(CW$3,'TTM Dates'!$B:$B,'TTM Dates'!$C:$C)&amp;ROW($BK32))))</f>
        <v>2266664.44</v>
      </c>
      <c r="CX32" s="286">
        <f t="array" ref="CX32">IF(CX$3&gt;'QBO Summary'!$B$2,0,SUM(INDIRECT(XLOOKUP(CX$3,'TTM Dates'!$B:$B,'TTM Dates'!$E:$E)&amp;ROW($BK32)&amp;":"&amp;XLOOKUP(CX$3,'TTM Dates'!$B:$B,'TTM Dates'!$C:$C)&amp;ROW($BK32))))</f>
        <v>2302639.13</v>
      </c>
      <c r="CY32" s="286">
        <f t="array" ref="CY32">IF(CY$3&gt;'QBO Summary'!$B$2,0,SUM(INDIRECT(XLOOKUP(CY$3,'TTM Dates'!$B:$B,'TTM Dates'!$E:$E)&amp;ROW($BK32)&amp;":"&amp;XLOOKUP(CY$3,'TTM Dates'!$B:$B,'TTM Dates'!$C:$C)&amp;ROW($BK32))))</f>
        <v>2438351.81</v>
      </c>
      <c r="CZ32" s="286">
        <f t="array" ref="CZ32">IF(CZ$3&gt;'QBO Summary'!$B$2,0,SUM(INDIRECT(XLOOKUP(CZ$3,'TTM Dates'!$B:$B,'TTM Dates'!$E:$E)&amp;ROW($BK32)&amp;":"&amp;XLOOKUP(CZ$3,'TTM Dates'!$B:$B,'TTM Dates'!$C:$C)&amp;ROW($BK32))))</f>
        <v>2604027.98</v>
      </c>
      <c r="DA32" s="286">
        <f t="array" ref="DA32">IF(DA$3&gt;'QBO Summary'!$B$2,0,SUM(INDIRECT(XLOOKUP(DA$3,'TTM Dates'!$B:$B,'TTM Dates'!$E:$E)&amp;ROW($BK32)&amp;":"&amp;XLOOKUP(DA$3,'TTM Dates'!$B:$B,'TTM Dates'!$C:$C)&amp;ROW($BK32))))</f>
        <v>2879849.7</v>
      </c>
      <c r="DB32" s="286">
        <f t="array" ref="DB32">IF(DB$3&gt;'QBO Summary'!$B$2,0,SUM(INDIRECT(XLOOKUP(DB$3,'TTM Dates'!$B:$B,'TTM Dates'!$E:$E)&amp;ROW($BK32)&amp;":"&amp;XLOOKUP(DB$3,'TTM Dates'!$B:$B,'TTM Dates'!$C:$C)&amp;ROW($BK32))))</f>
        <v>3011290.25</v>
      </c>
      <c r="DC32" s="286">
        <f t="array" ref="DC32">IF(DC$3&gt;'QBO Summary'!$B$2,0,SUM(INDIRECT(XLOOKUP(DC$3,'TTM Dates'!$B:$B,'TTM Dates'!$E:$E)&amp;ROW($BK32)&amp;":"&amp;XLOOKUP(DC$3,'TTM Dates'!$B:$B,'TTM Dates'!$C:$C)&amp;ROW($BK32))))</f>
        <v>3150855.99</v>
      </c>
      <c r="DD32" s="286">
        <f t="array" ref="DD32">IF(DD$3&gt;'QBO Summary'!$B$2,0,SUM(INDIRECT(XLOOKUP(DD$3,'TTM Dates'!$B:$B,'TTM Dates'!$E:$E)&amp;ROW($BK32)&amp;":"&amp;XLOOKUP(DD$3,'TTM Dates'!$B:$B,'TTM Dates'!$C:$C)&amp;ROW($BK32))))</f>
        <v>3410431.29</v>
      </c>
      <c r="DE32" s="286">
        <f t="array" ref="DE32">IF(DE$3&gt;'QBO Summary'!$B$2,0,SUM(INDIRECT(XLOOKUP(DE$3,'TTM Dates'!$B:$B,'TTM Dates'!$E:$E)&amp;ROW($BK32)&amp;":"&amp;XLOOKUP(DE$3,'TTM Dates'!$B:$B,'TTM Dates'!$C:$C)&amp;ROW($BK32))))</f>
        <v>3472524.16</v>
      </c>
      <c r="DF32" s="286">
        <f t="array" ref="DF32">IF(DF$3&gt;'QBO Summary'!$B$2,0,SUM(INDIRECT(XLOOKUP(DF$3,'TTM Dates'!$B:$B,'TTM Dates'!$E:$E)&amp;ROW($BK32)&amp;":"&amp;XLOOKUP(DF$3,'TTM Dates'!$B:$B,'TTM Dates'!$C:$C)&amp;ROW($BK32))))</f>
        <v>3574507.86</v>
      </c>
      <c r="DG32" s="286">
        <f t="array" ref="DG32">IF(DG$3&gt;'QBO Summary'!$B$2,0,SUM(INDIRECT(XLOOKUP(DG$3,'TTM Dates'!$B:$B,'TTM Dates'!$E:$E)&amp;ROW($BK32)&amp;":"&amp;XLOOKUP(DG$3,'TTM Dates'!$B:$B,'TTM Dates'!$C:$C)&amp;ROW($BK32))))</f>
        <v>3632863.04</v>
      </c>
      <c r="DH32" s="286">
        <f t="array" ref="DH32">IF(DH$3&gt;'QBO Summary'!$B$2,0,SUM(INDIRECT(XLOOKUP(DH$3,'TTM Dates'!$B:$B,'TTM Dates'!$E:$E)&amp;ROW($BK32)&amp;":"&amp;XLOOKUP(DH$3,'TTM Dates'!$B:$B,'TTM Dates'!$C:$C)&amp;ROW($BK32))))</f>
        <v>3625637.92</v>
      </c>
      <c r="DI32" s="286">
        <f t="array" ref="DI32">IF(DI$3&gt;'QBO Summary'!$B$2,0,SUM(INDIRECT(XLOOKUP(DI$3,'TTM Dates'!$B:$B,'TTM Dates'!$E:$E)&amp;ROW($BK32)&amp;":"&amp;XLOOKUP(DI$3,'TTM Dates'!$B:$B,'TTM Dates'!$C:$C)&amp;ROW($BK32))))</f>
        <v>3387623.77</v>
      </c>
      <c r="DJ32" s="286">
        <f t="array" ref="DJ32">IF(DJ$3&gt;'QBO Summary'!$B$2,0,SUM(INDIRECT(XLOOKUP(DJ$3,'TTM Dates'!$B:$B,'TTM Dates'!$E:$E)&amp;ROW($BK32)&amp;":"&amp;XLOOKUP(DJ$3,'TTM Dates'!$B:$B,'TTM Dates'!$C:$C)&amp;ROW($BK32))))</f>
        <v>3325403.08</v>
      </c>
      <c r="DK32" s="286">
        <f t="array" ref="DK32">IF(DK$3&gt;'QBO Summary'!$B$2,0,SUM(INDIRECT(XLOOKUP(DK$3,'TTM Dates'!$B:$B,'TTM Dates'!$E:$E)&amp;ROW($BK32)&amp;":"&amp;XLOOKUP(DK$3,'TTM Dates'!$B:$B,'TTM Dates'!$C:$C)&amp;ROW($BK32))))</f>
        <v>3332110.73</v>
      </c>
      <c r="DL32" s="286">
        <f t="array" ref="DL32">IF(DL$3&gt;'QBO Summary'!$B$2,0,SUM(INDIRECT(XLOOKUP(DL$3,'TTM Dates'!$B:$B,'TTM Dates'!$E:$E)&amp;ROW($BK32)&amp;":"&amp;XLOOKUP(DL$3,'TTM Dates'!$B:$B,'TTM Dates'!$C:$C)&amp;ROW($BK32))))</f>
        <v>3216002.04</v>
      </c>
      <c r="DM32" s="286">
        <f t="array" ref="DM32">IF(DM$3&gt;'QBO Summary'!$B$2,0,SUM(INDIRECT(XLOOKUP(DM$3,'TTM Dates'!$B:$B,'TTM Dates'!$E:$E)&amp;ROW($BK32)&amp;":"&amp;XLOOKUP(DM$3,'TTM Dates'!$B:$B,'TTM Dates'!$C:$C)&amp;ROW($BK32))))</f>
        <v>2998959.8</v>
      </c>
      <c r="DN32" s="286">
        <f t="array" ref="DN32">IF(DN$3&gt;'QBO Summary'!$B$2,0,SUM(INDIRECT(XLOOKUP(DN$3,'TTM Dates'!$B:$B,'TTM Dates'!$E:$E)&amp;ROW($BK32)&amp;":"&amp;XLOOKUP(DN$3,'TTM Dates'!$B:$B,'TTM Dates'!$C:$C)&amp;ROW($BK32))))</f>
        <v>2939651.43</v>
      </c>
      <c r="DO32" s="286">
        <f t="array" ref="DO32">IF(DO$3&gt;'QBO Summary'!$B$2,0,SUM(INDIRECT(XLOOKUP(DO$3,'TTM Dates'!$B:$B,'TTM Dates'!$E:$E)&amp;ROW($BK32)&amp;":"&amp;XLOOKUP(DO$3,'TTM Dates'!$B:$B,'TTM Dates'!$C:$C)&amp;ROW($BK32))))</f>
        <v>2887337.99</v>
      </c>
      <c r="DP32" s="286">
        <f t="array" ref="DP32">IF(DP$3&gt;'QBO Summary'!$B$2,0,SUM(INDIRECT(XLOOKUP(DP$3,'TTM Dates'!$B:$B,'TTM Dates'!$E:$E)&amp;ROW($BK32)&amp;":"&amp;XLOOKUP(DP$3,'TTM Dates'!$B:$B,'TTM Dates'!$C:$C)&amp;ROW($BK32))))</f>
        <v>2657655.17</v>
      </c>
      <c r="DQ32" s="286">
        <f t="array" ref="DQ32">IF(DQ$3&gt;'QBO Summary'!$B$2,0,SUM(INDIRECT(XLOOKUP(DQ$3,'TTM Dates'!$B:$B,'TTM Dates'!$E:$E)&amp;ROW($BK32)&amp;":"&amp;XLOOKUP(DQ$3,'TTM Dates'!$B:$B,'TTM Dates'!$C:$C)&amp;ROW($BK32))))</f>
        <v>2536343.24</v>
      </c>
      <c r="DR32" s="286">
        <f t="array" ref="DR32">IF(DR$3&gt;'QBO Summary'!$B$2,0,SUM(INDIRECT(XLOOKUP(DR$3,'TTM Dates'!$B:$B,'TTM Dates'!$E:$E)&amp;ROW($BK32)&amp;":"&amp;XLOOKUP(DR$3,'TTM Dates'!$B:$B,'TTM Dates'!$C:$C)&amp;ROW($BK32))))</f>
        <v>2566249.84</v>
      </c>
      <c r="DS32" s="286">
        <f t="array" ref="DS32">IF(DS$3&gt;'QBO Summary'!$B$2,0,SUM(INDIRECT(XLOOKUP(DS$3,'TTM Dates'!$B:$B,'TTM Dates'!$E:$E)&amp;ROW($BK32)&amp;":"&amp;XLOOKUP(DS$3,'TTM Dates'!$B:$B,'TTM Dates'!$C:$C)&amp;ROW($BK32))))</f>
        <v>2486024.55</v>
      </c>
      <c r="DT32" s="286">
        <f t="array" ref="DT32">IF(DT$3&gt;'QBO Summary'!$B$2,0,SUM(INDIRECT(XLOOKUP(DT$3,'TTM Dates'!$B:$B,'TTM Dates'!$E:$E)&amp;ROW($BK32)&amp;":"&amp;XLOOKUP(DT$3,'TTM Dates'!$B:$B,'TTM Dates'!$C:$C)&amp;ROW($BK32))))</f>
        <v>2555111.73</v>
      </c>
      <c r="DU32" s="286">
        <f t="array" ref="DU32">IF(DU$3&gt;'QBO Summary'!$B$2,0,SUM(INDIRECT(XLOOKUP(DU$3,'TTM Dates'!$B:$B,'TTM Dates'!$E:$E)&amp;ROW($BK32)&amp;":"&amp;XLOOKUP(DU$3,'TTM Dates'!$B:$B,'TTM Dates'!$C:$C)&amp;ROW($BK32))))</f>
        <v>2445424.3</v>
      </c>
      <c r="DV32" s="286">
        <f t="array" ref="DV32">IF(DV$3&gt;'QBO Summary'!$B$2,0,SUM(INDIRECT(XLOOKUP(DV$3,'TTM Dates'!$B:$B,'TTM Dates'!$E:$E)&amp;ROW($BK32)&amp;":"&amp;XLOOKUP(DV$3,'TTM Dates'!$B:$B,'TTM Dates'!$C:$C)&amp;ROW($BK32))))</f>
        <v>2560184.45</v>
      </c>
      <c r="DW32" s="286">
        <f t="array" ref="DW32">IF(DW$3&gt;'QBO Summary'!$B$2,0,SUM(INDIRECT(XLOOKUP(DW$3,'TTM Dates'!$B:$B,'TTM Dates'!$E:$E)&amp;ROW($BK32)&amp;":"&amp;XLOOKUP(DW$3,'TTM Dates'!$B:$B,'TTM Dates'!$C:$C)&amp;ROW($BK32))))</f>
        <v>2646082.98</v>
      </c>
      <c r="DX32" s="286">
        <f t="array" ref="DX32">IF(DX$3&gt;'QBO Summary'!$B$2,0,SUM(INDIRECT(XLOOKUP(DX$3,'TTM Dates'!$B:$B,'TTM Dates'!$E:$E)&amp;ROW($BK32)&amp;":"&amp;XLOOKUP(DX$3,'TTM Dates'!$B:$B,'TTM Dates'!$C:$C)&amp;ROW($BK32))))</f>
        <v>2776295.34</v>
      </c>
      <c r="DY32" s="286">
        <f t="array" ref="DY32">IF(DY$3&gt;'QBO Summary'!$B$2,0,SUM(INDIRECT(XLOOKUP(DY$3,'TTM Dates'!$B:$B,'TTM Dates'!$E:$E)&amp;ROW($BK32)&amp;":"&amp;XLOOKUP(DY$3,'TTM Dates'!$B:$B,'TTM Dates'!$C:$C)&amp;ROW($BK32))))</f>
        <v>2847072.38</v>
      </c>
      <c r="DZ32" s="286">
        <f t="array" ref="DZ32">IF(DZ$3&gt;'QBO Summary'!$B$2,0,SUM(INDIRECT(XLOOKUP(DZ$3,'TTM Dates'!$B:$B,'TTM Dates'!$E:$E)&amp;ROW($BK32)&amp;":"&amp;XLOOKUP(DZ$3,'TTM Dates'!$B:$B,'TTM Dates'!$C:$C)&amp;ROW($BK32))))</f>
        <v>2650255.59</v>
      </c>
      <c r="EA32" s="286">
        <f t="array" ref="EA32">IF(EA$3&gt;'QBO Summary'!$B$2,0,SUM(INDIRECT(XLOOKUP(EA$3,'TTM Dates'!$B:$B,'TTM Dates'!$E:$E)&amp;ROW($BK32)&amp;":"&amp;XLOOKUP(EA$3,'TTM Dates'!$B:$B,'TTM Dates'!$C:$C)&amp;ROW($BK32))))</f>
        <v>2446050.31</v>
      </c>
      <c r="EB32" s="286">
        <f t="array" ref="EB32">IF(EB$3&gt;'QBO Summary'!$B$2,0,SUM(INDIRECT(XLOOKUP(EB$3,'TTM Dates'!$B:$B,'TTM Dates'!$E:$E)&amp;ROW($BK32)&amp;":"&amp;XLOOKUP(EB$3,'TTM Dates'!$B:$B,'TTM Dates'!$C:$C)&amp;ROW($BK32))))</f>
        <v>2264210.91</v>
      </c>
      <c r="EC32" s="286">
        <f t="array" ref="EC32">IF(EC$3&gt;'QBO Summary'!$B$2,0,SUM(INDIRECT(XLOOKUP(EC$3,'TTM Dates'!$B:$B,'TTM Dates'!$E:$E)&amp;ROW($BK32)&amp;":"&amp;XLOOKUP(EC$3,'TTM Dates'!$B:$B,'TTM Dates'!$C:$C)&amp;ROW($BK32))))</f>
        <v>2059430.6</v>
      </c>
    </row>
    <row r="33" outlineLevel="1">
      <c r="B33" s="135" t="s">
        <v>506</v>
      </c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7">
        <v>0.0</v>
      </c>
      <c r="AN33" s="136"/>
      <c r="AO33" s="136"/>
      <c r="AP33" s="136"/>
      <c r="AQ33" s="136"/>
      <c r="AR33" s="136"/>
      <c r="AS33" s="136"/>
      <c r="AT33" s="137">
        <v>2827.74</v>
      </c>
      <c r="AU33" s="137">
        <v>8474.6</v>
      </c>
      <c r="AV33" s="137">
        <v>6325.5</v>
      </c>
      <c r="AW33" s="137">
        <v>2217.42</v>
      </c>
      <c r="AX33" s="337">
        <v>11237.34</v>
      </c>
      <c r="AY33" s="337">
        <v>1767.45</v>
      </c>
      <c r="AZ33" s="337">
        <v>1966.27</v>
      </c>
      <c r="BA33" s="337">
        <v>1584.66</v>
      </c>
      <c r="BB33" s="337">
        <v>2748.87</v>
      </c>
      <c r="BC33" s="337">
        <v>3308.78</v>
      </c>
      <c r="BD33" s="337">
        <v>11885.75</v>
      </c>
      <c r="BE33" s="337">
        <v>8505.39</v>
      </c>
      <c r="BF33" s="337">
        <v>9050.98</v>
      </c>
      <c r="BG33" s="337"/>
      <c r="BH33" s="337"/>
      <c r="BI33" s="337"/>
      <c r="BJ33" s="337"/>
      <c r="BK33" s="33"/>
      <c r="BL33" s="288">
        <f t="array" ref="BL33">SUM(INDIRECT(XLOOKUP('QBO Summary'!$B$2,'TTM Dates'!$B:$B,'TTM Dates'!$E:$E)&amp;ROW($BK33)&amp;":"&amp;XLOOKUP('QBO Summary'!$B$2,'TTM Dates'!$B:$B,'TTM Dates'!$C:$C)&amp;ROW($BK33)))</f>
        <v>102983.35</v>
      </c>
      <c r="BM33" s="49"/>
      <c r="BN33" s="136">
        <f t="shared" si="55"/>
        <v>5318.38</v>
      </c>
      <c r="BO33" s="136">
        <f t="shared" si="56"/>
        <v>17943.4</v>
      </c>
      <c r="BP33" s="136">
        <f t="shared" si="57"/>
        <v>17556.37</v>
      </c>
      <c r="BQ33" s="136">
        <f t="shared" si="58"/>
        <v>0</v>
      </c>
      <c r="BR33" s="292">
        <f t="shared" si="59"/>
        <v>40818.15</v>
      </c>
      <c r="BS33" s="136"/>
      <c r="BT33" s="136">
        <f t="shared" si="60"/>
        <v>0</v>
      </c>
      <c r="BU33" s="136">
        <f t="shared" si="61"/>
        <v>0</v>
      </c>
      <c r="BV33" s="136">
        <f t="shared" si="62"/>
        <v>11302.34</v>
      </c>
      <c r="BW33" s="136">
        <f t="shared" si="63"/>
        <v>19780.26</v>
      </c>
      <c r="BX33" s="292">
        <f t="shared" si="64"/>
        <v>31082.6</v>
      </c>
      <c r="BY33" s="136"/>
      <c r="BZ33" s="136"/>
      <c r="CA33" s="136"/>
      <c r="CB33" s="136"/>
      <c r="CC33" s="136"/>
      <c r="CD33" s="292"/>
      <c r="CE33" s="136"/>
      <c r="CF33" s="292"/>
      <c r="CG33" s="136"/>
      <c r="CH33" s="136">
        <f t="array" ref="CH33">IF(CH$3&gt;'QBO Summary'!$B$2,0,SUM(INDIRECT(XLOOKUP(CH$3,'TTM Dates'!$B:$B,'TTM Dates'!$E:$E)&amp;ROW($BK33)&amp;":"&amp;XLOOKUP(CH$3,'TTM Dates'!$B:$B,'TTM Dates'!$C:$C)&amp;ROW($BK33))))</f>
        <v>0</v>
      </c>
      <c r="CI33" s="136">
        <f t="array" ref="CI33">IF(CI$3&gt;'QBO Summary'!$B$2,0,SUM(INDIRECT(XLOOKUP(CI$3,'TTM Dates'!$B:$B,'TTM Dates'!$E:$E)&amp;ROW($BK33)&amp;":"&amp;XLOOKUP(CI$3,'TTM Dates'!$B:$B,'TTM Dates'!$C:$C)&amp;ROW($BK33))))</f>
        <v>0</v>
      </c>
      <c r="CJ33" s="136">
        <f t="array" ref="CJ33">IF(CJ$3&gt;'QBO Summary'!$B$2,0,SUM(INDIRECT(XLOOKUP(CJ$3,'TTM Dates'!$B:$B,'TTM Dates'!$E:$E)&amp;ROW($BK33)&amp;":"&amp;XLOOKUP(CJ$3,'TTM Dates'!$B:$B,'TTM Dates'!$C:$C)&amp;ROW($BK33))))</f>
        <v>0</v>
      </c>
      <c r="CK33" s="136">
        <f t="array" ref="CK33">IF(CK$3&gt;'QBO Summary'!$B$2,0,SUM(INDIRECT(XLOOKUP(CK$3,'TTM Dates'!$B:$B,'TTM Dates'!$E:$E)&amp;ROW($BK33)&amp;":"&amp;XLOOKUP(CK$3,'TTM Dates'!$B:$B,'TTM Dates'!$C:$C)&amp;ROW($BK33))))</f>
        <v>0</v>
      </c>
      <c r="CL33" s="136">
        <f t="array" ref="CL33">IF(CL$3&gt;'QBO Summary'!$B$2,0,SUM(INDIRECT(XLOOKUP(CL$3,'TTM Dates'!$B:$B,'TTM Dates'!$E:$E)&amp;ROW($BK33)&amp;":"&amp;XLOOKUP(CL$3,'TTM Dates'!$B:$B,'TTM Dates'!$C:$C)&amp;ROW($BK33))))</f>
        <v>0</v>
      </c>
      <c r="CM33" s="136">
        <f t="array" ref="CM33">IF(CM$3&gt;'QBO Summary'!$B$2,0,SUM(INDIRECT(XLOOKUP(CM$3,'TTM Dates'!$B:$B,'TTM Dates'!$E:$E)&amp;ROW($BK33)&amp;":"&amp;XLOOKUP(CM$3,'TTM Dates'!$B:$B,'TTM Dates'!$C:$C)&amp;ROW($BK33))))</f>
        <v>0</v>
      </c>
      <c r="CN33" s="136">
        <f t="array" ref="CN33">IF(CN$3&gt;'QBO Summary'!$B$2,0,SUM(INDIRECT(XLOOKUP(CN$3,'TTM Dates'!$B:$B,'TTM Dates'!$E:$E)&amp;ROW($BK33)&amp;":"&amp;XLOOKUP(CN$3,'TTM Dates'!$B:$B,'TTM Dates'!$C:$C)&amp;ROW($BK33))))</f>
        <v>0</v>
      </c>
      <c r="CO33" s="136">
        <f t="array" ref="CO33">IF(CO$3&gt;'QBO Summary'!$B$2,0,SUM(INDIRECT(XLOOKUP(CO$3,'TTM Dates'!$B:$B,'TTM Dates'!$E:$E)&amp;ROW($BK33)&amp;":"&amp;XLOOKUP(CO$3,'TTM Dates'!$B:$B,'TTM Dates'!$C:$C)&amp;ROW($BK33))))</f>
        <v>0</v>
      </c>
      <c r="CP33" s="136">
        <f t="array" ref="CP33">IF(CP$3&gt;'QBO Summary'!$B$2,0,SUM(INDIRECT(XLOOKUP(CP$3,'TTM Dates'!$B:$B,'TTM Dates'!$E:$E)&amp;ROW($BK33)&amp;":"&amp;XLOOKUP(CP$3,'TTM Dates'!$B:$B,'TTM Dates'!$C:$C)&amp;ROW($BK33))))</f>
        <v>0</v>
      </c>
      <c r="CQ33" s="136">
        <f t="array" ref="CQ33">IF(CQ$3&gt;'QBO Summary'!$B$2,0,SUM(INDIRECT(XLOOKUP(CQ$3,'TTM Dates'!$B:$B,'TTM Dates'!$E:$E)&amp;ROW($BK33)&amp;":"&amp;XLOOKUP(CQ$3,'TTM Dates'!$B:$B,'TTM Dates'!$C:$C)&amp;ROW($BK33))))</f>
        <v>0</v>
      </c>
      <c r="CR33" s="136">
        <f t="array" ref="CR33">IF(CR$3&gt;'QBO Summary'!$B$2,0,SUM(INDIRECT(XLOOKUP(CR$3,'TTM Dates'!$B:$B,'TTM Dates'!$E:$E)&amp;ROW($BK33)&amp;":"&amp;XLOOKUP(CR$3,'TTM Dates'!$B:$B,'TTM Dates'!$C:$C)&amp;ROW($BK33))))</f>
        <v>0</v>
      </c>
      <c r="CS33" s="136">
        <f t="array" ref="CS33">IF(CS$3&gt;'QBO Summary'!$B$2,0,SUM(INDIRECT(XLOOKUP(CS$3,'TTM Dates'!$B:$B,'TTM Dates'!$E:$E)&amp;ROW($BK33)&amp;":"&amp;XLOOKUP(CS$3,'TTM Dates'!$B:$B,'TTM Dates'!$C:$C)&amp;ROW($BK33))))</f>
        <v>0</v>
      </c>
      <c r="CT33" s="136">
        <f t="array" ref="CT33">IF(CT$3&gt;'QBO Summary'!$B$2,0,SUM(INDIRECT(XLOOKUP(CT$3,'TTM Dates'!$B:$B,'TTM Dates'!$E:$E)&amp;ROW($BK33)&amp;":"&amp;XLOOKUP(CT$3,'TTM Dates'!$B:$B,'TTM Dates'!$C:$C)&amp;ROW($BK33))))</f>
        <v>0</v>
      </c>
      <c r="CU33" s="136">
        <f t="array" ref="CU33">IF(CU$3&gt;'QBO Summary'!$B$2,0,SUM(INDIRECT(XLOOKUP(CU$3,'TTM Dates'!$B:$B,'TTM Dates'!$E:$E)&amp;ROW($BK33)&amp;":"&amp;XLOOKUP(CU$3,'TTM Dates'!$B:$B,'TTM Dates'!$C:$C)&amp;ROW($BK33))))</f>
        <v>0</v>
      </c>
      <c r="CV33" s="136">
        <f t="array" ref="CV33">IF(CV$3&gt;'QBO Summary'!$B$2,0,SUM(INDIRECT(XLOOKUP(CV$3,'TTM Dates'!$B:$B,'TTM Dates'!$E:$E)&amp;ROW($BK33)&amp;":"&amp;XLOOKUP(CV$3,'TTM Dates'!$B:$B,'TTM Dates'!$C:$C)&amp;ROW($BK33))))</f>
        <v>0</v>
      </c>
      <c r="CW33" s="136">
        <f t="array" ref="CW33">IF(CW$3&gt;'QBO Summary'!$B$2,0,SUM(INDIRECT(XLOOKUP(CW$3,'TTM Dates'!$B:$B,'TTM Dates'!$E:$E)&amp;ROW($BK33)&amp;":"&amp;XLOOKUP(CW$3,'TTM Dates'!$B:$B,'TTM Dates'!$C:$C)&amp;ROW($BK33))))</f>
        <v>0</v>
      </c>
      <c r="CX33" s="136">
        <f t="array" ref="CX33">IF(CX$3&gt;'QBO Summary'!$B$2,0,SUM(INDIRECT(XLOOKUP(CX$3,'TTM Dates'!$B:$B,'TTM Dates'!$E:$E)&amp;ROW($BK33)&amp;":"&amp;XLOOKUP(CX$3,'TTM Dates'!$B:$B,'TTM Dates'!$C:$C)&amp;ROW($BK33))))</f>
        <v>0</v>
      </c>
      <c r="CY33" s="136">
        <f t="array" ref="CY33">IF(CY$3&gt;'QBO Summary'!$B$2,0,SUM(INDIRECT(XLOOKUP(CY$3,'TTM Dates'!$B:$B,'TTM Dates'!$E:$E)&amp;ROW($BK33)&amp;":"&amp;XLOOKUP(CY$3,'TTM Dates'!$B:$B,'TTM Dates'!$C:$C)&amp;ROW($BK33))))</f>
        <v>0</v>
      </c>
      <c r="CZ33" s="136">
        <f t="array" ref="CZ33">IF(CZ$3&gt;'QBO Summary'!$B$2,0,SUM(INDIRECT(XLOOKUP(CZ$3,'TTM Dates'!$B:$B,'TTM Dates'!$E:$E)&amp;ROW($BK33)&amp;":"&amp;XLOOKUP(CZ$3,'TTM Dates'!$B:$B,'TTM Dates'!$C:$C)&amp;ROW($BK33))))</f>
        <v>0</v>
      </c>
      <c r="DA33" s="136">
        <f t="array" ref="DA33">IF(DA$3&gt;'QBO Summary'!$B$2,0,SUM(INDIRECT(XLOOKUP(DA$3,'TTM Dates'!$B:$B,'TTM Dates'!$E:$E)&amp;ROW($BK33)&amp;":"&amp;XLOOKUP(DA$3,'TTM Dates'!$B:$B,'TTM Dates'!$C:$C)&amp;ROW($BK33))))</f>
        <v>0</v>
      </c>
      <c r="DB33" s="136">
        <f t="array" ref="DB33">IF(DB$3&gt;'QBO Summary'!$B$2,0,SUM(INDIRECT(XLOOKUP(DB$3,'TTM Dates'!$B:$B,'TTM Dates'!$E:$E)&amp;ROW($BK33)&amp;":"&amp;XLOOKUP(DB$3,'TTM Dates'!$B:$B,'TTM Dates'!$C:$C)&amp;ROW($BK33))))</f>
        <v>0</v>
      </c>
      <c r="DC33" s="136">
        <f t="array" ref="DC33">IF(DC$3&gt;'QBO Summary'!$B$2,0,SUM(INDIRECT(XLOOKUP(DC$3,'TTM Dates'!$B:$B,'TTM Dates'!$E:$E)&amp;ROW($BK33)&amp;":"&amp;XLOOKUP(DC$3,'TTM Dates'!$B:$B,'TTM Dates'!$C:$C)&amp;ROW($BK33))))</f>
        <v>0</v>
      </c>
      <c r="DD33" s="136">
        <f t="array" ref="DD33">IF(DD$3&gt;'QBO Summary'!$B$2,0,SUM(INDIRECT(XLOOKUP(DD$3,'TTM Dates'!$B:$B,'TTM Dates'!$E:$E)&amp;ROW($BK33)&amp;":"&amp;XLOOKUP(DD$3,'TTM Dates'!$B:$B,'TTM Dates'!$C:$C)&amp;ROW($BK33))))</f>
        <v>0</v>
      </c>
      <c r="DE33" s="136">
        <f t="array" ref="DE33">IF(DE$3&gt;'QBO Summary'!$B$2,0,SUM(INDIRECT(XLOOKUP(DE$3,'TTM Dates'!$B:$B,'TTM Dates'!$E:$E)&amp;ROW($BK33)&amp;":"&amp;XLOOKUP(DE$3,'TTM Dates'!$B:$B,'TTM Dates'!$C:$C)&amp;ROW($BK33))))</f>
        <v>0</v>
      </c>
      <c r="DF33" s="136">
        <f t="array" ref="DF33">IF(DF$3&gt;'QBO Summary'!$B$2,0,SUM(INDIRECT(XLOOKUP(DF$3,'TTM Dates'!$B:$B,'TTM Dates'!$E:$E)&amp;ROW($BK33)&amp;":"&amp;XLOOKUP(DF$3,'TTM Dates'!$B:$B,'TTM Dates'!$C:$C)&amp;ROW($BK33))))</f>
        <v>0</v>
      </c>
      <c r="DG33" s="136">
        <f t="array" ref="DG33">IF(DG$3&gt;'QBO Summary'!$B$2,0,SUM(INDIRECT(XLOOKUP(DG$3,'TTM Dates'!$B:$B,'TTM Dates'!$E:$E)&amp;ROW($BK33)&amp;":"&amp;XLOOKUP(DG$3,'TTM Dates'!$B:$B,'TTM Dates'!$C:$C)&amp;ROW($BK33))))</f>
        <v>0</v>
      </c>
      <c r="DH33" s="136">
        <f t="array" ref="DH33">IF(DH$3&gt;'QBO Summary'!$B$2,0,SUM(INDIRECT(XLOOKUP(DH$3,'TTM Dates'!$B:$B,'TTM Dates'!$E:$E)&amp;ROW($BK33)&amp;":"&amp;XLOOKUP(DH$3,'TTM Dates'!$B:$B,'TTM Dates'!$C:$C)&amp;ROW($BK33))))</f>
        <v>0</v>
      </c>
      <c r="DI33" s="136">
        <f t="array" ref="DI33">IF(DI$3&gt;'QBO Summary'!$B$2,0,SUM(INDIRECT(XLOOKUP(DI$3,'TTM Dates'!$B:$B,'TTM Dates'!$E:$E)&amp;ROW($BK33)&amp;":"&amp;XLOOKUP(DI$3,'TTM Dates'!$B:$B,'TTM Dates'!$C:$C)&amp;ROW($BK33))))</f>
        <v>0</v>
      </c>
      <c r="DJ33" s="136">
        <f t="array" ref="DJ33">IF(DJ$3&gt;'QBO Summary'!$B$2,0,SUM(INDIRECT(XLOOKUP(DJ$3,'TTM Dates'!$B:$B,'TTM Dates'!$E:$E)&amp;ROW($BK33)&amp;":"&amp;XLOOKUP(DJ$3,'TTM Dates'!$B:$B,'TTM Dates'!$C:$C)&amp;ROW($BK33))))</f>
        <v>0</v>
      </c>
      <c r="DK33" s="136">
        <f t="array" ref="DK33">IF(DK$3&gt;'QBO Summary'!$B$2,0,SUM(INDIRECT(XLOOKUP(DK$3,'TTM Dates'!$B:$B,'TTM Dates'!$E:$E)&amp;ROW($BK33)&amp;":"&amp;XLOOKUP(DK$3,'TTM Dates'!$B:$B,'TTM Dates'!$C:$C)&amp;ROW($BK33))))</f>
        <v>0</v>
      </c>
      <c r="DL33" s="136">
        <f t="array" ref="DL33">IF(DL$3&gt;'QBO Summary'!$B$2,0,SUM(INDIRECT(XLOOKUP(DL$3,'TTM Dates'!$B:$B,'TTM Dates'!$E:$E)&amp;ROW($BK33)&amp;":"&amp;XLOOKUP(DL$3,'TTM Dates'!$B:$B,'TTM Dates'!$C:$C)&amp;ROW($BK33))))</f>
        <v>0</v>
      </c>
      <c r="DM33" s="136">
        <f t="array" ref="DM33">IF(DM$3&gt;'QBO Summary'!$B$2,0,SUM(INDIRECT(XLOOKUP(DM$3,'TTM Dates'!$B:$B,'TTM Dates'!$E:$E)&amp;ROW($BK33)&amp;":"&amp;XLOOKUP(DM$3,'TTM Dates'!$B:$B,'TTM Dates'!$C:$C)&amp;ROW($BK33))))</f>
        <v>2827.74</v>
      </c>
      <c r="DN33" s="136">
        <f t="array" ref="DN33">IF(DN$3&gt;'QBO Summary'!$B$2,0,SUM(INDIRECT(XLOOKUP(DN$3,'TTM Dates'!$B:$B,'TTM Dates'!$E:$E)&amp;ROW($BK33)&amp;":"&amp;XLOOKUP(DN$3,'TTM Dates'!$B:$B,'TTM Dates'!$C:$C)&amp;ROW($BK33))))</f>
        <v>11302.34</v>
      </c>
      <c r="DO33" s="136">
        <f t="array" ref="DO33">IF(DO$3&gt;'QBO Summary'!$B$2,0,SUM(INDIRECT(XLOOKUP(DO$3,'TTM Dates'!$B:$B,'TTM Dates'!$E:$E)&amp;ROW($BK33)&amp;":"&amp;XLOOKUP(DO$3,'TTM Dates'!$B:$B,'TTM Dates'!$C:$C)&amp;ROW($BK33))))</f>
        <v>17627.84</v>
      </c>
      <c r="DP33" s="136">
        <f t="array" ref="DP33">IF(DP$3&gt;'QBO Summary'!$B$2,0,SUM(INDIRECT(XLOOKUP(DP$3,'TTM Dates'!$B:$B,'TTM Dates'!$E:$E)&amp;ROW($BK33)&amp;":"&amp;XLOOKUP(DP$3,'TTM Dates'!$B:$B,'TTM Dates'!$C:$C)&amp;ROW($BK33))))</f>
        <v>19845.26</v>
      </c>
      <c r="DQ33" s="136">
        <f t="array" ref="DQ33">IF(DQ$3&gt;'QBO Summary'!$B$2,0,SUM(INDIRECT(XLOOKUP(DQ$3,'TTM Dates'!$B:$B,'TTM Dates'!$E:$E)&amp;ROW($BK33)&amp;":"&amp;XLOOKUP(DQ$3,'TTM Dates'!$B:$B,'TTM Dates'!$C:$C)&amp;ROW($BK33))))</f>
        <v>31082.6</v>
      </c>
      <c r="DR33" s="136">
        <f t="array" ref="DR33">IF(DR$3&gt;'QBO Summary'!$B$2,0,SUM(INDIRECT(XLOOKUP(DR$3,'TTM Dates'!$B:$B,'TTM Dates'!$E:$E)&amp;ROW($BK33)&amp;":"&amp;XLOOKUP(DR$3,'TTM Dates'!$B:$B,'TTM Dates'!$C:$C)&amp;ROW($BK33))))</f>
        <v>32850.05</v>
      </c>
      <c r="DS33" s="136">
        <f t="array" ref="DS33">IF(DS$3&gt;'QBO Summary'!$B$2,0,SUM(INDIRECT(XLOOKUP(DS$3,'TTM Dates'!$B:$B,'TTM Dates'!$E:$E)&amp;ROW($BK33)&amp;":"&amp;XLOOKUP(DS$3,'TTM Dates'!$B:$B,'TTM Dates'!$C:$C)&amp;ROW($BK33))))</f>
        <v>34816.32</v>
      </c>
      <c r="DT33" s="136">
        <f t="array" ref="DT33">IF(DT$3&gt;'QBO Summary'!$B$2,0,SUM(INDIRECT(XLOOKUP(DT$3,'TTM Dates'!$B:$B,'TTM Dates'!$E:$E)&amp;ROW($BK33)&amp;":"&amp;XLOOKUP(DT$3,'TTM Dates'!$B:$B,'TTM Dates'!$C:$C)&amp;ROW($BK33))))</f>
        <v>36400.98</v>
      </c>
      <c r="DU33" s="136">
        <f t="array" ref="DU33">IF(DU$3&gt;'QBO Summary'!$B$2,0,SUM(INDIRECT(XLOOKUP(DU$3,'TTM Dates'!$B:$B,'TTM Dates'!$E:$E)&amp;ROW($BK33)&amp;":"&amp;XLOOKUP(DU$3,'TTM Dates'!$B:$B,'TTM Dates'!$C:$C)&amp;ROW($BK33))))</f>
        <v>39149.85</v>
      </c>
      <c r="DV33" s="136">
        <f t="array" ref="DV33">IF(DV$3&gt;'QBO Summary'!$B$2,0,SUM(INDIRECT(XLOOKUP(DV$3,'TTM Dates'!$B:$B,'TTM Dates'!$E:$E)&amp;ROW($BK33)&amp;":"&amp;XLOOKUP(DV$3,'TTM Dates'!$B:$B,'TTM Dates'!$C:$C)&amp;ROW($BK33))))</f>
        <v>42458.63</v>
      </c>
      <c r="DW33" s="136">
        <f t="array" ref="DW33">IF(DW$3&gt;'QBO Summary'!$B$2,0,SUM(INDIRECT(XLOOKUP(DW$3,'TTM Dates'!$B:$B,'TTM Dates'!$E:$E)&amp;ROW($BK33)&amp;":"&amp;XLOOKUP(DW$3,'TTM Dates'!$B:$B,'TTM Dates'!$C:$C)&amp;ROW($BK33))))</f>
        <v>54344.38</v>
      </c>
      <c r="DX33" s="136">
        <f t="array" ref="DX33">IF(DX$3&gt;'QBO Summary'!$B$2,0,SUM(INDIRECT(XLOOKUP(DX$3,'TTM Dates'!$B:$B,'TTM Dates'!$E:$E)&amp;ROW($BK33)&amp;":"&amp;XLOOKUP(DX$3,'TTM Dates'!$B:$B,'TTM Dates'!$C:$C)&amp;ROW($BK33))))</f>
        <v>62849.77</v>
      </c>
      <c r="DY33" s="136">
        <f t="array" ref="DY33">IF(DY$3&gt;'QBO Summary'!$B$2,0,SUM(INDIRECT(XLOOKUP(DY$3,'TTM Dates'!$B:$B,'TTM Dates'!$E:$E)&amp;ROW($BK33)&amp;":"&amp;XLOOKUP(DY$3,'TTM Dates'!$B:$B,'TTM Dates'!$C:$C)&amp;ROW($BK33))))</f>
        <v>69073.01</v>
      </c>
      <c r="DZ33" s="136">
        <f t="array" ref="DZ33">IF(DZ$3&gt;'QBO Summary'!$B$2,0,SUM(INDIRECT(XLOOKUP(DZ$3,'TTM Dates'!$B:$B,'TTM Dates'!$E:$E)&amp;ROW($BK33)&amp;":"&amp;XLOOKUP(DZ$3,'TTM Dates'!$B:$B,'TTM Dates'!$C:$C)&amp;ROW($BK33))))</f>
        <v>60598.41</v>
      </c>
      <c r="EA33" s="136">
        <f t="array" ref="EA33">IF(EA$3&gt;'QBO Summary'!$B$2,0,SUM(INDIRECT(XLOOKUP(EA$3,'TTM Dates'!$B:$B,'TTM Dates'!$E:$E)&amp;ROW($BK33)&amp;":"&amp;XLOOKUP(EA$3,'TTM Dates'!$B:$B,'TTM Dates'!$C:$C)&amp;ROW($BK33))))</f>
        <v>54272.91</v>
      </c>
      <c r="EB33" s="136">
        <f t="array" ref="EB33">IF(EB$3&gt;'QBO Summary'!$B$2,0,SUM(INDIRECT(XLOOKUP(EB$3,'TTM Dates'!$B:$B,'TTM Dates'!$E:$E)&amp;ROW($BK33)&amp;":"&amp;XLOOKUP(EB$3,'TTM Dates'!$B:$B,'TTM Dates'!$C:$C)&amp;ROW($BK33))))</f>
        <v>52055.49</v>
      </c>
      <c r="EC33" s="136">
        <f t="array" ref="EC33">IF(EC$3&gt;'QBO Summary'!$B$2,0,SUM(INDIRECT(XLOOKUP(EC$3,'TTM Dates'!$B:$B,'TTM Dates'!$E:$E)&amp;ROW($BK33)&amp;":"&amp;XLOOKUP(EC$3,'TTM Dates'!$B:$B,'TTM Dates'!$C:$C)&amp;ROW($BK33))))</f>
        <v>40818.15</v>
      </c>
    </row>
    <row r="34" outlineLevel="1">
      <c r="B34" s="135" t="s">
        <v>508</v>
      </c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7">
        <v>0.0</v>
      </c>
      <c r="AN34" s="136"/>
      <c r="AO34" s="136"/>
      <c r="AP34" s="136"/>
      <c r="AQ34" s="136"/>
      <c r="AR34" s="136"/>
      <c r="AS34" s="136"/>
      <c r="AT34" s="137">
        <v>4935.02</v>
      </c>
      <c r="AU34" s="137">
        <v>5884.29</v>
      </c>
      <c r="AV34" s="137">
        <v>7218.37</v>
      </c>
      <c r="AW34" s="137">
        <v>2557.14</v>
      </c>
      <c r="AX34" s="337">
        <v>9113.89</v>
      </c>
      <c r="AY34" s="337">
        <v>1728.67</v>
      </c>
      <c r="AZ34" s="337">
        <v>8130.87</v>
      </c>
      <c r="BA34" s="337">
        <v>30175.67</v>
      </c>
      <c r="BB34" s="337">
        <v>-6943.03</v>
      </c>
      <c r="BC34" s="337">
        <v>13715.27</v>
      </c>
      <c r="BD34" s="337">
        <v>10054.8</v>
      </c>
      <c r="BE34" s="337">
        <v>7969.14</v>
      </c>
      <c r="BF34" s="337">
        <v>9296.3</v>
      </c>
      <c r="BG34" s="337"/>
      <c r="BH34" s="337"/>
      <c r="BI34" s="337"/>
      <c r="BJ34" s="337"/>
      <c r="BK34" s="33"/>
      <c r="BL34" s="288">
        <f t="array" ref="BL34">SUM(INDIRECT(XLOOKUP('QBO Summary'!$B$2,'TTM Dates'!$B:$B,'TTM Dates'!$E:$E)&amp;ROW($BK34)&amp;":"&amp;XLOOKUP('QBO Summary'!$B$2,'TTM Dates'!$B:$B,'TTM Dates'!$C:$C)&amp;ROW($BK34)))</f>
        <v>133545.11</v>
      </c>
      <c r="BM34" s="351"/>
      <c r="BN34" s="136">
        <f t="shared" si="55"/>
        <v>40035.21</v>
      </c>
      <c r="BO34" s="136">
        <f t="shared" si="56"/>
        <v>16827.04</v>
      </c>
      <c r="BP34" s="136">
        <f t="shared" si="57"/>
        <v>17265.44</v>
      </c>
      <c r="BQ34" s="136">
        <f t="shared" si="58"/>
        <v>0</v>
      </c>
      <c r="BR34" s="292">
        <f t="shared" si="59"/>
        <v>74127.69</v>
      </c>
      <c r="BS34" s="136"/>
      <c r="BT34" s="136">
        <f t="shared" si="60"/>
        <v>0</v>
      </c>
      <c r="BU34" s="136">
        <f t="shared" si="61"/>
        <v>0</v>
      </c>
      <c r="BV34" s="136">
        <f t="shared" si="62"/>
        <v>10819.31</v>
      </c>
      <c r="BW34" s="136">
        <f t="shared" si="63"/>
        <v>18889.4</v>
      </c>
      <c r="BX34" s="292">
        <f t="shared" si="64"/>
        <v>29708.71</v>
      </c>
      <c r="BY34" s="136"/>
      <c r="BZ34" s="136"/>
      <c r="CA34" s="136"/>
      <c r="CB34" s="136"/>
      <c r="CC34" s="136"/>
      <c r="CD34" s="292"/>
      <c r="CE34" s="136"/>
      <c r="CF34" s="292"/>
      <c r="CG34" s="136"/>
      <c r="CH34" s="136">
        <f t="array" ref="CH34">IF(CH$3&gt;'QBO Summary'!$B$2,0,SUM(INDIRECT(XLOOKUP(CH$3,'TTM Dates'!$B:$B,'TTM Dates'!$E:$E)&amp;ROW($BK34)&amp;":"&amp;XLOOKUP(CH$3,'TTM Dates'!$B:$B,'TTM Dates'!$C:$C)&amp;ROW($BK34))))</f>
        <v>0</v>
      </c>
      <c r="CI34" s="136">
        <f t="array" ref="CI34">IF(CI$3&gt;'QBO Summary'!$B$2,0,SUM(INDIRECT(XLOOKUP(CI$3,'TTM Dates'!$B:$B,'TTM Dates'!$E:$E)&amp;ROW($BK34)&amp;":"&amp;XLOOKUP(CI$3,'TTM Dates'!$B:$B,'TTM Dates'!$C:$C)&amp;ROW($BK34))))</f>
        <v>0</v>
      </c>
      <c r="CJ34" s="136">
        <f t="array" ref="CJ34">IF(CJ$3&gt;'QBO Summary'!$B$2,0,SUM(INDIRECT(XLOOKUP(CJ$3,'TTM Dates'!$B:$B,'TTM Dates'!$E:$E)&amp;ROW($BK34)&amp;":"&amp;XLOOKUP(CJ$3,'TTM Dates'!$B:$B,'TTM Dates'!$C:$C)&amp;ROW($BK34))))</f>
        <v>0</v>
      </c>
      <c r="CK34" s="136">
        <f t="array" ref="CK34">IF(CK$3&gt;'QBO Summary'!$B$2,0,SUM(INDIRECT(XLOOKUP(CK$3,'TTM Dates'!$B:$B,'TTM Dates'!$E:$E)&amp;ROW($BK34)&amp;":"&amp;XLOOKUP(CK$3,'TTM Dates'!$B:$B,'TTM Dates'!$C:$C)&amp;ROW($BK34))))</f>
        <v>0</v>
      </c>
      <c r="CL34" s="136">
        <f t="array" ref="CL34">IF(CL$3&gt;'QBO Summary'!$B$2,0,SUM(INDIRECT(XLOOKUP(CL$3,'TTM Dates'!$B:$B,'TTM Dates'!$E:$E)&amp;ROW($BK34)&amp;":"&amp;XLOOKUP(CL$3,'TTM Dates'!$B:$B,'TTM Dates'!$C:$C)&amp;ROW($BK34))))</f>
        <v>0</v>
      </c>
      <c r="CM34" s="136">
        <f t="array" ref="CM34">IF(CM$3&gt;'QBO Summary'!$B$2,0,SUM(INDIRECT(XLOOKUP(CM$3,'TTM Dates'!$B:$B,'TTM Dates'!$E:$E)&amp;ROW($BK34)&amp;":"&amp;XLOOKUP(CM$3,'TTM Dates'!$B:$B,'TTM Dates'!$C:$C)&amp;ROW($BK34))))</f>
        <v>0</v>
      </c>
      <c r="CN34" s="136">
        <f t="array" ref="CN34">IF(CN$3&gt;'QBO Summary'!$B$2,0,SUM(INDIRECT(XLOOKUP(CN$3,'TTM Dates'!$B:$B,'TTM Dates'!$E:$E)&amp;ROW($BK34)&amp;":"&amp;XLOOKUP(CN$3,'TTM Dates'!$B:$B,'TTM Dates'!$C:$C)&amp;ROW($BK34))))</f>
        <v>0</v>
      </c>
      <c r="CO34" s="136">
        <f t="array" ref="CO34">IF(CO$3&gt;'QBO Summary'!$B$2,0,SUM(INDIRECT(XLOOKUP(CO$3,'TTM Dates'!$B:$B,'TTM Dates'!$E:$E)&amp;ROW($BK34)&amp;":"&amp;XLOOKUP(CO$3,'TTM Dates'!$B:$B,'TTM Dates'!$C:$C)&amp;ROW($BK34))))</f>
        <v>0</v>
      </c>
      <c r="CP34" s="136">
        <f t="array" ref="CP34">IF(CP$3&gt;'QBO Summary'!$B$2,0,SUM(INDIRECT(XLOOKUP(CP$3,'TTM Dates'!$B:$B,'TTM Dates'!$E:$E)&amp;ROW($BK34)&amp;":"&amp;XLOOKUP(CP$3,'TTM Dates'!$B:$B,'TTM Dates'!$C:$C)&amp;ROW($BK34))))</f>
        <v>0</v>
      </c>
      <c r="CQ34" s="136">
        <f t="array" ref="CQ34">IF(CQ$3&gt;'QBO Summary'!$B$2,0,SUM(INDIRECT(XLOOKUP(CQ$3,'TTM Dates'!$B:$B,'TTM Dates'!$E:$E)&amp;ROW($BK34)&amp;":"&amp;XLOOKUP(CQ$3,'TTM Dates'!$B:$B,'TTM Dates'!$C:$C)&amp;ROW($BK34))))</f>
        <v>0</v>
      </c>
      <c r="CR34" s="136">
        <f t="array" ref="CR34">IF(CR$3&gt;'QBO Summary'!$B$2,0,SUM(INDIRECT(XLOOKUP(CR$3,'TTM Dates'!$B:$B,'TTM Dates'!$E:$E)&amp;ROW($BK34)&amp;":"&amp;XLOOKUP(CR$3,'TTM Dates'!$B:$B,'TTM Dates'!$C:$C)&amp;ROW($BK34))))</f>
        <v>0</v>
      </c>
      <c r="CS34" s="136">
        <f t="array" ref="CS34">IF(CS$3&gt;'QBO Summary'!$B$2,0,SUM(INDIRECT(XLOOKUP(CS$3,'TTM Dates'!$B:$B,'TTM Dates'!$E:$E)&amp;ROW($BK34)&amp;":"&amp;XLOOKUP(CS$3,'TTM Dates'!$B:$B,'TTM Dates'!$C:$C)&amp;ROW($BK34))))</f>
        <v>0</v>
      </c>
      <c r="CT34" s="136">
        <f t="array" ref="CT34">IF(CT$3&gt;'QBO Summary'!$B$2,0,SUM(INDIRECT(XLOOKUP(CT$3,'TTM Dates'!$B:$B,'TTM Dates'!$E:$E)&amp;ROW($BK34)&amp;":"&amp;XLOOKUP(CT$3,'TTM Dates'!$B:$B,'TTM Dates'!$C:$C)&amp;ROW($BK34))))</f>
        <v>0</v>
      </c>
      <c r="CU34" s="136">
        <f t="array" ref="CU34">IF(CU$3&gt;'QBO Summary'!$B$2,0,SUM(INDIRECT(XLOOKUP(CU$3,'TTM Dates'!$B:$B,'TTM Dates'!$E:$E)&amp;ROW($BK34)&amp;":"&amp;XLOOKUP(CU$3,'TTM Dates'!$B:$B,'TTM Dates'!$C:$C)&amp;ROW($BK34))))</f>
        <v>0</v>
      </c>
      <c r="CV34" s="136">
        <f t="array" ref="CV34">IF(CV$3&gt;'QBO Summary'!$B$2,0,SUM(INDIRECT(XLOOKUP(CV$3,'TTM Dates'!$B:$B,'TTM Dates'!$E:$E)&amp;ROW($BK34)&amp;":"&amp;XLOOKUP(CV$3,'TTM Dates'!$B:$B,'TTM Dates'!$C:$C)&amp;ROW($BK34))))</f>
        <v>0</v>
      </c>
      <c r="CW34" s="136">
        <f t="array" ref="CW34">IF(CW$3&gt;'QBO Summary'!$B$2,0,SUM(INDIRECT(XLOOKUP(CW$3,'TTM Dates'!$B:$B,'TTM Dates'!$E:$E)&amp;ROW($BK34)&amp;":"&amp;XLOOKUP(CW$3,'TTM Dates'!$B:$B,'TTM Dates'!$C:$C)&amp;ROW($BK34))))</f>
        <v>0</v>
      </c>
      <c r="CX34" s="136">
        <f t="array" ref="CX34">IF(CX$3&gt;'QBO Summary'!$B$2,0,SUM(INDIRECT(XLOOKUP(CX$3,'TTM Dates'!$B:$B,'TTM Dates'!$E:$E)&amp;ROW($BK34)&amp;":"&amp;XLOOKUP(CX$3,'TTM Dates'!$B:$B,'TTM Dates'!$C:$C)&amp;ROW($BK34))))</f>
        <v>0</v>
      </c>
      <c r="CY34" s="136">
        <f t="array" ref="CY34">IF(CY$3&gt;'QBO Summary'!$B$2,0,SUM(INDIRECT(XLOOKUP(CY$3,'TTM Dates'!$B:$B,'TTM Dates'!$E:$E)&amp;ROW($BK34)&amp;":"&amp;XLOOKUP(CY$3,'TTM Dates'!$B:$B,'TTM Dates'!$C:$C)&amp;ROW($BK34))))</f>
        <v>0</v>
      </c>
      <c r="CZ34" s="136">
        <f t="array" ref="CZ34">IF(CZ$3&gt;'QBO Summary'!$B$2,0,SUM(INDIRECT(XLOOKUP(CZ$3,'TTM Dates'!$B:$B,'TTM Dates'!$E:$E)&amp;ROW($BK34)&amp;":"&amp;XLOOKUP(CZ$3,'TTM Dates'!$B:$B,'TTM Dates'!$C:$C)&amp;ROW($BK34))))</f>
        <v>0</v>
      </c>
      <c r="DA34" s="136">
        <f t="array" ref="DA34">IF(DA$3&gt;'QBO Summary'!$B$2,0,SUM(INDIRECT(XLOOKUP(DA$3,'TTM Dates'!$B:$B,'TTM Dates'!$E:$E)&amp;ROW($BK34)&amp;":"&amp;XLOOKUP(DA$3,'TTM Dates'!$B:$B,'TTM Dates'!$C:$C)&amp;ROW($BK34))))</f>
        <v>0</v>
      </c>
      <c r="DB34" s="136">
        <f t="array" ref="DB34">IF(DB$3&gt;'QBO Summary'!$B$2,0,SUM(INDIRECT(XLOOKUP(DB$3,'TTM Dates'!$B:$B,'TTM Dates'!$E:$E)&amp;ROW($BK34)&amp;":"&amp;XLOOKUP(DB$3,'TTM Dates'!$B:$B,'TTM Dates'!$C:$C)&amp;ROW($BK34))))</f>
        <v>0</v>
      </c>
      <c r="DC34" s="136">
        <f t="array" ref="DC34">IF(DC$3&gt;'QBO Summary'!$B$2,0,SUM(INDIRECT(XLOOKUP(DC$3,'TTM Dates'!$B:$B,'TTM Dates'!$E:$E)&amp;ROW($BK34)&amp;":"&amp;XLOOKUP(DC$3,'TTM Dates'!$B:$B,'TTM Dates'!$C:$C)&amp;ROW($BK34))))</f>
        <v>0</v>
      </c>
      <c r="DD34" s="136">
        <f t="array" ref="DD34">IF(DD$3&gt;'QBO Summary'!$B$2,0,SUM(INDIRECT(XLOOKUP(DD$3,'TTM Dates'!$B:$B,'TTM Dates'!$E:$E)&amp;ROW($BK34)&amp;":"&amp;XLOOKUP(DD$3,'TTM Dates'!$B:$B,'TTM Dates'!$C:$C)&amp;ROW($BK34))))</f>
        <v>0</v>
      </c>
      <c r="DE34" s="136">
        <f t="array" ref="DE34">IF(DE$3&gt;'QBO Summary'!$B$2,0,SUM(INDIRECT(XLOOKUP(DE$3,'TTM Dates'!$B:$B,'TTM Dates'!$E:$E)&amp;ROW($BK34)&amp;":"&amp;XLOOKUP(DE$3,'TTM Dates'!$B:$B,'TTM Dates'!$C:$C)&amp;ROW($BK34))))</f>
        <v>0</v>
      </c>
      <c r="DF34" s="136">
        <f t="array" ref="DF34">IF(DF$3&gt;'QBO Summary'!$B$2,0,SUM(INDIRECT(XLOOKUP(DF$3,'TTM Dates'!$B:$B,'TTM Dates'!$E:$E)&amp;ROW($BK34)&amp;":"&amp;XLOOKUP(DF$3,'TTM Dates'!$B:$B,'TTM Dates'!$C:$C)&amp;ROW($BK34))))</f>
        <v>0</v>
      </c>
      <c r="DG34" s="136">
        <f t="array" ref="DG34">IF(DG$3&gt;'QBO Summary'!$B$2,0,SUM(INDIRECT(XLOOKUP(DG$3,'TTM Dates'!$B:$B,'TTM Dates'!$E:$E)&amp;ROW($BK34)&amp;":"&amp;XLOOKUP(DG$3,'TTM Dates'!$B:$B,'TTM Dates'!$C:$C)&amp;ROW($BK34))))</f>
        <v>0</v>
      </c>
      <c r="DH34" s="136">
        <f t="array" ref="DH34">IF(DH$3&gt;'QBO Summary'!$B$2,0,SUM(INDIRECT(XLOOKUP(DH$3,'TTM Dates'!$B:$B,'TTM Dates'!$E:$E)&amp;ROW($BK34)&amp;":"&amp;XLOOKUP(DH$3,'TTM Dates'!$B:$B,'TTM Dates'!$C:$C)&amp;ROW($BK34))))</f>
        <v>0</v>
      </c>
      <c r="DI34" s="136">
        <f t="array" ref="DI34">IF(DI$3&gt;'QBO Summary'!$B$2,0,SUM(INDIRECT(XLOOKUP(DI$3,'TTM Dates'!$B:$B,'TTM Dates'!$E:$E)&amp;ROW($BK34)&amp;":"&amp;XLOOKUP(DI$3,'TTM Dates'!$B:$B,'TTM Dates'!$C:$C)&amp;ROW($BK34))))</f>
        <v>0</v>
      </c>
      <c r="DJ34" s="136">
        <f t="array" ref="DJ34">IF(DJ$3&gt;'QBO Summary'!$B$2,0,SUM(INDIRECT(XLOOKUP(DJ$3,'TTM Dates'!$B:$B,'TTM Dates'!$E:$E)&amp;ROW($BK34)&amp;":"&amp;XLOOKUP(DJ$3,'TTM Dates'!$B:$B,'TTM Dates'!$C:$C)&amp;ROW($BK34))))</f>
        <v>0</v>
      </c>
      <c r="DK34" s="136">
        <f t="array" ref="DK34">IF(DK$3&gt;'QBO Summary'!$B$2,0,SUM(INDIRECT(XLOOKUP(DK$3,'TTM Dates'!$B:$B,'TTM Dates'!$E:$E)&amp;ROW($BK34)&amp;":"&amp;XLOOKUP(DK$3,'TTM Dates'!$B:$B,'TTM Dates'!$C:$C)&amp;ROW($BK34))))</f>
        <v>0</v>
      </c>
      <c r="DL34" s="136">
        <f t="array" ref="DL34">IF(DL$3&gt;'QBO Summary'!$B$2,0,SUM(INDIRECT(XLOOKUP(DL$3,'TTM Dates'!$B:$B,'TTM Dates'!$E:$E)&amp;ROW($BK34)&amp;":"&amp;XLOOKUP(DL$3,'TTM Dates'!$B:$B,'TTM Dates'!$C:$C)&amp;ROW($BK34))))</f>
        <v>0</v>
      </c>
      <c r="DM34" s="136">
        <f t="array" ref="DM34">IF(DM$3&gt;'QBO Summary'!$B$2,0,SUM(INDIRECT(XLOOKUP(DM$3,'TTM Dates'!$B:$B,'TTM Dates'!$E:$E)&amp;ROW($BK34)&amp;":"&amp;XLOOKUP(DM$3,'TTM Dates'!$B:$B,'TTM Dates'!$C:$C)&amp;ROW($BK34))))</f>
        <v>4935.02</v>
      </c>
      <c r="DN34" s="136">
        <f t="array" ref="DN34">IF(DN$3&gt;'QBO Summary'!$B$2,0,SUM(INDIRECT(XLOOKUP(DN$3,'TTM Dates'!$B:$B,'TTM Dates'!$E:$E)&amp;ROW($BK34)&amp;":"&amp;XLOOKUP(DN$3,'TTM Dates'!$B:$B,'TTM Dates'!$C:$C)&amp;ROW($BK34))))</f>
        <v>10819.31</v>
      </c>
      <c r="DO34" s="136">
        <f t="array" ref="DO34">IF(DO$3&gt;'QBO Summary'!$B$2,0,SUM(INDIRECT(XLOOKUP(DO$3,'TTM Dates'!$B:$B,'TTM Dates'!$E:$E)&amp;ROW($BK34)&amp;":"&amp;XLOOKUP(DO$3,'TTM Dates'!$B:$B,'TTM Dates'!$C:$C)&amp;ROW($BK34))))</f>
        <v>18037.68</v>
      </c>
      <c r="DP34" s="136">
        <f t="array" ref="DP34">IF(DP$3&gt;'QBO Summary'!$B$2,0,SUM(INDIRECT(XLOOKUP(DP$3,'TTM Dates'!$B:$B,'TTM Dates'!$E:$E)&amp;ROW($BK34)&amp;":"&amp;XLOOKUP(DP$3,'TTM Dates'!$B:$B,'TTM Dates'!$C:$C)&amp;ROW($BK34))))</f>
        <v>20594.82</v>
      </c>
      <c r="DQ34" s="136">
        <f t="array" ref="DQ34">IF(DQ$3&gt;'QBO Summary'!$B$2,0,SUM(INDIRECT(XLOOKUP(DQ$3,'TTM Dates'!$B:$B,'TTM Dates'!$E:$E)&amp;ROW($BK34)&amp;":"&amp;XLOOKUP(DQ$3,'TTM Dates'!$B:$B,'TTM Dates'!$C:$C)&amp;ROW($BK34))))</f>
        <v>29708.71</v>
      </c>
      <c r="DR34" s="136">
        <f t="array" ref="DR34">IF(DR$3&gt;'QBO Summary'!$B$2,0,SUM(INDIRECT(XLOOKUP(DR$3,'TTM Dates'!$B:$B,'TTM Dates'!$E:$E)&amp;ROW($BK34)&amp;":"&amp;XLOOKUP(DR$3,'TTM Dates'!$B:$B,'TTM Dates'!$C:$C)&amp;ROW($BK34))))</f>
        <v>31437.38</v>
      </c>
      <c r="DS34" s="136">
        <f t="array" ref="DS34">IF(DS$3&gt;'QBO Summary'!$B$2,0,SUM(INDIRECT(XLOOKUP(DS$3,'TTM Dates'!$B:$B,'TTM Dates'!$E:$E)&amp;ROW($BK34)&amp;":"&amp;XLOOKUP(DS$3,'TTM Dates'!$B:$B,'TTM Dates'!$C:$C)&amp;ROW($BK34))))</f>
        <v>39568.25</v>
      </c>
      <c r="DT34" s="136">
        <f t="array" ref="DT34">IF(DT$3&gt;'QBO Summary'!$B$2,0,SUM(INDIRECT(XLOOKUP(DT$3,'TTM Dates'!$B:$B,'TTM Dates'!$E:$E)&amp;ROW($BK34)&amp;":"&amp;XLOOKUP(DT$3,'TTM Dates'!$B:$B,'TTM Dates'!$C:$C)&amp;ROW($BK34))))</f>
        <v>69743.92</v>
      </c>
      <c r="DU34" s="136">
        <f t="array" ref="DU34">IF(DU$3&gt;'QBO Summary'!$B$2,0,SUM(INDIRECT(XLOOKUP(DU$3,'TTM Dates'!$B:$B,'TTM Dates'!$E:$E)&amp;ROW($BK34)&amp;":"&amp;XLOOKUP(DU$3,'TTM Dates'!$B:$B,'TTM Dates'!$C:$C)&amp;ROW($BK34))))</f>
        <v>62800.89</v>
      </c>
      <c r="DV34" s="136">
        <f t="array" ref="DV34">IF(DV$3&gt;'QBO Summary'!$B$2,0,SUM(INDIRECT(XLOOKUP(DV$3,'TTM Dates'!$B:$B,'TTM Dates'!$E:$E)&amp;ROW($BK34)&amp;":"&amp;XLOOKUP(DV$3,'TTM Dates'!$B:$B,'TTM Dates'!$C:$C)&amp;ROW($BK34))))</f>
        <v>76516.16</v>
      </c>
      <c r="DW34" s="136">
        <f t="array" ref="DW34">IF(DW$3&gt;'QBO Summary'!$B$2,0,SUM(INDIRECT(XLOOKUP(DW$3,'TTM Dates'!$B:$B,'TTM Dates'!$E:$E)&amp;ROW($BK34)&amp;":"&amp;XLOOKUP(DW$3,'TTM Dates'!$B:$B,'TTM Dates'!$C:$C)&amp;ROW($BK34))))</f>
        <v>86570.96</v>
      </c>
      <c r="DX34" s="136">
        <f t="array" ref="DX34">IF(DX$3&gt;'QBO Summary'!$B$2,0,SUM(INDIRECT(XLOOKUP(DX$3,'TTM Dates'!$B:$B,'TTM Dates'!$E:$E)&amp;ROW($BK34)&amp;":"&amp;XLOOKUP(DX$3,'TTM Dates'!$B:$B,'TTM Dates'!$C:$C)&amp;ROW($BK34))))</f>
        <v>94540.1</v>
      </c>
      <c r="DY34" s="136">
        <f t="array" ref="DY34">IF(DY$3&gt;'QBO Summary'!$B$2,0,SUM(INDIRECT(XLOOKUP(DY$3,'TTM Dates'!$B:$B,'TTM Dates'!$E:$E)&amp;ROW($BK34)&amp;":"&amp;XLOOKUP(DY$3,'TTM Dates'!$B:$B,'TTM Dates'!$C:$C)&amp;ROW($BK34))))</f>
        <v>98901.38</v>
      </c>
      <c r="DZ34" s="136">
        <f t="array" ref="DZ34">IF(DZ$3&gt;'QBO Summary'!$B$2,0,SUM(INDIRECT(XLOOKUP(DZ$3,'TTM Dates'!$B:$B,'TTM Dates'!$E:$E)&amp;ROW($BK34)&amp;":"&amp;XLOOKUP(DZ$3,'TTM Dates'!$B:$B,'TTM Dates'!$C:$C)&amp;ROW($BK34))))</f>
        <v>93017.09</v>
      </c>
      <c r="EA34" s="136">
        <f t="array" ref="EA34">IF(EA$3&gt;'QBO Summary'!$B$2,0,SUM(INDIRECT(XLOOKUP(EA$3,'TTM Dates'!$B:$B,'TTM Dates'!$E:$E)&amp;ROW($BK34)&amp;":"&amp;XLOOKUP(EA$3,'TTM Dates'!$B:$B,'TTM Dates'!$C:$C)&amp;ROW($BK34))))</f>
        <v>85798.72</v>
      </c>
      <c r="EB34" s="136">
        <f t="array" ref="EB34">IF(EB$3&gt;'QBO Summary'!$B$2,0,SUM(INDIRECT(XLOOKUP(EB$3,'TTM Dates'!$B:$B,'TTM Dates'!$E:$E)&amp;ROW($BK34)&amp;":"&amp;XLOOKUP(EB$3,'TTM Dates'!$B:$B,'TTM Dates'!$C:$C)&amp;ROW($BK34))))</f>
        <v>83241.58</v>
      </c>
      <c r="EC34" s="136">
        <f t="array" ref="EC34">IF(EC$3&gt;'QBO Summary'!$B$2,0,SUM(INDIRECT(XLOOKUP(EC$3,'TTM Dates'!$B:$B,'TTM Dates'!$E:$E)&amp;ROW($BK34)&amp;":"&amp;XLOOKUP(EC$3,'TTM Dates'!$B:$B,'TTM Dates'!$C:$C)&amp;ROW($BK34))))</f>
        <v>74127.69</v>
      </c>
    </row>
    <row r="35" outlineLevel="1">
      <c r="B35" s="135" t="s">
        <v>510</v>
      </c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7">
        <v>232730.19</v>
      </c>
      <c r="AN35" s="137">
        <v>284595.87</v>
      </c>
      <c r="AO35" s="137">
        <v>186283.06</v>
      </c>
      <c r="AP35" s="137">
        <v>333572.5</v>
      </c>
      <c r="AQ35" s="137">
        <v>138902.33</v>
      </c>
      <c r="AR35" s="137">
        <v>224798.53</v>
      </c>
      <c r="AS35" s="137">
        <v>144257.47</v>
      </c>
      <c r="AT35" s="137">
        <v>195798.75</v>
      </c>
      <c r="AU35" s="137">
        <v>182457.9</v>
      </c>
      <c r="AV35" s="137">
        <v>190661.41</v>
      </c>
      <c r="AW35" s="137">
        <v>177064.84</v>
      </c>
      <c r="AX35" s="337">
        <v>184429.08</v>
      </c>
      <c r="AY35" s="337">
        <v>259140.67</v>
      </c>
      <c r="AZ35" s="337">
        <v>194273.44</v>
      </c>
      <c r="BA35" s="337">
        <v>223609.91</v>
      </c>
      <c r="BB35" s="337">
        <v>228079.23</v>
      </c>
      <c r="BC35" s="337">
        <v>236638.43</v>
      </c>
      <c r="BD35" s="337">
        <v>288756.51</v>
      </c>
      <c r="BE35" s="337">
        <v>257995.3</v>
      </c>
      <c r="BF35" s="337">
        <v>255991.27</v>
      </c>
      <c r="BG35" s="337"/>
      <c r="BH35" s="337"/>
      <c r="BI35" s="337"/>
      <c r="BJ35" s="337"/>
      <c r="BK35" s="33"/>
      <c r="BL35" s="288">
        <f t="array" ref="BL35">SUM(INDIRECT(XLOOKUP('QBO Summary'!$B$2,'TTM Dates'!$B:$B,'TTM Dates'!$E:$E)&amp;ROW($BK35)&amp;":"&amp;XLOOKUP('QBO Summary'!$B$2,'TTM Dates'!$B:$B,'TTM Dates'!$C:$C)&amp;ROW($BK35)))</f>
        <v>6895588.62</v>
      </c>
      <c r="BM35" s="351"/>
      <c r="BN35" s="136">
        <f t="shared" si="55"/>
        <v>677024.02</v>
      </c>
      <c r="BO35" s="136">
        <f t="shared" si="56"/>
        <v>753474.17</v>
      </c>
      <c r="BP35" s="136">
        <f t="shared" si="57"/>
        <v>513986.57</v>
      </c>
      <c r="BQ35" s="136">
        <f t="shared" si="58"/>
        <v>0</v>
      </c>
      <c r="BR35" s="292">
        <f t="shared" si="59"/>
        <v>1944484.76</v>
      </c>
      <c r="BS35" s="136"/>
      <c r="BT35" s="136">
        <f t="shared" si="60"/>
        <v>703609.12</v>
      </c>
      <c r="BU35" s="136">
        <f t="shared" si="61"/>
        <v>697273.36</v>
      </c>
      <c r="BV35" s="136">
        <f t="shared" si="62"/>
        <v>522514.12</v>
      </c>
      <c r="BW35" s="136">
        <f t="shared" si="63"/>
        <v>552155.33</v>
      </c>
      <c r="BX35" s="292">
        <f t="shared" si="64"/>
        <v>2475551.93</v>
      </c>
      <c r="BY35" s="136"/>
      <c r="BZ35" s="136"/>
      <c r="CA35" s="136"/>
      <c r="CB35" s="136"/>
      <c r="CC35" s="136"/>
      <c r="CD35" s="292"/>
      <c r="CE35" s="136"/>
      <c r="CF35" s="292"/>
      <c r="CG35" s="136"/>
      <c r="CH35" s="136">
        <f t="array" ref="CH35">IF(CH$3&gt;'QBO Summary'!$B$2,0,SUM(INDIRECT(XLOOKUP(CH$3,'TTM Dates'!$B:$B,'TTM Dates'!$E:$E)&amp;ROW($BK35)&amp;":"&amp;XLOOKUP(CH$3,'TTM Dates'!$B:$B,'TTM Dates'!$C:$C)&amp;ROW($BK35))))</f>
        <v>0</v>
      </c>
      <c r="CI35" s="136">
        <f t="array" ref="CI35">IF(CI$3&gt;'QBO Summary'!$B$2,0,SUM(INDIRECT(XLOOKUP(CI$3,'TTM Dates'!$B:$B,'TTM Dates'!$E:$E)&amp;ROW($BK35)&amp;":"&amp;XLOOKUP(CI$3,'TTM Dates'!$B:$B,'TTM Dates'!$C:$C)&amp;ROW($BK35))))</f>
        <v>0</v>
      </c>
      <c r="CJ35" s="136">
        <f t="array" ref="CJ35">IF(CJ$3&gt;'QBO Summary'!$B$2,0,SUM(INDIRECT(XLOOKUP(CJ$3,'TTM Dates'!$B:$B,'TTM Dates'!$E:$E)&amp;ROW($BK35)&amp;":"&amp;XLOOKUP(CJ$3,'TTM Dates'!$B:$B,'TTM Dates'!$C:$C)&amp;ROW($BK35))))</f>
        <v>0</v>
      </c>
      <c r="CK35" s="136">
        <f t="array" ref="CK35">IF(CK$3&gt;'QBO Summary'!$B$2,0,SUM(INDIRECT(XLOOKUP(CK$3,'TTM Dates'!$B:$B,'TTM Dates'!$E:$E)&amp;ROW($BK35)&amp;":"&amp;XLOOKUP(CK$3,'TTM Dates'!$B:$B,'TTM Dates'!$C:$C)&amp;ROW($BK35))))</f>
        <v>0</v>
      </c>
      <c r="CL35" s="136">
        <f t="array" ref="CL35">IF(CL$3&gt;'QBO Summary'!$B$2,0,SUM(INDIRECT(XLOOKUP(CL$3,'TTM Dates'!$B:$B,'TTM Dates'!$E:$E)&amp;ROW($BK35)&amp;":"&amp;XLOOKUP(CL$3,'TTM Dates'!$B:$B,'TTM Dates'!$C:$C)&amp;ROW($BK35))))</f>
        <v>0</v>
      </c>
      <c r="CM35" s="136">
        <f t="array" ref="CM35">IF(CM$3&gt;'QBO Summary'!$B$2,0,SUM(INDIRECT(XLOOKUP(CM$3,'TTM Dates'!$B:$B,'TTM Dates'!$E:$E)&amp;ROW($BK35)&amp;":"&amp;XLOOKUP(CM$3,'TTM Dates'!$B:$B,'TTM Dates'!$C:$C)&amp;ROW($BK35))))</f>
        <v>0</v>
      </c>
      <c r="CN35" s="136">
        <f t="array" ref="CN35">IF(CN$3&gt;'QBO Summary'!$B$2,0,SUM(INDIRECT(XLOOKUP(CN$3,'TTM Dates'!$B:$B,'TTM Dates'!$E:$E)&amp;ROW($BK35)&amp;":"&amp;XLOOKUP(CN$3,'TTM Dates'!$B:$B,'TTM Dates'!$C:$C)&amp;ROW($BK35))))</f>
        <v>0</v>
      </c>
      <c r="CO35" s="136">
        <f t="array" ref="CO35">IF(CO$3&gt;'QBO Summary'!$B$2,0,SUM(INDIRECT(XLOOKUP(CO$3,'TTM Dates'!$B:$B,'TTM Dates'!$E:$E)&amp;ROW($BK35)&amp;":"&amp;XLOOKUP(CO$3,'TTM Dates'!$B:$B,'TTM Dates'!$C:$C)&amp;ROW($BK35))))</f>
        <v>0</v>
      </c>
      <c r="CP35" s="136">
        <f t="array" ref="CP35">IF(CP$3&gt;'QBO Summary'!$B$2,0,SUM(INDIRECT(XLOOKUP(CP$3,'TTM Dates'!$B:$B,'TTM Dates'!$E:$E)&amp;ROW($BK35)&amp;":"&amp;XLOOKUP(CP$3,'TTM Dates'!$B:$B,'TTM Dates'!$C:$C)&amp;ROW($BK35))))</f>
        <v>0</v>
      </c>
      <c r="CQ35" s="136">
        <f t="array" ref="CQ35">IF(CQ$3&gt;'QBO Summary'!$B$2,0,SUM(INDIRECT(XLOOKUP(CQ$3,'TTM Dates'!$B:$B,'TTM Dates'!$E:$E)&amp;ROW($BK35)&amp;":"&amp;XLOOKUP(CQ$3,'TTM Dates'!$B:$B,'TTM Dates'!$C:$C)&amp;ROW($BK35))))</f>
        <v>0</v>
      </c>
      <c r="CR35" s="136">
        <f t="array" ref="CR35">IF(CR$3&gt;'QBO Summary'!$B$2,0,SUM(INDIRECT(XLOOKUP(CR$3,'TTM Dates'!$B:$B,'TTM Dates'!$E:$E)&amp;ROW($BK35)&amp;":"&amp;XLOOKUP(CR$3,'TTM Dates'!$B:$B,'TTM Dates'!$C:$C)&amp;ROW($BK35))))</f>
        <v>0</v>
      </c>
      <c r="CS35" s="136">
        <f t="array" ref="CS35">IF(CS$3&gt;'QBO Summary'!$B$2,0,SUM(INDIRECT(XLOOKUP(CS$3,'TTM Dates'!$B:$B,'TTM Dates'!$E:$E)&amp;ROW($BK35)&amp;":"&amp;XLOOKUP(CS$3,'TTM Dates'!$B:$B,'TTM Dates'!$C:$C)&amp;ROW($BK35))))</f>
        <v>0</v>
      </c>
      <c r="CT35" s="136">
        <f t="array" ref="CT35">IF(CT$3&gt;'QBO Summary'!$B$2,0,SUM(INDIRECT(XLOOKUP(CT$3,'TTM Dates'!$B:$B,'TTM Dates'!$E:$E)&amp;ROW($BK35)&amp;":"&amp;XLOOKUP(CT$3,'TTM Dates'!$B:$B,'TTM Dates'!$C:$C)&amp;ROW($BK35))))</f>
        <v>0</v>
      </c>
      <c r="CU35" s="136">
        <f t="array" ref="CU35">IF(CU$3&gt;'QBO Summary'!$B$2,0,SUM(INDIRECT(XLOOKUP(CU$3,'TTM Dates'!$B:$B,'TTM Dates'!$E:$E)&amp;ROW($BK35)&amp;":"&amp;XLOOKUP(CU$3,'TTM Dates'!$B:$B,'TTM Dates'!$C:$C)&amp;ROW($BK35))))</f>
        <v>0</v>
      </c>
      <c r="CV35" s="136">
        <f t="array" ref="CV35">IF(CV$3&gt;'QBO Summary'!$B$2,0,SUM(INDIRECT(XLOOKUP(CV$3,'TTM Dates'!$B:$B,'TTM Dates'!$E:$E)&amp;ROW($BK35)&amp;":"&amp;XLOOKUP(CV$3,'TTM Dates'!$B:$B,'TTM Dates'!$C:$C)&amp;ROW($BK35))))</f>
        <v>0</v>
      </c>
      <c r="CW35" s="136">
        <f t="array" ref="CW35">IF(CW$3&gt;'QBO Summary'!$B$2,0,SUM(INDIRECT(XLOOKUP(CW$3,'TTM Dates'!$B:$B,'TTM Dates'!$E:$E)&amp;ROW($BK35)&amp;":"&amp;XLOOKUP(CW$3,'TTM Dates'!$B:$B,'TTM Dates'!$C:$C)&amp;ROW($BK35))))</f>
        <v>0</v>
      </c>
      <c r="CX35" s="136">
        <f t="array" ref="CX35">IF(CX$3&gt;'QBO Summary'!$B$2,0,SUM(INDIRECT(XLOOKUP(CX$3,'TTM Dates'!$B:$B,'TTM Dates'!$E:$E)&amp;ROW($BK35)&amp;":"&amp;XLOOKUP(CX$3,'TTM Dates'!$B:$B,'TTM Dates'!$C:$C)&amp;ROW($BK35))))</f>
        <v>0</v>
      </c>
      <c r="CY35" s="136">
        <f t="array" ref="CY35">IF(CY$3&gt;'QBO Summary'!$B$2,0,SUM(INDIRECT(XLOOKUP(CY$3,'TTM Dates'!$B:$B,'TTM Dates'!$E:$E)&amp;ROW($BK35)&amp;":"&amp;XLOOKUP(CY$3,'TTM Dates'!$B:$B,'TTM Dates'!$C:$C)&amp;ROW($BK35))))</f>
        <v>0</v>
      </c>
      <c r="CZ35" s="136">
        <f t="array" ref="CZ35">IF(CZ$3&gt;'QBO Summary'!$B$2,0,SUM(INDIRECT(XLOOKUP(CZ$3,'TTM Dates'!$B:$B,'TTM Dates'!$E:$E)&amp;ROW($BK35)&amp;":"&amp;XLOOKUP(CZ$3,'TTM Dates'!$B:$B,'TTM Dates'!$C:$C)&amp;ROW($BK35))))</f>
        <v>0</v>
      </c>
      <c r="DA35" s="136">
        <f t="array" ref="DA35">IF(DA$3&gt;'QBO Summary'!$B$2,0,SUM(INDIRECT(XLOOKUP(DA$3,'TTM Dates'!$B:$B,'TTM Dates'!$E:$E)&amp;ROW($BK35)&amp;":"&amp;XLOOKUP(DA$3,'TTM Dates'!$B:$B,'TTM Dates'!$C:$C)&amp;ROW($BK35))))</f>
        <v>0</v>
      </c>
      <c r="DB35" s="136">
        <f t="array" ref="DB35">IF(DB$3&gt;'QBO Summary'!$B$2,0,SUM(INDIRECT(XLOOKUP(DB$3,'TTM Dates'!$B:$B,'TTM Dates'!$E:$E)&amp;ROW($BK35)&amp;":"&amp;XLOOKUP(DB$3,'TTM Dates'!$B:$B,'TTM Dates'!$C:$C)&amp;ROW($BK35))))</f>
        <v>0</v>
      </c>
      <c r="DC35" s="136">
        <f t="array" ref="DC35">IF(DC$3&gt;'QBO Summary'!$B$2,0,SUM(INDIRECT(XLOOKUP(DC$3,'TTM Dates'!$B:$B,'TTM Dates'!$E:$E)&amp;ROW($BK35)&amp;":"&amp;XLOOKUP(DC$3,'TTM Dates'!$B:$B,'TTM Dates'!$C:$C)&amp;ROW($BK35))))</f>
        <v>0</v>
      </c>
      <c r="DD35" s="136">
        <f t="array" ref="DD35">IF(DD$3&gt;'QBO Summary'!$B$2,0,SUM(INDIRECT(XLOOKUP(DD$3,'TTM Dates'!$B:$B,'TTM Dates'!$E:$E)&amp;ROW($BK35)&amp;":"&amp;XLOOKUP(DD$3,'TTM Dates'!$B:$B,'TTM Dates'!$C:$C)&amp;ROW($BK35))))</f>
        <v>0</v>
      </c>
      <c r="DE35" s="136">
        <f t="array" ref="DE35">IF(DE$3&gt;'QBO Summary'!$B$2,0,SUM(INDIRECT(XLOOKUP(DE$3,'TTM Dates'!$B:$B,'TTM Dates'!$E:$E)&amp;ROW($BK35)&amp;":"&amp;XLOOKUP(DE$3,'TTM Dates'!$B:$B,'TTM Dates'!$C:$C)&amp;ROW($BK35))))</f>
        <v>0</v>
      </c>
      <c r="DF35" s="136">
        <f t="array" ref="DF35">IF(DF$3&gt;'QBO Summary'!$B$2,0,SUM(INDIRECT(XLOOKUP(DF$3,'TTM Dates'!$B:$B,'TTM Dates'!$E:$E)&amp;ROW($BK35)&amp;":"&amp;XLOOKUP(DF$3,'TTM Dates'!$B:$B,'TTM Dates'!$C:$C)&amp;ROW($BK35))))</f>
        <v>232730.19</v>
      </c>
      <c r="DG35" s="136">
        <f t="array" ref="DG35">IF(DG$3&gt;'QBO Summary'!$B$2,0,SUM(INDIRECT(XLOOKUP(DG$3,'TTM Dates'!$B:$B,'TTM Dates'!$E:$E)&amp;ROW($BK35)&amp;":"&amp;XLOOKUP(DG$3,'TTM Dates'!$B:$B,'TTM Dates'!$C:$C)&amp;ROW($BK35))))</f>
        <v>517326.06</v>
      </c>
      <c r="DH35" s="136">
        <f t="array" ref="DH35">IF(DH$3&gt;'QBO Summary'!$B$2,0,SUM(INDIRECT(XLOOKUP(DH$3,'TTM Dates'!$B:$B,'TTM Dates'!$E:$E)&amp;ROW($BK35)&amp;":"&amp;XLOOKUP(DH$3,'TTM Dates'!$B:$B,'TTM Dates'!$C:$C)&amp;ROW($BK35))))</f>
        <v>703609.12</v>
      </c>
      <c r="DI35" s="136">
        <f t="array" ref="DI35">IF(DI$3&gt;'QBO Summary'!$B$2,0,SUM(INDIRECT(XLOOKUP(DI$3,'TTM Dates'!$B:$B,'TTM Dates'!$E:$E)&amp;ROW($BK35)&amp;":"&amp;XLOOKUP(DI$3,'TTM Dates'!$B:$B,'TTM Dates'!$C:$C)&amp;ROW($BK35))))</f>
        <v>1037181.62</v>
      </c>
      <c r="DJ35" s="136">
        <f t="array" ref="DJ35">IF(DJ$3&gt;'QBO Summary'!$B$2,0,SUM(INDIRECT(XLOOKUP(DJ$3,'TTM Dates'!$B:$B,'TTM Dates'!$E:$E)&amp;ROW($BK35)&amp;":"&amp;XLOOKUP(DJ$3,'TTM Dates'!$B:$B,'TTM Dates'!$C:$C)&amp;ROW($BK35))))</f>
        <v>1176083.95</v>
      </c>
      <c r="DK35" s="136">
        <f t="array" ref="DK35">IF(DK$3&gt;'QBO Summary'!$B$2,0,SUM(INDIRECT(XLOOKUP(DK$3,'TTM Dates'!$B:$B,'TTM Dates'!$E:$E)&amp;ROW($BK35)&amp;":"&amp;XLOOKUP(DK$3,'TTM Dates'!$B:$B,'TTM Dates'!$C:$C)&amp;ROW($BK35))))</f>
        <v>1400882.48</v>
      </c>
      <c r="DL35" s="136">
        <f t="array" ref="DL35">IF(DL$3&gt;'QBO Summary'!$B$2,0,SUM(INDIRECT(XLOOKUP(DL$3,'TTM Dates'!$B:$B,'TTM Dates'!$E:$E)&amp;ROW($BK35)&amp;":"&amp;XLOOKUP(DL$3,'TTM Dates'!$B:$B,'TTM Dates'!$C:$C)&amp;ROW($BK35))))</f>
        <v>1545139.95</v>
      </c>
      <c r="DM35" s="136">
        <f t="array" ref="DM35">IF(DM$3&gt;'QBO Summary'!$B$2,0,SUM(INDIRECT(XLOOKUP(DM$3,'TTM Dates'!$B:$B,'TTM Dates'!$E:$E)&amp;ROW($BK35)&amp;":"&amp;XLOOKUP(DM$3,'TTM Dates'!$B:$B,'TTM Dates'!$C:$C)&amp;ROW($BK35))))</f>
        <v>1740938.7</v>
      </c>
      <c r="DN35" s="136">
        <f t="array" ref="DN35">IF(DN$3&gt;'QBO Summary'!$B$2,0,SUM(INDIRECT(XLOOKUP(DN$3,'TTM Dates'!$B:$B,'TTM Dates'!$E:$E)&amp;ROW($BK35)&amp;":"&amp;XLOOKUP(DN$3,'TTM Dates'!$B:$B,'TTM Dates'!$C:$C)&amp;ROW($BK35))))</f>
        <v>1923396.6</v>
      </c>
      <c r="DO35" s="136">
        <f t="array" ref="DO35">IF(DO$3&gt;'QBO Summary'!$B$2,0,SUM(INDIRECT(XLOOKUP(DO$3,'TTM Dates'!$B:$B,'TTM Dates'!$E:$E)&amp;ROW($BK35)&amp;":"&amp;XLOOKUP(DO$3,'TTM Dates'!$B:$B,'TTM Dates'!$C:$C)&amp;ROW($BK35))))</f>
        <v>2114058.01</v>
      </c>
      <c r="DP35" s="136">
        <f t="array" ref="DP35">IF(DP$3&gt;'QBO Summary'!$B$2,0,SUM(INDIRECT(XLOOKUP(DP$3,'TTM Dates'!$B:$B,'TTM Dates'!$E:$E)&amp;ROW($BK35)&amp;":"&amp;XLOOKUP(DP$3,'TTM Dates'!$B:$B,'TTM Dates'!$C:$C)&amp;ROW($BK35))))</f>
        <v>2291122.85</v>
      </c>
      <c r="DQ35" s="136">
        <f t="array" ref="DQ35">IF(DQ$3&gt;'QBO Summary'!$B$2,0,SUM(INDIRECT(XLOOKUP(DQ$3,'TTM Dates'!$B:$B,'TTM Dates'!$E:$E)&amp;ROW($BK35)&amp;":"&amp;XLOOKUP(DQ$3,'TTM Dates'!$B:$B,'TTM Dates'!$C:$C)&amp;ROW($BK35))))</f>
        <v>2475551.93</v>
      </c>
      <c r="DR35" s="136">
        <f t="array" ref="DR35">IF(DR$3&gt;'QBO Summary'!$B$2,0,SUM(INDIRECT(XLOOKUP(DR$3,'TTM Dates'!$B:$B,'TTM Dates'!$E:$E)&amp;ROW($BK35)&amp;":"&amp;XLOOKUP(DR$3,'TTM Dates'!$B:$B,'TTM Dates'!$C:$C)&amp;ROW($BK35))))</f>
        <v>2501962.41</v>
      </c>
      <c r="DS35" s="136">
        <f t="array" ref="DS35">IF(DS$3&gt;'QBO Summary'!$B$2,0,SUM(INDIRECT(XLOOKUP(DS$3,'TTM Dates'!$B:$B,'TTM Dates'!$E:$E)&amp;ROW($BK35)&amp;":"&amp;XLOOKUP(DS$3,'TTM Dates'!$B:$B,'TTM Dates'!$C:$C)&amp;ROW($BK35))))</f>
        <v>2411639.98</v>
      </c>
      <c r="DT35" s="136">
        <f t="array" ref="DT35">IF(DT$3&gt;'QBO Summary'!$B$2,0,SUM(INDIRECT(XLOOKUP(DT$3,'TTM Dates'!$B:$B,'TTM Dates'!$E:$E)&amp;ROW($BK35)&amp;":"&amp;XLOOKUP(DT$3,'TTM Dates'!$B:$B,'TTM Dates'!$C:$C)&amp;ROW($BK35))))</f>
        <v>2448966.83</v>
      </c>
      <c r="DU35" s="136">
        <f t="array" ref="DU35">IF(DU$3&gt;'QBO Summary'!$B$2,0,SUM(INDIRECT(XLOOKUP(DU$3,'TTM Dates'!$B:$B,'TTM Dates'!$E:$E)&amp;ROW($BK35)&amp;":"&amp;XLOOKUP(DU$3,'TTM Dates'!$B:$B,'TTM Dates'!$C:$C)&amp;ROW($BK35))))</f>
        <v>2343473.56</v>
      </c>
      <c r="DV35" s="136">
        <f t="array" ref="DV35">IF(DV$3&gt;'QBO Summary'!$B$2,0,SUM(INDIRECT(XLOOKUP(DV$3,'TTM Dates'!$B:$B,'TTM Dates'!$E:$E)&amp;ROW($BK35)&amp;":"&amp;XLOOKUP(DV$3,'TTM Dates'!$B:$B,'TTM Dates'!$C:$C)&amp;ROW($BK35))))</f>
        <v>2441209.66</v>
      </c>
      <c r="DW35" s="136">
        <f t="array" ref="DW35">IF(DW$3&gt;'QBO Summary'!$B$2,0,SUM(INDIRECT(XLOOKUP(DW$3,'TTM Dates'!$B:$B,'TTM Dates'!$E:$E)&amp;ROW($BK35)&amp;":"&amp;XLOOKUP(DW$3,'TTM Dates'!$B:$B,'TTM Dates'!$C:$C)&amp;ROW($BK35))))</f>
        <v>2505167.64</v>
      </c>
      <c r="DX35" s="136">
        <f t="array" ref="DX35">IF(DX$3&gt;'QBO Summary'!$B$2,0,SUM(INDIRECT(XLOOKUP(DX$3,'TTM Dates'!$B:$B,'TTM Dates'!$E:$E)&amp;ROW($BK35)&amp;":"&amp;XLOOKUP(DX$3,'TTM Dates'!$B:$B,'TTM Dates'!$C:$C)&amp;ROW($BK35))))</f>
        <v>2618905.47</v>
      </c>
      <c r="DY35" s="136">
        <f t="array" ref="DY35">IF(DY$3&gt;'QBO Summary'!$B$2,0,SUM(INDIRECT(XLOOKUP(DY$3,'TTM Dates'!$B:$B,'TTM Dates'!$E:$E)&amp;ROW($BK35)&amp;":"&amp;XLOOKUP(DY$3,'TTM Dates'!$B:$B,'TTM Dates'!$C:$C)&amp;ROW($BK35))))</f>
        <v>2679097.99</v>
      </c>
      <c r="DZ35" s="136">
        <f t="array" ref="DZ35">IF(DZ$3&gt;'QBO Summary'!$B$2,0,SUM(INDIRECT(XLOOKUP(DZ$3,'TTM Dates'!$B:$B,'TTM Dates'!$E:$E)&amp;ROW($BK35)&amp;":"&amp;XLOOKUP(DZ$3,'TTM Dates'!$B:$B,'TTM Dates'!$C:$C)&amp;ROW($BK35))))</f>
        <v>2496640.09</v>
      </c>
      <c r="EA35" s="136">
        <f t="array" ref="EA35">IF(EA$3&gt;'QBO Summary'!$B$2,0,SUM(INDIRECT(XLOOKUP(EA$3,'TTM Dates'!$B:$B,'TTM Dates'!$E:$E)&amp;ROW($BK35)&amp;":"&amp;XLOOKUP(EA$3,'TTM Dates'!$B:$B,'TTM Dates'!$C:$C)&amp;ROW($BK35))))</f>
        <v>2305978.68</v>
      </c>
      <c r="EB35" s="136">
        <f t="array" ref="EB35">IF(EB$3&gt;'QBO Summary'!$B$2,0,SUM(INDIRECT(XLOOKUP(EB$3,'TTM Dates'!$B:$B,'TTM Dates'!$E:$E)&amp;ROW($BK35)&amp;":"&amp;XLOOKUP(EB$3,'TTM Dates'!$B:$B,'TTM Dates'!$C:$C)&amp;ROW($BK35))))</f>
        <v>2128913.84</v>
      </c>
      <c r="EC35" s="136">
        <f t="array" ref="EC35">IF(EC$3&gt;'QBO Summary'!$B$2,0,SUM(INDIRECT(XLOOKUP(EC$3,'TTM Dates'!$B:$B,'TTM Dates'!$E:$E)&amp;ROW($BK35)&amp;":"&amp;XLOOKUP(EC$3,'TTM Dates'!$B:$B,'TTM Dates'!$C:$C)&amp;ROW($BK35))))</f>
        <v>1944484.76</v>
      </c>
    </row>
    <row r="36">
      <c r="B36" s="280" t="s">
        <v>297</v>
      </c>
      <c r="C36" s="286">
        <f>'P&amp;L 2020-2022'!B39</f>
        <v>25066.38</v>
      </c>
      <c r="D36" s="286">
        <f>'P&amp;L 2020-2022'!C39</f>
        <v>30420.04</v>
      </c>
      <c r="E36" s="286">
        <f>'P&amp;L 2020-2022'!D39</f>
        <v>58707.47</v>
      </c>
      <c r="F36" s="286">
        <f>'P&amp;L 2020-2022'!E39</f>
        <v>85532.66</v>
      </c>
      <c r="G36" s="286">
        <f>'P&amp;L 2020-2022'!F39</f>
        <v>58016.04</v>
      </c>
      <c r="H36" s="286">
        <f>'P&amp;L 2020-2022'!G39</f>
        <v>64103.29</v>
      </c>
      <c r="I36" s="286">
        <f>'P&amp;L 2020-2022'!H39</f>
        <v>120094.76</v>
      </c>
      <c r="J36" s="286">
        <f>'P&amp;L 2020-2022'!I39</f>
        <v>79587</v>
      </c>
      <c r="K36" s="286">
        <f>'P&amp;L 2020-2022'!J39</f>
        <v>120798.8</v>
      </c>
      <c r="L36" s="286">
        <f>'P&amp;L 2020-2022'!K39</f>
        <v>117316.16</v>
      </c>
      <c r="M36" s="286">
        <f>'P&amp;L 2020-2022'!L39</f>
        <v>108296.31</v>
      </c>
      <c r="N36" s="286">
        <f>'P&amp;L 2020-2022'!M39</f>
        <v>268274.18</v>
      </c>
      <c r="O36" s="286">
        <f>'P&amp;L 2020-2022'!N39</f>
        <v>128308.89</v>
      </c>
      <c r="P36" s="286">
        <f>'P&amp;L 2020-2022'!O39</f>
        <v>136701.15</v>
      </c>
      <c r="Q36" s="286">
        <f>'P&amp;L 2020-2022'!P39</f>
        <v>218741.79</v>
      </c>
      <c r="R36" s="286">
        <f>'P&amp;L 2020-2022'!Q39</f>
        <v>228942.51</v>
      </c>
      <c r="S36" s="286">
        <f>'P&amp;L 2020-2022'!R39</f>
        <v>198069.6</v>
      </c>
      <c r="T36" s="286">
        <f>'P&amp;L 2020-2022'!S39</f>
        <v>159179.79</v>
      </c>
      <c r="U36" s="286">
        <f>'P&amp;L 2020-2022'!T39</f>
        <v>193517.02</v>
      </c>
      <c r="V36" s="286">
        <f>'P&amp;L 2020-2022'!U39</f>
        <v>386354.1</v>
      </c>
      <c r="W36" s="286">
        <f>'P&amp;L 2020-2022'!V39</f>
        <v>225669.61</v>
      </c>
      <c r="X36" s="286">
        <f>'P&amp;L 2020-2022'!W39</f>
        <v>300705.45</v>
      </c>
      <c r="Y36" s="286">
        <f>'P&amp;L 2020-2022'!X39</f>
        <v>311271.12</v>
      </c>
      <c r="Z36" s="286">
        <f>'P&amp;L 2020-2022'!Y39</f>
        <v>869523.38</v>
      </c>
      <c r="AA36" s="286">
        <f>'P&amp;L 2020-2022'!Z39</f>
        <v>362791.39</v>
      </c>
      <c r="AB36" s="286">
        <f>'P&amp;L 2020-2022'!AA39</f>
        <v>473914.37</v>
      </c>
      <c r="AC36" s="286">
        <f>'P&amp;L 2020-2022'!AB39</f>
        <v>652210.32</v>
      </c>
      <c r="AD36" s="286">
        <f>'P&amp;L 2020-2022'!AC39</f>
        <v>549457.8</v>
      </c>
      <c r="AE36" s="286">
        <f>'P&amp;L 2020-2022'!AD39</f>
        <v>518541.89</v>
      </c>
      <c r="AF36" s="286">
        <f>'P&amp;L 2020-2022'!AE39</f>
        <v>604373.56</v>
      </c>
      <c r="AG36" s="286">
        <f>'P&amp;L 2020-2022'!AF39</f>
        <v>773066.89</v>
      </c>
      <c r="AH36" s="286">
        <f>'P&amp;L 2020-2022'!AG39</f>
        <v>926480.23</v>
      </c>
      <c r="AI36" s="286">
        <f>'P&amp;L 2020-2022'!AH39</f>
        <v>850519.81</v>
      </c>
      <c r="AJ36" s="286">
        <f>'P&amp;L 2020-2022'!AI39</f>
        <v>712788.59</v>
      </c>
      <c r="AK36" s="286">
        <f>'P&amp;L 2020-2022'!AJ39</f>
        <v>836176.93</v>
      </c>
      <c r="AL36" s="286">
        <f>'P&amp;L 2020-2022'!AK39</f>
        <v>1202663.78</v>
      </c>
      <c r="AM36" s="108">
        <f t="shared" ref="AM36:BJ36" si="69">SUM(AM37:AM39)</f>
        <v>527197.27</v>
      </c>
      <c r="AN36" s="108">
        <f t="shared" si="69"/>
        <v>394514.59</v>
      </c>
      <c r="AO36" s="108">
        <f t="shared" si="69"/>
        <v>498308.91</v>
      </c>
      <c r="AP36" s="108">
        <f t="shared" si="69"/>
        <v>391804.75</v>
      </c>
      <c r="AQ36" s="108">
        <f t="shared" si="69"/>
        <v>736952.26</v>
      </c>
      <c r="AR36" s="108">
        <f t="shared" si="69"/>
        <v>461093.24</v>
      </c>
      <c r="AS36" s="108">
        <f t="shared" si="69"/>
        <v>710208.99</v>
      </c>
      <c r="AT36" s="108">
        <f t="shared" si="69"/>
        <v>819073.8</v>
      </c>
      <c r="AU36" s="108">
        <f t="shared" si="69"/>
        <v>655594.4</v>
      </c>
      <c r="AV36" s="108">
        <f t="shared" si="69"/>
        <v>721630.35</v>
      </c>
      <c r="AW36" s="108">
        <f t="shared" si="69"/>
        <v>660148.61</v>
      </c>
      <c r="AX36" s="108">
        <f t="shared" si="69"/>
        <v>617741.94</v>
      </c>
      <c r="AY36" s="108">
        <f t="shared" si="69"/>
        <v>662290.41</v>
      </c>
      <c r="AZ36" s="108">
        <f t="shared" si="69"/>
        <v>767687.8</v>
      </c>
      <c r="BA36" s="108">
        <f t="shared" si="69"/>
        <v>629309.68</v>
      </c>
      <c r="BB36" s="108">
        <f t="shared" si="69"/>
        <v>888468.81</v>
      </c>
      <c r="BC36" s="108">
        <f t="shared" si="69"/>
        <v>824141.46</v>
      </c>
      <c r="BD36" s="108">
        <f t="shared" si="69"/>
        <v>736619.97</v>
      </c>
      <c r="BE36" s="108">
        <f t="shared" si="69"/>
        <v>717412.31</v>
      </c>
      <c r="BF36" s="108">
        <f t="shared" si="69"/>
        <v>1297027.14</v>
      </c>
      <c r="BG36" s="108">
        <f t="shared" si="69"/>
        <v>0</v>
      </c>
      <c r="BH36" s="108">
        <f t="shared" si="69"/>
        <v>0</v>
      </c>
      <c r="BI36" s="108">
        <f t="shared" si="69"/>
        <v>0</v>
      </c>
      <c r="BJ36" s="108">
        <f t="shared" si="69"/>
        <v>0</v>
      </c>
      <c r="BK36" s="33"/>
      <c r="BL36" s="282">
        <f t="array" ref="BL36">SUM(INDIRECT(XLOOKUP('QBO Summary'!$B$2,'TTM Dates'!$B:$B,'TTM Dates'!$E:$E)&amp;ROW($BK36)&amp;":"&amp;XLOOKUP('QBO Summary'!$B$2,'TTM Dates'!$B:$B,'TTM Dates'!$C:$C)&amp;ROW($BK36)))</f>
        <v>26622852.06</v>
      </c>
      <c r="BM36" s="49"/>
      <c r="BN36" s="108">
        <f t="shared" si="55"/>
        <v>2059287.89</v>
      </c>
      <c r="BO36" s="108">
        <f t="shared" si="56"/>
        <v>2449230.24</v>
      </c>
      <c r="BP36" s="108">
        <f t="shared" si="57"/>
        <v>2014439.45</v>
      </c>
      <c r="BQ36" s="108">
        <f t="shared" si="58"/>
        <v>0</v>
      </c>
      <c r="BR36" s="282">
        <f t="shared" si="59"/>
        <v>6522957.58</v>
      </c>
      <c r="BS36" s="283"/>
      <c r="BT36" s="108">
        <f t="shared" si="60"/>
        <v>1420020.77</v>
      </c>
      <c r="BU36" s="108">
        <f t="shared" si="61"/>
        <v>1589850.25</v>
      </c>
      <c r="BV36" s="108">
        <f t="shared" si="62"/>
        <v>2184877.19</v>
      </c>
      <c r="BW36" s="108">
        <f t="shared" si="63"/>
        <v>1999520.9</v>
      </c>
      <c r="BX36" s="282">
        <f t="shared" si="64"/>
        <v>7194269.11</v>
      </c>
      <c r="BY36" s="283"/>
      <c r="BZ36" s="108">
        <f>sum(AA36:AC36)</f>
        <v>1488916.08</v>
      </c>
      <c r="CA36" s="108">
        <f>sum(AD36:AF36)</f>
        <v>1672373.25</v>
      </c>
      <c r="CB36" s="108">
        <f>sum(AG36:AI36)</f>
        <v>2550066.93</v>
      </c>
      <c r="CC36" s="108">
        <f>sum(AJ36:AL36)</f>
        <v>2751629.3</v>
      </c>
      <c r="CD36" s="282">
        <f>sum(AA36:AL36)</f>
        <v>8462985.56</v>
      </c>
      <c r="CE36" s="283"/>
      <c r="CF36" s="282">
        <f>SUM(O36:Z36)</f>
        <v>3356984.41</v>
      </c>
      <c r="CG36" s="136"/>
      <c r="CH36" s="286">
        <f t="array" ref="CH36">IF(CH$3&gt;'QBO Summary'!$B$2,0,SUM(INDIRECT(XLOOKUP(CH$3,'TTM Dates'!$B:$B,'TTM Dates'!$E:$E)&amp;ROW($BK36)&amp;":"&amp;XLOOKUP(CH$3,'TTM Dates'!$B:$B,'TTM Dates'!$C:$C)&amp;ROW($BK36))))</f>
        <v>1239455.6</v>
      </c>
      <c r="CI36" s="286">
        <f t="array" ref="CI36">IF(CI$3&gt;'QBO Summary'!$B$2,0,SUM(INDIRECT(XLOOKUP(CI$3,'TTM Dates'!$B:$B,'TTM Dates'!$E:$E)&amp;ROW($BK36)&amp;":"&amp;XLOOKUP(CI$3,'TTM Dates'!$B:$B,'TTM Dates'!$C:$C)&amp;ROW($BK36))))</f>
        <v>1345736.71</v>
      </c>
      <c r="CJ36" s="286">
        <f t="array" ref="CJ36">IF(CJ$3&gt;'QBO Summary'!$B$2,0,SUM(INDIRECT(XLOOKUP(CJ$3,'TTM Dates'!$B:$B,'TTM Dates'!$E:$E)&amp;ROW($BK36)&amp;":"&amp;XLOOKUP(CJ$3,'TTM Dates'!$B:$B,'TTM Dates'!$C:$C)&amp;ROW($BK36))))</f>
        <v>1505771.03</v>
      </c>
      <c r="CK36" s="286">
        <f t="array" ref="CK36">IF(CK$3&gt;'QBO Summary'!$B$2,0,SUM(INDIRECT(XLOOKUP(CK$3,'TTM Dates'!$B:$B,'TTM Dates'!$E:$E)&amp;ROW($BK36)&amp;":"&amp;XLOOKUP(CK$3,'TTM Dates'!$B:$B,'TTM Dates'!$C:$C)&amp;ROW($BK36))))</f>
        <v>1649180.88</v>
      </c>
      <c r="CL36" s="286">
        <f t="array" ref="CL36">IF(CL$3&gt;'QBO Summary'!$B$2,0,SUM(INDIRECT(XLOOKUP(CL$3,'TTM Dates'!$B:$B,'TTM Dates'!$E:$E)&amp;ROW($BK36)&amp;":"&amp;XLOOKUP(CL$3,'TTM Dates'!$B:$B,'TTM Dates'!$C:$C)&amp;ROW($BK36))))</f>
        <v>1789234.44</v>
      </c>
      <c r="CM36" s="286">
        <f t="array" ref="CM36">IF(CM$3&gt;'QBO Summary'!$B$2,0,SUM(INDIRECT(XLOOKUP(CM$3,'TTM Dates'!$B:$B,'TTM Dates'!$E:$E)&amp;ROW($BK36)&amp;":"&amp;XLOOKUP(CM$3,'TTM Dates'!$B:$B,'TTM Dates'!$C:$C)&amp;ROW($BK36))))</f>
        <v>1884310.94</v>
      </c>
      <c r="CN36" s="286">
        <f t="array" ref="CN36">IF(CN$3&gt;'QBO Summary'!$B$2,0,SUM(INDIRECT(XLOOKUP(CN$3,'TTM Dates'!$B:$B,'TTM Dates'!$E:$E)&amp;ROW($BK36)&amp;":"&amp;XLOOKUP(CN$3,'TTM Dates'!$B:$B,'TTM Dates'!$C:$C)&amp;ROW($BK36))))</f>
        <v>1957733.2</v>
      </c>
      <c r="CO36" s="286">
        <f t="array" ref="CO36">IF(CO$3&gt;'QBO Summary'!$B$2,0,SUM(INDIRECT(XLOOKUP(CO$3,'TTM Dates'!$B:$B,'TTM Dates'!$E:$E)&amp;ROW($BK36)&amp;":"&amp;XLOOKUP(CO$3,'TTM Dates'!$B:$B,'TTM Dates'!$C:$C)&amp;ROW($BK36))))</f>
        <v>2264500.3</v>
      </c>
      <c r="CP36" s="286">
        <f t="array" ref="CP36">IF(CP$3&gt;'QBO Summary'!$B$2,0,SUM(INDIRECT(XLOOKUP(CP$3,'TTM Dates'!$B:$B,'TTM Dates'!$E:$E)&amp;ROW($BK36)&amp;":"&amp;XLOOKUP(CP$3,'TTM Dates'!$B:$B,'TTM Dates'!$C:$C)&amp;ROW($BK36))))</f>
        <v>2369371.11</v>
      </c>
      <c r="CQ36" s="286">
        <f t="array" ref="CQ36">IF(CQ$3&gt;'QBO Summary'!$B$2,0,SUM(INDIRECT(XLOOKUP(CQ$3,'TTM Dates'!$B:$B,'TTM Dates'!$E:$E)&amp;ROW($BK36)&amp;":"&amp;XLOOKUP(CQ$3,'TTM Dates'!$B:$B,'TTM Dates'!$C:$C)&amp;ROW($BK36))))</f>
        <v>2552760.4</v>
      </c>
      <c r="CR36" s="286">
        <f t="array" ref="CR36">IF(CR$3&gt;'QBO Summary'!$B$2,0,SUM(INDIRECT(XLOOKUP(CR$3,'TTM Dates'!$B:$B,'TTM Dates'!$E:$E)&amp;ROW($BK36)&amp;":"&amp;XLOOKUP(CR$3,'TTM Dates'!$B:$B,'TTM Dates'!$C:$C)&amp;ROW($BK36))))</f>
        <v>2755735.21</v>
      </c>
      <c r="CS36" s="286">
        <f t="array" ref="CS36">IF(CS$3&gt;'QBO Summary'!$B$2,0,SUM(INDIRECT(XLOOKUP(CS$3,'TTM Dates'!$B:$B,'TTM Dates'!$E:$E)&amp;ROW($BK36)&amp;":"&amp;XLOOKUP(CS$3,'TTM Dates'!$B:$B,'TTM Dates'!$C:$C)&amp;ROW($BK36))))</f>
        <v>3356984.41</v>
      </c>
      <c r="CT36" s="286">
        <f t="array" ref="CT36">IF(CT$3&gt;'QBO Summary'!$B$2,0,SUM(INDIRECT(XLOOKUP(CT$3,'TTM Dates'!$B:$B,'TTM Dates'!$E:$E)&amp;ROW($BK36)&amp;":"&amp;XLOOKUP(CT$3,'TTM Dates'!$B:$B,'TTM Dates'!$C:$C)&amp;ROW($BK36))))</f>
        <v>3591466.91</v>
      </c>
      <c r="CU36" s="286">
        <f t="array" ref="CU36">IF(CU$3&gt;'QBO Summary'!$B$2,0,SUM(INDIRECT(XLOOKUP(CU$3,'TTM Dates'!$B:$B,'TTM Dates'!$E:$E)&amp;ROW($BK36)&amp;":"&amp;XLOOKUP(CU$3,'TTM Dates'!$B:$B,'TTM Dates'!$C:$C)&amp;ROW($BK36))))</f>
        <v>3928680.13</v>
      </c>
      <c r="CV36" s="286">
        <f t="array" ref="CV36">IF(CV$3&gt;'QBO Summary'!$B$2,0,SUM(INDIRECT(XLOOKUP(CV$3,'TTM Dates'!$B:$B,'TTM Dates'!$E:$E)&amp;ROW($BK36)&amp;":"&amp;XLOOKUP(CV$3,'TTM Dates'!$B:$B,'TTM Dates'!$C:$C)&amp;ROW($BK36))))</f>
        <v>4362148.66</v>
      </c>
      <c r="CW36" s="286">
        <f t="array" ref="CW36">IF(CW$3&gt;'QBO Summary'!$B$2,0,SUM(INDIRECT(XLOOKUP(CW$3,'TTM Dates'!$B:$B,'TTM Dates'!$E:$E)&amp;ROW($BK36)&amp;":"&amp;XLOOKUP(CW$3,'TTM Dates'!$B:$B,'TTM Dates'!$C:$C)&amp;ROW($BK36))))</f>
        <v>4682663.95</v>
      </c>
      <c r="CX36" s="286">
        <f t="array" ref="CX36">IF(CX$3&gt;'QBO Summary'!$B$2,0,SUM(INDIRECT(XLOOKUP(CX$3,'TTM Dates'!$B:$B,'TTM Dates'!$E:$E)&amp;ROW($BK36)&amp;":"&amp;XLOOKUP(CX$3,'TTM Dates'!$B:$B,'TTM Dates'!$C:$C)&amp;ROW($BK36))))</f>
        <v>5003136.24</v>
      </c>
      <c r="CY36" s="286">
        <f t="array" ref="CY36">IF(CY$3&gt;'QBO Summary'!$B$2,0,SUM(INDIRECT(XLOOKUP(CY$3,'TTM Dates'!$B:$B,'TTM Dates'!$E:$E)&amp;ROW($BK36)&amp;":"&amp;XLOOKUP(CY$3,'TTM Dates'!$B:$B,'TTM Dates'!$C:$C)&amp;ROW($BK36))))</f>
        <v>5448330.01</v>
      </c>
      <c r="CZ36" s="286">
        <f t="array" ref="CZ36">IF(CZ$3&gt;'QBO Summary'!$B$2,0,SUM(INDIRECT(XLOOKUP(CZ$3,'TTM Dates'!$B:$B,'TTM Dates'!$E:$E)&amp;ROW($BK36)&amp;":"&amp;XLOOKUP(CZ$3,'TTM Dates'!$B:$B,'TTM Dates'!$C:$C)&amp;ROW($BK36))))</f>
        <v>6027879.88</v>
      </c>
      <c r="DA36" s="286">
        <f t="array" ref="DA36">IF(DA$3&gt;'QBO Summary'!$B$2,0,SUM(INDIRECT(XLOOKUP(DA$3,'TTM Dates'!$B:$B,'TTM Dates'!$E:$E)&amp;ROW($BK36)&amp;":"&amp;XLOOKUP(DA$3,'TTM Dates'!$B:$B,'TTM Dates'!$C:$C)&amp;ROW($BK36))))</f>
        <v>6568006.01</v>
      </c>
      <c r="DB36" s="286">
        <f t="array" ref="DB36">IF(DB$3&gt;'QBO Summary'!$B$2,0,SUM(INDIRECT(XLOOKUP(DB$3,'TTM Dates'!$B:$B,'TTM Dates'!$E:$E)&amp;ROW($BK36)&amp;":"&amp;XLOOKUP(DB$3,'TTM Dates'!$B:$B,'TTM Dates'!$C:$C)&amp;ROW($BK36))))</f>
        <v>7192856.21</v>
      </c>
      <c r="DC36" s="286">
        <f t="array" ref="DC36">IF(DC$3&gt;'QBO Summary'!$B$2,0,SUM(INDIRECT(XLOOKUP(DC$3,'TTM Dates'!$B:$B,'TTM Dates'!$E:$E)&amp;ROW($BK36)&amp;":"&amp;XLOOKUP(DC$3,'TTM Dates'!$B:$B,'TTM Dates'!$C:$C)&amp;ROW($BK36))))</f>
        <v>7604939.35</v>
      </c>
      <c r="DD36" s="286">
        <f t="array" ref="DD36">IF(DD$3&gt;'QBO Summary'!$B$2,0,SUM(INDIRECT(XLOOKUP(DD$3,'TTM Dates'!$B:$B,'TTM Dates'!$E:$E)&amp;ROW($BK36)&amp;":"&amp;XLOOKUP(DD$3,'TTM Dates'!$B:$B,'TTM Dates'!$C:$C)&amp;ROW($BK36))))</f>
        <v>8129845.16</v>
      </c>
      <c r="DE36" s="286">
        <f t="array" ref="DE36">IF(DE$3&gt;'QBO Summary'!$B$2,0,SUM(INDIRECT(XLOOKUP(DE$3,'TTM Dates'!$B:$B,'TTM Dates'!$E:$E)&amp;ROW($BK36)&amp;":"&amp;XLOOKUP(DE$3,'TTM Dates'!$B:$B,'TTM Dates'!$C:$C)&amp;ROW($BK36))))</f>
        <v>8462985.56</v>
      </c>
      <c r="DF36" s="286">
        <f t="array" ref="DF36">IF(DF$3&gt;'QBO Summary'!$B$2,0,SUM(INDIRECT(XLOOKUP(DF$3,'TTM Dates'!$B:$B,'TTM Dates'!$E:$E)&amp;ROW($BK36)&amp;":"&amp;XLOOKUP(DF$3,'TTM Dates'!$B:$B,'TTM Dates'!$C:$C)&amp;ROW($BK36))))</f>
        <v>8627391.44</v>
      </c>
      <c r="DG36" s="286">
        <f t="array" ref="DG36">IF(DG$3&gt;'QBO Summary'!$B$2,0,SUM(INDIRECT(XLOOKUP(DG$3,'TTM Dates'!$B:$B,'TTM Dates'!$E:$E)&amp;ROW($BK36)&amp;":"&amp;XLOOKUP(DG$3,'TTM Dates'!$B:$B,'TTM Dates'!$C:$C)&amp;ROW($BK36))))</f>
        <v>8547991.66</v>
      </c>
      <c r="DH36" s="286">
        <f t="array" ref="DH36">IF(DH$3&gt;'QBO Summary'!$B$2,0,SUM(INDIRECT(XLOOKUP(DH$3,'TTM Dates'!$B:$B,'TTM Dates'!$E:$E)&amp;ROW($BK36)&amp;":"&amp;XLOOKUP(DH$3,'TTM Dates'!$B:$B,'TTM Dates'!$C:$C)&amp;ROW($BK36))))</f>
        <v>8394090.25</v>
      </c>
      <c r="DI36" s="286">
        <f t="array" ref="DI36">IF(DI$3&gt;'QBO Summary'!$B$2,0,SUM(INDIRECT(XLOOKUP(DI$3,'TTM Dates'!$B:$B,'TTM Dates'!$E:$E)&amp;ROW($BK36)&amp;":"&amp;XLOOKUP(DI$3,'TTM Dates'!$B:$B,'TTM Dates'!$C:$C)&amp;ROW($BK36))))</f>
        <v>8236437.2</v>
      </c>
      <c r="DJ36" s="286">
        <f t="array" ref="DJ36">IF(DJ$3&gt;'QBO Summary'!$B$2,0,SUM(INDIRECT(XLOOKUP(DJ$3,'TTM Dates'!$B:$B,'TTM Dates'!$E:$E)&amp;ROW($BK36)&amp;":"&amp;XLOOKUP(DJ$3,'TTM Dates'!$B:$B,'TTM Dates'!$C:$C)&amp;ROW($BK36))))</f>
        <v>8454847.57</v>
      </c>
      <c r="DK36" s="286">
        <f t="array" ref="DK36">IF(DK$3&gt;'QBO Summary'!$B$2,0,SUM(INDIRECT(XLOOKUP(DK$3,'TTM Dates'!$B:$B,'TTM Dates'!$E:$E)&amp;ROW($BK36)&amp;":"&amp;XLOOKUP(DK$3,'TTM Dates'!$B:$B,'TTM Dates'!$C:$C)&amp;ROW($BK36))))</f>
        <v>8311567.25</v>
      </c>
      <c r="DL36" s="286">
        <f t="array" ref="DL36">IF(DL$3&gt;'QBO Summary'!$B$2,0,SUM(INDIRECT(XLOOKUP(DL$3,'TTM Dates'!$B:$B,'TTM Dates'!$E:$E)&amp;ROW($BK36)&amp;":"&amp;XLOOKUP(DL$3,'TTM Dates'!$B:$B,'TTM Dates'!$C:$C)&amp;ROW($BK36))))</f>
        <v>8248709.35</v>
      </c>
      <c r="DM36" s="286">
        <f t="array" ref="DM36">IF(DM$3&gt;'QBO Summary'!$B$2,0,SUM(INDIRECT(XLOOKUP(DM$3,'TTM Dates'!$B:$B,'TTM Dates'!$E:$E)&amp;ROW($BK36)&amp;":"&amp;XLOOKUP(DM$3,'TTM Dates'!$B:$B,'TTM Dates'!$C:$C)&amp;ROW($BK36))))</f>
        <v>8141302.92</v>
      </c>
      <c r="DN36" s="286">
        <f t="array" ref="DN36">IF(DN$3&gt;'QBO Summary'!$B$2,0,SUM(INDIRECT(XLOOKUP(DN$3,'TTM Dates'!$B:$B,'TTM Dates'!$E:$E)&amp;ROW($BK36)&amp;":"&amp;XLOOKUP(DN$3,'TTM Dates'!$B:$B,'TTM Dates'!$C:$C)&amp;ROW($BK36))))</f>
        <v>7946377.51</v>
      </c>
      <c r="DO36" s="286">
        <f t="array" ref="DO36">IF(DO$3&gt;'QBO Summary'!$B$2,0,SUM(INDIRECT(XLOOKUP(DO$3,'TTM Dates'!$B:$B,'TTM Dates'!$E:$E)&amp;ROW($BK36)&amp;":"&amp;XLOOKUP(DO$3,'TTM Dates'!$B:$B,'TTM Dates'!$C:$C)&amp;ROW($BK36))))</f>
        <v>7955219.27</v>
      </c>
      <c r="DP36" s="286">
        <f t="array" ref="DP36">IF(DP$3&gt;'QBO Summary'!$B$2,0,SUM(INDIRECT(XLOOKUP(DP$3,'TTM Dates'!$B:$B,'TTM Dates'!$E:$E)&amp;ROW($BK36)&amp;":"&amp;XLOOKUP(DP$3,'TTM Dates'!$B:$B,'TTM Dates'!$C:$C)&amp;ROW($BK36))))</f>
        <v>7779190.95</v>
      </c>
      <c r="DQ36" s="286">
        <f t="array" ref="DQ36">IF(DQ$3&gt;'QBO Summary'!$B$2,0,SUM(INDIRECT(XLOOKUP(DQ$3,'TTM Dates'!$B:$B,'TTM Dates'!$E:$E)&amp;ROW($BK36)&amp;":"&amp;XLOOKUP(DQ$3,'TTM Dates'!$B:$B,'TTM Dates'!$C:$C)&amp;ROW($BK36))))</f>
        <v>7194269.11</v>
      </c>
      <c r="DR36" s="286">
        <f t="array" ref="DR36">IF(DR$3&gt;'QBO Summary'!$B$2,0,SUM(INDIRECT(XLOOKUP(DR$3,'TTM Dates'!$B:$B,'TTM Dates'!$E:$E)&amp;ROW($BK36)&amp;":"&amp;XLOOKUP(DR$3,'TTM Dates'!$B:$B,'TTM Dates'!$C:$C)&amp;ROW($BK36))))</f>
        <v>7329362.25</v>
      </c>
      <c r="DS36" s="286">
        <f t="array" ref="DS36">IF(DS$3&gt;'QBO Summary'!$B$2,0,SUM(INDIRECT(XLOOKUP(DS$3,'TTM Dates'!$B:$B,'TTM Dates'!$E:$E)&amp;ROW($BK36)&amp;":"&amp;XLOOKUP(DS$3,'TTM Dates'!$B:$B,'TTM Dates'!$C:$C)&amp;ROW($BK36))))</f>
        <v>7702535.46</v>
      </c>
      <c r="DT36" s="286">
        <f t="array" ref="DT36">IF(DT$3&gt;'QBO Summary'!$B$2,0,SUM(INDIRECT(XLOOKUP(DT$3,'TTM Dates'!$B:$B,'TTM Dates'!$E:$E)&amp;ROW($BK36)&amp;":"&amp;XLOOKUP(DT$3,'TTM Dates'!$B:$B,'TTM Dates'!$C:$C)&amp;ROW($BK36))))</f>
        <v>7833536.23</v>
      </c>
      <c r="DU36" s="286">
        <f t="array" ref="DU36">IF(DU$3&gt;'QBO Summary'!$B$2,0,SUM(INDIRECT(XLOOKUP(DU$3,'TTM Dates'!$B:$B,'TTM Dates'!$E:$E)&amp;ROW($BK36)&amp;":"&amp;XLOOKUP(DU$3,'TTM Dates'!$B:$B,'TTM Dates'!$C:$C)&amp;ROW($BK36))))</f>
        <v>8330200.29</v>
      </c>
      <c r="DV36" s="286">
        <f t="array" ref="DV36">IF(DV$3&gt;'QBO Summary'!$B$2,0,SUM(INDIRECT(XLOOKUP(DV$3,'TTM Dates'!$B:$B,'TTM Dates'!$E:$E)&amp;ROW($BK36)&amp;":"&amp;XLOOKUP(DV$3,'TTM Dates'!$B:$B,'TTM Dates'!$C:$C)&amp;ROW($BK36))))</f>
        <v>8417389.49</v>
      </c>
      <c r="DW36" s="286">
        <f t="array" ref="DW36">IF(DW$3&gt;'QBO Summary'!$B$2,0,SUM(INDIRECT(XLOOKUP(DW$3,'TTM Dates'!$B:$B,'TTM Dates'!$E:$E)&amp;ROW($BK36)&amp;":"&amp;XLOOKUP(DW$3,'TTM Dates'!$B:$B,'TTM Dates'!$C:$C)&amp;ROW($BK36))))</f>
        <v>8692916.22</v>
      </c>
      <c r="DX36" s="286">
        <f t="array" ref="DX36">IF(DX$3&gt;'QBO Summary'!$B$2,0,SUM(INDIRECT(XLOOKUP(DX$3,'TTM Dates'!$B:$B,'TTM Dates'!$E:$E)&amp;ROW($BK36)&amp;":"&amp;XLOOKUP(DX$3,'TTM Dates'!$B:$B,'TTM Dates'!$C:$C)&amp;ROW($BK36))))</f>
        <v>8700119.54</v>
      </c>
      <c r="DY36" s="286">
        <f t="array" ref="DY36">IF(DY$3&gt;'QBO Summary'!$B$2,0,SUM(INDIRECT(XLOOKUP(DY$3,'TTM Dates'!$B:$B,'TTM Dates'!$E:$E)&amp;ROW($BK36)&amp;":"&amp;XLOOKUP(DY$3,'TTM Dates'!$B:$B,'TTM Dates'!$C:$C)&amp;ROW($BK36))))</f>
        <v>9178072.88</v>
      </c>
      <c r="DZ36" s="286">
        <f t="array" ref="DZ36">IF(DZ$3&gt;'QBO Summary'!$B$2,0,SUM(INDIRECT(XLOOKUP(DZ$3,'TTM Dates'!$B:$B,'TTM Dates'!$E:$E)&amp;ROW($BK36)&amp;":"&amp;XLOOKUP(DZ$3,'TTM Dates'!$B:$B,'TTM Dates'!$C:$C)&amp;ROW($BK36))))</f>
        <v>8522478.48</v>
      </c>
      <c r="EA36" s="286">
        <f t="array" ref="EA36">IF(EA$3&gt;'QBO Summary'!$B$2,0,SUM(INDIRECT(XLOOKUP(EA$3,'TTM Dates'!$B:$B,'TTM Dates'!$E:$E)&amp;ROW($BK36)&amp;":"&amp;XLOOKUP(EA$3,'TTM Dates'!$B:$B,'TTM Dates'!$C:$C)&amp;ROW($BK36))))</f>
        <v>7800848.13</v>
      </c>
      <c r="EB36" s="286">
        <f t="array" ref="EB36">IF(EB$3&gt;'QBO Summary'!$B$2,0,SUM(INDIRECT(XLOOKUP(EB$3,'TTM Dates'!$B:$B,'TTM Dates'!$E:$E)&amp;ROW($BK36)&amp;":"&amp;XLOOKUP(EB$3,'TTM Dates'!$B:$B,'TTM Dates'!$C:$C)&amp;ROW($BK36))))</f>
        <v>7140699.52</v>
      </c>
      <c r="EC36" s="286">
        <f t="array" ref="EC36">IF(EC$3&gt;'QBO Summary'!$B$2,0,SUM(INDIRECT(XLOOKUP(EC$3,'TTM Dates'!$B:$B,'TTM Dates'!$E:$E)&amp;ROW($BK36)&amp;":"&amp;XLOOKUP(EC$3,'TTM Dates'!$B:$B,'TTM Dates'!$C:$C)&amp;ROW($BK36))))</f>
        <v>6522957.58</v>
      </c>
    </row>
    <row r="37" outlineLevel="1">
      <c r="B37" s="135" t="s">
        <v>506</v>
      </c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7">
        <v>176858.51</v>
      </c>
      <c r="AN37" s="137">
        <v>146074.74</v>
      </c>
      <c r="AO37" s="137">
        <v>119125.74</v>
      </c>
      <c r="AP37" s="137">
        <v>129493.59</v>
      </c>
      <c r="AQ37" s="137">
        <v>247232.34</v>
      </c>
      <c r="AR37" s="137">
        <v>180586.82</v>
      </c>
      <c r="AS37" s="137">
        <v>266631.33</v>
      </c>
      <c r="AT37" s="137">
        <v>315011.09</v>
      </c>
      <c r="AU37" s="137">
        <v>232174.06</v>
      </c>
      <c r="AV37" s="137">
        <v>310034.99</v>
      </c>
      <c r="AW37" s="137">
        <v>257259.08</v>
      </c>
      <c r="AX37" s="337">
        <v>192294.37</v>
      </c>
      <c r="AY37" s="337">
        <v>207638.59</v>
      </c>
      <c r="AZ37" s="337">
        <v>376841.7</v>
      </c>
      <c r="BA37" s="337">
        <v>194459.42</v>
      </c>
      <c r="BB37" s="337">
        <v>352415.63</v>
      </c>
      <c r="BC37" s="337">
        <v>251948.29</v>
      </c>
      <c r="BD37" s="337">
        <v>230239.13</v>
      </c>
      <c r="BE37" s="337">
        <v>194732.89</v>
      </c>
      <c r="BF37" s="337">
        <v>499667.32</v>
      </c>
      <c r="BG37" s="337"/>
      <c r="BH37" s="337"/>
      <c r="BI37" s="337"/>
      <c r="BJ37" s="337"/>
      <c r="BK37" s="33"/>
      <c r="BL37" s="288">
        <f t="array" ref="BL37">SUM(INDIRECT(XLOOKUP('QBO Summary'!$B$2,'TTM Dates'!$B:$B,'TTM Dates'!$E:$E)&amp;ROW($BK37)&amp;":"&amp;XLOOKUP('QBO Summary'!$B$2,'TTM Dates'!$B:$B,'TTM Dates'!$C:$C)&amp;ROW($BK37)))</f>
        <v>7453496.29</v>
      </c>
      <c r="BM37" s="49"/>
      <c r="BN37" s="136">
        <f t="shared" si="55"/>
        <v>778939.71</v>
      </c>
      <c r="BO37" s="136">
        <f t="shared" si="56"/>
        <v>834603.05</v>
      </c>
      <c r="BP37" s="136">
        <f t="shared" si="57"/>
        <v>694400.21</v>
      </c>
      <c r="BQ37" s="136">
        <f t="shared" si="58"/>
        <v>0</v>
      </c>
      <c r="BR37" s="292">
        <f t="shared" si="59"/>
        <v>2307942.97</v>
      </c>
      <c r="BS37" s="136"/>
      <c r="BT37" s="136">
        <f t="shared" si="60"/>
        <v>442058.99</v>
      </c>
      <c r="BU37" s="136">
        <f t="shared" si="61"/>
        <v>557312.75</v>
      </c>
      <c r="BV37" s="136">
        <f t="shared" si="62"/>
        <v>813816.48</v>
      </c>
      <c r="BW37" s="136">
        <f t="shared" si="63"/>
        <v>759588.44</v>
      </c>
      <c r="BX37" s="292">
        <f t="shared" si="64"/>
        <v>2572776.66</v>
      </c>
      <c r="BY37" s="136"/>
      <c r="BZ37" s="136"/>
      <c r="CA37" s="136"/>
      <c r="CB37" s="136"/>
      <c r="CC37" s="136"/>
      <c r="CD37" s="292"/>
      <c r="CE37" s="136"/>
      <c r="CF37" s="292"/>
      <c r="CG37" s="136"/>
      <c r="CH37" s="136">
        <f t="array" ref="CH37">IF(CH$3&gt;'QBO Summary'!$B$2,0,SUM(INDIRECT(XLOOKUP(CH$3,'TTM Dates'!$B:$B,'TTM Dates'!$E:$E)&amp;ROW($BK37)&amp;":"&amp;XLOOKUP(CH$3,'TTM Dates'!$B:$B,'TTM Dates'!$C:$C)&amp;ROW($BK37))))</f>
        <v>0</v>
      </c>
      <c r="CI37" s="136">
        <f t="array" ref="CI37">IF(CI$3&gt;'QBO Summary'!$B$2,0,SUM(INDIRECT(XLOOKUP(CI$3,'TTM Dates'!$B:$B,'TTM Dates'!$E:$E)&amp;ROW($BK37)&amp;":"&amp;XLOOKUP(CI$3,'TTM Dates'!$B:$B,'TTM Dates'!$C:$C)&amp;ROW($BK37))))</f>
        <v>0</v>
      </c>
      <c r="CJ37" s="136">
        <f t="array" ref="CJ37">IF(CJ$3&gt;'QBO Summary'!$B$2,0,SUM(INDIRECT(XLOOKUP(CJ$3,'TTM Dates'!$B:$B,'TTM Dates'!$E:$E)&amp;ROW($BK37)&amp;":"&amp;XLOOKUP(CJ$3,'TTM Dates'!$B:$B,'TTM Dates'!$C:$C)&amp;ROW($BK37))))</f>
        <v>0</v>
      </c>
      <c r="CK37" s="136">
        <f t="array" ref="CK37">IF(CK$3&gt;'QBO Summary'!$B$2,0,SUM(INDIRECT(XLOOKUP(CK$3,'TTM Dates'!$B:$B,'TTM Dates'!$E:$E)&amp;ROW($BK37)&amp;":"&amp;XLOOKUP(CK$3,'TTM Dates'!$B:$B,'TTM Dates'!$C:$C)&amp;ROW($BK37))))</f>
        <v>0</v>
      </c>
      <c r="CL37" s="136">
        <f t="array" ref="CL37">IF(CL$3&gt;'QBO Summary'!$B$2,0,SUM(INDIRECT(XLOOKUP(CL$3,'TTM Dates'!$B:$B,'TTM Dates'!$E:$E)&amp;ROW($BK37)&amp;":"&amp;XLOOKUP(CL$3,'TTM Dates'!$B:$B,'TTM Dates'!$C:$C)&amp;ROW($BK37))))</f>
        <v>0</v>
      </c>
      <c r="CM37" s="136">
        <f t="array" ref="CM37">IF(CM$3&gt;'QBO Summary'!$B$2,0,SUM(INDIRECT(XLOOKUP(CM$3,'TTM Dates'!$B:$B,'TTM Dates'!$E:$E)&amp;ROW($BK37)&amp;":"&amp;XLOOKUP(CM$3,'TTM Dates'!$B:$B,'TTM Dates'!$C:$C)&amp;ROW($BK37))))</f>
        <v>0</v>
      </c>
      <c r="CN37" s="136">
        <f t="array" ref="CN37">IF(CN$3&gt;'QBO Summary'!$B$2,0,SUM(INDIRECT(XLOOKUP(CN$3,'TTM Dates'!$B:$B,'TTM Dates'!$E:$E)&amp;ROW($BK37)&amp;":"&amp;XLOOKUP(CN$3,'TTM Dates'!$B:$B,'TTM Dates'!$C:$C)&amp;ROW($BK37))))</f>
        <v>0</v>
      </c>
      <c r="CO37" s="136">
        <f t="array" ref="CO37">IF(CO$3&gt;'QBO Summary'!$B$2,0,SUM(INDIRECT(XLOOKUP(CO$3,'TTM Dates'!$B:$B,'TTM Dates'!$E:$E)&amp;ROW($BK37)&amp;":"&amp;XLOOKUP(CO$3,'TTM Dates'!$B:$B,'TTM Dates'!$C:$C)&amp;ROW($BK37))))</f>
        <v>0</v>
      </c>
      <c r="CP37" s="136">
        <f t="array" ref="CP37">IF(CP$3&gt;'QBO Summary'!$B$2,0,SUM(INDIRECT(XLOOKUP(CP$3,'TTM Dates'!$B:$B,'TTM Dates'!$E:$E)&amp;ROW($BK37)&amp;":"&amp;XLOOKUP(CP$3,'TTM Dates'!$B:$B,'TTM Dates'!$C:$C)&amp;ROW($BK37))))</f>
        <v>0</v>
      </c>
      <c r="CQ37" s="136">
        <f t="array" ref="CQ37">IF(CQ$3&gt;'QBO Summary'!$B$2,0,SUM(INDIRECT(XLOOKUP(CQ$3,'TTM Dates'!$B:$B,'TTM Dates'!$E:$E)&amp;ROW($BK37)&amp;":"&amp;XLOOKUP(CQ$3,'TTM Dates'!$B:$B,'TTM Dates'!$C:$C)&amp;ROW($BK37))))</f>
        <v>0</v>
      </c>
      <c r="CR37" s="136">
        <f t="array" ref="CR37">IF(CR$3&gt;'QBO Summary'!$B$2,0,SUM(INDIRECT(XLOOKUP(CR$3,'TTM Dates'!$B:$B,'TTM Dates'!$E:$E)&amp;ROW($BK37)&amp;":"&amp;XLOOKUP(CR$3,'TTM Dates'!$B:$B,'TTM Dates'!$C:$C)&amp;ROW($BK37))))</f>
        <v>0</v>
      </c>
      <c r="CS37" s="136">
        <f t="array" ref="CS37">IF(CS$3&gt;'QBO Summary'!$B$2,0,SUM(INDIRECT(XLOOKUP(CS$3,'TTM Dates'!$B:$B,'TTM Dates'!$E:$E)&amp;ROW($BK37)&amp;":"&amp;XLOOKUP(CS$3,'TTM Dates'!$B:$B,'TTM Dates'!$C:$C)&amp;ROW($BK37))))</f>
        <v>0</v>
      </c>
      <c r="CT37" s="136">
        <f t="array" ref="CT37">IF(CT$3&gt;'QBO Summary'!$B$2,0,SUM(INDIRECT(XLOOKUP(CT$3,'TTM Dates'!$B:$B,'TTM Dates'!$E:$E)&amp;ROW($BK37)&amp;":"&amp;XLOOKUP(CT$3,'TTM Dates'!$B:$B,'TTM Dates'!$C:$C)&amp;ROW($BK37))))</f>
        <v>0</v>
      </c>
      <c r="CU37" s="136">
        <f t="array" ref="CU37">IF(CU$3&gt;'QBO Summary'!$B$2,0,SUM(INDIRECT(XLOOKUP(CU$3,'TTM Dates'!$B:$B,'TTM Dates'!$E:$E)&amp;ROW($BK37)&amp;":"&amp;XLOOKUP(CU$3,'TTM Dates'!$B:$B,'TTM Dates'!$C:$C)&amp;ROW($BK37))))</f>
        <v>0</v>
      </c>
      <c r="CV37" s="136">
        <f t="array" ref="CV37">IF(CV$3&gt;'QBO Summary'!$B$2,0,SUM(INDIRECT(XLOOKUP(CV$3,'TTM Dates'!$B:$B,'TTM Dates'!$E:$E)&amp;ROW($BK37)&amp;":"&amp;XLOOKUP(CV$3,'TTM Dates'!$B:$B,'TTM Dates'!$C:$C)&amp;ROW($BK37))))</f>
        <v>0</v>
      </c>
      <c r="CW37" s="136">
        <f t="array" ref="CW37">IF(CW$3&gt;'QBO Summary'!$B$2,0,SUM(INDIRECT(XLOOKUP(CW$3,'TTM Dates'!$B:$B,'TTM Dates'!$E:$E)&amp;ROW($BK37)&amp;":"&amp;XLOOKUP(CW$3,'TTM Dates'!$B:$B,'TTM Dates'!$C:$C)&amp;ROW($BK37))))</f>
        <v>0</v>
      </c>
      <c r="CX37" s="136">
        <f t="array" ref="CX37">IF(CX$3&gt;'QBO Summary'!$B$2,0,SUM(INDIRECT(XLOOKUP(CX$3,'TTM Dates'!$B:$B,'TTM Dates'!$E:$E)&amp;ROW($BK37)&amp;":"&amp;XLOOKUP(CX$3,'TTM Dates'!$B:$B,'TTM Dates'!$C:$C)&amp;ROW($BK37))))</f>
        <v>0</v>
      </c>
      <c r="CY37" s="136">
        <f t="array" ref="CY37">IF(CY$3&gt;'QBO Summary'!$B$2,0,SUM(INDIRECT(XLOOKUP(CY$3,'TTM Dates'!$B:$B,'TTM Dates'!$E:$E)&amp;ROW($BK37)&amp;":"&amp;XLOOKUP(CY$3,'TTM Dates'!$B:$B,'TTM Dates'!$C:$C)&amp;ROW($BK37))))</f>
        <v>0</v>
      </c>
      <c r="CZ37" s="136">
        <f t="array" ref="CZ37">IF(CZ$3&gt;'QBO Summary'!$B$2,0,SUM(INDIRECT(XLOOKUP(CZ$3,'TTM Dates'!$B:$B,'TTM Dates'!$E:$E)&amp;ROW($BK37)&amp;":"&amp;XLOOKUP(CZ$3,'TTM Dates'!$B:$B,'TTM Dates'!$C:$C)&amp;ROW($BK37))))</f>
        <v>0</v>
      </c>
      <c r="DA37" s="136">
        <f t="array" ref="DA37">IF(DA$3&gt;'QBO Summary'!$B$2,0,SUM(INDIRECT(XLOOKUP(DA$3,'TTM Dates'!$B:$B,'TTM Dates'!$E:$E)&amp;ROW($BK37)&amp;":"&amp;XLOOKUP(DA$3,'TTM Dates'!$B:$B,'TTM Dates'!$C:$C)&amp;ROW($BK37))))</f>
        <v>0</v>
      </c>
      <c r="DB37" s="136">
        <f t="array" ref="DB37">IF(DB$3&gt;'QBO Summary'!$B$2,0,SUM(INDIRECT(XLOOKUP(DB$3,'TTM Dates'!$B:$B,'TTM Dates'!$E:$E)&amp;ROW($BK37)&amp;":"&amp;XLOOKUP(DB$3,'TTM Dates'!$B:$B,'TTM Dates'!$C:$C)&amp;ROW($BK37))))</f>
        <v>0</v>
      </c>
      <c r="DC37" s="136">
        <f t="array" ref="DC37">IF(DC$3&gt;'QBO Summary'!$B$2,0,SUM(INDIRECT(XLOOKUP(DC$3,'TTM Dates'!$B:$B,'TTM Dates'!$E:$E)&amp;ROW($BK37)&amp;":"&amp;XLOOKUP(DC$3,'TTM Dates'!$B:$B,'TTM Dates'!$C:$C)&amp;ROW($BK37))))</f>
        <v>0</v>
      </c>
      <c r="DD37" s="136">
        <f t="array" ref="DD37">IF(DD$3&gt;'QBO Summary'!$B$2,0,SUM(INDIRECT(XLOOKUP(DD$3,'TTM Dates'!$B:$B,'TTM Dates'!$E:$E)&amp;ROW($BK37)&amp;":"&amp;XLOOKUP(DD$3,'TTM Dates'!$B:$B,'TTM Dates'!$C:$C)&amp;ROW($BK37))))</f>
        <v>0</v>
      </c>
      <c r="DE37" s="136">
        <f t="array" ref="DE37">IF(DE$3&gt;'QBO Summary'!$B$2,0,SUM(INDIRECT(XLOOKUP(DE$3,'TTM Dates'!$B:$B,'TTM Dates'!$E:$E)&amp;ROW($BK37)&amp;":"&amp;XLOOKUP(DE$3,'TTM Dates'!$B:$B,'TTM Dates'!$C:$C)&amp;ROW($BK37))))</f>
        <v>0</v>
      </c>
      <c r="DF37" s="136">
        <f t="array" ref="DF37">IF(DF$3&gt;'QBO Summary'!$B$2,0,SUM(INDIRECT(XLOOKUP(DF$3,'TTM Dates'!$B:$B,'TTM Dates'!$E:$E)&amp;ROW($BK37)&amp;":"&amp;XLOOKUP(DF$3,'TTM Dates'!$B:$B,'TTM Dates'!$C:$C)&amp;ROW($BK37))))</f>
        <v>176858.51</v>
      </c>
      <c r="DG37" s="136">
        <f t="array" ref="DG37">IF(DG$3&gt;'QBO Summary'!$B$2,0,SUM(INDIRECT(XLOOKUP(DG$3,'TTM Dates'!$B:$B,'TTM Dates'!$E:$E)&amp;ROW($BK37)&amp;":"&amp;XLOOKUP(DG$3,'TTM Dates'!$B:$B,'TTM Dates'!$C:$C)&amp;ROW($BK37))))</f>
        <v>322933.25</v>
      </c>
      <c r="DH37" s="136">
        <f t="array" ref="DH37">IF(DH$3&gt;'QBO Summary'!$B$2,0,SUM(INDIRECT(XLOOKUP(DH$3,'TTM Dates'!$B:$B,'TTM Dates'!$E:$E)&amp;ROW($BK37)&amp;":"&amp;XLOOKUP(DH$3,'TTM Dates'!$B:$B,'TTM Dates'!$C:$C)&amp;ROW($BK37))))</f>
        <v>442058.99</v>
      </c>
      <c r="DI37" s="136">
        <f t="array" ref="DI37">IF(DI$3&gt;'QBO Summary'!$B$2,0,SUM(INDIRECT(XLOOKUP(DI$3,'TTM Dates'!$B:$B,'TTM Dates'!$E:$E)&amp;ROW($BK37)&amp;":"&amp;XLOOKUP(DI$3,'TTM Dates'!$B:$B,'TTM Dates'!$C:$C)&amp;ROW($BK37))))</f>
        <v>571552.58</v>
      </c>
      <c r="DJ37" s="136">
        <f t="array" ref="DJ37">IF(DJ$3&gt;'QBO Summary'!$B$2,0,SUM(INDIRECT(XLOOKUP(DJ$3,'TTM Dates'!$B:$B,'TTM Dates'!$E:$E)&amp;ROW($BK37)&amp;":"&amp;XLOOKUP(DJ$3,'TTM Dates'!$B:$B,'TTM Dates'!$C:$C)&amp;ROW($BK37))))</f>
        <v>818784.92</v>
      </c>
      <c r="DK37" s="136">
        <f t="array" ref="DK37">IF(DK$3&gt;'QBO Summary'!$B$2,0,SUM(INDIRECT(XLOOKUP(DK$3,'TTM Dates'!$B:$B,'TTM Dates'!$E:$E)&amp;ROW($BK37)&amp;":"&amp;XLOOKUP(DK$3,'TTM Dates'!$B:$B,'TTM Dates'!$C:$C)&amp;ROW($BK37))))</f>
        <v>999371.74</v>
      </c>
      <c r="DL37" s="136">
        <f t="array" ref="DL37">IF(DL$3&gt;'QBO Summary'!$B$2,0,SUM(INDIRECT(XLOOKUP(DL$3,'TTM Dates'!$B:$B,'TTM Dates'!$E:$E)&amp;ROW($BK37)&amp;":"&amp;XLOOKUP(DL$3,'TTM Dates'!$B:$B,'TTM Dates'!$C:$C)&amp;ROW($BK37))))</f>
        <v>1266003.07</v>
      </c>
      <c r="DM37" s="136">
        <f t="array" ref="DM37">IF(DM$3&gt;'QBO Summary'!$B$2,0,SUM(INDIRECT(XLOOKUP(DM$3,'TTM Dates'!$B:$B,'TTM Dates'!$E:$E)&amp;ROW($BK37)&amp;":"&amp;XLOOKUP(DM$3,'TTM Dates'!$B:$B,'TTM Dates'!$C:$C)&amp;ROW($BK37))))</f>
        <v>1581014.16</v>
      </c>
      <c r="DN37" s="136">
        <f t="array" ref="DN37">IF(DN$3&gt;'QBO Summary'!$B$2,0,SUM(INDIRECT(XLOOKUP(DN$3,'TTM Dates'!$B:$B,'TTM Dates'!$E:$E)&amp;ROW($BK37)&amp;":"&amp;XLOOKUP(DN$3,'TTM Dates'!$B:$B,'TTM Dates'!$C:$C)&amp;ROW($BK37))))</f>
        <v>1813188.22</v>
      </c>
      <c r="DO37" s="136">
        <f t="array" ref="DO37">IF(DO$3&gt;'QBO Summary'!$B$2,0,SUM(INDIRECT(XLOOKUP(DO$3,'TTM Dates'!$B:$B,'TTM Dates'!$E:$E)&amp;ROW($BK37)&amp;":"&amp;XLOOKUP(DO$3,'TTM Dates'!$B:$B,'TTM Dates'!$C:$C)&amp;ROW($BK37))))</f>
        <v>2123223.21</v>
      </c>
      <c r="DP37" s="136">
        <f t="array" ref="DP37">IF(DP$3&gt;'QBO Summary'!$B$2,0,SUM(INDIRECT(XLOOKUP(DP$3,'TTM Dates'!$B:$B,'TTM Dates'!$E:$E)&amp;ROW($BK37)&amp;":"&amp;XLOOKUP(DP$3,'TTM Dates'!$B:$B,'TTM Dates'!$C:$C)&amp;ROW($BK37))))</f>
        <v>2380482.29</v>
      </c>
      <c r="DQ37" s="136">
        <f t="array" ref="DQ37">IF(DQ$3&gt;'QBO Summary'!$B$2,0,SUM(INDIRECT(XLOOKUP(DQ$3,'TTM Dates'!$B:$B,'TTM Dates'!$E:$E)&amp;ROW($BK37)&amp;":"&amp;XLOOKUP(DQ$3,'TTM Dates'!$B:$B,'TTM Dates'!$C:$C)&amp;ROW($BK37))))</f>
        <v>2572776.66</v>
      </c>
      <c r="DR37" s="136">
        <f t="array" ref="DR37">IF(DR$3&gt;'QBO Summary'!$B$2,0,SUM(INDIRECT(XLOOKUP(DR$3,'TTM Dates'!$B:$B,'TTM Dates'!$E:$E)&amp;ROW($BK37)&amp;":"&amp;XLOOKUP(DR$3,'TTM Dates'!$B:$B,'TTM Dates'!$C:$C)&amp;ROW($BK37))))</f>
        <v>2603556.74</v>
      </c>
      <c r="DS37" s="136">
        <f t="array" ref="DS37">IF(DS$3&gt;'QBO Summary'!$B$2,0,SUM(INDIRECT(XLOOKUP(DS$3,'TTM Dates'!$B:$B,'TTM Dates'!$E:$E)&amp;ROW($BK37)&amp;":"&amp;XLOOKUP(DS$3,'TTM Dates'!$B:$B,'TTM Dates'!$C:$C)&amp;ROW($BK37))))</f>
        <v>2834323.7</v>
      </c>
      <c r="DT37" s="136">
        <f t="array" ref="DT37">IF(DT$3&gt;'QBO Summary'!$B$2,0,SUM(INDIRECT(XLOOKUP(DT$3,'TTM Dates'!$B:$B,'TTM Dates'!$E:$E)&amp;ROW($BK37)&amp;":"&amp;XLOOKUP(DT$3,'TTM Dates'!$B:$B,'TTM Dates'!$C:$C)&amp;ROW($BK37))))</f>
        <v>2909657.38</v>
      </c>
      <c r="DU37" s="136">
        <f t="array" ref="DU37">IF(DU$3&gt;'QBO Summary'!$B$2,0,SUM(INDIRECT(XLOOKUP(DU$3,'TTM Dates'!$B:$B,'TTM Dates'!$E:$E)&amp;ROW($BK37)&amp;":"&amp;XLOOKUP(DU$3,'TTM Dates'!$B:$B,'TTM Dates'!$C:$C)&amp;ROW($BK37))))</f>
        <v>3132579.42</v>
      </c>
      <c r="DV37" s="136">
        <f t="array" ref="DV37">IF(DV$3&gt;'QBO Summary'!$B$2,0,SUM(INDIRECT(XLOOKUP(DV$3,'TTM Dates'!$B:$B,'TTM Dates'!$E:$E)&amp;ROW($BK37)&amp;":"&amp;XLOOKUP(DV$3,'TTM Dates'!$B:$B,'TTM Dates'!$C:$C)&amp;ROW($BK37))))</f>
        <v>3137295.37</v>
      </c>
      <c r="DW37" s="136">
        <f t="array" ref="DW37">IF(DW$3&gt;'QBO Summary'!$B$2,0,SUM(INDIRECT(XLOOKUP(DW$3,'TTM Dates'!$B:$B,'TTM Dates'!$E:$E)&amp;ROW($BK37)&amp;":"&amp;XLOOKUP(DW$3,'TTM Dates'!$B:$B,'TTM Dates'!$C:$C)&amp;ROW($BK37))))</f>
        <v>3186947.68</v>
      </c>
      <c r="DX37" s="136">
        <f t="array" ref="DX37">IF(DX$3&gt;'QBO Summary'!$B$2,0,SUM(INDIRECT(XLOOKUP(DX$3,'TTM Dates'!$B:$B,'TTM Dates'!$E:$E)&amp;ROW($BK37)&amp;":"&amp;XLOOKUP(DX$3,'TTM Dates'!$B:$B,'TTM Dates'!$C:$C)&amp;ROW($BK37))))</f>
        <v>3115049.24</v>
      </c>
      <c r="DY37" s="136">
        <f t="array" ref="DY37">IF(DY$3&gt;'QBO Summary'!$B$2,0,SUM(INDIRECT(XLOOKUP(DY$3,'TTM Dates'!$B:$B,'TTM Dates'!$E:$E)&amp;ROW($BK37)&amp;":"&amp;XLOOKUP(DY$3,'TTM Dates'!$B:$B,'TTM Dates'!$C:$C)&amp;ROW($BK37))))</f>
        <v>3299705.47</v>
      </c>
      <c r="DZ37" s="136">
        <f t="array" ref="DZ37">IF(DZ$3&gt;'QBO Summary'!$B$2,0,SUM(INDIRECT(XLOOKUP(DZ$3,'TTM Dates'!$B:$B,'TTM Dates'!$E:$E)&amp;ROW($BK37)&amp;":"&amp;XLOOKUP(DZ$3,'TTM Dates'!$B:$B,'TTM Dates'!$C:$C)&amp;ROW($BK37))))</f>
        <v>3067531.41</v>
      </c>
      <c r="EA37" s="136">
        <f t="array" ref="EA37">IF(EA$3&gt;'QBO Summary'!$B$2,0,SUM(INDIRECT(XLOOKUP(EA$3,'TTM Dates'!$B:$B,'TTM Dates'!$E:$E)&amp;ROW($BK37)&amp;":"&amp;XLOOKUP(EA$3,'TTM Dates'!$B:$B,'TTM Dates'!$C:$C)&amp;ROW($BK37))))</f>
        <v>2757496.42</v>
      </c>
      <c r="EB37" s="136">
        <f t="array" ref="EB37">IF(EB$3&gt;'QBO Summary'!$B$2,0,SUM(INDIRECT(XLOOKUP(EB$3,'TTM Dates'!$B:$B,'TTM Dates'!$E:$E)&amp;ROW($BK37)&amp;":"&amp;XLOOKUP(EB$3,'TTM Dates'!$B:$B,'TTM Dates'!$C:$C)&amp;ROW($BK37))))</f>
        <v>2500237.34</v>
      </c>
      <c r="EC37" s="136">
        <f t="array" ref="EC37">IF(EC$3&gt;'QBO Summary'!$B$2,0,SUM(INDIRECT(XLOOKUP(EC$3,'TTM Dates'!$B:$B,'TTM Dates'!$E:$E)&amp;ROW($BK37)&amp;":"&amp;XLOOKUP(EC$3,'TTM Dates'!$B:$B,'TTM Dates'!$C:$C)&amp;ROW($BK37))))</f>
        <v>2307942.97</v>
      </c>
    </row>
    <row r="38" outlineLevel="1">
      <c r="B38" s="135" t="s">
        <v>508</v>
      </c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7">
        <v>176277.05</v>
      </c>
      <c r="AN38" s="137">
        <v>134604.72</v>
      </c>
      <c r="AO38" s="137">
        <v>232640.2</v>
      </c>
      <c r="AP38" s="137">
        <v>127143.15</v>
      </c>
      <c r="AQ38" s="137">
        <v>336008.83</v>
      </c>
      <c r="AR38" s="137">
        <v>141525.02</v>
      </c>
      <c r="AS38" s="137">
        <v>258284.58</v>
      </c>
      <c r="AT38" s="137">
        <v>262441.15</v>
      </c>
      <c r="AU38" s="137">
        <v>261622.45</v>
      </c>
      <c r="AV38" s="137">
        <v>258975.95</v>
      </c>
      <c r="AW38" s="137">
        <v>252550.01</v>
      </c>
      <c r="AX38" s="337">
        <v>302555.68</v>
      </c>
      <c r="AY38" s="337">
        <v>232851.53</v>
      </c>
      <c r="AZ38" s="337">
        <v>235142.79</v>
      </c>
      <c r="BA38" s="337">
        <v>258299.59</v>
      </c>
      <c r="BB38" s="337">
        <v>274463.82</v>
      </c>
      <c r="BC38" s="337">
        <v>388786.58</v>
      </c>
      <c r="BD38" s="337">
        <v>308394.99</v>
      </c>
      <c r="BE38" s="337">
        <v>315222.27</v>
      </c>
      <c r="BF38" s="337">
        <v>477193.25</v>
      </c>
      <c r="BG38" s="337"/>
      <c r="BH38" s="337"/>
      <c r="BI38" s="337"/>
      <c r="BJ38" s="337"/>
      <c r="BK38" s="33"/>
      <c r="BL38" s="288">
        <f t="array" ref="BL38">SUM(INDIRECT(XLOOKUP('QBO Summary'!$B$2,'TTM Dates'!$B:$B,'TTM Dates'!$E:$E)&amp;ROW($BK38)&amp;":"&amp;XLOOKUP('QBO Summary'!$B$2,'TTM Dates'!$B:$B,'TTM Dates'!$C:$C)&amp;ROW($BK38)))</f>
        <v>7979612.4</v>
      </c>
      <c r="BM38" s="49"/>
      <c r="BN38" s="136">
        <f t="shared" si="55"/>
        <v>726293.91</v>
      </c>
      <c r="BO38" s="136">
        <f t="shared" si="56"/>
        <v>971645.39</v>
      </c>
      <c r="BP38" s="136">
        <f t="shared" si="57"/>
        <v>792415.52</v>
      </c>
      <c r="BQ38" s="136">
        <f t="shared" si="58"/>
        <v>0</v>
      </c>
      <c r="BR38" s="292">
        <f t="shared" si="59"/>
        <v>2490354.82</v>
      </c>
      <c r="BS38" s="136"/>
      <c r="BT38" s="136">
        <f t="shared" si="60"/>
        <v>543521.97</v>
      </c>
      <c r="BU38" s="136">
        <f t="shared" si="61"/>
        <v>604677</v>
      </c>
      <c r="BV38" s="136">
        <f t="shared" si="62"/>
        <v>782348.18</v>
      </c>
      <c r="BW38" s="136">
        <f t="shared" si="63"/>
        <v>814081.64</v>
      </c>
      <c r="BX38" s="292">
        <f t="shared" si="64"/>
        <v>2744628.79</v>
      </c>
      <c r="BY38" s="136"/>
      <c r="BZ38" s="136"/>
      <c r="CA38" s="136"/>
      <c r="CB38" s="136"/>
      <c r="CC38" s="136"/>
      <c r="CD38" s="292"/>
      <c r="CE38" s="136"/>
      <c r="CF38" s="292"/>
      <c r="CG38" s="136"/>
      <c r="CH38" s="136">
        <f t="array" ref="CH38">IF(CH$3&gt;'QBO Summary'!$B$2,0,SUM(INDIRECT(XLOOKUP(CH$3,'TTM Dates'!$B:$B,'TTM Dates'!$E:$E)&amp;ROW($BK38)&amp;":"&amp;XLOOKUP(CH$3,'TTM Dates'!$B:$B,'TTM Dates'!$C:$C)&amp;ROW($BK38))))</f>
        <v>0</v>
      </c>
      <c r="CI38" s="136">
        <f t="array" ref="CI38">IF(CI$3&gt;'QBO Summary'!$B$2,0,SUM(INDIRECT(XLOOKUP(CI$3,'TTM Dates'!$B:$B,'TTM Dates'!$E:$E)&amp;ROW($BK38)&amp;":"&amp;XLOOKUP(CI$3,'TTM Dates'!$B:$B,'TTM Dates'!$C:$C)&amp;ROW($BK38))))</f>
        <v>0</v>
      </c>
      <c r="CJ38" s="136">
        <f t="array" ref="CJ38">IF(CJ$3&gt;'QBO Summary'!$B$2,0,SUM(INDIRECT(XLOOKUP(CJ$3,'TTM Dates'!$B:$B,'TTM Dates'!$E:$E)&amp;ROW($BK38)&amp;":"&amp;XLOOKUP(CJ$3,'TTM Dates'!$B:$B,'TTM Dates'!$C:$C)&amp;ROW($BK38))))</f>
        <v>0</v>
      </c>
      <c r="CK38" s="136">
        <f t="array" ref="CK38">IF(CK$3&gt;'QBO Summary'!$B$2,0,SUM(INDIRECT(XLOOKUP(CK$3,'TTM Dates'!$B:$B,'TTM Dates'!$E:$E)&amp;ROW($BK38)&amp;":"&amp;XLOOKUP(CK$3,'TTM Dates'!$B:$B,'TTM Dates'!$C:$C)&amp;ROW($BK38))))</f>
        <v>0</v>
      </c>
      <c r="CL38" s="136">
        <f t="array" ref="CL38">IF(CL$3&gt;'QBO Summary'!$B$2,0,SUM(INDIRECT(XLOOKUP(CL$3,'TTM Dates'!$B:$B,'TTM Dates'!$E:$E)&amp;ROW($BK38)&amp;":"&amp;XLOOKUP(CL$3,'TTM Dates'!$B:$B,'TTM Dates'!$C:$C)&amp;ROW($BK38))))</f>
        <v>0</v>
      </c>
      <c r="CM38" s="136">
        <f t="array" ref="CM38">IF(CM$3&gt;'QBO Summary'!$B$2,0,SUM(INDIRECT(XLOOKUP(CM$3,'TTM Dates'!$B:$B,'TTM Dates'!$E:$E)&amp;ROW($BK38)&amp;":"&amp;XLOOKUP(CM$3,'TTM Dates'!$B:$B,'TTM Dates'!$C:$C)&amp;ROW($BK38))))</f>
        <v>0</v>
      </c>
      <c r="CN38" s="136">
        <f t="array" ref="CN38">IF(CN$3&gt;'QBO Summary'!$B$2,0,SUM(INDIRECT(XLOOKUP(CN$3,'TTM Dates'!$B:$B,'TTM Dates'!$E:$E)&amp;ROW($BK38)&amp;":"&amp;XLOOKUP(CN$3,'TTM Dates'!$B:$B,'TTM Dates'!$C:$C)&amp;ROW($BK38))))</f>
        <v>0</v>
      </c>
      <c r="CO38" s="136">
        <f t="array" ref="CO38">IF(CO$3&gt;'QBO Summary'!$B$2,0,SUM(INDIRECT(XLOOKUP(CO$3,'TTM Dates'!$B:$B,'TTM Dates'!$E:$E)&amp;ROW($BK38)&amp;":"&amp;XLOOKUP(CO$3,'TTM Dates'!$B:$B,'TTM Dates'!$C:$C)&amp;ROW($BK38))))</f>
        <v>0</v>
      </c>
      <c r="CP38" s="136">
        <f t="array" ref="CP38">IF(CP$3&gt;'QBO Summary'!$B$2,0,SUM(INDIRECT(XLOOKUP(CP$3,'TTM Dates'!$B:$B,'TTM Dates'!$E:$E)&amp;ROW($BK38)&amp;":"&amp;XLOOKUP(CP$3,'TTM Dates'!$B:$B,'TTM Dates'!$C:$C)&amp;ROW($BK38))))</f>
        <v>0</v>
      </c>
      <c r="CQ38" s="136">
        <f t="array" ref="CQ38">IF(CQ$3&gt;'QBO Summary'!$B$2,0,SUM(INDIRECT(XLOOKUP(CQ$3,'TTM Dates'!$B:$B,'TTM Dates'!$E:$E)&amp;ROW($BK38)&amp;":"&amp;XLOOKUP(CQ$3,'TTM Dates'!$B:$B,'TTM Dates'!$C:$C)&amp;ROW($BK38))))</f>
        <v>0</v>
      </c>
      <c r="CR38" s="136">
        <f t="array" ref="CR38">IF(CR$3&gt;'QBO Summary'!$B$2,0,SUM(INDIRECT(XLOOKUP(CR$3,'TTM Dates'!$B:$B,'TTM Dates'!$E:$E)&amp;ROW($BK38)&amp;":"&amp;XLOOKUP(CR$3,'TTM Dates'!$B:$B,'TTM Dates'!$C:$C)&amp;ROW($BK38))))</f>
        <v>0</v>
      </c>
      <c r="CS38" s="136">
        <f t="array" ref="CS38">IF(CS$3&gt;'QBO Summary'!$B$2,0,SUM(INDIRECT(XLOOKUP(CS$3,'TTM Dates'!$B:$B,'TTM Dates'!$E:$E)&amp;ROW($BK38)&amp;":"&amp;XLOOKUP(CS$3,'TTM Dates'!$B:$B,'TTM Dates'!$C:$C)&amp;ROW($BK38))))</f>
        <v>0</v>
      </c>
      <c r="CT38" s="136">
        <f t="array" ref="CT38">IF(CT$3&gt;'QBO Summary'!$B$2,0,SUM(INDIRECT(XLOOKUP(CT$3,'TTM Dates'!$B:$B,'TTM Dates'!$E:$E)&amp;ROW($BK38)&amp;":"&amp;XLOOKUP(CT$3,'TTM Dates'!$B:$B,'TTM Dates'!$C:$C)&amp;ROW($BK38))))</f>
        <v>0</v>
      </c>
      <c r="CU38" s="136">
        <f t="array" ref="CU38">IF(CU$3&gt;'QBO Summary'!$B$2,0,SUM(INDIRECT(XLOOKUP(CU$3,'TTM Dates'!$B:$B,'TTM Dates'!$E:$E)&amp;ROW($BK38)&amp;":"&amp;XLOOKUP(CU$3,'TTM Dates'!$B:$B,'TTM Dates'!$C:$C)&amp;ROW($BK38))))</f>
        <v>0</v>
      </c>
      <c r="CV38" s="136">
        <f t="array" ref="CV38">IF(CV$3&gt;'QBO Summary'!$B$2,0,SUM(INDIRECT(XLOOKUP(CV$3,'TTM Dates'!$B:$B,'TTM Dates'!$E:$E)&amp;ROW($BK38)&amp;":"&amp;XLOOKUP(CV$3,'TTM Dates'!$B:$B,'TTM Dates'!$C:$C)&amp;ROW($BK38))))</f>
        <v>0</v>
      </c>
      <c r="CW38" s="136">
        <f t="array" ref="CW38">IF(CW$3&gt;'QBO Summary'!$B$2,0,SUM(INDIRECT(XLOOKUP(CW$3,'TTM Dates'!$B:$B,'TTM Dates'!$E:$E)&amp;ROW($BK38)&amp;":"&amp;XLOOKUP(CW$3,'TTM Dates'!$B:$B,'TTM Dates'!$C:$C)&amp;ROW($BK38))))</f>
        <v>0</v>
      </c>
      <c r="CX38" s="136">
        <f t="array" ref="CX38">IF(CX$3&gt;'QBO Summary'!$B$2,0,SUM(INDIRECT(XLOOKUP(CX$3,'TTM Dates'!$B:$B,'TTM Dates'!$E:$E)&amp;ROW($BK38)&amp;":"&amp;XLOOKUP(CX$3,'TTM Dates'!$B:$B,'TTM Dates'!$C:$C)&amp;ROW($BK38))))</f>
        <v>0</v>
      </c>
      <c r="CY38" s="136">
        <f t="array" ref="CY38">IF(CY$3&gt;'QBO Summary'!$B$2,0,SUM(INDIRECT(XLOOKUP(CY$3,'TTM Dates'!$B:$B,'TTM Dates'!$E:$E)&amp;ROW($BK38)&amp;":"&amp;XLOOKUP(CY$3,'TTM Dates'!$B:$B,'TTM Dates'!$C:$C)&amp;ROW($BK38))))</f>
        <v>0</v>
      </c>
      <c r="CZ38" s="136">
        <f t="array" ref="CZ38">IF(CZ$3&gt;'QBO Summary'!$B$2,0,SUM(INDIRECT(XLOOKUP(CZ$3,'TTM Dates'!$B:$B,'TTM Dates'!$E:$E)&amp;ROW($BK38)&amp;":"&amp;XLOOKUP(CZ$3,'TTM Dates'!$B:$B,'TTM Dates'!$C:$C)&amp;ROW($BK38))))</f>
        <v>0</v>
      </c>
      <c r="DA38" s="136">
        <f t="array" ref="DA38">IF(DA$3&gt;'QBO Summary'!$B$2,0,SUM(INDIRECT(XLOOKUP(DA$3,'TTM Dates'!$B:$B,'TTM Dates'!$E:$E)&amp;ROW($BK38)&amp;":"&amp;XLOOKUP(DA$3,'TTM Dates'!$B:$B,'TTM Dates'!$C:$C)&amp;ROW($BK38))))</f>
        <v>0</v>
      </c>
      <c r="DB38" s="136">
        <f t="array" ref="DB38">IF(DB$3&gt;'QBO Summary'!$B$2,0,SUM(INDIRECT(XLOOKUP(DB$3,'TTM Dates'!$B:$B,'TTM Dates'!$E:$E)&amp;ROW($BK38)&amp;":"&amp;XLOOKUP(DB$3,'TTM Dates'!$B:$B,'TTM Dates'!$C:$C)&amp;ROW($BK38))))</f>
        <v>0</v>
      </c>
      <c r="DC38" s="136">
        <f t="array" ref="DC38">IF(DC$3&gt;'QBO Summary'!$B$2,0,SUM(INDIRECT(XLOOKUP(DC$3,'TTM Dates'!$B:$B,'TTM Dates'!$E:$E)&amp;ROW($BK38)&amp;":"&amp;XLOOKUP(DC$3,'TTM Dates'!$B:$B,'TTM Dates'!$C:$C)&amp;ROW($BK38))))</f>
        <v>0</v>
      </c>
      <c r="DD38" s="136">
        <f t="array" ref="DD38">IF(DD$3&gt;'QBO Summary'!$B$2,0,SUM(INDIRECT(XLOOKUP(DD$3,'TTM Dates'!$B:$B,'TTM Dates'!$E:$E)&amp;ROW($BK38)&amp;":"&amp;XLOOKUP(DD$3,'TTM Dates'!$B:$B,'TTM Dates'!$C:$C)&amp;ROW($BK38))))</f>
        <v>0</v>
      </c>
      <c r="DE38" s="136">
        <f t="array" ref="DE38">IF(DE$3&gt;'QBO Summary'!$B$2,0,SUM(INDIRECT(XLOOKUP(DE$3,'TTM Dates'!$B:$B,'TTM Dates'!$E:$E)&amp;ROW($BK38)&amp;":"&amp;XLOOKUP(DE$3,'TTM Dates'!$B:$B,'TTM Dates'!$C:$C)&amp;ROW($BK38))))</f>
        <v>0</v>
      </c>
      <c r="DF38" s="136">
        <f t="array" ref="DF38">IF(DF$3&gt;'QBO Summary'!$B$2,0,SUM(INDIRECT(XLOOKUP(DF$3,'TTM Dates'!$B:$B,'TTM Dates'!$E:$E)&amp;ROW($BK38)&amp;":"&amp;XLOOKUP(DF$3,'TTM Dates'!$B:$B,'TTM Dates'!$C:$C)&amp;ROW($BK38))))</f>
        <v>176277.05</v>
      </c>
      <c r="DG38" s="136">
        <f t="array" ref="DG38">IF(DG$3&gt;'QBO Summary'!$B$2,0,SUM(INDIRECT(XLOOKUP(DG$3,'TTM Dates'!$B:$B,'TTM Dates'!$E:$E)&amp;ROW($BK38)&amp;":"&amp;XLOOKUP(DG$3,'TTM Dates'!$B:$B,'TTM Dates'!$C:$C)&amp;ROW($BK38))))</f>
        <v>310881.77</v>
      </c>
      <c r="DH38" s="136">
        <f t="array" ref="DH38">IF(DH$3&gt;'QBO Summary'!$B$2,0,SUM(INDIRECT(XLOOKUP(DH$3,'TTM Dates'!$B:$B,'TTM Dates'!$E:$E)&amp;ROW($BK38)&amp;":"&amp;XLOOKUP(DH$3,'TTM Dates'!$B:$B,'TTM Dates'!$C:$C)&amp;ROW($BK38))))</f>
        <v>543521.97</v>
      </c>
      <c r="DI38" s="136">
        <f t="array" ref="DI38">IF(DI$3&gt;'QBO Summary'!$B$2,0,SUM(INDIRECT(XLOOKUP(DI$3,'TTM Dates'!$B:$B,'TTM Dates'!$E:$E)&amp;ROW($BK38)&amp;":"&amp;XLOOKUP(DI$3,'TTM Dates'!$B:$B,'TTM Dates'!$C:$C)&amp;ROW($BK38))))</f>
        <v>670665.12</v>
      </c>
      <c r="DJ38" s="136">
        <f t="array" ref="DJ38">IF(DJ$3&gt;'QBO Summary'!$B$2,0,SUM(INDIRECT(XLOOKUP(DJ$3,'TTM Dates'!$B:$B,'TTM Dates'!$E:$E)&amp;ROW($BK38)&amp;":"&amp;XLOOKUP(DJ$3,'TTM Dates'!$B:$B,'TTM Dates'!$C:$C)&amp;ROW($BK38))))</f>
        <v>1006673.95</v>
      </c>
      <c r="DK38" s="136">
        <f t="array" ref="DK38">IF(DK$3&gt;'QBO Summary'!$B$2,0,SUM(INDIRECT(XLOOKUP(DK$3,'TTM Dates'!$B:$B,'TTM Dates'!$E:$E)&amp;ROW($BK38)&amp;":"&amp;XLOOKUP(DK$3,'TTM Dates'!$B:$B,'TTM Dates'!$C:$C)&amp;ROW($BK38))))</f>
        <v>1148198.97</v>
      </c>
      <c r="DL38" s="136">
        <f t="array" ref="DL38">IF(DL$3&gt;'QBO Summary'!$B$2,0,SUM(INDIRECT(XLOOKUP(DL$3,'TTM Dates'!$B:$B,'TTM Dates'!$E:$E)&amp;ROW($BK38)&amp;":"&amp;XLOOKUP(DL$3,'TTM Dates'!$B:$B,'TTM Dates'!$C:$C)&amp;ROW($BK38))))</f>
        <v>1406483.55</v>
      </c>
      <c r="DM38" s="136">
        <f t="array" ref="DM38">IF(DM$3&gt;'QBO Summary'!$B$2,0,SUM(INDIRECT(XLOOKUP(DM$3,'TTM Dates'!$B:$B,'TTM Dates'!$E:$E)&amp;ROW($BK38)&amp;":"&amp;XLOOKUP(DM$3,'TTM Dates'!$B:$B,'TTM Dates'!$C:$C)&amp;ROW($BK38))))</f>
        <v>1668924.7</v>
      </c>
      <c r="DN38" s="136">
        <f t="array" ref="DN38">IF(DN$3&gt;'QBO Summary'!$B$2,0,SUM(INDIRECT(XLOOKUP(DN$3,'TTM Dates'!$B:$B,'TTM Dates'!$E:$E)&amp;ROW($BK38)&amp;":"&amp;XLOOKUP(DN$3,'TTM Dates'!$B:$B,'TTM Dates'!$C:$C)&amp;ROW($BK38))))</f>
        <v>1930547.15</v>
      </c>
      <c r="DO38" s="136">
        <f t="array" ref="DO38">IF(DO$3&gt;'QBO Summary'!$B$2,0,SUM(INDIRECT(XLOOKUP(DO$3,'TTM Dates'!$B:$B,'TTM Dates'!$E:$E)&amp;ROW($BK38)&amp;":"&amp;XLOOKUP(DO$3,'TTM Dates'!$B:$B,'TTM Dates'!$C:$C)&amp;ROW($BK38))))</f>
        <v>2189523.1</v>
      </c>
      <c r="DP38" s="136">
        <f t="array" ref="DP38">IF(DP$3&gt;'QBO Summary'!$B$2,0,SUM(INDIRECT(XLOOKUP(DP$3,'TTM Dates'!$B:$B,'TTM Dates'!$E:$E)&amp;ROW($BK38)&amp;":"&amp;XLOOKUP(DP$3,'TTM Dates'!$B:$B,'TTM Dates'!$C:$C)&amp;ROW($BK38))))</f>
        <v>2442073.11</v>
      </c>
      <c r="DQ38" s="136">
        <f t="array" ref="DQ38">IF(DQ$3&gt;'QBO Summary'!$B$2,0,SUM(INDIRECT(XLOOKUP(DQ$3,'TTM Dates'!$B:$B,'TTM Dates'!$E:$E)&amp;ROW($BK38)&amp;":"&amp;XLOOKUP(DQ$3,'TTM Dates'!$B:$B,'TTM Dates'!$C:$C)&amp;ROW($BK38))))</f>
        <v>2744628.79</v>
      </c>
      <c r="DR38" s="136">
        <f t="array" ref="DR38">IF(DR$3&gt;'QBO Summary'!$B$2,0,SUM(INDIRECT(XLOOKUP(DR$3,'TTM Dates'!$B:$B,'TTM Dates'!$E:$E)&amp;ROW($BK38)&amp;":"&amp;XLOOKUP(DR$3,'TTM Dates'!$B:$B,'TTM Dates'!$C:$C)&amp;ROW($BK38))))</f>
        <v>2801203.27</v>
      </c>
      <c r="DS38" s="136">
        <f t="array" ref="DS38">IF(DS$3&gt;'QBO Summary'!$B$2,0,SUM(INDIRECT(XLOOKUP(DS$3,'TTM Dates'!$B:$B,'TTM Dates'!$E:$E)&amp;ROW($BK38)&amp;":"&amp;XLOOKUP(DS$3,'TTM Dates'!$B:$B,'TTM Dates'!$C:$C)&amp;ROW($BK38))))</f>
        <v>2901741.34</v>
      </c>
      <c r="DT38" s="136">
        <f t="array" ref="DT38">IF(DT$3&gt;'QBO Summary'!$B$2,0,SUM(INDIRECT(XLOOKUP(DT$3,'TTM Dates'!$B:$B,'TTM Dates'!$E:$E)&amp;ROW($BK38)&amp;":"&amp;XLOOKUP(DT$3,'TTM Dates'!$B:$B,'TTM Dates'!$C:$C)&amp;ROW($BK38))))</f>
        <v>2927400.73</v>
      </c>
      <c r="DU38" s="136">
        <f t="array" ref="DU38">IF(DU$3&gt;'QBO Summary'!$B$2,0,SUM(INDIRECT(XLOOKUP(DU$3,'TTM Dates'!$B:$B,'TTM Dates'!$E:$E)&amp;ROW($BK38)&amp;":"&amp;XLOOKUP(DU$3,'TTM Dates'!$B:$B,'TTM Dates'!$C:$C)&amp;ROW($BK38))))</f>
        <v>3074721.4</v>
      </c>
      <c r="DV38" s="136">
        <f t="array" ref="DV38">IF(DV$3&gt;'QBO Summary'!$B$2,0,SUM(INDIRECT(XLOOKUP(DV$3,'TTM Dates'!$B:$B,'TTM Dates'!$E:$E)&amp;ROW($BK38)&amp;":"&amp;XLOOKUP(DV$3,'TTM Dates'!$B:$B,'TTM Dates'!$C:$C)&amp;ROW($BK38))))</f>
        <v>3127499.15</v>
      </c>
      <c r="DW38" s="136">
        <f t="array" ref="DW38">IF(DW$3&gt;'QBO Summary'!$B$2,0,SUM(INDIRECT(XLOOKUP(DW$3,'TTM Dates'!$B:$B,'TTM Dates'!$E:$E)&amp;ROW($BK38)&amp;":"&amp;XLOOKUP(DW$3,'TTM Dates'!$B:$B,'TTM Dates'!$C:$C)&amp;ROW($BK38))))</f>
        <v>3294369.12</v>
      </c>
      <c r="DX38" s="136">
        <f t="array" ref="DX38">IF(DX$3&gt;'QBO Summary'!$B$2,0,SUM(INDIRECT(XLOOKUP(DX$3,'TTM Dates'!$B:$B,'TTM Dates'!$E:$E)&amp;ROW($BK38)&amp;":"&amp;XLOOKUP(DX$3,'TTM Dates'!$B:$B,'TTM Dates'!$C:$C)&amp;ROW($BK38))))</f>
        <v>3351306.81</v>
      </c>
      <c r="DY38" s="136">
        <f t="array" ref="DY38">IF(DY$3&gt;'QBO Summary'!$B$2,0,SUM(INDIRECT(XLOOKUP(DY$3,'TTM Dates'!$B:$B,'TTM Dates'!$E:$E)&amp;ROW($BK38)&amp;":"&amp;XLOOKUP(DY$3,'TTM Dates'!$B:$B,'TTM Dates'!$C:$C)&amp;ROW($BK38))))</f>
        <v>3566058.91</v>
      </c>
      <c r="DZ38" s="136">
        <f t="array" ref="DZ38">IF(DZ$3&gt;'QBO Summary'!$B$2,0,SUM(INDIRECT(XLOOKUP(DZ$3,'TTM Dates'!$B:$B,'TTM Dates'!$E:$E)&amp;ROW($BK38)&amp;":"&amp;XLOOKUP(DZ$3,'TTM Dates'!$B:$B,'TTM Dates'!$C:$C)&amp;ROW($BK38))))</f>
        <v>3304436.46</v>
      </c>
      <c r="EA38" s="136">
        <f t="array" ref="EA38">IF(EA$3&gt;'QBO Summary'!$B$2,0,SUM(INDIRECT(XLOOKUP(EA$3,'TTM Dates'!$B:$B,'TTM Dates'!$E:$E)&amp;ROW($BK38)&amp;":"&amp;XLOOKUP(EA$3,'TTM Dates'!$B:$B,'TTM Dates'!$C:$C)&amp;ROW($BK38))))</f>
        <v>3045460.51</v>
      </c>
      <c r="EB38" s="136">
        <f t="array" ref="EB38">IF(EB$3&gt;'QBO Summary'!$B$2,0,SUM(INDIRECT(XLOOKUP(EB$3,'TTM Dates'!$B:$B,'TTM Dates'!$E:$E)&amp;ROW($BK38)&amp;":"&amp;XLOOKUP(EB$3,'TTM Dates'!$B:$B,'TTM Dates'!$C:$C)&amp;ROW($BK38))))</f>
        <v>2792910.5</v>
      </c>
      <c r="EC38" s="136">
        <f t="array" ref="EC38">IF(EC$3&gt;'QBO Summary'!$B$2,0,SUM(INDIRECT(XLOOKUP(EC$3,'TTM Dates'!$B:$B,'TTM Dates'!$E:$E)&amp;ROW($BK38)&amp;":"&amp;XLOOKUP(EC$3,'TTM Dates'!$B:$B,'TTM Dates'!$C:$C)&amp;ROW($BK38))))</f>
        <v>2490354.82</v>
      </c>
    </row>
    <row r="39" outlineLevel="1">
      <c r="B39" s="135" t="s">
        <v>510</v>
      </c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7">
        <v>174061.71</v>
      </c>
      <c r="AN39" s="137">
        <v>113835.13</v>
      </c>
      <c r="AO39" s="137">
        <v>146542.97</v>
      </c>
      <c r="AP39" s="137">
        <v>135168.01</v>
      </c>
      <c r="AQ39" s="137">
        <v>153711.09</v>
      </c>
      <c r="AR39" s="137">
        <v>138981.4</v>
      </c>
      <c r="AS39" s="137">
        <v>185293.08</v>
      </c>
      <c r="AT39" s="137">
        <v>241621.56</v>
      </c>
      <c r="AU39" s="137">
        <v>161797.89</v>
      </c>
      <c r="AV39" s="137">
        <v>152619.41</v>
      </c>
      <c r="AW39" s="137">
        <v>150339.52</v>
      </c>
      <c r="AX39" s="337">
        <v>122891.89</v>
      </c>
      <c r="AY39" s="337">
        <v>221800.29</v>
      </c>
      <c r="AZ39" s="337">
        <v>155703.31</v>
      </c>
      <c r="BA39" s="337">
        <v>176550.67</v>
      </c>
      <c r="BB39" s="337">
        <v>261589.36</v>
      </c>
      <c r="BC39" s="337">
        <v>183406.59</v>
      </c>
      <c r="BD39" s="337">
        <v>197985.85</v>
      </c>
      <c r="BE39" s="337">
        <v>207457.15</v>
      </c>
      <c r="BF39" s="337">
        <v>320166.57</v>
      </c>
      <c r="BG39" s="337"/>
      <c r="BH39" s="337"/>
      <c r="BI39" s="337"/>
      <c r="BJ39" s="337"/>
      <c r="BK39" s="33"/>
      <c r="BL39" s="288">
        <f t="array" ref="BL39">SUM(INDIRECT(XLOOKUP('QBO Summary'!$B$2,'TTM Dates'!$B:$B,'TTM Dates'!$E:$E)&amp;ROW($BK39)&amp;":"&amp;XLOOKUP('QBO Summary'!$B$2,'TTM Dates'!$B:$B,'TTM Dates'!$C:$C)&amp;ROW($BK39)))</f>
        <v>5478387.11</v>
      </c>
      <c r="BM39" s="49"/>
      <c r="BN39" s="136">
        <f t="shared" si="55"/>
        <v>554054.27</v>
      </c>
      <c r="BO39" s="136">
        <f t="shared" si="56"/>
        <v>642981.8</v>
      </c>
      <c r="BP39" s="136">
        <f t="shared" si="57"/>
        <v>527623.72</v>
      </c>
      <c r="BQ39" s="136">
        <f t="shared" si="58"/>
        <v>0</v>
      </c>
      <c r="BR39" s="292">
        <f t="shared" si="59"/>
        <v>1724659.79</v>
      </c>
      <c r="BS39" s="136"/>
      <c r="BT39" s="136">
        <f t="shared" si="60"/>
        <v>434439.81</v>
      </c>
      <c r="BU39" s="136">
        <f t="shared" si="61"/>
        <v>427860.5</v>
      </c>
      <c r="BV39" s="136">
        <f t="shared" si="62"/>
        <v>588712.53</v>
      </c>
      <c r="BW39" s="136">
        <f t="shared" si="63"/>
        <v>425850.82</v>
      </c>
      <c r="BX39" s="292">
        <f t="shared" si="64"/>
        <v>1876863.66</v>
      </c>
      <c r="BY39" s="136"/>
      <c r="BZ39" s="136"/>
      <c r="CA39" s="136"/>
      <c r="CB39" s="136"/>
      <c r="CC39" s="136"/>
      <c r="CD39" s="292"/>
      <c r="CE39" s="136"/>
      <c r="CF39" s="292"/>
      <c r="CG39" s="136"/>
      <c r="CH39" s="136">
        <f t="array" ref="CH39">IF(CH$3&gt;'QBO Summary'!$B$2,0,SUM(INDIRECT(XLOOKUP(CH$3,'TTM Dates'!$B:$B,'TTM Dates'!$E:$E)&amp;ROW($BK39)&amp;":"&amp;XLOOKUP(CH$3,'TTM Dates'!$B:$B,'TTM Dates'!$C:$C)&amp;ROW($BK39))))</f>
        <v>0</v>
      </c>
      <c r="CI39" s="136">
        <f t="array" ref="CI39">IF(CI$3&gt;'QBO Summary'!$B$2,0,SUM(INDIRECT(XLOOKUP(CI$3,'TTM Dates'!$B:$B,'TTM Dates'!$E:$E)&amp;ROW($BK39)&amp;":"&amp;XLOOKUP(CI$3,'TTM Dates'!$B:$B,'TTM Dates'!$C:$C)&amp;ROW($BK39))))</f>
        <v>0</v>
      </c>
      <c r="CJ39" s="136">
        <f t="array" ref="CJ39">IF(CJ$3&gt;'QBO Summary'!$B$2,0,SUM(INDIRECT(XLOOKUP(CJ$3,'TTM Dates'!$B:$B,'TTM Dates'!$E:$E)&amp;ROW($BK39)&amp;":"&amp;XLOOKUP(CJ$3,'TTM Dates'!$B:$B,'TTM Dates'!$C:$C)&amp;ROW($BK39))))</f>
        <v>0</v>
      </c>
      <c r="CK39" s="136">
        <f t="array" ref="CK39">IF(CK$3&gt;'QBO Summary'!$B$2,0,SUM(INDIRECT(XLOOKUP(CK$3,'TTM Dates'!$B:$B,'TTM Dates'!$E:$E)&amp;ROW($BK39)&amp;":"&amp;XLOOKUP(CK$3,'TTM Dates'!$B:$B,'TTM Dates'!$C:$C)&amp;ROW($BK39))))</f>
        <v>0</v>
      </c>
      <c r="CL39" s="136">
        <f t="array" ref="CL39">IF(CL$3&gt;'QBO Summary'!$B$2,0,SUM(INDIRECT(XLOOKUP(CL$3,'TTM Dates'!$B:$B,'TTM Dates'!$E:$E)&amp;ROW($BK39)&amp;":"&amp;XLOOKUP(CL$3,'TTM Dates'!$B:$B,'TTM Dates'!$C:$C)&amp;ROW($BK39))))</f>
        <v>0</v>
      </c>
      <c r="CM39" s="136">
        <f t="array" ref="CM39">IF(CM$3&gt;'QBO Summary'!$B$2,0,SUM(INDIRECT(XLOOKUP(CM$3,'TTM Dates'!$B:$B,'TTM Dates'!$E:$E)&amp;ROW($BK39)&amp;":"&amp;XLOOKUP(CM$3,'TTM Dates'!$B:$B,'TTM Dates'!$C:$C)&amp;ROW($BK39))))</f>
        <v>0</v>
      </c>
      <c r="CN39" s="136">
        <f t="array" ref="CN39">IF(CN$3&gt;'QBO Summary'!$B$2,0,SUM(INDIRECT(XLOOKUP(CN$3,'TTM Dates'!$B:$B,'TTM Dates'!$E:$E)&amp;ROW($BK39)&amp;":"&amp;XLOOKUP(CN$3,'TTM Dates'!$B:$B,'TTM Dates'!$C:$C)&amp;ROW($BK39))))</f>
        <v>0</v>
      </c>
      <c r="CO39" s="136">
        <f t="array" ref="CO39">IF(CO$3&gt;'QBO Summary'!$B$2,0,SUM(INDIRECT(XLOOKUP(CO$3,'TTM Dates'!$B:$B,'TTM Dates'!$E:$E)&amp;ROW($BK39)&amp;":"&amp;XLOOKUP(CO$3,'TTM Dates'!$B:$B,'TTM Dates'!$C:$C)&amp;ROW($BK39))))</f>
        <v>0</v>
      </c>
      <c r="CP39" s="136">
        <f t="array" ref="CP39">IF(CP$3&gt;'QBO Summary'!$B$2,0,SUM(INDIRECT(XLOOKUP(CP$3,'TTM Dates'!$B:$B,'TTM Dates'!$E:$E)&amp;ROW($BK39)&amp;":"&amp;XLOOKUP(CP$3,'TTM Dates'!$B:$B,'TTM Dates'!$C:$C)&amp;ROW($BK39))))</f>
        <v>0</v>
      </c>
      <c r="CQ39" s="136">
        <f t="array" ref="CQ39">IF(CQ$3&gt;'QBO Summary'!$B$2,0,SUM(INDIRECT(XLOOKUP(CQ$3,'TTM Dates'!$B:$B,'TTM Dates'!$E:$E)&amp;ROW($BK39)&amp;":"&amp;XLOOKUP(CQ$3,'TTM Dates'!$B:$B,'TTM Dates'!$C:$C)&amp;ROW($BK39))))</f>
        <v>0</v>
      </c>
      <c r="CR39" s="136">
        <f t="array" ref="CR39">IF(CR$3&gt;'QBO Summary'!$B$2,0,SUM(INDIRECT(XLOOKUP(CR$3,'TTM Dates'!$B:$B,'TTM Dates'!$E:$E)&amp;ROW($BK39)&amp;":"&amp;XLOOKUP(CR$3,'TTM Dates'!$B:$B,'TTM Dates'!$C:$C)&amp;ROW($BK39))))</f>
        <v>0</v>
      </c>
      <c r="CS39" s="136">
        <f t="array" ref="CS39">IF(CS$3&gt;'QBO Summary'!$B$2,0,SUM(INDIRECT(XLOOKUP(CS$3,'TTM Dates'!$B:$B,'TTM Dates'!$E:$E)&amp;ROW($BK39)&amp;":"&amp;XLOOKUP(CS$3,'TTM Dates'!$B:$B,'TTM Dates'!$C:$C)&amp;ROW($BK39))))</f>
        <v>0</v>
      </c>
      <c r="CT39" s="136">
        <f t="array" ref="CT39">IF(CT$3&gt;'QBO Summary'!$B$2,0,SUM(INDIRECT(XLOOKUP(CT$3,'TTM Dates'!$B:$B,'TTM Dates'!$E:$E)&amp;ROW($BK39)&amp;":"&amp;XLOOKUP(CT$3,'TTM Dates'!$B:$B,'TTM Dates'!$C:$C)&amp;ROW($BK39))))</f>
        <v>0</v>
      </c>
      <c r="CU39" s="136">
        <f t="array" ref="CU39">IF(CU$3&gt;'QBO Summary'!$B$2,0,SUM(INDIRECT(XLOOKUP(CU$3,'TTM Dates'!$B:$B,'TTM Dates'!$E:$E)&amp;ROW($BK39)&amp;":"&amp;XLOOKUP(CU$3,'TTM Dates'!$B:$B,'TTM Dates'!$C:$C)&amp;ROW($BK39))))</f>
        <v>0</v>
      </c>
      <c r="CV39" s="136">
        <f t="array" ref="CV39">IF(CV$3&gt;'QBO Summary'!$B$2,0,SUM(INDIRECT(XLOOKUP(CV$3,'TTM Dates'!$B:$B,'TTM Dates'!$E:$E)&amp;ROW($BK39)&amp;":"&amp;XLOOKUP(CV$3,'TTM Dates'!$B:$B,'TTM Dates'!$C:$C)&amp;ROW($BK39))))</f>
        <v>0</v>
      </c>
      <c r="CW39" s="136">
        <f t="array" ref="CW39">IF(CW$3&gt;'QBO Summary'!$B$2,0,SUM(INDIRECT(XLOOKUP(CW$3,'TTM Dates'!$B:$B,'TTM Dates'!$E:$E)&amp;ROW($BK39)&amp;":"&amp;XLOOKUP(CW$3,'TTM Dates'!$B:$B,'TTM Dates'!$C:$C)&amp;ROW($BK39))))</f>
        <v>0</v>
      </c>
      <c r="CX39" s="136">
        <f t="array" ref="CX39">IF(CX$3&gt;'QBO Summary'!$B$2,0,SUM(INDIRECT(XLOOKUP(CX$3,'TTM Dates'!$B:$B,'TTM Dates'!$E:$E)&amp;ROW($BK39)&amp;":"&amp;XLOOKUP(CX$3,'TTM Dates'!$B:$B,'TTM Dates'!$C:$C)&amp;ROW($BK39))))</f>
        <v>0</v>
      </c>
      <c r="CY39" s="136">
        <f t="array" ref="CY39">IF(CY$3&gt;'QBO Summary'!$B$2,0,SUM(INDIRECT(XLOOKUP(CY$3,'TTM Dates'!$B:$B,'TTM Dates'!$E:$E)&amp;ROW($BK39)&amp;":"&amp;XLOOKUP(CY$3,'TTM Dates'!$B:$B,'TTM Dates'!$C:$C)&amp;ROW($BK39))))</f>
        <v>0</v>
      </c>
      <c r="CZ39" s="136">
        <f t="array" ref="CZ39">IF(CZ$3&gt;'QBO Summary'!$B$2,0,SUM(INDIRECT(XLOOKUP(CZ$3,'TTM Dates'!$B:$B,'TTM Dates'!$E:$E)&amp;ROW($BK39)&amp;":"&amp;XLOOKUP(CZ$3,'TTM Dates'!$B:$B,'TTM Dates'!$C:$C)&amp;ROW($BK39))))</f>
        <v>0</v>
      </c>
      <c r="DA39" s="136">
        <f t="array" ref="DA39">IF(DA$3&gt;'QBO Summary'!$B$2,0,SUM(INDIRECT(XLOOKUP(DA$3,'TTM Dates'!$B:$B,'TTM Dates'!$E:$E)&amp;ROW($BK39)&amp;":"&amp;XLOOKUP(DA$3,'TTM Dates'!$B:$B,'TTM Dates'!$C:$C)&amp;ROW($BK39))))</f>
        <v>0</v>
      </c>
      <c r="DB39" s="136">
        <f t="array" ref="DB39">IF(DB$3&gt;'QBO Summary'!$B$2,0,SUM(INDIRECT(XLOOKUP(DB$3,'TTM Dates'!$B:$B,'TTM Dates'!$E:$E)&amp;ROW($BK39)&amp;":"&amp;XLOOKUP(DB$3,'TTM Dates'!$B:$B,'TTM Dates'!$C:$C)&amp;ROW($BK39))))</f>
        <v>0</v>
      </c>
      <c r="DC39" s="136">
        <f t="array" ref="DC39">IF(DC$3&gt;'QBO Summary'!$B$2,0,SUM(INDIRECT(XLOOKUP(DC$3,'TTM Dates'!$B:$B,'TTM Dates'!$E:$E)&amp;ROW($BK39)&amp;":"&amp;XLOOKUP(DC$3,'TTM Dates'!$B:$B,'TTM Dates'!$C:$C)&amp;ROW($BK39))))</f>
        <v>0</v>
      </c>
      <c r="DD39" s="136">
        <f t="array" ref="DD39">IF(DD$3&gt;'QBO Summary'!$B$2,0,SUM(INDIRECT(XLOOKUP(DD$3,'TTM Dates'!$B:$B,'TTM Dates'!$E:$E)&amp;ROW($BK39)&amp;":"&amp;XLOOKUP(DD$3,'TTM Dates'!$B:$B,'TTM Dates'!$C:$C)&amp;ROW($BK39))))</f>
        <v>0</v>
      </c>
      <c r="DE39" s="136">
        <f t="array" ref="DE39">IF(DE$3&gt;'QBO Summary'!$B$2,0,SUM(INDIRECT(XLOOKUP(DE$3,'TTM Dates'!$B:$B,'TTM Dates'!$E:$E)&amp;ROW($BK39)&amp;":"&amp;XLOOKUP(DE$3,'TTM Dates'!$B:$B,'TTM Dates'!$C:$C)&amp;ROW($BK39))))</f>
        <v>0</v>
      </c>
      <c r="DF39" s="136">
        <f t="array" ref="DF39">IF(DF$3&gt;'QBO Summary'!$B$2,0,SUM(INDIRECT(XLOOKUP(DF$3,'TTM Dates'!$B:$B,'TTM Dates'!$E:$E)&amp;ROW($BK39)&amp;":"&amp;XLOOKUP(DF$3,'TTM Dates'!$B:$B,'TTM Dates'!$C:$C)&amp;ROW($BK39))))</f>
        <v>174061.71</v>
      </c>
      <c r="DG39" s="136">
        <f t="array" ref="DG39">IF(DG$3&gt;'QBO Summary'!$B$2,0,SUM(INDIRECT(XLOOKUP(DG$3,'TTM Dates'!$B:$B,'TTM Dates'!$E:$E)&amp;ROW($BK39)&amp;":"&amp;XLOOKUP(DG$3,'TTM Dates'!$B:$B,'TTM Dates'!$C:$C)&amp;ROW($BK39))))</f>
        <v>287896.84</v>
      </c>
      <c r="DH39" s="136">
        <f t="array" ref="DH39">IF(DH$3&gt;'QBO Summary'!$B$2,0,SUM(INDIRECT(XLOOKUP(DH$3,'TTM Dates'!$B:$B,'TTM Dates'!$E:$E)&amp;ROW($BK39)&amp;":"&amp;XLOOKUP(DH$3,'TTM Dates'!$B:$B,'TTM Dates'!$C:$C)&amp;ROW($BK39))))</f>
        <v>434439.81</v>
      </c>
      <c r="DI39" s="136">
        <f t="array" ref="DI39">IF(DI$3&gt;'QBO Summary'!$B$2,0,SUM(INDIRECT(XLOOKUP(DI$3,'TTM Dates'!$B:$B,'TTM Dates'!$E:$E)&amp;ROW($BK39)&amp;":"&amp;XLOOKUP(DI$3,'TTM Dates'!$B:$B,'TTM Dates'!$C:$C)&amp;ROW($BK39))))</f>
        <v>569607.82</v>
      </c>
      <c r="DJ39" s="136">
        <f t="array" ref="DJ39">IF(DJ$3&gt;'QBO Summary'!$B$2,0,SUM(INDIRECT(XLOOKUP(DJ$3,'TTM Dates'!$B:$B,'TTM Dates'!$E:$E)&amp;ROW($BK39)&amp;":"&amp;XLOOKUP(DJ$3,'TTM Dates'!$B:$B,'TTM Dates'!$C:$C)&amp;ROW($BK39))))</f>
        <v>723318.91</v>
      </c>
      <c r="DK39" s="136">
        <f t="array" ref="DK39">IF(DK$3&gt;'QBO Summary'!$B$2,0,SUM(INDIRECT(XLOOKUP(DK$3,'TTM Dates'!$B:$B,'TTM Dates'!$E:$E)&amp;ROW($BK39)&amp;":"&amp;XLOOKUP(DK$3,'TTM Dates'!$B:$B,'TTM Dates'!$C:$C)&amp;ROW($BK39))))</f>
        <v>862300.31</v>
      </c>
      <c r="DL39" s="136">
        <f t="array" ref="DL39">IF(DL$3&gt;'QBO Summary'!$B$2,0,SUM(INDIRECT(XLOOKUP(DL$3,'TTM Dates'!$B:$B,'TTM Dates'!$E:$E)&amp;ROW($BK39)&amp;":"&amp;XLOOKUP(DL$3,'TTM Dates'!$B:$B,'TTM Dates'!$C:$C)&amp;ROW($BK39))))</f>
        <v>1047593.39</v>
      </c>
      <c r="DM39" s="136">
        <f t="array" ref="DM39">IF(DM$3&gt;'QBO Summary'!$B$2,0,SUM(INDIRECT(XLOOKUP(DM$3,'TTM Dates'!$B:$B,'TTM Dates'!$E:$E)&amp;ROW($BK39)&amp;":"&amp;XLOOKUP(DM$3,'TTM Dates'!$B:$B,'TTM Dates'!$C:$C)&amp;ROW($BK39))))</f>
        <v>1289214.95</v>
      </c>
      <c r="DN39" s="136">
        <f t="array" ref="DN39">IF(DN$3&gt;'QBO Summary'!$B$2,0,SUM(INDIRECT(XLOOKUP(DN$3,'TTM Dates'!$B:$B,'TTM Dates'!$E:$E)&amp;ROW($BK39)&amp;":"&amp;XLOOKUP(DN$3,'TTM Dates'!$B:$B,'TTM Dates'!$C:$C)&amp;ROW($BK39))))</f>
        <v>1451012.84</v>
      </c>
      <c r="DO39" s="136">
        <f t="array" ref="DO39">IF(DO$3&gt;'QBO Summary'!$B$2,0,SUM(INDIRECT(XLOOKUP(DO$3,'TTM Dates'!$B:$B,'TTM Dates'!$E:$E)&amp;ROW($BK39)&amp;":"&amp;XLOOKUP(DO$3,'TTM Dates'!$B:$B,'TTM Dates'!$C:$C)&amp;ROW($BK39))))</f>
        <v>1603632.25</v>
      </c>
      <c r="DP39" s="136">
        <f t="array" ref="DP39">IF(DP$3&gt;'QBO Summary'!$B$2,0,SUM(INDIRECT(XLOOKUP(DP$3,'TTM Dates'!$B:$B,'TTM Dates'!$E:$E)&amp;ROW($BK39)&amp;":"&amp;XLOOKUP(DP$3,'TTM Dates'!$B:$B,'TTM Dates'!$C:$C)&amp;ROW($BK39))))</f>
        <v>1753971.77</v>
      </c>
      <c r="DQ39" s="136">
        <f t="array" ref="DQ39">IF(DQ$3&gt;'QBO Summary'!$B$2,0,SUM(INDIRECT(XLOOKUP(DQ$3,'TTM Dates'!$B:$B,'TTM Dates'!$E:$E)&amp;ROW($BK39)&amp;":"&amp;XLOOKUP(DQ$3,'TTM Dates'!$B:$B,'TTM Dates'!$C:$C)&amp;ROW($BK39))))</f>
        <v>1876863.66</v>
      </c>
      <c r="DR39" s="136">
        <f t="array" ref="DR39">IF(DR$3&gt;'QBO Summary'!$B$2,0,SUM(INDIRECT(XLOOKUP(DR$3,'TTM Dates'!$B:$B,'TTM Dates'!$E:$E)&amp;ROW($BK39)&amp;":"&amp;XLOOKUP(DR$3,'TTM Dates'!$B:$B,'TTM Dates'!$C:$C)&amp;ROW($BK39))))</f>
        <v>1924602.24</v>
      </c>
      <c r="DS39" s="136">
        <f t="array" ref="DS39">IF(DS$3&gt;'QBO Summary'!$B$2,0,SUM(INDIRECT(XLOOKUP(DS$3,'TTM Dates'!$B:$B,'TTM Dates'!$E:$E)&amp;ROW($BK39)&amp;":"&amp;XLOOKUP(DS$3,'TTM Dates'!$B:$B,'TTM Dates'!$C:$C)&amp;ROW($BK39))))</f>
        <v>1966470.42</v>
      </c>
      <c r="DT39" s="136">
        <f t="array" ref="DT39">IF(DT$3&gt;'QBO Summary'!$B$2,0,SUM(INDIRECT(XLOOKUP(DT$3,'TTM Dates'!$B:$B,'TTM Dates'!$E:$E)&amp;ROW($BK39)&amp;":"&amp;XLOOKUP(DT$3,'TTM Dates'!$B:$B,'TTM Dates'!$C:$C)&amp;ROW($BK39))))</f>
        <v>1996478.12</v>
      </c>
      <c r="DU39" s="136">
        <f t="array" ref="DU39">IF(DU$3&gt;'QBO Summary'!$B$2,0,SUM(INDIRECT(XLOOKUP(DU$3,'TTM Dates'!$B:$B,'TTM Dates'!$E:$E)&amp;ROW($BK39)&amp;":"&amp;XLOOKUP(DU$3,'TTM Dates'!$B:$B,'TTM Dates'!$C:$C)&amp;ROW($BK39))))</f>
        <v>2122899.47</v>
      </c>
      <c r="DV39" s="136">
        <f t="array" ref="DV39">IF(DV$3&gt;'QBO Summary'!$B$2,0,SUM(INDIRECT(XLOOKUP(DV$3,'TTM Dates'!$B:$B,'TTM Dates'!$E:$E)&amp;ROW($BK39)&amp;":"&amp;XLOOKUP(DV$3,'TTM Dates'!$B:$B,'TTM Dates'!$C:$C)&amp;ROW($BK39))))</f>
        <v>2152594.97</v>
      </c>
      <c r="DW39" s="136">
        <f t="array" ref="DW39">IF(DW$3&gt;'QBO Summary'!$B$2,0,SUM(INDIRECT(XLOOKUP(DW$3,'TTM Dates'!$B:$B,'TTM Dates'!$E:$E)&amp;ROW($BK39)&amp;":"&amp;XLOOKUP(DW$3,'TTM Dates'!$B:$B,'TTM Dates'!$C:$C)&amp;ROW($BK39))))</f>
        <v>2211599.42</v>
      </c>
      <c r="DX39" s="136">
        <f t="array" ref="DX39">IF(DX$3&gt;'QBO Summary'!$B$2,0,SUM(INDIRECT(XLOOKUP(DX$3,'TTM Dates'!$B:$B,'TTM Dates'!$E:$E)&amp;ROW($BK39)&amp;":"&amp;XLOOKUP(DX$3,'TTM Dates'!$B:$B,'TTM Dates'!$C:$C)&amp;ROW($BK39))))</f>
        <v>2233763.49</v>
      </c>
      <c r="DY39" s="136">
        <f t="array" ref="DY39">IF(DY$3&gt;'QBO Summary'!$B$2,0,SUM(INDIRECT(XLOOKUP(DY$3,'TTM Dates'!$B:$B,'TTM Dates'!$E:$E)&amp;ROW($BK39)&amp;":"&amp;XLOOKUP(DY$3,'TTM Dates'!$B:$B,'TTM Dates'!$C:$C)&amp;ROW($BK39))))</f>
        <v>2312308.5</v>
      </c>
      <c r="DZ39" s="136">
        <f t="array" ref="DZ39">IF(DZ$3&gt;'QBO Summary'!$B$2,0,SUM(INDIRECT(XLOOKUP(DZ$3,'TTM Dates'!$B:$B,'TTM Dates'!$E:$E)&amp;ROW($BK39)&amp;":"&amp;XLOOKUP(DZ$3,'TTM Dates'!$B:$B,'TTM Dates'!$C:$C)&amp;ROW($BK39))))</f>
        <v>2150510.61</v>
      </c>
      <c r="EA39" s="136">
        <f t="array" ref="EA39">IF(EA$3&gt;'QBO Summary'!$B$2,0,SUM(INDIRECT(XLOOKUP(EA$3,'TTM Dates'!$B:$B,'TTM Dates'!$E:$E)&amp;ROW($BK39)&amp;":"&amp;XLOOKUP(EA$3,'TTM Dates'!$B:$B,'TTM Dates'!$C:$C)&amp;ROW($BK39))))</f>
        <v>1997891.2</v>
      </c>
      <c r="EB39" s="136">
        <f t="array" ref="EB39">IF(EB$3&gt;'QBO Summary'!$B$2,0,SUM(INDIRECT(XLOOKUP(EB$3,'TTM Dates'!$B:$B,'TTM Dates'!$E:$E)&amp;ROW($BK39)&amp;":"&amp;XLOOKUP(EB$3,'TTM Dates'!$B:$B,'TTM Dates'!$C:$C)&amp;ROW($BK39))))</f>
        <v>1847551.68</v>
      </c>
      <c r="EC39" s="136">
        <f t="array" ref="EC39">IF(EC$3&gt;'QBO Summary'!$B$2,0,SUM(INDIRECT(XLOOKUP(EC$3,'TTM Dates'!$B:$B,'TTM Dates'!$E:$E)&amp;ROW($BK39)&amp;":"&amp;XLOOKUP(EC$3,'TTM Dates'!$B:$B,'TTM Dates'!$C:$C)&amp;ROW($BK39))))</f>
        <v>1724659.79</v>
      </c>
    </row>
    <row r="40">
      <c r="B40" s="280" t="s">
        <v>303</v>
      </c>
      <c r="C40" s="286">
        <f>'P&amp;L 2020-2022'!B45</f>
        <v>29370.54</v>
      </c>
      <c r="D40" s="286">
        <f>'P&amp;L 2020-2022'!C45</f>
        <v>15609.87</v>
      </c>
      <c r="E40" s="286">
        <f>'P&amp;L 2020-2022'!D45</f>
        <v>26382.64</v>
      </c>
      <c r="F40" s="286">
        <f>'P&amp;L 2020-2022'!E45</f>
        <v>16412.95</v>
      </c>
      <c r="G40" s="286">
        <f>'P&amp;L 2020-2022'!F45</f>
        <v>13597.7</v>
      </c>
      <c r="H40" s="286">
        <f>'P&amp;L 2020-2022'!G45</f>
        <v>10975.32</v>
      </c>
      <c r="I40" s="286">
        <f>'P&amp;L 2020-2022'!H45</f>
        <v>18877.08</v>
      </c>
      <c r="J40" s="286">
        <f>'P&amp;L 2020-2022'!I45</f>
        <v>19359.27</v>
      </c>
      <c r="K40" s="286">
        <f>'P&amp;L 2020-2022'!J45</f>
        <v>64495.05</v>
      </c>
      <c r="L40" s="286">
        <f>'P&amp;L 2020-2022'!K45</f>
        <v>45341.09</v>
      </c>
      <c r="M40" s="286">
        <f>'P&amp;L 2020-2022'!L45</f>
        <v>22649.07</v>
      </c>
      <c r="N40" s="286">
        <f>'P&amp;L 2020-2022'!M45</f>
        <v>51504.56</v>
      </c>
      <c r="O40" s="286">
        <f>'P&amp;L 2020-2022'!N45</f>
        <v>112387.37</v>
      </c>
      <c r="P40" s="286">
        <f>'P&amp;L 2020-2022'!O45</f>
        <v>30245.88</v>
      </c>
      <c r="Q40" s="286">
        <f>'P&amp;L 2020-2022'!P45</f>
        <v>88773.14</v>
      </c>
      <c r="R40" s="286">
        <f>'P&amp;L 2020-2022'!Q45</f>
        <v>50641.08</v>
      </c>
      <c r="S40" s="286">
        <f>'P&amp;L 2020-2022'!R45</f>
        <v>85416.55</v>
      </c>
      <c r="T40" s="286">
        <f>'P&amp;L 2020-2022'!S45</f>
        <v>48106.17</v>
      </c>
      <c r="U40" s="286">
        <f>'P&amp;L 2020-2022'!T45</f>
        <v>78363.7</v>
      </c>
      <c r="V40" s="286">
        <f>'P&amp;L 2020-2022'!U45</f>
        <v>59437.98</v>
      </c>
      <c r="W40" s="286">
        <f>'P&amp;L 2020-2022'!V45</f>
        <v>127689.98</v>
      </c>
      <c r="X40" s="286">
        <f>'P&amp;L 2020-2022'!W45</f>
        <v>116200.88</v>
      </c>
      <c r="Y40" s="286">
        <f>'P&amp;L 2020-2022'!X45</f>
        <v>140184.75</v>
      </c>
      <c r="Z40" s="286">
        <f>'P&amp;L 2020-2022'!Y45</f>
        <v>119993.37</v>
      </c>
      <c r="AA40" s="286">
        <f>'P&amp;L 2020-2022'!Z45</f>
        <v>144548.03</v>
      </c>
      <c r="AB40" s="286">
        <f>'P&amp;L 2020-2022'!AA45</f>
        <v>99465.64</v>
      </c>
      <c r="AC40" s="286">
        <f>'P&amp;L 2020-2022'!AB45</f>
        <v>160397.62</v>
      </c>
      <c r="AD40" s="286">
        <f>'P&amp;L 2020-2022'!AC45</f>
        <v>143666.36</v>
      </c>
      <c r="AE40" s="286">
        <f>'P&amp;L 2020-2022'!AD45</f>
        <v>197305.42</v>
      </c>
      <c r="AF40" s="286">
        <f>'P&amp;L 2020-2022'!AE45</f>
        <v>154411.49</v>
      </c>
      <c r="AG40" s="286">
        <f>'P&amp;L 2020-2022'!AF45</f>
        <v>159008.67</v>
      </c>
      <c r="AH40" s="286">
        <f>'P&amp;L 2020-2022'!AG45</f>
        <v>348695.21</v>
      </c>
      <c r="AI40" s="286">
        <f>'P&amp;L 2020-2022'!AH45</f>
        <v>313415.33</v>
      </c>
      <c r="AJ40" s="286">
        <f>'P&amp;L 2020-2022'!AI45</f>
        <v>415028.44</v>
      </c>
      <c r="AK40" s="286">
        <f>'P&amp;L 2020-2022'!AJ45</f>
        <v>608658.82</v>
      </c>
      <c r="AL40" s="286">
        <f>'P&amp;L 2020-2022'!AK45</f>
        <v>628546.99</v>
      </c>
      <c r="AM40" s="108">
        <f t="shared" ref="AM40:BJ40" si="70">SUM(AM41:AM43)</f>
        <v>275497.36</v>
      </c>
      <c r="AN40" s="108">
        <f t="shared" si="70"/>
        <v>399443.96</v>
      </c>
      <c r="AO40" s="108">
        <f t="shared" si="70"/>
        <v>278224.85</v>
      </c>
      <c r="AP40" s="108">
        <f t="shared" si="70"/>
        <v>403497.63</v>
      </c>
      <c r="AQ40" s="108">
        <f t="shared" si="70"/>
        <v>316323.17</v>
      </c>
      <c r="AR40" s="108">
        <f t="shared" si="70"/>
        <v>249722.43</v>
      </c>
      <c r="AS40" s="108">
        <f t="shared" si="70"/>
        <v>339949.3</v>
      </c>
      <c r="AT40" s="108">
        <f t="shared" si="70"/>
        <v>320006.89</v>
      </c>
      <c r="AU40" s="108">
        <f t="shared" si="70"/>
        <v>182724.6</v>
      </c>
      <c r="AV40" s="108">
        <f t="shared" si="70"/>
        <v>178846.73</v>
      </c>
      <c r="AW40" s="108">
        <f t="shared" si="70"/>
        <v>188376.17</v>
      </c>
      <c r="AX40" s="108">
        <f t="shared" si="70"/>
        <v>240067.6</v>
      </c>
      <c r="AY40" s="108">
        <f t="shared" si="70"/>
        <v>389451.12</v>
      </c>
      <c r="AZ40" s="108">
        <f t="shared" si="70"/>
        <v>232628.12</v>
      </c>
      <c r="BA40" s="108">
        <f t="shared" si="70"/>
        <v>331805.1</v>
      </c>
      <c r="BB40" s="108">
        <f t="shared" si="70"/>
        <v>501644.57</v>
      </c>
      <c r="BC40" s="108">
        <f t="shared" si="70"/>
        <v>495620.59</v>
      </c>
      <c r="BD40" s="108">
        <f t="shared" si="70"/>
        <v>477443.57</v>
      </c>
      <c r="BE40" s="108">
        <f t="shared" si="70"/>
        <v>445841.19</v>
      </c>
      <c r="BF40" s="108">
        <f t="shared" si="70"/>
        <v>670705.83</v>
      </c>
      <c r="BG40" s="108">
        <f t="shared" si="70"/>
        <v>0</v>
      </c>
      <c r="BH40" s="108">
        <f t="shared" si="70"/>
        <v>0</v>
      </c>
      <c r="BI40" s="108">
        <f t="shared" si="70"/>
        <v>0</v>
      </c>
      <c r="BJ40" s="108">
        <f t="shared" si="70"/>
        <v>0</v>
      </c>
      <c r="BK40" s="33"/>
      <c r="BL40" s="282">
        <f t="array" ref="BL40">SUM(INDIRECT(XLOOKUP('QBO Summary'!$B$2,'TTM Dates'!$B:$B,'TTM Dates'!$E:$E)&amp;ROW($BK40)&amp;":"&amp;XLOOKUP('QBO Summary'!$B$2,'TTM Dates'!$B:$B,'TTM Dates'!$C:$C)&amp;ROW($BK40)))</f>
        <v>12011415.24</v>
      </c>
      <c r="BM40" s="351"/>
      <c r="BN40" s="108">
        <f t="shared" si="55"/>
        <v>953884.34</v>
      </c>
      <c r="BO40" s="108">
        <f t="shared" si="56"/>
        <v>1474708.73</v>
      </c>
      <c r="BP40" s="108">
        <f t="shared" si="57"/>
        <v>1116547.02</v>
      </c>
      <c r="BQ40" s="108">
        <f t="shared" si="58"/>
        <v>0</v>
      </c>
      <c r="BR40" s="282">
        <f t="shared" si="59"/>
        <v>3545140.09</v>
      </c>
      <c r="BS40" s="283"/>
      <c r="BT40" s="108">
        <f t="shared" si="60"/>
        <v>953166.17</v>
      </c>
      <c r="BU40" s="108">
        <f t="shared" si="61"/>
        <v>969543.23</v>
      </c>
      <c r="BV40" s="108">
        <f t="shared" si="62"/>
        <v>842680.79</v>
      </c>
      <c r="BW40" s="108">
        <f t="shared" si="63"/>
        <v>607290.5</v>
      </c>
      <c r="BX40" s="282">
        <f t="shared" si="64"/>
        <v>3372680.69</v>
      </c>
      <c r="BY40" s="283"/>
      <c r="BZ40" s="108">
        <f>sum(AA40:AC40)</f>
        <v>404411.29</v>
      </c>
      <c r="CA40" s="108">
        <f>sum(AD40:AF40)</f>
        <v>495383.27</v>
      </c>
      <c r="CB40" s="108">
        <f>sum(AG40:AI40)</f>
        <v>821119.21</v>
      </c>
      <c r="CC40" s="108">
        <f>sum(AJ40:AL40)</f>
        <v>1652234.25</v>
      </c>
      <c r="CD40" s="282">
        <f>sum(AA40:AL40)</f>
        <v>3373148.02</v>
      </c>
      <c r="CE40" s="283"/>
      <c r="CF40" s="282">
        <f>SUM(O40:Z40)</f>
        <v>1057440.85</v>
      </c>
      <c r="CG40" s="136"/>
      <c r="CH40" s="286">
        <f t="array" ref="CH40">IF(CH$3&gt;'QBO Summary'!$B$2,0,SUM(INDIRECT(XLOOKUP(CH$3,'TTM Dates'!$B:$B,'TTM Dates'!$E:$E)&amp;ROW($BK40)&amp;":"&amp;XLOOKUP(CH$3,'TTM Dates'!$B:$B,'TTM Dates'!$C:$C)&amp;ROW($BK40))))</f>
        <v>417591.97</v>
      </c>
      <c r="CI40" s="286">
        <f t="array" ref="CI40">IF(CI$3&gt;'QBO Summary'!$B$2,0,SUM(INDIRECT(XLOOKUP(CI$3,'TTM Dates'!$B:$B,'TTM Dates'!$E:$E)&amp;ROW($BK40)&amp;":"&amp;XLOOKUP(CI$3,'TTM Dates'!$B:$B,'TTM Dates'!$C:$C)&amp;ROW($BK40))))</f>
        <v>432227.98</v>
      </c>
      <c r="CJ40" s="286">
        <f t="array" ref="CJ40">IF(CJ$3&gt;'QBO Summary'!$B$2,0,SUM(INDIRECT(XLOOKUP(CJ$3,'TTM Dates'!$B:$B,'TTM Dates'!$E:$E)&amp;ROW($BK40)&amp;":"&amp;XLOOKUP(CJ$3,'TTM Dates'!$B:$B,'TTM Dates'!$C:$C)&amp;ROW($BK40))))</f>
        <v>494618.48</v>
      </c>
      <c r="CK40" s="286">
        <f t="array" ref="CK40">IF(CK$3&gt;'QBO Summary'!$B$2,0,SUM(INDIRECT(XLOOKUP(CK$3,'TTM Dates'!$B:$B,'TTM Dates'!$E:$E)&amp;ROW($BK40)&amp;":"&amp;XLOOKUP(CK$3,'TTM Dates'!$B:$B,'TTM Dates'!$C:$C)&amp;ROW($BK40))))</f>
        <v>528846.61</v>
      </c>
      <c r="CL40" s="286">
        <f t="array" ref="CL40">IF(CL$3&gt;'QBO Summary'!$B$2,0,SUM(INDIRECT(XLOOKUP(CL$3,'TTM Dates'!$B:$B,'TTM Dates'!$E:$E)&amp;ROW($BK40)&amp;":"&amp;XLOOKUP(CL$3,'TTM Dates'!$B:$B,'TTM Dates'!$C:$C)&amp;ROW($BK40))))</f>
        <v>600665.46</v>
      </c>
      <c r="CM40" s="286">
        <f t="array" ref="CM40">IF(CM$3&gt;'QBO Summary'!$B$2,0,SUM(INDIRECT(XLOOKUP(CM$3,'TTM Dates'!$B:$B,'TTM Dates'!$E:$E)&amp;ROW($BK40)&amp;":"&amp;XLOOKUP(CM$3,'TTM Dates'!$B:$B,'TTM Dates'!$C:$C)&amp;ROW($BK40))))</f>
        <v>637796.31</v>
      </c>
      <c r="CN40" s="286">
        <f t="array" ref="CN40">IF(CN$3&gt;'QBO Summary'!$B$2,0,SUM(INDIRECT(XLOOKUP(CN$3,'TTM Dates'!$B:$B,'TTM Dates'!$E:$E)&amp;ROW($BK40)&amp;":"&amp;XLOOKUP(CN$3,'TTM Dates'!$B:$B,'TTM Dates'!$C:$C)&amp;ROW($BK40))))</f>
        <v>697282.93</v>
      </c>
      <c r="CO40" s="286">
        <f t="array" ref="CO40">IF(CO$3&gt;'QBO Summary'!$B$2,0,SUM(INDIRECT(XLOOKUP(CO$3,'TTM Dates'!$B:$B,'TTM Dates'!$E:$E)&amp;ROW($BK40)&amp;":"&amp;XLOOKUP(CO$3,'TTM Dates'!$B:$B,'TTM Dates'!$C:$C)&amp;ROW($BK40))))</f>
        <v>737361.64</v>
      </c>
      <c r="CP40" s="286">
        <f t="array" ref="CP40">IF(CP$3&gt;'QBO Summary'!$B$2,0,SUM(INDIRECT(XLOOKUP(CP$3,'TTM Dates'!$B:$B,'TTM Dates'!$E:$E)&amp;ROW($BK40)&amp;":"&amp;XLOOKUP(CP$3,'TTM Dates'!$B:$B,'TTM Dates'!$C:$C)&amp;ROW($BK40))))</f>
        <v>800556.57</v>
      </c>
      <c r="CQ40" s="286">
        <f t="array" ref="CQ40">IF(CQ$3&gt;'QBO Summary'!$B$2,0,SUM(INDIRECT(XLOOKUP(CQ$3,'TTM Dates'!$B:$B,'TTM Dates'!$E:$E)&amp;ROW($BK40)&amp;":"&amp;XLOOKUP(CQ$3,'TTM Dates'!$B:$B,'TTM Dates'!$C:$C)&amp;ROW($BK40))))</f>
        <v>871416.36</v>
      </c>
      <c r="CR40" s="286">
        <f t="array" ref="CR40">IF(CR$3&gt;'QBO Summary'!$B$2,0,SUM(INDIRECT(XLOOKUP(CR$3,'TTM Dates'!$B:$B,'TTM Dates'!$E:$E)&amp;ROW($BK40)&amp;":"&amp;XLOOKUP(CR$3,'TTM Dates'!$B:$B,'TTM Dates'!$C:$C)&amp;ROW($BK40))))</f>
        <v>988952.04</v>
      </c>
      <c r="CS40" s="286">
        <f t="array" ref="CS40">IF(CS$3&gt;'QBO Summary'!$B$2,0,SUM(INDIRECT(XLOOKUP(CS$3,'TTM Dates'!$B:$B,'TTM Dates'!$E:$E)&amp;ROW($BK40)&amp;":"&amp;XLOOKUP(CS$3,'TTM Dates'!$B:$B,'TTM Dates'!$C:$C)&amp;ROW($BK40))))</f>
        <v>1057440.85</v>
      </c>
      <c r="CT40" s="286">
        <f t="array" ref="CT40">IF(CT$3&gt;'QBO Summary'!$B$2,0,SUM(INDIRECT(XLOOKUP(CT$3,'TTM Dates'!$B:$B,'TTM Dates'!$E:$E)&amp;ROW($BK40)&amp;":"&amp;XLOOKUP(CT$3,'TTM Dates'!$B:$B,'TTM Dates'!$C:$C)&amp;ROW($BK40))))</f>
        <v>1089601.51</v>
      </c>
      <c r="CU40" s="286">
        <f t="array" ref="CU40">IF(CU$3&gt;'QBO Summary'!$B$2,0,SUM(INDIRECT(XLOOKUP(CU$3,'TTM Dates'!$B:$B,'TTM Dates'!$E:$E)&amp;ROW($BK40)&amp;":"&amp;XLOOKUP(CU$3,'TTM Dates'!$B:$B,'TTM Dates'!$C:$C)&amp;ROW($BK40))))</f>
        <v>1158821.27</v>
      </c>
      <c r="CV40" s="286">
        <f t="array" ref="CV40">IF(CV$3&gt;'QBO Summary'!$B$2,0,SUM(INDIRECT(XLOOKUP(CV$3,'TTM Dates'!$B:$B,'TTM Dates'!$E:$E)&amp;ROW($BK40)&amp;":"&amp;XLOOKUP(CV$3,'TTM Dates'!$B:$B,'TTM Dates'!$C:$C)&amp;ROW($BK40))))</f>
        <v>1230445.75</v>
      </c>
      <c r="CW40" s="286">
        <f t="array" ref="CW40">IF(CW$3&gt;'QBO Summary'!$B$2,0,SUM(INDIRECT(XLOOKUP(CW$3,'TTM Dates'!$B:$B,'TTM Dates'!$E:$E)&amp;ROW($BK40)&amp;":"&amp;XLOOKUP(CW$3,'TTM Dates'!$B:$B,'TTM Dates'!$C:$C)&amp;ROW($BK40))))</f>
        <v>1323471.03</v>
      </c>
      <c r="CX40" s="286">
        <f t="array" ref="CX40">IF(CX$3&gt;'QBO Summary'!$B$2,0,SUM(INDIRECT(XLOOKUP(CX$3,'TTM Dates'!$B:$B,'TTM Dates'!$E:$E)&amp;ROW($BK40)&amp;":"&amp;XLOOKUP(CX$3,'TTM Dates'!$B:$B,'TTM Dates'!$C:$C)&amp;ROW($BK40))))</f>
        <v>1435359.9</v>
      </c>
      <c r="CY40" s="286">
        <f t="array" ref="CY40">IF(CY$3&gt;'QBO Summary'!$B$2,0,SUM(INDIRECT(XLOOKUP(CY$3,'TTM Dates'!$B:$B,'TTM Dates'!$E:$E)&amp;ROW($BK40)&amp;":"&amp;XLOOKUP(CY$3,'TTM Dates'!$B:$B,'TTM Dates'!$C:$C)&amp;ROW($BK40))))</f>
        <v>1541665.22</v>
      </c>
      <c r="CZ40" s="286">
        <f t="array" ref="CZ40">IF(CZ$3&gt;'QBO Summary'!$B$2,0,SUM(INDIRECT(XLOOKUP(CZ$3,'TTM Dates'!$B:$B,'TTM Dates'!$E:$E)&amp;ROW($BK40)&amp;":"&amp;XLOOKUP(CZ$3,'TTM Dates'!$B:$B,'TTM Dates'!$C:$C)&amp;ROW($BK40))))</f>
        <v>1622310.19</v>
      </c>
      <c r="DA40" s="286">
        <f t="array" ref="DA40">IF(DA$3&gt;'QBO Summary'!$B$2,0,SUM(INDIRECT(XLOOKUP(DA$3,'TTM Dates'!$B:$B,'TTM Dates'!$E:$E)&amp;ROW($BK40)&amp;":"&amp;XLOOKUP(DA$3,'TTM Dates'!$B:$B,'TTM Dates'!$C:$C)&amp;ROW($BK40))))</f>
        <v>1911567.42</v>
      </c>
      <c r="DB40" s="286">
        <f t="array" ref="DB40">IF(DB$3&gt;'QBO Summary'!$B$2,0,SUM(INDIRECT(XLOOKUP(DB$3,'TTM Dates'!$B:$B,'TTM Dates'!$E:$E)&amp;ROW($BK40)&amp;":"&amp;XLOOKUP(DB$3,'TTM Dates'!$B:$B,'TTM Dates'!$C:$C)&amp;ROW($BK40))))</f>
        <v>2097292.77</v>
      </c>
      <c r="DC40" s="286">
        <f t="array" ref="DC40">IF(DC$3&gt;'QBO Summary'!$B$2,0,SUM(INDIRECT(XLOOKUP(DC$3,'TTM Dates'!$B:$B,'TTM Dates'!$E:$E)&amp;ROW($BK40)&amp;":"&amp;XLOOKUP(DC$3,'TTM Dates'!$B:$B,'TTM Dates'!$C:$C)&amp;ROW($BK40))))</f>
        <v>2396120.33</v>
      </c>
      <c r="DD40" s="286">
        <f t="array" ref="DD40">IF(DD$3&gt;'QBO Summary'!$B$2,0,SUM(INDIRECT(XLOOKUP(DD$3,'TTM Dates'!$B:$B,'TTM Dates'!$E:$E)&amp;ROW($BK40)&amp;":"&amp;XLOOKUP(DD$3,'TTM Dates'!$B:$B,'TTM Dates'!$C:$C)&amp;ROW($BK40))))</f>
        <v>2864594.4</v>
      </c>
      <c r="DE40" s="286">
        <f t="array" ref="DE40">IF(DE$3&gt;'QBO Summary'!$B$2,0,SUM(INDIRECT(XLOOKUP(DE$3,'TTM Dates'!$B:$B,'TTM Dates'!$E:$E)&amp;ROW($BK40)&amp;":"&amp;XLOOKUP(DE$3,'TTM Dates'!$B:$B,'TTM Dates'!$C:$C)&amp;ROW($BK40))))</f>
        <v>3373148.02</v>
      </c>
      <c r="DF40" s="286">
        <f t="array" ref="DF40">IF(DF$3&gt;'QBO Summary'!$B$2,0,SUM(INDIRECT(XLOOKUP(DF$3,'TTM Dates'!$B:$B,'TTM Dates'!$E:$E)&amp;ROW($BK40)&amp;":"&amp;XLOOKUP(DF$3,'TTM Dates'!$B:$B,'TTM Dates'!$C:$C)&amp;ROW($BK40))))</f>
        <v>3504097.35</v>
      </c>
      <c r="DG40" s="286">
        <f t="array" ref="DG40">IF(DG$3&gt;'QBO Summary'!$B$2,0,SUM(INDIRECT(XLOOKUP(DG$3,'TTM Dates'!$B:$B,'TTM Dates'!$E:$E)&amp;ROW($BK40)&amp;":"&amp;XLOOKUP(DG$3,'TTM Dates'!$B:$B,'TTM Dates'!$C:$C)&amp;ROW($BK40))))</f>
        <v>3804075.67</v>
      </c>
      <c r="DH40" s="286">
        <f t="array" ref="DH40">IF(DH$3&gt;'QBO Summary'!$B$2,0,SUM(INDIRECT(XLOOKUP(DH$3,'TTM Dates'!$B:$B,'TTM Dates'!$E:$E)&amp;ROW($BK40)&amp;":"&amp;XLOOKUP(DH$3,'TTM Dates'!$B:$B,'TTM Dates'!$C:$C)&amp;ROW($BK40))))</f>
        <v>3921902.9</v>
      </c>
      <c r="DI40" s="286">
        <f t="array" ref="DI40">IF(DI$3&gt;'QBO Summary'!$B$2,0,SUM(INDIRECT(XLOOKUP(DI$3,'TTM Dates'!$B:$B,'TTM Dates'!$E:$E)&amp;ROW($BK40)&amp;":"&amp;XLOOKUP(DI$3,'TTM Dates'!$B:$B,'TTM Dates'!$C:$C)&amp;ROW($BK40))))</f>
        <v>4181734.17</v>
      </c>
      <c r="DJ40" s="286">
        <f t="array" ref="DJ40">IF(DJ$3&gt;'QBO Summary'!$B$2,0,SUM(INDIRECT(XLOOKUP(DJ$3,'TTM Dates'!$B:$B,'TTM Dates'!$E:$E)&amp;ROW($BK40)&amp;":"&amp;XLOOKUP(DJ$3,'TTM Dates'!$B:$B,'TTM Dates'!$C:$C)&amp;ROW($BK40))))</f>
        <v>4300751.92</v>
      </c>
      <c r="DK40" s="286">
        <f t="array" ref="DK40">IF(DK$3&gt;'QBO Summary'!$B$2,0,SUM(INDIRECT(XLOOKUP(DK$3,'TTM Dates'!$B:$B,'TTM Dates'!$E:$E)&amp;ROW($BK40)&amp;":"&amp;XLOOKUP(DK$3,'TTM Dates'!$B:$B,'TTM Dates'!$C:$C)&amp;ROW($BK40))))</f>
        <v>4396062.86</v>
      </c>
      <c r="DL40" s="286">
        <f t="array" ref="DL40">IF(DL$3&gt;'QBO Summary'!$B$2,0,SUM(INDIRECT(XLOOKUP(DL$3,'TTM Dates'!$B:$B,'TTM Dates'!$E:$E)&amp;ROW($BK40)&amp;":"&amp;XLOOKUP(DL$3,'TTM Dates'!$B:$B,'TTM Dates'!$C:$C)&amp;ROW($BK40))))</f>
        <v>4577003.49</v>
      </c>
      <c r="DM40" s="286">
        <f t="array" ref="DM40">IF(DM$3&gt;'QBO Summary'!$B$2,0,SUM(INDIRECT(XLOOKUP(DM$3,'TTM Dates'!$B:$B,'TTM Dates'!$E:$E)&amp;ROW($BK40)&amp;":"&amp;XLOOKUP(DM$3,'TTM Dates'!$B:$B,'TTM Dates'!$C:$C)&amp;ROW($BK40))))</f>
        <v>4548315.17</v>
      </c>
      <c r="DN40" s="286">
        <f t="array" ref="DN40">IF(DN$3&gt;'QBO Summary'!$B$2,0,SUM(INDIRECT(XLOOKUP(DN$3,'TTM Dates'!$B:$B,'TTM Dates'!$E:$E)&amp;ROW($BK40)&amp;":"&amp;XLOOKUP(DN$3,'TTM Dates'!$B:$B,'TTM Dates'!$C:$C)&amp;ROW($BK40))))</f>
        <v>4417624.44</v>
      </c>
      <c r="DO40" s="286">
        <f t="array" ref="DO40">IF(DO$3&gt;'QBO Summary'!$B$2,0,SUM(INDIRECT(XLOOKUP(DO$3,'TTM Dates'!$B:$B,'TTM Dates'!$E:$E)&amp;ROW($BK40)&amp;":"&amp;XLOOKUP(DO$3,'TTM Dates'!$B:$B,'TTM Dates'!$C:$C)&amp;ROW($BK40))))</f>
        <v>4181442.73</v>
      </c>
      <c r="DP40" s="286">
        <f t="array" ref="DP40">IF(DP$3&gt;'QBO Summary'!$B$2,0,SUM(INDIRECT(XLOOKUP(DP$3,'TTM Dates'!$B:$B,'TTM Dates'!$E:$E)&amp;ROW($BK40)&amp;":"&amp;XLOOKUP(DP$3,'TTM Dates'!$B:$B,'TTM Dates'!$C:$C)&amp;ROW($BK40))))</f>
        <v>3761160.08</v>
      </c>
      <c r="DQ40" s="286">
        <f t="array" ref="DQ40">IF(DQ$3&gt;'QBO Summary'!$B$2,0,SUM(INDIRECT(XLOOKUP(DQ$3,'TTM Dates'!$B:$B,'TTM Dates'!$E:$E)&amp;ROW($BK40)&amp;":"&amp;XLOOKUP(DQ$3,'TTM Dates'!$B:$B,'TTM Dates'!$C:$C)&amp;ROW($BK40))))</f>
        <v>3372680.69</v>
      </c>
      <c r="DR40" s="286">
        <f t="array" ref="DR40">IF(DR$3&gt;'QBO Summary'!$B$2,0,SUM(INDIRECT(XLOOKUP(DR$3,'TTM Dates'!$B:$B,'TTM Dates'!$E:$E)&amp;ROW($BK40)&amp;":"&amp;XLOOKUP(DR$3,'TTM Dates'!$B:$B,'TTM Dates'!$C:$C)&amp;ROW($BK40))))</f>
        <v>3486634.45</v>
      </c>
      <c r="DS40" s="286">
        <f t="array" ref="DS40">IF(DS$3&gt;'QBO Summary'!$B$2,0,SUM(INDIRECT(XLOOKUP(DS$3,'TTM Dates'!$B:$B,'TTM Dates'!$E:$E)&amp;ROW($BK40)&amp;":"&amp;XLOOKUP(DS$3,'TTM Dates'!$B:$B,'TTM Dates'!$C:$C)&amp;ROW($BK40))))</f>
        <v>3319818.61</v>
      </c>
      <c r="DT40" s="286">
        <f t="array" ref="DT40">IF(DT$3&gt;'QBO Summary'!$B$2,0,SUM(INDIRECT(XLOOKUP(DT$3,'TTM Dates'!$B:$B,'TTM Dates'!$E:$E)&amp;ROW($BK40)&amp;":"&amp;XLOOKUP(DT$3,'TTM Dates'!$B:$B,'TTM Dates'!$C:$C)&amp;ROW($BK40))))</f>
        <v>3373398.86</v>
      </c>
      <c r="DU40" s="286">
        <f t="array" ref="DU40">IF(DU$3&gt;'QBO Summary'!$B$2,0,SUM(INDIRECT(XLOOKUP(DU$3,'TTM Dates'!$B:$B,'TTM Dates'!$E:$E)&amp;ROW($BK40)&amp;":"&amp;XLOOKUP(DU$3,'TTM Dates'!$B:$B,'TTM Dates'!$C:$C)&amp;ROW($BK40))))</f>
        <v>3471545.8</v>
      </c>
      <c r="DV40" s="286">
        <f t="array" ref="DV40">IF(DV$3&gt;'QBO Summary'!$B$2,0,SUM(INDIRECT(XLOOKUP(DV$3,'TTM Dates'!$B:$B,'TTM Dates'!$E:$E)&amp;ROW($BK40)&amp;":"&amp;XLOOKUP(DV$3,'TTM Dates'!$B:$B,'TTM Dates'!$C:$C)&amp;ROW($BK40))))</f>
        <v>3650843.22</v>
      </c>
      <c r="DW40" s="286">
        <f t="array" ref="DW40">IF(DW$3&gt;'QBO Summary'!$B$2,0,SUM(INDIRECT(XLOOKUP(DW$3,'TTM Dates'!$B:$B,'TTM Dates'!$E:$E)&amp;ROW($BK40)&amp;":"&amp;XLOOKUP(DW$3,'TTM Dates'!$B:$B,'TTM Dates'!$C:$C)&amp;ROW($BK40))))</f>
        <v>3878564.36</v>
      </c>
      <c r="DX40" s="286">
        <f t="array" ref="DX40">IF(DX$3&gt;'QBO Summary'!$B$2,0,SUM(INDIRECT(XLOOKUP(DX$3,'TTM Dates'!$B:$B,'TTM Dates'!$E:$E)&amp;ROW($BK40)&amp;":"&amp;XLOOKUP(DX$3,'TTM Dates'!$B:$B,'TTM Dates'!$C:$C)&amp;ROW($BK40))))</f>
        <v>3984456.25</v>
      </c>
      <c r="DY40" s="286">
        <f t="array" ref="DY40">IF(DY$3&gt;'QBO Summary'!$B$2,0,SUM(INDIRECT(XLOOKUP(DY$3,'TTM Dates'!$B:$B,'TTM Dates'!$E:$E)&amp;ROW($BK40)&amp;":"&amp;XLOOKUP(DY$3,'TTM Dates'!$B:$B,'TTM Dates'!$C:$C)&amp;ROW($BK40))))</f>
        <v>4335155.19</v>
      </c>
      <c r="DZ40" s="286">
        <f t="array" ref="DZ40">IF(DZ$3&gt;'QBO Summary'!$B$2,0,SUM(INDIRECT(XLOOKUP(DZ$3,'TTM Dates'!$B:$B,'TTM Dates'!$E:$E)&amp;ROW($BK40)&amp;":"&amp;XLOOKUP(DZ$3,'TTM Dates'!$B:$B,'TTM Dates'!$C:$C)&amp;ROW($BK40))))</f>
        <v>4152430.59</v>
      </c>
      <c r="EA40" s="286">
        <f t="array" ref="EA40">IF(EA$3&gt;'QBO Summary'!$B$2,0,SUM(INDIRECT(XLOOKUP(EA$3,'TTM Dates'!$B:$B,'TTM Dates'!$E:$E)&amp;ROW($BK40)&amp;":"&amp;XLOOKUP(EA$3,'TTM Dates'!$B:$B,'TTM Dates'!$C:$C)&amp;ROW($BK40))))</f>
        <v>3973583.86</v>
      </c>
      <c r="EB40" s="286">
        <f t="array" ref="EB40">IF(EB$3&gt;'QBO Summary'!$B$2,0,SUM(INDIRECT(XLOOKUP(EB$3,'TTM Dates'!$B:$B,'TTM Dates'!$E:$E)&amp;ROW($BK40)&amp;":"&amp;XLOOKUP(EB$3,'TTM Dates'!$B:$B,'TTM Dates'!$C:$C)&amp;ROW($BK40))))</f>
        <v>3785207.69</v>
      </c>
      <c r="EC40" s="286">
        <f t="array" ref="EC40">IF(EC$3&gt;'QBO Summary'!$B$2,0,SUM(INDIRECT(XLOOKUP(EC$3,'TTM Dates'!$B:$B,'TTM Dates'!$E:$E)&amp;ROW($BK40)&amp;":"&amp;XLOOKUP(EC$3,'TTM Dates'!$B:$B,'TTM Dates'!$C:$C)&amp;ROW($BK40))))</f>
        <v>3545140.09</v>
      </c>
    </row>
    <row r="41" outlineLevel="1">
      <c r="B41" s="135" t="s">
        <v>506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202">
        <v>0.0</v>
      </c>
      <c r="AN41" s="366"/>
      <c r="AO41" s="366"/>
      <c r="AP41" s="366"/>
      <c r="AQ41" s="366"/>
      <c r="AR41" s="366"/>
      <c r="AS41" s="366"/>
      <c r="AT41" s="202">
        <v>43788.64</v>
      </c>
      <c r="AU41" s="202">
        <v>27441.86</v>
      </c>
      <c r="AV41" s="202">
        <v>21972.89</v>
      </c>
      <c r="AW41" s="202">
        <v>35707.22</v>
      </c>
      <c r="AX41" s="337">
        <v>20901.72</v>
      </c>
      <c r="AY41" s="337">
        <v>33344.63</v>
      </c>
      <c r="AZ41" s="337">
        <v>24742.96</v>
      </c>
      <c r="BA41" s="337">
        <v>52720.48</v>
      </c>
      <c r="BB41" s="337">
        <v>67131.83</v>
      </c>
      <c r="BC41" s="337">
        <v>45812.92</v>
      </c>
      <c r="BD41" s="337">
        <v>309158.74</v>
      </c>
      <c r="BE41" s="337">
        <v>26022.46</v>
      </c>
      <c r="BF41" s="337">
        <v>34500.59</v>
      </c>
      <c r="BG41" s="337"/>
      <c r="BH41" s="337"/>
      <c r="BI41" s="337"/>
      <c r="BJ41" s="337"/>
      <c r="BK41" s="33"/>
      <c r="BL41" s="288">
        <f t="array" ref="BL41">SUM(INDIRECT(XLOOKUP('QBO Summary'!$B$2,'TTM Dates'!$B:$B,'TTM Dates'!$E:$E)&amp;ROW($BK41)&amp;":"&amp;XLOOKUP('QBO Summary'!$B$2,'TTM Dates'!$B:$B,'TTM Dates'!$C:$C)&amp;ROW($BK41)))</f>
        <v>893059.27</v>
      </c>
      <c r="BM41" s="351"/>
      <c r="BN41" s="366">
        <f t="shared" si="55"/>
        <v>110808.07</v>
      </c>
      <c r="BO41" s="366">
        <f t="shared" si="56"/>
        <v>422103.49</v>
      </c>
      <c r="BP41" s="366">
        <f t="shared" si="57"/>
        <v>60523.05</v>
      </c>
      <c r="BQ41" s="366">
        <f t="shared" si="58"/>
        <v>0</v>
      </c>
      <c r="BR41" s="367">
        <f t="shared" si="59"/>
        <v>593434.61</v>
      </c>
      <c r="BS41" s="366"/>
      <c r="BT41" s="366">
        <f t="shared" si="60"/>
        <v>0</v>
      </c>
      <c r="BU41" s="366">
        <f t="shared" si="61"/>
        <v>0</v>
      </c>
      <c r="BV41" s="366">
        <f t="shared" si="62"/>
        <v>71230.5</v>
      </c>
      <c r="BW41" s="366">
        <f t="shared" si="63"/>
        <v>78581.83</v>
      </c>
      <c r="BX41" s="367">
        <f t="shared" si="64"/>
        <v>149812.33</v>
      </c>
      <c r="BY41" s="366"/>
      <c r="BZ41" s="366"/>
      <c r="CA41" s="366"/>
      <c r="CB41" s="366"/>
      <c r="CC41" s="366"/>
      <c r="CD41" s="367"/>
      <c r="CE41" s="366"/>
      <c r="CF41" s="367"/>
      <c r="CG41" s="44"/>
      <c r="CH41" s="44">
        <f t="array" ref="CH41">IF(CH$3&gt;'QBO Summary'!$B$2,0,SUM(INDIRECT(XLOOKUP(CH$3,'TTM Dates'!$B:$B,'TTM Dates'!$E:$E)&amp;ROW($BK41)&amp;":"&amp;XLOOKUP(CH$3,'TTM Dates'!$B:$B,'TTM Dates'!$C:$C)&amp;ROW($BK41))))</f>
        <v>0</v>
      </c>
      <c r="CI41" s="44">
        <f t="array" ref="CI41">IF(CI$3&gt;'QBO Summary'!$B$2,0,SUM(INDIRECT(XLOOKUP(CI$3,'TTM Dates'!$B:$B,'TTM Dates'!$E:$E)&amp;ROW($BK41)&amp;":"&amp;XLOOKUP(CI$3,'TTM Dates'!$B:$B,'TTM Dates'!$C:$C)&amp;ROW($BK41))))</f>
        <v>0</v>
      </c>
      <c r="CJ41" s="44">
        <f t="array" ref="CJ41">IF(CJ$3&gt;'QBO Summary'!$B$2,0,SUM(INDIRECT(XLOOKUP(CJ$3,'TTM Dates'!$B:$B,'TTM Dates'!$E:$E)&amp;ROW($BK41)&amp;":"&amp;XLOOKUP(CJ$3,'TTM Dates'!$B:$B,'TTM Dates'!$C:$C)&amp;ROW($BK41))))</f>
        <v>0</v>
      </c>
      <c r="CK41" s="44">
        <f t="array" ref="CK41">IF(CK$3&gt;'QBO Summary'!$B$2,0,SUM(INDIRECT(XLOOKUP(CK$3,'TTM Dates'!$B:$B,'TTM Dates'!$E:$E)&amp;ROW($BK41)&amp;":"&amp;XLOOKUP(CK$3,'TTM Dates'!$B:$B,'TTM Dates'!$C:$C)&amp;ROW($BK41))))</f>
        <v>0</v>
      </c>
      <c r="CL41" s="44">
        <f t="array" ref="CL41">IF(CL$3&gt;'QBO Summary'!$B$2,0,SUM(INDIRECT(XLOOKUP(CL$3,'TTM Dates'!$B:$B,'TTM Dates'!$E:$E)&amp;ROW($BK41)&amp;":"&amp;XLOOKUP(CL$3,'TTM Dates'!$B:$B,'TTM Dates'!$C:$C)&amp;ROW($BK41))))</f>
        <v>0</v>
      </c>
      <c r="CM41" s="44">
        <f t="array" ref="CM41">IF(CM$3&gt;'QBO Summary'!$B$2,0,SUM(INDIRECT(XLOOKUP(CM$3,'TTM Dates'!$B:$B,'TTM Dates'!$E:$E)&amp;ROW($BK41)&amp;":"&amp;XLOOKUP(CM$3,'TTM Dates'!$B:$B,'TTM Dates'!$C:$C)&amp;ROW($BK41))))</f>
        <v>0</v>
      </c>
      <c r="CN41" s="44">
        <f t="array" ref="CN41">IF(CN$3&gt;'QBO Summary'!$B$2,0,SUM(INDIRECT(XLOOKUP(CN$3,'TTM Dates'!$B:$B,'TTM Dates'!$E:$E)&amp;ROW($BK41)&amp;":"&amp;XLOOKUP(CN$3,'TTM Dates'!$B:$B,'TTM Dates'!$C:$C)&amp;ROW($BK41))))</f>
        <v>0</v>
      </c>
      <c r="CO41" s="44">
        <f t="array" ref="CO41">IF(CO$3&gt;'QBO Summary'!$B$2,0,SUM(INDIRECT(XLOOKUP(CO$3,'TTM Dates'!$B:$B,'TTM Dates'!$E:$E)&amp;ROW($BK41)&amp;":"&amp;XLOOKUP(CO$3,'TTM Dates'!$B:$B,'TTM Dates'!$C:$C)&amp;ROW($BK41))))</f>
        <v>0</v>
      </c>
      <c r="CP41" s="44">
        <f t="array" ref="CP41">IF(CP$3&gt;'QBO Summary'!$B$2,0,SUM(INDIRECT(XLOOKUP(CP$3,'TTM Dates'!$B:$B,'TTM Dates'!$E:$E)&amp;ROW($BK41)&amp;":"&amp;XLOOKUP(CP$3,'TTM Dates'!$B:$B,'TTM Dates'!$C:$C)&amp;ROW($BK41))))</f>
        <v>0</v>
      </c>
      <c r="CQ41" s="44">
        <f t="array" ref="CQ41">IF(CQ$3&gt;'QBO Summary'!$B$2,0,SUM(INDIRECT(XLOOKUP(CQ$3,'TTM Dates'!$B:$B,'TTM Dates'!$E:$E)&amp;ROW($BK41)&amp;":"&amp;XLOOKUP(CQ$3,'TTM Dates'!$B:$B,'TTM Dates'!$C:$C)&amp;ROW($BK41))))</f>
        <v>0</v>
      </c>
      <c r="CR41" s="44">
        <f t="array" ref="CR41">IF(CR$3&gt;'QBO Summary'!$B$2,0,SUM(INDIRECT(XLOOKUP(CR$3,'TTM Dates'!$B:$B,'TTM Dates'!$E:$E)&amp;ROW($BK41)&amp;":"&amp;XLOOKUP(CR$3,'TTM Dates'!$B:$B,'TTM Dates'!$C:$C)&amp;ROW($BK41))))</f>
        <v>0</v>
      </c>
      <c r="CS41" s="44">
        <f t="array" ref="CS41">IF(CS$3&gt;'QBO Summary'!$B$2,0,SUM(INDIRECT(XLOOKUP(CS$3,'TTM Dates'!$B:$B,'TTM Dates'!$E:$E)&amp;ROW($BK41)&amp;":"&amp;XLOOKUP(CS$3,'TTM Dates'!$B:$B,'TTM Dates'!$C:$C)&amp;ROW($BK41))))</f>
        <v>0</v>
      </c>
      <c r="CT41" s="44">
        <f t="array" ref="CT41">IF(CT$3&gt;'QBO Summary'!$B$2,0,SUM(INDIRECT(XLOOKUP(CT$3,'TTM Dates'!$B:$B,'TTM Dates'!$E:$E)&amp;ROW($BK41)&amp;":"&amp;XLOOKUP(CT$3,'TTM Dates'!$B:$B,'TTM Dates'!$C:$C)&amp;ROW($BK41))))</f>
        <v>0</v>
      </c>
      <c r="CU41" s="44">
        <f t="array" ref="CU41">IF(CU$3&gt;'QBO Summary'!$B$2,0,SUM(INDIRECT(XLOOKUP(CU$3,'TTM Dates'!$B:$B,'TTM Dates'!$E:$E)&amp;ROW($BK41)&amp;":"&amp;XLOOKUP(CU$3,'TTM Dates'!$B:$B,'TTM Dates'!$C:$C)&amp;ROW($BK41))))</f>
        <v>0</v>
      </c>
      <c r="CV41" s="44">
        <f t="array" ref="CV41">IF(CV$3&gt;'QBO Summary'!$B$2,0,SUM(INDIRECT(XLOOKUP(CV$3,'TTM Dates'!$B:$B,'TTM Dates'!$E:$E)&amp;ROW($BK41)&amp;":"&amp;XLOOKUP(CV$3,'TTM Dates'!$B:$B,'TTM Dates'!$C:$C)&amp;ROW($BK41))))</f>
        <v>0</v>
      </c>
      <c r="CW41" s="44">
        <f t="array" ref="CW41">IF(CW$3&gt;'QBO Summary'!$B$2,0,SUM(INDIRECT(XLOOKUP(CW$3,'TTM Dates'!$B:$B,'TTM Dates'!$E:$E)&amp;ROW($BK41)&amp;":"&amp;XLOOKUP(CW$3,'TTM Dates'!$B:$B,'TTM Dates'!$C:$C)&amp;ROW($BK41))))</f>
        <v>0</v>
      </c>
      <c r="CX41" s="44">
        <f t="array" ref="CX41">IF(CX$3&gt;'QBO Summary'!$B$2,0,SUM(INDIRECT(XLOOKUP(CX$3,'TTM Dates'!$B:$B,'TTM Dates'!$E:$E)&amp;ROW($BK41)&amp;":"&amp;XLOOKUP(CX$3,'TTM Dates'!$B:$B,'TTM Dates'!$C:$C)&amp;ROW($BK41))))</f>
        <v>0</v>
      </c>
      <c r="CY41" s="44">
        <f t="array" ref="CY41">IF(CY$3&gt;'QBO Summary'!$B$2,0,SUM(INDIRECT(XLOOKUP(CY$3,'TTM Dates'!$B:$B,'TTM Dates'!$E:$E)&amp;ROW($BK41)&amp;":"&amp;XLOOKUP(CY$3,'TTM Dates'!$B:$B,'TTM Dates'!$C:$C)&amp;ROW($BK41))))</f>
        <v>0</v>
      </c>
      <c r="CZ41" s="44">
        <f t="array" ref="CZ41">IF(CZ$3&gt;'QBO Summary'!$B$2,0,SUM(INDIRECT(XLOOKUP(CZ$3,'TTM Dates'!$B:$B,'TTM Dates'!$E:$E)&amp;ROW($BK41)&amp;":"&amp;XLOOKUP(CZ$3,'TTM Dates'!$B:$B,'TTM Dates'!$C:$C)&amp;ROW($BK41))))</f>
        <v>0</v>
      </c>
      <c r="DA41" s="44">
        <f t="array" ref="DA41">IF(DA$3&gt;'QBO Summary'!$B$2,0,SUM(INDIRECT(XLOOKUP(DA$3,'TTM Dates'!$B:$B,'TTM Dates'!$E:$E)&amp;ROW($BK41)&amp;":"&amp;XLOOKUP(DA$3,'TTM Dates'!$B:$B,'TTM Dates'!$C:$C)&amp;ROW($BK41))))</f>
        <v>0</v>
      </c>
      <c r="DB41" s="44">
        <f t="array" ref="DB41">IF(DB$3&gt;'QBO Summary'!$B$2,0,SUM(INDIRECT(XLOOKUP(DB$3,'TTM Dates'!$B:$B,'TTM Dates'!$E:$E)&amp;ROW($BK41)&amp;":"&amp;XLOOKUP(DB$3,'TTM Dates'!$B:$B,'TTM Dates'!$C:$C)&amp;ROW($BK41))))</f>
        <v>0</v>
      </c>
      <c r="DC41" s="44">
        <f t="array" ref="DC41">IF(DC$3&gt;'QBO Summary'!$B$2,0,SUM(INDIRECT(XLOOKUP(DC$3,'TTM Dates'!$B:$B,'TTM Dates'!$E:$E)&amp;ROW($BK41)&amp;":"&amp;XLOOKUP(DC$3,'TTM Dates'!$B:$B,'TTM Dates'!$C:$C)&amp;ROW($BK41))))</f>
        <v>0</v>
      </c>
      <c r="DD41" s="44">
        <f t="array" ref="DD41">IF(DD$3&gt;'QBO Summary'!$B$2,0,SUM(INDIRECT(XLOOKUP(DD$3,'TTM Dates'!$B:$B,'TTM Dates'!$E:$E)&amp;ROW($BK41)&amp;":"&amp;XLOOKUP(DD$3,'TTM Dates'!$B:$B,'TTM Dates'!$C:$C)&amp;ROW($BK41))))</f>
        <v>0</v>
      </c>
      <c r="DE41" s="44">
        <f t="array" ref="DE41">IF(DE$3&gt;'QBO Summary'!$B$2,0,SUM(INDIRECT(XLOOKUP(DE$3,'TTM Dates'!$B:$B,'TTM Dates'!$E:$E)&amp;ROW($BK41)&amp;":"&amp;XLOOKUP(DE$3,'TTM Dates'!$B:$B,'TTM Dates'!$C:$C)&amp;ROW($BK41))))</f>
        <v>0</v>
      </c>
      <c r="DF41" s="44">
        <f t="array" ref="DF41">IF(DF$3&gt;'QBO Summary'!$B$2,0,SUM(INDIRECT(XLOOKUP(DF$3,'TTM Dates'!$B:$B,'TTM Dates'!$E:$E)&amp;ROW($BK41)&amp;":"&amp;XLOOKUP(DF$3,'TTM Dates'!$B:$B,'TTM Dates'!$C:$C)&amp;ROW($BK41))))</f>
        <v>0</v>
      </c>
      <c r="DG41" s="44">
        <f t="array" ref="DG41">IF(DG$3&gt;'QBO Summary'!$B$2,0,SUM(INDIRECT(XLOOKUP(DG$3,'TTM Dates'!$B:$B,'TTM Dates'!$E:$E)&amp;ROW($BK41)&amp;":"&amp;XLOOKUP(DG$3,'TTM Dates'!$B:$B,'TTM Dates'!$C:$C)&amp;ROW($BK41))))</f>
        <v>0</v>
      </c>
      <c r="DH41" s="44">
        <f t="array" ref="DH41">IF(DH$3&gt;'QBO Summary'!$B$2,0,SUM(INDIRECT(XLOOKUP(DH$3,'TTM Dates'!$B:$B,'TTM Dates'!$E:$E)&amp;ROW($BK41)&amp;":"&amp;XLOOKUP(DH$3,'TTM Dates'!$B:$B,'TTM Dates'!$C:$C)&amp;ROW($BK41))))</f>
        <v>0</v>
      </c>
      <c r="DI41" s="44">
        <f t="array" ref="DI41">IF(DI$3&gt;'QBO Summary'!$B$2,0,SUM(INDIRECT(XLOOKUP(DI$3,'TTM Dates'!$B:$B,'TTM Dates'!$E:$E)&amp;ROW($BK41)&amp;":"&amp;XLOOKUP(DI$3,'TTM Dates'!$B:$B,'TTM Dates'!$C:$C)&amp;ROW($BK41))))</f>
        <v>0</v>
      </c>
      <c r="DJ41" s="44">
        <f t="array" ref="DJ41">IF(DJ$3&gt;'QBO Summary'!$B$2,0,SUM(INDIRECT(XLOOKUP(DJ$3,'TTM Dates'!$B:$B,'TTM Dates'!$E:$E)&amp;ROW($BK41)&amp;":"&amp;XLOOKUP(DJ$3,'TTM Dates'!$B:$B,'TTM Dates'!$C:$C)&amp;ROW($BK41))))</f>
        <v>0</v>
      </c>
      <c r="DK41" s="44">
        <f t="array" ref="DK41">IF(DK$3&gt;'QBO Summary'!$B$2,0,SUM(INDIRECT(XLOOKUP(DK$3,'TTM Dates'!$B:$B,'TTM Dates'!$E:$E)&amp;ROW($BK41)&amp;":"&amp;XLOOKUP(DK$3,'TTM Dates'!$B:$B,'TTM Dates'!$C:$C)&amp;ROW($BK41))))</f>
        <v>0</v>
      </c>
      <c r="DL41" s="44">
        <f t="array" ref="DL41">IF(DL$3&gt;'QBO Summary'!$B$2,0,SUM(INDIRECT(XLOOKUP(DL$3,'TTM Dates'!$B:$B,'TTM Dates'!$E:$E)&amp;ROW($BK41)&amp;":"&amp;XLOOKUP(DL$3,'TTM Dates'!$B:$B,'TTM Dates'!$C:$C)&amp;ROW($BK41))))</f>
        <v>0</v>
      </c>
      <c r="DM41" s="44">
        <f t="array" ref="DM41">IF(DM$3&gt;'QBO Summary'!$B$2,0,SUM(INDIRECT(XLOOKUP(DM$3,'TTM Dates'!$B:$B,'TTM Dates'!$E:$E)&amp;ROW($BK41)&amp;":"&amp;XLOOKUP(DM$3,'TTM Dates'!$B:$B,'TTM Dates'!$C:$C)&amp;ROW($BK41))))</f>
        <v>43788.64</v>
      </c>
      <c r="DN41" s="44">
        <f t="array" ref="DN41">IF(DN$3&gt;'QBO Summary'!$B$2,0,SUM(INDIRECT(XLOOKUP(DN$3,'TTM Dates'!$B:$B,'TTM Dates'!$E:$E)&amp;ROW($BK41)&amp;":"&amp;XLOOKUP(DN$3,'TTM Dates'!$B:$B,'TTM Dates'!$C:$C)&amp;ROW($BK41))))</f>
        <v>71230.5</v>
      </c>
      <c r="DO41" s="44">
        <f t="array" ref="DO41">IF(DO$3&gt;'QBO Summary'!$B$2,0,SUM(INDIRECT(XLOOKUP(DO$3,'TTM Dates'!$B:$B,'TTM Dates'!$E:$E)&amp;ROW($BK41)&amp;":"&amp;XLOOKUP(DO$3,'TTM Dates'!$B:$B,'TTM Dates'!$C:$C)&amp;ROW($BK41))))</f>
        <v>93203.39</v>
      </c>
      <c r="DP41" s="44">
        <f t="array" ref="DP41">IF(DP$3&gt;'QBO Summary'!$B$2,0,SUM(INDIRECT(XLOOKUP(DP$3,'TTM Dates'!$B:$B,'TTM Dates'!$E:$E)&amp;ROW($BK41)&amp;":"&amp;XLOOKUP(DP$3,'TTM Dates'!$B:$B,'TTM Dates'!$C:$C)&amp;ROW($BK41))))</f>
        <v>128910.61</v>
      </c>
      <c r="DQ41" s="44">
        <f t="array" ref="DQ41">IF(DQ$3&gt;'QBO Summary'!$B$2,0,SUM(INDIRECT(XLOOKUP(DQ$3,'TTM Dates'!$B:$B,'TTM Dates'!$E:$E)&amp;ROW($BK41)&amp;":"&amp;XLOOKUP(DQ$3,'TTM Dates'!$B:$B,'TTM Dates'!$C:$C)&amp;ROW($BK41))))</f>
        <v>149812.33</v>
      </c>
      <c r="DR41" s="44">
        <f t="array" ref="DR41">IF(DR$3&gt;'QBO Summary'!$B$2,0,SUM(INDIRECT(XLOOKUP(DR$3,'TTM Dates'!$B:$B,'TTM Dates'!$E:$E)&amp;ROW($BK41)&amp;":"&amp;XLOOKUP(DR$3,'TTM Dates'!$B:$B,'TTM Dates'!$C:$C)&amp;ROW($BK41))))</f>
        <v>183156.96</v>
      </c>
      <c r="DS41" s="44">
        <f t="array" ref="DS41">IF(DS$3&gt;'QBO Summary'!$B$2,0,SUM(INDIRECT(XLOOKUP(DS$3,'TTM Dates'!$B:$B,'TTM Dates'!$E:$E)&amp;ROW($BK41)&amp;":"&amp;XLOOKUP(DS$3,'TTM Dates'!$B:$B,'TTM Dates'!$C:$C)&amp;ROW($BK41))))</f>
        <v>207899.92</v>
      </c>
      <c r="DT41" s="44">
        <f t="array" ref="DT41">IF(DT$3&gt;'QBO Summary'!$B$2,0,SUM(INDIRECT(XLOOKUP(DT$3,'TTM Dates'!$B:$B,'TTM Dates'!$E:$E)&amp;ROW($BK41)&amp;":"&amp;XLOOKUP(DT$3,'TTM Dates'!$B:$B,'TTM Dates'!$C:$C)&amp;ROW($BK41))))</f>
        <v>260620.4</v>
      </c>
      <c r="DU41" s="44">
        <f t="array" ref="DU41">IF(DU$3&gt;'QBO Summary'!$B$2,0,SUM(INDIRECT(XLOOKUP(DU$3,'TTM Dates'!$B:$B,'TTM Dates'!$E:$E)&amp;ROW($BK41)&amp;":"&amp;XLOOKUP(DU$3,'TTM Dates'!$B:$B,'TTM Dates'!$C:$C)&amp;ROW($BK41))))</f>
        <v>327752.23</v>
      </c>
      <c r="DV41" s="44">
        <f t="array" ref="DV41">IF(DV$3&gt;'QBO Summary'!$B$2,0,SUM(INDIRECT(XLOOKUP(DV$3,'TTM Dates'!$B:$B,'TTM Dates'!$E:$E)&amp;ROW($BK41)&amp;":"&amp;XLOOKUP(DV$3,'TTM Dates'!$B:$B,'TTM Dates'!$C:$C)&amp;ROW($BK41))))</f>
        <v>373565.15</v>
      </c>
      <c r="DW41" s="44">
        <f t="array" ref="DW41">IF(DW$3&gt;'QBO Summary'!$B$2,0,SUM(INDIRECT(XLOOKUP(DW$3,'TTM Dates'!$B:$B,'TTM Dates'!$E:$E)&amp;ROW($BK41)&amp;":"&amp;XLOOKUP(DW$3,'TTM Dates'!$B:$B,'TTM Dates'!$C:$C)&amp;ROW($BK41))))</f>
        <v>682723.89</v>
      </c>
      <c r="DX41" s="44">
        <f t="array" ref="DX41">IF(DX$3&gt;'QBO Summary'!$B$2,0,SUM(INDIRECT(XLOOKUP(DX$3,'TTM Dates'!$B:$B,'TTM Dates'!$E:$E)&amp;ROW($BK41)&amp;":"&amp;XLOOKUP(DX$3,'TTM Dates'!$B:$B,'TTM Dates'!$C:$C)&amp;ROW($BK41))))</f>
        <v>708746.35</v>
      </c>
      <c r="DY41" s="44">
        <f t="array" ref="DY41">IF(DY$3&gt;'QBO Summary'!$B$2,0,SUM(INDIRECT(XLOOKUP(DY$3,'TTM Dates'!$B:$B,'TTM Dates'!$E:$E)&amp;ROW($BK41)&amp;":"&amp;XLOOKUP(DY$3,'TTM Dates'!$B:$B,'TTM Dates'!$C:$C)&amp;ROW($BK41))))</f>
        <v>699458.3</v>
      </c>
      <c r="DZ41" s="44">
        <f t="array" ref="DZ41">IF(DZ$3&gt;'QBO Summary'!$B$2,0,SUM(INDIRECT(XLOOKUP(DZ$3,'TTM Dates'!$B:$B,'TTM Dates'!$E:$E)&amp;ROW($BK41)&amp;":"&amp;XLOOKUP(DZ$3,'TTM Dates'!$B:$B,'TTM Dates'!$C:$C)&amp;ROW($BK41))))</f>
        <v>672016.44</v>
      </c>
      <c r="EA41" s="44">
        <f t="array" ref="EA41">IF(EA$3&gt;'QBO Summary'!$B$2,0,SUM(INDIRECT(XLOOKUP(EA$3,'TTM Dates'!$B:$B,'TTM Dates'!$E:$E)&amp;ROW($BK41)&amp;":"&amp;XLOOKUP(EA$3,'TTM Dates'!$B:$B,'TTM Dates'!$C:$C)&amp;ROW($BK41))))</f>
        <v>650043.55</v>
      </c>
      <c r="EB41" s="44">
        <f t="array" ref="EB41">IF(EB$3&gt;'QBO Summary'!$B$2,0,SUM(INDIRECT(XLOOKUP(EB$3,'TTM Dates'!$B:$B,'TTM Dates'!$E:$E)&amp;ROW($BK41)&amp;":"&amp;XLOOKUP(EB$3,'TTM Dates'!$B:$B,'TTM Dates'!$C:$C)&amp;ROW($BK41))))</f>
        <v>614336.33</v>
      </c>
      <c r="EC41" s="44">
        <f t="array" ref="EC41">IF(EC$3&gt;'QBO Summary'!$B$2,0,SUM(INDIRECT(XLOOKUP(EC$3,'TTM Dates'!$B:$B,'TTM Dates'!$E:$E)&amp;ROW($BK41)&amp;":"&amp;XLOOKUP(EC$3,'TTM Dates'!$B:$B,'TTM Dates'!$C:$C)&amp;ROW($BK41))))</f>
        <v>593434.61</v>
      </c>
    </row>
    <row r="42" outlineLevel="1">
      <c r="B42" s="135" t="s">
        <v>508</v>
      </c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202">
        <v>0.0</v>
      </c>
      <c r="AN42" s="366"/>
      <c r="AO42" s="366"/>
      <c r="AP42" s="366"/>
      <c r="AQ42" s="366"/>
      <c r="AR42" s="366"/>
      <c r="AS42" s="366"/>
      <c r="AT42" s="202">
        <v>61909.21</v>
      </c>
      <c r="AU42" s="202">
        <v>66838.3</v>
      </c>
      <c r="AV42" s="202">
        <v>77639.71</v>
      </c>
      <c r="AW42" s="202">
        <v>81450.04</v>
      </c>
      <c r="AX42" s="337">
        <v>54259.81</v>
      </c>
      <c r="AY42" s="337">
        <v>103828.57</v>
      </c>
      <c r="AZ42" s="337">
        <v>107950.86</v>
      </c>
      <c r="BA42" s="337">
        <v>99012.77</v>
      </c>
      <c r="BB42" s="337">
        <v>79577.47</v>
      </c>
      <c r="BC42" s="337">
        <v>230875.17</v>
      </c>
      <c r="BD42" s="337">
        <v>80367.39</v>
      </c>
      <c r="BE42" s="337">
        <v>55485.7</v>
      </c>
      <c r="BF42" s="337">
        <v>112224.6</v>
      </c>
      <c r="BG42" s="337"/>
      <c r="BH42" s="337"/>
      <c r="BI42" s="337"/>
      <c r="BJ42" s="337"/>
      <c r="BK42" s="33"/>
      <c r="BL42" s="288">
        <f t="array" ref="BL42">SUM(INDIRECT(XLOOKUP('QBO Summary'!$B$2,'TTM Dates'!$B:$B,'TTM Dates'!$E:$E)&amp;ROW($BK42)&amp;":"&amp;XLOOKUP('QBO Summary'!$B$2,'TTM Dates'!$B:$B,'TTM Dates'!$C:$C)&amp;ROW($BK42)))</f>
        <v>1553516.67</v>
      </c>
      <c r="BM42" s="351"/>
      <c r="BN42" s="366">
        <f t="shared" si="55"/>
        <v>310792.2</v>
      </c>
      <c r="BO42" s="366">
        <f t="shared" si="56"/>
        <v>390820.03</v>
      </c>
      <c r="BP42" s="366">
        <f t="shared" si="57"/>
        <v>167710.3</v>
      </c>
      <c r="BQ42" s="366">
        <f t="shared" si="58"/>
        <v>0</v>
      </c>
      <c r="BR42" s="367">
        <f t="shared" si="59"/>
        <v>869322.53</v>
      </c>
      <c r="BS42" s="366"/>
      <c r="BT42" s="366">
        <f t="shared" si="60"/>
        <v>0</v>
      </c>
      <c r="BU42" s="366">
        <f t="shared" si="61"/>
        <v>0</v>
      </c>
      <c r="BV42" s="366">
        <f t="shared" si="62"/>
        <v>128747.51</v>
      </c>
      <c r="BW42" s="366">
        <f t="shared" si="63"/>
        <v>213349.56</v>
      </c>
      <c r="BX42" s="367">
        <f t="shared" si="64"/>
        <v>342097.07</v>
      </c>
      <c r="BY42" s="366"/>
      <c r="BZ42" s="366"/>
      <c r="CA42" s="366"/>
      <c r="CB42" s="366"/>
      <c r="CC42" s="366"/>
      <c r="CD42" s="367"/>
      <c r="CE42" s="366"/>
      <c r="CF42" s="367"/>
      <c r="CG42" s="44"/>
      <c r="CH42" s="44">
        <f t="array" ref="CH42">IF(CH$3&gt;'QBO Summary'!$B$2,0,SUM(INDIRECT(XLOOKUP(CH$3,'TTM Dates'!$B:$B,'TTM Dates'!$E:$E)&amp;ROW($BK42)&amp;":"&amp;XLOOKUP(CH$3,'TTM Dates'!$B:$B,'TTM Dates'!$C:$C)&amp;ROW($BK42))))</f>
        <v>0</v>
      </c>
      <c r="CI42" s="44">
        <f t="array" ref="CI42">IF(CI$3&gt;'QBO Summary'!$B$2,0,SUM(INDIRECT(XLOOKUP(CI$3,'TTM Dates'!$B:$B,'TTM Dates'!$E:$E)&amp;ROW($BK42)&amp;":"&amp;XLOOKUP(CI$3,'TTM Dates'!$B:$B,'TTM Dates'!$C:$C)&amp;ROW($BK42))))</f>
        <v>0</v>
      </c>
      <c r="CJ42" s="44">
        <f t="array" ref="CJ42">IF(CJ$3&gt;'QBO Summary'!$B$2,0,SUM(INDIRECT(XLOOKUP(CJ$3,'TTM Dates'!$B:$B,'TTM Dates'!$E:$E)&amp;ROW($BK42)&amp;":"&amp;XLOOKUP(CJ$3,'TTM Dates'!$B:$B,'TTM Dates'!$C:$C)&amp;ROW($BK42))))</f>
        <v>0</v>
      </c>
      <c r="CK42" s="44">
        <f t="array" ref="CK42">IF(CK$3&gt;'QBO Summary'!$B$2,0,SUM(INDIRECT(XLOOKUP(CK$3,'TTM Dates'!$B:$B,'TTM Dates'!$E:$E)&amp;ROW($BK42)&amp;":"&amp;XLOOKUP(CK$3,'TTM Dates'!$B:$B,'TTM Dates'!$C:$C)&amp;ROW($BK42))))</f>
        <v>0</v>
      </c>
      <c r="CL42" s="44">
        <f t="array" ref="CL42">IF(CL$3&gt;'QBO Summary'!$B$2,0,SUM(INDIRECT(XLOOKUP(CL$3,'TTM Dates'!$B:$B,'TTM Dates'!$E:$E)&amp;ROW($BK42)&amp;":"&amp;XLOOKUP(CL$3,'TTM Dates'!$B:$B,'TTM Dates'!$C:$C)&amp;ROW($BK42))))</f>
        <v>0</v>
      </c>
      <c r="CM42" s="44">
        <f t="array" ref="CM42">IF(CM$3&gt;'QBO Summary'!$B$2,0,SUM(INDIRECT(XLOOKUP(CM$3,'TTM Dates'!$B:$B,'TTM Dates'!$E:$E)&amp;ROW($BK42)&amp;":"&amp;XLOOKUP(CM$3,'TTM Dates'!$B:$B,'TTM Dates'!$C:$C)&amp;ROW($BK42))))</f>
        <v>0</v>
      </c>
      <c r="CN42" s="44">
        <f t="array" ref="CN42">IF(CN$3&gt;'QBO Summary'!$B$2,0,SUM(INDIRECT(XLOOKUP(CN$3,'TTM Dates'!$B:$B,'TTM Dates'!$E:$E)&amp;ROW($BK42)&amp;":"&amp;XLOOKUP(CN$3,'TTM Dates'!$B:$B,'TTM Dates'!$C:$C)&amp;ROW($BK42))))</f>
        <v>0</v>
      </c>
      <c r="CO42" s="44">
        <f t="array" ref="CO42">IF(CO$3&gt;'QBO Summary'!$B$2,0,SUM(INDIRECT(XLOOKUP(CO$3,'TTM Dates'!$B:$B,'TTM Dates'!$E:$E)&amp;ROW($BK42)&amp;":"&amp;XLOOKUP(CO$3,'TTM Dates'!$B:$B,'TTM Dates'!$C:$C)&amp;ROW($BK42))))</f>
        <v>0</v>
      </c>
      <c r="CP42" s="44">
        <f t="array" ref="CP42">IF(CP$3&gt;'QBO Summary'!$B$2,0,SUM(INDIRECT(XLOOKUP(CP$3,'TTM Dates'!$B:$B,'TTM Dates'!$E:$E)&amp;ROW($BK42)&amp;":"&amp;XLOOKUP(CP$3,'TTM Dates'!$B:$B,'TTM Dates'!$C:$C)&amp;ROW($BK42))))</f>
        <v>0</v>
      </c>
      <c r="CQ42" s="44">
        <f t="array" ref="CQ42">IF(CQ$3&gt;'QBO Summary'!$B$2,0,SUM(INDIRECT(XLOOKUP(CQ$3,'TTM Dates'!$B:$B,'TTM Dates'!$E:$E)&amp;ROW($BK42)&amp;":"&amp;XLOOKUP(CQ$3,'TTM Dates'!$B:$B,'TTM Dates'!$C:$C)&amp;ROW($BK42))))</f>
        <v>0</v>
      </c>
      <c r="CR42" s="44">
        <f t="array" ref="CR42">IF(CR$3&gt;'QBO Summary'!$B$2,0,SUM(INDIRECT(XLOOKUP(CR$3,'TTM Dates'!$B:$B,'TTM Dates'!$E:$E)&amp;ROW($BK42)&amp;":"&amp;XLOOKUP(CR$3,'TTM Dates'!$B:$B,'TTM Dates'!$C:$C)&amp;ROW($BK42))))</f>
        <v>0</v>
      </c>
      <c r="CS42" s="44">
        <f t="array" ref="CS42">IF(CS$3&gt;'QBO Summary'!$B$2,0,SUM(INDIRECT(XLOOKUP(CS$3,'TTM Dates'!$B:$B,'TTM Dates'!$E:$E)&amp;ROW($BK42)&amp;":"&amp;XLOOKUP(CS$3,'TTM Dates'!$B:$B,'TTM Dates'!$C:$C)&amp;ROW($BK42))))</f>
        <v>0</v>
      </c>
      <c r="CT42" s="44">
        <f t="array" ref="CT42">IF(CT$3&gt;'QBO Summary'!$B$2,0,SUM(INDIRECT(XLOOKUP(CT$3,'TTM Dates'!$B:$B,'TTM Dates'!$E:$E)&amp;ROW($BK42)&amp;":"&amp;XLOOKUP(CT$3,'TTM Dates'!$B:$B,'TTM Dates'!$C:$C)&amp;ROW($BK42))))</f>
        <v>0</v>
      </c>
      <c r="CU42" s="44">
        <f t="array" ref="CU42">IF(CU$3&gt;'QBO Summary'!$B$2,0,SUM(INDIRECT(XLOOKUP(CU$3,'TTM Dates'!$B:$B,'TTM Dates'!$E:$E)&amp;ROW($BK42)&amp;":"&amp;XLOOKUP(CU$3,'TTM Dates'!$B:$B,'TTM Dates'!$C:$C)&amp;ROW($BK42))))</f>
        <v>0</v>
      </c>
      <c r="CV42" s="44">
        <f t="array" ref="CV42">IF(CV$3&gt;'QBO Summary'!$B$2,0,SUM(INDIRECT(XLOOKUP(CV$3,'TTM Dates'!$B:$B,'TTM Dates'!$E:$E)&amp;ROW($BK42)&amp;":"&amp;XLOOKUP(CV$3,'TTM Dates'!$B:$B,'TTM Dates'!$C:$C)&amp;ROW($BK42))))</f>
        <v>0</v>
      </c>
      <c r="CW42" s="44">
        <f t="array" ref="CW42">IF(CW$3&gt;'QBO Summary'!$B$2,0,SUM(INDIRECT(XLOOKUP(CW$3,'TTM Dates'!$B:$B,'TTM Dates'!$E:$E)&amp;ROW($BK42)&amp;":"&amp;XLOOKUP(CW$3,'TTM Dates'!$B:$B,'TTM Dates'!$C:$C)&amp;ROW($BK42))))</f>
        <v>0</v>
      </c>
      <c r="CX42" s="44">
        <f t="array" ref="CX42">IF(CX$3&gt;'QBO Summary'!$B$2,0,SUM(INDIRECT(XLOOKUP(CX$3,'TTM Dates'!$B:$B,'TTM Dates'!$E:$E)&amp;ROW($BK42)&amp;":"&amp;XLOOKUP(CX$3,'TTM Dates'!$B:$B,'TTM Dates'!$C:$C)&amp;ROW($BK42))))</f>
        <v>0</v>
      </c>
      <c r="CY42" s="44">
        <f t="array" ref="CY42">IF(CY$3&gt;'QBO Summary'!$B$2,0,SUM(INDIRECT(XLOOKUP(CY$3,'TTM Dates'!$B:$B,'TTM Dates'!$E:$E)&amp;ROW($BK42)&amp;":"&amp;XLOOKUP(CY$3,'TTM Dates'!$B:$B,'TTM Dates'!$C:$C)&amp;ROW($BK42))))</f>
        <v>0</v>
      </c>
      <c r="CZ42" s="44">
        <f t="array" ref="CZ42">IF(CZ$3&gt;'QBO Summary'!$B$2,0,SUM(INDIRECT(XLOOKUP(CZ$3,'TTM Dates'!$B:$B,'TTM Dates'!$E:$E)&amp;ROW($BK42)&amp;":"&amp;XLOOKUP(CZ$3,'TTM Dates'!$B:$B,'TTM Dates'!$C:$C)&amp;ROW($BK42))))</f>
        <v>0</v>
      </c>
      <c r="DA42" s="44">
        <f t="array" ref="DA42">IF(DA$3&gt;'QBO Summary'!$B$2,0,SUM(INDIRECT(XLOOKUP(DA$3,'TTM Dates'!$B:$B,'TTM Dates'!$E:$E)&amp;ROW($BK42)&amp;":"&amp;XLOOKUP(DA$3,'TTM Dates'!$B:$B,'TTM Dates'!$C:$C)&amp;ROW($BK42))))</f>
        <v>0</v>
      </c>
      <c r="DB42" s="44">
        <f t="array" ref="DB42">IF(DB$3&gt;'QBO Summary'!$B$2,0,SUM(INDIRECT(XLOOKUP(DB$3,'TTM Dates'!$B:$B,'TTM Dates'!$E:$E)&amp;ROW($BK42)&amp;":"&amp;XLOOKUP(DB$3,'TTM Dates'!$B:$B,'TTM Dates'!$C:$C)&amp;ROW($BK42))))</f>
        <v>0</v>
      </c>
      <c r="DC42" s="44">
        <f t="array" ref="DC42">IF(DC$3&gt;'QBO Summary'!$B$2,0,SUM(INDIRECT(XLOOKUP(DC$3,'TTM Dates'!$B:$B,'TTM Dates'!$E:$E)&amp;ROW($BK42)&amp;":"&amp;XLOOKUP(DC$3,'TTM Dates'!$B:$B,'TTM Dates'!$C:$C)&amp;ROW($BK42))))</f>
        <v>0</v>
      </c>
      <c r="DD42" s="44">
        <f t="array" ref="DD42">IF(DD$3&gt;'QBO Summary'!$B$2,0,SUM(INDIRECT(XLOOKUP(DD$3,'TTM Dates'!$B:$B,'TTM Dates'!$E:$E)&amp;ROW($BK42)&amp;":"&amp;XLOOKUP(DD$3,'TTM Dates'!$B:$B,'TTM Dates'!$C:$C)&amp;ROW($BK42))))</f>
        <v>0</v>
      </c>
      <c r="DE42" s="44">
        <f t="array" ref="DE42">IF(DE$3&gt;'QBO Summary'!$B$2,0,SUM(INDIRECT(XLOOKUP(DE$3,'TTM Dates'!$B:$B,'TTM Dates'!$E:$E)&amp;ROW($BK42)&amp;":"&amp;XLOOKUP(DE$3,'TTM Dates'!$B:$B,'TTM Dates'!$C:$C)&amp;ROW($BK42))))</f>
        <v>0</v>
      </c>
      <c r="DF42" s="44">
        <f t="array" ref="DF42">IF(DF$3&gt;'QBO Summary'!$B$2,0,SUM(INDIRECT(XLOOKUP(DF$3,'TTM Dates'!$B:$B,'TTM Dates'!$E:$E)&amp;ROW($BK42)&amp;":"&amp;XLOOKUP(DF$3,'TTM Dates'!$B:$B,'TTM Dates'!$C:$C)&amp;ROW($BK42))))</f>
        <v>0</v>
      </c>
      <c r="DG42" s="44">
        <f t="array" ref="DG42">IF(DG$3&gt;'QBO Summary'!$B$2,0,SUM(INDIRECT(XLOOKUP(DG$3,'TTM Dates'!$B:$B,'TTM Dates'!$E:$E)&amp;ROW($BK42)&amp;":"&amp;XLOOKUP(DG$3,'TTM Dates'!$B:$B,'TTM Dates'!$C:$C)&amp;ROW($BK42))))</f>
        <v>0</v>
      </c>
      <c r="DH42" s="44">
        <f t="array" ref="DH42">IF(DH$3&gt;'QBO Summary'!$B$2,0,SUM(INDIRECT(XLOOKUP(DH$3,'TTM Dates'!$B:$B,'TTM Dates'!$E:$E)&amp;ROW($BK42)&amp;":"&amp;XLOOKUP(DH$3,'TTM Dates'!$B:$B,'TTM Dates'!$C:$C)&amp;ROW($BK42))))</f>
        <v>0</v>
      </c>
      <c r="DI42" s="44">
        <f t="array" ref="DI42">IF(DI$3&gt;'QBO Summary'!$B$2,0,SUM(INDIRECT(XLOOKUP(DI$3,'TTM Dates'!$B:$B,'TTM Dates'!$E:$E)&amp;ROW($BK42)&amp;":"&amp;XLOOKUP(DI$3,'TTM Dates'!$B:$B,'TTM Dates'!$C:$C)&amp;ROW($BK42))))</f>
        <v>0</v>
      </c>
      <c r="DJ42" s="44">
        <f t="array" ref="DJ42">IF(DJ$3&gt;'QBO Summary'!$B$2,0,SUM(INDIRECT(XLOOKUP(DJ$3,'TTM Dates'!$B:$B,'TTM Dates'!$E:$E)&amp;ROW($BK42)&amp;":"&amp;XLOOKUP(DJ$3,'TTM Dates'!$B:$B,'TTM Dates'!$C:$C)&amp;ROW($BK42))))</f>
        <v>0</v>
      </c>
      <c r="DK42" s="44">
        <f t="array" ref="DK42">IF(DK$3&gt;'QBO Summary'!$B$2,0,SUM(INDIRECT(XLOOKUP(DK$3,'TTM Dates'!$B:$B,'TTM Dates'!$E:$E)&amp;ROW($BK42)&amp;":"&amp;XLOOKUP(DK$3,'TTM Dates'!$B:$B,'TTM Dates'!$C:$C)&amp;ROW($BK42))))</f>
        <v>0</v>
      </c>
      <c r="DL42" s="44">
        <f t="array" ref="DL42">IF(DL$3&gt;'QBO Summary'!$B$2,0,SUM(INDIRECT(XLOOKUP(DL$3,'TTM Dates'!$B:$B,'TTM Dates'!$E:$E)&amp;ROW($BK42)&amp;":"&amp;XLOOKUP(DL$3,'TTM Dates'!$B:$B,'TTM Dates'!$C:$C)&amp;ROW($BK42))))</f>
        <v>0</v>
      </c>
      <c r="DM42" s="44">
        <f t="array" ref="DM42">IF(DM$3&gt;'QBO Summary'!$B$2,0,SUM(INDIRECT(XLOOKUP(DM$3,'TTM Dates'!$B:$B,'TTM Dates'!$E:$E)&amp;ROW($BK42)&amp;":"&amp;XLOOKUP(DM$3,'TTM Dates'!$B:$B,'TTM Dates'!$C:$C)&amp;ROW($BK42))))</f>
        <v>61909.21</v>
      </c>
      <c r="DN42" s="44">
        <f t="array" ref="DN42">IF(DN$3&gt;'QBO Summary'!$B$2,0,SUM(INDIRECT(XLOOKUP(DN$3,'TTM Dates'!$B:$B,'TTM Dates'!$E:$E)&amp;ROW($BK42)&amp;":"&amp;XLOOKUP(DN$3,'TTM Dates'!$B:$B,'TTM Dates'!$C:$C)&amp;ROW($BK42))))</f>
        <v>128747.51</v>
      </c>
      <c r="DO42" s="44">
        <f t="array" ref="DO42">IF(DO$3&gt;'QBO Summary'!$B$2,0,SUM(INDIRECT(XLOOKUP(DO$3,'TTM Dates'!$B:$B,'TTM Dates'!$E:$E)&amp;ROW($BK42)&amp;":"&amp;XLOOKUP(DO$3,'TTM Dates'!$B:$B,'TTM Dates'!$C:$C)&amp;ROW($BK42))))</f>
        <v>206387.22</v>
      </c>
      <c r="DP42" s="44">
        <f t="array" ref="DP42">IF(DP$3&gt;'QBO Summary'!$B$2,0,SUM(INDIRECT(XLOOKUP(DP$3,'TTM Dates'!$B:$B,'TTM Dates'!$E:$E)&amp;ROW($BK42)&amp;":"&amp;XLOOKUP(DP$3,'TTM Dates'!$B:$B,'TTM Dates'!$C:$C)&amp;ROW($BK42))))</f>
        <v>287837.26</v>
      </c>
      <c r="DQ42" s="44">
        <f t="array" ref="DQ42">IF(DQ$3&gt;'QBO Summary'!$B$2,0,SUM(INDIRECT(XLOOKUP(DQ$3,'TTM Dates'!$B:$B,'TTM Dates'!$E:$E)&amp;ROW($BK42)&amp;":"&amp;XLOOKUP(DQ$3,'TTM Dates'!$B:$B,'TTM Dates'!$C:$C)&amp;ROW($BK42))))</f>
        <v>342097.07</v>
      </c>
      <c r="DR42" s="44">
        <f t="array" ref="DR42">IF(DR$3&gt;'QBO Summary'!$B$2,0,SUM(INDIRECT(XLOOKUP(DR$3,'TTM Dates'!$B:$B,'TTM Dates'!$E:$E)&amp;ROW($BK42)&amp;":"&amp;XLOOKUP(DR$3,'TTM Dates'!$B:$B,'TTM Dates'!$C:$C)&amp;ROW($BK42))))</f>
        <v>445925.64</v>
      </c>
      <c r="DS42" s="44">
        <f t="array" ref="DS42">IF(DS$3&gt;'QBO Summary'!$B$2,0,SUM(INDIRECT(XLOOKUP(DS$3,'TTM Dates'!$B:$B,'TTM Dates'!$E:$E)&amp;ROW($BK42)&amp;":"&amp;XLOOKUP(DS$3,'TTM Dates'!$B:$B,'TTM Dates'!$C:$C)&amp;ROW($BK42))))</f>
        <v>553876.5</v>
      </c>
      <c r="DT42" s="44">
        <f t="array" ref="DT42">IF(DT$3&gt;'QBO Summary'!$B$2,0,SUM(INDIRECT(XLOOKUP(DT$3,'TTM Dates'!$B:$B,'TTM Dates'!$E:$E)&amp;ROW($BK42)&amp;":"&amp;XLOOKUP(DT$3,'TTM Dates'!$B:$B,'TTM Dates'!$C:$C)&amp;ROW($BK42))))</f>
        <v>652889.27</v>
      </c>
      <c r="DU42" s="44">
        <f t="array" ref="DU42">IF(DU$3&gt;'QBO Summary'!$B$2,0,SUM(INDIRECT(XLOOKUP(DU$3,'TTM Dates'!$B:$B,'TTM Dates'!$E:$E)&amp;ROW($BK42)&amp;":"&amp;XLOOKUP(DU$3,'TTM Dates'!$B:$B,'TTM Dates'!$C:$C)&amp;ROW($BK42))))</f>
        <v>732466.74</v>
      </c>
      <c r="DV42" s="44">
        <f t="array" ref="DV42">IF(DV$3&gt;'QBO Summary'!$B$2,0,SUM(INDIRECT(XLOOKUP(DV$3,'TTM Dates'!$B:$B,'TTM Dates'!$E:$E)&amp;ROW($BK42)&amp;":"&amp;XLOOKUP(DV$3,'TTM Dates'!$B:$B,'TTM Dates'!$C:$C)&amp;ROW($BK42))))</f>
        <v>963341.91</v>
      </c>
      <c r="DW42" s="44">
        <f t="array" ref="DW42">IF(DW$3&gt;'QBO Summary'!$B$2,0,SUM(INDIRECT(XLOOKUP(DW$3,'TTM Dates'!$B:$B,'TTM Dates'!$E:$E)&amp;ROW($BK42)&amp;":"&amp;XLOOKUP(DW$3,'TTM Dates'!$B:$B,'TTM Dates'!$C:$C)&amp;ROW($BK42))))</f>
        <v>1043709.3</v>
      </c>
      <c r="DX42" s="44">
        <f t="array" ref="DX42">IF(DX$3&gt;'QBO Summary'!$B$2,0,SUM(INDIRECT(XLOOKUP(DX$3,'TTM Dates'!$B:$B,'TTM Dates'!$E:$E)&amp;ROW($BK42)&amp;":"&amp;XLOOKUP(DX$3,'TTM Dates'!$B:$B,'TTM Dates'!$C:$C)&amp;ROW($BK42))))</f>
        <v>1099195</v>
      </c>
      <c r="DY42" s="44">
        <f t="array" ref="DY42">IF(DY$3&gt;'QBO Summary'!$B$2,0,SUM(INDIRECT(XLOOKUP(DY$3,'TTM Dates'!$B:$B,'TTM Dates'!$E:$E)&amp;ROW($BK42)&amp;":"&amp;XLOOKUP(DY$3,'TTM Dates'!$B:$B,'TTM Dates'!$C:$C)&amp;ROW($BK42))))</f>
        <v>1149510.39</v>
      </c>
      <c r="DZ42" s="44">
        <f t="array" ref="DZ42">IF(DZ$3&gt;'QBO Summary'!$B$2,0,SUM(INDIRECT(XLOOKUP(DZ$3,'TTM Dates'!$B:$B,'TTM Dates'!$E:$E)&amp;ROW($BK42)&amp;":"&amp;XLOOKUP(DZ$3,'TTM Dates'!$B:$B,'TTM Dates'!$C:$C)&amp;ROW($BK42))))</f>
        <v>1082672.09</v>
      </c>
      <c r="EA42" s="44">
        <f t="array" ref="EA42">IF(EA$3&gt;'QBO Summary'!$B$2,0,SUM(INDIRECT(XLOOKUP(EA$3,'TTM Dates'!$B:$B,'TTM Dates'!$E:$E)&amp;ROW($BK42)&amp;":"&amp;XLOOKUP(EA$3,'TTM Dates'!$B:$B,'TTM Dates'!$C:$C)&amp;ROW($BK42))))</f>
        <v>1005032.38</v>
      </c>
      <c r="EB42" s="44">
        <f t="array" ref="EB42">IF(EB$3&gt;'QBO Summary'!$B$2,0,SUM(INDIRECT(XLOOKUP(EB$3,'TTM Dates'!$B:$B,'TTM Dates'!$E:$E)&amp;ROW($BK42)&amp;":"&amp;XLOOKUP(EB$3,'TTM Dates'!$B:$B,'TTM Dates'!$C:$C)&amp;ROW($BK42))))</f>
        <v>923582.34</v>
      </c>
      <c r="EC42" s="44">
        <f t="array" ref="EC42">IF(EC$3&gt;'QBO Summary'!$B$2,0,SUM(INDIRECT(XLOOKUP(EC$3,'TTM Dates'!$B:$B,'TTM Dates'!$E:$E)&amp;ROW($BK42)&amp;":"&amp;XLOOKUP(EC$3,'TTM Dates'!$B:$B,'TTM Dates'!$C:$C)&amp;ROW($BK42))))</f>
        <v>869322.53</v>
      </c>
    </row>
    <row r="43" outlineLevel="1">
      <c r="B43" s="135" t="s">
        <v>510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202">
        <v>275497.36</v>
      </c>
      <c r="AN43" s="202">
        <v>399443.96</v>
      </c>
      <c r="AO43" s="202">
        <v>278224.85</v>
      </c>
      <c r="AP43" s="202">
        <v>403497.63</v>
      </c>
      <c r="AQ43" s="202">
        <v>316323.17</v>
      </c>
      <c r="AR43" s="202">
        <v>249722.43</v>
      </c>
      <c r="AS43" s="202">
        <v>339949.3</v>
      </c>
      <c r="AT43" s="202">
        <v>214309.04</v>
      </c>
      <c r="AU43" s="202">
        <v>88444.44</v>
      </c>
      <c r="AV43" s="202">
        <v>79234.13</v>
      </c>
      <c r="AW43" s="202">
        <v>71218.91</v>
      </c>
      <c r="AX43" s="337">
        <v>164906.07</v>
      </c>
      <c r="AY43" s="337">
        <v>252277.92</v>
      </c>
      <c r="AZ43" s="337">
        <v>99934.3</v>
      </c>
      <c r="BA43" s="337">
        <v>180071.85</v>
      </c>
      <c r="BB43" s="337">
        <v>354935.27</v>
      </c>
      <c r="BC43" s="337">
        <v>218932.5</v>
      </c>
      <c r="BD43" s="337">
        <v>87917.44</v>
      </c>
      <c r="BE43" s="337">
        <v>364333.03</v>
      </c>
      <c r="BF43" s="337">
        <v>523980.64</v>
      </c>
      <c r="BG43" s="337"/>
      <c r="BH43" s="337"/>
      <c r="BI43" s="337"/>
      <c r="BJ43" s="337"/>
      <c r="BK43" s="33"/>
      <c r="BL43" s="288">
        <f t="array" ref="BL43">SUM(INDIRECT(XLOOKUP('QBO Summary'!$B$2,'TTM Dates'!$B:$B,'TTM Dates'!$E:$E)&amp;ROW($BK43)&amp;":"&amp;XLOOKUP('QBO Summary'!$B$2,'TTM Dates'!$B:$B,'TTM Dates'!$C:$C)&amp;ROW($BK43)))</f>
        <v>7843925.53</v>
      </c>
      <c r="BM43" s="351"/>
      <c r="BN43" s="366">
        <f t="shared" si="55"/>
        <v>532284.07</v>
      </c>
      <c r="BO43" s="366">
        <f t="shared" si="56"/>
        <v>661785.21</v>
      </c>
      <c r="BP43" s="366">
        <f t="shared" si="57"/>
        <v>888313.67</v>
      </c>
      <c r="BQ43" s="366">
        <f t="shared" si="58"/>
        <v>0</v>
      </c>
      <c r="BR43" s="367">
        <f t="shared" si="59"/>
        <v>2082382.95</v>
      </c>
      <c r="BS43" s="366"/>
      <c r="BT43" s="366">
        <f t="shared" si="60"/>
        <v>953166.17</v>
      </c>
      <c r="BU43" s="366">
        <f t="shared" si="61"/>
        <v>969543.23</v>
      </c>
      <c r="BV43" s="366">
        <f t="shared" si="62"/>
        <v>642702.78</v>
      </c>
      <c r="BW43" s="366">
        <f t="shared" si="63"/>
        <v>315359.11</v>
      </c>
      <c r="BX43" s="367">
        <f t="shared" si="64"/>
        <v>2880771.29</v>
      </c>
      <c r="BY43" s="366"/>
      <c r="BZ43" s="366"/>
      <c r="CA43" s="366"/>
      <c r="CB43" s="366"/>
      <c r="CC43" s="366"/>
      <c r="CD43" s="367"/>
      <c r="CE43" s="366"/>
      <c r="CF43" s="367"/>
      <c r="CG43" s="44"/>
      <c r="CH43" s="44">
        <f t="array" ref="CH43">IF(CH$3&gt;'QBO Summary'!$B$2,0,SUM(INDIRECT(XLOOKUP(CH$3,'TTM Dates'!$B:$B,'TTM Dates'!$E:$E)&amp;ROW($BK43)&amp;":"&amp;XLOOKUP(CH$3,'TTM Dates'!$B:$B,'TTM Dates'!$C:$C)&amp;ROW($BK43))))</f>
        <v>0</v>
      </c>
      <c r="CI43" s="44">
        <f t="array" ref="CI43">IF(CI$3&gt;'QBO Summary'!$B$2,0,SUM(INDIRECT(XLOOKUP(CI$3,'TTM Dates'!$B:$B,'TTM Dates'!$E:$E)&amp;ROW($BK43)&amp;":"&amp;XLOOKUP(CI$3,'TTM Dates'!$B:$B,'TTM Dates'!$C:$C)&amp;ROW($BK43))))</f>
        <v>0</v>
      </c>
      <c r="CJ43" s="44">
        <f t="array" ref="CJ43">IF(CJ$3&gt;'QBO Summary'!$B$2,0,SUM(INDIRECT(XLOOKUP(CJ$3,'TTM Dates'!$B:$B,'TTM Dates'!$E:$E)&amp;ROW($BK43)&amp;":"&amp;XLOOKUP(CJ$3,'TTM Dates'!$B:$B,'TTM Dates'!$C:$C)&amp;ROW($BK43))))</f>
        <v>0</v>
      </c>
      <c r="CK43" s="44">
        <f t="array" ref="CK43">IF(CK$3&gt;'QBO Summary'!$B$2,0,SUM(INDIRECT(XLOOKUP(CK$3,'TTM Dates'!$B:$B,'TTM Dates'!$E:$E)&amp;ROW($BK43)&amp;":"&amp;XLOOKUP(CK$3,'TTM Dates'!$B:$B,'TTM Dates'!$C:$C)&amp;ROW($BK43))))</f>
        <v>0</v>
      </c>
      <c r="CL43" s="44">
        <f t="array" ref="CL43">IF(CL$3&gt;'QBO Summary'!$B$2,0,SUM(INDIRECT(XLOOKUP(CL$3,'TTM Dates'!$B:$B,'TTM Dates'!$E:$E)&amp;ROW($BK43)&amp;":"&amp;XLOOKUP(CL$3,'TTM Dates'!$B:$B,'TTM Dates'!$C:$C)&amp;ROW($BK43))))</f>
        <v>0</v>
      </c>
      <c r="CM43" s="44">
        <f t="array" ref="CM43">IF(CM$3&gt;'QBO Summary'!$B$2,0,SUM(INDIRECT(XLOOKUP(CM$3,'TTM Dates'!$B:$B,'TTM Dates'!$E:$E)&amp;ROW($BK43)&amp;":"&amp;XLOOKUP(CM$3,'TTM Dates'!$B:$B,'TTM Dates'!$C:$C)&amp;ROW($BK43))))</f>
        <v>0</v>
      </c>
      <c r="CN43" s="44">
        <f t="array" ref="CN43">IF(CN$3&gt;'QBO Summary'!$B$2,0,SUM(INDIRECT(XLOOKUP(CN$3,'TTM Dates'!$B:$B,'TTM Dates'!$E:$E)&amp;ROW($BK43)&amp;":"&amp;XLOOKUP(CN$3,'TTM Dates'!$B:$B,'TTM Dates'!$C:$C)&amp;ROW($BK43))))</f>
        <v>0</v>
      </c>
      <c r="CO43" s="44">
        <f t="array" ref="CO43">IF(CO$3&gt;'QBO Summary'!$B$2,0,SUM(INDIRECT(XLOOKUP(CO$3,'TTM Dates'!$B:$B,'TTM Dates'!$E:$E)&amp;ROW($BK43)&amp;":"&amp;XLOOKUP(CO$3,'TTM Dates'!$B:$B,'TTM Dates'!$C:$C)&amp;ROW($BK43))))</f>
        <v>0</v>
      </c>
      <c r="CP43" s="44">
        <f t="array" ref="CP43">IF(CP$3&gt;'QBO Summary'!$B$2,0,SUM(INDIRECT(XLOOKUP(CP$3,'TTM Dates'!$B:$B,'TTM Dates'!$E:$E)&amp;ROW($BK43)&amp;":"&amp;XLOOKUP(CP$3,'TTM Dates'!$B:$B,'TTM Dates'!$C:$C)&amp;ROW($BK43))))</f>
        <v>0</v>
      </c>
      <c r="CQ43" s="44">
        <f t="array" ref="CQ43">IF(CQ$3&gt;'QBO Summary'!$B$2,0,SUM(INDIRECT(XLOOKUP(CQ$3,'TTM Dates'!$B:$B,'TTM Dates'!$E:$E)&amp;ROW($BK43)&amp;":"&amp;XLOOKUP(CQ$3,'TTM Dates'!$B:$B,'TTM Dates'!$C:$C)&amp;ROW($BK43))))</f>
        <v>0</v>
      </c>
      <c r="CR43" s="44">
        <f t="array" ref="CR43">IF(CR$3&gt;'QBO Summary'!$B$2,0,SUM(INDIRECT(XLOOKUP(CR$3,'TTM Dates'!$B:$B,'TTM Dates'!$E:$E)&amp;ROW($BK43)&amp;":"&amp;XLOOKUP(CR$3,'TTM Dates'!$B:$B,'TTM Dates'!$C:$C)&amp;ROW($BK43))))</f>
        <v>0</v>
      </c>
      <c r="CS43" s="44">
        <f t="array" ref="CS43">IF(CS$3&gt;'QBO Summary'!$B$2,0,SUM(INDIRECT(XLOOKUP(CS$3,'TTM Dates'!$B:$B,'TTM Dates'!$E:$E)&amp;ROW($BK43)&amp;":"&amp;XLOOKUP(CS$3,'TTM Dates'!$B:$B,'TTM Dates'!$C:$C)&amp;ROW($BK43))))</f>
        <v>0</v>
      </c>
      <c r="CT43" s="44">
        <f t="array" ref="CT43">IF(CT$3&gt;'QBO Summary'!$B$2,0,SUM(INDIRECT(XLOOKUP(CT$3,'TTM Dates'!$B:$B,'TTM Dates'!$E:$E)&amp;ROW($BK43)&amp;":"&amp;XLOOKUP(CT$3,'TTM Dates'!$B:$B,'TTM Dates'!$C:$C)&amp;ROW($BK43))))</f>
        <v>0</v>
      </c>
      <c r="CU43" s="44">
        <f t="array" ref="CU43">IF(CU$3&gt;'QBO Summary'!$B$2,0,SUM(INDIRECT(XLOOKUP(CU$3,'TTM Dates'!$B:$B,'TTM Dates'!$E:$E)&amp;ROW($BK43)&amp;":"&amp;XLOOKUP(CU$3,'TTM Dates'!$B:$B,'TTM Dates'!$C:$C)&amp;ROW($BK43))))</f>
        <v>0</v>
      </c>
      <c r="CV43" s="44">
        <f t="array" ref="CV43">IF(CV$3&gt;'QBO Summary'!$B$2,0,SUM(INDIRECT(XLOOKUP(CV$3,'TTM Dates'!$B:$B,'TTM Dates'!$E:$E)&amp;ROW($BK43)&amp;":"&amp;XLOOKUP(CV$3,'TTM Dates'!$B:$B,'TTM Dates'!$C:$C)&amp;ROW($BK43))))</f>
        <v>0</v>
      </c>
      <c r="CW43" s="44">
        <f t="array" ref="CW43">IF(CW$3&gt;'QBO Summary'!$B$2,0,SUM(INDIRECT(XLOOKUP(CW$3,'TTM Dates'!$B:$B,'TTM Dates'!$E:$E)&amp;ROW($BK43)&amp;":"&amp;XLOOKUP(CW$3,'TTM Dates'!$B:$B,'TTM Dates'!$C:$C)&amp;ROW($BK43))))</f>
        <v>0</v>
      </c>
      <c r="CX43" s="44">
        <f t="array" ref="CX43">IF(CX$3&gt;'QBO Summary'!$B$2,0,SUM(INDIRECT(XLOOKUP(CX$3,'TTM Dates'!$B:$B,'TTM Dates'!$E:$E)&amp;ROW($BK43)&amp;":"&amp;XLOOKUP(CX$3,'TTM Dates'!$B:$B,'TTM Dates'!$C:$C)&amp;ROW($BK43))))</f>
        <v>0</v>
      </c>
      <c r="CY43" s="44">
        <f t="array" ref="CY43">IF(CY$3&gt;'QBO Summary'!$B$2,0,SUM(INDIRECT(XLOOKUP(CY$3,'TTM Dates'!$B:$B,'TTM Dates'!$E:$E)&amp;ROW($BK43)&amp;":"&amp;XLOOKUP(CY$3,'TTM Dates'!$B:$B,'TTM Dates'!$C:$C)&amp;ROW($BK43))))</f>
        <v>0</v>
      </c>
      <c r="CZ43" s="44">
        <f t="array" ref="CZ43">IF(CZ$3&gt;'QBO Summary'!$B$2,0,SUM(INDIRECT(XLOOKUP(CZ$3,'TTM Dates'!$B:$B,'TTM Dates'!$E:$E)&amp;ROW($BK43)&amp;":"&amp;XLOOKUP(CZ$3,'TTM Dates'!$B:$B,'TTM Dates'!$C:$C)&amp;ROW($BK43))))</f>
        <v>0</v>
      </c>
      <c r="DA43" s="44">
        <f t="array" ref="DA43">IF(DA$3&gt;'QBO Summary'!$B$2,0,SUM(INDIRECT(XLOOKUP(DA$3,'TTM Dates'!$B:$B,'TTM Dates'!$E:$E)&amp;ROW($BK43)&amp;":"&amp;XLOOKUP(DA$3,'TTM Dates'!$B:$B,'TTM Dates'!$C:$C)&amp;ROW($BK43))))</f>
        <v>0</v>
      </c>
      <c r="DB43" s="44">
        <f t="array" ref="DB43">IF(DB$3&gt;'QBO Summary'!$B$2,0,SUM(INDIRECT(XLOOKUP(DB$3,'TTM Dates'!$B:$B,'TTM Dates'!$E:$E)&amp;ROW($BK43)&amp;":"&amp;XLOOKUP(DB$3,'TTM Dates'!$B:$B,'TTM Dates'!$C:$C)&amp;ROW($BK43))))</f>
        <v>0</v>
      </c>
      <c r="DC43" s="44">
        <f t="array" ref="DC43">IF(DC$3&gt;'QBO Summary'!$B$2,0,SUM(INDIRECT(XLOOKUP(DC$3,'TTM Dates'!$B:$B,'TTM Dates'!$E:$E)&amp;ROW($BK43)&amp;":"&amp;XLOOKUP(DC$3,'TTM Dates'!$B:$B,'TTM Dates'!$C:$C)&amp;ROW($BK43))))</f>
        <v>0</v>
      </c>
      <c r="DD43" s="44">
        <f t="array" ref="DD43">IF(DD$3&gt;'QBO Summary'!$B$2,0,SUM(INDIRECT(XLOOKUP(DD$3,'TTM Dates'!$B:$B,'TTM Dates'!$E:$E)&amp;ROW($BK43)&amp;":"&amp;XLOOKUP(DD$3,'TTM Dates'!$B:$B,'TTM Dates'!$C:$C)&amp;ROW($BK43))))</f>
        <v>0</v>
      </c>
      <c r="DE43" s="44">
        <f t="array" ref="DE43">IF(DE$3&gt;'QBO Summary'!$B$2,0,SUM(INDIRECT(XLOOKUP(DE$3,'TTM Dates'!$B:$B,'TTM Dates'!$E:$E)&amp;ROW($BK43)&amp;":"&amp;XLOOKUP(DE$3,'TTM Dates'!$B:$B,'TTM Dates'!$C:$C)&amp;ROW($BK43))))</f>
        <v>0</v>
      </c>
      <c r="DF43" s="44">
        <f t="array" ref="DF43">IF(DF$3&gt;'QBO Summary'!$B$2,0,SUM(INDIRECT(XLOOKUP(DF$3,'TTM Dates'!$B:$B,'TTM Dates'!$E:$E)&amp;ROW($BK43)&amp;":"&amp;XLOOKUP(DF$3,'TTM Dates'!$B:$B,'TTM Dates'!$C:$C)&amp;ROW($BK43))))</f>
        <v>275497.36</v>
      </c>
      <c r="DG43" s="44">
        <f t="array" ref="DG43">IF(DG$3&gt;'QBO Summary'!$B$2,0,SUM(INDIRECT(XLOOKUP(DG$3,'TTM Dates'!$B:$B,'TTM Dates'!$E:$E)&amp;ROW($BK43)&amp;":"&amp;XLOOKUP(DG$3,'TTM Dates'!$B:$B,'TTM Dates'!$C:$C)&amp;ROW($BK43))))</f>
        <v>674941.32</v>
      </c>
      <c r="DH43" s="44">
        <f t="array" ref="DH43">IF(DH$3&gt;'QBO Summary'!$B$2,0,SUM(INDIRECT(XLOOKUP(DH$3,'TTM Dates'!$B:$B,'TTM Dates'!$E:$E)&amp;ROW($BK43)&amp;":"&amp;XLOOKUP(DH$3,'TTM Dates'!$B:$B,'TTM Dates'!$C:$C)&amp;ROW($BK43))))</f>
        <v>953166.17</v>
      </c>
      <c r="DI43" s="44">
        <f t="array" ref="DI43">IF(DI$3&gt;'QBO Summary'!$B$2,0,SUM(INDIRECT(XLOOKUP(DI$3,'TTM Dates'!$B:$B,'TTM Dates'!$E:$E)&amp;ROW($BK43)&amp;":"&amp;XLOOKUP(DI$3,'TTM Dates'!$B:$B,'TTM Dates'!$C:$C)&amp;ROW($BK43))))</f>
        <v>1356663.8</v>
      </c>
      <c r="DJ43" s="44">
        <f t="array" ref="DJ43">IF(DJ$3&gt;'QBO Summary'!$B$2,0,SUM(INDIRECT(XLOOKUP(DJ$3,'TTM Dates'!$B:$B,'TTM Dates'!$E:$E)&amp;ROW($BK43)&amp;":"&amp;XLOOKUP(DJ$3,'TTM Dates'!$B:$B,'TTM Dates'!$C:$C)&amp;ROW($BK43))))</f>
        <v>1672986.97</v>
      </c>
      <c r="DK43" s="44">
        <f t="array" ref="DK43">IF(DK$3&gt;'QBO Summary'!$B$2,0,SUM(INDIRECT(XLOOKUP(DK$3,'TTM Dates'!$B:$B,'TTM Dates'!$E:$E)&amp;ROW($BK43)&amp;":"&amp;XLOOKUP(DK$3,'TTM Dates'!$B:$B,'TTM Dates'!$C:$C)&amp;ROW($BK43))))</f>
        <v>1922709.4</v>
      </c>
      <c r="DL43" s="44">
        <f t="array" ref="DL43">IF(DL$3&gt;'QBO Summary'!$B$2,0,SUM(INDIRECT(XLOOKUP(DL$3,'TTM Dates'!$B:$B,'TTM Dates'!$E:$E)&amp;ROW($BK43)&amp;":"&amp;XLOOKUP(DL$3,'TTM Dates'!$B:$B,'TTM Dates'!$C:$C)&amp;ROW($BK43))))</f>
        <v>2262658.7</v>
      </c>
      <c r="DM43" s="44">
        <f t="array" ref="DM43">IF(DM$3&gt;'QBO Summary'!$B$2,0,SUM(INDIRECT(XLOOKUP(DM$3,'TTM Dates'!$B:$B,'TTM Dates'!$E:$E)&amp;ROW($BK43)&amp;":"&amp;XLOOKUP(DM$3,'TTM Dates'!$B:$B,'TTM Dates'!$C:$C)&amp;ROW($BK43))))</f>
        <v>2476967.74</v>
      </c>
      <c r="DN43" s="44">
        <f t="array" ref="DN43">IF(DN$3&gt;'QBO Summary'!$B$2,0,SUM(INDIRECT(XLOOKUP(DN$3,'TTM Dates'!$B:$B,'TTM Dates'!$E:$E)&amp;ROW($BK43)&amp;":"&amp;XLOOKUP(DN$3,'TTM Dates'!$B:$B,'TTM Dates'!$C:$C)&amp;ROW($BK43))))</f>
        <v>2565412.18</v>
      </c>
      <c r="DO43" s="44">
        <f t="array" ref="DO43">IF(DO$3&gt;'QBO Summary'!$B$2,0,SUM(INDIRECT(XLOOKUP(DO$3,'TTM Dates'!$B:$B,'TTM Dates'!$E:$E)&amp;ROW($BK43)&amp;":"&amp;XLOOKUP(DO$3,'TTM Dates'!$B:$B,'TTM Dates'!$C:$C)&amp;ROW($BK43))))</f>
        <v>2644646.31</v>
      </c>
      <c r="DP43" s="44">
        <f t="array" ref="DP43">IF(DP$3&gt;'QBO Summary'!$B$2,0,SUM(INDIRECT(XLOOKUP(DP$3,'TTM Dates'!$B:$B,'TTM Dates'!$E:$E)&amp;ROW($BK43)&amp;":"&amp;XLOOKUP(DP$3,'TTM Dates'!$B:$B,'TTM Dates'!$C:$C)&amp;ROW($BK43))))</f>
        <v>2715865.22</v>
      </c>
      <c r="DQ43" s="44">
        <f t="array" ref="DQ43">IF(DQ$3&gt;'QBO Summary'!$B$2,0,SUM(INDIRECT(XLOOKUP(DQ$3,'TTM Dates'!$B:$B,'TTM Dates'!$E:$E)&amp;ROW($BK43)&amp;":"&amp;XLOOKUP(DQ$3,'TTM Dates'!$B:$B,'TTM Dates'!$C:$C)&amp;ROW($BK43))))</f>
        <v>2880771.29</v>
      </c>
      <c r="DR43" s="44">
        <f t="array" ref="DR43">IF(DR$3&gt;'QBO Summary'!$B$2,0,SUM(INDIRECT(XLOOKUP(DR$3,'TTM Dates'!$B:$B,'TTM Dates'!$E:$E)&amp;ROW($BK43)&amp;":"&amp;XLOOKUP(DR$3,'TTM Dates'!$B:$B,'TTM Dates'!$C:$C)&amp;ROW($BK43))))</f>
        <v>2857551.85</v>
      </c>
      <c r="DS43" s="44">
        <f t="array" ref="DS43">IF(DS$3&gt;'QBO Summary'!$B$2,0,SUM(INDIRECT(XLOOKUP(DS$3,'TTM Dates'!$B:$B,'TTM Dates'!$E:$E)&amp;ROW($BK43)&amp;":"&amp;XLOOKUP(DS$3,'TTM Dates'!$B:$B,'TTM Dates'!$C:$C)&amp;ROW($BK43))))</f>
        <v>2558042.19</v>
      </c>
      <c r="DT43" s="44">
        <f t="array" ref="DT43">IF(DT$3&gt;'QBO Summary'!$B$2,0,SUM(INDIRECT(XLOOKUP(DT$3,'TTM Dates'!$B:$B,'TTM Dates'!$E:$E)&amp;ROW($BK43)&amp;":"&amp;XLOOKUP(DT$3,'TTM Dates'!$B:$B,'TTM Dates'!$C:$C)&amp;ROW($BK43))))</f>
        <v>2459889.19</v>
      </c>
      <c r="DU43" s="44">
        <f t="array" ref="DU43">IF(DU$3&gt;'QBO Summary'!$B$2,0,SUM(INDIRECT(XLOOKUP(DU$3,'TTM Dates'!$B:$B,'TTM Dates'!$E:$E)&amp;ROW($BK43)&amp;":"&amp;XLOOKUP(DU$3,'TTM Dates'!$B:$B,'TTM Dates'!$C:$C)&amp;ROW($BK43))))</f>
        <v>2411326.83</v>
      </c>
      <c r="DV43" s="44">
        <f t="array" ref="DV43">IF(DV$3&gt;'QBO Summary'!$B$2,0,SUM(INDIRECT(XLOOKUP(DV$3,'TTM Dates'!$B:$B,'TTM Dates'!$E:$E)&amp;ROW($BK43)&amp;":"&amp;XLOOKUP(DV$3,'TTM Dates'!$B:$B,'TTM Dates'!$C:$C)&amp;ROW($BK43))))</f>
        <v>2313936.16</v>
      </c>
      <c r="DW43" s="44">
        <f t="array" ref="DW43">IF(DW$3&gt;'QBO Summary'!$B$2,0,SUM(INDIRECT(XLOOKUP(DW$3,'TTM Dates'!$B:$B,'TTM Dates'!$E:$E)&amp;ROW($BK43)&amp;":"&amp;XLOOKUP(DW$3,'TTM Dates'!$B:$B,'TTM Dates'!$C:$C)&amp;ROW($BK43))))</f>
        <v>2152131.17</v>
      </c>
      <c r="DX43" s="44">
        <f t="array" ref="DX43">IF(DX$3&gt;'QBO Summary'!$B$2,0,SUM(INDIRECT(XLOOKUP(DX$3,'TTM Dates'!$B:$B,'TTM Dates'!$E:$E)&amp;ROW($BK43)&amp;":"&amp;XLOOKUP(DX$3,'TTM Dates'!$B:$B,'TTM Dates'!$C:$C)&amp;ROW($BK43))))</f>
        <v>2176514.9</v>
      </c>
      <c r="DY43" s="44">
        <f t="array" ref="DY43">IF(DY$3&gt;'QBO Summary'!$B$2,0,SUM(INDIRECT(XLOOKUP(DY$3,'TTM Dates'!$B:$B,'TTM Dates'!$E:$E)&amp;ROW($BK43)&amp;":"&amp;XLOOKUP(DY$3,'TTM Dates'!$B:$B,'TTM Dates'!$C:$C)&amp;ROW($BK43))))</f>
        <v>2486186.5</v>
      </c>
      <c r="DZ43" s="44">
        <f t="array" ref="DZ43">IF(DZ$3&gt;'QBO Summary'!$B$2,0,SUM(INDIRECT(XLOOKUP(DZ$3,'TTM Dates'!$B:$B,'TTM Dates'!$E:$E)&amp;ROW($BK43)&amp;":"&amp;XLOOKUP(DZ$3,'TTM Dates'!$B:$B,'TTM Dates'!$C:$C)&amp;ROW($BK43))))</f>
        <v>2397742.06</v>
      </c>
      <c r="EA43" s="44">
        <f t="array" ref="EA43">IF(EA$3&gt;'QBO Summary'!$B$2,0,SUM(INDIRECT(XLOOKUP(EA$3,'TTM Dates'!$B:$B,'TTM Dates'!$E:$E)&amp;ROW($BK43)&amp;":"&amp;XLOOKUP(EA$3,'TTM Dates'!$B:$B,'TTM Dates'!$C:$C)&amp;ROW($BK43))))</f>
        <v>2318507.93</v>
      </c>
      <c r="EB43" s="44">
        <f t="array" ref="EB43">IF(EB$3&gt;'QBO Summary'!$B$2,0,SUM(INDIRECT(XLOOKUP(EB$3,'TTM Dates'!$B:$B,'TTM Dates'!$E:$E)&amp;ROW($BK43)&amp;":"&amp;XLOOKUP(EB$3,'TTM Dates'!$B:$B,'TTM Dates'!$C:$C)&amp;ROW($BK43))))</f>
        <v>2247289.02</v>
      </c>
      <c r="EC43" s="44">
        <f t="array" ref="EC43">IF(EC$3&gt;'QBO Summary'!$B$2,0,SUM(INDIRECT(XLOOKUP(EC$3,'TTM Dates'!$B:$B,'TTM Dates'!$E:$E)&amp;ROW($BK43)&amp;":"&amp;XLOOKUP(EC$3,'TTM Dates'!$B:$B,'TTM Dates'!$C:$C)&amp;ROW($BK43))))</f>
        <v>2082382.95</v>
      </c>
    </row>
    <row r="44">
      <c r="BK44" s="33"/>
      <c r="BL44" s="34"/>
      <c r="BM44" s="49"/>
      <c r="BR44" s="34"/>
      <c r="BX44" s="34"/>
      <c r="CD44" s="34"/>
      <c r="CF44" s="34"/>
      <c r="CG44" s="44"/>
    </row>
    <row r="45">
      <c r="B45" s="371" t="s">
        <v>489</v>
      </c>
      <c r="C45" s="372">
        <f>'P&amp;L 2020-2022'!B61</f>
        <v>-51437.03</v>
      </c>
      <c r="D45" s="372">
        <f>'P&amp;L 2020-2022'!C61</f>
        <v>141212.26</v>
      </c>
      <c r="E45" s="372">
        <f>'P&amp;L 2020-2022'!D61</f>
        <v>62360.74</v>
      </c>
      <c r="F45" s="372">
        <f>'P&amp;L 2020-2022'!E61</f>
        <v>-1096.05</v>
      </c>
      <c r="G45" s="372">
        <f>'P&amp;L 2020-2022'!F61</f>
        <v>54361.94</v>
      </c>
      <c r="H45" s="372">
        <f>'P&amp;L 2020-2022'!G61</f>
        <v>14726.01</v>
      </c>
      <c r="I45" s="372">
        <f>'P&amp;L 2020-2022'!H61</f>
        <v>6468.89</v>
      </c>
      <c r="J45" s="372">
        <f>'P&amp;L 2020-2022'!I61</f>
        <v>130633.09</v>
      </c>
      <c r="K45" s="372">
        <f>'P&amp;L 2020-2022'!J61</f>
        <v>-103972.91</v>
      </c>
      <c r="L45" s="372">
        <f>'P&amp;L 2020-2022'!K61</f>
        <v>-19369.09</v>
      </c>
      <c r="M45" s="372">
        <f>'P&amp;L 2020-2022'!L61</f>
        <v>342508.91</v>
      </c>
      <c r="N45" s="372">
        <f>'P&amp;L 2020-2022'!M61</f>
        <v>-141611.18</v>
      </c>
      <c r="O45" s="372">
        <f>'P&amp;L 2020-2022'!N61</f>
        <v>-49563.69</v>
      </c>
      <c r="P45" s="372">
        <f>'P&amp;L 2020-2022'!O61</f>
        <v>-85847.5</v>
      </c>
      <c r="Q45" s="372">
        <f>'P&amp;L 2020-2022'!P61</f>
        <v>314855.49</v>
      </c>
      <c r="R45" s="372">
        <f>'P&amp;L 2020-2022'!Q61</f>
        <v>136465.24</v>
      </c>
      <c r="S45" s="372">
        <f>'P&amp;L 2020-2022'!R61</f>
        <v>-47478.46</v>
      </c>
      <c r="T45" s="372">
        <f>'P&amp;L 2020-2022'!S61</f>
        <v>-20842.35</v>
      </c>
      <c r="U45" s="372">
        <f>'P&amp;L 2020-2022'!T61</f>
        <v>181951.9</v>
      </c>
      <c r="V45" s="372">
        <f>'P&amp;L 2020-2022'!U61</f>
        <v>-82360.74</v>
      </c>
      <c r="W45" s="372">
        <f>'P&amp;L 2020-2022'!V61</f>
        <v>441003.4</v>
      </c>
      <c r="X45" s="372">
        <f>'P&amp;L 2020-2022'!W61</f>
        <v>595503.33</v>
      </c>
      <c r="Y45" s="372">
        <f>'P&amp;L 2020-2022'!X61</f>
        <v>985510.62</v>
      </c>
      <c r="Z45" s="372">
        <f>'P&amp;L 2020-2022'!Y61</f>
        <v>369040.42</v>
      </c>
      <c r="AA45" s="372">
        <f>'P&amp;L 2020-2022'!Z47</f>
        <v>445924.51</v>
      </c>
      <c r="AB45" s="372">
        <f>'P&amp;L 2020-2022'!AA47</f>
        <v>266412.91</v>
      </c>
      <c r="AC45" s="372">
        <f>'P&amp;L 2020-2022'!AB47</f>
        <v>-11844.53</v>
      </c>
      <c r="AD45" s="372">
        <f>'P&amp;L 2020-2022'!AC47</f>
        <v>-279074.79</v>
      </c>
      <c r="AE45" s="372">
        <f>'P&amp;L 2020-2022'!AD47</f>
        <v>1007831.47</v>
      </c>
      <c r="AF45" s="372">
        <f>'P&amp;L 2020-2022'!AE47</f>
        <v>969158.18</v>
      </c>
      <c r="AG45" s="372">
        <f>'P&amp;L 2020-2022'!AF47</f>
        <v>611455.47</v>
      </c>
      <c r="AH45" s="372">
        <f>'P&amp;L 2020-2022'!AG47</f>
        <v>-73677.85</v>
      </c>
      <c r="AI45" s="372">
        <f>'P&amp;L 2020-2022'!AH47</f>
        <v>476476.22</v>
      </c>
      <c r="AJ45" s="372">
        <f>'P&amp;L 2020-2022'!AI47</f>
        <v>558814.62</v>
      </c>
      <c r="AK45" s="372">
        <f>'P&amp;L 2020-2022'!AJ47</f>
        <v>-97917.45</v>
      </c>
      <c r="AL45" s="372">
        <f>'P&amp;L 2020-2022'!AK47</f>
        <v>470270.16</v>
      </c>
      <c r="AM45" s="373">
        <f t="shared" ref="AM45:BJ45" si="71">AM13-AM27-AM31</f>
        <v>90276.64</v>
      </c>
      <c r="AN45" s="373">
        <f t="shared" si="71"/>
        <v>253924.36</v>
      </c>
      <c r="AO45" s="373">
        <f t="shared" si="71"/>
        <v>39480.44</v>
      </c>
      <c r="AP45" s="373">
        <f t="shared" si="71"/>
        <v>-509952.71</v>
      </c>
      <c r="AQ45" s="373">
        <f t="shared" si="71"/>
        <v>-804494.63</v>
      </c>
      <c r="AR45" s="372">
        <f t="shared" si="71"/>
        <v>560558.1</v>
      </c>
      <c r="AS45" s="372">
        <f t="shared" si="71"/>
        <v>-746808.41</v>
      </c>
      <c r="AT45" s="372">
        <f t="shared" si="71"/>
        <v>83768.84</v>
      </c>
      <c r="AU45" s="372">
        <f t="shared" si="71"/>
        <v>821.61</v>
      </c>
      <c r="AV45" s="372">
        <f t="shared" si="71"/>
        <v>-320938.14</v>
      </c>
      <c r="AW45" s="372">
        <f t="shared" si="71"/>
        <v>1034725.69</v>
      </c>
      <c r="AX45" s="372">
        <f t="shared" si="71"/>
        <v>903422.5</v>
      </c>
      <c r="AY45" s="372">
        <f t="shared" si="71"/>
        <v>-1101054.94</v>
      </c>
      <c r="AZ45" s="372">
        <f t="shared" si="71"/>
        <v>-927908.71</v>
      </c>
      <c r="BA45" s="372">
        <f t="shared" si="71"/>
        <v>1130297.29</v>
      </c>
      <c r="BB45" s="372">
        <f t="shared" si="71"/>
        <v>-1324868.17</v>
      </c>
      <c r="BC45" s="372">
        <f t="shared" si="71"/>
        <v>-346785.93</v>
      </c>
      <c r="BD45" s="372">
        <f t="shared" si="71"/>
        <v>130960.08</v>
      </c>
      <c r="BE45" s="372">
        <f t="shared" si="71"/>
        <v>-290411.91</v>
      </c>
      <c r="BF45" s="372">
        <f t="shared" si="71"/>
        <v>-1135868.59</v>
      </c>
      <c r="BG45" s="372">
        <f t="shared" si="71"/>
        <v>0</v>
      </c>
      <c r="BH45" s="372">
        <f t="shared" si="71"/>
        <v>0</v>
      </c>
      <c r="BI45" s="372">
        <f t="shared" si="71"/>
        <v>0</v>
      </c>
      <c r="BJ45" s="372">
        <f t="shared" si="71"/>
        <v>0</v>
      </c>
      <c r="BK45" s="129"/>
      <c r="BL45" s="374">
        <f t="array" ref="BL45">SUM(INDIRECT(XLOOKUP('QBO Summary'!$B$2,'TTM Dates'!$B:$B,'TTM Dates'!$E:$E)&amp;ROW($BK45)&amp;":"&amp;XLOOKUP('QBO Summary'!$B$2,'TTM Dates'!$B:$B,'TTM Dates'!$C:$C)&amp;ROW($BK45)))</f>
        <v>716589.29</v>
      </c>
      <c r="BM45" s="49"/>
      <c r="BN45" s="372">
        <f>sum(AY45:BA45)</f>
        <v>-898666.36</v>
      </c>
      <c r="BO45" s="372">
        <f>sum(BB45:BD45)</f>
        <v>-1540694.02</v>
      </c>
      <c r="BP45" s="372">
        <f>sum(BE45:BG45)</f>
        <v>-1426280.5</v>
      </c>
      <c r="BQ45" s="372">
        <f>sum(BH45:BJ45)</f>
        <v>0</v>
      </c>
      <c r="BR45" s="374">
        <f>sum(AY45:BJ45)</f>
        <v>-3865640.88</v>
      </c>
      <c r="BS45" s="375"/>
      <c r="BT45" s="372">
        <f>sum(AM45:AO45)</f>
        <v>383681.44</v>
      </c>
      <c r="BU45" s="372">
        <f>sum(AP45:AR45)</f>
        <v>-753889.24</v>
      </c>
      <c r="BV45" s="372">
        <f>sum(AS45:AU45)</f>
        <v>-662217.96</v>
      </c>
      <c r="BW45" s="372">
        <f>sum(AV45:AX45)</f>
        <v>1617210.05</v>
      </c>
      <c r="BX45" s="374">
        <f>sum(AM45:AX45)</f>
        <v>584784.29</v>
      </c>
      <c r="BY45" s="375"/>
      <c r="BZ45" s="372">
        <f>sum(AA45:AC45)</f>
        <v>700492.89</v>
      </c>
      <c r="CA45" s="372">
        <f>sum(AD45:AF45)</f>
        <v>1697914.86</v>
      </c>
      <c r="CB45" s="372">
        <f>sum(AG45:AI45)</f>
        <v>1014253.84</v>
      </c>
      <c r="CC45" s="372">
        <f>sum(AJ45:AL45)</f>
        <v>931167.33</v>
      </c>
      <c r="CD45" s="374">
        <f>CD13-CD31</f>
        <v>4343828.92</v>
      </c>
      <c r="CE45" s="375"/>
      <c r="CF45" s="374">
        <f>CF13-CF31</f>
        <v>2746845.38</v>
      </c>
      <c r="CG45" s="375"/>
      <c r="CH45" s="372">
        <f t="array" ref="CH45">IF(CH$3&gt;'QBO Summary'!$B$2,0,SUM(INDIRECT(XLOOKUP(CH$3,'TTM Dates'!$B:$B,'TTM Dates'!$E:$E)&amp;ROW($BK45)&amp;":"&amp;XLOOKUP(CH$3,'TTM Dates'!$B:$B,'TTM Dates'!$C:$C)&amp;ROW($BK45))))</f>
        <v>436658.92</v>
      </c>
      <c r="CI45" s="372">
        <f t="array" ref="CI45">IF(CI$3&gt;'QBO Summary'!$B$2,0,SUM(INDIRECT(XLOOKUP(CI$3,'TTM Dates'!$B:$B,'TTM Dates'!$E:$E)&amp;ROW($BK45)&amp;":"&amp;XLOOKUP(CI$3,'TTM Dates'!$B:$B,'TTM Dates'!$C:$C)&amp;ROW($BK45))))</f>
        <v>209599.16</v>
      </c>
      <c r="CJ45" s="372">
        <f t="array" ref="CJ45">IF(CJ$3&gt;'QBO Summary'!$B$2,0,SUM(INDIRECT(XLOOKUP(CJ$3,'TTM Dates'!$B:$B,'TTM Dates'!$E:$E)&amp;ROW($BK45)&amp;":"&amp;XLOOKUP(CJ$3,'TTM Dates'!$B:$B,'TTM Dates'!$C:$C)&amp;ROW($BK45))))</f>
        <v>462093.91</v>
      </c>
      <c r="CK45" s="372">
        <f t="array" ref="CK45">IF(CK$3&gt;'QBO Summary'!$B$2,0,SUM(INDIRECT(XLOOKUP(CK$3,'TTM Dates'!$B:$B,'TTM Dates'!$E:$E)&amp;ROW($BK45)&amp;":"&amp;XLOOKUP(CK$3,'TTM Dates'!$B:$B,'TTM Dates'!$C:$C)&amp;ROW($BK45))))</f>
        <v>599655.2</v>
      </c>
      <c r="CL45" s="372">
        <f t="array" ref="CL45">IF(CL$3&gt;'QBO Summary'!$B$2,0,SUM(INDIRECT(XLOOKUP(CL$3,'TTM Dates'!$B:$B,'TTM Dates'!$E:$E)&amp;ROW($BK45)&amp;":"&amp;XLOOKUP(CL$3,'TTM Dates'!$B:$B,'TTM Dates'!$C:$C)&amp;ROW($BK45))))</f>
        <v>497814.8</v>
      </c>
      <c r="CM45" s="372">
        <f t="array" ref="CM45">IF(CM$3&gt;'QBO Summary'!$B$2,0,SUM(INDIRECT(XLOOKUP(CM$3,'TTM Dates'!$B:$B,'TTM Dates'!$E:$E)&amp;ROW($BK45)&amp;":"&amp;XLOOKUP(CM$3,'TTM Dates'!$B:$B,'TTM Dates'!$C:$C)&amp;ROW($BK45))))</f>
        <v>462246.44</v>
      </c>
      <c r="CN45" s="372">
        <f t="array" ref="CN45">IF(CN$3&gt;'QBO Summary'!$B$2,0,SUM(INDIRECT(XLOOKUP(CN$3,'TTM Dates'!$B:$B,'TTM Dates'!$E:$E)&amp;ROW($BK45)&amp;":"&amp;XLOOKUP(CN$3,'TTM Dates'!$B:$B,'TTM Dates'!$C:$C)&amp;ROW($BK45))))</f>
        <v>637729.45</v>
      </c>
      <c r="CO45" s="372">
        <f t="array" ref="CO45">IF(CO$3&gt;'QBO Summary'!$B$2,0,SUM(INDIRECT(XLOOKUP(CO$3,'TTM Dates'!$B:$B,'TTM Dates'!$E:$E)&amp;ROW($BK45)&amp;":"&amp;XLOOKUP(CO$3,'TTM Dates'!$B:$B,'TTM Dates'!$C:$C)&amp;ROW($BK45))))</f>
        <v>424735.62</v>
      </c>
      <c r="CP45" s="372">
        <f t="array" ref="CP45">IF(CP$3&gt;'QBO Summary'!$B$2,0,SUM(INDIRECT(XLOOKUP(CP$3,'TTM Dates'!$B:$B,'TTM Dates'!$E:$E)&amp;ROW($BK45)&amp;":"&amp;XLOOKUP(CP$3,'TTM Dates'!$B:$B,'TTM Dates'!$C:$C)&amp;ROW($BK45))))</f>
        <v>969711.93</v>
      </c>
      <c r="CQ45" s="372">
        <f t="array" ref="CQ45">IF(CQ$3&gt;'QBO Summary'!$B$2,0,SUM(INDIRECT(XLOOKUP(CQ$3,'TTM Dates'!$B:$B,'TTM Dates'!$E:$E)&amp;ROW($BK45)&amp;":"&amp;XLOOKUP(CQ$3,'TTM Dates'!$B:$B,'TTM Dates'!$C:$C)&amp;ROW($BK45))))</f>
        <v>1584584.35</v>
      </c>
      <c r="CR45" s="372">
        <f t="array" ref="CR45">IF(CR$3&gt;'QBO Summary'!$B$2,0,SUM(INDIRECT(XLOOKUP(CR$3,'TTM Dates'!$B:$B,'TTM Dates'!$E:$E)&amp;ROW($BK45)&amp;":"&amp;XLOOKUP(CR$3,'TTM Dates'!$B:$B,'TTM Dates'!$C:$C)&amp;ROW($BK45))))</f>
        <v>2227586.06</v>
      </c>
      <c r="CS45" s="372">
        <f t="array" ref="CS45">IF(CS$3&gt;'QBO Summary'!$B$2,0,SUM(INDIRECT(XLOOKUP(CS$3,'TTM Dates'!$B:$B,'TTM Dates'!$E:$E)&amp;ROW($BK45)&amp;":"&amp;XLOOKUP(CS$3,'TTM Dates'!$B:$B,'TTM Dates'!$C:$C)&amp;ROW($BK45))))</f>
        <v>2738237.66</v>
      </c>
      <c r="CT45" s="372">
        <f t="array" ref="CT45">IF(CT$3&gt;'QBO Summary'!$B$2,0,SUM(INDIRECT(XLOOKUP(CT$3,'TTM Dates'!$B:$B,'TTM Dates'!$E:$E)&amp;ROW($BK45)&amp;":"&amp;XLOOKUP(CT$3,'TTM Dates'!$B:$B,'TTM Dates'!$C:$C)&amp;ROW($BK45))))</f>
        <v>3233725.86</v>
      </c>
      <c r="CU45" s="372">
        <f t="array" ref="CU45">IF(CU$3&gt;'QBO Summary'!$B$2,0,SUM(INDIRECT(XLOOKUP(CU$3,'TTM Dates'!$B:$B,'TTM Dates'!$E:$E)&amp;ROW($BK45)&amp;":"&amp;XLOOKUP(CU$3,'TTM Dates'!$B:$B,'TTM Dates'!$C:$C)&amp;ROW($BK45))))</f>
        <v>3585986.27</v>
      </c>
      <c r="CV45" s="372">
        <f t="array" ref="CV45">IF(CV$3&gt;'QBO Summary'!$B$2,0,SUM(INDIRECT(XLOOKUP(CV$3,'TTM Dates'!$B:$B,'TTM Dates'!$E:$E)&amp;ROW($BK45)&amp;":"&amp;XLOOKUP(CV$3,'TTM Dates'!$B:$B,'TTM Dates'!$C:$C)&amp;ROW($BK45))))</f>
        <v>3259286.25</v>
      </c>
      <c r="CW45" s="372">
        <f t="array" ref="CW45">IF(CW$3&gt;'QBO Summary'!$B$2,0,SUM(INDIRECT(XLOOKUP(CW$3,'TTM Dates'!$B:$B,'TTM Dates'!$E:$E)&amp;ROW($BK45)&amp;":"&amp;XLOOKUP(CW$3,'TTM Dates'!$B:$B,'TTM Dates'!$C:$C)&amp;ROW($BK45))))</f>
        <v>2843746.22</v>
      </c>
      <c r="CX45" s="372">
        <f t="array" ref="CX45">IF(CX$3&gt;'QBO Summary'!$B$2,0,SUM(INDIRECT(XLOOKUP(CX$3,'TTM Dates'!$B:$B,'TTM Dates'!$E:$E)&amp;ROW($BK45)&amp;":"&amp;XLOOKUP(CX$3,'TTM Dates'!$B:$B,'TTM Dates'!$C:$C)&amp;ROW($BK45))))</f>
        <v>3899056.15</v>
      </c>
      <c r="CY45" s="372">
        <f t="array" ref="CY45">IF(CY$3&gt;'QBO Summary'!$B$2,0,SUM(INDIRECT(XLOOKUP(CY$3,'TTM Dates'!$B:$B,'TTM Dates'!$E:$E)&amp;ROW($BK45)&amp;":"&amp;XLOOKUP(CY$3,'TTM Dates'!$B:$B,'TTM Dates'!$C:$C)&amp;ROW($BK45))))</f>
        <v>4889056.68</v>
      </c>
      <c r="CZ45" s="372">
        <f t="array" ref="CZ45">IF(CZ$3&gt;'QBO Summary'!$B$2,0,SUM(INDIRECT(XLOOKUP(CZ$3,'TTM Dates'!$B:$B,'TTM Dates'!$E:$E)&amp;ROW($BK45)&amp;":"&amp;XLOOKUP(CZ$3,'TTM Dates'!$B:$B,'TTM Dates'!$C:$C)&amp;ROW($BK45))))</f>
        <v>5318560.25</v>
      </c>
      <c r="DA45" s="372">
        <f t="array" ref="DA45">IF(DA$3&gt;'QBO Summary'!$B$2,0,SUM(INDIRECT(XLOOKUP(DA$3,'TTM Dates'!$B:$B,'TTM Dates'!$E:$E)&amp;ROW($BK45)&amp;":"&amp;XLOOKUP(DA$3,'TTM Dates'!$B:$B,'TTM Dates'!$C:$C)&amp;ROW($BK45))))</f>
        <v>5327243.14</v>
      </c>
      <c r="DB45" s="372">
        <f t="array" ref="DB45">IF(DB$3&gt;'QBO Summary'!$B$2,0,SUM(INDIRECT(XLOOKUP(DB$3,'TTM Dates'!$B:$B,'TTM Dates'!$E:$E)&amp;ROW($BK45)&amp;":"&amp;XLOOKUP(DB$3,'TTM Dates'!$B:$B,'TTM Dates'!$C:$C)&amp;ROW($BK45))))</f>
        <v>5362715.96</v>
      </c>
      <c r="DC45" s="372">
        <f t="array" ref="DC45">IF(DC$3&gt;'QBO Summary'!$B$2,0,SUM(INDIRECT(XLOOKUP(DC$3,'TTM Dates'!$B:$B,'TTM Dates'!$E:$E)&amp;ROW($BK45)&amp;":"&amp;XLOOKUP(DC$3,'TTM Dates'!$B:$B,'TTM Dates'!$C:$C)&amp;ROW($BK45))))</f>
        <v>5326027.25</v>
      </c>
      <c r="DD45" s="372">
        <f t="array" ref="DD45">IF(DD$3&gt;'QBO Summary'!$B$2,0,SUM(INDIRECT(XLOOKUP(DD$3,'TTM Dates'!$B:$B,'TTM Dates'!$E:$E)&amp;ROW($BK45)&amp;":"&amp;XLOOKUP(DD$3,'TTM Dates'!$B:$B,'TTM Dates'!$C:$C)&amp;ROW($BK45))))</f>
        <v>4242599.18</v>
      </c>
      <c r="DE45" s="372">
        <f t="array" ref="DE45">IF(DE$3&gt;'QBO Summary'!$B$2,0,SUM(INDIRECT(XLOOKUP(DE$3,'TTM Dates'!$B:$B,'TTM Dates'!$E:$E)&amp;ROW($BK45)&amp;":"&amp;XLOOKUP(DE$3,'TTM Dates'!$B:$B,'TTM Dates'!$C:$C)&amp;ROW($BK45))))</f>
        <v>4343828.92</v>
      </c>
      <c r="DF45" s="372">
        <f t="array" ref="DF45">IF(DF$3&gt;'QBO Summary'!$B$2,0,SUM(INDIRECT(XLOOKUP(DF$3,'TTM Dates'!$B:$B,'TTM Dates'!$E:$E)&amp;ROW($BK45)&amp;":"&amp;XLOOKUP(DF$3,'TTM Dates'!$B:$B,'TTM Dates'!$C:$C)&amp;ROW($BK45))))</f>
        <v>3988181.05</v>
      </c>
      <c r="DG45" s="372">
        <f t="array" ref="DG45">IF(DG$3&gt;'QBO Summary'!$B$2,0,SUM(INDIRECT(XLOOKUP(DG$3,'TTM Dates'!$B:$B,'TTM Dates'!$E:$E)&amp;ROW($BK45)&amp;":"&amp;XLOOKUP(DG$3,'TTM Dates'!$B:$B,'TTM Dates'!$C:$C)&amp;ROW($BK45))))</f>
        <v>3975692.5</v>
      </c>
      <c r="DH45" s="372">
        <f t="array" ref="DH45">IF(DH$3&gt;'QBO Summary'!$B$2,0,SUM(INDIRECT(XLOOKUP(DH$3,'TTM Dates'!$B:$B,'TTM Dates'!$E:$E)&amp;ROW($BK45)&amp;":"&amp;XLOOKUP(DH$3,'TTM Dates'!$B:$B,'TTM Dates'!$C:$C)&amp;ROW($BK45))))</f>
        <v>4027017.47</v>
      </c>
      <c r="DI45" s="372">
        <f t="array" ref="DI45">IF(DI$3&gt;'QBO Summary'!$B$2,0,SUM(INDIRECT(XLOOKUP(DI$3,'TTM Dates'!$B:$B,'TTM Dates'!$E:$E)&amp;ROW($BK45)&amp;":"&amp;XLOOKUP(DI$3,'TTM Dates'!$B:$B,'TTM Dates'!$C:$C)&amp;ROW($BK45))))</f>
        <v>3796139.55</v>
      </c>
      <c r="DJ45" s="372">
        <f t="array" ref="DJ45">IF(DJ$3&gt;'QBO Summary'!$B$2,0,SUM(INDIRECT(XLOOKUP(DJ$3,'TTM Dates'!$B:$B,'TTM Dates'!$E:$E)&amp;ROW($BK45)&amp;":"&amp;XLOOKUP(DJ$3,'TTM Dates'!$B:$B,'TTM Dates'!$C:$C)&amp;ROW($BK45))))</f>
        <v>1983813.45</v>
      </c>
      <c r="DK45" s="372">
        <f t="array" ref="DK45">IF(DK$3&gt;'QBO Summary'!$B$2,0,SUM(INDIRECT(XLOOKUP(DK$3,'TTM Dates'!$B:$B,'TTM Dates'!$E:$E)&amp;ROW($BK45)&amp;":"&amp;XLOOKUP(DK$3,'TTM Dates'!$B:$B,'TTM Dates'!$C:$C)&amp;ROW($BK45))))</f>
        <v>1575213.37</v>
      </c>
      <c r="DL45" s="372">
        <f t="array" ref="DL45">IF(DL$3&gt;'QBO Summary'!$B$2,0,SUM(INDIRECT(XLOOKUP(DL$3,'TTM Dates'!$B:$B,'TTM Dates'!$E:$E)&amp;ROW($BK45)&amp;":"&amp;XLOOKUP(DL$3,'TTM Dates'!$B:$B,'TTM Dates'!$C:$C)&amp;ROW($BK45))))</f>
        <v>216949.49</v>
      </c>
      <c r="DM45" s="372">
        <f t="array" ref="DM45">IF(DM$3&gt;'QBO Summary'!$B$2,0,SUM(INDIRECT(XLOOKUP(DM$3,'TTM Dates'!$B:$B,'TTM Dates'!$E:$E)&amp;ROW($BK45)&amp;":"&amp;XLOOKUP(DM$3,'TTM Dates'!$B:$B,'TTM Dates'!$C:$C)&amp;ROW($BK45))))</f>
        <v>374396.18</v>
      </c>
      <c r="DN45" s="372">
        <f t="array" ref="DN45">IF(DN$3&gt;'QBO Summary'!$B$2,0,SUM(INDIRECT(XLOOKUP(DN$3,'TTM Dates'!$B:$B,'TTM Dates'!$E:$E)&amp;ROW($BK45)&amp;":"&amp;XLOOKUP(DN$3,'TTM Dates'!$B:$B,'TTM Dates'!$C:$C)&amp;ROW($BK45))))</f>
        <v>-101258.43</v>
      </c>
      <c r="DO45" s="372">
        <f t="array" ref="DO45">IF(DO$3&gt;'QBO Summary'!$B$2,0,SUM(INDIRECT(XLOOKUP(DO$3,'TTM Dates'!$B:$B,'TTM Dates'!$E:$E)&amp;ROW($BK45)&amp;":"&amp;XLOOKUP(DO$3,'TTM Dates'!$B:$B,'TTM Dates'!$C:$C)&amp;ROW($BK45))))</f>
        <v>-981011.19</v>
      </c>
      <c r="DP45" s="372">
        <f t="array" ref="DP45">IF(DP$3&gt;'QBO Summary'!$B$2,0,SUM(INDIRECT(XLOOKUP(DP$3,'TTM Dates'!$B:$B,'TTM Dates'!$E:$E)&amp;ROW($BK45)&amp;":"&amp;XLOOKUP(DP$3,'TTM Dates'!$B:$B,'TTM Dates'!$C:$C)&amp;ROW($BK45))))</f>
        <v>151631.95</v>
      </c>
      <c r="DQ45" s="372">
        <f t="array" ref="DQ45">IF(DQ$3&gt;'QBO Summary'!$B$2,0,SUM(INDIRECT(XLOOKUP(DQ$3,'TTM Dates'!$B:$B,'TTM Dates'!$E:$E)&amp;ROW($BK45)&amp;":"&amp;XLOOKUP(DQ$3,'TTM Dates'!$B:$B,'TTM Dates'!$C:$C)&amp;ROW($BK45))))</f>
        <v>584784.29</v>
      </c>
      <c r="DR45" s="372">
        <f t="array" ref="DR45">IF(DR$3&gt;'QBO Summary'!$B$2,0,SUM(INDIRECT(XLOOKUP(DR$3,'TTM Dates'!$B:$B,'TTM Dates'!$E:$E)&amp;ROW($BK45)&amp;":"&amp;XLOOKUP(DR$3,'TTM Dates'!$B:$B,'TTM Dates'!$C:$C)&amp;ROW($BK45))))</f>
        <v>-606547.29</v>
      </c>
      <c r="DS45" s="372">
        <f t="array" ref="DS45">IF(DS$3&gt;'QBO Summary'!$B$2,0,SUM(INDIRECT(XLOOKUP(DS$3,'TTM Dates'!$B:$B,'TTM Dates'!$E:$E)&amp;ROW($BK45)&amp;":"&amp;XLOOKUP(DS$3,'TTM Dates'!$B:$B,'TTM Dates'!$C:$C)&amp;ROW($BK45))))</f>
        <v>-1788380.36</v>
      </c>
      <c r="DT45" s="372">
        <f t="array" ref="DT45">IF(DT$3&gt;'QBO Summary'!$B$2,0,SUM(INDIRECT(XLOOKUP(DT$3,'TTM Dates'!$B:$B,'TTM Dates'!$E:$E)&amp;ROW($BK45)&amp;":"&amp;XLOOKUP(DT$3,'TTM Dates'!$B:$B,'TTM Dates'!$C:$C)&amp;ROW($BK45))))</f>
        <v>-697563.51</v>
      </c>
      <c r="DU45" s="372">
        <f t="array" ref="DU45">IF(DU$3&gt;'QBO Summary'!$B$2,0,SUM(INDIRECT(XLOOKUP(DU$3,'TTM Dates'!$B:$B,'TTM Dates'!$E:$E)&amp;ROW($BK45)&amp;":"&amp;XLOOKUP(DU$3,'TTM Dates'!$B:$B,'TTM Dates'!$C:$C)&amp;ROW($BK45))))</f>
        <v>-1512478.97</v>
      </c>
      <c r="DV45" s="372">
        <f t="array" ref="DV45">IF(DV$3&gt;'QBO Summary'!$B$2,0,SUM(INDIRECT(XLOOKUP(DV$3,'TTM Dates'!$B:$B,'TTM Dates'!$E:$E)&amp;ROW($BK45)&amp;":"&amp;XLOOKUP(DV$3,'TTM Dates'!$B:$B,'TTM Dates'!$C:$C)&amp;ROW($BK45))))</f>
        <v>-1054770.27</v>
      </c>
      <c r="DW45" s="372">
        <f t="array" ref="DW45">IF(DW$3&gt;'QBO Summary'!$B$2,0,SUM(INDIRECT(XLOOKUP(DW$3,'TTM Dates'!$B:$B,'TTM Dates'!$E:$E)&amp;ROW($BK45)&amp;":"&amp;XLOOKUP(DW$3,'TTM Dates'!$B:$B,'TTM Dates'!$C:$C)&amp;ROW($BK45))))</f>
        <v>-1484368.29</v>
      </c>
      <c r="DX45" s="372">
        <f t="array" ref="DX45">IF(DX$3&gt;'QBO Summary'!$B$2,0,SUM(INDIRECT(XLOOKUP(DX$3,'TTM Dates'!$B:$B,'TTM Dates'!$E:$E)&amp;ROW($BK45)&amp;":"&amp;XLOOKUP(DX$3,'TTM Dates'!$B:$B,'TTM Dates'!$C:$C)&amp;ROW($BK45))))</f>
        <v>-1027971.79</v>
      </c>
      <c r="DY45" s="372">
        <f t="array" ref="DY45">IF(DY$3&gt;'QBO Summary'!$B$2,0,SUM(INDIRECT(XLOOKUP(DY$3,'TTM Dates'!$B:$B,'TTM Dates'!$E:$E)&amp;ROW($BK45)&amp;":"&amp;XLOOKUP(DY$3,'TTM Dates'!$B:$B,'TTM Dates'!$C:$C)&amp;ROW($BK45))))</f>
        <v>-2247609.22</v>
      </c>
      <c r="DZ45" s="372">
        <f t="array" ref="DZ45">IF(DZ$3&gt;'QBO Summary'!$B$2,0,SUM(INDIRECT(XLOOKUP(DZ$3,'TTM Dates'!$B:$B,'TTM Dates'!$E:$E)&amp;ROW($BK45)&amp;":"&amp;XLOOKUP(DZ$3,'TTM Dates'!$B:$B,'TTM Dates'!$C:$C)&amp;ROW($BK45))))</f>
        <v>-2248430.83</v>
      </c>
      <c r="EA45" s="372">
        <f t="array" ref="EA45">IF(EA$3&gt;'QBO Summary'!$B$2,0,SUM(INDIRECT(XLOOKUP(EA$3,'TTM Dates'!$B:$B,'TTM Dates'!$E:$E)&amp;ROW($BK45)&amp;":"&amp;XLOOKUP(EA$3,'TTM Dates'!$B:$B,'TTM Dates'!$C:$C)&amp;ROW($BK45))))</f>
        <v>-1927492.69</v>
      </c>
      <c r="EB45" s="372">
        <f t="array" ref="EB45">IF(EB$3&gt;'QBO Summary'!$B$2,0,SUM(INDIRECT(XLOOKUP(EB$3,'TTM Dates'!$B:$B,'TTM Dates'!$E:$E)&amp;ROW($BK45)&amp;":"&amp;XLOOKUP(EB$3,'TTM Dates'!$B:$B,'TTM Dates'!$C:$C)&amp;ROW($BK45))))</f>
        <v>-2962218.38</v>
      </c>
      <c r="EC45" s="372">
        <f t="array" ref="EC45">IF(EC$3&gt;'QBO Summary'!$B$2,0,SUM(INDIRECT(XLOOKUP(EC$3,'TTM Dates'!$B:$B,'TTM Dates'!$E:$E)&amp;ROW($BK45)&amp;":"&amp;XLOOKUP(EC$3,'TTM Dates'!$B:$B,'TTM Dates'!$C:$C)&amp;ROW($BK45))))</f>
        <v>-3865640.88</v>
      </c>
    </row>
    <row r="46">
      <c r="C46" s="376">
        <f t="shared" ref="C46:BF46" si="72">C45/C13</f>
        <v>-0.9178401745</v>
      </c>
      <c r="D46" s="376">
        <f t="shared" si="72"/>
        <v>0.6193628836</v>
      </c>
      <c r="E46" s="376">
        <f t="shared" si="72"/>
        <v>0.2900958291</v>
      </c>
      <c r="F46" s="376">
        <f t="shared" si="72"/>
        <v>-0.006802482545</v>
      </c>
      <c r="G46" s="376">
        <f t="shared" si="72"/>
        <v>0.3000222967</v>
      </c>
      <c r="H46" s="376">
        <f t="shared" si="72"/>
        <v>0.1013211161</v>
      </c>
      <c r="I46" s="376">
        <f t="shared" si="72"/>
        <v>0.02380938184</v>
      </c>
      <c r="J46" s="376">
        <f t="shared" si="72"/>
        <v>0.3887195441</v>
      </c>
      <c r="K46" s="376">
        <f t="shared" si="72"/>
        <v>-0.6381445067</v>
      </c>
      <c r="L46" s="376">
        <f t="shared" si="72"/>
        <v>-0.08332617764</v>
      </c>
      <c r="M46" s="376">
        <f t="shared" si="72"/>
        <v>0.6298132756</v>
      </c>
      <c r="N46" s="376">
        <f t="shared" si="72"/>
        <v>-0.4485514137</v>
      </c>
      <c r="O46" s="376">
        <f t="shared" si="72"/>
        <v>-0.1713372171</v>
      </c>
      <c r="P46" s="376">
        <f t="shared" si="72"/>
        <v>-0.5263436378</v>
      </c>
      <c r="Q46" s="376">
        <f t="shared" si="72"/>
        <v>0.4256702178</v>
      </c>
      <c r="R46" s="376">
        <f t="shared" si="72"/>
        <v>0.2914767429</v>
      </c>
      <c r="S46" s="376">
        <f t="shared" si="72"/>
        <v>-0.1183541007</v>
      </c>
      <c r="T46" s="376">
        <f t="shared" si="72"/>
        <v>-0.07753221363</v>
      </c>
      <c r="U46" s="376">
        <f t="shared" si="72"/>
        <v>0.3314582592</v>
      </c>
      <c r="V46" s="376">
        <f t="shared" si="72"/>
        <v>-0.1622043922</v>
      </c>
      <c r="W46" s="376">
        <f t="shared" si="72"/>
        <v>0.479848269</v>
      </c>
      <c r="X46" s="376">
        <f t="shared" si="72"/>
        <v>0.5272915084</v>
      </c>
      <c r="Y46" s="376">
        <f t="shared" si="72"/>
        <v>0.6179388131</v>
      </c>
      <c r="Z46" s="376">
        <f t="shared" si="72"/>
        <v>0.227063266</v>
      </c>
      <c r="AA46" s="376">
        <f t="shared" si="72"/>
        <v>0.4113655199</v>
      </c>
      <c r="AB46" s="376">
        <f t="shared" si="72"/>
        <v>0.2499104226</v>
      </c>
      <c r="AC46" s="376">
        <f t="shared" si="72"/>
        <v>-0.01191277124</v>
      </c>
      <c r="AD46" s="376">
        <f t="shared" si="72"/>
        <v>-0.2831418336</v>
      </c>
      <c r="AE46" s="376">
        <f t="shared" si="72"/>
        <v>0.5236027263</v>
      </c>
      <c r="AF46" s="376">
        <f t="shared" si="72"/>
        <v>0.4980170569</v>
      </c>
      <c r="AG46" s="376">
        <f t="shared" si="72"/>
        <v>0.3389635914</v>
      </c>
      <c r="AH46" s="376">
        <f t="shared" si="72"/>
        <v>-0.04542123737</v>
      </c>
      <c r="AI46" s="376">
        <f t="shared" si="72"/>
        <v>0.2512349301</v>
      </c>
      <c r="AJ46" s="376">
        <f t="shared" si="72"/>
        <v>0.2875817686</v>
      </c>
      <c r="AK46" s="376">
        <f t="shared" si="72"/>
        <v>-0.05568425482</v>
      </c>
      <c r="AL46" s="376">
        <f t="shared" si="72"/>
        <v>0.1789750959</v>
      </c>
      <c r="AM46" s="376">
        <f t="shared" si="72"/>
        <v>0.04619597216</v>
      </c>
      <c r="AN46" s="376">
        <f t="shared" si="72"/>
        <v>0.1311459529</v>
      </c>
      <c r="AO46" s="376">
        <f t="shared" si="72"/>
        <v>0.02425671179</v>
      </c>
      <c r="AP46" s="376">
        <f t="shared" si="72"/>
        <v>-0.3693583706</v>
      </c>
      <c r="AQ46" s="376">
        <f t="shared" si="72"/>
        <v>-0.7852316491</v>
      </c>
      <c r="AR46" s="376">
        <f t="shared" si="72"/>
        <v>0.2683312085</v>
      </c>
      <c r="AS46" s="376">
        <f t="shared" si="72"/>
        <v>-0.6821001287</v>
      </c>
      <c r="AT46" s="376">
        <f t="shared" si="72"/>
        <v>0.03538366675</v>
      </c>
      <c r="AU46" s="376">
        <f t="shared" si="72"/>
        <v>0.0004709764901</v>
      </c>
      <c r="AV46" s="376">
        <f t="shared" si="72"/>
        <v>-0.219399127</v>
      </c>
      <c r="AW46" s="376">
        <f t="shared" si="72"/>
        <v>0.3769295284</v>
      </c>
      <c r="AX46" s="376">
        <f t="shared" si="72"/>
        <v>0.3335920854</v>
      </c>
      <c r="AY46" s="376">
        <f t="shared" si="72"/>
        <v>-1.135030968</v>
      </c>
      <c r="AZ46" s="376">
        <f t="shared" si="72"/>
        <v>-0.964390774</v>
      </c>
      <c r="BA46" s="376">
        <f t="shared" si="72"/>
        <v>0.3736287934</v>
      </c>
      <c r="BB46" s="376">
        <f t="shared" si="72"/>
        <v>-1.032555409</v>
      </c>
      <c r="BC46" s="376">
        <f t="shared" si="72"/>
        <v>-0.1801630267</v>
      </c>
      <c r="BD46" s="376">
        <f t="shared" si="72"/>
        <v>0.05583928713</v>
      </c>
      <c r="BE46" s="376">
        <f t="shared" si="72"/>
        <v>-0.1564277915</v>
      </c>
      <c r="BF46" s="376">
        <f t="shared" si="72"/>
        <v>-0.4863500348</v>
      </c>
      <c r="BG46" s="376"/>
      <c r="BH46" s="376"/>
      <c r="BI46" s="376"/>
      <c r="BJ46" s="376"/>
      <c r="BL46" s="377">
        <f>BL45/BL13</f>
        <v>0.009911837106</v>
      </c>
      <c r="BM46" s="378"/>
      <c r="BN46" s="376">
        <f t="shared" ref="BN46:BO46" si="73">BN45/BN13</f>
        <v>-0.1812768546</v>
      </c>
      <c r="BO46" s="376">
        <f t="shared" si="73"/>
        <v>-0.277440302</v>
      </c>
      <c r="BP46" s="378"/>
      <c r="BQ46" s="378"/>
      <c r="BR46" s="377">
        <f>BR45/BR13</f>
        <v>-0.2629206598</v>
      </c>
      <c r="BS46" s="378"/>
      <c r="BT46" s="376">
        <f t="shared" ref="BT46:BX46" si="74">BT45/BT13</f>
        <v>0.06953250128</v>
      </c>
      <c r="BU46" s="376">
        <f t="shared" si="74"/>
        <v>-0.1677460553</v>
      </c>
      <c r="BV46" s="376">
        <f t="shared" si="74"/>
        <v>-0.1271834875</v>
      </c>
      <c r="BW46" s="376">
        <f t="shared" si="74"/>
        <v>0.233832189</v>
      </c>
      <c r="BX46" s="377">
        <f t="shared" si="74"/>
        <v>0.0264188074</v>
      </c>
      <c r="BY46" s="378"/>
      <c r="BZ46" s="378"/>
      <c r="CA46" s="378"/>
      <c r="CB46" s="378"/>
      <c r="CC46" s="378"/>
      <c r="CD46" s="377">
        <f>CD45/CD13</f>
        <v>0.2210320249</v>
      </c>
      <c r="CE46" s="378"/>
      <c r="CF46" s="377">
        <f>CF45/CF13</f>
        <v>0.3173549878</v>
      </c>
      <c r="CH46" s="376"/>
      <c r="CI46" s="376"/>
      <c r="CJ46" s="376"/>
      <c r="CK46" s="376"/>
      <c r="CL46" s="376"/>
      <c r="CM46" s="376"/>
      <c r="CN46" s="376"/>
      <c r="CO46" s="376"/>
      <c r="CP46" s="376"/>
      <c r="CQ46" s="376"/>
      <c r="CR46" s="376"/>
      <c r="CS46" s="376"/>
      <c r="CT46" s="376"/>
      <c r="CU46" s="376"/>
      <c r="CV46" s="376"/>
      <c r="CW46" s="376"/>
      <c r="CX46" s="376"/>
      <c r="CY46" s="376"/>
      <c r="CZ46" s="376"/>
      <c r="DA46" s="376"/>
      <c r="DB46" s="376"/>
      <c r="DC46" s="376"/>
      <c r="DD46" s="376"/>
      <c r="DE46" s="376"/>
      <c r="DF46" s="376"/>
      <c r="DG46" s="376"/>
      <c r="DH46" s="376"/>
      <c r="DI46" s="376"/>
      <c r="DJ46" s="376"/>
      <c r="DK46" s="376"/>
      <c r="DL46" s="376"/>
      <c r="DM46" s="376"/>
      <c r="DN46" s="376"/>
      <c r="DO46" s="376"/>
      <c r="DP46" s="376"/>
      <c r="DQ46" s="376"/>
      <c r="DR46" s="376"/>
      <c r="DS46" s="376"/>
      <c r="DT46" s="376"/>
      <c r="DU46" s="376"/>
      <c r="DV46" s="379">
        <v>-150000.0</v>
      </c>
      <c r="DW46" s="379">
        <f t="shared" ref="DW46:EC46" si="75">400000</f>
        <v>400000</v>
      </c>
      <c r="DX46" s="379">
        <f t="shared" si="75"/>
        <v>400000</v>
      </c>
      <c r="DY46" s="379">
        <f t="shared" si="75"/>
        <v>400000</v>
      </c>
      <c r="DZ46" s="379">
        <f t="shared" si="75"/>
        <v>400000</v>
      </c>
      <c r="EA46" s="379">
        <f t="shared" si="75"/>
        <v>400000</v>
      </c>
      <c r="EB46" s="379">
        <f t="shared" si="75"/>
        <v>400000</v>
      </c>
      <c r="EC46" s="379">
        <f t="shared" si="75"/>
        <v>400000</v>
      </c>
    </row>
    <row r="47" ht="14.25" customHeight="1">
      <c r="C47" s="378"/>
      <c r="D47" s="378"/>
      <c r="E47" s="378"/>
      <c r="F47" s="378"/>
      <c r="G47" s="378"/>
      <c r="H47" s="378"/>
      <c r="I47" s="378"/>
      <c r="J47" s="378"/>
      <c r="K47" s="378"/>
      <c r="L47" s="378"/>
      <c r="M47" s="378"/>
      <c r="N47" s="378"/>
      <c r="O47" s="378"/>
      <c r="P47" s="378"/>
      <c r="Q47" s="378"/>
      <c r="R47" s="378"/>
      <c r="S47" s="378"/>
      <c r="T47" s="378"/>
      <c r="U47" s="378"/>
      <c r="V47" s="378"/>
      <c r="W47" s="378"/>
      <c r="X47" s="378"/>
      <c r="Y47" s="378"/>
      <c r="Z47" s="378"/>
      <c r="AA47" s="378"/>
      <c r="AB47" s="378"/>
      <c r="AC47" s="378"/>
      <c r="AD47" s="378"/>
      <c r="AE47" s="378"/>
      <c r="AF47" s="378"/>
      <c r="AG47" s="378"/>
      <c r="AH47" s="378"/>
      <c r="AI47" s="378"/>
      <c r="AJ47" s="378"/>
      <c r="AK47" s="378"/>
      <c r="AL47" s="378"/>
      <c r="AM47" s="378"/>
      <c r="AN47" s="378"/>
      <c r="AO47" s="378"/>
      <c r="AP47" s="378"/>
      <c r="AQ47" s="378"/>
      <c r="AR47" s="378"/>
      <c r="AS47" s="380"/>
      <c r="AT47" s="378"/>
      <c r="AU47" s="378"/>
      <c r="AV47" s="378"/>
      <c r="AW47" s="378"/>
      <c r="AX47" s="378"/>
      <c r="AY47" s="378"/>
      <c r="AZ47" s="378"/>
      <c r="BA47" s="378"/>
      <c r="BB47" s="378"/>
      <c r="BC47" s="378"/>
      <c r="BD47" s="378"/>
      <c r="BE47" s="378"/>
      <c r="BF47" s="378"/>
      <c r="BG47" s="378"/>
      <c r="BH47" s="378"/>
      <c r="BI47" s="378"/>
      <c r="BJ47" s="378"/>
      <c r="BL47" s="381"/>
      <c r="BM47" s="378"/>
      <c r="BN47" s="106"/>
      <c r="BO47" s="378"/>
      <c r="BP47" s="378"/>
      <c r="BQ47" s="378"/>
      <c r="BR47" s="381"/>
      <c r="BS47" s="378"/>
      <c r="BT47" s="378"/>
      <c r="BU47" s="378"/>
      <c r="BV47" s="378"/>
      <c r="BW47" s="382"/>
      <c r="BX47" s="381"/>
      <c r="BY47" s="378"/>
      <c r="BZ47" s="378"/>
      <c r="CA47" s="378"/>
      <c r="CB47" s="378"/>
      <c r="CC47" s="378"/>
      <c r="CD47" s="381"/>
      <c r="CE47" s="378"/>
      <c r="CF47" s="381"/>
      <c r="CH47" s="378"/>
      <c r="CI47" s="378"/>
      <c r="CJ47" s="378"/>
      <c r="CK47" s="378"/>
      <c r="CL47" s="378"/>
      <c r="CM47" s="378"/>
      <c r="CN47" s="378"/>
      <c r="CO47" s="378"/>
      <c r="CP47" s="378"/>
      <c r="CQ47" s="378"/>
      <c r="CR47" s="378"/>
      <c r="CS47" s="378"/>
      <c r="CT47" s="378"/>
      <c r="CU47" s="378"/>
      <c r="CV47" s="378"/>
      <c r="CW47" s="378"/>
      <c r="CX47" s="378"/>
      <c r="CY47" s="378"/>
      <c r="CZ47" s="378"/>
      <c r="DA47" s="378"/>
      <c r="DB47" s="378"/>
      <c r="DC47" s="378"/>
      <c r="DD47" s="378"/>
      <c r="DE47" s="378"/>
      <c r="DF47" s="378"/>
      <c r="DG47" s="378"/>
      <c r="DH47" s="378"/>
      <c r="DI47" s="378"/>
      <c r="DJ47" s="378"/>
      <c r="DK47" s="378"/>
      <c r="DL47" s="378"/>
      <c r="DM47" s="378"/>
      <c r="DN47" s="378"/>
      <c r="DO47" s="378"/>
      <c r="DP47" s="378"/>
      <c r="DQ47" s="378"/>
      <c r="DR47" s="378"/>
      <c r="DS47" s="378"/>
      <c r="DT47" s="378"/>
      <c r="DU47" s="378"/>
      <c r="DV47" s="379">
        <f>DU45+DV46</f>
        <v>-1662478.97</v>
      </c>
      <c r="DW47" s="379">
        <f t="shared" ref="DW47:EC47" si="76">DV47+DW46</f>
        <v>-1262478.97</v>
      </c>
      <c r="DX47" s="379">
        <f t="shared" si="76"/>
        <v>-862478.97</v>
      </c>
      <c r="DY47" s="379">
        <f t="shared" si="76"/>
        <v>-462478.97</v>
      </c>
      <c r="DZ47" s="379">
        <f t="shared" si="76"/>
        <v>-62478.97</v>
      </c>
      <c r="EA47" s="379">
        <f t="shared" si="76"/>
        <v>337521.03</v>
      </c>
      <c r="EB47" s="379">
        <f t="shared" si="76"/>
        <v>737521.03</v>
      </c>
      <c r="EC47" s="379">
        <f t="shared" si="76"/>
        <v>1137521.03</v>
      </c>
    </row>
    <row r="48">
      <c r="A48" s="35"/>
      <c r="B48" s="36" t="s">
        <v>526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9"/>
      <c r="BL48" s="40"/>
      <c r="BM48" s="41"/>
      <c r="BN48" s="37"/>
      <c r="BO48" s="37"/>
      <c r="BP48" s="37"/>
      <c r="BQ48" s="37"/>
      <c r="BR48" s="40"/>
      <c r="BS48" s="37"/>
      <c r="BT48" s="37"/>
      <c r="BU48" s="37"/>
      <c r="BV48" s="37"/>
      <c r="BW48" s="37"/>
      <c r="BX48" s="40"/>
      <c r="BY48" s="37"/>
      <c r="BZ48" s="37"/>
      <c r="CA48" s="37"/>
      <c r="CB48" s="37"/>
      <c r="CC48" s="37"/>
      <c r="CD48" s="40"/>
      <c r="CE48" s="37"/>
      <c r="CF48" s="40"/>
      <c r="CG48" s="44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</row>
    <row r="49" ht="9.0" customHeight="1">
      <c r="B49" s="383"/>
      <c r="C49" s="384"/>
      <c r="D49" s="385"/>
      <c r="E49" s="385"/>
      <c r="F49" s="385"/>
      <c r="G49" s="385"/>
      <c r="H49" s="384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385"/>
      <c r="X49" s="385"/>
      <c r="Y49" s="385"/>
      <c r="Z49" s="385"/>
      <c r="AA49" s="385"/>
      <c r="AB49" s="385"/>
      <c r="AC49" s="385"/>
      <c r="AD49" s="385"/>
      <c r="AE49" s="385"/>
      <c r="AF49" s="385"/>
      <c r="AG49" s="385"/>
      <c r="AH49" s="385"/>
      <c r="AI49" s="385"/>
      <c r="AJ49" s="385"/>
      <c r="AK49" s="385"/>
      <c r="AL49" s="385"/>
      <c r="AM49" s="385"/>
      <c r="AN49" s="385"/>
      <c r="AO49" s="385"/>
      <c r="AP49" s="385"/>
      <c r="AQ49" s="385"/>
      <c r="AR49" s="385"/>
      <c r="AS49" s="385"/>
      <c r="AT49" s="385"/>
      <c r="AU49" s="385"/>
      <c r="AV49" s="385"/>
      <c r="AW49" s="385"/>
      <c r="AX49" s="385"/>
      <c r="AY49" s="385"/>
      <c r="AZ49" s="385"/>
      <c r="BA49" s="385"/>
      <c r="BB49" s="385"/>
      <c r="BC49" s="385"/>
      <c r="BD49" s="385"/>
      <c r="BE49" s="385"/>
      <c r="BF49" s="385"/>
      <c r="BG49" s="385"/>
      <c r="BH49" s="385"/>
      <c r="BI49" s="385"/>
      <c r="BJ49" s="385"/>
      <c r="BL49" s="386"/>
      <c r="BM49" s="284"/>
      <c r="BN49" s="385"/>
      <c r="BO49" s="385"/>
      <c r="BP49" s="385"/>
      <c r="BQ49" s="385"/>
      <c r="BR49" s="386"/>
      <c r="BS49" s="284"/>
      <c r="BT49" s="385"/>
      <c r="BU49" s="385"/>
      <c r="BV49" s="385"/>
      <c r="BW49" s="385"/>
      <c r="BX49" s="386"/>
      <c r="BY49" s="284"/>
      <c r="BZ49" s="385"/>
      <c r="CA49" s="385"/>
      <c r="CB49" s="385"/>
      <c r="CC49" s="385"/>
      <c r="CD49" s="386"/>
      <c r="CE49" s="284"/>
      <c r="CF49" s="386"/>
      <c r="CG49" s="284"/>
      <c r="CH49" s="385"/>
      <c r="CI49" s="385"/>
      <c r="CJ49" s="385"/>
      <c r="CK49" s="385"/>
      <c r="CL49" s="385"/>
      <c r="CM49" s="385"/>
      <c r="CN49" s="385"/>
      <c r="CO49" s="385"/>
      <c r="CP49" s="385"/>
      <c r="CQ49" s="385"/>
      <c r="CR49" s="385"/>
      <c r="CS49" s="385"/>
      <c r="CT49" s="385"/>
      <c r="CU49" s="385"/>
      <c r="CV49" s="385"/>
      <c r="CW49" s="385"/>
      <c r="CX49" s="385"/>
      <c r="CY49" s="385"/>
      <c r="CZ49" s="385"/>
      <c r="DA49" s="385"/>
      <c r="DB49" s="385"/>
      <c r="DC49" s="385"/>
      <c r="DD49" s="385"/>
      <c r="DE49" s="385"/>
      <c r="DF49" s="385"/>
      <c r="DG49" s="385"/>
      <c r="DH49" s="385"/>
      <c r="DI49" s="385"/>
      <c r="DJ49" s="385"/>
      <c r="DK49" s="385"/>
      <c r="DL49" s="385"/>
      <c r="DM49" s="385"/>
      <c r="DN49" s="385"/>
      <c r="DO49" s="385"/>
      <c r="DP49" s="385"/>
      <c r="DQ49" s="385"/>
      <c r="DR49" s="385"/>
      <c r="DS49" s="385"/>
      <c r="DT49" s="385"/>
      <c r="DU49" s="385"/>
      <c r="DV49" s="385"/>
      <c r="DW49" s="385"/>
      <c r="DX49" s="385"/>
      <c r="DY49" s="385"/>
      <c r="DZ49" s="385"/>
      <c r="EA49" s="385"/>
      <c r="EB49" s="385"/>
      <c r="EC49" s="385"/>
    </row>
    <row r="50">
      <c r="B50" s="383" t="s">
        <v>30</v>
      </c>
      <c r="C50" s="384"/>
      <c r="D50" s="385"/>
      <c r="E50" s="385"/>
      <c r="F50" s="385"/>
      <c r="G50" s="385"/>
      <c r="H50" s="384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385"/>
      <c r="X50" s="385"/>
      <c r="Y50" s="385"/>
      <c r="Z50" s="385"/>
      <c r="AA50" s="385"/>
      <c r="AB50" s="385"/>
      <c r="AC50" s="385"/>
      <c r="AD50" s="385"/>
      <c r="AE50" s="385"/>
      <c r="AF50" s="385"/>
      <c r="AG50" s="385"/>
      <c r="AH50" s="385"/>
      <c r="AI50" s="385"/>
      <c r="AJ50" s="385"/>
      <c r="AK50" s="385"/>
      <c r="AL50" s="385"/>
      <c r="AM50" s="385"/>
      <c r="AN50" s="385"/>
      <c r="AO50" s="385"/>
      <c r="AP50" s="385"/>
      <c r="AQ50" s="385"/>
      <c r="AR50" s="385"/>
      <c r="AS50" s="385"/>
      <c r="AT50" s="385"/>
      <c r="AU50" s="385"/>
      <c r="AV50" s="385"/>
      <c r="AW50" s="385"/>
      <c r="AX50" s="385"/>
      <c r="AY50" s="385"/>
      <c r="AZ50" s="385"/>
      <c r="BA50" s="385"/>
      <c r="BB50" s="385"/>
      <c r="BC50" s="385"/>
      <c r="BD50" s="385"/>
      <c r="BE50" s="385"/>
      <c r="BF50" s="385"/>
      <c r="BG50" s="385"/>
      <c r="BH50" s="385"/>
      <c r="BI50" s="385"/>
      <c r="BJ50" s="385"/>
      <c r="BL50" s="386"/>
      <c r="BM50" s="284"/>
      <c r="BN50" s="385"/>
      <c r="BO50" s="385"/>
      <c r="BP50" s="385"/>
      <c r="BQ50" s="385"/>
      <c r="BR50" s="386"/>
      <c r="BS50" s="284"/>
      <c r="BT50" s="385"/>
      <c r="BU50" s="385"/>
      <c r="BV50" s="385"/>
      <c r="BW50" s="385"/>
      <c r="BX50" s="386"/>
      <c r="BY50" s="284"/>
      <c r="BZ50" s="385"/>
      <c r="CA50" s="385"/>
      <c r="CB50" s="385"/>
      <c r="CC50" s="385"/>
      <c r="CD50" s="386"/>
      <c r="CE50" s="284"/>
      <c r="CF50" s="386"/>
      <c r="CG50" s="284"/>
      <c r="CH50" s="385"/>
      <c r="CI50" s="385"/>
      <c r="CJ50" s="385"/>
      <c r="CK50" s="385"/>
      <c r="CL50" s="385"/>
      <c r="CM50" s="385"/>
      <c r="CN50" s="385"/>
      <c r="CO50" s="385"/>
      <c r="CP50" s="385"/>
      <c r="CQ50" s="385"/>
      <c r="CR50" s="385"/>
      <c r="CS50" s="385"/>
      <c r="CT50" s="385"/>
      <c r="CU50" s="385"/>
      <c r="CV50" s="385"/>
      <c r="CW50" s="385"/>
      <c r="CX50" s="385"/>
      <c r="CY50" s="385"/>
      <c r="CZ50" s="385"/>
      <c r="DA50" s="385"/>
      <c r="DB50" s="385"/>
      <c r="DC50" s="385"/>
      <c r="DD50" s="385"/>
      <c r="DE50" s="385"/>
      <c r="DF50" s="385"/>
      <c r="DG50" s="385"/>
      <c r="DH50" s="385"/>
      <c r="DI50" s="385"/>
      <c r="DJ50" s="385"/>
      <c r="DK50" s="385"/>
      <c r="DL50" s="385"/>
      <c r="DM50" s="385"/>
      <c r="DN50" s="385"/>
      <c r="DO50" s="385"/>
      <c r="DP50" s="385"/>
      <c r="DQ50" s="385"/>
      <c r="DR50" s="385"/>
      <c r="DS50" s="385"/>
      <c r="DT50" s="385"/>
      <c r="DU50" s="385"/>
      <c r="DV50" s="385"/>
      <c r="DW50" s="385"/>
      <c r="DX50" s="385"/>
      <c r="DY50" s="385"/>
      <c r="DZ50" s="385"/>
      <c r="EA50" s="385"/>
      <c r="EB50" s="385"/>
      <c r="EC50" s="385"/>
    </row>
    <row r="51">
      <c r="B51" s="387" t="s">
        <v>527</v>
      </c>
      <c r="C51" s="384">
        <v>0.0</v>
      </c>
      <c r="D51" s="385">
        <f t="shared" ref="D51:G51" si="77">D8/D7</f>
        <v>0.8112138947</v>
      </c>
      <c r="E51" s="385">
        <f t="shared" si="77"/>
        <v>0.2665419687</v>
      </c>
      <c r="F51" s="385">
        <f t="shared" si="77"/>
        <v>0.7116770783</v>
      </c>
      <c r="G51" s="385">
        <f t="shared" si="77"/>
        <v>0</v>
      </c>
      <c r="H51" s="384">
        <v>0.0</v>
      </c>
      <c r="I51" s="385">
        <f t="shared" ref="I51:AX51" si="78">I8/I7</f>
        <v>0</v>
      </c>
      <c r="J51" s="385">
        <f t="shared" si="78"/>
        <v>0</v>
      </c>
      <c r="K51" s="385">
        <f t="shared" si="78"/>
        <v>0.469889279</v>
      </c>
      <c r="L51" s="385">
        <f t="shared" si="78"/>
        <v>0.00296735905</v>
      </c>
      <c r="M51" s="385">
        <f t="shared" si="78"/>
        <v>0</v>
      </c>
      <c r="N51" s="385">
        <f t="shared" si="78"/>
        <v>0</v>
      </c>
      <c r="O51" s="385">
        <f t="shared" si="78"/>
        <v>0.7683752019</v>
      </c>
      <c r="P51" s="385">
        <f t="shared" si="78"/>
        <v>0</v>
      </c>
      <c r="Q51" s="385">
        <f t="shared" si="78"/>
        <v>0.4867108398</v>
      </c>
      <c r="R51" s="385">
        <f t="shared" si="78"/>
        <v>0.7787510596</v>
      </c>
      <c r="S51" s="385">
        <f t="shared" si="78"/>
        <v>0.5</v>
      </c>
      <c r="T51" s="385">
        <f t="shared" si="78"/>
        <v>0.3348359304</v>
      </c>
      <c r="U51" s="385">
        <f t="shared" si="78"/>
        <v>0.2536085051</v>
      </c>
      <c r="V51" s="385">
        <f t="shared" si="78"/>
        <v>0.6462036433</v>
      </c>
      <c r="W51" s="385">
        <f t="shared" si="78"/>
        <v>0.368905664</v>
      </c>
      <c r="X51" s="385">
        <f t="shared" si="78"/>
        <v>0</v>
      </c>
      <c r="Y51" s="385">
        <f t="shared" si="78"/>
        <v>0.3416652668</v>
      </c>
      <c r="Z51" s="385">
        <f t="shared" si="78"/>
        <v>0.5874639667</v>
      </c>
      <c r="AA51" s="385">
        <f t="shared" si="78"/>
        <v>0.6885789256</v>
      </c>
      <c r="AB51" s="385">
        <f t="shared" si="78"/>
        <v>0.3425076453</v>
      </c>
      <c r="AC51" s="385">
        <f t="shared" si="78"/>
        <v>0.0657767435</v>
      </c>
      <c r="AD51" s="385">
        <f t="shared" si="78"/>
        <v>0.624759384</v>
      </c>
      <c r="AE51" s="385">
        <f t="shared" si="78"/>
        <v>0.1450313051</v>
      </c>
      <c r="AF51" s="385">
        <f t="shared" si="78"/>
        <v>0.3839906724</v>
      </c>
      <c r="AG51" s="385">
        <f t="shared" si="78"/>
        <v>0.423692216</v>
      </c>
      <c r="AH51" s="385">
        <f t="shared" si="78"/>
        <v>0.2416977555</v>
      </c>
      <c r="AI51" s="385">
        <f t="shared" si="78"/>
        <v>0.4105431134</v>
      </c>
      <c r="AJ51" s="385">
        <f t="shared" si="78"/>
        <v>0.6244773931</v>
      </c>
      <c r="AK51" s="385">
        <f t="shared" si="78"/>
        <v>0.4312939989</v>
      </c>
      <c r="AL51" s="385">
        <f t="shared" si="78"/>
        <v>0.1909785646</v>
      </c>
      <c r="AM51" s="385">
        <f t="shared" si="78"/>
        <v>1</v>
      </c>
      <c r="AN51" s="385">
        <f t="shared" si="78"/>
        <v>0.4122314799</v>
      </c>
      <c r="AO51" s="385">
        <f t="shared" si="78"/>
        <v>0.4385716099</v>
      </c>
      <c r="AP51" s="385">
        <f t="shared" si="78"/>
        <v>0.5993832129</v>
      </c>
      <c r="AQ51" s="385">
        <f t="shared" si="78"/>
        <v>0.8537902727</v>
      </c>
      <c r="AR51" s="385">
        <f t="shared" si="78"/>
        <v>0.4156928442</v>
      </c>
      <c r="AS51" s="385">
        <f t="shared" si="78"/>
        <v>0.1092616472</v>
      </c>
      <c r="AT51" s="385">
        <f t="shared" si="78"/>
        <v>0.5327998676</v>
      </c>
      <c r="AU51" s="385">
        <f t="shared" si="78"/>
        <v>0.2391294073</v>
      </c>
      <c r="AV51" s="385">
        <f t="shared" si="78"/>
        <v>0.5883173714</v>
      </c>
      <c r="AW51" s="385">
        <f t="shared" si="78"/>
        <v>0.726015901</v>
      </c>
      <c r="AX51" s="385">
        <f t="shared" si="78"/>
        <v>0.484266416</v>
      </c>
      <c r="AY51" s="385">
        <f t="shared" ref="AY51:BJ51" si="79">IFERROR(AY8/AY7,0)</f>
        <v>0</v>
      </c>
      <c r="AZ51" s="385">
        <f t="shared" si="79"/>
        <v>0.2364417087</v>
      </c>
      <c r="BA51" s="385">
        <f t="shared" si="79"/>
        <v>0.1216349884</v>
      </c>
      <c r="BB51" s="385">
        <f t="shared" si="79"/>
        <v>0.1408484596</v>
      </c>
      <c r="BC51" s="385">
        <f t="shared" si="79"/>
        <v>0.2768022879</v>
      </c>
      <c r="BD51" s="385">
        <f t="shared" si="79"/>
        <v>0.4129481713</v>
      </c>
      <c r="BE51" s="385">
        <f t="shared" si="79"/>
        <v>0.5054401161</v>
      </c>
      <c r="BF51" s="385">
        <f t="shared" si="79"/>
        <v>0.5577110055</v>
      </c>
      <c r="BG51" s="385">
        <f t="shared" si="79"/>
        <v>0</v>
      </c>
      <c r="BH51" s="385">
        <f t="shared" si="79"/>
        <v>0</v>
      </c>
      <c r="BI51" s="385">
        <f t="shared" si="79"/>
        <v>0</v>
      </c>
      <c r="BJ51" s="385">
        <f t="shared" si="79"/>
        <v>0</v>
      </c>
      <c r="BL51" s="386">
        <f>BL8/BL7</f>
        <v>0.4124798329</v>
      </c>
      <c r="BM51" s="284"/>
      <c r="BN51" s="385">
        <f t="shared" ref="BN51:BR51" si="80">IFERROR(BN8/BN7,0)</f>
        <v>0.1282769168</v>
      </c>
      <c r="BO51" s="385">
        <f t="shared" si="80"/>
        <v>0.2567598893</v>
      </c>
      <c r="BP51" s="385">
        <f t="shared" si="80"/>
        <v>0.5388355486</v>
      </c>
      <c r="BQ51" s="385">
        <f t="shared" si="80"/>
        <v>0</v>
      </c>
      <c r="BR51" s="386">
        <f t="shared" si="80"/>
        <v>0.2775805566</v>
      </c>
      <c r="BS51" s="284"/>
      <c r="BT51" s="385">
        <f t="shared" ref="BT51:BX51" si="81">BT8/BT7</f>
        <v>0.4574934992</v>
      </c>
      <c r="BU51" s="385">
        <f t="shared" si="81"/>
        <v>0.5419345854</v>
      </c>
      <c r="BV51" s="385">
        <f t="shared" si="81"/>
        <v>0.3508544229</v>
      </c>
      <c r="BW51" s="385">
        <f t="shared" si="81"/>
        <v>0.6033963456</v>
      </c>
      <c r="BX51" s="386">
        <f t="shared" si="81"/>
        <v>0.5457084536</v>
      </c>
      <c r="BY51" s="284"/>
      <c r="BZ51" s="385">
        <f t="shared" ref="BZ51:CD51" si="82">BZ8/BZ7</f>
        <v>0.1102712673</v>
      </c>
      <c r="CA51" s="385">
        <f t="shared" si="82"/>
        <v>0.2766238464</v>
      </c>
      <c r="CB51" s="385">
        <f t="shared" si="82"/>
        <v>0.4080931389</v>
      </c>
      <c r="CC51" s="385">
        <f t="shared" si="82"/>
        <v>0.3661701685</v>
      </c>
      <c r="CD51" s="386">
        <f t="shared" si="82"/>
        <v>0.3122609057</v>
      </c>
      <c r="CE51" s="284"/>
      <c r="CF51" s="386">
        <f>CF8/CF7</f>
        <v>0.4145401736</v>
      </c>
      <c r="CG51" s="284"/>
      <c r="CH51" s="385"/>
      <c r="CI51" s="385"/>
      <c r="CJ51" s="385"/>
      <c r="CK51" s="385"/>
      <c r="CL51" s="385"/>
      <c r="CM51" s="385"/>
      <c r="CN51" s="385"/>
      <c r="CO51" s="385"/>
      <c r="CP51" s="385"/>
      <c r="CQ51" s="385"/>
      <c r="CR51" s="385"/>
      <c r="CS51" s="385"/>
      <c r="CT51" s="385"/>
      <c r="CU51" s="385"/>
      <c r="CV51" s="385"/>
      <c r="CW51" s="385"/>
      <c r="CX51" s="385"/>
      <c r="CY51" s="385"/>
      <c r="CZ51" s="385"/>
      <c r="DA51" s="385"/>
      <c r="DB51" s="385"/>
      <c r="DC51" s="385"/>
      <c r="DD51" s="385"/>
      <c r="DE51" s="385"/>
      <c r="DF51" s="385"/>
      <c r="DG51" s="385"/>
      <c r="DH51" s="385"/>
      <c r="DI51" s="385"/>
      <c r="DJ51" s="385"/>
      <c r="DK51" s="385"/>
      <c r="DL51" s="385"/>
      <c r="DM51" s="385"/>
      <c r="DN51" s="385"/>
      <c r="DO51" s="385"/>
      <c r="DP51" s="385"/>
      <c r="DQ51" s="385"/>
      <c r="DR51" s="385"/>
      <c r="DS51" s="385"/>
      <c r="DT51" s="385"/>
      <c r="DU51" s="385"/>
      <c r="DV51" s="385"/>
      <c r="DW51" s="385"/>
      <c r="DX51" s="385"/>
      <c r="DY51" s="385"/>
      <c r="DZ51" s="385"/>
      <c r="EA51" s="385"/>
      <c r="EB51" s="385"/>
      <c r="EC51" s="385"/>
    </row>
    <row r="52">
      <c r="B52" s="387" t="s">
        <v>528</v>
      </c>
      <c r="C52" s="384">
        <v>0.0</v>
      </c>
      <c r="D52" s="384">
        <f t="shared" ref="D52:G52" si="83">D9/D7</f>
        <v>0.1887861053</v>
      </c>
      <c r="E52" s="384">
        <f t="shared" si="83"/>
        <v>0.7334580313</v>
      </c>
      <c r="F52" s="384">
        <f t="shared" si="83"/>
        <v>0.2883229217</v>
      </c>
      <c r="G52" s="384">
        <f t="shared" si="83"/>
        <v>1</v>
      </c>
      <c r="H52" s="384">
        <v>0.0</v>
      </c>
      <c r="I52" s="384">
        <f t="shared" ref="I52:AX52" si="84">I9/I7</f>
        <v>1</v>
      </c>
      <c r="J52" s="384">
        <f t="shared" si="84"/>
        <v>1</v>
      </c>
      <c r="K52" s="384">
        <f t="shared" si="84"/>
        <v>0.530110721</v>
      </c>
      <c r="L52" s="384">
        <f t="shared" si="84"/>
        <v>0.9970326409</v>
      </c>
      <c r="M52" s="384">
        <f t="shared" si="84"/>
        <v>1</v>
      </c>
      <c r="N52" s="384">
        <f t="shared" si="84"/>
        <v>1</v>
      </c>
      <c r="O52" s="384">
        <f t="shared" si="84"/>
        <v>0</v>
      </c>
      <c r="P52" s="384">
        <f t="shared" si="84"/>
        <v>0.9116619531</v>
      </c>
      <c r="Q52" s="384">
        <f t="shared" si="84"/>
        <v>0.5118374032</v>
      </c>
      <c r="R52" s="384">
        <f t="shared" si="84"/>
        <v>0.2170104549</v>
      </c>
      <c r="S52" s="384">
        <f t="shared" si="84"/>
        <v>0</v>
      </c>
      <c r="T52" s="384">
        <f t="shared" si="84"/>
        <v>0.6456044871</v>
      </c>
      <c r="U52" s="384">
        <f t="shared" si="84"/>
        <v>0.7459029208</v>
      </c>
      <c r="V52" s="384">
        <f t="shared" si="84"/>
        <v>0.3537963567</v>
      </c>
      <c r="W52" s="384">
        <f t="shared" si="84"/>
        <v>0.6229805751</v>
      </c>
      <c r="X52" s="384">
        <f t="shared" si="84"/>
        <v>1</v>
      </c>
      <c r="Y52" s="384">
        <f t="shared" si="84"/>
        <v>0.6531019517</v>
      </c>
      <c r="Z52" s="384">
        <f t="shared" si="84"/>
        <v>0.4075544761</v>
      </c>
      <c r="AA52" s="384">
        <f t="shared" si="84"/>
        <v>0.3114210744</v>
      </c>
      <c r="AB52" s="384">
        <f t="shared" si="84"/>
        <v>0.1467889908</v>
      </c>
      <c r="AC52" s="384">
        <f t="shared" si="84"/>
        <v>0.9342232565</v>
      </c>
      <c r="AD52" s="384">
        <f t="shared" si="84"/>
        <v>0.3615255053</v>
      </c>
      <c r="AE52" s="384">
        <f t="shared" si="84"/>
        <v>0.8521553744</v>
      </c>
      <c r="AF52" s="384">
        <f t="shared" si="84"/>
        <v>0.6091211716</v>
      </c>
      <c r="AG52" s="384">
        <f t="shared" si="84"/>
        <v>0.5239938737</v>
      </c>
      <c r="AH52" s="384">
        <f t="shared" si="84"/>
        <v>0.7339000673</v>
      </c>
      <c r="AI52" s="384">
        <f t="shared" si="84"/>
        <v>0.5888738239</v>
      </c>
      <c r="AJ52" s="384">
        <f t="shared" si="84"/>
        <v>0.3701420279</v>
      </c>
      <c r="AK52" s="384">
        <f t="shared" si="84"/>
        <v>0.463172251</v>
      </c>
      <c r="AL52" s="384">
        <f t="shared" si="84"/>
        <v>0.7804319323</v>
      </c>
      <c r="AM52" s="384">
        <f t="shared" si="84"/>
        <v>0</v>
      </c>
      <c r="AN52" s="384">
        <f t="shared" si="84"/>
        <v>0.2902000794</v>
      </c>
      <c r="AO52" s="384">
        <f t="shared" si="84"/>
        <v>0.5510104923</v>
      </c>
      <c r="AP52" s="384">
        <f t="shared" si="84"/>
        <v>0.3982468386</v>
      </c>
      <c r="AQ52" s="384">
        <f t="shared" si="84"/>
        <v>0.1203372241</v>
      </c>
      <c r="AR52" s="384">
        <f t="shared" si="84"/>
        <v>0.5220512619</v>
      </c>
      <c r="AS52" s="384">
        <f t="shared" si="84"/>
        <v>0.7839277101</v>
      </c>
      <c r="AT52" s="384">
        <f t="shared" si="84"/>
        <v>0.4604423923</v>
      </c>
      <c r="AU52" s="384">
        <f t="shared" si="84"/>
        <v>0.7572034637</v>
      </c>
      <c r="AV52" s="384">
        <f t="shared" si="84"/>
        <v>0.3466021317</v>
      </c>
      <c r="AW52" s="384">
        <f t="shared" si="84"/>
        <v>0.2572563114</v>
      </c>
      <c r="AX52" s="384">
        <f t="shared" si="84"/>
        <v>0.379561076</v>
      </c>
      <c r="AY52" s="384">
        <f t="shared" ref="AY52:BJ52" si="85">IFERROR(AY9/AY7,0)</f>
        <v>1</v>
      </c>
      <c r="AZ52" s="384">
        <f t="shared" si="85"/>
        <v>0.5852465934</v>
      </c>
      <c r="BA52" s="384">
        <f t="shared" si="85"/>
        <v>0.8625396066</v>
      </c>
      <c r="BB52" s="384">
        <f t="shared" si="85"/>
        <v>0.7830839763</v>
      </c>
      <c r="BC52" s="384">
        <f t="shared" si="85"/>
        <v>0.7231977121</v>
      </c>
      <c r="BD52" s="384">
        <f t="shared" si="85"/>
        <v>0.495090385</v>
      </c>
      <c r="BE52" s="384">
        <f t="shared" si="85"/>
        <v>0.4903926839</v>
      </c>
      <c r="BF52" s="384">
        <f t="shared" si="85"/>
        <v>0.2756960832</v>
      </c>
      <c r="BG52" s="384">
        <f t="shared" si="85"/>
        <v>0</v>
      </c>
      <c r="BH52" s="384">
        <f t="shared" si="85"/>
        <v>0</v>
      </c>
      <c r="BI52" s="384">
        <f t="shared" si="85"/>
        <v>0</v>
      </c>
      <c r="BJ52" s="384">
        <f t="shared" si="85"/>
        <v>0</v>
      </c>
      <c r="BL52" s="388">
        <f>BL9/BL7</f>
        <v>0.554782295</v>
      </c>
      <c r="BM52" s="389"/>
      <c r="BN52" s="384">
        <f t="shared" ref="BN52:BR52" si="86">IFERROR(BN9/BN7,0)</f>
        <v>0.8449922223</v>
      </c>
      <c r="BO52" s="384">
        <f t="shared" si="86"/>
        <v>0.7110633841</v>
      </c>
      <c r="BP52" s="384">
        <f t="shared" si="86"/>
        <v>0.3532248277</v>
      </c>
      <c r="BQ52" s="384">
        <f t="shared" si="86"/>
        <v>0</v>
      </c>
      <c r="BR52" s="388">
        <f t="shared" si="86"/>
        <v>0.674045749</v>
      </c>
      <c r="BS52" s="389"/>
      <c r="BT52" s="384">
        <f t="shared" ref="BT52:BX52" si="87">BT9/BT7</f>
        <v>0.4460127994</v>
      </c>
      <c r="BU52" s="384">
        <f t="shared" si="87"/>
        <v>0.4128210212</v>
      </c>
      <c r="BV52" s="384">
        <f t="shared" si="87"/>
        <v>0.6198698149</v>
      </c>
      <c r="BW52" s="384">
        <f t="shared" si="87"/>
        <v>0.3227380791</v>
      </c>
      <c r="BX52" s="388">
        <f t="shared" si="87"/>
        <v>0.4542915464</v>
      </c>
      <c r="BY52" s="389"/>
      <c r="BZ52" s="384">
        <f t="shared" ref="BZ52:CD52" si="88">BZ9/BZ7</f>
        <v>0.855289727</v>
      </c>
      <c r="CA52" s="384">
        <f t="shared" si="88"/>
        <v>0.7180778372</v>
      </c>
      <c r="CB52" s="384">
        <f t="shared" si="88"/>
        <v>0.561553387</v>
      </c>
      <c r="CC52" s="384">
        <f t="shared" si="88"/>
        <v>0.6033358342</v>
      </c>
      <c r="CD52" s="388">
        <f t="shared" si="88"/>
        <v>0.6644062658</v>
      </c>
      <c r="CE52" s="389"/>
      <c r="CF52" s="388">
        <f>CF9/CF7</f>
        <v>0.5679266403</v>
      </c>
      <c r="CG52" s="389"/>
      <c r="CH52" s="384"/>
      <c r="CI52" s="384"/>
      <c r="CJ52" s="384"/>
      <c r="CK52" s="384"/>
      <c r="CL52" s="384"/>
      <c r="CM52" s="384"/>
      <c r="CN52" s="384"/>
      <c r="CO52" s="384"/>
      <c r="CP52" s="384"/>
      <c r="CQ52" s="384"/>
      <c r="CR52" s="384"/>
      <c r="CS52" s="384"/>
      <c r="CT52" s="384"/>
      <c r="CU52" s="384"/>
      <c r="CV52" s="384"/>
      <c r="CW52" s="384"/>
      <c r="CX52" s="384"/>
      <c r="CY52" s="384"/>
      <c r="CZ52" s="384"/>
      <c r="DA52" s="384"/>
      <c r="DB52" s="384"/>
      <c r="DC52" s="384"/>
      <c r="DD52" s="384"/>
      <c r="DE52" s="384"/>
      <c r="DF52" s="384"/>
      <c r="DG52" s="384"/>
      <c r="DH52" s="384"/>
      <c r="DI52" s="384"/>
      <c r="DJ52" s="384"/>
      <c r="DK52" s="384"/>
      <c r="DL52" s="384"/>
      <c r="DM52" s="384"/>
      <c r="DN52" s="384"/>
      <c r="DO52" s="384"/>
      <c r="DP52" s="384"/>
      <c r="DQ52" s="384"/>
      <c r="DR52" s="384"/>
      <c r="DS52" s="384"/>
      <c r="DT52" s="385"/>
      <c r="DU52" s="385"/>
      <c r="DV52" s="384"/>
      <c r="DW52" s="384"/>
      <c r="DX52" s="384"/>
      <c r="DY52" s="384"/>
      <c r="DZ52" s="384"/>
      <c r="EA52" s="384"/>
      <c r="EB52" s="384"/>
      <c r="EC52" s="384"/>
    </row>
    <row r="53">
      <c r="B53" s="135"/>
      <c r="C53" s="389"/>
      <c r="D53" s="389"/>
      <c r="E53" s="389"/>
      <c r="F53" s="389"/>
      <c r="G53" s="389"/>
      <c r="H53" s="389"/>
      <c r="I53" s="389"/>
      <c r="J53" s="389"/>
      <c r="K53" s="389"/>
      <c r="L53" s="389"/>
      <c r="M53" s="389"/>
      <c r="N53" s="389"/>
      <c r="O53" s="389"/>
      <c r="P53" s="389"/>
      <c r="Q53" s="389"/>
      <c r="R53" s="389"/>
      <c r="S53" s="389"/>
      <c r="T53" s="389"/>
      <c r="U53" s="389"/>
      <c r="V53" s="389"/>
      <c r="W53" s="389"/>
      <c r="X53" s="389"/>
      <c r="Y53" s="389"/>
      <c r="Z53" s="389"/>
      <c r="AA53" s="389"/>
      <c r="AB53" s="389"/>
      <c r="AC53" s="389"/>
      <c r="AD53" s="389"/>
      <c r="AE53" s="389"/>
      <c r="AF53" s="389"/>
      <c r="AG53" s="389"/>
      <c r="AH53" s="389"/>
      <c r="AI53" s="389"/>
      <c r="AJ53" s="389"/>
      <c r="AK53" s="389"/>
      <c r="AL53" s="389"/>
      <c r="AM53" s="389"/>
      <c r="AN53" s="389"/>
      <c r="AO53" s="389"/>
      <c r="AP53" s="389"/>
      <c r="AQ53" s="389"/>
      <c r="AR53" s="389"/>
      <c r="AS53" s="389"/>
      <c r="AT53" s="389"/>
      <c r="AU53" s="389"/>
      <c r="AV53" s="389"/>
      <c r="AW53" s="389"/>
      <c r="AX53" s="389"/>
      <c r="AY53" s="389"/>
      <c r="AZ53" s="389"/>
      <c r="BA53" s="389"/>
      <c r="BB53" s="389"/>
      <c r="BC53" s="389"/>
      <c r="BD53" s="389"/>
      <c r="BE53" s="389"/>
      <c r="BF53" s="389"/>
      <c r="BG53" s="389"/>
      <c r="BH53" s="389"/>
      <c r="BI53" s="389"/>
      <c r="BJ53" s="389"/>
      <c r="BL53" s="390"/>
      <c r="BM53" s="389"/>
      <c r="BN53" s="389"/>
      <c r="BO53" s="389"/>
      <c r="BP53" s="389"/>
      <c r="BQ53" s="389"/>
      <c r="BR53" s="390"/>
      <c r="BS53" s="389"/>
      <c r="BT53" s="389"/>
      <c r="BU53" s="389"/>
      <c r="BV53" s="389"/>
      <c r="BW53" s="389"/>
      <c r="BX53" s="390"/>
      <c r="BY53" s="389"/>
      <c r="BZ53" s="389"/>
      <c r="CA53" s="389"/>
      <c r="CB53" s="389"/>
      <c r="CC53" s="389"/>
      <c r="CD53" s="390"/>
      <c r="CE53" s="389"/>
      <c r="CF53" s="390"/>
      <c r="CH53" s="389"/>
      <c r="CI53" s="389"/>
      <c r="CJ53" s="389"/>
      <c r="CK53" s="389"/>
      <c r="CL53" s="389"/>
      <c r="CM53" s="389"/>
      <c r="CN53" s="389"/>
      <c r="CO53" s="389"/>
      <c r="CP53" s="389"/>
      <c r="CQ53" s="389"/>
      <c r="CR53" s="389"/>
      <c r="CS53" s="389"/>
      <c r="CT53" s="389"/>
      <c r="CU53" s="389"/>
      <c r="CV53" s="389"/>
      <c r="CW53" s="389"/>
      <c r="CX53" s="389"/>
      <c r="CY53" s="389"/>
      <c r="CZ53" s="389"/>
      <c r="DA53" s="389"/>
      <c r="DB53" s="389"/>
      <c r="DC53" s="389"/>
      <c r="DD53" s="389"/>
      <c r="DE53" s="389"/>
      <c r="DF53" s="389"/>
      <c r="DG53" s="389"/>
      <c r="DH53" s="389"/>
      <c r="DI53" s="389"/>
      <c r="DJ53" s="389"/>
      <c r="DK53" s="389"/>
      <c r="DL53" s="389"/>
      <c r="DM53" s="389"/>
      <c r="DN53" s="389"/>
      <c r="DO53" s="389"/>
      <c r="DP53" s="389"/>
      <c r="DQ53" s="389"/>
      <c r="DR53" s="389"/>
      <c r="DS53" s="389"/>
      <c r="DT53" s="385"/>
      <c r="DU53" s="385"/>
      <c r="DV53" s="389"/>
      <c r="DW53" s="389"/>
      <c r="DX53" s="389"/>
      <c r="DY53" s="389"/>
      <c r="DZ53" s="389"/>
      <c r="EA53" s="389"/>
      <c r="EB53" s="389"/>
      <c r="EC53" s="389"/>
    </row>
    <row r="54">
      <c r="B54" s="383" t="s">
        <v>276</v>
      </c>
      <c r="C54" s="384"/>
      <c r="D54" s="384"/>
      <c r="E54" s="384"/>
      <c r="F54" s="384"/>
      <c r="G54" s="384"/>
      <c r="H54" s="384"/>
      <c r="I54" s="384"/>
      <c r="J54" s="384"/>
      <c r="K54" s="384"/>
      <c r="L54" s="384"/>
      <c r="M54" s="384"/>
      <c r="N54" s="384"/>
      <c r="O54" s="384"/>
      <c r="P54" s="384"/>
      <c r="Q54" s="384"/>
      <c r="R54" s="384"/>
      <c r="S54" s="384"/>
      <c r="T54" s="384"/>
      <c r="U54" s="384"/>
      <c r="V54" s="384"/>
      <c r="W54" s="384"/>
      <c r="X54" s="384"/>
      <c r="Y54" s="384"/>
      <c r="Z54" s="384"/>
      <c r="AA54" s="384"/>
      <c r="AB54" s="384"/>
      <c r="AC54" s="384"/>
      <c r="AD54" s="384"/>
      <c r="AE54" s="384"/>
      <c r="AF54" s="384"/>
      <c r="AG54" s="384"/>
      <c r="AH54" s="384"/>
      <c r="AI54" s="384"/>
      <c r="AJ54" s="384"/>
      <c r="AK54" s="384"/>
      <c r="AL54" s="384"/>
      <c r="AM54" s="384"/>
      <c r="AN54" s="384"/>
      <c r="AO54" s="384"/>
      <c r="AP54" s="384"/>
      <c r="AQ54" s="384"/>
      <c r="AR54" s="384"/>
      <c r="AS54" s="384"/>
      <c r="AT54" s="384"/>
      <c r="AU54" s="384"/>
      <c r="AV54" s="384"/>
      <c r="AW54" s="384"/>
      <c r="AX54" s="384"/>
      <c r="AY54" s="384"/>
      <c r="AZ54" s="384"/>
      <c r="BA54" s="384"/>
      <c r="BB54" s="384"/>
      <c r="BC54" s="384"/>
      <c r="BD54" s="384"/>
      <c r="BE54" s="384"/>
      <c r="BF54" s="384"/>
      <c r="BG54" s="384"/>
      <c r="BH54" s="384"/>
      <c r="BI54" s="384"/>
      <c r="BJ54" s="384"/>
      <c r="BL54" s="388"/>
      <c r="BM54" s="389"/>
      <c r="BN54" s="391">
        <f t="shared" ref="BN54:BR54" si="89">SUM(BN55,BN57)</f>
        <v>2836883.48</v>
      </c>
      <c r="BO54" s="391">
        <f t="shared" si="89"/>
        <v>3171489.56</v>
      </c>
      <c r="BP54" s="391">
        <f t="shared" si="89"/>
        <v>2253514.35</v>
      </c>
      <c r="BQ54" s="391">
        <f t="shared" si="89"/>
        <v>0</v>
      </c>
      <c r="BR54" s="392">
        <f t="shared" si="89"/>
        <v>8261887.39</v>
      </c>
      <c r="BS54" s="389"/>
      <c r="BT54" s="384"/>
      <c r="BU54" s="384"/>
      <c r="BV54" s="384"/>
      <c r="BW54" s="384"/>
      <c r="BX54" s="388"/>
      <c r="BY54" s="389"/>
      <c r="BZ54" s="384"/>
      <c r="CA54" s="384"/>
      <c r="CB54" s="384"/>
      <c r="CC54" s="384"/>
      <c r="CD54" s="388"/>
      <c r="CE54" s="389"/>
      <c r="CF54" s="388"/>
      <c r="CG54" s="284"/>
      <c r="CH54" s="384"/>
      <c r="CI54" s="384"/>
      <c r="CJ54" s="384"/>
      <c r="CK54" s="384"/>
      <c r="CL54" s="384"/>
      <c r="CM54" s="384"/>
      <c r="CN54" s="384"/>
      <c r="CO54" s="384"/>
      <c r="CP54" s="384"/>
      <c r="CQ54" s="384"/>
      <c r="CR54" s="384"/>
      <c r="CS54" s="384"/>
      <c r="CT54" s="384"/>
      <c r="CU54" s="384"/>
      <c r="CV54" s="384"/>
      <c r="CW54" s="384"/>
      <c r="CX54" s="384"/>
      <c r="CY54" s="384"/>
      <c r="CZ54" s="384"/>
      <c r="DA54" s="384"/>
      <c r="DB54" s="384"/>
      <c r="DC54" s="384"/>
      <c r="DD54" s="384"/>
      <c r="DE54" s="384"/>
      <c r="DF54" s="384"/>
      <c r="DG54" s="384"/>
      <c r="DH54" s="384"/>
      <c r="DI54" s="384"/>
      <c r="DJ54" s="384"/>
      <c r="DK54" s="384"/>
      <c r="DL54" s="384"/>
      <c r="DM54" s="384"/>
      <c r="DN54" s="384"/>
      <c r="DO54" s="384"/>
      <c r="DP54" s="384"/>
      <c r="DQ54" s="384"/>
      <c r="DR54" s="384"/>
      <c r="DS54" s="384"/>
      <c r="DT54" s="385"/>
      <c r="DU54" s="385"/>
      <c r="DV54" s="384"/>
      <c r="DW54" s="384"/>
      <c r="DX54" s="384"/>
      <c r="DY54" s="384"/>
      <c r="DZ54" s="384"/>
      <c r="EA54" s="384"/>
      <c r="EB54" s="384"/>
      <c r="EC54" s="384"/>
    </row>
    <row r="55">
      <c r="B55" s="393" t="s">
        <v>529</v>
      </c>
      <c r="C55" s="384"/>
      <c r="D55" s="384"/>
      <c r="E55" s="384"/>
      <c r="F55" s="384"/>
      <c r="G55" s="384"/>
      <c r="H55" s="384"/>
      <c r="I55" s="384"/>
      <c r="J55" s="384"/>
      <c r="K55" s="384"/>
      <c r="L55" s="384"/>
      <c r="M55" s="384"/>
      <c r="N55" s="384"/>
      <c r="O55" s="384"/>
      <c r="P55" s="384"/>
      <c r="Q55" s="384"/>
      <c r="R55" s="384"/>
      <c r="S55" s="384"/>
      <c r="T55" s="384"/>
      <c r="U55" s="384"/>
      <c r="V55" s="384"/>
      <c r="W55" s="384"/>
      <c r="X55" s="384"/>
      <c r="Y55" s="384"/>
      <c r="Z55" s="384"/>
      <c r="AA55" s="384"/>
      <c r="AB55" s="384"/>
      <c r="AC55" s="384"/>
      <c r="AD55" s="384"/>
      <c r="AE55" s="384"/>
      <c r="AF55" s="384"/>
      <c r="AG55" s="384"/>
      <c r="AH55" s="384"/>
      <c r="AI55" s="384"/>
      <c r="AJ55" s="384"/>
      <c r="AK55" s="384"/>
      <c r="AL55" s="384"/>
      <c r="AM55" s="394">
        <f t="shared" ref="AM55:BJ55" si="90">AM$14-AM$28</f>
        <v>610729.68</v>
      </c>
      <c r="AN55" s="394">
        <f t="shared" si="90"/>
        <v>769480.89</v>
      </c>
      <c r="AO55" s="394">
        <f t="shared" si="90"/>
        <v>581042.09</v>
      </c>
      <c r="AP55" s="394">
        <f t="shared" si="90"/>
        <v>335266.52</v>
      </c>
      <c r="AQ55" s="394">
        <f t="shared" si="90"/>
        <v>269348.66</v>
      </c>
      <c r="AR55" s="394">
        <f t="shared" si="90"/>
        <v>1078331.77</v>
      </c>
      <c r="AS55" s="394">
        <f t="shared" si="90"/>
        <v>334357.22</v>
      </c>
      <c r="AT55" s="394">
        <f t="shared" si="90"/>
        <v>827489.73</v>
      </c>
      <c r="AU55" s="394">
        <f t="shared" si="90"/>
        <v>340149.01</v>
      </c>
      <c r="AV55" s="394">
        <f t="shared" si="90"/>
        <v>327847.92</v>
      </c>
      <c r="AW55" s="394">
        <f t="shared" si="90"/>
        <v>1774822.39</v>
      </c>
      <c r="AX55" s="394">
        <f t="shared" si="90"/>
        <v>1196711.23</v>
      </c>
      <c r="AY55" s="394">
        <f t="shared" si="90"/>
        <v>53869.6</v>
      </c>
      <c r="AZ55" s="394">
        <f t="shared" si="90"/>
        <v>61961.44</v>
      </c>
      <c r="BA55" s="394">
        <f t="shared" si="90"/>
        <v>361128.35</v>
      </c>
      <c r="BB55" s="394">
        <f t="shared" si="90"/>
        <v>33037.79</v>
      </c>
      <c r="BC55" s="394">
        <f t="shared" si="90"/>
        <v>254595.66</v>
      </c>
      <c r="BD55" s="394">
        <f t="shared" si="90"/>
        <v>560004.52</v>
      </c>
      <c r="BE55" s="394">
        <f t="shared" si="90"/>
        <v>471411.39</v>
      </c>
      <c r="BF55" s="394">
        <f t="shared" si="90"/>
        <v>907185.31</v>
      </c>
      <c r="BG55" s="394">
        <f t="shared" si="90"/>
        <v>0</v>
      </c>
      <c r="BH55" s="394">
        <f t="shared" si="90"/>
        <v>0</v>
      </c>
      <c r="BI55" s="394">
        <f t="shared" si="90"/>
        <v>0</v>
      </c>
      <c r="BJ55" s="394">
        <f t="shared" si="90"/>
        <v>0</v>
      </c>
      <c r="BL55" s="392">
        <f>BL$14-BL$28</f>
        <v>19594348.28</v>
      </c>
      <c r="BM55" s="389"/>
      <c r="BN55" s="391">
        <f t="shared" ref="BN55:BR55" si="91">BN$14-BN$28</f>
        <v>476959.39</v>
      </c>
      <c r="BO55" s="391">
        <f t="shared" si="91"/>
        <v>847637.97</v>
      </c>
      <c r="BP55" s="391">
        <f t="shared" si="91"/>
        <v>1378596.7</v>
      </c>
      <c r="BQ55" s="391">
        <f t="shared" si="91"/>
        <v>0</v>
      </c>
      <c r="BR55" s="392">
        <f t="shared" si="91"/>
        <v>2703194.06</v>
      </c>
      <c r="BS55" s="389"/>
      <c r="BT55" s="391">
        <f>sum(AM55:AO55)</f>
        <v>1961252.66</v>
      </c>
      <c r="BU55" s="391">
        <f>sum(AP55:AR55)</f>
        <v>1682946.95</v>
      </c>
      <c r="BV55" s="391">
        <f>sum(AS55:AU55)</f>
        <v>1501995.96</v>
      </c>
      <c r="BW55" s="391">
        <f>sum(AV55:AX55)</f>
        <v>3299381.54</v>
      </c>
      <c r="BX55" s="392">
        <f>BX$14-BX$28</f>
        <v>8445577.11</v>
      </c>
      <c r="BY55" s="389"/>
      <c r="BZ55" s="391"/>
      <c r="CA55" s="391"/>
      <c r="CB55" s="391"/>
      <c r="CC55" s="391"/>
      <c r="CD55" s="392"/>
      <c r="CE55" s="395"/>
      <c r="CF55" s="392"/>
      <c r="CG55" s="284"/>
      <c r="CH55" s="384"/>
      <c r="CI55" s="384"/>
      <c r="CJ55" s="384"/>
      <c r="CK55" s="384"/>
      <c r="CL55" s="384"/>
      <c r="CM55" s="384"/>
      <c r="CN55" s="384"/>
      <c r="CO55" s="384"/>
      <c r="CP55" s="384"/>
      <c r="CQ55" s="384"/>
      <c r="CR55" s="384"/>
      <c r="CS55" s="384"/>
      <c r="CT55" s="384"/>
      <c r="CU55" s="384"/>
      <c r="CV55" s="384"/>
      <c r="CW55" s="384"/>
      <c r="CX55" s="384"/>
      <c r="CY55" s="384"/>
      <c r="CZ55" s="384"/>
      <c r="DA55" s="384"/>
      <c r="DB55" s="384"/>
      <c r="DC55" s="384"/>
      <c r="DD55" s="384"/>
      <c r="DE55" s="384"/>
      <c r="DF55" s="394"/>
      <c r="DG55" s="394"/>
      <c r="DH55" s="394"/>
      <c r="DI55" s="394"/>
      <c r="DJ55" s="394"/>
      <c r="DK55" s="394"/>
      <c r="DL55" s="394"/>
      <c r="DM55" s="394"/>
      <c r="DN55" s="394"/>
      <c r="DO55" s="394"/>
      <c r="DP55" s="394"/>
      <c r="DQ55" s="394"/>
      <c r="DR55" s="394"/>
      <c r="DS55" s="394"/>
      <c r="DT55" s="385"/>
      <c r="DU55" s="385"/>
      <c r="DV55" s="394"/>
      <c r="DW55" s="394"/>
      <c r="DX55" s="394"/>
      <c r="DY55" s="394"/>
      <c r="DZ55" s="394"/>
      <c r="EA55" s="394"/>
      <c r="EB55" s="394"/>
      <c r="EC55" s="394"/>
    </row>
    <row r="56">
      <c r="B56" s="393" t="s">
        <v>530</v>
      </c>
      <c r="C56" s="384"/>
      <c r="D56" s="384"/>
      <c r="E56" s="384"/>
      <c r="F56" s="384"/>
      <c r="G56" s="384"/>
      <c r="H56" s="384"/>
      <c r="I56" s="384"/>
      <c r="J56" s="384"/>
      <c r="K56" s="384"/>
      <c r="L56" s="384"/>
      <c r="M56" s="384"/>
      <c r="N56" s="384"/>
      <c r="O56" s="384"/>
      <c r="P56" s="384"/>
      <c r="Q56" s="384"/>
      <c r="R56" s="384"/>
      <c r="S56" s="384"/>
      <c r="T56" s="384"/>
      <c r="U56" s="384"/>
      <c r="V56" s="384"/>
      <c r="W56" s="384"/>
      <c r="X56" s="384"/>
      <c r="Y56" s="384"/>
      <c r="Z56" s="384"/>
      <c r="AA56" s="384"/>
      <c r="AB56" s="384"/>
      <c r="AC56" s="384"/>
      <c r="AD56" s="384"/>
      <c r="AE56" s="384"/>
      <c r="AF56" s="384"/>
      <c r="AG56" s="384"/>
      <c r="AH56" s="384"/>
      <c r="AI56" s="384"/>
      <c r="AJ56" s="384"/>
      <c r="AK56" s="384"/>
      <c r="AL56" s="384"/>
      <c r="AM56" s="384">
        <f t="shared" ref="AM56:AX56" si="92">AM$55/AM$14</f>
        <v>0.6661378616</v>
      </c>
      <c r="AN56" s="384">
        <f t="shared" si="92"/>
        <v>0.7812815858</v>
      </c>
      <c r="AO56" s="384">
        <f t="shared" si="92"/>
        <v>0.7096432927</v>
      </c>
      <c r="AP56" s="384">
        <f t="shared" si="92"/>
        <v>0.5901248784</v>
      </c>
      <c r="AQ56" s="384">
        <f t="shared" si="92"/>
        <v>0.5593016691</v>
      </c>
      <c r="AR56" s="384">
        <f t="shared" si="92"/>
        <v>0.816899912</v>
      </c>
      <c r="AS56" s="384">
        <f t="shared" si="92"/>
        <v>0.5810350333</v>
      </c>
      <c r="AT56" s="384">
        <f t="shared" si="92"/>
        <v>0.6831518214</v>
      </c>
      <c r="AU56" s="384">
        <f t="shared" si="92"/>
        <v>0.5516264148</v>
      </c>
      <c r="AV56" s="384">
        <f t="shared" si="92"/>
        <v>0.5394466777</v>
      </c>
      <c r="AW56" s="384">
        <f t="shared" si="92"/>
        <v>0.863132071</v>
      </c>
      <c r="AX56" s="384">
        <f t="shared" si="92"/>
        <v>0.7816518171</v>
      </c>
      <c r="AY56" s="384">
        <f t="shared" ref="AY56:BJ56" si="93">IFERROR(AY$55/AY$14,0)</f>
        <v>0.1406793702</v>
      </c>
      <c r="AZ56" s="384">
        <f t="shared" si="93"/>
        <v>0.1687901698</v>
      </c>
      <c r="BA56" s="384">
        <f t="shared" si="93"/>
        <v>0.5575272552</v>
      </c>
      <c r="BB56" s="384">
        <f t="shared" si="93"/>
        <v>0.07485755212</v>
      </c>
      <c r="BC56" s="384">
        <f t="shared" si="93"/>
        <v>0.4929679136</v>
      </c>
      <c r="BD56" s="384">
        <f t="shared" si="93"/>
        <v>0.681100911</v>
      </c>
      <c r="BE56" s="384">
        <f t="shared" si="93"/>
        <v>0.6380983682</v>
      </c>
      <c r="BF56" s="384">
        <f t="shared" si="93"/>
        <v>0.6666179603</v>
      </c>
      <c r="BG56" s="384">
        <f t="shared" si="93"/>
        <v>0</v>
      </c>
      <c r="BH56" s="384">
        <f t="shared" si="93"/>
        <v>0</v>
      </c>
      <c r="BI56" s="384">
        <f t="shared" si="93"/>
        <v>0</v>
      </c>
      <c r="BJ56" s="384">
        <f t="shared" si="93"/>
        <v>0</v>
      </c>
      <c r="BL56" s="388">
        <f>IFERROR(BL$55/BL$14,0)</f>
        <v>0.6838111636</v>
      </c>
      <c r="BM56" s="389"/>
      <c r="BN56" s="384">
        <f t="shared" ref="BN56:BR56" si="94">IFERROR(BN$55/BN$14,0)</f>
        <v>0.3412340878</v>
      </c>
      <c r="BO56" s="384">
        <f t="shared" si="94"/>
        <v>0.4762006091</v>
      </c>
      <c r="BP56" s="384">
        <f t="shared" si="94"/>
        <v>0.656583171</v>
      </c>
      <c r="BQ56" s="384">
        <f t="shared" si="94"/>
        <v>0</v>
      </c>
      <c r="BR56" s="388">
        <f t="shared" si="94"/>
        <v>0.5122205068</v>
      </c>
      <c r="BS56" s="389"/>
      <c r="BT56" s="384">
        <f t="shared" ref="BT56:BX56" si="95">BT$55/BT$14</f>
        <v>0.7209167886</v>
      </c>
      <c r="BU56" s="384">
        <f t="shared" si="95"/>
        <v>0.7101828218</v>
      </c>
      <c r="BV56" s="384">
        <f t="shared" si="95"/>
        <v>0.6249560137</v>
      </c>
      <c r="BW56" s="384">
        <f t="shared" si="95"/>
        <v>0.7865015376</v>
      </c>
      <c r="BX56" s="388">
        <f t="shared" si="95"/>
        <v>0.7225477292</v>
      </c>
      <c r="BY56" s="389"/>
      <c r="BZ56" s="391"/>
      <c r="CA56" s="391"/>
      <c r="CB56" s="391"/>
      <c r="CC56" s="391"/>
      <c r="CD56" s="392"/>
      <c r="CE56" s="395"/>
      <c r="CF56" s="392"/>
      <c r="CG56" s="284"/>
      <c r="CH56" s="384"/>
      <c r="CI56" s="384"/>
      <c r="CJ56" s="384"/>
      <c r="CK56" s="384"/>
      <c r="CL56" s="384"/>
      <c r="CM56" s="384"/>
      <c r="CN56" s="384"/>
      <c r="CO56" s="384"/>
      <c r="CP56" s="384"/>
      <c r="CQ56" s="384"/>
      <c r="CR56" s="384"/>
      <c r="CS56" s="384"/>
      <c r="CT56" s="384"/>
      <c r="CU56" s="384"/>
      <c r="CV56" s="384"/>
      <c r="CW56" s="384"/>
      <c r="CX56" s="384"/>
      <c r="CY56" s="384"/>
      <c r="CZ56" s="384"/>
      <c r="DA56" s="384"/>
      <c r="DB56" s="384"/>
      <c r="DC56" s="384"/>
      <c r="DD56" s="384"/>
      <c r="DE56" s="384"/>
      <c r="DF56" s="384"/>
      <c r="DG56" s="384"/>
      <c r="DH56" s="384"/>
      <c r="DI56" s="384"/>
      <c r="DJ56" s="384"/>
      <c r="DK56" s="384"/>
      <c r="DL56" s="384"/>
      <c r="DM56" s="384"/>
      <c r="DN56" s="384"/>
      <c r="DO56" s="384"/>
      <c r="DP56" s="384"/>
      <c r="DQ56" s="384"/>
      <c r="DR56" s="384"/>
      <c r="DS56" s="384"/>
      <c r="DT56" s="384"/>
      <c r="DU56" s="396"/>
      <c r="DV56" s="384"/>
      <c r="DW56" s="384"/>
      <c r="DX56" s="384"/>
      <c r="DY56" s="384"/>
      <c r="DZ56" s="384"/>
      <c r="EA56" s="384"/>
      <c r="EB56" s="384"/>
      <c r="EC56" s="384"/>
    </row>
    <row r="57">
      <c r="B57" s="393" t="s">
        <v>531</v>
      </c>
      <c r="C57" s="384"/>
      <c r="D57" s="384"/>
      <c r="E57" s="384"/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384"/>
      <c r="R57" s="384"/>
      <c r="S57" s="384"/>
      <c r="T57" s="384"/>
      <c r="U57" s="384"/>
      <c r="V57" s="384"/>
      <c r="W57" s="384"/>
      <c r="X57" s="384"/>
      <c r="Y57" s="384"/>
      <c r="Z57" s="384"/>
      <c r="AA57" s="384"/>
      <c r="AB57" s="384"/>
      <c r="AC57" s="384"/>
      <c r="AD57" s="384"/>
      <c r="AE57" s="384"/>
      <c r="AF57" s="384"/>
      <c r="AG57" s="384"/>
      <c r="AH57" s="384"/>
      <c r="AI57" s="384"/>
      <c r="AJ57" s="384"/>
      <c r="AK57" s="384"/>
      <c r="AL57" s="384"/>
      <c r="AM57" s="394">
        <f t="shared" ref="AM57:BJ57" si="96">AM$20-AM$29</f>
        <v>514971.78</v>
      </c>
      <c r="AN57" s="394">
        <f t="shared" si="96"/>
        <v>562997.89</v>
      </c>
      <c r="AO57" s="394">
        <f t="shared" si="96"/>
        <v>421255.17</v>
      </c>
      <c r="AP57" s="394">
        <f t="shared" si="96"/>
        <v>283655.65</v>
      </c>
      <c r="AQ57" s="394">
        <f t="shared" si="96"/>
        <v>118334.47</v>
      </c>
      <c r="AR57" s="394">
        <f t="shared" si="96"/>
        <v>417840.53</v>
      </c>
      <c r="AS57" s="394">
        <f t="shared" si="96"/>
        <v>113250.13</v>
      </c>
      <c r="AT57" s="394">
        <f t="shared" si="96"/>
        <v>598921.31</v>
      </c>
      <c r="AU57" s="394">
        <f t="shared" si="96"/>
        <v>695808.39</v>
      </c>
      <c r="AV57" s="394">
        <f t="shared" si="96"/>
        <v>455896.3</v>
      </c>
      <c r="AW57" s="394">
        <f t="shared" si="96"/>
        <v>290267.48</v>
      </c>
      <c r="AX57" s="394">
        <f t="shared" si="96"/>
        <v>769301.12</v>
      </c>
      <c r="AY57" s="394">
        <f t="shared" si="96"/>
        <v>159453.78</v>
      </c>
      <c r="AZ57" s="394">
        <f t="shared" si="96"/>
        <v>214816.35</v>
      </c>
      <c r="BA57" s="394">
        <f t="shared" si="96"/>
        <v>1985653.96</v>
      </c>
      <c r="BB57" s="394">
        <f t="shared" si="96"/>
        <v>256092.49</v>
      </c>
      <c r="BC57" s="394">
        <f t="shared" si="96"/>
        <v>972042.94</v>
      </c>
      <c r="BD57" s="394">
        <f t="shared" si="96"/>
        <v>1095716.16</v>
      </c>
      <c r="BE57" s="394">
        <f t="shared" si="96"/>
        <v>675900.03</v>
      </c>
      <c r="BF57" s="394">
        <f t="shared" si="96"/>
        <v>199017.62</v>
      </c>
      <c r="BG57" s="394">
        <f t="shared" si="96"/>
        <v>0</v>
      </c>
      <c r="BH57" s="394">
        <f t="shared" si="96"/>
        <v>0</v>
      </c>
      <c r="BI57" s="394">
        <f t="shared" si="96"/>
        <v>0</v>
      </c>
      <c r="BJ57" s="394">
        <f t="shared" si="96"/>
        <v>0</v>
      </c>
      <c r="BL57" s="392">
        <f>BL$20-BL$29</f>
        <v>16043693.77</v>
      </c>
      <c r="BM57" s="389"/>
      <c r="BN57" s="391">
        <f t="shared" ref="BN57:BR57" si="97">BN$20-BN$29</f>
        <v>2359924.09</v>
      </c>
      <c r="BO57" s="391">
        <f t="shared" si="97"/>
        <v>2323851.59</v>
      </c>
      <c r="BP57" s="391">
        <f t="shared" si="97"/>
        <v>874917.65</v>
      </c>
      <c r="BQ57" s="391">
        <f t="shared" si="97"/>
        <v>0</v>
      </c>
      <c r="BR57" s="392">
        <f t="shared" si="97"/>
        <v>5558693.33</v>
      </c>
      <c r="BS57" s="389"/>
      <c r="BT57" s="391">
        <f>sum(AM57:AO57)</f>
        <v>1499224.84</v>
      </c>
      <c r="BU57" s="391">
        <f>sum(AP57:AR57)</f>
        <v>819830.65</v>
      </c>
      <c r="BV57" s="391">
        <f>sum(AS57:AU57)</f>
        <v>1407979.83</v>
      </c>
      <c r="BW57" s="391">
        <f>sum(AV57:AX57)</f>
        <v>1515464.9</v>
      </c>
      <c r="BX57" s="392">
        <f>BX$20-BX$29</f>
        <v>5242500.22</v>
      </c>
      <c r="BY57" s="389"/>
      <c r="BZ57" s="391"/>
      <c r="CA57" s="391"/>
      <c r="CB57" s="391"/>
      <c r="CC57" s="391"/>
      <c r="CD57" s="392"/>
      <c r="CE57" s="395"/>
      <c r="CF57" s="392"/>
      <c r="CG57" s="284"/>
      <c r="CH57" s="384"/>
      <c r="CI57" s="384"/>
      <c r="CJ57" s="384"/>
      <c r="CK57" s="384"/>
      <c r="CL57" s="384"/>
      <c r="CM57" s="384"/>
      <c r="CN57" s="384"/>
      <c r="CO57" s="384"/>
      <c r="CP57" s="384"/>
      <c r="CQ57" s="384"/>
      <c r="CR57" s="384"/>
      <c r="CS57" s="384"/>
      <c r="CT57" s="384"/>
      <c r="CU57" s="384"/>
      <c r="CV57" s="384"/>
      <c r="CW57" s="384"/>
      <c r="CX57" s="384"/>
      <c r="CY57" s="384"/>
      <c r="CZ57" s="384"/>
      <c r="DA57" s="384"/>
      <c r="DB57" s="384"/>
      <c r="DC57" s="384"/>
      <c r="DD57" s="384"/>
      <c r="DE57" s="384"/>
      <c r="DF57" s="394"/>
      <c r="DG57" s="394"/>
      <c r="DH57" s="394"/>
      <c r="DI57" s="394"/>
      <c r="DJ57" s="394"/>
      <c r="DK57" s="394"/>
      <c r="DL57" s="394"/>
      <c r="DM57" s="394"/>
      <c r="DN57" s="394"/>
      <c r="DO57" s="394"/>
      <c r="DP57" s="394"/>
      <c r="DQ57" s="394"/>
      <c r="DR57" s="394"/>
      <c r="DS57" s="394"/>
      <c r="DT57" s="394"/>
      <c r="DU57" s="394"/>
      <c r="DV57" s="394"/>
      <c r="DW57" s="394"/>
      <c r="DX57" s="394"/>
      <c r="DY57" s="394"/>
      <c r="DZ57" s="394"/>
      <c r="EA57" s="394"/>
      <c r="EB57" s="394"/>
      <c r="EC57" s="394"/>
    </row>
    <row r="58">
      <c r="B58" s="393" t="s">
        <v>533</v>
      </c>
      <c r="C58" s="384"/>
      <c r="D58" s="384"/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84"/>
      <c r="R58" s="384"/>
      <c r="S58" s="384"/>
      <c r="T58" s="384"/>
      <c r="U58" s="384"/>
      <c r="V58" s="384"/>
      <c r="W58" s="384"/>
      <c r="X58" s="384"/>
      <c r="Y58" s="384"/>
      <c r="Z58" s="384"/>
      <c r="AA58" s="384"/>
      <c r="AB58" s="384"/>
      <c r="AC58" s="384"/>
      <c r="AD58" s="384"/>
      <c r="AE58" s="384"/>
      <c r="AF58" s="384"/>
      <c r="AG58" s="384"/>
      <c r="AH58" s="384"/>
      <c r="AI58" s="384"/>
      <c r="AJ58" s="384"/>
      <c r="AK58" s="384"/>
      <c r="AL58" s="384"/>
      <c r="AM58" s="384">
        <f t="shared" ref="AM58:AX58" si="98">AM$57/AM$20</f>
        <v>0.4964117154</v>
      </c>
      <c r="AN58" s="384">
        <f t="shared" si="98"/>
        <v>0.5918188962</v>
      </c>
      <c r="AO58" s="384">
        <f t="shared" si="98"/>
        <v>0.5208214375</v>
      </c>
      <c r="AP58" s="384">
        <f t="shared" si="98"/>
        <v>0.3491074707</v>
      </c>
      <c r="AQ58" s="384">
        <f t="shared" si="98"/>
        <v>0.2179467477</v>
      </c>
      <c r="AR58" s="384">
        <f t="shared" si="98"/>
        <v>0.5433389504</v>
      </c>
      <c r="AS58" s="384">
        <f t="shared" si="98"/>
        <v>0.2180339158</v>
      </c>
      <c r="AT58" s="384">
        <f t="shared" si="98"/>
        <v>0.5180256926</v>
      </c>
      <c r="AU58" s="384">
        <f t="shared" si="98"/>
        <v>0.6169319826</v>
      </c>
      <c r="AV58" s="384">
        <f t="shared" si="98"/>
        <v>0.5331768259</v>
      </c>
      <c r="AW58" s="384">
        <f t="shared" si="98"/>
        <v>0.421358135</v>
      </c>
      <c r="AX58" s="384">
        <f t="shared" si="98"/>
        <v>0.653521694</v>
      </c>
      <c r="AY58" s="384">
        <f t="shared" ref="AY58:BJ58" si="99">IFERROR(AY$57/AY$20,0)</f>
        <v>0.2715764874</v>
      </c>
      <c r="AZ58" s="384">
        <f t="shared" si="99"/>
        <v>0.3609877405</v>
      </c>
      <c r="BA58" s="384">
        <f t="shared" si="99"/>
        <v>0.8352012553</v>
      </c>
      <c r="BB58" s="384">
        <f t="shared" si="99"/>
        <v>0.3042366174</v>
      </c>
      <c r="BC58" s="384">
        <f t="shared" si="99"/>
        <v>0.6901800725</v>
      </c>
      <c r="BD58" s="384">
        <f t="shared" si="99"/>
        <v>0.7193993329</v>
      </c>
      <c r="BE58" s="384">
        <f t="shared" si="99"/>
        <v>0.6046978661</v>
      </c>
      <c r="BF58" s="384">
        <f t="shared" si="99"/>
        <v>0.2042005003</v>
      </c>
      <c r="BG58" s="384">
        <f t="shared" si="99"/>
        <v>0</v>
      </c>
      <c r="BH58" s="384">
        <f t="shared" si="99"/>
        <v>0</v>
      </c>
      <c r="BI58" s="384">
        <f t="shared" si="99"/>
        <v>0</v>
      </c>
      <c r="BJ58" s="384">
        <f t="shared" si="99"/>
        <v>0</v>
      </c>
      <c r="BL58" s="388">
        <f>IFERROR(BL$57/BL$20,0)</f>
        <v>0.5291739732</v>
      </c>
      <c r="BM58" s="389"/>
      <c r="BN58" s="384">
        <f t="shared" ref="BN58:BR58" si="100">IFERROR(BN$57/BN$20,0)</f>
        <v>0.6629602969</v>
      </c>
      <c r="BO58" s="384">
        <f t="shared" si="100"/>
        <v>0.6158764206</v>
      </c>
      <c r="BP58" s="384">
        <f t="shared" si="100"/>
        <v>0.4181473183</v>
      </c>
      <c r="BQ58" s="384">
        <f t="shared" si="100"/>
        <v>0</v>
      </c>
      <c r="BR58" s="388">
        <f t="shared" si="100"/>
        <v>0.5897638475</v>
      </c>
      <c r="BS58" s="389"/>
      <c r="BT58" s="384">
        <f t="shared" ref="BT58:BX58" si="101">BT$57/BT$20</f>
        <v>0.5359125255</v>
      </c>
      <c r="BU58" s="384">
        <f t="shared" si="101"/>
        <v>0.3858949649</v>
      </c>
      <c r="BV58" s="384">
        <f t="shared" si="101"/>
        <v>0.5022348308</v>
      </c>
      <c r="BW58" s="384">
        <f t="shared" si="101"/>
        <v>0.556930116</v>
      </c>
      <c r="BX58" s="388">
        <f t="shared" si="101"/>
        <v>0.5018406759</v>
      </c>
      <c r="BY58" s="389"/>
      <c r="BZ58" s="384"/>
      <c r="CA58" s="384"/>
      <c r="CB58" s="384"/>
      <c r="CC58" s="384"/>
      <c r="CD58" s="388"/>
      <c r="CE58" s="389"/>
      <c r="CF58" s="388"/>
      <c r="CG58" s="284"/>
      <c r="CH58" s="384"/>
      <c r="CI58" s="384"/>
      <c r="CJ58" s="384"/>
      <c r="CK58" s="384"/>
      <c r="CL58" s="384"/>
      <c r="CM58" s="384"/>
      <c r="CN58" s="384"/>
      <c r="CO58" s="384"/>
      <c r="CP58" s="384"/>
      <c r="CQ58" s="384"/>
      <c r="CR58" s="384"/>
      <c r="CS58" s="384"/>
      <c r="CT58" s="384"/>
      <c r="CU58" s="384"/>
      <c r="CV58" s="384"/>
      <c r="CW58" s="384"/>
      <c r="CX58" s="384"/>
      <c r="CY58" s="384"/>
      <c r="CZ58" s="384"/>
      <c r="DA58" s="384"/>
      <c r="DB58" s="384"/>
      <c r="DC58" s="384"/>
      <c r="DD58" s="384"/>
      <c r="DE58" s="384"/>
      <c r="DF58" s="384"/>
      <c r="DG58" s="384"/>
      <c r="DH58" s="384"/>
      <c r="DI58" s="384"/>
      <c r="DJ58" s="384"/>
      <c r="DK58" s="384"/>
      <c r="DL58" s="384"/>
      <c r="DM58" s="384"/>
      <c r="DN58" s="384"/>
      <c r="DO58" s="384"/>
      <c r="DP58" s="384"/>
      <c r="DQ58" s="384"/>
      <c r="DR58" s="384"/>
      <c r="DS58" s="384"/>
      <c r="DT58" s="384"/>
      <c r="DU58" s="384"/>
      <c r="DV58" s="384"/>
      <c r="DW58" s="384"/>
      <c r="DX58" s="384"/>
      <c r="DY58" s="384"/>
      <c r="DZ58" s="384"/>
      <c r="EA58" s="384"/>
      <c r="EB58" s="384"/>
      <c r="EC58" s="384"/>
    </row>
    <row r="59">
      <c r="B59" s="397"/>
      <c r="C59" s="389"/>
      <c r="D59" s="389"/>
      <c r="E59" s="389"/>
      <c r="F59" s="389"/>
      <c r="G59" s="389"/>
      <c r="H59" s="389"/>
      <c r="I59" s="389"/>
      <c r="J59" s="389"/>
      <c r="K59" s="389"/>
      <c r="L59" s="389"/>
      <c r="M59" s="389"/>
      <c r="N59" s="389"/>
      <c r="O59" s="389"/>
      <c r="P59" s="389"/>
      <c r="Q59" s="389"/>
      <c r="R59" s="389"/>
      <c r="S59" s="389"/>
      <c r="T59" s="389"/>
      <c r="U59" s="389"/>
      <c r="V59" s="389"/>
      <c r="W59" s="389"/>
      <c r="X59" s="389"/>
      <c r="Y59" s="389"/>
      <c r="Z59" s="389"/>
      <c r="AA59" s="389"/>
      <c r="AB59" s="389"/>
      <c r="AC59" s="389"/>
      <c r="AD59" s="389"/>
      <c r="AE59" s="389"/>
      <c r="AF59" s="389"/>
      <c r="AG59" s="389"/>
      <c r="AH59" s="389"/>
      <c r="AI59" s="389"/>
      <c r="AJ59" s="389"/>
      <c r="AK59" s="389"/>
      <c r="AL59" s="389"/>
      <c r="AM59" s="389"/>
      <c r="AN59" s="389"/>
      <c r="AO59" s="389"/>
      <c r="AP59" s="389"/>
      <c r="AQ59" s="389"/>
      <c r="AR59" s="389"/>
      <c r="AS59" s="389"/>
      <c r="AT59" s="389"/>
      <c r="AU59" s="389"/>
      <c r="AV59" s="389"/>
      <c r="AW59" s="389"/>
      <c r="AX59" s="389"/>
      <c r="AY59" s="389"/>
      <c r="AZ59" s="389"/>
      <c r="BA59" s="389"/>
      <c r="BB59" s="389"/>
      <c r="BC59" s="389"/>
      <c r="BD59" s="389"/>
      <c r="BE59" s="389"/>
      <c r="BF59" s="389"/>
      <c r="BG59" s="389"/>
      <c r="BH59" s="389"/>
      <c r="BI59" s="389"/>
      <c r="BJ59" s="389"/>
      <c r="BL59" s="390"/>
      <c r="BM59" s="389"/>
      <c r="BN59" s="389"/>
      <c r="BO59" s="389"/>
      <c r="BP59" s="389"/>
      <c r="BQ59" s="389"/>
      <c r="BR59" s="390"/>
      <c r="BS59" s="389"/>
      <c r="BT59" s="389"/>
      <c r="BU59" s="389"/>
      <c r="BV59" s="389"/>
      <c r="BW59" s="389"/>
      <c r="BX59" s="390"/>
      <c r="BY59" s="389"/>
      <c r="BZ59" s="389"/>
      <c r="CA59" s="389"/>
      <c r="CB59" s="389"/>
      <c r="CC59" s="389"/>
      <c r="CD59" s="390"/>
      <c r="CE59" s="389"/>
      <c r="CF59" s="390"/>
      <c r="CG59" s="284"/>
      <c r="CH59" s="389"/>
      <c r="CI59" s="389"/>
      <c r="CJ59" s="389"/>
      <c r="CK59" s="389"/>
      <c r="CL59" s="389"/>
      <c r="CM59" s="389"/>
      <c r="CN59" s="389"/>
      <c r="CO59" s="389"/>
      <c r="CP59" s="389"/>
      <c r="CQ59" s="389"/>
      <c r="CR59" s="389"/>
      <c r="CS59" s="389"/>
      <c r="CT59" s="389"/>
      <c r="CU59" s="389"/>
      <c r="CV59" s="389"/>
      <c r="CW59" s="389"/>
      <c r="CX59" s="389"/>
      <c r="CY59" s="389"/>
      <c r="CZ59" s="389"/>
      <c r="DA59" s="389"/>
      <c r="DB59" s="389"/>
      <c r="DC59" s="389"/>
      <c r="DD59" s="389"/>
      <c r="DE59" s="389"/>
      <c r="DF59" s="389"/>
      <c r="DG59" s="389"/>
      <c r="DH59" s="389"/>
      <c r="DI59" s="389"/>
      <c r="DJ59" s="389"/>
      <c r="DK59" s="389"/>
      <c r="DL59" s="389"/>
      <c r="DM59" s="389"/>
      <c r="DN59" s="389"/>
      <c r="DO59" s="389"/>
      <c r="DP59" s="389"/>
      <c r="DQ59" s="389"/>
      <c r="DR59" s="389"/>
      <c r="DS59" s="389"/>
      <c r="DT59" s="389"/>
      <c r="DU59" s="389"/>
      <c r="DV59" s="389"/>
      <c r="DW59" s="389"/>
      <c r="DX59" s="389"/>
      <c r="DY59" s="389"/>
      <c r="DZ59" s="389"/>
      <c r="EA59" s="389"/>
      <c r="EB59" s="389"/>
      <c r="EC59" s="389"/>
    </row>
    <row r="60">
      <c r="B60" s="383" t="s">
        <v>535</v>
      </c>
      <c r="C60" s="384"/>
      <c r="D60" s="384"/>
      <c r="E60" s="384"/>
      <c r="F60" s="384"/>
      <c r="G60" s="384"/>
      <c r="H60" s="384"/>
      <c r="I60" s="384"/>
      <c r="J60" s="384"/>
      <c r="K60" s="384"/>
      <c r="L60" s="384"/>
      <c r="M60" s="384"/>
      <c r="N60" s="384"/>
      <c r="O60" s="384"/>
      <c r="P60" s="384"/>
      <c r="Q60" s="384"/>
      <c r="R60" s="384"/>
      <c r="S60" s="384"/>
      <c r="T60" s="384"/>
      <c r="U60" s="384"/>
      <c r="V60" s="384"/>
      <c r="W60" s="384"/>
      <c r="X60" s="384"/>
      <c r="Y60" s="384"/>
      <c r="Z60" s="384"/>
      <c r="AA60" s="384"/>
      <c r="AB60" s="384"/>
      <c r="AC60" s="384"/>
      <c r="AD60" s="384"/>
      <c r="AE60" s="384"/>
      <c r="AF60" s="384"/>
      <c r="AG60" s="384"/>
      <c r="AH60" s="384"/>
      <c r="AI60" s="384"/>
      <c r="AJ60" s="384"/>
      <c r="AK60" s="384"/>
      <c r="AL60" s="384"/>
      <c r="AM60" s="384"/>
      <c r="AN60" s="384"/>
      <c r="AO60" s="384"/>
      <c r="AP60" s="384"/>
      <c r="AQ60" s="384"/>
      <c r="AR60" s="384"/>
      <c r="AS60" s="384"/>
      <c r="AT60" s="384"/>
      <c r="AU60" s="384"/>
      <c r="AV60" s="384"/>
      <c r="AW60" s="384"/>
      <c r="AX60" s="384"/>
      <c r="AY60" s="384"/>
      <c r="AZ60" s="384"/>
      <c r="BA60" s="384"/>
      <c r="BB60" s="384"/>
      <c r="BC60" s="384"/>
      <c r="BD60" s="384"/>
      <c r="BE60" s="384"/>
      <c r="BF60" s="384"/>
      <c r="BG60" s="384"/>
      <c r="BH60" s="384"/>
      <c r="BI60" s="384"/>
      <c r="BJ60" s="384"/>
      <c r="BL60" s="388"/>
      <c r="BM60" s="389"/>
      <c r="BN60" s="384"/>
      <c r="BO60" s="384"/>
      <c r="BP60" s="384"/>
      <c r="BQ60" s="384"/>
      <c r="BR60" s="388"/>
      <c r="BS60" s="389"/>
      <c r="BT60" s="384"/>
      <c r="BU60" s="384"/>
      <c r="BV60" s="384"/>
      <c r="BW60" s="384"/>
      <c r="BX60" s="388"/>
      <c r="BY60" s="389"/>
      <c r="BZ60" s="384"/>
      <c r="CA60" s="384"/>
      <c r="CB60" s="384"/>
      <c r="CC60" s="384"/>
      <c r="CD60" s="388"/>
      <c r="CE60" s="389"/>
      <c r="CF60" s="388"/>
      <c r="CG60" s="284"/>
      <c r="CH60" s="384"/>
      <c r="CI60" s="384"/>
      <c r="CJ60" s="384"/>
      <c r="CK60" s="384"/>
      <c r="CL60" s="384"/>
      <c r="CM60" s="384"/>
      <c r="CN60" s="384"/>
      <c r="CO60" s="384"/>
      <c r="CP60" s="384"/>
      <c r="CQ60" s="384"/>
      <c r="CR60" s="384"/>
      <c r="CS60" s="384"/>
      <c r="CT60" s="384"/>
      <c r="CU60" s="384"/>
      <c r="CV60" s="384"/>
      <c r="CW60" s="384"/>
      <c r="CX60" s="384"/>
      <c r="CY60" s="384"/>
      <c r="CZ60" s="384"/>
      <c r="DA60" s="384"/>
      <c r="DB60" s="384"/>
      <c r="DC60" s="384"/>
      <c r="DD60" s="384"/>
      <c r="DE60" s="384"/>
      <c r="DF60" s="384"/>
      <c r="DG60" s="384"/>
      <c r="DH60" s="384"/>
      <c r="DI60" s="384"/>
      <c r="DJ60" s="384"/>
      <c r="DK60" s="384"/>
      <c r="DL60" s="384"/>
      <c r="DM60" s="384"/>
      <c r="DN60" s="384"/>
      <c r="DO60" s="384"/>
      <c r="DP60" s="384"/>
      <c r="DQ60" s="384"/>
      <c r="DR60" s="384"/>
      <c r="DS60" s="384"/>
      <c r="DT60" s="384"/>
      <c r="DU60" s="384"/>
      <c r="DV60" s="384"/>
      <c r="DW60" s="384"/>
      <c r="DX60" s="384"/>
      <c r="DY60" s="384"/>
      <c r="DZ60" s="384"/>
      <c r="EA60" s="384"/>
      <c r="EB60" s="384"/>
      <c r="EC60" s="384"/>
    </row>
    <row r="61">
      <c r="B61" s="387" t="s">
        <v>125</v>
      </c>
      <c r="C61" s="384"/>
      <c r="D61" s="384"/>
      <c r="E61" s="384"/>
      <c r="F61" s="384"/>
      <c r="G61" s="384"/>
      <c r="H61" s="384"/>
      <c r="I61" s="384"/>
      <c r="J61" s="384"/>
      <c r="K61" s="384"/>
      <c r="L61" s="384"/>
      <c r="M61" s="384"/>
      <c r="N61" s="384"/>
      <c r="O61" s="384"/>
      <c r="P61" s="384"/>
      <c r="Q61" s="384"/>
      <c r="R61" s="384"/>
      <c r="S61" s="384"/>
      <c r="T61" s="384"/>
      <c r="U61" s="384"/>
      <c r="V61" s="384"/>
      <c r="W61" s="384"/>
      <c r="X61" s="384"/>
      <c r="Y61" s="384"/>
      <c r="Z61" s="384"/>
      <c r="AA61" s="384"/>
      <c r="AB61" s="384"/>
      <c r="AC61" s="384"/>
      <c r="AD61" s="384"/>
      <c r="AE61" s="384"/>
      <c r="AF61" s="384"/>
      <c r="AG61" s="384"/>
      <c r="AH61" s="384"/>
      <c r="AI61" s="384"/>
      <c r="AJ61" s="384"/>
      <c r="AK61" s="384"/>
      <c r="AL61" s="384"/>
      <c r="AM61" s="384">
        <f t="shared" ref="AM61:AX61" si="102">AM27/AM$13</f>
        <v>0.4239609127</v>
      </c>
      <c r="AN61" s="384">
        <f t="shared" si="102"/>
        <v>0.3118060852</v>
      </c>
      <c r="AO61" s="384">
        <f t="shared" si="102"/>
        <v>0.3841903543</v>
      </c>
      <c r="AP61" s="384">
        <f t="shared" si="102"/>
        <v>0.5517151301</v>
      </c>
      <c r="AQ61" s="384">
        <f t="shared" si="102"/>
        <v>0.6215996327</v>
      </c>
      <c r="AR61" s="384">
        <f t="shared" si="102"/>
        <v>0.2838035498</v>
      </c>
      <c r="AS61" s="384">
        <f t="shared" si="102"/>
        <v>0.5911762281</v>
      </c>
      <c r="AT61" s="384">
        <f t="shared" si="102"/>
        <v>0.3974889363</v>
      </c>
      <c r="AU61" s="384">
        <f t="shared" si="102"/>
        <v>0.406151848</v>
      </c>
      <c r="AV61" s="384">
        <f t="shared" si="102"/>
        <v>0.4642182519</v>
      </c>
      <c r="AW61" s="384">
        <f t="shared" si="102"/>
        <v>0.2477297527</v>
      </c>
      <c r="AX61" s="384">
        <f t="shared" si="102"/>
        <v>0.274042699</v>
      </c>
      <c r="AY61" s="384">
        <f t="shared" ref="AY61:BJ61" si="103">IFERROR(AY27/AY$13,0)</f>
        <v>0.7800939501</v>
      </c>
      <c r="AZ61" s="384">
        <f t="shared" si="103"/>
        <v>0.7123402936</v>
      </c>
      <c r="BA61" s="384">
        <f t="shared" si="103"/>
        <v>0.2242523709</v>
      </c>
      <c r="BB61" s="384">
        <f t="shared" si="103"/>
        <v>0.7746620823</v>
      </c>
      <c r="BC61" s="384">
        <f t="shared" si="103"/>
        <v>0.3627338835</v>
      </c>
      <c r="BD61" s="384">
        <f t="shared" si="103"/>
        <v>0.2940271383</v>
      </c>
      <c r="BE61" s="384">
        <f t="shared" si="103"/>
        <v>0.3820109115</v>
      </c>
      <c r="BF61" s="384">
        <f t="shared" si="103"/>
        <v>0.5263520462</v>
      </c>
      <c r="BG61" s="384">
        <f t="shared" si="103"/>
        <v>0</v>
      </c>
      <c r="BH61" s="384">
        <f t="shared" si="103"/>
        <v>0</v>
      </c>
      <c r="BI61" s="384">
        <f t="shared" si="103"/>
        <v>0</v>
      </c>
      <c r="BJ61" s="384">
        <f t="shared" si="103"/>
        <v>0</v>
      </c>
      <c r="BL61" s="388">
        <f>BL27/BL$13</f>
        <v>0.3227681774</v>
      </c>
      <c r="BM61" s="389"/>
      <c r="BN61" s="384">
        <f t="shared" ref="BN61:BR61" si="104">IFERROR(BN27/BN$13,0)</f>
        <v>0.427750568</v>
      </c>
      <c r="BO61" s="384">
        <f t="shared" si="104"/>
        <v>0.4288943749</v>
      </c>
      <c r="BP61" s="384">
        <f t="shared" si="104"/>
        <v>0.4624275523</v>
      </c>
      <c r="BQ61" s="384">
        <f t="shared" si="104"/>
        <v>0</v>
      </c>
      <c r="BR61" s="388">
        <f t="shared" si="104"/>
        <v>0.4380696626</v>
      </c>
      <c r="BS61" s="389"/>
      <c r="BT61" s="384">
        <f t="shared" ref="BT61:BX61" si="105">BT27/BT13</f>
        <v>0.3728764774</v>
      </c>
      <c r="BU61" s="384">
        <f t="shared" si="105"/>
        <v>0.443113063</v>
      </c>
      <c r="BV61" s="384">
        <f t="shared" si="105"/>
        <v>0.4411192511</v>
      </c>
      <c r="BW61" s="384">
        <f t="shared" si="105"/>
        <v>0.3038219849</v>
      </c>
      <c r="BX61" s="388">
        <f t="shared" si="105"/>
        <v>0.3816135542</v>
      </c>
      <c r="BY61" s="389"/>
      <c r="BZ61" s="384">
        <f t="shared" ref="BZ61:CC61" si="106">BZ27/BZ13</f>
        <v>0</v>
      </c>
      <c r="CA61" s="384">
        <f t="shared" si="106"/>
        <v>0</v>
      </c>
      <c r="CB61" s="384">
        <f t="shared" si="106"/>
        <v>0</v>
      </c>
      <c r="CC61" s="384">
        <f t="shared" si="106"/>
        <v>0</v>
      </c>
      <c r="CD61" s="388"/>
      <c r="CE61" s="389"/>
      <c r="CF61" s="388"/>
      <c r="CG61" s="389"/>
      <c r="CH61" s="384"/>
      <c r="CI61" s="384"/>
      <c r="CJ61" s="384"/>
      <c r="CK61" s="384"/>
      <c r="CL61" s="384"/>
      <c r="CM61" s="384"/>
      <c r="CN61" s="384"/>
      <c r="CO61" s="384"/>
      <c r="CP61" s="384"/>
      <c r="CQ61" s="384"/>
      <c r="CR61" s="384"/>
      <c r="CS61" s="384"/>
      <c r="CT61" s="384"/>
      <c r="CU61" s="384"/>
      <c r="CV61" s="384"/>
      <c r="CW61" s="384"/>
      <c r="CX61" s="384"/>
      <c r="CY61" s="384"/>
      <c r="CZ61" s="384"/>
      <c r="DA61" s="384"/>
      <c r="DB61" s="384"/>
      <c r="DC61" s="384"/>
      <c r="DD61" s="384"/>
      <c r="DE61" s="384"/>
      <c r="DF61" s="384"/>
      <c r="DG61" s="384"/>
      <c r="DH61" s="384"/>
      <c r="DI61" s="384"/>
      <c r="DJ61" s="384"/>
      <c r="DK61" s="384"/>
      <c r="DL61" s="384"/>
      <c r="DM61" s="384"/>
      <c r="DN61" s="384"/>
      <c r="DO61" s="384"/>
      <c r="DP61" s="384"/>
      <c r="DQ61" s="384"/>
      <c r="DR61" s="384"/>
      <c r="DS61" s="384"/>
      <c r="DT61" s="384"/>
      <c r="DU61" s="384"/>
      <c r="DV61" s="384"/>
      <c r="DW61" s="384"/>
      <c r="DX61" s="384"/>
      <c r="DY61" s="384"/>
      <c r="DZ61" s="384"/>
      <c r="EA61" s="384"/>
      <c r="EB61" s="384"/>
      <c r="EC61" s="384"/>
    </row>
    <row r="62">
      <c r="B62" s="387" t="s">
        <v>126</v>
      </c>
      <c r="C62" s="384">
        <f t="shared" ref="C62:AX62" si="107">C32/C$13</f>
        <v>0.9464700905</v>
      </c>
      <c r="D62" s="384">
        <f t="shared" si="107"/>
        <v>0.1744402095</v>
      </c>
      <c r="E62" s="384">
        <f t="shared" si="107"/>
        <v>0.3140736209</v>
      </c>
      <c r="F62" s="384">
        <f t="shared" si="107"/>
        <v>0.3737808534</v>
      </c>
      <c r="G62" s="384">
        <f t="shared" si="107"/>
        <v>0.3044671704</v>
      </c>
      <c r="H62" s="384">
        <f t="shared" si="107"/>
        <v>0.382106604</v>
      </c>
      <c r="I62" s="384">
        <f t="shared" si="107"/>
        <v>0.4646911794</v>
      </c>
      <c r="J62" s="384">
        <f t="shared" si="107"/>
        <v>0.3168500863</v>
      </c>
      <c r="K62" s="384">
        <f t="shared" si="107"/>
        <v>0.5008843059</v>
      </c>
      <c r="L62" s="384">
        <f t="shared" si="107"/>
        <v>0.3835717282</v>
      </c>
      <c r="M62" s="384">
        <f t="shared" si="107"/>
        <v>0.1275109588</v>
      </c>
      <c r="N62" s="384">
        <f t="shared" si="107"/>
        <v>0.4356567687</v>
      </c>
      <c r="O62" s="384">
        <f t="shared" si="107"/>
        <v>0.3392719015</v>
      </c>
      <c r="P62" s="384">
        <f t="shared" si="107"/>
        <v>0.502766864</v>
      </c>
      <c r="Q62" s="384">
        <f t="shared" si="107"/>
        <v>0.1585836657</v>
      </c>
      <c r="R62" s="384">
        <f t="shared" si="107"/>
        <v>0.1113593839</v>
      </c>
      <c r="S62" s="384">
        <f t="shared" si="107"/>
        <v>0.4116810462</v>
      </c>
      <c r="T62" s="384">
        <f t="shared" si="107"/>
        <v>0.3064416537</v>
      </c>
      <c r="U62" s="384">
        <f t="shared" si="107"/>
        <v>0.1724949245</v>
      </c>
      <c r="V62" s="384">
        <f t="shared" si="107"/>
        <v>0.2851392688</v>
      </c>
      <c r="W62" s="384">
        <f t="shared" si="107"/>
        <v>0.135667195</v>
      </c>
      <c r="X62" s="384">
        <f t="shared" si="107"/>
        <v>0.103556622</v>
      </c>
      <c r="Y62" s="384">
        <f t="shared" si="107"/>
        <v>0.09527436589</v>
      </c>
      <c r="Z62" s="384">
        <f t="shared" si="107"/>
        <v>0.162433587</v>
      </c>
      <c r="AA62" s="384">
        <f t="shared" si="107"/>
        <v>0.1206136838</v>
      </c>
      <c r="AB62" s="384">
        <f t="shared" si="107"/>
        <v>0.2122266014</v>
      </c>
      <c r="AC62" s="384">
        <f t="shared" si="107"/>
        <v>0.1946230607</v>
      </c>
      <c r="AD62" s="384">
        <f t="shared" si="107"/>
        <v>0.5799165599</v>
      </c>
      <c r="AE62" s="384">
        <f t="shared" si="107"/>
        <v>0.1044902493</v>
      </c>
      <c r="AF62" s="384">
        <f t="shared" si="107"/>
        <v>0.1120694025</v>
      </c>
      <c r="AG62" s="384">
        <f t="shared" si="107"/>
        <v>0.1443353654</v>
      </c>
      <c r="AH62" s="384">
        <f t="shared" si="107"/>
        <v>0.259295606</v>
      </c>
      <c r="AI62" s="384">
        <f t="shared" si="107"/>
        <v>0.1350488943</v>
      </c>
      <c r="AJ62" s="384">
        <f t="shared" si="107"/>
        <v>0.1320117701</v>
      </c>
      <c r="AK62" s="384">
        <f t="shared" si="107"/>
        <v>0.2340268069</v>
      </c>
      <c r="AL62" s="384">
        <f t="shared" si="107"/>
        <v>0.1241039617</v>
      </c>
      <c r="AM62" s="384">
        <f t="shared" si="107"/>
        <v>0.1190916873</v>
      </c>
      <c r="AN62" s="384">
        <f t="shared" si="107"/>
        <v>0.1469870657</v>
      </c>
      <c r="AO62" s="384">
        <f t="shared" si="107"/>
        <v>0.1144519792</v>
      </c>
      <c r="AP62" s="384">
        <f t="shared" si="107"/>
        <v>0.241606315</v>
      </c>
      <c r="AQ62" s="384">
        <f t="shared" si="107"/>
        <v>0.1355764247</v>
      </c>
      <c r="AR62" s="384">
        <f t="shared" si="107"/>
        <v>0.1076078666</v>
      </c>
      <c r="AS62" s="384">
        <f t="shared" si="107"/>
        <v>0.1317580755</v>
      </c>
      <c r="AT62" s="384">
        <f t="shared" si="107"/>
        <v>0.08598367404</v>
      </c>
      <c r="AU62" s="384">
        <f t="shared" si="107"/>
        <v>0.1128224838</v>
      </c>
      <c r="AV62" s="384">
        <f t="shared" si="107"/>
        <v>0.139598429</v>
      </c>
      <c r="AW62" s="384">
        <f t="shared" si="107"/>
        <v>0.06624039583</v>
      </c>
      <c r="AX62" s="384">
        <f t="shared" si="107"/>
        <v>0.07561588366</v>
      </c>
      <c r="AY62" s="384">
        <f t="shared" ref="AY62:BJ62" si="108">IFERROR(AY32/AY$13,0)</f>
        <v>0.2707411585</v>
      </c>
      <c r="AZ62" s="384">
        <f t="shared" si="108"/>
        <v>0.2124057029</v>
      </c>
      <c r="BA62" s="384">
        <f t="shared" si="108"/>
        <v>0.08441467169</v>
      </c>
      <c r="BB62" s="384">
        <f t="shared" si="108"/>
        <v>0.1744881078</v>
      </c>
      <c r="BC62" s="384">
        <f t="shared" si="108"/>
        <v>0.1317833171</v>
      </c>
      <c r="BD62" s="384">
        <f t="shared" si="108"/>
        <v>0.1324762656</v>
      </c>
      <c r="BE62" s="384">
        <f t="shared" si="108"/>
        <v>0.1478407319</v>
      </c>
      <c r="BF62" s="384">
        <f t="shared" si="108"/>
        <v>0.1174647882</v>
      </c>
      <c r="BG62" s="384">
        <f t="shared" si="108"/>
        <v>0</v>
      </c>
      <c r="BH62" s="384">
        <f t="shared" si="108"/>
        <v>0</v>
      </c>
      <c r="BI62" s="384">
        <f t="shared" si="108"/>
        <v>0</v>
      </c>
      <c r="BJ62" s="384">
        <f t="shared" si="108"/>
        <v>0</v>
      </c>
      <c r="BL62" s="388">
        <f>BL32/BL$13</f>
        <v>0.1329321994</v>
      </c>
      <c r="BM62" s="389"/>
      <c r="BN62" s="384">
        <f t="shared" ref="BN62:BR62" si="109">IFERROR(BN32/BN$13,0)</f>
        <v>0.1457163045</v>
      </c>
      <c r="BO62" s="384">
        <f t="shared" si="109"/>
        <v>0.1419430593</v>
      </c>
      <c r="BP62" s="384">
        <f t="shared" si="109"/>
        <v>0.1309174109</v>
      </c>
      <c r="BQ62" s="384">
        <f t="shared" si="109"/>
        <v>0</v>
      </c>
      <c r="BR62" s="388">
        <f t="shared" si="109"/>
        <v>0.1400716903</v>
      </c>
      <c r="BS62" s="389"/>
      <c r="BT62" s="384">
        <f t="shared" ref="BT62:BX62" si="110">BT32/BT$13</f>
        <v>0.1275112553</v>
      </c>
      <c r="BU62" s="384">
        <f t="shared" si="110"/>
        <v>0.155148594</v>
      </c>
      <c r="BV62" s="384">
        <f t="shared" si="110"/>
        <v>0.1046010239</v>
      </c>
      <c r="BW62" s="384">
        <f t="shared" si="110"/>
        <v>0.08542730779</v>
      </c>
      <c r="BX62" s="388">
        <f t="shared" si="110"/>
        <v>0.1145844112</v>
      </c>
      <c r="BY62" s="389"/>
      <c r="BZ62" s="384">
        <f t="shared" ref="BZ62:CD62" si="111">BZ32/BZ$13</f>
        <v>0.1750763684</v>
      </c>
      <c r="CA62" s="384">
        <f t="shared" si="111"/>
        <v>0.2040165298</v>
      </c>
      <c r="CB62" s="384">
        <f t="shared" si="111"/>
        <v>0.1760617941</v>
      </c>
      <c r="CC62" s="384">
        <f t="shared" si="111"/>
        <v>0.1570717982</v>
      </c>
      <c r="CD62" s="388">
        <f t="shared" si="111"/>
        <v>0.1766964263</v>
      </c>
      <c r="CE62" s="389"/>
      <c r="CF62" s="388">
        <f>CF32/CF$13</f>
        <v>0.1726272716</v>
      </c>
      <c r="CG62" s="389"/>
      <c r="CH62" s="384"/>
      <c r="CI62" s="384"/>
      <c r="CJ62" s="384"/>
      <c r="CK62" s="384"/>
      <c r="CL62" s="384"/>
      <c r="CM62" s="384"/>
      <c r="CN62" s="384"/>
      <c r="CO62" s="384"/>
      <c r="CP62" s="384"/>
      <c r="CQ62" s="384"/>
      <c r="CR62" s="384"/>
      <c r="CS62" s="384"/>
      <c r="CT62" s="384"/>
      <c r="CU62" s="384"/>
      <c r="CV62" s="384"/>
      <c r="CW62" s="384"/>
      <c r="CX62" s="384"/>
      <c r="CY62" s="384"/>
      <c r="CZ62" s="384"/>
      <c r="DA62" s="384"/>
      <c r="DB62" s="384"/>
      <c r="DC62" s="384"/>
      <c r="DD62" s="384"/>
      <c r="DE62" s="384"/>
      <c r="DF62" s="384"/>
      <c r="DG62" s="384"/>
      <c r="DH62" s="384"/>
      <c r="DI62" s="384"/>
      <c r="DJ62" s="384"/>
      <c r="DK62" s="384"/>
      <c r="DL62" s="384"/>
      <c r="DM62" s="384"/>
      <c r="DN62" s="384"/>
      <c r="DO62" s="384"/>
      <c r="DP62" s="384"/>
      <c r="DQ62" s="384"/>
      <c r="DR62" s="384"/>
      <c r="DS62" s="384"/>
      <c r="DT62" s="384"/>
      <c r="DU62" s="384"/>
      <c r="DV62" s="384"/>
      <c r="DW62" s="384"/>
      <c r="DX62" s="384"/>
      <c r="DY62" s="384"/>
      <c r="DZ62" s="384"/>
      <c r="EA62" s="384"/>
      <c r="EB62" s="384"/>
      <c r="EC62" s="384"/>
    </row>
    <row r="63">
      <c r="B63" s="387" t="s">
        <v>128</v>
      </c>
      <c r="C63" s="384">
        <f t="shared" ref="C63:AX63" si="112">C36/C$13</f>
        <v>0.4472834181</v>
      </c>
      <c r="D63" s="384">
        <f t="shared" si="112"/>
        <v>0.1334235688</v>
      </c>
      <c r="E63" s="384">
        <f t="shared" si="112"/>
        <v>0.2731011881</v>
      </c>
      <c r="F63" s="384">
        <f t="shared" si="112"/>
        <v>0.5308466098</v>
      </c>
      <c r="G63" s="384">
        <f t="shared" si="112"/>
        <v>0.3201891905</v>
      </c>
      <c r="H63" s="384">
        <f t="shared" si="112"/>
        <v>0.4410574818</v>
      </c>
      <c r="I63" s="384">
        <f t="shared" si="112"/>
        <v>0.4420205009</v>
      </c>
      <c r="J63" s="384">
        <f t="shared" si="112"/>
        <v>0.2368237815</v>
      </c>
      <c r="K63" s="384">
        <f t="shared" si="112"/>
        <v>0.7414151497</v>
      </c>
      <c r="L63" s="384">
        <f t="shared" si="112"/>
        <v>0.5046962551</v>
      </c>
      <c r="M63" s="384">
        <f t="shared" si="112"/>
        <v>0.1991377501</v>
      </c>
      <c r="N63" s="384">
        <f t="shared" si="112"/>
        <v>0.8497546782</v>
      </c>
      <c r="O63" s="384">
        <f t="shared" si="112"/>
        <v>0.4435522889</v>
      </c>
      <c r="P63" s="384">
        <f t="shared" si="112"/>
        <v>0.8381348389</v>
      </c>
      <c r="Q63" s="384">
        <f t="shared" si="112"/>
        <v>0.2957288926</v>
      </c>
      <c r="R63" s="384">
        <f t="shared" si="112"/>
        <v>0.4889993754</v>
      </c>
      <c r="S63" s="384">
        <f t="shared" si="112"/>
        <v>0.4937470463</v>
      </c>
      <c r="T63" s="384">
        <f t="shared" si="112"/>
        <v>0.5921386736</v>
      </c>
      <c r="U63" s="384">
        <f t="shared" si="112"/>
        <v>0.3525262148</v>
      </c>
      <c r="V63" s="384">
        <f t="shared" si="112"/>
        <v>0.7609005453</v>
      </c>
      <c r="W63" s="384">
        <f t="shared" si="112"/>
        <v>0.2455472491</v>
      </c>
      <c r="X63" s="384">
        <f t="shared" si="112"/>
        <v>0.2662611984</v>
      </c>
      <c r="Y63" s="384">
        <f t="shared" si="112"/>
        <v>0.1951744634</v>
      </c>
      <c r="Z63" s="384">
        <f t="shared" si="112"/>
        <v>0.5350005253</v>
      </c>
      <c r="AA63" s="384">
        <f t="shared" si="112"/>
        <v>0.334675187</v>
      </c>
      <c r="AB63" s="384">
        <f t="shared" si="112"/>
        <v>0.4445585632</v>
      </c>
      <c r="AC63" s="384">
        <f t="shared" si="112"/>
        <v>0.6559679735</v>
      </c>
      <c r="AD63" s="384">
        <f t="shared" si="112"/>
        <v>0.5574652193</v>
      </c>
      <c r="AE63" s="384">
        <f t="shared" si="112"/>
        <v>0.2694001481</v>
      </c>
      <c r="AF63" s="384">
        <f t="shared" si="112"/>
        <v>0.3105667865</v>
      </c>
      <c r="AG63" s="384">
        <f t="shared" si="112"/>
        <v>0.4285537415</v>
      </c>
      <c r="AH63" s="384">
        <f t="shared" si="112"/>
        <v>0.5711605108</v>
      </c>
      <c r="AI63" s="384">
        <f t="shared" si="112"/>
        <v>0.448459495</v>
      </c>
      <c r="AJ63" s="384">
        <f t="shared" si="112"/>
        <v>0.3668211174</v>
      </c>
      <c r="AK63" s="384">
        <f t="shared" si="112"/>
        <v>0.4755218732</v>
      </c>
      <c r="AL63" s="384">
        <f t="shared" si="112"/>
        <v>0.4577089589</v>
      </c>
      <c r="AM63" s="384">
        <f t="shared" si="112"/>
        <v>0.2697751091</v>
      </c>
      <c r="AN63" s="384">
        <f t="shared" si="112"/>
        <v>0.2037574964</v>
      </c>
      <c r="AO63" s="384">
        <f t="shared" si="112"/>
        <v>0.3061601039</v>
      </c>
      <c r="AP63" s="384">
        <f t="shared" si="112"/>
        <v>0.2837838906</v>
      </c>
      <c r="AQ63" s="384">
        <f t="shared" si="112"/>
        <v>0.7193065272</v>
      </c>
      <c r="AR63" s="384">
        <f t="shared" si="112"/>
        <v>0.2207187914</v>
      </c>
      <c r="AS63" s="384">
        <f t="shared" si="112"/>
        <v>0.6486719177</v>
      </c>
      <c r="AT63" s="384">
        <f t="shared" si="112"/>
        <v>0.3459739252</v>
      </c>
      <c r="AU63" s="384">
        <f t="shared" si="112"/>
        <v>0.3758103595</v>
      </c>
      <c r="AV63" s="384">
        <f t="shared" si="112"/>
        <v>0.4933195812</v>
      </c>
      <c r="AW63" s="384">
        <f t="shared" si="112"/>
        <v>0.2404787149</v>
      </c>
      <c r="AX63" s="384">
        <f t="shared" si="112"/>
        <v>0.2281034865</v>
      </c>
      <c r="AY63" s="384">
        <f t="shared" ref="AY63:BJ63" si="113">IFERROR(AY36/AY$13,0)</f>
        <v>0.682727172</v>
      </c>
      <c r="AZ63" s="384">
        <f t="shared" si="113"/>
        <v>0.7978705487</v>
      </c>
      <c r="BA63" s="384">
        <f t="shared" si="113"/>
        <v>0.2080233391</v>
      </c>
      <c r="BB63" s="384">
        <f t="shared" si="113"/>
        <v>0.6924411777</v>
      </c>
      <c r="BC63" s="384">
        <f t="shared" si="113"/>
        <v>0.4281598734</v>
      </c>
      <c r="BD63" s="384">
        <f t="shared" si="113"/>
        <v>0.3140829939</v>
      </c>
      <c r="BE63" s="384">
        <f t="shared" si="113"/>
        <v>0.3864277578</v>
      </c>
      <c r="BF63" s="384">
        <f t="shared" si="113"/>
        <v>0.5553540262</v>
      </c>
      <c r="BG63" s="384">
        <f t="shared" si="113"/>
        <v>0</v>
      </c>
      <c r="BH63" s="384">
        <f t="shared" si="113"/>
        <v>0</v>
      </c>
      <c r="BI63" s="384">
        <f t="shared" si="113"/>
        <v>0</v>
      </c>
      <c r="BJ63" s="384">
        <f t="shared" si="113"/>
        <v>0</v>
      </c>
      <c r="BL63" s="388">
        <f>BL36/BL$13</f>
        <v>0.3682463255</v>
      </c>
      <c r="BM63" s="389"/>
      <c r="BN63" s="384">
        <f t="shared" ref="BN63:BR63" si="114">IFERROR(BN36/BN$13,0)</f>
        <v>0.415394687</v>
      </c>
      <c r="BO63" s="384">
        <f t="shared" si="114"/>
        <v>0.4410448595</v>
      </c>
      <c r="BP63" s="384">
        <f t="shared" si="114"/>
        <v>0.480541491</v>
      </c>
      <c r="BQ63" s="384">
        <f t="shared" si="114"/>
        <v>0</v>
      </c>
      <c r="BR63" s="388">
        <f t="shared" si="114"/>
        <v>0.4436574333</v>
      </c>
      <c r="BS63" s="389"/>
      <c r="BT63" s="384">
        <f t="shared" ref="BT63:BX63" si="115">BT36/BT$13</f>
        <v>0.2573426435</v>
      </c>
      <c r="BU63" s="384">
        <f t="shared" si="115"/>
        <v>0.3537536999</v>
      </c>
      <c r="BV63" s="384">
        <f t="shared" si="115"/>
        <v>0.4196206045</v>
      </c>
      <c r="BW63" s="384">
        <f t="shared" si="115"/>
        <v>0.2891104646</v>
      </c>
      <c r="BX63" s="388">
        <f t="shared" si="115"/>
        <v>0.3250155882</v>
      </c>
      <c r="BY63" s="389"/>
      <c r="BZ63" s="384">
        <f t="shared" ref="BZ63:CD63" si="116">BZ36/BZ$13</f>
        <v>0.4735262804</v>
      </c>
      <c r="CA63" s="384">
        <f t="shared" si="116"/>
        <v>0.3443597068</v>
      </c>
      <c r="CB63" s="384">
        <f t="shared" si="116"/>
        <v>0.479107588</v>
      </c>
      <c r="CC63" s="384">
        <f t="shared" si="116"/>
        <v>0.4347539855</v>
      </c>
      <c r="CD63" s="388">
        <f t="shared" si="116"/>
        <v>0.4306317926</v>
      </c>
      <c r="CE63" s="389"/>
      <c r="CF63" s="388">
        <f>CF36/CF$13</f>
        <v>0.3878470023</v>
      </c>
      <c r="CG63" s="389"/>
      <c r="CH63" s="384"/>
      <c r="CI63" s="384"/>
      <c r="CJ63" s="384"/>
      <c r="CK63" s="384"/>
      <c r="CL63" s="384"/>
      <c r="CM63" s="384"/>
      <c r="CN63" s="384"/>
      <c r="CO63" s="384"/>
      <c r="CP63" s="384"/>
      <c r="CQ63" s="384"/>
      <c r="CR63" s="384"/>
      <c r="CS63" s="384"/>
      <c r="CT63" s="384"/>
      <c r="CU63" s="384"/>
      <c r="CV63" s="384"/>
      <c r="CW63" s="384"/>
      <c r="CX63" s="384"/>
      <c r="CY63" s="384"/>
      <c r="CZ63" s="384"/>
      <c r="DA63" s="384"/>
      <c r="DB63" s="384"/>
      <c r="DC63" s="384"/>
      <c r="DD63" s="384"/>
      <c r="DE63" s="384"/>
      <c r="DF63" s="384"/>
      <c r="DG63" s="384"/>
      <c r="DH63" s="384"/>
      <c r="DI63" s="384"/>
      <c r="DJ63" s="384"/>
      <c r="DK63" s="384"/>
      <c r="DL63" s="384"/>
      <c r="DM63" s="384"/>
      <c r="DN63" s="384"/>
      <c r="DO63" s="384"/>
      <c r="DP63" s="384"/>
      <c r="DQ63" s="384"/>
      <c r="DR63" s="384"/>
      <c r="DS63" s="384"/>
      <c r="DT63" s="384"/>
      <c r="DU63" s="384"/>
      <c r="DV63" s="384"/>
      <c r="DW63" s="384"/>
      <c r="DX63" s="384"/>
      <c r="DY63" s="384"/>
      <c r="DZ63" s="384"/>
      <c r="EA63" s="384"/>
      <c r="EB63" s="384"/>
      <c r="EC63" s="384"/>
    </row>
    <row r="64">
      <c r="B64" s="387" t="s">
        <v>129</v>
      </c>
      <c r="C64" s="384">
        <f t="shared" ref="C64:AX64" si="117">C40/C$13</f>
        <v>0.524086666</v>
      </c>
      <c r="D64" s="384">
        <f t="shared" si="117"/>
        <v>0.06846554326</v>
      </c>
      <c r="E64" s="384">
        <f t="shared" si="117"/>
        <v>0.1227293619</v>
      </c>
      <c r="F64" s="384">
        <f t="shared" si="117"/>
        <v>0.1018647013</v>
      </c>
      <c r="G64" s="384">
        <f t="shared" si="117"/>
        <v>0.07504539359</v>
      </c>
      <c r="H64" s="384">
        <f t="shared" si="117"/>
        <v>0.0755147981</v>
      </c>
      <c r="I64" s="384">
        <f t="shared" si="117"/>
        <v>0.06947893778</v>
      </c>
      <c r="J64" s="384">
        <f t="shared" si="117"/>
        <v>0.05760658811</v>
      </c>
      <c r="K64" s="384">
        <f t="shared" si="117"/>
        <v>0.395845051</v>
      </c>
      <c r="L64" s="384">
        <f t="shared" si="117"/>
        <v>0.1950581943</v>
      </c>
      <c r="M64" s="384">
        <f t="shared" si="117"/>
        <v>0.04164763178</v>
      </c>
      <c r="N64" s="384">
        <f t="shared" si="117"/>
        <v>0.1631399668</v>
      </c>
      <c r="O64" s="384">
        <f t="shared" si="117"/>
        <v>0.3885130267</v>
      </c>
      <c r="P64" s="384">
        <f t="shared" si="117"/>
        <v>0.1854419349</v>
      </c>
      <c r="Q64" s="384">
        <f t="shared" si="117"/>
        <v>0.1200172239</v>
      </c>
      <c r="R64" s="384">
        <f t="shared" si="117"/>
        <v>0.1081645191</v>
      </c>
      <c r="S64" s="384">
        <f t="shared" si="117"/>
        <v>0.2129260082</v>
      </c>
      <c r="T64" s="384">
        <f t="shared" si="117"/>
        <v>0.1789518864</v>
      </c>
      <c r="U64" s="384">
        <f t="shared" si="117"/>
        <v>0.1427536376</v>
      </c>
      <c r="V64" s="384">
        <f t="shared" si="117"/>
        <v>0.1170594317</v>
      </c>
      <c r="W64" s="384">
        <f t="shared" si="117"/>
        <v>0.1389372868</v>
      </c>
      <c r="X64" s="384">
        <f t="shared" si="117"/>
        <v>0.1028906711</v>
      </c>
      <c r="Y64" s="384">
        <f t="shared" si="117"/>
        <v>0.08789920298</v>
      </c>
      <c r="Z64" s="384">
        <f t="shared" si="117"/>
        <v>0.07382954554</v>
      </c>
      <c r="AA64" s="384">
        <f t="shared" si="117"/>
        <v>0.1333456094</v>
      </c>
      <c r="AB64" s="384">
        <f t="shared" si="117"/>
        <v>0.09330441279</v>
      </c>
      <c r="AC64" s="384">
        <f t="shared" si="117"/>
        <v>0.1613217371</v>
      </c>
      <c r="AD64" s="384">
        <f t="shared" si="117"/>
        <v>0.1457600545</v>
      </c>
      <c r="AE64" s="384">
        <f t="shared" si="117"/>
        <v>0.1025068763</v>
      </c>
      <c r="AF64" s="384">
        <f t="shared" si="117"/>
        <v>0.0793467541</v>
      </c>
      <c r="AG64" s="384">
        <f t="shared" si="117"/>
        <v>0.08814730179</v>
      </c>
      <c r="AH64" s="384">
        <f t="shared" si="117"/>
        <v>0.2149651205</v>
      </c>
      <c r="AI64" s="384">
        <f t="shared" si="117"/>
        <v>0.1652566806</v>
      </c>
      <c r="AJ64" s="384">
        <f t="shared" si="117"/>
        <v>0.2135853439</v>
      </c>
      <c r="AK64" s="384">
        <f t="shared" si="117"/>
        <v>0.3461355747</v>
      </c>
      <c r="AL64" s="384">
        <f t="shared" si="117"/>
        <v>0.2392119836</v>
      </c>
      <c r="AM64" s="384">
        <f t="shared" si="117"/>
        <v>0.1409763187</v>
      </c>
      <c r="AN64" s="384">
        <f t="shared" si="117"/>
        <v>0.2063033999</v>
      </c>
      <c r="AO64" s="384">
        <f t="shared" si="117"/>
        <v>0.1709408507</v>
      </c>
      <c r="AP64" s="384">
        <f t="shared" si="117"/>
        <v>0.2922530349</v>
      </c>
      <c r="AQ64" s="384">
        <f t="shared" si="117"/>
        <v>0.3087490645</v>
      </c>
      <c r="AR64" s="384">
        <f t="shared" si="117"/>
        <v>0.1195385838</v>
      </c>
      <c r="AS64" s="384">
        <f t="shared" si="117"/>
        <v>0.3104939074</v>
      </c>
      <c r="AT64" s="384">
        <f t="shared" si="117"/>
        <v>0.1351697977</v>
      </c>
      <c r="AU64" s="384">
        <f t="shared" si="117"/>
        <v>0.1047443322</v>
      </c>
      <c r="AV64" s="384">
        <f t="shared" si="117"/>
        <v>0.1222628648</v>
      </c>
      <c r="AW64" s="384">
        <f t="shared" si="117"/>
        <v>0.06862160822</v>
      </c>
      <c r="AX64" s="384">
        <f t="shared" si="117"/>
        <v>0.08864584546</v>
      </c>
      <c r="AY64" s="384">
        <f t="shared" ref="AY64:BJ64" si="118">IFERROR(AY40/AY$13,0)</f>
        <v>0.4014686877</v>
      </c>
      <c r="AZ64" s="384">
        <f t="shared" si="118"/>
        <v>0.2417742287</v>
      </c>
      <c r="BA64" s="384">
        <f t="shared" si="118"/>
        <v>0.1096808249</v>
      </c>
      <c r="BB64" s="384">
        <f t="shared" si="118"/>
        <v>0.3909640416</v>
      </c>
      <c r="BC64" s="384">
        <f t="shared" si="118"/>
        <v>0.2574859528</v>
      </c>
      <c r="BD64" s="384">
        <f t="shared" si="118"/>
        <v>0.2035743151</v>
      </c>
      <c r="BE64" s="384">
        <f t="shared" si="118"/>
        <v>0.2401483902</v>
      </c>
      <c r="BF64" s="384">
        <f t="shared" si="118"/>
        <v>0.2871791743</v>
      </c>
      <c r="BG64" s="384">
        <f t="shared" si="118"/>
        <v>0</v>
      </c>
      <c r="BH64" s="384">
        <f t="shared" si="118"/>
        <v>0</v>
      </c>
      <c r="BI64" s="384">
        <f t="shared" si="118"/>
        <v>0</v>
      </c>
      <c r="BJ64" s="384">
        <f t="shared" si="118"/>
        <v>0</v>
      </c>
      <c r="BL64" s="388">
        <f>BL40/BL$13</f>
        <v>0.1661414606</v>
      </c>
      <c r="BM64" s="389"/>
      <c r="BN64" s="384">
        <f t="shared" ref="BN64:BR64" si="119">IFERROR(BN40/BN$13,0)</f>
        <v>0.192415295</v>
      </c>
      <c r="BO64" s="384">
        <f t="shared" si="119"/>
        <v>0.2655580084</v>
      </c>
      <c r="BP64" s="384">
        <f t="shared" si="119"/>
        <v>0.2663506068</v>
      </c>
      <c r="BQ64" s="384">
        <f t="shared" si="119"/>
        <v>0</v>
      </c>
      <c r="BR64" s="388">
        <f t="shared" si="119"/>
        <v>0.2411218736</v>
      </c>
      <c r="BS64" s="389"/>
      <c r="BT64" s="384">
        <f t="shared" ref="BT64:BX64" si="120">BT40/BT$13</f>
        <v>0.1727371226</v>
      </c>
      <c r="BU64" s="384">
        <f t="shared" si="120"/>
        <v>0.2157306984</v>
      </c>
      <c r="BV64" s="384">
        <f t="shared" si="120"/>
        <v>0.161842608</v>
      </c>
      <c r="BW64" s="384">
        <f t="shared" si="120"/>
        <v>0.08780805372</v>
      </c>
      <c r="BX64" s="388">
        <f t="shared" si="120"/>
        <v>0.152367639</v>
      </c>
      <c r="BY64" s="389"/>
      <c r="BZ64" s="384">
        <f t="shared" ref="BZ64:CD64" si="121">BZ40/BZ$13</f>
        <v>0.1286166336</v>
      </c>
      <c r="CA64" s="384">
        <f t="shared" si="121"/>
        <v>0.1020047634</v>
      </c>
      <c r="CB64" s="384">
        <f t="shared" si="121"/>
        <v>0.1542722034</v>
      </c>
      <c r="CC64" s="384">
        <f t="shared" si="121"/>
        <v>0.2610509436</v>
      </c>
      <c r="CD64" s="388">
        <f t="shared" si="121"/>
        <v>0.1716397562</v>
      </c>
      <c r="CE64" s="389"/>
      <c r="CF64" s="388">
        <f>CF40/CF$13</f>
        <v>0.1221707383</v>
      </c>
      <c r="CG64" s="389"/>
      <c r="CH64" s="384"/>
      <c r="CI64" s="384"/>
      <c r="CJ64" s="384"/>
      <c r="CK64" s="384"/>
      <c r="CL64" s="384"/>
      <c r="CM64" s="384"/>
      <c r="CN64" s="384"/>
      <c r="CO64" s="384"/>
      <c r="CP64" s="384"/>
      <c r="CQ64" s="384"/>
      <c r="CR64" s="384"/>
      <c r="CS64" s="384"/>
      <c r="CT64" s="384"/>
      <c r="CU64" s="384"/>
      <c r="CV64" s="384"/>
      <c r="CW64" s="384"/>
      <c r="CX64" s="384"/>
      <c r="CY64" s="384"/>
      <c r="CZ64" s="384"/>
      <c r="DA64" s="384"/>
      <c r="DB64" s="384"/>
      <c r="DC64" s="384"/>
      <c r="DD64" s="384"/>
      <c r="DE64" s="384"/>
      <c r="DF64" s="384"/>
      <c r="DG64" s="384"/>
      <c r="DH64" s="384"/>
      <c r="DI64" s="384"/>
      <c r="DJ64" s="384"/>
      <c r="DK64" s="384"/>
      <c r="DL64" s="384"/>
      <c r="DM64" s="384"/>
      <c r="DN64" s="384"/>
      <c r="DO64" s="384"/>
      <c r="DP64" s="384"/>
      <c r="DQ64" s="384"/>
      <c r="DR64" s="384"/>
      <c r="DS64" s="384"/>
      <c r="DT64" s="384"/>
      <c r="DU64" s="384"/>
      <c r="DV64" s="384"/>
      <c r="DW64" s="384"/>
      <c r="DX64" s="384"/>
      <c r="DY64" s="384"/>
      <c r="DZ64" s="384"/>
      <c r="EA64" s="384"/>
      <c r="EB64" s="384"/>
      <c r="EC64" s="384"/>
    </row>
    <row r="65">
      <c r="B65" s="387" t="s">
        <v>130</v>
      </c>
      <c r="C65" s="384">
        <f t="shared" ref="C65:AX65" si="122">C45/C13</f>
        <v>-0.9178401745</v>
      </c>
      <c r="D65" s="384">
        <f t="shared" si="122"/>
        <v>0.6193628836</v>
      </c>
      <c r="E65" s="384">
        <f t="shared" si="122"/>
        <v>0.2900958291</v>
      </c>
      <c r="F65" s="384">
        <f t="shared" si="122"/>
        <v>-0.006802482545</v>
      </c>
      <c r="G65" s="384">
        <f t="shared" si="122"/>
        <v>0.3000222967</v>
      </c>
      <c r="H65" s="384">
        <f t="shared" si="122"/>
        <v>0.1013211161</v>
      </c>
      <c r="I65" s="384">
        <f t="shared" si="122"/>
        <v>0.02380938184</v>
      </c>
      <c r="J65" s="384">
        <f t="shared" si="122"/>
        <v>0.3887195441</v>
      </c>
      <c r="K65" s="384">
        <f t="shared" si="122"/>
        <v>-0.6381445067</v>
      </c>
      <c r="L65" s="384">
        <f t="shared" si="122"/>
        <v>-0.08332617764</v>
      </c>
      <c r="M65" s="384">
        <f t="shared" si="122"/>
        <v>0.6298132756</v>
      </c>
      <c r="N65" s="384">
        <f t="shared" si="122"/>
        <v>-0.4485514137</v>
      </c>
      <c r="O65" s="384">
        <f t="shared" si="122"/>
        <v>-0.1713372171</v>
      </c>
      <c r="P65" s="384">
        <f t="shared" si="122"/>
        <v>-0.5263436378</v>
      </c>
      <c r="Q65" s="384">
        <f t="shared" si="122"/>
        <v>0.4256702178</v>
      </c>
      <c r="R65" s="384">
        <f t="shared" si="122"/>
        <v>0.2914767429</v>
      </c>
      <c r="S65" s="384">
        <f t="shared" si="122"/>
        <v>-0.1183541007</v>
      </c>
      <c r="T65" s="384">
        <f t="shared" si="122"/>
        <v>-0.07753221363</v>
      </c>
      <c r="U65" s="384">
        <f t="shared" si="122"/>
        <v>0.3314582592</v>
      </c>
      <c r="V65" s="384">
        <f t="shared" si="122"/>
        <v>-0.1622043922</v>
      </c>
      <c r="W65" s="384">
        <f t="shared" si="122"/>
        <v>0.479848269</v>
      </c>
      <c r="X65" s="384">
        <f t="shared" si="122"/>
        <v>0.5272915084</v>
      </c>
      <c r="Y65" s="384">
        <f t="shared" si="122"/>
        <v>0.6179388131</v>
      </c>
      <c r="Z65" s="384">
        <f t="shared" si="122"/>
        <v>0.227063266</v>
      </c>
      <c r="AA65" s="384">
        <f t="shared" si="122"/>
        <v>0.4113655199</v>
      </c>
      <c r="AB65" s="384">
        <f t="shared" si="122"/>
        <v>0.2499104226</v>
      </c>
      <c r="AC65" s="384">
        <f t="shared" si="122"/>
        <v>-0.01191277124</v>
      </c>
      <c r="AD65" s="384">
        <f t="shared" si="122"/>
        <v>-0.2831418336</v>
      </c>
      <c r="AE65" s="384">
        <f t="shared" si="122"/>
        <v>0.5236027263</v>
      </c>
      <c r="AF65" s="384">
        <f t="shared" si="122"/>
        <v>0.4980170569</v>
      </c>
      <c r="AG65" s="384">
        <f t="shared" si="122"/>
        <v>0.3389635914</v>
      </c>
      <c r="AH65" s="384">
        <f t="shared" si="122"/>
        <v>-0.04542123737</v>
      </c>
      <c r="AI65" s="384">
        <f t="shared" si="122"/>
        <v>0.2512349301</v>
      </c>
      <c r="AJ65" s="384">
        <f t="shared" si="122"/>
        <v>0.2875817686</v>
      </c>
      <c r="AK65" s="384">
        <f t="shared" si="122"/>
        <v>-0.05568425482</v>
      </c>
      <c r="AL65" s="384">
        <f t="shared" si="122"/>
        <v>0.1789750959</v>
      </c>
      <c r="AM65" s="384">
        <f t="shared" si="122"/>
        <v>0.04619597216</v>
      </c>
      <c r="AN65" s="384">
        <f t="shared" si="122"/>
        <v>0.1311459529</v>
      </c>
      <c r="AO65" s="384">
        <f t="shared" si="122"/>
        <v>0.02425671179</v>
      </c>
      <c r="AP65" s="384">
        <f t="shared" si="122"/>
        <v>-0.3693583706</v>
      </c>
      <c r="AQ65" s="384">
        <f t="shared" si="122"/>
        <v>-0.7852316491</v>
      </c>
      <c r="AR65" s="384">
        <f t="shared" si="122"/>
        <v>0.2683312085</v>
      </c>
      <c r="AS65" s="384">
        <f t="shared" si="122"/>
        <v>-0.6821001287</v>
      </c>
      <c r="AT65" s="384">
        <f t="shared" si="122"/>
        <v>0.03538366675</v>
      </c>
      <c r="AU65" s="384">
        <f t="shared" si="122"/>
        <v>0.0004709764901</v>
      </c>
      <c r="AV65" s="384">
        <f t="shared" si="122"/>
        <v>-0.219399127</v>
      </c>
      <c r="AW65" s="384">
        <f t="shared" si="122"/>
        <v>0.3769295284</v>
      </c>
      <c r="AX65" s="384">
        <f t="shared" si="122"/>
        <v>0.3335920854</v>
      </c>
      <c r="AY65" s="384">
        <f t="shared" ref="AY65:BJ65" si="123">IFERROR(AY45/AY13,0)</f>
        <v>-1.135030968</v>
      </c>
      <c r="AZ65" s="384">
        <f t="shared" si="123"/>
        <v>-0.964390774</v>
      </c>
      <c r="BA65" s="384">
        <f t="shared" si="123"/>
        <v>0.3736287934</v>
      </c>
      <c r="BB65" s="384">
        <f t="shared" si="123"/>
        <v>-1.032555409</v>
      </c>
      <c r="BC65" s="384">
        <f t="shared" si="123"/>
        <v>-0.1801630267</v>
      </c>
      <c r="BD65" s="384">
        <f t="shared" si="123"/>
        <v>0.05583928713</v>
      </c>
      <c r="BE65" s="384">
        <f t="shared" si="123"/>
        <v>-0.1564277915</v>
      </c>
      <c r="BF65" s="384">
        <f t="shared" si="123"/>
        <v>-0.4863500348</v>
      </c>
      <c r="BG65" s="384">
        <f t="shared" si="123"/>
        <v>0</v>
      </c>
      <c r="BH65" s="384">
        <f t="shared" si="123"/>
        <v>0</v>
      </c>
      <c r="BI65" s="384">
        <f t="shared" si="123"/>
        <v>0</v>
      </c>
      <c r="BJ65" s="384">
        <f t="shared" si="123"/>
        <v>0</v>
      </c>
      <c r="BL65" s="388">
        <f>BL45/BL13</f>
        <v>0.009911837106</v>
      </c>
      <c r="BM65" s="389"/>
      <c r="BN65" s="384">
        <f t="shared" ref="BN65:BR65" si="124">IFERROR(BN45/BN13,0)</f>
        <v>-0.1812768546</v>
      </c>
      <c r="BO65" s="384">
        <f t="shared" si="124"/>
        <v>-0.277440302</v>
      </c>
      <c r="BP65" s="384">
        <f t="shared" si="124"/>
        <v>-0.340237061</v>
      </c>
      <c r="BQ65" s="384">
        <f t="shared" si="124"/>
        <v>0</v>
      </c>
      <c r="BR65" s="388">
        <f t="shared" si="124"/>
        <v>-0.2629206598</v>
      </c>
      <c r="BS65" s="389"/>
      <c r="BT65" s="384">
        <f t="shared" ref="BT65:BX65" si="125">BT45/BT13</f>
        <v>0.06953250128</v>
      </c>
      <c r="BU65" s="384">
        <f t="shared" si="125"/>
        <v>-0.1677460553</v>
      </c>
      <c r="BV65" s="384">
        <f t="shared" si="125"/>
        <v>-0.1271834875</v>
      </c>
      <c r="BW65" s="384">
        <f t="shared" si="125"/>
        <v>0.233832189</v>
      </c>
      <c r="BX65" s="388">
        <f t="shared" si="125"/>
        <v>0.0264188074</v>
      </c>
      <c r="BY65" s="389"/>
      <c r="BZ65" s="384">
        <f t="shared" ref="BZ65:CD65" si="126">BZ45/BZ13</f>
        <v>0.2227807175</v>
      </c>
      <c r="CA65" s="384">
        <f t="shared" si="126"/>
        <v>0.3496190001</v>
      </c>
      <c r="CB65" s="384">
        <f t="shared" si="126"/>
        <v>0.1905584145</v>
      </c>
      <c r="CC65" s="384">
        <f t="shared" si="126"/>
        <v>0.1471232727</v>
      </c>
      <c r="CD65" s="388">
        <f t="shared" si="126"/>
        <v>0.2210320249</v>
      </c>
      <c r="CE65" s="389"/>
      <c r="CF65" s="388">
        <f>CF45/CF13</f>
        <v>0.3173549878</v>
      </c>
      <c r="CG65" s="389"/>
      <c r="CH65" s="384"/>
      <c r="CI65" s="384"/>
      <c r="CJ65" s="384"/>
      <c r="CK65" s="384"/>
      <c r="CL65" s="384"/>
      <c r="CM65" s="384"/>
      <c r="CN65" s="384"/>
      <c r="CO65" s="384"/>
      <c r="CP65" s="384"/>
      <c r="CQ65" s="384"/>
      <c r="CR65" s="384"/>
      <c r="CS65" s="384"/>
      <c r="CT65" s="384"/>
      <c r="CU65" s="384"/>
      <c r="CV65" s="384"/>
      <c r="CW65" s="384"/>
      <c r="CX65" s="384"/>
      <c r="CY65" s="384"/>
      <c r="CZ65" s="384"/>
      <c r="DA65" s="384"/>
      <c r="DB65" s="384"/>
      <c r="DC65" s="384"/>
      <c r="DD65" s="384"/>
      <c r="DE65" s="384"/>
      <c r="DF65" s="384"/>
      <c r="DG65" s="384"/>
      <c r="DH65" s="384"/>
      <c r="DI65" s="384"/>
      <c r="DJ65" s="384"/>
      <c r="DK65" s="384"/>
      <c r="DL65" s="384"/>
      <c r="DM65" s="384"/>
      <c r="DN65" s="384"/>
      <c r="DO65" s="384"/>
      <c r="DP65" s="384"/>
      <c r="DQ65" s="384"/>
      <c r="DR65" s="384"/>
      <c r="DS65" s="384"/>
      <c r="DT65" s="384"/>
      <c r="DU65" s="384"/>
      <c r="DV65" s="384"/>
      <c r="DW65" s="384"/>
      <c r="DX65" s="384"/>
      <c r="DY65" s="384"/>
      <c r="DZ65" s="384"/>
      <c r="EA65" s="384"/>
      <c r="EB65" s="384"/>
      <c r="EC65" s="384"/>
    </row>
    <row r="66">
      <c r="BL66" s="34"/>
      <c r="BR66" s="34"/>
      <c r="BX66" s="34"/>
      <c r="CD66" s="34"/>
      <c r="CF66" s="34"/>
      <c r="CG66" s="136"/>
    </row>
    <row r="67">
      <c r="A67" s="2"/>
      <c r="B67" s="398" t="s">
        <v>536</v>
      </c>
      <c r="C67" s="399"/>
      <c r="D67" s="399"/>
      <c r="E67" s="399"/>
      <c r="F67" s="399"/>
      <c r="G67" s="399"/>
      <c r="H67" s="399"/>
      <c r="I67" s="399"/>
      <c r="J67" s="399"/>
      <c r="K67" s="399"/>
      <c r="L67" s="399"/>
      <c r="M67" s="399"/>
      <c r="N67" s="399"/>
      <c r="O67" s="399"/>
      <c r="P67" s="399"/>
      <c r="Q67" s="399"/>
      <c r="R67" s="399"/>
      <c r="S67" s="399"/>
      <c r="T67" s="399"/>
      <c r="U67" s="399"/>
      <c r="V67" s="399"/>
      <c r="W67" s="399"/>
      <c r="X67" s="399"/>
      <c r="Y67" s="399"/>
      <c r="Z67" s="399"/>
      <c r="AA67" s="399"/>
      <c r="AB67" s="399"/>
      <c r="AC67" s="399"/>
      <c r="AD67" s="399"/>
      <c r="AE67" s="399"/>
      <c r="AF67" s="399"/>
      <c r="AG67" s="399"/>
      <c r="AH67" s="399"/>
      <c r="AI67" s="399"/>
      <c r="AJ67" s="399"/>
      <c r="AK67" s="399"/>
      <c r="AL67" s="399"/>
      <c r="AM67" s="399"/>
      <c r="AN67" s="399"/>
      <c r="AO67" s="399"/>
      <c r="AP67" s="399"/>
      <c r="AQ67" s="399"/>
      <c r="AR67" s="399"/>
      <c r="AS67" s="399"/>
      <c r="AT67" s="399"/>
      <c r="AU67" s="399"/>
      <c r="AV67" s="399"/>
      <c r="AW67" s="399"/>
      <c r="AX67" s="399"/>
      <c r="AY67" s="399"/>
      <c r="AZ67" s="399"/>
      <c r="BA67" s="399"/>
      <c r="BB67" s="399"/>
      <c r="BC67" s="399"/>
      <c r="BD67" s="399"/>
      <c r="BE67" s="399"/>
      <c r="BF67" s="399"/>
      <c r="BG67" s="399"/>
      <c r="BH67" s="399"/>
      <c r="BI67" s="399"/>
      <c r="BJ67" s="399"/>
      <c r="BK67" s="2"/>
      <c r="BL67" s="400"/>
      <c r="BM67" s="401"/>
      <c r="BN67" s="399"/>
      <c r="BO67" s="399"/>
      <c r="BP67" s="399"/>
      <c r="BQ67" s="399"/>
      <c r="BR67" s="400"/>
      <c r="BS67" s="401"/>
      <c r="BT67" s="399"/>
      <c r="BU67" s="399"/>
      <c r="BV67" s="399"/>
      <c r="BW67" s="399"/>
      <c r="BX67" s="400"/>
      <c r="BY67" s="401"/>
      <c r="BZ67" s="399"/>
      <c r="CA67" s="399"/>
      <c r="CB67" s="399"/>
      <c r="CC67" s="399"/>
      <c r="CD67" s="400"/>
      <c r="CE67" s="401"/>
      <c r="CF67" s="400"/>
      <c r="CG67" s="401"/>
      <c r="CH67" s="399"/>
      <c r="CI67" s="399"/>
      <c r="CJ67" s="399"/>
      <c r="CK67" s="399"/>
      <c r="CL67" s="399"/>
      <c r="CM67" s="399"/>
      <c r="CN67" s="399"/>
      <c r="CO67" s="399"/>
      <c r="CP67" s="399"/>
      <c r="CQ67" s="399"/>
      <c r="CR67" s="399"/>
      <c r="CS67" s="399"/>
      <c r="CT67" s="399"/>
      <c r="CU67" s="399"/>
      <c r="CV67" s="399"/>
      <c r="CW67" s="399"/>
      <c r="CX67" s="399"/>
      <c r="CY67" s="399"/>
      <c r="CZ67" s="399"/>
      <c r="DA67" s="399"/>
      <c r="DB67" s="399"/>
      <c r="DC67" s="399"/>
      <c r="DD67" s="399"/>
      <c r="DE67" s="399"/>
      <c r="DF67" s="399"/>
      <c r="DG67" s="399"/>
      <c r="DH67" s="399"/>
      <c r="DI67" s="399"/>
      <c r="DJ67" s="399"/>
      <c r="DK67" s="399"/>
      <c r="DL67" s="399"/>
      <c r="DM67" s="399"/>
      <c r="DN67" s="399"/>
      <c r="DO67" s="399"/>
      <c r="DP67" s="399"/>
      <c r="DQ67" s="399"/>
      <c r="DR67" s="399"/>
      <c r="DS67" s="399"/>
      <c r="DT67" s="399"/>
      <c r="DU67" s="399"/>
      <c r="DV67" s="399"/>
      <c r="DW67" s="399"/>
      <c r="DX67" s="399"/>
      <c r="DY67" s="399"/>
      <c r="DZ67" s="399"/>
      <c r="EA67" s="399"/>
      <c r="EB67" s="399"/>
      <c r="EC67" s="399"/>
    </row>
    <row r="68">
      <c r="A68" s="2"/>
      <c r="B68" s="402" t="s">
        <v>537</v>
      </c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399"/>
      <c r="Q68" s="399"/>
      <c r="R68" s="399"/>
      <c r="S68" s="399"/>
      <c r="T68" s="399"/>
      <c r="U68" s="399"/>
      <c r="V68" s="399"/>
      <c r="W68" s="399"/>
      <c r="X68" s="399"/>
      <c r="Y68" s="399"/>
      <c r="Z68" s="399"/>
      <c r="AA68" s="403">
        <v>16.0</v>
      </c>
      <c r="AB68" s="403">
        <v>17.0</v>
      </c>
      <c r="AC68" s="403">
        <v>18.0</v>
      </c>
      <c r="AD68" s="403">
        <v>17.0</v>
      </c>
      <c r="AE68" s="403">
        <v>17.0</v>
      </c>
      <c r="AF68" s="403">
        <v>19.0</v>
      </c>
      <c r="AG68" s="403">
        <v>19.0</v>
      </c>
      <c r="AH68" s="403">
        <v>21.0</v>
      </c>
      <c r="AI68" s="403">
        <v>24.0</v>
      </c>
      <c r="AJ68" s="403">
        <v>24.0</v>
      </c>
      <c r="AK68" s="403">
        <v>25.0</v>
      </c>
      <c r="AL68" s="403">
        <v>26.0</v>
      </c>
      <c r="AM68" s="403">
        <v>27.0</v>
      </c>
      <c r="AN68" s="403">
        <v>26.0</v>
      </c>
      <c r="AO68" s="403">
        <v>26.0</v>
      </c>
      <c r="AP68" s="403">
        <v>30.0</v>
      </c>
      <c r="AQ68" s="403">
        <v>32.0</v>
      </c>
      <c r="AR68" s="403">
        <v>34.0</v>
      </c>
      <c r="AS68" s="403">
        <v>34.0</v>
      </c>
      <c r="AT68" s="403">
        <v>35.0</v>
      </c>
      <c r="AU68" s="403">
        <v>35.0</v>
      </c>
      <c r="AV68" s="403">
        <v>41.0</v>
      </c>
      <c r="AW68" s="403">
        <v>40.0</v>
      </c>
      <c r="AX68" s="403">
        <v>42.0</v>
      </c>
      <c r="AY68" s="403">
        <v>43.0</v>
      </c>
      <c r="AZ68" s="403">
        <v>43.0</v>
      </c>
      <c r="BA68" s="403">
        <v>42.0</v>
      </c>
      <c r="BB68" s="403">
        <v>42.0</v>
      </c>
      <c r="BC68" s="403">
        <v>45.0</v>
      </c>
      <c r="BD68" s="403">
        <v>45.0</v>
      </c>
      <c r="BE68" s="403">
        <v>48.0</v>
      </c>
      <c r="BF68" s="403">
        <v>48.0</v>
      </c>
      <c r="BG68" s="403"/>
      <c r="BH68" s="403"/>
      <c r="BI68" s="403"/>
      <c r="BJ68" s="403"/>
      <c r="BK68" s="2"/>
      <c r="BL68" s="404">
        <f>average(AO68:AZ68)</f>
        <v>36.25</v>
      </c>
      <c r="BM68" s="401"/>
      <c r="BN68" s="405">
        <f t="shared" ref="BN68:BN69" si="127">sum(AY68:BA68)/3</f>
        <v>42.66666667</v>
      </c>
      <c r="BO68" s="399">
        <f t="shared" ref="BO68:BO69" si="128">sum(BB68:BD68)/3</f>
        <v>44</v>
      </c>
      <c r="BP68" s="406">
        <f t="shared" ref="BP68:BP69" si="129">sum(BE68:BG68)/3</f>
        <v>32</v>
      </c>
      <c r="BQ68" s="399">
        <f t="shared" ref="BQ68:BQ69" si="130">sum(BH68:BJ68)/3</f>
        <v>0</v>
      </c>
      <c r="BR68" s="400">
        <f t="shared" ref="BR68:BR69" si="131">BQ68</f>
        <v>0</v>
      </c>
      <c r="BS68" s="401"/>
      <c r="BT68" s="406">
        <f t="shared" ref="BT68:BT69" si="132">sum(AM68:AO68)/3</f>
        <v>26.33333333</v>
      </c>
      <c r="BU68" s="399">
        <f t="shared" ref="BU68:BU69" si="133">sum(AP68:AR68)/3</f>
        <v>32</v>
      </c>
      <c r="BV68" s="406">
        <f t="shared" ref="BV68:BV69" si="134">sum(AS68:AU68)/3</f>
        <v>34.66666667</v>
      </c>
      <c r="BW68" s="399">
        <f t="shared" ref="BW68:BW69" si="135">sum(AV68:AX68)/3</f>
        <v>41</v>
      </c>
      <c r="BX68" s="400">
        <f t="shared" ref="BX68:BX69" si="136">BW68</f>
        <v>41</v>
      </c>
      <c r="BY68" s="401"/>
      <c r="BZ68" s="406">
        <f t="shared" ref="BZ68:BZ69" si="137">sum(AA68:AC68)/3</f>
        <v>17</v>
      </c>
      <c r="CA68" s="406">
        <f t="shared" ref="CA68:CA69" si="138">sum(AD68:AF68)/3</f>
        <v>17.66666667</v>
      </c>
      <c r="CB68" s="406">
        <f t="shared" ref="CB68:CB69" si="139">sum(AG68:AI68)/3</f>
        <v>21.33333333</v>
      </c>
      <c r="CC68" s="406">
        <f t="shared" ref="CC68:CC69" si="140">sum(AJ68:AL68)/3</f>
        <v>25</v>
      </c>
      <c r="CD68" s="404">
        <f t="shared" ref="CD68:CD69" si="141">CC68</f>
        <v>25</v>
      </c>
      <c r="CE68" s="401"/>
      <c r="CF68" s="404" t="str">
        <f t="shared" ref="CF68:CF69" si="142">CE68</f>
        <v/>
      </c>
      <c r="CG68" s="407"/>
      <c r="CH68" s="399"/>
      <c r="CI68" s="399"/>
      <c r="CJ68" s="399"/>
      <c r="CK68" s="399"/>
      <c r="CL68" s="399"/>
      <c r="CM68" s="399"/>
      <c r="CN68" s="399"/>
      <c r="CO68" s="399"/>
      <c r="CP68" s="399"/>
      <c r="CQ68" s="399"/>
      <c r="CR68" s="399"/>
      <c r="CS68" s="399"/>
      <c r="CT68" s="403"/>
      <c r="CU68" s="403"/>
      <c r="CV68" s="403"/>
      <c r="CW68" s="403"/>
      <c r="CX68" s="403"/>
      <c r="CY68" s="403"/>
      <c r="CZ68" s="403"/>
      <c r="DA68" s="403"/>
      <c r="DB68" s="403"/>
      <c r="DC68" s="403"/>
      <c r="DD68" s="403"/>
      <c r="DE68" s="403"/>
      <c r="DF68" s="403"/>
      <c r="DG68" s="403"/>
      <c r="DH68" s="403"/>
      <c r="DI68" s="403"/>
      <c r="DJ68" s="403"/>
      <c r="DK68" s="403"/>
      <c r="DL68" s="403"/>
      <c r="DM68" s="403"/>
      <c r="DN68" s="403"/>
      <c r="DO68" s="403"/>
      <c r="DP68" s="403"/>
      <c r="DQ68" s="403"/>
      <c r="DR68" s="403"/>
      <c r="DS68" s="403"/>
      <c r="DT68" s="403"/>
      <c r="DU68" s="403"/>
      <c r="DV68" s="403"/>
      <c r="DW68" s="403"/>
      <c r="DX68" s="403"/>
      <c r="DY68" s="403"/>
      <c r="DZ68" s="403"/>
      <c r="EA68" s="403"/>
      <c r="EB68" s="403"/>
      <c r="EC68" s="403"/>
    </row>
    <row r="69">
      <c r="A69" s="2"/>
      <c r="B69" s="402" t="s">
        <v>538</v>
      </c>
      <c r="C69" s="399">
        <v>3.0</v>
      </c>
      <c r="D69" s="399">
        <v>3.0</v>
      </c>
      <c r="E69" s="399">
        <v>4.0</v>
      </c>
      <c r="F69" s="399">
        <v>4.0</v>
      </c>
      <c r="G69" s="399">
        <v>4.0</v>
      </c>
      <c r="H69" s="399">
        <v>5.0</v>
      </c>
      <c r="I69" s="399">
        <v>5.0</v>
      </c>
      <c r="J69" s="399">
        <v>6.0</v>
      </c>
      <c r="K69" s="399">
        <v>8.0</v>
      </c>
      <c r="L69" s="399">
        <v>8.0</v>
      </c>
      <c r="M69" s="399">
        <v>11.0</v>
      </c>
      <c r="N69" s="399">
        <v>11.0</v>
      </c>
      <c r="O69" s="399">
        <v>10.0</v>
      </c>
      <c r="P69" s="399">
        <v>11.0</v>
      </c>
      <c r="Q69" s="399">
        <v>11.0</v>
      </c>
      <c r="R69" s="399">
        <v>11.0</v>
      </c>
      <c r="S69" s="399">
        <v>11.0</v>
      </c>
      <c r="T69" s="399">
        <v>11.0</v>
      </c>
      <c r="U69" s="399">
        <v>14.0</v>
      </c>
      <c r="V69" s="399">
        <v>17.0</v>
      </c>
      <c r="W69" s="399">
        <v>20.0</v>
      </c>
      <c r="X69" s="399">
        <v>23.0</v>
      </c>
      <c r="Y69" s="399">
        <v>24.0</v>
      </c>
      <c r="Z69" s="399">
        <v>24.0</v>
      </c>
      <c r="AA69" s="399">
        <v>24.0</v>
      </c>
      <c r="AB69" s="399">
        <v>28.0</v>
      </c>
      <c r="AC69" s="399">
        <v>31.0</v>
      </c>
      <c r="AD69" s="399">
        <v>34.0</v>
      </c>
      <c r="AE69" s="399">
        <v>35.0</v>
      </c>
      <c r="AF69" s="399">
        <v>36.0</v>
      </c>
      <c r="AG69" s="399">
        <v>39.0</v>
      </c>
      <c r="AH69" s="399">
        <v>41.0</v>
      </c>
      <c r="AI69" s="399">
        <v>41.0</v>
      </c>
      <c r="AJ69" s="399">
        <v>38.0</v>
      </c>
      <c r="AK69" s="399">
        <v>43.0</v>
      </c>
      <c r="AL69" s="399">
        <v>47.0</v>
      </c>
      <c r="AM69" s="399">
        <v>48.0</v>
      </c>
      <c r="AN69" s="399">
        <v>52.0</v>
      </c>
      <c r="AO69" s="399">
        <v>50.0</v>
      </c>
      <c r="AP69" s="399">
        <v>45.0</v>
      </c>
      <c r="AQ69" s="399">
        <v>46.0</v>
      </c>
      <c r="AR69" s="399">
        <v>47.0</v>
      </c>
      <c r="AS69" s="403">
        <v>49.0</v>
      </c>
      <c r="AT69" s="403">
        <v>52.0</v>
      </c>
      <c r="AU69" s="403">
        <v>51.0</v>
      </c>
      <c r="AV69" s="403">
        <v>51.0</v>
      </c>
      <c r="AW69" s="403">
        <v>50.0</v>
      </c>
      <c r="AX69" s="403">
        <v>48.0</v>
      </c>
      <c r="AY69" s="403">
        <v>47.0</v>
      </c>
      <c r="AZ69" s="403">
        <v>47.0</v>
      </c>
      <c r="BA69" s="403">
        <v>45.0</v>
      </c>
      <c r="BB69" s="403">
        <v>44.0</v>
      </c>
      <c r="BC69" s="403">
        <v>44.0</v>
      </c>
      <c r="BD69" s="403">
        <v>45.0</v>
      </c>
      <c r="BE69" s="403">
        <v>47.0</v>
      </c>
      <c r="BF69" s="403">
        <v>50.0</v>
      </c>
      <c r="BG69" s="403"/>
      <c r="BH69" s="403"/>
      <c r="BI69" s="403"/>
      <c r="BJ69" s="403"/>
      <c r="BK69" s="2"/>
      <c r="BL69" s="404">
        <f>average(AP69:BA69)</f>
        <v>48.16666667</v>
      </c>
      <c r="BM69" s="401"/>
      <c r="BN69" s="405">
        <f t="shared" si="127"/>
        <v>46.33333333</v>
      </c>
      <c r="BO69" s="399">
        <f t="shared" si="128"/>
        <v>44.33333333</v>
      </c>
      <c r="BP69" s="406">
        <f t="shared" si="129"/>
        <v>32.33333333</v>
      </c>
      <c r="BQ69" s="399">
        <f t="shared" si="130"/>
        <v>0</v>
      </c>
      <c r="BR69" s="400">
        <f t="shared" si="131"/>
        <v>0</v>
      </c>
      <c r="BS69" s="401"/>
      <c r="BT69" s="399">
        <f t="shared" si="132"/>
        <v>50</v>
      </c>
      <c r="BU69" s="399">
        <f t="shared" si="133"/>
        <v>46</v>
      </c>
      <c r="BV69" s="406">
        <f t="shared" si="134"/>
        <v>50.66666667</v>
      </c>
      <c r="BW69" s="408">
        <f t="shared" si="135"/>
        <v>49.66666667</v>
      </c>
      <c r="BX69" s="409">
        <f t="shared" si="136"/>
        <v>49.66666667</v>
      </c>
      <c r="BY69" s="401"/>
      <c r="BZ69" s="406">
        <f t="shared" si="137"/>
        <v>27.66666667</v>
      </c>
      <c r="CA69" s="406">
        <f t="shared" si="138"/>
        <v>35</v>
      </c>
      <c r="CB69" s="406">
        <f t="shared" si="139"/>
        <v>40.33333333</v>
      </c>
      <c r="CC69" s="406">
        <f t="shared" si="140"/>
        <v>42.66666667</v>
      </c>
      <c r="CD69" s="404">
        <f t="shared" si="141"/>
        <v>42.66666667</v>
      </c>
      <c r="CE69" s="401"/>
      <c r="CF69" s="404" t="str">
        <f t="shared" si="142"/>
        <v/>
      </c>
      <c r="CG69" s="407"/>
      <c r="CH69" s="399"/>
      <c r="CI69" s="399"/>
      <c r="CJ69" s="399"/>
      <c r="CK69" s="399"/>
      <c r="CL69" s="399"/>
      <c r="CM69" s="399"/>
      <c r="CN69" s="399"/>
      <c r="CO69" s="399"/>
      <c r="CP69" s="399"/>
      <c r="CQ69" s="399"/>
      <c r="CR69" s="399"/>
      <c r="CS69" s="399"/>
      <c r="CT69" s="399"/>
      <c r="CU69" s="399"/>
      <c r="CV69" s="399"/>
      <c r="CW69" s="399"/>
      <c r="CX69" s="399"/>
      <c r="CY69" s="399"/>
      <c r="CZ69" s="399"/>
      <c r="DA69" s="399"/>
      <c r="DB69" s="399"/>
      <c r="DC69" s="399"/>
      <c r="DD69" s="399"/>
      <c r="DE69" s="399"/>
      <c r="DF69" s="399"/>
      <c r="DG69" s="399"/>
      <c r="DH69" s="399"/>
      <c r="DI69" s="399"/>
      <c r="DJ69" s="399"/>
      <c r="DK69" s="399"/>
      <c r="DL69" s="403"/>
      <c r="DM69" s="403"/>
      <c r="DN69" s="403"/>
      <c r="DO69" s="403"/>
      <c r="DP69" s="403"/>
      <c r="DQ69" s="403"/>
      <c r="DR69" s="403"/>
      <c r="DS69" s="403"/>
      <c r="DT69" s="403"/>
      <c r="DU69" s="403"/>
      <c r="DV69" s="403"/>
      <c r="DW69" s="403"/>
      <c r="DX69" s="403"/>
      <c r="DY69" s="403"/>
      <c r="DZ69" s="403"/>
      <c r="EA69" s="403"/>
      <c r="EB69" s="403"/>
      <c r="EC69" s="403"/>
    </row>
    <row r="70">
      <c r="B70" s="387" t="s">
        <v>539</v>
      </c>
      <c r="C70" s="359"/>
      <c r="D70" s="359"/>
      <c r="E70" s="359"/>
      <c r="F70" s="359"/>
      <c r="G70" s="359"/>
      <c r="H70" s="359"/>
      <c r="I70" s="359"/>
      <c r="J70" s="359"/>
      <c r="K70" s="359"/>
      <c r="L70" s="359"/>
      <c r="M70" s="359"/>
      <c r="N70" s="359"/>
      <c r="O70" s="359"/>
      <c r="P70" s="359"/>
      <c r="Q70" s="359"/>
      <c r="R70" s="359"/>
      <c r="S70" s="359"/>
      <c r="T70" s="359"/>
      <c r="U70" s="359"/>
      <c r="V70" s="359"/>
      <c r="W70" s="359"/>
      <c r="X70" s="359"/>
      <c r="Y70" s="359"/>
      <c r="Z70" s="359"/>
      <c r="AA70" s="410">
        <f t="shared" ref="AA70:AX70" si="143">AA68/SUM(AA$68:AA$69)</f>
        <v>0.4</v>
      </c>
      <c r="AB70" s="410">
        <f t="shared" si="143"/>
        <v>0.3777777778</v>
      </c>
      <c r="AC70" s="410">
        <f t="shared" si="143"/>
        <v>0.3673469388</v>
      </c>
      <c r="AD70" s="410">
        <f t="shared" si="143"/>
        <v>0.3333333333</v>
      </c>
      <c r="AE70" s="410">
        <f t="shared" si="143"/>
        <v>0.3269230769</v>
      </c>
      <c r="AF70" s="410">
        <f t="shared" si="143"/>
        <v>0.3454545455</v>
      </c>
      <c r="AG70" s="410">
        <f t="shared" si="143"/>
        <v>0.3275862069</v>
      </c>
      <c r="AH70" s="410">
        <f t="shared" si="143"/>
        <v>0.3387096774</v>
      </c>
      <c r="AI70" s="410">
        <f t="shared" si="143"/>
        <v>0.3692307692</v>
      </c>
      <c r="AJ70" s="410">
        <f t="shared" si="143"/>
        <v>0.3870967742</v>
      </c>
      <c r="AK70" s="410">
        <f t="shared" si="143"/>
        <v>0.3676470588</v>
      </c>
      <c r="AL70" s="410">
        <f t="shared" si="143"/>
        <v>0.3561643836</v>
      </c>
      <c r="AM70" s="410">
        <f t="shared" si="143"/>
        <v>0.36</v>
      </c>
      <c r="AN70" s="410">
        <f t="shared" si="143"/>
        <v>0.3333333333</v>
      </c>
      <c r="AO70" s="410">
        <f t="shared" si="143"/>
        <v>0.3421052632</v>
      </c>
      <c r="AP70" s="410">
        <f t="shared" si="143"/>
        <v>0.4</v>
      </c>
      <c r="AQ70" s="410">
        <f t="shared" si="143"/>
        <v>0.4102564103</v>
      </c>
      <c r="AR70" s="410">
        <f t="shared" si="143"/>
        <v>0.4197530864</v>
      </c>
      <c r="AS70" s="410">
        <f t="shared" si="143"/>
        <v>0.4096385542</v>
      </c>
      <c r="AT70" s="410">
        <f t="shared" si="143"/>
        <v>0.4022988506</v>
      </c>
      <c r="AU70" s="410">
        <f t="shared" si="143"/>
        <v>0.4069767442</v>
      </c>
      <c r="AV70" s="410">
        <f t="shared" si="143"/>
        <v>0.4456521739</v>
      </c>
      <c r="AW70" s="410">
        <f t="shared" si="143"/>
        <v>0.4444444444</v>
      </c>
      <c r="AX70" s="410">
        <f t="shared" si="143"/>
        <v>0.4666666667</v>
      </c>
      <c r="AY70" s="410">
        <f t="shared" ref="AY70:BJ70" si="144">IFERROR(AY68/SUM(AY$68:AY$69),0)</f>
        <v>0.4777777778</v>
      </c>
      <c r="AZ70" s="410">
        <f t="shared" si="144"/>
        <v>0.4777777778</v>
      </c>
      <c r="BA70" s="410">
        <f t="shared" si="144"/>
        <v>0.4827586207</v>
      </c>
      <c r="BB70" s="410">
        <f t="shared" si="144"/>
        <v>0.488372093</v>
      </c>
      <c r="BC70" s="410">
        <f t="shared" si="144"/>
        <v>0.5056179775</v>
      </c>
      <c r="BD70" s="410">
        <f t="shared" si="144"/>
        <v>0.5</v>
      </c>
      <c r="BE70" s="410">
        <f t="shared" si="144"/>
        <v>0.5052631579</v>
      </c>
      <c r="BF70" s="410">
        <f t="shared" si="144"/>
        <v>0.4897959184</v>
      </c>
      <c r="BG70" s="410">
        <f t="shared" si="144"/>
        <v>0</v>
      </c>
      <c r="BH70" s="410">
        <f t="shared" si="144"/>
        <v>0</v>
      </c>
      <c r="BI70" s="410">
        <f t="shared" si="144"/>
        <v>0</v>
      </c>
      <c r="BJ70" s="410">
        <f t="shared" si="144"/>
        <v>0</v>
      </c>
      <c r="BL70" s="411">
        <f t="shared" ref="BL70:BL71" si="150">IFERROR(BL68/SUM(BL$68:BL$69),0)</f>
        <v>0.4294175716</v>
      </c>
      <c r="BM70" s="412"/>
      <c r="BN70" s="410">
        <f t="shared" ref="BN70:BR70" si="145">IFERROR(BN68/sum(BN69,BN68),0)</f>
        <v>0.4794007491</v>
      </c>
      <c r="BO70" s="410">
        <f t="shared" si="145"/>
        <v>0.4981132075</v>
      </c>
      <c r="BP70" s="410">
        <f t="shared" si="145"/>
        <v>0.4974093264</v>
      </c>
      <c r="BQ70" s="410">
        <f t="shared" si="145"/>
        <v>0</v>
      </c>
      <c r="BR70" s="411">
        <f t="shared" si="145"/>
        <v>0</v>
      </c>
      <c r="BS70" s="412"/>
      <c r="BT70" s="410">
        <f t="shared" ref="BT70:BW70" si="146">BT68/sum(BT69,BT68)</f>
        <v>0.3449781659</v>
      </c>
      <c r="BU70" s="410">
        <f t="shared" si="146"/>
        <v>0.4102564103</v>
      </c>
      <c r="BV70" s="410">
        <f t="shared" si="146"/>
        <v>0.40625</v>
      </c>
      <c r="BW70" s="410">
        <f t="shared" si="146"/>
        <v>0.4522058824</v>
      </c>
      <c r="BX70" s="411">
        <f t="shared" ref="BX70:BX71" si="153">average(BT70:BW70)</f>
        <v>0.4034226146</v>
      </c>
      <c r="BY70" s="413"/>
      <c r="BZ70" s="410">
        <f t="shared" ref="BZ70:CC70" si="147">BZ68/sum(BZ69,BZ68)</f>
        <v>0.3805970149</v>
      </c>
      <c r="CA70" s="410">
        <f t="shared" si="147"/>
        <v>0.335443038</v>
      </c>
      <c r="CB70" s="410">
        <f t="shared" si="147"/>
        <v>0.3459459459</v>
      </c>
      <c r="CC70" s="410">
        <f t="shared" si="147"/>
        <v>0.3694581281</v>
      </c>
      <c r="CD70" s="411"/>
      <c r="CE70" s="413"/>
      <c r="CF70" s="411"/>
      <c r="CG70" s="412"/>
      <c r="CH70" s="359"/>
      <c r="CI70" s="359"/>
      <c r="CJ70" s="359"/>
      <c r="CK70" s="359"/>
      <c r="CL70" s="359"/>
      <c r="CM70" s="359"/>
      <c r="CN70" s="359"/>
      <c r="CO70" s="359"/>
      <c r="CP70" s="359"/>
      <c r="CQ70" s="359"/>
      <c r="CR70" s="359"/>
      <c r="CS70" s="359"/>
      <c r="CT70" s="410"/>
      <c r="CU70" s="410"/>
      <c r="CV70" s="410"/>
      <c r="CW70" s="410"/>
      <c r="CX70" s="410"/>
      <c r="CY70" s="410"/>
      <c r="CZ70" s="410"/>
      <c r="DA70" s="410"/>
      <c r="DB70" s="410"/>
      <c r="DC70" s="410"/>
      <c r="DD70" s="410"/>
      <c r="DE70" s="410"/>
      <c r="DF70" s="410"/>
      <c r="DG70" s="410"/>
      <c r="DH70" s="410"/>
      <c r="DI70" s="410"/>
      <c r="DJ70" s="410"/>
      <c r="DK70" s="410"/>
      <c r="DL70" s="410"/>
      <c r="DM70" s="410"/>
      <c r="DN70" s="410"/>
      <c r="DO70" s="410"/>
      <c r="DP70" s="410"/>
      <c r="DQ70" s="410"/>
      <c r="DR70" s="410"/>
      <c r="DS70" s="410"/>
      <c r="DT70" s="410"/>
      <c r="DU70" s="410"/>
      <c r="DV70" s="410"/>
      <c r="DW70" s="410"/>
      <c r="DX70" s="410"/>
      <c r="DY70" s="410"/>
      <c r="DZ70" s="410"/>
      <c r="EA70" s="410"/>
      <c r="EB70" s="410"/>
      <c r="EC70" s="410"/>
    </row>
    <row r="71">
      <c r="B71" s="387" t="s">
        <v>540</v>
      </c>
      <c r="C71" s="359"/>
      <c r="D71" s="359"/>
      <c r="E71" s="359"/>
      <c r="F71" s="359"/>
      <c r="G71" s="359"/>
      <c r="H71" s="359"/>
      <c r="I71" s="359"/>
      <c r="J71" s="359"/>
      <c r="K71" s="359"/>
      <c r="L71" s="359"/>
      <c r="M71" s="359"/>
      <c r="N71" s="359"/>
      <c r="O71" s="359"/>
      <c r="P71" s="359"/>
      <c r="Q71" s="359"/>
      <c r="R71" s="359"/>
      <c r="S71" s="359"/>
      <c r="T71" s="359"/>
      <c r="U71" s="359"/>
      <c r="V71" s="359"/>
      <c r="W71" s="359"/>
      <c r="X71" s="359"/>
      <c r="Y71" s="359"/>
      <c r="Z71" s="359"/>
      <c r="AA71" s="410">
        <f t="shared" ref="AA71:AX71" si="148">AA69/SUM(AA$68:AA$69)</f>
        <v>0.6</v>
      </c>
      <c r="AB71" s="410">
        <f t="shared" si="148"/>
        <v>0.6222222222</v>
      </c>
      <c r="AC71" s="410">
        <f t="shared" si="148"/>
        <v>0.6326530612</v>
      </c>
      <c r="AD71" s="410">
        <f t="shared" si="148"/>
        <v>0.6666666667</v>
      </c>
      <c r="AE71" s="410">
        <f t="shared" si="148"/>
        <v>0.6730769231</v>
      </c>
      <c r="AF71" s="410">
        <f t="shared" si="148"/>
        <v>0.6545454545</v>
      </c>
      <c r="AG71" s="410">
        <f t="shared" si="148"/>
        <v>0.6724137931</v>
      </c>
      <c r="AH71" s="410">
        <f t="shared" si="148"/>
        <v>0.6612903226</v>
      </c>
      <c r="AI71" s="410">
        <f t="shared" si="148"/>
        <v>0.6307692308</v>
      </c>
      <c r="AJ71" s="410">
        <f t="shared" si="148"/>
        <v>0.6129032258</v>
      </c>
      <c r="AK71" s="410">
        <f t="shared" si="148"/>
        <v>0.6323529412</v>
      </c>
      <c r="AL71" s="410">
        <f t="shared" si="148"/>
        <v>0.6438356164</v>
      </c>
      <c r="AM71" s="410">
        <f t="shared" si="148"/>
        <v>0.64</v>
      </c>
      <c r="AN71" s="410">
        <f t="shared" si="148"/>
        <v>0.6666666667</v>
      </c>
      <c r="AO71" s="410">
        <f t="shared" si="148"/>
        <v>0.6578947368</v>
      </c>
      <c r="AP71" s="410">
        <f t="shared" si="148"/>
        <v>0.6</v>
      </c>
      <c r="AQ71" s="410">
        <f t="shared" si="148"/>
        <v>0.5897435897</v>
      </c>
      <c r="AR71" s="410">
        <f t="shared" si="148"/>
        <v>0.5802469136</v>
      </c>
      <c r="AS71" s="410">
        <f t="shared" si="148"/>
        <v>0.5903614458</v>
      </c>
      <c r="AT71" s="410">
        <f t="shared" si="148"/>
        <v>0.5977011494</v>
      </c>
      <c r="AU71" s="410">
        <f t="shared" si="148"/>
        <v>0.5930232558</v>
      </c>
      <c r="AV71" s="410">
        <f t="shared" si="148"/>
        <v>0.5543478261</v>
      </c>
      <c r="AW71" s="410">
        <f t="shared" si="148"/>
        <v>0.5555555556</v>
      </c>
      <c r="AX71" s="410">
        <f t="shared" si="148"/>
        <v>0.5333333333</v>
      </c>
      <c r="AY71" s="410">
        <f t="shared" ref="AY71:BJ71" si="149">IFERROR(AY69/SUM(AY$68:AY$69),0)</f>
        <v>0.5222222222</v>
      </c>
      <c r="AZ71" s="410">
        <f t="shared" si="149"/>
        <v>0.5222222222</v>
      </c>
      <c r="BA71" s="410">
        <f t="shared" si="149"/>
        <v>0.5172413793</v>
      </c>
      <c r="BB71" s="410">
        <f t="shared" si="149"/>
        <v>0.511627907</v>
      </c>
      <c r="BC71" s="410">
        <f t="shared" si="149"/>
        <v>0.4943820225</v>
      </c>
      <c r="BD71" s="410">
        <f t="shared" si="149"/>
        <v>0.5</v>
      </c>
      <c r="BE71" s="410">
        <f t="shared" si="149"/>
        <v>0.4947368421</v>
      </c>
      <c r="BF71" s="410">
        <f t="shared" si="149"/>
        <v>0.5102040816</v>
      </c>
      <c r="BG71" s="410">
        <f t="shared" si="149"/>
        <v>0</v>
      </c>
      <c r="BH71" s="410">
        <f t="shared" si="149"/>
        <v>0</v>
      </c>
      <c r="BI71" s="410">
        <f t="shared" si="149"/>
        <v>0</v>
      </c>
      <c r="BJ71" s="410">
        <f t="shared" si="149"/>
        <v>0</v>
      </c>
      <c r="BL71" s="411">
        <f t="shared" si="150"/>
        <v>0.5705824284</v>
      </c>
      <c r="BM71" s="412"/>
      <c r="BN71" s="410">
        <f t="shared" ref="BN71:BR71" si="151">IFERROR(BN69/(sum(BN68,BN69)),0)</f>
        <v>0.5205992509</v>
      </c>
      <c r="BO71" s="410">
        <f t="shared" si="151"/>
        <v>0.5018867925</v>
      </c>
      <c r="BP71" s="410">
        <f t="shared" si="151"/>
        <v>0.5025906736</v>
      </c>
      <c r="BQ71" s="410">
        <f t="shared" si="151"/>
        <v>0</v>
      </c>
      <c r="BR71" s="411">
        <f t="shared" si="151"/>
        <v>0</v>
      </c>
      <c r="BS71" s="412"/>
      <c r="BT71" s="410">
        <f t="shared" ref="BT71:BW71" si="152">BT69/(sum(BT68,BT69))</f>
        <v>0.6550218341</v>
      </c>
      <c r="BU71" s="410">
        <f t="shared" si="152"/>
        <v>0.5897435897</v>
      </c>
      <c r="BV71" s="410">
        <f t="shared" si="152"/>
        <v>0.59375</v>
      </c>
      <c r="BW71" s="410">
        <f t="shared" si="152"/>
        <v>0.5477941176</v>
      </c>
      <c r="BX71" s="411">
        <f t="shared" si="153"/>
        <v>0.5965773854</v>
      </c>
      <c r="BY71" s="413"/>
      <c r="BZ71" s="410">
        <f t="shared" ref="BZ71:CC71" si="154">BZ69/(sum(BZ68,BZ69))</f>
        <v>0.6194029851</v>
      </c>
      <c r="CA71" s="410">
        <f t="shared" si="154"/>
        <v>0.664556962</v>
      </c>
      <c r="CB71" s="410">
        <f t="shared" si="154"/>
        <v>0.6540540541</v>
      </c>
      <c r="CC71" s="410">
        <f t="shared" si="154"/>
        <v>0.6305418719</v>
      </c>
      <c r="CD71" s="411"/>
      <c r="CE71" s="413"/>
      <c r="CF71" s="411"/>
      <c r="CG71" s="412"/>
      <c r="CH71" s="359"/>
      <c r="CI71" s="359"/>
      <c r="CJ71" s="359"/>
      <c r="CK71" s="359"/>
      <c r="CL71" s="359"/>
      <c r="CM71" s="359"/>
      <c r="CN71" s="359"/>
      <c r="CO71" s="359"/>
      <c r="CP71" s="359"/>
      <c r="CQ71" s="359"/>
      <c r="CR71" s="359"/>
      <c r="CS71" s="359"/>
      <c r="CT71" s="410"/>
      <c r="CU71" s="410"/>
      <c r="CV71" s="410"/>
      <c r="CW71" s="410"/>
      <c r="CX71" s="410"/>
      <c r="CY71" s="410"/>
      <c r="CZ71" s="410"/>
      <c r="DA71" s="410"/>
      <c r="DB71" s="410"/>
      <c r="DC71" s="410"/>
      <c r="DD71" s="410"/>
      <c r="DE71" s="410"/>
      <c r="DF71" s="410"/>
      <c r="DG71" s="410"/>
      <c r="DH71" s="410"/>
      <c r="DI71" s="410"/>
      <c r="DJ71" s="410"/>
      <c r="DK71" s="410"/>
      <c r="DL71" s="410"/>
      <c r="DM71" s="410"/>
      <c r="DN71" s="410"/>
      <c r="DO71" s="410"/>
      <c r="DP71" s="410"/>
      <c r="DQ71" s="410"/>
      <c r="DR71" s="410"/>
      <c r="DS71" s="410"/>
      <c r="DT71" s="410"/>
      <c r="DU71" s="410"/>
      <c r="DV71" s="410"/>
      <c r="DW71" s="410"/>
      <c r="DX71" s="410"/>
      <c r="DY71" s="410"/>
      <c r="DZ71" s="410"/>
      <c r="EA71" s="410"/>
      <c r="EB71" s="410"/>
      <c r="EC71" s="410"/>
    </row>
    <row r="72">
      <c r="B72" s="387" t="s">
        <v>541</v>
      </c>
      <c r="C72" s="359"/>
      <c r="D72" s="359"/>
      <c r="E72" s="359"/>
      <c r="F72" s="359"/>
      <c r="G72" s="359"/>
      <c r="H72" s="359"/>
      <c r="I72" s="359"/>
      <c r="J72" s="359"/>
      <c r="K72" s="359"/>
      <c r="L72" s="359"/>
      <c r="M72" s="359"/>
      <c r="N72" s="359"/>
      <c r="O72" s="359"/>
      <c r="P72" s="359"/>
      <c r="Q72" s="359"/>
      <c r="R72" s="359"/>
      <c r="S72" s="359"/>
      <c r="T72" s="359"/>
      <c r="U72" s="359"/>
      <c r="V72" s="359"/>
      <c r="W72" s="359"/>
      <c r="X72" s="359"/>
      <c r="Y72" s="359"/>
      <c r="Z72" s="359"/>
      <c r="AA72" s="414">
        <f t="shared" ref="AA72:BJ72" si="155">AA69*2080/12</f>
        <v>4160</v>
      </c>
      <c r="AB72" s="414">
        <f t="shared" si="155"/>
        <v>4853.333333</v>
      </c>
      <c r="AC72" s="414">
        <f t="shared" si="155"/>
        <v>5373.333333</v>
      </c>
      <c r="AD72" s="414">
        <f t="shared" si="155"/>
        <v>5893.333333</v>
      </c>
      <c r="AE72" s="414">
        <f t="shared" si="155"/>
        <v>6066.666667</v>
      </c>
      <c r="AF72" s="414">
        <f t="shared" si="155"/>
        <v>6240</v>
      </c>
      <c r="AG72" s="414">
        <f t="shared" si="155"/>
        <v>6760</v>
      </c>
      <c r="AH72" s="414">
        <f t="shared" si="155"/>
        <v>7106.666667</v>
      </c>
      <c r="AI72" s="414">
        <f t="shared" si="155"/>
        <v>7106.666667</v>
      </c>
      <c r="AJ72" s="414">
        <f t="shared" si="155"/>
        <v>6586.666667</v>
      </c>
      <c r="AK72" s="414">
        <f t="shared" si="155"/>
        <v>7453.333333</v>
      </c>
      <c r="AL72" s="414">
        <f t="shared" si="155"/>
        <v>8146.666667</v>
      </c>
      <c r="AM72" s="414">
        <f t="shared" si="155"/>
        <v>8320</v>
      </c>
      <c r="AN72" s="414">
        <f t="shared" si="155"/>
        <v>9013.333333</v>
      </c>
      <c r="AO72" s="414">
        <f t="shared" si="155"/>
        <v>8666.666667</v>
      </c>
      <c r="AP72" s="414">
        <f t="shared" si="155"/>
        <v>7800</v>
      </c>
      <c r="AQ72" s="414">
        <f t="shared" si="155"/>
        <v>7973.333333</v>
      </c>
      <c r="AR72" s="414">
        <f t="shared" si="155"/>
        <v>8146.666667</v>
      </c>
      <c r="AS72" s="414">
        <f t="shared" si="155"/>
        <v>8493.333333</v>
      </c>
      <c r="AT72" s="414">
        <f t="shared" si="155"/>
        <v>9013.333333</v>
      </c>
      <c r="AU72" s="414">
        <f t="shared" si="155"/>
        <v>8840</v>
      </c>
      <c r="AV72" s="414">
        <f t="shared" si="155"/>
        <v>8840</v>
      </c>
      <c r="AW72" s="414">
        <f t="shared" si="155"/>
        <v>8666.666667</v>
      </c>
      <c r="AX72" s="414">
        <f t="shared" si="155"/>
        <v>8320</v>
      </c>
      <c r="AY72" s="414">
        <f t="shared" si="155"/>
        <v>8146.666667</v>
      </c>
      <c r="AZ72" s="414">
        <f t="shared" si="155"/>
        <v>8146.666667</v>
      </c>
      <c r="BA72" s="414">
        <f t="shared" si="155"/>
        <v>7800</v>
      </c>
      <c r="BB72" s="414">
        <f t="shared" si="155"/>
        <v>7626.666667</v>
      </c>
      <c r="BC72" s="414">
        <f t="shared" si="155"/>
        <v>7626.666667</v>
      </c>
      <c r="BD72" s="414">
        <f t="shared" si="155"/>
        <v>7800</v>
      </c>
      <c r="BE72" s="414">
        <f t="shared" si="155"/>
        <v>8146.666667</v>
      </c>
      <c r="BF72" s="414">
        <f t="shared" si="155"/>
        <v>8666.666667</v>
      </c>
      <c r="BG72" s="414">
        <f t="shared" si="155"/>
        <v>0</v>
      </c>
      <c r="BH72" s="414">
        <f t="shared" si="155"/>
        <v>0</v>
      </c>
      <c r="BI72" s="414">
        <f t="shared" si="155"/>
        <v>0</v>
      </c>
      <c r="BJ72" s="414">
        <f t="shared" si="155"/>
        <v>0</v>
      </c>
      <c r="BL72" s="415">
        <f>BL69*2080/12</f>
        <v>8348.888889</v>
      </c>
      <c r="BM72" s="412"/>
      <c r="BN72" s="405"/>
      <c r="BO72" s="405"/>
      <c r="BP72" s="405"/>
      <c r="BQ72" s="405"/>
      <c r="BR72" s="415"/>
      <c r="BS72" s="412"/>
      <c r="BT72" s="405"/>
      <c r="BU72" s="405"/>
      <c r="BV72" s="405"/>
      <c r="BW72" s="405"/>
      <c r="BX72" s="415"/>
      <c r="BY72" s="412"/>
      <c r="BZ72" s="405"/>
      <c r="CA72" s="405"/>
      <c r="CB72" s="405"/>
      <c r="CC72" s="405"/>
      <c r="CD72" s="415"/>
      <c r="CE72" s="412"/>
      <c r="CF72" s="415"/>
      <c r="CG72" s="412"/>
      <c r="CH72" s="359"/>
      <c r="CI72" s="359"/>
      <c r="CJ72" s="359"/>
      <c r="CK72" s="359"/>
      <c r="CL72" s="359"/>
      <c r="CM72" s="359"/>
      <c r="CN72" s="359"/>
      <c r="CO72" s="359"/>
      <c r="CP72" s="359"/>
      <c r="CQ72" s="359"/>
      <c r="CR72" s="359"/>
      <c r="CS72" s="359"/>
      <c r="CT72" s="414"/>
      <c r="CU72" s="414"/>
      <c r="CV72" s="414"/>
      <c r="CW72" s="414"/>
      <c r="CX72" s="414"/>
      <c r="CY72" s="414"/>
      <c r="CZ72" s="414"/>
      <c r="DA72" s="414"/>
      <c r="DB72" s="414"/>
      <c r="DC72" s="414"/>
      <c r="DD72" s="414"/>
      <c r="DE72" s="414"/>
      <c r="DF72" s="414"/>
      <c r="DG72" s="414"/>
      <c r="DH72" s="414"/>
      <c r="DI72" s="414"/>
      <c r="DJ72" s="414"/>
      <c r="DK72" s="414"/>
      <c r="DL72" s="414"/>
      <c r="DM72" s="414"/>
      <c r="DN72" s="414"/>
      <c r="DO72" s="414"/>
      <c r="DP72" s="414"/>
      <c r="DQ72" s="414"/>
      <c r="DR72" s="414"/>
      <c r="DS72" s="414"/>
      <c r="DT72" s="414"/>
      <c r="DU72" s="414"/>
      <c r="DV72" s="414"/>
      <c r="DW72" s="414"/>
      <c r="DX72" s="414"/>
      <c r="DY72" s="414"/>
      <c r="DZ72" s="414"/>
      <c r="EA72" s="414"/>
      <c r="EB72" s="414"/>
      <c r="EC72" s="414"/>
    </row>
    <row r="73">
      <c r="B73" s="387" t="s">
        <v>542</v>
      </c>
      <c r="C73" s="359"/>
      <c r="D73" s="359"/>
      <c r="E73" s="359"/>
      <c r="F73" s="359"/>
      <c r="G73" s="359"/>
      <c r="H73" s="359"/>
      <c r="I73" s="359"/>
      <c r="J73" s="359"/>
      <c r="K73" s="359"/>
      <c r="L73" s="359"/>
      <c r="M73" s="359"/>
      <c r="N73" s="359"/>
      <c r="O73" s="359"/>
      <c r="P73" s="359"/>
      <c r="Q73" s="359"/>
      <c r="R73" s="359"/>
      <c r="S73" s="359"/>
      <c r="T73" s="359"/>
      <c r="U73" s="359"/>
      <c r="V73" s="359"/>
      <c r="W73" s="359"/>
      <c r="X73" s="359"/>
      <c r="Y73" s="359"/>
      <c r="Z73" s="359"/>
      <c r="AA73" s="416">
        <v>3297.0</v>
      </c>
      <c r="AB73" s="416">
        <v>3002.0</v>
      </c>
      <c r="AC73" s="416">
        <v>3585.0</v>
      </c>
      <c r="AD73" s="405">
        <v>3294.0</v>
      </c>
      <c r="AE73" s="405">
        <v>3442.0</v>
      </c>
      <c r="AF73" s="405">
        <v>3795.0</v>
      </c>
      <c r="AG73" s="405">
        <v>3008.0</v>
      </c>
      <c r="AH73" s="405">
        <v>4691.0</v>
      </c>
      <c r="AI73" s="405">
        <v>3979.0</v>
      </c>
      <c r="AJ73" s="405">
        <v>4807.0</v>
      </c>
      <c r="AK73" s="405">
        <v>4930.0</v>
      </c>
      <c r="AL73" s="405">
        <v>3520.0</v>
      </c>
      <c r="AM73" s="405">
        <v>5663.0</v>
      </c>
      <c r="AN73" s="405">
        <v>5243.0</v>
      </c>
      <c r="AO73" s="405">
        <v>6414.0</v>
      </c>
      <c r="AP73" s="405">
        <v>5502.0</v>
      </c>
      <c r="AQ73" s="405">
        <v>5630.0</v>
      </c>
      <c r="AR73" s="405">
        <v>5226.0</v>
      </c>
      <c r="AS73" s="405">
        <v>4104.0</v>
      </c>
      <c r="AT73" s="405">
        <v>5205.0</v>
      </c>
      <c r="AU73" s="405">
        <v>4636.0</v>
      </c>
      <c r="AV73" s="405">
        <v>5480.0</v>
      </c>
      <c r="AW73" s="405">
        <v>5035.0</v>
      </c>
      <c r="AX73" s="405">
        <v>4568.0</v>
      </c>
      <c r="AY73" s="405">
        <v>4720.0</v>
      </c>
      <c r="AZ73" s="405">
        <v>4826.0</v>
      </c>
      <c r="BA73" s="405">
        <v>4711.0</v>
      </c>
      <c r="BB73" s="405">
        <v>5356.0</v>
      </c>
      <c r="BC73" s="405">
        <v>5351.0</v>
      </c>
      <c r="BD73" s="405">
        <v>4948.0</v>
      </c>
      <c r="BE73" s="405">
        <v>6022.0</v>
      </c>
      <c r="BF73" s="405">
        <v>5976.0</v>
      </c>
      <c r="BG73" s="405"/>
      <c r="BH73" s="405"/>
      <c r="BI73" s="405"/>
      <c r="BJ73" s="405"/>
      <c r="BL73" s="415">
        <f>SUM(AP73:BA73)</f>
        <v>59643</v>
      </c>
      <c r="BM73" s="412"/>
      <c r="BN73" s="405">
        <f>sum(AY73:BA73)</f>
        <v>14257</v>
      </c>
      <c r="BO73" s="417">
        <f>sum(BB73:BD73)</f>
        <v>15655</v>
      </c>
      <c r="BP73" s="406">
        <f>sum(BE73:BG73)</f>
        <v>11998</v>
      </c>
      <c r="BQ73" s="417">
        <f>sum(BH73:BJ73)</f>
        <v>0</v>
      </c>
      <c r="BR73" s="415">
        <f>sum(AY73:BJ73)</f>
        <v>41910</v>
      </c>
      <c r="BS73" s="412"/>
      <c r="BT73" s="405">
        <f>sum(AM73:AO73)</f>
        <v>17320</v>
      </c>
      <c r="BU73" s="405">
        <f>sum(AP73:AR73)</f>
        <v>16358</v>
      </c>
      <c r="BV73" s="405">
        <f>sum(AS73:AU73)</f>
        <v>13945</v>
      </c>
      <c r="BW73" s="405">
        <f>sum(AV73:AX73)</f>
        <v>15083</v>
      </c>
      <c r="BX73" s="415">
        <f>sum(AM73:AX73)</f>
        <v>62706</v>
      </c>
      <c r="BY73" s="412"/>
      <c r="BZ73" s="405">
        <f>sum(AA73:AC73)</f>
        <v>9884</v>
      </c>
      <c r="CA73" s="405">
        <f>sum(AD73:AF73)</f>
        <v>10531</v>
      </c>
      <c r="CB73" s="405">
        <f>sum(AG73:AI73)</f>
        <v>11678</v>
      </c>
      <c r="CC73" s="405">
        <f>sum(AJ73:AL73)</f>
        <v>13257</v>
      </c>
      <c r="CD73" s="415">
        <f>sum(AA73:AL73)</f>
        <v>45350</v>
      </c>
      <c r="CE73" s="412"/>
      <c r="CF73" s="415"/>
      <c r="CG73" s="412"/>
      <c r="CH73" s="359"/>
      <c r="CI73" s="359"/>
      <c r="CJ73" s="359"/>
      <c r="CK73" s="359"/>
      <c r="CL73" s="359"/>
      <c r="CM73" s="359"/>
      <c r="CN73" s="359"/>
      <c r="CO73" s="359"/>
      <c r="CP73" s="359"/>
      <c r="CQ73" s="359"/>
      <c r="CR73" s="359"/>
      <c r="CS73" s="359"/>
      <c r="CT73" s="416"/>
      <c r="CU73" s="416"/>
      <c r="CV73" s="416"/>
      <c r="CW73" s="405"/>
      <c r="CX73" s="405"/>
      <c r="CY73" s="405"/>
      <c r="CZ73" s="405"/>
      <c r="DA73" s="405"/>
      <c r="DB73" s="405"/>
      <c r="DC73" s="405"/>
      <c r="DD73" s="405"/>
      <c r="DE73" s="405"/>
      <c r="DF73" s="405"/>
      <c r="DG73" s="405"/>
      <c r="DH73" s="405"/>
      <c r="DI73" s="405"/>
      <c r="DJ73" s="405"/>
      <c r="DK73" s="405"/>
      <c r="DL73" s="405"/>
      <c r="DM73" s="405"/>
      <c r="DN73" s="405"/>
      <c r="DO73" s="405"/>
      <c r="DP73" s="405"/>
      <c r="DQ73" s="405"/>
      <c r="DR73" s="405"/>
      <c r="DS73" s="405"/>
      <c r="DT73" s="405"/>
      <c r="DU73" s="405"/>
      <c r="DV73" s="405"/>
      <c r="DW73" s="405"/>
      <c r="DX73" s="405"/>
      <c r="DY73" s="405"/>
      <c r="DZ73" s="405"/>
      <c r="EA73" s="405"/>
      <c r="EB73" s="405"/>
      <c r="EC73" s="405"/>
    </row>
    <row r="74">
      <c r="B74" s="387" t="s">
        <v>543</v>
      </c>
      <c r="C74" s="359"/>
      <c r="D74" s="359"/>
      <c r="E74" s="359"/>
      <c r="F74" s="359"/>
      <c r="G74" s="359"/>
      <c r="H74" s="359"/>
      <c r="I74" s="359"/>
      <c r="J74" s="359"/>
      <c r="K74" s="359"/>
      <c r="L74" s="359"/>
      <c r="M74" s="359"/>
      <c r="N74" s="359"/>
      <c r="O74" s="359"/>
      <c r="P74" s="359"/>
      <c r="Q74" s="359"/>
      <c r="R74" s="359"/>
      <c r="S74" s="359"/>
      <c r="T74" s="359"/>
      <c r="U74" s="359"/>
      <c r="V74" s="359"/>
      <c r="W74" s="359"/>
      <c r="X74" s="359"/>
      <c r="Y74" s="359"/>
      <c r="Z74" s="359"/>
      <c r="AA74" s="410">
        <f t="shared" ref="AA74:AX74" si="156">AA73/AA72</f>
        <v>0.7925480769</v>
      </c>
      <c r="AB74" s="410">
        <f t="shared" si="156"/>
        <v>0.618543956</v>
      </c>
      <c r="AC74" s="410">
        <f t="shared" si="156"/>
        <v>0.6671836228</v>
      </c>
      <c r="AD74" s="410">
        <f t="shared" si="156"/>
        <v>0.5589366516</v>
      </c>
      <c r="AE74" s="410">
        <f t="shared" si="156"/>
        <v>0.5673626374</v>
      </c>
      <c r="AF74" s="410">
        <f t="shared" si="156"/>
        <v>0.6081730769</v>
      </c>
      <c r="AG74" s="410">
        <f t="shared" si="156"/>
        <v>0.4449704142</v>
      </c>
      <c r="AH74" s="410">
        <f t="shared" si="156"/>
        <v>0.6600844278</v>
      </c>
      <c r="AI74" s="410">
        <f t="shared" si="156"/>
        <v>0.5598968105</v>
      </c>
      <c r="AJ74" s="410">
        <f t="shared" si="156"/>
        <v>0.7298076923</v>
      </c>
      <c r="AK74" s="410">
        <f t="shared" si="156"/>
        <v>0.6614490161</v>
      </c>
      <c r="AL74" s="410">
        <f t="shared" si="156"/>
        <v>0.4320785597</v>
      </c>
      <c r="AM74" s="410">
        <f t="shared" si="156"/>
        <v>0.6806490385</v>
      </c>
      <c r="AN74" s="410">
        <f t="shared" si="156"/>
        <v>0.581693787</v>
      </c>
      <c r="AO74" s="410">
        <f t="shared" si="156"/>
        <v>0.7400769231</v>
      </c>
      <c r="AP74" s="410">
        <f t="shared" si="156"/>
        <v>0.7053846154</v>
      </c>
      <c r="AQ74" s="410">
        <f t="shared" si="156"/>
        <v>0.7061036789</v>
      </c>
      <c r="AR74" s="410">
        <f t="shared" si="156"/>
        <v>0.6414893617</v>
      </c>
      <c r="AS74" s="410">
        <f t="shared" si="156"/>
        <v>0.4832025118</v>
      </c>
      <c r="AT74" s="410">
        <f t="shared" si="156"/>
        <v>0.5774778107</v>
      </c>
      <c r="AU74" s="410">
        <f t="shared" si="156"/>
        <v>0.5244343891</v>
      </c>
      <c r="AV74" s="410">
        <f t="shared" si="156"/>
        <v>0.6199095023</v>
      </c>
      <c r="AW74" s="410">
        <f t="shared" si="156"/>
        <v>0.5809615385</v>
      </c>
      <c r="AX74" s="410">
        <f t="shared" si="156"/>
        <v>0.5490384615</v>
      </c>
      <c r="AY74" s="410">
        <f t="shared" ref="AY74:BJ74" si="157">IFERROR(AY73/AY72,0)</f>
        <v>0.5793780687</v>
      </c>
      <c r="AZ74" s="410">
        <f t="shared" si="157"/>
        <v>0.5923895254</v>
      </c>
      <c r="BA74" s="410">
        <f t="shared" si="157"/>
        <v>0.603974359</v>
      </c>
      <c r="BB74" s="410">
        <f t="shared" si="157"/>
        <v>0.7022727273</v>
      </c>
      <c r="BC74" s="410">
        <f t="shared" si="157"/>
        <v>0.7016171329</v>
      </c>
      <c r="BD74" s="410">
        <f t="shared" si="157"/>
        <v>0.6343589744</v>
      </c>
      <c r="BE74" s="410">
        <f t="shared" si="157"/>
        <v>0.739198036</v>
      </c>
      <c r="BF74" s="410">
        <f t="shared" si="157"/>
        <v>0.6895384615</v>
      </c>
      <c r="BG74" s="410">
        <f t="shared" si="157"/>
        <v>0</v>
      </c>
      <c r="BH74" s="410">
        <f t="shared" si="157"/>
        <v>0</v>
      </c>
      <c r="BI74" s="410">
        <f t="shared" si="157"/>
        <v>0</v>
      </c>
      <c r="BJ74" s="410">
        <f t="shared" si="157"/>
        <v>0</v>
      </c>
      <c r="BL74" s="415">
        <f>IFERROR(BL73/BL72,0)</f>
        <v>7.14382486</v>
      </c>
      <c r="BM74" s="412"/>
      <c r="BN74" s="418">
        <f t="shared" ref="BN74:BR74" si="158">IFERROR(BN73/BN72,0)</f>
        <v>0</v>
      </c>
      <c r="BO74" s="418">
        <f t="shared" si="158"/>
        <v>0</v>
      </c>
      <c r="BP74" s="418">
        <f t="shared" si="158"/>
        <v>0</v>
      </c>
      <c r="BQ74" s="418">
        <f t="shared" si="158"/>
        <v>0</v>
      </c>
      <c r="BR74" s="419">
        <f t="shared" si="158"/>
        <v>0</v>
      </c>
      <c r="BS74" s="412"/>
      <c r="BT74" s="405"/>
      <c r="BU74" s="405"/>
      <c r="BV74" s="405"/>
      <c r="BW74" s="405"/>
      <c r="BX74" s="415"/>
      <c r="BY74" s="412"/>
      <c r="BZ74" s="405"/>
      <c r="CA74" s="405"/>
      <c r="CB74" s="405"/>
      <c r="CC74" s="405"/>
      <c r="CD74" s="415"/>
      <c r="CE74" s="412"/>
      <c r="CF74" s="415"/>
      <c r="CG74" s="412"/>
      <c r="CH74" s="359"/>
      <c r="CI74" s="359"/>
      <c r="CJ74" s="359"/>
      <c r="CK74" s="359"/>
      <c r="CL74" s="359"/>
      <c r="CM74" s="359"/>
      <c r="CN74" s="359"/>
      <c r="CO74" s="359"/>
      <c r="CP74" s="359"/>
      <c r="CQ74" s="359"/>
      <c r="CR74" s="359"/>
      <c r="CS74" s="359"/>
      <c r="CT74" s="410"/>
      <c r="CU74" s="410"/>
      <c r="CV74" s="410"/>
      <c r="CW74" s="410"/>
      <c r="CX74" s="410"/>
      <c r="CY74" s="410"/>
      <c r="CZ74" s="410"/>
      <c r="DA74" s="410"/>
      <c r="DB74" s="410"/>
      <c r="DC74" s="410"/>
      <c r="DD74" s="410"/>
      <c r="DE74" s="410"/>
      <c r="DF74" s="410"/>
      <c r="DG74" s="410"/>
      <c r="DH74" s="410"/>
      <c r="DI74" s="410"/>
      <c r="DJ74" s="410"/>
      <c r="DK74" s="410"/>
      <c r="DL74" s="410"/>
      <c r="DM74" s="410"/>
      <c r="DN74" s="410"/>
      <c r="DO74" s="410"/>
      <c r="DP74" s="410"/>
      <c r="DQ74" s="410"/>
      <c r="DR74" s="410"/>
      <c r="DS74" s="410"/>
      <c r="DT74" s="410"/>
      <c r="DU74" s="410"/>
      <c r="DV74" s="410"/>
      <c r="DW74" s="410"/>
      <c r="DX74" s="410"/>
      <c r="DY74" s="410"/>
      <c r="DZ74" s="410"/>
      <c r="EA74" s="410"/>
      <c r="EB74" s="410"/>
      <c r="EC74" s="410"/>
    </row>
    <row r="75">
      <c r="B75" s="387" t="s">
        <v>544</v>
      </c>
      <c r="C75" s="359"/>
      <c r="D75" s="359"/>
      <c r="E75" s="359"/>
      <c r="F75" s="359"/>
      <c r="G75" s="359"/>
      <c r="H75" s="359"/>
      <c r="I75" s="359"/>
      <c r="J75" s="359"/>
      <c r="K75" s="359"/>
      <c r="L75" s="359"/>
      <c r="M75" s="359"/>
      <c r="N75" s="359"/>
      <c r="O75" s="359"/>
      <c r="P75" s="359"/>
      <c r="Q75" s="359"/>
      <c r="R75" s="359"/>
      <c r="S75" s="359"/>
      <c r="T75" s="359"/>
      <c r="U75" s="359"/>
      <c r="V75" s="359"/>
      <c r="W75" s="359"/>
      <c r="X75" s="359"/>
      <c r="Y75" s="359"/>
      <c r="Z75" s="359"/>
      <c r="AA75" s="416">
        <v>4413.0</v>
      </c>
      <c r="AB75" s="416">
        <v>4010.0</v>
      </c>
      <c r="AC75" s="416">
        <v>5921.0</v>
      </c>
      <c r="AD75" s="405">
        <v>4461.0</v>
      </c>
      <c r="AE75" s="405">
        <v>4931.0</v>
      </c>
      <c r="AF75" s="405">
        <v>5779.0</v>
      </c>
      <c r="AG75" s="405">
        <v>4895.0</v>
      </c>
      <c r="AH75" s="405">
        <v>7727.0</v>
      </c>
      <c r="AI75" s="405">
        <v>6007.0</v>
      </c>
      <c r="AJ75" s="405">
        <v>6521.0</v>
      </c>
      <c r="AK75" s="405">
        <v>6832.0</v>
      </c>
      <c r="AL75" s="405">
        <v>4738.0</v>
      </c>
      <c r="AM75" s="405">
        <v>7295.0</v>
      </c>
      <c r="AN75" s="405">
        <v>6481.0</v>
      </c>
      <c r="AO75" s="405">
        <v>8001.0</v>
      </c>
      <c r="AP75" s="405">
        <v>6575.0</v>
      </c>
      <c r="AQ75" s="405">
        <v>6922.0</v>
      </c>
      <c r="AR75" s="405">
        <v>6541.0</v>
      </c>
      <c r="AS75" s="405">
        <v>5072.0</v>
      </c>
      <c r="AT75" s="405">
        <v>6260.0</v>
      </c>
      <c r="AU75" s="405">
        <v>5070.0</v>
      </c>
      <c r="AV75" s="405">
        <v>6014.0</v>
      </c>
      <c r="AW75" s="405">
        <v>5662.0</v>
      </c>
      <c r="AX75" s="405">
        <v>5130.0</v>
      </c>
      <c r="AY75" s="405">
        <v>5150.0</v>
      </c>
      <c r="AZ75" s="405">
        <v>5202.0</v>
      </c>
      <c r="BA75" s="405">
        <v>5225.0</v>
      </c>
      <c r="BB75" s="405">
        <v>5532.0</v>
      </c>
      <c r="BC75" s="405">
        <v>5741.0</v>
      </c>
      <c r="BD75" s="405">
        <v>5650.0</v>
      </c>
      <c r="BE75" s="405">
        <v>6352.0</v>
      </c>
      <c r="BF75" s="405">
        <v>6280.0</v>
      </c>
      <c r="BG75" s="405"/>
      <c r="BH75" s="405"/>
      <c r="BI75" s="405"/>
      <c r="BJ75" s="405"/>
      <c r="BL75" s="415">
        <f>SUM(AP75:BA75)</f>
        <v>68823</v>
      </c>
      <c r="BM75" s="412"/>
      <c r="BN75" s="405">
        <f>sum(AY75:BA75)</f>
        <v>15577</v>
      </c>
      <c r="BO75" s="417">
        <f>sum(BB75:BD75)</f>
        <v>16923</v>
      </c>
      <c r="BP75" s="406">
        <f>sum(BE75:BG75)</f>
        <v>12632</v>
      </c>
      <c r="BQ75" s="417">
        <f>sum(BH75:BJ75)</f>
        <v>0</v>
      </c>
      <c r="BR75" s="415">
        <f>sum(AY75:BJ75)</f>
        <v>45132</v>
      </c>
      <c r="BS75" s="412"/>
      <c r="BT75" s="405">
        <f>sum(AM75:AO75)</f>
        <v>21777</v>
      </c>
      <c r="BU75" s="405">
        <f>sum(AP75:AR75)</f>
        <v>20038</v>
      </c>
      <c r="BV75" s="405">
        <f>sum(AS75:AU75)</f>
        <v>16402</v>
      </c>
      <c r="BW75" s="405">
        <f>sum(AV75:AX75)</f>
        <v>16806</v>
      </c>
      <c r="BX75" s="415">
        <f>sum(AM75:AX75)</f>
        <v>75023</v>
      </c>
      <c r="BY75" s="412"/>
      <c r="BZ75" s="405">
        <f>sum(AA75:AC75)</f>
        <v>14344</v>
      </c>
      <c r="CA75" s="405">
        <f>sum(AD75:AF75)</f>
        <v>15171</v>
      </c>
      <c r="CB75" s="405">
        <f>sum(AG75:AI75)</f>
        <v>18629</v>
      </c>
      <c r="CC75" s="405">
        <f>sum(AJ75:AL75)</f>
        <v>18091</v>
      </c>
      <c r="CD75" s="415">
        <f>sum(AA75:AL75)</f>
        <v>66235</v>
      </c>
      <c r="CE75" s="412"/>
      <c r="CF75" s="415"/>
      <c r="CG75" s="412"/>
      <c r="CH75" s="359"/>
      <c r="CI75" s="359"/>
      <c r="CJ75" s="359"/>
      <c r="CK75" s="359"/>
      <c r="CL75" s="359"/>
      <c r="CM75" s="359"/>
      <c r="CN75" s="359"/>
      <c r="CO75" s="359"/>
      <c r="CP75" s="359"/>
      <c r="CQ75" s="359"/>
      <c r="CR75" s="359"/>
      <c r="CS75" s="359"/>
      <c r="CT75" s="416"/>
      <c r="CU75" s="416"/>
      <c r="CV75" s="416"/>
      <c r="CW75" s="405"/>
      <c r="CX75" s="405"/>
      <c r="CY75" s="405"/>
      <c r="CZ75" s="405"/>
      <c r="DA75" s="405"/>
      <c r="DB75" s="405"/>
      <c r="DC75" s="405"/>
      <c r="DD75" s="405"/>
      <c r="DE75" s="405"/>
      <c r="DF75" s="405"/>
      <c r="DG75" s="405"/>
      <c r="DH75" s="405"/>
      <c r="DI75" s="405"/>
      <c r="DJ75" s="405"/>
      <c r="DK75" s="405"/>
      <c r="DL75" s="405"/>
      <c r="DM75" s="405"/>
      <c r="DN75" s="405"/>
      <c r="DO75" s="405"/>
      <c r="DP75" s="405"/>
      <c r="DQ75" s="405"/>
      <c r="DR75" s="405"/>
      <c r="DS75" s="405"/>
      <c r="DT75" s="405"/>
      <c r="DU75" s="405"/>
      <c r="DV75" s="405"/>
      <c r="DW75" s="405"/>
      <c r="DX75" s="405"/>
      <c r="DY75" s="405"/>
      <c r="DZ75" s="405"/>
      <c r="EA75" s="405"/>
      <c r="EB75" s="405"/>
      <c r="EC75" s="405"/>
    </row>
    <row r="76">
      <c r="B76" s="387" t="s">
        <v>545</v>
      </c>
      <c r="C76" s="359"/>
      <c r="D76" s="359"/>
      <c r="E76" s="359"/>
      <c r="F76" s="359"/>
      <c r="G76" s="359"/>
      <c r="H76" s="359"/>
      <c r="I76" s="359"/>
      <c r="J76" s="359"/>
      <c r="K76" s="359"/>
      <c r="L76" s="359"/>
      <c r="M76" s="359"/>
      <c r="N76" s="359"/>
      <c r="O76" s="359"/>
      <c r="P76" s="359"/>
      <c r="Q76" s="359"/>
      <c r="R76" s="359"/>
      <c r="S76" s="359"/>
      <c r="T76" s="359"/>
      <c r="U76" s="359"/>
      <c r="V76" s="359"/>
      <c r="W76" s="359"/>
      <c r="X76" s="359"/>
      <c r="Y76" s="359"/>
      <c r="Z76" s="359"/>
      <c r="AA76" s="405">
        <f t="shared" ref="AA76:AX76" si="159">AA75/AA69</f>
        <v>183.875</v>
      </c>
      <c r="AB76" s="405">
        <f t="shared" si="159"/>
        <v>143.2142857</v>
      </c>
      <c r="AC76" s="405">
        <f t="shared" si="159"/>
        <v>191</v>
      </c>
      <c r="AD76" s="405">
        <f t="shared" si="159"/>
        <v>131.2058824</v>
      </c>
      <c r="AE76" s="405">
        <f t="shared" si="159"/>
        <v>140.8857143</v>
      </c>
      <c r="AF76" s="405">
        <f t="shared" si="159"/>
        <v>160.5277778</v>
      </c>
      <c r="AG76" s="405">
        <f t="shared" si="159"/>
        <v>125.5128205</v>
      </c>
      <c r="AH76" s="405">
        <f t="shared" si="159"/>
        <v>188.4634146</v>
      </c>
      <c r="AI76" s="405">
        <f t="shared" si="159"/>
        <v>146.5121951</v>
      </c>
      <c r="AJ76" s="405">
        <f t="shared" si="159"/>
        <v>171.6052632</v>
      </c>
      <c r="AK76" s="405">
        <f t="shared" si="159"/>
        <v>158.8837209</v>
      </c>
      <c r="AL76" s="405">
        <f t="shared" si="159"/>
        <v>100.8085106</v>
      </c>
      <c r="AM76" s="405">
        <f t="shared" si="159"/>
        <v>151.9791667</v>
      </c>
      <c r="AN76" s="405">
        <f t="shared" si="159"/>
        <v>124.6346154</v>
      </c>
      <c r="AO76" s="405">
        <f t="shared" si="159"/>
        <v>160.02</v>
      </c>
      <c r="AP76" s="405">
        <f t="shared" si="159"/>
        <v>146.1111111</v>
      </c>
      <c r="AQ76" s="405">
        <f t="shared" si="159"/>
        <v>150.4782609</v>
      </c>
      <c r="AR76" s="405">
        <f t="shared" si="159"/>
        <v>139.1702128</v>
      </c>
      <c r="AS76" s="405">
        <f t="shared" si="159"/>
        <v>103.5102041</v>
      </c>
      <c r="AT76" s="405">
        <f t="shared" si="159"/>
        <v>120.3846154</v>
      </c>
      <c r="AU76" s="405">
        <f t="shared" si="159"/>
        <v>99.41176471</v>
      </c>
      <c r="AV76" s="405">
        <f t="shared" si="159"/>
        <v>117.9215686</v>
      </c>
      <c r="AW76" s="405">
        <f t="shared" si="159"/>
        <v>113.24</v>
      </c>
      <c r="AX76" s="405">
        <f t="shared" si="159"/>
        <v>106.875</v>
      </c>
      <c r="AY76" s="405">
        <f t="shared" ref="AY76:BJ76" si="160">IFERROR(AY75/AY69,0)</f>
        <v>109.5744681</v>
      </c>
      <c r="AZ76" s="405">
        <f t="shared" si="160"/>
        <v>110.6808511</v>
      </c>
      <c r="BA76" s="405">
        <f t="shared" si="160"/>
        <v>116.1111111</v>
      </c>
      <c r="BB76" s="405">
        <f t="shared" si="160"/>
        <v>125.7272727</v>
      </c>
      <c r="BC76" s="405">
        <f t="shared" si="160"/>
        <v>130.4772727</v>
      </c>
      <c r="BD76" s="405">
        <f t="shared" si="160"/>
        <v>125.5555556</v>
      </c>
      <c r="BE76" s="405">
        <f t="shared" si="160"/>
        <v>135.1489362</v>
      </c>
      <c r="BF76" s="405">
        <f t="shared" si="160"/>
        <v>125.6</v>
      </c>
      <c r="BG76" s="405">
        <f t="shared" si="160"/>
        <v>0</v>
      </c>
      <c r="BH76" s="405">
        <f t="shared" si="160"/>
        <v>0</v>
      </c>
      <c r="BI76" s="405">
        <f t="shared" si="160"/>
        <v>0</v>
      </c>
      <c r="BJ76" s="405">
        <f t="shared" si="160"/>
        <v>0</v>
      </c>
      <c r="BL76" s="415">
        <f>BL75/BL69</f>
        <v>1428.851211</v>
      </c>
      <c r="BM76" s="412"/>
      <c r="BN76" s="405">
        <f t="shared" ref="BN76:BR76" si="161">IFERROR(BN75/(BN69*3),0)</f>
        <v>112.0647482</v>
      </c>
      <c r="BO76" s="405">
        <f t="shared" si="161"/>
        <v>127.2406015</v>
      </c>
      <c r="BP76" s="405">
        <f t="shared" si="161"/>
        <v>130.2268041</v>
      </c>
      <c r="BQ76" s="405">
        <f t="shared" si="161"/>
        <v>0</v>
      </c>
      <c r="BR76" s="415">
        <f t="shared" si="161"/>
        <v>0</v>
      </c>
      <c r="BS76" s="412"/>
      <c r="BT76" s="405">
        <f t="shared" ref="BT76:BW76" si="162">BT75/(BT69*3)</f>
        <v>145.18</v>
      </c>
      <c r="BU76" s="405">
        <f t="shared" si="162"/>
        <v>145.2028986</v>
      </c>
      <c r="BV76" s="405">
        <f t="shared" si="162"/>
        <v>107.9078947</v>
      </c>
      <c r="BW76" s="405">
        <f t="shared" si="162"/>
        <v>112.7919463</v>
      </c>
      <c r="BX76" s="415">
        <f>BX75/BX69</f>
        <v>1510.530201</v>
      </c>
      <c r="BY76" s="412"/>
      <c r="BZ76" s="405">
        <f t="shared" ref="BZ76:CC76" si="163">BZ75/(BZ69*3)</f>
        <v>172.8192771</v>
      </c>
      <c r="CA76" s="405">
        <f t="shared" si="163"/>
        <v>144.4857143</v>
      </c>
      <c r="CB76" s="405">
        <f t="shared" si="163"/>
        <v>153.9586777</v>
      </c>
      <c r="CC76" s="405">
        <f t="shared" si="163"/>
        <v>141.3359375</v>
      </c>
      <c r="CD76" s="415">
        <f>CD75/CD69</f>
        <v>1552.382813</v>
      </c>
      <c r="CE76" s="412"/>
      <c r="CF76" s="415"/>
      <c r="CG76" s="412"/>
      <c r="CH76" s="359"/>
      <c r="CI76" s="359"/>
      <c r="CJ76" s="359"/>
      <c r="CK76" s="359"/>
      <c r="CL76" s="359"/>
      <c r="CM76" s="359"/>
      <c r="CN76" s="359"/>
      <c r="CO76" s="359"/>
      <c r="CP76" s="359"/>
      <c r="CQ76" s="359"/>
      <c r="CR76" s="359"/>
      <c r="CS76" s="359"/>
      <c r="CT76" s="405"/>
      <c r="CU76" s="405"/>
      <c r="CV76" s="405"/>
      <c r="CW76" s="405"/>
      <c r="CX76" s="405"/>
      <c r="CY76" s="405"/>
      <c r="CZ76" s="405"/>
      <c r="DA76" s="405"/>
      <c r="DB76" s="405"/>
      <c r="DC76" s="405"/>
      <c r="DD76" s="405"/>
      <c r="DE76" s="405"/>
      <c r="DF76" s="405"/>
      <c r="DG76" s="405"/>
      <c r="DH76" s="405"/>
      <c r="DI76" s="405"/>
      <c r="DJ76" s="405"/>
      <c r="DK76" s="405"/>
      <c r="DL76" s="405"/>
      <c r="DM76" s="405"/>
      <c r="DN76" s="405"/>
      <c r="DO76" s="405"/>
      <c r="DP76" s="405"/>
      <c r="DQ76" s="405"/>
      <c r="DR76" s="405"/>
      <c r="DS76" s="405"/>
      <c r="DT76" s="405"/>
      <c r="DU76" s="405"/>
      <c r="DV76" s="405"/>
      <c r="DW76" s="405"/>
      <c r="DX76" s="405"/>
      <c r="DY76" s="405"/>
      <c r="DZ76" s="405"/>
      <c r="EA76" s="405"/>
      <c r="EB76" s="405"/>
      <c r="EC76" s="405"/>
    </row>
    <row r="77">
      <c r="B77" s="387" t="s">
        <v>546</v>
      </c>
      <c r="C77" s="359"/>
      <c r="D77" s="359"/>
      <c r="E77" s="359"/>
      <c r="F77" s="359"/>
      <c r="G77" s="359"/>
      <c r="H77" s="359"/>
      <c r="I77" s="359"/>
      <c r="J77" s="359"/>
      <c r="K77" s="359"/>
      <c r="L77" s="359"/>
      <c r="M77" s="359"/>
      <c r="N77" s="359"/>
      <c r="O77" s="359"/>
      <c r="P77" s="359"/>
      <c r="Q77" s="359"/>
      <c r="R77" s="359"/>
      <c r="S77" s="359"/>
      <c r="T77" s="359"/>
      <c r="U77" s="359"/>
      <c r="V77" s="359"/>
      <c r="W77" s="359"/>
      <c r="X77" s="359"/>
      <c r="Y77" s="359"/>
      <c r="Z77" s="359"/>
      <c r="AA77" s="420">
        <f t="shared" ref="AA77:AX77" si="164">(AA75-AA73)/AA73</f>
        <v>0.3384895359</v>
      </c>
      <c r="AB77" s="420">
        <f t="shared" si="164"/>
        <v>0.3357761492</v>
      </c>
      <c r="AC77" s="420">
        <f t="shared" si="164"/>
        <v>0.6516039052</v>
      </c>
      <c r="AD77" s="420">
        <f t="shared" si="164"/>
        <v>0.35428051</v>
      </c>
      <c r="AE77" s="420">
        <f t="shared" si="164"/>
        <v>0.4325973271</v>
      </c>
      <c r="AF77" s="420">
        <f t="shared" si="164"/>
        <v>0.5227931489</v>
      </c>
      <c r="AG77" s="420">
        <f t="shared" si="164"/>
        <v>0.6273271277</v>
      </c>
      <c r="AH77" s="420">
        <f t="shared" si="164"/>
        <v>0.6471967598</v>
      </c>
      <c r="AI77" s="420">
        <f t="shared" si="164"/>
        <v>0.5096757979</v>
      </c>
      <c r="AJ77" s="420">
        <f t="shared" si="164"/>
        <v>0.3565633451</v>
      </c>
      <c r="AK77" s="420">
        <f t="shared" si="164"/>
        <v>0.385801217</v>
      </c>
      <c r="AL77" s="420">
        <f t="shared" si="164"/>
        <v>0.3460227273</v>
      </c>
      <c r="AM77" s="420">
        <f t="shared" si="164"/>
        <v>0.2881864736</v>
      </c>
      <c r="AN77" s="420">
        <f t="shared" si="164"/>
        <v>0.2361243563</v>
      </c>
      <c r="AO77" s="420">
        <f t="shared" si="164"/>
        <v>0.2474275023</v>
      </c>
      <c r="AP77" s="420">
        <f t="shared" si="164"/>
        <v>0.1950199927</v>
      </c>
      <c r="AQ77" s="420">
        <f t="shared" si="164"/>
        <v>0.2294849023</v>
      </c>
      <c r="AR77" s="420">
        <f t="shared" si="164"/>
        <v>0.251626483</v>
      </c>
      <c r="AS77" s="420">
        <f t="shared" si="164"/>
        <v>0.2358674464</v>
      </c>
      <c r="AT77" s="420">
        <f t="shared" si="164"/>
        <v>0.2026897214</v>
      </c>
      <c r="AU77" s="420">
        <f t="shared" si="164"/>
        <v>0.0936151855</v>
      </c>
      <c r="AV77" s="420">
        <f t="shared" si="164"/>
        <v>0.09744525547</v>
      </c>
      <c r="AW77" s="420">
        <f t="shared" si="164"/>
        <v>0.1245283019</v>
      </c>
      <c r="AX77" s="420">
        <f t="shared" si="164"/>
        <v>0.1230297723</v>
      </c>
      <c r="AY77" s="420">
        <f t="shared" ref="AY77:BJ77" si="165">IFERROR((AY75-AY73)/AY73,0)</f>
        <v>0.09110169492</v>
      </c>
      <c r="AZ77" s="420">
        <f t="shared" si="165"/>
        <v>0.07791131372</v>
      </c>
      <c r="BA77" s="420">
        <f t="shared" si="165"/>
        <v>0.1091063468</v>
      </c>
      <c r="BB77" s="420">
        <f t="shared" si="165"/>
        <v>0.03286034354</v>
      </c>
      <c r="BC77" s="420">
        <f t="shared" si="165"/>
        <v>0.07288357316</v>
      </c>
      <c r="BD77" s="420">
        <f t="shared" si="165"/>
        <v>0.1418755053</v>
      </c>
      <c r="BE77" s="420">
        <f t="shared" si="165"/>
        <v>0.05479907008</v>
      </c>
      <c r="BF77" s="420">
        <f t="shared" si="165"/>
        <v>0.05087014726</v>
      </c>
      <c r="BG77" s="420">
        <f t="shared" si="165"/>
        <v>0</v>
      </c>
      <c r="BH77" s="420">
        <f t="shared" si="165"/>
        <v>0</v>
      </c>
      <c r="BI77" s="420">
        <f t="shared" si="165"/>
        <v>0</v>
      </c>
      <c r="BJ77" s="420">
        <f t="shared" si="165"/>
        <v>0</v>
      </c>
      <c r="BL77" s="421">
        <f>(BL75-BL73)/BL73</f>
        <v>0.153915799</v>
      </c>
      <c r="BM77" s="422"/>
      <c r="BN77" s="420">
        <f t="shared" ref="BN77:BR77" si="166">IFERROR((BN75-BN73)/BN73,0)</f>
        <v>0.09258609806</v>
      </c>
      <c r="BO77" s="420">
        <f t="shared" si="166"/>
        <v>0.08099648675</v>
      </c>
      <c r="BP77" s="420">
        <f t="shared" si="166"/>
        <v>0.05284214036</v>
      </c>
      <c r="BQ77" s="420">
        <f t="shared" si="166"/>
        <v>0</v>
      </c>
      <c r="BR77" s="421">
        <f t="shared" si="166"/>
        <v>0.07687902649</v>
      </c>
      <c r="BS77" s="422"/>
      <c r="BT77" s="420">
        <f t="shared" ref="BT77:BX77" si="167">(BT75-BT73)/BT73</f>
        <v>0.2573325635</v>
      </c>
      <c r="BU77" s="420">
        <f t="shared" si="167"/>
        <v>0.2249663773</v>
      </c>
      <c r="BV77" s="420">
        <f t="shared" si="167"/>
        <v>0.1761921836</v>
      </c>
      <c r="BW77" s="420">
        <f t="shared" si="167"/>
        <v>0.1142345687</v>
      </c>
      <c r="BX77" s="421">
        <f t="shared" si="167"/>
        <v>0.1964245846</v>
      </c>
      <c r="BY77" s="422"/>
      <c r="BZ77" s="420">
        <f t="shared" ref="BZ77:CD77" si="168">(BZ75-BZ73)/BZ73</f>
        <v>0.4512343181</v>
      </c>
      <c r="CA77" s="420">
        <f t="shared" si="168"/>
        <v>0.4406039313</v>
      </c>
      <c r="CB77" s="420">
        <f t="shared" si="168"/>
        <v>0.5952217846</v>
      </c>
      <c r="CC77" s="420">
        <f t="shared" si="168"/>
        <v>0.36463755</v>
      </c>
      <c r="CD77" s="421">
        <f t="shared" si="168"/>
        <v>0.4605292172</v>
      </c>
      <c r="CE77" s="422"/>
      <c r="CF77" s="421"/>
      <c r="CG77" s="422"/>
      <c r="CH77" s="359"/>
      <c r="CI77" s="359"/>
      <c r="CJ77" s="359"/>
      <c r="CK77" s="359"/>
      <c r="CL77" s="359"/>
      <c r="CM77" s="359"/>
      <c r="CN77" s="359"/>
      <c r="CO77" s="359"/>
      <c r="CP77" s="359"/>
      <c r="CQ77" s="359"/>
      <c r="CR77" s="359"/>
      <c r="CS77" s="359"/>
      <c r="CT77" s="420"/>
      <c r="CU77" s="420"/>
      <c r="CV77" s="420"/>
      <c r="CW77" s="420"/>
      <c r="CX77" s="420"/>
      <c r="CY77" s="420"/>
      <c r="CZ77" s="420"/>
      <c r="DA77" s="420"/>
      <c r="DB77" s="420"/>
      <c r="DC77" s="420"/>
      <c r="DD77" s="420"/>
      <c r="DE77" s="420"/>
      <c r="DF77" s="420"/>
      <c r="DG77" s="420"/>
      <c r="DH77" s="420"/>
      <c r="DI77" s="420"/>
      <c r="DJ77" s="420"/>
      <c r="DK77" s="420"/>
      <c r="DL77" s="420"/>
      <c r="DM77" s="420"/>
      <c r="DN77" s="420"/>
      <c r="DO77" s="420"/>
      <c r="DP77" s="420"/>
      <c r="DQ77" s="420"/>
      <c r="DR77" s="420"/>
      <c r="DS77" s="420"/>
      <c r="DT77" s="420"/>
      <c r="DU77" s="420"/>
      <c r="DV77" s="420"/>
      <c r="DW77" s="420"/>
      <c r="DX77" s="420"/>
      <c r="DY77" s="420"/>
      <c r="DZ77" s="420"/>
      <c r="EA77" s="420"/>
      <c r="EB77" s="420"/>
      <c r="EC77" s="420"/>
    </row>
    <row r="78">
      <c r="BL78" s="34"/>
      <c r="BR78" s="34"/>
      <c r="BX78" s="34"/>
      <c r="CD78" s="34"/>
      <c r="CF78" s="34"/>
      <c r="CG78" s="136"/>
    </row>
    <row r="79">
      <c r="B79" s="398" t="s">
        <v>547</v>
      </c>
      <c r="C79" s="359"/>
      <c r="D79" s="359"/>
      <c r="E79" s="359"/>
      <c r="F79" s="359"/>
      <c r="G79" s="359"/>
      <c r="H79" s="359"/>
      <c r="I79" s="359"/>
      <c r="J79" s="359"/>
      <c r="K79" s="359"/>
      <c r="L79" s="359"/>
      <c r="M79" s="359"/>
      <c r="N79" s="359"/>
      <c r="O79" s="359"/>
      <c r="P79" s="359"/>
      <c r="Q79" s="359"/>
      <c r="R79" s="359"/>
      <c r="S79" s="359"/>
      <c r="T79" s="359"/>
      <c r="U79" s="359"/>
      <c r="V79" s="359"/>
      <c r="W79" s="359"/>
      <c r="X79" s="359"/>
      <c r="Y79" s="359"/>
      <c r="Z79" s="359"/>
      <c r="AA79" s="418"/>
      <c r="AB79" s="418"/>
      <c r="AC79" s="418"/>
      <c r="AD79" s="418"/>
      <c r="AE79" s="418"/>
      <c r="AF79" s="418"/>
      <c r="AG79" s="418"/>
      <c r="AH79" s="418"/>
      <c r="AI79" s="418"/>
      <c r="AJ79" s="418"/>
      <c r="AK79" s="418"/>
      <c r="AL79" s="418"/>
      <c r="AM79" s="418"/>
      <c r="AN79" s="418"/>
      <c r="AO79" s="418"/>
      <c r="AP79" s="418"/>
      <c r="AQ79" s="418"/>
      <c r="AR79" s="418"/>
      <c r="AS79" s="418"/>
      <c r="AT79" s="418"/>
      <c r="AU79" s="418"/>
      <c r="AV79" s="418"/>
      <c r="AW79" s="418"/>
      <c r="AX79" s="418"/>
      <c r="AY79" s="418"/>
      <c r="AZ79" s="418"/>
      <c r="BA79" s="418"/>
      <c r="BB79" s="418"/>
      <c r="BC79" s="418"/>
      <c r="BD79" s="418"/>
      <c r="BE79" s="418"/>
      <c r="BF79" s="418"/>
      <c r="BG79" s="418"/>
      <c r="BH79" s="418"/>
      <c r="BI79" s="418"/>
      <c r="BJ79" s="418"/>
      <c r="BL79" s="419"/>
      <c r="BM79" s="423"/>
      <c r="BN79" s="418"/>
      <c r="BO79" s="418"/>
      <c r="BP79" s="418"/>
      <c r="BQ79" s="418"/>
      <c r="BR79" s="419"/>
      <c r="BS79" s="423"/>
      <c r="BT79" s="418"/>
      <c r="BU79" s="418"/>
      <c r="BV79" s="418"/>
      <c r="BW79" s="418"/>
      <c r="BX79" s="419"/>
      <c r="BY79" s="423"/>
      <c r="BZ79" s="418"/>
      <c r="CA79" s="418"/>
      <c r="CB79" s="418"/>
      <c r="CC79" s="418"/>
      <c r="CD79" s="419"/>
      <c r="CE79" s="423"/>
      <c r="CF79" s="419"/>
      <c r="CG79" s="423"/>
      <c r="CH79" s="359"/>
      <c r="CI79" s="359"/>
      <c r="CJ79" s="359"/>
      <c r="CK79" s="359"/>
      <c r="CL79" s="359"/>
      <c r="CM79" s="359"/>
      <c r="CN79" s="359"/>
      <c r="CO79" s="359"/>
      <c r="CP79" s="359"/>
      <c r="CQ79" s="359"/>
      <c r="CR79" s="359"/>
      <c r="CS79" s="359"/>
      <c r="CT79" s="418"/>
      <c r="CU79" s="418"/>
      <c r="CV79" s="418"/>
      <c r="CW79" s="418"/>
      <c r="CX79" s="418"/>
      <c r="CY79" s="418"/>
      <c r="CZ79" s="418"/>
      <c r="DA79" s="418"/>
      <c r="DB79" s="418"/>
      <c r="DC79" s="418"/>
      <c r="DD79" s="418"/>
      <c r="DE79" s="418"/>
      <c r="DF79" s="418"/>
      <c r="DG79" s="418"/>
      <c r="DH79" s="418"/>
      <c r="DI79" s="418"/>
      <c r="DJ79" s="418"/>
      <c r="DK79" s="418"/>
      <c r="DL79" s="418"/>
      <c r="DM79" s="418"/>
      <c r="DN79" s="418"/>
      <c r="DO79" s="418"/>
      <c r="DP79" s="418"/>
      <c r="DQ79" s="418"/>
      <c r="DR79" s="418"/>
      <c r="DS79" s="418"/>
      <c r="DT79" s="418"/>
      <c r="DU79" s="418"/>
      <c r="DV79" s="418"/>
      <c r="DW79" s="418"/>
      <c r="DX79" s="418"/>
      <c r="DY79" s="418"/>
      <c r="DZ79" s="418"/>
      <c r="EA79" s="418"/>
      <c r="EB79" s="418"/>
      <c r="EC79" s="418"/>
    </row>
    <row r="80">
      <c r="B80" s="387" t="s">
        <v>548</v>
      </c>
      <c r="C80" s="359"/>
      <c r="D80" s="359"/>
      <c r="E80" s="359"/>
      <c r="F80" s="359"/>
      <c r="G80" s="359"/>
      <c r="H80" s="359"/>
      <c r="I80" s="359"/>
      <c r="J80" s="359"/>
      <c r="K80" s="359"/>
      <c r="L80" s="359"/>
      <c r="M80" s="359"/>
      <c r="N80" s="359"/>
      <c r="O80" s="359"/>
      <c r="P80" s="359"/>
      <c r="Q80" s="359"/>
      <c r="R80" s="359"/>
      <c r="S80" s="359"/>
      <c r="T80" s="359"/>
      <c r="U80" s="359"/>
      <c r="V80" s="359"/>
      <c r="W80" s="359"/>
      <c r="X80" s="359"/>
      <c r="Y80" s="359"/>
      <c r="Z80" s="359"/>
      <c r="AA80" s="424">
        <f t="shared" ref="AA80:AL80" si="169">AA31/AA75</f>
        <v>144.5923204</v>
      </c>
      <c r="AB80" s="424">
        <f t="shared" si="169"/>
        <v>199.4066584</v>
      </c>
      <c r="AC80" s="424">
        <f t="shared" si="169"/>
        <v>169.923344</v>
      </c>
      <c r="AD80" s="424">
        <f t="shared" si="169"/>
        <v>283.5038803</v>
      </c>
      <c r="AE80" s="424">
        <f t="shared" si="169"/>
        <v>185.9603184</v>
      </c>
      <c r="AF80" s="424">
        <f t="shared" si="169"/>
        <v>169.038922</v>
      </c>
      <c r="AG80" s="424">
        <f t="shared" si="169"/>
        <v>243.6040286</v>
      </c>
      <c r="AH80" s="424">
        <f t="shared" si="169"/>
        <v>219.4615232</v>
      </c>
      <c r="AI80" s="424">
        <f t="shared" si="169"/>
        <v>236.4009156</v>
      </c>
      <c r="AJ80" s="424">
        <f t="shared" si="169"/>
        <v>212.2888744</v>
      </c>
      <c r="AK80" s="424">
        <f t="shared" si="169"/>
        <v>271.7151595</v>
      </c>
      <c r="AL80" s="424">
        <f t="shared" si="169"/>
        <v>455.3193352</v>
      </c>
      <c r="AM80" s="424">
        <f t="shared" ref="AM80:AX80" si="170">(AM31+AM27)/AM75</f>
        <v>255.5083701</v>
      </c>
      <c r="AN80" s="424">
        <f t="shared" si="170"/>
        <v>259.5698704</v>
      </c>
      <c r="AO80" s="424">
        <f t="shared" si="170"/>
        <v>198.4912461</v>
      </c>
      <c r="AP80" s="424">
        <f t="shared" si="170"/>
        <v>287.543346</v>
      </c>
      <c r="AQ80" s="424">
        <f t="shared" si="170"/>
        <v>264.2337793</v>
      </c>
      <c r="AR80" s="424">
        <f t="shared" si="170"/>
        <v>233.6790766</v>
      </c>
      <c r="AS80" s="424">
        <f t="shared" si="170"/>
        <v>363.1062027</v>
      </c>
      <c r="AT80" s="424">
        <f t="shared" si="170"/>
        <v>364.8042955</v>
      </c>
      <c r="AU80" s="424">
        <f t="shared" si="170"/>
        <v>343.9172327</v>
      </c>
      <c r="AV80" s="424">
        <f t="shared" si="170"/>
        <v>296.5984603</v>
      </c>
      <c r="AW80" s="424">
        <f t="shared" si="170"/>
        <v>302.087236</v>
      </c>
      <c r="AX80" s="424">
        <f t="shared" si="170"/>
        <v>351.8017096</v>
      </c>
      <c r="AY80" s="424">
        <f t="shared" ref="AY80:BJ80" si="171">IFERROR((AY31+AY27)/AY75,0)</f>
        <v>402.1594039</v>
      </c>
      <c r="AZ80" s="424">
        <f t="shared" si="171"/>
        <v>363.3370973</v>
      </c>
      <c r="BA80" s="424">
        <f t="shared" si="171"/>
        <v>362.6584823</v>
      </c>
      <c r="BB80" s="424">
        <f t="shared" si="171"/>
        <v>471.4325036</v>
      </c>
      <c r="BC80" s="424">
        <f t="shared" si="171"/>
        <v>395.6856105</v>
      </c>
      <c r="BD80" s="424">
        <f t="shared" si="171"/>
        <v>391.9192035</v>
      </c>
      <c r="BE80" s="424">
        <f t="shared" si="171"/>
        <v>337.9936492</v>
      </c>
      <c r="BF80" s="424">
        <f t="shared" si="171"/>
        <v>552.7650717</v>
      </c>
      <c r="BG80" s="424">
        <f t="shared" si="171"/>
        <v>0</v>
      </c>
      <c r="BH80" s="424">
        <f t="shared" si="171"/>
        <v>0</v>
      </c>
      <c r="BI80" s="424">
        <f t="shared" si="171"/>
        <v>0</v>
      </c>
      <c r="BJ80" s="424">
        <f t="shared" si="171"/>
        <v>0</v>
      </c>
      <c r="BL80" s="425">
        <f>(BL31+BL27)/BL75</f>
        <v>1040.055286</v>
      </c>
      <c r="BM80" s="426"/>
      <c r="BN80" s="424">
        <f t="shared" ref="BN80:BR80" si="172">IFERROR(BN31/BN75,0)</f>
        <v>239.8118919</v>
      </c>
      <c r="BO80" s="424">
        <f t="shared" si="172"/>
        <v>278.4484772</v>
      </c>
      <c r="BP80" s="424">
        <f t="shared" si="172"/>
        <v>291.307382</v>
      </c>
      <c r="BQ80" s="424">
        <f t="shared" si="172"/>
        <v>0</v>
      </c>
      <c r="BR80" s="425">
        <f t="shared" si="172"/>
        <v>268.7124052</v>
      </c>
      <c r="BS80" s="426"/>
      <c r="BT80" s="424">
        <f t="shared" ref="BT80:BW80" si="173">BT31/BT75</f>
        <v>141.2864977</v>
      </c>
      <c r="BU80" s="424">
        <f t="shared" si="173"/>
        <v>162.5245454</v>
      </c>
      <c r="BV80" s="424">
        <f t="shared" si="173"/>
        <v>217.7901323</v>
      </c>
      <c r="BW80" s="424">
        <f t="shared" si="173"/>
        <v>190.2675467</v>
      </c>
      <c r="BX80" s="425">
        <f>sum(BX31,BX27)/BX75</f>
        <v>287.2501322</v>
      </c>
      <c r="BY80" s="426"/>
      <c r="BZ80" s="424">
        <f t="shared" ref="BZ80:CD80" si="174">BZ31/BZ75</f>
        <v>170.3724714</v>
      </c>
      <c r="CA80" s="424">
        <f t="shared" si="174"/>
        <v>208.1970252</v>
      </c>
      <c r="CB80" s="424">
        <f t="shared" si="174"/>
        <v>231.2674438</v>
      </c>
      <c r="CC80" s="424">
        <f t="shared" si="174"/>
        <v>298.3802294</v>
      </c>
      <c r="CD80" s="425">
        <f t="shared" si="174"/>
        <v>231.1264096</v>
      </c>
      <c r="CE80" s="426"/>
      <c r="CF80" s="425"/>
      <c r="CG80" s="426"/>
      <c r="CH80" s="359"/>
      <c r="CI80" s="359"/>
      <c r="CJ80" s="359"/>
      <c r="CK80" s="359"/>
      <c r="CL80" s="359"/>
      <c r="CM80" s="359"/>
      <c r="CN80" s="359"/>
      <c r="CO80" s="359"/>
      <c r="CP80" s="359"/>
      <c r="CQ80" s="359"/>
      <c r="CR80" s="359"/>
      <c r="CS80" s="359"/>
      <c r="CT80" s="424"/>
      <c r="CU80" s="424"/>
      <c r="CV80" s="424"/>
      <c r="CW80" s="424"/>
      <c r="CX80" s="424"/>
      <c r="CY80" s="424"/>
      <c r="CZ80" s="424"/>
      <c r="DA80" s="424"/>
      <c r="DB80" s="424"/>
      <c r="DC80" s="424"/>
      <c r="DD80" s="424"/>
      <c r="DE80" s="424"/>
      <c r="DF80" s="424"/>
      <c r="DG80" s="424"/>
      <c r="DH80" s="424"/>
      <c r="DI80" s="424"/>
      <c r="DJ80" s="424"/>
      <c r="DK80" s="424"/>
      <c r="DL80" s="424"/>
      <c r="DM80" s="424"/>
      <c r="DN80" s="424"/>
      <c r="DO80" s="424"/>
      <c r="DP80" s="424"/>
      <c r="DQ80" s="424"/>
      <c r="DR80" s="424"/>
      <c r="DS80" s="424"/>
      <c r="DT80" s="424"/>
      <c r="DU80" s="424"/>
      <c r="DV80" s="424"/>
      <c r="DW80" s="424"/>
      <c r="DX80" s="424"/>
      <c r="DY80" s="424"/>
      <c r="DZ80" s="424"/>
      <c r="EA80" s="424"/>
      <c r="EB80" s="424"/>
      <c r="EC80" s="424"/>
    </row>
    <row r="81">
      <c r="B81" s="387" t="s">
        <v>549</v>
      </c>
      <c r="C81" s="359"/>
      <c r="D81" s="359"/>
      <c r="E81" s="359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59"/>
      <c r="Q81" s="359"/>
      <c r="R81" s="359"/>
      <c r="S81" s="359"/>
      <c r="T81" s="359"/>
      <c r="U81" s="359"/>
      <c r="V81" s="359"/>
      <c r="W81" s="359"/>
      <c r="X81" s="359"/>
      <c r="Y81" s="359"/>
      <c r="Z81" s="359"/>
      <c r="AA81" s="427">
        <f t="shared" ref="AA81:AX81" si="175">AA13/AA75</f>
        <v>245.6402493</v>
      </c>
      <c r="AB81" s="427">
        <f t="shared" si="175"/>
        <v>265.843793</v>
      </c>
      <c r="AC81" s="427">
        <f t="shared" si="175"/>
        <v>167.9229167</v>
      </c>
      <c r="AD81" s="427">
        <f t="shared" si="175"/>
        <v>220.9450841</v>
      </c>
      <c r="AE81" s="427">
        <f t="shared" si="175"/>
        <v>390.3471507</v>
      </c>
      <c r="AF81" s="427">
        <f t="shared" si="175"/>
        <v>336.742362</v>
      </c>
      <c r="AG81" s="427">
        <f t="shared" si="175"/>
        <v>368.5183228</v>
      </c>
      <c r="AH81" s="427">
        <f t="shared" si="175"/>
        <v>209.9264061</v>
      </c>
      <c r="AI81" s="427">
        <f t="shared" si="175"/>
        <v>315.7210787</v>
      </c>
      <c r="AJ81" s="427">
        <f t="shared" si="175"/>
        <v>297.9834949</v>
      </c>
      <c r="AK81" s="427">
        <f t="shared" si="175"/>
        <v>257.3829801</v>
      </c>
      <c r="AL81" s="427">
        <f t="shared" si="175"/>
        <v>554.5743288</v>
      </c>
      <c r="AM81" s="427">
        <f t="shared" si="175"/>
        <v>267.8835093</v>
      </c>
      <c r="AN81" s="427">
        <f t="shared" si="175"/>
        <v>298.7496821</v>
      </c>
      <c r="AO81" s="427">
        <f t="shared" si="175"/>
        <v>203.4256843</v>
      </c>
      <c r="AP81" s="427">
        <f t="shared" si="175"/>
        <v>209.9839985</v>
      </c>
      <c r="AQ81" s="427">
        <f t="shared" si="175"/>
        <v>148.0109203</v>
      </c>
      <c r="AR81" s="427">
        <f t="shared" si="175"/>
        <v>319.3782205</v>
      </c>
      <c r="AS81" s="427">
        <f t="shared" si="175"/>
        <v>215.8647969</v>
      </c>
      <c r="AT81" s="427">
        <f t="shared" si="175"/>
        <v>378.1858994</v>
      </c>
      <c r="AU81" s="427">
        <f t="shared" si="175"/>
        <v>344.079286</v>
      </c>
      <c r="AV81" s="427">
        <f t="shared" si="175"/>
        <v>243.233289</v>
      </c>
      <c r="AW81" s="427">
        <f t="shared" si="175"/>
        <v>484.8363864</v>
      </c>
      <c r="AX81" s="427">
        <f t="shared" si="175"/>
        <v>527.90746</v>
      </c>
      <c r="AY81" s="427">
        <f t="shared" ref="AY81:BJ81" si="176">IFERROR(AY13/AY75,0)</f>
        <v>188.3623282</v>
      </c>
      <c r="AZ81" s="427">
        <f t="shared" si="176"/>
        <v>184.9617205</v>
      </c>
      <c r="BA81" s="427">
        <f t="shared" si="176"/>
        <v>578.9833225</v>
      </c>
      <c r="BB81" s="427">
        <f t="shared" si="176"/>
        <v>231.9407881</v>
      </c>
      <c r="BC81" s="427">
        <f t="shared" si="176"/>
        <v>335.2804668</v>
      </c>
      <c r="BD81" s="427">
        <f t="shared" si="176"/>
        <v>415.0979788</v>
      </c>
      <c r="BE81" s="427">
        <f t="shared" si="176"/>
        <v>292.2738901</v>
      </c>
      <c r="BF81" s="427">
        <f t="shared" si="176"/>
        <v>371.8942771</v>
      </c>
      <c r="BG81" s="427">
        <f t="shared" si="176"/>
        <v>0</v>
      </c>
      <c r="BH81" s="427">
        <f t="shared" si="176"/>
        <v>0</v>
      </c>
      <c r="BI81" s="427">
        <f t="shared" si="176"/>
        <v>0</v>
      </c>
      <c r="BJ81" s="427">
        <f t="shared" si="176"/>
        <v>0</v>
      </c>
      <c r="BL81" s="428">
        <f>BL13/BL75</f>
        <v>1050.467347</v>
      </c>
      <c r="BM81" s="429"/>
      <c r="BN81" s="427">
        <f t="shared" ref="BN81:BR81" si="177">IFERROR(BN13/BN75,0)</f>
        <v>318.2528549</v>
      </c>
      <c r="BO81" s="427">
        <f t="shared" si="177"/>
        <v>328.1477977</v>
      </c>
      <c r="BP81" s="427">
        <f t="shared" si="177"/>
        <v>331.8571731</v>
      </c>
      <c r="BQ81" s="427">
        <f t="shared" si="177"/>
        <v>0</v>
      </c>
      <c r="BR81" s="428">
        <f t="shared" si="177"/>
        <v>325.7708435</v>
      </c>
      <c r="BS81" s="429"/>
      <c r="BT81" s="427">
        <f t="shared" ref="BT81:BX81" si="178">BT13/BT75</f>
        <v>253.3873256</v>
      </c>
      <c r="BU81" s="427">
        <f t="shared" si="178"/>
        <v>224.2853239</v>
      </c>
      <c r="BV81" s="427">
        <f t="shared" si="178"/>
        <v>317.4486014</v>
      </c>
      <c r="BW81" s="427">
        <f t="shared" si="178"/>
        <v>411.5264721</v>
      </c>
      <c r="BX81" s="428">
        <f t="shared" si="178"/>
        <v>295.0448657</v>
      </c>
      <c r="BY81" s="429"/>
      <c r="BZ81" s="427">
        <f t="shared" ref="BZ81:CD81" si="179">BZ13/BZ75</f>
        <v>219.2077259</v>
      </c>
      <c r="CA81" s="427">
        <f t="shared" si="179"/>
        <v>320.1154789</v>
      </c>
      <c r="CB81" s="427">
        <f t="shared" si="179"/>
        <v>285.7123329</v>
      </c>
      <c r="CC81" s="427">
        <f t="shared" si="179"/>
        <v>349.8515317</v>
      </c>
      <c r="CD81" s="428">
        <f t="shared" si="179"/>
        <v>296.7084874</v>
      </c>
      <c r="CE81" s="429"/>
      <c r="CF81" s="428"/>
      <c r="CG81" s="429"/>
      <c r="CH81" s="359"/>
      <c r="CI81" s="359"/>
      <c r="CJ81" s="359"/>
      <c r="CK81" s="359"/>
      <c r="CL81" s="359"/>
      <c r="CM81" s="359"/>
      <c r="CN81" s="359"/>
      <c r="CO81" s="359"/>
      <c r="CP81" s="359"/>
      <c r="CQ81" s="359"/>
      <c r="CR81" s="359"/>
      <c r="CS81" s="359"/>
      <c r="CT81" s="427"/>
      <c r="CU81" s="427"/>
      <c r="CV81" s="427"/>
      <c r="CW81" s="427"/>
      <c r="CX81" s="427"/>
      <c r="CY81" s="427"/>
      <c r="CZ81" s="427"/>
      <c r="DA81" s="427"/>
      <c r="DB81" s="427"/>
      <c r="DC81" s="427"/>
      <c r="DD81" s="427"/>
      <c r="DE81" s="427"/>
      <c r="DF81" s="427"/>
      <c r="DG81" s="427"/>
      <c r="DH81" s="427"/>
      <c r="DI81" s="427"/>
      <c r="DJ81" s="427"/>
      <c r="DK81" s="427"/>
      <c r="DL81" s="427"/>
      <c r="DM81" s="427"/>
      <c r="DN81" s="427"/>
      <c r="DO81" s="427"/>
      <c r="DP81" s="427"/>
      <c r="DQ81" s="427"/>
      <c r="DR81" s="427"/>
      <c r="DS81" s="427"/>
      <c r="DT81" s="427"/>
      <c r="DU81" s="427"/>
      <c r="DV81" s="427"/>
      <c r="DW81" s="427"/>
      <c r="DX81" s="427"/>
      <c r="DY81" s="427"/>
      <c r="DZ81" s="427"/>
      <c r="EA81" s="427"/>
      <c r="EB81" s="427"/>
      <c r="EC81" s="427"/>
    </row>
    <row r="82">
      <c r="B82" s="387" t="s">
        <v>550</v>
      </c>
      <c r="C82" s="359"/>
      <c r="D82" s="359"/>
      <c r="E82" s="359"/>
      <c r="F82" s="359"/>
      <c r="G82" s="359"/>
      <c r="H82" s="359"/>
      <c r="I82" s="359"/>
      <c r="J82" s="359"/>
      <c r="K82" s="359"/>
      <c r="L82" s="359"/>
      <c r="M82" s="359"/>
      <c r="N82" s="359"/>
      <c r="O82" s="359"/>
      <c r="P82" s="359"/>
      <c r="Q82" s="359"/>
      <c r="R82" s="359"/>
      <c r="S82" s="359"/>
      <c r="T82" s="359"/>
      <c r="U82" s="359"/>
      <c r="V82" s="359"/>
      <c r="W82" s="359"/>
      <c r="X82" s="359"/>
      <c r="Y82" s="359"/>
      <c r="Z82" s="359"/>
      <c r="AA82" s="427">
        <f t="shared" ref="AA82:AX82" si="180">AA13/AA73</f>
        <v>328.7869032</v>
      </c>
      <c r="AB82" s="427">
        <f t="shared" si="180"/>
        <v>355.1077981</v>
      </c>
      <c r="AC82" s="427">
        <f t="shared" si="180"/>
        <v>277.342145</v>
      </c>
      <c r="AD82" s="427">
        <f t="shared" si="180"/>
        <v>299.2216211</v>
      </c>
      <c r="AE82" s="427">
        <f t="shared" si="180"/>
        <v>559.2102847</v>
      </c>
      <c r="AF82" s="427">
        <f t="shared" si="180"/>
        <v>512.7889618</v>
      </c>
      <c r="AG82" s="427">
        <f t="shared" si="180"/>
        <v>599.6998637</v>
      </c>
      <c r="AH82" s="427">
        <f t="shared" si="180"/>
        <v>345.7900959</v>
      </c>
      <c r="AI82" s="427">
        <f t="shared" si="180"/>
        <v>476.6364715</v>
      </c>
      <c r="AJ82" s="427">
        <f t="shared" si="180"/>
        <v>404.2334866</v>
      </c>
      <c r="AK82" s="427">
        <f t="shared" si="180"/>
        <v>356.6816471</v>
      </c>
      <c r="AL82" s="427">
        <f t="shared" si="180"/>
        <v>746.4696506</v>
      </c>
      <c r="AM82" s="427">
        <f t="shared" si="180"/>
        <v>345.0839131</v>
      </c>
      <c r="AN82" s="427">
        <f t="shared" si="180"/>
        <v>369.2917585</v>
      </c>
      <c r="AO82" s="427">
        <f t="shared" si="180"/>
        <v>253.7587933</v>
      </c>
      <c r="AP82" s="427">
        <f t="shared" si="180"/>
        <v>250.9350763</v>
      </c>
      <c r="AQ82" s="427">
        <f t="shared" si="180"/>
        <v>181.9771918</v>
      </c>
      <c r="AR82" s="427">
        <f t="shared" si="180"/>
        <v>399.7422388</v>
      </c>
      <c r="AS82" s="427">
        <f t="shared" si="180"/>
        <v>266.7802753</v>
      </c>
      <c r="AT82" s="427">
        <f t="shared" si="180"/>
        <v>454.8402939</v>
      </c>
      <c r="AU82" s="427">
        <f t="shared" si="180"/>
        <v>376.2903322</v>
      </c>
      <c r="AV82" s="427">
        <f t="shared" si="180"/>
        <v>266.935219</v>
      </c>
      <c r="AW82" s="427">
        <f t="shared" si="180"/>
        <v>545.2122383</v>
      </c>
      <c r="AX82" s="427">
        <f t="shared" si="180"/>
        <v>592.8557947</v>
      </c>
      <c r="AY82" s="427">
        <f t="shared" ref="AY82:BJ82" si="181">IFERROR(AY13/AY73,0)</f>
        <v>205.5224555</v>
      </c>
      <c r="AZ82" s="427">
        <f t="shared" si="181"/>
        <v>199.3723311</v>
      </c>
      <c r="BA82" s="427">
        <f t="shared" si="181"/>
        <v>642.1540777</v>
      </c>
      <c r="BB82" s="427">
        <f t="shared" si="181"/>
        <v>239.5624421</v>
      </c>
      <c r="BC82" s="427">
        <f t="shared" si="181"/>
        <v>359.7169053</v>
      </c>
      <c r="BD82" s="427">
        <f t="shared" si="181"/>
        <v>473.9902142</v>
      </c>
      <c r="BE82" s="427">
        <f t="shared" si="181"/>
        <v>308.2902275</v>
      </c>
      <c r="BF82" s="427">
        <f t="shared" si="181"/>
        <v>390.8125937</v>
      </c>
      <c r="BG82" s="427">
        <f t="shared" si="181"/>
        <v>0</v>
      </c>
      <c r="BH82" s="427">
        <f t="shared" si="181"/>
        <v>0</v>
      </c>
      <c r="BI82" s="427">
        <f t="shared" si="181"/>
        <v>0</v>
      </c>
      <c r="BJ82" s="427">
        <f t="shared" si="181"/>
        <v>0</v>
      </c>
      <c r="BL82" s="430">
        <f>BL13/BL73</f>
        <v>1212.150868</v>
      </c>
      <c r="BM82" s="429"/>
      <c r="BN82" s="427">
        <f t="shared" ref="BN82:BR82" si="182">IFERROR(BN13/BN73,0)</f>
        <v>347.7186449</v>
      </c>
      <c r="BO82" s="427">
        <f t="shared" si="182"/>
        <v>354.7266164</v>
      </c>
      <c r="BP82" s="427">
        <f t="shared" si="182"/>
        <v>349.3932164</v>
      </c>
      <c r="BQ82" s="427">
        <f t="shared" si="182"/>
        <v>0</v>
      </c>
      <c r="BR82" s="430">
        <f t="shared" si="182"/>
        <v>350.8157888</v>
      </c>
      <c r="BS82" s="429"/>
      <c r="BT82" s="427">
        <f t="shared" ref="BT82:BX82" si="183">BT13/BT73</f>
        <v>318.5921357</v>
      </c>
      <c r="BU82" s="427">
        <f t="shared" si="183"/>
        <v>274.7419807</v>
      </c>
      <c r="BV82" s="427">
        <f t="shared" si="183"/>
        <v>373.3805636</v>
      </c>
      <c r="BW82" s="427">
        <f t="shared" si="183"/>
        <v>458.5370211</v>
      </c>
      <c r="BX82" s="430">
        <f t="shared" si="183"/>
        <v>352.9989309</v>
      </c>
      <c r="BY82" s="429"/>
      <c r="BZ82" s="427">
        <f t="shared" ref="BZ82:CD82" si="184">BZ13/BZ73</f>
        <v>318.1217746</v>
      </c>
      <c r="CA82" s="427">
        <f t="shared" si="184"/>
        <v>461.1596173</v>
      </c>
      <c r="CB82" s="427">
        <f t="shared" si="184"/>
        <v>455.7745376</v>
      </c>
      <c r="CC82" s="427">
        <f t="shared" si="184"/>
        <v>477.4205371</v>
      </c>
      <c r="CD82" s="430">
        <f t="shared" si="184"/>
        <v>433.3514148</v>
      </c>
      <c r="CE82" s="429"/>
      <c r="CF82" s="430"/>
      <c r="CG82" s="429"/>
      <c r="CH82" s="359"/>
      <c r="CI82" s="359"/>
      <c r="CJ82" s="359"/>
      <c r="CK82" s="359"/>
      <c r="CL82" s="359"/>
      <c r="CM82" s="359"/>
      <c r="CN82" s="359"/>
      <c r="CO82" s="359"/>
      <c r="CP82" s="359"/>
      <c r="CQ82" s="359"/>
      <c r="CR82" s="359"/>
      <c r="CS82" s="359"/>
      <c r="CT82" s="427"/>
      <c r="CU82" s="427"/>
      <c r="CV82" s="427"/>
      <c r="CW82" s="427"/>
      <c r="CX82" s="427"/>
      <c r="CY82" s="427"/>
      <c r="CZ82" s="427"/>
      <c r="DA82" s="427"/>
      <c r="DB82" s="427"/>
      <c r="DC82" s="427"/>
      <c r="DD82" s="427"/>
      <c r="DE82" s="427"/>
      <c r="DF82" s="427"/>
      <c r="DG82" s="427"/>
      <c r="DH82" s="427"/>
      <c r="DI82" s="427"/>
      <c r="DJ82" s="427"/>
      <c r="DK82" s="427"/>
      <c r="DL82" s="427"/>
      <c r="DM82" s="427"/>
      <c r="DN82" s="427"/>
      <c r="DO82" s="427"/>
      <c r="DP82" s="427"/>
      <c r="DQ82" s="427"/>
      <c r="DR82" s="427"/>
      <c r="DS82" s="427"/>
      <c r="DT82" s="427"/>
      <c r="DU82" s="427"/>
      <c r="DV82" s="427"/>
      <c r="DW82" s="427"/>
      <c r="DX82" s="427"/>
      <c r="DY82" s="427"/>
      <c r="DZ82" s="427"/>
      <c r="EA82" s="427"/>
      <c r="EB82" s="427"/>
      <c r="EC82" s="427"/>
    </row>
    <row r="83">
      <c r="AC83" s="83">
        <f>average(AA82:AC82)</f>
        <v>320.4122821</v>
      </c>
      <c r="AF83" s="83">
        <f>average(AD82:AF82)</f>
        <v>457.0736225</v>
      </c>
      <c r="AI83" s="83">
        <f>average(AG82:AI82)</f>
        <v>474.0421437</v>
      </c>
      <c r="AL83" s="83">
        <f>average(AJ82:AL82)</f>
        <v>502.4615947</v>
      </c>
      <c r="AO83" s="83">
        <f>average(AM82:AO82)</f>
        <v>322.7114883</v>
      </c>
      <c r="AR83" s="83">
        <f>average(AP82:AR82)</f>
        <v>277.5515023</v>
      </c>
      <c r="AU83" s="83">
        <f>average(AS82:AU82)</f>
        <v>365.9703005</v>
      </c>
      <c r="AX83" s="83">
        <f>average(AV82:AX82)</f>
        <v>468.3344173</v>
      </c>
      <c r="BA83" s="83">
        <f>average(AY82:BA82)</f>
        <v>349.0162881</v>
      </c>
      <c r="BD83" s="83">
        <f>average(BB82:BD82)</f>
        <v>357.7565205</v>
      </c>
      <c r="BZ83" s="2"/>
      <c r="CA83" s="2"/>
      <c r="CB83" s="2"/>
      <c r="CC83" s="2"/>
      <c r="CV83" s="83"/>
      <c r="CY83" s="83"/>
      <c r="DB83" s="83"/>
      <c r="DE83" s="83"/>
      <c r="DH83" s="83"/>
      <c r="DK83" s="83"/>
      <c r="DN83" s="83"/>
      <c r="DQ83" s="83"/>
      <c r="DT83" s="83"/>
    </row>
    <row r="84">
      <c r="BZ84" s="2"/>
      <c r="CA84" s="2"/>
      <c r="CB84" s="2"/>
      <c r="CC84" s="2"/>
    </row>
    <row r="85">
      <c r="B85" s="433" t="s">
        <v>551</v>
      </c>
      <c r="AM85" s="104"/>
      <c r="AN85" s="104"/>
      <c r="AO85" s="104"/>
      <c r="AP85" s="104"/>
      <c r="AQ85" s="104"/>
      <c r="AR85" s="104"/>
      <c r="AS85" s="104"/>
      <c r="AT85" s="104"/>
      <c r="AU85" s="104"/>
      <c r="BN85" s="434">
        <f t="shared" ref="BN85:BR85" si="185">IFERROR(BN7/BN40,0)</f>
        <v>6.206371938</v>
      </c>
      <c r="BO85" s="434">
        <f t="shared" si="185"/>
        <v>4.34698315</v>
      </c>
      <c r="BP85" s="434">
        <f t="shared" si="185"/>
        <v>3.48769638</v>
      </c>
      <c r="BQ85" s="434">
        <f t="shared" si="185"/>
        <v>0</v>
      </c>
      <c r="BR85" s="434">
        <f t="shared" si="185"/>
        <v>4.576651864</v>
      </c>
      <c r="BT85" s="434">
        <f t="shared" ref="BT85:BX85" si="186">BT7/BT40</f>
        <v>2.946902742</v>
      </c>
      <c r="BU85" s="434">
        <f t="shared" si="186"/>
        <v>3.899404063</v>
      </c>
      <c r="BV85" s="434">
        <f t="shared" si="186"/>
        <v>5.156764046</v>
      </c>
      <c r="BW85" s="434">
        <f t="shared" si="186"/>
        <v>13.41085579</v>
      </c>
      <c r="BX85" s="434">
        <f t="shared" si="186"/>
        <v>5.30984954</v>
      </c>
      <c r="BZ85" s="435">
        <f t="shared" ref="BZ85:CB85" si="187">BZ7/BZ40</f>
        <v>8.633265407</v>
      </c>
      <c r="CA85" s="435">
        <f t="shared" si="187"/>
        <v>15.15527159</v>
      </c>
      <c r="CB85" s="435">
        <f t="shared" si="187"/>
        <v>6.953685081</v>
      </c>
      <c r="CC85" s="435">
        <f>CC7/(CC40-600000)</f>
        <v>7.502709744</v>
      </c>
      <c r="CD85" s="434">
        <f>CD7/CD40</f>
        <v>7.293919631</v>
      </c>
      <c r="DF85" s="104"/>
      <c r="DG85" s="104"/>
      <c r="DH85" s="104"/>
      <c r="DI85" s="104"/>
      <c r="DJ85" s="104"/>
      <c r="DK85" s="104"/>
      <c r="DL85" s="104"/>
      <c r="DM85" s="104"/>
      <c r="DN85" s="104"/>
    </row>
    <row r="86">
      <c r="AM86" s="106"/>
      <c r="AN86" s="106"/>
      <c r="AO86" s="106"/>
      <c r="AP86" s="106"/>
      <c r="AQ86" s="106"/>
      <c r="AR86" s="106"/>
      <c r="AS86" s="106"/>
      <c r="AT86" s="106"/>
      <c r="AU86" s="106"/>
      <c r="BZ86" s="2"/>
      <c r="CA86" s="2"/>
      <c r="CB86" s="2"/>
      <c r="CC86" s="2"/>
      <c r="DF86" s="106"/>
      <c r="DG86" s="106"/>
      <c r="DH86" s="106"/>
      <c r="DI86" s="106"/>
      <c r="DJ86" s="106"/>
      <c r="DK86" s="106"/>
      <c r="DL86" s="106"/>
      <c r="DM86" s="106"/>
      <c r="DN86" s="106"/>
    </row>
    <row r="87">
      <c r="A87" s="35"/>
      <c r="B87" s="36" t="s">
        <v>165</v>
      </c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9"/>
      <c r="BL87" s="40"/>
      <c r="BM87" s="41"/>
      <c r="BN87" s="38" t="s">
        <v>165</v>
      </c>
      <c r="BO87" s="38" t="s">
        <v>165</v>
      </c>
      <c r="BP87" s="38" t="s">
        <v>165</v>
      </c>
      <c r="BQ87" s="38" t="s">
        <v>165</v>
      </c>
      <c r="BR87" s="40"/>
      <c r="BS87" s="37"/>
      <c r="BT87" s="37"/>
      <c r="BU87" s="37"/>
      <c r="BV87" s="37"/>
      <c r="BW87" s="37"/>
      <c r="BX87" s="40"/>
      <c r="BY87" s="37"/>
      <c r="BZ87" s="37"/>
      <c r="CA87" s="37"/>
      <c r="CB87" s="37"/>
      <c r="CC87" s="37"/>
      <c r="CD87" s="40"/>
      <c r="CE87" s="37"/>
      <c r="CF87" s="40"/>
      <c r="CG87" s="44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  <c r="DJ87" s="37"/>
      <c r="DK87" s="37"/>
      <c r="DL87" s="37"/>
      <c r="DM87" s="37"/>
      <c r="DN87" s="37"/>
      <c r="DO87" s="37"/>
      <c r="DP87" s="38"/>
      <c r="DQ87" s="38"/>
      <c r="DR87" s="38"/>
      <c r="DS87" s="38"/>
      <c r="DT87" s="38"/>
      <c r="DU87" s="38"/>
      <c r="DV87" s="38"/>
      <c r="DW87" s="38"/>
      <c r="DX87" s="38"/>
      <c r="DY87" s="38"/>
      <c r="DZ87" s="38"/>
      <c r="EA87" s="38"/>
      <c r="EB87" s="38"/>
      <c r="EC87" s="38"/>
    </row>
    <row r="88" ht="9.0" customHeight="1">
      <c r="C88" s="378"/>
      <c r="D88" s="378"/>
      <c r="E88" s="378"/>
      <c r="F88" s="378"/>
      <c r="G88" s="378"/>
      <c r="H88" s="378"/>
      <c r="I88" s="378"/>
      <c r="J88" s="378"/>
      <c r="K88" s="378"/>
      <c r="L88" s="378"/>
      <c r="M88" s="378"/>
      <c r="N88" s="378"/>
      <c r="O88" s="378"/>
      <c r="P88" s="378"/>
      <c r="Q88" s="378"/>
      <c r="R88" s="378"/>
      <c r="S88" s="378"/>
      <c r="T88" s="378"/>
      <c r="U88" s="378"/>
      <c r="V88" s="378"/>
      <c r="W88" s="378"/>
      <c r="X88" s="378"/>
      <c r="Y88" s="378"/>
      <c r="Z88" s="378"/>
      <c r="AA88" s="378"/>
      <c r="AB88" s="378"/>
      <c r="AC88" s="378"/>
      <c r="AD88" s="378"/>
      <c r="AE88" s="378"/>
      <c r="AF88" s="378"/>
      <c r="AG88" s="378"/>
      <c r="AH88" s="378"/>
      <c r="AI88" s="378"/>
      <c r="AJ88" s="378"/>
      <c r="AK88" s="378"/>
      <c r="AL88" s="378"/>
      <c r="AM88" s="378"/>
      <c r="AN88" s="378"/>
      <c r="AO88" s="378"/>
      <c r="AP88" s="378"/>
      <c r="AQ88" s="378"/>
      <c r="AR88" s="378"/>
      <c r="AS88" s="378"/>
      <c r="AT88" s="378"/>
      <c r="AU88" s="378"/>
      <c r="AV88" s="378"/>
      <c r="AW88" s="378"/>
      <c r="AX88" s="378"/>
      <c r="AY88" s="378"/>
      <c r="AZ88" s="378"/>
      <c r="BA88" s="378"/>
      <c r="BB88" s="378"/>
      <c r="BC88" s="378"/>
      <c r="BD88" s="378"/>
      <c r="BE88" s="378"/>
      <c r="BF88" s="378"/>
      <c r="BG88" s="378"/>
      <c r="BH88" s="378"/>
      <c r="BI88" s="378"/>
      <c r="BJ88" s="378"/>
      <c r="BL88" s="381"/>
      <c r="BM88" s="378"/>
      <c r="BN88" s="378"/>
      <c r="BO88" s="378"/>
      <c r="BP88" s="378"/>
      <c r="BQ88" s="378"/>
      <c r="BR88" s="381"/>
      <c r="BS88" s="378"/>
      <c r="BT88" s="378"/>
      <c r="BU88" s="378"/>
      <c r="BV88" s="378"/>
      <c r="BW88" s="378"/>
      <c r="BX88" s="381"/>
      <c r="BY88" s="378"/>
      <c r="BZ88" s="378"/>
      <c r="CA88" s="378"/>
      <c r="CB88" s="378"/>
      <c r="CC88" s="378"/>
      <c r="CD88" s="381"/>
      <c r="CE88" s="378"/>
      <c r="CF88" s="381"/>
      <c r="CH88" s="378"/>
      <c r="CI88" s="378"/>
      <c r="CJ88" s="378"/>
      <c r="CK88" s="378"/>
      <c r="CL88" s="378"/>
      <c r="CM88" s="378"/>
      <c r="CN88" s="378"/>
      <c r="CO88" s="378"/>
      <c r="CP88" s="378"/>
      <c r="CQ88" s="378"/>
      <c r="CR88" s="378"/>
      <c r="CS88" s="378"/>
      <c r="CT88" s="378"/>
      <c r="CU88" s="378"/>
      <c r="CV88" s="378"/>
      <c r="CW88" s="378"/>
      <c r="CX88" s="378"/>
      <c r="CY88" s="378"/>
      <c r="CZ88" s="378"/>
      <c r="DA88" s="378"/>
      <c r="DB88" s="378"/>
      <c r="DC88" s="378"/>
      <c r="DD88" s="378"/>
      <c r="DE88" s="378"/>
      <c r="DF88" s="378"/>
      <c r="DG88" s="378"/>
      <c r="DH88" s="378"/>
      <c r="DI88" s="378"/>
      <c r="DJ88" s="378"/>
      <c r="DK88" s="378"/>
      <c r="DL88" s="378"/>
      <c r="DM88" s="378"/>
      <c r="DN88" s="378"/>
      <c r="DO88" s="378"/>
      <c r="DP88" s="378"/>
      <c r="DQ88" s="378"/>
      <c r="DR88" s="378"/>
      <c r="DS88" s="378"/>
      <c r="DT88" s="378"/>
      <c r="DU88" s="378"/>
      <c r="DV88" s="378"/>
      <c r="DW88" s="378"/>
      <c r="DX88" s="378"/>
      <c r="DY88" s="378"/>
      <c r="DZ88" s="378"/>
      <c r="EA88" s="378"/>
      <c r="EB88" s="378"/>
      <c r="EC88" s="378"/>
    </row>
    <row r="89">
      <c r="B89" s="63" t="s">
        <v>30</v>
      </c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270"/>
      <c r="AX89" s="270"/>
      <c r="AY89" s="270">
        <v>57000.0</v>
      </c>
      <c r="AZ89" s="270">
        <v>331050.0</v>
      </c>
      <c r="BA89" s="270">
        <v>7000000.0</v>
      </c>
      <c r="BB89" s="270">
        <v>2000000.0</v>
      </c>
      <c r="BC89" s="270">
        <v>2000000.0</v>
      </c>
      <c r="BD89" s="270">
        <v>2000000.0</v>
      </c>
      <c r="BE89" s="270">
        <v>3238034.0</v>
      </c>
      <c r="BF89" s="270">
        <v>3238034.0</v>
      </c>
      <c r="BG89" s="270">
        <v>3238034.0</v>
      </c>
      <c r="BH89" s="270">
        <v>4317378.0</v>
      </c>
      <c r="BI89" s="270">
        <v>4317378.0</v>
      </c>
      <c r="BJ89" s="270">
        <v>4317378.0</v>
      </c>
      <c r="BK89" s="50"/>
      <c r="BL89" s="77"/>
      <c r="BM89" s="52"/>
      <c r="BN89" s="64">
        <f>sum(AY89:BA89)</f>
        <v>7388050</v>
      </c>
      <c r="BO89" s="64">
        <f>sum(BB89:BD89)</f>
        <v>6000000</v>
      </c>
      <c r="BP89" s="64">
        <f>sum(BE89:BG89)</f>
        <v>9714102</v>
      </c>
      <c r="BQ89" s="64">
        <f>sum(BH89:BJ89)</f>
        <v>12952134</v>
      </c>
      <c r="BR89" s="77">
        <f>sum(AY89:BJ89)</f>
        <v>36054286</v>
      </c>
      <c r="BS89" s="44"/>
      <c r="BT89" s="64">
        <f>sum(AM89:AO89)</f>
        <v>0</v>
      </c>
      <c r="BU89" s="64">
        <f>sum(AP89:AR89)</f>
        <v>0</v>
      </c>
      <c r="BV89" s="64">
        <f>sum(AS89:AU89)</f>
        <v>0</v>
      </c>
      <c r="BW89" s="64">
        <f>sum(AV89:AX89)</f>
        <v>0</v>
      </c>
      <c r="BX89" s="77">
        <f>sum(BX90:BX91)</f>
        <v>0</v>
      </c>
      <c r="BY89" s="44"/>
      <c r="BZ89" s="64">
        <f>sum(AA89:AC89)</f>
        <v>0</v>
      </c>
      <c r="CA89" s="64">
        <f>sum(AD89:AF89)</f>
        <v>0</v>
      </c>
      <c r="CB89" s="64">
        <f>sum(AG89:AI89)</f>
        <v>0</v>
      </c>
      <c r="CC89" s="64">
        <f>sum(AJ89:AL89)</f>
        <v>0</v>
      </c>
      <c r="CD89" s="77">
        <f>sum(AA89:AL89)</f>
        <v>0</v>
      </c>
      <c r="CE89" s="44"/>
      <c r="CF89" s="77">
        <f>sum(O89:Z89)</f>
        <v>0</v>
      </c>
      <c r="CG89" s="4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/>
      <c r="DF89" s="64"/>
      <c r="DG89" s="64"/>
      <c r="DH89" s="64"/>
      <c r="DI89" s="64"/>
      <c r="DJ89" s="64"/>
      <c r="DK89" s="64"/>
      <c r="DL89" s="64"/>
      <c r="DM89" s="64"/>
      <c r="DN89" s="64"/>
      <c r="DO89" s="64"/>
      <c r="DP89" s="270"/>
      <c r="DQ89" s="270"/>
      <c r="DR89" s="270"/>
      <c r="DS89" s="270"/>
      <c r="DT89" s="270"/>
      <c r="DU89" s="270"/>
      <c r="DV89" s="270"/>
      <c r="DW89" s="270"/>
      <c r="DX89" s="270"/>
      <c r="DY89" s="270"/>
      <c r="DZ89" s="270"/>
      <c r="EA89" s="270"/>
      <c r="EB89" s="270"/>
      <c r="EC89" s="270"/>
    </row>
    <row r="90">
      <c r="BZ90" s="2"/>
      <c r="CA90" s="2"/>
      <c r="CB90" s="2"/>
      <c r="CC90" s="2"/>
    </row>
    <row r="91">
      <c r="B91" s="63" t="s">
        <v>101</v>
      </c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270"/>
      <c r="AN91" s="270"/>
      <c r="AO91" s="270"/>
      <c r="AP91" s="270"/>
      <c r="AQ91" s="270"/>
      <c r="AR91" s="270"/>
      <c r="AS91" s="270"/>
      <c r="AT91" s="270"/>
      <c r="AU91" s="270"/>
      <c r="AV91" s="270"/>
      <c r="AW91" s="270"/>
      <c r="AX91" s="270"/>
      <c r="AY91" s="270">
        <f t="shared" ref="AY91:BJ91" si="188">SUM(AY92:AY93)</f>
        <v>970389</v>
      </c>
      <c r="AZ91" s="270">
        <f t="shared" si="188"/>
        <v>2662389</v>
      </c>
      <c r="BA91" s="270">
        <f t="shared" si="188"/>
        <v>1902389</v>
      </c>
      <c r="BB91" s="270">
        <f t="shared" si="188"/>
        <v>2238822</v>
      </c>
      <c r="BC91" s="270">
        <f t="shared" si="188"/>
        <v>2238822</v>
      </c>
      <c r="BD91" s="270">
        <f t="shared" si="188"/>
        <v>2311690</v>
      </c>
      <c r="BE91" s="270">
        <f t="shared" si="188"/>
        <v>2559297</v>
      </c>
      <c r="BF91" s="270">
        <f t="shared" si="188"/>
        <v>2559297</v>
      </c>
      <c r="BG91" s="270">
        <f t="shared" si="188"/>
        <v>2559297</v>
      </c>
      <c r="BH91" s="270">
        <f t="shared" si="188"/>
        <v>2909467</v>
      </c>
      <c r="BI91" s="270">
        <f t="shared" si="188"/>
        <v>2909467</v>
      </c>
      <c r="BJ91" s="270">
        <f t="shared" si="188"/>
        <v>2909467</v>
      </c>
      <c r="BK91" s="50"/>
      <c r="BL91" s="121"/>
      <c r="BM91" s="49"/>
      <c r="BN91" s="270">
        <f t="shared" ref="BN91:BN93" si="189">sum(AY91:BA91)</f>
        <v>5535167</v>
      </c>
      <c r="BO91" s="270">
        <f t="shared" ref="BO91:BO93" si="190">sum(BB91:BD91)</f>
        <v>6789334</v>
      </c>
      <c r="BP91" s="270">
        <f t="shared" ref="BP91:BP93" si="191">sum(BE91:BG91)</f>
        <v>7677891</v>
      </c>
      <c r="BQ91" s="270">
        <f t="shared" ref="BQ91:BQ93" si="192">sum(BH91:BJ91)</f>
        <v>8728401</v>
      </c>
      <c r="BR91" s="121">
        <f t="shared" ref="BR91:BR93" si="193">sum(AY91:BJ91)</f>
        <v>28730793</v>
      </c>
      <c r="BS91" s="49"/>
      <c r="BT91" s="270">
        <f t="shared" ref="BT91:BT93" si="194">sum(AM91:AO91)</f>
        <v>0</v>
      </c>
      <c r="BU91" s="270">
        <f t="shared" ref="BU91:BU93" si="195">sum(AP91:AR91)</f>
        <v>0</v>
      </c>
      <c r="BV91" s="270">
        <f t="shared" ref="BV91:BV93" si="196">sum(AS91:AU91)</f>
        <v>0</v>
      </c>
      <c r="BW91" s="270">
        <f t="shared" ref="BW91:BW93" si="197">sum(AV91:AX91)</f>
        <v>0</v>
      </c>
      <c r="BX91" s="121">
        <f t="shared" ref="BX91:BX93" si="198">sum(AM91:AX91)</f>
        <v>0</v>
      </c>
      <c r="BY91" s="57"/>
      <c r="BZ91" s="270">
        <f>sum(AA91:AC91)</f>
        <v>0</v>
      </c>
      <c r="CA91" s="270">
        <f>sum(AD91:AF91)</f>
        <v>0</v>
      </c>
      <c r="CB91" s="270">
        <f>sum(AG91:AI91)</f>
        <v>0</v>
      </c>
      <c r="CC91" s="270">
        <f>sum(AJ91:AL91)</f>
        <v>0</v>
      </c>
      <c r="CD91" s="121">
        <f>sum(AA91:AL91)</f>
        <v>0</v>
      </c>
      <c r="CE91" s="57"/>
      <c r="CF91" s="121">
        <f>SUM(O91:Z91)</f>
        <v>0</v>
      </c>
      <c r="CG91" s="4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/>
      <c r="DF91" s="270"/>
      <c r="DG91" s="270"/>
      <c r="DH91" s="270"/>
      <c r="DI91" s="270"/>
      <c r="DJ91" s="270"/>
      <c r="DK91" s="270"/>
      <c r="DL91" s="270"/>
      <c r="DM91" s="270"/>
      <c r="DN91" s="270"/>
      <c r="DO91" s="270"/>
      <c r="DP91" s="270"/>
      <c r="DQ91" s="270"/>
      <c r="DR91" s="270"/>
      <c r="DS91" s="270"/>
      <c r="DT91" s="270"/>
      <c r="DU91" s="270"/>
      <c r="DV91" s="270"/>
      <c r="DW91" s="270"/>
      <c r="DX91" s="270"/>
      <c r="DY91" s="270"/>
      <c r="DZ91" s="270"/>
      <c r="EA91" s="270"/>
      <c r="EB91" s="270"/>
      <c r="EC91" s="270"/>
    </row>
    <row r="92">
      <c r="B92" s="439" t="s">
        <v>305</v>
      </c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141"/>
      <c r="AN92" s="141"/>
      <c r="AO92" s="141"/>
      <c r="AP92" s="141"/>
      <c r="AQ92" s="141"/>
      <c r="AR92" s="141"/>
      <c r="AS92" s="141"/>
      <c r="AT92" s="141"/>
      <c r="AU92" s="141"/>
      <c r="AV92" s="141"/>
      <c r="AW92" s="141"/>
      <c r="AX92" s="141"/>
      <c r="AY92" s="137">
        <v>895389.0</v>
      </c>
      <c r="AZ92" s="137">
        <v>2572389.0</v>
      </c>
      <c r="BA92" s="137">
        <v>1812389.0</v>
      </c>
      <c r="BB92" s="137">
        <v>2148822.0</v>
      </c>
      <c r="BC92" s="137">
        <v>2148822.0</v>
      </c>
      <c r="BD92" s="137">
        <v>2221690.0</v>
      </c>
      <c r="BE92" s="137">
        <v>2469297.0</v>
      </c>
      <c r="BF92" s="137">
        <v>2469297.0</v>
      </c>
      <c r="BG92" s="137">
        <v>2469297.0</v>
      </c>
      <c r="BH92" s="137">
        <v>2794467.0</v>
      </c>
      <c r="BI92" s="137">
        <v>2794467.0</v>
      </c>
      <c r="BJ92" s="137">
        <v>2794467.0</v>
      </c>
      <c r="BK92" s="137"/>
      <c r="BL92" s="440"/>
      <c r="BM92" s="54"/>
      <c r="BN92" s="141">
        <f t="shared" si="189"/>
        <v>5280167</v>
      </c>
      <c r="BO92" s="141">
        <f t="shared" si="190"/>
        <v>6519334</v>
      </c>
      <c r="BP92" s="141">
        <f t="shared" si="191"/>
        <v>7407891</v>
      </c>
      <c r="BQ92" s="440">
        <f t="shared" si="192"/>
        <v>8383401</v>
      </c>
      <c r="BR92" s="440">
        <f t="shared" si="193"/>
        <v>27590793</v>
      </c>
      <c r="BS92" s="54"/>
      <c r="BT92" s="141">
        <f t="shared" si="194"/>
        <v>0</v>
      </c>
      <c r="BU92" s="141">
        <f t="shared" si="195"/>
        <v>0</v>
      </c>
      <c r="BV92" s="141">
        <f t="shared" si="196"/>
        <v>0</v>
      </c>
      <c r="BW92" s="440">
        <f t="shared" si="197"/>
        <v>0</v>
      </c>
      <c r="BX92" s="440">
        <f t="shared" si="198"/>
        <v>0</v>
      </c>
      <c r="BY92" s="58"/>
      <c r="BZ92" s="54"/>
      <c r="CA92" s="54"/>
      <c r="CB92" s="54"/>
      <c r="CC92" s="441"/>
      <c r="CD92" s="441"/>
      <c r="CE92" s="442"/>
      <c r="CF92" s="441"/>
      <c r="CG92" s="58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141"/>
      <c r="DG92" s="141"/>
      <c r="DH92" s="141"/>
      <c r="DI92" s="141"/>
      <c r="DJ92" s="141"/>
      <c r="DK92" s="141"/>
      <c r="DL92" s="141"/>
      <c r="DM92" s="141"/>
      <c r="DN92" s="141"/>
      <c r="DO92" s="141"/>
      <c r="DP92" s="141"/>
      <c r="DQ92" s="141"/>
      <c r="DR92" s="137"/>
      <c r="DS92" s="137"/>
      <c r="DT92" s="137"/>
      <c r="DU92" s="137"/>
      <c r="DV92" s="137"/>
      <c r="DW92" s="137"/>
      <c r="DX92" s="137"/>
      <c r="DY92" s="137"/>
      <c r="DZ92" s="137"/>
      <c r="EA92" s="137"/>
      <c r="EB92" s="137"/>
      <c r="EC92" s="137"/>
    </row>
    <row r="93">
      <c r="B93" s="443" t="s">
        <v>322</v>
      </c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141"/>
      <c r="AN93" s="141"/>
      <c r="AO93" s="141"/>
      <c r="AP93" s="141"/>
      <c r="AQ93" s="141"/>
      <c r="AR93" s="141"/>
      <c r="AS93" s="141"/>
      <c r="AT93" s="141"/>
      <c r="AU93" s="141"/>
      <c r="AV93" s="141"/>
      <c r="AW93" s="141"/>
      <c r="AX93" s="141"/>
      <c r="AY93" s="137">
        <v>75000.0</v>
      </c>
      <c r="AZ93" s="137">
        <v>90000.0</v>
      </c>
      <c r="BA93" s="137">
        <v>90000.0</v>
      </c>
      <c r="BB93" s="137">
        <v>90000.0</v>
      </c>
      <c r="BC93" s="137">
        <v>90000.0</v>
      </c>
      <c r="BD93" s="137">
        <v>90000.0</v>
      </c>
      <c r="BE93" s="137">
        <v>90000.0</v>
      </c>
      <c r="BF93" s="137">
        <v>90000.0</v>
      </c>
      <c r="BG93" s="137">
        <v>90000.0</v>
      </c>
      <c r="BH93" s="137">
        <v>115000.0</v>
      </c>
      <c r="BI93" s="137">
        <v>115000.0</v>
      </c>
      <c r="BJ93" s="137">
        <v>115000.0</v>
      </c>
      <c r="BK93" s="137"/>
      <c r="BL93" s="440"/>
      <c r="BM93" s="54"/>
      <c r="BN93" s="141">
        <f t="shared" si="189"/>
        <v>255000</v>
      </c>
      <c r="BO93" s="141">
        <f t="shared" si="190"/>
        <v>270000</v>
      </c>
      <c r="BP93" s="141">
        <f t="shared" si="191"/>
        <v>270000</v>
      </c>
      <c r="BQ93" s="440">
        <f t="shared" si="192"/>
        <v>345000</v>
      </c>
      <c r="BR93" s="440">
        <f t="shared" si="193"/>
        <v>1140000</v>
      </c>
      <c r="BS93" s="54"/>
      <c r="BT93" s="141">
        <f t="shared" si="194"/>
        <v>0</v>
      </c>
      <c r="BU93" s="141">
        <f t="shared" si="195"/>
        <v>0</v>
      </c>
      <c r="BV93" s="141">
        <f t="shared" si="196"/>
        <v>0</v>
      </c>
      <c r="BW93" s="440">
        <f t="shared" si="197"/>
        <v>0</v>
      </c>
      <c r="BX93" s="440">
        <f t="shared" si="198"/>
        <v>0</v>
      </c>
      <c r="BY93" s="58"/>
      <c r="BZ93" s="54"/>
      <c r="CA93" s="54"/>
      <c r="CB93" s="54"/>
      <c r="CC93" s="441"/>
      <c r="CD93" s="441"/>
      <c r="CE93" s="442"/>
      <c r="CF93" s="441"/>
      <c r="CG93" s="58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54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141"/>
      <c r="DG93" s="141"/>
      <c r="DH93" s="141"/>
      <c r="DI93" s="141"/>
      <c r="DJ93" s="141"/>
      <c r="DK93" s="141"/>
      <c r="DL93" s="141"/>
      <c r="DM93" s="141"/>
      <c r="DN93" s="141"/>
      <c r="DO93" s="141"/>
      <c r="DP93" s="141"/>
      <c r="DQ93" s="141"/>
      <c r="DR93" s="137"/>
      <c r="DS93" s="137"/>
      <c r="DT93" s="137"/>
      <c r="DU93" s="137"/>
      <c r="DV93" s="137"/>
      <c r="DW93" s="137"/>
      <c r="DX93" s="137"/>
      <c r="DY93" s="137"/>
      <c r="DZ93" s="137"/>
      <c r="EA93" s="137"/>
      <c r="EB93" s="137"/>
      <c r="EC93" s="137"/>
    </row>
    <row r="94">
      <c r="BZ94" s="2"/>
      <c r="CA94" s="2"/>
      <c r="CB94" s="2"/>
      <c r="CC94" s="2"/>
    </row>
    <row r="95">
      <c r="B95" s="63" t="s">
        <v>505</v>
      </c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270"/>
      <c r="AN95" s="270"/>
      <c r="AO95" s="270"/>
      <c r="AP95" s="270"/>
      <c r="AQ95" s="270"/>
      <c r="AR95" s="270"/>
      <c r="AS95" s="270"/>
      <c r="AT95" s="270"/>
      <c r="AU95" s="270"/>
      <c r="AV95" s="270"/>
      <c r="AW95" s="270"/>
      <c r="AX95" s="270"/>
      <c r="AY95" s="270">
        <v>708950.0</v>
      </c>
      <c r="AZ95" s="270">
        <v>675325.0</v>
      </c>
      <c r="BA95" s="270">
        <v>993988.0</v>
      </c>
      <c r="BB95" s="270">
        <v>1012025.0</v>
      </c>
      <c r="BC95" s="270">
        <v>687350.0</v>
      </c>
      <c r="BD95" s="270">
        <v>687350.0</v>
      </c>
      <c r="BE95" s="270">
        <v>699375.0</v>
      </c>
      <c r="BF95" s="270">
        <v>1030063.0</v>
      </c>
      <c r="BG95" s="270">
        <v>711400.0</v>
      </c>
      <c r="BH95" s="270">
        <v>796500.0</v>
      </c>
      <c r="BI95" s="270">
        <v>796500.0</v>
      </c>
      <c r="BJ95" s="270">
        <v>827765.0</v>
      </c>
      <c r="BK95" s="33"/>
      <c r="BL95" s="121"/>
      <c r="BM95" s="49"/>
      <c r="BN95" s="270">
        <f>sum(AY95:BA95)</f>
        <v>2378263</v>
      </c>
      <c r="BO95" s="270">
        <f>sum(BB95:BD95)</f>
        <v>2386725</v>
      </c>
      <c r="BP95" s="270">
        <f>sum(BE95:BG95)</f>
        <v>2440838</v>
      </c>
      <c r="BQ95" s="270">
        <f>sum(BH95:BJ95)</f>
        <v>2420765</v>
      </c>
      <c r="BR95" s="121">
        <f>sum(AY95:BJ95)</f>
        <v>9626591</v>
      </c>
      <c r="BS95" s="49"/>
      <c r="BT95" s="270">
        <f>sum(AM95:AO95)</f>
        <v>0</v>
      </c>
      <c r="BU95" s="270">
        <f>sum(AP95:AR95)</f>
        <v>0</v>
      </c>
      <c r="BV95" s="270">
        <f>sum(AS95:AU95)</f>
        <v>0</v>
      </c>
      <c r="BW95" s="270">
        <f>sum(AV95:AX95)</f>
        <v>0</v>
      </c>
      <c r="BX95" s="121">
        <f>sum(AM95:AX95)</f>
        <v>0</v>
      </c>
      <c r="BY95" s="49"/>
      <c r="BZ95" s="270"/>
      <c r="CA95" s="270"/>
      <c r="CB95" s="270"/>
      <c r="CC95" s="270"/>
      <c r="CD95" s="121"/>
      <c r="CE95" s="49"/>
      <c r="CF95" s="121"/>
      <c r="CG95" s="136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  <c r="DB95" s="64"/>
      <c r="DC95" s="64"/>
      <c r="DD95" s="64"/>
      <c r="DE95" s="64"/>
      <c r="DF95" s="270"/>
      <c r="DG95" s="270"/>
      <c r="DH95" s="270"/>
      <c r="DI95" s="270"/>
      <c r="DJ95" s="270"/>
      <c r="DK95" s="270"/>
      <c r="DL95" s="270"/>
      <c r="DM95" s="270"/>
      <c r="DN95" s="270"/>
      <c r="DO95" s="270"/>
      <c r="DP95" s="270"/>
      <c r="DQ95" s="270"/>
      <c r="DR95" s="270"/>
      <c r="DS95" s="270"/>
      <c r="DT95" s="270"/>
      <c r="DU95" s="270"/>
      <c r="DV95" s="270"/>
      <c r="DW95" s="270"/>
      <c r="DX95" s="270"/>
      <c r="DY95" s="270"/>
      <c r="DZ95" s="270"/>
      <c r="EA95" s="270"/>
      <c r="EB95" s="270"/>
      <c r="EC95" s="270"/>
    </row>
    <row r="96">
      <c r="BZ96" s="2"/>
      <c r="CA96" s="2"/>
      <c r="CB96" s="2"/>
      <c r="CC96" s="2"/>
    </row>
    <row r="97">
      <c r="B97" s="63" t="s">
        <v>276</v>
      </c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270"/>
      <c r="AN97" s="270"/>
      <c r="AO97" s="270"/>
      <c r="AP97" s="270"/>
      <c r="AQ97" s="270"/>
      <c r="AR97" s="270"/>
      <c r="AS97" s="270"/>
      <c r="AT97" s="270"/>
      <c r="AU97" s="270"/>
      <c r="AV97" s="270"/>
      <c r="AW97" s="270"/>
      <c r="AX97" s="270"/>
      <c r="AY97" s="270">
        <f t="shared" ref="AY97:BJ97" si="199">AY91-AY95</f>
        <v>261439</v>
      </c>
      <c r="AZ97" s="270">
        <f t="shared" si="199"/>
        <v>1987064</v>
      </c>
      <c r="BA97" s="270">
        <f t="shared" si="199"/>
        <v>908401</v>
      </c>
      <c r="BB97" s="270">
        <f t="shared" si="199"/>
        <v>1226797</v>
      </c>
      <c r="BC97" s="270">
        <f t="shared" si="199"/>
        <v>1551472</v>
      </c>
      <c r="BD97" s="270">
        <f t="shared" si="199"/>
        <v>1624340</v>
      </c>
      <c r="BE97" s="270">
        <f t="shared" si="199"/>
        <v>1859922</v>
      </c>
      <c r="BF97" s="270">
        <f t="shared" si="199"/>
        <v>1529234</v>
      </c>
      <c r="BG97" s="270">
        <f t="shared" si="199"/>
        <v>1847897</v>
      </c>
      <c r="BH97" s="270">
        <f t="shared" si="199"/>
        <v>2112967</v>
      </c>
      <c r="BI97" s="270">
        <f t="shared" si="199"/>
        <v>2112967</v>
      </c>
      <c r="BJ97" s="270">
        <f t="shared" si="199"/>
        <v>2081702</v>
      </c>
      <c r="BK97" s="33"/>
      <c r="BL97" s="270"/>
      <c r="BN97" s="270">
        <f>sum(AY97:BA97)</f>
        <v>3156904</v>
      </c>
      <c r="BO97" s="270">
        <f>sum(BB97:BD97)</f>
        <v>4402609</v>
      </c>
      <c r="BP97" s="270">
        <f>sum(BE97:BG97)</f>
        <v>5237053</v>
      </c>
      <c r="BQ97" s="270">
        <f>sum(BH97:BJ97)</f>
        <v>6307636</v>
      </c>
      <c r="BR97" s="121">
        <f>sum(AY97:BJ97)</f>
        <v>19104202</v>
      </c>
      <c r="BS97" s="49"/>
      <c r="BT97" s="270">
        <f>sum(AM97:AO97)</f>
        <v>0</v>
      </c>
      <c r="BU97" s="270">
        <f>sum(AP97:AR97)</f>
        <v>0</v>
      </c>
      <c r="BV97" s="270">
        <f>sum(AS97:AU97)</f>
        <v>0</v>
      </c>
      <c r="BW97" s="270">
        <f>sum(AV97:AX97)</f>
        <v>0</v>
      </c>
      <c r="BX97" s="121">
        <f>sum(AM97:AX97)</f>
        <v>0</v>
      </c>
      <c r="BY97" s="49"/>
      <c r="BZ97" s="270"/>
      <c r="CA97" s="270"/>
      <c r="CB97" s="270"/>
      <c r="CC97" s="270"/>
      <c r="CD97" s="270"/>
      <c r="CE97" s="49"/>
      <c r="CF97" s="270"/>
      <c r="CG97" s="136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  <c r="DB97" s="64"/>
      <c r="DC97" s="64"/>
      <c r="DD97" s="64"/>
      <c r="DE97" s="64"/>
      <c r="DF97" s="270"/>
      <c r="DG97" s="270"/>
      <c r="DH97" s="270"/>
      <c r="DI97" s="270"/>
      <c r="DJ97" s="270"/>
      <c r="DK97" s="270"/>
      <c r="DL97" s="270"/>
      <c r="DM97" s="270"/>
      <c r="DN97" s="270"/>
      <c r="DO97" s="270"/>
      <c r="DP97" s="270"/>
      <c r="DQ97" s="270"/>
      <c r="DR97" s="270"/>
      <c r="DS97" s="270"/>
      <c r="DT97" s="270"/>
      <c r="DU97" s="270"/>
      <c r="DV97" s="270"/>
      <c r="DW97" s="270"/>
      <c r="DX97" s="270"/>
      <c r="DY97" s="270"/>
      <c r="DZ97" s="270"/>
      <c r="EA97" s="270"/>
      <c r="EB97" s="270"/>
      <c r="EC97" s="270"/>
    </row>
    <row r="98">
      <c r="BZ98" s="2"/>
      <c r="CA98" s="2"/>
      <c r="CB98" s="2"/>
      <c r="CC98" s="2"/>
    </row>
    <row r="99">
      <c r="B99" s="63" t="s">
        <v>198</v>
      </c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270"/>
      <c r="AN99" s="270"/>
      <c r="AO99" s="270"/>
      <c r="AP99" s="270"/>
      <c r="AQ99" s="270"/>
      <c r="AR99" s="270"/>
      <c r="AS99" s="270"/>
      <c r="AT99" s="270"/>
      <c r="AU99" s="270"/>
      <c r="AV99" s="270"/>
      <c r="AW99" s="270"/>
      <c r="AX99" s="270"/>
      <c r="AY99" s="270">
        <f t="shared" ref="AY99:BJ99" si="200">SUM(AY100:AY102)</f>
        <v>1374000</v>
      </c>
      <c r="AZ99" s="270">
        <f t="shared" si="200"/>
        <v>1087319</v>
      </c>
      <c r="BA99" s="270">
        <f t="shared" si="200"/>
        <v>1329207</v>
      </c>
      <c r="BB99" s="270">
        <f t="shared" si="200"/>
        <v>1392401</v>
      </c>
      <c r="BC99" s="270">
        <f t="shared" si="200"/>
        <v>1255694</v>
      </c>
      <c r="BD99" s="270">
        <f t="shared" si="200"/>
        <v>1217694</v>
      </c>
      <c r="BE99" s="270">
        <f t="shared" si="200"/>
        <v>1319516</v>
      </c>
      <c r="BF99" s="270">
        <f t="shared" si="200"/>
        <v>1611585</v>
      </c>
      <c r="BG99" s="270">
        <f t="shared" si="200"/>
        <v>1339347</v>
      </c>
      <c r="BH99" s="270">
        <f t="shared" si="200"/>
        <v>1391727</v>
      </c>
      <c r="BI99" s="270">
        <f t="shared" si="200"/>
        <v>1391727</v>
      </c>
      <c r="BJ99" s="270">
        <f t="shared" si="200"/>
        <v>1430207</v>
      </c>
      <c r="BK99" s="33"/>
      <c r="BL99" s="121"/>
      <c r="BM99" s="49"/>
      <c r="BN99" s="270">
        <f t="shared" ref="BN99:BN102" si="201">sum(AY99:BA99)</f>
        <v>3790526</v>
      </c>
      <c r="BO99" s="270">
        <f t="shared" ref="BO99:BO102" si="202">sum(BB99:BD99)</f>
        <v>3865789</v>
      </c>
      <c r="BP99" s="270">
        <f t="shared" ref="BP99:BP102" si="203">sum(BE99:BG99)</f>
        <v>4270448</v>
      </c>
      <c r="BQ99" s="270">
        <f t="shared" ref="BQ99:BQ102" si="204">sum(BH99:BJ99)</f>
        <v>4213661</v>
      </c>
      <c r="BR99" s="121">
        <f t="shared" ref="BR99:BR102" si="205">sum(AY99:BJ99)</f>
        <v>16140424</v>
      </c>
      <c r="BS99" s="49"/>
      <c r="BT99" s="270">
        <f t="shared" ref="BT99:BT102" si="206">sum(AM99:AO99)</f>
        <v>0</v>
      </c>
      <c r="BU99" s="270">
        <f t="shared" ref="BU99:BU102" si="207">sum(AP99:AR99)</f>
        <v>0</v>
      </c>
      <c r="BV99" s="270">
        <f t="shared" ref="BV99:BV102" si="208">sum(AS99:AU99)</f>
        <v>0</v>
      </c>
      <c r="BW99" s="270">
        <f t="shared" ref="BW99:BW102" si="209">sum(AV99:AX99)</f>
        <v>0</v>
      </c>
      <c r="BX99" s="121">
        <f t="shared" ref="BX99:BX102" si="210">sum(AM99:AX99)</f>
        <v>0</v>
      </c>
      <c r="BY99" s="49"/>
      <c r="BZ99" s="270">
        <f>sum(AA99:AC99)</f>
        <v>0</v>
      </c>
      <c r="CA99" s="270">
        <f>sum(AD99:AF99)</f>
        <v>0</v>
      </c>
      <c r="CB99" s="270">
        <f>sum(AG99:AI99)</f>
        <v>0</v>
      </c>
      <c r="CC99" s="270">
        <f>sum(AJ99:AL99)</f>
        <v>0</v>
      </c>
      <c r="CD99" s="121">
        <f>sum(CD100:CD108)</f>
        <v>0</v>
      </c>
      <c r="CE99" s="49"/>
      <c r="CF99" s="121">
        <f>sum(CF100:CF108)</f>
        <v>0</v>
      </c>
      <c r="CG99" s="136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/>
      <c r="DF99" s="270"/>
      <c r="DG99" s="270"/>
      <c r="DH99" s="270"/>
      <c r="DI99" s="270"/>
      <c r="DJ99" s="270"/>
      <c r="DK99" s="270"/>
      <c r="DL99" s="270"/>
      <c r="DM99" s="270"/>
      <c r="DN99" s="270"/>
      <c r="DO99" s="270"/>
      <c r="DP99" s="270"/>
      <c r="DQ99" s="270"/>
      <c r="DR99" s="270"/>
      <c r="DS99" s="270"/>
      <c r="DT99" s="270"/>
      <c r="DU99" s="270"/>
      <c r="DV99" s="270"/>
      <c r="DW99" s="270"/>
      <c r="DX99" s="270"/>
      <c r="DY99" s="270"/>
      <c r="DZ99" s="270"/>
      <c r="EA99" s="270"/>
      <c r="EB99" s="270"/>
      <c r="EC99" s="270"/>
    </row>
    <row r="100">
      <c r="B100" s="439" t="s">
        <v>552</v>
      </c>
      <c r="C100" s="136"/>
      <c r="D100" s="136"/>
      <c r="E100" s="136"/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>
        <v>663000.0</v>
      </c>
      <c r="AZ100" s="137">
        <v>686319.0</v>
      </c>
      <c r="BA100" s="137">
        <v>928207.0</v>
      </c>
      <c r="BB100" s="137">
        <v>871401.0</v>
      </c>
      <c r="BC100" s="137">
        <v>734694.0</v>
      </c>
      <c r="BD100" s="137">
        <v>696694.0</v>
      </c>
      <c r="BE100" s="137">
        <v>713516.0</v>
      </c>
      <c r="BF100" s="137">
        <v>1005585.0</v>
      </c>
      <c r="BG100" s="137">
        <v>733347.0</v>
      </c>
      <c r="BH100" s="137">
        <v>745727.0</v>
      </c>
      <c r="BI100" s="137">
        <v>745727.0</v>
      </c>
      <c r="BJ100" s="137">
        <v>784207.0</v>
      </c>
      <c r="BK100" s="137"/>
      <c r="BL100" s="292"/>
      <c r="BM100" s="136"/>
      <c r="BN100" s="141">
        <f t="shared" si="201"/>
        <v>2277526</v>
      </c>
      <c r="BO100" s="141">
        <f t="shared" si="202"/>
        <v>2302789</v>
      </c>
      <c r="BP100" s="141">
        <f t="shared" si="203"/>
        <v>2452448</v>
      </c>
      <c r="BQ100" s="440">
        <f t="shared" si="204"/>
        <v>2275661</v>
      </c>
      <c r="BR100" s="440">
        <f t="shared" si="205"/>
        <v>9308424</v>
      </c>
      <c r="BS100" s="54"/>
      <c r="BT100" s="141">
        <f t="shared" si="206"/>
        <v>0</v>
      </c>
      <c r="BU100" s="141">
        <f t="shared" si="207"/>
        <v>0</v>
      </c>
      <c r="BV100" s="141">
        <f t="shared" si="208"/>
        <v>0</v>
      </c>
      <c r="BW100" s="440">
        <f t="shared" si="209"/>
        <v>0</v>
      </c>
      <c r="BX100" s="440">
        <f t="shared" si="210"/>
        <v>0</v>
      </c>
      <c r="BY100" s="284"/>
      <c r="BZ100" s="136"/>
      <c r="CA100" s="136"/>
      <c r="CB100" s="136"/>
      <c r="CC100" s="136"/>
      <c r="CD100" s="292"/>
      <c r="CE100" s="284"/>
      <c r="CF100" s="292"/>
      <c r="CG100" s="284"/>
      <c r="CH100" s="136"/>
      <c r="CI100" s="136"/>
      <c r="CJ100" s="136"/>
      <c r="CK100" s="136"/>
      <c r="CL100" s="136"/>
      <c r="CM100" s="136"/>
      <c r="CN100" s="136"/>
      <c r="CO100" s="136"/>
      <c r="CP100" s="136"/>
      <c r="CQ100" s="136"/>
      <c r="CR100" s="136"/>
      <c r="CS100" s="136"/>
      <c r="CT100" s="136"/>
      <c r="CU100" s="136"/>
      <c r="CV100" s="136"/>
      <c r="CW100" s="136"/>
      <c r="CX100" s="136"/>
      <c r="CY100" s="136"/>
      <c r="CZ100" s="136"/>
      <c r="DA100" s="136"/>
      <c r="DB100" s="136"/>
      <c r="DC100" s="136"/>
      <c r="DD100" s="136"/>
      <c r="DE100" s="136"/>
      <c r="DF100" s="137"/>
      <c r="DG100" s="137"/>
      <c r="DH100" s="137"/>
      <c r="DI100" s="137"/>
      <c r="DJ100" s="137"/>
      <c r="DK100" s="137"/>
      <c r="DL100" s="137"/>
      <c r="DM100" s="137"/>
      <c r="DN100" s="137"/>
      <c r="DO100" s="137"/>
      <c r="DP100" s="137"/>
      <c r="DQ100" s="137"/>
      <c r="DR100" s="137"/>
      <c r="DS100" s="137"/>
      <c r="DT100" s="137"/>
      <c r="DU100" s="137"/>
      <c r="DV100" s="137"/>
      <c r="DW100" s="137"/>
      <c r="DX100" s="137"/>
      <c r="DY100" s="137"/>
      <c r="DZ100" s="137"/>
      <c r="EA100" s="137"/>
      <c r="EB100" s="137"/>
      <c r="EC100" s="137"/>
    </row>
    <row r="101">
      <c r="B101" s="135" t="s">
        <v>553</v>
      </c>
      <c r="AY101" s="137">
        <v>281000.0</v>
      </c>
      <c r="AZ101" s="137">
        <v>156000.0</v>
      </c>
      <c r="BA101" s="137">
        <v>156000.0</v>
      </c>
      <c r="BB101" s="137">
        <v>211000.0</v>
      </c>
      <c r="BC101" s="137">
        <v>211000.0</v>
      </c>
      <c r="BD101" s="137">
        <v>211000.0</v>
      </c>
      <c r="BE101" s="137">
        <v>256000.0</v>
      </c>
      <c r="BF101" s="137">
        <v>256000.0</v>
      </c>
      <c r="BG101" s="137">
        <v>256000.0</v>
      </c>
      <c r="BH101" s="137">
        <v>256000.0</v>
      </c>
      <c r="BI101" s="137">
        <v>256000.0</v>
      </c>
      <c r="BJ101" s="137">
        <v>256000.0</v>
      </c>
      <c r="BK101" s="137"/>
      <c r="BN101" s="141">
        <f t="shared" si="201"/>
        <v>593000</v>
      </c>
      <c r="BO101" s="141">
        <f t="shared" si="202"/>
        <v>633000</v>
      </c>
      <c r="BP101" s="141">
        <f t="shared" si="203"/>
        <v>768000</v>
      </c>
      <c r="BQ101" s="440">
        <f t="shared" si="204"/>
        <v>768000</v>
      </c>
      <c r="BR101" s="440">
        <f t="shared" si="205"/>
        <v>2762000</v>
      </c>
      <c r="BS101" s="54"/>
      <c r="BT101" s="141">
        <f t="shared" si="206"/>
        <v>0</v>
      </c>
      <c r="BU101" s="141">
        <f t="shared" si="207"/>
        <v>0</v>
      </c>
      <c r="BV101" s="141">
        <f t="shared" si="208"/>
        <v>0</v>
      </c>
      <c r="BW101" s="440">
        <f t="shared" si="209"/>
        <v>0</v>
      </c>
      <c r="BX101" s="440">
        <f t="shared" si="210"/>
        <v>0</v>
      </c>
      <c r="BZ101" s="2"/>
      <c r="CA101" s="2"/>
      <c r="CB101" s="2"/>
      <c r="CC101" s="2"/>
      <c r="DR101" s="137"/>
      <c r="DS101" s="137"/>
      <c r="DT101" s="137"/>
      <c r="DU101" s="137"/>
      <c r="DV101" s="137"/>
      <c r="DW101" s="137"/>
      <c r="DX101" s="137"/>
      <c r="DY101" s="137"/>
      <c r="DZ101" s="137"/>
      <c r="EA101" s="137"/>
      <c r="EB101" s="137"/>
      <c r="EC101" s="137"/>
    </row>
    <row r="102">
      <c r="B102" s="439" t="s">
        <v>554</v>
      </c>
      <c r="AY102" s="137">
        <v>430000.0</v>
      </c>
      <c r="AZ102" s="137">
        <v>245000.0</v>
      </c>
      <c r="BA102" s="137">
        <v>245000.0</v>
      </c>
      <c r="BB102" s="137">
        <v>310000.0</v>
      </c>
      <c r="BC102" s="137">
        <v>310000.0</v>
      </c>
      <c r="BD102" s="137">
        <v>310000.0</v>
      </c>
      <c r="BE102" s="137">
        <v>350000.0</v>
      </c>
      <c r="BF102" s="137">
        <v>350000.0</v>
      </c>
      <c r="BG102" s="137">
        <v>350000.0</v>
      </c>
      <c r="BH102" s="137">
        <v>390000.0</v>
      </c>
      <c r="BI102" s="137">
        <v>390000.0</v>
      </c>
      <c r="BJ102" s="137">
        <v>390000.0</v>
      </c>
      <c r="BK102" s="137"/>
      <c r="BN102" s="141">
        <f t="shared" si="201"/>
        <v>920000</v>
      </c>
      <c r="BO102" s="141">
        <f t="shared" si="202"/>
        <v>930000</v>
      </c>
      <c r="BP102" s="141">
        <f t="shared" si="203"/>
        <v>1050000</v>
      </c>
      <c r="BQ102" s="440">
        <f t="shared" si="204"/>
        <v>1170000</v>
      </c>
      <c r="BR102" s="440">
        <f t="shared" si="205"/>
        <v>4070000</v>
      </c>
      <c r="BS102" s="54"/>
      <c r="BT102" s="141">
        <f t="shared" si="206"/>
        <v>0</v>
      </c>
      <c r="BU102" s="141">
        <f t="shared" si="207"/>
        <v>0</v>
      </c>
      <c r="BV102" s="141">
        <f t="shared" si="208"/>
        <v>0</v>
      </c>
      <c r="BW102" s="440">
        <f t="shared" si="209"/>
        <v>0</v>
      </c>
      <c r="BX102" s="440">
        <f t="shared" si="210"/>
        <v>0</v>
      </c>
      <c r="BZ102" s="2"/>
      <c r="CA102" s="2"/>
      <c r="CB102" s="2"/>
      <c r="CC102" s="2"/>
      <c r="DR102" s="137"/>
      <c r="DS102" s="137"/>
      <c r="DT102" s="137"/>
      <c r="DU102" s="137"/>
      <c r="DV102" s="137"/>
      <c r="DW102" s="137"/>
      <c r="DX102" s="137"/>
      <c r="DY102" s="137"/>
      <c r="DZ102" s="137"/>
      <c r="EA102" s="137"/>
      <c r="EB102" s="137"/>
      <c r="EC102" s="137"/>
    </row>
    <row r="103">
      <c r="B103" s="135"/>
      <c r="AY103" s="137"/>
      <c r="AZ103" s="137"/>
      <c r="BA103" s="137"/>
      <c r="BB103" s="137"/>
      <c r="BC103" s="137"/>
      <c r="BD103" s="137"/>
      <c r="BE103" s="137"/>
      <c r="BF103" s="137"/>
      <c r="BG103" s="137"/>
      <c r="BH103" s="137"/>
      <c r="BI103" s="137"/>
      <c r="BJ103" s="137"/>
      <c r="BK103" s="137"/>
      <c r="BZ103" s="2"/>
      <c r="CA103" s="2"/>
      <c r="CB103" s="2"/>
      <c r="CC103" s="2"/>
      <c r="DR103" s="137"/>
      <c r="DS103" s="137"/>
      <c r="DT103" s="137"/>
      <c r="DU103" s="137"/>
      <c r="DV103" s="137"/>
      <c r="DW103" s="137"/>
      <c r="DX103" s="137"/>
      <c r="DY103" s="137"/>
      <c r="DZ103" s="137"/>
      <c r="EA103" s="137"/>
      <c r="EB103" s="137"/>
      <c r="EC103" s="137"/>
    </row>
    <row r="104">
      <c r="B104" s="371" t="s">
        <v>489</v>
      </c>
      <c r="C104" s="372"/>
      <c r="D104" s="372"/>
      <c r="E104" s="372"/>
      <c r="F104" s="372"/>
      <c r="G104" s="372"/>
      <c r="H104" s="372"/>
      <c r="I104" s="372"/>
      <c r="J104" s="372"/>
      <c r="K104" s="372"/>
      <c r="L104" s="372"/>
      <c r="M104" s="372"/>
      <c r="N104" s="372"/>
      <c r="O104" s="372"/>
      <c r="P104" s="372"/>
      <c r="Q104" s="372"/>
      <c r="R104" s="372"/>
      <c r="S104" s="372"/>
      <c r="T104" s="372"/>
      <c r="U104" s="372"/>
      <c r="V104" s="372"/>
      <c r="W104" s="372"/>
      <c r="X104" s="372"/>
      <c r="Y104" s="372"/>
      <c r="Z104" s="372"/>
      <c r="AA104" s="372"/>
      <c r="AB104" s="372"/>
      <c r="AC104" s="372"/>
      <c r="AD104" s="372"/>
      <c r="AE104" s="372"/>
      <c r="AF104" s="372"/>
      <c r="AG104" s="372"/>
      <c r="AH104" s="372"/>
      <c r="AI104" s="372"/>
      <c r="AJ104" s="372"/>
      <c r="AK104" s="372"/>
      <c r="AL104" s="372"/>
      <c r="AM104" s="373"/>
      <c r="AN104" s="373"/>
      <c r="AO104" s="373"/>
      <c r="AP104" s="373"/>
      <c r="AQ104" s="373"/>
      <c r="AR104" s="372"/>
      <c r="AS104" s="372"/>
      <c r="AT104" s="372"/>
      <c r="AU104" s="372"/>
      <c r="AV104" s="372"/>
      <c r="AW104" s="372"/>
      <c r="AX104" s="372"/>
      <c r="AY104" s="372">
        <f t="shared" ref="AY104:BJ104" si="211">AY91-AY95-AY99</f>
        <v>-1112561</v>
      </c>
      <c r="AZ104" s="372">
        <f t="shared" si="211"/>
        <v>899745</v>
      </c>
      <c r="BA104" s="372">
        <f t="shared" si="211"/>
        <v>-420806</v>
      </c>
      <c r="BB104" s="372">
        <f t="shared" si="211"/>
        <v>-165604</v>
      </c>
      <c r="BC104" s="372">
        <f t="shared" si="211"/>
        <v>295778</v>
      </c>
      <c r="BD104" s="372">
        <f t="shared" si="211"/>
        <v>406646</v>
      </c>
      <c r="BE104" s="372">
        <f t="shared" si="211"/>
        <v>540406</v>
      </c>
      <c r="BF104" s="372">
        <f t="shared" si="211"/>
        <v>-82351</v>
      </c>
      <c r="BG104" s="372">
        <f t="shared" si="211"/>
        <v>508550</v>
      </c>
      <c r="BH104" s="372">
        <f t="shared" si="211"/>
        <v>721240</v>
      </c>
      <c r="BI104" s="372">
        <f t="shared" si="211"/>
        <v>721240</v>
      </c>
      <c r="BJ104" s="372">
        <f t="shared" si="211"/>
        <v>651495</v>
      </c>
      <c r="BK104" s="129"/>
      <c r="BL104" s="374"/>
      <c r="BM104" s="372"/>
      <c r="BN104" s="372">
        <f>sum(AY104:BA104)</f>
        <v>-633622</v>
      </c>
      <c r="BO104" s="372">
        <f>sum(BB104:BD104)</f>
        <v>536820</v>
      </c>
      <c r="BP104" s="372">
        <f>sum(BE104:BG104)</f>
        <v>966605</v>
      </c>
      <c r="BQ104" s="372">
        <f>sum(BH104:BJ104)</f>
        <v>2093975</v>
      </c>
      <c r="BR104" s="374">
        <f>sum(AY104:BJ104)</f>
        <v>2963778</v>
      </c>
      <c r="BS104" s="375"/>
      <c r="BT104" s="372">
        <f>sum(AM104:AO104)</f>
        <v>0</v>
      </c>
      <c r="BU104" s="372">
        <f>sum(AP104:AR104)</f>
        <v>0</v>
      </c>
      <c r="BV104" s="372">
        <f>sum(AS104:AU104)</f>
        <v>0</v>
      </c>
      <c r="BW104" s="372">
        <f>sum(AV104:AX104)</f>
        <v>0</v>
      </c>
      <c r="BX104" s="374">
        <f>sum(AM104:AX104)</f>
        <v>0</v>
      </c>
      <c r="BY104" s="375"/>
      <c r="BZ104" s="372">
        <f>sum(AA104:AC104)</f>
        <v>0</v>
      </c>
      <c r="CA104" s="372">
        <f>sum(AD104:AF104)</f>
        <v>0</v>
      </c>
      <c r="CB104" s="372">
        <f>sum(AG104:AI104)</f>
        <v>0</v>
      </c>
      <c r="CC104" s="372">
        <f>sum(AJ104:AL104)</f>
        <v>0</v>
      </c>
      <c r="CD104" s="374">
        <f>CD72-CD88</f>
        <v>0</v>
      </c>
      <c r="CE104" s="375"/>
      <c r="CF104" s="374">
        <f>CF72-CF88</f>
        <v>0</v>
      </c>
      <c r="CG104" s="375"/>
      <c r="CH104" s="372"/>
      <c r="CI104" s="372"/>
      <c r="CJ104" s="372"/>
      <c r="CK104" s="372"/>
      <c r="CL104" s="372"/>
      <c r="CM104" s="372"/>
      <c r="CN104" s="372"/>
      <c r="CO104" s="372"/>
      <c r="CP104" s="372"/>
      <c r="CQ104" s="372"/>
      <c r="CR104" s="372"/>
      <c r="CS104" s="372"/>
      <c r="CT104" s="372"/>
      <c r="CU104" s="372"/>
      <c r="CV104" s="372"/>
      <c r="CW104" s="372"/>
      <c r="CX104" s="372"/>
      <c r="CY104" s="372"/>
      <c r="CZ104" s="372"/>
      <c r="DA104" s="372"/>
      <c r="DB104" s="372"/>
      <c r="DC104" s="372"/>
      <c r="DD104" s="372"/>
      <c r="DE104" s="372"/>
      <c r="DF104" s="373"/>
      <c r="DG104" s="373"/>
      <c r="DH104" s="373"/>
      <c r="DI104" s="373"/>
      <c r="DJ104" s="373"/>
      <c r="DK104" s="372"/>
      <c r="DL104" s="372"/>
      <c r="DM104" s="372"/>
      <c r="DN104" s="372"/>
      <c r="DO104" s="372"/>
      <c r="DP104" s="372"/>
      <c r="DQ104" s="372"/>
      <c r="DR104" s="372"/>
      <c r="DS104" s="372"/>
      <c r="DT104" s="372"/>
      <c r="DU104" s="372"/>
      <c r="DV104" s="372"/>
      <c r="DW104" s="372"/>
      <c r="DX104" s="372"/>
      <c r="DY104" s="372"/>
      <c r="DZ104" s="372"/>
      <c r="EA104" s="372"/>
      <c r="EB104" s="372"/>
      <c r="EC104" s="372"/>
    </row>
    <row r="105">
      <c r="BZ105" s="2"/>
      <c r="CA105" s="2"/>
      <c r="CB105" s="2"/>
      <c r="CC105" s="2"/>
    </row>
    <row r="106">
      <c r="AX106" s="84" t="s">
        <v>30</v>
      </c>
      <c r="AY106" s="3">
        <v>57000.0</v>
      </c>
      <c r="AZ106" s="3">
        <v>402890.0</v>
      </c>
      <c r="BA106" s="3">
        <v>5460271.0</v>
      </c>
      <c r="BB106" s="3">
        <v>1745422.0</v>
      </c>
      <c r="BC106" s="3">
        <v>3865864.0</v>
      </c>
      <c r="BD106" s="102">
        <f t="shared" ref="BD106:BF106" si="212">BD7</f>
        <v>799248</v>
      </c>
      <c r="BE106" s="102">
        <f t="shared" si="212"/>
        <v>1406220</v>
      </c>
      <c r="BF106" s="102">
        <f t="shared" si="212"/>
        <v>2487957</v>
      </c>
      <c r="BG106" s="1">
        <v>3000000.0</v>
      </c>
      <c r="BH106" s="1">
        <v>3000000.0</v>
      </c>
      <c r="BI106" s="1">
        <v>3000000.0</v>
      </c>
      <c r="BJ106" s="1">
        <v>3000000.0</v>
      </c>
      <c r="BZ106" s="2"/>
      <c r="CA106" s="2"/>
      <c r="CB106" s="2"/>
      <c r="CC106" s="2"/>
    </row>
    <row r="107">
      <c r="AX107" s="84" t="s">
        <v>101</v>
      </c>
      <c r="AY107" s="3">
        <v>970065.9900000001</v>
      </c>
      <c r="AZ107" s="3">
        <v>962170.87</v>
      </c>
      <c r="BA107" s="3">
        <v>3025187.86</v>
      </c>
      <c r="BB107" s="3">
        <v>1283096.44</v>
      </c>
      <c r="BC107" s="3">
        <v>1924845.1600000001</v>
      </c>
      <c r="BD107" s="3">
        <f t="shared" ref="BD107:BF107" si="213">BD13</f>
        <v>2345303.58</v>
      </c>
      <c r="BE107" s="3">
        <f t="shared" si="213"/>
        <v>1856523.75</v>
      </c>
      <c r="BF107" s="3">
        <f t="shared" si="213"/>
        <v>2335496.06</v>
      </c>
      <c r="BZ107" s="2"/>
      <c r="CA107" s="2"/>
      <c r="CB107" s="2"/>
      <c r="CC107" s="2"/>
    </row>
    <row r="108">
      <c r="AN108" s="129"/>
      <c r="AO108" s="129"/>
      <c r="AP108" s="129"/>
      <c r="AQ108" s="129"/>
      <c r="AR108" s="129"/>
      <c r="AS108" s="129"/>
      <c r="AT108" s="129"/>
      <c r="AU108" s="129"/>
      <c r="AV108" s="129"/>
      <c r="AW108" s="129"/>
      <c r="AX108" s="129" t="s">
        <v>505</v>
      </c>
      <c r="AY108" s="3">
        <v>756742.61</v>
      </c>
      <c r="AZ108" s="3">
        <v>685393.0800000001</v>
      </c>
      <c r="BA108" s="3">
        <v>678405.55</v>
      </c>
      <c r="BB108" s="3">
        <v>993966.1599999999</v>
      </c>
      <c r="BC108" s="3">
        <v>698206.56</v>
      </c>
      <c r="BD108" s="3">
        <f t="shared" ref="BD108:BF108" si="214">BD27</f>
        <v>689582.9</v>
      </c>
      <c r="BE108" s="3">
        <f t="shared" si="214"/>
        <v>709212.33</v>
      </c>
      <c r="BF108" s="3">
        <f t="shared" si="214"/>
        <v>1229293.13</v>
      </c>
      <c r="BZ108" s="2"/>
      <c r="CA108" s="2"/>
      <c r="CB108" s="2"/>
      <c r="CC108" s="2"/>
      <c r="DG108" s="129"/>
      <c r="DH108" s="129"/>
      <c r="DI108" s="129"/>
      <c r="DJ108" s="129"/>
      <c r="DK108" s="129"/>
      <c r="DL108" s="129"/>
      <c r="DM108" s="129"/>
      <c r="DN108" s="129"/>
      <c r="DO108" s="129"/>
      <c r="DP108" s="129"/>
      <c r="DQ108" s="129"/>
      <c r="DR108" s="129"/>
      <c r="DS108" s="129"/>
      <c r="DT108" s="129"/>
    </row>
    <row r="109">
      <c r="AX109" s="84" t="s">
        <v>198</v>
      </c>
      <c r="AY109" s="3">
        <v>1314378.32</v>
      </c>
      <c r="AZ109" s="3">
        <v>1204686.5</v>
      </c>
      <c r="BA109" s="3">
        <v>1216485.02</v>
      </c>
      <c r="BB109" s="3">
        <v>1613998.45</v>
      </c>
      <c r="BC109" s="3">
        <v>1573424.53</v>
      </c>
      <c r="BD109" s="3">
        <f t="shared" ref="BD109:BF109" si="215">BD31</f>
        <v>1524760.6</v>
      </c>
      <c r="BE109" s="3">
        <f t="shared" si="215"/>
        <v>1437723.33</v>
      </c>
      <c r="BF109" s="3">
        <f t="shared" si="215"/>
        <v>2242071.52</v>
      </c>
      <c r="BZ109" s="2"/>
      <c r="CA109" s="2"/>
      <c r="CB109" s="2"/>
      <c r="CC109" s="2"/>
    </row>
    <row r="110">
      <c r="AX110" s="1" t="s">
        <v>489</v>
      </c>
      <c r="AY110" s="3">
        <f t="shared" ref="AY110:BC110" si="216">AY107-AY108-AY109</f>
        <v>-1101054.94</v>
      </c>
      <c r="AZ110" s="3">
        <f t="shared" si="216"/>
        <v>-927908.71</v>
      </c>
      <c r="BA110" s="3">
        <f t="shared" si="216"/>
        <v>1130297.29</v>
      </c>
      <c r="BB110" s="3">
        <f t="shared" si="216"/>
        <v>-1324868.17</v>
      </c>
      <c r="BC110" s="3">
        <f t="shared" si="216"/>
        <v>-346785.93</v>
      </c>
      <c r="BD110" s="129">
        <f t="shared" ref="BD110:BF110" si="217">BD45</f>
        <v>130960.08</v>
      </c>
      <c r="BE110" s="129">
        <f t="shared" si="217"/>
        <v>-290411.91</v>
      </c>
      <c r="BF110" s="129">
        <f t="shared" si="217"/>
        <v>-1135868.59</v>
      </c>
      <c r="BZ110" s="2"/>
      <c r="CA110" s="2"/>
      <c r="CB110" s="2"/>
      <c r="CC110" s="2"/>
    </row>
    <row r="111">
      <c r="BZ111" s="2"/>
      <c r="CA111" s="2"/>
      <c r="CB111" s="2"/>
      <c r="CC111" s="2"/>
    </row>
    <row r="112">
      <c r="AM112" s="1">
        <v>9.24</v>
      </c>
      <c r="AN112" s="1">
        <v>7.69</v>
      </c>
      <c r="AO112" s="1">
        <v>7.49</v>
      </c>
      <c r="AP112" s="1">
        <v>7.3</v>
      </c>
      <c r="AQ112" s="1">
        <v>6.76</v>
      </c>
      <c r="AR112" s="1">
        <v>8.12</v>
      </c>
      <c r="AS112" s="1">
        <v>9.33</v>
      </c>
      <c r="AT112" s="1">
        <v>8.52</v>
      </c>
      <c r="AU112" s="1">
        <v>8.43</v>
      </c>
      <c r="AV112" s="1">
        <v>7.64</v>
      </c>
      <c r="AW112" s="1">
        <v>6.57</v>
      </c>
      <c r="AX112" s="1">
        <v>8.24</v>
      </c>
      <c r="AY112" s="1">
        <v>5.75</v>
      </c>
      <c r="AZ112" s="1">
        <v>5.31</v>
      </c>
      <c r="BA112" s="1">
        <v>6.35</v>
      </c>
      <c r="BB112" s="1">
        <v>5.47</v>
      </c>
      <c r="BC112" s="1">
        <v>6.68</v>
      </c>
      <c r="BD112" s="1">
        <v>6.75</v>
      </c>
      <c r="BE112" s="1">
        <v>6.18</v>
      </c>
      <c r="BF112" s="1">
        <v>5.53</v>
      </c>
      <c r="BZ112" s="2"/>
      <c r="CA112" s="2"/>
      <c r="CB112" s="2"/>
      <c r="CC112" s="2"/>
    </row>
    <row r="113">
      <c r="B113" s="1" t="s">
        <v>555</v>
      </c>
      <c r="AM113" s="83">
        <f t="shared" ref="AM113:BC113" si="218">AM112*1000000</f>
        <v>9240000</v>
      </c>
      <c r="AN113" s="83">
        <f t="shared" si="218"/>
        <v>7690000</v>
      </c>
      <c r="AO113" s="83">
        <f t="shared" si="218"/>
        <v>7490000</v>
      </c>
      <c r="AP113" s="83">
        <f t="shared" si="218"/>
        <v>7300000</v>
      </c>
      <c r="AQ113" s="83">
        <f t="shared" si="218"/>
        <v>6760000</v>
      </c>
      <c r="AR113" s="83">
        <f t="shared" si="218"/>
        <v>8120000</v>
      </c>
      <c r="AS113" s="83">
        <f t="shared" si="218"/>
        <v>9330000</v>
      </c>
      <c r="AT113" s="83">
        <f t="shared" si="218"/>
        <v>8520000</v>
      </c>
      <c r="AU113" s="83">
        <f t="shared" si="218"/>
        <v>8430000</v>
      </c>
      <c r="AV113" s="83">
        <f t="shared" si="218"/>
        <v>7640000</v>
      </c>
      <c r="AW113" s="83">
        <f t="shared" si="218"/>
        <v>6570000</v>
      </c>
      <c r="AX113" s="83">
        <f t="shared" si="218"/>
        <v>8240000</v>
      </c>
      <c r="AY113" s="83">
        <f t="shared" si="218"/>
        <v>5750000</v>
      </c>
      <c r="AZ113" s="83">
        <f t="shared" si="218"/>
        <v>5310000</v>
      </c>
      <c r="BA113" s="83">
        <f t="shared" si="218"/>
        <v>6350000</v>
      </c>
      <c r="BB113" s="83">
        <f t="shared" si="218"/>
        <v>5470000</v>
      </c>
      <c r="BC113" s="83">
        <f t="shared" si="218"/>
        <v>6680000</v>
      </c>
      <c r="BD113" s="83">
        <v>6750000.0</v>
      </c>
      <c r="BE113" s="83">
        <v>6180000.0</v>
      </c>
      <c r="BF113" s="87">
        <v>5530000.0</v>
      </c>
      <c r="BZ113" s="2"/>
      <c r="CA113" s="2"/>
      <c r="CB113" s="2"/>
      <c r="CC113" s="2"/>
    </row>
    <row r="114">
      <c r="B114" s="1" t="s">
        <v>556</v>
      </c>
      <c r="AM114" s="106">
        <f t="shared" ref="AM114:BC114" si="219">AM13/AM113</f>
        <v>0.2114946104</v>
      </c>
      <c r="AN114" s="106">
        <f t="shared" si="219"/>
        <v>0.251781104</v>
      </c>
      <c r="AO114" s="106">
        <f t="shared" si="219"/>
        <v>0.217304259</v>
      </c>
      <c r="AP114" s="106">
        <f t="shared" si="219"/>
        <v>0.1891294233</v>
      </c>
      <c r="AQ114" s="106">
        <f t="shared" si="219"/>
        <v>0.1515579275</v>
      </c>
      <c r="AR114" s="106">
        <f t="shared" si="219"/>
        <v>0.2572725296</v>
      </c>
      <c r="AS114" s="106">
        <f t="shared" si="219"/>
        <v>0.1173490086</v>
      </c>
      <c r="AT114" s="106">
        <f t="shared" si="219"/>
        <v>0.2778689824</v>
      </c>
      <c r="AU114" s="106">
        <f t="shared" si="219"/>
        <v>0.2069373642</v>
      </c>
      <c r="AV114" s="106">
        <f t="shared" si="219"/>
        <v>0.191466623</v>
      </c>
      <c r="AW114" s="106">
        <f t="shared" si="219"/>
        <v>0.4178300791</v>
      </c>
      <c r="AX114" s="106">
        <f t="shared" si="219"/>
        <v>0.3286608337</v>
      </c>
      <c r="AY114" s="106">
        <f t="shared" si="219"/>
        <v>0.1687071287</v>
      </c>
      <c r="AZ114" s="106">
        <f t="shared" si="219"/>
        <v>0.1811997872</v>
      </c>
      <c r="BA114" s="106">
        <f t="shared" si="219"/>
        <v>0.476407537</v>
      </c>
      <c r="BB114" s="106">
        <f t="shared" si="219"/>
        <v>0.2345697331</v>
      </c>
      <c r="BC114" s="106">
        <f t="shared" si="219"/>
        <v>0.2881504731</v>
      </c>
      <c r="BD114" s="106">
        <f t="shared" ref="BD114:BF114" si="220">BD107/BD113</f>
        <v>0.3474523822</v>
      </c>
      <c r="BE114" s="106">
        <f t="shared" si="220"/>
        <v>0.3004083738</v>
      </c>
      <c r="BF114" s="106">
        <f t="shared" si="220"/>
        <v>0.4223320181</v>
      </c>
      <c r="BZ114" s="2"/>
      <c r="CA114" s="2"/>
      <c r="CB114" s="2"/>
      <c r="CC114" s="2"/>
    </row>
    <row r="115">
      <c r="AX115" s="1"/>
      <c r="BZ115" s="2"/>
      <c r="CA115" s="2"/>
      <c r="CB115" s="2"/>
      <c r="CC115" s="2"/>
    </row>
    <row r="116">
      <c r="AO116" s="84">
        <f>sum(AM112:AO112)</f>
        <v>24.42</v>
      </c>
      <c r="AR116" s="84">
        <f>sum(AP112:AR112)</f>
        <v>22.18</v>
      </c>
      <c r="AU116" s="84">
        <f>sum(AS112:AU112)</f>
        <v>26.28</v>
      </c>
      <c r="AX116" s="84">
        <f>sum(AV112:AX112)</f>
        <v>22.45</v>
      </c>
      <c r="BA116" s="84">
        <f>sum(AY112:BA112)</f>
        <v>17.41</v>
      </c>
      <c r="BD116" s="84">
        <f>sum(BB112:BD112)</f>
        <v>18.9</v>
      </c>
      <c r="BG116" s="84">
        <f>sum(BE112:BG112)</f>
        <v>11.71</v>
      </c>
      <c r="BZ116" s="2"/>
      <c r="CA116" s="2"/>
      <c r="CB116" s="2"/>
      <c r="CC116" s="2"/>
    </row>
    <row r="117">
      <c r="AO117" s="83">
        <f>average(AM113:AO113)</f>
        <v>8140000</v>
      </c>
      <c r="AR117" s="83">
        <f>average(AP113:AR113)</f>
        <v>7393333.333</v>
      </c>
      <c r="AU117" s="83">
        <f>average(AS113:AU113)</f>
        <v>8760000</v>
      </c>
      <c r="AX117" s="83">
        <f>average(AV113:AX113)</f>
        <v>7483333.333</v>
      </c>
      <c r="BA117" s="83">
        <f>average(AY113:BA113)</f>
        <v>5803333.333</v>
      </c>
      <c r="BD117" s="83">
        <f>average(BB113:BD113)</f>
        <v>6300000</v>
      </c>
      <c r="BG117" s="83">
        <f>average(BE113:BG113)</f>
        <v>5855000</v>
      </c>
      <c r="BZ117" s="2"/>
      <c r="CA117" s="2"/>
      <c r="CB117" s="2"/>
      <c r="CC117" s="2"/>
    </row>
    <row r="118">
      <c r="AO118" s="106">
        <f>sum(AM13:AO13)/AO117</f>
        <v>0.6778889177</v>
      </c>
      <c r="AR118" s="106">
        <f>sum(AP13:AR13)/AR117</f>
        <v>0.6078759225</v>
      </c>
      <c r="AU118" s="106">
        <f>sum(AS13:AU13)/AU117</f>
        <v>0.5943826438</v>
      </c>
      <c r="AX118" s="106">
        <f>sum(AV13:AX13)/AX117</f>
        <v>0.9242023016</v>
      </c>
      <c r="BA118" s="106">
        <f>sum(AY13:BA13)/BA117</f>
        <v>0.8542374589</v>
      </c>
      <c r="BD118" s="106">
        <f>sum(BB13:BD13)/BD117</f>
        <v>0.8814674889</v>
      </c>
      <c r="BG118" s="106">
        <f>sum(BE13:BG13)/BG117</f>
        <v>0.7159726405</v>
      </c>
      <c r="BZ118" s="2"/>
      <c r="CA118" s="2"/>
      <c r="CB118" s="2"/>
      <c r="CC118" s="2"/>
    </row>
    <row r="119">
      <c r="AX119" s="1"/>
      <c r="BZ119" s="2"/>
      <c r="CA119" s="2"/>
      <c r="CB119" s="2"/>
      <c r="CC119" s="2"/>
    </row>
    <row r="120">
      <c r="AX120" s="1"/>
      <c r="BZ120" s="2"/>
      <c r="CA120" s="2"/>
      <c r="CB120" s="2"/>
      <c r="CC120" s="2"/>
    </row>
    <row r="121">
      <c r="AX121" s="1"/>
      <c r="BZ121" s="2"/>
      <c r="CA121" s="2"/>
      <c r="CB121" s="2"/>
      <c r="CC121" s="2"/>
    </row>
    <row r="122">
      <c r="AX122" s="1"/>
      <c r="BZ122" s="2"/>
      <c r="CA122" s="2"/>
      <c r="CB122" s="2"/>
      <c r="CC122" s="2"/>
    </row>
    <row r="123">
      <c r="AX123" s="1" t="s">
        <v>557</v>
      </c>
      <c r="AY123" s="3">
        <f t="shared" ref="AY123:BF123" si="221">AY106-AY89</f>
        <v>0</v>
      </c>
      <c r="AZ123" s="3">
        <f t="shared" si="221"/>
        <v>71840</v>
      </c>
      <c r="BA123" s="3">
        <f t="shared" si="221"/>
        <v>-1539729</v>
      </c>
      <c r="BB123" s="3">
        <f t="shared" si="221"/>
        <v>-254578</v>
      </c>
      <c r="BC123" s="3">
        <f t="shared" si="221"/>
        <v>1865864</v>
      </c>
      <c r="BD123" s="3">
        <f t="shared" si="221"/>
        <v>-1200752</v>
      </c>
      <c r="BE123" s="3">
        <f t="shared" si="221"/>
        <v>-1831814</v>
      </c>
      <c r="BF123" s="3">
        <f t="shared" si="221"/>
        <v>-750077</v>
      </c>
      <c r="BZ123" s="2"/>
      <c r="CA123" s="2"/>
      <c r="CB123" s="2"/>
      <c r="CC123" s="2"/>
    </row>
    <row r="124">
      <c r="AX124" s="1" t="s">
        <v>558</v>
      </c>
      <c r="AY124" s="3">
        <f t="shared" ref="AY124:BF124" si="222">AY107-AY91</f>
        <v>-323.01</v>
      </c>
      <c r="AZ124" s="445">
        <f t="shared" si="222"/>
        <v>-1700218.13</v>
      </c>
      <c r="BA124" s="445">
        <f t="shared" si="222"/>
        <v>1122798.86</v>
      </c>
      <c r="BB124" s="445">
        <f t="shared" si="222"/>
        <v>-955725.56</v>
      </c>
      <c r="BC124" s="445">
        <f t="shared" si="222"/>
        <v>-313976.84</v>
      </c>
      <c r="BD124" s="445">
        <f t="shared" si="222"/>
        <v>33613.58</v>
      </c>
      <c r="BE124" s="445">
        <f t="shared" si="222"/>
        <v>-702773.25</v>
      </c>
      <c r="BF124" s="445">
        <f t="shared" si="222"/>
        <v>-223800.94</v>
      </c>
      <c r="BZ124" s="2"/>
      <c r="CA124" s="2"/>
      <c r="CB124" s="2"/>
      <c r="CC124" s="2"/>
    </row>
    <row r="125">
      <c r="AX125" s="1" t="s">
        <v>559</v>
      </c>
      <c r="AY125" s="3">
        <f t="shared" ref="AY125:BF125" si="223">AY108-AY95</f>
        <v>47792.61</v>
      </c>
      <c r="AZ125" s="3">
        <f t="shared" si="223"/>
        <v>10068.08</v>
      </c>
      <c r="BA125" s="3">
        <f t="shared" si="223"/>
        <v>-315582.45</v>
      </c>
      <c r="BB125" s="3">
        <f t="shared" si="223"/>
        <v>-18058.84</v>
      </c>
      <c r="BC125" s="3">
        <f t="shared" si="223"/>
        <v>10856.56</v>
      </c>
      <c r="BD125" s="3">
        <f t="shared" si="223"/>
        <v>2232.9</v>
      </c>
      <c r="BE125" s="3">
        <f t="shared" si="223"/>
        <v>9837.33</v>
      </c>
      <c r="BF125" s="3">
        <f t="shared" si="223"/>
        <v>199230.13</v>
      </c>
      <c r="BZ125" s="2"/>
      <c r="CA125" s="2"/>
      <c r="CB125" s="2"/>
      <c r="CC125" s="2"/>
    </row>
    <row r="126">
      <c r="AX126" s="1" t="s">
        <v>560</v>
      </c>
      <c r="AY126" s="3">
        <f t="shared" ref="AY126:BF126" si="224">AY109-AY99</f>
        <v>-59621.68</v>
      </c>
      <c r="AZ126" s="3">
        <f t="shared" si="224"/>
        <v>117367.5</v>
      </c>
      <c r="BA126" s="3">
        <f t="shared" si="224"/>
        <v>-112721.98</v>
      </c>
      <c r="BB126" s="3">
        <f t="shared" si="224"/>
        <v>221597.45</v>
      </c>
      <c r="BC126" s="445">
        <f t="shared" si="224"/>
        <v>317730.53</v>
      </c>
      <c r="BD126" s="445">
        <f t="shared" si="224"/>
        <v>307066.6</v>
      </c>
      <c r="BE126" s="445">
        <f t="shared" si="224"/>
        <v>118207.33</v>
      </c>
      <c r="BF126" s="445">
        <f t="shared" si="224"/>
        <v>630486.52</v>
      </c>
      <c r="BZ126" s="2"/>
      <c r="CA126" s="2"/>
      <c r="CB126" s="2"/>
      <c r="CC126" s="2"/>
    </row>
    <row r="127">
      <c r="AX127" s="1" t="s">
        <v>561</v>
      </c>
      <c r="AY127" s="3">
        <f t="shared" ref="AY127:BF127" si="225">AY110-AY104</f>
        <v>11506.06</v>
      </c>
      <c r="AZ127" s="3">
        <f t="shared" si="225"/>
        <v>-1827653.71</v>
      </c>
      <c r="BA127" s="3">
        <f t="shared" si="225"/>
        <v>1551103.29</v>
      </c>
      <c r="BB127" s="3">
        <f t="shared" si="225"/>
        <v>-1159264.17</v>
      </c>
      <c r="BC127" s="3">
        <f t="shared" si="225"/>
        <v>-642563.93</v>
      </c>
      <c r="BD127" s="129">
        <f t="shared" si="225"/>
        <v>-275685.92</v>
      </c>
      <c r="BE127" s="129">
        <f t="shared" si="225"/>
        <v>-830817.91</v>
      </c>
      <c r="BF127" s="129">
        <f t="shared" si="225"/>
        <v>-1053517.59</v>
      </c>
      <c r="BZ127" s="2"/>
      <c r="CA127" s="2"/>
      <c r="CB127" s="2"/>
      <c r="CC127" s="2"/>
    </row>
    <row r="128">
      <c r="BZ128" s="2"/>
      <c r="CA128" s="2"/>
      <c r="CB128" s="2"/>
      <c r="CC128" s="2"/>
    </row>
    <row r="129">
      <c r="BZ129" s="2"/>
      <c r="CA129" s="2"/>
      <c r="CB129" s="2"/>
      <c r="CC129" s="2"/>
    </row>
    <row r="130">
      <c r="BZ130" s="2"/>
      <c r="CA130" s="2"/>
      <c r="CB130" s="2"/>
      <c r="CC130" s="2"/>
    </row>
    <row r="131">
      <c r="BZ131" s="2"/>
      <c r="CA131" s="2"/>
      <c r="CB131" s="2"/>
      <c r="CC131" s="2"/>
    </row>
    <row r="132">
      <c r="BZ132" s="2"/>
      <c r="CA132" s="2"/>
      <c r="CB132" s="2"/>
      <c r="CC132" s="2"/>
    </row>
    <row r="133">
      <c r="BZ133" s="2"/>
      <c r="CA133" s="2"/>
      <c r="CB133" s="2"/>
      <c r="CC133" s="2"/>
    </row>
    <row r="134">
      <c r="BZ134" s="2"/>
      <c r="CA134" s="2"/>
      <c r="CB134" s="2"/>
      <c r="CC134" s="2"/>
    </row>
    <row r="135">
      <c r="BZ135" s="2"/>
      <c r="CA135" s="2"/>
      <c r="CB135" s="2"/>
      <c r="CC135" s="2"/>
    </row>
    <row r="136">
      <c r="BZ136" s="2"/>
      <c r="CA136" s="2"/>
      <c r="CB136" s="2"/>
      <c r="CC136" s="2"/>
    </row>
    <row r="137">
      <c r="BZ137" s="2"/>
      <c r="CA137" s="2"/>
      <c r="CB137" s="2"/>
      <c r="CC137" s="2"/>
    </row>
    <row r="138">
      <c r="BZ138" s="2"/>
      <c r="CA138" s="2"/>
      <c r="CB138" s="2"/>
      <c r="CC138" s="2"/>
    </row>
    <row r="139">
      <c r="BZ139" s="2"/>
      <c r="CA139" s="2"/>
      <c r="CB139" s="2"/>
      <c r="CC139" s="2"/>
    </row>
    <row r="140">
      <c r="BZ140" s="2"/>
      <c r="CA140" s="2"/>
      <c r="CB140" s="2"/>
      <c r="CC140" s="2"/>
    </row>
    <row r="141">
      <c r="BZ141" s="2"/>
      <c r="CA141" s="2"/>
      <c r="CB141" s="2"/>
      <c r="CC141" s="2"/>
    </row>
    <row r="142">
      <c r="BZ142" s="2"/>
      <c r="CA142" s="2"/>
      <c r="CB142" s="2"/>
      <c r="CC142" s="2"/>
    </row>
    <row r="143">
      <c r="BZ143" s="2"/>
      <c r="CA143" s="2"/>
      <c r="CB143" s="2"/>
      <c r="CC143" s="2"/>
    </row>
    <row r="144">
      <c r="BZ144" s="2"/>
      <c r="CA144" s="2"/>
      <c r="CB144" s="2"/>
      <c r="CC144" s="2"/>
    </row>
    <row r="145">
      <c r="BZ145" s="2"/>
      <c r="CA145" s="2"/>
      <c r="CB145" s="2"/>
      <c r="CC145" s="2"/>
    </row>
    <row r="146">
      <c r="BZ146" s="2"/>
      <c r="CA146" s="2"/>
      <c r="CB146" s="2"/>
      <c r="CC146" s="2"/>
    </row>
    <row r="147">
      <c r="BZ147" s="2"/>
      <c r="CA147" s="2"/>
      <c r="CB147" s="2"/>
      <c r="CC147" s="2"/>
    </row>
    <row r="148">
      <c r="BZ148" s="2"/>
      <c r="CA148" s="2"/>
      <c r="CB148" s="2"/>
      <c r="CC148" s="2"/>
    </row>
    <row r="149">
      <c r="BZ149" s="2"/>
      <c r="CA149" s="2"/>
      <c r="CB149" s="2"/>
      <c r="CC149" s="2"/>
    </row>
    <row r="150">
      <c r="BZ150" s="2"/>
      <c r="CA150" s="2"/>
      <c r="CB150" s="2"/>
      <c r="CC150" s="2"/>
    </row>
    <row r="151">
      <c r="BZ151" s="2"/>
      <c r="CA151" s="2"/>
      <c r="CB151" s="2"/>
      <c r="CC151" s="2"/>
    </row>
    <row r="152">
      <c r="BZ152" s="2"/>
      <c r="CA152" s="2"/>
      <c r="CB152" s="2"/>
      <c r="CC152" s="2"/>
    </row>
    <row r="153">
      <c r="BZ153" s="2"/>
      <c r="CA153" s="2"/>
      <c r="CB153" s="2"/>
      <c r="CC153" s="2"/>
    </row>
    <row r="154">
      <c r="BZ154" s="2"/>
      <c r="CA154" s="2"/>
      <c r="CB154" s="2"/>
      <c r="CC154" s="2"/>
    </row>
    <row r="155">
      <c r="BZ155" s="2"/>
      <c r="CA155" s="2"/>
      <c r="CB155" s="2"/>
      <c r="CC155" s="2"/>
    </row>
    <row r="156">
      <c r="BZ156" s="2"/>
      <c r="CA156" s="2"/>
      <c r="CB156" s="2"/>
      <c r="CC156" s="2"/>
    </row>
    <row r="157">
      <c r="BZ157" s="2"/>
      <c r="CA157" s="2"/>
      <c r="CB157" s="2"/>
      <c r="CC157" s="2"/>
    </row>
    <row r="158">
      <c r="BZ158" s="2"/>
      <c r="CA158" s="2"/>
      <c r="CB158" s="2"/>
      <c r="CC158" s="2"/>
    </row>
    <row r="159">
      <c r="BZ159" s="2"/>
      <c r="CA159" s="2"/>
      <c r="CB159" s="2"/>
      <c r="CC159" s="2"/>
    </row>
    <row r="160">
      <c r="BZ160" s="2"/>
      <c r="CA160" s="2"/>
      <c r="CB160" s="2"/>
      <c r="CC160" s="2"/>
    </row>
    <row r="161">
      <c r="BZ161" s="2"/>
      <c r="CA161" s="2"/>
      <c r="CB161" s="2"/>
      <c r="CC161" s="2"/>
    </row>
    <row r="162">
      <c r="BZ162" s="2"/>
      <c r="CA162" s="2"/>
      <c r="CB162" s="2"/>
      <c r="CC162" s="2"/>
    </row>
    <row r="163">
      <c r="BZ163" s="2"/>
      <c r="CA163" s="2"/>
      <c r="CB163" s="2"/>
      <c r="CC163" s="2"/>
    </row>
    <row r="164">
      <c r="BZ164" s="2"/>
      <c r="CA164" s="2"/>
      <c r="CB164" s="2"/>
      <c r="CC164" s="2"/>
    </row>
    <row r="165">
      <c r="BZ165" s="2"/>
      <c r="CA165" s="2"/>
      <c r="CB165" s="2"/>
      <c r="CC165" s="2"/>
    </row>
    <row r="166">
      <c r="BZ166" s="2"/>
      <c r="CA166" s="2"/>
      <c r="CB166" s="2"/>
      <c r="CC166" s="2"/>
    </row>
    <row r="167">
      <c r="BZ167" s="2"/>
      <c r="CA167" s="2"/>
      <c r="CB167" s="2"/>
      <c r="CC167" s="2"/>
    </row>
    <row r="168">
      <c r="BZ168" s="2"/>
      <c r="CA168" s="2"/>
      <c r="CB168" s="2"/>
      <c r="CC168" s="2"/>
    </row>
    <row r="169">
      <c r="BZ169" s="2"/>
      <c r="CA169" s="2"/>
      <c r="CB169" s="2"/>
      <c r="CC169" s="2"/>
    </row>
    <row r="170">
      <c r="BZ170" s="2"/>
      <c r="CA170" s="2"/>
      <c r="CB170" s="2"/>
      <c r="CC170" s="2"/>
    </row>
    <row r="171">
      <c r="BZ171" s="2"/>
      <c r="CA171" s="2"/>
      <c r="CB171" s="2"/>
      <c r="CC171" s="2"/>
    </row>
    <row r="172">
      <c r="BZ172" s="2"/>
      <c r="CA172" s="2"/>
      <c r="CB172" s="2"/>
      <c r="CC172" s="2"/>
    </row>
    <row r="173">
      <c r="BZ173" s="2"/>
      <c r="CA173" s="2"/>
      <c r="CB173" s="2"/>
      <c r="CC173" s="2"/>
    </row>
    <row r="174">
      <c r="BZ174" s="2"/>
      <c r="CA174" s="2"/>
      <c r="CB174" s="2"/>
      <c r="CC174" s="2"/>
    </row>
    <row r="175">
      <c r="BZ175" s="2"/>
      <c r="CA175" s="2"/>
      <c r="CB175" s="2"/>
      <c r="CC175" s="2"/>
    </row>
    <row r="176">
      <c r="BZ176" s="2"/>
      <c r="CA176" s="2"/>
      <c r="CB176" s="2"/>
      <c r="CC176" s="2"/>
    </row>
    <row r="177">
      <c r="BZ177" s="2"/>
      <c r="CA177" s="2"/>
      <c r="CB177" s="2"/>
      <c r="CC177" s="2"/>
    </row>
    <row r="178">
      <c r="BZ178" s="2"/>
      <c r="CA178" s="2"/>
      <c r="CB178" s="2"/>
      <c r="CC178" s="2"/>
    </row>
    <row r="179">
      <c r="BZ179" s="2"/>
      <c r="CA179" s="2"/>
      <c r="CB179" s="2"/>
      <c r="CC179" s="2"/>
    </row>
    <row r="180">
      <c r="BZ180" s="2"/>
      <c r="CA180" s="2"/>
      <c r="CB180" s="2"/>
      <c r="CC180" s="2"/>
    </row>
    <row r="181">
      <c r="BZ181" s="2"/>
      <c r="CA181" s="2"/>
      <c r="CB181" s="2"/>
      <c r="CC181" s="2"/>
    </row>
    <row r="182">
      <c r="BZ182" s="2"/>
      <c r="CA182" s="2"/>
      <c r="CB182" s="2"/>
      <c r="CC182" s="2"/>
    </row>
    <row r="183">
      <c r="BZ183" s="2"/>
      <c r="CA183" s="2"/>
      <c r="CB183" s="2"/>
      <c r="CC183" s="2"/>
    </row>
    <row r="184">
      <c r="BZ184" s="2"/>
      <c r="CA184" s="2"/>
      <c r="CB184" s="2"/>
      <c r="CC184" s="2"/>
    </row>
    <row r="185">
      <c r="BZ185" s="2"/>
      <c r="CA185" s="2"/>
      <c r="CB185" s="2"/>
      <c r="CC185" s="2"/>
    </row>
    <row r="186">
      <c r="BZ186" s="2"/>
      <c r="CA186" s="2"/>
      <c r="CB186" s="2"/>
      <c r="CC186" s="2"/>
    </row>
    <row r="187">
      <c r="BZ187" s="2"/>
      <c r="CA187" s="2"/>
      <c r="CB187" s="2"/>
      <c r="CC187" s="2"/>
    </row>
    <row r="188">
      <c r="BZ188" s="2"/>
      <c r="CA188" s="2"/>
      <c r="CB188" s="2"/>
      <c r="CC188" s="2"/>
    </row>
    <row r="189">
      <c r="BZ189" s="2"/>
      <c r="CA189" s="2"/>
      <c r="CB189" s="2"/>
      <c r="CC189" s="2"/>
    </row>
    <row r="190">
      <c r="BZ190" s="2"/>
      <c r="CA190" s="2"/>
      <c r="CB190" s="2"/>
      <c r="CC190" s="2"/>
    </row>
    <row r="191">
      <c r="BZ191" s="2"/>
      <c r="CA191" s="2"/>
      <c r="CB191" s="2"/>
      <c r="CC191" s="2"/>
    </row>
    <row r="192">
      <c r="BZ192" s="2"/>
      <c r="CA192" s="2"/>
      <c r="CB192" s="2"/>
      <c r="CC192" s="2"/>
    </row>
    <row r="193">
      <c r="BZ193" s="2"/>
      <c r="CA193" s="2"/>
      <c r="CB193" s="2"/>
      <c r="CC193" s="2"/>
    </row>
    <row r="194">
      <c r="BZ194" s="2"/>
      <c r="CA194" s="2"/>
      <c r="CB194" s="2"/>
      <c r="CC194" s="2"/>
    </row>
    <row r="195">
      <c r="BZ195" s="2"/>
      <c r="CA195" s="2"/>
      <c r="CB195" s="2"/>
      <c r="CC195" s="2"/>
    </row>
    <row r="196">
      <c r="BZ196" s="2"/>
      <c r="CA196" s="2"/>
      <c r="CB196" s="2"/>
      <c r="CC196" s="2"/>
    </row>
    <row r="197">
      <c r="BZ197" s="2"/>
      <c r="CA197" s="2"/>
      <c r="CB197" s="2"/>
      <c r="CC197" s="2"/>
    </row>
    <row r="198">
      <c r="BZ198" s="2"/>
      <c r="CA198" s="2"/>
      <c r="CB198" s="2"/>
      <c r="CC198" s="2"/>
    </row>
    <row r="199">
      <c r="BZ199" s="2"/>
      <c r="CA199" s="2"/>
      <c r="CB199" s="2"/>
      <c r="CC199" s="2"/>
    </row>
    <row r="200">
      <c r="BZ200" s="2"/>
      <c r="CA200" s="2"/>
      <c r="CB200" s="2"/>
      <c r="CC200" s="2"/>
    </row>
    <row r="201">
      <c r="BZ201" s="2"/>
      <c r="CA201" s="2"/>
      <c r="CB201" s="2"/>
      <c r="CC201" s="2"/>
    </row>
    <row r="202">
      <c r="BZ202" s="2"/>
      <c r="CA202" s="2"/>
      <c r="CB202" s="2"/>
      <c r="CC202" s="2"/>
    </row>
    <row r="203">
      <c r="BZ203" s="2"/>
      <c r="CA203" s="2"/>
      <c r="CB203" s="2"/>
      <c r="CC203" s="2"/>
    </row>
    <row r="204">
      <c r="BZ204" s="2"/>
      <c r="CA204" s="2"/>
      <c r="CB204" s="2"/>
      <c r="CC204" s="2"/>
    </row>
    <row r="205">
      <c r="BZ205" s="2"/>
      <c r="CA205" s="2"/>
      <c r="CB205" s="2"/>
      <c r="CC205" s="2"/>
    </row>
    <row r="206">
      <c r="BZ206" s="2"/>
      <c r="CA206" s="2"/>
      <c r="CB206" s="2"/>
      <c r="CC206" s="2"/>
    </row>
    <row r="207">
      <c r="BZ207" s="2"/>
      <c r="CA207" s="2"/>
      <c r="CB207" s="2"/>
      <c r="CC207" s="2"/>
    </row>
    <row r="208">
      <c r="BZ208" s="2"/>
      <c r="CA208" s="2"/>
      <c r="CB208" s="2"/>
      <c r="CC208" s="2"/>
    </row>
    <row r="209">
      <c r="BZ209" s="2"/>
      <c r="CA209" s="2"/>
      <c r="CB209" s="2"/>
      <c r="CC209" s="2"/>
    </row>
    <row r="210">
      <c r="BZ210" s="2"/>
      <c r="CA210" s="2"/>
      <c r="CB210" s="2"/>
      <c r="CC210" s="2"/>
    </row>
    <row r="211">
      <c r="BZ211" s="2"/>
      <c r="CA211" s="2"/>
      <c r="CB211" s="2"/>
      <c r="CC211" s="2"/>
    </row>
    <row r="212">
      <c r="BZ212" s="2"/>
      <c r="CA212" s="2"/>
      <c r="CB212" s="2"/>
      <c r="CC212" s="2"/>
    </row>
    <row r="213">
      <c r="BZ213" s="2"/>
      <c r="CA213" s="2"/>
      <c r="CB213" s="2"/>
      <c r="CC213" s="2"/>
    </row>
    <row r="214">
      <c r="BZ214" s="2"/>
      <c r="CA214" s="2"/>
      <c r="CB214" s="2"/>
      <c r="CC214" s="2"/>
    </row>
    <row r="215">
      <c r="BZ215" s="2"/>
      <c r="CA215" s="2"/>
      <c r="CB215" s="2"/>
      <c r="CC215" s="2"/>
    </row>
    <row r="216">
      <c r="BZ216" s="2"/>
      <c r="CA216" s="2"/>
      <c r="CB216" s="2"/>
      <c r="CC216" s="2"/>
    </row>
    <row r="217">
      <c r="BZ217" s="2"/>
      <c r="CA217" s="2"/>
      <c r="CB217" s="2"/>
      <c r="CC217" s="2"/>
    </row>
    <row r="218">
      <c r="BZ218" s="2"/>
      <c r="CA218" s="2"/>
      <c r="CB218" s="2"/>
      <c r="CC218" s="2"/>
    </row>
    <row r="219">
      <c r="BZ219" s="2"/>
      <c r="CA219" s="2"/>
      <c r="CB219" s="2"/>
      <c r="CC219" s="2"/>
    </row>
    <row r="220">
      <c r="BZ220" s="2"/>
      <c r="CA220" s="2"/>
      <c r="CB220" s="2"/>
      <c r="CC220" s="2"/>
    </row>
    <row r="221">
      <c r="BZ221" s="2"/>
      <c r="CA221" s="2"/>
      <c r="CB221" s="2"/>
      <c r="CC221" s="2"/>
    </row>
    <row r="222">
      <c r="BZ222" s="2"/>
      <c r="CA222" s="2"/>
      <c r="CB222" s="2"/>
      <c r="CC222" s="2"/>
    </row>
    <row r="223">
      <c r="BZ223" s="2"/>
      <c r="CA223" s="2"/>
      <c r="CB223" s="2"/>
      <c r="CC223" s="2"/>
    </row>
    <row r="224">
      <c r="BZ224" s="2"/>
      <c r="CA224" s="2"/>
      <c r="CB224" s="2"/>
      <c r="CC224" s="2"/>
    </row>
    <row r="225">
      <c r="BZ225" s="2"/>
      <c r="CA225" s="2"/>
      <c r="CB225" s="2"/>
      <c r="CC225" s="2"/>
    </row>
    <row r="226">
      <c r="BZ226" s="2"/>
      <c r="CA226" s="2"/>
      <c r="CB226" s="2"/>
      <c r="CC226" s="2"/>
    </row>
    <row r="227">
      <c r="BZ227" s="2"/>
      <c r="CA227" s="2"/>
      <c r="CB227" s="2"/>
      <c r="CC227" s="2"/>
    </row>
    <row r="228">
      <c r="BZ228" s="2"/>
      <c r="CA228" s="2"/>
      <c r="CB228" s="2"/>
      <c r="CC228" s="2"/>
    </row>
    <row r="229">
      <c r="BZ229" s="2"/>
      <c r="CA229" s="2"/>
      <c r="CB229" s="2"/>
      <c r="CC229" s="2"/>
    </row>
    <row r="230">
      <c r="BZ230" s="2"/>
      <c r="CA230" s="2"/>
      <c r="CB230" s="2"/>
      <c r="CC230" s="2"/>
    </row>
    <row r="231">
      <c r="BZ231" s="2"/>
      <c r="CA231" s="2"/>
      <c r="CB231" s="2"/>
      <c r="CC231" s="2"/>
    </row>
    <row r="232">
      <c r="BZ232" s="2"/>
      <c r="CA232" s="2"/>
      <c r="CB232" s="2"/>
      <c r="CC232" s="2"/>
    </row>
    <row r="233">
      <c r="BZ233" s="2"/>
      <c r="CA233" s="2"/>
      <c r="CB233" s="2"/>
      <c r="CC233" s="2"/>
    </row>
    <row r="234">
      <c r="BZ234" s="2"/>
      <c r="CA234" s="2"/>
      <c r="CB234" s="2"/>
      <c r="CC234" s="2"/>
    </row>
    <row r="235">
      <c r="BZ235" s="2"/>
      <c r="CA235" s="2"/>
      <c r="CB235" s="2"/>
      <c r="CC235" s="2"/>
    </row>
    <row r="236">
      <c r="BZ236" s="2"/>
      <c r="CA236" s="2"/>
      <c r="CB236" s="2"/>
      <c r="CC236" s="2"/>
    </row>
    <row r="237">
      <c r="BZ237" s="2"/>
      <c r="CA237" s="2"/>
      <c r="CB237" s="2"/>
      <c r="CC237" s="2"/>
    </row>
    <row r="238">
      <c r="BZ238" s="2"/>
      <c r="CA238" s="2"/>
      <c r="CB238" s="2"/>
      <c r="CC238" s="2"/>
    </row>
    <row r="239">
      <c r="BZ239" s="2"/>
      <c r="CA239" s="2"/>
      <c r="CB239" s="2"/>
      <c r="CC239" s="2"/>
    </row>
    <row r="240">
      <c r="BZ240" s="2"/>
      <c r="CA240" s="2"/>
      <c r="CB240" s="2"/>
      <c r="CC240" s="2"/>
    </row>
    <row r="241">
      <c r="BZ241" s="2"/>
      <c r="CA241" s="2"/>
      <c r="CB241" s="2"/>
      <c r="CC241" s="2"/>
    </row>
    <row r="242">
      <c r="BZ242" s="2"/>
      <c r="CA242" s="2"/>
      <c r="CB242" s="2"/>
      <c r="CC242" s="2"/>
    </row>
    <row r="243">
      <c r="BZ243" s="2"/>
      <c r="CA243" s="2"/>
      <c r="CB243" s="2"/>
      <c r="CC243" s="2"/>
    </row>
    <row r="244">
      <c r="BZ244" s="2"/>
      <c r="CA244" s="2"/>
      <c r="CB244" s="2"/>
      <c r="CC244" s="2"/>
    </row>
    <row r="245">
      <c r="BZ245" s="2"/>
      <c r="CA245" s="2"/>
      <c r="CB245" s="2"/>
      <c r="CC245" s="2"/>
    </row>
    <row r="246">
      <c r="BZ246" s="2"/>
      <c r="CA246" s="2"/>
      <c r="CB246" s="2"/>
      <c r="CC246" s="2"/>
    </row>
    <row r="247">
      <c r="BZ247" s="2"/>
      <c r="CA247" s="2"/>
      <c r="CB247" s="2"/>
      <c r="CC247" s="2"/>
    </row>
    <row r="248">
      <c r="BZ248" s="2"/>
      <c r="CA248" s="2"/>
      <c r="CB248" s="2"/>
      <c r="CC248" s="2"/>
    </row>
    <row r="249">
      <c r="BZ249" s="2"/>
      <c r="CA249" s="2"/>
      <c r="CB249" s="2"/>
      <c r="CC249" s="2"/>
    </row>
    <row r="250">
      <c r="BZ250" s="2"/>
      <c r="CA250" s="2"/>
      <c r="CB250" s="2"/>
      <c r="CC250" s="2"/>
    </row>
    <row r="251">
      <c r="BZ251" s="2"/>
      <c r="CA251" s="2"/>
      <c r="CB251" s="2"/>
      <c r="CC251" s="2"/>
    </row>
    <row r="252">
      <c r="BZ252" s="2"/>
      <c r="CA252" s="2"/>
      <c r="CB252" s="2"/>
      <c r="CC252" s="2"/>
    </row>
    <row r="253">
      <c r="BZ253" s="2"/>
      <c r="CA253" s="2"/>
      <c r="CB253" s="2"/>
      <c r="CC253" s="2"/>
    </row>
    <row r="254">
      <c r="BZ254" s="2"/>
      <c r="CA254" s="2"/>
      <c r="CB254" s="2"/>
      <c r="CC254" s="2"/>
    </row>
    <row r="255">
      <c r="BZ255" s="2"/>
      <c r="CA255" s="2"/>
      <c r="CB255" s="2"/>
      <c r="CC255" s="2"/>
    </row>
    <row r="256">
      <c r="BZ256" s="2"/>
      <c r="CA256" s="2"/>
      <c r="CB256" s="2"/>
      <c r="CC256" s="2"/>
    </row>
    <row r="257">
      <c r="BZ257" s="2"/>
      <c r="CA257" s="2"/>
      <c r="CB257" s="2"/>
      <c r="CC257" s="2"/>
    </row>
    <row r="258">
      <c r="BZ258" s="2"/>
      <c r="CA258" s="2"/>
      <c r="CB258" s="2"/>
      <c r="CC258" s="2"/>
    </row>
    <row r="259">
      <c r="BZ259" s="2"/>
      <c r="CA259" s="2"/>
      <c r="CB259" s="2"/>
      <c r="CC259" s="2"/>
    </row>
    <row r="260">
      <c r="BZ260" s="2"/>
      <c r="CA260" s="2"/>
      <c r="CB260" s="2"/>
      <c r="CC260" s="2"/>
    </row>
    <row r="261">
      <c r="BZ261" s="2"/>
      <c r="CA261" s="2"/>
      <c r="CB261" s="2"/>
      <c r="CC261" s="2"/>
    </row>
    <row r="262">
      <c r="BZ262" s="2"/>
      <c r="CA262" s="2"/>
      <c r="CB262" s="2"/>
      <c r="CC262" s="2"/>
    </row>
    <row r="263">
      <c r="BZ263" s="2"/>
      <c r="CA263" s="2"/>
      <c r="CB263" s="2"/>
      <c r="CC263" s="2"/>
    </row>
    <row r="264">
      <c r="BZ264" s="2"/>
      <c r="CA264" s="2"/>
      <c r="CB264" s="2"/>
      <c r="CC264" s="2"/>
    </row>
    <row r="265">
      <c r="BZ265" s="2"/>
      <c r="CA265" s="2"/>
      <c r="CB265" s="2"/>
      <c r="CC265" s="2"/>
    </row>
    <row r="266">
      <c r="BZ266" s="2"/>
      <c r="CA266" s="2"/>
      <c r="CB266" s="2"/>
      <c r="CC266" s="2"/>
    </row>
    <row r="267">
      <c r="BZ267" s="2"/>
      <c r="CA267" s="2"/>
      <c r="CB267" s="2"/>
      <c r="CC267" s="2"/>
    </row>
    <row r="268">
      <c r="BZ268" s="2"/>
      <c r="CA268" s="2"/>
      <c r="CB268" s="2"/>
      <c r="CC268" s="2"/>
    </row>
    <row r="269">
      <c r="BZ269" s="2"/>
      <c r="CA269" s="2"/>
      <c r="CB269" s="2"/>
      <c r="CC269" s="2"/>
    </row>
    <row r="270">
      <c r="BZ270" s="2"/>
      <c r="CA270" s="2"/>
      <c r="CB270" s="2"/>
      <c r="CC270" s="2"/>
    </row>
    <row r="271">
      <c r="BZ271" s="2"/>
      <c r="CA271" s="2"/>
      <c r="CB271" s="2"/>
      <c r="CC271" s="2"/>
    </row>
    <row r="272">
      <c r="BZ272" s="2"/>
      <c r="CA272" s="2"/>
      <c r="CB272" s="2"/>
      <c r="CC272" s="2"/>
    </row>
    <row r="273">
      <c r="BZ273" s="2"/>
      <c r="CA273" s="2"/>
      <c r="CB273" s="2"/>
      <c r="CC273" s="2"/>
    </row>
    <row r="274">
      <c r="BZ274" s="2"/>
      <c r="CA274" s="2"/>
      <c r="CB274" s="2"/>
      <c r="CC274" s="2"/>
    </row>
    <row r="275">
      <c r="BZ275" s="2"/>
      <c r="CA275" s="2"/>
      <c r="CB275" s="2"/>
      <c r="CC275" s="2"/>
    </row>
    <row r="276">
      <c r="BZ276" s="2"/>
      <c r="CA276" s="2"/>
      <c r="CB276" s="2"/>
      <c r="CC276" s="2"/>
    </row>
    <row r="277">
      <c r="BZ277" s="2"/>
      <c r="CA277" s="2"/>
      <c r="CB277" s="2"/>
      <c r="CC277" s="2"/>
    </row>
    <row r="278">
      <c r="BZ278" s="2"/>
      <c r="CA278" s="2"/>
      <c r="CB278" s="2"/>
      <c r="CC278" s="2"/>
    </row>
    <row r="279">
      <c r="BZ279" s="2"/>
      <c r="CA279" s="2"/>
      <c r="CB279" s="2"/>
      <c r="CC279" s="2"/>
    </row>
    <row r="280">
      <c r="BZ280" s="2"/>
      <c r="CA280" s="2"/>
      <c r="CB280" s="2"/>
      <c r="CC280" s="2"/>
    </row>
    <row r="281">
      <c r="BZ281" s="2"/>
      <c r="CA281" s="2"/>
      <c r="CB281" s="2"/>
      <c r="CC281" s="2"/>
    </row>
    <row r="282">
      <c r="BZ282" s="2"/>
      <c r="CA282" s="2"/>
      <c r="CB282" s="2"/>
      <c r="CC282" s="2"/>
    </row>
    <row r="283">
      <c r="BZ283" s="2"/>
      <c r="CA283" s="2"/>
      <c r="CB283" s="2"/>
      <c r="CC283" s="2"/>
    </row>
    <row r="284">
      <c r="BZ284" s="2"/>
      <c r="CA284" s="2"/>
      <c r="CB284" s="2"/>
      <c r="CC284" s="2"/>
    </row>
    <row r="285">
      <c r="BZ285" s="2"/>
      <c r="CA285" s="2"/>
      <c r="CB285" s="2"/>
      <c r="CC285" s="2"/>
    </row>
    <row r="286">
      <c r="BZ286" s="2"/>
      <c r="CA286" s="2"/>
      <c r="CB286" s="2"/>
      <c r="CC286" s="2"/>
    </row>
    <row r="287">
      <c r="BZ287" s="2"/>
      <c r="CA287" s="2"/>
      <c r="CB287" s="2"/>
      <c r="CC287" s="2"/>
    </row>
    <row r="288">
      <c r="BZ288" s="2"/>
      <c r="CA288" s="2"/>
      <c r="CB288" s="2"/>
      <c r="CC288" s="2"/>
    </row>
    <row r="289">
      <c r="BZ289" s="2"/>
      <c r="CA289" s="2"/>
      <c r="CB289" s="2"/>
      <c r="CC289" s="2"/>
    </row>
    <row r="290">
      <c r="BZ290" s="2"/>
      <c r="CA290" s="2"/>
      <c r="CB290" s="2"/>
      <c r="CC290" s="2"/>
    </row>
    <row r="291">
      <c r="BZ291" s="2"/>
      <c r="CA291" s="2"/>
      <c r="CB291" s="2"/>
      <c r="CC291" s="2"/>
    </row>
    <row r="292">
      <c r="BZ292" s="2"/>
      <c r="CA292" s="2"/>
      <c r="CB292" s="2"/>
      <c r="CC292" s="2"/>
    </row>
    <row r="293">
      <c r="BZ293" s="2"/>
      <c r="CA293" s="2"/>
      <c r="CB293" s="2"/>
      <c r="CC293" s="2"/>
    </row>
    <row r="294">
      <c r="BZ294" s="2"/>
      <c r="CA294" s="2"/>
      <c r="CB294" s="2"/>
      <c r="CC294" s="2"/>
    </row>
    <row r="295">
      <c r="BZ295" s="2"/>
      <c r="CA295" s="2"/>
      <c r="CB295" s="2"/>
      <c r="CC295" s="2"/>
    </row>
    <row r="296">
      <c r="BZ296" s="2"/>
      <c r="CA296" s="2"/>
      <c r="CB296" s="2"/>
      <c r="CC296" s="2"/>
    </row>
    <row r="297">
      <c r="BZ297" s="2"/>
      <c r="CA297" s="2"/>
      <c r="CB297" s="2"/>
      <c r="CC297" s="2"/>
    </row>
    <row r="298">
      <c r="BZ298" s="2"/>
      <c r="CA298" s="2"/>
      <c r="CB298" s="2"/>
      <c r="CC298" s="2"/>
    </row>
    <row r="299">
      <c r="BZ299" s="2"/>
      <c r="CA299" s="2"/>
      <c r="CB299" s="2"/>
      <c r="CC299" s="2"/>
    </row>
    <row r="300">
      <c r="BZ300" s="2"/>
      <c r="CA300" s="2"/>
      <c r="CB300" s="2"/>
      <c r="CC300" s="2"/>
    </row>
    <row r="301">
      <c r="BZ301" s="2"/>
      <c r="CA301" s="2"/>
      <c r="CB301" s="2"/>
      <c r="CC301" s="2"/>
    </row>
    <row r="302">
      <c r="BZ302" s="2"/>
      <c r="CA302" s="2"/>
      <c r="CB302" s="2"/>
      <c r="CC302" s="2"/>
    </row>
    <row r="303">
      <c r="BZ303" s="2"/>
      <c r="CA303" s="2"/>
      <c r="CB303" s="2"/>
      <c r="CC303" s="2"/>
    </row>
    <row r="304">
      <c r="BZ304" s="2"/>
      <c r="CA304" s="2"/>
      <c r="CB304" s="2"/>
      <c r="CC304" s="2"/>
    </row>
    <row r="305">
      <c r="BZ305" s="2"/>
      <c r="CA305" s="2"/>
      <c r="CB305" s="2"/>
      <c r="CC305" s="2"/>
    </row>
    <row r="306">
      <c r="BZ306" s="2"/>
      <c r="CA306" s="2"/>
      <c r="CB306" s="2"/>
      <c r="CC306" s="2"/>
    </row>
    <row r="307">
      <c r="BZ307" s="2"/>
      <c r="CA307" s="2"/>
      <c r="CB307" s="2"/>
      <c r="CC307" s="2"/>
    </row>
    <row r="308">
      <c r="BZ308" s="2"/>
      <c r="CA308" s="2"/>
      <c r="CB308" s="2"/>
      <c r="CC308" s="2"/>
    </row>
    <row r="309">
      <c r="BZ309" s="2"/>
      <c r="CA309" s="2"/>
      <c r="CB309" s="2"/>
      <c r="CC309" s="2"/>
    </row>
    <row r="310">
      <c r="BZ310" s="2"/>
      <c r="CA310" s="2"/>
      <c r="CB310" s="2"/>
      <c r="CC310" s="2"/>
    </row>
    <row r="311">
      <c r="BZ311" s="2"/>
      <c r="CA311" s="2"/>
      <c r="CB311" s="2"/>
      <c r="CC311" s="2"/>
    </row>
    <row r="312">
      <c r="BZ312" s="2"/>
      <c r="CA312" s="2"/>
      <c r="CB312" s="2"/>
      <c r="CC312" s="2"/>
    </row>
    <row r="313">
      <c r="BZ313" s="2"/>
      <c r="CA313" s="2"/>
      <c r="CB313" s="2"/>
      <c r="CC313" s="2"/>
    </row>
    <row r="314">
      <c r="BZ314" s="2"/>
      <c r="CA314" s="2"/>
      <c r="CB314" s="2"/>
      <c r="CC314" s="2"/>
    </row>
    <row r="315">
      <c r="BZ315" s="2"/>
      <c r="CA315" s="2"/>
      <c r="CB315" s="2"/>
      <c r="CC315" s="2"/>
    </row>
    <row r="316">
      <c r="BZ316" s="2"/>
      <c r="CA316" s="2"/>
      <c r="CB316" s="2"/>
      <c r="CC316" s="2"/>
    </row>
    <row r="317">
      <c r="BZ317" s="2"/>
      <c r="CA317" s="2"/>
      <c r="CB317" s="2"/>
      <c r="CC317" s="2"/>
    </row>
    <row r="318">
      <c r="BZ318" s="2"/>
      <c r="CA318" s="2"/>
      <c r="CB318" s="2"/>
      <c r="CC318" s="2"/>
    </row>
    <row r="319">
      <c r="BZ319" s="2"/>
      <c r="CA319" s="2"/>
      <c r="CB319" s="2"/>
      <c r="CC319" s="2"/>
    </row>
    <row r="320">
      <c r="BZ320" s="2"/>
      <c r="CA320" s="2"/>
      <c r="CB320" s="2"/>
      <c r="CC320" s="2"/>
    </row>
    <row r="321">
      <c r="BZ321" s="2"/>
      <c r="CA321" s="2"/>
      <c r="CB321" s="2"/>
      <c r="CC321" s="2"/>
    </row>
    <row r="322">
      <c r="BZ322" s="2"/>
      <c r="CA322" s="2"/>
      <c r="CB322" s="2"/>
      <c r="CC322" s="2"/>
    </row>
    <row r="323">
      <c r="BZ323" s="2"/>
      <c r="CA323" s="2"/>
      <c r="CB323" s="2"/>
      <c r="CC323" s="2"/>
    </row>
    <row r="324">
      <c r="BZ324" s="2"/>
      <c r="CA324" s="2"/>
      <c r="CB324" s="2"/>
      <c r="CC324" s="2"/>
    </row>
    <row r="325">
      <c r="BZ325" s="2"/>
      <c r="CA325" s="2"/>
      <c r="CB325" s="2"/>
      <c r="CC325" s="2"/>
    </row>
    <row r="326">
      <c r="BZ326" s="2"/>
      <c r="CA326" s="2"/>
      <c r="CB326" s="2"/>
      <c r="CC326" s="2"/>
    </row>
    <row r="327">
      <c r="BZ327" s="2"/>
      <c r="CA327" s="2"/>
      <c r="CB327" s="2"/>
      <c r="CC327" s="2"/>
    </row>
    <row r="328">
      <c r="BZ328" s="2"/>
      <c r="CA328" s="2"/>
      <c r="CB328" s="2"/>
      <c r="CC328" s="2"/>
    </row>
    <row r="329">
      <c r="BZ329" s="2"/>
      <c r="CA329" s="2"/>
      <c r="CB329" s="2"/>
      <c r="CC329" s="2"/>
    </row>
    <row r="330">
      <c r="BZ330" s="2"/>
      <c r="CA330" s="2"/>
      <c r="CB330" s="2"/>
      <c r="CC330" s="2"/>
    </row>
    <row r="331">
      <c r="BZ331" s="2"/>
      <c r="CA331" s="2"/>
      <c r="CB331" s="2"/>
      <c r="CC331" s="2"/>
    </row>
    <row r="332">
      <c r="BZ332" s="2"/>
      <c r="CA332" s="2"/>
      <c r="CB332" s="2"/>
      <c r="CC332" s="2"/>
    </row>
    <row r="333">
      <c r="BZ333" s="2"/>
      <c r="CA333" s="2"/>
      <c r="CB333" s="2"/>
      <c r="CC333" s="2"/>
    </row>
    <row r="334">
      <c r="BZ334" s="2"/>
      <c r="CA334" s="2"/>
      <c r="CB334" s="2"/>
      <c r="CC334" s="2"/>
    </row>
    <row r="335">
      <c r="BZ335" s="2"/>
      <c r="CA335" s="2"/>
      <c r="CB335" s="2"/>
      <c r="CC335" s="2"/>
    </row>
    <row r="336">
      <c r="BZ336" s="2"/>
      <c r="CA336" s="2"/>
      <c r="CB336" s="2"/>
      <c r="CC336" s="2"/>
    </row>
    <row r="337">
      <c r="BZ337" s="2"/>
      <c r="CA337" s="2"/>
      <c r="CB337" s="2"/>
      <c r="CC337" s="2"/>
    </row>
    <row r="338">
      <c r="BZ338" s="2"/>
      <c r="CA338" s="2"/>
      <c r="CB338" s="2"/>
      <c r="CC338" s="2"/>
    </row>
    <row r="339">
      <c r="BZ339" s="2"/>
      <c r="CA339" s="2"/>
      <c r="CB339" s="2"/>
      <c r="CC339" s="2"/>
    </row>
    <row r="340">
      <c r="BZ340" s="2"/>
      <c r="CA340" s="2"/>
      <c r="CB340" s="2"/>
      <c r="CC340" s="2"/>
    </row>
    <row r="341">
      <c r="BZ341" s="2"/>
      <c r="CA341" s="2"/>
      <c r="CB341" s="2"/>
      <c r="CC341" s="2"/>
    </row>
    <row r="342">
      <c r="BZ342" s="2"/>
      <c r="CA342" s="2"/>
      <c r="CB342" s="2"/>
      <c r="CC342" s="2"/>
    </row>
    <row r="343">
      <c r="BZ343" s="2"/>
      <c r="CA343" s="2"/>
      <c r="CB343" s="2"/>
      <c r="CC343" s="2"/>
    </row>
    <row r="344">
      <c r="BZ344" s="2"/>
      <c r="CA344" s="2"/>
      <c r="CB344" s="2"/>
      <c r="CC344" s="2"/>
    </row>
    <row r="345">
      <c r="BZ345" s="2"/>
      <c r="CA345" s="2"/>
      <c r="CB345" s="2"/>
      <c r="CC345" s="2"/>
    </row>
    <row r="346">
      <c r="BZ346" s="2"/>
      <c r="CA346" s="2"/>
      <c r="CB346" s="2"/>
      <c r="CC346" s="2"/>
    </row>
    <row r="347">
      <c r="BZ347" s="2"/>
      <c r="CA347" s="2"/>
      <c r="CB347" s="2"/>
      <c r="CC347" s="2"/>
    </row>
    <row r="348">
      <c r="BZ348" s="2"/>
      <c r="CA348" s="2"/>
      <c r="CB348" s="2"/>
      <c r="CC348" s="2"/>
    </row>
    <row r="349">
      <c r="BZ349" s="2"/>
      <c r="CA349" s="2"/>
      <c r="CB349" s="2"/>
      <c r="CC349" s="2"/>
    </row>
    <row r="350">
      <c r="BZ350" s="2"/>
      <c r="CA350" s="2"/>
      <c r="CB350" s="2"/>
      <c r="CC350" s="2"/>
    </row>
    <row r="351">
      <c r="BZ351" s="2"/>
      <c r="CA351" s="2"/>
      <c r="CB351" s="2"/>
      <c r="CC351" s="2"/>
    </row>
    <row r="352">
      <c r="BZ352" s="2"/>
      <c r="CA352" s="2"/>
      <c r="CB352" s="2"/>
      <c r="CC352" s="2"/>
    </row>
    <row r="353">
      <c r="BZ353" s="2"/>
      <c r="CA353" s="2"/>
      <c r="CB353" s="2"/>
      <c r="CC353" s="2"/>
    </row>
    <row r="354">
      <c r="BZ354" s="2"/>
      <c r="CA354" s="2"/>
      <c r="CB354" s="2"/>
      <c r="CC354" s="2"/>
    </row>
    <row r="355">
      <c r="BZ355" s="2"/>
      <c r="CA355" s="2"/>
      <c r="CB355" s="2"/>
      <c r="CC355" s="2"/>
    </row>
    <row r="356">
      <c r="BZ356" s="2"/>
      <c r="CA356" s="2"/>
      <c r="CB356" s="2"/>
      <c r="CC356" s="2"/>
    </row>
    <row r="357">
      <c r="BZ357" s="2"/>
      <c r="CA357" s="2"/>
      <c r="CB357" s="2"/>
      <c r="CC357" s="2"/>
    </row>
    <row r="358">
      <c r="BZ358" s="2"/>
      <c r="CA358" s="2"/>
      <c r="CB358" s="2"/>
      <c r="CC358" s="2"/>
    </row>
    <row r="359">
      <c r="BZ359" s="2"/>
      <c r="CA359" s="2"/>
      <c r="CB359" s="2"/>
      <c r="CC359" s="2"/>
    </row>
    <row r="360">
      <c r="BZ360" s="2"/>
      <c r="CA360" s="2"/>
      <c r="CB360" s="2"/>
      <c r="CC360" s="2"/>
    </row>
    <row r="361">
      <c r="BZ361" s="2"/>
      <c r="CA361" s="2"/>
      <c r="CB361" s="2"/>
      <c r="CC361" s="2"/>
    </row>
    <row r="362">
      <c r="BZ362" s="2"/>
      <c r="CA362" s="2"/>
      <c r="CB362" s="2"/>
      <c r="CC362" s="2"/>
    </row>
    <row r="363">
      <c r="BZ363" s="2"/>
      <c r="CA363" s="2"/>
      <c r="CB363" s="2"/>
      <c r="CC363" s="2"/>
    </row>
    <row r="364">
      <c r="BZ364" s="2"/>
      <c r="CA364" s="2"/>
      <c r="CB364" s="2"/>
      <c r="CC364" s="2"/>
    </row>
    <row r="365">
      <c r="BZ365" s="2"/>
      <c r="CA365" s="2"/>
      <c r="CB365" s="2"/>
      <c r="CC365" s="2"/>
    </row>
    <row r="366">
      <c r="BZ366" s="2"/>
      <c r="CA366" s="2"/>
      <c r="CB366" s="2"/>
      <c r="CC366" s="2"/>
    </row>
    <row r="367">
      <c r="BZ367" s="2"/>
      <c r="CA367" s="2"/>
      <c r="CB367" s="2"/>
      <c r="CC367" s="2"/>
    </row>
    <row r="368">
      <c r="BZ368" s="2"/>
      <c r="CA368" s="2"/>
      <c r="CB368" s="2"/>
      <c r="CC368" s="2"/>
    </row>
    <row r="369">
      <c r="BZ369" s="2"/>
      <c r="CA369" s="2"/>
      <c r="CB369" s="2"/>
      <c r="CC369" s="2"/>
    </row>
    <row r="370">
      <c r="BZ370" s="2"/>
      <c r="CA370" s="2"/>
      <c r="CB370" s="2"/>
      <c r="CC370" s="2"/>
    </row>
    <row r="371">
      <c r="BZ371" s="2"/>
      <c r="CA371" s="2"/>
      <c r="CB371" s="2"/>
      <c r="CC371" s="2"/>
    </row>
    <row r="372">
      <c r="BZ372" s="2"/>
      <c r="CA372" s="2"/>
      <c r="CB372" s="2"/>
      <c r="CC372" s="2"/>
    </row>
    <row r="373">
      <c r="BZ373" s="2"/>
      <c r="CA373" s="2"/>
      <c r="CB373" s="2"/>
      <c r="CC373" s="2"/>
    </row>
    <row r="374">
      <c r="BZ374" s="2"/>
      <c r="CA374" s="2"/>
      <c r="CB374" s="2"/>
      <c r="CC374" s="2"/>
    </row>
    <row r="375">
      <c r="BZ375" s="2"/>
      <c r="CA375" s="2"/>
      <c r="CB375" s="2"/>
      <c r="CC375" s="2"/>
    </row>
    <row r="376">
      <c r="BZ376" s="2"/>
      <c r="CA376" s="2"/>
      <c r="CB376" s="2"/>
      <c r="CC376" s="2"/>
    </row>
    <row r="377">
      <c r="BZ377" s="2"/>
      <c r="CA377" s="2"/>
      <c r="CB377" s="2"/>
      <c r="CC377" s="2"/>
    </row>
    <row r="378">
      <c r="BZ378" s="2"/>
      <c r="CA378" s="2"/>
      <c r="CB378" s="2"/>
      <c r="CC378" s="2"/>
    </row>
    <row r="379">
      <c r="BZ379" s="2"/>
      <c r="CA379" s="2"/>
      <c r="CB379" s="2"/>
      <c r="CC379" s="2"/>
    </row>
    <row r="380">
      <c r="BZ380" s="2"/>
      <c r="CA380" s="2"/>
      <c r="CB380" s="2"/>
      <c r="CC380" s="2"/>
    </row>
    <row r="381">
      <c r="BZ381" s="2"/>
      <c r="CA381" s="2"/>
      <c r="CB381" s="2"/>
      <c r="CC381" s="2"/>
    </row>
    <row r="382">
      <c r="BZ382" s="2"/>
      <c r="CA382" s="2"/>
      <c r="CB382" s="2"/>
      <c r="CC382" s="2"/>
    </row>
    <row r="383">
      <c r="BZ383" s="2"/>
      <c r="CA383" s="2"/>
      <c r="CB383" s="2"/>
      <c r="CC383" s="2"/>
    </row>
    <row r="384">
      <c r="BZ384" s="2"/>
      <c r="CA384" s="2"/>
      <c r="CB384" s="2"/>
      <c r="CC384" s="2"/>
    </row>
    <row r="385">
      <c r="BZ385" s="2"/>
      <c r="CA385" s="2"/>
      <c r="CB385" s="2"/>
      <c r="CC385" s="2"/>
    </row>
    <row r="386">
      <c r="BZ386" s="2"/>
      <c r="CA386" s="2"/>
      <c r="CB386" s="2"/>
      <c r="CC386" s="2"/>
    </row>
    <row r="387">
      <c r="BZ387" s="2"/>
      <c r="CA387" s="2"/>
      <c r="CB387" s="2"/>
      <c r="CC387" s="2"/>
    </row>
    <row r="388">
      <c r="BZ388" s="2"/>
      <c r="CA388" s="2"/>
      <c r="CB388" s="2"/>
      <c r="CC388" s="2"/>
    </row>
    <row r="389">
      <c r="BZ389" s="2"/>
      <c r="CA389" s="2"/>
      <c r="CB389" s="2"/>
      <c r="CC389" s="2"/>
    </row>
    <row r="390">
      <c r="BZ390" s="2"/>
      <c r="CA390" s="2"/>
      <c r="CB390" s="2"/>
      <c r="CC390" s="2"/>
    </row>
    <row r="391">
      <c r="BZ391" s="2"/>
      <c r="CA391" s="2"/>
      <c r="CB391" s="2"/>
      <c r="CC391" s="2"/>
    </row>
    <row r="392">
      <c r="BZ392" s="2"/>
      <c r="CA392" s="2"/>
      <c r="CB392" s="2"/>
      <c r="CC392" s="2"/>
    </row>
    <row r="393">
      <c r="BZ393" s="2"/>
      <c r="CA393" s="2"/>
      <c r="CB393" s="2"/>
      <c r="CC393" s="2"/>
    </row>
    <row r="394">
      <c r="BZ394" s="2"/>
      <c r="CA394" s="2"/>
      <c r="CB394" s="2"/>
      <c r="CC394" s="2"/>
    </row>
    <row r="395">
      <c r="BZ395" s="2"/>
      <c r="CA395" s="2"/>
      <c r="CB395" s="2"/>
      <c r="CC395" s="2"/>
    </row>
    <row r="396">
      <c r="BZ396" s="2"/>
      <c r="CA396" s="2"/>
      <c r="CB396" s="2"/>
      <c r="CC396" s="2"/>
    </row>
    <row r="397">
      <c r="BZ397" s="2"/>
      <c r="CA397" s="2"/>
      <c r="CB397" s="2"/>
      <c r="CC397" s="2"/>
    </row>
    <row r="398">
      <c r="BZ398" s="2"/>
      <c r="CA398" s="2"/>
      <c r="CB398" s="2"/>
      <c r="CC398" s="2"/>
    </row>
    <row r="399">
      <c r="BZ399" s="2"/>
      <c r="CA399" s="2"/>
      <c r="CB399" s="2"/>
      <c r="CC399" s="2"/>
    </row>
    <row r="400">
      <c r="BZ400" s="2"/>
      <c r="CA400" s="2"/>
      <c r="CB400" s="2"/>
      <c r="CC400" s="2"/>
    </row>
    <row r="401">
      <c r="BZ401" s="2"/>
      <c r="CA401" s="2"/>
      <c r="CB401" s="2"/>
      <c r="CC401" s="2"/>
    </row>
    <row r="402">
      <c r="BZ402" s="2"/>
      <c r="CA402" s="2"/>
      <c r="CB402" s="2"/>
      <c r="CC402" s="2"/>
    </row>
    <row r="403">
      <c r="BZ403" s="2"/>
      <c r="CA403" s="2"/>
      <c r="CB403" s="2"/>
      <c r="CC403" s="2"/>
    </row>
    <row r="404">
      <c r="BZ404" s="2"/>
      <c r="CA404" s="2"/>
      <c r="CB404" s="2"/>
      <c r="CC404" s="2"/>
    </row>
    <row r="405">
      <c r="BZ405" s="2"/>
      <c r="CA405" s="2"/>
      <c r="CB405" s="2"/>
      <c r="CC405" s="2"/>
    </row>
    <row r="406">
      <c r="BZ406" s="2"/>
      <c r="CA406" s="2"/>
      <c r="CB406" s="2"/>
      <c r="CC406" s="2"/>
    </row>
    <row r="407">
      <c r="BZ407" s="2"/>
      <c r="CA407" s="2"/>
      <c r="CB407" s="2"/>
      <c r="CC407" s="2"/>
    </row>
    <row r="408">
      <c r="BZ408" s="2"/>
      <c r="CA408" s="2"/>
      <c r="CB408" s="2"/>
      <c r="CC408" s="2"/>
    </row>
    <row r="409">
      <c r="BZ409" s="2"/>
      <c r="CA409" s="2"/>
      <c r="CB409" s="2"/>
      <c r="CC409" s="2"/>
    </row>
    <row r="410">
      <c r="BZ410" s="2"/>
      <c r="CA410" s="2"/>
      <c r="CB410" s="2"/>
      <c r="CC410" s="2"/>
    </row>
    <row r="411">
      <c r="BZ411" s="2"/>
      <c r="CA411" s="2"/>
      <c r="CB411" s="2"/>
      <c r="CC411" s="2"/>
    </row>
    <row r="412">
      <c r="BZ412" s="2"/>
      <c r="CA412" s="2"/>
      <c r="CB412" s="2"/>
      <c r="CC412" s="2"/>
    </row>
    <row r="413">
      <c r="BZ413" s="2"/>
      <c r="CA413" s="2"/>
      <c r="CB413" s="2"/>
      <c r="CC413" s="2"/>
    </row>
    <row r="414">
      <c r="BZ414" s="2"/>
      <c r="CA414" s="2"/>
      <c r="CB414" s="2"/>
      <c r="CC414" s="2"/>
    </row>
    <row r="415">
      <c r="BZ415" s="2"/>
      <c r="CA415" s="2"/>
      <c r="CB415" s="2"/>
      <c r="CC415" s="2"/>
    </row>
    <row r="416">
      <c r="BZ416" s="2"/>
      <c r="CA416" s="2"/>
      <c r="CB416" s="2"/>
      <c r="CC416" s="2"/>
    </row>
    <row r="417">
      <c r="BZ417" s="2"/>
      <c r="CA417" s="2"/>
      <c r="CB417" s="2"/>
      <c r="CC417" s="2"/>
    </row>
    <row r="418">
      <c r="BZ418" s="2"/>
      <c r="CA418" s="2"/>
      <c r="CB418" s="2"/>
      <c r="CC418" s="2"/>
    </row>
    <row r="419">
      <c r="BZ419" s="2"/>
      <c r="CA419" s="2"/>
      <c r="CB419" s="2"/>
      <c r="CC419" s="2"/>
    </row>
    <row r="420">
      <c r="BZ420" s="2"/>
      <c r="CA420" s="2"/>
      <c r="CB420" s="2"/>
      <c r="CC420" s="2"/>
    </row>
    <row r="421">
      <c r="BZ421" s="2"/>
      <c r="CA421" s="2"/>
      <c r="CB421" s="2"/>
      <c r="CC421" s="2"/>
    </row>
    <row r="422">
      <c r="BZ422" s="2"/>
      <c r="CA422" s="2"/>
      <c r="CB422" s="2"/>
      <c r="CC422" s="2"/>
    </row>
    <row r="423">
      <c r="BZ423" s="2"/>
      <c r="CA423" s="2"/>
      <c r="CB423" s="2"/>
      <c r="CC423" s="2"/>
    </row>
    <row r="424">
      <c r="BZ424" s="2"/>
      <c r="CA424" s="2"/>
      <c r="CB424" s="2"/>
      <c r="CC424" s="2"/>
    </row>
    <row r="425">
      <c r="BZ425" s="2"/>
      <c r="CA425" s="2"/>
      <c r="CB425" s="2"/>
      <c r="CC425" s="2"/>
    </row>
    <row r="426">
      <c r="BZ426" s="2"/>
      <c r="CA426" s="2"/>
      <c r="CB426" s="2"/>
      <c r="CC426" s="2"/>
    </row>
    <row r="427">
      <c r="BZ427" s="2"/>
      <c r="CA427" s="2"/>
      <c r="CB427" s="2"/>
      <c r="CC427" s="2"/>
    </row>
    <row r="428">
      <c r="BZ428" s="2"/>
      <c r="CA428" s="2"/>
      <c r="CB428" s="2"/>
      <c r="CC428" s="2"/>
    </row>
    <row r="429">
      <c r="BZ429" s="2"/>
      <c r="CA429" s="2"/>
      <c r="CB429" s="2"/>
      <c r="CC429" s="2"/>
    </row>
    <row r="430">
      <c r="BZ430" s="2"/>
      <c r="CA430" s="2"/>
      <c r="CB430" s="2"/>
      <c r="CC430" s="2"/>
    </row>
    <row r="431">
      <c r="BZ431" s="2"/>
      <c r="CA431" s="2"/>
      <c r="CB431" s="2"/>
      <c r="CC431" s="2"/>
    </row>
    <row r="432">
      <c r="BZ432" s="2"/>
      <c r="CA432" s="2"/>
      <c r="CB432" s="2"/>
      <c r="CC432" s="2"/>
    </row>
    <row r="433">
      <c r="BZ433" s="2"/>
      <c r="CA433" s="2"/>
      <c r="CB433" s="2"/>
      <c r="CC433" s="2"/>
    </row>
    <row r="434">
      <c r="BZ434" s="2"/>
      <c r="CA434" s="2"/>
      <c r="CB434" s="2"/>
      <c r="CC434" s="2"/>
    </row>
    <row r="435">
      <c r="BZ435" s="2"/>
      <c r="CA435" s="2"/>
      <c r="CB435" s="2"/>
      <c r="CC435" s="2"/>
    </row>
    <row r="436">
      <c r="BZ436" s="2"/>
      <c r="CA436" s="2"/>
      <c r="CB436" s="2"/>
      <c r="CC436" s="2"/>
    </row>
    <row r="437">
      <c r="BZ437" s="2"/>
      <c r="CA437" s="2"/>
      <c r="CB437" s="2"/>
      <c r="CC437" s="2"/>
    </row>
    <row r="438">
      <c r="BZ438" s="2"/>
      <c r="CA438" s="2"/>
      <c r="CB438" s="2"/>
      <c r="CC438" s="2"/>
    </row>
    <row r="439">
      <c r="BZ439" s="2"/>
      <c r="CA439" s="2"/>
      <c r="CB439" s="2"/>
      <c r="CC439" s="2"/>
    </row>
    <row r="440">
      <c r="BZ440" s="2"/>
      <c r="CA440" s="2"/>
      <c r="CB440" s="2"/>
      <c r="CC440" s="2"/>
    </row>
    <row r="441">
      <c r="BZ441" s="2"/>
      <c r="CA441" s="2"/>
      <c r="CB441" s="2"/>
      <c r="CC441" s="2"/>
    </row>
    <row r="442">
      <c r="BZ442" s="2"/>
      <c r="CA442" s="2"/>
      <c r="CB442" s="2"/>
      <c r="CC442" s="2"/>
    </row>
    <row r="443">
      <c r="BZ443" s="2"/>
      <c r="CA443" s="2"/>
      <c r="CB443" s="2"/>
      <c r="CC443" s="2"/>
    </row>
    <row r="444">
      <c r="BZ444" s="2"/>
      <c r="CA444" s="2"/>
      <c r="CB444" s="2"/>
      <c r="CC444" s="2"/>
    </row>
    <row r="445">
      <c r="BZ445" s="2"/>
      <c r="CA445" s="2"/>
      <c r="CB445" s="2"/>
      <c r="CC445" s="2"/>
    </row>
    <row r="446">
      <c r="BZ446" s="2"/>
      <c r="CA446" s="2"/>
      <c r="CB446" s="2"/>
      <c r="CC446" s="2"/>
    </row>
    <row r="447">
      <c r="BZ447" s="2"/>
      <c r="CA447" s="2"/>
      <c r="CB447" s="2"/>
      <c r="CC447" s="2"/>
    </row>
    <row r="448">
      <c r="BZ448" s="2"/>
      <c r="CA448" s="2"/>
      <c r="CB448" s="2"/>
      <c r="CC448" s="2"/>
    </row>
    <row r="449">
      <c r="BZ449" s="2"/>
      <c r="CA449" s="2"/>
      <c r="CB449" s="2"/>
      <c r="CC449" s="2"/>
    </row>
    <row r="450">
      <c r="BZ450" s="2"/>
      <c r="CA450" s="2"/>
      <c r="CB450" s="2"/>
      <c r="CC450" s="2"/>
    </row>
    <row r="451">
      <c r="BZ451" s="2"/>
      <c r="CA451" s="2"/>
      <c r="CB451" s="2"/>
      <c r="CC451" s="2"/>
    </row>
    <row r="452">
      <c r="BZ452" s="2"/>
      <c r="CA452" s="2"/>
      <c r="CB452" s="2"/>
      <c r="CC452" s="2"/>
    </row>
    <row r="453">
      <c r="BZ453" s="2"/>
      <c r="CA453" s="2"/>
      <c r="CB453" s="2"/>
      <c r="CC453" s="2"/>
    </row>
    <row r="454">
      <c r="BZ454" s="2"/>
      <c r="CA454" s="2"/>
      <c r="CB454" s="2"/>
      <c r="CC454" s="2"/>
    </row>
    <row r="455">
      <c r="BZ455" s="2"/>
      <c r="CA455" s="2"/>
      <c r="CB455" s="2"/>
      <c r="CC455" s="2"/>
    </row>
    <row r="456">
      <c r="BZ456" s="2"/>
      <c r="CA456" s="2"/>
      <c r="CB456" s="2"/>
      <c r="CC456" s="2"/>
    </row>
    <row r="457">
      <c r="BZ457" s="2"/>
      <c r="CA457" s="2"/>
      <c r="CB457" s="2"/>
      <c r="CC457" s="2"/>
    </row>
    <row r="458">
      <c r="BZ458" s="2"/>
      <c r="CA458" s="2"/>
      <c r="CB458" s="2"/>
      <c r="CC458" s="2"/>
    </row>
    <row r="459">
      <c r="BZ459" s="2"/>
      <c r="CA459" s="2"/>
      <c r="CB459" s="2"/>
      <c r="CC459" s="2"/>
    </row>
    <row r="460">
      <c r="BZ460" s="2"/>
      <c r="CA460" s="2"/>
      <c r="CB460" s="2"/>
      <c r="CC460" s="2"/>
    </row>
    <row r="461">
      <c r="BZ461" s="2"/>
      <c r="CA461" s="2"/>
      <c r="CB461" s="2"/>
      <c r="CC461" s="2"/>
    </row>
    <row r="462">
      <c r="BZ462" s="2"/>
      <c r="CA462" s="2"/>
      <c r="CB462" s="2"/>
      <c r="CC462" s="2"/>
    </row>
    <row r="463">
      <c r="BZ463" s="2"/>
      <c r="CA463" s="2"/>
      <c r="CB463" s="2"/>
      <c r="CC463" s="2"/>
    </row>
    <row r="464">
      <c r="BZ464" s="2"/>
      <c r="CA464" s="2"/>
      <c r="CB464" s="2"/>
      <c r="CC464" s="2"/>
    </row>
    <row r="465">
      <c r="BZ465" s="2"/>
      <c r="CA465" s="2"/>
      <c r="CB465" s="2"/>
      <c r="CC465" s="2"/>
    </row>
    <row r="466">
      <c r="BZ466" s="2"/>
      <c r="CA466" s="2"/>
      <c r="CB466" s="2"/>
      <c r="CC466" s="2"/>
    </row>
    <row r="467">
      <c r="BZ467" s="2"/>
      <c r="CA467" s="2"/>
      <c r="CB467" s="2"/>
      <c r="CC467" s="2"/>
    </row>
    <row r="468">
      <c r="BZ468" s="2"/>
      <c r="CA468" s="2"/>
      <c r="CB468" s="2"/>
      <c r="CC468" s="2"/>
    </row>
    <row r="469">
      <c r="BZ469" s="2"/>
      <c r="CA469" s="2"/>
      <c r="CB469" s="2"/>
      <c r="CC469" s="2"/>
    </row>
    <row r="470">
      <c r="BZ470" s="2"/>
      <c r="CA470" s="2"/>
      <c r="CB470" s="2"/>
      <c r="CC470" s="2"/>
    </row>
    <row r="471">
      <c r="BZ471" s="2"/>
      <c r="CA471" s="2"/>
      <c r="CB471" s="2"/>
      <c r="CC471" s="2"/>
    </row>
    <row r="472">
      <c r="BZ472" s="2"/>
      <c r="CA472" s="2"/>
      <c r="CB472" s="2"/>
      <c r="CC472" s="2"/>
    </row>
    <row r="473">
      <c r="BZ473" s="2"/>
      <c r="CA473" s="2"/>
      <c r="CB473" s="2"/>
      <c r="CC473" s="2"/>
    </row>
    <row r="474">
      <c r="BZ474" s="2"/>
      <c r="CA474" s="2"/>
      <c r="CB474" s="2"/>
      <c r="CC474" s="2"/>
    </row>
    <row r="475">
      <c r="BZ475" s="2"/>
      <c r="CA475" s="2"/>
      <c r="CB475" s="2"/>
      <c r="CC475" s="2"/>
    </row>
    <row r="476">
      <c r="BZ476" s="2"/>
      <c r="CA476" s="2"/>
      <c r="CB476" s="2"/>
      <c r="CC476" s="2"/>
    </row>
    <row r="477">
      <c r="BZ477" s="2"/>
      <c r="CA477" s="2"/>
      <c r="CB477" s="2"/>
      <c r="CC477" s="2"/>
    </row>
    <row r="478">
      <c r="BZ478" s="2"/>
      <c r="CA478" s="2"/>
      <c r="CB478" s="2"/>
      <c r="CC478" s="2"/>
    </row>
    <row r="479">
      <c r="BZ479" s="2"/>
      <c r="CA479" s="2"/>
      <c r="CB479" s="2"/>
      <c r="CC479" s="2"/>
    </row>
    <row r="480">
      <c r="BZ480" s="2"/>
      <c r="CA480" s="2"/>
      <c r="CB480" s="2"/>
      <c r="CC480" s="2"/>
    </row>
    <row r="481">
      <c r="BZ481" s="2"/>
      <c r="CA481" s="2"/>
      <c r="CB481" s="2"/>
      <c r="CC481" s="2"/>
    </row>
    <row r="482">
      <c r="BZ482" s="2"/>
      <c r="CA482" s="2"/>
      <c r="CB482" s="2"/>
      <c r="CC482" s="2"/>
    </row>
    <row r="483">
      <c r="BZ483" s="2"/>
      <c r="CA483" s="2"/>
      <c r="CB483" s="2"/>
      <c r="CC483" s="2"/>
    </row>
    <row r="484">
      <c r="BZ484" s="2"/>
      <c r="CA484" s="2"/>
      <c r="CB484" s="2"/>
      <c r="CC484" s="2"/>
    </row>
    <row r="485">
      <c r="BZ485" s="2"/>
      <c r="CA485" s="2"/>
      <c r="CB485" s="2"/>
      <c r="CC485" s="2"/>
    </row>
    <row r="486">
      <c r="BZ486" s="2"/>
      <c r="CA486" s="2"/>
      <c r="CB486" s="2"/>
      <c r="CC486" s="2"/>
    </row>
    <row r="487">
      <c r="BZ487" s="2"/>
      <c r="CA487" s="2"/>
      <c r="CB487" s="2"/>
      <c r="CC487" s="2"/>
    </row>
    <row r="488">
      <c r="BZ488" s="2"/>
      <c r="CA488" s="2"/>
      <c r="CB488" s="2"/>
      <c r="CC488" s="2"/>
    </row>
    <row r="489">
      <c r="BZ489" s="2"/>
      <c r="CA489" s="2"/>
      <c r="CB489" s="2"/>
      <c r="CC489" s="2"/>
    </row>
    <row r="490">
      <c r="BZ490" s="2"/>
      <c r="CA490" s="2"/>
      <c r="CB490" s="2"/>
      <c r="CC490" s="2"/>
    </row>
    <row r="491">
      <c r="BZ491" s="2"/>
      <c r="CA491" s="2"/>
      <c r="CB491" s="2"/>
      <c r="CC491" s="2"/>
    </row>
    <row r="492">
      <c r="BZ492" s="2"/>
      <c r="CA492" s="2"/>
      <c r="CB492" s="2"/>
      <c r="CC492" s="2"/>
    </row>
    <row r="493">
      <c r="BZ493" s="2"/>
      <c r="CA493" s="2"/>
      <c r="CB493" s="2"/>
      <c r="CC493" s="2"/>
    </row>
    <row r="494">
      <c r="BZ494" s="2"/>
      <c r="CA494" s="2"/>
      <c r="CB494" s="2"/>
      <c r="CC494" s="2"/>
    </row>
    <row r="495">
      <c r="BZ495" s="2"/>
      <c r="CA495" s="2"/>
      <c r="CB495" s="2"/>
      <c r="CC495" s="2"/>
    </row>
    <row r="496">
      <c r="BZ496" s="2"/>
      <c r="CA496" s="2"/>
      <c r="CB496" s="2"/>
      <c r="CC496" s="2"/>
    </row>
    <row r="497">
      <c r="BZ497" s="2"/>
      <c r="CA497" s="2"/>
      <c r="CB497" s="2"/>
      <c r="CC497" s="2"/>
    </row>
    <row r="498">
      <c r="BZ498" s="2"/>
      <c r="CA498" s="2"/>
      <c r="CB498" s="2"/>
      <c r="CC498" s="2"/>
    </row>
    <row r="499">
      <c r="BZ499" s="2"/>
      <c r="CA499" s="2"/>
      <c r="CB499" s="2"/>
      <c r="CC499" s="2"/>
    </row>
    <row r="500">
      <c r="BZ500" s="2"/>
      <c r="CA500" s="2"/>
      <c r="CB500" s="2"/>
      <c r="CC500" s="2"/>
    </row>
    <row r="501">
      <c r="BZ501" s="2"/>
      <c r="CA501" s="2"/>
      <c r="CB501" s="2"/>
      <c r="CC501" s="2"/>
    </row>
    <row r="502">
      <c r="BZ502" s="2"/>
      <c r="CA502" s="2"/>
      <c r="CB502" s="2"/>
      <c r="CC502" s="2"/>
    </row>
    <row r="503">
      <c r="BZ503" s="2"/>
      <c r="CA503" s="2"/>
      <c r="CB503" s="2"/>
      <c r="CC503" s="2"/>
    </row>
    <row r="504">
      <c r="BZ504" s="2"/>
      <c r="CA504" s="2"/>
      <c r="CB504" s="2"/>
      <c r="CC504" s="2"/>
    </row>
    <row r="505">
      <c r="BZ505" s="2"/>
      <c r="CA505" s="2"/>
      <c r="CB505" s="2"/>
      <c r="CC505" s="2"/>
    </row>
    <row r="506">
      <c r="BZ506" s="2"/>
      <c r="CA506" s="2"/>
      <c r="CB506" s="2"/>
      <c r="CC506" s="2"/>
    </row>
    <row r="507">
      <c r="BZ507" s="2"/>
      <c r="CA507" s="2"/>
      <c r="CB507" s="2"/>
      <c r="CC507" s="2"/>
    </row>
    <row r="508">
      <c r="BZ508" s="2"/>
      <c r="CA508" s="2"/>
      <c r="CB508" s="2"/>
      <c r="CC508" s="2"/>
    </row>
    <row r="509">
      <c r="BZ509" s="2"/>
      <c r="CA509" s="2"/>
      <c r="CB509" s="2"/>
      <c r="CC509" s="2"/>
    </row>
    <row r="510">
      <c r="BZ510" s="2"/>
      <c r="CA510" s="2"/>
      <c r="CB510" s="2"/>
      <c r="CC510" s="2"/>
    </row>
    <row r="511">
      <c r="BZ511" s="2"/>
      <c r="CA511" s="2"/>
      <c r="CB511" s="2"/>
      <c r="CC511" s="2"/>
    </row>
    <row r="512">
      <c r="BZ512" s="2"/>
      <c r="CA512" s="2"/>
      <c r="CB512" s="2"/>
      <c r="CC512" s="2"/>
    </row>
    <row r="513">
      <c r="BZ513" s="2"/>
      <c r="CA513" s="2"/>
      <c r="CB513" s="2"/>
      <c r="CC513" s="2"/>
    </row>
    <row r="514">
      <c r="BZ514" s="2"/>
      <c r="CA514" s="2"/>
      <c r="CB514" s="2"/>
      <c r="CC514" s="2"/>
    </row>
    <row r="515">
      <c r="BZ515" s="2"/>
      <c r="CA515" s="2"/>
      <c r="CB515" s="2"/>
      <c r="CC515" s="2"/>
    </row>
    <row r="516">
      <c r="BZ516" s="2"/>
      <c r="CA516" s="2"/>
      <c r="CB516" s="2"/>
      <c r="CC516" s="2"/>
    </row>
    <row r="517">
      <c r="BZ517" s="2"/>
      <c r="CA517" s="2"/>
      <c r="CB517" s="2"/>
      <c r="CC517" s="2"/>
    </row>
    <row r="518">
      <c r="BZ518" s="2"/>
      <c r="CA518" s="2"/>
      <c r="CB518" s="2"/>
      <c r="CC518" s="2"/>
    </row>
    <row r="519">
      <c r="BZ519" s="2"/>
      <c r="CA519" s="2"/>
      <c r="CB519" s="2"/>
      <c r="CC519" s="2"/>
    </row>
    <row r="520">
      <c r="BZ520" s="2"/>
      <c r="CA520" s="2"/>
      <c r="CB520" s="2"/>
      <c r="CC520" s="2"/>
    </row>
    <row r="521">
      <c r="BZ521" s="2"/>
      <c r="CA521" s="2"/>
      <c r="CB521" s="2"/>
      <c r="CC521" s="2"/>
    </row>
    <row r="522">
      <c r="BZ522" s="2"/>
      <c r="CA522" s="2"/>
      <c r="CB522" s="2"/>
      <c r="CC522" s="2"/>
    </row>
    <row r="523">
      <c r="BZ523" s="2"/>
      <c r="CA523" s="2"/>
      <c r="CB523" s="2"/>
      <c r="CC523" s="2"/>
    </row>
    <row r="524">
      <c r="BZ524" s="2"/>
      <c r="CA524" s="2"/>
      <c r="CB524" s="2"/>
      <c r="CC524" s="2"/>
    </row>
    <row r="525">
      <c r="BZ525" s="2"/>
      <c r="CA525" s="2"/>
      <c r="CB525" s="2"/>
      <c r="CC525" s="2"/>
    </row>
    <row r="526">
      <c r="BZ526" s="2"/>
      <c r="CA526" s="2"/>
      <c r="CB526" s="2"/>
      <c r="CC526" s="2"/>
    </row>
    <row r="527">
      <c r="BZ527" s="2"/>
      <c r="CA527" s="2"/>
      <c r="CB527" s="2"/>
      <c r="CC527" s="2"/>
    </row>
    <row r="528">
      <c r="BZ528" s="2"/>
      <c r="CA528" s="2"/>
      <c r="CB528" s="2"/>
      <c r="CC528" s="2"/>
    </row>
    <row r="529">
      <c r="BZ529" s="2"/>
      <c r="CA529" s="2"/>
      <c r="CB529" s="2"/>
      <c r="CC529" s="2"/>
    </row>
    <row r="530">
      <c r="BZ530" s="2"/>
      <c r="CA530" s="2"/>
      <c r="CB530" s="2"/>
      <c r="CC530" s="2"/>
    </row>
    <row r="531">
      <c r="BZ531" s="2"/>
      <c r="CA531" s="2"/>
      <c r="CB531" s="2"/>
      <c r="CC531" s="2"/>
    </row>
    <row r="532">
      <c r="BZ532" s="2"/>
      <c r="CA532" s="2"/>
      <c r="CB532" s="2"/>
      <c r="CC532" s="2"/>
    </row>
    <row r="533">
      <c r="BZ533" s="2"/>
      <c r="CA533" s="2"/>
      <c r="CB533" s="2"/>
      <c r="CC533" s="2"/>
    </row>
    <row r="534">
      <c r="BZ534" s="2"/>
      <c r="CA534" s="2"/>
      <c r="CB534" s="2"/>
      <c r="CC534" s="2"/>
    </row>
    <row r="535">
      <c r="BZ535" s="2"/>
      <c r="CA535" s="2"/>
      <c r="CB535" s="2"/>
      <c r="CC535" s="2"/>
    </row>
    <row r="536">
      <c r="BZ536" s="2"/>
      <c r="CA536" s="2"/>
      <c r="CB536" s="2"/>
      <c r="CC536" s="2"/>
    </row>
    <row r="537">
      <c r="BZ537" s="2"/>
      <c r="CA537" s="2"/>
      <c r="CB537" s="2"/>
      <c r="CC537" s="2"/>
    </row>
    <row r="538">
      <c r="BZ538" s="2"/>
      <c r="CA538" s="2"/>
      <c r="CB538" s="2"/>
      <c r="CC538" s="2"/>
    </row>
    <row r="539">
      <c r="BZ539" s="2"/>
      <c r="CA539" s="2"/>
      <c r="CB539" s="2"/>
      <c r="CC539" s="2"/>
    </row>
    <row r="540">
      <c r="BZ540" s="2"/>
      <c r="CA540" s="2"/>
      <c r="CB540" s="2"/>
      <c r="CC540" s="2"/>
    </row>
    <row r="541">
      <c r="BZ541" s="2"/>
      <c r="CA541" s="2"/>
      <c r="CB541" s="2"/>
      <c r="CC541" s="2"/>
    </row>
    <row r="542">
      <c r="BZ542" s="2"/>
      <c r="CA542" s="2"/>
      <c r="CB542" s="2"/>
      <c r="CC542" s="2"/>
    </row>
    <row r="543">
      <c r="BZ543" s="2"/>
      <c r="CA543" s="2"/>
      <c r="CB543" s="2"/>
      <c r="CC543" s="2"/>
    </row>
    <row r="544">
      <c r="BZ544" s="2"/>
      <c r="CA544" s="2"/>
      <c r="CB544" s="2"/>
      <c r="CC544" s="2"/>
    </row>
    <row r="545">
      <c r="BZ545" s="2"/>
      <c r="CA545" s="2"/>
      <c r="CB545" s="2"/>
      <c r="CC545" s="2"/>
    </row>
    <row r="546">
      <c r="BZ546" s="2"/>
      <c r="CA546" s="2"/>
      <c r="CB546" s="2"/>
      <c r="CC546" s="2"/>
    </row>
    <row r="547">
      <c r="BZ547" s="2"/>
      <c r="CA547" s="2"/>
      <c r="CB547" s="2"/>
      <c r="CC547" s="2"/>
    </row>
    <row r="548">
      <c r="BZ548" s="2"/>
      <c r="CA548" s="2"/>
      <c r="CB548" s="2"/>
      <c r="CC548" s="2"/>
    </row>
    <row r="549">
      <c r="BZ549" s="2"/>
      <c r="CA549" s="2"/>
      <c r="CB549" s="2"/>
      <c r="CC549" s="2"/>
    </row>
    <row r="550">
      <c r="BZ550" s="2"/>
      <c r="CA550" s="2"/>
      <c r="CB550" s="2"/>
      <c r="CC550" s="2"/>
    </row>
    <row r="551">
      <c r="BZ551" s="2"/>
      <c r="CA551" s="2"/>
      <c r="CB551" s="2"/>
      <c r="CC551" s="2"/>
    </row>
    <row r="552">
      <c r="BZ552" s="2"/>
      <c r="CA552" s="2"/>
      <c r="CB552" s="2"/>
      <c r="CC552" s="2"/>
    </row>
    <row r="553">
      <c r="BZ553" s="2"/>
      <c r="CA553" s="2"/>
      <c r="CB553" s="2"/>
      <c r="CC553" s="2"/>
    </row>
    <row r="554">
      <c r="BZ554" s="2"/>
      <c r="CA554" s="2"/>
      <c r="CB554" s="2"/>
      <c r="CC554" s="2"/>
    </row>
    <row r="555">
      <c r="BZ555" s="2"/>
      <c r="CA555" s="2"/>
      <c r="CB555" s="2"/>
      <c r="CC555" s="2"/>
    </row>
    <row r="556">
      <c r="BZ556" s="2"/>
      <c r="CA556" s="2"/>
      <c r="CB556" s="2"/>
      <c r="CC556" s="2"/>
    </row>
    <row r="557">
      <c r="BZ557" s="2"/>
      <c r="CA557" s="2"/>
      <c r="CB557" s="2"/>
      <c r="CC557" s="2"/>
    </row>
    <row r="558">
      <c r="BZ558" s="2"/>
      <c r="CA558" s="2"/>
      <c r="CB558" s="2"/>
      <c r="CC558" s="2"/>
    </row>
    <row r="559">
      <c r="BZ559" s="2"/>
      <c r="CA559" s="2"/>
      <c r="CB559" s="2"/>
      <c r="CC559" s="2"/>
    </row>
    <row r="560">
      <c r="BZ560" s="2"/>
      <c r="CA560" s="2"/>
      <c r="CB560" s="2"/>
      <c r="CC560" s="2"/>
    </row>
    <row r="561">
      <c r="BZ561" s="2"/>
      <c r="CA561" s="2"/>
      <c r="CB561" s="2"/>
      <c r="CC561" s="2"/>
    </row>
    <row r="562">
      <c r="BZ562" s="2"/>
      <c r="CA562" s="2"/>
      <c r="CB562" s="2"/>
      <c r="CC562" s="2"/>
    </row>
    <row r="563">
      <c r="BZ563" s="2"/>
      <c r="CA563" s="2"/>
      <c r="CB563" s="2"/>
      <c r="CC563" s="2"/>
    </row>
    <row r="564">
      <c r="BZ564" s="2"/>
      <c r="CA564" s="2"/>
      <c r="CB564" s="2"/>
      <c r="CC564" s="2"/>
    </row>
    <row r="565">
      <c r="BZ565" s="2"/>
      <c r="CA565" s="2"/>
      <c r="CB565" s="2"/>
      <c r="CC565" s="2"/>
    </row>
    <row r="566">
      <c r="BZ566" s="2"/>
      <c r="CA566" s="2"/>
      <c r="CB566" s="2"/>
      <c r="CC566" s="2"/>
    </row>
    <row r="567">
      <c r="BZ567" s="2"/>
      <c r="CA567" s="2"/>
      <c r="CB567" s="2"/>
      <c r="CC567" s="2"/>
    </row>
    <row r="568">
      <c r="BZ568" s="2"/>
      <c r="CA568" s="2"/>
      <c r="CB568" s="2"/>
      <c r="CC568" s="2"/>
    </row>
    <row r="569">
      <c r="BZ569" s="2"/>
      <c r="CA569" s="2"/>
      <c r="CB569" s="2"/>
      <c r="CC569" s="2"/>
    </row>
    <row r="570">
      <c r="BZ570" s="2"/>
      <c r="CA570" s="2"/>
      <c r="CB570" s="2"/>
      <c r="CC570" s="2"/>
    </row>
    <row r="571">
      <c r="BZ571" s="2"/>
      <c r="CA571" s="2"/>
      <c r="CB571" s="2"/>
      <c r="CC571" s="2"/>
    </row>
    <row r="572">
      <c r="BZ572" s="2"/>
      <c r="CA572" s="2"/>
      <c r="CB572" s="2"/>
      <c r="CC572" s="2"/>
    </row>
    <row r="573">
      <c r="BZ573" s="2"/>
      <c r="CA573" s="2"/>
      <c r="CB573" s="2"/>
      <c r="CC573" s="2"/>
    </row>
    <row r="574">
      <c r="BZ574" s="2"/>
      <c r="CA574" s="2"/>
      <c r="CB574" s="2"/>
      <c r="CC574" s="2"/>
    </row>
    <row r="575">
      <c r="BZ575" s="2"/>
      <c r="CA575" s="2"/>
      <c r="CB575" s="2"/>
      <c r="CC575" s="2"/>
    </row>
    <row r="576">
      <c r="BZ576" s="2"/>
      <c r="CA576" s="2"/>
      <c r="CB576" s="2"/>
      <c r="CC576" s="2"/>
    </row>
    <row r="577">
      <c r="BZ577" s="2"/>
      <c r="CA577" s="2"/>
      <c r="CB577" s="2"/>
      <c r="CC577" s="2"/>
    </row>
    <row r="578">
      <c r="BZ578" s="2"/>
      <c r="CA578" s="2"/>
      <c r="CB578" s="2"/>
      <c r="CC578" s="2"/>
    </row>
    <row r="579">
      <c r="BZ579" s="2"/>
      <c r="CA579" s="2"/>
      <c r="CB579" s="2"/>
      <c r="CC579" s="2"/>
    </row>
    <row r="580">
      <c r="BZ580" s="2"/>
      <c r="CA580" s="2"/>
      <c r="CB580" s="2"/>
      <c r="CC580" s="2"/>
    </row>
    <row r="581">
      <c r="BZ581" s="2"/>
      <c r="CA581" s="2"/>
      <c r="CB581" s="2"/>
      <c r="CC581" s="2"/>
    </row>
    <row r="582">
      <c r="BZ582" s="2"/>
      <c r="CA582" s="2"/>
      <c r="CB582" s="2"/>
      <c r="CC582" s="2"/>
    </row>
    <row r="583">
      <c r="BZ583" s="2"/>
      <c r="CA583" s="2"/>
      <c r="CB583" s="2"/>
      <c r="CC583" s="2"/>
    </row>
    <row r="584">
      <c r="BZ584" s="2"/>
      <c r="CA584" s="2"/>
      <c r="CB584" s="2"/>
      <c r="CC584" s="2"/>
    </row>
    <row r="585">
      <c r="BZ585" s="2"/>
      <c r="CA585" s="2"/>
      <c r="CB585" s="2"/>
      <c r="CC585" s="2"/>
    </row>
    <row r="586">
      <c r="BZ586" s="2"/>
      <c r="CA586" s="2"/>
      <c r="CB586" s="2"/>
      <c r="CC586" s="2"/>
    </row>
    <row r="587">
      <c r="BZ587" s="2"/>
      <c r="CA587" s="2"/>
      <c r="CB587" s="2"/>
      <c r="CC587" s="2"/>
    </row>
    <row r="588">
      <c r="BZ588" s="2"/>
      <c r="CA588" s="2"/>
      <c r="CB588" s="2"/>
      <c r="CC588" s="2"/>
    </row>
    <row r="589">
      <c r="BZ589" s="2"/>
      <c r="CA589" s="2"/>
      <c r="CB589" s="2"/>
      <c r="CC589" s="2"/>
    </row>
    <row r="590">
      <c r="BZ590" s="2"/>
      <c r="CA590" s="2"/>
      <c r="CB590" s="2"/>
      <c r="CC590" s="2"/>
    </row>
    <row r="591">
      <c r="BZ591" s="2"/>
      <c r="CA591" s="2"/>
      <c r="CB591" s="2"/>
      <c r="CC591" s="2"/>
    </row>
    <row r="592">
      <c r="BZ592" s="2"/>
      <c r="CA592" s="2"/>
      <c r="CB592" s="2"/>
      <c r="CC592" s="2"/>
    </row>
    <row r="593">
      <c r="BZ593" s="2"/>
      <c r="CA593" s="2"/>
      <c r="CB593" s="2"/>
      <c r="CC593" s="2"/>
    </row>
    <row r="594">
      <c r="BZ594" s="2"/>
      <c r="CA594" s="2"/>
      <c r="CB594" s="2"/>
      <c r="CC594" s="2"/>
    </row>
    <row r="595">
      <c r="BZ595" s="2"/>
      <c r="CA595" s="2"/>
      <c r="CB595" s="2"/>
      <c r="CC595" s="2"/>
    </row>
    <row r="596">
      <c r="BZ596" s="2"/>
      <c r="CA596" s="2"/>
      <c r="CB596" s="2"/>
      <c r="CC596" s="2"/>
    </row>
    <row r="597">
      <c r="BZ597" s="2"/>
      <c r="CA597" s="2"/>
      <c r="CB597" s="2"/>
      <c r="CC597" s="2"/>
    </row>
    <row r="598">
      <c r="BZ598" s="2"/>
      <c r="CA598" s="2"/>
      <c r="CB598" s="2"/>
      <c r="CC598" s="2"/>
    </row>
    <row r="599">
      <c r="BZ599" s="2"/>
      <c r="CA599" s="2"/>
      <c r="CB599" s="2"/>
      <c r="CC599" s="2"/>
    </row>
    <row r="600">
      <c r="BZ600" s="2"/>
      <c r="CA600" s="2"/>
      <c r="CB600" s="2"/>
      <c r="CC600" s="2"/>
    </row>
    <row r="601">
      <c r="BZ601" s="2"/>
      <c r="CA601" s="2"/>
      <c r="CB601" s="2"/>
      <c r="CC601" s="2"/>
    </row>
    <row r="602">
      <c r="BZ602" s="2"/>
      <c r="CA602" s="2"/>
      <c r="CB602" s="2"/>
      <c r="CC602" s="2"/>
    </row>
    <row r="603">
      <c r="BZ603" s="2"/>
      <c r="CA603" s="2"/>
      <c r="CB603" s="2"/>
      <c r="CC603" s="2"/>
    </row>
    <row r="604">
      <c r="BZ604" s="2"/>
      <c r="CA604" s="2"/>
      <c r="CB604" s="2"/>
      <c r="CC604" s="2"/>
    </row>
    <row r="605">
      <c r="BZ605" s="2"/>
      <c r="CA605" s="2"/>
      <c r="CB605" s="2"/>
      <c r="CC605" s="2"/>
    </row>
    <row r="606">
      <c r="BZ606" s="2"/>
      <c r="CA606" s="2"/>
      <c r="CB606" s="2"/>
      <c r="CC606" s="2"/>
    </row>
    <row r="607">
      <c r="BZ607" s="2"/>
      <c r="CA607" s="2"/>
      <c r="CB607" s="2"/>
      <c r="CC607" s="2"/>
    </row>
    <row r="608">
      <c r="BZ608" s="2"/>
      <c r="CA608" s="2"/>
      <c r="CB608" s="2"/>
      <c r="CC608" s="2"/>
    </row>
    <row r="609">
      <c r="BZ609" s="2"/>
      <c r="CA609" s="2"/>
      <c r="CB609" s="2"/>
      <c r="CC609" s="2"/>
    </row>
    <row r="610">
      <c r="BZ610" s="2"/>
      <c r="CA610" s="2"/>
      <c r="CB610" s="2"/>
      <c r="CC610" s="2"/>
    </row>
    <row r="611">
      <c r="BZ611" s="2"/>
      <c r="CA611" s="2"/>
      <c r="CB611" s="2"/>
      <c r="CC611" s="2"/>
    </row>
    <row r="612">
      <c r="BZ612" s="2"/>
      <c r="CA612" s="2"/>
      <c r="CB612" s="2"/>
      <c r="CC612" s="2"/>
    </row>
    <row r="613">
      <c r="BZ613" s="2"/>
      <c r="CA613" s="2"/>
      <c r="CB613" s="2"/>
      <c r="CC613" s="2"/>
    </row>
    <row r="614">
      <c r="BZ614" s="2"/>
      <c r="CA614" s="2"/>
      <c r="CB614" s="2"/>
      <c r="CC614" s="2"/>
    </row>
    <row r="615">
      <c r="BZ615" s="2"/>
      <c r="CA615" s="2"/>
      <c r="CB615" s="2"/>
      <c r="CC615" s="2"/>
    </row>
    <row r="616">
      <c r="BZ616" s="2"/>
      <c r="CA616" s="2"/>
      <c r="CB616" s="2"/>
      <c r="CC616" s="2"/>
    </row>
    <row r="617">
      <c r="BZ617" s="2"/>
      <c r="CA617" s="2"/>
      <c r="CB617" s="2"/>
      <c r="CC617" s="2"/>
    </row>
    <row r="618">
      <c r="BZ618" s="2"/>
      <c r="CA618" s="2"/>
      <c r="CB618" s="2"/>
      <c r="CC618" s="2"/>
    </row>
    <row r="619">
      <c r="BZ619" s="2"/>
      <c r="CA619" s="2"/>
      <c r="CB619" s="2"/>
      <c r="CC619" s="2"/>
    </row>
    <row r="620">
      <c r="BZ620" s="2"/>
      <c r="CA620" s="2"/>
      <c r="CB620" s="2"/>
      <c r="CC620" s="2"/>
    </row>
    <row r="621">
      <c r="BZ621" s="2"/>
      <c r="CA621" s="2"/>
      <c r="CB621" s="2"/>
      <c r="CC621" s="2"/>
    </row>
    <row r="622">
      <c r="BZ622" s="2"/>
      <c r="CA622" s="2"/>
      <c r="CB622" s="2"/>
      <c r="CC622" s="2"/>
    </row>
    <row r="623">
      <c r="BZ623" s="2"/>
      <c r="CA623" s="2"/>
      <c r="CB623" s="2"/>
      <c r="CC623" s="2"/>
    </row>
    <row r="624">
      <c r="BZ624" s="2"/>
      <c r="CA624" s="2"/>
      <c r="CB624" s="2"/>
      <c r="CC624" s="2"/>
    </row>
    <row r="625">
      <c r="BZ625" s="2"/>
      <c r="CA625" s="2"/>
      <c r="CB625" s="2"/>
      <c r="CC625" s="2"/>
    </row>
    <row r="626">
      <c r="BZ626" s="2"/>
      <c r="CA626" s="2"/>
      <c r="CB626" s="2"/>
      <c r="CC626" s="2"/>
    </row>
    <row r="627">
      <c r="BZ627" s="2"/>
      <c r="CA627" s="2"/>
      <c r="CB627" s="2"/>
      <c r="CC627" s="2"/>
    </row>
    <row r="628">
      <c r="BZ628" s="2"/>
      <c r="CA628" s="2"/>
      <c r="CB628" s="2"/>
      <c r="CC628" s="2"/>
    </row>
    <row r="629">
      <c r="BZ629" s="2"/>
      <c r="CA629" s="2"/>
      <c r="CB629" s="2"/>
      <c r="CC629" s="2"/>
    </row>
    <row r="630">
      <c r="BZ630" s="2"/>
      <c r="CA630" s="2"/>
      <c r="CB630" s="2"/>
      <c r="CC630" s="2"/>
    </row>
    <row r="631">
      <c r="BZ631" s="2"/>
      <c r="CA631" s="2"/>
      <c r="CB631" s="2"/>
      <c r="CC631" s="2"/>
    </row>
    <row r="632">
      <c r="BZ632" s="2"/>
      <c r="CA632" s="2"/>
      <c r="CB632" s="2"/>
      <c r="CC632" s="2"/>
    </row>
    <row r="633">
      <c r="BZ633" s="2"/>
      <c r="CA633" s="2"/>
      <c r="CB633" s="2"/>
      <c r="CC633" s="2"/>
    </row>
    <row r="634">
      <c r="BZ634" s="2"/>
      <c r="CA634" s="2"/>
      <c r="CB634" s="2"/>
      <c r="CC634" s="2"/>
    </row>
    <row r="635">
      <c r="BZ635" s="2"/>
      <c r="CA635" s="2"/>
      <c r="CB635" s="2"/>
      <c r="CC635" s="2"/>
    </row>
    <row r="636">
      <c r="BZ636" s="2"/>
      <c r="CA636" s="2"/>
      <c r="CB636" s="2"/>
      <c r="CC636" s="2"/>
    </row>
    <row r="637">
      <c r="BZ637" s="2"/>
      <c r="CA637" s="2"/>
      <c r="CB637" s="2"/>
      <c r="CC637" s="2"/>
    </row>
    <row r="638">
      <c r="BZ638" s="2"/>
      <c r="CA638" s="2"/>
      <c r="CB638" s="2"/>
      <c r="CC638" s="2"/>
    </row>
    <row r="639">
      <c r="BZ639" s="2"/>
      <c r="CA639" s="2"/>
      <c r="CB639" s="2"/>
      <c r="CC639" s="2"/>
    </row>
    <row r="640">
      <c r="BZ640" s="2"/>
      <c r="CA640" s="2"/>
      <c r="CB640" s="2"/>
      <c r="CC640" s="2"/>
    </row>
    <row r="641">
      <c r="BZ641" s="2"/>
      <c r="CA641" s="2"/>
      <c r="CB641" s="2"/>
      <c r="CC641" s="2"/>
    </row>
    <row r="642">
      <c r="BZ642" s="2"/>
      <c r="CA642" s="2"/>
      <c r="CB642" s="2"/>
      <c r="CC642" s="2"/>
    </row>
    <row r="643">
      <c r="BZ643" s="2"/>
      <c r="CA643" s="2"/>
      <c r="CB643" s="2"/>
      <c r="CC643" s="2"/>
    </row>
    <row r="644">
      <c r="BZ644" s="2"/>
      <c r="CA644" s="2"/>
      <c r="CB644" s="2"/>
      <c r="CC644" s="2"/>
    </row>
    <row r="645">
      <c r="BZ645" s="2"/>
      <c r="CA645" s="2"/>
      <c r="CB645" s="2"/>
      <c r="CC645" s="2"/>
    </row>
    <row r="646">
      <c r="BZ646" s="2"/>
      <c r="CA646" s="2"/>
      <c r="CB646" s="2"/>
      <c r="CC646" s="2"/>
    </row>
    <row r="647">
      <c r="BZ647" s="2"/>
      <c r="CA647" s="2"/>
      <c r="CB647" s="2"/>
      <c r="CC647" s="2"/>
    </row>
    <row r="648">
      <c r="BZ648" s="2"/>
      <c r="CA648" s="2"/>
      <c r="CB648" s="2"/>
      <c r="CC648" s="2"/>
    </row>
    <row r="649">
      <c r="BZ649" s="2"/>
      <c r="CA649" s="2"/>
      <c r="CB649" s="2"/>
      <c r="CC649" s="2"/>
    </row>
    <row r="650">
      <c r="BZ650" s="2"/>
      <c r="CA650" s="2"/>
      <c r="CB650" s="2"/>
      <c r="CC650" s="2"/>
    </row>
    <row r="651">
      <c r="BZ651" s="2"/>
      <c r="CA651" s="2"/>
      <c r="CB651" s="2"/>
      <c r="CC651" s="2"/>
    </row>
    <row r="652">
      <c r="BZ652" s="2"/>
      <c r="CA652" s="2"/>
      <c r="CB652" s="2"/>
      <c r="CC652" s="2"/>
    </row>
    <row r="653">
      <c r="BZ653" s="2"/>
      <c r="CA653" s="2"/>
      <c r="CB653" s="2"/>
      <c r="CC653" s="2"/>
    </row>
    <row r="654">
      <c r="BZ654" s="2"/>
      <c r="CA654" s="2"/>
      <c r="CB654" s="2"/>
      <c r="CC654" s="2"/>
    </row>
    <row r="655">
      <c r="BZ655" s="2"/>
      <c r="CA655" s="2"/>
      <c r="CB655" s="2"/>
      <c r="CC655" s="2"/>
    </row>
    <row r="656">
      <c r="BZ656" s="2"/>
      <c r="CA656" s="2"/>
      <c r="CB656" s="2"/>
      <c r="CC656" s="2"/>
    </row>
    <row r="657">
      <c r="BZ657" s="2"/>
      <c r="CA657" s="2"/>
      <c r="CB657" s="2"/>
      <c r="CC657" s="2"/>
    </row>
    <row r="658">
      <c r="BZ658" s="2"/>
      <c r="CA658" s="2"/>
      <c r="CB658" s="2"/>
      <c r="CC658" s="2"/>
    </row>
    <row r="659">
      <c r="BZ659" s="2"/>
      <c r="CA659" s="2"/>
      <c r="CB659" s="2"/>
      <c r="CC659" s="2"/>
    </row>
    <row r="660">
      <c r="BZ660" s="2"/>
      <c r="CA660" s="2"/>
      <c r="CB660" s="2"/>
      <c r="CC660" s="2"/>
    </row>
    <row r="661">
      <c r="BZ661" s="2"/>
      <c r="CA661" s="2"/>
      <c r="CB661" s="2"/>
      <c r="CC661" s="2"/>
    </row>
    <row r="662">
      <c r="BZ662" s="2"/>
      <c r="CA662" s="2"/>
      <c r="CB662" s="2"/>
      <c r="CC662" s="2"/>
    </row>
    <row r="663">
      <c r="BZ663" s="2"/>
      <c r="CA663" s="2"/>
      <c r="CB663" s="2"/>
      <c r="CC663" s="2"/>
    </row>
    <row r="664">
      <c r="BZ664" s="2"/>
      <c r="CA664" s="2"/>
      <c r="CB664" s="2"/>
      <c r="CC664" s="2"/>
    </row>
    <row r="665">
      <c r="BZ665" s="2"/>
      <c r="CA665" s="2"/>
      <c r="CB665" s="2"/>
      <c r="CC665" s="2"/>
    </row>
    <row r="666">
      <c r="BZ666" s="2"/>
      <c r="CA666" s="2"/>
      <c r="CB666" s="2"/>
      <c r="CC666" s="2"/>
    </row>
    <row r="667">
      <c r="BZ667" s="2"/>
      <c r="CA667" s="2"/>
      <c r="CB667" s="2"/>
      <c r="CC667" s="2"/>
    </row>
    <row r="668">
      <c r="BZ668" s="2"/>
      <c r="CA668" s="2"/>
      <c r="CB668" s="2"/>
      <c r="CC668" s="2"/>
    </row>
    <row r="669">
      <c r="BZ669" s="2"/>
      <c r="CA669" s="2"/>
      <c r="CB669" s="2"/>
      <c r="CC669" s="2"/>
    </row>
    <row r="670">
      <c r="BZ670" s="2"/>
      <c r="CA670" s="2"/>
      <c r="CB670" s="2"/>
      <c r="CC670" s="2"/>
    </row>
    <row r="671">
      <c r="BZ671" s="2"/>
      <c r="CA671" s="2"/>
      <c r="CB671" s="2"/>
      <c r="CC671" s="2"/>
    </row>
    <row r="672">
      <c r="BZ672" s="2"/>
      <c r="CA672" s="2"/>
      <c r="CB672" s="2"/>
      <c r="CC672" s="2"/>
    </row>
    <row r="673">
      <c r="BZ673" s="2"/>
      <c r="CA673" s="2"/>
      <c r="CB673" s="2"/>
      <c r="CC673" s="2"/>
    </row>
    <row r="674">
      <c r="BZ674" s="2"/>
      <c r="CA674" s="2"/>
      <c r="CB674" s="2"/>
      <c r="CC674" s="2"/>
    </row>
    <row r="675">
      <c r="BZ675" s="2"/>
      <c r="CA675" s="2"/>
      <c r="CB675" s="2"/>
      <c r="CC675" s="2"/>
    </row>
    <row r="676">
      <c r="BZ676" s="2"/>
      <c r="CA676" s="2"/>
      <c r="CB676" s="2"/>
      <c r="CC676" s="2"/>
    </row>
    <row r="677">
      <c r="BZ677" s="2"/>
      <c r="CA677" s="2"/>
      <c r="CB677" s="2"/>
      <c r="CC677" s="2"/>
    </row>
    <row r="678">
      <c r="BZ678" s="2"/>
      <c r="CA678" s="2"/>
      <c r="CB678" s="2"/>
      <c r="CC678" s="2"/>
    </row>
    <row r="679">
      <c r="BZ679" s="2"/>
      <c r="CA679" s="2"/>
      <c r="CB679" s="2"/>
      <c r="CC679" s="2"/>
    </row>
    <row r="680">
      <c r="BZ680" s="2"/>
      <c r="CA680" s="2"/>
      <c r="CB680" s="2"/>
      <c r="CC680" s="2"/>
    </row>
    <row r="681">
      <c r="BZ681" s="2"/>
      <c r="CA681" s="2"/>
      <c r="CB681" s="2"/>
      <c r="CC681" s="2"/>
    </row>
    <row r="682">
      <c r="BZ682" s="2"/>
      <c r="CA682" s="2"/>
      <c r="CB682" s="2"/>
      <c r="CC682" s="2"/>
    </row>
    <row r="683">
      <c r="BZ683" s="2"/>
      <c r="CA683" s="2"/>
      <c r="CB683" s="2"/>
      <c r="CC683" s="2"/>
    </row>
    <row r="684">
      <c r="BZ684" s="2"/>
      <c r="CA684" s="2"/>
      <c r="CB684" s="2"/>
      <c r="CC684" s="2"/>
    </row>
    <row r="685">
      <c r="BZ685" s="2"/>
      <c r="CA685" s="2"/>
      <c r="CB685" s="2"/>
      <c r="CC685" s="2"/>
    </row>
    <row r="686">
      <c r="BZ686" s="2"/>
      <c r="CA686" s="2"/>
      <c r="CB686" s="2"/>
      <c r="CC686" s="2"/>
    </row>
    <row r="687">
      <c r="BZ687" s="2"/>
      <c r="CA687" s="2"/>
      <c r="CB687" s="2"/>
      <c r="CC687" s="2"/>
    </row>
    <row r="688">
      <c r="BZ688" s="2"/>
      <c r="CA688" s="2"/>
      <c r="CB688" s="2"/>
      <c r="CC688" s="2"/>
    </row>
    <row r="689">
      <c r="BZ689" s="2"/>
      <c r="CA689" s="2"/>
      <c r="CB689" s="2"/>
      <c r="CC689" s="2"/>
    </row>
    <row r="690">
      <c r="BZ690" s="2"/>
      <c r="CA690" s="2"/>
      <c r="CB690" s="2"/>
      <c r="CC690" s="2"/>
    </row>
    <row r="691">
      <c r="BZ691" s="2"/>
      <c r="CA691" s="2"/>
      <c r="CB691" s="2"/>
      <c r="CC691" s="2"/>
    </row>
    <row r="692">
      <c r="BZ692" s="2"/>
      <c r="CA692" s="2"/>
      <c r="CB692" s="2"/>
      <c r="CC692" s="2"/>
    </row>
    <row r="693">
      <c r="BZ693" s="2"/>
      <c r="CA693" s="2"/>
      <c r="CB693" s="2"/>
      <c r="CC693" s="2"/>
    </row>
    <row r="694">
      <c r="BZ694" s="2"/>
      <c r="CA694" s="2"/>
      <c r="CB694" s="2"/>
      <c r="CC694" s="2"/>
    </row>
    <row r="695">
      <c r="BZ695" s="2"/>
      <c r="CA695" s="2"/>
      <c r="CB695" s="2"/>
      <c r="CC695" s="2"/>
    </row>
    <row r="696">
      <c r="BZ696" s="2"/>
      <c r="CA696" s="2"/>
      <c r="CB696" s="2"/>
      <c r="CC696" s="2"/>
    </row>
    <row r="697">
      <c r="BZ697" s="2"/>
      <c r="CA697" s="2"/>
      <c r="CB697" s="2"/>
      <c r="CC697" s="2"/>
    </row>
    <row r="698">
      <c r="BZ698" s="2"/>
      <c r="CA698" s="2"/>
      <c r="CB698" s="2"/>
      <c r="CC698" s="2"/>
    </row>
    <row r="699">
      <c r="BZ699" s="2"/>
      <c r="CA699" s="2"/>
      <c r="CB699" s="2"/>
      <c r="CC699" s="2"/>
    </row>
    <row r="700">
      <c r="BZ700" s="2"/>
      <c r="CA700" s="2"/>
      <c r="CB700" s="2"/>
      <c r="CC700" s="2"/>
    </row>
    <row r="701">
      <c r="BZ701" s="2"/>
      <c r="CA701" s="2"/>
      <c r="CB701" s="2"/>
      <c r="CC701" s="2"/>
    </row>
    <row r="702">
      <c r="BZ702" s="2"/>
      <c r="CA702" s="2"/>
      <c r="CB702" s="2"/>
      <c r="CC702" s="2"/>
    </row>
    <row r="703">
      <c r="BZ703" s="2"/>
      <c r="CA703" s="2"/>
      <c r="CB703" s="2"/>
      <c r="CC703" s="2"/>
    </row>
    <row r="704">
      <c r="BZ704" s="2"/>
      <c r="CA704" s="2"/>
      <c r="CB704" s="2"/>
      <c r="CC704" s="2"/>
    </row>
    <row r="705">
      <c r="BZ705" s="2"/>
      <c r="CA705" s="2"/>
      <c r="CB705" s="2"/>
      <c r="CC705" s="2"/>
    </row>
    <row r="706">
      <c r="BZ706" s="2"/>
      <c r="CA706" s="2"/>
      <c r="CB706" s="2"/>
      <c r="CC706" s="2"/>
    </row>
    <row r="707">
      <c r="BZ707" s="2"/>
      <c r="CA707" s="2"/>
      <c r="CB707" s="2"/>
      <c r="CC707" s="2"/>
    </row>
    <row r="708">
      <c r="BZ708" s="2"/>
      <c r="CA708" s="2"/>
      <c r="CB708" s="2"/>
      <c r="CC708" s="2"/>
    </row>
    <row r="709">
      <c r="BZ709" s="2"/>
      <c r="CA709" s="2"/>
      <c r="CB709" s="2"/>
      <c r="CC709" s="2"/>
    </row>
    <row r="710">
      <c r="BZ710" s="2"/>
      <c r="CA710" s="2"/>
      <c r="CB710" s="2"/>
      <c r="CC710" s="2"/>
    </row>
    <row r="711">
      <c r="BZ711" s="2"/>
      <c r="CA711" s="2"/>
      <c r="CB711" s="2"/>
      <c r="CC711" s="2"/>
    </row>
    <row r="712">
      <c r="BZ712" s="2"/>
      <c r="CA712" s="2"/>
      <c r="CB712" s="2"/>
      <c r="CC712" s="2"/>
    </row>
  </sheetData>
  <mergeCells count="1">
    <mergeCell ref="CH2:EC2"/>
  </mergeCells>
  <conditionalFormatting sqref="C49:BJ52 BL49:DS52 DT49:DU55 DV49:EC52 BL54:BL60 BM54 BS54:BX54 BM59:BX60">
    <cfRule type="cellIs" dxfId="0" priority="1" operator="greaterThan">
      <formula>0.5</formula>
    </cfRule>
  </conditionalFormatting>
  <conditionalFormatting sqref="C65:BJ65 BL65:EC65">
    <cfRule type="cellIs" dxfId="0" priority="2" operator="greaterThan">
      <formula>0.2</formula>
    </cfRule>
  </conditionalFormatting>
  <conditionalFormatting sqref="C63:BJ63 BL63:EC63">
    <cfRule type="cellIs" dxfId="1" priority="3" operator="greaterThan">
      <formula>0.6</formula>
    </cfRule>
  </conditionalFormatting>
  <conditionalFormatting sqref="C64:BJ64 BL64:EC64">
    <cfRule type="cellIs" dxfId="1" priority="4" operator="greaterThan">
      <formula>0.35</formula>
    </cfRule>
  </conditionalFormatting>
  <conditionalFormatting sqref="AA76:BJ79 BL76:CF79 CT76:EC79 CG77:CS77 CG79:CS79">
    <cfRule type="cellIs" dxfId="0" priority="5" operator="greaterThan">
      <formula>150</formula>
    </cfRule>
  </conditionalFormatting>
  <conditionalFormatting sqref="AA81:BJ82 BL81:EC82">
    <cfRule type="expression" dxfId="0" priority="6">
      <formula>if</formula>
    </cfRule>
  </conditionalFormatting>
  <conditionalFormatting sqref="AY127:BF127">
    <cfRule type="cellIs" dxfId="0" priority="7" operator="greaterThan">
      <formula>0</formula>
    </cfRule>
  </conditionalFormatting>
  <conditionalFormatting sqref="AY127:BF127">
    <cfRule type="cellIs" dxfId="2" priority="8" operator="lessThan">
      <formula>0</formula>
    </cfRule>
  </conditionalFormatting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 outlineLevelRow="1"/>
  <cols>
    <col customWidth="1" min="1" max="1" width="31.86"/>
    <col customWidth="1" min="2" max="2" width="11.14"/>
    <col customWidth="1" min="3" max="9" width="10.29"/>
    <col customWidth="1" min="10" max="10" width="12.0"/>
    <col customWidth="1" min="11" max="11" width="11.14"/>
    <col customWidth="1" min="12" max="12" width="10.29"/>
    <col customWidth="1" min="13" max="13" width="12.0"/>
    <col customWidth="1" min="14" max="15" width="11.14"/>
    <col customWidth="1" min="16" max="17" width="10.29"/>
    <col customWidth="1" min="18" max="19" width="11.14"/>
    <col customWidth="1" min="20" max="20" width="10.29"/>
    <col customWidth="1" min="21" max="21" width="11.14"/>
    <col customWidth="1" min="22" max="22" width="10.29"/>
    <col customWidth="1" min="23" max="37" width="12.0"/>
  </cols>
  <sheetData>
    <row r="1">
      <c r="A1" s="271" t="s">
        <v>223</v>
      </c>
    </row>
    <row r="2">
      <c r="A2" s="271" t="s">
        <v>224</v>
      </c>
    </row>
    <row r="3">
      <c r="A3" s="272" t="s">
        <v>225</v>
      </c>
    </row>
    <row r="5">
      <c r="A5" s="12"/>
      <c r="B5" s="273" t="s">
        <v>226</v>
      </c>
      <c r="C5" s="273" t="s">
        <v>227</v>
      </c>
      <c r="D5" s="273" t="s">
        <v>228</v>
      </c>
      <c r="E5" s="273" t="s">
        <v>229</v>
      </c>
      <c r="F5" s="273" t="s">
        <v>230</v>
      </c>
      <c r="G5" s="273" t="s">
        <v>231</v>
      </c>
      <c r="H5" s="273" t="s">
        <v>232</v>
      </c>
      <c r="I5" s="273" t="s">
        <v>233</v>
      </c>
      <c r="J5" s="273" t="s">
        <v>234</v>
      </c>
      <c r="K5" s="273" t="s">
        <v>235</v>
      </c>
      <c r="L5" s="273" t="s">
        <v>236</v>
      </c>
      <c r="M5" s="273" t="s">
        <v>237</v>
      </c>
      <c r="N5" s="273" t="s">
        <v>238</v>
      </c>
      <c r="O5" s="273" t="s">
        <v>239</v>
      </c>
      <c r="P5" s="273" t="s">
        <v>240</v>
      </c>
      <c r="Q5" s="273" t="s">
        <v>241</v>
      </c>
      <c r="R5" s="273" t="s">
        <v>242</v>
      </c>
      <c r="S5" s="273" t="s">
        <v>243</v>
      </c>
      <c r="T5" s="273" t="s">
        <v>244</v>
      </c>
      <c r="U5" s="273" t="s">
        <v>245</v>
      </c>
      <c r="V5" s="273" t="s">
        <v>246</v>
      </c>
      <c r="W5" s="273" t="s">
        <v>247</v>
      </c>
      <c r="X5" s="273" t="s">
        <v>248</v>
      </c>
      <c r="Y5" s="273" t="s">
        <v>249</v>
      </c>
      <c r="Z5" s="273" t="s">
        <v>250</v>
      </c>
      <c r="AA5" s="273" t="s">
        <v>251</v>
      </c>
      <c r="AB5" s="273" t="s">
        <v>252</v>
      </c>
      <c r="AC5" s="273" t="s">
        <v>253</v>
      </c>
      <c r="AD5" s="273" t="s">
        <v>254</v>
      </c>
      <c r="AE5" s="273" t="s">
        <v>255</v>
      </c>
      <c r="AF5" s="273" t="s">
        <v>256</v>
      </c>
      <c r="AG5" s="273" t="s">
        <v>257</v>
      </c>
      <c r="AH5" s="273" t="s">
        <v>258</v>
      </c>
      <c r="AI5" s="273" t="s">
        <v>259</v>
      </c>
      <c r="AJ5" s="273" t="s">
        <v>260</v>
      </c>
      <c r="AK5" s="273" t="s">
        <v>261</v>
      </c>
    </row>
    <row r="6" outlineLevel="1">
      <c r="A6" s="32" t="s">
        <v>262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</row>
    <row r="7" outlineLevel="1">
      <c r="A7" s="32" t="s">
        <v>263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</row>
    <row r="8" outlineLevel="1">
      <c r="A8" s="32" t="s">
        <v>264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274">
        <f>0</f>
        <v>0</v>
      </c>
      <c r="R8" s="33"/>
      <c r="S8" s="33"/>
      <c r="T8" s="33"/>
      <c r="U8" s="33"/>
      <c r="V8" s="33"/>
      <c r="W8" s="274">
        <f>0.01</f>
        <v>0.01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</row>
    <row r="9" outlineLevel="1">
      <c r="A9" s="32" t="s">
        <v>265</v>
      </c>
      <c r="B9" s="275">
        <f t="shared" ref="B9:AK9" si="1">(B7)+(B8)</f>
        <v>0</v>
      </c>
      <c r="C9" s="275">
        <f t="shared" si="1"/>
        <v>0</v>
      </c>
      <c r="D9" s="275">
        <f t="shared" si="1"/>
        <v>0</v>
      </c>
      <c r="E9" s="275">
        <f t="shared" si="1"/>
        <v>0</v>
      </c>
      <c r="F9" s="275">
        <f t="shared" si="1"/>
        <v>0</v>
      </c>
      <c r="G9" s="275">
        <f t="shared" si="1"/>
        <v>0</v>
      </c>
      <c r="H9" s="275">
        <f t="shared" si="1"/>
        <v>0</v>
      </c>
      <c r="I9" s="275">
        <f t="shared" si="1"/>
        <v>0</v>
      </c>
      <c r="J9" s="275">
        <f t="shared" si="1"/>
        <v>0</v>
      </c>
      <c r="K9" s="275">
        <f t="shared" si="1"/>
        <v>0</v>
      </c>
      <c r="L9" s="275">
        <f t="shared" si="1"/>
        <v>0</v>
      </c>
      <c r="M9" s="275">
        <f t="shared" si="1"/>
        <v>0</v>
      </c>
      <c r="N9" s="275">
        <f t="shared" si="1"/>
        <v>0</v>
      </c>
      <c r="O9" s="275">
        <f t="shared" si="1"/>
        <v>0</v>
      </c>
      <c r="P9" s="275">
        <f t="shared" si="1"/>
        <v>0</v>
      </c>
      <c r="Q9" s="275">
        <f t="shared" si="1"/>
        <v>0</v>
      </c>
      <c r="R9" s="275">
        <f t="shared" si="1"/>
        <v>0</v>
      </c>
      <c r="S9" s="275">
        <f t="shared" si="1"/>
        <v>0</v>
      </c>
      <c r="T9" s="275">
        <f t="shared" si="1"/>
        <v>0</v>
      </c>
      <c r="U9" s="275">
        <f t="shared" si="1"/>
        <v>0</v>
      </c>
      <c r="V9" s="275">
        <f t="shared" si="1"/>
        <v>0</v>
      </c>
      <c r="W9" s="275">
        <f t="shared" si="1"/>
        <v>0.01</v>
      </c>
      <c r="X9" s="275">
        <f t="shared" si="1"/>
        <v>0</v>
      </c>
      <c r="Y9" s="275">
        <f t="shared" si="1"/>
        <v>0</v>
      </c>
      <c r="Z9" s="275">
        <f t="shared" si="1"/>
        <v>0</v>
      </c>
      <c r="AA9" s="275">
        <f t="shared" si="1"/>
        <v>0</v>
      </c>
      <c r="AB9" s="275">
        <f t="shared" si="1"/>
        <v>0</v>
      </c>
      <c r="AC9" s="275">
        <f t="shared" si="1"/>
        <v>0</v>
      </c>
      <c r="AD9" s="275">
        <f t="shared" si="1"/>
        <v>0</v>
      </c>
      <c r="AE9" s="275">
        <f t="shared" si="1"/>
        <v>0</v>
      </c>
      <c r="AF9" s="275">
        <f t="shared" si="1"/>
        <v>0</v>
      </c>
      <c r="AG9" s="275">
        <f t="shared" si="1"/>
        <v>0</v>
      </c>
      <c r="AH9" s="275">
        <f t="shared" si="1"/>
        <v>0</v>
      </c>
      <c r="AI9" s="275">
        <f t="shared" si="1"/>
        <v>0</v>
      </c>
      <c r="AJ9" s="275">
        <f t="shared" si="1"/>
        <v>0</v>
      </c>
      <c r="AK9" s="275">
        <f t="shared" si="1"/>
        <v>0</v>
      </c>
    </row>
    <row r="10" outlineLevel="1">
      <c r="A10" s="32" t="s">
        <v>266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</row>
    <row r="11" outlineLevel="1">
      <c r="A11" s="32" t="s">
        <v>267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274">
        <f>-721.28</f>
        <v>-721.28</v>
      </c>
      <c r="AE11" s="33"/>
      <c r="AF11" s="33"/>
      <c r="AG11" s="33"/>
      <c r="AH11" s="33"/>
      <c r="AI11" s="33"/>
      <c r="AJ11" s="33"/>
      <c r="AK11" s="33"/>
    </row>
    <row r="12" outlineLevel="1">
      <c r="A12" s="32" t="s">
        <v>269</v>
      </c>
      <c r="B12" s="274">
        <f>56041.38</f>
        <v>56041.38</v>
      </c>
      <c r="C12" s="274">
        <f>227996</f>
        <v>227996</v>
      </c>
      <c r="D12" s="274">
        <f>214966</f>
        <v>214966</v>
      </c>
      <c r="E12" s="274">
        <f>161125</f>
        <v>161125</v>
      </c>
      <c r="F12" s="274">
        <f>181193</f>
        <v>181193</v>
      </c>
      <c r="G12" s="274">
        <f>145339.99</f>
        <v>145339.99</v>
      </c>
      <c r="H12" s="274">
        <f>271695</f>
        <v>271695</v>
      </c>
      <c r="I12" s="274">
        <f>336060</f>
        <v>336060</v>
      </c>
      <c r="J12" s="274">
        <f>162930.04</f>
        <v>162930.04</v>
      </c>
      <c r="K12" s="274">
        <f>232449.04</f>
        <v>232449.04</v>
      </c>
      <c r="L12" s="274">
        <f>543826.12</f>
        <v>543826.12</v>
      </c>
      <c r="M12" s="274">
        <f>309727</f>
        <v>309727</v>
      </c>
      <c r="N12" s="274">
        <f>289275.68</f>
        <v>289275.68</v>
      </c>
      <c r="O12" s="274">
        <f>163101.62</f>
        <v>163101.62</v>
      </c>
      <c r="P12" s="274">
        <f>739670</f>
        <v>739670</v>
      </c>
      <c r="Q12" s="274">
        <f>468185.69</f>
        <v>468185.69</v>
      </c>
      <c r="R12" s="274">
        <f>401156.02</f>
        <v>401156.02</v>
      </c>
      <c r="S12" s="274">
        <f>268821.81</f>
        <v>268821.81</v>
      </c>
      <c r="T12" s="274">
        <f>548943.63</f>
        <v>548943.63</v>
      </c>
      <c r="U12" s="274">
        <f>507759</f>
        <v>507759</v>
      </c>
      <c r="V12" s="274">
        <f>919047.6</f>
        <v>919047.6</v>
      </c>
      <c r="W12" s="274">
        <f>1129362.63</f>
        <v>1129362.63</v>
      </c>
      <c r="X12" s="274">
        <f>1594835.28</f>
        <v>1594835.28</v>
      </c>
      <c r="Y12" s="274">
        <f>1625275.75</f>
        <v>1625275.75</v>
      </c>
      <c r="Z12" s="274">
        <f>1084010.42</f>
        <v>1084010.42</v>
      </c>
      <c r="AA12" s="274">
        <f>1066033.61</f>
        <v>1066033.61</v>
      </c>
      <c r="AB12" s="274">
        <f>994271.59</f>
        <v>994271.59</v>
      </c>
      <c r="AC12" s="274">
        <f>985636.02</f>
        <v>985636.02</v>
      </c>
      <c r="AD12" s="274">
        <f>1925523.08</f>
        <v>1925523.08</v>
      </c>
      <c r="AE12" s="274">
        <f>1946034.11</f>
        <v>1946034.11</v>
      </c>
      <c r="AF12" s="274">
        <f>1803897.19</f>
        <v>1803897.19</v>
      </c>
      <c r="AG12" s="274">
        <f>1622101.34</f>
        <v>1622101.34</v>
      </c>
      <c r="AH12" s="274">
        <f>1896536.52</f>
        <v>1896536.52</v>
      </c>
      <c r="AI12" s="274">
        <f>1943150.37</f>
        <v>1943150.37</v>
      </c>
      <c r="AJ12" s="274">
        <f>1758440.52</f>
        <v>1758440.52</v>
      </c>
      <c r="AK12" s="274">
        <f>2627573.17</f>
        <v>2627573.17</v>
      </c>
    </row>
    <row r="13" outlineLevel="1">
      <c r="A13" s="32" t="s">
        <v>270</v>
      </c>
      <c r="B13" s="275">
        <f t="shared" ref="B13:AK13" si="2">((B10)+(B11))+(B12)</f>
        <v>56041.38</v>
      </c>
      <c r="C13" s="275">
        <f t="shared" si="2"/>
        <v>227996</v>
      </c>
      <c r="D13" s="275">
        <f t="shared" si="2"/>
        <v>214966</v>
      </c>
      <c r="E13" s="275">
        <f t="shared" si="2"/>
        <v>161125</v>
      </c>
      <c r="F13" s="275">
        <f t="shared" si="2"/>
        <v>181193</v>
      </c>
      <c r="G13" s="275">
        <f t="shared" si="2"/>
        <v>145339.99</v>
      </c>
      <c r="H13" s="275">
        <f t="shared" si="2"/>
        <v>271695</v>
      </c>
      <c r="I13" s="275">
        <f t="shared" si="2"/>
        <v>336060</v>
      </c>
      <c r="J13" s="275">
        <f t="shared" si="2"/>
        <v>162930.04</v>
      </c>
      <c r="K13" s="275">
        <f t="shared" si="2"/>
        <v>232449.04</v>
      </c>
      <c r="L13" s="275">
        <f t="shared" si="2"/>
        <v>543826.12</v>
      </c>
      <c r="M13" s="275">
        <f t="shared" si="2"/>
        <v>309727</v>
      </c>
      <c r="N13" s="275">
        <f t="shared" si="2"/>
        <v>289275.68</v>
      </c>
      <c r="O13" s="275">
        <f t="shared" si="2"/>
        <v>163101.62</v>
      </c>
      <c r="P13" s="275">
        <f t="shared" si="2"/>
        <v>739670</v>
      </c>
      <c r="Q13" s="275">
        <f t="shared" si="2"/>
        <v>468185.69</v>
      </c>
      <c r="R13" s="275">
        <f t="shared" si="2"/>
        <v>401156.02</v>
      </c>
      <c r="S13" s="275">
        <f t="shared" si="2"/>
        <v>268821.81</v>
      </c>
      <c r="T13" s="275">
        <f t="shared" si="2"/>
        <v>548943.63</v>
      </c>
      <c r="U13" s="275">
        <f t="shared" si="2"/>
        <v>507759</v>
      </c>
      <c r="V13" s="275">
        <f t="shared" si="2"/>
        <v>919047.6</v>
      </c>
      <c r="W13" s="275">
        <f t="shared" si="2"/>
        <v>1129362.63</v>
      </c>
      <c r="X13" s="275">
        <f t="shared" si="2"/>
        <v>1594835.28</v>
      </c>
      <c r="Y13" s="275">
        <f t="shared" si="2"/>
        <v>1625275.75</v>
      </c>
      <c r="Z13" s="275">
        <f t="shared" si="2"/>
        <v>1084010.42</v>
      </c>
      <c r="AA13" s="275">
        <f t="shared" si="2"/>
        <v>1066033.61</v>
      </c>
      <c r="AB13" s="275">
        <f t="shared" si="2"/>
        <v>994271.59</v>
      </c>
      <c r="AC13" s="275">
        <f t="shared" si="2"/>
        <v>985636.02</v>
      </c>
      <c r="AD13" s="275">
        <f t="shared" si="2"/>
        <v>1924801.8</v>
      </c>
      <c r="AE13" s="275">
        <f t="shared" si="2"/>
        <v>1946034.11</v>
      </c>
      <c r="AF13" s="275">
        <f t="shared" si="2"/>
        <v>1803897.19</v>
      </c>
      <c r="AG13" s="275">
        <f t="shared" si="2"/>
        <v>1622101.34</v>
      </c>
      <c r="AH13" s="275">
        <f t="shared" si="2"/>
        <v>1896536.52</v>
      </c>
      <c r="AI13" s="275">
        <f t="shared" si="2"/>
        <v>1943150.37</v>
      </c>
      <c r="AJ13" s="275">
        <f t="shared" si="2"/>
        <v>1758440.52</v>
      </c>
      <c r="AK13" s="275">
        <f t="shared" si="2"/>
        <v>2627573.17</v>
      </c>
    </row>
    <row r="14" outlineLevel="1">
      <c r="A14" s="32" t="s">
        <v>271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</row>
    <row r="15" outlineLevel="1">
      <c r="A15" s="32" t="s">
        <v>272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274">
        <f>5980.8</f>
        <v>5980.8</v>
      </c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</row>
    <row r="16" outlineLevel="1">
      <c r="A16" s="32" t="s">
        <v>273</v>
      </c>
      <c r="B16" s="275">
        <f t="shared" ref="B16:AK16" si="3">(B14)+(B15)</f>
        <v>0</v>
      </c>
      <c r="C16" s="275">
        <f t="shared" si="3"/>
        <v>0</v>
      </c>
      <c r="D16" s="275">
        <f t="shared" si="3"/>
        <v>0</v>
      </c>
      <c r="E16" s="275">
        <f t="shared" si="3"/>
        <v>0</v>
      </c>
      <c r="F16" s="275">
        <f t="shared" si="3"/>
        <v>0</v>
      </c>
      <c r="G16" s="275">
        <f t="shared" si="3"/>
        <v>0</v>
      </c>
      <c r="H16" s="275">
        <f t="shared" si="3"/>
        <v>0</v>
      </c>
      <c r="I16" s="275">
        <f t="shared" si="3"/>
        <v>0</v>
      </c>
      <c r="J16" s="275">
        <f t="shared" si="3"/>
        <v>0</v>
      </c>
      <c r="K16" s="275">
        <f t="shared" si="3"/>
        <v>0</v>
      </c>
      <c r="L16" s="275">
        <f t="shared" si="3"/>
        <v>0</v>
      </c>
      <c r="M16" s="275">
        <f t="shared" si="3"/>
        <v>5980.8</v>
      </c>
      <c r="N16" s="275">
        <f t="shared" si="3"/>
        <v>0</v>
      </c>
      <c r="O16" s="275">
        <f t="shared" si="3"/>
        <v>0</v>
      </c>
      <c r="P16" s="275">
        <f t="shared" si="3"/>
        <v>0</v>
      </c>
      <c r="Q16" s="275">
        <f t="shared" si="3"/>
        <v>0</v>
      </c>
      <c r="R16" s="275">
        <f t="shared" si="3"/>
        <v>0</v>
      </c>
      <c r="S16" s="275">
        <f t="shared" si="3"/>
        <v>0</v>
      </c>
      <c r="T16" s="275">
        <f t="shared" si="3"/>
        <v>0</v>
      </c>
      <c r="U16" s="275">
        <f t="shared" si="3"/>
        <v>0</v>
      </c>
      <c r="V16" s="275">
        <f t="shared" si="3"/>
        <v>0</v>
      </c>
      <c r="W16" s="275">
        <f t="shared" si="3"/>
        <v>0</v>
      </c>
      <c r="X16" s="275">
        <f t="shared" si="3"/>
        <v>0</v>
      </c>
      <c r="Y16" s="275">
        <f t="shared" si="3"/>
        <v>0</v>
      </c>
      <c r="Z16" s="275">
        <f t="shared" si="3"/>
        <v>0</v>
      </c>
      <c r="AA16" s="275">
        <f t="shared" si="3"/>
        <v>0</v>
      </c>
      <c r="AB16" s="275">
        <f t="shared" si="3"/>
        <v>0</v>
      </c>
      <c r="AC16" s="275">
        <f t="shared" si="3"/>
        <v>0</v>
      </c>
      <c r="AD16" s="275">
        <f t="shared" si="3"/>
        <v>0</v>
      </c>
      <c r="AE16" s="275">
        <f t="shared" si="3"/>
        <v>0</v>
      </c>
      <c r="AF16" s="275">
        <f t="shared" si="3"/>
        <v>0</v>
      </c>
      <c r="AG16" s="275">
        <f t="shared" si="3"/>
        <v>0</v>
      </c>
      <c r="AH16" s="275">
        <f t="shared" si="3"/>
        <v>0</v>
      </c>
      <c r="AI16" s="275">
        <f t="shared" si="3"/>
        <v>0</v>
      </c>
      <c r="AJ16" s="275">
        <f t="shared" si="3"/>
        <v>0</v>
      </c>
      <c r="AK16" s="275">
        <f t="shared" si="3"/>
        <v>0</v>
      </c>
    </row>
    <row r="17">
      <c r="A17" s="32" t="s">
        <v>275</v>
      </c>
      <c r="B17" s="275">
        <f t="shared" ref="B17:AK17" si="4">((B9)+(B13))+(B16)</f>
        <v>56041.38</v>
      </c>
      <c r="C17" s="275">
        <f t="shared" si="4"/>
        <v>227996</v>
      </c>
      <c r="D17" s="275">
        <f t="shared" si="4"/>
        <v>214966</v>
      </c>
      <c r="E17" s="275">
        <f t="shared" si="4"/>
        <v>161125</v>
      </c>
      <c r="F17" s="275">
        <f t="shared" si="4"/>
        <v>181193</v>
      </c>
      <c r="G17" s="275">
        <f t="shared" si="4"/>
        <v>145339.99</v>
      </c>
      <c r="H17" s="275">
        <f t="shared" si="4"/>
        <v>271695</v>
      </c>
      <c r="I17" s="275">
        <f t="shared" si="4"/>
        <v>336060</v>
      </c>
      <c r="J17" s="275">
        <f t="shared" si="4"/>
        <v>162930.04</v>
      </c>
      <c r="K17" s="275">
        <f t="shared" si="4"/>
        <v>232449.04</v>
      </c>
      <c r="L17" s="275">
        <f t="shared" si="4"/>
        <v>543826.12</v>
      </c>
      <c r="M17" s="275">
        <f t="shared" si="4"/>
        <v>315707.8</v>
      </c>
      <c r="N17" s="275">
        <f t="shared" si="4"/>
        <v>289275.68</v>
      </c>
      <c r="O17" s="275">
        <f t="shared" si="4"/>
        <v>163101.62</v>
      </c>
      <c r="P17" s="275">
        <f t="shared" si="4"/>
        <v>739670</v>
      </c>
      <c r="Q17" s="275">
        <f t="shared" si="4"/>
        <v>468185.69</v>
      </c>
      <c r="R17" s="275">
        <f t="shared" si="4"/>
        <v>401156.02</v>
      </c>
      <c r="S17" s="275">
        <f t="shared" si="4"/>
        <v>268821.81</v>
      </c>
      <c r="T17" s="275">
        <f t="shared" si="4"/>
        <v>548943.63</v>
      </c>
      <c r="U17" s="275">
        <f t="shared" si="4"/>
        <v>507759</v>
      </c>
      <c r="V17" s="275">
        <f t="shared" si="4"/>
        <v>919047.6</v>
      </c>
      <c r="W17" s="275">
        <f t="shared" si="4"/>
        <v>1129362.64</v>
      </c>
      <c r="X17" s="275">
        <f t="shared" si="4"/>
        <v>1594835.28</v>
      </c>
      <c r="Y17" s="275">
        <f t="shared" si="4"/>
        <v>1625275.75</v>
      </c>
      <c r="Z17" s="275">
        <f t="shared" si="4"/>
        <v>1084010.42</v>
      </c>
      <c r="AA17" s="275">
        <f t="shared" si="4"/>
        <v>1066033.61</v>
      </c>
      <c r="AB17" s="275">
        <f t="shared" si="4"/>
        <v>994271.59</v>
      </c>
      <c r="AC17" s="275">
        <f t="shared" si="4"/>
        <v>985636.02</v>
      </c>
      <c r="AD17" s="275">
        <f t="shared" si="4"/>
        <v>1924801.8</v>
      </c>
      <c r="AE17" s="275">
        <f t="shared" si="4"/>
        <v>1946034.11</v>
      </c>
      <c r="AF17" s="275">
        <f t="shared" si="4"/>
        <v>1803897.19</v>
      </c>
      <c r="AG17" s="275">
        <f t="shared" si="4"/>
        <v>1622101.34</v>
      </c>
      <c r="AH17" s="275">
        <f t="shared" si="4"/>
        <v>1896536.52</v>
      </c>
      <c r="AI17" s="275">
        <f t="shared" si="4"/>
        <v>1943150.37</v>
      </c>
      <c r="AJ17" s="275">
        <f t="shared" si="4"/>
        <v>1758440.52</v>
      </c>
      <c r="AK17" s="275">
        <f t="shared" si="4"/>
        <v>2627573.17</v>
      </c>
    </row>
    <row r="18">
      <c r="A18" s="32" t="s">
        <v>276</v>
      </c>
      <c r="B18" s="275">
        <f t="shared" ref="B18:AK18" si="5">(B17)-(0)</f>
        <v>56041.38</v>
      </c>
      <c r="C18" s="275">
        <f t="shared" si="5"/>
        <v>227996</v>
      </c>
      <c r="D18" s="275">
        <f t="shared" si="5"/>
        <v>214966</v>
      </c>
      <c r="E18" s="275">
        <f t="shared" si="5"/>
        <v>161125</v>
      </c>
      <c r="F18" s="275">
        <f t="shared" si="5"/>
        <v>181193</v>
      </c>
      <c r="G18" s="275">
        <f t="shared" si="5"/>
        <v>145339.99</v>
      </c>
      <c r="H18" s="275">
        <f t="shared" si="5"/>
        <v>271695</v>
      </c>
      <c r="I18" s="275">
        <f t="shared" si="5"/>
        <v>336060</v>
      </c>
      <c r="J18" s="275">
        <f t="shared" si="5"/>
        <v>162930.04</v>
      </c>
      <c r="K18" s="275">
        <f t="shared" si="5"/>
        <v>232449.04</v>
      </c>
      <c r="L18" s="275">
        <f t="shared" si="5"/>
        <v>543826.12</v>
      </c>
      <c r="M18" s="275">
        <f t="shared" si="5"/>
        <v>315707.8</v>
      </c>
      <c r="N18" s="275">
        <f t="shared" si="5"/>
        <v>289275.68</v>
      </c>
      <c r="O18" s="275">
        <f t="shared" si="5"/>
        <v>163101.62</v>
      </c>
      <c r="P18" s="275">
        <f t="shared" si="5"/>
        <v>739670</v>
      </c>
      <c r="Q18" s="275">
        <f t="shared" si="5"/>
        <v>468185.69</v>
      </c>
      <c r="R18" s="275">
        <f t="shared" si="5"/>
        <v>401156.02</v>
      </c>
      <c r="S18" s="275">
        <f t="shared" si="5"/>
        <v>268821.81</v>
      </c>
      <c r="T18" s="275">
        <f t="shared" si="5"/>
        <v>548943.63</v>
      </c>
      <c r="U18" s="275">
        <f t="shared" si="5"/>
        <v>507759</v>
      </c>
      <c r="V18" s="275">
        <f t="shared" si="5"/>
        <v>919047.6</v>
      </c>
      <c r="W18" s="275">
        <f t="shared" si="5"/>
        <v>1129362.64</v>
      </c>
      <c r="X18" s="275">
        <f t="shared" si="5"/>
        <v>1594835.28</v>
      </c>
      <c r="Y18" s="275">
        <f t="shared" si="5"/>
        <v>1625275.75</v>
      </c>
      <c r="Z18" s="275">
        <f t="shared" si="5"/>
        <v>1084010.42</v>
      </c>
      <c r="AA18" s="275">
        <f t="shared" si="5"/>
        <v>1066033.61</v>
      </c>
      <c r="AB18" s="275">
        <f t="shared" si="5"/>
        <v>994271.59</v>
      </c>
      <c r="AC18" s="275">
        <f t="shared" si="5"/>
        <v>985636.02</v>
      </c>
      <c r="AD18" s="275">
        <f t="shared" si="5"/>
        <v>1924801.8</v>
      </c>
      <c r="AE18" s="275">
        <f t="shared" si="5"/>
        <v>1946034.11</v>
      </c>
      <c r="AF18" s="275">
        <f t="shared" si="5"/>
        <v>1803897.19</v>
      </c>
      <c r="AG18" s="275">
        <f t="shared" si="5"/>
        <v>1622101.34</v>
      </c>
      <c r="AH18" s="275">
        <f t="shared" si="5"/>
        <v>1896536.52</v>
      </c>
      <c r="AI18" s="275">
        <f t="shared" si="5"/>
        <v>1943150.37</v>
      </c>
      <c r="AJ18" s="275">
        <f t="shared" si="5"/>
        <v>1758440.52</v>
      </c>
      <c r="AK18" s="275">
        <f t="shared" si="5"/>
        <v>2627573.17</v>
      </c>
    </row>
    <row r="19" hidden="1" outlineLevel="1">
      <c r="A19" s="32" t="s">
        <v>277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</row>
    <row r="20" hidden="1" outlineLevel="1">
      <c r="A20" s="32" t="s">
        <v>278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</row>
    <row r="21" ht="15.75" hidden="1" customHeight="1" outlineLevel="1">
      <c r="A21" s="32" t="s">
        <v>279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</row>
    <row r="22" ht="15.75" hidden="1" customHeight="1" outlineLevel="1">
      <c r="A22" s="32" t="s">
        <v>280</v>
      </c>
      <c r="B22" s="274">
        <f>405.78</f>
        <v>405.78</v>
      </c>
      <c r="C22" s="274">
        <f>278.94</f>
        <v>278.94</v>
      </c>
      <c r="D22" s="274">
        <f>90.5</f>
        <v>90.5</v>
      </c>
      <c r="E22" s="274">
        <f>409.94</f>
        <v>409.94</v>
      </c>
      <c r="F22" s="274">
        <f>64.75</f>
        <v>64.75</v>
      </c>
      <c r="G22" s="274">
        <f>62.75</f>
        <v>62.75</v>
      </c>
      <c r="H22" s="274">
        <f>105.66</f>
        <v>105.66</v>
      </c>
      <c r="I22" s="274">
        <f>130.94</f>
        <v>130.94</v>
      </c>
      <c r="J22" s="274">
        <f>137.94</f>
        <v>137.94</v>
      </c>
      <c r="K22" s="274">
        <f>181.63</f>
        <v>181.63</v>
      </c>
      <c r="L22" s="274">
        <f>179.63</f>
        <v>179.63</v>
      </c>
      <c r="M22" s="274">
        <f>249.76</f>
        <v>249.76</v>
      </c>
      <c r="N22" s="274">
        <f>215.57</f>
        <v>215.57</v>
      </c>
      <c r="O22" s="274">
        <f>363.38</f>
        <v>363.38</v>
      </c>
      <c r="P22" s="274">
        <f>4341.05</f>
        <v>4341.05</v>
      </c>
      <c r="Q22" s="274">
        <f>460.21</f>
        <v>460.21</v>
      </c>
      <c r="R22" s="274">
        <f>163.38</f>
        <v>163.38</v>
      </c>
      <c r="S22" s="274">
        <f>182.51</f>
        <v>182.51</v>
      </c>
      <c r="T22" s="274">
        <f>212.19</f>
        <v>212.19</v>
      </c>
      <c r="U22" s="274">
        <f>213.19</f>
        <v>213.19</v>
      </c>
      <c r="V22" s="274">
        <f>10</f>
        <v>10</v>
      </c>
      <c r="W22" s="274">
        <f>217.19</f>
        <v>217.19</v>
      </c>
      <c r="X22" s="274">
        <f>9</f>
        <v>9</v>
      </c>
      <c r="Y22" s="274">
        <f>251.06</f>
        <v>251.06</v>
      </c>
      <c r="Z22" s="274">
        <f>245.54</f>
        <v>245.54</v>
      </c>
      <c r="AA22" s="274">
        <f>170</f>
        <v>170</v>
      </c>
      <c r="AB22" s="274">
        <f>302.05</f>
        <v>302.05</v>
      </c>
      <c r="AC22" s="274">
        <f>323</f>
        <v>323</v>
      </c>
      <c r="AD22" s="274">
        <f>287.05</f>
        <v>287.05</v>
      </c>
      <c r="AE22" s="274">
        <f>3383.11</f>
        <v>3383.11</v>
      </c>
      <c r="AF22" s="274">
        <f>242.06</f>
        <v>242.06</v>
      </c>
      <c r="AG22" s="274">
        <f>474.31</f>
        <v>474.31</v>
      </c>
      <c r="AH22" s="274">
        <f>264.31</f>
        <v>264.31</v>
      </c>
      <c r="AI22" s="274">
        <f>466.7</f>
        <v>466.7</v>
      </c>
      <c r="AJ22" s="274">
        <f>479</f>
        <v>479</v>
      </c>
      <c r="AK22" s="274">
        <f>297.31</f>
        <v>297.31</v>
      </c>
    </row>
    <row r="23" ht="15.75" hidden="1" customHeight="1" outlineLevel="1">
      <c r="A23" s="32" t="s">
        <v>281</v>
      </c>
      <c r="B23" s="274">
        <f>1040</f>
        <v>1040</v>
      </c>
      <c r="C23" s="274">
        <f>1000</f>
        <v>1000</v>
      </c>
      <c r="D23" s="33"/>
      <c r="E23" s="33"/>
      <c r="F23" s="33"/>
      <c r="G23" s="33"/>
      <c r="H23" s="274">
        <f>1576.08</f>
        <v>1576.08</v>
      </c>
      <c r="I23" s="274">
        <f>500</f>
        <v>500</v>
      </c>
      <c r="J23" s="33"/>
      <c r="K23" s="33"/>
      <c r="L23" s="33"/>
      <c r="M23" s="33"/>
      <c r="N23" s="33"/>
      <c r="O23" s="274">
        <f>10050</f>
        <v>10050</v>
      </c>
      <c r="P23" s="33"/>
      <c r="Q23" s="274">
        <f>2896.61</f>
        <v>2896.61</v>
      </c>
      <c r="R23" s="33"/>
      <c r="S23" s="33"/>
      <c r="T23" s="274">
        <f>1215.4</f>
        <v>1215.4</v>
      </c>
      <c r="U23" s="274">
        <f>1220</f>
        <v>1220</v>
      </c>
      <c r="V23" s="33"/>
      <c r="W23" s="274">
        <f>3204.99</f>
        <v>3204.99</v>
      </c>
      <c r="X23" s="274">
        <f>404.99</f>
        <v>404.99</v>
      </c>
      <c r="Y23" s="274">
        <f>2759.98</f>
        <v>2759.98</v>
      </c>
      <c r="Z23" s="274">
        <f>100</f>
        <v>100</v>
      </c>
      <c r="AA23" s="274">
        <f>1009.98</f>
        <v>1009.98</v>
      </c>
      <c r="AB23" s="33"/>
      <c r="AC23" s="33"/>
      <c r="AD23" s="274">
        <f>3919</f>
        <v>3919</v>
      </c>
      <c r="AE23" s="274">
        <f>14526</f>
        <v>14526</v>
      </c>
      <c r="AF23" s="274">
        <f>1289</f>
        <v>1289</v>
      </c>
      <c r="AG23" s="33"/>
      <c r="AH23" s="274">
        <f>15000</f>
        <v>15000</v>
      </c>
      <c r="AI23" s="274">
        <f>1500</f>
        <v>1500</v>
      </c>
      <c r="AJ23" s="274">
        <f>13050</f>
        <v>13050</v>
      </c>
      <c r="AK23" s="274">
        <f>6828.3</f>
        <v>6828.3</v>
      </c>
    </row>
    <row r="24" ht="15.75" hidden="1" customHeight="1" outlineLevel="1">
      <c r="A24" s="32" t="s">
        <v>282</v>
      </c>
      <c r="B24" s="274">
        <f>41735.92</f>
        <v>41735.92</v>
      </c>
      <c r="C24" s="274">
        <f>31124.28</f>
        <v>31124.28</v>
      </c>
      <c r="D24" s="274">
        <f>44665</f>
        <v>44665</v>
      </c>
      <c r="E24" s="274">
        <f>44140</f>
        <v>44140</v>
      </c>
      <c r="F24" s="274">
        <f>42105</f>
        <v>42105</v>
      </c>
      <c r="G24" s="274">
        <f>37740</f>
        <v>37740</v>
      </c>
      <c r="H24" s="274">
        <f>44050</f>
        <v>44050</v>
      </c>
      <c r="I24" s="274">
        <f>64506.12</f>
        <v>64506.12</v>
      </c>
      <c r="J24" s="274">
        <f>45200</f>
        <v>45200</v>
      </c>
      <c r="K24" s="274">
        <f>45890</f>
        <v>45890</v>
      </c>
      <c r="L24" s="274">
        <f>53158.75</f>
        <v>53158.75</v>
      </c>
      <c r="M24" s="274">
        <f>109140</f>
        <v>109140</v>
      </c>
      <c r="N24" s="274">
        <f>60701.25</f>
        <v>60701.25</v>
      </c>
      <c r="O24" s="274">
        <f>40313.83</f>
        <v>40313.83</v>
      </c>
      <c r="P24" s="274">
        <f>58521.25</f>
        <v>58521.25</v>
      </c>
      <c r="Q24" s="274">
        <f>23000</f>
        <v>23000</v>
      </c>
      <c r="R24" s="274">
        <f>5392.95</f>
        <v>5392.95</v>
      </c>
      <c r="S24" s="274">
        <f>50540</f>
        <v>50540</v>
      </c>
      <c r="T24" s="274">
        <f>52510.5</f>
        <v>52510.5</v>
      </c>
      <c r="U24" s="274">
        <f>63216</f>
        <v>63216</v>
      </c>
      <c r="V24" s="274">
        <f>23604</f>
        <v>23604</v>
      </c>
      <c r="W24" s="274">
        <f>47594</f>
        <v>47594</v>
      </c>
      <c r="X24" s="274">
        <f>62780</f>
        <v>62780</v>
      </c>
      <c r="Y24" s="274">
        <f>133340.25</f>
        <v>133340.25</v>
      </c>
      <c r="Z24" s="274">
        <f>53661.86</f>
        <v>53661.86</v>
      </c>
      <c r="AA24" s="274">
        <f>101695</f>
        <v>101695</v>
      </c>
      <c r="AB24" s="274">
        <f>115258.23</f>
        <v>115258.23</v>
      </c>
      <c r="AC24" s="274">
        <f>240358</f>
        <v>240358</v>
      </c>
      <c r="AD24" s="274">
        <f>78431.47</f>
        <v>78431.47</v>
      </c>
      <c r="AE24" s="274">
        <f>101358.45</f>
        <v>101358.45</v>
      </c>
      <c r="AF24" s="274">
        <f>117509.75</f>
        <v>117509.75</v>
      </c>
      <c r="AG24" s="274">
        <f>205604</f>
        <v>205604</v>
      </c>
      <c r="AH24" s="274">
        <f>75330.12</f>
        <v>75330.12</v>
      </c>
      <c r="AI24" s="274">
        <f>138684.26</f>
        <v>138684.26</v>
      </c>
      <c r="AJ24" s="274">
        <f>196979</f>
        <v>196979</v>
      </c>
      <c r="AK24" s="274">
        <f>128666.83</f>
        <v>128666.83</v>
      </c>
    </row>
    <row r="25" ht="15.75" hidden="1" customHeight="1" outlineLevel="1">
      <c r="A25" s="32" t="s">
        <v>283</v>
      </c>
      <c r="B25" s="33"/>
      <c r="C25" s="33"/>
      <c r="D25" s="33"/>
      <c r="E25" s="33"/>
      <c r="F25" s="33"/>
      <c r="G25" s="33"/>
      <c r="H25" s="274">
        <f>9225.12</f>
        <v>9225.12</v>
      </c>
      <c r="I25" s="33"/>
      <c r="J25" s="33"/>
      <c r="K25" s="274">
        <f>2435</f>
        <v>2435</v>
      </c>
      <c r="L25" s="274">
        <f>-2435</f>
        <v>-2435</v>
      </c>
      <c r="M25" s="33"/>
      <c r="N25" s="33"/>
      <c r="O25" s="33"/>
      <c r="P25" s="274">
        <f>1107.92</f>
        <v>1107.92</v>
      </c>
      <c r="Q25" s="274">
        <f t="shared" ref="Q25:T25" si="6">1071.92</f>
        <v>1071.92</v>
      </c>
      <c r="R25" s="274">
        <f t="shared" si="6"/>
        <v>1071.92</v>
      </c>
      <c r="S25" s="274">
        <f t="shared" si="6"/>
        <v>1071.92</v>
      </c>
      <c r="T25" s="274">
        <f t="shared" si="6"/>
        <v>1071.92</v>
      </c>
      <c r="U25" s="274">
        <f>9649.62</f>
        <v>9649.62</v>
      </c>
      <c r="V25" s="274">
        <f>12917.02</f>
        <v>12917.02</v>
      </c>
      <c r="W25" s="274">
        <f>1512.35</f>
        <v>1512.35</v>
      </c>
      <c r="X25" s="274">
        <f>5758.35</f>
        <v>5758.35</v>
      </c>
      <c r="Y25" s="274">
        <f>1090.84</f>
        <v>1090.84</v>
      </c>
      <c r="Z25" s="274">
        <f>1122.17</f>
        <v>1122.17</v>
      </c>
      <c r="AA25" s="274">
        <f>3297.79</f>
        <v>3297.79</v>
      </c>
      <c r="AB25" s="274">
        <f t="shared" ref="AB25:AC25" si="7">2434.79</f>
        <v>2434.79</v>
      </c>
      <c r="AC25" s="274">
        <f t="shared" si="7"/>
        <v>2434.79</v>
      </c>
      <c r="AD25" s="274">
        <f>6348.79</f>
        <v>6348.79</v>
      </c>
      <c r="AE25" s="274">
        <f>2434.79</f>
        <v>2434.79</v>
      </c>
      <c r="AF25" s="274">
        <f>31027.09</f>
        <v>31027.09</v>
      </c>
      <c r="AG25" s="274">
        <f>2643.37</f>
        <v>2643.37</v>
      </c>
      <c r="AH25" s="274">
        <f>3710.2</f>
        <v>3710.2</v>
      </c>
      <c r="AI25" s="274">
        <f t="shared" ref="AI25:AJ25" si="8">4408.28</f>
        <v>4408.28</v>
      </c>
      <c r="AJ25" s="274">
        <f t="shared" si="8"/>
        <v>4408.28</v>
      </c>
      <c r="AK25" s="274">
        <f>9249.84</f>
        <v>9249.84</v>
      </c>
    </row>
    <row r="26" ht="15.75" hidden="1" customHeight="1" outlineLevel="1">
      <c r="A26" s="32" t="s">
        <v>284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274">
        <f>2393.06</f>
        <v>2393.06</v>
      </c>
      <c r="Q26" s="33"/>
      <c r="R26" s="274">
        <f>5069.79</f>
        <v>5069.79</v>
      </c>
      <c r="S26" s="274">
        <f>2339.16</f>
        <v>2339.16</v>
      </c>
      <c r="T26" s="33"/>
      <c r="U26" s="33"/>
      <c r="V26" s="274">
        <f>7172.13</f>
        <v>7172.13</v>
      </c>
      <c r="W26" s="274">
        <f>2263.7</f>
        <v>2263.7</v>
      </c>
      <c r="X26" s="274">
        <f>2339.15</f>
        <v>2339.15</v>
      </c>
      <c r="Y26" s="274">
        <f>2263.69</f>
        <v>2263.69</v>
      </c>
      <c r="Z26" s="274">
        <f>3839.15</f>
        <v>3839.15</v>
      </c>
      <c r="AA26" s="274">
        <f>2339.15</f>
        <v>2339.15</v>
      </c>
      <c r="AB26" s="33"/>
      <c r="AC26" s="33"/>
      <c r="AD26" s="33"/>
      <c r="AE26" s="274">
        <f>7.25</f>
        <v>7.25</v>
      </c>
      <c r="AF26" s="33"/>
      <c r="AG26" s="33"/>
      <c r="AH26" s="33"/>
      <c r="AI26" s="274">
        <f>3075.13</f>
        <v>3075.13</v>
      </c>
      <c r="AJ26" s="274">
        <f>6477.94</f>
        <v>6477.94</v>
      </c>
      <c r="AK26" s="33"/>
    </row>
    <row r="27" ht="15.75" hidden="1" customHeight="1" outlineLevel="1">
      <c r="A27" s="32" t="s">
        <v>285</v>
      </c>
      <c r="B27" s="33"/>
      <c r="C27" s="274">
        <f>-1805.19</f>
        <v>-1805.19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</row>
    <row r="28" ht="15.75" hidden="1" customHeight="1" outlineLevel="1">
      <c r="A28" s="32" t="s">
        <v>286</v>
      </c>
      <c r="B28" s="274">
        <f>598</f>
        <v>598</v>
      </c>
      <c r="C28" s="274">
        <f>820.64</f>
        <v>820.64</v>
      </c>
      <c r="D28" s="274">
        <f>14.02</f>
        <v>14.02</v>
      </c>
      <c r="E28" s="274">
        <f>-92.73</f>
        <v>-92.73</v>
      </c>
      <c r="F28" s="274">
        <f>2790.5</f>
        <v>2790.5</v>
      </c>
      <c r="G28" s="274">
        <f>5093.09</f>
        <v>5093.09</v>
      </c>
      <c r="H28" s="274">
        <f>5227.25</f>
        <v>5227.25</v>
      </c>
      <c r="I28" s="274">
        <f>9650.13</f>
        <v>9650.13</v>
      </c>
      <c r="J28" s="274">
        <f>9033</f>
        <v>9033</v>
      </c>
      <c r="K28" s="274">
        <f>11851.81</f>
        <v>11851.81</v>
      </c>
      <c r="L28" s="274">
        <f>5926.12</f>
        <v>5926.12</v>
      </c>
      <c r="M28" s="274">
        <f>7173.32</f>
        <v>7173.32</v>
      </c>
      <c r="N28" s="274">
        <f>8364.62</f>
        <v>8364.62</v>
      </c>
      <c r="O28" s="33"/>
      <c r="P28" s="274">
        <f>13991</f>
        <v>13991</v>
      </c>
      <c r="Q28" s="33"/>
      <c r="R28" s="274">
        <f>1000</f>
        <v>1000</v>
      </c>
      <c r="S28" s="33"/>
      <c r="T28" s="274">
        <f>770</f>
        <v>770</v>
      </c>
      <c r="U28" s="274">
        <f>9299.75</f>
        <v>9299.75</v>
      </c>
      <c r="V28" s="274">
        <f>21348.05</f>
        <v>21348.05</v>
      </c>
      <c r="W28" s="274">
        <f>7066</f>
        <v>7066</v>
      </c>
      <c r="X28" s="274">
        <f>5877.25</f>
        <v>5877.25</v>
      </c>
      <c r="Y28" s="274">
        <f>2254</f>
        <v>2254</v>
      </c>
      <c r="Z28" s="274">
        <f>6284.38</f>
        <v>6284.38</v>
      </c>
      <c r="AA28" s="274">
        <f>9927</f>
        <v>9927</v>
      </c>
      <c r="AB28" s="274">
        <f>1226</f>
        <v>1226</v>
      </c>
      <c r="AC28" s="274">
        <f>3220</f>
        <v>3220</v>
      </c>
      <c r="AD28" s="274">
        <f>16592.5</f>
        <v>16592.5</v>
      </c>
      <c r="AE28" s="274">
        <f>5115</f>
        <v>5115</v>
      </c>
      <c r="AF28" s="274">
        <f>8812</f>
        <v>8812</v>
      </c>
      <c r="AG28" s="33"/>
      <c r="AH28" s="274">
        <f>15308</f>
        <v>15308</v>
      </c>
      <c r="AI28" s="274">
        <f>7410</f>
        <v>7410</v>
      </c>
      <c r="AJ28" s="274">
        <f>5572</f>
        <v>5572</v>
      </c>
      <c r="AK28" s="274">
        <f>113.8</f>
        <v>113.8</v>
      </c>
    </row>
    <row r="29" ht="15.75" hidden="1" customHeight="1" outlineLevel="1">
      <c r="A29" s="32" t="s">
        <v>287</v>
      </c>
      <c r="B29" s="274">
        <f>5461.73</f>
        <v>5461.73</v>
      </c>
      <c r="C29" s="274">
        <f>8035.69</f>
        <v>8035.69</v>
      </c>
      <c r="D29" s="274">
        <f>5230.65</f>
        <v>5230.65</v>
      </c>
      <c r="E29" s="274">
        <f>9420.22</f>
        <v>9420.22</v>
      </c>
      <c r="F29" s="274">
        <f>4440.56</f>
        <v>4440.56</v>
      </c>
      <c r="G29" s="274">
        <f>6876.79</f>
        <v>6876.79</v>
      </c>
      <c r="H29" s="274">
        <f>13812.07</f>
        <v>13812.07</v>
      </c>
      <c r="I29" s="274">
        <f>21325.13</f>
        <v>21325.13</v>
      </c>
      <c r="J29" s="274">
        <f>21988.51</f>
        <v>21988.51</v>
      </c>
      <c r="K29" s="274">
        <f>12984.28</f>
        <v>12984.28</v>
      </c>
      <c r="L29" s="274">
        <f>7085.65</f>
        <v>7085.65</v>
      </c>
      <c r="M29" s="274">
        <f>16289.1</f>
        <v>16289.1</v>
      </c>
      <c r="N29" s="274">
        <f>19673.61</f>
        <v>19673.61</v>
      </c>
      <c r="O29" s="274">
        <f>20470.28</f>
        <v>20470.28</v>
      </c>
      <c r="P29" s="274">
        <f>24184.66</f>
        <v>24184.66</v>
      </c>
      <c r="Q29" s="274">
        <f>15479.22</f>
        <v>15479.22</v>
      </c>
      <c r="R29" s="274">
        <f>14823.73</f>
        <v>14823.73</v>
      </c>
      <c r="S29" s="274">
        <f>20121.86</f>
        <v>20121.86</v>
      </c>
      <c r="T29" s="274">
        <f>34506.19</f>
        <v>34506.19</v>
      </c>
      <c r="U29" s="274">
        <f>32525.05</f>
        <v>32525.05</v>
      </c>
      <c r="V29" s="274">
        <f>32433.77</f>
        <v>32433.77</v>
      </c>
      <c r="W29" s="274">
        <f>33035.01</f>
        <v>33035.01</v>
      </c>
      <c r="X29" s="274">
        <f>52786.27</f>
        <v>52786.27</v>
      </c>
      <c r="Y29" s="274">
        <f>65036.17</f>
        <v>65036.17</v>
      </c>
      <c r="Z29" s="274">
        <f>32041.87</f>
        <v>32041.87</v>
      </c>
      <c r="AA29" s="274">
        <f>70080.7</f>
        <v>70080.7</v>
      </c>
      <c r="AB29" s="274">
        <f>31463.19</f>
        <v>31463.19</v>
      </c>
      <c r="AC29" s="274">
        <f>37990.16</f>
        <v>37990.16</v>
      </c>
      <c r="AD29" s="274">
        <f>43952.22</f>
        <v>43952.22</v>
      </c>
      <c r="AE29" s="274">
        <f>40531.34</f>
        <v>40531.34</v>
      </c>
      <c r="AF29" s="274">
        <f>40169.99</f>
        <v>40169.99</v>
      </c>
      <c r="AG29" s="274">
        <f>54697.79</f>
        <v>54697.79</v>
      </c>
      <c r="AH29" s="274">
        <f>73004.32</f>
        <v>73004.32</v>
      </c>
      <c r="AI29" s="274">
        <f>42426.02</f>
        <v>42426.02</v>
      </c>
      <c r="AJ29" s="274">
        <f>86058.8</f>
        <v>86058.8</v>
      </c>
      <c r="AK29" s="274">
        <f>53150.76</f>
        <v>53150.76</v>
      </c>
    </row>
    <row r="30" ht="15.75" hidden="1" customHeight="1" outlineLevel="1">
      <c r="A30" s="32" t="s">
        <v>288</v>
      </c>
      <c r="B30" s="33"/>
      <c r="C30" s="33"/>
      <c r="D30" s="33"/>
      <c r="E30" s="274">
        <f>319.92</f>
        <v>319.92</v>
      </c>
      <c r="F30" s="33"/>
      <c r="G30" s="33"/>
      <c r="H30" s="33"/>
      <c r="I30" s="33"/>
      <c r="J30" s="33"/>
      <c r="K30" s="33"/>
      <c r="L30" s="274">
        <f>39.99</f>
        <v>39.99</v>
      </c>
      <c r="M30" s="33"/>
      <c r="N30" s="33"/>
      <c r="O30" s="274">
        <f>99.95</f>
        <v>99.95</v>
      </c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</row>
    <row r="31" ht="15.75" hidden="1" customHeight="1" outlineLevel="1">
      <c r="A31" s="32" t="s">
        <v>289</v>
      </c>
      <c r="B31" s="33"/>
      <c r="C31" s="33"/>
      <c r="D31" s="33"/>
      <c r="E31" s="33"/>
      <c r="F31" s="33"/>
      <c r="G31" s="33"/>
      <c r="H31" s="33"/>
      <c r="I31" s="33"/>
      <c r="J31" s="274">
        <f>561</f>
        <v>561</v>
      </c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</row>
    <row r="32" ht="15.75" hidden="1" customHeight="1" outlineLevel="1">
      <c r="A32" s="32" t="s">
        <v>290</v>
      </c>
      <c r="B32" s="274">
        <f>3340</f>
        <v>3340</v>
      </c>
      <c r="C32" s="33"/>
      <c r="D32" s="274">
        <f>16985</f>
        <v>16985</v>
      </c>
      <c r="E32" s="274">
        <f>5320</f>
        <v>5320</v>
      </c>
      <c r="F32" s="274">
        <f>5345</f>
        <v>5345</v>
      </c>
      <c r="G32" s="274">
        <f t="shared" ref="G32:H32" si="9">5320</f>
        <v>5320</v>
      </c>
      <c r="H32" s="274">
        <f t="shared" si="9"/>
        <v>5320</v>
      </c>
      <c r="I32" s="274">
        <f>9930</f>
        <v>9930</v>
      </c>
      <c r="J32" s="274">
        <f>250</f>
        <v>250</v>
      </c>
      <c r="K32" s="274">
        <f>14778.37</f>
        <v>14778.37</v>
      </c>
      <c r="L32" s="274">
        <f t="shared" ref="L32:M32" si="10">4000</f>
        <v>4000</v>
      </c>
      <c r="M32" s="274">
        <f t="shared" si="10"/>
        <v>4000</v>
      </c>
      <c r="N32" s="274">
        <f>8000</f>
        <v>8000</v>
      </c>
      <c r="O32" s="274">
        <f>10717.56</f>
        <v>10717.56</v>
      </c>
      <c r="P32" s="274">
        <f>11550</f>
        <v>11550</v>
      </c>
      <c r="Q32" s="274">
        <f t="shared" ref="Q32:S32" si="11">7050</f>
        <v>7050</v>
      </c>
      <c r="R32" s="274">
        <f t="shared" si="11"/>
        <v>7050</v>
      </c>
      <c r="S32" s="274">
        <f t="shared" si="11"/>
        <v>7050</v>
      </c>
      <c r="T32" s="274">
        <f>3380.6</f>
        <v>3380.6</v>
      </c>
      <c r="U32" s="274">
        <f>27880.6</f>
        <v>27880.6</v>
      </c>
      <c r="V32" s="274">
        <f>25830.6</f>
        <v>25830.6</v>
      </c>
      <c r="W32" s="274">
        <f t="shared" ref="W32:X32" si="12">20830.6</f>
        <v>20830.6</v>
      </c>
      <c r="X32" s="274">
        <f t="shared" si="12"/>
        <v>20830.6</v>
      </c>
      <c r="Y32" s="274">
        <f>55408.87</f>
        <v>55408.87</v>
      </c>
      <c r="Z32" s="274">
        <f>32533.87</f>
        <v>32533.87</v>
      </c>
      <c r="AA32" s="274">
        <f>33440</f>
        <v>33440</v>
      </c>
      <c r="AB32" s="274">
        <f>41816.34</f>
        <v>41816.34</v>
      </c>
      <c r="AC32" s="274">
        <f>37709.5</f>
        <v>37709.5</v>
      </c>
      <c r="AD32" s="274">
        <f>47868.47</f>
        <v>47868.47</v>
      </c>
      <c r="AE32" s="274">
        <f>49719.93</f>
        <v>49719.93</v>
      </c>
      <c r="AF32" s="274">
        <f>59747.84</f>
        <v>59747.84</v>
      </c>
      <c r="AG32" s="274">
        <f>64181.24</f>
        <v>64181.24</v>
      </c>
      <c r="AH32" s="274">
        <f>64782.55</f>
        <v>64782.55</v>
      </c>
      <c r="AI32" s="274">
        <f>54408.04</f>
        <v>54408.04</v>
      </c>
      <c r="AJ32" s="274">
        <f>94100.38</f>
        <v>94100.38</v>
      </c>
      <c r="AK32" s="274">
        <f>54277.1</f>
        <v>54277.1</v>
      </c>
    </row>
    <row r="33" ht="15.75" hidden="1" customHeight="1" outlineLevel="1">
      <c r="A33" s="32" t="s">
        <v>291</v>
      </c>
      <c r="B33" s="33"/>
      <c r="C33" s="33"/>
      <c r="D33" s="33"/>
      <c r="E33" s="274">
        <f>340</f>
        <v>340</v>
      </c>
      <c r="F33" s="33"/>
      <c r="G33" s="33"/>
      <c r="H33" s="274">
        <f>46500</f>
        <v>46500</v>
      </c>
      <c r="I33" s="33"/>
      <c r="J33" s="274">
        <f>4000</f>
        <v>4000</v>
      </c>
      <c r="K33" s="33"/>
      <c r="L33" s="274">
        <f>698.96</f>
        <v>698.96</v>
      </c>
      <c r="M33" s="33"/>
      <c r="N33" s="274">
        <f>500</f>
        <v>500</v>
      </c>
      <c r="O33" s="274">
        <f>-701.64</f>
        <v>-701.64</v>
      </c>
      <c r="P33" s="274">
        <f>500.95</f>
        <v>500.95</v>
      </c>
      <c r="Q33" s="274">
        <f>136</f>
        <v>136</v>
      </c>
      <c r="R33" s="274">
        <f>129604.05</f>
        <v>129604.05</v>
      </c>
      <c r="S33" s="274">
        <f>85</f>
        <v>85</v>
      </c>
      <c r="T33" s="33"/>
      <c r="U33" s="274">
        <f>32.46</f>
        <v>32.46</v>
      </c>
      <c r="V33" s="33"/>
      <c r="W33" s="274">
        <f>603.51</f>
        <v>603.51</v>
      </c>
      <c r="X33" s="33"/>
      <c r="Y33" s="274">
        <f>0.25</f>
        <v>0.25</v>
      </c>
      <c r="Z33" s="274">
        <f>32.47</f>
        <v>32.47</v>
      </c>
      <c r="AA33" s="274">
        <f>3230</f>
        <v>3230</v>
      </c>
      <c r="AB33" s="33"/>
      <c r="AC33" s="274">
        <f>248400.31</f>
        <v>248400.31</v>
      </c>
      <c r="AD33" s="33"/>
      <c r="AE33" s="33"/>
      <c r="AF33" s="33"/>
      <c r="AG33" s="274">
        <f>90500</f>
        <v>90500</v>
      </c>
      <c r="AH33" s="33"/>
      <c r="AI33" s="33"/>
      <c r="AJ33" s="33"/>
      <c r="AK33" s="274">
        <f>70000</f>
        <v>70000</v>
      </c>
    </row>
    <row r="34" ht="15.75" hidden="1" customHeight="1" outlineLevel="1">
      <c r="A34" s="32" t="s">
        <v>292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274">
        <f>956.24</f>
        <v>956.24</v>
      </c>
      <c r="Z34" s="33"/>
      <c r="AA34" s="33"/>
      <c r="AB34" s="33"/>
      <c r="AC34" s="33"/>
      <c r="AD34" s="33"/>
      <c r="AE34" s="33"/>
      <c r="AF34" s="33"/>
      <c r="AG34" s="33"/>
      <c r="AH34" s="274">
        <f>52.38</f>
        <v>52.38</v>
      </c>
      <c r="AI34" s="33"/>
      <c r="AJ34" s="33"/>
      <c r="AK34" s="274">
        <f>101.15</f>
        <v>101.15</v>
      </c>
    </row>
    <row r="35" ht="15.75" hidden="1" customHeight="1" outlineLevel="1">
      <c r="A35" s="32" t="s">
        <v>293</v>
      </c>
      <c r="B35" s="274">
        <f>460.06</f>
        <v>460.06</v>
      </c>
      <c r="C35" s="274">
        <f>317.31</f>
        <v>317.31</v>
      </c>
      <c r="D35" s="274">
        <f>529.98</f>
        <v>529.98</v>
      </c>
      <c r="E35" s="274">
        <f>368.09</f>
        <v>368.09</v>
      </c>
      <c r="F35" s="274">
        <f>421.51</f>
        <v>421.51</v>
      </c>
      <c r="G35" s="274">
        <f>442.74</f>
        <v>442.74</v>
      </c>
      <c r="H35" s="274">
        <f>438.09</f>
        <v>438.09</v>
      </c>
      <c r="I35" s="274">
        <f>438.32</f>
        <v>438.32</v>
      </c>
      <c r="J35" s="274">
        <f>438.65</f>
        <v>438.65</v>
      </c>
      <c r="K35" s="274">
        <f>1039.79</f>
        <v>1039.79</v>
      </c>
      <c r="L35" s="274">
        <f>689.69</f>
        <v>689.69</v>
      </c>
      <c r="M35" s="274">
        <f t="shared" ref="M35:N35" si="13">688.06</f>
        <v>688.06</v>
      </c>
      <c r="N35" s="274">
        <f t="shared" si="13"/>
        <v>688.06</v>
      </c>
      <c r="O35" s="274">
        <f>688.73</f>
        <v>688.73</v>
      </c>
      <c r="P35" s="274">
        <f>709.69</f>
        <v>709.69</v>
      </c>
      <c r="Q35" s="274">
        <f>2042.91</f>
        <v>2042.91</v>
      </c>
      <c r="R35" s="274">
        <f>972.51</f>
        <v>972.51</v>
      </c>
      <c r="S35" s="274">
        <f>987.75</f>
        <v>987.75</v>
      </c>
      <c r="T35" s="274">
        <f>1023.19</f>
        <v>1023.19</v>
      </c>
      <c r="U35" s="274">
        <f>745.36</f>
        <v>745.36</v>
      </c>
      <c r="V35" s="274">
        <f>1369.04</f>
        <v>1369.04</v>
      </c>
      <c r="W35" s="274">
        <f>625.63</f>
        <v>625.63</v>
      </c>
      <c r="X35" s="274">
        <f>1161.31</f>
        <v>1161.31</v>
      </c>
      <c r="Y35" s="274">
        <f>638.02</f>
        <v>638.02</v>
      </c>
      <c r="Z35" s="274">
        <f>885.18</f>
        <v>885.18</v>
      </c>
      <c r="AA35" s="274">
        <f>1051.07</f>
        <v>1051.07</v>
      </c>
      <c r="AB35" s="274">
        <f>1007.58</f>
        <v>1007.58</v>
      </c>
      <c r="AC35" s="274">
        <f>1150.89</f>
        <v>1150.89</v>
      </c>
      <c r="AD35" s="274">
        <f>3723.52</f>
        <v>3723.52</v>
      </c>
      <c r="AE35" s="274">
        <f>1015.01</f>
        <v>1015.01</v>
      </c>
      <c r="AF35" s="274">
        <f>1568.43</f>
        <v>1568.43</v>
      </c>
      <c r="AG35" s="274">
        <f>2503.04</f>
        <v>2503.04</v>
      </c>
      <c r="AH35" s="274">
        <f>8673.28</f>
        <v>8673.28</v>
      </c>
      <c r="AI35" s="274">
        <f>4140.29</f>
        <v>4140.29</v>
      </c>
      <c r="AJ35" s="274">
        <f>4396.82</f>
        <v>4396.82</v>
      </c>
      <c r="AK35" s="274">
        <f>3407.15</f>
        <v>3407.15</v>
      </c>
    </row>
    <row r="36" ht="15.75" customHeight="1" collapsed="1">
      <c r="A36" s="32" t="s">
        <v>294</v>
      </c>
      <c r="B36" s="275">
        <f t="shared" ref="B36:AK36" si="14">(((((((((((((((B20)+(B21))+(B22))+(B23))+(B24))+(B25))+(B26))+(B27))+(B28))+(B29))+(B30))+(B31))+(B32))+(B33))+(B34))+(B35)</f>
        <v>53041.49</v>
      </c>
      <c r="C36" s="275">
        <f t="shared" si="14"/>
        <v>39771.67</v>
      </c>
      <c r="D36" s="275">
        <f t="shared" si="14"/>
        <v>67515.15</v>
      </c>
      <c r="E36" s="275">
        <f t="shared" si="14"/>
        <v>60225.44</v>
      </c>
      <c r="F36" s="275">
        <f t="shared" si="14"/>
        <v>55167.32</v>
      </c>
      <c r="G36" s="275">
        <f t="shared" si="14"/>
        <v>55535.37</v>
      </c>
      <c r="H36" s="275">
        <f t="shared" si="14"/>
        <v>126254.27</v>
      </c>
      <c r="I36" s="275">
        <f t="shared" si="14"/>
        <v>106480.64</v>
      </c>
      <c r="J36" s="275">
        <f t="shared" si="14"/>
        <v>81609.1</v>
      </c>
      <c r="K36" s="275">
        <f t="shared" si="14"/>
        <v>89160.88</v>
      </c>
      <c r="L36" s="275">
        <f t="shared" si="14"/>
        <v>69343.79</v>
      </c>
      <c r="M36" s="275">
        <f t="shared" si="14"/>
        <v>137540.24</v>
      </c>
      <c r="N36" s="275">
        <f t="shared" si="14"/>
        <v>98143.11</v>
      </c>
      <c r="O36" s="275">
        <f t="shared" si="14"/>
        <v>82002.09</v>
      </c>
      <c r="P36" s="275">
        <f t="shared" si="14"/>
        <v>117299.58</v>
      </c>
      <c r="Q36" s="275">
        <f t="shared" si="14"/>
        <v>52136.87</v>
      </c>
      <c r="R36" s="275">
        <f t="shared" si="14"/>
        <v>165148.33</v>
      </c>
      <c r="S36" s="275">
        <f t="shared" si="14"/>
        <v>82378.2</v>
      </c>
      <c r="T36" s="275">
        <f t="shared" si="14"/>
        <v>94689.99</v>
      </c>
      <c r="U36" s="275">
        <f t="shared" si="14"/>
        <v>144782.03</v>
      </c>
      <c r="V36" s="275">
        <f t="shared" si="14"/>
        <v>124684.61</v>
      </c>
      <c r="W36" s="275">
        <f t="shared" si="14"/>
        <v>116952.98</v>
      </c>
      <c r="X36" s="275">
        <f t="shared" si="14"/>
        <v>151946.92</v>
      </c>
      <c r="Y36" s="275">
        <f t="shared" si="14"/>
        <v>263999.37</v>
      </c>
      <c r="Z36" s="275">
        <f t="shared" si="14"/>
        <v>130746.49</v>
      </c>
      <c r="AA36" s="275">
        <f t="shared" si="14"/>
        <v>226240.69</v>
      </c>
      <c r="AB36" s="275">
        <f t="shared" si="14"/>
        <v>193508.18</v>
      </c>
      <c r="AC36" s="275">
        <f t="shared" si="14"/>
        <v>571586.65</v>
      </c>
      <c r="AD36" s="275">
        <f t="shared" si="14"/>
        <v>201123.02</v>
      </c>
      <c r="AE36" s="275">
        <f t="shared" si="14"/>
        <v>218090.88</v>
      </c>
      <c r="AF36" s="275">
        <f t="shared" si="14"/>
        <v>260366.16</v>
      </c>
      <c r="AG36" s="275">
        <f t="shared" si="14"/>
        <v>420603.75</v>
      </c>
      <c r="AH36" s="275">
        <f t="shared" si="14"/>
        <v>256125.16</v>
      </c>
      <c r="AI36" s="275">
        <f t="shared" si="14"/>
        <v>256518.72</v>
      </c>
      <c r="AJ36" s="275">
        <f t="shared" si="14"/>
        <v>411522.22</v>
      </c>
      <c r="AK36" s="275">
        <f t="shared" si="14"/>
        <v>326092.24</v>
      </c>
    </row>
    <row r="37" ht="15.75" hidden="1" customHeight="1" outlineLevel="1">
      <c r="A37" s="32" t="s">
        <v>295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</row>
    <row r="38" ht="15.75" hidden="1" customHeight="1" outlineLevel="1">
      <c r="A38" s="32" t="s">
        <v>296</v>
      </c>
      <c r="B38" s="274">
        <f>25066.38</f>
        <v>25066.38</v>
      </c>
      <c r="C38" s="274">
        <f>30420.04</f>
        <v>30420.04</v>
      </c>
      <c r="D38" s="274">
        <f>58707.47</f>
        <v>58707.47</v>
      </c>
      <c r="E38" s="274">
        <f>85532.66</f>
        <v>85532.66</v>
      </c>
      <c r="F38" s="274">
        <f>58016.04</f>
        <v>58016.04</v>
      </c>
      <c r="G38" s="274">
        <f>64103.29</f>
        <v>64103.29</v>
      </c>
      <c r="H38" s="274">
        <f>120094.76</f>
        <v>120094.76</v>
      </c>
      <c r="I38" s="274">
        <f>79587</f>
        <v>79587</v>
      </c>
      <c r="J38" s="274">
        <f>120798.8</f>
        <v>120798.8</v>
      </c>
      <c r="K38" s="274">
        <f>117316.16</f>
        <v>117316.16</v>
      </c>
      <c r="L38" s="274">
        <f>108296.31</f>
        <v>108296.31</v>
      </c>
      <c r="M38" s="274">
        <f>268274.18</f>
        <v>268274.18</v>
      </c>
      <c r="N38" s="274">
        <f>128308.89</f>
        <v>128308.89</v>
      </c>
      <c r="O38" s="274">
        <f>136701.15</f>
        <v>136701.15</v>
      </c>
      <c r="P38" s="274">
        <f>218741.79</f>
        <v>218741.79</v>
      </c>
      <c r="Q38" s="274">
        <f>228942.51</f>
        <v>228942.51</v>
      </c>
      <c r="R38" s="274">
        <f>198069.6</f>
        <v>198069.6</v>
      </c>
      <c r="S38" s="274">
        <f>159179.79</f>
        <v>159179.79</v>
      </c>
      <c r="T38" s="274">
        <f>193517.02</f>
        <v>193517.02</v>
      </c>
      <c r="U38" s="274">
        <f>386354.1</f>
        <v>386354.1</v>
      </c>
      <c r="V38" s="274">
        <f>225669.61</f>
        <v>225669.61</v>
      </c>
      <c r="W38" s="274">
        <f>300705.45</f>
        <v>300705.45</v>
      </c>
      <c r="X38" s="274">
        <f>311271.12</f>
        <v>311271.12</v>
      </c>
      <c r="Y38" s="274">
        <f>869523.38</f>
        <v>869523.38</v>
      </c>
      <c r="Z38" s="274">
        <f>362791.39</f>
        <v>362791.39</v>
      </c>
      <c r="AA38" s="274">
        <f>473914.37</f>
        <v>473914.37</v>
      </c>
      <c r="AB38" s="274">
        <f>652210.32</f>
        <v>652210.32</v>
      </c>
      <c r="AC38" s="274">
        <f>549457.8</f>
        <v>549457.8</v>
      </c>
      <c r="AD38" s="274">
        <f>518541.89</f>
        <v>518541.89</v>
      </c>
      <c r="AE38" s="274">
        <f>604373.56</f>
        <v>604373.56</v>
      </c>
      <c r="AF38" s="274">
        <f>773066.89</f>
        <v>773066.89</v>
      </c>
      <c r="AG38" s="274">
        <f>926480.23</f>
        <v>926480.23</v>
      </c>
      <c r="AH38" s="274">
        <f>850519.81</f>
        <v>850519.81</v>
      </c>
      <c r="AI38" s="274">
        <f>712788.59</f>
        <v>712788.59</v>
      </c>
      <c r="AJ38" s="274">
        <f>836176.93</f>
        <v>836176.93</v>
      </c>
      <c r="AK38" s="274">
        <f>1202663.78</f>
        <v>1202663.78</v>
      </c>
    </row>
    <row r="39" ht="15.75" customHeight="1" collapsed="1">
      <c r="A39" s="32" t="s">
        <v>297</v>
      </c>
      <c r="B39" s="275">
        <f t="shared" ref="B39:AK39" si="15">(B37)+(B38)</f>
        <v>25066.38</v>
      </c>
      <c r="C39" s="275">
        <f t="shared" si="15"/>
        <v>30420.04</v>
      </c>
      <c r="D39" s="275">
        <f t="shared" si="15"/>
        <v>58707.47</v>
      </c>
      <c r="E39" s="275">
        <f t="shared" si="15"/>
        <v>85532.66</v>
      </c>
      <c r="F39" s="275">
        <f t="shared" si="15"/>
        <v>58016.04</v>
      </c>
      <c r="G39" s="275">
        <f t="shared" si="15"/>
        <v>64103.29</v>
      </c>
      <c r="H39" s="275">
        <f t="shared" si="15"/>
        <v>120094.76</v>
      </c>
      <c r="I39" s="275">
        <f t="shared" si="15"/>
        <v>79587</v>
      </c>
      <c r="J39" s="275">
        <f t="shared" si="15"/>
        <v>120798.8</v>
      </c>
      <c r="K39" s="275">
        <f t="shared" si="15"/>
        <v>117316.16</v>
      </c>
      <c r="L39" s="275">
        <f t="shared" si="15"/>
        <v>108296.31</v>
      </c>
      <c r="M39" s="275">
        <f t="shared" si="15"/>
        <v>268274.18</v>
      </c>
      <c r="N39" s="275">
        <f t="shared" si="15"/>
        <v>128308.89</v>
      </c>
      <c r="O39" s="275">
        <f t="shared" si="15"/>
        <v>136701.15</v>
      </c>
      <c r="P39" s="275">
        <f t="shared" si="15"/>
        <v>218741.79</v>
      </c>
      <c r="Q39" s="275">
        <f t="shared" si="15"/>
        <v>228942.51</v>
      </c>
      <c r="R39" s="275">
        <f t="shared" si="15"/>
        <v>198069.6</v>
      </c>
      <c r="S39" s="275">
        <f t="shared" si="15"/>
        <v>159179.79</v>
      </c>
      <c r="T39" s="275">
        <f t="shared" si="15"/>
        <v>193517.02</v>
      </c>
      <c r="U39" s="275">
        <f t="shared" si="15"/>
        <v>386354.1</v>
      </c>
      <c r="V39" s="275">
        <f t="shared" si="15"/>
        <v>225669.61</v>
      </c>
      <c r="W39" s="275">
        <f t="shared" si="15"/>
        <v>300705.45</v>
      </c>
      <c r="X39" s="275">
        <f t="shared" si="15"/>
        <v>311271.12</v>
      </c>
      <c r="Y39" s="275">
        <f t="shared" si="15"/>
        <v>869523.38</v>
      </c>
      <c r="Z39" s="275">
        <f t="shared" si="15"/>
        <v>362791.39</v>
      </c>
      <c r="AA39" s="275">
        <f t="shared" si="15"/>
        <v>473914.37</v>
      </c>
      <c r="AB39" s="275">
        <f t="shared" si="15"/>
        <v>652210.32</v>
      </c>
      <c r="AC39" s="275">
        <f t="shared" si="15"/>
        <v>549457.8</v>
      </c>
      <c r="AD39" s="275">
        <f t="shared" si="15"/>
        <v>518541.89</v>
      </c>
      <c r="AE39" s="275">
        <f t="shared" si="15"/>
        <v>604373.56</v>
      </c>
      <c r="AF39" s="275">
        <f t="shared" si="15"/>
        <v>773066.89</v>
      </c>
      <c r="AG39" s="275">
        <f t="shared" si="15"/>
        <v>926480.23</v>
      </c>
      <c r="AH39" s="275">
        <f t="shared" si="15"/>
        <v>850519.81</v>
      </c>
      <c r="AI39" s="275">
        <f t="shared" si="15"/>
        <v>712788.59</v>
      </c>
      <c r="AJ39" s="275">
        <f t="shared" si="15"/>
        <v>836176.93</v>
      </c>
      <c r="AK39" s="275">
        <f t="shared" si="15"/>
        <v>1202663.78</v>
      </c>
    </row>
    <row r="40" ht="15.75" hidden="1" customHeight="1" outlineLevel="1">
      <c r="A40" s="32" t="s">
        <v>298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</row>
    <row r="41" ht="15.75" hidden="1" customHeight="1" outlineLevel="1">
      <c r="A41" s="32" t="s">
        <v>299</v>
      </c>
      <c r="B41" s="274">
        <f>2051.93</f>
        <v>2051.93</v>
      </c>
      <c r="C41" s="274">
        <f>1452.43</f>
        <v>1452.43</v>
      </c>
      <c r="D41" s="274">
        <f>6941.29</f>
        <v>6941.29</v>
      </c>
      <c r="E41" s="274">
        <f>12796.8</f>
        <v>12796.8</v>
      </c>
      <c r="F41" s="274">
        <f>6366.52</f>
        <v>6366.52</v>
      </c>
      <c r="G41" s="274">
        <f>5838.82</f>
        <v>5838.82</v>
      </c>
      <c r="H41" s="274">
        <f>10417.35</f>
        <v>10417.35</v>
      </c>
      <c r="I41" s="274">
        <f>13350.01</f>
        <v>13350.01</v>
      </c>
      <c r="J41" s="274">
        <f>28415.19</f>
        <v>28415.19</v>
      </c>
      <c r="K41" s="274">
        <f>36158.88</f>
        <v>36158.88</v>
      </c>
      <c r="L41" s="274">
        <f>12349.87</f>
        <v>12349.87</v>
      </c>
      <c r="M41" s="274">
        <f>34792.08</f>
        <v>34792.08</v>
      </c>
      <c r="N41" s="274">
        <f>68749.28</f>
        <v>68749.28</v>
      </c>
      <c r="O41" s="274">
        <f>11543.61</f>
        <v>11543.61</v>
      </c>
      <c r="P41" s="274">
        <f>41316.86</f>
        <v>41316.86</v>
      </c>
      <c r="Q41" s="274">
        <f>12365.05</f>
        <v>12365.05</v>
      </c>
      <c r="R41" s="274">
        <f>51255</f>
        <v>51255</v>
      </c>
      <c r="S41" s="274">
        <f>8159.18</f>
        <v>8159.18</v>
      </c>
      <c r="T41" s="274">
        <f>12780.28</f>
        <v>12780.28</v>
      </c>
      <c r="U41" s="274">
        <f>6812.73</f>
        <v>6812.73</v>
      </c>
      <c r="V41" s="274">
        <f>54972.55</f>
        <v>54972.55</v>
      </c>
      <c r="W41" s="274">
        <f>28280.02</f>
        <v>28280.02</v>
      </c>
      <c r="X41" s="274">
        <f>40237.5</f>
        <v>40237.5</v>
      </c>
      <c r="Y41" s="274">
        <f>20510.09</f>
        <v>20510.09</v>
      </c>
      <c r="Z41" s="274">
        <f>65041.84</f>
        <v>65041.84</v>
      </c>
      <c r="AA41" s="274">
        <f>20675.29</f>
        <v>20675.29</v>
      </c>
      <c r="AB41" s="274">
        <f>52970.21</f>
        <v>52970.21</v>
      </c>
      <c r="AC41" s="274">
        <f>27624.47</f>
        <v>27624.47</v>
      </c>
      <c r="AD41" s="274">
        <f>65156.42</f>
        <v>65156.42</v>
      </c>
      <c r="AE41" s="274">
        <f>52034.36</f>
        <v>52034.36</v>
      </c>
      <c r="AF41" s="274">
        <f>35550.84</f>
        <v>35550.84</v>
      </c>
      <c r="AG41" s="274">
        <f>115720.35</f>
        <v>115720.35</v>
      </c>
      <c r="AH41" s="274">
        <f>74745.71</f>
        <v>74745.71</v>
      </c>
      <c r="AI41" s="274">
        <f>232125.08</f>
        <v>232125.08</v>
      </c>
      <c r="AJ41" s="274">
        <f>468119.06</f>
        <v>468119.06</v>
      </c>
      <c r="AK41" s="274">
        <f>358730.82</f>
        <v>358730.82</v>
      </c>
    </row>
    <row r="42" ht="15.75" hidden="1" customHeight="1" outlineLevel="1">
      <c r="A42" s="32" t="s">
        <v>300</v>
      </c>
      <c r="B42" s="274">
        <f>241.47</f>
        <v>241.47</v>
      </c>
      <c r="C42" s="274">
        <f>850.77</f>
        <v>850.77</v>
      </c>
      <c r="D42" s="274">
        <f>4104.62</f>
        <v>4104.62</v>
      </c>
      <c r="E42" s="274">
        <f>2098.45</f>
        <v>2098.45</v>
      </c>
      <c r="F42" s="274">
        <f>2319.01</f>
        <v>2319.01</v>
      </c>
      <c r="G42" s="274">
        <f>2126.52</f>
        <v>2126.52</v>
      </c>
      <c r="H42" s="274">
        <f>2441.36</f>
        <v>2441.36</v>
      </c>
      <c r="I42" s="274">
        <f>2267.18</f>
        <v>2267.18</v>
      </c>
      <c r="J42" s="274">
        <f>2198.43</f>
        <v>2198.43</v>
      </c>
      <c r="K42" s="274">
        <f>2135.63</f>
        <v>2135.63</v>
      </c>
      <c r="L42" s="274">
        <f>2137.65</f>
        <v>2137.65</v>
      </c>
      <c r="M42" s="274">
        <f>2270.43</f>
        <v>2270.43</v>
      </c>
      <c r="N42" s="274">
        <f>16548.16</f>
        <v>16548.16</v>
      </c>
      <c r="O42" s="274">
        <f>4329.05</f>
        <v>4329.05</v>
      </c>
      <c r="P42" s="274">
        <f>32114.74</f>
        <v>32114.74</v>
      </c>
      <c r="Q42" s="274">
        <f>2376.88</f>
        <v>2376.88</v>
      </c>
      <c r="R42" s="274">
        <f>2266.77</f>
        <v>2266.77</v>
      </c>
      <c r="S42" s="274">
        <f>12411.66</f>
        <v>12411.66</v>
      </c>
      <c r="T42" s="274">
        <f>2379.35</f>
        <v>2379.35</v>
      </c>
      <c r="U42" s="274">
        <f>12259.19</f>
        <v>12259.19</v>
      </c>
      <c r="V42" s="274">
        <f>12391.05</f>
        <v>12391.05</v>
      </c>
      <c r="W42" s="274">
        <f>34164.82</f>
        <v>34164.82</v>
      </c>
      <c r="X42" s="274">
        <f>52291.98</f>
        <v>52291.98</v>
      </c>
      <c r="Y42" s="274">
        <f>10130.1</f>
        <v>10130.1</v>
      </c>
      <c r="Z42" s="274">
        <f>2895.72</f>
        <v>2895.72</v>
      </c>
      <c r="AA42" s="274">
        <f>194.78</f>
        <v>194.78</v>
      </c>
      <c r="AB42" s="274">
        <f>2313.67</f>
        <v>2313.67</v>
      </c>
      <c r="AC42" s="274">
        <f>800.06</f>
        <v>800.06</v>
      </c>
      <c r="AD42" s="274">
        <f>1120.64</f>
        <v>1120.64</v>
      </c>
      <c r="AE42" s="274">
        <f>815.93</f>
        <v>815.93</v>
      </c>
      <c r="AF42" s="274">
        <f>452.28</f>
        <v>452.28</v>
      </c>
      <c r="AG42" s="274">
        <f>155828.81</f>
        <v>155828.81</v>
      </c>
      <c r="AH42" s="274">
        <f>78898.83</f>
        <v>78898.83</v>
      </c>
      <c r="AI42" s="274">
        <f>84999.13</f>
        <v>84999.13</v>
      </c>
      <c r="AJ42" s="274">
        <f>26908.52</f>
        <v>26908.52</v>
      </c>
      <c r="AK42" s="274">
        <f>88610.49</f>
        <v>88610.49</v>
      </c>
    </row>
    <row r="43" ht="15.75" hidden="1" customHeight="1" outlineLevel="1">
      <c r="A43" s="32" t="s">
        <v>301</v>
      </c>
      <c r="B43" s="274">
        <f>9702.77</f>
        <v>9702.77</v>
      </c>
      <c r="C43" s="274">
        <f>7002.71</f>
        <v>7002.71</v>
      </c>
      <c r="D43" s="274">
        <f>3468.66</f>
        <v>3468.66</v>
      </c>
      <c r="E43" s="274">
        <f>1142.07</f>
        <v>1142.07</v>
      </c>
      <c r="F43" s="274">
        <f>2466.4</f>
        <v>2466.4</v>
      </c>
      <c r="G43" s="274">
        <f>2976.18</f>
        <v>2976.18</v>
      </c>
      <c r="H43" s="274">
        <f>3459.14</f>
        <v>3459.14</v>
      </c>
      <c r="I43" s="274">
        <f>3657.74</f>
        <v>3657.74</v>
      </c>
      <c r="J43" s="274">
        <f>4763.49</f>
        <v>4763.49</v>
      </c>
      <c r="K43" s="274">
        <f>5457.6</f>
        <v>5457.6</v>
      </c>
      <c r="L43" s="274">
        <f>7569.58</f>
        <v>7569.58</v>
      </c>
      <c r="M43" s="274">
        <f>10671.17</f>
        <v>10671.17</v>
      </c>
      <c r="N43" s="274">
        <f>11729</f>
        <v>11729</v>
      </c>
      <c r="O43" s="274">
        <f>7054.41</f>
        <v>7054.41</v>
      </c>
      <c r="P43" s="274">
        <f>8417.72</f>
        <v>8417.72</v>
      </c>
      <c r="Q43" s="274">
        <f>13822</f>
        <v>13822</v>
      </c>
      <c r="R43" s="274">
        <f>8765.93</f>
        <v>8765.93</v>
      </c>
      <c r="S43" s="274">
        <f>13091.38</f>
        <v>13091.38</v>
      </c>
      <c r="T43" s="274">
        <f>26242.44</f>
        <v>26242.44</v>
      </c>
      <c r="U43" s="274">
        <f>24313.51</f>
        <v>24313.51</v>
      </c>
      <c r="V43" s="274">
        <f>10849.27</f>
        <v>10849.27</v>
      </c>
      <c r="W43" s="274">
        <f>26550.52</f>
        <v>26550.52</v>
      </c>
      <c r="X43" s="274">
        <f>27588.44</f>
        <v>27588.44</v>
      </c>
      <c r="Y43" s="274">
        <f>44133.84</f>
        <v>44133.84</v>
      </c>
      <c r="Z43" s="274">
        <f>55032.79</f>
        <v>55032.79</v>
      </c>
      <c r="AA43" s="274">
        <f>28343.23</f>
        <v>28343.23</v>
      </c>
      <c r="AB43" s="274">
        <f>44579.31</f>
        <v>44579.31</v>
      </c>
      <c r="AC43" s="274">
        <f>34288.25</f>
        <v>34288.25</v>
      </c>
      <c r="AD43" s="274">
        <f>31777.35</f>
        <v>31777.35</v>
      </c>
      <c r="AE43" s="274">
        <f>42927.6</f>
        <v>42927.6</v>
      </c>
      <c r="AF43" s="274">
        <f>66604.93</f>
        <v>66604.93</v>
      </c>
      <c r="AG43" s="274">
        <f>36163.71</f>
        <v>36163.71</v>
      </c>
      <c r="AH43" s="274">
        <f>41564.37</f>
        <v>41564.37</v>
      </c>
      <c r="AI43" s="274">
        <f>30035.97</f>
        <v>30035.97</v>
      </c>
      <c r="AJ43" s="274">
        <f>25996.37</f>
        <v>25996.37</v>
      </c>
      <c r="AK43" s="274">
        <f>89546.36</f>
        <v>89546.36</v>
      </c>
    </row>
    <row r="44" ht="15.75" hidden="1" customHeight="1" outlineLevel="1">
      <c r="A44" s="32" t="s">
        <v>302</v>
      </c>
      <c r="B44" s="274">
        <f>17374.37</f>
        <v>17374.37</v>
      </c>
      <c r="C44" s="274">
        <f>6303.96</f>
        <v>6303.96</v>
      </c>
      <c r="D44" s="274">
        <f>11868.07</f>
        <v>11868.07</v>
      </c>
      <c r="E44" s="274">
        <f>375.63</f>
        <v>375.63</v>
      </c>
      <c r="F44" s="274">
        <f>2445.77</f>
        <v>2445.77</v>
      </c>
      <c r="G44" s="274">
        <f>33.8</f>
        <v>33.8</v>
      </c>
      <c r="H44" s="274">
        <f>2559.23</f>
        <v>2559.23</v>
      </c>
      <c r="I44" s="274">
        <f>84.34</f>
        <v>84.34</v>
      </c>
      <c r="J44" s="274">
        <f>29117.94</f>
        <v>29117.94</v>
      </c>
      <c r="K44" s="274">
        <f>1588.98</f>
        <v>1588.98</v>
      </c>
      <c r="L44" s="274">
        <f>591.97</f>
        <v>591.97</v>
      </c>
      <c r="M44" s="274">
        <f>3770.88</f>
        <v>3770.88</v>
      </c>
      <c r="N44" s="274">
        <f>15360.93</f>
        <v>15360.93</v>
      </c>
      <c r="O44" s="274">
        <f>7318.81</f>
        <v>7318.81</v>
      </c>
      <c r="P44" s="274">
        <f>6923.82</f>
        <v>6923.82</v>
      </c>
      <c r="Q44" s="274">
        <f>22077.15</f>
        <v>22077.15</v>
      </c>
      <c r="R44" s="274">
        <f>23128.85</f>
        <v>23128.85</v>
      </c>
      <c r="S44" s="274">
        <f>14443.95</f>
        <v>14443.95</v>
      </c>
      <c r="T44" s="274">
        <f>36961.63</f>
        <v>36961.63</v>
      </c>
      <c r="U44" s="274">
        <f>16052.55</f>
        <v>16052.55</v>
      </c>
      <c r="V44" s="274">
        <f>49477.11</f>
        <v>49477.11</v>
      </c>
      <c r="W44" s="274">
        <f>27205.52</f>
        <v>27205.52</v>
      </c>
      <c r="X44" s="274">
        <f>20066.83</f>
        <v>20066.83</v>
      </c>
      <c r="Y44" s="274">
        <f>45219.34</f>
        <v>45219.34</v>
      </c>
      <c r="Z44" s="274">
        <f>21577.68</f>
        <v>21577.68</v>
      </c>
      <c r="AA44" s="274">
        <f>50252.34</f>
        <v>50252.34</v>
      </c>
      <c r="AB44" s="274">
        <f>60534.43</f>
        <v>60534.43</v>
      </c>
      <c r="AC44" s="274">
        <f>80953.58</f>
        <v>80953.58</v>
      </c>
      <c r="AD44" s="274">
        <f>99251.01</f>
        <v>99251.01</v>
      </c>
      <c r="AE44" s="274">
        <f>58633.6</f>
        <v>58633.6</v>
      </c>
      <c r="AF44" s="274">
        <f>56400.62</f>
        <v>56400.62</v>
      </c>
      <c r="AG44" s="274">
        <f>40982.34</f>
        <v>40982.34</v>
      </c>
      <c r="AH44" s="274">
        <f>118206.42</f>
        <v>118206.42</v>
      </c>
      <c r="AI44" s="274">
        <f>67868.26</f>
        <v>67868.26</v>
      </c>
      <c r="AJ44" s="274">
        <f>87634.87</f>
        <v>87634.87</v>
      </c>
      <c r="AK44" s="274">
        <f>91659.32</f>
        <v>91659.32</v>
      </c>
    </row>
    <row r="45" ht="15.75" customHeight="1" collapsed="1">
      <c r="A45" s="32" t="s">
        <v>303</v>
      </c>
      <c r="B45" s="275">
        <f t="shared" ref="B45:AK45" si="16">((((B40)+(B41))+(B42))+(B43))+(B44)</f>
        <v>29370.54</v>
      </c>
      <c r="C45" s="275">
        <f t="shared" si="16"/>
        <v>15609.87</v>
      </c>
      <c r="D45" s="275">
        <f t="shared" si="16"/>
        <v>26382.64</v>
      </c>
      <c r="E45" s="275">
        <f t="shared" si="16"/>
        <v>16412.95</v>
      </c>
      <c r="F45" s="275">
        <f t="shared" si="16"/>
        <v>13597.7</v>
      </c>
      <c r="G45" s="275">
        <f t="shared" si="16"/>
        <v>10975.32</v>
      </c>
      <c r="H45" s="275">
        <f t="shared" si="16"/>
        <v>18877.08</v>
      </c>
      <c r="I45" s="275">
        <f t="shared" si="16"/>
        <v>19359.27</v>
      </c>
      <c r="J45" s="275">
        <f t="shared" si="16"/>
        <v>64495.05</v>
      </c>
      <c r="K45" s="275">
        <f t="shared" si="16"/>
        <v>45341.09</v>
      </c>
      <c r="L45" s="275">
        <f t="shared" si="16"/>
        <v>22649.07</v>
      </c>
      <c r="M45" s="275">
        <f t="shared" si="16"/>
        <v>51504.56</v>
      </c>
      <c r="N45" s="275">
        <f t="shared" si="16"/>
        <v>112387.37</v>
      </c>
      <c r="O45" s="275">
        <f t="shared" si="16"/>
        <v>30245.88</v>
      </c>
      <c r="P45" s="275">
        <f t="shared" si="16"/>
        <v>88773.14</v>
      </c>
      <c r="Q45" s="275">
        <f t="shared" si="16"/>
        <v>50641.08</v>
      </c>
      <c r="R45" s="275">
        <f t="shared" si="16"/>
        <v>85416.55</v>
      </c>
      <c r="S45" s="275">
        <f t="shared" si="16"/>
        <v>48106.17</v>
      </c>
      <c r="T45" s="275">
        <f t="shared" si="16"/>
        <v>78363.7</v>
      </c>
      <c r="U45" s="275">
        <f t="shared" si="16"/>
        <v>59437.98</v>
      </c>
      <c r="V45" s="275">
        <f t="shared" si="16"/>
        <v>127689.98</v>
      </c>
      <c r="W45" s="275">
        <f t="shared" si="16"/>
        <v>116200.88</v>
      </c>
      <c r="X45" s="275">
        <f t="shared" si="16"/>
        <v>140184.75</v>
      </c>
      <c r="Y45" s="275">
        <f t="shared" si="16"/>
        <v>119993.37</v>
      </c>
      <c r="Z45" s="275">
        <f t="shared" si="16"/>
        <v>144548.03</v>
      </c>
      <c r="AA45" s="275">
        <f t="shared" si="16"/>
        <v>99465.64</v>
      </c>
      <c r="AB45" s="275">
        <f t="shared" si="16"/>
        <v>160397.62</v>
      </c>
      <c r="AC45" s="275">
        <f t="shared" si="16"/>
        <v>143666.36</v>
      </c>
      <c r="AD45" s="275">
        <f t="shared" si="16"/>
        <v>197305.42</v>
      </c>
      <c r="AE45" s="275">
        <f t="shared" si="16"/>
        <v>154411.49</v>
      </c>
      <c r="AF45" s="275">
        <f t="shared" si="16"/>
        <v>159008.67</v>
      </c>
      <c r="AG45" s="275">
        <f t="shared" si="16"/>
        <v>348695.21</v>
      </c>
      <c r="AH45" s="275">
        <f t="shared" si="16"/>
        <v>313415.33</v>
      </c>
      <c r="AI45" s="275">
        <f t="shared" si="16"/>
        <v>415028.44</v>
      </c>
      <c r="AJ45" s="275">
        <f t="shared" si="16"/>
        <v>608658.82</v>
      </c>
      <c r="AK45" s="275">
        <f t="shared" si="16"/>
        <v>628546.99</v>
      </c>
    </row>
    <row r="46" ht="15.75" customHeight="1">
      <c r="A46" s="32" t="s">
        <v>304</v>
      </c>
      <c r="B46" s="275">
        <f t="shared" ref="B46:AK46" si="17">((B36)+(B39))+(B45)</f>
        <v>107478.41</v>
      </c>
      <c r="C46" s="275">
        <f t="shared" si="17"/>
        <v>85801.58</v>
      </c>
      <c r="D46" s="275">
        <f t="shared" si="17"/>
        <v>152605.26</v>
      </c>
      <c r="E46" s="275">
        <f t="shared" si="17"/>
        <v>162171.05</v>
      </c>
      <c r="F46" s="275">
        <f t="shared" si="17"/>
        <v>126781.06</v>
      </c>
      <c r="G46" s="275">
        <f t="shared" si="17"/>
        <v>130613.98</v>
      </c>
      <c r="H46" s="275">
        <f t="shared" si="17"/>
        <v>265226.11</v>
      </c>
      <c r="I46" s="275">
        <f t="shared" si="17"/>
        <v>205426.91</v>
      </c>
      <c r="J46" s="275">
        <f t="shared" si="17"/>
        <v>266902.95</v>
      </c>
      <c r="K46" s="275">
        <f t="shared" si="17"/>
        <v>251818.13</v>
      </c>
      <c r="L46" s="275">
        <f t="shared" si="17"/>
        <v>200289.17</v>
      </c>
      <c r="M46" s="275">
        <f t="shared" si="17"/>
        <v>457318.98</v>
      </c>
      <c r="N46" s="275">
        <f t="shared" si="17"/>
        <v>338839.37</v>
      </c>
      <c r="O46" s="275">
        <f t="shared" si="17"/>
        <v>248949.12</v>
      </c>
      <c r="P46" s="275">
        <f t="shared" si="17"/>
        <v>424814.51</v>
      </c>
      <c r="Q46" s="275">
        <f t="shared" si="17"/>
        <v>331720.46</v>
      </c>
      <c r="R46" s="275">
        <f t="shared" si="17"/>
        <v>448634.48</v>
      </c>
      <c r="S46" s="275">
        <f t="shared" si="17"/>
        <v>289664.16</v>
      </c>
      <c r="T46" s="275">
        <f t="shared" si="17"/>
        <v>366570.71</v>
      </c>
      <c r="U46" s="275">
        <f t="shared" si="17"/>
        <v>590574.11</v>
      </c>
      <c r="V46" s="275">
        <f t="shared" si="17"/>
        <v>478044.2</v>
      </c>
      <c r="W46" s="275">
        <f t="shared" si="17"/>
        <v>533859.31</v>
      </c>
      <c r="X46" s="275">
        <f t="shared" si="17"/>
        <v>603402.79</v>
      </c>
      <c r="Y46" s="275">
        <f t="shared" si="17"/>
        <v>1253516.12</v>
      </c>
      <c r="Z46" s="275">
        <f t="shared" si="17"/>
        <v>638085.91</v>
      </c>
      <c r="AA46" s="275">
        <f t="shared" si="17"/>
        <v>799620.7</v>
      </c>
      <c r="AB46" s="275">
        <f t="shared" si="17"/>
        <v>1006116.12</v>
      </c>
      <c r="AC46" s="275">
        <f t="shared" si="17"/>
        <v>1264710.81</v>
      </c>
      <c r="AD46" s="275">
        <f t="shared" si="17"/>
        <v>916970.33</v>
      </c>
      <c r="AE46" s="275">
        <f t="shared" si="17"/>
        <v>976875.93</v>
      </c>
      <c r="AF46" s="275">
        <f t="shared" si="17"/>
        <v>1192441.72</v>
      </c>
      <c r="AG46" s="275">
        <f t="shared" si="17"/>
        <v>1695779.19</v>
      </c>
      <c r="AH46" s="275">
        <f t="shared" si="17"/>
        <v>1420060.3</v>
      </c>
      <c r="AI46" s="275">
        <f t="shared" si="17"/>
        <v>1384335.75</v>
      </c>
      <c r="AJ46" s="275">
        <f t="shared" si="17"/>
        <v>1856357.97</v>
      </c>
      <c r="AK46" s="275">
        <f t="shared" si="17"/>
        <v>2157303.01</v>
      </c>
    </row>
    <row r="47" ht="15.75" customHeight="1" outlineLevel="1">
      <c r="A47" s="32" t="s">
        <v>306</v>
      </c>
      <c r="B47" s="275">
        <f t="shared" ref="B47:AK47" si="18">(B18)-(B46)</f>
        <v>-51437.03</v>
      </c>
      <c r="C47" s="275">
        <f t="shared" si="18"/>
        <v>142194.42</v>
      </c>
      <c r="D47" s="275">
        <f t="shared" si="18"/>
        <v>62360.74</v>
      </c>
      <c r="E47" s="275">
        <f t="shared" si="18"/>
        <v>-1046.05</v>
      </c>
      <c r="F47" s="275">
        <f t="shared" si="18"/>
        <v>54411.94</v>
      </c>
      <c r="G47" s="275">
        <f t="shared" si="18"/>
        <v>14726.01</v>
      </c>
      <c r="H47" s="275">
        <f t="shared" si="18"/>
        <v>6468.89</v>
      </c>
      <c r="I47" s="275">
        <f t="shared" si="18"/>
        <v>130633.09</v>
      </c>
      <c r="J47" s="275">
        <f t="shared" si="18"/>
        <v>-103972.91</v>
      </c>
      <c r="K47" s="275">
        <f t="shared" si="18"/>
        <v>-19369.09</v>
      </c>
      <c r="L47" s="275">
        <f t="shared" si="18"/>
        <v>343536.95</v>
      </c>
      <c r="M47" s="275">
        <f t="shared" si="18"/>
        <v>-141611.18</v>
      </c>
      <c r="N47" s="275">
        <f t="shared" si="18"/>
        <v>-49563.69</v>
      </c>
      <c r="O47" s="275">
        <f t="shared" si="18"/>
        <v>-85847.5</v>
      </c>
      <c r="P47" s="275">
        <f t="shared" si="18"/>
        <v>314855.49</v>
      </c>
      <c r="Q47" s="275">
        <f t="shared" si="18"/>
        <v>136465.23</v>
      </c>
      <c r="R47" s="275">
        <f t="shared" si="18"/>
        <v>-47478.46</v>
      </c>
      <c r="S47" s="275">
        <f t="shared" si="18"/>
        <v>-20842.35</v>
      </c>
      <c r="T47" s="275">
        <f t="shared" si="18"/>
        <v>182372.92</v>
      </c>
      <c r="U47" s="275">
        <f t="shared" si="18"/>
        <v>-82815.11</v>
      </c>
      <c r="V47" s="275">
        <f t="shared" si="18"/>
        <v>441003.4</v>
      </c>
      <c r="W47" s="275">
        <f t="shared" si="18"/>
        <v>595503.33</v>
      </c>
      <c r="X47" s="275">
        <f t="shared" si="18"/>
        <v>991432.49</v>
      </c>
      <c r="Y47" s="275">
        <f t="shared" si="18"/>
        <v>371759.63</v>
      </c>
      <c r="Z47" s="275">
        <f t="shared" si="18"/>
        <v>445924.51</v>
      </c>
      <c r="AA47" s="275">
        <f t="shared" si="18"/>
        <v>266412.91</v>
      </c>
      <c r="AB47" s="275">
        <f t="shared" si="18"/>
        <v>-11844.53</v>
      </c>
      <c r="AC47" s="275">
        <f t="shared" si="18"/>
        <v>-279074.79</v>
      </c>
      <c r="AD47" s="275">
        <f t="shared" si="18"/>
        <v>1007831.47</v>
      </c>
      <c r="AE47" s="275">
        <f t="shared" si="18"/>
        <v>969158.18</v>
      </c>
      <c r="AF47" s="275">
        <f t="shared" si="18"/>
        <v>611455.47</v>
      </c>
      <c r="AG47" s="275">
        <f t="shared" si="18"/>
        <v>-73677.85</v>
      </c>
      <c r="AH47" s="275">
        <f t="shared" si="18"/>
        <v>476476.22</v>
      </c>
      <c r="AI47" s="275">
        <f t="shared" si="18"/>
        <v>558814.62</v>
      </c>
      <c r="AJ47" s="275">
        <f t="shared" si="18"/>
        <v>-97917.45</v>
      </c>
      <c r="AK47" s="275">
        <f t="shared" si="18"/>
        <v>470270.16</v>
      </c>
    </row>
    <row r="48" ht="15.75" customHeight="1" outlineLevel="1">
      <c r="A48" s="32" t="s">
        <v>307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</row>
    <row r="49" ht="15.75" customHeight="1" outlineLevel="1">
      <c r="A49" s="32" t="s">
        <v>308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</row>
    <row r="50" ht="15.75" customHeight="1" outlineLevel="1">
      <c r="A50" s="32" t="s">
        <v>309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</row>
    <row r="51" ht="15.75" customHeight="1" outlineLevel="1">
      <c r="A51" s="32" t="s">
        <v>310</v>
      </c>
      <c r="B51" s="275">
        <f t="shared" ref="B51:AK51" si="19">(B49)+(B50)</f>
        <v>0</v>
      </c>
      <c r="C51" s="275">
        <f t="shared" si="19"/>
        <v>0</v>
      </c>
      <c r="D51" s="275">
        <f t="shared" si="19"/>
        <v>0</v>
      </c>
      <c r="E51" s="275">
        <f t="shared" si="19"/>
        <v>0</v>
      </c>
      <c r="F51" s="275">
        <f t="shared" si="19"/>
        <v>0</v>
      </c>
      <c r="G51" s="275">
        <f t="shared" si="19"/>
        <v>0</v>
      </c>
      <c r="H51" s="275">
        <f t="shared" si="19"/>
        <v>0</v>
      </c>
      <c r="I51" s="275">
        <f t="shared" si="19"/>
        <v>0</v>
      </c>
      <c r="J51" s="275">
        <f t="shared" si="19"/>
        <v>0</v>
      </c>
      <c r="K51" s="275">
        <f t="shared" si="19"/>
        <v>0</v>
      </c>
      <c r="L51" s="275">
        <f t="shared" si="19"/>
        <v>0</v>
      </c>
      <c r="M51" s="275">
        <f t="shared" si="19"/>
        <v>0</v>
      </c>
      <c r="N51" s="275">
        <f t="shared" si="19"/>
        <v>0</v>
      </c>
      <c r="O51" s="275">
        <f t="shared" si="19"/>
        <v>0</v>
      </c>
      <c r="P51" s="275">
        <f t="shared" si="19"/>
        <v>0</v>
      </c>
      <c r="Q51" s="275">
        <f t="shared" si="19"/>
        <v>0</v>
      </c>
      <c r="R51" s="275">
        <f t="shared" si="19"/>
        <v>0</v>
      </c>
      <c r="S51" s="275">
        <f t="shared" si="19"/>
        <v>0</v>
      </c>
      <c r="T51" s="275">
        <f t="shared" si="19"/>
        <v>0</v>
      </c>
      <c r="U51" s="275">
        <f t="shared" si="19"/>
        <v>0</v>
      </c>
      <c r="V51" s="275">
        <f t="shared" si="19"/>
        <v>0</v>
      </c>
      <c r="W51" s="275">
        <f t="shared" si="19"/>
        <v>0</v>
      </c>
      <c r="X51" s="275">
        <f t="shared" si="19"/>
        <v>0</v>
      </c>
      <c r="Y51" s="275">
        <f t="shared" si="19"/>
        <v>0</v>
      </c>
      <c r="Z51" s="275">
        <f t="shared" si="19"/>
        <v>0</v>
      </c>
      <c r="AA51" s="275">
        <f t="shared" si="19"/>
        <v>0</v>
      </c>
      <c r="AB51" s="275">
        <f t="shared" si="19"/>
        <v>0</v>
      </c>
      <c r="AC51" s="275">
        <f t="shared" si="19"/>
        <v>0</v>
      </c>
      <c r="AD51" s="275">
        <f t="shared" si="19"/>
        <v>0</v>
      </c>
      <c r="AE51" s="275">
        <f t="shared" si="19"/>
        <v>0</v>
      </c>
      <c r="AF51" s="275">
        <f t="shared" si="19"/>
        <v>0</v>
      </c>
      <c r="AG51" s="275">
        <f t="shared" si="19"/>
        <v>0</v>
      </c>
      <c r="AH51" s="275">
        <f t="shared" si="19"/>
        <v>0</v>
      </c>
      <c r="AI51" s="275">
        <f t="shared" si="19"/>
        <v>0</v>
      </c>
      <c r="AJ51" s="275">
        <f t="shared" si="19"/>
        <v>0</v>
      </c>
      <c r="AK51" s="275">
        <f t="shared" si="19"/>
        <v>0</v>
      </c>
    </row>
    <row r="52" ht="15.75" customHeight="1" outlineLevel="1">
      <c r="A52" s="32" t="s">
        <v>311</v>
      </c>
      <c r="B52" s="275">
        <f t="shared" ref="B52:AK52" si="20">B51</f>
        <v>0</v>
      </c>
      <c r="C52" s="275">
        <f t="shared" si="20"/>
        <v>0</v>
      </c>
      <c r="D52" s="275">
        <f t="shared" si="20"/>
        <v>0</v>
      </c>
      <c r="E52" s="275">
        <f t="shared" si="20"/>
        <v>0</v>
      </c>
      <c r="F52" s="275">
        <f t="shared" si="20"/>
        <v>0</v>
      </c>
      <c r="G52" s="275">
        <f t="shared" si="20"/>
        <v>0</v>
      </c>
      <c r="H52" s="275">
        <f t="shared" si="20"/>
        <v>0</v>
      </c>
      <c r="I52" s="275">
        <f t="shared" si="20"/>
        <v>0</v>
      </c>
      <c r="J52" s="275">
        <f t="shared" si="20"/>
        <v>0</v>
      </c>
      <c r="K52" s="275">
        <f t="shared" si="20"/>
        <v>0</v>
      </c>
      <c r="L52" s="275">
        <f t="shared" si="20"/>
        <v>0</v>
      </c>
      <c r="M52" s="275">
        <f t="shared" si="20"/>
        <v>0</v>
      </c>
      <c r="N52" s="275">
        <f t="shared" si="20"/>
        <v>0</v>
      </c>
      <c r="O52" s="275">
        <f t="shared" si="20"/>
        <v>0</v>
      </c>
      <c r="P52" s="275">
        <f t="shared" si="20"/>
        <v>0</v>
      </c>
      <c r="Q52" s="275">
        <f t="shared" si="20"/>
        <v>0</v>
      </c>
      <c r="R52" s="275">
        <f t="shared" si="20"/>
        <v>0</v>
      </c>
      <c r="S52" s="275">
        <f t="shared" si="20"/>
        <v>0</v>
      </c>
      <c r="T52" s="275">
        <f t="shared" si="20"/>
        <v>0</v>
      </c>
      <c r="U52" s="275">
        <f t="shared" si="20"/>
        <v>0</v>
      </c>
      <c r="V52" s="275">
        <f t="shared" si="20"/>
        <v>0</v>
      </c>
      <c r="W52" s="275">
        <f t="shared" si="20"/>
        <v>0</v>
      </c>
      <c r="X52" s="275">
        <f t="shared" si="20"/>
        <v>0</v>
      </c>
      <c r="Y52" s="275">
        <f t="shared" si="20"/>
        <v>0</v>
      </c>
      <c r="Z52" s="275">
        <f t="shared" si="20"/>
        <v>0</v>
      </c>
      <c r="AA52" s="275">
        <f t="shared" si="20"/>
        <v>0</v>
      </c>
      <c r="AB52" s="275">
        <f t="shared" si="20"/>
        <v>0</v>
      </c>
      <c r="AC52" s="275">
        <f t="shared" si="20"/>
        <v>0</v>
      </c>
      <c r="AD52" s="275">
        <f t="shared" si="20"/>
        <v>0</v>
      </c>
      <c r="AE52" s="275">
        <f t="shared" si="20"/>
        <v>0</v>
      </c>
      <c r="AF52" s="275">
        <f t="shared" si="20"/>
        <v>0</v>
      </c>
      <c r="AG52" s="275">
        <f t="shared" si="20"/>
        <v>0</v>
      </c>
      <c r="AH52" s="275">
        <f t="shared" si="20"/>
        <v>0</v>
      </c>
      <c r="AI52" s="275">
        <f t="shared" si="20"/>
        <v>0</v>
      </c>
      <c r="AJ52" s="275">
        <f t="shared" si="20"/>
        <v>0</v>
      </c>
      <c r="AK52" s="275">
        <f t="shared" si="20"/>
        <v>0</v>
      </c>
    </row>
    <row r="53" ht="15.75" customHeight="1" outlineLevel="1">
      <c r="A53" s="32" t="s">
        <v>312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</row>
    <row r="54" ht="15.75" customHeight="1" outlineLevel="1">
      <c r="A54" s="32" t="s">
        <v>313</v>
      </c>
      <c r="B54" s="274">
        <f t="shared" ref="B54:AK54" si="21">0</f>
        <v>0</v>
      </c>
      <c r="C54" s="274">
        <f t="shared" si="21"/>
        <v>0</v>
      </c>
      <c r="D54" s="274">
        <f t="shared" si="21"/>
        <v>0</v>
      </c>
      <c r="E54" s="274">
        <f t="shared" si="21"/>
        <v>0</v>
      </c>
      <c r="F54" s="274">
        <f t="shared" si="21"/>
        <v>0</v>
      </c>
      <c r="G54" s="274">
        <f t="shared" si="21"/>
        <v>0</v>
      </c>
      <c r="H54" s="274">
        <f t="shared" si="21"/>
        <v>0</v>
      </c>
      <c r="I54" s="274">
        <f t="shared" si="21"/>
        <v>0</v>
      </c>
      <c r="J54" s="274">
        <f t="shared" si="21"/>
        <v>0</v>
      </c>
      <c r="K54" s="274">
        <f t="shared" si="21"/>
        <v>0</v>
      </c>
      <c r="L54" s="274">
        <f t="shared" si="21"/>
        <v>0</v>
      </c>
      <c r="M54" s="274">
        <f t="shared" si="21"/>
        <v>0</v>
      </c>
      <c r="N54" s="274">
        <f t="shared" si="21"/>
        <v>0</v>
      </c>
      <c r="O54" s="274">
        <f t="shared" si="21"/>
        <v>0</v>
      </c>
      <c r="P54" s="274">
        <f t="shared" si="21"/>
        <v>0</v>
      </c>
      <c r="Q54" s="274">
        <f t="shared" si="21"/>
        <v>0</v>
      </c>
      <c r="R54" s="274">
        <f t="shared" si="21"/>
        <v>0</v>
      </c>
      <c r="S54" s="274">
        <f t="shared" si="21"/>
        <v>0</v>
      </c>
      <c r="T54" s="274">
        <f t="shared" si="21"/>
        <v>0</v>
      </c>
      <c r="U54" s="274">
        <f t="shared" si="21"/>
        <v>0</v>
      </c>
      <c r="V54" s="274">
        <f t="shared" si="21"/>
        <v>0</v>
      </c>
      <c r="W54" s="274">
        <f t="shared" si="21"/>
        <v>0</v>
      </c>
      <c r="X54" s="274">
        <f t="shared" si="21"/>
        <v>0</v>
      </c>
      <c r="Y54" s="274">
        <f t="shared" si="21"/>
        <v>0</v>
      </c>
      <c r="Z54" s="274">
        <f t="shared" si="21"/>
        <v>0</v>
      </c>
      <c r="AA54" s="274">
        <f t="shared" si="21"/>
        <v>0</v>
      </c>
      <c r="AB54" s="274">
        <f t="shared" si="21"/>
        <v>0</v>
      </c>
      <c r="AC54" s="274">
        <f t="shared" si="21"/>
        <v>0</v>
      </c>
      <c r="AD54" s="274">
        <f t="shared" si="21"/>
        <v>0</v>
      </c>
      <c r="AE54" s="274">
        <f t="shared" si="21"/>
        <v>0</v>
      </c>
      <c r="AF54" s="274">
        <f t="shared" si="21"/>
        <v>0</v>
      </c>
      <c r="AG54" s="274">
        <f t="shared" si="21"/>
        <v>0</v>
      </c>
      <c r="AH54" s="274">
        <f t="shared" si="21"/>
        <v>0</v>
      </c>
      <c r="AI54" s="274">
        <f t="shared" si="21"/>
        <v>0</v>
      </c>
      <c r="AJ54" s="274">
        <f t="shared" si="21"/>
        <v>0</v>
      </c>
      <c r="AK54" s="274">
        <f t="shared" si="21"/>
        <v>0</v>
      </c>
    </row>
    <row r="55" ht="15.75" customHeight="1" outlineLevel="1">
      <c r="A55" s="32" t="s">
        <v>314</v>
      </c>
      <c r="B55" s="33"/>
      <c r="C55" s="274">
        <f>318.42</f>
        <v>318.42</v>
      </c>
      <c r="D55" s="33"/>
      <c r="E55" s="33"/>
      <c r="F55" s="33"/>
      <c r="G55" s="33"/>
      <c r="H55" s="33"/>
      <c r="I55" s="33"/>
      <c r="J55" s="33"/>
      <c r="K55" s="33"/>
      <c r="L55" s="274">
        <f>1028.04</f>
        <v>1028.04</v>
      </c>
      <c r="M55" s="33"/>
      <c r="N55" s="33"/>
      <c r="O55" s="33"/>
      <c r="P55" s="33"/>
      <c r="Q55" s="274">
        <f>-0.01</f>
        <v>-0.01</v>
      </c>
      <c r="R55" s="33"/>
      <c r="S55" s="33"/>
      <c r="T55" s="274">
        <f>174.29</f>
        <v>174.29</v>
      </c>
      <c r="U55" s="274">
        <f>-454.37</f>
        <v>-454.37</v>
      </c>
      <c r="V55" s="33"/>
      <c r="W55" s="33"/>
      <c r="X55" s="274">
        <f>5921.87</f>
        <v>5921.87</v>
      </c>
      <c r="Y55" s="274">
        <f>2684.22</f>
        <v>2684.22</v>
      </c>
      <c r="Z55" s="274">
        <f>5014.78</f>
        <v>5014.78</v>
      </c>
      <c r="AA55" s="274">
        <f>2426.02</f>
        <v>2426.02</v>
      </c>
      <c r="AB55" s="274">
        <f>1278.18</f>
        <v>1278.18</v>
      </c>
      <c r="AC55" s="274">
        <f>682.57</f>
        <v>682.57</v>
      </c>
      <c r="AD55" s="274">
        <f>889.26</f>
        <v>889.26</v>
      </c>
      <c r="AE55" s="274">
        <f>2828.45</f>
        <v>2828.45</v>
      </c>
      <c r="AF55" s="274">
        <f>1649.68</f>
        <v>1649.68</v>
      </c>
      <c r="AG55" s="274">
        <f>7864.34</f>
        <v>7864.34</v>
      </c>
      <c r="AH55" s="274">
        <f>30.97</f>
        <v>30.97</v>
      </c>
      <c r="AI55" s="274">
        <f>15949.03</f>
        <v>15949.03</v>
      </c>
      <c r="AJ55" s="33"/>
      <c r="AK55" s="33"/>
    </row>
    <row r="56" ht="15.75" customHeight="1" outlineLevel="1">
      <c r="A56" s="32" t="s">
        <v>315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</row>
    <row r="57" ht="15.75" customHeight="1" outlineLevel="1">
      <c r="A57" s="32" t="s">
        <v>316</v>
      </c>
      <c r="B57" s="33"/>
      <c r="C57" s="274">
        <f>663.74</f>
        <v>663.74</v>
      </c>
      <c r="D57" s="33"/>
      <c r="E57" s="274">
        <f t="shared" ref="E57:F57" si="22">50</f>
        <v>50</v>
      </c>
      <c r="F57" s="274">
        <f t="shared" si="22"/>
        <v>50</v>
      </c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274">
        <f>246.73</f>
        <v>246.73</v>
      </c>
      <c r="U57" s="33"/>
      <c r="V57" s="33"/>
      <c r="W57" s="33"/>
      <c r="X57" s="33"/>
      <c r="Y57" s="274">
        <f>34.99</f>
        <v>34.99</v>
      </c>
      <c r="Z57" s="274">
        <f>109</f>
        <v>109</v>
      </c>
      <c r="AA57" s="33"/>
      <c r="AB57" s="33"/>
      <c r="AC57" s="33"/>
      <c r="AD57" s="274">
        <f>11.37</f>
        <v>11.37</v>
      </c>
      <c r="AE57" s="33"/>
      <c r="AF57" s="33"/>
      <c r="AG57" s="33"/>
      <c r="AH57" s="33"/>
      <c r="AI57" s="33"/>
      <c r="AJ57" s="33"/>
      <c r="AK57" s="33"/>
    </row>
    <row r="58" ht="15.75" customHeight="1" outlineLevel="1">
      <c r="A58" s="32" t="s">
        <v>317</v>
      </c>
      <c r="B58" s="275">
        <f t="shared" ref="B58:AK58" si="23">(B56)+(B57)</f>
        <v>0</v>
      </c>
      <c r="C58" s="275">
        <f t="shared" si="23"/>
        <v>663.74</v>
      </c>
      <c r="D58" s="275">
        <f t="shared" si="23"/>
        <v>0</v>
      </c>
      <c r="E58" s="275">
        <f t="shared" si="23"/>
        <v>50</v>
      </c>
      <c r="F58" s="275">
        <f t="shared" si="23"/>
        <v>50</v>
      </c>
      <c r="G58" s="275">
        <f t="shared" si="23"/>
        <v>0</v>
      </c>
      <c r="H58" s="275">
        <f t="shared" si="23"/>
        <v>0</v>
      </c>
      <c r="I58" s="275">
        <f t="shared" si="23"/>
        <v>0</v>
      </c>
      <c r="J58" s="275">
        <f t="shared" si="23"/>
        <v>0</v>
      </c>
      <c r="K58" s="275">
        <f t="shared" si="23"/>
        <v>0</v>
      </c>
      <c r="L58" s="275">
        <f t="shared" si="23"/>
        <v>0</v>
      </c>
      <c r="M58" s="275">
        <f t="shared" si="23"/>
        <v>0</v>
      </c>
      <c r="N58" s="275">
        <f t="shared" si="23"/>
        <v>0</v>
      </c>
      <c r="O58" s="275">
        <f t="shared" si="23"/>
        <v>0</v>
      </c>
      <c r="P58" s="275">
        <f t="shared" si="23"/>
        <v>0</v>
      </c>
      <c r="Q58" s="275">
        <f t="shared" si="23"/>
        <v>0</v>
      </c>
      <c r="R58" s="275">
        <f t="shared" si="23"/>
        <v>0</v>
      </c>
      <c r="S58" s="275">
        <f t="shared" si="23"/>
        <v>0</v>
      </c>
      <c r="T58" s="275">
        <f t="shared" si="23"/>
        <v>246.73</v>
      </c>
      <c r="U58" s="275">
        <f t="shared" si="23"/>
        <v>0</v>
      </c>
      <c r="V58" s="275">
        <f t="shared" si="23"/>
        <v>0</v>
      </c>
      <c r="W58" s="275">
        <f t="shared" si="23"/>
        <v>0</v>
      </c>
      <c r="X58" s="275">
        <f t="shared" si="23"/>
        <v>0</v>
      </c>
      <c r="Y58" s="275">
        <f t="shared" si="23"/>
        <v>34.99</v>
      </c>
      <c r="Z58" s="275">
        <f t="shared" si="23"/>
        <v>109</v>
      </c>
      <c r="AA58" s="275">
        <f t="shared" si="23"/>
        <v>0</v>
      </c>
      <c r="AB58" s="275">
        <f t="shared" si="23"/>
        <v>0</v>
      </c>
      <c r="AC58" s="275">
        <f t="shared" si="23"/>
        <v>0</v>
      </c>
      <c r="AD58" s="275">
        <f t="shared" si="23"/>
        <v>11.37</v>
      </c>
      <c r="AE58" s="275">
        <f t="shared" si="23"/>
        <v>0</v>
      </c>
      <c r="AF58" s="275">
        <f t="shared" si="23"/>
        <v>0</v>
      </c>
      <c r="AG58" s="275">
        <f t="shared" si="23"/>
        <v>0</v>
      </c>
      <c r="AH58" s="275">
        <f t="shared" si="23"/>
        <v>0</v>
      </c>
      <c r="AI58" s="275">
        <f t="shared" si="23"/>
        <v>0</v>
      </c>
      <c r="AJ58" s="275">
        <f t="shared" si="23"/>
        <v>0</v>
      </c>
      <c r="AK58" s="275">
        <f t="shared" si="23"/>
        <v>0</v>
      </c>
    </row>
    <row r="59" ht="15.75" customHeight="1" outlineLevel="1">
      <c r="A59" s="32" t="s">
        <v>318</v>
      </c>
      <c r="B59" s="275">
        <f t="shared" ref="B59:AK59" si="24">((B54)+(B55))+(B58)</f>
        <v>0</v>
      </c>
      <c r="C59" s="275">
        <f t="shared" si="24"/>
        <v>982.16</v>
      </c>
      <c r="D59" s="275">
        <f t="shared" si="24"/>
        <v>0</v>
      </c>
      <c r="E59" s="275">
        <f t="shared" si="24"/>
        <v>50</v>
      </c>
      <c r="F59" s="275">
        <f t="shared" si="24"/>
        <v>50</v>
      </c>
      <c r="G59" s="275">
        <f t="shared" si="24"/>
        <v>0</v>
      </c>
      <c r="H59" s="275">
        <f t="shared" si="24"/>
        <v>0</v>
      </c>
      <c r="I59" s="275">
        <f t="shared" si="24"/>
        <v>0</v>
      </c>
      <c r="J59" s="275">
        <f t="shared" si="24"/>
        <v>0</v>
      </c>
      <c r="K59" s="275">
        <f t="shared" si="24"/>
        <v>0</v>
      </c>
      <c r="L59" s="275">
        <f t="shared" si="24"/>
        <v>1028.04</v>
      </c>
      <c r="M59" s="275">
        <f t="shared" si="24"/>
        <v>0</v>
      </c>
      <c r="N59" s="275">
        <f t="shared" si="24"/>
        <v>0</v>
      </c>
      <c r="O59" s="275">
        <f t="shared" si="24"/>
        <v>0</v>
      </c>
      <c r="P59" s="275">
        <f t="shared" si="24"/>
        <v>0</v>
      </c>
      <c r="Q59" s="275">
        <f t="shared" si="24"/>
        <v>-0.01</v>
      </c>
      <c r="R59" s="275">
        <f t="shared" si="24"/>
        <v>0</v>
      </c>
      <c r="S59" s="275">
        <f t="shared" si="24"/>
        <v>0</v>
      </c>
      <c r="T59" s="275">
        <f t="shared" si="24"/>
        <v>421.02</v>
      </c>
      <c r="U59" s="275">
        <f t="shared" si="24"/>
        <v>-454.37</v>
      </c>
      <c r="V59" s="275">
        <f t="shared" si="24"/>
        <v>0</v>
      </c>
      <c r="W59" s="275">
        <f t="shared" si="24"/>
        <v>0</v>
      </c>
      <c r="X59" s="275">
        <f t="shared" si="24"/>
        <v>5921.87</v>
      </c>
      <c r="Y59" s="275">
        <f t="shared" si="24"/>
        <v>2719.21</v>
      </c>
      <c r="Z59" s="275">
        <f t="shared" si="24"/>
        <v>5123.78</v>
      </c>
      <c r="AA59" s="275">
        <f t="shared" si="24"/>
        <v>2426.02</v>
      </c>
      <c r="AB59" s="275">
        <f t="shared" si="24"/>
        <v>1278.18</v>
      </c>
      <c r="AC59" s="275">
        <f t="shared" si="24"/>
        <v>682.57</v>
      </c>
      <c r="AD59" s="275">
        <f t="shared" si="24"/>
        <v>900.63</v>
      </c>
      <c r="AE59" s="275">
        <f t="shared" si="24"/>
        <v>2828.45</v>
      </c>
      <c r="AF59" s="275">
        <f t="shared" si="24"/>
        <v>1649.68</v>
      </c>
      <c r="AG59" s="275">
        <f t="shared" si="24"/>
        <v>7864.34</v>
      </c>
      <c r="AH59" s="275">
        <f t="shared" si="24"/>
        <v>30.97</v>
      </c>
      <c r="AI59" s="275">
        <f t="shared" si="24"/>
        <v>15949.03</v>
      </c>
      <c r="AJ59" s="275">
        <f t="shared" si="24"/>
        <v>0</v>
      </c>
      <c r="AK59" s="275">
        <f t="shared" si="24"/>
        <v>0</v>
      </c>
    </row>
    <row r="60" ht="15.75" customHeight="1" outlineLevel="1">
      <c r="A60" s="32" t="s">
        <v>319</v>
      </c>
      <c r="B60" s="275">
        <f t="shared" ref="B60:AK60" si="25">(B52)-(B59)</f>
        <v>0</v>
      </c>
      <c r="C60" s="275">
        <f t="shared" si="25"/>
        <v>-982.16</v>
      </c>
      <c r="D60" s="275">
        <f t="shared" si="25"/>
        <v>0</v>
      </c>
      <c r="E60" s="275">
        <f t="shared" si="25"/>
        <v>-50</v>
      </c>
      <c r="F60" s="275">
        <f t="shared" si="25"/>
        <v>-50</v>
      </c>
      <c r="G60" s="275">
        <f t="shared" si="25"/>
        <v>0</v>
      </c>
      <c r="H60" s="275">
        <f t="shared" si="25"/>
        <v>0</v>
      </c>
      <c r="I60" s="275">
        <f t="shared" si="25"/>
        <v>0</v>
      </c>
      <c r="J60" s="275">
        <f t="shared" si="25"/>
        <v>0</v>
      </c>
      <c r="K60" s="275">
        <f t="shared" si="25"/>
        <v>0</v>
      </c>
      <c r="L60" s="275">
        <f t="shared" si="25"/>
        <v>-1028.04</v>
      </c>
      <c r="M60" s="275">
        <f t="shared" si="25"/>
        <v>0</v>
      </c>
      <c r="N60" s="275">
        <f t="shared" si="25"/>
        <v>0</v>
      </c>
      <c r="O60" s="275">
        <f t="shared" si="25"/>
        <v>0</v>
      </c>
      <c r="P60" s="275">
        <f t="shared" si="25"/>
        <v>0</v>
      </c>
      <c r="Q60" s="275">
        <f t="shared" si="25"/>
        <v>0.01</v>
      </c>
      <c r="R60" s="275">
        <f t="shared" si="25"/>
        <v>0</v>
      </c>
      <c r="S60" s="275">
        <f t="shared" si="25"/>
        <v>0</v>
      </c>
      <c r="T60" s="275">
        <f t="shared" si="25"/>
        <v>-421.02</v>
      </c>
      <c r="U60" s="275">
        <f t="shared" si="25"/>
        <v>454.37</v>
      </c>
      <c r="V60" s="275">
        <f t="shared" si="25"/>
        <v>0</v>
      </c>
      <c r="W60" s="275">
        <f t="shared" si="25"/>
        <v>0</v>
      </c>
      <c r="X60" s="275">
        <f t="shared" si="25"/>
        <v>-5921.87</v>
      </c>
      <c r="Y60" s="275">
        <f t="shared" si="25"/>
        <v>-2719.21</v>
      </c>
      <c r="Z60" s="275">
        <f t="shared" si="25"/>
        <v>-5123.78</v>
      </c>
      <c r="AA60" s="275">
        <f t="shared" si="25"/>
        <v>-2426.02</v>
      </c>
      <c r="AB60" s="275">
        <f t="shared" si="25"/>
        <v>-1278.18</v>
      </c>
      <c r="AC60" s="275">
        <f t="shared" si="25"/>
        <v>-682.57</v>
      </c>
      <c r="AD60" s="275">
        <f t="shared" si="25"/>
        <v>-900.63</v>
      </c>
      <c r="AE60" s="275">
        <f t="shared" si="25"/>
        <v>-2828.45</v>
      </c>
      <c r="AF60" s="275">
        <f t="shared" si="25"/>
        <v>-1649.68</v>
      </c>
      <c r="AG60" s="275">
        <f t="shared" si="25"/>
        <v>-7864.34</v>
      </c>
      <c r="AH60" s="275">
        <f t="shared" si="25"/>
        <v>-30.97</v>
      </c>
      <c r="AI60" s="275">
        <f t="shared" si="25"/>
        <v>-15949.03</v>
      </c>
      <c r="AJ60" s="275">
        <f t="shared" si="25"/>
        <v>0</v>
      </c>
      <c r="AK60" s="275">
        <f t="shared" si="25"/>
        <v>0</v>
      </c>
    </row>
    <row r="61" ht="15.75" customHeight="1">
      <c r="A61" s="32" t="s">
        <v>320</v>
      </c>
      <c r="B61" s="275">
        <f t="shared" ref="B61:AK61" si="26">(B47)+(B60)</f>
        <v>-51437.03</v>
      </c>
      <c r="C61" s="275">
        <f t="shared" si="26"/>
        <v>141212.26</v>
      </c>
      <c r="D61" s="275">
        <f t="shared" si="26"/>
        <v>62360.74</v>
      </c>
      <c r="E61" s="275">
        <f t="shared" si="26"/>
        <v>-1096.05</v>
      </c>
      <c r="F61" s="275">
        <f t="shared" si="26"/>
        <v>54361.94</v>
      </c>
      <c r="G61" s="275">
        <f t="shared" si="26"/>
        <v>14726.01</v>
      </c>
      <c r="H61" s="275">
        <f t="shared" si="26"/>
        <v>6468.89</v>
      </c>
      <c r="I61" s="275">
        <f t="shared" si="26"/>
        <v>130633.09</v>
      </c>
      <c r="J61" s="275">
        <f t="shared" si="26"/>
        <v>-103972.91</v>
      </c>
      <c r="K61" s="275">
        <f t="shared" si="26"/>
        <v>-19369.09</v>
      </c>
      <c r="L61" s="275">
        <f t="shared" si="26"/>
        <v>342508.91</v>
      </c>
      <c r="M61" s="275">
        <f t="shared" si="26"/>
        <v>-141611.18</v>
      </c>
      <c r="N61" s="275">
        <f t="shared" si="26"/>
        <v>-49563.69</v>
      </c>
      <c r="O61" s="275">
        <f t="shared" si="26"/>
        <v>-85847.5</v>
      </c>
      <c r="P61" s="275">
        <f t="shared" si="26"/>
        <v>314855.49</v>
      </c>
      <c r="Q61" s="275">
        <f t="shared" si="26"/>
        <v>136465.24</v>
      </c>
      <c r="R61" s="275">
        <f t="shared" si="26"/>
        <v>-47478.46</v>
      </c>
      <c r="S61" s="275">
        <f t="shared" si="26"/>
        <v>-20842.35</v>
      </c>
      <c r="T61" s="275">
        <f t="shared" si="26"/>
        <v>181951.9</v>
      </c>
      <c r="U61" s="275">
        <f t="shared" si="26"/>
        <v>-82360.74</v>
      </c>
      <c r="V61" s="275">
        <f t="shared" si="26"/>
        <v>441003.4</v>
      </c>
      <c r="W61" s="275">
        <f t="shared" si="26"/>
        <v>595503.33</v>
      </c>
      <c r="X61" s="275">
        <f t="shared" si="26"/>
        <v>985510.62</v>
      </c>
      <c r="Y61" s="275">
        <f t="shared" si="26"/>
        <v>369040.42</v>
      </c>
      <c r="Z61" s="275">
        <f t="shared" si="26"/>
        <v>440800.73</v>
      </c>
      <c r="AA61" s="275">
        <f t="shared" si="26"/>
        <v>263986.89</v>
      </c>
      <c r="AB61" s="275">
        <f t="shared" si="26"/>
        <v>-13122.71</v>
      </c>
      <c r="AC61" s="275">
        <f t="shared" si="26"/>
        <v>-279757.36</v>
      </c>
      <c r="AD61" s="275">
        <f t="shared" si="26"/>
        <v>1006930.84</v>
      </c>
      <c r="AE61" s="275">
        <f t="shared" si="26"/>
        <v>966329.73</v>
      </c>
      <c r="AF61" s="275">
        <f t="shared" si="26"/>
        <v>609805.79</v>
      </c>
      <c r="AG61" s="275">
        <f t="shared" si="26"/>
        <v>-81542.19</v>
      </c>
      <c r="AH61" s="275">
        <f t="shared" si="26"/>
        <v>476445.25</v>
      </c>
      <c r="AI61" s="275">
        <f t="shared" si="26"/>
        <v>542865.59</v>
      </c>
      <c r="AJ61" s="275">
        <f t="shared" si="26"/>
        <v>-97917.45</v>
      </c>
      <c r="AK61" s="275">
        <f t="shared" si="26"/>
        <v>470270.16</v>
      </c>
    </row>
    <row r="62" ht="15.75" customHeight="1">
      <c r="A62" s="32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</row>
    <row r="63" ht="15.75" customHeight="1"/>
    <row r="64" ht="15.75" customHeight="1"/>
    <row r="65" ht="15.75" customHeight="1">
      <c r="A65" s="293" t="s">
        <v>321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K1"/>
    <mergeCell ref="A2:AK2"/>
    <mergeCell ref="A3:AK3"/>
    <mergeCell ref="A65:AK65"/>
  </mergeCells>
  <printOptions/>
  <pageMargins bottom="0.75" footer="0.0" header="0.0" left="0.7" right="0.7" top="0.75"/>
  <pageSetup orientation="landscape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1"/>
  <sheetData>
    <row r="2">
      <c r="B2" s="1" t="s">
        <v>73</v>
      </c>
      <c r="C2" s="1" t="s">
        <v>323</v>
      </c>
      <c r="D2" s="1" t="s">
        <v>324</v>
      </c>
    </row>
    <row r="3">
      <c r="B3" s="13">
        <v>43831.0</v>
      </c>
      <c r="C3" s="1" t="s">
        <v>325</v>
      </c>
    </row>
    <row r="4">
      <c r="B4" s="13">
        <v>43862.0</v>
      </c>
      <c r="C4" s="1" t="s">
        <v>326</v>
      </c>
    </row>
    <row r="5">
      <c r="B5" s="13">
        <v>43891.0</v>
      </c>
      <c r="C5" s="1" t="s">
        <v>327</v>
      </c>
    </row>
    <row r="6">
      <c r="B6" s="13">
        <v>43922.0</v>
      </c>
      <c r="C6" s="1" t="s">
        <v>328</v>
      </c>
    </row>
    <row r="7">
      <c r="B7" s="13">
        <v>43952.0</v>
      </c>
      <c r="C7" s="1" t="s">
        <v>329</v>
      </c>
    </row>
    <row r="8">
      <c r="B8" s="13">
        <v>43983.0</v>
      </c>
      <c r="C8" s="1" t="s">
        <v>330</v>
      </c>
    </row>
    <row r="9">
      <c r="B9" s="13">
        <v>44013.0</v>
      </c>
      <c r="C9" s="1" t="s">
        <v>331</v>
      </c>
    </row>
    <row r="10">
      <c r="B10" s="13">
        <v>44044.0</v>
      </c>
      <c r="C10" s="1" t="s">
        <v>332</v>
      </c>
    </row>
    <row r="11">
      <c r="B11" s="13">
        <v>44075.0</v>
      </c>
      <c r="C11" s="1" t="s">
        <v>333</v>
      </c>
    </row>
    <row r="12">
      <c r="B12" s="13">
        <v>44105.0</v>
      </c>
      <c r="C12" s="1" t="s">
        <v>334</v>
      </c>
    </row>
    <row r="13">
      <c r="B13" s="13">
        <v>44136.0</v>
      </c>
      <c r="C13" s="1" t="s">
        <v>335</v>
      </c>
    </row>
    <row r="14">
      <c r="B14" s="13">
        <v>44166.0</v>
      </c>
      <c r="C14" s="1" t="s">
        <v>336</v>
      </c>
    </row>
    <row r="15">
      <c r="B15" s="13">
        <v>44197.0</v>
      </c>
      <c r="C15" s="1" t="s">
        <v>337</v>
      </c>
      <c r="D15" s="13">
        <v>43862.0</v>
      </c>
      <c r="E15" s="84" t="str">
        <f t="shared" ref="E15:E62" si="1">XLOOKUP($D15,$B:$B,$C:$C)</f>
        <v>D</v>
      </c>
    </row>
    <row r="16">
      <c r="B16" s="13">
        <v>44228.0</v>
      </c>
      <c r="C16" s="1" t="s">
        <v>338</v>
      </c>
      <c r="D16" s="13">
        <v>43891.0</v>
      </c>
      <c r="E16" s="84" t="str">
        <f t="shared" si="1"/>
        <v>E</v>
      </c>
    </row>
    <row r="17">
      <c r="B17" s="13">
        <v>44256.0</v>
      </c>
      <c r="C17" s="1" t="s">
        <v>339</v>
      </c>
      <c r="D17" s="13">
        <v>43922.0</v>
      </c>
      <c r="E17" s="84" t="str">
        <f t="shared" si="1"/>
        <v>F</v>
      </c>
    </row>
    <row r="18">
      <c r="B18" s="13">
        <v>44287.0</v>
      </c>
      <c r="C18" s="1" t="s">
        <v>340</v>
      </c>
      <c r="D18" s="13">
        <v>43952.0</v>
      </c>
      <c r="E18" s="84" t="str">
        <f t="shared" si="1"/>
        <v>G</v>
      </c>
    </row>
    <row r="19">
      <c r="B19" s="13">
        <v>44317.0</v>
      </c>
      <c r="C19" s="1" t="s">
        <v>341</v>
      </c>
      <c r="D19" s="13">
        <v>43983.0</v>
      </c>
      <c r="E19" s="84" t="str">
        <f t="shared" si="1"/>
        <v>H</v>
      </c>
    </row>
    <row r="20">
      <c r="B20" s="13">
        <v>44348.0</v>
      </c>
      <c r="C20" s="1" t="s">
        <v>342</v>
      </c>
      <c r="D20" s="13">
        <v>44013.0</v>
      </c>
      <c r="E20" s="84" t="str">
        <f t="shared" si="1"/>
        <v>I</v>
      </c>
    </row>
    <row r="21">
      <c r="B21" s="13">
        <v>44378.0</v>
      </c>
      <c r="C21" s="1" t="s">
        <v>343</v>
      </c>
      <c r="D21" s="13">
        <v>44044.0</v>
      </c>
      <c r="E21" s="84" t="str">
        <f t="shared" si="1"/>
        <v>J</v>
      </c>
    </row>
    <row r="22">
      <c r="B22" s="13">
        <v>44409.0</v>
      </c>
      <c r="C22" s="1" t="s">
        <v>344</v>
      </c>
      <c r="D22" s="13">
        <v>44075.0</v>
      </c>
      <c r="E22" s="84" t="str">
        <f t="shared" si="1"/>
        <v>K</v>
      </c>
    </row>
    <row r="23">
      <c r="B23" s="13">
        <v>44440.0</v>
      </c>
      <c r="C23" s="1" t="s">
        <v>345</v>
      </c>
      <c r="D23" s="13">
        <v>44105.0</v>
      </c>
      <c r="E23" s="84" t="str">
        <f t="shared" si="1"/>
        <v>L</v>
      </c>
    </row>
    <row r="24">
      <c r="B24" s="13">
        <v>44470.0</v>
      </c>
      <c r="C24" s="1" t="s">
        <v>346</v>
      </c>
      <c r="D24" s="13">
        <v>44136.0</v>
      </c>
      <c r="E24" s="84" t="str">
        <f t="shared" si="1"/>
        <v>M</v>
      </c>
    </row>
    <row r="25">
      <c r="B25" s="13">
        <v>44501.0</v>
      </c>
      <c r="C25" s="1" t="s">
        <v>347</v>
      </c>
      <c r="D25" s="13">
        <v>44166.0</v>
      </c>
      <c r="E25" s="84" t="str">
        <f t="shared" si="1"/>
        <v>N</v>
      </c>
    </row>
    <row r="26">
      <c r="B26" s="13">
        <v>44531.0</v>
      </c>
      <c r="C26" s="1" t="s">
        <v>348</v>
      </c>
      <c r="D26" s="13">
        <v>44197.0</v>
      </c>
      <c r="E26" s="84" t="str">
        <f t="shared" si="1"/>
        <v>O</v>
      </c>
    </row>
    <row r="27">
      <c r="B27" s="13">
        <v>44562.0</v>
      </c>
      <c r="C27" s="1" t="s">
        <v>349</v>
      </c>
      <c r="D27" s="13">
        <v>44228.0</v>
      </c>
      <c r="E27" s="84" t="str">
        <f t="shared" si="1"/>
        <v>P</v>
      </c>
    </row>
    <row r="28">
      <c r="B28" s="13">
        <v>44593.0</v>
      </c>
      <c r="C28" s="1" t="s">
        <v>350</v>
      </c>
      <c r="D28" s="13">
        <v>44256.0</v>
      </c>
      <c r="E28" s="84" t="str">
        <f t="shared" si="1"/>
        <v>Q</v>
      </c>
    </row>
    <row r="29">
      <c r="B29" s="13">
        <v>44621.0</v>
      </c>
      <c r="C29" s="1" t="s">
        <v>351</v>
      </c>
      <c r="D29" s="13">
        <v>44287.0</v>
      </c>
      <c r="E29" s="84" t="str">
        <f t="shared" si="1"/>
        <v>R</v>
      </c>
    </row>
    <row r="30">
      <c r="B30" s="13">
        <v>44652.0</v>
      </c>
      <c r="C30" s="1" t="s">
        <v>352</v>
      </c>
      <c r="D30" s="13">
        <v>44317.0</v>
      </c>
      <c r="E30" s="84" t="str">
        <f t="shared" si="1"/>
        <v>S</v>
      </c>
    </row>
    <row r="31">
      <c r="B31" s="13">
        <v>44682.0</v>
      </c>
      <c r="C31" s="1" t="s">
        <v>353</v>
      </c>
      <c r="D31" s="13">
        <v>44348.0</v>
      </c>
      <c r="E31" s="84" t="str">
        <f t="shared" si="1"/>
        <v>T</v>
      </c>
    </row>
    <row r="32">
      <c r="B32" s="13">
        <v>44713.0</v>
      </c>
      <c r="C32" s="1" t="s">
        <v>354</v>
      </c>
      <c r="D32" s="13">
        <v>44378.0</v>
      </c>
      <c r="E32" s="84" t="str">
        <f t="shared" si="1"/>
        <v>U</v>
      </c>
    </row>
    <row r="33">
      <c r="B33" s="13">
        <v>44743.0</v>
      </c>
      <c r="C33" s="1" t="s">
        <v>355</v>
      </c>
      <c r="D33" s="13">
        <v>44409.0</v>
      </c>
      <c r="E33" s="84" t="str">
        <f t="shared" si="1"/>
        <v>V</v>
      </c>
    </row>
    <row r="34">
      <c r="B34" s="13">
        <v>44774.0</v>
      </c>
      <c r="C34" s="1" t="s">
        <v>356</v>
      </c>
      <c r="D34" s="13">
        <v>44440.0</v>
      </c>
      <c r="E34" s="84" t="str">
        <f t="shared" si="1"/>
        <v>W</v>
      </c>
    </row>
    <row r="35">
      <c r="B35" s="13">
        <v>44805.0</v>
      </c>
      <c r="C35" s="1" t="s">
        <v>357</v>
      </c>
      <c r="D35" s="13">
        <v>44470.0</v>
      </c>
      <c r="E35" s="84" t="str">
        <f t="shared" si="1"/>
        <v>X</v>
      </c>
    </row>
    <row r="36">
      <c r="B36" s="13">
        <v>44835.0</v>
      </c>
      <c r="C36" s="1" t="s">
        <v>358</v>
      </c>
      <c r="D36" s="13">
        <v>44501.0</v>
      </c>
      <c r="E36" s="84" t="str">
        <f t="shared" si="1"/>
        <v>Y</v>
      </c>
    </row>
    <row r="37">
      <c r="B37" s="13">
        <v>44866.0</v>
      </c>
      <c r="C37" s="1" t="s">
        <v>359</v>
      </c>
      <c r="D37" s="13">
        <v>44531.0</v>
      </c>
      <c r="E37" s="84" t="str">
        <f t="shared" si="1"/>
        <v>Z</v>
      </c>
    </row>
    <row r="38">
      <c r="B38" s="13">
        <v>44896.0</v>
      </c>
      <c r="C38" s="1" t="s">
        <v>360</v>
      </c>
      <c r="D38" s="13">
        <v>44562.0</v>
      </c>
      <c r="E38" s="84" t="str">
        <f t="shared" si="1"/>
        <v>AA</v>
      </c>
    </row>
    <row r="39">
      <c r="B39" s="13">
        <v>44927.0</v>
      </c>
      <c r="C39" s="1" t="s">
        <v>361</v>
      </c>
      <c r="D39" s="13">
        <v>44593.0</v>
      </c>
      <c r="E39" s="84" t="str">
        <f t="shared" si="1"/>
        <v>AB</v>
      </c>
    </row>
    <row r="40">
      <c r="B40" s="13">
        <v>44958.0</v>
      </c>
      <c r="C40" s="1" t="s">
        <v>362</v>
      </c>
      <c r="D40" s="13">
        <v>44621.0</v>
      </c>
      <c r="E40" s="84" t="str">
        <f t="shared" si="1"/>
        <v>AC</v>
      </c>
    </row>
    <row r="41">
      <c r="B41" s="13">
        <v>44986.0</v>
      </c>
      <c r="C41" s="1" t="s">
        <v>363</v>
      </c>
      <c r="D41" s="13">
        <v>44652.0</v>
      </c>
      <c r="E41" s="84" t="str">
        <f t="shared" si="1"/>
        <v>AD</v>
      </c>
    </row>
    <row r="42">
      <c r="B42" s="13">
        <v>45017.0</v>
      </c>
      <c r="C42" s="1" t="s">
        <v>364</v>
      </c>
      <c r="D42" s="13">
        <v>44682.0</v>
      </c>
      <c r="E42" s="84" t="str">
        <f t="shared" si="1"/>
        <v>AE</v>
      </c>
    </row>
    <row r="43">
      <c r="B43" s="13">
        <v>45047.0</v>
      </c>
      <c r="C43" s="1" t="s">
        <v>365</v>
      </c>
      <c r="D43" s="13">
        <v>44713.0</v>
      </c>
      <c r="E43" s="84" t="str">
        <f t="shared" si="1"/>
        <v>AF</v>
      </c>
    </row>
    <row r="44">
      <c r="B44" s="13">
        <v>45078.0</v>
      </c>
      <c r="C44" s="1" t="s">
        <v>366</v>
      </c>
      <c r="D44" s="13">
        <v>44743.0</v>
      </c>
      <c r="E44" s="84" t="str">
        <f t="shared" si="1"/>
        <v>AG</v>
      </c>
    </row>
    <row r="45">
      <c r="B45" s="13">
        <v>45108.0</v>
      </c>
      <c r="C45" s="1" t="s">
        <v>367</v>
      </c>
      <c r="D45" s="13">
        <v>44774.0</v>
      </c>
      <c r="E45" s="84" t="str">
        <f t="shared" si="1"/>
        <v>AH</v>
      </c>
    </row>
    <row r="46">
      <c r="B46" s="13">
        <v>45139.0</v>
      </c>
      <c r="C46" s="1" t="s">
        <v>368</v>
      </c>
      <c r="D46" s="13">
        <v>44805.0</v>
      </c>
      <c r="E46" s="84" t="str">
        <f t="shared" si="1"/>
        <v>AI</v>
      </c>
    </row>
    <row r="47">
      <c r="B47" s="13">
        <v>45170.0</v>
      </c>
      <c r="C47" s="1" t="s">
        <v>369</v>
      </c>
      <c r="D47" s="13">
        <v>44835.0</v>
      </c>
      <c r="E47" s="84" t="str">
        <f t="shared" si="1"/>
        <v>AJ</v>
      </c>
    </row>
    <row r="48">
      <c r="B48" s="13">
        <v>45200.0</v>
      </c>
      <c r="C48" s="1" t="s">
        <v>370</v>
      </c>
      <c r="D48" s="13">
        <v>44866.0</v>
      </c>
      <c r="E48" s="84" t="str">
        <f t="shared" si="1"/>
        <v>AK</v>
      </c>
    </row>
    <row r="49">
      <c r="B49" s="13">
        <v>45231.0</v>
      </c>
      <c r="C49" s="1" t="s">
        <v>371</v>
      </c>
      <c r="D49" s="13">
        <v>44896.0</v>
      </c>
      <c r="E49" s="84" t="str">
        <f t="shared" si="1"/>
        <v>AL</v>
      </c>
    </row>
    <row r="50">
      <c r="B50" s="13">
        <v>45261.0</v>
      </c>
      <c r="C50" s="1" t="s">
        <v>372</v>
      </c>
      <c r="D50" s="13">
        <v>44927.0</v>
      </c>
      <c r="E50" s="84" t="str">
        <f t="shared" si="1"/>
        <v>AM</v>
      </c>
    </row>
    <row r="51">
      <c r="B51" s="13">
        <v>45292.0</v>
      </c>
      <c r="C51" s="1" t="s">
        <v>373</v>
      </c>
      <c r="D51" s="13">
        <v>44958.0</v>
      </c>
      <c r="E51" s="84" t="str">
        <f t="shared" si="1"/>
        <v>AN</v>
      </c>
    </row>
    <row r="52">
      <c r="B52" s="13">
        <v>45323.0</v>
      </c>
      <c r="C52" s="1" t="s">
        <v>374</v>
      </c>
      <c r="D52" s="13">
        <v>44986.0</v>
      </c>
      <c r="E52" s="84" t="str">
        <f t="shared" si="1"/>
        <v>AO</v>
      </c>
    </row>
    <row r="53">
      <c r="B53" s="13">
        <v>45352.0</v>
      </c>
      <c r="C53" s="1" t="s">
        <v>375</v>
      </c>
      <c r="D53" s="13">
        <v>45017.0</v>
      </c>
      <c r="E53" s="84" t="str">
        <f t="shared" si="1"/>
        <v>AP</v>
      </c>
    </row>
    <row r="54">
      <c r="B54" s="13">
        <v>45383.0</v>
      </c>
      <c r="C54" s="1" t="s">
        <v>376</v>
      </c>
      <c r="D54" s="13">
        <v>45047.0</v>
      </c>
      <c r="E54" s="84" t="str">
        <f t="shared" si="1"/>
        <v>AQ</v>
      </c>
    </row>
    <row r="55">
      <c r="B55" s="14">
        <v>45413.0</v>
      </c>
      <c r="C55" s="1" t="s">
        <v>377</v>
      </c>
      <c r="D55" s="13">
        <v>45078.0</v>
      </c>
      <c r="E55" s="84" t="str">
        <f t="shared" si="1"/>
        <v>AR</v>
      </c>
    </row>
    <row r="56">
      <c r="B56" s="13">
        <v>45444.0</v>
      </c>
      <c r="C56" s="1" t="s">
        <v>378</v>
      </c>
      <c r="D56" s="13">
        <v>45108.0</v>
      </c>
      <c r="E56" s="84" t="str">
        <f t="shared" si="1"/>
        <v>AS</v>
      </c>
    </row>
    <row r="57">
      <c r="B57" s="13">
        <v>45474.0</v>
      </c>
      <c r="C57" s="1" t="s">
        <v>379</v>
      </c>
      <c r="D57" s="13">
        <v>45139.0</v>
      </c>
      <c r="E57" s="84" t="str">
        <f t="shared" si="1"/>
        <v>AT</v>
      </c>
    </row>
    <row r="58">
      <c r="B58" s="13">
        <v>45505.0</v>
      </c>
      <c r="C58" s="1" t="s">
        <v>380</v>
      </c>
      <c r="D58" s="13">
        <v>45170.0</v>
      </c>
      <c r="E58" s="84" t="str">
        <f t="shared" si="1"/>
        <v>AU</v>
      </c>
    </row>
    <row r="59">
      <c r="B59" s="13">
        <v>45536.0</v>
      </c>
      <c r="C59" s="1" t="s">
        <v>381</v>
      </c>
      <c r="D59" s="13">
        <v>45200.0</v>
      </c>
      <c r="E59" s="84" t="str">
        <f t="shared" si="1"/>
        <v>AV</v>
      </c>
    </row>
    <row r="60">
      <c r="B60" s="13">
        <v>45566.0</v>
      </c>
      <c r="C60" s="1" t="s">
        <v>382</v>
      </c>
      <c r="D60" s="13">
        <v>45231.0</v>
      </c>
      <c r="E60" s="84" t="str">
        <f t="shared" si="1"/>
        <v>AW</v>
      </c>
    </row>
    <row r="61">
      <c r="B61" s="13">
        <v>45597.0</v>
      </c>
      <c r="C61" s="1" t="s">
        <v>383</v>
      </c>
      <c r="D61" s="13">
        <v>45261.0</v>
      </c>
      <c r="E61" s="84" t="str">
        <f t="shared" si="1"/>
        <v>AX</v>
      </c>
      <c r="G61" s="200"/>
      <c r="H61" s="200"/>
      <c r="I61" s="200"/>
      <c r="J61" s="200"/>
      <c r="K61" s="201"/>
      <c r="L61" s="200"/>
      <c r="M61" s="200"/>
      <c r="N61" s="200"/>
      <c r="O61" s="200"/>
      <c r="P61" s="200"/>
      <c r="Q61" s="200"/>
      <c r="R61" s="200"/>
    </row>
    <row r="62">
      <c r="B62" s="13">
        <v>45627.0</v>
      </c>
      <c r="C62" s="1" t="s">
        <v>384</v>
      </c>
      <c r="D62" s="13">
        <v>45292.0</v>
      </c>
      <c r="E62" s="84" t="str">
        <f t="shared" si="1"/>
        <v>AY</v>
      </c>
    </row>
    <row r="63">
      <c r="B63" s="13">
        <v>45658.0</v>
      </c>
      <c r="C63" s="1" t="s">
        <v>385</v>
      </c>
      <c r="D63" s="13">
        <v>45323.0</v>
      </c>
      <c r="E63" s="1" t="s">
        <v>374</v>
      </c>
    </row>
    <row r="64">
      <c r="B64" s="13">
        <v>45689.0</v>
      </c>
      <c r="C64" s="1" t="s">
        <v>386</v>
      </c>
      <c r="D64" s="13">
        <v>45352.0</v>
      </c>
      <c r="E64" s="1" t="s">
        <v>375</v>
      </c>
    </row>
    <row r="65">
      <c r="B65" s="13">
        <v>45717.0</v>
      </c>
      <c r="C65" s="1" t="s">
        <v>387</v>
      </c>
      <c r="D65" s="13">
        <v>45383.0</v>
      </c>
      <c r="E65" s="1" t="s">
        <v>376</v>
      </c>
    </row>
    <row r="66">
      <c r="B66" s="13">
        <v>45748.0</v>
      </c>
      <c r="C66" s="1" t="s">
        <v>388</v>
      </c>
      <c r="D66" s="14">
        <v>45413.0</v>
      </c>
      <c r="E66" s="1" t="s">
        <v>377</v>
      </c>
    </row>
    <row r="67">
      <c r="B67" s="13">
        <v>45778.0</v>
      </c>
      <c r="C67" s="1" t="s">
        <v>389</v>
      </c>
      <c r="D67" s="13">
        <v>45444.0</v>
      </c>
      <c r="E67" s="1" t="s">
        <v>378</v>
      </c>
    </row>
    <row r="68">
      <c r="B68" s="13">
        <v>45809.0</v>
      </c>
      <c r="C68" s="1" t="s">
        <v>390</v>
      </c>
      <c r="D68" s="13">
        <v>45474.0</v>
      </c>
      <c r="E68" s="1" t="s">
        <v>379</v>
      </c>
    </row>
    <row r="69">
      <c r="B69" s="13">
        <v>45839.0</v>
      </c>
      <c r="C69" s="1" t="s">
        <v>391</v>
      </c>
      <c r="D69" s="13">
        <v>45505.0</v>
      </c>
      <c r="E69" s="1" t="s">
        <v>380</v>
      </c>
    </row>
    <row r="70">
      <c r="B70" s="13">
        <v>45870.0</v>
      </c>
      <c r="C70" s="1" t="s">
        <v>392</v>
      </c>
      <c r="D70" s="13">
        <v>45536.0</v>
      </c>
      <c r="E70" s="1" t="s">
        <v>381</v>
      </c>
    </row>
    <row r="71">
      <c r="B71" s="13">
        <v>45901.0</v>
      </c>
      <c r="C71" s="1" t="s">
        <v>393</v>
      </c>
      <c r="D71" s="13">
        <v>45566.0</v>
      </c>
      <c r="E71" s="1" t="s">
        <v>382</v>
      </c>
    </row>
    <row r="72">
      <c r="B72" s="13">
        <v>45931.0</v>
      </c>
      <c r="C72" s="1" t="s">
        <v>394</v>
      </c>
      <c r="D72" s="13">
        <v>45597.0</v>
      </c>
      <c r="E72" s="1" t="s">
        <v>383</v>
      </c>
    </row>
    <row r="73">
      <c r="B73" s="13">
        <v>45962.0</v>
      </c>
      <c r="C73" s="1" t="s">
        <v>395</v>
      </c>
      <c r="D73" s="13">
        <v>45627.0</v>
      </c>
      <c r="E73" s="1" t="s">
        <v>384</v>
      </c>
    </row>
    <row r="74">
      <c r="B74" s="13">
        <v>45992.0</v>
      </c>
      <c r="C74" s="1" t="s">
        <v>396</v>
      </c>
      <c r="D74" s="13">
        <v>45658.0</v>
      </c>
      <c r="E74" s="1" t="s">
        <v>385</v>
      </c>
    </row>
    <row r="75">
      <c r="B75" s="13">
        <v>46023.0</v>
      </c>
      <c r="C75" s="1" t="s">
        <v>397</v>
      </c>
      <c r="D75" s="13">
        <v>46023.0</v>
      </c>
      <c r="E75" s="1" t="s">
        <v>386</v>
      </c>
    </row>
    <row r="76">
      <c r="B76" s="13">
        <v>46054.0</v>
      </c>
      <c r="C76" s="1" t="s">
        <v>398</v>
      </c>
      <c r="D76" s="13">
        <v>46054.0</v>
      </c>
      <c r="E76" s="1" t="s">
        <v>387</v>
      </c>
    </row>
    <row r="77">
      <c r="B77" s="13">
        <v>46082.0</v>
      </c>
      <c r="C77" s="1" t="s">
        <v>399</v>
      </c>
      <c r="D77" s="13">
        <v>46082.0</v>
      </c>
      <c r="E77" s="1" t="s">
        <v>388</v>
      </c>
    </row>
    <row r="78">
      <c r="B78" s="13">
        <v>46113.0</v>
      </c>
      <c r="C78" s="1" t="s">
        <v>400</v>
      </c>
      <c r="D78" s="13">
        <v>46113.0</v>
      </c>
      <c r="E78" s="1" t="s">
        <v>389</v>
      </c>
    </row>
    <row r="79">
      <c r="B79" s="13">
        <v>46143.0</v>
      </c>
      <c r="C79" s="1" t="s">
        <v>401</v>
      </c>
      <c r="D79" s="13">
        <v>46143.0</v>
      </c>
      <c r="E79" s="1" t="s">
        <v>390</v>
      </c>
    </row>
    <row r="80">
      <c r="B80" s="13">
        <v>46174.0</v>
      </c>
      <c r="C80" s="1" t="s">
        <v>402</v>
      </c>
      <c r="D80" s="13">
        <v>46174.0</v>
      </c>
      <c r="E80" s="1" t="s">
        <v>391</v>
      </c>
    </row>
    <row r="81">
      <c r="B81" s="13">
        <v>46204.0</v>
      </c>
      <c r="C81" s="1" t="s">
        <v>403</v>
      </c>
      <c r="D81" s="13">
        <v>46204.0</v>
      </c>
      <c r="E81" s="1" t="s">
        <v>392</v>
      </c>
    </row>
    <row r="82">
      <c r="B82" s="13">
        <v>46235.0</v>
      </c>
      <c r="C82" s="1" t="s">
        <v>404</v>
      </c>
      <c r="D82" s="13">
        <v>46235.0</v>
      </c>
      <c r="E82" s="1" t="s">
        <v>393</v>
      </c>
    </row>
    <row r="83">
      <c r="B83" s="13">
        <v>46266.0</v>
      </c>
      <c r="C83" s="1" t="s">
        <v>405</v>
      </c>
      <c r="D83" s="13">
        <v>46266.0</v>
      </c>
      <c r="E83" s="1" t="s">
        <v>394</v>
      </c>
    </row>
    <row r="84">
      <c r="B84" s="13">
        <v>46296.0</v>
      </c>
      <c r="C84" s="1" t="s">
        <v>406</v>
      </c>
      <c r="D84" s="13">
        <v>46296.0</v>
      </c>
      <c r="E84" s="1" t="s">
        <v>395</v>
      </c>
    </row>
    <row r="85">
      <c r="B85" s="13">
        <v>46327.0</v>
      </c>
      <c r="C85" s="1" t="s">
        <v>407</v>
      </c>
      <c r="D85" s="13">
        <v>46327.0</v>
      </c>
      <c r="E85" s="1" t="s">
        <v>396</v>
      </c>
    </row>
    <row r="86">
      <c r="B86" s="13">
        <v>46357.0</v>
      </c>
      <c r="C86" s="1" t="s">
        <v>408</v>
      </c>
      <c r="D86" s="13">
        <v>46357.0</v>
      </c>
      <c r="E86" s="1" t="s">
        <v>397</v>
      </c>
    </row>
    <row r="87">
      <c r="B87" s="1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 outlineLevelRow="1"/>
  <cols>
    <col customWidth="1" min="1" max="1" width="41.71"/>
  </cols>
  <sheetData>
    <row r="1">
      <c r="A1" s="296" t="s">
        <v>223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</row>
    <row r="2">
      <c r="A2" s="296" t="s">
        <v>224</v>
      </c>
      <c r="B2" s="296"/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</row>
    <row r="3">
      <c r="A3" s="297" t="s">
        <v>409</v>
      </c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</row>
    <row r="4">
      <c r="A4" s="298"/>
      <c r="B4" s="298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298"/>
    </row>
    <row r="5">
      <c r="A5" s="299"/>
      <c r="B5" s="300">
        <v>44927.0</v>
      </c>
      <c r="C5" s="300">
        <v>44958.0</v>
      </c>
      <c r="D5" s="300">
        <v>44986.0</v>
      </c>
      <c r="E5" s="300">
        <v>45017.0</v>
      </c>
      <c r="F5" s="301">
        <v>45047.0</v>
      </c>
      <c r="G5" s="300">
        <v>45078.0</v>
      </c>
      <c r="H5" s="300">
        <v>45108.0</v>
      </c>
      <c r="I5" s="300">
        <v>45139.0</v>
      </c>
      <c r="J5" s="300">
        <v>45170.0</v>
      </c>
      <c r="K5" s="300">
        <v>45200.0</v>
      </c>
      <c r="L5" s="300">
        <v>45231.0</v>
      </c>
      <c r="M5" s="300">
        <v>45261.0</v>
      </c>
      <c r="N5" s="302" t="s">
        <v>176</v>
      </c>
    </row>
    <row r="6">
      <c r="A6" s="304" t="s">
        <v>262</v>
      </c>
      <c r="B6" s="305"/>
      <c r="C6" s="305"/>
      <c r="D6" s="305"/>
      <c r="E6" s="305"/>
      <c r="F6" s="305"/>
      <c r="G6" s="305"/>
      <c r="H6" s="305"/>
      <c r="I6" s="305"/>
      <c r="J6" s="305"/>
      <c r="K6" s="305"/>
      <c r="L6" s="305"/>
      <c r="M6" s="305"/>
      <c r="N6" s="305"/>
    </row>
    <row r="7">
      <c r="A7" s="304" t="s">
        <v>175</v>
      </c>
      <c r="B7" s="305"/>
      <c r="C7" s="305"/>
      <c r="D7" s="305"/>
      <c r="E7" s="305"/>
      <c r="F7" s="305"/>
      <c r="G7" s="305"/>
      <c r="H7" s="305"/>
      <c r="I7" s="305"/>
      <c r="J7" s="305"/>
      <c r="K7" s="305"/>
      <c r="L7" s="305"/>
      <c r="M7" s="305"/>
      <c r="N7" s="306">
        <v>0.0</v>
      </c>
    </row>
    <row r="8">
      <c r="A8" s="304" t="s">
        <v>59</v>
      </c>
      <c r="B8" s="307">
        <v>559572.0</v>
      </c>
      <c r="C8" s="307">
        <v>87276.0</v>
      </c>
      <c r="D8" s="307">
        <v>391940.0</v>
      </c>
      <c r="E8" s="307">
        <v>208313.25</v>
      </c>
      <c r="F8" s="307">
        <v>146890.5</v>
      </c>
      <c r="G8" s="307">
        <v>811067.0</v>
      </c>
      <c r="H8" s="307">
        <v>94450.0</v>
      </c>
      <c r="I8" s="307">
        <v>184810.0</v>
      </c>
      <c r="J8" s="307">
        <v>356012.5</v>
      </c>
      <c r="K8" s="305"/>
      <c r="L8" s="305"/>
      <c r="M8" s="305"/>
      <c r="N8" s="307">
        <v>2840331.25</v>
      </c>
    </row>
    <row r="9">
      <c r="A9" s="304" t="s">
        <v>410</v>
      </c>
      <c r="B9" s="307">
        <v>421600.0</v>
      </c>
      <c r="C9" s="307">
        <v>529360.0</v>
      </c>
      <c r="D9" s="307">
        <v>252295.0</v>
      </c>
      <c r="E9" s="307">
        <v>417161.8</v>
      </c>
      <c r="F9" s="307">
        <v>395996.54</v>
      </c>
      <c r="G9" s="307">
        <v>430201.04</v>
      </c>
      <c r="H9" s="307">
        <v>495465.44</v>
      </c>
      <c r="I9" s="307">
        <v>1416731.84</v>
      </c>
      <c r="J9" s="307">
        <v>887000.33</v>
      </c>
      <c r="K9" s="305"/>
      <c r="L9" s="305"/>
      <c r="M9" s="305"/>
      <c r="N9" s="307">
        <v>5245811.99</v>
      </c>
    </row>
    <row r="10">
      <c r="A10" s="304" t="s">
        <v>411</v>
      </c>
      <c r="B10" s="306">
        <v>0.0</v>
      </c>
      <c r="C10" s="306">
        <v>0.0</v>
      </c>
      <c r="D10" s="306">
        <v>0.0</v>
      </c>
      <c r="E10" s="306">
        <v>0.0</v>
      </c>
      <c r="F10" s="306">
        <v>0.0</v>
      </c>
      <c r="G10" s="306">
        <v>0.0</v>
      </c>
      <c r="H10" s="306">
        <v>0.0</v>
      </c>
      <c r="I10" s="305"/>
      <c r="J10" s="305"/>
      <c r="K10" s="305"/>
      <c r="L10" s="305"/>
      <c r="M10" s="305"/>
      <c r="N10" s="306">
        <v>0.0</v>
      </c>
    </row>
    <row r="11">
      <c r="A11" s="304" t="s">
        <v>412</v>
      </c>
      <c r="B11" s="307">
        <v>938486.95</v>
      </c>
      <c r="C11" s="307">
        <v>930292.97</v>
      </c>
      <c r="D11" s="307">
        <v>916284.65</v>
      </c>
      <c r="E11" s="307">
        <v>737665.68</v>
      </c>
      <c r="F11" s="307">
        <v>481644.55</v>
      </c>
      <c r="G11" s="307">
        <v>675647.95</v>
      </c>
      <c r="H11" s="307">
        <v>447083.2</v>
      </c>
      <c r="I11" s="307">
        <v>605871.4</v>
      </c>
      <c r="J11" s="307">
        <v>426413.85</v>
      </c>
      <c r="K11" s="305"/>
      <c r="L11" s="305"/>
      <c r="M11" s="305"/>
      <c r="N11" s="307">
        <v>6159391.2</v>
      </c>
    </row>
    <row r="12">
      <c r="A12" s="304" t="s">
        <v>413</v>
      </c>
      <c r="B12" s="308">
        <v>1919658.95</v>
      </c>
      <c r="C12" s="308">
        <v>1546928.97</v>
      </c>
      <c r="D12" s="308">
        <v>1560519.65</v>
      </c>
      <c r="E12" s="308">
        <v>1363140.73</v>
      </c>
      <c r="F12" s="308">
        <v>1024531.59</v>
      </c>
      <c r="G12" s="308">
        <v>1916915.99</v>
      </c>
      <c r="H12" s="308">
        <v>1036998.64</v>
      </c>
      <c r="I12" s="308">
        <v>2207413.24</v>
      </c>
      <c r="J12" s="308">
        <v>1669426.68</v>
      </c>
      <c r="K12" s="308">
        <v>0.0</v>
      </c>
      <c r="L12" s="308">
        <v>0.0</v>
      </c>
      <c r="M12" s="308">
        <v>0.0</v>
      </c>
      <c r="N12" s="308">
        <v>1.424553444E7</v>
      </c>
    </row>
    <row r="13">
      <c r="A13" s="304" t="s">
        <v>179</v>
      </c>
      <c r="B13" s="305"/>
      <c r="C13" s="305"/>
      <c r="D13" s="305"/>
      <c r="E13" s="305"/>
      <c r="F13" s="305"/>
      <c r="G13" s="305"/>
      <c r="H13" s="305"/>
      <c r="I13" s="305"/>
      <c r="J13" s="305"/>
      <c r="K13" s="305"/>
      <c r="L13" s="305"/>
      <c r="M13" s="305"/>
      <c r="N13" s="306">
        <v>0.0</v>
      </c>
    </row>
    <row r="14">
      <c r="A14" s="304" t="s">
        <v>414</v>
      </c>
      <c r="B14" s="307">
        <v>34551.25</v>
      </c>
      <c r="C14" s="307">
        <v>389267.72</v>
      </c>
      <c r="D14" s="307">
        <v>67089.25</v>
      </c>
      <c r="E14" s="307">
        <v>17504.06</v>
      </c>
      <c r="F14" s="305"/>
      <c r="G14" s="307">
        <v>172136.95</v>
      </c>
      <c r="H14" s="307">
        <v>57867.61</v>
      </c>
      <c r="I14" s="307">
        <v>160030.49</v>
      </c>
      <c r="J14" s="307">
        <v>75055.3</v>
      </c>
      <c r="K14" s="305"/>
      <c r="L14" s="305"/>
      <c r="M14" s="305"/>
      <c r="N14" s="307">
        <v>973502.63</v>
      </c>
    </row>
    <row r="15">
      <c r="A15" s="304" t="s">
        <v>415</v>
      </c>
      <c r="B15" s="308">
        <v>34551.25</v>
      </c>
      <c r="C15" s="308">
        <v>389267.72</v>
      </c>
      <c r="D15" s="308">
        <v>67089.25</v>
      </c>
      <c r="E15" s="308">
        <v>17504.06</v>
      </c>
      <c r="F15" s="308">
        <v>0.0</v>
      </c>
      <c r="G15" s="308">
        <v>172136.95</v>
      </c>
      <c r="H15" s="308">
        <v>57867.61</v>
      </c>
      <c r="I15" s="308">
        <v>160030.49</v>
      </c>
      <c r="J15" s="308">
        <v>75055.3</v>
      </c>
      <c r="K15" s="308">
        <v>0.0</v>
      </c>
      <c r="L15" s="308">
        <v>0.0</v>
      </c>
      <c r="M15" s="308">
        <v>0.0</v>
      </c>
      <c r="N15" s="308">
        <v>973502.63</v>
      </c>
    </row>
    <row r="16">
      <c r="A16" s="304" t="s">
        <v>275</v>
      </c>
      <c r="B16" s="308">
        <v>1954210.2</v>
      </c>
      <c r="C16" s="308">
        <v>1936196.69</v>
      </c>
      <c r="D16" s="308">
        <v>1627608.9</v>
      </c>
      <c r="E16" s="308">
        <v>1380644.79</v>
      </c>
      <c r="F16" s="308">
        <v>1024531.59</v>
      </c>
      <c r="G16" s="308">
        <v>2089052.94</v>
      </c>
      <c r="H16" s="308">
        <v>1094866.25</v>
      </c>
      <c r="I16" s="308">
        <v>2367443.73</v>
      </c>
      <c r="J16" s="308">
        <v>1744481.98</v>
      </c>
      <c r="K16" s="308">
        <v>0.0</v>
      </c>
      <c r="L16" s="308">
        <v>0.0</v>
      </c>
      <c r="M16" s="308">
        <v>0.0</v>
      </c>
      <c r="N16" s="308">
        <v>1.521903707E7</v>
      </c>
    </row>
    <row r="17">
      <c r="A17" s="304" t="s">
        <v>185</v>
      </c>
      <c r="B17" s="305"/>
      <c r="C17" s="305"/>
      <c r="D17" s="305"/>
      <c r="E17" s="305"/>
      <c r="F17" s="305"/>
      <c r="G17" s="305"/>
      <c r="H17" s="305"/>
      <c r="I17" s="305"/>
      <c r="J17" s="305"/>
      <c r="K17" s="305"/>
      <c r="L17" s="305"/>
      <c r="M17" s="305"/>
      <c r="N17" s="305"/>
    </row>
    <row r="18">
      <c r="A18" s="304" t="s">
        <v>416</v>
      </c>
      <c r="B18" s="305"/>
      <c r="C18" s="305"/>
      <c r="D18" s="305"/>
      <c r="E18" s="305"/>
      <c r="F18" s="305"/>
      <c r="G18" s="305"/>
      <c r="H18" s="305"/>
      <c r="I18" s="305"/>
      <c r="J18" s="305"/>
      <c r="K18" s="305"/>
      <c r="L18" s="305"/>
      <c r="M18" s="305"/>
      <c r="N18" s="306">
        <v>0.0</v>
      </c>
    </row>
    <row r="19">
      <c r="A19" s="304" t="s">
        <v>417</v>
      </c>
      <c r="B19" s="307">
        <v>28258.26</v>
      </c>
      <c r="C19" s="307">
        <v>21399.06</v>
      </c>
      <c r="D19" s="307">
        <v>21113.46</v>
      </c>
      <c r="E19" s="307">
        <v>21041.32</v>
      </c>
      <c r="F19" s="307">
        <v>19864.77</v>
      </c>
      <c r="G19" s="307">
        <v>19964.57</v>
      </c>
      <c r="H19" s="307">
        <v>20654.77</v>
      </c>
      <c r="I19" s="307">
        <v>32402.3</v>
      </c>
      <c r="J19" s="307">
        <v>23352.51</v>
      </c>
      <c r="K19" s="305"/>
      <c r="L19" s="305"/>
      <c r="M19" s="305"/>
      <c r="N19" s="307">
        <v>208051.02</v>
      </c>
    </row>
    <row r="20">
      <c r="A20" s="304" t="s">
        <v>418</v>
      </c>
      <c r="B20" s="307">
        <v>29689.42</v>
      </c>
      <c r="C20" s="307">
        <v>32876.76</v>
      </c>
      <c r="D20" s="307">
        <v>37549.13</v>
      </c>
      <c r="E20" s="307">
        <v>31167.8</v>
      </c>
      <c r="F20" s="307">
        <v>33370.16</v>
      </c>
      <c r="G20" s="307">
        <v>39996.94</v>
      </c>
      <c r="H20" s="307">
        <v>31549.15</v>
      </c>
      <c r="I20" s="307">
        <v>32565.49</v>
      </c>
      <c r="J20" s="307">
        <v>36828.73</v>
      </c>
      <c r="K20" s="305"/>
      <c r="L20" s="305"/>
      <c r="M20" s="305"/>
      <c r="N20" s="307">
        <v>305593.58</v>
      </c>
    </row>
    <row r="21">
      <c r="A21" s="304" t="s">
        <v>419</v>
      </c>
      <c r="B21" s="307">
        <v>5000.0</v>
      </c>
      <c r="C21" s="307">
        <v>15000.0</v>
      </c>
      <c r="D21" s="307">
        <v>6500.0</v>
      </c>
      <c r="E21" s="307">
        <v>4150.0</v>
      </c>
      <c r="F21" s="307">
        <v>6450.0</v>
      </c>
      <c r="G21" s="307">
        <v>5600.0</v>
      </c>
      <c r="H21" s="307">
        <v>11250.0</v>
      </c>
      <c r="I21" s="307">
        <v>10121.46</v>
      </c>
      <c r="J21" s="307">
        <v>23568.84</v>
      </c>
      <c r="K21" s="305"/>
      <c r="L21" s="305"/>
      <c r="M21" s="305"/>
      <c r="N21" s="307">
        <v>87640.3</v>
      </c>
    </row>
    <row r="22">
      <c r="A22" s="304" t="s">
        <v>420</v>
      </c>
      <c r="B22" s="305"/>
      <c r="C22" s="305"/>
      <c r="D22" s="305"/>
      <c r="E22" s="305"/>
      <c r="F22" s="305"/>
      <c r="G22" s="305"/>
      <c r="H22" s="305"/>
      <c r="I22" s="305"/>
      <c r="J22" s="306">
        <v>0.0</v>
      </c>
      <c r="K22" s="305"/>
      <c r="L22" s="305"/>
      <c r="M22" s="305"/>
      <c r="N22" s="306">
        <v>0.0</v>
      </c>
    </row>
    <row r="23">
      <c r="A23" s="304" t="s">
        <v>421</v>
      </c>
      <c r="B23" s="307">
        <v>4236.0</v>
      </c>
      <c r="C23" s="307">
        <v>4493.0</v>
      </c>
      <c r="D23" s="307">
        <v>4750.0</v>
      </c>
      <c r="E23" s="307">
        <v>4483.0</v>
      </c>
      <c r="F23" s="307">
        <v>6156.0</v>
      </c>
      <c r="G23" s="307">
        <v>4426.0</v>
      </c>
      <c r="H23" s="307">
        <v>6696.0</v>
      </c>
      <c r="I23" s="307">
        <v>5663.0</v>
      </c>
      <c r="J23" s="307">
        <v>7504.77</v>
      </c>
      <c r="K23" s="305"/>
      <c r="L23" s="305"/>
      <c r="M23" s="305"/>
      <c r="N23" s="307">
        <v>48407.77</v>
      </c>
    </row>
    <row r="24">
      <c r="A24" s="304" t="s">
        <v>422</v>
      </c>
      <c r="B24" s="307">
        <v>74382.69</v>
      </c>
      <c r="C24" s="307">
        <v>41949.04</v>
      </c>
      <c r="D24" s="307">
        <v>41082.43</v>
      </c>
      <c r="E24" s="307">
        <v>48620.11</v>
      </c>
      <c r="F24" s="307">
        <v>36143.78</v>
      </c>
      <c r="G24" s="307">
        <v>36281.69</v>
      </c>
      <c r="H24" s="307">
        <v>36225.15</v>
      </c>
      <c r="I24" s="307">
        <v>57900.64</v>
      </c>
      <c r="J24" s="307">
        <v>39070.91</v>
      </c>
      <c r="K24" s="305"/>
      <c r="L24" s="305"/>
      <c r="M24" s="305"/>
      <c r="N24" s="307">
        <v>411656.44</v>
      </c>
    </row>
    <row r="25">
      <c r="A25" s="304" t="s">
        <v>423</v>
      </c>
      <c r="B25" s="307">
        <v>686942.37</v>
      </c>
      <c r="C25" s="307">
        <v>488000.05</v>
      </c>
      <c r="D25" s="307">
        <v>503547.39</v>
      </c>
      <c r="E25" s="307">
        <v>501491.16</v>
      </c>
      <c r="F25" s="307">
        <v>492556.05</v>
      </c>
      <c r="G25" s="307">
        <v>461611.44</v>
      </c>
      <c r="H25" s="307">
        <v>515883.83</v>
      </c>
      <c r="I25" s="307">
        <v>777379.8</v>
      </c>
      <c r="J25" s="307">
        <v>553198.82</v>
      </c>
      <c r="K25" s="305"/>
      <c r="L25" s="305"/>
      <c r="M25" s="305"/>
      <c r="N25" s="307">
        <v>4980610.91</v>
      </c>
    </row>
    <row r="26">
      <c r="A26" s="304" t="s">
        <v>424</v>
      </c>
      <c r="B26" s="305"/>
      <c r="C26" s="305"/>
      <c r="D26" s="307">
        <v>10769.23</v>
      </c>
      <c r="E26" s="307">
        <v>150769.23</v>
      </c>
      <c r="F26" s="307">
        <v>42307.7</v>
      </c>
      <c r="G26" s="307">
        <v>25000.0</v>
      </c>
      <c r="H26" s="307">
        <v>25000.0</v>
      </c>
      <c r="I26" s="307">
        <v>25000.0</v>
      </c>
      <c r="J26" s="307">
        <v>25000.0</v>
      </c>
      <c r="K26" s="305"/>
      <c r="L26" s="305"/>
      <c r="M26" s="305"/>
      <c r="N26" s="307">
        <v>303846.16</v>
      </c>
    </row>
    <row r="27">
      <c r="A27" s="304" t="s">
        <v>425</v>
      </c>
      <c r="B27" s="308">
        <v>828508.74</v>
      </c>
      <c r="C27" s="308">
        <v>603717.91</v>
      </c>
      <c r="D27" s="308">
        <v>625311.64</v>
      </c>
      <c r="E27" s="308">
        <v>761722.62</v>
      </c>
      <c r="F27" s="308">
        <v>636848.46</v>
      </c>
      <c r="G27" s="308">
        <v>592880.64</v>
      </c>
      <c r="H27" s="308">
        <v>647258.9</v>
      </c>
      <c r="I27" s="308">
        <v>941032.69</v>
      </c>
      <c r="J27" s="308">
        <v>708524.58</v>
      </c>
      <c r="K27" s="308">
        <v>0.0</v>
      </c>
      <c r="L27" s="308">
        <v>0.0</v>
      </c>
      <c r="M27" s="308">
        <v>0.0</v>
      </c>
      <c r="N27" s="308">
        <v>6345806.18</v>
      </c>
    </row>
    <row r="28">
      <c r="A28" s="304" t="s">
        <v>426</v>
      </c>
      <c r="B28" s="308">
        <v>828508.74</v>
      </c>
      <c r="C28" s="308">
        <v>603717.91</v>
      </c>
      <c r="D28" s="308">
        <v>625311.64</v>
      </c>
      <c r="E28" s="308">
        <v>761722.62</v>
      </c>
      <c r="F28" s="308">
        <v>636848.46</v>
      </c>
      <c r="G28" s="308">
        <v>592880.64</v>
      </c>
      <c r="H28" s="308">
        <v>647258.9</v>
      </c>
      <c r="I28" s="308">
        <v>941032.69</v>
      </c>
      <c r="J28" s="308">
        <v>708524.58</v>
      </c>
      <c r="K28" s="308">
        <v>0.0</v>
      </c>
      <c r="L28" s="308">
        <v>0.0</v>
      </c>
      <c r="M28" s="308">
        <v>0.0</v>
      </c>
      <c r="N28" s="308">
        <v>6345806.18</v>
      </c>
    </row>
    <row r="29">
      <c r="A29" s="304" t="s">
        <v>276</v>
      </c>
      <c r="B29" s="308">
        <v>1125701.46</v>
      </c>
      <c r="C29" s="308">
        <v>1332478.78</v>
      </c>
      <c r="D29" s="308">
        <v>1002297.26</v>
      </c>
      <c r="E29" s="308">
        <v>618922.17</v>
      </c>
      <c r="F29" s="308">
        <v>387683.13</v>
      </c>
      <c r="G29" s="308">
        <v>1496172.3</v>
      </c>
      <c r="H29" s="308">
        <v>447607.35</v>
      </c>
      <c r="I29" s="308">
        <v>1426411.04</v>
      </c>
      <c r="J29" s="308">
        <v>1035957.4</v>
      </c>
      <c r="K29" s="308">
        <v>0.0</v>
      </c>
      <c r="L29" s="308">
        <v>0.0</v>
      </c>
      <c r="M29" s="308">
        <v>0.0</v>
      </c>
      <c r="N29" s="308">
        <v>8873230.89</v>
      </c>
    </row>
    <row r="30">
      <c r="A30" s="304" t="s">
        <v>277</v>
      </c>
      <c r="B30" s="305"/>
      <c r="C30" s="305"/>
      <c r="D30" s="305"/>
      <c r="E30" s="305"/>
      <c r="F30" s="305"/>
      <c r="G30" s="305"/>
      <c r="H30" s="305"/>
      <c r="I30" s="305"/>
      <c r="J30" s="305"/>
      <c r="K30" s="305"/>
      <c r="L30" s="305"/>
      <c r="M30" s="305"/>
      <c r="N30" s="305"/>
    </row>
    <row r="31">
      <c r="A31" s="304" t="s">
        <v>427</v>
      </c>
      <c r="B31" s="305"/>
      <c r="C31" s="305"/>
      <c r="D31" s="305"/>
      <c r="E31" s="305"/>
      <c r="F31" s="305"/>
      <c r="G31" s="305"/>
      <c r="H31" s="305"/>
      <c r="I31" s="305"/>
      <c r="J31" s="305"/>
      <c r="K31" s="305"/>
      <c r="L31" s="305"/>
      <c r="M31" s="305"/>
      <c r="N31" s="306">
        <v>0.0</v>
      </c>
    </row>
    <row r="32">
      <c r="A32" s="304" t="s">
        <v>428</v>
      </c>
      <c r="B32" s="305"/>
      <c r="C32" s="305"/>
      <c r="D32" s="305"/>
      <c r="E32" s="305"/>
      <c r="F32" s="307">
        <v>2420.52</v>
      </c>
      <c r="G32" s="305"/>
      <c r="H32" s="305"/>
      <c r="I32" s="305"/>
      <c r="J32" s="307">
        <v>1515.0</v>
      </c>
      <c r="K32" s="305"/>
      <c r="L32" s="305"/>
      <c r="M32" s="305"/>
      <c r="N32" s="307">
        <v>3935.52</v>
      </c>
    </row>
    <row r="33">
      <c r="A33" s="304" t="s">
        <v>429</v>
      </c>
      <c r="B33" s="306">
        <v>989.27</v>
      </c>
      <c r="C33" s="306">
        <v>-192.49</v>
      </c>
      <c r="D33" s="306">
        <v>693.8</v>
      </c>
      <c r="E33" s="307">
        <v>2883.31</v>
      </c>
      <c r="F33" s="306">
        <v>-266.95</v>
      </c>
      <c r="G33" s="307">
        <v>4961.74</v>
      </c>
      <c r="H33" s="306">
        <v>481.75</v>
      </c>
      <c r="I33" s="307">
        <v>1546.12</v>
      </c>
      <c r="J33" s="306">
        <v>464.54</v>
      </c>
      <c r="K33" s="305"/>
      <c r="L33" s="305"/>
      <c r="M33" s="305"/>
      <c r="N33" s="307">
        <v>11561.09</v>
      </c>
    </row>
    <row r="34">
      <c r="A34" s="304" t="s">
        <v>430</v>
      </c>
      <c r="B34" s="307">
        <v>34960.3</v>
      </c>
      <c r="C34" s="305"/>
      <c r="D34" s="307">
        <v>5000.0</v>
      </c>
      <c r="E34" s="307">
        <v>19600.0</v>
      </c>
      <c r="F34" s="307">
        <v>2050.0</v>
      </c>
      <c r="G34" s="307">
        <v>22781.5</v>
      </c>
      <c r="H34" s="307">
        <v>1060.75</v>
      </c>
      <c r="I34" s="307">
        <v>13705.0</v>
      </c>
      <c r="J34" s="305"/>
      <c r="K34" s="305"/>
      <c r="L34" s="305"/>
      <c r="M34" s="305"/>
      <c r="N34" s="307">
        <v>99157.55</v>
      </c>
    </row>
    <row r="35">
      <c r="A35" s="304" t="s">
        <v>431</v>
      </c>
      <c r="B35" s="307">
        <v>69811.91</v>
      </c>
      <c r="C35" s="307">
        <v>137604.39</v>
      </c>
      <c r="D35" s="307">
        <v>68580.0</v>
      </c>
      <c r="E35" s="307">
        <v>138285.51</v>
      </c>
      <c r="F35" s="307">
        <v>6976.0</v>
      </c>
      <c r="G35" s="307">
        <v>38146.0</v>
      </c>
      <c r="H35" s="307">
        <v>9548.0</v>
      </c>
      <c r="I35" s="307">
        <v>55817.5</v>
      </c>
      <c r="J35" s="307">
        <v>15191.5</v>
      </c>
      <c r="K35" s="305"/>
      <c r="L35" s="305"/>
      <c r="M35" s="305"/>
      <c r="N35" s="307">
        <v>539960.81</v>
      </c>
    </row>
    <row r="36">
      <c r="A36" s="304" t="s">
        <v>196</v>
      </c>
      <c r="B36" s="307">
        <v>4386.53</v>
      </c>
      <c r="C36" s="307">
        <v>4386.53</v>
      </c>
      <c r="D36" s="307">
        <v>4386.53</v>
      </c>
      <c r="E36" s="307">
        <v>4386.53</v>
      </c>
      <c r="F36" s="307">
        <v>4760.86</v>
      </c>
      <c r="G36" s="307">
        <v>5163.23</v>
      </c>
      <c r="H36" s="307">
        <v>5223.36</v>
      </c>
      <c r="I36" s="307">
        <v>8746.25</v>
      </c>
      <c r="J36" s="307">
        <v>7526.92</v>
      </c>
      <c r="K36" s="305"/>
      <c r="L36" s="305"/>
      <c r="M36" s="305"/>
      <c r="N36" s="307">
        <v>48966.74</v>
      </c>
    </row>
    <row r="37">
      <c r="A37" s="304" t="s">
        <v>432</v>
      </c>
      <c r="B37" s="307">
        <v>5678.43</v>
      </c>
      <c r="C37" s="307">
        <v>5312.0</v>
      </c>
      <c r="D37" s="307">
        <v>3197.0</v>
      </c>
      <c r="E37" s="307">
        <v>32792.0</v>
      </c>
      <c r="F37" s="307">
        <v>8637.0</v>
      </c>
      <c r="G37" s="306">
        <v>450.0</v>
      </c>
      <c r="H37" s="307">
        <v>1851.0</v>
      </c>
      <c r="I37" s="307">
        <v>9262.0</v>
      </c>
      <c r="J37" s="307">
        <v>5639.0</v>
      </c>
      <c r="K37" s="305"/>
      <c r="L37" s="305"/>
      <c r="M37" s="305"/>
      <c r="N37" s="307">
        <v>72818.43</v>
      </c>
    </row>
    <row r="38">
      <c r="A38" s="304" t="s">
        <v>433</v>
      </c>
      <c r="B38" s="305"/>
      <c r="C38" s="306">
        <v>-710.43</v>
      </c>
      <c r="D38" s="307">
        <v>1841.58</v>
      </c>
      <c r="E38" s="307">
        <v>4123.57</v>
      </c>
      <c r="F38" s="307">
        <v>3450.0</v>
      </c>
      <c r="G38" s="306">
        <v>-757.82</v>
      </c>
      <c r="H38" s="305"/>
      <c r="I38" s="306">
        <v>500.0</v>
      </c>
      <c r="J38" s="306">
        <v>56.44</v>
      </c>
      <c r="K38" s="305"/>
      <c r="L38" s="305"/>
      <c r="M38" s="305"/>
      <c r="N38" s="307">
        <v>8503.34</v>
      </c>
    </row>
    <row r="39">
      <c r="A39" s="304" t="s">
        <v>434</v>
      </c>
      <c r="B39" s="305"/>
      <c r="C39" s="305"/>
      <c r="D39" s="305"/>
      <c r="E39" s="305"/>
      <c r="F39" s="305"/>
      <c r="G39" s="305"/>
      <c r="H39" s="305"/>
      <c r="I39" s="305"/>
      <c r="J39" s="305"/>
      <c r="K39" s="305"/>
      <c r="L39" s="305"/>
      <c r="M39" s="305"/>
      <c r="N39" s="306">
        <v>0.0</v>
      </c>
    </row>
    <row r="40">
      <c r="A40" s="304" t="s">
        <v>435</v>
      </c>
      <c r="B40" s="305"/>
      <c r="C40" s="305"/>
      <c r="D40" s="305"/>
      <c r="E40" s="305"/>
      <c r="F40" s="305"/>
      <c r="G40" s="305"/>
      <c r="H40" s="305"/>
      <c r="I40" s="306">
        <v>788.9</v>
      </c>
      <c r="J40" s="306">
        <v>506.67</v>
      </c>
      <c r="K40" s="305"/>
      <c r="L40" s="305"/>
      <c r="M40" s="305"/>
      <c r="N40" s="307">
        <v>1295.57</v>
      </c>
    </row>
    <row r="41">
      <c r="A41" s="304" t="s">
        <v>436</v>
      </c>
      <c r="B41" s="305"/>
      <c r="C41" s="305"/>
      <c r="D41" s="305"/>
      <c r="E41" s="305"/>
      <c r="F41" s="305"/>
      <c r="G41" s="305"/>
      <c r="H41" s="305"/>
      <c r="I41" s="306">
        <v>404.4</v>
      </c>
      <c r="J41" s="307">
        <v>2852.09</v>
      </c>
      <c r="K41" s="305"/>
      <c r="L41" s="305"/>
      <c r="M41" s="305"/>
      <c r="N41" s="307">
        <v>3256.49</v>
      </c>
    </row>
    <row r="42">
      <c r="A42" s="304" t="s">
        <v>437</v>
      </c>
      <c r="B42" s="307">
        <v>34002.6</v>
      </c>
      <c r="C42" s="307">
        <v>39055.23</v>
      </c>
      <c r="D42" s="307">
        <v>28435.18</v>
      </c>
      <c r="E42" s="307">
        <v>48753.06</v>
      </c>
      <c r="F42" s="307">
        <v>27072.9</v>
      </c>
      <c r="G42" s="307">
        <v>38769.12</v>
      </c>
      <c r="H42" s="307">
        <v>71124.64</v>
      </c>
      <c r="I42" s="307">
        <v>24778.54</v>
      </c>
      <c r="J42" s="307">
        <v>27628.92</v>
      </c>
      <c r="K42" s="305"/>
      <c r="L42" s="305"/>
      <c r="M42" s="305"/>
      <c r="N42" s="307">
        <v>339620.19</v>
      </c>
    </row>
    <row r="43">
      <c r="A43" s="304" t="s">
        <v>438</v>
      </c>
      <c r="B43" s="307">
        <v>78103.1</v>
      </c>
      <c r="C43" s="307">
        <v>93902.32</v>
      </c>
      <c r="D43" s="307">
        <v>68647.62</v>
      </c>
      <c r="E43" s="307">
        <v>75445.41</v>
      </c>
      <c r="F43" s="307">
        <v>76270.85</v>
      </c>
      <c r="G43" s="307">
        <v>101980.59</v>
      </c>
      <c r="H43" s="307">
        <v>42947.56</v>
      </c>
      <c r="I43" s="307">
        <v>46376.62</v>
      </c>
      <c r="J43" s="307">
        <v>84858.31</v>
      </c>
      <c r="K43" s="305"/>
      <c r="L43" s="305"/>
      <c r="M43" s="305"/>
      <c r="N43" s="307">
        <v>668532.38</v>
      </c>
    </row>
    <row r="44">
      <c r="A44" s="304" t="s">
        <v>439</v>
      </c>
      <c r="B44" s="305"/>
      <c r="C44" s="305"/>
      <c r="D44" s="305"/>
      <c r="E44" s="305"/>
      <c r="F44" s="305"/>
      <c r="G44" s="305"/>
      <c r="H44" s="305"/>
      <c r="I44" s="307">
        <v>2102.93</v>
      </c>
      <c r="J44" s="306">
        <v>992.61</v>
      </c>
      <c r="K44" s="305"/>
      <c r="L44" s="305"/>
      <c r="M44" s="305"/>
      <c r="N44" s="307">
        <v>3095.54</v>
      </c>
    </row>
    <row r="45">
      <c r="A45" s="304" t="s">
        <v>440</v>
      </c>
      <c r="B45" s="307">
        <v>4360.04</v>
      </c>
      <c r="C45" s="307">
        <v>4121.64</v>
      </c>
      <c r="D45" s="307">
        <v>4384.67</v>
      </c>
      <c r="E45" s="307">
        <v>4407.72</v>
      </c>
      <c r="F45" s="307">
        <v>3889.41</v>
      </c>
      <c r="G45" s="307">
        <v>5490.24</v>
      </c>
      <c r="H45" s="307">
        <v>3900.39</v>
      </c>
      <c r="I45" s="307">
        <v>5070.0</v>
      </c>
      <c r="J45" s="307">
        <v>3637.04</v>
      </c>
      <c r="K45" s="305"/>
      <c r="L45" s="305"/>
      <c r="M45" s="305"/>
      <c r="N45" s="307">
        <v>39261.15</v>
      </c>
    </row>
    <row r="46">
      <c r="A46" s="304" t="s">
        <v>441</v>
      </c>
      <c r="B46" s="308">
        <v>116465.74</v>
      </c>
      <c r="C46" s="308">
        <v>137079.19</v>
      </c>
      <c r="D46" s="308">
        <v>101467.47</v>
      </c>
      <c r="E46" s="308">
        <v>128606.19</v>
      </c>
      <c r="F46" s="308">
        <v>107233.16</v>
      </c>
      <c r="G46" s="308">
        <v>146239.95</v>
      </c>
      <c r="H46" s="308">
        <v>117972.59</v>
      </c>
      <c r="I46" s="308">
        <v>79521.39</v>
      </c>
      <c r="J46" s="308">
        <v>120475.64</v>
      </c>
      <c r="K46" s="308">
        <v>0.0</v>
      </c>
      <c r="L46" s="308">
        <v>0.0</v>
      </c>
      <c r="M46" s="308">
        <v>0.0</v>
      </c>
      <c r="N46" s="308">
        <v>1055061.32</v>
      </c>
    </row>
    <row r="47">
      <c r="A47" s="304" t="s">
        <v>442</v>
      </c>
      <c r="B47" s="306">
        <v>438.01</v>
      </c>
      <c r="C47" s="307">
        <v>1116.68</v>
      </c>
      <c r="D47" s="307">
        <v>1116.68</v>
      </c>
      <c r="E47" s="307">
        <v>2895.39</v>
      </c>
      <c r="F47" s="307">
        <v>3641.74</v>
      </c>
      <c r="G47" s="307">
        <v>7813.93</v>
      </c>
      <c r="H47" s="307">
        <v>8120.02</v>
      </c>
      <c r="I47" s="307">
        <v>34463.25</v>
      </c>
      <c r="J47" s="307">
        <v>45947.75</v>
      </c>
      <c r="K47" s="305"/>
      <c r="L47" s="305"/>
      <c r="M47" s="305"/>
      <c r="N47" s="307">
        <v>105553.45</v>
      </c>
    </row>
    <row r="48">
      <c r="A48" s="304" t="s">
        <v>443</v>
      </c>
      <c r="B48" s="308">
        <v>232730.19</v>
      </c>
      <c r="C48" s="308">
        <v>284595.87</v>
      </c>
      <c r="D48" s="308">
        <v>186283.06</v>
      </c>
      <c r="E48" s="308">
        <v>333572.5</v>
      </c>
      <c r="F48" s="308">
        <v>138902.33</v>
      </c>
      <c r="G48" s="308">
        <v>224798.53</v>
      </c>
      <c r="H48" s="308">
        <v>144257.47</v>
      </c>
      <c r="I48" s="308">
        <v>203561.51</v>
      </c>
      <c r="J48" s="308">
        <v>196816.79</v>
      </c>
      <c r="K48" s="308">
        <v>0.0</v>
      </c>
      <c r="L48" s="308">
        <v>0.0</v>
      </c>
      <c r="M48" s="308">
        <v>0.0</v>
      </c>
      <c r="N48" s="308">
        <v>1945518.25</v>
      </c>
    </row>
    <row r="49">
      <c r="A49" s="304" t="s">
        <v>444</v>
      </c>
      <c r="B49" s="305"/>
      <c r="C49" s="305"/>
      <c r="D49" s="305"/>
      <c r="E49" s="305"/>
      <c r="F49" s="305"/>
      <c r="G49" s="305"/>
      <c r="H49" s="305"/>
      <c r="I49" s="305"/>
      <c r="J49" s="305"/>
      <c r="K49" s="305"/>
      <c r="L49" s="305"/>
      <c r="M49" s="305"/>
      <c r="N49" s="306">
        <v>0.0</v>
      </c>
    </row>
    <row r="50">
      <c r="A50" s="304" t="s">
        <v>417</v>
      </c>
      <c r="B50" s="307">
        <v>12286.88</v>
      </c>
      <c r="C50" s="307">
        <v>9639.78</v>
      </c>
      <c r="D50" s="307">
        <v>9368.34</v>
      </c>
      <c r="E50" s="307">
        <v>9877.14</v>
      </c>
      <c r="F50" s="307">
        <v>18524.3</v>
      </c>
      <c r="G50" s="307">
        <v>11973.26</v>
      </c>
      <c r="H50" s="307">
        <v>15524.8</v>
      </c>
      <c r="I50" s="307">
        <v>22407.83</v>
      </c>
      <c r="J50" s="307">
        <v>15362.65</v>
      </c>
      <c r="K50" s="305"/>
      <c r="L50" s="305"/>
      <c r="M50" s="305"/>
      <c r="N50" s="307">
        <v>124964.98</v>
      </c>
    </row>
    <row r="51">
      <c r="A51" s="304" t="s">
        <v>418</v>
      </c>
      <c r="B51" s="307">
        <v>17152.59</v>
      </c>
      <c r="C51" s="307">
        <v>17192.07</v>
      </c>
      <c r="D51" s="307">
        <v>19519.73</v>
      </c>
      <c r="E51" s="307">
        <v>16113.7</v>
      </c>
      <c r="F51" s="307">
        <v>22054.76</v>
      </c>
      <c r="G51" s="307">
        <v>21398.99</v>
      </c>
      <c r="H51" s="307">
        <v>31451.65</v>
      </c>
      <c r="I51" s="307">
        <v>20953.48</v>
      </c>
      <c r="J51" s="307">
        <v>24428.86</v>
      </c>
      <c r="K51" s="305"/>
      <c r="L51" s="305"/>
      <c r="M51" s="305"/>
      <c r="N51" s="307">
        <v>190265.83</v>
      </c>
    </row>
    <row r="52">
      <c r="A52" s="304" t="s">
        <v>419</v>
      </c>
      <c r="B52" s="307">
        <v>15000.0</v>
      </c>
      <c r="C52" s="307">
        <v>4000.0</v>
      </c>
      <c r="D52" s="307">
        <v>9000.0</v>
      </c>
      <c r="E52" s="307">
        <v>5589.0</v>
      </c>
      <c r="F52" s="307">
        <v>4000.0</v>
      </c>
      <c r="G52" s="307">
        <v>15200.0</v>
      </c>
      <c r="H52" s="307">
        <v>44121.0</v>
      </c>
      <c r="I52" s="307">
        <v>27000.0</v>
      </c>
      <c r="J52" s="307">
        <v>20000.0</v>
      </c>
      <c r="K52" s="305"/>
      <c r="L52" s="305"/>
      <c r="M52" s="305"/>
      <c r="N52" s="307">
        <v>143910.0</v>
      </c>
    </row>
    <row r="53">
      <c r="A53" s="304" t="s">
        <v>420</v>
      </c>
      <c r="B53" s="307">
        <v>51375.1</v>
      </c>
      <c r="C53" s="307">
        <v>64316.0</v>
      </c>
      <c r="D53" s="307">
        <v>97251.16</v>
      </c>
      <c r="E53" s="305"/>
      <c r="F53" s="307">
        <v>240111.0</v>
      </c>
      <c r="G53" s="307">
        <v>36830.0</v>
      </c>
      <c r="H53" s="307">
        <v>142194.0</v>
      </c>
      <c r="I53" s="307">
        <v>91033.0</v>
      </c>
      <c r="J53" s="307">
        <v>124339.0</v>
      </c>
      <c r="K53" s="305"/>
      <c r="L53" s="305"/>
      <c r="M53" s="305"/>
      <c r="N53" s="307">
        <v>847449.26</v>
      </c>
    </row>
    <row r="54">
      <c r="A54" s="304" t="s">
        <v>445</v>
      </c>
      <c r="B54" s="307">
        <v>2904.0</v>
      </c>
      <c r="C54" s="307">
        <v>2543.0</v>
      </c>
      <c r="D54" s="307">
        <v>3736.18</v>
      </c>
      <c r="E54" s="307">
        <v>2682.0</v>
      </c>
      <c r="F54" s="307">
        <v>4510.79</v>
      </c>
      <c r="G54" s="307">
        <v>3088.0</v>
      </c>
      <c r="H54" s="307">
        <v>4985.0</v>
      </c>
      <c r="I54" s="307">
        <v>4396.0</v>
      </c>
      <c r="J54" s="307">
        <v>4534.0</v>
      </c>
      <c r="K54" s="305"/>
      <c r="L54" s="305"/>
      <c r="M54" s="305"/>
      <c r="N54" s="307">
        <v>33378.97</v>
      </c>
    </row>
    <row r="55">
      <c r="A55" s="304" t="s">
        <v>422</v>
      </c>
      <c r="B55" s="307">
        <v>46116.04</v>
      </c>
      <c r="C55" s="307">
        <v>21939.14</v>
      </c>
      <c r="D55" s="307">
        <v>32520.05</v>
      </c>
      <c r="E55" s="307">
        <v>38346.4</v>
      </c>
      <c r="F55" s="307">
        <v>43357.38</v>
      </c>
      <c r="G55" s="307">
        <v>27474.83</v>
      </c>
      <c r="H55" s="307">
        <v>35421.5</v>
      </c>
      <c r="I55" s="307">
        <v>44413.54</v>
      </c>
      <c r="J55" s="307">
        <v>29224.2</v>
      </c>
      <c r="K55" s="305"/>
      <c r="L55" s="305"/>
      <c r="M55" s="305"/>
      <c r="N55" s="307">
        <v>318813.08</v>
      </c>
    </row>
    <row r="56">
      <c r="A56" s="304" t="s">
        <v>423</v>
      </c>
      <c r="B56" s="307">
        <v>382362.66</v>
      </c>
      <c r="C56" s="307">
        <v>274884.6</v>
      </c>
      <c r="D56" s="307">
        <v>314990.37</v>
      </c>
      <c r="E56" s="307">
        <v>319196.51</v>
      </c>
      <c r="F56" s="307">
        <v>389778.65</v>
      </c>
      <c r="G56" s="307">
        <v>345128.16</v>
      </c>
      <c r="H56" s="307">
        <v>436511.04</v>
      </c>
      <c r="I56" s="307">
        <v>608869.95</v>
      </c>
      <c r="J56" s="307">
        <v>437705.69</v>
      </c>
      <c r="K56" s="305"/>
      <c r="L56" s="305"/>
      <c r="M56" s="305"/>
      <c r="N56" s="307">
        <v>3509427.63</v>
      </c>
    </row>
    <row r="57">
      <c r="A57" s="304" t="s">
        <v>424</v>
      </c>
      <c r="B57" s="305"/>
      <c r="C57" s="305"/>
      <c r="D57" s="307">
        <v>11923.08</v>
      </c>
      <c r="E57" s="305"/>
      <c r="F57" s="307">
        <v>14615.38</v>
      </c>
      <c r="G57" s="305"/>
      <c r="H57" s="305"/>
      <c r="I57" s="305"/>
      <c r="J57" s="305"/>
      <c r="K57" s="305"/>
      <c r="L57" s="305"/>
      <c r="M57" s="305"/>
      <c r="N57" s="307">
        <v>26538.46</v>
      </c>
    </row>
    <row r="58">
      <c r="A58" s="304" t="s">
        <v>446</v>
      </c>
      <c r="B58" s="308">
        <v>527197.27</v>
      </c>
      <c r="C58" s="308">
        <v>394514.59</v>
      </c>
      <c r="D58" s="308">
        <v>498308.91</v>
      </c>
      <c r="E58" s="308">
        <v>391804.75</v>
      </c>
      <c r="F58" s="308">
        <v>736952.26</v>
      </c>
      <c r="G58" s="308">
        <v>461093.24</v>
      </c>
      <c r="H58" s="308">
        <v>710208.99</v>
      </c>
      <c r="I58" s="308">
        <v>819073.8</v>
      </c>
      <c r="J58" s="308">
        <v>655594.4</v>
      </c>
      <c r="K58" s="308">
        <v>0.0</v>
      </c>
      <c r="L58" s="308">
        <v>0.0</v>
      </c>
      <c r="M58" s="308">
        <v>0.0</v>
      </c>
      <c r="N58" s="308">
        <v>5194748.21</v>
      </c>
    </row>
    <row r="59">
      <c r="A59" s="304" t="s">
        <v>194</v>
      </c>
      <c r="B59" s="305"/>
      <c r="C59" s="305"/>
      <c r="D59" s="305"/>
      <c r="E59" s="305"/>
      <c r="F59" s="305"/>
      <c r="G59" s="305"/>
      <c r="H59" s="305"/>
      <c r="I59" s="305"/>
      <c r="J59" s="305"/>
      <c r="K59" s="305"/>
      <c r="L59" s="305"/>
      <c r="M59" s="305"/>
      <c r="N59" s="306">
        <v>0.0</v>
      </c>
    </row>
    <row r="60">
      <c r="A60" s="304" t="s">
        <v>194</v>
      </c>
      <c r="B60" s="307">
        <v>69619.26</v>
      </c>
      <c r="C60" s="307">
        <v>112722.97</v>
      </c>
      <c r="D60" s="307">
        <v>77092.87</v>
      </c>
      <c r="E60" s="307">
        <v>179539.98</v>
      </c>
      <c r="F60" s="307">
        <v>95172.53</v>
      </c>
      <c r="G60" s="307">
        <v>35581.23</v>
      </c>
      <c r="H60" s="307">
        <v>24846.16</v>
      </c>
      <c r="I60" s="305"/>
      <c r="J60" s="305"/>
      <c r="K60" s="305"/>
      <c r="L60" s="305"/>
      <c r="M60" s="305"/>
      <c r="N60" s="307">
        <v>594575.0</v>
      </c>
    </row>
    <row r="61">
      <c r="A61" s="304" t="s">
        <v>447</v>
      </c>
      <c r="B61" s="305"/>
      <c r="C61" s="305"/>
      <c r="D61" s="305"/>
      <c r="E61" s="305"/>
      <c r="F61" s="305"/>
      <c r="G61" s="305"/>
      <c r="H61" s="305"/>
      <c r="I61" s="307">
        <v>6599.1</v>
      </c>
      <c r="J61" s="305"/>
      <c r="K61" s="305"/>
      <c r="L61" s="305"/>
      <c r="M61" s="305"/>
      <c r="N61" s="307">
        <v>6599.1</v>
      </c>
    </row>
    <row r="62">
      <c r="A62" s="304" t="s">
        <v>448</v>
      </c>
      <c r="B62" s="305"/>
      <c r="C62" s="305"/>
      <c r="D62" s="305"/>
      <c r="E62" s="305"/>
      <c r="F62" s="305"/>
      <c r="G62" s="305"/>
      <c r="H62" s="305"/>
      <c r="I62" s="307">
        <v>36400.76</v>
      </c>
      <c r="J62" s="307">
        <v>36854.65</v>
      </c>
      <c r="K62" s="305"/>
      <c r="L62" s="305"/>
      <c r="M62" s="305"/>
      <c r="N62" s="307">
        <v>73255.41</v>
      </c>
    </row>
    <row r="63">
      <c r="A63" s="304" t="s">
        <v>449</v>
      </c>
      <c r="B63" s="308">
        <v>69619.26</v>
      </c>
      <c r="C63" s="308">
        <v>112722.97</v>
      </c>
      <c r="D63" s="308">
        <v>77092.87</v>
      </c>
      <c r="E63" s="308">
        <v>179539.98</v>
      </c>
      <c r="F63" s="308">
        <v>95172.53</v>
      </c>
      <c r="G63" s="308">
        <v>35581.23</v>
      </c>
      <c r="H63" s="308">
        <v>24846.16</v>
      </c>
      <c r="I63" s="308">
        <v>42999.86</v>
      </c>
      <c r="J63" s="308">
        <v>36854.65</v>
      </c>
      <c r="K63" s="308">
        <v>0.0</v>
      </c>
      <c r="L63" s="308">
        <v>0.0</v>
      </c>
      <c r="M63" s="308">
        <v>0.0</v>
      </c>
      <c r="N63" s="308">
        <v>674429.51</v>
      </c>
    </row>
    <row r="64">
      <c r="A64" s="304" t="s">
        <v>450</v>
      </c>
      <c r="B64" s="305"/>
      <c r="C64" s="305"/>
      <c r="D64" s="305"/>
      <c r="E64" s="305"/>
      <c r="F64" s="305"/>
      <c r="G64" s="305"/>
      <c r="H64" s="305"/>
      <c r="I64" s="305"/>
      <c r="J64" s="305"/>
      <c r="K64" s="305"/>
      <c r="L64" s="305"/>
      <c r="M64" s="305"/>
      <c r="N64" s="306">
        <v>0.0</v>
      </c>
    </row>
    <row r="65">
      <c r="A65" s="304" t="s">
        <v>451</v>
      </c>
      <c r="B65" s="305"/>
      <c r="C65" s="305"/>
      <c r="D65" s="305"/>
      <c r="E65" s="305"/>
      <c r="F65" s="305"/>
      <c r="G65" s="305"/>
      <c r="H65" s="306">
        <v>496.23</v>
      </c>
      <c r="I65" s="307">
        <v>25582.55</v>
      </c>
      <c r="J65" s="307">
        <v>33167.51</v>
      </c>
      <c r="K65" s="305"/>
      <c r="L65" s="305"/>
      <c r="M65" s="305"/>
      <c r="N65" s="307">
        <v>59246.29</v>
      </c>
    </row>
    <row r="66">
      <c r="A66" s="304" t="s">
        <v>452</v>
      </c>
      <c r="B66" s="307">
        <v>26159.08</v>
      </c>
      <c r="C66" s="307">
        <v>34811.26</v>
      </c>
      <c r="D66" s="307">
        <v>29795.58</v>
      </c>
      <c r="E66" s="307">
        <v>40809.04</v>
      </c>
      <c r="F66" s="305"/>
      <c r="G66" s="305"/>
      <c r="H66" s="305"/>
      <c r="I66" s="307">
        <v>33074.54</v>
      </c>
      <c r="J66" s="307">
        <v>14854.79</v>
      </c>
      <c r="K66" s="305"/>
      <c r="L66" s="305"/>
      <c r="M66" s="305"/>
      <c r="N66" s="307">
        <v>179504.29</v>
      </c>
    </row>
    <row r="67">
      <c r="A67" s="304" t="s">
        <v>453</v>
      </c>
      <c r="B67" s="305"/>
      <c r="C67" s="305"/>
      <c r="D67" s="305"/>
      <c r="E67" s="305"/>
      <c r="F67" s="305"/>
      <c r="G67" s="305"/>
      <c r="H67" s="305"/>
      <c r="I67" s="307">
        <v>27923.89</v>
      </c>
      <c r="J67" s="307">
        <v>15555.05</v>
      </c>
      <c r="K67" s="305"/>
      <c r="L67" s="305"/>
      <c r="M67" s="305"/>
      <c r="N67" s="307">
        <v>43478.94</v>
      </c>
    </row>
    <row r="68">
      <c r="A68" s="304" t="s">
        <v>454</v>
      </c>
      <c r="B68" s="307">
        <v>36979.12</v>
      </c>
      <c r="C68" s="307">
        <v>61879.47</v>
      </c>
      <c r="D68" s="307">
        <v>27786.0</v>
      </c>
      <c r="E68" s="307">
        <v>48349.45</v>
      </c>
      <c r="F68" s="307">
        <v>107289.67</v>
      </c>
      <c r="G68" s="307">
        <v>63451.38</v>
      </c>
      <c r="H68" s="307">
        <v>156324.67</v>
      </c>
      <c r="I68" s="307">
        <v>75995.97</v>
      </c>
      <c r="J68" s="307">
        <v>37152.74</v>
      </c>
      <c r="K68" s="305"/>
      <c r="L68" s="305"/>
      <c r="M68" s="305"/>
      <c r="N68" s="307">
        <v>615208.47</v>
      </c>
    </row>
    <row r="69">
      <c r="A69" s="304" t="s">
        <v>455</v>
      </c>
      <c r="B69" s="307">
        <v>6000.0</v>
      </c>
      <c r="C69" s="307">
        <v>3059.17</v>
      </c>
      <c r="D69" s="305"/>
      <c r="E69" s="307">
        <v>3741.08</v>
      </c>
      <c r="F69" s="307">
        <v>8280.38</v>
      </c>
      <c r="G69" s="305"/>
      <c r="H69" s="307">
        <v>6528.15</v>
      </c>
      <c r="I69" s="307">
        <v>114430.08</v>
      </c>
      <c r="J69" s="307">
        <v>44329.3</v>
      </c>
      <c r="K69" s="305"/>
      <c r="L69" s="305"/>
      <c r="M69" s="305"/>
      <c r="N69" s="307">
        <v>186368.16</v>
      </c>
    </row>
    <row r="70">
      <c r="A70" s="304" t="s">
        <v>456</v>
      </c>
      <c r="B70" s="307">
        <v>136739.9</v>
      </c>
      <c r="C70" s="307">
        <v>186971.09</v>
      </c>
      <c r="D70" s="307">
        <v>143550.4</v>
      </c>
      <c r="E70" s="307">
        <v>131058.08</v>
      </c>
      <c r="F70" s="307">
        <v>105580.59</v>
      </c>
      <c r="G70" s="307">
        <v>150689.82</v>
      </c>
      <c r="H70" s="307">
        <v>151754.09</v>
      </c>
      <c r="I70" s="305"/>
      <c r="J70" s="306">
        <v>810.56</v>
      </c>
      <c r="K70" s="305"/>
      <c r="L70" s="305"/>
      <c r="M70" s="305"/>
      <c r="N70" s="307">
        <v>1007154.53</v>
      </c>
    </row>
    <row r="71">
      <c r="A71" s="304" t="s">
        <v>457</v>
      </c>
      <c r="B71" s="308">
        <v>205878.1</v>
      </c>
      <c r="C71" s="308">
        <v>286720.99</v>
      </c>
      <c r="D71" s="308">
        <v>201131.98</v>
      </c>
      <c r="E71" s="308">
        <v>223957.65</v>
      </c>
      <c r="F71" s="308">
        <v>221150.64</v>
      </c>
      <c r="G71" s="308">
        <v>214141.2</v>
      </c>
      <c r="H71" s="308">
        <v>315103.14</v>
      </c>
      <c r="I71" s="308">
        <v>277007.03</v>
      </c>
      <c r="J71" s="308">
        <v>145869.95</v>
      </c>
      <c r="K71" s="308">
        <v>0.0</v>
      </c>
      <c r="L71" s="308">
        <v>0.0</v>
      </c>
      <c r="M71" s="308">
        <v>0.0</v>
      </c>
      <c r="N71" s="308">
        <v>2090960.68</v>
      </c>
    </row>
    <row r="72">
      <c r="A72" s="304" t="s">
        <v>449</v>
      </c>
      <c r="B72" s="308">
        <v>275497.36</v>
      </c>
      <c r="C72" s="308">
        <v>399443.96</v>
      </c>
      <c r="D72" s="308">
        <v>278224.85</v>
      </c>
      <c r="E72" s="308">
        <v>403497.63</v>
      </c>
      <c r="F72" s="308">
        <v>316323.17</v>
      </c>
      <c r="G72" s="308">
        <v>249722.43</v>
      </c>
      <c r="H72" s="308">
        <v>339949.3</v>
      </c>
      <c r="I72" s="308">
        <v>320006.89</v>
      </c>
      <c r="J72" s="308">
        <v>182724.6</v>
      </c>
      <c r="K72" s="308">
        <v>0.0</v>
      </c>
      <c r="L72" s="308">
        <v>0.0</v>
      </c>
      <c r="M72" s="308">
        <v>0.0</v>
      </c>
      <c r="N72" s="308">
        <v>2765390.19</v>
      </c>
    </row>
    <row r="73">
      <c r="A73" s="304" t="s">
        <v>304</v>
      </c>
      <c r="B73" s="308">
        <v>1035424.82</v>
      </c>
      <c r="C73" s="308">
        <v>1078554.42</v>
      </c>
      <c r="D73" s="308">
        <v>962816.82</v>
      </c>
      <c r="E73" s="308">
        <v>1128874.88</v>
      </c>
      <c r="F73" s="308">
        <v>1192177.76</v>
      </c>
      <c r="G73" s="308">
        <v>935614.2</v>
      </c>
      <c r="H73" s="308">
        <v>1194415.76</v>
      </c>
      <c r="I73" s="308">
        <v>1342642.2</v>
      </c>
      <c r="J73" s="308">
        <v>1035135.79</v>
      </c>
      <c r="K73" s="308">
        <v>0.0</v>
      </c>
      <c r="L73" s="308">
        <v>0.0</v>
      </c>
      <c r="M73" s="308">
        <v>0.0</v>
      </c>
      <c r="N73" s="308">
        <v>9905656.65</v>
      </c>
    </row>
    <row r="74">
      <c r="A74" s="304" t="s">
        <v>306</v>
      </c>
      <c r="B74" s="308">
        <v>90276.64</v>
      </c>
      <c r="C74" s="308">
        <v>253924.36</v>
      </c>
      <c r="D74" s="308">
        <v>39480.44</v>
      </c>
      <c r="E74" s="308">
        <v>-509952.71</v>
      </c>
      <c r="F74" s="308">
        <v>-804494.63</v>
      </c>
      <c r="G74" s="308">
        <v>560558.1</v>
      </c>
      <c r="H74" s="308">
        <v>-746808.41</v>
      </c>
      <c r="I74" s="308">
        <v>83768.84</v>
      </c>
      <c r="J74" s="308">
        <v>821.61</v>
      </c>
      <c r="K74" s="308">
        <v>0.0</v>
      </c>
      <c r="L74" s="308">
        <v>0.0</v>
      </c>
      <c r="M74" s="308">
        <v>0.0</v>
      </c>
      <c r="N74" s="308">
        <v>-1032425.76</v>
      </c>
    </row>
    <row r="75">
      <c r="A75" s="304" t="s">
        <v>307</v>
      </c>
      <c r="B75" s="305"/>
      <c r="C75" s="305"/>
      <c r="D75" s="305"/>
      <c r="E75" s="305"/>
      <c r="F75" s="305"/>
      <c r="G75" s="305"/>
      <c r="H75" s="305"/>
      <c r="I75" s="305"/>
      <c r="J75" s="305"/>
      <c r="K75" s="305"/>
      <c r="L75" s="305"/>
      <c r="M75" s="305"/>
      <c r="N75" s="305"/>
    </row>
    <row r="76">
      <c r="A76" s="304" t="s">
        <v>307</v>
      </c>
      <c r="B76" s="305"/>
      <c r="C76" s="305"/>
      <c r="D76" s="305"/>
      <c r="E76" s="305"/>
      <c r="F76" s="305"/>
      <c r="G76" s="305"/>
      <c r="H76" s="305"/>
      <c r="I76" s="305"/>
      <c r="J76" s="305"/>
      <c r="K76" s="305"/>
      <c r="L76" s="305"/>
      <c r="M76" s="305"/>
      <c r="N76" s="306">
        <v>0.0</v>
      </c>
    </row>
    <row r="77">
      <c r="A77" s="304" t="s">
        <v>458</v>
      </c>
      <c r="B77" s="305"/>
      <c r="C77" s="305"/>
      <c r="D77" s="305"/>
      <c r="E77" s="305"/>
      <c r="F77" s="306">
        <v>288.13</v>
      </c>
      <c r="G77" s="306">
        <v>41.09</v>
      </c>
      <c r="H77" s="306">
        <v>40.23</v>
      </c>
      <c r="I77" s="306">
        <v>42.06</v>
      </c>
      <c r="J77" s="306">
        <v>43.79</v>
      </c>
      <c r="K77" s="305"/>
      <c r="L77" s="305"/>
      <c r="M77" s="305"/>
      <c r="N77" s="306">
        <v>455.3</v>
      </c>
    </row>
    <row r="78">
      <c r="A78" s="304" t="s">
        <v>311</v>
      </c>
      <c r="B78" s="308">
        <v>0.0</v>
      </c>
      <c r="C78" s="308">
        <v>0.0</v>
      </c>
      <c r="D78" s="308">
        <v>0.0</v>
      </c>
      <c r="E78" s="308">
        <v>0.0</v>
      </c>
      <c r="F78" s="308">
        <v>288.13</v>
      </c>
      <c r="G78" s="308">
        <v>41.09</v>
      </c>
      <c r="H78" s="308">
        <v>40.23</v>
      </c>
      <c r="I78" s="308">
        <v>42.06</v>
      </c>
      <c r="J78" s="308">
        <v>43.79</v>
      </c>
      <c r="K78" s="308">
        <v>0.0</v>
      </c>
      <c r="L78" s="308">
        <v>0.0</v>
      </c>
      <c r="M78" s="308">
        <v>0.0</v>
      </c>
      <c r="N78" s="308">
        <v>455.3</v>
      </c>
    </row>
    <row r="79">
      <c r="A79" s="304" t="s">
        <v>311</v>
      </c>
      <c r="B79" s="308">
        <v>0.0</v>
      </c>
      <c r="C79" s="308">
        <v>0.0</v>
      </c>
      <c r="D79" s="308">
        <v>0.0</v>
      </c>
      <c r="E79" s="308">
        <v>0.0</v>
      </c>
      <c r="F79" s="308">
        <v>288.13</v>
      </c>
      <c r="G79" s="308">
        <v>41.09</v>
      </c>
      <c r="H79" s="308">
        <v>40.23</v>
      </c>
      <c r="I79" s="308">
        <v>42.06</v>
      </c>
      <c r="J79" s="308">
        <v>43.79</v>
      </c>
      <c r="K79" s="308">
        <v>0.0</v>
      </c>
      <c r="L79" s="308">
        <v>0.0</v>
      </c>
      <c r="M79" s="308">
        <v>0.0</v>
      </c>
      <c r="N79" s="308">
        <v>455.3</v>
      </c>
    </row>
    <row r="80">
      <c r="A80" s="304" t="s">
        <v>312</v>
      </c>
      <c r="B80" s="305"/>
      <c r="C80" s="305"/>
      <c r="D80" s="305"/>
      <c r="E80" s="305"/>
      <c r="F80" s="305"/>
      <c r="G80" s="305"/>
      <c r="H80" s="305"/>
      <c r="I80" s="305"/>
      <c r="J80" s="305"/>
      <c r="K80" s="305"/>
      <c r="L80" s="305"/>
      <c r="M80" s="305"/>
      <c r="N80" s="305"/>
    </row>
    <row r="81">
      <c r="A81" s="304" t="s">
        <v>459</v>
      </c>
      <c r="B81" s="307">
        <v>1880.49</v>
      </c>
      <c r="C81" s="305"/>
      <c r="D81" s="305"/>
      <c r="E81" s="305"/>
      <c r="F81" s="306">
        <v>500.08</v>
      </c>
      <c r="G81" s="305"/>
      <c r="H81" s="305"/>
      <c r="I81" s="305"/>
      <c r="J81" s="305"/>
      <c r="K81" s="305"/>
      <c r="L81" s="305"/>
      <c r="M81" s="305"/>
      <c r="N81" s="307">
        <v>2380.57</v>
      </c>
    </row>
    <row r="82">
      <c r="A82" s="304" t="s">
        <v>312</v>
      </c>
      <c r="B82" s="305"/>
      <c r="C82" s="305"/>
      <c r="D82" s="305"/>
      <c r="E82" s="305"/>
      <c r="F82" s="305"/>
      <c r="G82" s="305"/>
      <c r="H82" s="305"/>
      <c r="I82" s="305"/>
      <c r="J82" s="305"/>
      <c r="K82" s="305"/>
      <c r="L82" s="305"/>
      <c r="M82" s="305"/>
      <c r="N82" s="306">
        <v>0.0</v>
      </c>
    </row>
    <row r="83">
      <c r="A83" s="304" t="s">
        <v>460</v>
      </c>
      <c r="B83" s="305"/>
      <c r="C83" s="305"/>
      <c r="D83" s="305"/>
      <c r="E83" s="305"/>
      <c r="F83" s="305"/>
      <c r="G83" s="305"/>
      <c r="H83" s="305"/>
      <c r="I83" s="305"/>
      <c r="J83" s="305"/>
      <c r="K83" s="305"/>
      <c r="L83" s="305"/>
      <c r="M83" s="305"/>
      <c r="N83" s="306">
        <v>0.0</v>
      </c>
    </row>
    <row r="84">
      <c r="A84" s="304" t="s">
        <v>461</v>
      </c>
      <c r="B84" s="305"/>
      <c r="C84" s="305"/>
      <c r="D84" s="305"/>
      <c r="E84" s="307">
        <v>100000.0</v>
      </c>
      <c r="F84" s="305"/>
      <c r="G84" s="305"/>
      <c r="H84" s="305"/>
      <c r="I84" s="305"/>
      <c r="J84" s="305"/>
      <c r="K84" s="305"/>
      <c r="L84" s="305"/>
      <c r="M84" s="305"/>
      <c r="N84" s="307">
        <v>100000.0</v>
      </c>
    </row>
    <row r="85">
      <c r="A85" s="304" t="s">
        <v>462</v>
      </c>
      <c r="B85" s="305"/>
      <c r="C85" s="305"/>
      <c r="D85" s="305"/>
      <c r="E85" s="307">
        <v>90000.0</v>
      </c>
      <c r="F85" s="305"/>
      <c r="G85" s="305"/>
      <c r="H85" s="305"/>
      <c r="I85" s="305"/>
      <c r="J85" s="305"/>
      <c r="K85" s="305"/>
      <c r="L85" s="305"/>
      <c r="M85" s="305"/>
      <c r="N85" s="307">
        <v>90000.0</v>
      </c>
    </row>
    <row r="86">
      <c r="A86" s="304" t="s">
        <v>463</v>
      </c>
      <c r="B86" s="308">
        <v>0.0</v>
      </c>
      <c r="C86" s="308">
        <v>0.0</v>
      </c>
      <c r="D86" s="308">
        <v>0.0</v>
      </c>
      <c r="E86" s="308">
        <v>190000.0</v>
      </c>
      <c r="F86" s="308">
        <v>0.0</v>
      </c>
      <c r="G86" s="308">
        <v>0.0</v>
      </c>
      <c r="H86" s="308">
        <v>0.0</v>
      </c>
      <c r="I86" s="308">
        <v>0.0</v>
      </c>
      <c r="J86" s="308">
        <v>0.0</v>
      </c>
      <c r="K86" s="308">
        <v>0.0</v>
      </c>
      <c r="L86" s="308">
        <v>0.0</v>
      </c>
      <c r="M86" s="308">
        <v>0.0</v>
      </c>
      <c r="N86" s="308">
        <v>190000.0</v>
      </c>
    </row>
    <row r="87">
      <c r="A87" s="304" t="s">
        <v>464</v>
      </c>
      <c r="B87" s="307">
        <v>15977.79</v>
      </c>
      <c r="C87" s="307">
        <v>13041.56</v>
      </c>
      <c r="D87" s="307">
        <v>11995.68</v>
      </c>
      <c r="E87" s="306">
        <v>0.0</v>
      </c>
      <c r="F87" s="307">
        <v>27400.86</v>
      </c>
      <c r="G87" s="307">
        <v>14371.55</v>
      </c>
      <c r="H87" s="307">
        <v>14402.58</v>
      </c>
      <c r="I87" s="307">
        <v>18936.68</v>
      </c>
      <c r="J87" s="305"/>
      <c r="K87" s="305"/>
      <c r="L87" s="305"/>
      <c r="M87" s="305"/>
      <c r="N87" s="307">
        <v>116126.7</v>
      </c>
    </row>
    <row r="88">
      <c r="A88" s="304" t="s">
        <v>318</v>
      </c>
      <c r="B88" s="308">
        <v>15977.79</v>
      </c>
      <c r="C88" s="308">
        <v>13041.56</v>
      </c>
      <c r="D88" s="308">
        <v>11995.68</v>
      </c>
      <c r="E88" s="308">
        <v>190000.0</v>
      </c>
      <c r="F88" s="308">
        <v>27400.86</v>
      </c>
      <c r="G88" s="308">
        <v>14371.55</v>
      </c>
      <c r="H88" s="308">
        <v>14402.58</v>
      </c>
      <c r="I88" s="308">
        <v>18936.68</v>
      </c>
      <c r="J88" s="308">
        <v>0.0</v>
      </c>
      <c r="K88" s="308">
        <v>0.0</v>
      </c>
      <c r="L88" s="308">
        <v>0.0</v>
      </c>
      <c r="M88" s="308">
        <v>0.0</v>
      </c>
      <c r="N88" s="308">
        <v>306126.7</v>
      </c>
    </row>
    <row r="89">
      <c r="A89" s="304" t="s">
        <v>318</v>
      </c>
      <c r="B89" s="308">
        <v>17858.28</v>
      </c>
      <c r="C89" s="308">
        <v>13041.56</v>
      </c>
      <c r="D89" s="308">
        <v>11995.68</v>
      </c>
      <c r="E89" s="308">
        <v>190000.0</v>
      </c>
      <c r="F89" s="308">
        <v>27900.94</v>
      </c>
      <c r="G89" s="308">
        <v>14371.55</v>
      </c>
      <c r="H89" s="308">
        <v>14402.58</v>
      </c>
      <c r="I89" s="308">
        <v>18936.68</v>
      </c>
      <c r="J89" s="308">
        <v>0.0</v>
      </c>
      <c r="K89" s="308">
        <v>0.0</v>
      </c>
      <c r="L89" s="308">
        <v>0.0</v>
      </c>
      <c r="M89" s="308">
        <v>0.0</v>
      </c>
      <c r="N89" s="308">
        <v>308507.27</v>
      </c>
    </row>
    <row r="90">
      <c r="A90" s="304" t="s">
        <v>319</v>
      </c>
      <c r="B90" s="308">
        <v>-17858.28</v>
      </c>
      <c r="C90" s="308">
        <v>-13041.56</v>
      </c>
      <c r="D90" s="308">
        <v>-11995.68</v>
      </c>
      <c r="E90" s="308">
        <v>-190000.0</v>
      </c>
      <c r="F90" s="308">
        <v>-27612.81</v>
      </c>
      <c r="G90" s="308">
        <v>-14330.46</v>
      </c>
      <c r="H90" s="308">
        <v>-14362.35</v>
      </c>
      <c r="I90" s="308">
        <v>-18894.62</v>
      </c>
      <c r="J90" s="308">
        <v>43.79</v>
      </c>
      <c r="K90" s="308">
        <v>0.0</v>
      </c>
      <c r="L90" s="308">
        <v>0.0</v>
      </c>
      <c r="M90" s="308">
        <v>0.0</v>
      </c>
      <c r="N90" s="308">
        <v>-308051.97</v>
      </c>
    </row>
    <row r="91">
      <c r="A91" s="304" t="s">
        <v>320</v>
      </c>
      <c r="B91" s="308">
        <v>72418.36</v>
      </c>
      <c r="C91" s="308">
        <v>240882.8</v>
      </c>
      <c r="D91" s="308">
        <v>27484.76</v>
      </c>
      <c r="E91" s="308">
        <v>-699952.71</v>
      </c>
      <c r="F91" s="308">
        <v>-832107.44</v>
      </c>
      <c r="G91" s="308">
        <v>546227.64</v>
      </c>
      <c r="H91" s="308">
        <v>-761170.76</v>
      </c>
      <c r="I91" s="308">
        <v>64874.22</v>
      </c>
      <c r="J91" s="308">
        <v>865.4</v>
      </c>
      <c r="K91" s="308">
        <v>0.0</v>
      </c>
      <c r="L91" s="308">
        <v>0.0</v>
      </c>
      <c r="M91" s="308">
        <v>0.0</v>
      </c>
      <c r="N91" s="308">
        <v>-1340477.73</v>
      </c>
    </row>
    <row r="92">
      <c r="A92" s="309"/>
      <c r="B92" s="305"/>
      <c r="C92" s="305"/>
      <c r="D92" s="305"/>
      <c r="E92" s="305"/>
      <c r="F92" s="305"/>
      <c r="G92" s="305"/>
      <c r="H92" s="305"/>
      <c r="I92" s="305"/>
      <c r="J92" s="305"/>
      <c r="K92" s="305"/>
      <c r="L92" s="305"/>
      <c r="M92" s="305"/>
      <c r="N92" s="305"/>
    </row>
    <row r="93">
      <c r="A93" s="298"/>
      <c r="B93" s="298"/>
      <c r="C93" s="298"/>
      <c r="D93" s="298"/>
      <c r="E93" s="298"/>
      <c r="F93" s="298"/>
      <c r="G93" s="298"/>
      <c r="H93" s="298"/>
      <c r="I93" s="298"/>
      <c r="J93" s="298"/>
      <c r="K93" s="298"/>
      <c r="L93" s="298"/>
      <c r="M93" s="298"/>
      <c r="N93" s="298"/>
    </row>
    <row r="94">
      <c r="A94" s="298"/>
      <c r="B94" s="298"/>
      <c r="C94" s="298"/>
      <c r="D94" s="298"/>
      <c r="E94" s="298"/>
      <c r="F94" s="298"/>
      <c r="G94" s="298"/>
      <c r="H94" s="298"/>
      <c r="I94" s="298"/>
      <c r="J94" s="298"/>
      <c r="K94" s="298"/>
      <c r="L94" s="298"/>
      <c r="M94" s="298"/>
      <c r="N94" s="29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9.86"/>
    <col customWidth="1" min="2" max="9" width="16.14"/>
  </cols>
  <sheetData>
    <row r="2">
      <c r="B2" s="318" t="s">
        <v>468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</row>
    <row r="4">
      <c r="B4" s="12"/>
      <c r="C4" s="319" t="s">
        <v>469</v>
      </c>
      <c r="D4" s="319" t="s">
        <v>470</v>
      </c>
      <c r="E4" s="319" t="s">
        <v>471</v>
      </c>
      <c r="F4" s="319" t="s">
        <v>472</v>
      </c>
      <c r="G4" s="319" t="s">
        <v>473</v>
      </c>
      <c r="H4" s="319" t="s">
        <v>474</v>
      </c>
      <c r="I4" s="319" t="s">
        <v>475</v>
      </c>
      <c r="J4" s="319" t="s">
        <v>476</v>
      </c>
      <c r="K4" s="319" t="s">
        <v>477</v>
      </c>
      <c r="L4" s="319" t="s">
        <v>478</v>
      </c>
      <c r="M4" s="319" t="s">
        <v>479</v>
      </c>
      <c r="N4" s="319" t="s">
        <v>480</v>
      </c>
      <c r="O4" s="319" t="s">
        <v>481</v>
      </c>
      <c r="P4" s="319" t="s">
        <v>482</v>
      </c>
      <c r="Q4" s="319" t="s">
        <v>483</v>
      </c>
      <c r="R4" s="319" t="s">
        <v>484</v>
      </c>
      <c r="S4" s="319" t="s">
        <v>485</v>
      </c>
      <c r="T4" s="319" t="s">
        <v>486</v>
      </c>
      <c r="U4" s="319" t="s">
        <v>487</v>
      </c>
      <c r="V4" s="319"/>
      <c r="W4" s="319"/>
    </row>
    <row r="5">
      <c r="B5" s="53" t="s">
        <v>101</v>
      </c>
      <c r="C5" s="33">
        <v>147840.0</v>
      </c>
      <c r="D5" s="33">
        <v>342868.7</v>
      </c>
      <c r="E5" s="33">
        <v>539474.76</v>
      </c>
      <c r="F5" s="33">
        <v>499003.38</v>
      </c>
      <c r="G5" s="33">
        <v>487657.99</v>
      </c>
      <c r="H5" s="33">
        <v>770685.04</v>
      </c>
      <c r="I5" s="33">
        <v>1091982.96</v>
      </c>
      <c r="J5" s="33">
        <v>1192047.3</v>
      </c>
      <c r="K5" s="33">
        <v>1138163.52</v>
      </c>
      <c r="L5" s="33">
        <v>1975750.23</v>
      </c>
      <c r="M5" s="33">
        <v>4349473.67</v>
      </c>
      <c r="N5" s="33">
        <v>3144315.62</v>
      </c>
      <c r="O5" s="33">
        <v>4856471.930000001</v>
      </c>
      <c r="P5" s="33">
        <v>5322535.050000001</v>
      </c>
      <c r="Q5" s="33">
        <v>6326521.79</v>
      </c>
      <c r="R5" s="320">
        <v>5518016.0</v>
      </c>
      <c r="S5" s="33">
        <v>4720892.0</v>
      </c>
      <c r="T5" s="320">
        <v>7743481.0</v>
      </c>
      <c r="U5" s="320">
        <v>8255744.0</v>
      </c>
      <c r="V5" s="33"/>
      <c r="W5" s="33"/>
    </row>
    <row r="6">
      <c r="B6" s="53" t="s">
        <v>488</v>
      </c>
      <c r="C6" s="33">
        <v>50265.600000000006</v>
      </c>
      <c r="D6" s="33">
        <v>137147.48</v>
      </c>
      <c r="E6" s="33">
        <v>172631.92320000002</v>
      </c>
      <c r="F6" s="33">
        <v>152135.96999999997</v>
      </c>
      <c r="G6" s="33">
        <v>67991.89999999997</v>
      </c>
      <c r="H6" s="33">
        <v>33129.06999999995</v>
      </c>
      <c r="I6" s="33">
        <v>181528.64</v>
      </c>
      <c r="J6" s="33">
        <v>179444.29999999993</v>
      </c>
      <c r="K6" s="33">
        <v>68144.43</v>
      </c>
      <c r="L6" s="33">
        <v>540594.5600000003</v>
      </c>
      <c r="M6" s="33">
        <v>1950054.3699999996</v>
      </c>
      <c r="N6" s="33">
        <v>691664.9099999998</v>
      </c>
      <c r="O6" s="33">
        <v>1693503.21</v>
      </c>
      <c r="P6" s="33">
        <v>1004708.8499999996</v>
      </c>
      <c r="Q6" s="33">
        <v>912576.0299999996</v>
      </c>
      <c r="R6" s="320">
        <v>331453.0</v>
      </c>
      <c r="S6" s="320">
        <v>-408448.0</v>
      </c>
      <c r="T6" s="320">
        <v>1658321.0</v>
      </c>
      <c r="U6" s="320">
        <v>2220920.0</v>
      </c>
      <c r="V6" s="33"/>
      <c r="W6" s="33"/>
    </row>
    <row r="7">
      <c r="B7" s="53" t="s">
        <v>489</v>
      </c>
      <c r="C7" s="33">
        <v>50265.600000000006</v>
      </c>
      <c r="D7" s="33">
        <v>137147.48</v>
      </c>
      <c r="E7" s="33">
        <v>172631.92320000002</v>
      </c>
      <c r="F7" s="33">
        <v>152135.96999999997</v>
      </c>
      <c r="G7" s="33">
        <v>67991.89999999997</v>
      </c>
      <c r="H7" s="33">
        <v>33129.06999999995</v>
      </c>
      <c r="I7" s="33">
        <v>181528.64</v>
      </c>
      <c r="J7" s="33">
        <v>179444.29999999993</v>
      </c>
      <c r="K7" s="33">
        <v>68144.43</v>
      </c>
      <c r="L7" s="33">
        <v>540594.5600000003</v>
      </c>
      <c r="M7" s="33">
        <v>1950054.3699999996</v>
      </c>
      <c r="N7" s="33">
        <v>691664.9099999998</v>
      </c>
      <c r="O7" s="33">
        <v>1693503.21</v>
      </c>
      <c r="P7" s="33">
        <v>1004708.8499999996</v>
      </c>
      <c r="Q7" s="33">
        <v>912576.0299999996</v>
      </c>
      <c r="R7" s="320">
        <v>331453.0</v>
      </c>
      <c r="S7" s="320">
        <v>-408448.0</v>
      </c>
      <c r="T7" s="320">
        <v>1658321.0</v>
      </c>
      <c r="U7" s="320">
        <f>U8*U5</f>
        <v>1486033.92</v>
      </c>
    </row>
    <row r="8">
      <c r="B8" s="1"/>
      <c r="C8" s="321">
        <f t="shared" ref="C8:S8" si="1">C$7/C$5</f>
        <v>0.34</v>
      </c>
      <c r="D8" s="321">
        <f t="shared" si="1"/>
        <v>0.4</v>
      </c>
      <c r="E8" s="321">
        <f t="shared" si="1"/>
        <v>0.32</v>
      </c>
      <c r="F8" s="321">
        <f t="shared" si="1"/>
        <v>0.3048796383</v>
      </c>
      <c r="G8" s="321">
        <f t="shared" si="1"/>
        <v>0.1394253788</v>
      </c>
      <c r="H8" s="321">
        <f t="shared" si="1"/>
        <v>0.04298652274</v>
      </c>
      <c r="I8" s="321">
        <f t="shared" si="1"/>
        <v>0.1662376124</v>
      </c>
      <c r="J8" s="321">
        <f t="shared" si="1"/>
        <v>0.1505345467</v>
      </c>
      <c r="K8" s="321">
        <f t="shared" si="1"/>
        <v>0.05987226686</v>
      </c>
      <c r="L8" s="321">
        <f t="shared" si="1"/>
        <v>0.2736148283</v>
      </c>
      <c r="M8" s="321">
        <f t="shared" si="1"/>
        <v>0.4483426083</v>
      </c>
      <c r="N8" s="321">
        <f t="shared" si="1"/>
        <v>0.2199731177</v>
      </c>
      <c r="O8" s="321">
        <f t="shared" si="1"/>
        <v>0.3487105937</v>
      </c>
      <c r="P8" s="321">
        <f t="shared" si="1"/>
        <v>0.1887650979</v>
      </c>
      <c r="Q8" s="321">
        <f t="shared" si="1"/>
        <v>0.1442460898</v>
      </c>
      <c r="R8" s="321">
        <f t="shared" si="1"/>
        <v>0.06006742278</v>
      </c>
      <c r="S8" s="321">
        <f t="shared" si="1"/>
        <v>-0.08651924255</v>
      </c>
      <c r="T8" s="322">
        <v>0.03</v>
      </c>
      <c r="U8" s="322">
        <v>0.18</v>
      </c>
    </row>
    <row r="9">
      <c r="B9" s="1" t="s">
        <v>490</v>
      </c>
      <c r="E9" s="131">
        <f>sum(B5:E5)</f>
        <v>1030183.46</v>
      </c>
      <c r="I9" s="131">
        <f>sum(F5:I5)</f>
        <v>2849329.37</v>
      </c>
      <c r="M9" s="131">
        <f>sum(J5:M5)</f>
        <v>8655434.72</v>
      </c>
      <c r="Q9" s="131">
        <f>sum(N5:Q5)</f>
        <v>19649844.39</v>
      </c>
      <c r="U9" s="131">
        <f>sum(R5:U5)</f>
        <v>26238133</v>
      </c>
    </row>
    <row r="10">
      <c r="B10" s="1" t="s">
        <v>491</v>
      </c>
      <c r="I10" s="106">
        <f>(I9-E9)/E9</f>
        <v>1.765846551</v>
      </c>
      <c r="M10" s="106">
        <f>(M9-I9)/I9</f>
        <v>2.037709438</v>
      </c>
      <c r="Q10" s="106">
        <f>(Q9-M9)/M9</f>
        <v>1.270231944</v>
      </c>
      <c r="U10" s="106">
        <f>(U9-Q9)/Q9</f>
        <v>0.3352845183</v>
      </c>
    </row>
    <row r="18">
      <c r="C18" s="323"/>
      <c r="D18" s="323"/>
      <c r="E18" s="323"/>
      <c r="F18" s="323"/>
      <c r="G18" s="323"/>
      <c r="H18" s="323"/>
    </row>
    <row r="21">
      <c r="C21" s="324"/>
      <c r="D21" s="324"/>
      <c r="E21" s="324"/>
      <c r="F21" s="324"/>
      <c r="G21" s="324"/>
      <c r="H21" s="324"/>
    </row>
    <row r="44">
      <c r="C44" s="122" t="s">
        <v>492</v>
      </c>
      <c r="D44" s="122" t="s">
        <v>493</v>
      </c>
      <c r="E44" s="122" t="s">
        <v>494</v>
      </c>
      <c r="F44" s="122" t="s">
        <v>495</v>
      </c>
      <c r="G44" s="122" t="s">
        <v>496</v>
      </c>
      <c r="H44" s="122" t="s">
        <v>497</v>
      </c>
      <c r="I44" s="122" t="s">
        <v>498</v>
      </c>
      <c r="J44" s="122" t="s">
        <v>499</v>
      </c>
    </row>
    <row r="45">
      <c r="B45" s="325" t="s">
        <v>69</v>
      </c>
      <c r="C45" s="326">
        <f>E9</f>
        <v>1030183.46</v>
      </c>
      <c r="D45" s="327">
        <f>I9</f>
        <v>2849329.37</v>
      </c>
      <c r="E45" s="327">
        <f>M9</f>
        <v>8655434.72</v>
      </c>
      <c r="F45" s="328">
        <f>Q9</f>
        <v>19649844.39</v>
      </c>
      <c r="G45" s="329">
        <v>2.6284509E7</v>
      </c>
      <c r="H45" s="329">
        <v>3.75E7</v>
      </c>
      <c r="I45" s="329">
        <v>5.5E7</v>
      </c>
      <c r="J45" s="329">
        <v>8.0E7</v>
      </c>
    </row>
    <row r="46">
      <c r="B46" s="1" t="s">
        <v>489</v>
      </c>
      <c r="C46" s="326">
        <f>sum(B7:E7)</f>
        <v>360045.0032</v>
      </c>
      <c r="D46" s="326">
        <f>sum(F7:I7)</f>
        <v>434785.58</v>
      </c>
      <c r="E46" s="330">
        <v>2746845.0</v>
      </c>
      <c r="F46" s="331">
        <v>4343829.0</v>
      </c>
      <c r="G46" s="330">
        <v>3698740.0</v>
      </c>
      <c r="H46" s="330">
        <v>7948889.0</v>
      </c>
      <c r="I46" s="330">
        <v>1.1749722E7</v>
      </c>
      <c r="J46" s="332">
        <v>1.7265833E7</v>
      </c>
    </row>
  </sheetData>
  <drawing r:id="rId1"/>
</worksheet>
</file>